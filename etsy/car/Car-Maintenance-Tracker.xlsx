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rs" sheetId="2" state="visible" r:id="rId2"/>
    <sheet name="Services" sheetId="3" state="visible" r:id="rId3"/>
    <sheet name="Fuel" sheetId="4" state="visible" r:id="rId4"/>
    <sheet name="Costs" sheetId="5" state="visible" r:id="rId5"/>
    <sheet name="Documents" sheetId="6" state="visible" r:id="rId6"/>
    <sheet name="Settings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 MMM YYYY"/>
    <numFmt numFmtId="166" formatCode="0.000"/>
    <numFmt numFmtId="167" formatCode="0.0"/>
    <numFmt numFmtId="168" formatCode="#,##0;[Red]-#,##0"/>
    <numFmt numFmtId="169" formatCode="ddd d mmm yy"/>
    <numFmt numFmtId="170" formatCode="d mmm yy"/>
    <numFmt numFmtId="171" formatCode="#,##0.00;;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07A00"/>
      <sz val="16"/>
    </font>
    <font>
      <name val="Arial"/>
      <b val="1"/>
      <color rgb="00B4541F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8" fillId="2" borderId="1" pivotButton="0" quotePrefix="0" xfId="0"/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1" fontId="11" fillId="2" borderId="1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3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4" fontId="6" fillId="2" borderId="1" pivotButton="0" quotePrefix="0" xfId="0"/>
    <xf numFmtId="166" fontId="6" fillId="2" borderId="1" applyAlignment="1" pivotButton="0" quotePrefix="0" xfId="0">
      <alignment horizontal="center" vertical="center"/>
    </xf>
    <xf numFmtId="0" fontId="7" fillId="2" borderId="0" pivotButton="0" quotePrefix="0" xfId="0"/>
    <xf numFmtId="0" fontId="0" fillId="0" borderId="4" pivotButton="0" quotePrefix="0" xfId="0"/>
    <xf numFmtId="0" fontId="6" fillId="2" borderId="1" pivotButton="0" quotePrefix="0" xfId="0"/>
    <xf numFmtId="170" fontId="6" fillId="2" borderId="1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71" fontId="6" fillId="2" borderId="1" pivotButton="0" quotePrefix="0" xfId="0"/>
    <xf numFmtId="171" fontId="3" fillId="2" borderId="1" pivotButton="0" quotePrefix="0" xfId="0"/>
    <xf numFmtId="0" fontId="3" fillId="3" borderId="1" pivotButton="0" quotePrefix="0" xfId="0"/>
    <xf numFmtId="0" fontId="6" fillId="3" borderId="1" pivotButton="0" quotePrefix="0" xfId="0"/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65" fontId="6" fillId="3" borderId="1" pivotButton="0" quotePrefix="0" xfId="0"/>
    <xf numFmtId="3" fontId="3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4" fontId="6" fillId="3" borderId="1" pivotButton="0" quotePrefix="0" xfId="0"/>
    <xf numFmtId="2" fontId="6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3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i val="1"/>
        <color rgb="006B7B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This year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'Dashboard'!C28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'Dashboard'!$B$29:$B$40</f>
            </numRef>
          </cat>
          <val>
            <numRef>
              <f>'Dashboard'!$C$29:$C$40</f>
            </numRef>
          </val>
        </ser>
        <ser>
          <idx val="1"/>
          <order val="1"/>
          <tx>
            <strRef>
              <f>'Dashboard'!D28</f>
            </strRef>
          </tx>
          <spPr>
            <a:solidFill>
              <a:srgbClr val="F2A65A"/>
            </a:solidFill>
            <a:ln>
              <a:prstDash val="solid"/>
            </a:ln>
          </spPr>
          <cat>
            <numRef>
              <f>'Dashboard'!$B$29:$B$40</f>
            </numRef>
          </cat>
          <val>
            <numRef>
              <f>'Dashboard'!$D$29:$D$40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3" customWidth="1" min="4" max="4"/>
    <col width="12" customWidth="1" min="5" max="5"/>
    <col width="12" customWidth="1" min="6" max="6"/>
    <col width="13" customWidth="1" min="7" max="7"/>
    <col width="3" customWidth="1" min="8" max="8"/>
    <col width="16" customWidth="1" min="9" max="9"/>
    <col width="18" customWidth="1" min="10" max="10"/>
    <col width="13" customWidth="1" min="11" max="11"/>
    <col width="16" customWidth="1" min="12" max="12"/>
    <col width="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Car care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Each car, what is due, and what the cars cost this year.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inlineStr">
        <is>
          <t>Cars</t>
        </is>
      </c>
      <c r="C5" s="4" t="inlineStr">
        <is>
          <t>Services due soon</t>
        </is>
      </c>
      <c r="D5" s="4" t="inlineStr">
        <is>
          <t>Overdue</t>
        </is>
      </c>
      <c r="E5" s="4" t="inlineStr">
        <is>
          <t>Papers to renew</t>
        </is>
      </c>
      <c r="F5" s="4" t="inlineStr">
        <is>
          <t>Fuel this year</t>
        </is>
      </c>
      <c r="G5" s="4" t="inlineStr">
        <is>
          <t>All costs this year</t>
        </is>
      </c>
      <c r="H5" s="1" t="n"/>
      <c r="I5" s="1" t="n"/>
      <c r="J5" s="1" t="n"/>
      <c r="K5" s="1" t="n"/>
      <c r="L5" s="1" t="n"/>
      <c r="M5" s="1" t="n"/>
      <c r="N5" s="1" t="n"/>
    </row>
    <row r="6" ht="34" customHeight="1">
      <c r="A6" s="1" t="n"/>
      <c r="B6" s="5">
        <f>COUNTIF(Cars!$B$6:$B$10,"?*")</f>
        <v/>
      </c>
      <c r="C6" s="6">
        <f>COUNTIF(Services!$L$6:$L$65,"Due soon")</f>
        <v/>
      </c>
      <c r="D6" s="7">
        <f>COUNTIF(Services!$L$6:$L$65,"Overdue")</f>
        <v/>
      </c>
      <c r="E6" s="7">
        <f>COUNTIF(Documents!$G$6:$G$45,"End*")</f>
        <v/>
      </c>
      <c r="F6" s="8">
        <f>SUMIFS(Fuel!$F$6:$F$605,Fuel!$B$6:$B$605,"&gt;="&amp;DATE(YEAR(TODAY()),1,1))</f>
        <v/>
      </c>
      <c r="G6" s="8">
        <f>SUMIFS(Fuel!$F$6:$F$605,Fuel!$B$6:$B$605,"&gt;="&amp;DATE(YEAR(TODAY()),1,1))+SUMIFS(Costs!$G$6:$G$505,Costs!$B$6:$B$505,"&gt;="&amp;DATE(YEAR(TODAY()),1,1))</f>
        <v/>
      </c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30" customHeight="1">
      <c r="A9" s="1" t="n"/>
      <c r="B9" s="9" t="inlineStr">
        <is>
          <t>Car</t>
        </is>
      </c>
      <c r="C9" s="9" t="inlineStr">
        <is>
          <t>Odometer</t>
        </is>
      </c>
      <c r="D9" s="9">
        <f>Settings!$C$5&amp;" per 100 "&amp;Settings!$C$4</f>
        <v/>
      </c>
      <c r="E9" s="9">
        <f>Settings!$C$4&amp;" per "&amp;Settings!$C$5</f>
        <v/>
      </c>
      <c r="F9" s="9" t="inlineStr">
        <is>
          <t>This year</t>
        </is>
      </c>
      <c r="G9" s="9">
        <f>"Cost per "&amp;Settings!$C$4</f>
        <v/>
      </c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0">
        <f>IF(Cars!B6="","",Cars!B6)</f>
        <v/>
      </c>
      <c r="C10" s="11">
        <f>IF(B10="","",Cars!I6)</f>
        <v/>
      </c>
      <c r="D10" s="12">
        <f>IF(B10="","",Cars!K6)</f>
        <v/>
      </c>
      <c r="E10" s="12">
        <f>IF(OR(B10="",N(D10)=0),"",100/D10)</f>
        <v/>
      </c>
      <c r="F10" s="13">
        <f>IF(B10="","",SUMIFS(Fuel!$F$6:$F$605,Fuel!$C$6:$C$605,B10,Fuel!$B$6:$B$605,"&gt;="&amp;DATE(YEAR(TODAY()),1,1))+SUMIFS(Costs!$G$6:$G$505,Costs!$C$6:$C$505,B10,Costs!$B$6:$B$505,"&gt;="&amp;DATE(YEAR(TODAY()),1,1)))</f>
        <v/>
      </c>
      <c r="G10" s="14">
        <f>IF(OR(B10="",(N(Cars!I6)-N(Cars!G6))&lt;=0),"",(SUMIFS(Fuel!$F$6:$F$605,Fuel!$C$6:$C$605,B10)+SUMIFS(Costs!$G$6:$G$505,Costs!$C$6:$C$505,B10))/(N(Cars!I6)-N(Cars!G6)))</f>
        <v/>
      </c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0">
        <f>IF(Cars!B7="","",Cars!B7)</f>
        <v/>
      </c>
      <c r="C11" s="11">
        <f>IF(B11="","",Cars!I7)</f>
        <v/>
      </c>
      <c r="D11" s="12">
        <f>IF(B11="","",Cars!K7)</f>
        <v/>
      </c>
      <c r="E11" s="12">
        <f>IF(OR(B11="",N(D11)=0),"",100/D11)</f>
        <v/>
      </c>
      <c r="F11" s="13">
        <f>IF(B11="","",SUMIFS(Fuel!$F$6:$F$605,Fuel!$C$6:$C$605,B11,Fuel!$B$6:$B$605,"&gt;="&amp;DATE(YEAR(TODAY()),1,1))+SUMIFS(Costs!$G$6:$G$505,Costs!$C$6:$C$505,B11,Costs!$B$6:$B$505,"&gt;="&amp;DATE(YEAR(TODAY()),1,1)))</f>
        <v/>
      </c>
      <c r="G11" s="14">
        <f>IF(OR(B11="",(N(Cars!I7)-N(Cars!G7))&lt;=0),"",(SUMIFS(Fuel!$F$6:$F$605,Fuel!$C$6:$C$605,B11)+SUMIFS(Costs!$G$6:$G$505,Costs!$C$6:$C$505,B11))/(N(Cars!I7)-N(Cars!G7)))</f>
        <v/>
      </c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0">
        <f>IF(Cars!B8="","",Cars!B8)</f>
        <v/>
      </c>
      <c r="C12" s="11">
        <f>IF(B12="","",Cars!I8)</f>
        <v/>
      </c>
      <c r="D12" s="12">
        <f>IF(B12="","",Cars!K8)</f>
        <v/>
      </c>
      <c r="E12" s="12">
        <f>IF(OR(B12="",N(D12)=0),"",100/D12)</f>
        <v/>
      </c>
      <c r="F12" s="13">
        <f>IF(B12="","",SUMIFS(Fuel!$F$6:$F$605,Fuel!$C$6:$C$605,B12,Fuel!$B$6:$B$605,"&gt;="&amp;DATE(YEAR(TODAY()),1,1))+SUMIFS(Costs!$G$6:$G$505,Costs!$C$6:$C$505,B12,Costs!$B$6:$B$505,"&gt;="&amp;DATE(YEAR(TODAY()),1,1)))</f>
        <v/>
      </c>
      <c r="G12" s="14">
        <f>IF(OR(B12="",(N(Cars!I8)-N(Cars!G8))&lt;=0),"",(SUMIFS(Fuel!$F$6:$F$605,Fuel!$C$6:$C$605,B12)+SUMIFS(Costs!$G$6:$G$505,Costs!$C$6:$C$505,B12))/(N(Cars!I8)-N(Cars!G8)))</f>
        <v/>
      </c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0">
        <f>IF(Cars!B9="","",Cars!B9)</f>
        <v/>
      </c>
      <c r="C13" s="11">
        <f>IF(B13="","",Cars!I9)</f>
        <v/>
      </c>
      <c r="D13" s="12">
        <f>IF(B13="","",Cars!K9)</f>
        <v/>
      </c>
      <c r="E13" s="12">
        <f>IF(OR(B13="",N(D13)=0),"",100/D13)</f>
        <v/>
      </c>
      <c r="F13" s="13">
        <f>IF(B13="","",SUMIFS(Fuel!$F$6:$F$605,Fuel!$C$6:$C$605,B13,Fuel!$B$6:$B$605,"&gt;="&amp;DATE(YEAR(TODAY()),1,1))+SUMIFS(Costs!$G$6:$G$505,Costs!$C$6:$C$505,B13,Costs!$B$6:$B$505,"&gt;="&amp;DATE(YEAR(TODAY()),1,1)))</f>
        <v/>
      </c>
      <c r="G13" s="14">
        <f>IF(OR(B13="",(N(Cars!I9)-N(Cars!G9))&lt;=0),"",(SUMIFS(Fuel!$F$6:$F$605,Fuel!$C$6:$C$605,B13)+SUMIFS(Costs!$G$6:$G$505,Costs!$C$6:$C$505,B13))/(N(Cars!I9)-N(Cars!G9)))</f>
        <v/>
      </c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0">
        <f>IF(Cars!B10="","",Cars!B10)</f>
        <v/>
      </c>
      <c r="C14" s="11">
        <f>IF(B14="","",Cars!I10)</f>
        <v/>
      </c>
      <c r="D14" s="12">
        <f>IF(B14="","",Cars!K10)</f>
        <v/>
      </c>
      <c r="E14" s="12">
        <f>IF(OR(B14="",N(D14)=0),"",100/D14)</f>
        <v/>
      </c>
      <c r="F14" s="13">
        <f>IF(B14="","",SUMIFS(Fuel!$F$6:$F$605,Fuel!$C$6:$C$605,B14,Fuel!$B$6:$B$605,"&gt;="&amp;DATE(YEAR(TODAY()),1,1))+SUMIFS(Costs!$G$6:$G$505,Costs!$C$6:$C$505,B14,Costs!$B$6:$B$505,"&gt;="&amp;DATE(YEAR(TODAY()),1,1)))</f>
        <v/>
      </c>
      <c r="G14" s="14">
        <f>IF(OR(B14="",(N(Cars!I10)-N(Cars!G10))&lt;=0),"",(SUMIFS(Fuel!$F$6:$F$605,Fuel!$C$6:$C$605,B14)+SUMIFS(Costs!$G$6:$G$505,Costs!$C$6:$C$505,B14))/(N(Cars!I10)-N(Cars!G10)))</f>
        <v/>
      </c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5" t="inlineStr">
        <is>
          <t>Cost per distance: fuel and every cost, divided by the distance since the start of the file.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30" customHeight="1">
      <c r="A17" s="1" t="n"/>
      <c r="B17" s="9" t="inlineStr">
        <is>
          <t>Services</t>
        </is>
      </c>
      <c r="C17" s="16" t="n"/>
      <c r="D17" s="9" t="inlineStr">
        <is>
          <t>About</t>
        </is>
      </c>
      <c r="E17" s="9">
        <f>"Left ("&amp;Settings!$C$4&amp;")"</f>
        <v/>
      </c>
      <c r="F17" s="9" t="inlineStr">
        <is>
          <t>Status</t>
        </is>
      </c>
      <c r="G17" s="1" t="n"/>
      <c r="H17" s="1" t="n"/>
      <c r="I17" s="9" t="inlineStr">
        <is>
          <t>Papers</t>
        </is>
      </c>
      <c r="J17" s="16" t="n"/>
      <c r="K17" s="9" t="inlineStr">
        <is>
          <t>Ends</t>
        </is>
      </c>
      <c r="L17" s="9" t="inlineStr">
        <is>
          <t>Status</t>
        </is>
      </c>
      <c r="M17" s="1" t="n"/>
      <c r="N17" s="1" t="n"/>
    </row>
    <row r="18">
      <c r="A18" s="1" t="n"/>
      <c r="B18" s="10">
        <f>IF(N18="","Nothing due soon",INDEX(Services!$B$6:$B$65,MATCH(N18,Services!$O$6:$O$65,0)))</f>
        <v/>
      </c>
      <c r="C18" s="17">
        <f>IF(N18="","",INDEX(Services!$C$6:$C$65,MATCH(N18,Services!$O$6:$O$65,0)))</f>
        <v/>
      </c>
      <c r="D18" s="18">
        <f>IF(N18="","",INT(N18))</f>
        <v/>
      </c>
      <c r="E18" s="19">
        <f>IF(N18="","",INDEX(Services!$J$6:$J$65,MATCH(N18,Services!$O$6:$O$65,0)))</f>
        <v/>
      </c>
      <c r="F18" s="20">
        <f>IF(N18="","",INDEX(Services!$L$6:$L$65,MATCH(N18,Services!$O$6:$O$65,0)))</f>
        <v/>
      </c>
      <c r="G18" s="1" t="n"/>
      <c r="H18" s="1" t="n"/>
      <c r="I18" s="10">
        <f>IF(O18="","Nothing to renew soon",INDEX(Documents!$B$6:$B$45,MATCH(O18,Documents!$J$6:$J$45,0)))</f>
        <v/>
      </c>
      <c r="J18" s="17">
        <f>IF(O18="","",INDEX(Documents!$C$6:$C$45,MATCH(O18,Documents!$J$6:$J$45,0)))</f>
        <v/>
      </c>
      <c r="K18" s="18">
        <f>IF(O18="","",INT(O18))</f>
        <v/>
      </c>
      <c r="L18" s="20">
        <f>IF(O18="","",INDEX(Documents!$G$6:$G$45,MATCH(O18,Documents!$J$6:$J$45,0)))</f>
        <v/>
      </c>
      <c r="M18" s="1" t="n"/>
      <c r="N18" s="1">
        <f>IFERROR(SMALL(Services!$O$6:$O$65,1),"")</f>
        <v/>
      </c>
      <c r="O18">
        <f>IFERROR(SMALL(Documents!$J$6:$J$45,1),"")</f>
        <v/>
      </c>
    </row>
    <row r="19">
      <c r="A19" s="1" t="n"/>
      <c r="B19" s="10">
        <f>IF(N19="","",INDEX(Services!$B$6:$B$65,MATCH(N19,Services!$O$6:$O$65,0)))</f>
        <v/>
      </c>
      <c r="C19" s="17">
        <f>IF(N19="","",INDEX(Services!$C$6:$C$65,MATCH(N19,Services!$O$6:$O$65,0)))</f>
        <v/>
      </c>
      <c r="D19" s="18">
        <f>IF(N19="","",INT(N19))</f>
        <v/>
      </c>
      <c r="E19" s="19">
        <f>IF(N19="","",INDEX(Services!$J$6:$J$65,MATCH(N19,Services!$O$6:$O$65,0)))</f>
        <v/>
      </c>
      <c r="F19" s="20">
        <f>IF(N19="","",INDEX(Services!$L$6:$L$65,MATCH(N19,Services!$O$6:$O$65,0)))</f>
        <v/>
      </c>
      <c r="G19" s="1" t="n"/>
      <c r="H19" s="1" t="n"/>
      <c r="I19" s="10">
        <f>IF(O19="","",INDEX(Documents!$B$6:$B$45,MATCH(O19,Documents!$J$6:$J$45,0)))</f>
        <v/>
      </c>
      <c r="J19" s="17">
        <f>IF(O19="","",INDEX(Documents!$C$6:$C$45,MATCH(O19,Documents!$J$6:$J$45,0)))</f>
        <v/>
      </c>
      <c r="K19" s="18">
        <f>IF(O19="","",INT(O19))</f>
        <v/>
      </c>
      <c r="L19" s="20">
        <f>IF(O19="","",INDEX(Documents!$G$6:$G$45,MATCH(O19,Documents!$J$6:$J$45,0)))</f>
        <v/>
      </c>
      <c r="M19" s="1" t="n"/>
      <c r="N19" s="1">
        <f>IFERROR(SMALL(Services!$O$6:$O$65,2),"")</f>
        <v/>
      </c>
      <c r="O19">
        <f>IFERROR(SMALL(Documents!$J$6:$J$45,2),"")</f>
        <v/>
      </c>
    </row>
    <row r="20">
      <c r="A20" s="1" t="n"/>
      <c r="B20" s="10">
        <f>IF(N20="","",INDEX(Services!$B$6:$B$65,MATCH(N20,Services!$O$6:$O$65,0)))</f>
        <v/>
      </c>
      <c r="C20" s="17">
        <f>IF(N20="","",INDEX(Services!$C$6:$C$65,MATCH(N20,Services!$O$6:$O$65,0)))</f>
        <v/>
      </c>
      <c r="D20" s="18">
        <f>IF(N20="","",INT(N20))</f>
        <v/>
      </c>
      <c r="E20" s="19">
        <f>IF(N20="","",INDEX(Services!$J$6:$J$65,MATCH(N20,Services!$O$6:$O$65,0)))</f>
        <v/>
      </c>
      <c r="F20" s="20">
        <f>IF(N20="","",INDEX(Services!$L$6:$L$65,MATCH(N20,Services!$O$6:$O$65,0)))</f>
        <v/>
      </c>
      <c r="G20" s="1" t="n"/>
      <c r="H20" s="1" t="n"/>
      <c r="I20" s="10">
        <f>IF(O20="","",INDEX(Documents!$B$6:$B$45,MATCH(O20,Documents!$J$6:$J$45,0)))</f>
        <v/>
      </c>
      <c r="J20" s="17">
        <f>IF(O20="","",INDEX(Documents!$C$6:$C$45,MATCH(O20,Documents!$J$6:$J$45,0)))</f>
        <v/>
      </c>
      <c r="K20" s="18">
        <f>IF(O20="","",INT(O20))</f>
        <v/>
      </c>
      <c r="L20" s="20">
        <f>IF(O20="","",INDEX(Documents!$G$6:$G$45,MATCH(O20,Documents!$J$6:$J$45,0)))</f>
        <v/>
      </c>
      <c r="M20" s="1" t="n"/>
      <c r="N20" s="1">
        <f>IFERROR(SMALL(Services!$O$6:$O$65,3),"")</f>
        <v/>
      </c>
      <c r="O20">
        <f>IFERROR(SMALL(Documents!$J$6:$J$45,3),"")</f>
        <v/>
      </c>
    </row>
    <row r="21">
      <c r="A21" s="1" t="n"/>
      <c r="B21" s="10">
        <f>IF(N21="","",INDEX(Services!$B$6:$B$65,MATCH(N21,Services!$O$6:$O$65,0)))</f>
        <v/>
      </c>
      <c r="C21" s="17">
        <f>IF(N21="","",INDEX(Services!$C$6:$C$65,MATCH(N21,Services!$O$6:$O$65,0)))</f>
        <v/>
      </c>
      <c r="D21" s="18">
        <f>IF(N21="","",INT(N21))</f>
        <v/>
      </c>
      <c r="E21" s="19">
        <f>IF(N21="","",INDEX(Services!$J$6:$J$65,MATCH(N21,Services!$O$6:$O$65,0)))</f>
        <v/>
      </c>
      <c r="F21" s="20">
        <f>IF(N21="","",INDEX(Services!$L$6:$L$65,MATCH(N21,Services!$O$6:$O$65,0)))</f>
        <v/>
      </c>
      <c r="G21" s="1" t="n"/>
      <c r="H21" s="1" t="n"/>
      <c r="I21" s="10">
        <f>IF(O21="","",INDEX(Documents!$B$6:$B$45,MATCH(O21,Documents!$J$6:$J$45,0)))</f>
        <v/>
      </c>
      <c r="J21" s="17">
        <f>IF(O21="","",INDEX(Documents!$C$6:$C$45,MATCH(O21,Documents!$J$6:$J$45,0)))</f>
        <v/>
      </c>
      <c r="K21" s="18">
        <f>IF(O21="","",INT(O21))</f>
        <v/>
      </c>
      <c r="L21" s="20">
        <f>IF(O21="","",INDEX(Documents!$G$6:$G$45,MATCH(O21,Documents!$J$6:$J$45,0)))</f>
        <v/>
      </c>
      <c r="M21" s="1" t="n"/>
      <c r="N21" s="1">
        <f>IFERROR(SMALL(Services!$O$6:$O$65,4),"")</f>
        <v/>
      </c>
      <c r="O21">
        <f>IFERROR(SMALL(Documents!$J$6:$J$45,4),"")</f>
        <v/>
      </c>
    </row>
    <row r="22">
      <c r="A22" s="1" t="n"/>
      <c r="B22" s="10">
        <f>IF(N22="","",INDEX(Services!$B$6:$B$65,MATCH(N22,Services!$O$6:$O$65,0)))</f>
        <v/>
      </c>
      <c r="C22" s="17">
        <f>IF(N22="","",INDEX(Services!$C$6:$C$65,MATCH(N22,Services!$O$6:$O$65,0)))</f>
        <v/>
      </c>
      <c r="D22" s="18">
        <f>IF(N22="","",INT(N22))</f>
        <v/>
      </c>
      <c r="E22" s="19">
        <f>IF(N22="","",INDEX(Services!$J$6:$J$65,MATCH(N22,Services!$O$6:$O$65,0)))</f>
        <v/>
      </c>
      <c r="F22" s="20">
        <f>IF(N22="","",INDEX(Services!$L$6:$L$65,MATCH(N22,Services!$O$6:$O$65,0)))</f>
        <v/>
      </c>
      <c r="G22" s="1" t="n"/>
      <c r="H22" s="1" t="n"/>
      <c r="I22" s="10">
        <f>IF(O22="","",INDEX(Documents!$B$6:$B$45,MATCH(O22,Documents!$J$6:$J$45,0)))</f>
        <v/>
      </c>
      <c r="J22" s="17">
        <f>IF(O22="","",INDEX(Documents!$C$6:$C$45,MATCH(O22,Documents!$J$6:$J$45,0)))</f>
        <v/>
      </c>
      <c r="K22" s="18">
        <f>IF(O22="","",INT(O22))</f>
        <v/>
      </c>
      <c r="L22" s="20">
        <f>IF(O22="","",INDEX(Documents!$G$6:$G$45,MATCH(O22,Documents!$J$6:$J$45,0)))</f>
        <v/>
      </c>
      <c r="M22" s="1" t="n"/>
      <c r="N22" s="1">
        <f>IFERROR(SMALL(Services!$O$6:$O$65,5),"")</f>
        <v/>
      </c>
      <c r="O22">
        <f>IFERROR(SMALL(Documents!$J$6:$J$45,5),"")</f>
        <v/>
      </c>
    </row>
    <row r="23">
      <c r="A23" s="1" t="n"/>
      <c r="B23" s="10">
        <f>IF(N23="","",INDEX(Services!$B$6:$B$65,MATCH(N23,Services!$O$6:$O$65,0)))</f>
        <v/>
      </c>
      <c r="C23" s="17">
        <f>IF(N23="","",INDEX(Services!$C$6:$C$65,MATCH(N23,Services!$O$6:$O$65,0)))</f>
        <v/>
      </c>
      <c r="D23" s="18">
        <f>IF(N23="","",INT(N23))</f>
        <v/>
      </c>
      <c r="E23" s="19">
        <f>IF(N23="","",INDEX(Services!$J$6:$J$65,MATCH(N23,Services!$O$6:$O$65,0)))</f>
        <v/>
      </c>
      <c r="F23" s="20">
        <f>IF(N23="","",INDEX(Services!$L$6:$L$65,MATCH(N23,Services!$O$6:$O$65,0)))</f>
        <v/>
      </c>
      <c r="G23" s="1" t="n"/>
      <c r="H23" s="1" t="n"/>
      <c r="I23" s="10">
        <f>IF(O23="","",INDEX(Documents!$B$6:$B$45,MATCH(O23,Documents!$J$6:$J$45,0)))</f>
        <v/>
      </c>
      <c r="J23" s="17">
        <f>IF(O23="","",INDEX(Documents!$C$6:$C$45,MATCH(O23,Documents!$J$6:$J$45,0)))</f>
        <v/>
      </c>
      <c r="K23" s="18">
        <f>IF(O23="","",INT(O23))</f>
        <v/>
      </c>
      <c r="L23" s="20">
        <f>IF(O23="","",INDEX(Documents!$G$6:$G$45,MATCH(O23,Documents!$J$6:$J$45,0)))</f>
        <v/>
      </c>
      <c r="M23" s="1" t="n"/>
      <c r="N23" s="1">
        <f>IFERROR(SMALL(Services!$O$6:$O$65,6),"")</f>
        <v/>
      </c>
      <c r="O23">
        <f>IFERROR(SMALL(Documents!$J$6:$J$45,6),"")</f>
        <v/>
      </c>
    </row>
    <row r="24">
      <c r="A24" s="1" t="n"/>
      <c r="B24" s="10">
        <f>IF(N24="","",INDEX(Services!$B$6:$B$65,MATCH(N24,Services!$O$6:$O$65,0)))</f>
        <v/>
      </c>
      <c r="C24" s="17">
        <f>IF(N24="","",INDEX(Services!$C$6:$C$65,MATCH(N24,Services!$O$6:$O$65,0)))</f>
        <v/>
      </c>
      <c r="D24" s="18">
        <f>IF(N24="","",INT(N24))</f>
        <v/>
      </c>
      <c r="E24" s="19">
        <f>IF(N24="","",INDEX(Services!$J$6:$J$65,MATCH(N24,Services!$O$6:$O$65,0)))</f>
        <v/>
      </c>
      <c r="F24" s="20">
        <f>IF(N24="","",INDEX(Services!$L$6:$L$65,MATCH(N24,Services!$O$6:$O$65,0)))</f>
        <v/>
      </c>
      <c r="G24" s="1" t="n"/>
      <c r="H24" s="1" t="n"/>
      <c r="I24" s="10">
        <f>IF(O24="","",INDEX(Documents!$B$6:$B$45,MATCH(O24,Documents!$J$6:$J$45,0)))</f>
        <v/>
      </c>
      <c r="J24" s="17">
        <f>IF(O24="","",INDEX(Documents!$C$6:$C$45,MATCH(O24,Documents!$J$6:$J$45,0)))</f>
        <v/>
      </c>
      <c r="K24" s="18">
        <f>IF(O24="","",INT(O24))</f>
        <v/>
      </c>
      <c r="L24" s="20">
        <f>IF(O24="","",INDEX(Documents!$G$6:$G$45,MATCH(O24,Documents!$J$6:$J$45,0)))</f>
        <v/>
      </c>
      <c r="M24" s="1" t="n"/>
      <c r="N24" s="1">
        <f>IFERROR(SMALL(Services!$O$6:$O$65,7),"")</f>
        <v/>
      </c>
      <c r="O24">
        <f>IFERROR(SMALL(Documents!$J$6:$J$45,7),"")</f>
        <v/>
      </c>
    </row>
    <row r="25">
      <c r="A25" s="1" t="n"/>
      <c r="B25" s="10">
        <f>IF(N25="","",INDEX(Services!$B$6:$B$65,MATCH(N25,Services!$O$6:$O$65,0)))</f>
        <v/>
      </c>
      <c r="C25" s="17">
        <f>IF(N25="","",INDEX(Services!$C$6:$C$65,MATCH(N25,Services!$O$6:$O$65,0)))</f>
        <v/>
      </c>
      <c r="D25" s="18">
        <f>IF(N25="","",INT(N25))</f>
        <v/>
      </c>
      <c r="E25" s="19">
        <f>IF(N25="","",INDEX(Services!$J$6:$J$65,MATCH(N25,Services!$O$6:$O$65,0)))</f>
        <v/>
      </c>
      <c r="F25" s="20">
        <f>IF(N25="","",INDEX(Services!$L$6:$L$65,MATCH(N25,Services!$O$6:$O$65,0)))</f>
        <v/>
      </c>
      <c r="G25" s="1" t="n"/>
      <c r="H25" s="1" t="n"/>
      <c r="I25" s="10">
        <f>IF(O25="","",INDEX(Documents!$B$6:$B$45,MATCH(O25,Documents!$J$6:$J$45,0)))</f>
        <v/>
      </c>
      <c r="J25" s="17">
        <f>IF(O25="","",INDEX(Documents!$C$6:$C$45,MATCH(O25,Documents!$J$6:$J$45,0)))</f>
        <v/>
      </c>
      <c r="K25" s="18">
        <f>IF(O25="","",INT(O25))</f>
        <v/>
      </c>
      <c r="L25" s="20">
        <f>IF(O25="","",INDEX(Documents!$G$6:$G$45,MATCH(O25,Documents!$J$6:$J$45,0)))</f>
        <v/>
      </c>
      <c r="M25" s="1" t="n"/>
      <c r="N25" s="1">
        <f>IFERROR(SMALL(Services!$O$6:$O$65,8),"")</f>
        <v/>
      </c>
      <c r="O25">
        <f>IFERROR(SMALL(Documents!$J$6:$J$45,8),"")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30" customHeight="1">
      <c r="A28" s="1" t="n"/>
      <c r="B28" s="9" t="inlineStr">
        <is>
          <t>Month</t>
        </is>
      </c>
      <c r="C28" s="9" t="inlineStr">
        <is>
          <t>Fuel</t>
        </is>
      </c>
      <c r="D28" s="9" t="inlineStr">
        <is>
          <t>Other costs</t>
        </is>
      </c>
      <c r="E28" s="9" t="inlineStr">
        <is>
          <t>Total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21" t="inlineStr">
        <is>
          <t>Jan</t>
        </is>
      </c>
      <c r="C29" s="22">
        <f>SUMIFS(Fuel!$F$6:$F$605,Fuel!$B$6:$B$605,"&gt;="&amp;DATE(YEAR(TODAY()),1,1),Fuel!$B$6:$B$605,"&lt;="&amp;EOMONTH(DATE(YEAR(TODAY()),1,1),0))</f>
        <v/>
      </c>
      <c r="D29" s="22">
        <f>SUMIFS(Costs!$G$6:$G$505,Costs!$B$6:$B$505,"&gt;="&amp;DATE(YEAR(TODAY()),1,1),Costs!$B$6:$B$505,"&lt;="&amp;EOMONTH(DATE(YEAR(TODAY()),1,1),0))</f>
        <v/>
      </c>
      <c r="E29" s="23">
        <f>C29+D29</f>
        <v/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21" t="inlineStr">
        <is>
          <t>Feb</t>
        </is>
      </c>
      <c r="C30" s="22">
        <f>SUMIFS(Fuel!$F$6:$F$605,Fuel!$B$6:$B$605,"&gt;="&amp;DATE(YEAR(TODAY()),2,1),Fuel!$B$6:$B$605,"&lt;="&amp;EOMONTH(DATE(YEAR(TODAY()),2,1),0))</f>
        <v/>
      </c>
      <c r="D30" s="22">
        <f>SUMIFS(Costs!$G$6:$G$505,Costs!$B$6:$B$505,"&gt;="&amp;DATE(YEAR(TODAY()),2,1),Costs!$B$6:$B$505,"&lt;="&amp;EOMONTH(DATE(YEAR(TODAY()),2,1),0))</f>
        <v/>
      </c>
      <c r="E30" s="23">
        <f>C30+D30</f>
        <v/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21" t="inlineStr">
        <is>
          <t>Mar</t>
        </is>
      </c>
      <c r="C31" s="22">
        <f>SUMIFS(Fuel!$F$6:$F$605,Fuel!$B$6:$B$605,"&gt;="&amp;DATE(YEAR(TODAY()),3,1),Fuel!$B$6:$B$605,"&lt;="&amp;EOMONTH(DATE(YEAR(TODAY()),3,1),0))</f>
        <v/>
      </c>
      <c r="D31" s="22">
        <f>SUMIFS(Costs!$G$6:$G$505,Costs!$B$6:$B$505,"&gt;="&amp;DATE(YEAR(TODAY()),3,1),Costs!$B$6:$B$505,"&lt;="&amp;EOMONTH(DATE(YEAR(TODAY()),3,1),0))</f>
        <v/>
      </c>
      <c r="E31" s="23">
        <f>C31+D31</f>
        <v/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21" t="inlineStr">
        <is>
          <t>Apr</t>
        </is>
      </c>
      <c r="C32" s="22">
        <f>SUMIFS(Fuel!$F$6:$F$605,Fuel!$B$6:$B$605,"&gt;="&amp;DATE(YEAR(TODAY()),4,1),Fuel!$B$6:$B$605,"&lt;="&amp;EOMONTH(DATE(YEAR(TODAY()),4,1),0))</f>
        <v/>
      </c>
      <c r="D32" s="22">
        <f>SUMIFS(Costs!$G$6:$G$505,Costs!$B$6:$B$505,"&gt;="&amp;DATE(YEAR(TODAY()),4,1),Costs!$B$6:$B$505,"&lt;="&amp;EOMONTH(DATE(YEAR(TODAY()),4,1),0))</f>
        <v/>
      </c>
      <c r="E32" s="23">
        <f>C32+D32</f>
        <v/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21" t="inlineStr">
        <is>
          <t>May</t>
        </is>
      </c>
      <c r="C33" s="22">
        <f>SUMIFS(Fuel!$F$6:$F$605,Fuel!$B$6:$B$605,"&gt;="&amp;DATE(YEAR(TODAY()),5,1),Fuel!$B$6:$B$605,"&lt;="&amp;EOMONTH(DATE(YEAR(TODAY()),5,1),0))</f>
        <v/>
      </c>
      <c r="D33" s="22">
        <f>SUMIFS(Costs!$G$6:$G$505,Costs!$B$6:$B$505,"&gt;="&amp;DATE(YEAR(TODAY()),5,1),Costs!$B$6:$B$505,"&lt;="&amp;EOMONTH(DATE(YEAR(TODAY()),5,1),0))</f>
        <v/>
      </c>
      <c r="E33" s="23">
        <f>C33+D33</f>
        <v/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21" t="inlineStr">
        <is>
          <t>Jun</t>
        </is>
      </c>
      <c r="C34" s="22">
        <f>SUMIFS(Fuel!$F$6:$F$605,Fuel!$B$6:$B$605,"&gt;="&amp;DATE(YEAR(TODAY()),6,1),Fuel!$B$6:$B$605,"&lt;="&amp;EOMONTH(DATE(YEAR(TODAY()),6,1),0))</f>
        <v/>
      </c>
      <c r="D34" s="22">
        <f>SUMIFS(Costs!$G$6:$G$505,Costs!$B$6:$B$505,"&gt;="&amp;DATE(YEAR(TODAY()),6,1),Costs!$B$6:$B$505,"&lt;="&amp;EOMONTH(DATE(YEAR(TODAY()),6,1),0))</f>
        <v/>
      </c>
      <c r="E34" s="23">
        <f>C34+D34</f>
        <v/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21" t="inlineStr">
        <is>
          <t>Jul</t>
        </is>
      </c>
      <c r="C35" s="22">
        <f>SUMIFS(Fuel!$F$6:$F$605,Fuel!$B$6:$B$605,"&gt;="&amp;DATE(YEAR(TODAY()),7,1),Fuel!$B$6:$B$605,"&lt;="&amp;EOMONTH(DATE(YEAR(TODAY()),7,1),0))</f>
        <v/>
      </c>
      <c r="D35" s="22">
        <f>SUMIFS(Costs!$G$6:$G$505,Costs!$B$6:$B$505,"&gt;="&amp;DATE(YEAR(TODAY()),7,1),Costs!$B$6:$B$505,"&lt;="&amp;EOMONTH(DATE(YEAR(TODAY()),7,1),0))</f>
        <v/>
      </c>
      <c r="E35" s="23">
        <f>C35+D35</f>
        <v/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21" t="inlineStr">
        <is>
          <t>Aug</t>
        </is>
      </c>
      <c r="C36" s="22">
        <f>SUMIFS(Fuel!$F$6:$F$605,Fuel!$B$6:$B$605,"&gt;="&amp;DATE(YEAR(TODAY()),8,1),Fuel!$B$6:$B$605,"&lt;="&amp;EOMONTH(DATE(YEAR(TODAY()),8,1),0))</f>
        <v/>
      </c>
      <c r="D36" s="22">
        <f>SUMIFS(Costs!$G$6:$G$505,Costs!$B$6:$B$505,"&gt;="&amp;DATE(YEAR(TODAY()),8,1),Costs!$B$6:$B$505,"&lt;="&amp;EOMONTH(DATE(YEAR(TODAY()),8,1),0))</f>
        <v/>
      </c>
      <c r="E36" s="23">
        <f>C36+D36</f>
        <v/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21" t="inlineStr">
        <is>
          <t>Sep</t>
        </is>
      </c>
      <c r="C37" s="22">
        <f>SUMIFS(Fuel!$F$6:$F$605,Fuel!$B$6:$B$605,"&gt;="&amp;DATE(YEAR(TODAY()),9,1),Fuel!$B$6:$B$605,"&lt;="&amp;EOMONTH(DATE(YEAR(TODAY()),9,1),0))</f>
        <v/>
      </c>
      <c r="D37" s="22">
        <f>SUMIFS(Costs!$G$6:$G$505,Costs!$B$6:$B$505,"&gt;="&amp;DATE(YEAR(TODAY()),9,1),Costs!$B$6:$B$505,"&lt;="&amp;EOMONTH(DATE(YEAR(TODAY()),9,1),0))</f>
        <v/>
      </c>
      <c r="E37" s="23">
        <f>C37+D37</f>
        <v/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21" t="inlineStr">
        <is>
          <t>Oct</t>
        </is>
      </c>
      <c r="C38" s="22">
        <f>SUMIFS(Fuel!$F$6:$F$605,Fuel!$B$6:$B$605,"&gt;="&amp;DATE(YEAR(TODAY()),10,1),Fuel!$B$6:$B$605,"&lt;="&amp;EOMONTH(DATE(YEAR(TODAY()),10,1),0))</f>
        <v/>
      </c>
      <c r="D38" s="22">
        <f>SUMIFS(Costs!$G$6:$G$505,Costs!$B$6:$B$505,"&gt;="&amp;DATE(YEAR(TODAY()),10,1),Costs!$B$6:$B$505,"&lt;="&amp;EOMONTH(DATE(YEAR(TODAY()),10,1),0))</f>
        <v/>
      </c>
      <c r="E38" s="23">
        <f>C38+D38</f>
        <v/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21" t="inlineStr">
        <is>
          <t>Nov</t>
        </is>
      </c>
      <c r="C39" s="22">
        <f>SUMIFS(Fuel!$F$6:$F$605,Fuel!$B$6:$B$605,"&gt;="&amp;DATE(YEAR(TODAY()),11,1),Fuel!$B$6:$B$605,"&lt;="&amp;EOMONTH(DATE(YEAR(TODAY()),11,1),0))</f>
        <v/>
      </c>
      <c r="D39" s="22">
        <f>SUMIFS(Costs!$G$6:$G$505,Costs!$B$6:$B$505,"&gt;="&amp;DATE(YEAR(TODAY()),11,1),Costs!$B$6:$B$505,"&lt;="&amp;EOMONTH(DATE(YEAR(TODAY()),11,1),0))</f>
        <v/>
      </c>
      <c r="E39" s="23">
        <f>C39+D39</f>
        <v/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21" t="inlineStr">
        <is>
          <t>Dec</t>
        </is>
      </c>
      <c r="C40" s="22">
        <f>SUMIFS(Fuel!$F$6:$F$605,Fuel!$B$6:$B$605,"&gt;="&amp;DATE(YEAR(TODAY()),12,1),Fuel!$B$6:$B$605,"&lt;="&amp;EOMONTH(DATE(YEAR(TODAY()),12,1),0))</f>
        <v/>
      </c>
      <c r="D40" s="22">
        <f>SUMIFS(Costs!$G$6:$G$505,Costs!$B$6:$B$505,"&gt;="&amp;DATE(YEAR(TODAY()),12,1),Costs!$B$6:$B$505,"&lt;="&amp;EOMONTH(DATE(YEAR(TODAY()),12,1),0))</f>
        <v/>
      </c>
      <c r="E40" s="23">
        <f>C40+D40</f>
        <v/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2">
    <mergeCell ref="I17:J17"/>
    <mergeCell ref="B17:C17"/>
  </mergeCells>
  <conditionalFormatting sqref="F18:F25">
    <cfRule type="expression" priority="1" dxfId="0">
      <formula>F18="Overdue"</formula>
    </cfRule>
    <cfRule type="expression" priority="2" dxfId="1">
      <formula>F18="Due soon"</formula>
    </cfRule>
  </conditionalFormatting>
  <conditionalFormatting sqref="L18:L25">
    <cfRule type="expression" priority="3" dxfId="0">
      <formula>L18="Ended"</formula>
    </cfRule>
  </conditionalFormatting>
  <conditionalFormatting sqref="L17:L24">
    <cfRule type="expression" priority="4" dxfId="1">
      <formula>LEFT(L18,4)="Ends"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7" customWidth="1" min="4" max="4"/>
    <col width="12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Cars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Each car once, with the odometer on the day you start the file. The rest comes from the other tabs.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9" t="inlineStr">
        <is>
          <t>Car</t>
        </is>
      </c>
      <c r="C5" s="9" t="inlineStr">
        <is>
          <t>Make and model</t>
        </is>
      </c>
      <c r="D5" s="9" t="inlineStr">
        <is>
          <t>Year</t>
        </is>
      </c>
      <c r="E5" s="9" t="inlineStr">
        <is>
          <t>Plate</t>
        </is>
      </c>
      <c r="F5" s="9" t="inlineStr">
        <is>
          <t>Fuel</t>
        </is>
      </c>
      <c r="G5" s="9" t="inlineStr">
        <is>
          <t>Odometer at start</t>
        </is>
      </c>
      <c r="H5" s="9" t="inlineStr">
        <is>
          <t>Start date</t>
        </is>
      </c>
      <c r="I5" s="9" t="inlineStr">
        <is>
          <t>Odometer now</t>
        </is>
      </c>
      <c r="J5" s="9">
        <f>Settings!$C$4&amp;" a day"</f>
        <v/>
      </c>
      <c r="K5" s="9">
        <f>Settings!$C$5&amp;" per 100 "&amp;Settings!$C$4</f>
        <v/>
      </c>
      <c r="L5" s="1" t="n"/>
    </row>
    <row r="6">
      <c r="A6" s="1" t="n"/>
      <c r="B6" s="24" t="inlineStr">
        <is>
          <t>Blue hatchback</t>
        </is>
      </c>
      <c r="C6" s="25" t="inlineStr">
        <is>
          <t>Hatchback, 1.2 petrol</t>
        </is>
      </c>
      <c r="D6" s="26" t="n">
        <v>2019</v>
      </c>
      <c r="E6" s="25" t="inlineStr">
        <is>
          <t>AB19 CDE</t>
        </is>
      </c>
      <c r="F6" s="27" t="inlineStr">
        <is>
          <t>Petrol</t>
        </is>
      </c>
      <c r="G6" s="28" t="n">
        <v>41200</v>
      </c>
      <c r="H6" s="29" t="n">
        <v>45993</v>
      </c>
      <c r="I6" s="30">
        <f>IF(B6="","",MAX(N(G6),SUMIFS(Fuel!$D$6:$D$605,Fuel!$C$6:$C$605,$B6,Fuel!$O$6:$O$605,0),SUMIFS(Costs!$F$6:$F$505,Costs!$C$6:$C$505,$B6,Costs!$J$6:$J$505,0)))</f>
        <v/>
      </c>
      <c r="J6" s="12">
        <f>IF(OR(B6="",N(G6)=0,H6="",SUMIFS(Fuel!$B$6:$B$605,Fuel!$C$6:$C$605,$B6,Fuel!$O$6:$O$605,0)&lt;=H6),"",(SUMIFS(Fuel!$D$6:$D$605,Fuel!$C$6:$C$605,$B6,Fuel!$O$6:$O$605,0)-G6)/(SUMIFS(Fuel!$B$6:$B$605,Fuel!$C$6:$C$605,$B6,Fuel!$O$6:$O$605,0)-H6))</f>
        <v/>
      </c>
      <c r="K6" s="12">
        <f>IF(B6="","",IFERROR(SUMIFS(Fuel!$J$6:$J$605,Fuel!$C$6:$C$605,$B6)/SUMIFS(Fuel!$I$6:$I$605,Fuel!$C$6:$C$605,$B6)*100,""))</f>
        <v/>
      </c>
      <c r="L6" s="1" t="n"/>
    </row>
    <row r="7">
      <c r="A7" s="1" t="n"/>
      <c r="B7" s="24" t="inlineStr">
        <is>
          <t>Grey van</t>
        </is>
      </c>
      <c r="C7" s="25" t="inlineStr">
        <is>
          <t>Small van, 1.6 diesel</t>
        </is>
      </c>
      <c r="D7" s="26" t="n">
        <v>2016</v>
      </c>
      <c r="E7" s="25" t="inlineStr">
        <is>
          <t>FG16 HJK</t>
        </is>
      </c>
      <c r="F7" s="27" t="inlineStr">
        <is>
          <t>Diesel</t>
        </is>
      </c>
      <c r="G7" s="28" t="n">
        <v>118500</v>
      </c>
      <c r="H7" s="29" t="n">
        <v>45993</v>
      </c>
      <c r="I7" s="30">
        <f>IF(B7="","",MAX(N(G7),SUMIFS(Fuel!$D$6:$D$605,Fuel!$C$6:$C$605,$B7,Fuel!$O$6:$O$605,0),SUMIFS(Costs!$F$6:$F$505,Costs!$C$6:$C$505,$B7,Costs!$J$6:$J$505,0)))</f>
        <v/>
      </c>
      <c r="J7" s="12">
        <f>IF(OR(B7="",N(G7)=0,H7="",SUMIFS(Fuel!$B$6:$B$605,Fuel!$C$6:$C$605,$B7,Fuel!$O$6:$O$605,0)&lt;=H7),"",(SUMIFS(Fuel!$D$6:$D$605,Fuel!$C$6:$C$605,$B7,Fuel!$O$6:$O$605,0)-G7)/(SUMIFS(Fuel!$B$6:$B$605,Fuel!$C$6:$C$605,$B7,Fuel!$O$6:$O$605,0)-H7))</f>
        <v/>
      </c>
      <c r="K7" s="12">
        <f>IF(B7="","",IFERROR(SUMIFS(Fuel!$J$6:$J$605,Fuel!$C$6:$C$605,$B7)/SUMIFS(Fuel!$I$6:$I$605,Fuel!$C$6:$C$605,$B7)*100,""))</f>
        <v/>
      </c>
      <c r="L7" s="1" t="n"/>
    </row>
    <row r="8">
      <c r="A8" s="1" t="n"/>
      <c r="B8" s="24" t="n"/>
      <c r="C8" s="25" t="n"/>
      <c r="D8" s="26" t="n"/>
      <c r="E8" s="25" t="n"/>
      <c r="F8" s="27" t="n"/>
      <c r="G8" s="28" t="n"/>
      <c r="H8" s="29" t="n"/>
      <c r="I8" s="30">
        <f>IF(B8="","",MAX(N(G8),SUMIFS(Fuel!$D$6:$D$605,Fuel!$C$6:$C$605,$B8,Fuel!$O$6:$O$605,0),SUMIFS(Costs!$F$6:$F$505,Costs!$C$6:$C$505,$B8,Costs!$J$6:$J$505,0)))</f>
        <v/>
      </c>
      <c r="J8" s="12">
        <f>IF(OR(B8="",N(G8)=0,H8="",SUMIFS(Fuel!$B$6:$B$605,Fuel!$C$6:$C$605,$B8,Fuel!$O$6:$O$605,0)&lt;=H8),"",(SUMIFS(Fuel!$D$6:$D$605,Fuel!$C$6:$C$605,$B8,Fuel!$O$6:$O$605,0)-G8)/(SUMIFS(Fuel!$B$6:$B$605,Fuel!$C$6:$C$605,$B8,Fuel!$O$6:$O$605,0)-H8))</f>
        <v/>
      </c>
      <c r="K8" s="12">
        <f>IF(B8="","",IFERROR(SUMIFS(Fuel!$J$6:$J$605,Fuel!$C$6:$C$605,$B8)/SUMIFS(Fuel!$I$6:$I$605,Fuel!$C$6:$C$605,$B8)*100,""))</f>
        <v/>
      </c>
      <c r="L8" s="1" t="n"/>
    </row>
    <row r="9">
      <c r="A9" s="1" t="n"/>
      <c r="B9" s="24" t="n"/>
      <c r="C9" s="25" t="n"/>
      <c r="D9" s="26" t="n"/>
      <c r="E9" s="25" t="n"/>
      <c r="F9" s="27" t="n"/>
      <c r="G9" s="28" t="n"/>
      <c r="H9" s="29" t="n"/>
      <c r="I9" s="30">
        <f>IF(B9="","",MAX(N(G9),SUMIFS(Fuel!$D$6:$D$605,Fuel!$C$6:$C$605,$B9,Fuel!$O$6:$O$605,0),SUMIFS(Costs!$F$6:$F$505,Costs!$C$6:$C$505,$B9,Costs!$J$6:$J$505,0)))</f>
        <v/>
      </c>
      <c r="J9" s="12">
        <f>IF(OR(B9="",N(G9)=0,H9="",SUMIFS(Fuel!$B$6:$B$605,Fuel!$C$6:$C$605,$B9,Fuel!$O$6:$O$605,0)&lt;=H9),"",(SUMIFS(Fuel!$D$6:$D$605,Fuel!$C$6:$C$605,$B9,Fuel!$O$6:$O$605,0)-G9)/(SUMIFS(Fuel!$B$6:$B$605,Fuel!$C$6:$C$605,$B9,Fuel!$O$6:$O$605,0)-H9))</f>
        <v/>
      </c>
      <c r="K9" s="12">
        <f>IF(B9="","",IFERROR(SUMIFS(Fuel!$J$6:$J$605,Fuel!$C$6:$C$605,$B9)/SUMIFS(Fuel!$I$6:$I$605,Fuel!$C$6:$C$605,$B9)*100,""))</f>
        <v/>
      </c>
      <c r="L9" s="1" t="n"/>
    </row>
    <row r="10">
      <c r="A10" s="1" t="n"/>
      <c r="B10" s="24" t="n"/>
      <c r="C10" s="25" t="n"/>
      <c r="D10" s="26" t="n"/>
      <c r="E10" s="25" t="n"/>
      <c r="F10" s="27" t="n"/>
      <c r="G10" s="28" t="n"/>
      <c r="H10" s="29" t="n"/>
      <c r="I10" s="30">
        <f>IF(B10="","",MAX(N(G10),SUMIFS(Fuel!$D$6:$D$605,Fuel!$C$6:$C$605,$B10,Fuel!$O$6:$O$605,0),SUMIFS(Costs!$F$6:$F$505,Costs!$C$6:$C$505,$B10,Costs!$J$6:$J$505,0)))</f>
        <v/>
      </c>
      <c r="J10" s="12">
        <f>IF(OR(B10="",N(G10)=0,H10="",SUMIFS(Fuel!$B$6:$B$605,Fuel!$C$6:$C$605,$B10,Fuel!$O$6:$O$605,0)&lt;=H10),"",(SUMIFS(Fuel!$D$6:$D$605,Fuel!$C$6:$C$605,$B10,Fuel!$O$6:$O$605,0)-G10)/(SUMIFS(Fuel!$B$6:$B$605,Fuel!$C$6:$C$605,$B10,Fuel!$O$6:$O$605,0)-H10))</f>
        <v/>
      </c>
      <c r="K10" s="12">
        <f>IF(B10="","",IFERROR(SUMIFS(Fuel!$J$6:$J$605,Fuel!$C$6:$C$605,$B10)/SUMIFS(Fuel!$I$6:$I$605,Fuel!$C$6:$C$605,$B10)*100,""))</f>
        <v/>
      </c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5" t="inlineStr">
        <is>
          <t>Odometer now is the highest reading in Fuel and Costs. Distance a day is the average since the start date.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</sheetData>
  <dataValidations count="1">
    <dataValidation sqref="F6:F10" showDropDown="0" showInputMessage="0" showErrorMessage="0" allowBlank="1" type="list">
      <formula1>"Petrol,Diesel,Electric,Hybrid,Gas,Other"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10" customWidth="1" min="4" max="4"/>
    <col width="10" customWidth="1" min="5" max="5"/>
    <col width="11" customWidth="1" min="6" max="6"/>
    <col width="13" customWidth="1" min="7" max="7"/>
    <col width="11" customWidth="1" min="8" max="8"/>
    <col width="13" customWidth="1" min="9" max="9"/>
    <col width="11" customWidth="1" min="10" max="10"/>
    <col width="14" customWidth="1" min="11" max="11"/>
    <col width="12" customWidth="1" min="12" max="12"/>
    <col width="26" customWidth="1" min="13" max="13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Services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What each car needs, every so far or every so many months, whichever comes first. When it is done, change the last odometer and date.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9" t="inlineStr">
        <is>
          <t>Car</t>
        </is>
      </c>
      <c r="C5" s="9" t="inlineStr">
        <is>
          <t>Service</t>
        </is>
      </c>
      <c r="D5" s="9">
        <f>"Every ("&amp;Settings!$C$4&amp;")"</f>
        <v/>
      </c>
      <c r="E5" s="9" t="inlineStr">
        <is>
          <t>Every (months)</t>
        </is>
      </c>
      <c r="F5" s="9" t="inlineStr">
        <is>
          <t>Last odometer</t>
        </is>
      </c>
      <c r="G5" s="9" t="inlineStr">
        <is>
          <t>Last date</t>
        </is>
      </c>
      <c r="H5" s="9" t="inlineStr">
        <is>
          <t>Next odometer</t>
        </is>
      </c>
      <c r="I5" s="9" t="inlineStr">
        <is>
          <t>Next date</t>
        </is>
      </c>
      <c r="J5" s="9">
        <f>"Left ("&amp;Settings!$C$4&amp;")"</f>
        <v/>
      </c>
      <c r="K5" s="9" t="inlineStr">
        <is>
          <t>About</t>
        </is>
      </c>
      <c r="L5" s="9" t="inlineStr">
        <is>
          <t>Status</t>
        </is>
      </c>
      <c r="M5" s="9" t="inlineStr">
        <is>
          <t>Notes</t>
        </is>
      </c>
      <c r="N5" s="1" t="n"/>
    </row>
    <row r="6">
      <c r="A6" s="1" t="n"/>
      <c r="B6" s="24" t="inlineStr">
        <is>
          <t>Blue hatchback</t>
        </is>
      </c>
      <c r="C6" s="25" t="inlineStr">
        <is>
          <t>Oil and filter</t>
        </is>
      </c>
      <c r="D6" s="28" t="n">
        <v>15000</v>
      </c>
      <c r="E6" s="26" t="n">
        <v>12</v>
      </c>
      <c r="F6" s="28" t="n">
        <v>38242</v>
      </c>
      <c r="G6" s="29" t="n">
        <v>46043</v>
      </c>
      <c r="H6" s="11">
        <f>IF(OR(N(D6)=0,F6=""),"",F6+D6)</f>
        <v/>
      </c>
      <c r="I6" s="31">
        <f>IF(OR(N(E6)=0,G6=""),"",EDATE(G6,E6))</f>
        <v/>
      </c>
      <c r="J6" s="19">
        <f>IF(OR(H6="",ISNA(MATCH($B6,Cars!$B$6:$B$10,0))),"",H6-INDEX(Cars!$I$6:$I$10,MATCH($B6,Cars!$B$6:$B$10,0)))</f>
        <v/>
      </c>
      <c r="K6" s="32">
        <f>IF(AND(I6="",J6=""),"",IF(IF(OR(J6="",IFERROR(N(INDEX(Cars!$J$6:$J$10,MATCH($B6,Cars!$B$6:$B$10,0))),0)&lt;=0),"",TODAY()+INT(J6/IFERROR(N(INDEX(Cars!$J$6:$J$10,MATCH($B6,Cars!$B$6:$B$10,0))),0)))="",I6,IF(I6="",IF(OR(J6="",IFERROR(N(INDEX(Cars!$J$6:$J$10,MATCH($B6,Cars!$B$6:$B$10,0))),0)&lt;=0),"",TODAY()+INT(J6/IFERROR(N(INDEX(Cars!$J$6:$J$10,MATCH($B6,Cars!$B$6:$B$10,0))),0))),MIN(I6,IF(OR(J6="",IFERROR(N(INDEX(Cars!$J$6:$J$10,MATCH($B6,Cars!$B$6:$B$10,0))),0)&lt;=0),"",TODAY()+INT(J6/IFERROR(N(INDEX(Cars!$J$6:$J$10,MATCH($B6,Cars!$B$6:$B$10,0))),0)))))))</f>
        <v/>
      </c>
      <c r="L6" s="20">
        <f>IF(K6="","",IF(OR(K6&lt;TODAY(),AND(ISNUMBER(J6),J6&lt;0)),"Overdue",IF(OR(K6-TODAY()&lt;=N(Settings!$C$7),AND(ISNUMBER(J6),J6&lt;=N(Settings!$C$6))),"Due soon","OK")))</f>
        <v/>
      </c>
      <c r="M6" s="25" t="n"/>
      <c r="N6" s="1" t="n"/>
      <c r="O6">
        <f>IF(OR(L6="",L6="OK"),"",K6+ROW()/10000000)</f>
        <v/>
      </c>
    </row>
    <row r="7">
      <c r="A7" s="1" t="n"/>
      <c r="B7" s="24" t="inlineStr">
        <is>
          <t>Blue hatchback</t>
        </is>
      </c>
      <c r="C7" s="25" t="inlineStr">
        <is>
          <t>Tyre rotation</t>
        </is>
      </c>
      <c r="D7" s="28" t="n">
        <v>10000</v>
      </c>
      <c r="E7" s="26" t="n">
        <v>12</v>
      </c>
      <c r="F7" s="28" t="n">
        <v>45942</v>
      </c>
      <c r="G7" s="29" t="n">
        <v>46123</v>
      </c>
      <c r="H7" s="11">
        <f>IF(OR(N(D7)=0,F7=""),"",F7+D7)</f>
        <v/>
      </c>
      <c r="I7" s="31">
        <f>IF(OR(N(E7)=0,G7=""),"",EDATE(G7,E7))</f>
        <v/>
      </c>
      <c r="J7" s="19">
        <f>IF(OR(H7="",ISNA(MATCH($B7,Cars!$B$6:$B$10,0))),"",H7-INDEX(Cars!$I$6:$I$10,MATCH($B7,Cars!$B$6:$B$10,0)))</f>
        <v/>
      </c>
      <c r="K7" s="32">
        <f>IF(AND(I7="",J7=""),"",IF(IF(OR(J7="",IFERROR(N(INDEX(Cars!$J$6:$J$10,MATCH($B7,Cars!$B$6:$B$10,0))),0)&lt;=0),"",TODAY()+INT(J7/IFERROR(N(INDEX(Cars!$J$6:$J$10,MATCH($B7,Cars!$B$6:$B$10,0))),0)))="",I7,IF(I7="",IF(OR(J7="",IFERROR(N(INDEX(Cars!$J$6:$J$10,MATCH($B7,Cars!$B$6:$B$10,0))),0)&lt;=0),"",TODAY()+INT(J7/IFERROR(N(INDEX(Cars!$J$6:$J$10,MATCH($B7,Cars!$B$6:$B$10,0))),0))),MIN(I7,IF(OR(J7="",IFERROR(N(INDEX(Cars!$J$6:$J$10,MATCH($B7,Cars!$B$6:$B$10,0))),0)&lt;=0),"",TODAY()+INT(J7/IFERROR(N(INDEX(Cars!$J$6:$J$10,MATCH($B7,Cars!$B$6:$B$10,0))),0)))))))</f>
        <v/>
      </c>
      <c r="L7" s="20">
        <f>IF(K7="","",IF(OR(K7&lt;TODAY(),AND(ISNUMBER(J7),J7&lt;0)),"Overdue",IF(OR(K7-TODAY()&lt;=N(Settings!$C$7),AND(ISNUMBER(J7),J7&lt;=N(Settings!$C$6))),"Due soon","OK")))</f>
        <v/>
      </c>
      <c r="M7" s="25" t="n"/>
      <c r="N7" s="1" t="n"/>
      <c r="O7">
        <f>IF(OR(L7="",L7="OK"),"",K7+ROW()/10000000)</f>
        <v/>
      </c>
    </row>
    <row r="8">
      <c r="A8" s="1" t="n"/>
      <c r="B8" s="24" t="inlineStr">
        <is>
          <t>Blue hatchback</t>
        </is>
      </c>
      <c r="C8" s="25" t="inlineStr">
        <is>
          <t>Brakes check</t>
        </is>
      </c>
      <c r="D8" s="28" t="n">
        <v>20000</v>
      </c>
      <c r="E8" s="26" t="n">
        <v>24</v>
      </c>
      <c r="F8" s="28" t="n">
        <v>44142</v>
      </c>
      <c r="G8" s="29" t="n">
        <v>45893</v>
      </c>
      <c r="H8" s="11">
        <f>IF(OR(N(D8)=0,F8=""),"",F8+D8)</f>
        <v/>
      </c>
      <c r="I8" s="31">
        <f>IF(OR(N(E8)=0,G8=""),"",EDATE(G8,E8))</f>
        <v/>
      </c>
      <c r="J8" s="19">
        <f>IF(OR(H8="",ISNA(MATCH($B8,Cars!$B$6:$B$10,0))),"",H8-INDEX(Cars!$I$6:$I$10,MATCH($B8,Cars!$B$6:$B$10,0)))</f>
        <v/>
      </c>
      <c r="K8" s="32">
        <f>IF(AND(I8="",J8=""),"",IF(IF(OR(J8="",IFERROR(N(INDEX(Cars!$J$6:$J$10,MATCH($B8,Cars!$B$6:$B$10,0))),0)&lt;=0),"",TODAY()+INT(J8/IFERROR(N(INDEX(Cars!$J$6:$J$10,MATCH($B8,Cars!$B$6:$B$10,0))),0)))="",I8,IF(I8="",IF(OR(J8="",IFERROR(N(INDEX(Cars!$J$6:$J$10,MATCH($B8,Cars!$B$6:$B$10,0))),0)&lt;=0),"",TODAY()+INT(J8/IFERROR(N(INDEX(Cars!$J$6:$J$10,MATCH($B8,Cars!$B$6:$B$10,0))),0))),MIN(I8,IF(OR(J8="",IFERROR(N(INDEX(Cars!$J$6:$J$10,MATCH($B8,Cars!$B$6:$B$10,0))),0)&lt;=0),"",TODAY()+INT(J8/IFERROR(N(INDEX(Cars!$J$6:$J$10,MATCH($B8,Cars!$B$6:$B$10,0))),0)))))))</f>
        <v/>
      </c>
      <c r="L8" s="20">
        <f>IF(K8="","",IF(OR(K8&lt;TODAY(),AND(ISNUMBER(J8),J8&lt;0)),"Overdue",IF(OR(K8-TODAY()&lt;=N(Settings!$C$7),AND(ISNUMBER(J8),J8&lt;=N(Settings!$C$6))),"Due soon","OK")))</f>
        <v/>
      </c>
      <c r="M8" s="25" t="n"/>
      <c r="N8" s="1" t="n"/>
      <c r="O8">
        <f>IF(OR(L8="",L8="OK"),"",K8+ROW()/10000000)</f>
        <v/>
      </c>
    </row>
    <row r="9">
      <c r="A9" s="1" t="n"/>
      <c r="B9" s="24" t="inlineStr">
        <is>
          <t>Blue hatchback</t>
        </is>
      </c>
      <c r="C9" s="25" t="inlineStr">
        <is>
          <t>Air filter</t>
        </is>
      </c>
      <c r="D9" s="28" t="n">
        <v>30000</v>
      </c>
      <c r="E9" s="26" t="n">
        <v>24</v>
      </c>
      <c r="F9" s="28" t="n">
        <v>31142</v>
      </c>
      <c r="G9" s="29" t="n">
        <v>45593</v>
      </c>
      <c r="H9" s="11">
        <f>IF(OR(N(D9)=0,F9=""),"",F9+D9)</f>
        <v/>
      </c>
      <c r="I9" s="31">
        <f>IF(OR(N(E9)=0,G9=""),"",EDATE(G9,E9))</f>
        <v/>
      </c>
      <c r="J9" s="19">
        <f>IF(OR(H9="",ISNA(MATCH($B9,Cars!$B$6:$B$10,0))),"",H9-INDEX(Cars!$I$6:$I$10,MATCH($B9,Cars!$B$6:$B$10,0)))</f>
        <v/>
      </c>
      <c r="K9" s="32">
        <f>IF(AND(I9="",J9=""),"",IF(IF(OR(J9="",IFERROR(N(INDEX(Cars!$J$6:$J$10,MATCH($B9,Cars!$B$6:$B$10,0))),0)&lt;=0),"",TODAY()+INT(J9/IFERROR(N(INDEX(Cars!$J$6:$J$10,MATCH($B9,Cars!$B$6:$B$10,0))),0)))="",I9,IF(I9="",IF(OR(J9="",IFERROR(N(INDEX(Cars!$J$6:$J$10,MATCH($B9,Cars!$B$6:$B$10,0))),0)&lt;=0),"",TODAY()+INT(J9/IFERROR(N(INDEX(Cars!$J$6:$J$10,MATCH($B9,Cars!$B$6:$B$10,0))),0))),MIN(I9,IF(OR(J9="",IFERROR(N(INDEX(Cars!$J$6:$J$10,MATCH($B9,Cars!$B$6:$B$10,0))),0)&lt;=0),"",TODAY()+INT(J9/IFERROR(N(INDEX(Cars!$J$6:$J$10,MATCH($B9,Cars!$B$6:$B$10,0))),0)))))))</f>
        <v/>
      </c>
      <c r="L9" s="20">
        <f>IF(K9="","",IF(OR(K9&lt;TODAY(),AND(ISNUMBER(J9),J9&lt;0)),"Overdue",IF(OR(K9-TODAY()&lt;=N(Settings!$C$7),AND(ISNUMBER(J9),J9&lt;=N(Settings!$C$6))),"Due soon","OK")))</f>
        <v/>
      </c>
      <c r="M9" s="25" t="n"/>
      <c r="N9" s="1" t="n"/>
      <c r="O9">
        <f>IF(OR(L9="",L9="OK"),"",K9+ROW()/10000000)</f>
        <v/>
      </c>
    </row>
    <row r="10">
      <c r="A10" s="1" t="n"/>
      <c r="B10" s="24" t="inlineStr">
        <is>
          <t>Blue hatchback</t>
        </is>
      </c>
      <c r="C10" s="25" t="inlineStr">
        <is>
          <t>Brake fluid</t>
        </is>
      </c>
      <c r="D10" s="28" t="n"/>
      <c r="E10" s="26" t="n">
        <v>24</v>
      </c>
      <c r="F10" s="28" t="n"/>
      <c r="G10" s="29" t="n">
        <v>45588</v>
      </c>
      <c r="H10" s="11">
        <f>IF(OR(N(D10)=0,F10=""),"",F10+D10)</f>
        <v/>
      </c>
      <c r="I10" s="31">
        <f>IF(OR(N(E10)=0,G10=""),"",EDATE(G10,E10))</f>
        <v/>
      </c>
      <c r="J10" s="19">
        <f>IF(OR(H10="",ISNA(MATCH($B10,Cars!$B$6:$B$10,0))),"",H10-INDEX(Cars!$I$6:$I$10,MATCH($B10,Cars!$B$6:$B$10,0)))</f>
        <v/>
      </c>
      <c r="K10" s="32">
        <f>IF(AND(I10="",J10=""),"",IF(IF(OR(J10="",IFERROR(N(INDEX(Cars!$J$6:$J$10,MATCH($B10,Cars!$B$6:$B$10,0))),0)&lt;=0),"",TODAY()+INT(J10/IFERROR(N(INDEX(Cars!$J$6:$J$10,MATCH($B10,Cars!$B$6:$B$10,0))),0)))="",I10,IF(I10="",IF(OR(J10="",IFERROR(N(INDEX(Cars!$J$6:$J$10,MATCH($B10,Cars!$B$6:$B$10,0))),0)&lt;=0),"",TODAY()+INT(J10/IFERROR(N(INDEX(Cars!$J$6:$J$10,MATCH($B10,Cars!$B$6:$B$10,0))),0))),MIN(I10,IF(OR(J10="",IFERROR(N(INDEX(Cars!$J$6:$J$10,MATCH($B10,Cars!$B$6:$B$10,0))),0)&lt;=0),"",TODAY()+INT(J10/IFERROR(N(INDEX(Cars!$J$6:$J$10,MATCH($B10,Cars!$B$6:$B$10,0))),0)))))))</f>
        <v/>
      </c>
      <c r="L10" s="20">
        <f>IF(K10="","",IF(OR(K10&lt;TODAY(),AND(ISNUMBER(J10),J10&lt;0)),"Overdue",IF(OR(K10-TODAY()&lt;=N(Settings!$C$7),AND(ISNUMBER(J10),J10&lt;=N(Settings!$C$6))),"Due soon","OK")))</f>
        <v/>
      </c>
      <c r="M10" s="25" t="n"/>
      <c r="N10" s="1" t="n"/>
      <c r="O10">
        <f>IF(OR(L10="",L10="OK"),"",K10+ROW()/10000000)</f>
        <v/>
      </c>
    </row>
    <row r="11">
      <c r="A11" s="1" t="n"/>
      <c r="B11" s="24" t="inlineStr">
        <is>
          <t>Grey van</t>
        </is>
      </c>
      <c r="C11" s="25" t="inlineStr">
        <is>
          <t>Oil and filter</t>
        </is>
      </c>
      <c r="D11" s="28" t="n">
        <v>15000</v>
      </c>
      <c r="E11" s="26" t="n">
        <v>12</v>
      </c>
      <c r="F11" s="28" t="n">
        <v>119566</v>
      </c>
      <c r="G11" s="29" t="n">
        <v>45953</v>
      </c>
      <c r="H11" s="11">
        <f>IF(OR(N(D11)=0,F11=""),"",F11+D11)</f>
        <v/>
      </c>
      <c r="I11" s="31">
        <f>IF(OR(N(E11)=0,G11=""),"",EDATE(G11,E11))</f>
        <v/>
      </c>
      <c r="J11" s="19">
        <f>IF(OR(H11="",ISNA(MATCH($B11,Cars!$B$6:$B$10,0))),"",H11-INDEX(Cars!$I$6:$I$10,MATCH($B11,Cars!$B$6:$B$10,0)))</f>
        <v/>
      </c>
      <c r="K11" s="32">
        <f>IF(AND(I11="",J11=""),"",IF(IF(OR(J11="",IFERROR(N(INDEX(Cars!$J$6:$J$10,MATCH($B11,Cars!$B$6:$B$10,0))),0)&lt;=0),"",TODAY()+INT(J11/IFERROR(N(INDEX(Cars!$J$6:$J$10,MATCH($B11,Cars!$B$6:$B$10,0))),0)))="",I11,IF(I11="",IF(OR(J11="",IFERROR(N(INDEX(Cars!$J$6:$J$10,MATCH($B11,Cars!$B$6:$B$10,0))),0)&lt;=0),"",TODAY()+INT(J11/IFERROR(N(INDEX(Cars!$J$6:$J$10,MATCH($B11,Cars!$B$6:$B$10,0))),0))),MIN(I11,IF(OR(J11="",IFERROR(N(INDEX(Cars!$J$6:$J$10,MATCH($B11,Cars!$B$6:$B$10,0))),0)&lt;=0),"",TODAY()+INT(J11/IFERROR(N(INDEX(Cars!$J$6:$J$10,MATCH($B11,Cars!$B$6:$B$10,0))),0)))))))</f>
        <v/>
      </c>
      <c r="L11" s="20">
        <f>IF(K11="","",IF(OR(K11&lt;TODAY(),AND(ISNUMBER(J11),J11&lt;0)),"Overdue",IF(OR(K11-TODAY()&lt;=N(Settings!$C$7),AND(ISNUMBER(J11),J11&lt;=N(Settings!$C$6))),"Due soon","OK")))</f>
        <v/>
      </c>
      <c r="M11" s="25" t="n"/>
      <c r="N11" s="1" t="n"/>
      <c r="O11">
        <f>IF(OR(L11="",L11="OK"),"",K11+ROW()/10000000)</f>
        <v/>
      </c>
    </row>
    <row r="12">
      <c r="A12" s="1" t="n"/>
      <c r="B12" s="24" t="inlineStr">
        <is>
          <t>Grey van</t>
        </is>
      </c>
      <c r="C12" s="25" t="inlineStr">
        <is>
          <t>Timing belt</t>
        </is>
      </c>
      <c r="D12" s="28" t="n">
        <v>100000</v>
      </c>
      <c r="E12" s="26" t="n">
        <v>60</v>
      </c>
      <c r="F12" s="28" t="n">
        <v>100200</v>
      </c>
      <c r="G12" s="29" t="n">
        <v>45393</v>
      </c>
      <c r="H12" s="11">
        <f>IF(OR(N(D12)=0,F12=""),"",F12+D12)</f>
        <v/>
      </c>
      <c r="I12" s="31">
        <f>IF(OR(N(E12)=0,G12=""),"",EDATE(G12,E12))</f>
        <v/>
      </c>
      <c r="J12" s="19">
        <f>IF(OR(H12="",ISNA(MATCH($B12,Cars!$B$6:$B$10,0))),"",H12-INDEX(Cars!$I$6:$I$10,MATCH($B12,Cars!$B$6:$B$10,0)))</f>
        <v/>
      </c>
      <c r="K12" s="32">
        <f>IF(AND(I12="",J12=""),"",IF(IF(OR(J12="",IFERROR(N(INDEX(Cars!$J$6:$J$10,MATCH($B12,Cars!$B$6:$B$10,0))),0)&lt;=0),"",TODAY()+INT(J12/IFERROR(N(INDEX(Cars!$J$6:$J$10,MATCH($B12,Cars!$B$6:$B$10,0))),0)))="",I12,IF(I12="",IF(OR(J12="",IFERROR(N(INDEX(Cars!$J$6:$J$10,MATCH($B12,Cars!$B$6:$B$10,0))),0)&lt;=0),"",TODAY()+INT(J12/IFERROR(N(INDEX(Cars!$J$6:$J$10,MATCH($B12,Cars!$B$6:$B$10,0))),0))),MIN(I12,IF(OR(J12="",IFERROR(N(INDEX(Cars!$J$6:$J$10,MATCH($B12,Cars!$B$6:$B$10,0))),0)&lt;=0),"",TODAY()+INT(J12/IFERROR(N(INDEX(Cars!$J$6:$J$10,MATCH($B12,Cars!$B$6:$B$10,0))),0)))))))</f>
        <v/>
      </c>
      <c r="L12" s="20">
        <f>IF(K12="","",IF(OR(K12&lt;TODAY(),AND(ISNUMBER(J12),J12&lt;0)),"Overdue",IF(OR(K12-TODAY()&lt;=N(Settings!$C$7),AND(ISNUMBER(J12),J12&lt;=N(Settings!$C$6))),"Due soon","OK")))</f>
        <v/>
      </c>
      <c r="M12" s="25" t="n"/>
      <c r="N12" s="1" t="n"/>
      <c r="O12">
        <f>IF(OR(L12="",L12="OK"),"",K12+ROW()/10000000)</f>
        <v/>
      </c>
    </row>
    <row r="13">
      <c r="A13" s="1" t="n"/>
      <c r="B13" s="24" t="inlineStr">
        <is>
          <t>Grey van</t>
        </is>
      </c>
      <c r="C13" s="25" t="inlineStr">
        <is>
          <t>Tyres checked</t>
        </is>
      </c>
      <c r="D13" s="28" t="n">
        <v>10000</v>
      </c>
      <c r="E13" s="26" t="n">
        <v>6</v>
      </c>
      <c r="F13" s="28" t="n">
        <v>130966</v>
      </c>
      <c r="G13" s="29" t="n">
        <v>46173</v>
      </c>
      <c r="H13" s="11">
        <f>IF(OR(N(D13)=0,F13=""),"",F13+D13)</f>
        <v/>
      </c>
      <c r="I13" s="31">
        <f>IF(OR(N(E13)=0,G13=""),"",EDATE(G13,E13))</f>
        <v/>
      </c>
      <c r="J13" s="19">
        <f>IF(OR(H13="",ISNA(MATCH($B13,Cars!$B$6:$B$10,0))),"",H13-INDEX(Cars!$I$6:$I$10,MATCH($B13,Cars!$B$6:$B$10,0)))</f>
        <v/>
      </c>
      <c r="K13" s="32">
        <f>IF(AND(I13="",J13=""),"",IF(IF(OR(J13="",IFERROR(N(INDEX(Cars!$J$6:$J$10,MATCH($B13,Cars!$B$6:$B$10,0))),0)&lt;=0),"",TODAY()+INT(J13/IFERROR(N(INDEX(Cars!$J$6:$J$10,MATCH($B13,Cars!$B$6:$B$10,0))),0)))="",I13,IF(I13="",IF(OR(J13="",IFERROR(N(INDEX(Cars!$J$6:$J$10,MATCH($B13,Cars!$B$6:$B$10,0))),0)&lt;=0),"",TODAY()+INT(J13/IFERROR(N(INDEX(Cars!$J$6:$J$10,MATCH($B13,Cars!$B$6:$B$10,0))),0))),MIN(I13,IF(OR(J13="",IFERROR(N(INDEX(Cars!$J$6:$J$10,MATCH($B13,Cars!$B$6:$B$10,0))),0)&lt;=0),"",TODAY()+INT(J13/IFERROR(N(INDEX(Cars!$J$6:$J$10,MATCH($B13,Cars!$B$6:$B$10,0))),0)))))))</f>
        <v/>
      </c>
      <c r="L13" s="20">
        <f>IF(K13="","",IF(OR(K13&lt;TODAY(),AND(ISNUMBER(J13),J13&lt;0)),"Overdue",IF(OR(K13-TODAY()&lt;=N(Settings!$C$7),AND(ISNUMBER(J13),J13&lt;=N(Settings!$C$6))),"Due soon","OK")))</f>
        <v/>
      </c>
      <c r="M13" s="25" t="n"/>
      <c r="N13" s="1" t="n"/>
      <c r="O13">
        <f>IF(OR(L13="",L13="OK"),"",K13+ROW()/10000000)</f>
        <v/>
      </c>
    </row>
    <row r="14">
      <c r="A14" s="1" t="n"/>
      <c r="B14" s="24" t="inlineStr">
        <is>
          <t>Grey van</t>
        </is>
      </c>
      <c r="C14" s="25" t="inlineStr">
        <is>
          <t>Coolant</t>
        </is>
      </c>
      <c r="D14" s="28" t="n"/>
      <c r="E14" s="26" t="n">
        <v>48</v>
      </c>
      <c r="F14" s="28" t="n"/>
      <c r="G14" s="29" t="n">
        <v>44993</v>
      </c>
      <c r="H14" s="11">
        <f>IF(OR(N(D14)=0,F14=""),"",F14+D14)</f>
        <v/>
      </c>
      <c r="I14" s="31">
        <f>IF(OR(N(E14)=0,G14=""),"",EDATE(G14,E14))</f>
        <v/>
      </c>
      <c r="J14" s="19">
        <f>IF(OR(H14="",ISNA(MATCH($B14,Cars!$B$6:$B$10,0))),"",H14-INDEX(Cars!$I$6:$I$10,MATCH($B14,Cars!$B$6:$B$10,0)))</f>
        <v/>
      </c>
      <c r="K14" s="32">
        <f>IF(AND(I14="",J14=""),"",IF(IF(OR(J14="",IFERROR(N(INDEX(Cars!$J$6:$J$10,MATCH($B14,Cars!$B$6:$B$10,0))),0)&lt;=0),"",TODAY()+INT(J14/IFERROR(N(INDEX(Cars!$J$6:$J$10,MATCH($B14,Cars!$B$6:$B$10,0))),0)))="",I14,IF(I14="",IF(OR(J14="",IFERROR(N(INDEX(Cars!$J$6:$J$10,MATCH($B14,Cars!$B$6:$B$10,0))),0)&lt;=0),"",TODAY()+INT(J14/IFERROR(N(INDEX(Cars!$J$6:$J$10,MATCH($B14,Cars!$B$6:$B$10,0))),0))),MIN(I14,IF(OR(J14="",IFERROR(N(INDEX(Cars!$J$6:$J$10,MATCH($B14,Cars!$B$6:$B$10,0))),0)&lt;=0),"",TODAY()+INT(J14/IFERROR(N(INDEX(Cars!$J$6:$J$10,MATCH($B14,Cars!$B$6:$B$10,0))),0)))))))</f>
        <v/>
      </c>
      <c r="L14" s="20">
        <f>IF(K14="","",IF(OR(K14&lt;TODAY(),AND(ISNUMBER(J14),J14&lt;0)),"Overdue",IF(OR(K14-TODAY()&lt;=N(Settings!$C$7),AND(ISNUMBER(J14),J14&lt;=N(Settings!$C$6))),"Due soon","OK")))</f>
        <v/>
      </c>
      <c r="M14" s="25" t="n"/>
      <c r="N14" s="1" t="n"/>
      <c r="O14">
        <f>IF(OR(L14="",L14="OK"),"",K14+ROW()/10000000)</f>
        <v/>
      </c>
    </row>
    <row r="15">
      <c r="A15" s="1" t="n"/>
      <c r="B15" s="24" t="n"/>
      <c r="C15" s="25" t="n"/>
      <c r="D15" s="28" t="n"/>
      <c r="E15" s="26" t="n"/>
      <c r="F15" s="28" t="n"/>
      <c r="G15" s="29" t="n"/>
      <c r="H15" s="11">
        <f>IF(OR(N(D15)=0,F15=""),"",F15+D15)</f>
        <v/>
      </c>
      <c r="I15" s="31">
        <f>IF(OR(N(E15)=0,G15=""),"",EDATE(G15,E15))</f>
        <v/>
      </c>
      <c r="J15" s="19">
        <f>IF(OR(H15="",ISNA(MATCH($B15,Cars!$B$6:$B$10,0))),"",H15-INDEX(Cars!$I$6:$I$10,MATCH($B15,Cars!$B$6:$B$10,0)))</f>
        <v/>
      </c>
      <c r="K15" s="32">
        <f>IF(AND(I15="",J15=""),"",IF(IF(OR(J15="",IFERROR(N(INDEX(Cars!$J$6:$J$10,MATCH($B15,Cars!$B$6:$B$10,0))),0)&lt;=0),"",TODAY()+INT(J15/IFERROR(N(INDEX(Cars!$J$6:$J$10,MATCH($B15,Cars!$B$6:$B$10,0))),0)))="",I15,IF(I15="",IF(OR(J15="",IFERROR(N(INDEX(Cars!$J$6:$J$10,MATCH($B15,Cars!$B$6:$B$10,0))),0)&lt;=0),"",TODAY()+INT(J15/IFERROR(N(INDEX(Cars!$J$6:$J$10,MATCH($B15,Cars!$B$6:$B$10,0))),0))),MIN(I15,IF(OR(J15="",IFERROR(N(INDEX(Cars!$J$6:$J$10,MATCH($B15,Cars!$B$6:$B$10,0))),0)&lt;=0),"",TODAY()+INT(J15/IFERROR(N(INDEX(Cars!$J$6:$J$10,MATCH($B15,Cars!$B$6:$B$10,0))),0)))))))</f>
        <v/>
      </c>
      <c r="L15" s="20">
        <f>IF(K15="","",IF(OR(K15&lt;TODAY(),AND(ISNUMBER(J15),J15&lt;0)),"Overdue",IF(OR(K15-TODAY()&lt;=N(Settings!$C$7),AND(ISNUMBER(J15),J15&lt;=N(Settings!$C$6))),"Due soon","OK")))</f>
        <v/>
      </c>
      <c r="M15" s="25" t="n"/>
      <c r="N15" s="1" t="n"/>
      <c r="O15">
        <f>IF(OR(L15="",L15="OK"),"",K15+ROW()/10000000)</f>
        <v/>
      </c>
    </row>
    <row r="16">
      <c r="A16" s="1" t="n"/>
      <c r="B16" s="24" t="n"/>
      <c r="C16" s="25" t="n"/>
      <c r="D16" s="28" t="n"/>
      <c r="E16" s="26" t="n"/>
      <c r="F16" s="28" t="n"/>
      <c r="G16" s="29" t="n"/>
      <c r="H16" s="11">
        <f>IF(OR(N(D16)=0,F16=""),"",F16+D16)</f>
        <v/>
      </c>
      <c r="I16" s="31">
        <f>IF(OR(N(E16)=0,G16=""),"",EDATE(G16,E16))</f>
        <v/>
      </c>
      <c r="J16" s="19">
        <f>IF(OR(H16="",ISNA(MATCH($B16,Cars!$B$6:$B$10,0))),"",H16-INDEX(Cars!$I$6:$I$10,MATCH($B16,Cars!$B$6:$B$10,0)))</f>
        <v/>
      </c>
      <c r="K16" s="32">
        <f>IF(AND(I16="",J16=""),"",IF(IF(OR(J16="",IFERROR(N(INDEX(Cars!$J$6:$J$10,MATCH($B16,Cars!$B$6:$B$10,0))),0)&lt;=0),"",TODAY()+INT(J16/IFERROR(N(INDEX(Cars!$J$6:$J$10,MATCH($B16,Cars!$B$6:$B$10,0))),0)))="",I16,IF(I16="",IF(OR(J16="",IFERROR(N(INDEX(Cars!$J$6:$J$10,MATCH($B16,Cars!$B$6:$B$10,0))),0)&lt;=0),"",TODAY()+INT(J16/IFERROR(N(INDEX(Cars!$J$6:$J$10,MATCH($B16,Cars!$B$6:$B$10,0))),0))),MIN(I16,IF(OR(J16="",IFERROR(N(INDEX(Cars!$J$6:$J$10,MATCH($B16,Cars!$B$6:$B$10,0))),0)&lt;=0),"",TODAY()+INT(J16/IFERROR(N(INDEX(Cars!$J$6:$J$10,MATCH($B16,Cars!$B$6:$B$10,0))),0)))))))</f>
        <v/>
      </c>
      <c r="L16" s="20">
        <f>IF(K16="","",IF(OR(K16&lt;TODAY(),AND(ISNUMBER(J16),J16&lt;0)),"Overdue",IF(OR(K16-TODAY()&lt;=N(Settings!$C$7),AND(ISNUMBER(J16),J16&lt;=N(Settings!$C$6))),"Due soon","OK")))</f>
        <v/>
      </c>
      <c r="M16" s="25" t="n"/>
      <c r="N16" s="1" t="n"/>
      <c r="O16">
        <f>IF(OR(L16="",L16="OK"),"",K16+ROW()/10000000)</f>
        <v/>
      </c>
    </row>
    <row r="17">
      <c r="A17" s="1" t="n"/>
      <c r="B17" s="24" t="n"/>
      <c r="C17" s="25" t="n"/>
      <c r="D17" s="28" t="n"/>
      <c r="E17" s="26" t="n"/>
      <c r="F17" s="28" t="n"/>
      <c r="G17" s="29" t="n"/>
      <c r="H17" s="11">
        <f>IF(OR(N(D17)=0,F17=""),"",F17+D17)</f>
        <v/>
      </c>
      <c r="I17" s="31">
        <f>IF(OR(N(E17)=0,G17=""),"",EDATE(G17,E17))</f>
        <v/>
      </c>
      <c r="J17" s="19">
        <f>IF(OR(H17="",ISNA(MATCH($B17,Cars!$B$6:$B$10,0))),"",H17-INDEX(Cars!$I$6:$I$10,MATCH($B17,Cars!$B$6:$B$10,0)))</f>
        <v/>
      </c>
      <c r="K17" s="32">
        <f>IF(AND(I17="",J17=""),"",IF(IF(OR(J17="",IFERROR(N(INDEX(Cars!$J$6:$J$10,MATCH($B17,Cars!$B$6:$B$10,0))),0)&lt;=0),"",TODAY()+INT(J17/IFERROR(N(INDEX(Cars!$J$6:$J$10,MATCH($B17,Cars!$B$6:$B$10,0))),0)))="",I17,IF(I17="",IF(OR(J17="",IFERROR(N(INDEX(Cars!$J$6:$J$10,MATCH($B17,Cars!$B$6:$B$10,0))),0)&lt;=0),"",TODAY()+INT(J17/IFERROR(N(INDEX(Cars!$J$6:$J$10,MATCH($B17,Cars!$B$6:$B$10,0))),0))),MIN(I17,IF(OR(J17="",IFERROR(N(INDEX(Cars!$J$6:$J$10,MATCH($B17,Cars!$B$6:$B$10,0))),0)&lt;=0),"",TODAY()+INT(J17/IFERROR(N(INDEX(Cars!$J$6:$J$10,MATCH($B17,Cars!$B$6:$B$10,0))),0)))))))</f>
        <v/>
      </c>
      <c r="L17" s="20">
        <f>IF(K17="","",IF(OR(K17&lt;TODAY(),AND(ISNUMBER(J17),J17&lt;0)),"Overdue",IF(OR(K17-TODAY()&lt;=N(Settings!$C$7),AND(ISNUMBER(J17),J17&lt;=N(Settings!$C$6))),"Due soon","OK")))</f>
        <v/>
      </c>
      <c r="M17" s="25" t="n"/>
      <c r="N17" s="1" t="n"/>
      <c r="O17">
        <f>IF(OR(L17="",L17="OK"),"",K17+ROW()/10000000)</f>
        <v/>
      </c>
    </row>
    <row r="18">
      <c r="A18" s="1" t="n"/>
      <c r="B18" s="24" t="n"/>
      <c r="C18" s="25" t="n"/>
      <c r="D18" s="28" t="n"/>
      <c r="E18" s="26" t="n"/>
      <c r="F18" s="28" t="n"/>
      <c r="G18" s="29" t="n"/>
      <c r="H18" s="11">
        <f>IF(OR(N(D18)=0,F18=""),"",F18+D18)</f>
        <v/>
      </c>
      <c r="I18" s="31">
        <f>IF(OR(N(E18)=0,G18=""),"",EDATE(G18,E18))</f>
        <v/>
      </c>
      <c r="J18" s="19">
        <f>IF(OR(H18="",ISNA(MATCH($B18,Cars!$B$6:$B$10,0))),"",H18-INDEX(Cars!$I$6:$I$10,MATCH($B18,Cars!$B$6:$B$10,0)))</f>
        <v/>
      </c>
      <c r="K18" s="32">
        <f>IF(AND(I18="",J18=""),"",IF(IF(OR(J18="",IFERROR(N(INDEX(Cars!$J$6:$J$10,MATCH($B18,Cars!$B$6:$B$10,0))),0)&lt;=0),"",TODAY()+INT(J18/IFERROR(N(INDEX(Cars!$J$6:$J$10,MATCH($B18,Cars!$B$6:$B$10,0))),0)))="",I18,IF(I18="",IF(OR(J18="",IFERROR(N(INDEX(Cars!$J$6:$J$10,MATCH($B18,Cars!$B$6:$B$10,0))),0)&lt;=0),"",TODAY()+INT(J18/IFERROR(N(INDEX(Cars!$J$6:$J$10,MATCH($B18,Cars!$B$6:$B$10,0))),0))),MIN(I18,IF(OR(J18="",IFERROR(N(INDEX(Cars!$J$6:$J$10,MATCH($B18,Cars!$B$6:$B$10,0))),0)&lt;=0),"",TODAY()+INT(J18/IFERROR(N(INDEX(Cars!$J$6:$J$10,MATCH($B18,Cars!$B$6:$B$10,0))),0)))))))</f>
        <v/>
      </c>
      <c r="L18" s="20">
        <f>IF(K18="","",IF(OR(K18&lt;TODAY(),AND(ISNUMBER(J18),J18&lt;0)),"Overdue",IF(OR(K18-TODAY()&lt;=N(Settings!$C$7),AND(ISNUMBER(J18),J18&lt;=N(Settings!$C$6))),"Due soon","OK")))</f>
        <v/>
      </c>
      <c r="M18" s="25" t="n"/>
      <c r="N18" s="1" t="n"/>
      <c r="O18">
        <f>IF(OR(L18="",L18="OK"),"",K18+ROW()/10000000)</f>
        <v/>
      </c>
    </row>
    <row r="19">
      <c r="A19" s="1" t="n"/>
      <c r="B19" s="24" t="n"/>
      <c r="C19" s="25" t="n"/>
      <c r="D19" s="28" t="n"/>
      <c r="E19" s="26" t="n"/>
      <c r="F19" s="28" t="n"/>
      <c r="G19" s="29" t="n"/>
      <c r="H19" s="11">
        <f>IF(OR(N(D19)=0,F19=""),"",F19+D19)</f>
        <v/>
      </c>
      <c r="I19" s="31">
        <f>IF(OR(N(E19)=0,G19=""),"",EDATE(G19,E19))</f>
        <v/>
      </c>
      <c r="J19" s="19">
        <f>IF(OR(H19="",ISNA(MATCH($B19,Cars!$B$6:$B$10,0))),"",H19-INDEX(Cars!$I$6:$I$10,MATCH($B19,Cars!$B$6:$B$10,0)))</f>
        <v/>
      </c>
      <c r="K19" s="32">
        <f>IF(AND(I19="",J19=""),"",IF(IF(OR(J19="",IFERROR(N(INDEX(Cars!$J$6:$J$10,MATCH($B19,Cars!$B$6:$B$10,0))),0)&lt;=0),"",TODAY()+INT(J19/IFERROR(N(INDEX(Cars!$J$6:$J$10,MATCH($B19,Cars!$B$6:$B$10,0))),0)))="",I19,IF(I19="",IF(OR(J19="",IFERROR(N(INDEX(Cars!$J$6:$J$10,MATCH($B19,Cars!$B$6:$B$10,0))),0)&lt;=0),"",TODAY()+INT(J19/IFERROR(N(INDEX(Cars!$J$6:$J$10,MATCH($B19,Cars!$B$6:$B$10,0))),0))),MIN(I19,IF(OR(J19="",IFERROR(N(INDEX(Cars!$J$6:$J$10,MATCH($B19,Cars!$B$6:$B$10,0))),0)&lt;=0),"",TODAY()+INT(J19/IFERROR(N(INDEX(Cars!$J$6:$J$10,MATCH($B19,Cars!$B$6:$B$10,0))),0)))))))</f>
        <v/>
      </c>
      <c r="L19" s="20">
        <f>IF(K19="","",IF(OR(K19&lt;TODAY(),AND(ISNUMBER(J19),J19&lt;0)),"Overdue",IF(OR(K19-TODAY()&lt;=N(Settings!$C$7),AND(ISNUMBER(J19),J19&lt;=N(Settings!$C$6))),"Due soon","OK")))</f>
        <v/>
      </c>
      <c r="M19" s="25" t="n"/>
      <c r="N19" s="1" t="n"/>
      <c r="O19">
        <f>IF(OR(L19="",L19="OK"),"",K19+ROW()/10000000)</f>
        <v/>
      </c>
    </row>
    <row r="20">
      <c r="A20" s="1" t="n"/>
      <c r="B20" s="24" t="n"/>
      <c r="C20" s="25" t="n"/>
      <c r="D20" s="28" t="n"/>
      <c r="E20" s="26" t="n"/>
      <c r="F20" s="28" t="n"/>
      <c r="G20" s="29" t="n"/>
      <c r="H20" s="11">
        <f>IF(OR(N(D20)=0,F20=""),"",F20+D20)</f>
        <v/>
      </c>
      <c r="I20" s="31">
        <f>IF(OR(N(E20)=0,G20=""),"",EDATE(G20,E20))</f>
        <v/>
      </c>
      <c r="J20" s="19">
        <f>IF(OR(H20="",ISNA(MATCH($B20,Cars!$B$6:$B$10,0))),"",H20-INDEX(Cars!$I$6:$I$10,MATCH($B20,Cars!$B$6:$B$10,0)))</f>
        <v/>
      </c>
      <c r="K20" s="32">
        <f>IF(AND(I20="",J20=""),"",IF(IF(OR(J20="",IFERROR(N(INDEX(Cars!$J$6:$J$10,MATCH($B20,Cars!$B$6:$B$10,0))),0)&lt;=0),"",TODAY()+INT(J20/IFERROR(N(INDEX(Cars!$J$6:$J$10,MATCH($B20,Cars!$B$6:$B$10,0))),0)))="",I20,IF(I20="",IF(OR(J20="",IFERROR(N(INDEX(Cars!$J$6:$J$10,MATCH($B20,Cars!$B$6:$B$10,0))),0)&lt;=0),"",TODAY()+INT(J20/IFERROR(N(INDEX(Cars!$J$6:$J$10,MATCH($B20,Cars!$B$6:$B$10,0))),0))),MIN(I20,IF(OR(J20="",IFERROR(N(INDEX(Cars!$J$6:$J$10,MATCH($B20,Cars!$B$6:$B$10,0))),0)&lt;=0),"",TODAY()+INT(J20/IFERROR(N(INDEX(Cars!$J$6:$J$10,MATCH($B20,Cars!$B$6:$B$10,0))),0)))))))</f>
        <v/>
      </c>
      <c r="L20" s="20">
        <f>IF(K20="","",IF(OR(K20&lt;TODAY(),AND(ISNUMBER(J20),J20&lt;0)),"Overdue",IF(OR(K20-TODAY()&lt;=N(Settings!$C$7),AND(ISNUMBER(J20),J20&lt;=N(Settings!$C$6))),"Due soon","OK")))</f>
        <v/>
      </c>
      <c r="M20" s="25" t="n"/>
      <c r="N20" s="1" t="n"/>
      <c r="O20">
        <f>IF(OR(L20="",L20="OK"),"",K20+ROW()/10000000)</f>
        <v/>
      </c>
    </row>
    <row r="21">
      <c r="A21" s="1" t="n"/>
      <c r="B21" s="24" t="n"/>
      <c r="C21" s="25" t="n"/>
      <c r="D21" s="28" t="n"/>
      <c r="E21" s="26" t="n"/>
      <c r="F21" s="28" t="n"/>
      <c r="G21" s="29" t="n"/>
      <c r="H21" s="11">
        <f>IF(OR(N(D21)=0,F21=""),"",F21+D21)</f>
        <v/>
      </c>
      <c r="I21" s="31">
        <f>IF(OR(N(E21)=0,G21=""),"",EDATE(G21,E21))</f>
        <v/>
      </c>
      <c r="J21" s="19">
        <f>IF(OR(H21="",ISNA(MATCH($B21,Cars!$B$6:$B$10,0))),"",H21-INDEX(Cars!$I$6:$I$10,MATCH($B21,Cars!$B$6:$B$10,0)))</f>
        <v/>
      </c>
      <c r="K21" s="32">
        <f>IF(AND(I21="",J21=""),"",IF(IF(OR(J21="",IFERROR(N(INDEX(Cars!$J$6:$J$10,MATCH($B21,Cars!$B$6:$B$10,0))),0)&lt;=0),"",TODAY()+INT(J21/IFERROR(N(INDEX(Cars!$J$6:$J$10,MATCH($B21,Cars!$B$6:$B$10,0))),0)))="",I21,IF(I21="",IF(OR(J21="",IFERROR(N(INDEX(Cars!$J$6:$J$10,MATCH($B21,Cars!$B$6:$B$10,0))),0)&lt;=0),"",TODAY()+INT(J21/IFERROR(N(INDEX(Cars!$J$6:$J$10,MATCH($B21,Cars!$B$6:$B$10,0))),0))),MIN(I21,IF(OR(J21="",IFERROR(N(INDEX(Cars!$J$6:$J$10,MATCH($B21,Cars!$B$6:$B$10,0))),0)&lt;=0),"",TODAY()+INT(J21/IFERROR(N(INDEX(Cars!$J$6:$J$10,MATCH($B21,Cars!$B$6:$B$10,0))),0)))))))</f>
        <v/>
      </c>
      <c r="L21" s="20">
        <f>IF(K21="","",IF(OR(K21&lt;TODAY(),AND(ISNUMBER(J21),J21&lt;0)),"Overdue",IF(OR(K21-TODAY()&lt;=N(Settings!$C$7),AND(ISNUMBER(J21),J21&lt;=N(Settings!$C$6))),"Due soon","OK")))</f>
        <v/>
      </c>
      <c r="M21" s="25" t="n"/>
      <c r="N21" s="1" t="n"/>
      <c r="O21">
        <f>IF(OR(L21="",L21="OK"),"",K21+ROW()/10000000)</f>
        <v/>
      </c>
    </row>
    <row r="22">
      <c r="A22" s="1" t="n"/>
      <c r="B22" s="24" t="n"/>
      <c r="C22" s="25" t="n"/>
      <c r="D22" s="28" t="n"/>
      <c r="E22" s="26" t="n"/>
      <c r="F22" s="28" t="n"/>
      <c r="G22" s="29" t="n"/>
      <c r="H22" s="11">
        <f>IF(OR(N(D22)=0,F22=""),"",F22+D22)</f>
        <v/>
      </c>
      <c r="I22" s="31">
        <f>IF(OR(N(E22)=0,G22=""),"",EDATE(G22,E22))</f>
        <v/>
      </c>
      <c r="J22" s="19">
        <f>IF(OR(H22="",ISNA(MATCH($B22,Cars!$B$6:$B$10,0))),"",H22-INDEX(Cars!$I$6:$I$10,MATCH($B22,Cars!$B$6:$B$10,0)))</f>
        <v/>
      </c>
      <c r="K22" s="32">
        <f>IF(AND(I22="",J22=""),"",IF(IF(OR(J22="",IFERROR(N(INDEX(Cars!$J$6:$J$10,MATCH($B22,Cars!$B$6:$B$10,0))),0)&lt;=0),"",TODAY()+INT(J22/IFERROR(N(INDEX(Cars!$J$6:$J$10,MATCH($B22,Cars!$B$6:$B$10,0))),0)))="",I22,IF(I22="",IF(OR(J22="",IFERROR(N(INDEX(Cars!$J$6:$J$10,MATCH($B22,Cars!$B$6:$B$10,0))),0)&lt;=0),"",TODAY()+INT(J22/IFERROR(N(INDEX(Cars!$J$6:$J$10,MATCH($B22,Cars!$B$6:$B$10,0))),0))),MIN(I22,IF(OR(J22="",IFERROR(N(INDEX(Cars!$J$6:$J$10,MATCH($B22,Cars!$B$6:$B$10,0))),0)&lt;=0),"",TODAY()+INT(J22/IFERROR(N(INDEX(Cars!$J$6:$J$10,MATCH($B22,Cars!$B$6:$B$10,0))),0)))))))</f>
        <v/>
      </c>
      <c r="L22" s="20">
        <f>IF(K22="","",IF(OR(K22&lt;TODAY(),AND(ISNUMBER(J22),J22&lt;0)),"Overdue",IF(OR(K22-TODAY()&lt;=N(Settings!$C$7),AND(ISNUMBER(J22),J22&lt;=N(Settings!$C$6))),"Due soon","OK")))</f>
        <v/>
      </c>
      <c r="M22" s="25" t="n"/>
      <c r="N22" s="1" t="n"/>
      <c r="O22">
        <f>IF(OR(L22="",L22="OK"),"",K22+ROW()/10000000)</f>
        <v/>
      </c>
    </row>
    <row r="23">
      <c r="A23" s="1" t="n"/>
      <c r="B23" s="24" t="n"/>
      <c r="C23" s="25" t="n"/>
      <c r="D23" s="28" t="n"/>
      <c r="E23" s="26" t="n"/>
      <c r="F23" s="28" t="n"/>
      <c r="G23" s="29" t="n"/>
      <c r="H23" s="11">
        <f>IF(OR(N(D23)=0,F23=""),"",F23+D23)</f>
        <v/>
      </c>
      <c r="I23" s="31">
        <f>IF(OR(N(E23)=0,G23=""),"",EDATE(G23,E23))</f>
        <v/>
      </c>
      <c r="J23" s="19">
        <f>IF(OR(H23="",ISNA(MATCH($B23,Cars!$B$6:$B$10,0))),"",H23-INDEX(Cars!$I$6:$I$10,MATCH($B23,Cars!$B$6:$B$10,0)))</f>
        <v/>
      </c>
      <c r="K23" s="32">
        <f>IF(AND(I23="",J23=""),"",IF(IF(OR(J23="",IFERROR(N(INDEX(Cars!$J$6:$J$10,MATCH($B23,Cars!$B$6:$B$10,0))),0)&lt;=0),"",TODAY()+INT(J23/IFERROR(N(INDEX(Cars!$J$6:$J$10,MATCH($B23,Cars!$B$6:$B$10,0))),0)))="",I23,IF(I23="",IF(OR(J23="",IFERROR(N(INDEX(Cars!$J$6:$J$10,MATCH($B23,Cars!$B$6:$B$10,0))),0)&lt;=0),"",TODAY()+INT(J23/IFERROR(N(INDEX(Cars!$J$6:$J$10,MATCH($B23,Cars!$B$6:$B$10,0))),0))),MIN(I23,IF(OR(J23="",IFERROR(N(INDEX(Cars!$J$6:$J$10,MATCH($B23,Cars!$B$6:$B$10,0))),0)&lt;=0),"",TODAY()+INT(J23/IFERROR(N(INDEX(Cars!$J$6:$J$10,MATCH($B23,Cars!$B$6:$B$10,0))),0)))))))</f>
        <v/>
      </c>
      <c r="L23" s="20">
        <f>IF(K23="","",IF(OR(K23&lt;TODAY(),AND(ISNUMBER(J23),J23&lt;0)),"Overdue",IF(OR(K23-TODAY()&lt;=N(Settings!$C$7),AND(ISNUMBER(J23),J23&lt;=N(Settings!$C$6))),"Due soon","OK")))</f>
        <v/>
      </c>
      <c r="M23" s="25" t="n"/>
      <c r="N23" s="1" t="n"/>
      <c r="O23">
        <f>IF(OR(L23="",L23="OK"),"",K23+ROW()/10000000)</f>
        <v/>
      </c>
    </row>
    <row r="24">
      <c r="A24" s="1" t="n"/>
      <c r="B24" s="24" t="n"/>
      <c r="C24" s="25" t="n"/>
      <c r="D24" s="28" t="n"/>
      <c r="E24" s="26" t="n"/>
      <c r="F24" s="28" t="n"/>
      <c r="G24" s="29" t="n"/>
      <c r="H24" s="11">
        <f>IF(OR(N(D24)=0,F24=""),"",F24+D24)</f>
        <v/>
      </c>
      <c r="I24" s="31">
        <f>IF(OR(N(E24)=0,G24=""),"",EDATE(G24,E24))</f>
        <v/>
      </c>
      <c r="J24" s="19">
        <f>IF(OR(H24="",ISNA(MATCH($B24,Cars!$B$6:$B$10,0))),"",H24-INDEX(Cars!$I$6:$I$10,MATCH($B24,Cars!$B$6:$B$10,0)))</f>
        <v/>
      </c>
      <c r="K24" s="32">
        <f>IF(AND(I24="",J24=""),"",IF(IF(OR(J24="",IFERROR(N(INDEX(Cars!$J$6:$J$10,MATCH($B24,Cars!$B$6:$B$10,0))),0)&lt;=0),"",TODAY()+INT(J24/IFERROR(N(INDEX(Cars!$J$6:$J$10,MATCH($B24,Cars!$B$6:$B$10,0))),0)))="",I24,IF(I24="",IF(OR(J24="",IFERROR(N(INDEX(Cars!$J$6:$J$10,MATCH($B24,Cars!$B$6:$B$10,0))),0)&lt;=0),"",TODAY()+INT(J24/IFERROR(N(INDEX(Cars!$J$6:$J$10,MATCH($B24,Cars!$B$6:$B$10,0))),0))),MIN(I24,IF(OR(J24="",IFERROR(N(INDEX(Cars!$J$6:$J$10,MATCH($B24,Cars!$B$6:$B$10,0))),0)&lt;=0),"",TODAY()+INT(J24/IFERROR(N(INDEX(Cars!$J$6:$J$10,MATCH($B24,Cars!$B$6:$B$10,0))),0)))))))</f>
        <v/>
      </c>
      <c r="L24" s="20">
        <f>IF(K24="","",IF(OR(K24&lt;TODAY(),AND(ISNUMBER(J24),J24&lt;0)),"Overdue",IF(OR(K24-TODAY()&lt;=N(Settings!$C$7),AND(ISNUMBER(J24),J24&lt;=N(Settings!$C$6))),"Due soon","OK")))</f>
        <v/>
      </c>
      <c r="M24" s="25" t="n"/>
      <c r="N24" s="1" t="n"/>
      <c r="O24">
        <f>IF(OR(L24="",L24="OK"),"",K24+ROW()/10000000)</f>
        <v/>
      </c>
    </row>
    <row r="25">
      <c r="A25" s="1" t="n"/>
      <c r="B25" s="24" t="n"/>
      <c r="C25" s="25" t="n"/>
      <c r="D25" s="28" t="n"/>
      <c r="E25" s="26" t="n"/>
      <c r="F25" s="28" t="n"/>
      <c r="G25" s="29" t="n"/>
      <c r="H25" s="11">
        <f>IF(OR(N(D25)=0,F25=""),"",F25+D25)</f>
        <v/>
      </c>
      <c r="I25" s="31">
        <f>IF(OR(N(E25)=0,G25=""),"",EDATE(G25,E25))</f>
        <v/>
      </c>
      <c r="J25" s="19">
        <f>IF(OR(H25="",ISNA(MATCH($B25,Cars!$B$6:$B$10,0))),"",H25-INDEX(Cars!$I$6:$I$10,MATCH($B25,Cars!$B$6:$B$10,0)))</f>
        <v/>
      </c>
      <c r="K25" s="32">
        <f>IF(AND(I25="",J25=""),"",IF(IF(OR(J25="",IFERROR(N(INDEX(Cars!$J$6:$J$10,MATCH($B25,Cars!$B$6:$B$10,0))),0)&lt;=0),"",TODAY()+INT(J25/IFERROR(N(INDEX(Cars!$J$6:$J$10,MATCH($B25,Cars!$B$6:$B$10,0))),0)))="",I25,IF(I25="",IF(OR(J25="",IFERROR(N(INDEX(Cars!$J$6:$J$10,MATCH($B25,Cars!$B$6:$B$10,0))),0)&lt;=0),"",TODAY()+INT(J25/IFERROR(N(INDEX(Cars!$J$6:$J$10,MATCH($B25,Cars!$B$6:$B$10,0))),0))),MIN(I25,IF(OR(J25="",IFERROR(N(INDEX(Cars!$J$6:$J$10,MATCH($B25,Cars!$B$6:$B$10,0))),0)&lt;=0),"",TODAY()+INT(J25/IFERROR(N(INDEX(Cars!$J$6:$J$10,MATCH($B25,Cars!$B$6:$B$10,0))),0)))))))</f>
        <v/>
      </c>
      <c r="L25" s="20">
        <f>IF(K25="","",IF(OR(K25&lt;TODAY(),AND(ISNUMBER(J25),J25&lt;0)),"Overdue",IF(OR(K25-TODAY()&lt;=N(Settings!$C$7),AND(ISNUMBER(J25),J25&lt;=N(Settings!$C$6))),"Due soon","OK")))</f>
        <v/>
      </c>
      <c r="M25" s="25" t="n"/>
      <c r="N25" s="1" t="n"/>
      <c r="O25">
        <f>IF(OR(L25="",L25="OK"),"",K25+ROW()/10000000)</f>
        <v/>
      </c>
    </row>
    <row r="26">
      <c r="A26" s="1" t="n"/>
      <c r="B26" s="24" t="n"/>
      <c r="C26" s="25" t="n"/>
      <c r="D26" s="28" t="n"/>
      <c r="E26" s="26" t="n"/>
      <c r="F26" s="28" t="n"/>
      <c r="G26" s="29" t="n"/>
      <c r="H26" s="11">
        <f>IF(OR(N(D26)=0,F26=""),"",F26+D26)</f>
        <v/>
      </c>
      <c r="I26" s="31">
        <f>IF(OR(N(E26)=0,G26=""),"",EDATE(G26,E26))</f>
        <v/>
      </c>
      <c r="J26" s="19">
        <f>IF(OR(H26="",ISNA(MATCH($B26,Cars!$B$6:$B$10,0))),"",H26-INDEX(Cars!$I$6:$I$10,MATCH($B26,Cars!$B$6:$B$10,0)))</f>
        <v/>
      </c>
      <c r="K26" s="32">
        <f>IF(AND(I26="",J26=""),"",IF(IF(OR(J26="",IFERROR(N(INDEX(Cars!$J$6:$J$10,MATCH($B26,Cars!$B$6:$B$10,0))),0)&lt;=0),"",TODAY()+INT(J26/IFERROR(N(INDEX(Cars!$J$6:$J$10,MATCH($B26,Cars!$B$6:$B$10,0))),0)))="",I26,IF(I26="",IF(OR(J26="",IFERROR(N(INDEX(Cars!$J$6:$J$10,MATCH($B26,Cars!$B$6:$B$10,0))),0)&lt;=0),"",TODAY()+INT(J26/IFERROR(N(INDEX(Cars!$J$6:$J$10,MATCH($B26,Cars!$B$6:$B$10,0))),0))),MIN(I26,IF(OR(J26="",IFERROR(N(INDEX(Cars!$J$6:$J$10,MATCH($B26,Cars!$B$6:$B$10,0))),0)&lt;=0),"",TODAY()+INT(J26/IFERROR(N(INDEX(Cars!$J$6:$J$10,MATCH($B26,Cars!$B$6:$B$10,0))),0)))))))</f>
        <v/>
      </c>
      <c r="L26" s="20">
        <f>IF(K26="","",IF(OR(K26&lt;TODAY(),AND(ISNUMBER(J26),J26&lt;0)),"Overdue",IF(OR(K26-TODAY()&lt;=N(Settings!$C$7),AND(ISNUMBER(J26),J26&lt;=N(Settings!$C$6))),"Due soon","OK")))</f>
        <v/>
      </c>
      <c r="M26" s="25" t="n"/>
      <c r="N26" s="1" t="n"/>
      <c r="O26">
        <f>IF(OR(L26="",L26="OK"),"",K26+ROW()/10000000)</f>
        <v/>
      </c>
    </row>
    <row r="27">
      <c r="A27" s="1" t="n"/>
      <c r="B27" s="24" t="n"/>
      <c r="C27" s="25" t="n"/>
      <c r="D27" s="28" t="n"/>
      <c r="E27" s="26" t="n"/>
      <c r="F27" s="28" t="n"/>
      <c r="G27" s="29" t="n"/>
      <c r="H27" s="11">
        <f>IF(OR(N(D27)=0,F27=""),"",F27+D27)</f>
        <v/>
      </c>
      <c r="I27" s="31">
        <f>IF(OR(N(E27)=0,G27=""),"",EDATE(G27,E27))</f>
        <v/>
      </c>
      <c r="J27" s="19">
        <f>IF(OR(H27="",ISNA(MATCH($B27,Cars!$B$6:$B$10,0))),"",H27-INDEX(Cars!$I$6:$I$10,MATCH($B27,Cars!$B$6:$B$10,0)))</f>
        <v/>
      </c>
      <c r="K27" s="32">
        <f>IF(AND(I27="",J27=""),"",IF(IF(OR(J27="",IFERROR(N(INDEX(Cars!$J$6:$J$10,MATCH($B27,Cars!$B$6:$B$10,0))),0)&lt;=0),"",TODAY()+INT(J27/IFERROR(N(INDEX(Cars!$J$6:$J$10,MATCH($B27,Cars!$B$6:$B$10,0))),0)))="",I27,IF(I27="",IF(OR(J27="",IFERROR(N(INDEX(Cars!$J$6:$J$10,MATCH($B27,Cars!$B$6:$B$10,0))),0)&lt;=0),"",TODAY()+INT(J27/IFERROR(N(INDEX(Cars!$J$6:$J$10,MATCH($B27,Cars!$B$6:$B$10,0))),0))),MIN(I27,IF(OR(J27="",IFERROR(N(INDEX(Cars!$J$6:$J$10,MATCH($B27,Cars!$B$6:$B$10,0))),0)&lt;=0),"",TODAY()+INT(J27/IFERROR(N(INDEX(Cars!$J$6:$J$10,MATCH($B27,Cars!$B$6:$B$10,0))),0)))))))</f>
        <v/>
      </c>
      <c r="L27" s="20">
        <f>IF(K27="","",IF(OR(K27&lt;TODAY(),AND(ISNUMBER(J27),J27&lt;0)),"Overdue",IF(OR(K27-TODAY()&lt;=N(Settings!$C$7),AND(ISNUMBER(J27),J27&lt;=N(Settings!$C$6))),"Due soon","OK")))</f>
        <v/>
      </c>
      <c r="M27" s="25" t="n"/>
      <c r="N27" s="1" t="n"/>
      <c r="O27">
        <f>IF(OR(L27="",L27="OK"),"",K27+ROW()/10000000)</f>
        <v/>
      </c>
    </row>
    <row r="28">
      <c r="A28" s="1" t="n"/>
      <c r="B28" s="24" t="n"/>
      <c r="C28" s="25" t="n"/>
      <c r="D28" s="28" t="n"/>
      <c r="E28" s="26" t="n"/>
      <c r="F28" s="28" t="n"/>
      <c r="G28" s="29" t="n"/>
      <c r="H28" s="11">
        <f>IF(OR(N(D28)=0,F28=""),"",F28+D28)</f>
        <v/>
      </c>
      <c r="I28" s="31">
        <f>IF(OR(N(E28)=0,G28=""),"",EDATE(G28,E28))</f>
        <v/>
      </c>
      <c r="J28" s="19">
        <f>IF(OR(H28="",ISNA(MATCH($B28,Cars!$B$6:$B$10,0))),"",H28-INDEX(Cars!$I$6:$I$10,MATCH($B28,Cars!$B$6:$B$10,0)))</f>
        <v/>
      </c>
      <c r="K28" s="32">
        <f>IF(AND(I28="",J28=""),"",IF(IF(OR(J28="",IFERROR(N(INDEX(Cars!$J$6:$J$10,MATCH($B28,Cars!$B$6:$B$10,0))),0)&lt;=0),"",TODAY()+INT(J28/IFERROR(N(INDEX(Cars!$J$6:$J$10,MATCH($B28,Cars!$B$6:$B$10,0))),0)))="",I28,IF(I28="",IF(OR(J28="",IFERROR(N(INDEX(Cars!$J$6:$J$10,MATCH($B28,Cars!$B$6:$B$10,0))),0)&lt;=0),"",TODAY()+INT(J28/IFERROR(N(INDEX(Cars!$J$6:$J$10,MATCH($B28,Cars!$B$6:$B$10,0))),0))),MIN(I28,IF(OR(J28="",IFERROR(N(INDEX(Cars!$J$6:$J$10,MATCH($B28,Cars!$B$6:$B$10,0))),0)&lt;=0),"",TODAY()+INT(J28/IFERROR(N(INDEX(Cars!$J$6:$J$10,MATCH($B28,Cars!$B$6:$B$10,0))),0)))))))</f>
        <v/>
      </c>
      <c r="L28" s="20">
        <f>IF(K28="","",IF(OR(K28&lt;TODAY(),AND(ISNUMBER(J28),J28&lt;0)),"Overdue",IF(OR(K28-TODAY()&lt;=N(Settings!$C$7),AND(ISNUMBER(J28),J28&lt;=N(Settings!$C$6))),"Due soon","OK")))</f>
        <v/>
      </c>
      <c r="M28" s="25" t="n"/>
      <c r="N28" s="1" t="n"/>
      <c r="O28">
        <f>IF(OR(L28="",L28="OK"),"",K28+ROW()/10000000)</f>
        <v/>
      </c>
    </row>
    <row r="29">
      <c r="A29" s="1" t="n"/>
      <c r="B29" s="24" t="n"/>
      <c r="C29" s="25" t="n"/>
      <c r="D29" s="28" t="n"/>
      <c r="E29" s="26" t="n"/>
      <c r="F29" s="28" t="n"/>
      <c r="G29" s="29" t="n"/>
      <c r="H29" s="11">
        <f>IF(OR(N(D29)=0,F29=""),"",F29+D29)</f>
        <v/>
      </c>
      <c r="I29" s="31">
        <f>IF(OR(N(E29)=0,G29=""),"",EDATE(G29,E29))</f>
        <v/>
      </c>
      <c r="J29" s="19">
        <f>IF(OR(H29="",ISNA(MATCH($B29,Cars!$B$6:$B$10,0))),"",H29-INDEX(Cars!$I$6:$I$10,MATCH($B29,Cars!$B$6:$B$10,0)))</f>
        <v/>
      </c>
      <c r="K29" s="32">
        <f>IF(AND(I29="",J29=""),"",IF(IF(OR(J29="",IFERROR(N(INDEX(Cars!$J$6:$J$10,MATCH($B29,Cars!$B$6:$B$10,0))),0)&lt;=0),"",TODAY()+INT(J29/IFERROR(N(INDEX(Cars!$J$6:$J$10,MATCH($B29,Cars!$B$6:$B$10,0))),0)))="",I29,IF(I29="",IF(OR(J29="",IFERROR(N(INDEX(Cars!$J$6:$J$10,MATCH($B29,Cars!$B$6:$B$10,0))),0)&lt;=0),"",TODAY()+INT(J29/IFERROR(N(INDEX(Cars!$J$6:$J$10,MATCH($B29,Cars!$B$6:$B$10,0))),0))),MIN(I29,IF(OR(J29="",IFERROR(N(INDEX(Cars!$J$6:$J$10,MATCH($B29,Cars!$B$6:$B$10,0))),0)&lt;=0),"",TODAY()+INT(J29/IFERROR(N(INDEX(Cars!$J$6:$J$10,MATCH($B29,Cars!$B$6:$B$10,0))),0)))))))</f>
        <v/>
      </c>
      <c r="L29" s="20">
        <f>IF(K29="","",IF(OR(K29&lt;TODAY(),AND(ISNUMBER(J29),J29&lt;0)),"Overdue",IF(OR(K29-TODAY()&lt;=N(Settings!$C$7),AND(ISNUMBER(J29),J29&lt;=N(Settings!$C$6))),"Due soon","OK")))</f>
        <v/>
      </c>
      <c r="M29" s="25" t="n"/>
      <c r="N29" s="1" t="n"/>
      <c r="O29">
        <f>IF(OR(L29="",L29="OK"),"",K29+ROW()/10000000)</f>
        <v/>
      </c>
    </row>
    <row r="30">
      <c r="A30" s="1" t="n"/>
      <c r="B30" s="24" t="n"/>
      <c r="C30" s="25" t="n"/>
      <c r="D30" s="28" t="n"/>
      <c r="E30" s="26" t="n"/>
      <c r="F30" s="28" t="n"/>
      <c r="G30" s="29" t="n"/>
      <c r="H30" s="11">
        <f>IF(OR(N(D30)=0,F30=""),"",F30+D30)</f>
        <v/>
      </c>
      <c r="I30" s="31">
        <f>IF(OR(N(E30)=0,G30=""),"",EDATE(G30,E30))</f>
        <v/>
      </c>
      <c r="J30" s="19">
        <f>IF(OR(H30="",ISNA(MATCH($B30,Cars!$B$6:$B$10,0))),"",H30-INDEX(Cars!$I$6:$I$10,MATCH($B30,Cars!$B$6:$B$10,0)))</f>
        <v/>
      </c>
      <c r="K30" s="32">
        <f>IF(AND(I30="",J30=""),"",IF(IF(OR(J30="",IFERROR(N(INDEX(Cars!$J$6:$J$10,MATCH($B30,Cars!$B$6:$B$10,0))),0)&lt;=0),"",TODAY()+INT(J30/IFERROR(N(INDEX(Cars!$J$6:$J$10,MATCH($B30,Cars!$B$6:$B$10,0))),0)))="",I30,IF(I30="",IF(OR(J30="",IFERROR(N(INDEX(Cars!$J$6:$J$10,MATCH($B30,Cars!$B$6:$B$10,0))),0)&lt;=0),"",TODAY()+INT(J30/IFERROR(N(INDEX(Cars!$J$6:$J$10,MATCH($B30,Cars!$B$6:$B$10,0))),0))),MIN(I30,IF(OR(J30="",IFERROR(N(INDEX(Cars!$J$6:$J$10,MATCH($B30,Cars!$B$6:$B$10,0))),0)&lt;=0),"",TODAY()+INT(J30/IFERROR(N(INDEX(Cars!$J$6:$J$10,MATCH($B30,Cars!$B$6:$B$10,0))),0)))))))</f>
        <v/>
      </c>
      <c r="L30" s="20">
        <f>IF(K30="","",IF(OR(K30&lt;TODAY(),AND(ISNUMBER(J30),J30&lt;0)),"Overdue",IF(OR(K30-TODAY()&lt;=N(Settings!$C$7),AND(ISNUMBER(J30),J30&lt;=N(Settings!$C$6))),"Due soon","OK")))</f>
        <v/>
      </c>
      <c r="M30" s="25" t="n"/>
      <c r="N30" s="1" t="n"/>
      <c r="O30">
        <f>IF(OR(L30="",L30="OK"),"",K30+ROW()/10000000)</f>
        <v/>
      </c>
    </row>
    <row r="31">
      <c r="A31" s="1" t="n"/>
      <c r="B31" s="24" t="n"/>
      <c r="C31" s="25" t="n"/>
      <c r="D31" s="28" t="n"/>
      <c r="E31" s="26" t="n"/>
      <c r="F31" s="28" t="n"/>
      <c r="G31" s="29" t="n"/>
      <c r="H31" s="11">
        <f>IF(OR(N(D31)=0,F31=""),"",F31+D31)</f>
        <v/>
      </c>
      <c r="I31" s="31">
        <f>IF(OR(N(E31)=0,G31=""),"",EDATE(G31,E31))</f>
        <v/>
      </c>
      <c r="J31" s="19">
        <f>IF(OR(H31="",ISNA(MATCH($B31,Cars!$B$6:$B$10,0))),"",H31-INDEX(Cars!$I$6:$I$10,MATCH($B31,Cars!$B$6:$B$10,0)))</f>
        <v/>
      </c>
      <c r="K31" s="32">
        <f>IF(AND(I31="",J31=""),"",IF(IF(OR(J31="",IFERROR(N(INDEX(Cars!$J$6:$J$10,MATCH($B31,Cars!$B$6:$B$10,0))),0)&lt;=0),"",TODAY()+INT(J31/IFERROR(N(INDEX(Cars!$J$6:$J$10,MATCH($B31,Cars!$B$6:$B$10,0))),0)))="",I31,IF(I31="",IF(OR(J31="",IFERROR(N(INDEX(Cars!$J$6:$J$10,MATCH($B31,Cars!$B$6:$B$10,0))),0)&lt;=0),"",TODAY()+INT(J31/IFERROR(N(INDEX(Cars!$J$6:$J$10,MATCH($B31,Cars!$B$6:$B$10,0))),0))),MIN(I31,IF(OR(J31="",IFERROR(N(INDEX(Cars!$J$6:$J$10,MATCH($B31,Cars!$B$6:$B$10,0))),0)&lt;=0),"",TODAY()+INT(J31/IFERROR(N(INDEX(Cars!$J$6:$J$10,MATCH($B31,Cars!$B$6:$B$10,0))),0)))))))</f>
        <v/>
      </c>
      <c r="L31" s="20">
        <f>IF(K31="","",IF(OR(K31&lt;TODAY(),AND(ISNUMBER(J31),J31&lt;0)),"Overdue",IF(OR(K31-TODAY()&lt;=N(Settings!$C$7),AND(ISNUMBER(J31),J31&lt;=N(Settings!$C$6))),"Due soon","OK")))</f>
        <v/>
      </c>
      <c r="M31" s="25" t="n"/>
      <c r="N31" s="1" t="n"/>
      <c r="O31">
        <f>IF(OR(L31="",L31="OK"),"",K31+ROW()/10000000)</f>
        <v/>
      </c>
    </row>
    <row r="32">
      <c r="A32" s="1" t="n"/>
      <c r="B32" s="24" t="n"/>
      <c r="C32" s="25" t="n"/>
      <c r="D32" s="28" t="n"/>
      <c r="E32" s="26" t="n"/>
      <c r="F32" s="28" t="n"/>
      <c r="G32" s="29" t="n"/>
      <c r="H32" s="11">
        <f>IF(OR(N(D32)=0,F32=""),"",F32+D32)</f>
        <v/>
      </c>
      <c r="I32" s="31">
        <f>IF(OR(N(E32)=0,G32=""),"",EDATE(G32,E32))</f>
        <v/>
      </c>
      <c r="J32" s="19">
        <f>IF(OR(H32="",ISNA(MATCH($B32,Cars!$B$6:$B$10,0))),"",H32-INDEX(Cars!$I$6:$I$10,MATCH($B32,Cars!$B$6:$B$10,0)))</f>
        <v/>
      </c>
      <c r="K32" s="32">
        <f>IF(AND(I32="",J32=""),"",IF(IF(OR(J32="",IFERROR(N(INDEX(Cars!$J$6:$J$10,MATCH($B32,Cars!$B$6:$B$10,0))),0)&lt;=0),"",TODAY()+INT(J32/IFERROR(N(INDEX(Cars!$J$6:$J$10,MATCH($B32,Cars!$B$6:$B$10,0))),0)))="",I32,IF(I32="",IF(OR(J32="",IFERROR(N(INDEX(Cars!$J$6:$J$10,MATCH($B32,Cars!$B$6:$B$10,0))),0)&lt;=0),"",TODAY()+INT(J32/IFERROR(N(INDEX(Cars!$J$6:$J$10,MATCH($B32,Cars!$B$6:$B$10,0))),0))),MIN(I32,IF(OR(J32="",IFERROR(N(INDEX(Cars!$J$6:$J$10,MATCH($B32,Cars!$B$6:$B$10,0))),0)&lt;=0),"",TODAY()+INT(J32/IFERROR(N(INDEX(Cars!$J$6:$J$10,MATCH($B32,Cars!$B$6:$B$10,0))),0)))))))</f>
        <v/>
      </c>
      <c r="L32" s="20">
        <f>IF(K32="","",IF(OR(K32&lt;TODAY(),AND(ISNUMBER(J32),J32&lt;0)),"Overdue",IF(OR(K32-TODAY()&lt;=N(Settings!$C$7),AND(ISNUMBER(J32),J32&lt;=N(Settings!$C$6))),"Due soon","OK")))</f>
        <v/>
      </c>
      <c r="M32" s="25" t="n"/>
      <c r="N32" s="1" t="n"/>
      <c r="O32">
        <f>IF(OR(L32="",L32="OK"),"",K32+ROW()/10000000)</f>
        <v/>
      </c>
    </row>
    <row r="33">
      <c r="A33" s="1" t="n"/>
      <c r="B33" s="24" t="n"/>
      <c r="C33" s="25" t="n"/>
      <c r="D33" s="28" t="n"/>
      <c r="E33" s="26" t="n"/>
      <c r="F33" s="28" t="n"/>
      <c r="G33" s="29" t="n"/>
      <c r="H33" s="11">
        <f>IF(OR(N(D33)=0,F33=""),"",F33+D33)</f>
        <v/>
      </c>
      <c r="I33" s="31">
        <f>IF(OR(N(E33)=0,G33=""),"",EDATE(G33,E33))</f>
        <v/>
      </c>
      <c r="J33" s="19">
        <f>IF(OR(H33="",ISNA(MATCH($B33,Cars!$B$6:$B$10,0))),"",H33-INDEX(Cars!$I$6:$I$10,MATCH($B33,Cars!$B$6:$B$10,0)))</f>
        <v/>
      </c>
      <c r="K33" s="32">
        <f>IF(AND(I33="",J33=""),"",IF(IF(OR(J33="",IFERROR(N(INDEX(Cars!$J$6:$J$10,MATCH($B33,Cars!$B$6:$B$10,0))),0)&lt;=0),"",TODAY()+INT(J33/IFERROR(N(INDEX(Cars!$J$6:$J$10,MATCH($B33,Cars!$B$6:$B$10,0))),0)))="",I33,IF(I33="",IF(OR(J33="",IFERROR(N(INDEX(Cars!$J$6:$J$10,MATCH($B33,Cars!$B$6:$B$10,0))),0)&lt;=0),"",TODAY()+INT(J33/IFERROR(N(INDEX(Cars!$J$6:$J$10,MATCH($B33,Cars!$B$6:$B$10,0))),0))),MIN(I33,IF(OR(J33="",IFERROR(N(INDEX(Cars!$J$6:$J$10,MATCH($B33,Cars!$B$6:$B$10,0))),0)&lt;=0),"",TODAY()+INT(J33/IFERROR(N(INDEX(Cars!$J$6:$J$10,MATCH($B33,Cars!$B$6:$B$10,0))),0)))))))</f>
        <v/>
      </c>
      <c r="L33" s="20">
        <f>IF(K33="","",IF(OR(K33&lt;TODAY(),AND(ISNUMBER(J33),J33&lt;0)),"Overdue",IF(OR(K33-TODAY()&lt;=N(Settings!$C$7),AND(ISNUMBER(J33),J33&lt;=N(Settings!$C$6))),"Due soon","OK")))</f>
        <v/>
      </c>
      <c r="M33" s="25" t="n"/>
      <c r="N33" s="1" t="n"/>
      <c r="O33">
        <f>IF(OR(L33="",L33="OK"),"",K33+ROW()/10000000)</f>
        <v/>
      </c>
    </row>
    <row r="34">
      <c r="A34" s="1" t="n"/>
      <c r="B34" s="24" t="n"/>
      <c r="C34" s="25" t="n"/>
      <c r="D34" s="28" t="n"/>
      <c r="E34" s="26" t="n"/>
      <c r="F34" s="28" t="n"/>
      <c r="G34" s="29" t="n"/>
      <c r="H34" s="11">
        <f>IF(OR(N(D34)=0,F34=""),"",F34+D34)</f>
        <v/>
      </c>
      <c r="I34" s="31">
        <f>IF(OR(N(E34)=0,G34=""),"",EDATE(G34,E34))</f>
        <v/>
      </c>
      <c r="J34" s="19">
        <f>IF(OR(H34="",ISNA(MATCH($B34,Cars!$B$6:$B$10,0))),"",H34-INDEX(Cars!$I$6:$I$10,MATCH($B34,Cars!$B$6:$B$10,0)))</f>
        <v/>
      </c>
      <c r="K34" s="32">
        <f>IF(AND(I34="",J34=""),"",IF(IF(OR(J34="",IFERROR(N(INDEX(Cars!$J$6:$J$10,MATCH($B34,Cars!$B$6:$B$10,0))),0)&lt;=0),"",TODAY()+INT(J34/IFERROR(N(INDEX(Cars!$J$6:$J$10,MATCH($B34,Cars!$B$6:$B$10,0))),0)))="",I34,IF(I34="",IF(OR(J34="",IFERROR(N(INDEX(Cars!$J$6:$J$10,MATCH($B34,Cars!$B$6:$B$10,0))),0)&lt;=0),"",TODAY()+INT(J34/IFERROR(N(INDEX(Cars!$J$6:$J$10,MATCH($B34,Cars!$B$6:$B$10,0))),0))),MIN(I34,IF(OR(J34="",IFERROR(N(INDEX(Cars!$J$6:$J$10,MATCH($B34,Cars!$B$6:$B$10,0))),0)&lt;=0),"",TODAY()+INT(J34/IFERROR(N(INDEX(Cars!$J$6:$J$10,MATCH($B34,Cars!$B$6:$B$10,0))),0)))))))</f>
        <v/>
      </c>
      <c r="L34" s="20">
        <f>IF(K34="","",IF(OR(K34&lt;TODAY(),AND(ISNUMBER(J34),J34&lt;0)),"Overdue",IF(OR(K34-TODAY()&lt;=N(Settings!$C$7),AND(ISNUMBER(J34),J34&lt;=N(Settings!$C$6))),"Due soon","OK")))</f>
        <v/>
      </c>
      <c r="M34" s="25" t="n"/>
      <c r="N34" s="1" t="n"/>
      <c r="O34">
        <f>IF(OR(L34="",L34="OK"),"",K34+ROW()/10000000)</f>
        <v/>
      </c>
    </row>
    <row r="35">
      <c r="A35" s="1" t="n"/>
      <c r="B35" s="24" t="n"/>
      <c r="C35" s="25" t="n"/>
      <c r="D35" s="28" t="n"/>
      <c r="E35" s="26" t="n"/>
      <c r="F35" s="28" t="n"/>
      <c r="G35" s="29" t="n"/>
      <c r="H35" s="11">
        <f>IF(OR(N(D35)=0,F35=""),"",F35+D35)</f>
        <v/>
      </c>
      <c r="I35" s="31">
        <f>IF(OR(N(E35)=0,G35=""),"",EDATE(G35,E35))</f>
        <v/>
      </c>
      <c r="J35" s="19">
        <f>IF(OR(H35="",ISNA(MATCH($B35,Cars!$B$6:$B$10,0))),"",H35-INDEX(Cars!$I$6:$I$10,MATCH($B35,Cars!$B$6:$B$10,0)))</f>
        <v/>
      </c>
      <c r="K35" s="32">
        <f>IF(AND(I35="",J35=""),"",IF(IF(OR(J35="",IFERROR(N(INDEX(Cars!$J$6:$J$10,MATCH($B35,Cars!$B$6:$B$10,0))),0)&lt;=0),"",TODAY()+INT(J35/IFERROR(N(INDEX(Cars!$J$6:$J$10,MATCH($B35,Cars!$B$6:$B$10,0))),0)))="",I35,IF(I35="",IF(OR(J35="",IFERROR(N(INDEX(Cars!$J$6:$J$10,MATCH($B35,Cars!$B$6:$B$10,0))),0)&lt;=0),"",TODAY()+INT(J35/IFERROR(N(INDEX(Cars!$J$6:$J$10,MATCH($B35,Cars!$B$6:$B$10,0))),0))),MIN(I35,IF(OR(J35="",IFERROR(N(INDEX(Cars!$J$6:$J$10,MATCH($B35,Cars!$B$6:$B$10,0))),0)&lt;=0),"",TODAY()+INT(J35/IFERROR(N(INDEX(Cars!$J$6:$J$10,MATCH($B35,Cars!$B$6:$B$10,0))),0)))))))</f>
        <v/>
      </c>
      <c r="L35" s="20">
        <f>IF(K35="","",IF(OR(K35&lt;TODAY(),AND(ISNUMBER(J35),J35&lt;0)),"Overdue",IF(OR(K35-TODAY()&lt;=N(Settings!$C$7),AND(ISNUMBER(J35),J35&lt;=N(Settings!$C$6))),"Due soon","OK")))</f>
        <v/>
      </c>
      <c r="M35" s="25" t="n"/>
      <c r="N35" s="1" t="n"/>
      <c r="O35">
        <f>IF(OR(L35="",L35="OK"),"",K35+ROW()/10000000)</f>
        <v/>
      </c>
    </row>
    <row r="36">
      <c r="A36" s="1" t="n"/>
      <c r="B36" s="24" t="n"/>
      <c r="C36" s="25" t="n"/>
      <c r="D36" s="28" t="n"/>
      <c r="E36" s="26" t="n"/>
      <c r="F36" s="28" t="n"/>
      <c r="G36" s="29" t="n"/>
      <c r="H36" s="11">
        <f>IF(OR(N(D36)=0,F36=""),"",F36+D36)</f>
        <v/>
      </c>
      <c r="I36" s="31">
        <f>IF(OR(N(E36)=0,G36=""),"",EDATE(G36,E36))</f>
        <v/>
      </c>
      <c r="J36" s="19">
        <f>IF(OR(H36="",ISNA(MATCH($B36,Cars!$B$6:$B$10,0))),"",H36-INDEX(Cars!$I$6:$I$10,MATCH($B36,Cars!$B$6:$B$10,0)))</f>
        <v/>
      </c>
      <c r="K36" s="32">
        <f>IF(AND(I36="",J36=""),"",IF(IF(OR(J36="",IFERROR(N(INDEX(Cars!$J$6:$J$10,MATCH($B36,Cars!$B$6:$B$10,0))),0)&lt;=0),"",TODAY()+INT(J36/IFERROR(N(INDEX(Cars!$J$6:$J$10,MATCH($B36,Cars!$B$6:$B$10,0))),0)))="",I36,IF(I36="",IF(OR(J36="",IFERROR(N(INDEX(Cars!$J$6:$J$10,MATCH($B36,Cars!$B$6:$B$10,0))),0)&lt;=0),"",TODAY()+INT(J36/IFERROR(N(INDEX(Cars!$J$6:$J$10,MATCH($B36,Cars!$B$6:$B$10,0))),0))),MIN(I36,IF(OR(J36="",IFERROR(N(INDEX(Cars!$J$6:$J$10,MATCH($B36,Cars!$B$6:$B$10,0))),0)&lt;=0),"",TODAY()+INT(J36/IFERROR(N(INDEX(Cars!$J$6:$J$10,MATCH($B36,Cars!$B$6:$B$10,0))),0)))))))</f>
        <v/>
      </c>
      <c r="L36" s="20">
        <f>IF(K36="","",IF(OR(K36&lt;TODAY(),AND(ISNUMBER(J36),J36&lt;0)),"Overdue",IF(OR(K36-TODAY()&lt;=N(Settings!$C$7),AND(ISNUMBER(J36),J36&lt;=N(Settings!$C$6))),"Due soon","OK")))</f>
        <v/>
      </c>
      <c r="M36" s="25" t="n"/>
      <c r="N36" s="1" t="n"/>
      <c r="O36">
        <f>IF(OR(L36="",L36="OK"),"",K36+ROW()/10000000)</f>
        <v/>
      </c>
    </row>
    <row r="37">
      <c r="A37" s="1" t="n"/>
      <c r="B37" s="24" t="n"/>
      <c r="C37" s="25" t="n"/>
      <c r="D37" s="28" t="n"/>
      <c r="E37" s="26" t="n"/>
      <c r="F37" s="28" t="n"/>
      <c r="G37" s="29" t="n"/>
      <c r="H37" s="11">
        <f>IF(OR(N(D37)=0,F37=""),"",F37+D37)</f>
        <v/>
      </c>
      <c r="I37" s="31">
        <f>IF(OR(N(E37)=0,G37=""),"",EDATE(G37,E37))</f>
        <v/>
      </c>
      <c r="J37" s="19">
        <f>IF(OR(H37="",ISNA(MATCH($B37,Cars!$B$6:$B$10,0))),"",H37-INDEX(Cars!$I$6:$I$10,MATCH($B37,Cars!$B$6:$B$10,0)))</f>
        <v/>
      </c>
      <c r="K37" s="32">
        <f>IF(AND(I37="",J37=""),"",IF(IF(OR(J37="",IFERROR(N(INDEX(Cars!$J$6:$J$10,MATCH($B37,Cars!$B$6:$B$10,0))),0)&lt;=0),"",TODAY()+INT(J37/IFERROR(N(INDEX(Cars!$J$6:$J$10,MATCH($B37,Cars!$B$6:$B$10,0))),0)))="",I37,IF(I37="",IF(OR(J37="",IFERROR(N(INDEX(Cars!$J$6:$J$10,MATCH($B37,Cars!$B$6:$B$10,0))),0)&lt;=0),"",TODAY()+INT(J37/IFERROR(N(INDEX(Cars!$J$6:$J$10,MATCH($B37,Cars!$B$6:$B$10,0))),0))),MIN(I37,IF(OR(J37="",IFERROR(N(INDEX(Cars!$J$6:$J$10,MATCH($B37,Cars!$B$6:$B$10,0))),0)&lt;=0),"",TODAY()+INT(J37/IFERROR(N(INDEX(Cars!$J$6:$J$10,MATCH($B37,Cars!$B$6:$B$10,0))),0)))))))</f>
        <v/>
      </c>
      <c r="L37" s="20">
        <f>IF(K37="","",IF(OR(K37&lt;TODAY(),AND(ISNUMBER(J37),J37&lt;0)),"Overdue",IF(OR(K37-TODAY()&lt;=N(Settings!$C$7),AND(ISNUMBER(J37),J37&lt;=N(Settings!$C$6))),"Due soon","OK")))</f>
        <v/>
      </c>
      <c r="M37" s="25" t="n"/>
      <c r="N37" s="1" t="n"/>
      <c r="O37">
        <f>IF(OR(L37="",L37="OK"),"",K37+ROW()/10000000)</f>
        <v/>
      </c>
    </row>
    <row r="38">
      <c r="A38" s="1" t="n"/>
      <c r="B38" s="24" t="n"/>
      <c r="C38" s="25" t="n"/>
      <c r="D38" s="28" t="n"/>
      <c r="E38" s="26" t="n"/>
      <c r="F38" s="28" t="n"/>
      <c r="G38" s="29" t="n"/>
      <c r="H38" s="11">
        <f>IF(OR(N(D38)=0,F38=""),"",F38+D38)</f>
        <v/>
      </c>
      <c r="I38" s="31">
        <f>IF(OR(N(E38)=0,G38=""),"",EDATE(G38,E38))</f>
        <v/>
      </c>
      <c r="J38" s="19">
        <f>IF(OR(H38="",ISNA(MATCH($B38,Cars!$B$6:$B$10,0))),"",H38-INDEX(Cars!$I$6:$I$10,MATCH($B38,Cars!$B$6:$B$10,0)))</f>
        <v/>
      </c>
      <c r="K38" s="32">
        <f>IF(AND(I38="",J38=""),"",IF(IF(OR(J38="",IFERROR(N(INDEX(Cars!$J$6:$J$10,MATCH($B38,Cars!$B$6:$B$10,0))),0)&lt;=0),"",TODAY()+INT(J38/IFERROR(N(INDEX(Cars!$J$6:$J$10,MATCH($B38,Cars!$B$6:$B$10,0))),0)))="",I38,IF(I38="",IF(OR(J38="",IFERROR(N(INDEX(Cars!$J$6:$J$10,MATCH($B38,Cars!$B$6:$B$10,0))),0)&lt;=0),"",TODAY()+INT(J38/IFERROR(N(INDEX(Cars!$J$6:$J$10,MATCH($B38,Cars!$B$6:$B$10,0))),0))),MIN(I38,IF(OR(J38="",IFERROR(N(INDEX(Cars!$J$6:$J$10,MATCH($B38,Cars!$B$6:$B$10,0))),0)&lt;=0),"",TODAY()+INT(J38/IFERROR(N(INDEX(Cars!$J$6:$J$10,MATCH($B38,Cars!$B$6:$B$10,0))),0)))))))</f>
        <v/>
      </c>
      <c r="L38" s="20">
        <f>IF(K38="","",IF(OR(K38&lt;TODAY(),AND(ISNUMBER(J38),J38&lt;0)),"Overdue",IF(OR(K38-TODAY()&lt;=N(Settings!$C$7),AND(ISNUMBER(J38),J38&lt;=N(Settings!$C$6))),"Due soon","OK")))</f>
        <v/>
      </c>
      <c r="M38" s="25" t="n"/>
      <c r="N38" s="1" t="n"/>
      <c r="O38">
        <f>IF(OR(L38="",L38="OK"),"",K38+ROW()/10000000)</f>
        <v/>
      </c>
    </row>
    <row r="39">
      <c r="A39" s="1" t="n"/>
      <c r="B39" s="24" t="n"/>
      <c r="C39" s="25" t="n"/>
      <c r="D39" s="28" t="n"/>
      <c r="E39" s="26" t="n"/>
      <c r="F39" s="28" t="n"/>
      <c r="G39" s="29" t="n"/>
      <c r="H39" s="11">
        <f>IF(OR(N(D39)=0,F39=""),"",F39+D39)</f>
        <v/>
      </c>
      <c r="I39" s="31">
        <f>IF(OR(N(E39)=0,G39=""),"",EDATE(G39,E39))</f>
        <v/>
      </c>
      <c r="J39" s="19">
        <f>IF(OR(H39="",ISNA(MATCH($B39,Cars!$B$6:$B$10,0))),"",H39-INDEX(Cars!$I$6:$I$10,MATCH($B39,Cars!$B$6:$B$10,0)))</f>
        <v/>
      </c>
      <c r="K39" s="32">
        <f>IF(AND(I39="",J39=""),"",IF(IF(OR(J39="",IFERROR(N(INDEX(Cars!$J$6:$J$10,MATCH($B39,Cars!$B$6:$B$10,0))),0)&lt;=0),"",TODAY()+INT(J39/IFERROR(N(INDEX(Cars!$J$6:$J$10,MATCH($B39,Cars!$B$6:$B$10,0))),0)))="",I39,IF(I39="",IF(OR(J39="",IFERROR(N(INDEX(Cars!$J$6:$J$10,MATCH($B39,Cars!$B$6:$B$10,0))),0)&lt;=0),"",TODAY()+INT(J39/IFERROR(N(INDEX(Cars!$J$6:$J$10,MATCH($B39,Cars!$B$6:$B$10,0))),0))),MIN(I39,IF(OR(J39="",IFERROR(N(INDEX(Cars!$J$6:$J$10,MATCH($B39,Cars!$B$6:$B$10,0))),0)&lt;=0),"",TODAY()+INT(J39/IFERROR(N(INDEX(Cars!$J$6:$J$10,MATCH($B39,Cars!$B$6:$B$10,0))),0)))))))</f>
        <v/>
      </c>
      <c r="L39" s="20">
        <f>IF(K39="","",IF(OR(K39&lt;TODAY(),AND(ISNUMBER(J39),J39&lt;0)),"Overdue",IF(OR(K39-TODAY()&lt;=N(Settings!$C$7),AND(ISNUMBER(J39),J39&lt;=N(Settings!$C$6))),"Due soon","OK")))</f>
        <v/>
      </c>
      <c r="M39" s="25" t="n"/>
      <c r="N39" s="1" t="n"/>
      <c r="O39">
        <f>IF(OR(L39="",L39="OK"),"",K39+ROW()/10000000)</f>
        <v/>
      </c>
    </row>
    <row r="40">
      <c r="A40" s="1" t="n"/>
      <c r="B40" s="24" t="n"/>
      <c r="C40" s="25" t="n"/>
      <c r="D40" s="28" t="n"/>
      <c r="E40" s="26" t="n"/>
      <c r="F40" s="28" t="n"/>
      <c r="G40" s="29" t="n"/>
      <c r="H40" s="11">
        <f>IF(OR(N(D40)=0,F40=""),"",F40+D40)</f>
        <v/>
      </c>
      <c r="I40" s="31">
        <f>IF(OR(N(E40)=0,G40=""),"",EDATE(G40,E40))</f>
        <v/>
      </c>
      <c r="J40" s="19">
        <f>IF(OR(H40="",ISNA(MATCH($B40,Cars!$B$6:$B$10,0))),"",H40-INDEX(Cars!$I$6:$I$10,MATCH($B40,Cars!$B$6:$B$10,0)))</f>
        <v/>
      </c>
      <c r="K40" s="32">
        <f>IF(AND(I40="",J40=""),"",IF(IF(OR(J40="",IFERROR(N(INDEX(Cars!$J$6:$J$10,MATCH($B40,Cars!$B$6:$B$10,0))),0)&lt;=0),"",TODAY()+INT(J40/IFERROR(N(INDEX(Cars!$J$6:$J$10,MATCH($B40,Cars!$B$6:$B$10,0))),0)))="",I40,IF(I40="",IF(OR(J40="",IFERROR(N(INDEX(Cars!$J$6:$J$10,MATCH($B40,Cars!$B$6:$B$10,0))),0)&lt;=0),"",TODAY()+INT(J40/IFERROR(N(INDEX(Cars!$J$6:$J$10,MATCH($B40,Cars!$B$6:$B$10,0))),0))),MIN(I40,IF(OR(J40="",IFERROR(N(INDEX(Cars!$J$6:$J$10,MATCH($B40,Cars!$B$6:$B$10,0))),0)&lt;=0),"",TODAY()+INT(J40/IFERROR(N(INDEX(Cars!$J$6:$J$10,MATCH($B40,Cars!$B$6:$B$10,0))),0)))))))</f>
        <v/>
      </c>
      <c r="L40" s="20">
        <f>IF(K40="","",IF(OR(K40&lt;TODAY(),AND(ISNUMBER(J40),J40&lt;0)),"Overdue",IF(OR(K40-TODAY()&lt;=N(Settings!$C$7),AND(ISNUMBER(J40),J40&lt;=N(Settings!$C$6))),"Due soon","OK")))</f>
        <v/>
      </c>
      <c r="M40" s="25" t="n"/>
      <c r="N40" s="1" t="n"/>
      <c r="O40">
        <f>IF(OR(L40="",L40="OK"),"",K40+ROW()/10000000)</f>
        <v/>
      </c>
    </row>
    <row r="41">
      <c r="A41" s="1" t="n"/>
      <c r="B41" s="24" t="n"/>
      <c r="C41" s="25" t="n"/>
      <c r="D41" s="28" t="n"/>
      <c r="E41" s="26" t="n"/>
      <c r="F41" s="28" t="n"/>
      <c r="G41" s="29" t="n"/>
      <c r="H41" s="11">
        <f>IF(OR(N(D41)=0,F41=""),"",F41+D41)</f>
        <v/>
      </c>
      <c r="I41" s="31">
        <f>IF(OR(N(E41)=0,G41=""),"",EDATE(G41,E41))</f>
        <v/>
      </c>
      <c r="J41" s="19">
        <f>IF(OR(H41="",ISNA(MATCH($B41,Cars!$B$6:$B$10,0))),"",H41-INDEX(Cars!$I$6:$I$10,MATCH($B41,Cars!$B$6:$B$10,0)))</f>
        <v/>
      </c>
      <c r="K41" s="32">
        <f>IF(AND(I41="",J41=""),"",IF(IF(OR(J41="",IFERROR(N(INDEX(Cars!$J$6:$J$10,MATCH($B41,Cars!$B$6:$B$10,0))),0)&lt;=0),"",TODAY()+INT(J41/IFERROR(N(INDEX(Cars!$J$6:$J$10,MATCH($B41,Cars!$B$6:$B$10,0))),0)))="",I41,IF(I41="",IF(OR(J41="",IFERROR(N(INDEX(Cars!$J$6:$J$10,MATCH($B41,Cars!$B$6:$B$10,0))),0)&lt;=0),"",TODAY()+INT(J41/IFERROR(N(INDEX(Cars!$J$6:$J$10,MATCH($B41,Cars!$B$6:$B$10,0))),0))),MIN(I41,IF(OR(J41="",IFERROR(N(INDEX(Cars!$J$6:$J$10,MATCH($B41,Cars!$B$6:$B$10,0))),0)&lt;=0),"",TODAY()+INT(J41/IFERROR(N(INDEX(Cars!$J$6:$J$10,MATCH($B41,Cars!$B$6:$B$10,0))),0)))))))</f>
        <v/>
      </c>
      <c r="L41" s="20">
        <f>IF(K41="","",IF(OR(K41&lt;TODAY(),AND(ISNUMBER(J41),J41&lt;0)),"Overdue",IF(OR(K41-TODAY()&lt;=N(Settings!$C$7),AND(ISNUMBER(J41),J41&lt;=N(Settings!$C$6))),"Due soon","OK")))</f>
        <v/>
      </c>
      <c r="M41" s="25" t="n"/>
      <c r="N41" s="1" t="n"/>
      <c r="O41">
        <f>IF(OR(L41="",L41="OK"),"",K41+ROW()/10000000)</f>
        <v/>
      </c>
    </row>
    <row r="42">
      <c r="A42" s="1" t="n"/>
      <c r="B42" s="24" t="n"/>
      <c r="C42" s="25" t="n"/>
      <c r="D42" s="28" t="n"/>
      <c r="E42" s="26" t="n"/>
      <c r="F42" s="28" t="n"/>
      <c r="G42" s="29" t="n"/>
      <c r="H42" s="11">
        <f>IF(OR(N(D42)=0,F42=""),"",F42+D42)</f>
        <v/>
      </c>
      <c r="I42" s="31">
        <f>IF(OR(N(E42)=0,G42=""),"",EDATE(G42,E42))</f>
        <v/>
      </c>
      <c r="J42" s="19">
        <f>IF(OR(H42="",ISNA(MATCH($B42,Cars!$B$6:$B$10,0))),"",H42-INDEX(Cars!$I$6:$I$10,MATCH($B42,Cars!$B$6:$B$10,0)))</f>
        <v/>
      </c>
      <c r="K42" s="32">
        <f>IF(AND(I42="",J42=""),"",IF(IF(OR(J42="",IFERROR(N(INDEX(Cars!$J$6:$J$10,MATCH($B42,Cars!$B$6:$B$10,0))),0)&lt;=0),"",TODAY()+INT(J42/IFERROR(N(INDEX(Cars!$J$6:$J$10,MATCH($B42,Cars!$B$6:$B$10,0))),0)))="",I42,IF(I42="",IF(OR(J42="",IFERROR(N(INDEX(Cars!$J$6:$J$10,MATCH($B42,Cars!$B$6:$B$10,0))),0)&lt;=0),"",TODAY()+INT(J42/IFERROR(N(INDEX(Cars!$J$6:$J$10,MATCH($B42,Cars!$B$6:$B$10,0))),0))),MIN(I42,IF(OR(J42="",IFERROR(N(INDEX(Cars!$J$6:$J$10,MATCH($B42,Cars!$B$6:$B$10,0))),0)&lt;=0),"",TODAY()+INT(J42/IFERROR(N(INDEX(Cars!$J$6:$J$10,MATCH($B42,Cars!$B$6:$B$10,0))),0)))))))</f>
        <v/>
      </c>
      <c r="L42" s="20">
        <f>IF(K42="","",IF(OR(K42&lt;TODAY(),AND(ISNUMBER(J42),J42&lt;0)),"Overdue",IF(OR(K42-TODAY()&lt;=N(Settings!$C$7),AND(ISNUMBER(J42),J42&lt;=N(Settings!$C$6))),"Due soon","OK")))</f>
        <v/>
      </c>
      <c r="M42" s="25" t="n"/>
      <c r="N42" s="1" t="n"/>
      <c r="O42">
        <f>IF(OR(L42="",L42="OK"),"",K42+ROW()/10000000)</f>
        <v/>
      </c>
    </row>
    <row r="43">
      <c r="A43" s="1" t="n"/>
      <c r="B43" s="24" t="n"/>
      <c r="C43" s="25" t="n"/>
      <c r="D43" s="28" t="n"/>
      <c r="E43" s="26" t="n"/>
      <c r="F43" s="28" t="n"/>
      <c r="G43" s="29" t="n"/>
      <c r="H43" s="11">
        <f>IF(OR(N(D43)=0,F43=""),"",F43+D43)</f>
        <v/>
      </c>
      <c r="I43" s="31">
        <f>IF(OR(N(E43)=0,G43=""),"",EDATE(G43,E43))</f>
        <v/>
      </c>
      <c r="J43" s="19">
        <f>IF(OR(H43="",ISNA(MATCH($B43,Cars!$B$6:$B$10,0))),"",H43-INDEX(Cars!$I$6:$I$10,MATCH($B43,Cars!$B$6:$B$10,0)))</f>
        <v/>
      </c>
      <c r="K43" s="32">
        <f>IF(AND(I43="",J43=""),"",IF(IF(OR(J43="",IFERROR(N(INDEX(Cars!$J$6:$J$10,MATCH($B43,Cars!$B$6:$B$10,0))),0)&lt;=0),"",TODAY()+INT(J43/IFERROR(N(INDEX(Cars!$J$6:$J$10,MATCH($B43,Cars!$B$6:$B$10,0))),0)))="",I43,IF(I43="",IF(OR(J43="",IFERROR(N(INDEX(Cars!$J$6:$J$10,MATCH($B43,Cars!$B$6:$B$10,0))),0)&lt;=0),"",TODAY()+INT(J43/IFERROR(N(INDEX(Cars!$J$6:$J$10,MATCH($B43,Cars!$B$6:$B$10,0))),0))),MIN(I43,IF(OR(J43="",IFERROR(N(INDEX(Cars!$J$6:$J$10,MATCH($B43,Cars!$B$6:$B$10,0))),0)&lt;=0),"",TODAY()+INT(J43/IFERROR(N(INDEX(Cars!$J$6:$J$10,MATCH($B43,Cars!$B$6:$B$10,0))),0)))))))</f>
        <v/>
      </c>
      <c r="L43" s="20">
        <f>IF(K43="","",IF(OR(K43&lt;TODAY(),AND(ISNUMBER(J43),J43&lt;0)),"Overdue",IF(OR(K43-TODAY()&lt;=N(Settings!$C$7),AND(ISNUMBER(J43),J43&lt;=N(Settings!$C$6))),"Due soon","OK")))</f>
        <v/>
      </c>
      <c r="M43" s="25" t="n"/>
      <c r="N43" s="1" t="n"/>
      <c r="O43">
        <f>IF(OR(L43="",L43="OK"),"",K43+ROW()/10000000)</f>
        <v/>
      </c>
    </row>
    <row r="44">
      <c r="A44" s="1" t="n"/>
      <c r="B44" s="24" t="n"/>
      <c r="C44" s="25" t="n"/>
      <c r="D44" s="28" t="n"/>
      <c r="E44" s="26" t="n"/>
      <c r="F44" s="28" t="n"/>
      <c r="G44" s="29" t="n"/>
      <c r="H44" s="11">
        <f>IF(OR(N(D44)=0,F44=""),"",F44+D44)</f>
        <v/>
      </c>
      <c r="I44" s="31">
        <f>IF(OR(N(E44)=0,G44=""),"",EDATE(G44,E44))</f>
        <v/>
      </c>
      <c r="J44" s="19">
        <f>IF(OR(H44="",ISNA(MATCH($B44,Cars!$B$6:$B$10,0))),"",H44-INDEX(Cars!$I$6:$I$10,MATCH($B44,Cars!$B$6:$B$10,0)))</f>
        <v/>
      </c>
      <c r="K44" s="32">
        <f>IF(AND(I44="",J44=""),"",IF(IF(OR(J44="",IFERROR(N(INDEX(Cars!$J$6:$J$10,MATCH($B44,Cars!$B$6:$B$10,0))),0)&lt;=0),"",TODAY()+INT(J44/IFERROR(N(INDEX(Cars!$J$6:$J$10,MATCH($B44,Cars!$B$6:$B$10,0))),0)))="",I44,IF(I44="",IF(OR(J44="",IFERROR(N(INDEX(Cars!$J$6:$J$10,MATCH($B44,Cars!$B$6:$B$10,0))),0)&lt;=0),"",TODAY()+INT(J44/IFERROR(N(INDEX(Cars!$J$6:$J$10,MATCH($B44,Cars!$B$6:$B$10,0))),0))),MIN(I44,IF(OR(J44="",IFERROR(N(INDEX(Cars!$J$6:$J$10,MATCH($B44,Cars!$B$6:$B$10,0))),0)&lt;=0),"",TODAY()+INT(J44/IFERROR(N(INDEX(Cars!$J$6:$J$10,MATCH($B44,Cars!$B$6:$B$10,0))),0)))))))</f>
        <v/>
      </c>
      <c r="L44" s="20">
        <f>IF(K44="","",IF(OR(K44&lt;TODAY(),AND(ISNUMBER(J44),J44&lt;0)),"Overdue",IF(OR(K44-TODAY()&lt;=N(Settings!$C$7),AND(ISNUMBER(J44),J44&lt;=N(Settings!$C$6))),"Due soon","OK")))</f>
        <v/>
      </c>
      <c r="M44" s="25" t="n"/>
      <c r="N44" s="1" t="n"/>
      <c r="O44">
        <f>IF(OR(L44="",L44="OK"),"",K44+ROW()/10000000)</f>
        <v/>
      </c>
    </row>
    <row r="45">
      <c r="A45" s="1" t="n"/>
      <c r="B45" s="24" t="n"/>
      <c r="C45" s="25" t="n"/>
      <c r="D45" s="28" t="n"/>
      <c r="E45" s="26" t="n"/>
      <c r="F45" s="28" t="n"/>
      <c r="G45" s="29" t="n"/>
      <c r="H45" s="11">
        <f>IF(OR(N(D45)=0,F45=""),"",F45+D45)</f>
        <v/>
      </c>
      <c r="I45" s="31">
        <f>IF(OR(N(E45)=0,G45=""),"",EDATE(G45,E45))</f>
        <v/>
      </c>
      <c r="J45" s="19">
        <f>IF(OR(H45="",ISNA(MATCH($B45,Cars!$B$6:$B$10,0))),"",H45-INDEX(Cars!$I$6:$I$10,MATCH($B45,Cars!$B$6:$B$10,0)))</f>
        <v/>
      </c>
      <c r="K45" s="32">
        <f>IF(AND(I45="",J45=""),"",IF(IF(OR(J45="",IFERROR(N(INDEX(Cars!$J$6:$J$10,MATCH($B45,Cars!$B$6:$B$10,0))),0)&lt;=0),"",TODAY()+INT(J45/IFERROR(N(INDEX(Cars!$J$6:$J$10,MATCH($B45,Cars!$B$6:$B$10,0))),0)))="",I45,IF(I45="",IF(OR(J45="",IFERROR(N(INDEX(Cars!$J$6:$J$10,MATCH($B45,Cars!$B$6:$B$10,0))),0)&lt;=0),"",TODAY()+INT(J45/IFERROR(N(INDEX(Cars!$J$6:$J$10,MATCH($B45,Cars!$B$6:$B$10,0))),0))),MIN(I45,IF(OR(J45="",IFERROR(N(INDEX(Cars!$J$6:$J$10,MATCH($B45,Cars!$B$6:$B$10,0))),0)&lt;=0),"",TODAY()+INT(J45/IFERROR(N(INDEX(Cars!$J$6:$J$10,MATCH($B45,Cars!$B$6:$B$10,0))),0)))))))</f>
        <v/>
      </c>
      <c r="L45" s="20">
        <f>IF(K45="","",IF(OR(K45&lt;TODAY(),AND(ISNUMBER(J45),J45&lt;0)),"Overdue",IF(OR(K45-TODAY()&lt;=N(Settings!$C$7),AND(ISNUMBER(J45),J45&lt;=N(Settings!$C$6))),"Due soon","OK")))</f>
        <v/>
      </c>
      <c r="M45" s="25" t="n"/>
      <c r="N45" s="1" t="n"/>
      <c r="O45">
        <f>IF(OR(L45="",L45="OK"),"",K45+ROW()/10000000)</f>
        <v/>
      </c>
    </row>
    <row r="46">
      <c r="A46" s="1" t="n"/>
      <c r="B46" s="24" t="n"/>
      <c r="C46" s="25" t="n"/>
      <c r="D46" s="28" t="n"/>
      <c r="E46" s="26" t="n"/>
      <c r="F46" s="28" t="n"/>
      <c r="G46" s="29" t="n"/>
      <c r="H46" s="11">
        <f>IF(OR(N(D46)=0,F46=""),"",F46+D46)</f>
        <v/>
      </c>
      <c r="I46" s="31">
        <f>IF(OR(N(E46)=0,G46=""),"",EDATE(G46,E46))</f>
        <v/>
      </c>
      <c r="J46" s="19">
        <f>IF(OR(H46="",ISNA(MATCH($B46,Cars!$B$6:$B$10,0))),"",H46-INDEX(Cars!$I$6:$I$10,MATCH($B46,Cars!$B$6:$B$10,0)))</f>
        <v/>
      </c>
      <c r="K46" s="32">
        <f>IF(AND(I46="",J46=""),"",IF(IF(OR(J46="",IFERROR(N(INDEX(Cars!$J$6:$J$10,MATCH($B46,Cars!$B$6:$B$10,0))),0)&lt;=0),"",TODAY()+INT(J46/IFERROR(N(INDEX(Cars!$J$6:$J$10,MATCH($B46,Cars!$B$6:$B$10,0))),0)))="",I46,IF(I46="",IF(OR(J46="",IFERROR(N(INDEX(Cars!$J$6:$J$10,MATCH($B46,Cars!$B$6:$B$10,0))),0)&lt;=0),"",TODAY()+INT(J46/IFERROR(N(INDEX(Cars!$J$6:$J$10,MATCH($B46,Cars!$B$6:$B$10,0))),0))),MIN(I46,IF(OR(J46="",IFERROR(N(INDEX(Cars!$J$6:$J$10,MATCH($B46,Cars!$B$6:$B$10,0))),0)&lt;=0),"",TODAY()+INT(J46/IFERROR(N(INDEX(Cars!$J$6:$J$10,MATCH($B46,Cars!$B$6:$B$10,0))),0)))))))</f>
        <v/>
      </c>
      <c r="L46" s="20">
        <f>IF(K46="","",IF(OR(K46&lt;TODAY(),AND(ISNUMBER(J46),J46&lt;0)),"Overdue",IF(OR(K46-TODAY()&lt;=N(Settings!$C$7),AND(ISNUMBER(J46),J46&lt;=N(Settings!$C$6))),"Due soon","OK")))</f>
        <v/>
      </c>
      <c r="M46" s="25" t="n"/>
      <c r="N46" s="1" t="n"/>
      <c r="O46">
        <f>IF(OR(L46="",L46="OK"),"",K46+ROW()/10000000)</f>
        <v/>
      </c>
    </row>
    <row r="47">
      <c r="A47" s="1" t="n"/>
      <c r="B47" s="24" t="n"/>
      <c r="C47" s="25" t="n"/>
      <c r="D47" s="28" t="n"/>
      <c r="E47" s="26" t="n"/>
      <c r="F47" s="28" t="n"/>
      <c r="G47" s="29" t="n"/>
      <c r="H47" s="11">
        <f>IF(OR(N(D47)=0,F47=""),"",F47+D47)</f>
        <v/>
      </c>
      <c r="I47" s="31">
        <f>IF(OR(N(E47)=0,G47=""),"",EDATE(G47,E47))</f>
        <v/>
      </c>
      <c r="J47" s="19">
        <f>IF(OR(H47="",ISNA(MATCH($B47,Cars!$B$6:$B$10,0))),"",H47-INDEX(Cars!$I$6:$I$10,MATCH($B47,Cars!$B$6:$B$10,0)))</f>
        <v/>
      </c>
      <c r="K47" s="32">
        <f>IF(AND(I47="",J47=""),"",IF(IF(OR(J47="",IFERROR(N(INDEX(Cars!$J$6:$J$10,MATCH($B47,Cars!$B$6:$B$10,0))),0)&lt;=0),"",TODAY()+INT(J47/IFERROR(N(INDEX(Cars!$J$6:$J$10,MATCH($B47,Cars!$B$6:$B$10,0))),0)))="",I47,IF(I47="",IF(OR(J47="",IFERROR(N(INDEX(Cars!$J$6:$J$10,MATCH($B47,Cars!$B$6:$B$10,0))),0)&lt;=0),"",TODAY()+INT(J47/IFERROR(N(INDEX(Cars!$J$6:$J$10,MATCH($B47,Cars!$B$6:$B$10,0))),0))),MIN(I47,IF(OR(J47="",IFERROR(N(INDEX(Cars!$J$6:$J$10,MATCH($B47,Cars!$B$6:$B$10,0))),0)&lt;=0),"",TODAY()+INT(J47/IFERROR(N(INDEX(Cars!$J$6:$J$10,MATCH($B47,Cars!$B$6:$B$10,0))),0)))))))</f>
        <v/>
      </c>
      <c r="L47" s="20">
        <f>IF(K47="","",IF(OR(K47&lt;TODAY(),AND(ISNUMBER(J47),J47&lt;0)),"Overdue",IF(OR(K47-TODAY()&lt;=N(Settings!$C$7),AND(ISNUMBER(J47),J47&lt;=N(Settings!$C$6))),"Due soon","OK")))</f>
        <v/>
      </c>
      <c r="M47" s="25" t="n"/>
      <c r="N47" s="1" t="n"/>
      <c r="O47">
        <f>IF(OR(L47="",L47="OK"),"",K47+ROW()/10000000)</f>
        <v/>
      </c>
    </row>
    <row r="48">
      <c r="A48" s="1" t="n"/>
      <c r="B48" s="24" t="n"/>
      <c r="C48" s="25" t="n"/>
      <c r="D48" s="28" t="n"/>
      <c r="E48" s="26" t="n"/>
      <c r="F48" s="28" t="n"/>
      <c r="G48" s="29" t="n"/>
      <c r="H48" s="11">
        <f>IF(OR(N(D48)=0,F48=""),"",F48+D48)</f>
        <v/>
      </c>
      <c r="I48" s="31">
        <f>IF(OR(N(E48)=0,G48=""),"",EDATE(G48,E48))</f>
        <v/>
      </c>
      <c r="J48" s="19">
        <f>IF(OR(H48="",ISNA(MATCH($B48,Cars!$B$6:$B$10,0))),"",H48-INDEX(Cars!$I$6:$I$10,MATCH($B48,Cars!$B$6:$B$10,0)))</f>
        <v/>
      </c>
      <c r="K48" s="32">
        <f>IF(AND(I48="",J48=""),"",IF(IF(OR(J48="",IFERROR(N(INDEX(Cars!$J$6:$J$10,MATCH($B48,Cars!$B$6:$B$10,0))),0)&lt;=0),"",TODAY()+INT(J48/IFERROR(N(INDEX(Cars!$J$6:$J$10,MATCH($B48,Cars!$B$6:$B$10,0))),0)))="",I48,IF(I48="",IF(OR(J48="",IFERROR(N(INDEX(Cars!$J$6:$J$10,MATCH($B48,Cars!$B$6:$B$10,0))),0)&lt;=0),"",TODAY()+INT(J48/IFERROR(N(INDEX(Cars!$J$6:$J$10,MATCH($B48,Cars!$B$6:$B$10,0))),0))),MIN(I48,IF(OR(J48="",IFERROR(N(INDEX(Cars!$J$6:$J$10,MATCH($B48,Cars!$B$6:$B$10,0))),0)&lt;=0),"",TODAY()+INT(J48/IFERROR(N(INDEX(Cars!$J$6:$J$10,MATCH($B48,Cars!$B$6:$B$10,0))),0)))))))</f>
        <v/>
      </c>
      <c r="L48" s="20">
        <f>IF(K48="","",IF(OR(K48&lt;TODAY(),AND(ISNUMBER(J48),J48&lt;0)),"Overdue",IF(OR(K48-TODAY()&lt;=N(Settings!$C$7),AND(ISNUMBER(J48),J48&lt;=N(Settings!$C$6))),"Due soon","OK")))</f>
        <v/>
      </c>
      <c r="M48" s="25" t="n"/>
      <c r="N48" s="1" t="n"/>
      <c r="O48">
        <f>IF(OR(L48="",L48="OK"),"",K48+ROW()/10000000)</f>
        <v/>
      </c>
    </row>
    <row r="49">
      <c r="A49" s="1" t="n"/>
      <c r="B49" s="24" t="n"/>
      <c r="C49" s="25" t="n"/>
      <c r="D49" s="28" t="n"/>
      <c r="E49" s="26" t="n"/>
      <c r="F49" s="28" t="n"/>
      <c r="G49" s="29" t="n"/>
      <c r="H49" s="11">
        <f>IF(OR(N(D49)=0,F49=""),"",F49+D49)</f>
        <v/>
      </c>
      <c r="I49" s="31">
        <f>IF(OR(N(E49)=0,G49=""),"",EDATE(G49,E49))</f>
        <v/>
      </c>
      <c r="J49" s="19">
        <f>IF(OR(H49="",ISNA(MATCH($B49,Cars!$B$6:$B$10,0))),"",H49-INDEX(Cars!$I$6:$I$10,MATCH($B49,Cars!$B$6:$B$10,0)))</f>
        <v/>
      </c>
      <c r="K49" s="32">
        <f>IF(AND(I49="",J49=""),"",IF(IF(OR(J49="",IFERROR(N(INDEX(Cars!$J$6:$J$10,MATCH($B49,Cars!$B$6:$B$10,0))),0)&lt;=0),"",TODAY()+INT(J49/IFERROR(N(INDEX(Cars!$J$6:$J$10,MATCH($B49,Cars!$B$6:$B$10,0))),0)))="",I49,IF(I49="",IF(OR(J49="",IFERROR(N(INDEX(Cars!$J$6:$J$10,MATCH($B49,Cars!$B$6:$B$10,0))),0)&lt;=0),"",TODAY()+INT(J49/IFERROR(N(INDEX(Cars!$J$6:$J$10,MATCH($B49,Cars!$B$6:$B$10,0))),0))),MIN(I49,IF(OR(J49="",IFERROR(N(INDEX(Cars!$J$6:$J$10,MATCH($B49,Cars!$B$6:$B$10,0))),0)&lt;=0),"",TODAY()+INT(J49/IFERROR(N(INDEX(Cars!$J$6:$J$10,MATCH($B49,Cars!$B$6:$B$10,0))),0)))))))</f>
        <v/>
      </c>
      <c r="L49" s="20">
        <f>IF(K49="","",IF(OR(K49&lt;TODAY(),AND(ISNUMBER(J49),J49&lt;0)),"Overdue",IF(OR(K49-TODAY()&lt;=N(Settings!$C$7),AND(ISNUMBER(J49),J49&lt;=N(Settings!$C$6))),"Due soon","OK")))</f>
        <v/>
      </c>
      <c r="M49" s="25" t="n"/>
      <c r="N49" s="1" t="n"/>
      <c r="O49">
        <f>IF(OR(L49="",L49="OK"),"",K49+ROW()/10000000)</f>
        <v/>
      </c>
    </row>
    <row r="50">
      <c r="A50" s="1" t="n"/>
      <c r="B50" s="24" t="n"/>
      <c r="C50" s="25" t="n"/>
      <c r="D50" s="28" t="n"/>
      <c r="E50" s="26" t="n"/>
      <c r="F50" s="28" t="n"/>
      <c r="G50" s="29" t="n"/>
      <c r="H50" s="11">
        <f>IF(OR(N(D50)=0,F50=""),"",F50+D50)</f>
        <v/>
      </c>
      <c r="I50" s="31">
        <f>IF(OR(N(E50)=0,G50=""),"",EDATE(G50,E50))</f>
        <v/>
      </c>
      <c r="J50" s="19">
        <f>IF(OR(H50="",ISNA(MATCH($B50,Cars!$B$6:$B$10,0))),"",H50-INDEX(Cars!$I$6:$I$10,MATCH($B50,Cars!$B$6:$B$10,0)))</f>
        <v/>
      </c>
      <c r="K50" s="32">
        <f>IF(AND(I50="",J50=""),"",IF(IF(OR(J50="",IFERROR(N(INDEX(Cars!$J$6:$J$10,MATCH($B50,Cars!$B$6:$B$10,0))),0)&lt;=0),"",TODAY()+INT(J50/IFERROR(N(INDEX(Cars!$J$6:$J$10,MATCH($B50,Cars!$B$6:$B$10,0))),0)))="",I50,IF(I50="",IF(OR(J50="",IFERROR(N(INDEX(Cars!$J$6:$J$10,MATCH($B50,Cars!$B$6:$B$10,0))),0)&lt;=0),"",TODAY()+INT(J50/IFERROR(N(INDEX(Cars!$J$6:$J$10,MATCH($B50,Cars!$B$6:$B$10,0))),0))),MIN(I50,IF(OR(J50="",IFERROR(N(INDEX(Cars!$J$6:$J$10,MATCH($B50,Cars!$B$6:$B$10,0))),0)&lt;=0),"",TODAY()+INT(J50/IFERROR(N(INDEX(Cars!$J$6:$J$10,MATCH($B50,Cars!$B$6:$B$10,0))),0)))))))</f>
        <v/>
      </c>
      <c r="L50" s="20">
        <f>IF(K50="","",IF(OR(K50&lt;TODAY(),AND(ISNUMBER(J50),J50&lt;0)),"Overdue",IF(OR(K50-TODAY()&lt;=N(Settings!$C$7),AND(ISNUMBER(J50),J50&lt;=N(Settings!$C$6))),"Due soon","OK")))</f>
        <v/>
      </c>
      <c r="M50" s="25" t="n"/>
      <c r="N50" s="1" t="n"/>
      <c r="O50">
        <f>IF(OR(L50="",L50="OK"),"",K50+ROW()/10000000)</f>
        <v/>
      </c>
    </row>
    <row r="51">
      <c r="A51" s="1" t="n"/>
      <c r="B51" s="24" t="n"/>
      <c r="C51" s="25" t="n"/>
      <c r="D51" s="28" t="n"/>
      <c r="E51" s="26" t="n"/>
      <c r="F51" s="28" t="n"/>
      <c r="G51" s="29" t="n"/>
      <c r="H51" s="11">
        <f>IF(OR(N(D51)=0,F51=""),"",F51+D51)</f>
        <v/>
      </c>
      <c r="I51" s="31">
        <f>IF(OR(N(E51)=0,G51=""),"",EDATE(G51,E51))</f>
        <v/>
      </c>
      <c r="J51" s="19">
        <f>IF(OR(H51="",ISNA(MATCH($B51,Cars!$B$6:$B$10,0))),"",H51-INDEX(Cars!$I$6:$I$10,MATCH($B51,Cars!$B$6:$B$10,0)))</f>
        <v/>
      </c>
      <c r="K51" s="32">
        <f>IF(AND(I51="",J51=""),"",IF(IF(OR(J51="",IFERROR(N(INDEX(Cars!$J$6:$J$10,MATCH($B51,Cars!$B$6:$B$10,0))),0)&lt;=0),"",TODAY()+INT(J51/IFERROR(N(INDEX(Cars!$J$6:$J$10,MATCH($B51,Cars!$B$6:$B$10,0))),0)))="",I51,IF(I51="",IF(OR(J51="",IFERROR(N(INDEX(Cars!$J$6:$J$10,MATCH($B51,Cars!$B$6:$B$10,0))),0)&lt;=0),"",TODAY()+INT(J51/IFERROR(N(INDEX(Cars!$J$6:$J$10,MATCH($B51,Cars!$B$6:$B$10,0))),0))),MIN(I51,IF(OR(J51="",IFERROR(N(INDEX(Cars!$J$6:$J$10,MATCH($B51,Cars!$B$6:$B$10,0))),0)&lt;=0),"",TODAY()+INT(J51/IFERROR(N(INDEX(Cars!$J$6:$J$10,MATCH($B51,Cars!$B$6:$B$10,0))),0)))))))</f>
        <v/>
      </c>
      <c r="L51" s="20">
        <f>IF(K51="","",IF(OR(K51&lt;TODAY(),AND(ISNUMBER(J51),J51&lt;0)),"Overdue",IF(OR(K51-TODAY()&lt;=N(Settings!$C$7),AND(ISNUMBER(J51),J51&lt;=N(Settings!$C$6))),"Due soon","OK")))</f>
        <v/>
      </c>
      <c r="M51" s="25" t="n"/>
      <c r="N51" s="1" t="n"/>
      <c r="O51">
        <f>IF(OR(L51="",L51="OK"),"",K51+ROW()/10000000)</f>
        <v/>
      </c>
    </row>
    <row r="52">
      <c r="A52" s="1" t="n"/>
      <c r="B52" s="24" t="n"/>
      <c r="C52" s="25" t="n"/>
      <c r="D52" s="28" t="n"/>
      <c r="E52" s="26" t="n"/>
      <c r="F52" s="28" t="n"/>
      <c r="G52" s="29" t="n"/>
      <c r="H52" s="11">
        <f>IF(OR(N(D52)=0,F52=""),"",F52+D52)</f>
        <v/>
      </c>
      <c r="I52" s="31">
        <f>IF(OR(N(E52)=0,G52=""),"",EDATE(G52,E52))</f>
        <v/>
      </c>
      <c r="J52" s="19">
        <f>IF(OR(H52="",ISNA(MATCH($B52,Cars!$B$6:$B$10,0))),"",H52-INDEX(Cars!$I$6:$I$10,MATCH($B52,Cars!$B$6:$B$10,0)))</f>
        <v/>
      </c>
      <c r="K52" s="32">
        <f>IF(AND(I52="",J52=""),"",IF(IF(OR(J52="",IFERROR(N(INDEX(Cars!$J$6:$J$10,MATCH($B52,Cars!$B$6:$B$10,0))),0)&lt;=0),"",TODAY()+INT(J52/IFERROR(N(INDEX(Cars!$J$6:$J$10,MATCH($B52,Cars!$B$6:$B$10,0))),0)))="",I52,IF(I52="",IF(OR(J52="",IFERROR(N(INDEX(Cars!$J$6:$J$10,MATCH($B52,Cars!$B$6:$B$10,0))),0)&lt;=0),"",TODAY()+INT(J52/IFERROR(N(INDEX(Cars!$J$6:$J$10,MATCH($B52,Cars!$B$6:$B$10,0))),0))),MIN(I52,IF(OR(J52="",IFERROR(N(INDEX(Cars!$J$6:$J$10,MATCH($B52,Cars!$B$6:$B$10,0))),0)&lt;=0),"",TODAY()+INT(J52/IFERROR(N(INDEX(Cars!$J$6:$J$10,MATCH($B52,Cars!$B$6:$B$10,0))),0)))))))</f>
        <v/>
      </c>
      <c r="L52" s="20">
        <f>IF(K52="","",IF(OR(K52&lt;TODAY(),AND(ISNUMBER(J52),J52&lt;0)),"Overdue",IF(OR(K52-TODAY()&lt;=N(Settings!$C$7),AND(ISNUMBER(J52),J52&lt;=N(Settings!$C$6))),"Due soon","OK")))</f>
        <v/>
      </c>
      <c r="M52" s="25" t="n"/>
      <c r="N52" s="1" t="n"/>
      <c r="O52">
        <f>IF(OR(L52="",L52="OK"),"",K52+ROW()/10000000)</f>
        <v/>
      </c>
    </row>
    <row r="53">
      <c r="A53" s="1" t="n"/>
      <c r="B53" s="24" t="n"/>
      <c r="C53" s="25" t="n"/>
      <c r="D53" s="28" t="n"/>
      <c r="E53" s="26" t="n"/>
      <c r="F53" s="28" t="n"/>
      <c r="G53" s="29" t="n"/>
      <c r="H53" s="11">
        <f>IF(OR(N(D53)=0,F53=""),"",F53+D53)</f>
        <v/>
      </c>
      <c r="I53" s="31">
        <f>IF(OR(N(E53)=0,G53=""),"",EDATE(G53,E53))</f>
        <v/>
      </c>
      <c r="J53" s="19">
        <f>IF(OR(H53="",ISNA(MATCH($B53,Cars!$B$6:$B$10,0))),"",H53-INDEX(Cars!$I$6:$I$10,MATCH($B53,Cars!$B$6:$B$10,0)))</f>
        <v/>
      </c>
      <c r="K53" s="32">
        <f>IF(AND(I53="",J53=""),"",IF(IF(OR(J53="",IFERROR(N(INDEX(Cars!$J$6:$J$10,MATCH($B53,Cars!$B$6:$B$10,0))),0)&lt;=0),"",TODAY()+INT(J53/IFERROR(N(INDEX(Cars!$J$6:$J$10,MATCH($B53,Cars!$B$6:$B$10,0))),0)))="",I53,IF(I53="",IF(OR(J53="",IFERROR(N(INDEX(Cars!$J$6:$J$10,MATCH($B53,Cars!$B$6:$B$10,0))),0)&lt;=0),"",TODAY()+INT(J53/IFERROR(N(INDEX(Cars!$J$6:$J$10,MATCH($B53,Cars!$B$6:$B$10,0))),0))),MIN(I53,IF(OR(J53="",IFERROR(N(INDEX(Cars!$J$6:$J$10,MATCH($B53,Cars!$B$6:$B$10,0))),0)&lt;=0),"",TODAY()+INT(J53/IFERROR(N(INDEX(Cars!$J$6:$J$10,MATCH($B53,Cars!$B$6:$B$10,0))),0)))))))</f>
        <v/>
      </c>
      <c r="L53" s="20">
        <f>IF(K53="","",IF(OR(K53&lt;TODAY(),AND(ISNUMBER(J53),J53&lt;0)),"Overdue",IF(OR(K53-TODAY()&lt;=N(Settings!$C$7),AND(ISNUMBER(J53),J53&lt;=N(Settings!$C$6))),"Due soon","OK")))</f>
        <v/>
      </c>
      <c r="M53" s="25" t="n"/>
      <c r="N53" s="1" t="n"/>
      <c r="O53">
        <f>IF(OR(L53="",L53="OK"),"",K53+ROW()/10000000)</f>
        <v/>
      </c>
    </row>
    <row r="54">
      <c r="A54" s="1" t="n"/>
      <c r="B54" s="24" t="n"/>
      <c r="C54" s="25" t="n"/>
      <c r="D54" s="28" t="n"/>
      <c r="E54" s="26" t="n"/>
      <c r="F54" s="28" t="n"/>
      <c r="G54" s="29" t="n"/>
      <c r="H54" s="11">
        <f>IF(OR(N(D54)=0,F54=""),"",F54+D54)</f>
        <v/>
      </c>
      <c r="I54" s="31">
        <f>IF(OR(N(E54)=0,G54=""),"",EDATE(G54,E54))</f>
        <v/>
      </c>
      <c r="J54" s="19">
        <f>IF(OR(H54="",ISNA(MATCH($B54,Cars!$B$6:$B$10,0))),"",H54-INDEX(Cars!$I$6:$I$10,MATCH($B54,Cars!$B$6:$B$10,0)))</f>
        <v/>
      </c>
      <c r="K54" s="32">
        <f>IF(AND(I54="",J54=""),"",IF(IF(OR(J54="",IFERROR(N(INDEX(Cars!$J$6:$J$10,MATCH($B54,Cars!$B$6:$B$10,0))),0)&lt;=0),"",TODAY()+INT(J54/IFERROR(N(INDEX(Cars!$J$6:$J$10,MATCH($B54,Cars!$B$6:$B$10,0))),0)))="",I54,IF(I54="",IF(OR(J54="",IFERROR(N(INDEX(Cars!$J$6:$J$10,MATCH($B54,Cars!$B$6:$B$10,0))),0)&lt;=0),"",TODAY()+INT(J54/IFERROR(N(INDEX(Cars!$J$6:$J$10,MATCH($B54,Cars!$B$6:$B$10,0))),0))),MIN(I54,IF(OR(J54="",IFERROR(N(INDEX(Cars!$J$6:$J$10,MATCH($B54,Cars!$B$6:$B$10,0))),0)&lt;=0),"",TODAY()+INT(J54/IFERROR(N(INDEX(Cars!$J$6:$J$10,MATCH($B54,Cars!$B$6:$B$10,0))),0)))))))</f>
        <v/>
      </c>
      <c r="L54" s="20">
        <f>IF(K54="","",IF(OR(K54&lt;TODAY(),AND(ISNUMBER(J54),J54&lt;0)),"Overdue",IF(OR(K54-TODAY()&lt;=N(Settings!$C$7),AND(ISNUMBER(J54),J54&lt;=N(Settings!$C$6))),"Due soon","OK")))</f>
        <v/>
      </c>
      <c r="M54" s="25" t="n"/>
      <c r="N54" s="1" t="n"/>
      <c r="O54">
        <f>IF(OR(L54="",L54="OK"),"",K54+ROW()/10000000)</f>
        <v/>
      </c>
    </row>
    <row r="55">
      <c r="A55" s="1" t="n"/>
      <c r="B55" s="24" t="n"/>
      <c r="C55" s="25" t="n"/>
      <c r="D55" s="28" t="n"/>
      <c r="E55" s="26" t="n"/>
      <c r="F55" s="28" t="n"/>
      <c r="G55" s="29" t="n"/>
      <c r="H55" s="11">
        <f>IF(OR(N(D55)=0,F55=""),"",F55+D55)</f>
        <v/>
      </c>
      <c r="I55" s="31">
        <f>IF(OR(N(E55)=0,G55=""),"",EDATE(G55,E55))</f>
        <v/>
      </c>
      <c r="J55" s="19">
        <f>IF(OR(H55="",ISNA(MATCH($B55,Cars!$B$6:$B$10,0))),"",H55-INDEX(Cars!$I$6:$I$10,MATCH($B55,Cars!$B$6:$B$10,0)))</f>
        <v/>
      </c>
      <c r="K55" s="32">
        <f>IF(AND(I55="",J55=""),"",IF(IF(OR(J55="",IFERROR(N(INDEX(Cars!$J$6:$J$10,MATCH($B55,Cars!$B$6:$B$10,0))),0)&lt;=0),"",TODAY()+INT(J55/IFERROR(N(INDEX(Cars!$J$6:$J$10,MATCH($B55,Cars!$B$6:$B$10,0))),0)))="",I55,IF(I55="",IF(OR(J55="",IFERROR(N(INDEX(Cars!$J$6:$J$10,MATCH($B55,Cars!$B$6:$B$10,0))),0)&lt;=0),"",TODAY()+INT(J55/IFERROR(N(INDEX(Cars!$J$6:$J$10,MATCH($B55,Cars!$B$6:$B$10,0))),0))),MIN(I55,IF(OR(J55="",IFERROR(N(INDEX(Cars!$J$6:$J$10,MATCH($B55,Cars!$B$6:$B$10,0))),0)&lt;=0),"",TODAY()+INT(J55/IFERROR(N(INDEX(Cars!$J$6:$J$10,MATCH($B55,Cars!$B$6:$B$10,0))),0)))))))</f>
        <v/>
      </c>
      <c r="L55" s="20">
        <f>IF(K55="","",IF(OR(K55&lt;TODAY(),AND(ISNUMBER(J55),J55&lt;0)),"Overdue",IF(OR(K55-TODAY()&lt;=N(Settings!$C$7),AND(ISNUMBER(J55),J55&lt;=N(Settings!$C$6))),"Due soon","OK")))</f>
        <v/>
      </c>
      <c r="M55" s="25" t="n"/>
      <c r="N55" s="1" t="n"/>
      <c r="O55">
        <f>IF(OR(L55="",L55="OK"),"",K55+ROW()/10000000)</f>
        <v/>
      </c>
    </row>
    <row r="56">
      <c r="A56" s="1" t="n"/>
      <c r="B56" s="24" t="n"/>
      <c r="C56" s="25" t="n"/>
      <c r="D56" s="28" t="n"/>
      <c r="E56" s="26" t="n"/>
      <c r="F56" s="28" t="n"/>
      <c r="G56" s="29" t="n"/>
      <c r="H56" s="11">
        <f>IF(OR(N(D56)=0,F56=""),"",F56+D56)</f>
        <v/>
      </c>
      <c r="I56" s="31">
        <f>IF(OR(N(E56)=0,G56=""),"",EDATE(G56,E56))</f>
        <v/>
      </c>
      <c r="J56" s="19">
        <f>IF(OR(H56="",ISNA(MATCH($B56,Cars!$B$6:$B$10,0))),"",H56-INDEX(Cars!$I$6:$I$10,MATCH($B56,Cars!$B$6:$B$10,0)))</f>
        <v/>
      </c>
      <c r="K56" s="32">
        <f>IF(AND(I56="",J56=""),"",IF(IF(OR(J56="",IFERROR(N(INDEX(Cars!$J$6:$J$10,MATCH($B56,Cars!$B$6:$B$10,0))),0)&lt;=0),"",TODAY()+INT(J56/IFERROR(N(INDEX(Cars!$J$6:$J$10,MATCH($B56,Cars!$B$6:$B$10,0))),0)))="",I56,IF(I56="",IF(OR(J56="",IFERROR(N(INDEX(Cars!$J$6:$J$10,MATCH($B56,Cars!$B$6:$B$10,0))),0)&lt;=0),"",TODAY()+INT(J56/IFERROR(N(INDEX(Cars!$J$6:$J$10,MATCH($B56,Cars!$B$6:$B$10,0))),0))),MIN(I56,IF(OR(J56="",IFERROR(N(INDEX(Cars!$J$6:$J$10,MATCH($B56,Cars!$B$6:$B$10,0))),0)&lt;=0),"",TODAY()+INT(J56/IFERROR(N(INDEX(Cars!$J$6:$J$10,MATCH($B56,Cars!$B$6:$B$10,0))),0)))))))</f>
        <v/>
      </c>
      <c r="L56" s="20">
        <f>IF(K56="","",IF(OR(K56&lt;TODAY(),AND(ISNUMBER(J56),J56&lt;0)),"Overdue",IF(OR(K56-TODAY()&lt;=N(Settings!$C$7),AND(ISNUMBER(J56),J56&lt;=N(Settings!$C$6))),"Due soon","OK")))</f>
        <v/>
      </c>
      <c r="M56" s="25" t="n"/>
      <c r="N56" s="1" t="n"/>
      <c r="O56">
        <f>IF(OR(L56="",L56="OK"),"",K56+ROW()/10000000)</f>
        <v/>
      </c>
    </row>
    <row r="57">
      <c r="A57" s="1" t="n"/>
      <c r="B57" s="24" t="n"/>
      <c r="C57" s="25" t="n"/>
      <c r="D57" s="28" t="n"/>
      <c r="E57" s="26" t="n"/>
      <c r="F57" s="28" t="n"/>
      <c r="G57" s="29" t="n"/>
      <c r="H57" s="11">
        <f>IF(OR(N(D57)=0,F57=""),"",F57+D57)</f>
        <v/>
      </c>
      <c r="I57" s="31">
        <f>IF(OR(N(E57)=0,G57=""),"",EDATE(G57,E57))</f>
        <v/>
      </c>
      <c r="J57" s="19">
        <f>IF(OR(H57="",ISNA(MATCH($B57,Cars!$B$6:$B$10,0))),"",H57-INDEX(Cars!$I$6:$I$10,MATCH($B57,Cars!$B$6:$B$10,0)))</f>
        <v/>
      </c>
      <c r="K57" s="32">
        <f>IF(AND(I57="",J57=""),"",IF(IF(OR(J57="",IFERROR(N(INDEX(Cars!$J$6:$J$10,MATCH($B57,Cars!$B$6:$B$10,0))),0)&lt;=0),"",TODAY()+INT(J57/IFERROR(N(INDEX(Cars!$J$6:$J$10,MATCH($B57,Cars!$B$6:$B$10,0))),0)))="",I57,IF(I57="",IF(OR(J57="",IFERROR(N(INDEX(Cars!$J$6:$J$10,MATCH($B57,Cars!$B$6:$B$10,0))),0)&lt;=0),"",TODAY()+INT(J57/IFERROR(N(INDEX(Cars!$J$6:$J$10,MATCH($B57,Cars!$B$6:$B$10,0))),0))),MIN(I57,IF(OR(J57="",IFERROR(N(INDEX(Cars!$J$6:$J$10,MATCH($B57,Cars!$B$6:$B$10,0))),0)&lt;=0),"",TODAY()+INT(J57/IFERROR(N(INDEX(Cars!$J$6:$J$10,MATCH($B57,Cars!$B$6:$B$10,0))),0)))))))</f>
        <v/>
      </c>
      <c r="L57" s="20">
        <f>IF(K57="","",IF(OR(K57&lt;TODAY(),AND(ISNUMBER(J57),J57&lt;0)),"Overdue",IF(OR(K57-TODAY()&lt;=N(Settings!$C$7),AND(ISNUMBER(J57),J57&lt;=N(Settings!$C$6))),"Due soon","OK")))</f>
        <v/>
      </c>
      <c r="M57" s="25" t="n"/>
      <c r="N57" s="1" t="n"/>
      <c r="O57">
        <f>IF(OR(L57="",L57="OK"),"",K57+ROW()/10000000)</f>
        <v/>
      </c>
    </row>
    <row r="58">
      <c r="A58" s="1" t="n"/>
      <c r="B58" s="24" t="n"/>
      <c r="C58" s="25" t="n"/>
      <c r="D58" s="28" t="n"/>
      <c r="E58" s="26" t="n"/>
      <c r="F58" s="28" t="n"/>
      <c r="G58" s="29" t="n"/>
      <c r="H58" s="11">
        <f>IF(OR(N(D58)=0,F58=""),"",F58+D58)</f>
        <v/>
      </c>
      <c r="I58" s="31">
        <f>IF(OR(N(E58)=0,G58=""),"",EDATE(G58,E58))</f>
        <v/>
      </c>
      <c r="J58" s="19">
        <f>IF(OR(H58="",ISNA(MATCH($B58,Cars!$B$6:$B$10,0))),"",H58-INDEX(Cars!$I$6:$I$10,MATCH($B58,Cars!$B$6:$B$10,0)))</f>
        <v/>
      </c>
      <c r="K58" s="32">
        <f>IF(AND(I58="",J58=""),"",IF(IF(OR(J58="",IFERROR(N(INDEX(Cars!$J$6:$J$10,MATCH($B58,Cars!$B$6:$B$10,0))),0)&lt;=0),"",TODAY()+INT(J58/IFERROR(N(INDEX(Cars!$J$6:$J$10,MATCH($B58,Cars!$B$6:$B$10,0))),0)))="",I58,IF(I58="",IF(OR(J58="",IFERROR(N(INDEX(Cars!$J$6:$J$10,MATCH($B58,Cars!$B$6:$B$10,0))),0)&lt;=0),"",TODAY()+INT(J58/IFERROR(N(INDEX(Cars!$J$6:$J$10,MATCH($B58,Cars!$B$6:$B$10,0))),0))),MIN(I58,IF(OR(J58="",IFERROR(N(INDEX(Cars!$J$6:$J$10,MATCH($B58,Cars!$B$6:$B$10,0))),0)&lt;=0),"",TODAY()+INT(J58/IFERROR(N(INDEX(Cars!$J$6:$J$10,MATCH($B58,Cars!$B$6:$B$10,0))),0)))))))</f>
        <v/>
      </c>
      <c r="L58" s="20">
        <f>IF(K58="","",IF(OR(K58&lt;TODAY(),AND(ISNUMBER(J58),J58&lt;0)),"Overdue",IF(OR(K58-TODAY()&lt;=N(Settings!$C$7),AND(ISNUMBER(J58),J58&lt;=N(Settings!$C$6))),"Due soon","OK")))</f>
        <v/>
      </c>
      <c r="M58" s="25" t="n"/>
      <c r="N58" s="1" t="n"/>
      <c r="O58">
        <f>IF(OR(L58="",L58="OK"),"",K58+ROW()/10000000)</f>
        <v/>
      </c>
    </row>
    <row r="59">
      <c r="A59" s="1" t="n"/>
      <c r="B59" s="24" t="n"/>
      <c r="C59" s="25" t="n"/>
      <c r="D59" s="28" t="n"/>
      <c r="E59" s="26" t="n"/>
      <c r="F59" s="28" t="n"/>
      <c r="G59" s="29" t="n"/>
      <c r="H59" s="11">
        <f>IF(OR(N(D59)=0,F59=""),"",F59+D59)</f>
        <v/>
      </c>
      <c r="I59" s="31">
        <f>IF(OR(N(E59)=0,G59=""),"",EDATE(G59,E59))</f>
        <v/>
      </c>
      <c r="J59" s="19">
        <f>IF(OR(H59="",ISNA(MATCH($B59,Cars!$B$6:$B$10,0))),"",H59-INDEX(Cars!$I$6:$I$10,MATCH($B59,Cars!$B$6:$B$10,0)))</f>
        <v/>
      </c>
      <c r="K59" s="32">
        <f>IF(AND(I59="",J59=""),"",IF(IF(OR(J59="",IFERROR(N(INDEX(Cars!$J$6:$J$10,MATCH($B59,Cars!$B$6:$B$10,0))),0)&lt;=0),"",TODAY()+INT(J59/IFERROR(N(INDEX(Cars!$J$6:$J$10,MATCH($B59,Cars!$B$6:$B$10,0))),0)))="",I59,IF(I59="",IF(OR(J59="",IFERROR(N(INDEX(Cars!$J$6:$J$10,MATCH($B59,Cars!$B$6:$B$10,0))),0)&lt;=0),"",TODAY()+INT(J59/IFERROR(N(INDEX(Cars!$J$6:$J$10,MATCH($B59,Cars!$B$6:$B$10,0))),0))),MIN(I59,IF(OR(J59="",IFERROR(N(INDEX(Cars!$J$6:$J$10,MATCH($B59,Cars!$B$6:$B$10,0))),0)&lt;=0),"",TODAY()+INT(J59/IFERROR(N(INDEX(Cars!$J$6:$J$10,MATCH($B59,Cars!$B$6:$B$10,0))),0)))))))</f>
        <v/>
      </c>
      <c r="L59" s="20">
        <f>IF(K59="","",IF(OR(K59&lt;TODAY(),AND(ISNUMBER(J59),J59&lt;0)),"Overdue",IF(OR(K59-TODAY()&lt;=N(Settings!$C$7),AND(ISNUMBER(J59),J59&lt;=N(Settings!$C$6))),"Due soon","OK")))</f>
        <v/>
      </c>
      <c r="M59" s="25" t="n"/>
      <c r="N59" s="1" t="n"/>
      <c r="O59">
        <f>IF(OR(L59="",L59="OK"),"",K59+ROW()/10000000)</f>
        <v/>
      </c>
    </row>
    <row r="60">
      <c r="A60" s="1" t="n"/>
      <c r="B60" s="24" t="n"/>
      <c r="C60" s="25" t="n"/>
      <c r="D60" s="28" t="n"/>
      <c r="E60" s="26" t="n"/>
      <c r="F60" s="28" t="n"/>
      <c r="G60" s="29" t="n"/>
      <c r="H60" s="11">
        <f>IF(OR(N(D60)=0,F60=""),"",F60+D60)</f>
        <v/>
      </c>
      <c r="I60" s="31">
        <f>IF(OR(N(E60)=0,G60=""),"",EDATE(G60,E60))</f>
        <v/>
      </c>
      <c r="J60" s="19">
        <f>IF(OR(H60="",ISNA(MATCH($B60,Cars!$B$6:$B$10,0))),"",H60-INDEX(Cars!$I$6:$I$10,MATCH($B60,Cars!$B$6:$B$10,0)))</f>
        <v/>
      </c>
      <c r="K60" s="32">
        <f>IF(AND(I60="",J60=""),"",IF(IF(OR(J60="",IFERROR(N(INDEX(Cars!$J$6:$J$10,MATCH($B60,Cars!$B$6:$B$10,0))),0)&lt;=0),"",TODAY()+INT(J60/IFERROR(N(INDEX(Cars!$J$6:$J$10,MATCH($B60,Cars!$B$6:$B$10,0))),0)))="",I60,IF(I60="",IF(OR(J60="",IFERROR(N(INDEX(Cars!$J$6:$J$10,MATCH($B60,Cars!$B$6:$B$10,0))),0)&lt;=0),"",TODAY()+INT(J60/IFERROR(N(INDEX(Cars!$J$6:$J$10,MATCH($B60,Cars!$B$6:$B$10,0))),0))),MIN(I60,IF(OR(J60="",IFERROR(N(INDEX(Cars!$J$6:$J$10,MATCH($B60,Cars!$B$6:$B$10,0))),0)&lt;=0),"",TODAY()+INT(J60/IFERROR(N(INDEX(Cars!$J$6:$J$10,MATCH($B60,Cars!$B$6:$B$10,0))),0)))))))</f>
        <v/>
      </c>
      <c r="L60" s="20">
        <f>IF(K60="","",IF(OR(K60&lt;TODAY(),AND(ISNUMBER(J60),J60&lt;0)),"Overdue",IF(OR(K60-TODAY()&lt;=N(Settings!$C$7),AND(ISNUMBER(J60),J60&lt;=N(Settings!$C$6))),"Due soon","OK")))</f>
        <v/>
      </c>
      <c r="M60" s="25" t="n"/>
      <c r="N60" s="1" t="n"/>
      <c r="O60">
        <f>IF(OR(L60="",L60="OK"),"",K60+ROW()/10000000)</f>
        <v/>
      </c>
    </row>
    <row r="61">
      <c r="A61" s="1" t="n"/>
      <c r="B61" s="24" t="n"/>
      <c r="C61" s="25" t="n"/>
      <c r="D61" s="28" t="n"/>
      <c r="E61" s="26" t="n"/>
      <c r="F61" s="28" t="n"/>
      <c r="G61" s="29" t="n"/>
      <c r="H61" s="11">
        <f>IF(OR(N(D61)=0,F61=""),"",F61+D61)</f>
        <v/>
      </c>
      <c r="I61" s="31">
        <f>IF(OR(N(E61)=0,G61=""),"",EDATE(G61,E61))</f>
        <v/>
      </c>
      <c r="J61" s="19">
        <f>IF(OR(H61="",ISNA(MATCH($B61,Cars!$B$6:$B$10,0))),"",H61-INDEX(Cars!$I$6:$I$10,MATCH($B61,Cars!$B$6:$B$10,0)))</f>
        <v/>
      </c>
      <c r="K61" s="32">
        <f>IF(AND(I61="",J61=""),"",IF(IF(OR(J61="",IFERROR(N(INDEX(Cars!$J$6:$J$10,MATCH($B61,Cars!$B$6:$B$10,0))),0)&lt;=0),"",TODAY()+INT(J61/IFERROR(N(INDEX(Cars!$J$6:$J$10,MATCH($B61,Cars!$B$6:$B$10,0))),0)))="",I61,IF(I61="",IF(OR(J61="",IFERROR(N(INDEX(Cars!$J$6:$J$10,MATCH($B61,Cars!$B$6:$B$10,0))),0)&lt;=0),"",TODAY()+INT(J61/IFERROR(N(INDEX(Cars!$J$6:$J$10,MATCH($B61,Cars!$B$6:$B$10,0))),0))),MIN(I61,IF(OR(J61="",IFERROR(N(INDEX(Cars!$J$6:$J$10,MATCH($B61,Cars!$B$6:$B$10,0))),0)&lt;=0),"",TODAY()+INT(J61/IFERROR(N(INDEX(Cars!$J$6:$J$10,MATCH($B61,Cars!$B$6:$B$10,0))),0)))))))</f>
        <v/>
      </c>
      <c r="L61" s="20">
        <f>IF(K61="","",IF(OR(K61&lt;TODAY(),AND(ISNUMBER(J61),J61&lt;0)),"Overdue",IF(OR(K61-TODAY()&lt;=N(Settings!$C$7),AND(ISNUMBER(J61),J61&lt;=N(Settings!$C$6))),"Due soon","OK")))</f>
        <v/>
      </c>
      <c r="M61" s="25" t="n"/>
      <c r="N61" s="1" t="n"/>
      <c r="O61">
        <f>IF(OR(L61="",L61="OK"),"",K61+ROW()/10000000)</f>
        <v/>
      </c>
    </row>
    <row r="62">
      <c r="A62" s="1" t="n"/>
      <c r="B62" s="24" t="n"/>
      <c r="C62" s="25" t="n"/>
      <c r="D62" s="28" t="n"/>
      <c r="E62" s="26" t="n"/>
      <c r="F62" s="28" t="n"/>
      <c r="G62" s="29" t="n"/>
      <c r="H62" s="11">
        <f>IF(OR(N(D62)=0,F62=""),"",F62+D62)</f>
        <v/>
      </c>
      <c r="I62" s="31">
        <f>IF(OR(N(E62)=0,G62=""),"",EDATE(G62,E62))</f>
        <v/>
      </c>
      <c r="J62" s="19">
        <f>IF(OR(H62="",ISNA(MATCH($B62,Cars!$B$6:$B$10,0))),"",H62-INDEX(Cars!$I$6:$I$10,MATCH($B62,Cars!$B$6:$B$10,0)))</f>
        <v/>
      </c>
      <c r="K62" s="32">
        <f>IF(AND(I62="",J62=""),"",IF(IF(OR(J62="",IFERROR(N(INDEX(Cars!$J$6:$J$10,MATCH($B62,Cars!$B$6:$B$10,0))),0)&lt;=0),"",TODAY()+INT(J62/IFERROR(N(INDEX(Cars!$J$6:$J$10,MATCH($B62,Cars!$B$6:$B$10,0))),0)))="",I62,IF(I62="",IF(OR(J62="",IFERROR(N(INDEX(Cars!$J$6:$J$10,MATCH($B62,Cars!$B$6:$B$10,0))),0)&lt;=0),"",TODAY()+INT(J62/IFERROR(N(INDEX(Cars!$J$6:$J$10,MATCH($B62,Cars!$B$6:$B$10,0))),0))),MIN(I62,IF(OR(J62="",IFERROR(N(INDEX(Cars!$J$6:$J$10,MATCH($B62,Cars!$B$6:$B$10,0))),0)&lt;=0),"",TODAY()+INT(J62/IFERROR(N(INDEX(Cars!$J$6:$J$10,MATCH($B62,Cars!$B$6:$B$10,0))),0)))))))</f>
        <v/>
      </c>
      <c r="L62" s="20">
        <f>IF(K62="","",IF(OR(K62&lt;TODAY(),AND(ISNUMBER(J62),J62&lt;0)),"Overdue",IF(OR(K62-TODAY()&lt;=N(Settings!$C$7),AND(ISNUMBER(J62),J62&lt;=N(Settings!$C$6))),"Due soon","OK")))</f>
        <v/>
      </c>
      <c r="M62" s="25" t="n"/>
      <c r="N62" s="1" t="n"/>
      <c r="O62">
        <f>IF(OR(L62="",L62="OK"),"",K62+ROW()/10000000)</f>
        <v/>
      </c>
    </row>
    <row r="63">
      <c r="A63" s="1" t="n"/>
      <c r="B63" s="24" t="n"/>
      <c r="C63" s="25" t="n"/>
      <c r="D63" s="28" t="n"/>
      <c r="E63" s="26" t="n"/>
      <c r="F63" s="28" t="n"/>
      <c r="G63" s="29" t="n"/>
      <c r="H63" s="11">
        <f>IF(OR(N(D63)=0,F63=""),"",F63+D63)</f>
        <v/>
      </c>
      <c r="I63" s="31">
        <f>IF(OR(N(E63)=0,G63=""),"",EDATE(G63,E63))</f>
        <v/>
      </c>
      <c r="J63" s="19">
        <f>IF(OR(H63="",ISNA(MATCH($B63,Cars!$B$6:$B$10,0))),"",H63-INDEX(Cars!$I$6:$I$10,MATCH($B63,Cars!$B$6:$B$10,0)))</f>
        <v/>
      </c>
      <c r="K63" s="32">
        <f>IF(AND(I63="",J63=""),"",IF(IF(OR(J63="",IFERROR(N(INDEX(Cars!$J$6:$J$10,MATCH($B63,Cars!$B$6:$B$10,0))),0)&lt;=0),"",TODAY()+INT(J63/IFERROR(N(INDEX(Cars!$J$6:$J$10,MATCH($B63,Cars!$B$6:$B$10,0))),0)))="",I63,IF(I63="",IF(OR(J63="",IFERROR(N(INDEX(Cars!$J$6:$J$10,MATCH($B63,Cars!$B$6:$B$10,0))),0)&lt;=0),"",TODAY()+INT(J63/IFERROR(N(INDEX(Cars!$J$6:$J$10,MATCH($B63,Cars!$B$6:$B$10,0))),0))),MIN(I63,IF(OR(J63="",IFERROR(N(INDEX(Cars!$J$6:$J$10,MATCH($B63,Cars!$B$6:$B$10,0))),0)&lt;=0),"",TODAY()+INT(J63/IFERROR(N(INDEX(Cars!$J$6:$J$10,MATCH($B63,Cars!$B$6:$B$10,0))),0)))))))</f>
        <v/>
      </c>
      <c r="L63" s="20">
        <f>IF(K63="","",IF(OR(K63&lt;TODAY(),AND(ISNUMBER(J63),J63&lt;0)),"Overdue",IF(OR(K63-TODAY()&lt;=N(Settings!$C$7),AND(ISNUMBER(J63),J63&lt;=N(Settings!$C$6))),"Due soon","OK")))</f>
        <v/>
      </c>
      <c r="M63" s="25" t="n"/>
      <c r="N63" s="1" t="n"/>
      <c r="O63">
        <f>IF(OR(L63="",L63="OK"),"",K63+ROW()/10000000)</f>
        <v/>
      </c>
    </row>
    <row r="64">
      <c r="A64" s="1" t="n"/>
      <c r="B64" s="24" t="n"/>
      <c r="C64" s="25" t="n"/>
      <c r="D64" s="28" t="n"/>
      <c r="E64" s="26" t="n"/>
      <c r="F64" s="28" t="n"/>
      <c r="G64" s="29" t="n"/>
      <c r="H64" s="11">
        <f>IF(OR(N(D64)=0,F64=""),"",F64+D64)</f>
        <v/>
      </c>
      <c r="I64" s="31">
        <f>IF(OR(N(E64)=0,G64=""),"",EDATE(G64,E64))</f>
        <v/>
      </c>
      <c r="J64" s="19">
        <f>IF(OR(H64="",ISNA(MATCH($B64,Cars!$B$6:$B$10,0))),"",H64-INDEX(Cars!$I$6:$I$10,MATCH($B64,Cars!$B$6:$B$10,0)))</f>
        <v/>
      </c>
      <c r="K64" s="32">
        <f>IF(AND(I64="",J64=""),"",IF(IF(OR(J64="",IFERROR(N(INDEX(Cars!$J$6:$J$10,MATCH($B64,Cars!$B$6:$B$10,0))),0)&lt;=0),"",TODAY()+INT(J64/IFERROR(N(INDEX(Cars!$J$6:$J$10,MATCH($B64,Cars!$B$6:$B$10,0))),0)))="",I64,IF(I64="",IF(OR(J64="",IFERROR(N(INDEX(Cars!$J$6:$J$10,MATCH($B64,Cars!$B$6:$B$10,0))),0)&lt;=0),"",TODAY()+INT(J64/IFERROR(N(INDEX(Cars!$J$6:$J$10,MATCH($B64,Cars!$B$6:$B$10,0))),0))),MIN(I64,IF(OR(J64="",IFERROR(N(INDEX(Cars!$J$6:$J$10,MATCH($B64,Cars!$B$6:$B$10,0))),0)&lt;=0),"",TODAY()+INT(J64/IFERROR(N(INDEX(Cars!$J$6:$J$10,MATCH($B64,Cars!$B$6:$B$10,0))),0)))))))</f>
        <v/>
      </c>
      <c r="L64" s="20">
        <f>IF(K64="","",IF(OR(K64&lt;TODAY(),AND(ISNUMBER(J64),J64&lt;0)),"Overdue",IF(OR(K64-TODAY()&lt;=N(Settings!$C$7),AND(ISNUMBER(J64),J64&lt;=N(Settings!$C$6))),"Due soon","OK")))</f>
        <v/>
      </c>
      <c r="M64" s="25" t="n"/>
      <c r="N64" s="1" t="n"/>
      <c r="O64">
        <f>IF(OR(L64="",L64="OK"),"",K64+ROW()/10000000)</f>
        <v/>
      </c>
    </row>
    <row r="65">
      <c r="A65" s="1" t="n"/>
      <c r="B65" s="24" t="n"/>
      <c r="C65" s="25" t="n"/>
      <c r="D65" s="28" t="n"/>
      <c r="E65" s="26" t="n"/>
      <c r="F65" s="28" t="n"/>
      <c r="G65" s="29" t="n"/>
      <c r="H65" s="11">
        <f>IF(OR(N(D65)=0,F65=""),"",F65+D65)</f>
        <v/>
      </c>
      <c r="I65" s="31">
        <f>IF(OR(N(E65)=0,G65=""),"",EDATE(G65,E65))</f>
        <v/>
      </c>
      <c r="J65" s="19">
        <f>IF(OR(H65="",ISNA(MATCH($B65,Cars!$B$6:$B$10,0))),"",H65-INDEX(Cars!$I$6:$I$10,MATCH($B65,Cars!$B$6:$B$10,0)))</f>
        <v/>
      </c>
      <c r="K65" s="32">
        <f>IF(AND(I65="",J65=""),"",IF(IF(OR(J65="",IFERROR(N(INDEX(Cars!$J$6:$J$10,MATCH($B65,Cars!$B$6:$B$10,0))),0)&lt;=0),"",TODAY()+INT(J65/IFERROR(N(INDEX(Cars!$J$6:$J$10,MATCH($B65,Cars!$B$6:$B$10,0))),0)))="",I65,IF(I65="",IF(OR(J65="",IFERROR(N(INDEX(Cars!$J$6:$J$10,MATCH($B65,Cars!$B$6:$B$10,0))),0)&lt;=0),"",TODAY()+INT(J65/IFERROR(N(INDEX(Cars!$J$6:$J$10,MATCH($B65,Cars!$B$6:$B$10,0))),0))),MIN(I65,IF(OR(J65="",IFERROR(N(INDEX(Cars!$J$6:$J$10,MATCH($B65,Cars!$B$6:$B$10,0))),0)&lt;=0),"",TODAY()+INT(J65/IFERROR(N(INDEX(Cars!$J$6:$J$10,MATCH($B65,Cars!$B$6:$B$10,0))),0)))))))</f>
        <v/>
      </c>
      <c r="L65" s="20">
        <f>IF(K65="","",IF(OR(K65&lt;TODAY(),AND(ISNUMBER(J65),J65&lt;0)),"Overdue",IF(OR(K65-TODAY()&lt;=N(Settings!$C$7),AND(ISNUMBER(J65),J65&lt;=N(Settings!$C$6))),"Due soon","OK")))</f>
        <v/>
      </c>
      <c r="M65" s="25" t="n"/>
      <c r="N65" s="1" t="n"/>
      <c r="O65">
        <f>IF(OR(L65="",L65="OK"),"",K65+ROW()/10000000)</f>
        <v/>
      </c>
    </row>
    <row r="66">
      <c r="A66" s="1" t="n"/>
      <c r="B66" s="15" t="inlineStr">
        <is>
          <t>About: the earlier of the next date and the day the car should reach the next odometer at its usual pace.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</sheetData>
  <conditionalFormatting sqref="L6:L65">
    <cfRule type="expression" priority="1" dxfId="0">
      <formula>L6="Overdue"</formula>
    </cfRule>
    <cfRule type="expression" priority="2" dxfId="1">
      <formula>L6="Due soon"</formula>
    </cfRule>
    <cfRule type="expression" priority="3" dxfId="2">
      <formula>L6="OK"</formula>
    </cfRule>
  </conditionalFormatting>
  <dataValidations count="1">
    <dataValidation sqref="B6:B65" showDropDown="0" showInputMessage="0" showErrorMessage="1" allowBlank="1" type="list">
      <formula1>=Cars!$B$6:$B$10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6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1" customWidth="1" min="4" max="4"/>
    <col width="9" customWidth="1" min="5" max="5"/>
    <col width="10" customWidth="1" min="6" max="6"/>
    <col width="6" customWidth="1" min="7" max="7"/>
    <col width="10" customWidth="1" min="8" max="8"/>
    <col width="10" customWidth="1" min="9" max="9"/>
    <col width="9" customWidth="1" min="10" max="10"/>
    <col width="11" customWidth="1" min="11" max="11"/>
    <col width="11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Fuel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One line per fill-up. Put an x under Full when you fill the tank: the consumption is worked out from one full tank to the next.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9" t="inlineStr">
        <is>
          <t>Date</t>
        </is>
      </c>
      <c r="C5" s="9" t="inlineStr">
        <is>
          <t>Car</t>
        </is>
      </c>
      <c r="D5" s="9" t="inlineStr">
        <is>
          <t>Odometer</t>
        </is>
      </c>
      <c r="E5" s="9">
        <f>"Fuel ("&amp;Settings!$C$5&amp;")"</f>
        <v/>
      </c>
      <c r="F5" s="9" t="inlineStr">
        <is>
          <t>Paid</t>
        </is>
      </c>
      <c r="G5" s="9" t="inlineStr">
        <is>
          <t>Full</t>
        </is>
      </c>
      <c r="H5" s="9" t="inlineStr">
        <is>
          <t>Price</t>
        </is>
      </c>
      <c r="I5" s="9">
        <f>"Distance ("&amp;Settings!$C$4&amp;")"</f>
        <v/>
      </c>
      <c r="J5" s="9">
        <f>"Used ("&amp;Settings!$C$5&amp;")"</f>
        <v/>
      </c>
      <c r="K5" s="9">
        <f>Settings!$C$5&amp;" per 100 "&amp;Settings!$C$4</f>
        <v/>
      </c>
      <c r="L5" s="9">
        <f>Settings!$C$4&amp;" per "&amp;Settings!$C$5</f>
        <v/>
      </c>
      <c r="M5" s="1" t="n"/>
    </row>
    <row r="6">
      <c r="A6" s="1" t="n"/>
      <c r="B6" s="29" t="n">
        <v>46002</v>
      </c>
      <c r="C6" s="24" t="inlineStr">
        <is>
          <t>Blue hatchback</t>
        </is>
      </c>
      <c r="D6" s="28" t="n">
        <v>41575</v>
      </c>
      <c r="E6" s="33" t="n">
        <v>23.48</v>
      </c>
      <c r="F6" s="34" t="n">
        <v>40.9</v>
      </c>
      <c r="G6" s="27" t="inlineStr">
        <is>
          <t>x</t>
        </is>
      </c>
      <c r="H6" s="14">
        <f>IF(OR(N(E6)=0,F6=""),"",F6/E6)</f>
        <v/>
      </c>
      <c r="I6" s="11">
        <f>IF(R6="","",D6-R6)</f>
        <v/>
      </c>
      <c r="J6" s="35">
        <f>IF(R6="","",SUMIFS(Fuel!$E$6:$E$605,Fuel!$C$6:$C$605,C6,Fuel!$D$6:$D$605,"&gt;"&amp;R6,Fuel!$D$6:$D$605,"&lt;="&amp;D6))</f>
        <v/>
      </c>
      <c r="K6" s="36">
        <f>IF(OR(I6="",N(I6)=0),"",J6/I6*100)</f>
        <v/>
      </c>
      <c r="L6" s="36">
        <f>IF(OR(J6="",N(J6)=0),"",I6/J6)</f>
        <v/>
      </c>
      <c r="M6" s="1" t="n"/>
      <c r="N6">
        <f>IF(OR(C6="",N(D6)=0),"",D6+ROW()/10000000)</f>
        <v/>
      </c>
      <c r="O6">
        <f>IF(N6="","",COUNTIFS(Fuel!$C$6:$C$605,C6,Fuel!$N$6:$N$605,"&gt;"&amp;N6))</f>
        <v/>
      </c>
      <c r="P6">
        <f>IF(OR(N6="",G6=""),"",COUNTIFS(Fuel!$C$6:$C$605,C6,Fuel!$G$6:$G$605,"&lt;&gt;",Fuel!$N$6:$N$605,"&lt;"&amp;N6))</f>
        <v/>
      </c>
      <c r="R6">
        <f>IF(OR(P6="",N(P6)=0),"",SUMIFS(Fuel!$D$6:$D$605,Fuel!$C$6:$C$605,C6,Fuel!$P$6:$P$605,P6-1))</f>
        <v/>
      </c>
    </row>
    <row r="7">
      <c r="A7" s="1" t="n"/>
      <c r="B7" s="29" t="n">
        <v>46002</v>
      </c>
      <c r="C7" s="24" t="inlineStr">
        <is>
          <t>Grey van</t>
        </is>
      </c>
      <c r="D7" s="28" t="n">
        <v>119019</v>
      </c>
      <c r="E7" s="33" t="n">
        <v>39.48</v>
      </c>
      <c r="F7" s="34" t="n">
        <v>66.90000000000001</v>
      </c>
      <c r="G7" s="27" t="inlineStr">
        <is>
          <t>x</t>
        </is>
      </c>
      <c r="H7" s="14">
        <f>IF(OR(N(E7)=0,F7=""),"",F7/E7)</f>
        <v/>
      </c>
      <c r="I7" s="11">
        <f>IF(R7="","",D7-R7)</f>
        <v/>
      </c>
      <c r="J7" s="35">
        <f>IF(R7="","",SUMIFS(Fuel!$E$6:$E$605,Fuel!$C$6:$C$605,C7,Fuel!$D$6:$D$605,"&gt;"&amp;R7,Fuel!$D$6:$D$605,"&lt;="&amp;D7))</f>
        <v/>
      </c>
      <c r="K7" s="36">
        <f>IF(OR(I7="",N(I7)=0),"",J7/I7*100)</f>
        <v/>
      </c>
      <c r="L7" s="36">
        <f>IF(OR(J7="",N(J7)=0),"",I7/J7)</f>
        <v/>
      </c>
      <c r="M7" s="1" t="n"/>
      <c r="N7">
        <f>IF(OR(C7="",N(D7)=0),"",D7+ROW()/10000000)</f>
        <v/>
      </c>
      <c r="O7">
        <f>IF(N7="","",COUNTIFS(Fuel!$C$6:$C$605,C7,Fuel!$N$6:$N$605,"&gt;"&amp;N7))</f>
        <v/>
      </c>
      <c r="P7">
        <f>IF(OR(N7="",G7=""),"",COUNTIFS(Fuel!$C$6:$C$605,C7,Fuel!$G$6:$G$605,"&lt;&gt;",Fuel!$N$6:$N$605,"&lt;"&amp;N7))</f>
        <v/>
      </c>
      <c r="R7">
        <f>IF(OR(P7="",N(P7)=0),"",SUMIFS(Fuel!$D$6:$D$605,Fuel!$C$6:$C$605,C7,Fuel!$P$6:$P$605,P7-1))</f>
        <v/>
      </c>
    </row>
    <row r="8">
      <c r="A8" s="1" t="n"/>
      <c r="B8" s="29" t="n">
        <v>46012</v>
      </c>
      <c r="C8" s="24" t="inlineStr">
        <is>
          <t>Blue hatchback</t>
        </is>
      </c>
      <c r="D8" s="28" t="n">
        <v>41899</v>
      </c>
      <c r="E8" s="33" t="n">
        <v>20.11</v>
      </c>
      <c r="F8" s="34" t="n">
        <v>34.42</v>
      </c>
      <c r="G8" s="27" t="inlineStr">
        <is>
          <t>x</t>
        </is>
      </c>
      <c r="H8" s="14">
        <f>IF(OR(N(E8)=0,F8=""),"",F8/E8)</f>
        <v/>
      </c>
      <c r="I8" s="11">
        <f>IF(R8="","",D8-R8)</f>
        <v/>
      </c>
      <c r="J8" s="35">
        <f>IF(R8="","",SUMIFS(Fuel!$E$6:$E$605,Fuel!$C$6:$C$605,C8,Fuel!$D$6:$D$605,"&gt;"&amp;R8,Fuel!$D$6:$D$605,"&lt;="&amp;D8))</f>
        <v/>
      </c>
      <c r="K8" s="36">
        <f>IF(OR(I8="",N(I8)=0),"",J8/I8*100)</f>
        <v/>
      </c>
      <c r="L8" s="36">
        <f>IF(OR(J8="",N(J8)=0),"",I8/J8)</f>
        <v/>
      </c>
      <c r="M8" s="1" t="n"/>
      <c r="N8">
        <f>IF(OR(C8="",N(D8)=0),"",D8+ROW()/10000000)</f>
        <v/>
      </c>
      <c r="O8">
        <f>IF(N8="","",COUNTIFS(Fuel!$C$6:$C$605,C8,Fuel!$N$6:$N$605,"&gt;"&amp;N8))</f>
        <v/>
      </c>
      <c r="P8">
        <f>IF(OR(N8="",G8=""),"",COUNTIFS(Fuel!$C$6:$C$605,C8,Fuel!$G$6:$G$605,"&lt;&gt;",Fuel!$N$6:$N$605,"&lt;"&amp;N8))</f>
        <v/>
      </c>
      <c r="R8">
        <f>IF(OR(P8="",N(P8)=0),"",SUMIFS(Fuel!$D$6:$D$605,Fuel!$C$6:$C$605,C8,Fuel!$P$6:$P$605,P8-1))</f>
        <v/>
      </c>
    </row>
    <row r="9">
      <c r="A9" s="1" t="n"/>
      <c r="B9" s="29" t="n">
        <v>46017</v>
      </c>
      <c r="C9" s="24" t="inlineStr">
        <is>
          <t>Grey van</t>
        </is>
      </c>
      <c r="D9" s="28" t="n">
        <v>119848</v>
      </c>
      <c r="E9" s="33" t="n">
        <v>66.92</v>
      </c>
      <c r="F9" s="34" t="n">
        <v>109.54</v>
      </c>
      <c r="G9" s="27" t="inlineStr">
        <is>
          <t>x</t>
        </is>
      </c>
      <c r="H9" s="14">
        <f>IF(OR(N(E9)=0,F9=""),"",F9/E9)</f>
        <v/>
      </c>
      <c r="I9" s="11">
        <f>IF(R9="","",D9-R9)</f>
        <v/>
      </c>
      <c r="J9" s="35">
        <f>IF(R9="","",SUMIFS(Fuel!$E$6:$E$605,Fuel!$C$6:$C$605,C9,Fuel!$D$6:$D$605,"&gt;"&amp;R9,Fuel!$D$6:$D$605,"&lt;="&amp;D9))</f>
        <v/>
      </c>
      <c r="K9" s="36">
        <f>IF(OR(I9="",N(I9)=0),"",J9/I9*100)</f>
        <v/>
      </c>
      <c r="L9" s="36">
        <f>IF(OR(J9="",N(J9)=0),"",I9/J9)</f>
        <v/>
      </c>
      <c r="M9" s="1" t="n"/>
      <c r="N9">
        <f>IF(OR(C9="",N(D9)=0),"",D9+ROW()/10000000)</f>
        <v/>
      </c>
      <c r="O9">
        <f>IF(N9="","",COUNTIFS(Fuel!$C$6:$C$605,C9,Fuel!$N$6:$N$605,"&gt;"&amp;N9))</f>
        <v/>
      </c>
      <c r="P9">
        <f>IF(OR(N9="",G9=""),"",COUNTIFS(Fuel!$C$6:$C$605,C9,Fuel!$G$6:$G$605,"&lt;&gt;",Fuel!$N$6:$N$605,"&lt;"&amp;N9))</f>
        <v/>
      </c>
      <c r="R9">
        <f>IF(OR(P9="",N(P9)=0),"",SUMIFS(Fuel!$D$6:$D$605,Fuel!$C$6:$C$605,C9,Fuel!$P$6:$P$605,P9-1))</f>
        <v/>
      </c>
    </row>
    <row r="10">
      <c r="A10" s="1" t="n"/>
      <c r="B10" s="29" t="n">
        <v>46022</v>
      </c>
      <c r="C10" s="24" t="inlineStr">
        <is>
          <t>Blue hatchback</t>
        </is>
      </c>
      <c r="D10" s="28" t="n">
        <v>42225</v>
      </c>
      <c r="E10" s="33" t="n">
        <v>19.56</v>
      </c>
      <c r="F10" s="34" t="n">
        <v>34.56</v>
      </c>
      <c r="G10" s="27" t="inlineStr">
        <is>
          <t>x</t>
        </is>
      </c>
      <c r="H10" s="14">
        <f>IF(OR(N(E10)=0,F10=""),"",F10/E10)</f>
        <v/>
      </c>
      <c r="I10" s="11">
        <f>IF(R10="","",D10-R10)</f>
        <v/>
      </c>
      <c r="J10" s="35">
        <f>IF(R10="","",SUMIFS(Fuel!$E$6:$E$605,Fuel!$C$6:$C$605,C10,Fuel!$D$6:$D$605,"&gt;"&amp;R10,Fuel!$D$6:$D$605,"&lt;="&amp;D10))</f>
        <v/>
      </c>
      <c r="K10" s="36">
        <f>IF(OR(I10="",N(I10)=0),"",J10/I10*100)</f>
        <v/>
      </c>
      <c r="L10" s="36">
        <f>IF(OR(J10="",N(J10)=0),"",I10/J10)</f>
        <v/>
      </c>
      <c r="M10" s="1" t="n"/>
      <c r="N10">
        <f>IF(OR(C10="",N(D10)=0),"",D10+ROW()/10000000)</f>
        <v/>
      </c>
      <c r="O10">
        <f>IF(N10="","",COUNTIFS(Fuel!$C$6:$C$605,C10,Fuel!$N$6:$N$605,"&gt;"&amp;N10))</f>
        <v/>
      </c>
      <c r="P10">
        <f>IF(OR(N10="",G10=""),"",COUNTIFS(Fuel!$C$6:$C$605,C10,Fuel!$G$6:$G$605,"&lt;&gt;",Fuel!$N$6:$N$605,"&lt;"&amp;N10))</f>
        <v/>
      </c>
      <c r="R10">
        <f>IF(OR(P10="",N(P10)=0),"",SUMIFS(Fuel!$D$6:$D$605,Fuel!$C$6:$C$605,C10,Fuel!$P$6:$P$605,P10-1))</f>
        <v/>
      </c>
    </row>
    <row r="11">
      <c r="A11" s="1" t="n"/>
      <c r="B11" s="29" t="n">
        <v>46032</v>
      </c>
      <c r="C11" s="24" t="inlineStr">
        <is>
          <t>Grey van</t>
        </is>
      </c>
      <c r="D11" s="28" t="n">
        <v>120760</v>
      </c>
      <c r="E11" s="33" t="n">
        <v>69.8</v>
      </c>
      <c r="F11" s="34" t="n">
        <v>117.41</v>
      </c>
      <c r="G11" s="27" t="inlineStr">
        <is>
          <t>x</t>
        </is>
      </c>
      <c r="H11" s="14">
        <f>IF(OR(N(E11)=0,F11=""),"",F11/E11)</f>
        <v/>
      </c>
      <c r="I11" s="11">
        <f>IF(R11="","",D11-R11)</f>
        <v/>
      </c>
      <c r="J11" s="35">
        <f>IF(R11="","",SUMIFS(Fuel!$E$6:$E$605,Fuel!$C$6:$C$605,C11,Fuel!$D$6:$D$605,"&gt;"&amp;R11,Fuel!$D$6:$D$605,"&lt;="&amp;D11))</f>
        <v/>
      </c>
      <c r="K11" s="36">
        <f>IF(OR(I11="",N(I11)=0),"",J11/I11*100)</f>
        <v/>
      </c>
      <c r="L11" s="36">
        <f>IF(OR(J11="",N(J11)=0),"",I11/J11)</f>
        <v/>
      </c>
      <c r="M11" s="1" t="n"/>
      <c r="N11">
        <f>IF(OR(C11="",N(D11)=0),"",D11+ROW()/10000000)</f>
        <v/>
      </c>
      <c r="O11">
        <f>IF(N11="","",COUNTIFS(Fuel!$C$6:$C$605,C11,Fuel!$N$6:$N$605,"&gt;"&amp;N11))</f>
        <v/>
      </c>
      <c r="P11">
        <f>IF(OR(N11="",G11=""),"",COUNTIFS(Fuel!$C$6:$C$605,C11,Fuel!$G$6:$G$605,"&lt;&gt;",Fuel!$N$6:$N$605,"&lt;"&amp;N11))</f>
        <v/>
      </c>
      <c r="R11">
        <f>IF(OR(P11="",N(P11)=0),"",SUMIFS(Fuel!$D$6:$D$605,Fuel!$C$6:$C$605,C11,Fuel!$P$6:$P$605,P11-1))</f>
        <v/>
      </c>
    </row>
    <row r="12">
      <c r="A12" s="1" t="n"/>
      <c r="B12" s="29" t="n">
        <v>46035</v>
      </c>
      <c r="C12" s="24" t="inlineStr">
        <is>
          <t>Blue hatchback</t>
        </is>
      </c>
      <c r="D12" s="28" t="n">
        <v>42657</v>
      </c>
      <c r="E12" s="33" t="n">
        <v>25.53</v>
      </c>
      <c r="F12" s="34" t="n">
        <v>43.23</v>
      </c>
      <c r="G12" s="27" t="inlineStr">
        <is>
          <t>x</t>
        </is>
      </c>
      <c r="H12" s="14">
        <f>IF(OR(N(E12)=0,F12=""),"",F12/E12)</f>
        <v/>
      </c>
      <c r="I12" s="11">
        <f>IF(R12="","",D12-R12)</f>
        <v/>
      </c>
      <c r="J12" s="35">
        <f>IF(R12="","",SUMIFS(Fuel!$E$6:$E$605,Fuel!$C$6:$C$605,C12,Fuel!$D$6:$D$605,"&gt;"&amp;R12,Fuel!$D$6:$D$605,"&lt;="&amp;D12))</f>
        <v/>
      </c>
      <c r="K12" s="36">
        <f>IF(OR(I12="",N(I12)=0),"",J12/I12*100)</f>
        <v/>
      </c>
      <c r="L12" s="36">
        <f>IF(OR(J12="",N(J12)=0),"",I12/J12)</f>
        <v/>
      </c>
      <c r="M12" s="1" t="n"/>
      <c r="N12">
        <f>IF(OR(C12="",N(D12)=0),"",D12+ROW()/10000000)</f>
        <v/>
      </c>
      <c r="O12">
        <f>IF(N12="","",COUNTIFS(Fuel!$C$6:$C$605,C12,Fuel!$N$6:$N$605,"&gt;"&amp;N12))</f>
        <v/>
      </c>
      <c r="P12">
        <f>IF(OR(N12="",G12=""),"",COUNTIFS(Fuel!$C$6:$C$605,C12,Fuel!$G$6:$G$605,"&lt;&gt;",Fuel!$N$6:$N$605,"&lt;"&amp;N12))</f>
        <v/>
      </c>
      <c r="R12">
        <f>IF(OR(P12="",N(P12)=0),"",SUMIFS(Fuel!$D$6:$D$605,Fuel!$C$6:$C$605,C12,Fuel!$P$6:$P$605,P12-1))</f>
        <v/>
      </c>
    </row>
    <row r="13">
      <c r="A13" s="1" t="n"/>
      <c r="B13" s="29" t="n">
        <v>46041</v>
      </c>
      <c r="C13" s="24" t="inlineStr">
        <is>
          <t>Grey van</t>
        </is>
      </c>
      <c r="D13" s="28" t="n">
        <v>121245</v>
      </c>
      <c r="E13" s="33" t="n">
        <v>22.65</v>
      </c>
      <c r="F13" s="34" t="n">
        <v>38.07</v>
      </c>
      <c r="G13" s="27" t="n"/>
      <c r="H13" s="14">
        <f>IF(OR(N(E13)=0,F13=""),"",F13/E13)</f>
        <v/>
      </c>
      <c r="I13" s="11">
        <f>IF(R13="","",D13-R13)</f>
        <v/>
      </c>
      <c r="J13" s="35">
        <f>IF(R13="","",SUMIFS(Fuel!$E$6:$E$605,Fuel!$C$6:$C$605,C13,Fuel!$D$6:$D$605,"&gt;"&amp;R13,Fuel!$D$6:$D$605,"&lt;="&amp;D13))</f>
        <v/>
      </c>
      <c r="K13" s="36">
        <f>IF(OR(I13="",N(I13)=0),"",J13/I13*100)</f>
        <v/>
      </c>
      <c r="L13" s="36">
        <f>IF(OR(J13="",N(J13)=0),"",I13/J13)</f>
        <v/>
      </c>
      <c r="M13" s="1" t="n"/>
      <c r="N13">
        <f>IF(OR(C13="",N(D13)=0),"",D13+ROW()/10000000)</f>
        <v/>
      </c>
      <c r="O13">
        <f>IF(N13="","",COUNTIFS(Fuel!$C$6:$C$605,C13,Fuel!$N$6:$N$605,"&gt;"&amp;N13))</f>
        <v/>
      </c>
      <c r="P13">
        <f>IF(OR(N13="",G13=""),"",COUNTIFS(Fuel!$C$6:$C$605,C13,Fuel!$G$6:$G$605,"&lt;&gt;",Fuel!$N$6:$N$605,"&lt;"&amp;N13))</f>
        <v/>
      </c>
      <c r="R13">
        <f>IF(OR(P13="",N(P13)=0),"",SUMIFS(Fuel!$D$6:$D$605,Fuel!$C$6:$C$605,C13,Fuel!$P$6:$P$605,P13-1))</f>
        <v/>
      </c>
    </row>
    <row r="14">
      <c r="A14" s="1" t="n"/>
      <c r="B14" s="29" t="n">
        <v>46044</v>
      </c>
      <c r="C14" s="24" t="inlineStr">
        <is>
          <t>Blue hatchback</t>
        </is>
      </c>
      <c r="D14" s="28" t="n">
        <v>42988</v>
      </c>
      <c r="E14" s="33" t="n">
        <v>21.52</v>
      </c>
      <c r="F14" s="34" t="n">
        <v>37.45</v>
      </c>
      <c r="G14" s="27" t="inlineStr">
        <is>
          <t>x</t>
        </is>
      </c>
      <c r="H14" s="14">
        <f>IF(OR(N(E14)=0,F14=""),"",F14/E14)</f>
        <v/>
      </c>
      <c r="I14" s="11">
        <f>IF(R14="","",D14-R14)</f>
        <v/>
      </c>
      <c r="J14" s="35">
        <f>IF(R14="","",SUMIFS(Fuel!$E$6:$E$605,Fuel!$C$6:$C$605,C14,Fuel!$D$6:$D$605,"&gt;"&amp;R14,Fuel!$D$6:$D$605,"&lt;="&amp;D14))</f>
        <v/>
      </c>
      <c r="K14" s="36">
        <f>IF(OR(I14="",N(I14)=0),"",J14/I14*100)</f>
        <v/>
      </c>
      <c r="L14" s="36">
        <f>IF(OR(J14="",N(J14)=0),"",I14/J14)</f>
        <v/>
      </c>
      <c r="M14" s="1" t="n"/>
      <c r="N14">
        <f>IF(OR(C14="",N(D14)=0),"",D14+ROW()/10000000)</f>
        <v/>
      </c>
      <c r="O14">
        <f>IF(N14="","",COUNTIFS(Fuel!$C$6:$C$605,C14,Fuel!$N$6:$N$605,"&gt;"&amp;N14))</f>
        <v/>
      </c>
      <c r="P14">
        <f>IF(OR(N14="",G14=""),"",COUNTIFS(Fuel!$C$6:$C$605,C14,Fuel!$G$6:$G$605,"&lt;&gt;",Fuel!$N$6:$N$605,"&lt;"&amp;N14))</f>
        <v/>
      </c>
      <c r="R14">
        <f>IF(OR(P14="",N(P14)=0),"",SUMIFS(Fuel!$D$6:$D$605,Fuel!$C$6:$C$605,C14,Fuel!$P$6:$P$605,P14-1))</f>
        <v/>
      </c>
    </row>
    <row r="15">
      <c r="A15" s="1" t="n"/>
      <c r="B15" s="29" t="n">
        <v>46055</v>
      </c>
      <c r="C15" s="24" t="inlineStr">
        <is>
          <t>Grey van</t>
        </is>
      </c>
      <c r="D15" s="28" t="n">
        <v>122162</v>
      </c>
      <c r="E15" s="33" t="n">
        <v>89.70999999999999</v>
      </c>
      <c r="F15" s="34" t="n">
        <v>149.82</v>
      </c>
      <c r="G15" s="27" t="inlineStr">
        <is>
          <t>x</t>
        </is>
      </c>
      <c r="H15" s="14">
        <f>IF(OR(N(E15)=0,F15=""),"",F15/E15)</f>
        <v/>
      </c>
      <c r="I15" s="11">
        <f>IF(R15="","",D15-R15)</f>
        <v/>
      </c>
      <c r="J15" s="35">
        <f>IF(R15="","",SUMIFS(Fuel!$E$6:$E$605,Fuel!$C$6:$C$605,C15,Fuel!$D$6:$D$605,"&gt;"&amp;R15,Fuel!$D$6:$D$605,"&lt;="&amp;D15))</f>
        <v/>
      </c>
      <c r="K15" s="36">
        <f>IF(OR(I15="",N(I15)=0),"",J15/I15*100)</f>
        <v/>
      </c>
      <c r="L15" s="36">
        <f>IF(OR(J15="",N(J15)=0),"",I15/J15)</f>
        <v/>
      </c>
      <c r="M15" s="1" t="n"/>
      <c r="N15">
        <f>IF(OR(C15="",N(D15)=0),"",D15+ROW()/10000000)</f>
        <v/>
      </c>
      <c r="O15">
        <f>IF(N15="","",COUNTIFS(Fuel!$C$6:$C$605,C15,Fuel!$N$6:$N$605,"&gt;"&amp;N15))</f>
        <v/>
      </c>
      <c r="P15">
        <f>IF(OR(N15="",G15=""),"",COUNTIFS(Fuel!$C$6:$C$605,C15,Fuel!$G$6:$G$605,"&lt;&gt;",Fuel!$N$6:$N$605,"&lt;"&amp;N15))</f>
        <v/>
      </c>
      <c r="R15">
        <f>IF(OR(P15="",N(P15)=0),"",SUMIFS(Fuel!$D$6:$D$605,Fuel!$C$6:$C$605,C15,Fuel!$P$6:$P$605,P15-1))</f>
        <v/>
      </c>
    </row>
    <row r="16">
      <c r="A16" s="1" t="n"/>
      <c r="B16" s="29" t="n">
        <v>46059</v>
      </c>
      <c r="C16" s="24" t="inlineStr">
        <is>
          <t>Blue hatchback</t>
        </is>
      </c>
      <c r="D16" s="28" t="n">
        <v>43474</v>
      </c>
      <c r="E16" s="33" t="n">
        <v>18.97</v>
      </c>
      <c r="F16" s="34" t="n">
        <v>32.64</v>
      </c>
      <c r="G16" s="27" t="n"/>
      <c r="H16" s="14">
        <f>IF(OR(N(E16)=0,F16=""),"",F16/E16)</f>
        <v/>
      </c>
      <c r="I16" s="11">
        <f>IF(R16="","",D16-R16)</f>
        <v/>
      </c>
      <c r="J16" s="35">
        <f>IF(R16="","",SUMIFS(Fuel!$E$6:$E$605,Fuel!$C$6:$C$605,C16,Fuel!$D$6:$D$605,"&gt;"&amp;R16,Fuel!$D$6:$D$605,"&lt;="&amp;D16))</f>
        <v/>
      </c>
      <c r="K16" s="36">
        <f>IF(OR(I16="",N(I16)=0),"",J16/I16*100)</f>
        <v/>
      </c>
      <c r="L16" s="36">
        <f>IF(OR(J16="",N(J16)=0),"",I16/J16)</f>
        <v/>
      </c>
      <c r="M16" s="1" t="n"/>
      <c r="N16">
        <f>IF(OR(C16="",N(D16)=0),"",D16+ROW()/10000000)</f>
        <v/>
      </c>
      <c r="O16">
        <f>IF(N16="","",COUNTIFS(Fuel!$C$6:$C$605,C16,Fuel!$N$6:$N$605,"&gt;"&amp;N16))</f>
        <v/>
      </c>
      <c r="P16">
        <f>IF(OR(N16="",G16=""),"",COUNTIFS(Fuel!$C$6:$C$605,C16,Fuel!$G$6:$G$605,"&lt;&gt;",Fuel!$N$6:$N$605,"&lt;"&amp;N16))</f>
        <v/>
      </c>
      <c r="R16">
        <f>IF(OR(P16="",N(P16)=0),"",SUMIFS(Fuel!$D$6:$D$605,Fuel!$C$6:$C$605,C16,Fuel!$P$6:$P$605,P16-1))</f>
        <v/>
      </c>
    </row>
    <row r="17">
      <c r="A17" s="1" t="n"/>
      <c r="B17" s="29" t="n">
        <v>46067</v>
      </c>
      <c r="C17" s="24" t="inlineStr">
        <is>
          <t>Grey van</t>
        </is>
      </c>
      <c r="D17" s="28" t="n">
        <v>122914</v>
      </c>
      <c r="E17" s="33" t="n">
        <v>56.89</v>
      </c>
      <c r="F17" s="34" t="n">
        <v>94.09</v>
      </c>
      <c r="G17" s="27" t="inlineStr">
        <is>
          <t>x</t>
        </is>
      </c>
      <c r="H17" s="14">
        <f>IF(OR(N(E17)=0,F17=""),"",F17/E17)</f>
        <v/>
      </c>
      <c r="I17" s="11">
        <f>IF(R17="","",D17-R17)</f>
        <v/>
      </c>
      <c r="J17" s="35">
        <f>IF(R17="","",SUMIFS(Fuel!$E$6:$E$605,Fuel!$C$6:$C$605,C17,Fuel!$D$6:$D$605,"&gt;"&amp;R17,Fuel!$D$6:$D$605,"&lt;="&amp;D17))</f>
        <v/>
      </c>
      <c r="K17" s="36">
        <f>IF(OR(I17="",N(I17)=0),"",J17/I17*100)</f>
        <v/>
      </c>
      <c r="L17" s="36">
        <f>IF(OR(J17="",N(J17)=0),"",I17/J17)</f>
        <v/>
      </c>
      <c r="M17" s="1" t="n"/>
      <c r="N17">
        <f>IF(OR(C17="",N(D17)=0),"",D17+ROW()/10000000)</f>
        <v/>
      </c>
      <c r="O17">
        <f>IF(N17="","",COUNTIFS(Fuel!$C$6:$C$605,C17,Fuel!$N$6:$N$605,"&gt;"&amp;N17))</f>
        <v/>
      </c>
      <c r="P17">
        <f>IF(OR(N17="",G17=""),"",COUNTIFS(Fuel!$C$6:$C$605,C17,Fuel!$G$6:$G$605,"&lt;&gt;",Fuel!$N$6:$N$605,"&lt;"&amp;N17))</f>
        <v/>
      </c>
      <c r="R17">
        <f>IF(OR(P17="",N(P17)=0),"",SUMIFS(Fuel!$D$6:$D$605,Fuel!$C$6:$C$605,C17,Fuel!$P$6:$P$605,P17-1))</f>
        <v/>
      </c>
    </row>
    <row r="18">
      <c r="A18" s="1" t="n"/>
      <c r="B18" s="29" t="n">
        <v>46073</v>
      </c>
      <c r="C18" s="24" t="inlineStr">
        <is>
          <t>Blue hatchback</t>
        </is>
      </c>
      <c r="D18" s="28" t="n">
        <v>44053</v>
      </c>
      <c r="E18" s="33" t="n">
        <v>49.96</v>
      </c>
      <c r="F18" s="34" t="n">
        <v>86.51000000000001</v>
      </c>
      <c r="G18" s="27" t="inlineStr">
        <is>
          <t>x</t>
        </is>
      </c>
      <c r="H18" s="14">
        <f>IF(OR(N(E18)=0,F18=""),"",F18/E18)</f>
        <v/>
      </c>
      <c r="I18" s="11">
        <f>IF(R18="","",D18-R18)</f>
        <v/>
      </c>
      <c r="J18" s="35">
        <f>IF(R18="","",SUMIFS(Fuel!$E$6:$E$605,Fuel!$C$6:$C$605,C18,Fuel!$D$6:$D$605,"&gt;"&amp;R18,Fuel!$D$6:$D$605,"&lt;="&amp;D18))</f>
        <v/>
      </c>
      <c r="K18" s="36">
        <f>IF(OR(I18="",N(I18)=0),"",J18/I18*100)</f>
        <v/>
      </c>
      <c r="L18" s="36">
        <f>IF(OR(J18="",N(J18)=0),"",I18/J18)</f>
        <v/>
      </c>
      <c r="M18" s="1" t="n"/>
      <c r="N18">
        <f>IF(OR(C18="",N(D18)=0),"",D18+ROW()/10000000)</f>
        <v/>
      </c>
      <c r="O18">
        <f>IF(N18="","",COUNTIFS(Fuel!$C$6:$C$605,C18,Fuel!$N$6:$N$605,"&gt;"&amp;N18))</f>
        <v/>
      </c>
      <c r="P18">
        <f>IF(OR(N18="",G18=""),"",COUNTIFS(Fuel!$C$6:$C$605,C18,Fuel!$G$6:$G$605,"&lt;&gt;",Fuel!$N$6:$N$605,"&lt;"&amp;N18))</f>
        <v/>
      </c>
      <c r="R18">
        <f>IF(OR(P18="",N(P18)=0),"",SUMIFS(Fuel!$D$6:$D$605,Fuel!$C$6:$C$605,C18,Fuel!$P$6:$P$605,P18-1))</f>
        <v/>
      </c>
    </row>
    <row r="19">
      <c r="A19" s="1" t="n"/>
      <c r="B19" s="29" t="n">
        <v>46080</v>
      </c>
      <c r="C19" s="24" t="inlineStr">
        <is>
          <t>Grey van</t>
        </is>
      </c>
      <c r="D19" s="28" t="n">
        <v>123584</v>
      </c>
      <c r="E19" s="33" t="n">
        <v>53.64</v>
      </c>
      <c r="F19" s="34" t="n">
        <v>90.22</v>
      </c>
      <c r="G19" s="27" t="inlineStr">
        <is>
          <t>x</t>
        </is>
      </c>
      <c r="H19" s="14">
        <f>IF(OR(N(E19)=0,F19=""),"",F19/E19)</f>
        <v/>
      </c>
      <c r="I19" s="11">
        <f>IF(R19="","",D19-R19)</f>
        <v/>
      </c>
      <c r="J19" s="35">
        <f>IF(R19="","",SUMIFS(Fuel!$E$6:$E$605,Fuel!$C$6:$C$605,C19,Fuel!$D$6:$D$605,"&gt;"&amp;R19,Fuel!$D$6:$D$605,"&lt;="&amp;D19))</f>
        <v/>
      </c>
      <c r="K19" s="36">
        <f>IF(OR(I19="",N(I19)=0),"",J19/I19*100)</f>
        <v/>
      </c>
      <c r="L19" s="36">
        <f>IF(OR(J19="",N(J19)=0),"",I19/J19)</f>
        <v/>
      </c>
      <c r="M19" s="1" t="n"/>
      <c r="N19">
        <f>IF(OR(C19="",N(D19)=0),"",D19+ROW()/10000000)</f>
        <v/>
      </c>
      <c r="O19">
        <f>IF(N19="","",COUNTIFS(Fuel!$C$6:$C$605,C19,Fuel!$N$6:$N$605,"&gt;"&amp;N19))</f>
        <v/>
      </c>
      <c r="P19">
        <f>IF(OR(N19="",G19=""),"",COUNTIFS(Fuel!$C$6:$C$605,C19,Fuel!$G$6:$G$605,"&lt;&gt;",Fuel!$N$6:$N$605,"&lt;"&amp;N19))</f>
        <v/>
      </c>
      <c r="R19">
        <f>IF(OR(P19="",N(P19)=0),"",SUMIFS(Fuel!$D$6:$D$605,Fuel!$C$6:$C$605,C19,Fuel!$P$6:$P$605,P19-1))</f>
        <v/>
      </c>
    </row>
    <row r="20">
      <c r="A20" s="1" t="n"/>
      <c r="B20" s="29" t="n">
        <v>46087</v>
      </c>
      <c r="C20" s="24" t="inlineStr">
        <is>
          <t>Blue hatchback</t>
        </is>
      </c>
      <c r="D20" s="28" t="n">
        <v>44574</v>
      </c>
      <c r="E20" s="33" t="n">
        <v>31.4</v>
      </c>
      <c r="F20" s="34" t="n">
        <v>55.42</v>
      </c>
      <c r="G20" s="27" t="inlineStr">
        <is>
          <t>x</t>
        </is>
      </c>
      <c r="H20" s="14">
        <f>IF(OR(N(E20)=0,F20=""),"",F20/E20)</f>
        <v/>
      </c>
      <c r="I20" s="11">
        <f>IF(R20="","",D20-R20)</f>
        <v/>
      </c>
      <c r="J20" s="35">
        <f>IF(R20="","",SUMIFS(Fuel!$E$6:$E$605,Fuel!$C$6:$C$605,C20,Fuel!$D$6:$D$605,"&gt;"&amp;R20,Fuel!$D$6:$D$605,"&lt;="&amp;D20))</f>
        <v/>
      </c>
      <c r="K20" s="36">
        <f>IF(OR(I20="",N(I20)=0),"",J20/I20*100)</f>
        <v/>
      </c>
      <c r="L20" s="36">
        <f>IF(OR(J20="",N(J20)=0),"",I20/J20)</f>
        <v/>
      </c>
      <c r="M20" s="1" t="n"/>
      <c r="N20">
        <f>IF(OR(C20="",N(D20)=0),"",D20+ROW()/10000000)</f>
        <v/>
      </c>
      <c r="O20">
        <f>IF(N20="","",COUNTIFS(Fuel!$C$6:$C$605,C20,Fuel!$N$6:$N$605,"&gt;"&amp;N20))</f>
        <v/>
      </c>
      <c r="P20">
        <f>IF(OR(N20="",G20=""),"",COUNTIFS(Fuel!$C$6:$C$605,C20,Fuel!$G$6:$G$605,"&lt;&gt;",Fuel!$N$6:$N$605,"&lt;"&amp;N20))</f>
        <v/>
      </c>
      <c r="R20">
        <f>IF(OR(P20="",N(P20)=0),"",SUMIFS(Fuel!$D$6:$D$605,Fuel!$C$6:$C$605,C20,Fuel!$P$6:$P$605,P20-1))</f>
        <v/>
      </c>
    </row>
    <row r="21">
      <c r="A21" s="1" t="n"/>
      <c r="B21" s="29" t="n">
        <v>46093</v>
      </c>
      <c r="C21" s="24" t="inlineStr">
        <is>
          <t>Grey van</t>
        </is>
      </c>
      <c r="D21" s="28" t="n">
        <v>124181</v>
      </c>
      <c r="E21" s="33" t="n">
        <v>46.53</v>
      </c>
      <c r="F21" s="34" t="n">
        <v>80.43000000000001</v>
      </c>
      <c r="G21" s="27" t="inlineStr">
        <is>
          <t>x</t>
        </is>
      </c>
      <c r="H21" s="14">
        <f>IF(OR(N(E21)=0,F21=""),"",F21/E21)</f>
        <v/>
      </c>
      <c r="I21" s="11">
        <f>IF(R21="","",D21-R21)</f>
        <v/>
      </c>
      <c r="J21" s="35">
        <f>IF(R21="","",SUMIFS(Fuel!$E$6:$E$605,Fuel!$C$6:$C$605,C21,Fuel!$D$6:$D$605,"&gt;"&amp;R21,Fuel!$D$6:$D$605,"&lt;="&amp;D21))</f>
        <v/>
      </c>
      <c r="K21" s="36">
        <f>IF(OR(I21="",N(I21)=0),"",J21/I21*100)</f>
        <v/>
      </c>
      <c r="L21" s="36">
        <f>IF(OR(J21="",N(J21)=0),"",I21/J21)</f>
        <v/>
      </c>
      <c r="M21" s="1" t="n"/>
      <c r="N21">
        <f>IF(OR(C21="",N(D21)=0),"",D21+ROW()/10000000)</f>
        <v/>
      </c>
      <c r="O21">
        <f>IF(N21="","",COUNTIFS(Fuel!$C$6:$C$605,C21,Fuel!$N$6:$N$605,"&gt;"&amp;N21))</f>
        <v/>
      </c>
      <c r="P21">
        <f>IF(OR(N21="",G21=""),"",COUNTIFS(Fuel!$C$6:$C$605,C21,Fuel!$G$6:$G$605,"&lt;&gt;",Fuel!$N$6:$N$605,"&lt;"&amp;N21))</f>
        <v/>
      </c>
      <c r="R21">
        <f>IF(OR(P21="",N(P21)=0),"",SUMIFS(Fuel!$D$6:$D$605,Fuel!$C$6:$C$605,C21,Fuel!$P$6:$P$605,P21-1))</f>
        <v/>
      </c>
    </row>
    <row r="22">
      <c r="A22" s="1" t="n"/>
      <c r="B22" s="29" t="n">
        <v>46098</v>
      </c>
      <c r="C22" s="24" t="inlineStr">
        <is>
          <t>Blue hatchback</t>
        </is>
      </c>
      <c r="D22" s="28" t="n">
        <v>45014</v>
      </c>
      <c r="E22" s="33" t="n">
        <v>26.7</v>
      </c>
      <c r="F22" s="34" t="n">
        <v>45.98</v>
      </c>
      <c r="G22" s="27" t="inlineStr">
        <is>
          <t>x</t>
        </is>
      </c>
      <c r="H22" s="14">
        <f>IF(OR(N(E22)=0,F22=""),"",F22/E22)</f>
        <v/>
      </c>
      <c r="I22" s="11">
        <f>IF(R22="","",D22-R22)</f>
        <v/>
      </c>
      <c r="J22" s="35">
        <f>IF(R22="","",SUMIFS(Fuel!$E$6:$E$605,Fuel!$C$6:$C$605,C22,Fuel!$D$6:$D$605,"&gt;"&amp;R22,Fuel!$D$6:$D$605,"&lt;="&amp;D22))</f>
        <v/>
      </c>
      <c r="K22" s="36">
        <f>IF(OR(I22="",N(I22)=0),"",J22/I22*100)</f>
        <v/>
      </c>
      <c r="L22" s="36">
        <f>IF(OR(J22="",N(J22)=0),"",I22/J22)</f>
        <v/>
      </c>
      <c r="M22" s="1" t="n"/>
      <c r="N22">
        <f>IF(OR(C22="",N(D22)=0),"",D22+ROW()/10000000)</f>
        <v/>
      </c>
      <c r="O22">
        <f>IF(N22="","",COUNTIFS(Fuel!$C$6:$C$605,C22,Fuel!$N$6:$N$605,"&gt;"&amp;N22))</f>
        <v/>
      </c>
      <c r="P22">
        <f>IF(OR(N22="",G22=""),"",COUNTIFS(Fuel!$C$6:$C$605,C22,Fuel!$G$6:$G$605,"&lt;&gt;",Fuel!$N$6:$N$605,"&lt;"&amp;N22))</f>
        <v/>
      </c>
      <c r="R22">
        <f>IF(OR(P22="",N(P22)=0),"",SUMIFS(Fuel!$D$6:$D$605,Fuel!$C$6:$C$605,C22,Fuel!$P$6:$P$605,P22-1))</f>
        <v/>
      </c>
    </row>
    <row r="23">
      <c r="A23" s="1" t="n"/>
      <c r="B23" s="29" t="n">
        <v>46102</v>
      </c>
      <c r="C23" s="24" t="inlineStr">
        <is>
          <t>Grey van</t>
        </is>
      </c>
      <c r="D23" s="28" t="n">
        <v>124705</v>
      </c>
      <c r="E23" s="33" t="n">
        <v>41.13</v>
      </c>
      <c r="F23" s="34" t="n">
        <v>68.65000000000001</v>
      </c>
      <c r="G23" s="27" t="inlineStr">
        <is>
          <t>x</t>
        </is>
      </c>
      <c r="H23" s="14">
        <f>IF(OR(N(E23)=0,F23=""),"",F23/E23)</f>
        <v/>
      </c>
      <c r="I23" s="11">
        <f>IF(R23="","",D23-R23)</f>
        <v/>
      </c>
      <c r="J23" s="35">
        <f>IF(R23="","",SUMIFS(Fuel!$E$6:$E$605,Fuel!$C$6:$C$605,C23,Fuel!$D$6:$D$605,"&gt;"&amp;R23,Fuel!$D$6:$D$605,"&lt;="&amp;D23))</f>
        <v/>
      </c>
      <c r="K23" s="36">
        <f>IF(OR(I23="",N(I23)=0),"",J23/I23*100)</f>
        <v/>
      </c>
      <c r="L23" s="36">
        <f>IF(OR(J23="",N(J23)=0),"",I23/J23)</f>
        <v/>
      </c>
      <c r="M23" s="1" t="n"/>
      <c r="N23">
        <f>IF(OR(C23="",N(D23)=0),"",D23+ROW()/10000000)</f>
        <v/>
      </c>
      <c r="O23">
        <f>IF(N23="","",COUNTIFS(Fuel!$C$6:$C$605,C23,Fuel!$N$6:$N$605,"&gt;"&amp;N23))</f>
        <v/>
      </c>
      <c r="P23">
        <f>IF(OR(N23="",G23=""),"",COUNTIFS(Fuel!$C$6:$C$605,C23,Fuel!$G$6:$G$605,"&lt;&gt;",Fuel!$N$6:$N$605,"&lt;"&amp;N23))</f>
        <v/>
      </c>
      <c r="R23">
        <f>IF(OR(P23="",N(P23)=0),"",SUMIFS(Fuel!$D$6:$D$605,Fuel!$C$6:$C$605,C23,Fuel!$P$6:$P$605,P23-1))</f>
        <v/>
      </c>
    </row>
    <row r="24">
      <c r="A24" s="1" t="n"/>
      <c r="B24" s="29" t="n">
        <v>46109</v>
      </c>
      <c r="C24" s="24" t="inlineStr">
        <is>
          <t>Blue hatchback</t>
        </is>
      </c>
      <c r="D24" s="28" t="n">
        <v>45470</v>
      </c>
      <c r="E24" s="33" t="n">
        <v>28.65</v>
      </c>
      <c r="F24" s="34" t="n">
        <v>50.42</v>
      </c>
      <c r="G24" s="27" t="inlineStr">
        <is>
          <t>x</t>
        </is>
      </c>
      <c r="H24" s="14">
        <f>IF(OR(N(E24)=0,F24=""),"",F24/E24)</f>
        <v/>
      </c>
      <c r="I24" s="11">
        <f>IF(R24="","",D24-R24)</f>
        <v/>
      </c>
      <c r="J24" s="35">
        <f>IF(R24="","",SUMIFS(Fuel!$E$6:$E$605,Fuel!$C$6:$C$605,C24,Fuel!$D$6:$D$605,"&gt;"&amp;R24,Fuel!$D$6:$D$605,"&lt;="&amp;D24))</f>
        <v/>
      </c>
      <c r="K24" s="36">
        <f>IF(OR(I24="",N(I24)=0),"",J24/I24*100)</f>
        <v/>
      </c>
      <c r="L24" s="36">
        <f>IF(OR(J24="",N(J24)=0),"",I24/J24)</f>
        <v/>
      </c>
      <c r="M24" s="1" t="n"/>
      <c r="N24">
        <f>IF(OR(C24="",N(D24)=0),"",D24+ROW()/10000000)</f>
        <v/>
      </c>
      <c r="O24">
        <f>IF(N24="","",COUNTIFS(Fuel!$C$6:$C$605,C24,Fuel!$N$6:$N$605,"&gt;"&amp;N24))</f>
        <v/>
      </c>
      <c r="P24">
        <f>IF(OR(N24="",G24=""),"",COUNTIFS(Fuel!$C$6:$C$605,C24,Fuel!$G$6:$G$605,"&lt;&gt;",Fuel!$N$6:$N$605,"&lt;"&amp;N24))</f>
        <v/>
      </c>
      <c r="R24">
        <f>IF(OR(P24="",N(P24)=0),"",SUMIFS(Fuel!$D$6:$D$605,Fuel!$C$6:$C$605,C24,Fuel!$P$6:$P$605,P24-1))</f>
        <v/>
      </c>
    </row>
    <row r="25">
      <c r="A25" s="1" t="n"/>
      <c r="B25" s="29" t="n">
        <v>46114</v>
      </c>
      <c r="C25" s="24" t="inlineStr">
        <is>
          <t>Grey van</t>
        </is>
      </c>
      <c r="D25" s="28" t="n">
        <v>125486</v>
      </c>
      <c r="E25" s="33" t="n">
        <v>59.54</v>
      </c>
      <c r="F25" s="34" t="n">
        <v>101.47</v>
      </c>
      <c r="G25" s="27" t="inlineStr">
        <is>
          <t>x</t>
        </is>
      </c>
      <c r="H25" s="14">
        <f>IF(OR(N(E25)=0,F25=""),"",F25/E25)</f>
        <v/>
      </c>
      <c r="I25" s="11">
        <f>IF(R25="","",D25-R25)</f>
        <v/>
      </c>
      <c r="J25" s="35">
        <f>IF(R25="","",SUMIFS(Fuel!$E$6:$E$605,Fuel!$C$6:$C$605,C25,Fuel!$D$6:$D$605,"&gt;"&amp;R25,Fuel!$D$6:$D$605,"&lt;="&amp;D25))</f>
        <v/>
      </c>
      <c r="K25" s="36">
        <f>IF(OR(I25="",N(I25)=0),"",J25/I25*100)</f>
        <v/>
      </c>
      <c r="L25" s="36">
        <f>IF(OR(J25="",N(J25)=0),"",I25/J25)</f>
        <v/>
      </c>
      <c r="M25" s="1" t="n"/>
      <c r="N25">
        <f>IF(OR(C25="",N(D25)=0),"",D25+ROW()/10000000)</f>
        <v/>
      </c>
      <c r="O25">
        <f>IF(N25="","",COUNTIFS(Fuel!$C$6:$C$605,C25,Fuel!$N$6:$N$605,"&gt;"&amp;N25))</f>
        <v/>
      </c>
      <c r="P25">
        <f>IF(OR(N25="",G25=""),"",COUNTIFS(Fuel!$C$6:$C$605,C25,Fuel!$G$6:$G$605,"&lt;&gt;",Fuel!$N$6:$N$605,"&lt;"&amp;N25))</f>
        <v/>
      </c>
      <c r="R25">
        <f>IF(OR(P25="",N(P25)=0),"",SUMIFS(Fuel!$D$6:$D$605,Fuel!$C$6:$C$605,C25,Fuel!$P$6:$P$605,P25-1))</f>
        <v/>
      </c>
    </row>
    <row r="26">
      <c r="A26" s="1" t="n"/>
      <c r="B26" s="29" t="n">
        <v>46119</v>
      </c>
      <c r="C26" s="24" t="inlineStr">
        <is>
          <t>Blue hatchback</t>
        </is>
      </c>
      <c r="D26" s="28" t="n">
        <v>45830</v>
      </c>
      <c r="E26" s="33" t="n">
        <v>21.28</v>
      </c>
      <c r="F26" s="34" t="n">
        <v>37.18</v>
      </c>
      <c r="G26" s="27" t="inlineStr">
        <is>
          <t>x</t>
        </is>
      </c>
      <c r="H26" s="14">
        <f>IF(OR(N(E26)=0,F26=""),"",F26/E26)</f>
        <v/>
      </c>
      <c r="I26" s="11">
        <f>IF(R26="","",D26-R26)</f>
        <v/>
      </c>
      <c r="J26" s="35">
        <f>IF(R26="","",SUMIFS(Fuel!$E$6:$E$605,Fuel!$C$6:$C$605,C26,Fuel!$D$6:$D$605,"&gt;"&amp;R26,Fuel!$D$6:$D$605,"&lt;="&amp;D26))</f>
        <v/>
      </c>
      <c r="K26" s="36">
        <f>IF(OR(I26="",N(I26)=0),"",J26/I26*100)</f>
        <v/>
      </c>
      <c r="L26" s="36">
        <f>IF(OR(J26="",N(J26)=0),"",I26/J26)</f>
        <v/>
      </c>
      <c r="M26" s="1" t="n"/>
      <c r="N26">
        <f>IF(OR(C26="",N(D26)=0),"",D26+ROW()/10000000)</f>
        <v/>
      </c>
      <c r="O26">
        <f>IF(N26="","",COUNTIFS(Fuel!$C$6:$C$605,C26,Fuel!$N$6:$N$605,"&gt;"&amp;N26))</f>
        <v/>
      </c>
      <c r="P26">
        <f>IF(OR(N26="",G26=""),"",COUNTIFS(Fuel!$C$6:$C$605,C26,Fuel!$G$6:$G$605,"&lt;&gt;",Fuel!$N$6:$N$605,"&lt;"&amp;N26))</f>
        <v/>
      </c>
      <c r="R26">
        <f>IF(OR(P26="",N(P26)=0),"",SUMIFS(Fuel!$D$6:$D$605,Fuel!$C$6:$C$605,C26,Fuel!$P$6:$P$605,P26-1))</f>
        <v/>
      </c>
    </row>
    <row r="27">
      <c r="A27" s="1" t="n"/>
      <c r="B27" s="29" t="n">
        <v>46126</v>
      </c>
      <c r="C27" s="24" t="inlineStr">
        <is>
          <t>Grey van</t>
        </is>
      </c>
      <c r="D27" s="28" t="n">
        <v>126078</v>
      </c>
      <c r="E27" s="33" t="n">
        <v>44.75</v>
      </c>
      <c r="F27" s="34" t="n">
        <v>74.3</v>
      </c>
      <c r="G27" s="27" t="inlineStr">
        <is>
          <t>x</t>
        </is>
      </c>
      <c r="H27" s="14">
        <f>IF(OR(N(E27)=0,F27=""),"",F27/E27)</f>
        <v/>
      </c>
      <c r="I27" s="11">
        <f>IF(R27="","",D27-R27)</f>
        <v/>
      </c>
      <c r="J27" s="35">
        <f>IF(R27="","",SUMIFS(Fuel!$E$6:$E$605,Fuel!$C$6:$C$605,C27,Fuel!$D$6:$D$605,"&gt;"&amp;R27,Fuel!$D$6:$D$605,"&lt;="&amp;D27))</f>
        <v/>
      </c>
      <c r="K27" s="36">
        <f>IF(OR(I27="",N(I27)=0),"",J27/I27*100)</f>
        <v/>
      </c>
      <c r="L27" s="36">
        <f>IF(OR(J27="",N(J27)=0),"",I27/J27)</f>
        <v/>
      </c>
      <c r="M27" s="1" t="n"/>
      <c r="N27">
        <f>IF(OR(C27="",N(D27)=0),"",D27+ROW()/10000000)</f>
        <v/>
      </c>
      <c r="O27">
        <f>IF(N27="","",COUNTIFS(Fuel!$C$6:$C$605,C27,Fuel!$N$6:$N$605,"&gt;"&amp;N27))</f>
        <v/>
      </c>
      <c r="P27">
        <f>IF(OR(N27="",G27=""),"",COUNTIFS(Fuel!$C$6:$C$605,C27,Fuel!$G$6:$G$605,"&lt;&gt;",Fuel!$N$6:$N$605,"&lt;"&amp;N27))</f>
        <v/>
      </c>
      <c r="R27">
        <f>IF(OR(P27="",N(P27)=0),"",SUMIFS(Fuel!$D$6:$D$605,Fuel!$C$6:$C$605,C27,Fuel!$P$6:$P$605,P27-1))</f>
        <v/>
      </c>
    </row>
    <row r="28">
      <c r="A28" s="1" t="n"/>
      <c r="B28" s="29" t="n">
        <v>46134</v>
      </c>
      <c r="C28" s="24" t="inlineStr">
        <is>
          <t>Blue hatchback</t>
        </is>
      </c>
      <c r="D28" s="28" t="n">
        <v>46397</v>
      </c>
      <c r="E28" s="33" t="n">
        <v>34.01</v>
      </c>
      <c r="F28" s="34" t="n">
        <v>59.54</v>
      </c>
      <c r="G28" s="27" t="inlineStr">
        <is>
          <t>x</t>
        </is>
      </c>
      <c r="H28" s="14">
        <f>IF(OR(N(E28)=0,F28=""),"",F28/E28)</f>
        <v/>
      </c>
      <c r="I28" s="11">
        <f>IF(R28="","",D28-R28)</f>
        <v/>
      </c>
      <c r="J28" s="35">
        <f>IF(R28="","",SUMIFS(Fuel!$E$6:$E$605,Fuel!$C$6:$C$605,C28,Fuel!$D$6:$D$605,"&gt;"&amp;R28,Fuel!$D$6:$D$605,"&lt;="&amp;D28))</f>
        <v/>
      </c>
      <c r="K28" s="36">
        <f>IF(OR(I28="",N(I28)=0),"",J28/I28*100)</f>
        <v/>
      </c>
      <c r="L28" s="36">
        <f>IF(OR(J28="",N(J28)=0),"",I28/J28)</f>
        <v/>
      </c>
      <c r="M28" s="1" t="n"/>
      <c r="N28">
        <f>IF(OR(C28="",N(D28)=0),"",D28+ROW()/10000000)</f>
        <v/>
      </c>
      <c r="O28">
        <f>IF(N28="","",COUNTIFS(Fuel!$C$6:$C$605,C28,Fuel!$N$6:$N$605,"&gt;"&amp;N28))</f>
        <v/>
      </c>
      <c r="P28">
        <f>IF(OR(N28="",G28=""),"",COUNTIFS(Fuel!$C$6:$C$605,C28,Fuel!$G$6:$G$605,"&lt;&gt;",Fuel!$N$6:$N$605,"&lt;"&amp;N28))</f>
        <v/>
      </c>
      <c r="R28">
        <f>IF(OR(P28="",N(P28)=0),"",SUMIFS(Fuel!$D$6:$D$605,Fuel!$C$6:$C$605,C28,Fuel!$P$6:$P$605,P28-1))</f>
        <v/>
      </c>
    </row>
    <row r="29">
      <c r="A29" s="1" t="n"/>
      <c r="B29" s="29" t="n">
        <v>46141</v>
      </c>
      <c r="C29" s="24" t="inlineStr">
        <is>
          <t>Grey van</t>
        </is>
      </c>
      <c r="D29" s="28" t="n">
        <v>127058</v>
      </c>
      <c r="E29" s="33" t="n">
        <v>75.28</v>
      </c>
      <c r="F29" s="34" t="n">
        <v>127.79</v>
      </c>
      <c r="G29" s="27" t="inlineStr">
        <is>
          <t>x</t>
        </is>
      </c>
      <c r="H29" s="14">
        <f>IF(OR(N(E29)=0,F29=""),"",F29/E29)</f>
        <v/>
      </c>
      <c r="I29" s="11">
        <f>IF(R29="","",D29-R29)</f>
        <v/>
      </c>
      <c r="J29" s="35">
        <f>IF(R29="","",SUMIFS(Fuel!$E$6:$E$605,Fuel!$C$6:$C$605,C29,Fuel!$D$6:$D$605,"&gt;"&amp;R29,Fuel!$D$6:$D$605,"&lt;="&amp;D29))</f>
        <v/>
      </c>
      <c r="K29" s="36">
        <f>IF(OR(I29="",N(I29)=0),"",J29/I29*100)</f>
        <v/>
      </c>
      <c r="L29" s="36">
        <f>IF(OR(J29="",N(J29)=0),"",I29/J29)</f>
        <v/>
      </c>
      <c r="M29" s="1" t="n"/>
      <c r="N29">
        <f>IF(OR(C29="",N(D29)=0),"",D29+ROW()/10000000)</f>
        <v/>
      </c>
      <c r="O29">
        <f>IF(N29="","",COUNTIFS(Fuel!$C$6:$C$605,C29,Fuel!$N$6:$N$605,"&gt;"&amp;N29))</f>
        <v/>
      </c>
      <c r="P29">
        <f>IF(OR(N29="",G29=""),"",COUNTIFS(Fuel!$C$6:$C$605,C29,Fuel!$G$6:$G$605,"&lt;&gt;",Fuel!$N$6:$N$605,"&lt;"&amp;N29))</f>
        <v/>
      </c>
      <c r="R29">
        <f>IF(OR(P29="",N(P29)=0),"",SUMIFS(Fuel!$D$6:$D$605,Fuel!$C$6:$C$605,C29,Fuel!$P$6:$P$605,P29-1))</f>
        <v/>
      </c>
    </row>
    <row r="30">
      <c r="A30" s="1" t="n"/>
      <c r="B30" s="29" t="n">
        <v>46149</v>
      </c>
      <c r="C30" s="24" t="inlineStr">
        <is>
          <t>Blue hatchback</t>
        </is>
      </c>
      <c r="D30" s="28" t="n">
        <v>47070</v>
      </c>
      <c r="E30" s="33" t="n">
        <v>43.67</v>
      </c>
      <c r="F30" s="34" t="n">
        <v>75.84</v>
      </c>
      <c r="G30" s="27" t="inlineStr">
        <is>
          <t>x</t>
        </is>
      </c>
      <c r="H30" s="14">
        <f>IF(OR(N(E30)=0,F30=""),"",F30/E30)</f>
        <v/>
      </c>
      <c r="I30" s="11">
        <f>IF(R30="","",D30-R30)</f>
        <v/>
      </c>
      <c r="J30" s="35">
        <f>IF(R30="","",SUMIFS(Fuel!$E$6:$E$605,Fuel!$C$6:$C$605,C30,Fuel!$D$6:$D$605,"&gt;"&amp;R30,Fuel!$D$6:$D$605,"&lt;="&amp;D30))</f>
        <v/>
      </c>
      <c r="K30" s="36">
        <f>IF(OR(I30="",N(I30)=0),"",J30/I30*100)</f>
        <v/>
      </c>
      <c r="L30" s="36">
        <f>IF(OR(J30="",N(J30)=0),"",I30/J30)</f>
        <v/>
      </c>
      <c r="M30" s="1" t="n"/>
      <c r="N30">
        <f>IF(OR(C30="",N(D30)=0),"",D30+ROW()/10000000)</f>
        <v/>
      </c>
      <c r="O30">
        <f>IF(N30="","",COUNTIFS(Fuel!$C$6:$C$605,C30,Fuel!$N$6:$N$605,"&gt;"&amp;N30))</f>
        <v/>
      </c>
      <c r="P30">
        <f>IF(OR(N30="",G30=""),"",COUNTIFS(Fuel!$C$6:$C$605,C30,Fuel!$G$6:$G$605,"&lt;&gt;",Fuel!$N$6:$N$605,"&lt;"&amp;N30))</f>
        <v/>
      </c>
      <c r="R30">
        <f>IF(OR(P30="",N(P30)=0),"",SUMIFS(Fuel!$D$6:$D$605,Fuel!$C$6:$C$605,C30,Fuel!$P$6:$P$605,P30-1))</f>
        <v/>
      </c>
    </row>
    <row r="31">
      <c r="A31" s="1" t="n"/>
      <c r="B31" s="29" t="n">
        <v>46151</v>
      </c>
      <c r="C31" s="24" t="inlineStr">
        <is>
          <t>Grey van</t>
        </is>
      </c>
      <c r="D31" s="28" t="n">
        <v>127634</v>
      </c>
      <c r="E31" s="33" t="n">
        <v>45.61</v>
      </c>
      <c r="F31" s="34" t="n">
        <v>74.47</v>
      </c>
      <c r="G31" s="27" t="inlineStr">
        <is>
          <t>x</t>
        </is>
      </c>
      <c r="H31" s="14">
        <f>IF(OR(N(E31)=0,F31=""),"",F31/E31)</f>
        <v/>
      </c>
      <c r="I31" s="11">
        <f>IF(R31="","",D31-R31)</f>
        <v/>
      </c>
      <c r="J31" s="35">
        <f>IF(R31="","",SUMIFS(Fuel!$E$6:$E$605,Fuel!$C$6:$C$605,C31,Fuel!$D$6:$D$605,"&gt;"&amp;R31,Fuel!$D$6:$D$605,"&lt;="&amp;D31))</f>
        <v/>
      </c>
      <c r="K31" s="36">
        <f>IF(OR(I31="",N(I31)=0),"",J31/I31*100)</f>
        <v/>
      </c>
      <c r="L31" s="36">
        <f>IF(OR(J31="",N(J31)=0),"",I31/J31)</f>
        <v/>
      </c>
      <c r="M31" s="1" t="n"/>
      <c r="N31">
        <f>IF(OR(C31="",N(D31)=0),"",D31+ROW()/10000000)</f>
        <v/>
      </c>
      <c r="O31">
        <f>IF(N31="","",COUNTIFS(Fuel!$C$6:$C$605,C31,Fuel!$N$6:$N$605,"&gt;"&amp;N31))</f>
        <v/>
      </c>
      <c r="P31">
        <f>IF(OR(N31="",G31=""),"",COUNTIFS(Fuel!$C$6:$C$605,C31,Fuel!$G$6:$G$605,"&lt;&gt;",Fuel!$N$6:$N$605,"&lt;"&amp;N31))</f>
        <v/>
      </c>
      <c r="R31">
        <f>IF(OR(P31="",N(P31)=0),"",SUMIFS(Fuel!$D$6:$D$605,Fuel!$C$6:$C$605,C31,Fuel!$P$6:$P$605,P31-1))</f>
        <v/>
      </c>
    </row>
    <row r="32">
      <c r="A32" s="1" t="n"/>
      <c r="B32" s="29" t="n">
        <v>46159</v>
      </c>
      <c r="C32" s="24" t="inlineStr">
        <is>
          <t>Blue hatchback</t>
        </is>
      </c>
      <c r="D32" s="28" t="n">
        <v>47409</v>
      </c>
      <c r="E32" s="33" t="n">
        <v>20.68</v>
      </c>
      <c r="F32" s="34" t="n">
        <v>35.76</v>
      </c>
      <c r="G32" s="27" t="inlineStr">
        <is>
          <t>x</t>
        </is>
      </c>
      <c r="H32" s="14">
        <f>IF(OR(N(E32)=0,F32=""),"",F32/E32)</f>
        <v/>
      </c>
      <c r="I32" s="11">
        <f>IF(R32="","",D32-R32)</f>
        <v/>
      </c>
      <c r="J32" s="35">
        <f>IF(R32="","",SUMIFS(Fuel!$E$6:$E$605,Fuel!$C$6:$C$605,C32,Fuel!$D$6:$D$605,"&gt;"&amp;R32,Fuel!$D$6:$D$605,"&lt;="&amp;D32))</f>
        <v/>
      </c>
      <c r="K32" s="36">
        <f>IF(OR(I32="",N(I32)=0),"",J32/I32*100)</f>
        <v/>
      </c>
      <c r="L32" s="36">
        <f>IF(OR(J32="",N(J32)=0),"",I32/J32)</f>
        <v/>
      </c>
      <c r="M32" s="1" t="n"/>
      <c r="N32">
        <f>IF(OR(C32="",N(D32)=0),"",D32+ROW()/10000000)</f>
        <v/>
      </c>
      <c r="O32">
        <f>IF(N32="","",COUNTIFS(Fuel!$C$6:$C$605,C32,Fuel!$N$6:$N$605,"&gt;"&amp;N32))</f>
        <v/>
      </c>
      <c r="P32">
        <f>IF(OR(N32="",G32=""),"",COUNTIFS(Fuel!$C$6:$C$605,C32,Fuel!$G$6:$G$605,"&lt;&gt;",Fuel!$N$6:$N$605,"&lt;"&amp;N32))</f>
        <v/>
      </c>
      <c r="R32">
        <f>IF(OR(P32="",N(P32)=0),"",SUMIFS(Fuel!$D$6:$D$605,Fuel!$C$6:$C$605,C32,Fuel!$P$6:$P$605,P32-1))</f>
        <v/>
      </c>
    </row>
    <row r="33">
      <c r="A33" s="1" t="n"/>
      <c r="B33" s="29" t="n">
        <v>46160</v>
      </c>
      <c r="C33" s="24" t="inlineStr">
        <is>
          <t>Grey van</t>
        </is>
      </c>
      <c r="D33" s="28" t="n">
        <v>128078</v>
      </c>
      <c r="E33" s="33" t="n">
        <v>33.8</v>
      </c>
      <c r="F33" s="34" t="n">
        <v>58.46</v>
      </c>
      <c r="G33" s="27" t="inlineStr">
        <is>
          <t>x</t>
        </is>
      </c>
      <c r="H33" s="14">
        <f>IF(OR(N(E33)=0,F33=""),"",F33/E33)</f>
        <v/>
      </c>
      <c r="I33" s="11">
        <f>IF(R33="","",D33-R33)</f>
        <v/>
      </c>
      <c r="J33" s="35">
        <f>IF(R33="","",SUMIFS(Fuel!$E$6:$E$605,Fuel!$C$6:$C$605,C33,Fuel!$D$6:$D$605,"&gt;"&amp;R33,Fuel!$D$6:$D$605,"&lt;="&amp;D33))</f>
        <v/>
      </c>
      <c r="K33" s="36">
        <f>IF(OR(I33="",N(I33)=0),"",J33/I33*100)</f>
        <v/>
      </c>
      <c r="L33" s="36">
        <f>IF(OR(J33="",N(J33)=0),"",I33/J33)</f>
        <v/>
      </c>
      <c r="M33" s="1" t="n"/>
      <c r="N33">
        <f>IF(OR(C33="",N(D33)=0),"",D33+ROW()/10000000)</f>
        <v/>
      </c>
      <c r="O33">
        <f>IF(N33="","",COUNTIFS(Fuel!$C$6:$C$605,C33,Fuel!$N$6:$N$605,"&gt;"&amp;N33))</f>
        <v/>
      </c>
      <c r="P33">
        <f>IF(OR(N33="",G33=""),"",COUNTIFS(Fuel!$C$6:$C$605,C33,Fuel!$G$6:$G$605,"&lt;&gt;",Fuel!$N$6:$N$605,"&lt;"&amp;N33))</f>
        <v/>
      </c>
      <c r="R33">
        <f>IF(OR(P33="",N(P33)=0),"",SUMIFS(Fuel!$D$6:$D$605,Fuel!$C$6:$C$605,C33,Fuel!$P$6:$P$605,P33-1))</f>
        <v/>
      </c>
    </row>
    <row r="34">
      <c r="A34" s="1" t="n"/>
      <c r="B34" s="29" t="n">
        <v>46169</v>
      </c>
      <c r="C34" s="24" t="inlineStr">
        <is>
          <t>Grey van</t>
        </is>
      </c>
      <c r="D34" s="28" t="n">
        <v>128485</v>
      </c>
      <c r="E34" s="33" t="n">
        <v>33.42</v>
      </c>
      <c r="F34" s="34" t="n">
        <v>56.09</v>
      </c>
      <c r="G34" s="27" t="inlineStr">
        <is>
          <t>x</t>
        </is>
      </c>
      <c r="H34" s="14">
        <f>IF(OR(N(E34)=0,F34=""),"",F34/E34)</f>
        <v/>
      </c>
      <c r="I34" s="11">
        <f>IF(R34="","",D34-R34)</f>
        <v/>
      </c>
      <c r="J34" s="35">
        <f>IF(R34="","",SUMIFS(Fuel!$E$6:$E$605,Fuel!$C$6:$C$605,C34,Fuel!$D$6:$D$605,"&gt;"&amp;R34,Fuel!$D$6:$D$605,"&lt;="&amp;D34))</f>
        <v/>
      </c>
      <c r="K34" s="36">
        <f>IF(OR(I34="",N(I34)=0),"",J34/I34*100)</f>
        <v/>
      </c>
      <c r="L34" s="36">
        <f>IF(OR(J34="",N(J34)=0),"",I34/J34)</f>
        <v/>
      </c>
      <c r="M34" s="1" t="n"/>
      <c r="N34">
        <f>IF(OR(C34="",N(D34)=0),"",D34+ROW()/10000000)</f>
        <v/>
      </c>
      <c r="O34">
        <f>IF(N34="","",COUNTIFS(Fuel!$C$6:$C$605,C34,Fuel!$N$6:$N$605,"&gt;"&amp;N34))</f>
        <v/>
      </c>
      <c r="P34">
        <f>IF(OR(N34="",G34=""),"",COUNTIFS(Fuel!$C$6:$C$605,C34,Fuel!$G$6:$G$605,"&lt;&gt;",Fuel!$N$6:$N$605,"&lt;"&amp;N34))</f>
        <v/>
      </c>
      <c r="R34">
        <f>IF(OR(P34="",N(P34)=0),"",SUMIFS(Fuel!$D$6:$D$605,Fuel!$C$6:$C$605,C34,Fuel!$P$6:$P$605,P34-1))</f>
        <v/>
      </c>
    </row>
    <row r="35">
      <c r="A35" s="1" t="n"/>
      <c r="B35" s="29" t="n">
        <v>46173</v>
      </c>
      <c r="C35" s="24" t="inlineStr">
        <is>
          <t>Blue hatchback</t>
        </is>
      </c>
      <c r="D35" s="28" t="n">
        <v>47981</v>
      </c>
      <c r="E35" s="33" t="n">
        <v>35.33</v>
      </c>
      <c r="F35" s="34" t="n">
        <v>59.06</v>
      </c>
      <c r="G35" s="27" t="inlineStr">
        <is>
          <t>x</t>
        </is>
      </c>
      <c r="H35" s="14">
        <f>IF(OR(N(E35)=0,F35=""),"",F35/E35)</f>
        <v/>
      </c>
      <c r="I35" s="11">
        <f>IF(R35="","",D35-R35)</f>
        <v/>
      </c>
      <c r="J35" s="35">
        <f>IF(R35="","",SUMIFS(Fuel!$E$6:$E$605,Fuel!$C$6:$C$605,C35,Fuel!$D$6:$D$605,"&gt;"&amp;R35,Fuel!$D$6:$D$605,"&lt;="&amp;D35))</f>
        <v/>
      </c>
      <c r="K35" s="36">
        <f>IF(OR(I35="",N(I35)=0),"",J35/I35*100)</f>
        <v/>
      </c>
      <c r="L35" s="36">
        <f>IF(OR(J35="",N(J35)=0),"",I35/J35)</f>
        <v/>
      </c>
      <c r="M35" s="1" t="n"/>
      <c r="N35">
        <f>IF(OR(C35="",N(D35)=0),"",D35+ROW()/10000000)</f>
        <v/>
      </c>
      <c r="O35">
        <f>IF(N35="","",COUNTIFS(Fuel!$C$6:$C$605,C35,Fuel!$N$6:$N$605,"&gt;"&amp;N35))</f>
        <v/>
      </c>
      <c r="P35">
        <f>IF(OR(N35="",G35=""),"",COUNTIFS(Fuel!$C$6:$C$605,C35,Fuel!$G$6:$G$605,"&lt;&gt;",Fuel!$N$6:$N$605,"&lt;"&amp;N35))</f>
        <v/>
      </c>
      <c r="R35">
        <f>IF(OR(P35="",N(P35)=0),"",SUMIFS(Fuel!$D$6:$D$605,Fuel!$C$6:$C$605,C35,Fuel!$P$6:$P$605,P35-1))</f>
        <v/>
      </c>
    </row>
    <row r="36">
      <c r="A36" s="1" t="n"/>
      <c r="B36" s="29" t="n">
        <v>46180</v>
      </c>
      <c r="C36" s="24" t="inlineStr">
        <is>
          <t>Grey van</t>
        </is>
      </c>
      <c r="D36" s="28" t="n">
        <v>129048</v>
      </c>
      <c r="E36" s="33" t="n">
        <v>43.99</v>
      </c>
      <c r="F36" s="34" t="n">
        <v>75.12</v>
      </c>
      <c r="G36" s="27" t="inlineStr">
        <is>
          <t>x</t>
        </is>
      </c>
      <c r="H36" s="14">
        <f>IF(OR(N(E36)=0,F36=""),"",F36/E36)</f>
        <v/>
      </c>
      <c r="I36" s="11">
        <f>IF(R36="","",D36-R36)</f>
        <v/>
      </c>
      <c r="J36" s="35">
        <f>IF(R36="","",SUMIFS(Fuel!$E$6:$E$605,Fuel!$C$6:$C$605,C36,Fuel!$D$6:$D$605,"&gt;"&amp;R36,Fuel!$D$6:$D$605,"&lt;="&amp;D36))</f>
        <v/>
      </c>
      <c r="K36" s="36">
        <f>IF(OR(I36="",N(I36)=0),"",J36/I36*100)</f>
        <v/>
      </c>
      <c r="L36" s="36">
        <f>IF(OR(J36="",N(J36)=0),"",I36/J36)</f>
        <v/>
      </c>
      <c r="M36" s="1" t="n"/>
      <c r="N36">
        <f>IF(OR(C36="",N(D36)=0),"",D36+ROW()/10000000)</f>
        <v/>
      </c>
      <c r="O36">
        <f>IF(N36="","",COUNTIFS(Fuel!$C$6:$C$605,C36,Fuel!$N$6:$N$605,"&gt;"&amp;N36))</f>
        <v/>
      </c>
      <c r="P36">
        <f>IF(OR(N36="",G36=""),"",COUNTIFS(Fuel!$C$6:$C$605,C36,Fuel!$G$6:$G$605,"&lt;&gt;",Fuel!$N$6:$N$605,"&lt;"&amp;N36))</f>
        <v/>
      </c>
      <c r="R36">
        <f>IF(OR(P36="",N(P36)=0),"",SUMIFS(Fuel!$D$6:$D$605,Fuel!$C$6:$C$605,C36,Fuel!$P$6:$P$605,P36-1))</f>
        <v/>
      </c>
    </row>
    <row r="37">
      <c r="A37" s="1" t="n"/>
      <c r="B37" s="29" t="n">
        <v>46183</v>
      </c>
      <c r="C37" s="24" t="inlineStr">
        <is>
          <t>Blue hatchback</t>
        </is>
      </c>
      <c r="D37" s="28" t="n">
        <v>48294</v>
      </c>
      <c r="E37" s="33" t="n">
        <v>20.49</v>
      </c>
      <c r="F37" s="34" t="n">
        <v>34.94</v>
      </c>
      <c r="G37" s="27" t="inlineStr">
        <is>
          <t>x</t>
        </is>
      </c>
      <c r="H37" s="14">
        <f>IF(OR(N(E37)=0,F37=""),"",F37/E37)</f>
        <v/>
      </c>
      <c r="I37" s="11">
        <f>IF(R37="","",D37-R37)</f>
        <v/>
      </c>
      <c r="J37" s="35">
        <f>IF(R37="","",SUMIFS(Fuel!$E$6:$E$605,Fuel!$C$6:$C$605,C37,Fuel!$D$6:$D$605,"&gt;"&amp;R37,Fuel!$D$6:$D$605,"&lt;="&amp;D37))</f>
        <v/>
      </c>
      <c r="K37" s="36">
        <f>IF(OR(I37="",N(I37)=0),"",J37/I37*100)</f>
        <v/>
      </c>
      <c r="L37" s="36">
        <f>IF(OR(J37="",N(J37)=0),"",I37/J37)</f>
        <v/>
      </c>
      <c r="M37" s="1" t="n"/>
      <c r="N37">
        <f>IF(OR(C37="",N(D37)=0),"",D37+ROW()/10000000)</f>
        <v/>
      </c>
      <c r="O37">
        <f>IF(N37="","",COUNTIFS(Fuel!$C$6:$C$605,C37,Fuel!$N$6:$N$605,"&gt;"&amp;N37))</f>
        <v/>
      </c>
      <c r="P37">
        <f>IF(OR(N37="",G37=""),"",COUNTIFS(Fuel!$C$6:$C$605,C37,Fuel!$G$6:$G$605,"&lt;&gt;",Fuel!$N$6:$N$605,"&lt;"&amp;N37))</f>
        <v/>
      </c>
      <c r="R37">
        <f>IF(OR(P37="",N(P37)=0),"",SUMIFS(Fuel!$D$6:$D$605,Fuel!$C$6:$C$605,C37,Fuel!$P$6:$P$605,P37-1))</f>
        <v/>
      </c>
    </row>
    <row r="38">
      <c r="A38" s="1" t="n"/>
      <c r="B38" s="29" t="n">
        <v>46195</v>
      </c>
      <c r="C38" s="24" t="inlineStr">
        <is>
          <t>Grey van</t>
        </is>
      </c>
      <c r="D38" s="28" t="n">
        <v>129963</v>
      </c>
      <c r="E38" s="33" t="n">
        <v>74.98999999999999</v>
      </c>
      <c r="F38" s="34" t="n">
        <v>127.42</v>
      </c>
      <c r="G38" s="27" t="inlineStr">
        <is>
          <t>x</t>
        </is>
      </c>
      <c r="H38" s="14">
        <f>IF(OR(N(E38)=0,F38=""),"",F38/E38)</f>
        <v/>
      </c>
      <c r="I38" s="11">
        <f>IF(R38="","",D38-R38)</f>
        <v/>
      </c>
      <c r="J38" s="35">
        <f>IF(R38="","",SUMIFS(Fuel!$E$6:$E$605,Fuel!$C$6:$C$605,C38,Fuel!$D$6:$D$605,"&gt;"&amp;R38,Fuel!$D$6:$D$605,"&lt;="&amp;D38))</f>
        <v/>
      </c>
      <c r="K38" s="36">
        <f>IF(OR(I38="",N(I38)=0),"",J38/I38*100)</f>
        <v/>
      </c>
      <c r="L38" s="36">
        <f>IF(OR(J38="",N(J38)=0),"",I38/J38)</f>
        <v/>
      </c>
      <c r="M38" s="1" t="n"/>
      <c r="N38">
        <f>IF(OR(C38="",N(D38)=0),"",D38+ROW()/10000000)</f>
        <v/>
      </c>
      <c r="O38">
        <f>IF(N38="","",COUNTIFS(Fuel!$C$6:$C$605,C38,Fuel!$N$6:$N$605,"&gt;"&amp;N38))</f>
        <v/>
      </c>
      <c r="P38">
        <f>IF(OR(N38="",G38=""),"",COUNTIFS(Fuel!$C$6:$C$605,C38,Fuel!$G$6:$G$605,"&lt;&gt;",Fuel!$N$6:$N$605,"&lt;"&amp;N38))</f>
        <v/>
      </c>
      <c r="R38">
        <f>IF(OR(P38="",N(P38)=0),"",SUMIFS(Fuel!$D$6:$D$605,Fuel!$C$6:$C$605,C38,Fuel!$P$6:$P$605,P38-1))</f>
        <v/>
      </c>
    </row>
    <row r="39">
      <c r="A39" s="1" t="n"/>
      <c r="B39" s="29" t="n">
        <v>46197</v>
      </c>
      <c r="C39" s="24" t="inlineStr">
        <is>
          <t>Blue hatchback</t>
        </is>
      </c>
      <c r="D39" s="28" t="n">
        <v>48882</v>
      </c>
      <c r="E39" s="33" t="n">
        <v>36.23</v>
      </c>
      <c r="F39" s="34" t="n">
        <v>62.31</v>
      </c>
      <c r="G39" s="27" t="inlineStr">
        <is>
          <t>x</t>
        </is>
      </c>
      <c r="H39" s="14">
        <f>IF(OR(N(E39)=0,F39=""),"",F39/E39)</f>
        <v/>
      </c>
      <c r="I39" s="11">
        <f>IF(R39="","",D39-R39)</f>
        <v/>
      </c>
      <c r="J39" s="35">
        <f>IF(R39="","",SUMIFS(Fuel!$E$6:$E$605,Fuel!$C$6:$C$605,C39,Fuel!$D$6:$D$605,"&gt;"&amp;R39,Fuel!$D$6:$D$605,"&lt;="&amp;D39))</f>
        <v/>
      </c>
      <c r="K39" s="36">
        <f>IF(OR(I39="",N(I39)=0),"",J39/I39*100)</f>
        <v/>
      </c>
      <c r="L39" s="36">
        <f>IF(OR(J39="",N(J39)=0),"",I39/J39)</f>
        <v/>
      </c>
      <c r="M39" s="1" t="n"/>
      <c r="N39">
        <f>IF(OR(C39="",N(D39)=0),"",D39+ROW()/10000000)</f>
        <v/>
      </c>
      <c r="O39">
        <f>IF(N39="","",COUNTIFS(Fuel!$C$6:$C$605,C39,Fuel!$N$6:$N$605,"&gt;"&amp;N39))</f>
        <v/>
      </c>
      <c r="P39">
        <f>IF(OR(N39="",G39=""),"",COUNTIFS(Fuel!$C$6:$C$605,C39,Fuel!$G$6:$G$605,"&lt;&gt;",Fuel!$N$6:$N$605,"&lt;"&amp;N39))</f>
        <v/>
      </c>
      <c r="R39">
        <f>IF(OR(P39="",N(P39)=0),"",SUMIFS(Fuel!$D$6:$D$605,Fuel!$C$6:$C$605,C39,Fuel!$P$6:$P$605,P39-1))</f>
        <v/>
      </c>
    </row>
    <row r="40">
      <c r="A40" s="1" t="n"/>
      <c r="B40" s="29" t="n">
        <v>46210</v>
      </c>
      <c r="C40" s="24" t="inlineStr">
        <is>
          <t>Grey van</t>
        </is>
      </c>
      <c r="D40" s="28" t="n">
        <v>130910</v>
      </c>
      <c r="E40" s="33" t="n">
        <v>71.27</v>
      </c>
      <c r="F40" s="34" t="n">
        <v>123.32</v>
      </c>
      <c r="G40" s="27" t="inlineStr">
        <is>
          <t>x</t>
        </is>
      </c>
      <c r="H40" s="14">
        <f>IF(OR(N(E40)=0,F40=""),"",F40/E40)</f>
        <v/>
      </c>
      <c r="I40" s="11">
        <f>IF(R40="","",D40-R40)</f>
        <v/>
      </c>
      <c r="J40" s="35">
        <f>IF(R40="","",SUMIFS(Fuel!$E$6:$E$605,Fuel!$C$6:$C$605,C40,Fuel!$D$6:$D$605,"&gt;"&amp;R40,Fuel!$D$6:$D$605,"&lt;="&amp;D40))</f>
        <v/>
      </c>
      <c r="K40" s="36">
        <f>IF(OR(I40="",N(I40)=0),"",J40/I40*100)</f>
        <v/>
      </c>
      <c r="L40" s="36">
        <f>IF(OR(J40="",N(J40)=0),"",I40/J40)</f>
        <v/>
      </c>
      <c r="M40" s="1" t="n"/>
      <c r="N40">
        <f>IF(OR(C40="",N(D40)=0),"",D40+ROW()/10000000)</f>
        <v/>
      </c>
      <c r="O40">
        <f>IF(N40="","",COUNTIFS(Fuel!$C$6:$C$605,C40,Fuel!$N$6:$N$605,"&gt;"&amp;N40))</f>
        <v/>
      </c>
      <c r="P40">
        <f>IF(OR(N40="",G40=""),"",COUNTIFS(Fuel!$C$6:$C$605,C40,Fuel!$G$6:$G$605,"&lt;&gt;",Fuel!$N$6:$N$605,"&lt;"&amp;N40))</f>
        <v/>
      </c>
      <c r="R40">
        <f>IF(OR(P40="",N(P40)=0),"",SUMIFS(Fuel!$D$6:$D$605,Fuel!$C$6:$C$605,C40,Fuel!$P$6:$P$605,P40-1))</f>
        <v/>
      </c>
    </row>
    <row r="41">
      <c r="A41" s="1" t="n"/>
      <c r="B41" s="29" t="n">
        <v>46212</v>
      </c>
      <c r="C41" s="24" t="inlineStr">
        <is>
          <t>Blue hatchback</t>
        </is>
      </c>
      <c r="D41" s="28" t="n">
        <v>49372</v>
      </c>
      <c r="E41" s="33" t="n">
        <v>30.53</v>
      </c>
      <c r="F41" s="34" t="n">
        <v>51.59</v>
      </c>
      <c r="G41" s="27" t="inlineStr">
        <is>
          <t>x</t>
        </is>
      </c>
      <c r="H41" s="14">
        <f>IF(OR(N(E41)=0,F41=""),"",F41/E41)</f>
        <v/>
      </c>
      <c r="I41" s="11">
        <f>IF(R41="","",D41-R41)</f>
        <v/>
      </c>
      <c r="J41" s="35">
        <f>IF(R41="","",SUMIFS(Fuel!$E$6:$E$605,Fuel!$C$6:$C$605,C41,Fuel!$D$6:$D$605,"&gt;"&amp;R41,Fuel!$D$6:$D$605,"&lt;="&amp;D41))</f>
        <v/>
      </c>
      <c r="K41" s="36">
        <f>IF(OR(I41="",N(I41)=0),"",J41/I41*100)</f>
        <v/>
      </c>
      <c r="L41" s="36">
        <f>IF(OR(J41="",N(J41)=0),"",I41/J41)</f>
        <v/>
      </c>
      <c r="M41" s="1" t="n"/>
      <c r="N41">
        <f>IF(OR(C41="",N(D41)=0),"",D41+ROW()/10000000)</f>
        <v/>
      </c>
      <c r="O41">
        <f>IF(N41="","",COUNTIFS(Fuel!$C$6:$C$605,C41,Fuel!$N$6:$N$605,"&gt;"&amp;N41))</f>
        <v/>
      </c>
      <c r="P41">
        <f>IF(OR(N41="",G41=""),"",COUNTIFS(Fuel!$C$6:$C$605,C41,Fuel!$G$6:$G$605,"&lt;&gt;",Fuel!$N$6:$N$605,"&lt;"&amp;N41))</f>
        <v/>
      </c>
      <c r="R41">
        <f>IF(OR(P41="",N(P41)=0),"",SUMIFS(Fuel!$D$6:$D$605,Fuel!$C$6:$C$605,C41,Fuel!$P$6:$P$605,P41-1))</f>
        <v/>
      </c>
    </row>
    <row r="42">
      <c r="A42" s="1" t="n"/>
      <c r="B42" s="29" t="n">
        <v>46219</v>
      </c>
      <c r="C42" s="24" t="inlineStr">
        <is>
          <t>Grey van</t>
        </is>
      </c>
      <c r="D42" s="28" t="n">
        <v>131330</v>
      </c>
      <c r="E42" s="33" t="n">
        <v>31.79</v>
      </c>
      <c r="F42" s="34" t="n">
        <v>53.74</v>
      </c>
      <c r="G42" s="27" t="inlineStr">
        <is>
          <t>x</t>
        </is>
      </c>
      <c r="H42" s="14">
        <f>IF(OR(N(E42)=0,F42=""),"",F42/E42)</f>
        <v/>
      </c>
      <c r="I42" s="11">
        <f>IF(R42="","",D42-R42)</f>
        <v/>
      </c>
      <c r="J42" s="35">
        <f>IF(R42="","",SUMIFS(Fuel!$E$6:$E$605,Fuel!$C$6:$C$605,C42,Fuel!$D$6:$D$605,"&gt;"&amp;R42,Fuel!$D$6:$D$605,"&lt;="&amp;D42))</f>
        <v/>
      </c>
      <c r="K42" s="36">
        <f>IF(OR(I42="",N(I42)=0),"",J42/I42*100)</f>
        <v/>
      </c>
      <c r="L42" s="36">
        <f>IF(OR(J42="",N(J42)=0),"",I42/J42)</f>
        <v/>
      </c>
      <c r="M42" s="1" t="n"/>
      <c r="N42">
        <f>IF(OR(C42="",N(D42)=0),"",D42+ROW()/10000000)</f>
        <v/>
      </c>
      <c r="O42">
        <f>IF(N42="","",COUNTIFS(Fuel!$C$6:$C$605,C42,Fuel!$N$6:$N$605,"&gt;"&amp;N42))</f>
        <v/>
      </c>
      <c r="P42">
        <f>IF(OR(N42="",G42=""),"",COUNTIFS(Fuel!$C$6:$C$605,C42,Fuel!$G$6:$G$605,"&lt;&gt;",Fuel!$N$6:$N$605,"&lt;"&amp;N42))</f>
        <v/>
      </c>
      <c r="R42">
        <f>IF(OR(P42="",N(P42)=0),"",SUMIFS(Fuel!$D$6:$D$605,Fuel!$C$6:$C$605,C42,Fuel!$P$6:$P$605,P42-1))</f>
        <v/>
      </c>
    </row>
    <row r="43">
      <c r="A43" s="1" t="n"/>
      <c r="B43" s="29" t="n">
        <v>46227</v>
      </c>
      <c r="C43" s="24" t="inlineStr">
        <is>
          <t>Blue hatchback</t>
        </is>
      </c>
      <c r="D43" s="28" t="n">
        <v>49930</v>
      </c>
      <c r="E43" s="33" t="n">
        <v>34.49</v>
      </c>
      <c r="F43" s="34" t="n">
        <v>59.93</v>
      </c>
      <c r="G43" s="27" t="inlineStr">
        <is>
          <t>x</t>
        </is>
      </c>
      <c r="H43" s="14">
        <f>IF(OR(N(E43)=0,F43=""),"",F43/E43)</f>
        <v/>
      </c>
      <c r="I43" s="11">
        <f>IF(R43="","",D43-R43)</f>
        <v/>
      </c>
      <c r="J43" s="35">
        <f>IF(R43="","",SUMIFS(Fuel!$E$6:$E$605,Fuel!$C$6:$C$605,C43,Fuel!$D$6:$D$605,"&gt;"&amp;R43,Fuel!$D$6:$D$605,"&lt;="&amp;D43))</f>
        <v/>
      </c>
      <c r="K43" s="36">
        <f>IF(OR(I43="",N(I43)=0),"",J43/I43*100)</f>
        <v/>
      </c>
      <c r="L43" s="36">
        <f>IF(OR(J43="",N(J43)=0),"",I43/J43)</f>
        <v/>
      </c>
      <c r="M43" s="1" t="n"/>
      <c r="N43">
        <f>IF(OR(C43="",N(D43)=0),"",D43+ROW()/10000000)</f>
        <v/>
      </c>
      <c r="O43">
        <f>IF(N43="","",COUNTIFS(Fuel!$C$6:$C$605,C43,Fuel!$N$6:$N$605,"&gt;"&amp;N43))</f>
        <v/>
      </c>
      <c r="P43">
        <f>IF(OR(N43="",G43=""),"",COUNTIFS(Fuel!$C$6:$C$605,C43,Fuel!$G$6:$G$605,"&lt;&gt;",Fuel!$N$6:$N$605,"&lt;"&amp;N43))</f>
        <v/>
      </c>
      <c r="R43">
        <f>IF(OR(P43="",N(P43)=0),"",SUMIFS(Fuel!$D$6:$D$605,Fuel!$C$6:$C$605,C43,Fuel!$P$6:$P$605,P43-1))</f>
        <v/>
      </c>
    </row>
    <row r="44">
      <c r="A44" s="1" t="n"/>
      <c r="B44" s="29" t="n">
        <v>46232</v>
      </c>
      <c r="C44" s="24" t="inlineStr">
        <is>
          <t>Grey van</t>
        </is>
      </c>
      <c r="D44" s="28" t="n">
        <v>131948</v>
      </c>
      <c r="E44" s="33" t="n">
        <v>47.76</v>
      </c>
      <c r="F44" s="34" t="n">
        <v>80</v>
      </c>
      <c r="G44" s="27" t="inlineStr">
        <is>
          <t>x</t>
        </is>
      </c>
      <c r="H44" s="14">
        <f>IF(OR(N(E44)=0,F44=""),"",F44/E44)</f>
        <v/>
      </c>
      <c r="I44" s="11">
        <f>IF(R44="","",D44-R44)</f>
        <v/>
      </c>
      <c r="J44" s="35">
        <f>IF(R44="","",SUMIFS(Fuel!$E$6:$E$605,Fuel!$C$6:$C$605,C44,Fuel!$D$6:$D$605,"&gt;"&amp;R44,Fuel!$D$6:$D$605,"&lt;="&amp;D44))</f>
        <v/>
      </c>
      <c r="K44" s="36">
        <f>IF(OR(I44="",N(I44)=0),"",J44/I44*100)</f>
        <v/>
      </c>
      <c r="L44" s="36">
        <f>IF(OR(J44="",N(J44)=0),"",I44/J44)</f>
        <v/>
      </c>
      <c r="M44" s="1" t="n"/>
      <c r="N44">
        <f>IF(OR(C44="",N(D44)=0),"",D44+ROW()/10000000)</f>
        <v/>
      </c>
      <c r="O44">
        <f>IF(N44="","",COUNTIFS(Fuel!$C$6:$C$605,C44,Fuel!$N$6:$N$605,"&gt;"&amp;N44))</f>
        <v/>
      </c>
      <c r="P44">
        <f>IF(OR(N44="",G44=""),"",COUNTIFS(Fuel!$C$6:$C$605,C44,Fuel!$G$6:$G$605,"&lt;&gt;",Fuel!$N$6:$N$605,"&lt;"&amp;N44))</f>
        <v/>
      </c>
      <c r="R44">
        <f>IF(OR(P44="",N(P44)=0),"",SUMIFS(Fuel!$D$6:$D$605,Fuel!$C$6:$C$605,C44,Fuel!$P$6:$P$605,P44-1))</f>
        <v/>
      </c>
    </row>
    <row r="45">
      <c r="A45" s="1" t="n"/>
      <c r="B45" s="29" t="n">
        <v>46237</v>
      </c>
      <c r="C45" s="24" t="inlineStr">
        <is>
          <t>Blue hatchback</t>
        </is>
      </c>
      <c r="D45" s="28" t="n">
        <v>50305</v>
      </c>
      <c r="E45" s="33" t="n">
        <v>24.44</v>
      </c>
      <c r="F45" s="34" t="n">
        <v>41.96</v>
      </c>
      <c r="G45" s="27" t="inlineStr">
        <is>
          <t>x</t>
        </is>
      </c>
      <c r="H45" s="14">
        <f>IF(OR(N(E45)=0,F45=""),"",F45/E45)</f>
        <v/>
      </c>
      <c r="I45" s="11">
        <f>IF(R45="","",D45-R45)</f>
        <v/>
      </c>
      <c r="J45" s="35">
        <f>IF(R45="","",SUMIFS(Fuel!$E$6:$E$605,Fuel!$C$6:$C$605,C45,Fuel!$D$6:$D$605,"&gt;"&amp;R45,Fuel!$D$6:$D$605,"&lt;="&amp;D45))</f>
        <v/>
      </c>
      <c r="K45" s="36">
        <f>IF(OR(I45="",N(I45)=0),"",J45/I45*100)</f>
        <v/>
      </c>
      <c r="L45" s="36">
        <f>IF(OR(J45="",N(J45)=0),"",I45/J45)</f>
        <v/>
      </c>
      <c r="M45" s="1" t="n"/>
      <c r="N45">
        <f>IF(OR(C45="",N(D45)=0),"",D45+ROW()/10000000)</f>
        <v/>
      </c>
      <c r="O45">
        <f>IF(N45="","",COUNTIFS(Fuel!$C$6:$C$605,C45,Fuel!$N$6:$N$605,"&gt;"&amp;N45))</f>
        <v/>
      </c>
      <c r="P45">
        <f>IF(OR(N45="",G45=""),"",COUNTIFS(Fuel!$C$6:$C$605,C45,Fuel!$G$6:$G$605,"&lt;&gt;",Fuel!$N$6:$N$605,"&lt;"&amp;N45))</f>
        <v/>
      </c>
      <c r="R45">
        <f>IF(OR(P45="",N(P45)=0),"",SUMIFS(Fuel!$D$6:$D$605,Fuel!$C$6:$C$605,C45,Fuel!$P$6:$P$605,P45-1))</f>
        <v/>
      </c>
    </row>
    <row r="46">
      <c r="A46" s="1" t="n"/>
      <c r="B46" s="29" t="n">
        <v>46246</v>
      </c>
      <c r="C46" s="24" t="inlineStr">
        <is>
          <t>Grey van</t>
        </is>
      </c>
      <c r="D46" s="28" t="n">
        <v>132821</v>
      </c>
      <c r="E46" s="33" t="n">
        <v>72.69</v>
      </c>
      <c r="F46" s="34" t="n">
        <v>122.24</v>
      </c>
      <c r="G46" s="27" t="inlineStr">
        <is>
          <t>x</t>
        </is>
      </c>
      <c r="H46" s="14">
        <f>IF(OR(N(E46)=0,F46=""),"",F46/E46)</f>
        <v/>
      </c>
      <c r="I46" s="11">
        <f>IF(R46="","",D46-R46)</f>
        <v/>
      </c>
      <c r="J46" s="35">
        <f>IF(R46="","",SUMIFS(Fuel!$E$6:$E$605,Fuel!$C$6:$C$605,C46,Fuel!$D$6:$D$605,"&gt;"&amp;R46,Fuel!$D$6:$D$605,"&lt;="&amp;D46))</f>
        <v/>
      </c>
      <c r="K46" s="36">
        <f>IF(OR(I46="",N(I46)=0),"",J46/I46*100)</f>
        <v/>
      </c>
      <c r="L46" s="36">
        <f>IF(OR(J46="",N(J46)=0),"",I46/J46)</f>
        <v/>
      </c>
      <c r="M46" s="1" t="n"/>
      <c r="N46">
        <f>IF(OR(C46="",N(D46)=0),"",D46+ROW()/10000000)</f>
        <v/>
      </c>
      <c r="O46">
        <f>IF(N46="","",COUNTIFS(Fuel!$C$6:$C$605,C46,Fuel!$N$6:$N$605,"&gt;"&amp;N46))</f>
        <v/>
      </c>
      <c r="P46">
        <f>IF(OR(N46="",G46=""),"",COUNTIFS(Fuel!$C$6:$C$605,C46,Fuel!$G$6:$G$605,"&lt;&gt;",Fuel!$N$6:$N$605,"&lt;"&amp;N46))</f>
        <v/>
      </c>
      <c r="R46">
        <f>IF(OR(P46="",N(P46)=0),"",SUMIFS(Fuel!$D$6:$D$605,Fuel!$C$6:$C$605,C46,Fuel!$P$6:$P$605,P46-1))</f>
        <v/>
      </c>
    </row>
    <row r="47">
      <c r="A47" s="1" t="n"/>
      <c r="B47" s="29" t="n">
        <v>46247</v>
      </c>
      <c r="C47" s="24" t="inlineStr">
        <is>
          <t>Blue hatchback</t>
        </is>
      </c>
      <c r="D47" s="28" t="n">
        <v>50755</v>
      </c>
      <c r="E47" s="33" t="n">
        <v>26.55</v>
      </c>
      <c r="F47" s="34" t="n">
        <v>45.41</v>
      </c>
      <c r="G47" s="27" t="inlineStr">
        <is>
          <t>x</t>
        </is>
      </c>
      <c r="H47" s="14">
        <f>IF(OR(N(E47)=0,F47=""),"",F47/E47)</f>
        <v/>
      </c>
      <c r="I47" s="11">
        <f>IF(R47="","",D47-R47)</f>
        <v/>
      </c>
      <c r="J47" s="35">
        <f>IF(R47="","",SUMIFS(Fuel!$E$6:$E$605,Fuel!$C$6:$C$605,C47,Fuel!$D$6:$D$605,"&gt;"&amp;R47,Fuel!$D$6:$D$605,"&lt;="&amp;D47))</f>
        <v/>
      </c>
      <c r="K47" s="36">
        <f>IF(OR(I47="",N(I47)=0),"",J47/I47*100)</f>
        <v/>
      </c>
      <c r="L47" s="36">
        <f>IF(OR(J47="",N(J47)=0),"",I47/J47)</f>
        <v/>
      </c>
      <c r="M47" s="1" t="n"/>
      <c r="N47">
        <f>IF(OR(C47="",N(D47)=0),"",D47+ROW()/10000000)</f>
        <v/>
      </c>
      <c r="O47">
        <f>IF(N47="","",COUNTIFS(Fuel!$C$6:$C$605,C47,Fuel!$N$6:$N$605,"&gt;"&amp;N47))</f>
        <v/>
      </c>
      <c r="P47">
        <f>IF(OR(N47="",G47=""),"",COUNTIFS(Fuel!$C$6:$C$605,C47,Fuel!$G$6:$G$605,"&lt;&gt;",Fuel!$N$6:$N$605,"&lt;"&amp;N47))</f>
        <v/>
      </c>
      <c r="R47">
        <f>IF(OR(P47="",N(P47)=0),"",SUMIFS(Fuel!$D$6:$D$605,Fuel!$C$6:$C$605,C47,Fuel!$P$6:$P$605,P47-1))</f>
        <v/>
      </c>
    </row>
    <row r="48">
      <c r="A48" s="1" t="n"/>
      <c r="B48" s="29" t="n">
        <v>46256</v>
      </c>
      <c r="C48" s="24" t="inlineStr">
        <is>
          <t>Grey van</t>
        </is>
      </c>
      <c r="D48" s="28" t="n">
        <v>133310</v>
      </c>
      <c r="E48" s="33" t="n">
        <v>38.23</v>
      </c>
      <c r="F48" s="34" t="n">
        <v>64.55</v>
      </c>
      <c r="G48" s="27" t="inlineStr">
        <is>
          <t>x</t>
        </is>
      </c>
      <c r="H48" s="14">
        <f>IF(OR(N(E48)=0,F48=""),"",F48/E48)</f>
        <v/>
      </c>
      <c r="I48" s="11">
        <f>IF(R48="","",D48-R48)</f>
        <v/>
      </c>
      <c r="J48" s="35">
        <f>IF(R48="","",SUMIFS(Fuel!$E$6:$E$605,Fuel!$C$6:$C$605,C48,Fuel!$D$6:$D$605,"&gt;"&amp;R48,Fuel!$D$6:$D$605,"&lt;="&amp;D48))</f>
        <v/>
      </c>
      <c r="K48" s="36">
        <f>IF(OR(I48="",N(I48)=0),"",J48/I48*100)</f>
        <v/>
      </c>
      <c r="L48" s="36">
        <f>IF(OR(J48="",N(J48)=0),"",I48/J48)</f>
        <v/>
      </c>
      <c r="M48" s="1" t="n"/>
      <c r="N48">
        <f>IF(OR(C48="",N(D48)=0),"",D48+ROW()/10000000)</f>
        <v/>
      </c>
      <c r="O48">
        <f>IF(N48="","",COUNTIFS(Fuel!$C$6:$C$605,C48,Fuel!$N$6:$N$605,"&gt;"&amp;N48))</f>
        <v/>
      </c>
      <c r="P48">
        <f>IF(OR(N48="",G48=""),"",COUNTIFS(Fuel!$C$6:$C$605,C48,Fuel!$G$6:$G$605,"&lt;&gt;",Fuel!$N$6:$N$605,"&lt;"&amp;N48))</f>
        <v/>
      </c>
      <c r="R48">
        <f>IF(OR(P48="",N(P48)=0),"",SUMIFS(Fuel!$D$6:$D$605,Fuel!$C$6:$C$605,C48,Fuel!$P$6:$P$605,P48-1))</f>
        <v/>
      </c>
    </row>
    <row r="49">
      <c r="A49" s="1" t="n"/>
      <c r="B49" s="29" t="n">
        <v>46260</v>
      </c>
      <c r="C49" s="24" t="inlineStr">
        <is>
          <t>Blue hatchback</t>
        </is>
      </c>
      <c r="D49" s="28" t="n">
        <v>51200</v>
      </c>
      <c r="E49" s="33" t="n">
        <v>26.63</v>
      </c>
      <c r="F49" s="34" t="n">
        <v>46.77</v>
      </c>
      <c r="G49" s="27" t="inlineStr">
        <is>
          <t>x</t>
        </is>
      </c>
      <c r="H49" s="14">
        <f>IF(OR(N(E49)=0,F49=""),"",F49/E49)</f>
        <v/>
      </c>
      <c r="I49" s="11">
        <f>IF(R49="","",D49-R49)</f>
        <v/>
      </c>
      <c r="J49" s="35">
        <f>IF(R49="","",SUMIFS(Fuel!$E$6:$E$605,Fuel!$C$6:$C$605,C49,Fuel!$D$6:$D$605,"&gt;"&amp;R49,Fuel!$D$6:$D$605,"&lt;="&amp;D49))</f>
        <v/>
      </c>
      <c r="K49" s="36">
        <f>IF(OR(I49="",N(I49)=0),"",J49/I49*100)</f>
        <v/>
      </c>
      <c r="L49" s="36">
        <f>IF(OR(J49="",N(J49)=0),"",I49/J49)</f>
        <v/>
      </c>
      <c r="M49" s="1" t="n"/>
      <c r="N49">
        <f>IF(OR(C49="",N(D49)=0),"",D49+ROW()/10000000)</f>
        <v/>
      </c>
      <c r="O49">
        <f>IF(N49="","",COUNTIFS(Fuel!$C$6:$C$605,C49,Fuel!$N$6:$N$605,"&gt;"&amp;N49))</f>
        <v/>
      </c>
      <c r="P49">
        <f>IF(OR(N49="",G49=""),"",COUNTIFS(Fuel!$C$6:$C$605,C49,Fuel!$G$6:$G$605,"&lt;&gt;",Fuel!$N$6:$N$605,"&lt;"&amp;N49))</f>
        <v/>
      </c>
      <c r="R49">
        <f>IF(OR(P49="",N(P49)=0),"",SUMIFS(Fuel!$D$6:$D$605,Fuel!$C$6:$C$605,C49,Fuel!$P$6:$P$605,P49-1))</f>
        <v/>
      </c>
    </row>
    <row r="50">
      <c r="A50" s="1" t="n"/>
      <c r="B50" s="29" t="n">
        <v>46266</v>
      </c>
      <c r="C50" s="24" t="inlineStr">
        <is>
          <t>Grey van</t>
        </is>
      </c>
      <c r="D50" s="28" t="n">
        <v>133835</v>
      </c>
      <c r="E50" s="33" t="n">
        <v>40.65</v>
      </c>
      <c r="F50" s="34" t="n">
        <v>68.29000000000001</v>
      </c>
      <c r="G50" s="27" t="inlineStr">
        <is>
          <t>x</t>
        </is>
      </c>
      <c r="H50" s="14">
        <f>IF(OR(N(E50)=0,F50=""),"",F50/E50)</f>
        <v/>
      </c>
      <c r="I50" s="11">
        <f>IF(R50="","",D50-R50)</f>
        <v/>
      </c>
      <c r="J50" s="35">
        <f>IF(R50="","",SUMIFS(Fuel!$E$6:$E$605,Fuel!$C$6:$C$605,C50,Fuel!$D$6:$D$605,"&gt;"&amp;R50,Fuel!$D$6:$D$605,"&lt;="&amp;D50))</f>
        <v/>
      </c>
      <c r="K50" s="36">
        <f>IF(OR(I50="",N(I50)=0),"",J50/I50*100)</f>
        <v/>
      </c>
      <c r="L50" s="36">
        <f>IF(OR(J50="",N(J50)=0),"",I50/J50)</f>
        <v/>
      </c>
      <c r="M50" s="1" t="n"/>
      <c r="N50">
        <f>IF(OR(C50="",N(D50)=0),"",D50+ROW()/10000000)</f>
        <v/>
      </c>
      <c r="O50">
        <f>IF(N50="","",COUNTIFS(Fuel!$C$6:$C$605,C50,Fuel!$N$6:$N$605,"&gt;"&amp;N50))</f>
        <v/>
      </c>
      <c r="P50">
        <f>IF(OR(N50="",G50=""),"",COUNTIFS(Fuel!$C$6:$C$605,C50,Fuel!$G$6:$G$605,"&lt;&gt;",Fuel!$N$6:$N$605,"&lt;"&amp;N50))</f>
        <v/>
      </c>
      <c r="R50">
        <f>IF(OR(P50="",N(P50)=0),"",SUMIFS(Fuel!$D$6:$D$605,Fuel!$C$6:$C$605,C50,Fuel!$P$6:$P$605,P50-1))</f>
        <v/>
      </c>
    </row>
    <row r="51">
      <c r="A51" s="1" t="n"/>
      <c r="B51" s="29" t="n">
        <v>46273</v>
      </c>
      <c r="C51" s="24" t="inlineStr">
        <is>
          <t>Blue hatchback</t>
        </is>
      </c>
      <c r="D51" s="28" t="n">
        <v>51695</v>
      </c>
      <c r="E51" s="33" t="n">
        <v>29.17</v>
      </c>
      <c r="F51" s="34" t="n">
        <v>51.63</v>
      </c>
      <c r="G51" s="27" t="inlineStr">
        <is>
          <t>x</t>
        </is>
      </c>
      <c r="H51" s="14">
        <f>IF(OR(N(E51)=0,F51=""),"",F51/E51)</f>
        <v/>
      </c>
      <c r="I51" s="11">
        <f>IF(R51="","",D51-R51)</f>
        <v/>
      </c>
      <c r="J51" s="35">
        <f>IF(R51="","",SUMIFS(Fuel!$E$6:$E$605,Fuel!$C$6:$C$605,C51,Fuel!$D$6:$D$605,"&gt;"&amp;R51,Fuel!$D$6:$D$605,"&lt;="&amp;D51))</f>
        <v/>
      </c>
      <c r="K51" s="36">
        <f>IF(OR(I51="",N(I51)=0),"",J51/I51*100)</f>
        <v/>
      </c>
      <c r="L51" s="36">
        <f>IF(OR(J51="",N(J51)=0),"",I51/J51)</f>
        <v/>
      </c>
      <c r="M51" s="1" t="n"/>
      <c r="N51">
        <f>IF(OR(C51="",N(D51)=0),"",D51+ROW()/10000000)</f>
        <v/>
      </c>
      <c r="O51">
        <f>IF(N51="","",COUNTIFS(Fuel!$C$6:$C$605,C51,Fuel!$N$6:$N$605,"&gt;"&amp;N51))</f>
        <v/>
      </c>
      <c r="P51">
        <f>IF(OR(N51="",G51=""),"",COUNTIFS(Fuel!$C$6:$C$605,C51,Fuel!$G$6:$G$605,"&lt;&gt;",Fuel!$N$6:$N$605,"&lt;"&amp;N51))</f>
        <v/>
      </c>
      <c r="R51">
        <f>IF(OR(P51="",N(P51)=0),"",SUMIFS(Fuel!$D$6:$D$605,Fuel!$C$6:$C$605,C51,Fuel!$P$6:$P$605,P51-1))</f>
        <v/>
      </c>
    </row>
    <row r="52">
      <c r="A52" s="1" t="n"/>
      <c r="B52" s="29" t="n">
        <v>46276</v>
      </c>
      <c r="C52" s="24" t="inlineStr">
        <is>
          <t>Grey van</t>
        </is>
      </c>
      <c r="D52" s="28" t="n">
        <v>134357</v>
      </c>
      <c r="E52" s="33" t="n">
        <v>42.11</v>
      </c>
      <c r="F52" s="34" t="n">
        <v>69.8</v>
      </c>
      <c r="G52" s="27" t="inlineStr">
        <is>
          <t>x</t>
        </is>
      </c>
      <c r="H52" s="14">
        <f>IF(OR(N(E52)=0,F52=""),"",F52/E52)</f>
        <v/>
      </c>
      <c r="I52" s="11">
        <f>IF(R52="","",D52-R52)</f>
        <v/>
      </c>
      <c r="J52" s="35">
        <f>IF(R52="","",SUMIFS(Fuel!$E$6:$E$605,Fuel!$C$6:$C$605,C52,Fuel!$D$6:$D$605,"&gt;"&amp;R52,Fuel!$D$6:$D$605,"&lt;="&amp;D52))</f>
        <v/>
      </c>
      <c r="K52" s="36">
        <f>IF(OR(I52="",N(I52)=0),"",J52/I52*100)</f>
        <v/>
      </c>
      <c r="L52" s="36">
        <f>IF(OR(J52="",N(J52)=0),"",I52/J52)</f>
        <v/>
      </c>
      <c r="M52" s="1" t="n"/>
      <c r="N52">
        <f>IF(OR(C52="",N(D52)=0),"",D52+ROW()/10000000)</f>
        <v/>
      </c>
      <c r="O52">
        <f>IF(N52="","",COUNTIFS(Fuel!$C$6:$C$605,C52,Fuel!$N$6:$N$605,"&gt;"&amp;N52))</f>
        <v/>
      </c>
      <c r="P52">
        <f>IF(OR(N52="",G52=""),"",COUNTIFS(Fuel!$C$6:$C$605,C52,Fuel!$G$6:$G$605,"&lt;&gt;",Fuel!$N$6:$N$605,"&lt;"&amp;N52))</f>
        <v/>
      </c>
      <c r="R52">
        <f>IF(OR(P52="",N(P52)=0),"",SUMIFS(Fuel!$D$6:$D$605,Fuel!$C$6:$C$605,C52,Fuel!$P$6:$P$605,P52-1))</f>
        <v/>
      </c>
    </row>
    <row r="53">
      <c r="A53" s="1" t="n"/>
      <c r="B53" s="29" t="n">
        <v>46284</v>
      </c>
      <c r="C53" s="24" t="inlineStr">
        <is>
          <t>Blue hatchback</t>
        </is>
      </c>
      <c r="D53" s="28" t="n">
        <v>52142</v>
      </c>
      <c r="E53" s="33" t="n">
        <v>26.59</v>
      </c>
      <c r="F53" s="34" t="n">
        <v>45.47</v>
      </c>
      <c r="G53" s="27" t="inlineStr">
        <is>
          <t>x</t>
        </is>
      </c>
      <c r="H53" s="14">
        <f>IF(OR(N(E53)=0,F53=""),"",F53/E53)</f>
        <v/>
      </c>
      <c r="I53" s="11">
        <f>IF(R53="","",D53-R53)</f>
        <v/>
      </c>
      <c r="J53" s="35">
        <f>IF(R53="","",SUMIFS(Fuel!$E$6:$E$605,Fuel!$C$6:$C$605,C53,Fuel!$D$6:$D$605,"&gt;"&amp;R53,Fuel!$D$6:$D$605,"&lt;="&amp;D53))</f>
        <v/>
      </c>
      <c r="K53" s="36">
        <f>IF(OR(I53="",N(I53)=0),"",J53/I53*100)</f>
        <v/>
      </c>
      <c r="L53" s="36">
        <f>IF(OR(J53="",N(J53)=0),"",I53/J53)</f>
        <v/>
      </c>
      <c r="M53" s="1" t="n"/>
      <c r="N53">
        <f>IF(OR(C53="",N(D53)=0),"",D53+ROW()/10000000)</f>
        <v/>
      </c>
      <c r="O53">
        <f>IF(N53="","",COUNTIFS(Fuel!$C$6:$C$605,C53,Fuel!$N$6:$N$605,"&gt;"&amp;N53))</f>
        <v/>
      </c>
      <c r="P53">
        <f>IF(OR(N53="",G53=""),"",COUNTIFS(Fuel!$C$6:$C$605,C53,Fuel!$G$6:$G$605,"&lt;&gt;",Fuel!$N$6:$N$605,"&lt;"&amp;N53))</f>
        <v/>
      </c>
      <c r="R53">
        <f>IF(OR(P53="",N(P53)=0),"",SUMIFS(Fuel!$D$6:$D$605,Fuel!$C$6:$C$605,C53,Fuel!$P$6:$P$605,P53-1))</f>
        <v/>
      </c>
    </row>
    <row r="54">
      <c r="A54" s="1" t="n"/>
      <c r="B54" s="29" t="n">
        <v>46287</v>
      </c>
      <c r="C54" s="24" t="inlineStr">
        <is>
          <t>Grey van</t>
        </is>
      </c>
      <c r="D54" s="28" t="n">
        <v>134966</v>
      </c>
      <c r="E54" s="33" t="n">
        <v>50.6</v>
      </c>
      <c r="F54" s="34" t="n">
        <v>87.45</v>
      </c>
      <c r="G54" s="27" t="inlineStr">
        <is>
          <t>x</t>
        </is>
      </c>
      <c r="H54" s="14">
        <f>IF(OR(N(E54)=0,F54=""),"",F54/E54)</f>
        <v/>
      </c>
      <c r="I54" s="11">
        <f>IF(R54="","",D54-R54)</f>
        <v/>
      </c>
      <c r="J54" s="35">
        <f>IF(R54="","",SUMIFS(Fuel!$E$6:$E$605,Fuel!$C$6:$C$605,C54,Fuel!$D$6:$D$605,"&gt;"&amp;R54,Fuel!$D$6:$D$605,"&lt;="&amp;D54))</f>
        <v/>
      </c>
      <c r="K54" s="36">
        <f>IF(OR(I54="",N(I54)=0),"",J54/I54*100)</f>
        <v/>
      </c>
      <c r="L54" s="36">
        <f>IF(OR(J54="",N(J54)=0),"",I54/J54)</f>
        <v/>
      </c>
      <c r="M54" s="1" t="n"/>
      <c r="N54">
        <f>IF(OR(C54="",N(D54)=0),"",D54+ROW()/10000000)</f>
        <v/>
      </c>
      <c r="O54">
        <f>IF(N54="","",COUNTIFS(Fuel!$C$6:$C$605,C54,Fuel!$N$6:$N$605,"&gt;"&amp;N54))</f>
        <v/>
      </c>
      <c r="P54">
        <f>IF(OR(N54="",G54=""),"",COUNTIFS(Fuel!$C$6:$C$605,C54,Fuel!$G$6:$G$605,"&lt;&gt;",Fuel!$N$6:$N$605,"&lt;"&amp;N54))</f>
        <v/>
      </c>
      <c r="R54">
        <f>IF(OR(P54="",N(P54)=0),"",SUMIFS(Fuel!$D$6:$D$605,Fuel!$C$6:$C$605,C54,Fuel!$P$6:$P$605,P54-1))</f>
        <v/>
      </c>
    </row>
    <row r="55">
      <c r="A55" s="1" t="n"/>
      <c r="B55" s="29" t="n"/>
      <c r="C55" s="24" t="n"/>
      <c r="D55" s="28" t="n"/>
      <c r="E55" s="33" t="n"/>
      <c r="F55" s="34" t="n"/>
      <c r="G55" s="27" t="n"/>
      <c r="H55" s="14">
        <f>IF(OR(N(E55)=0,F55=""),"",F55/E55)</f>
        <v/>
      </c>
      <c r="I55" s="11">
        <f>IF(R55="","",D55-R55)</f>
        <v/>
      </c>
      <c r="J55" s="35">
        <f>IF(R55="","",SUMIFS(Fuel!$E$6:$E$605,Fuel!$C$6:$C$605,C55,Fuel!$D$6:$D$605,"&gt;"&amp;R55,Fuel!$D$6:$D$605,"&lt;="&amp;D55))</f>
        <v/>
      </c>
      <c r="K55" s="36">
        <f>IF(OR(I55="",N(I55)=0),"",J55/I55*100)</f>
        <v/>
      </c>
      <c r="L55" s="36">
        <f>IF(OR(J55="",N(J55)=0),"",I55/J55)</f>
        <v/>
      </c>
      <c r="M55" s="1" t="n"/>
      <c r="N55">
        <f>IF(OR(C55="",N(D55)=0),"",D55+ROW()/10000000)</f>
        <v/>
      </c>
      <c r="O55">
        <f>IF(N55="","",COUNTIFS(Fuel!$C$6:$C$605,C55,Fuel!$N$6:$N$605,"&gt;"&amp;N55))</f>
        <v/>
      </c>
      <c r="P55">
        <f>IF(OR(N55="",G55=""),"",COUNTIFS(Fuel!$C$6:$C$605,C55,Fuel!$G$6:$G$605,"&lt;&gt;",Fuel!$N$6:$N$605,"&lt;"&amp;N55))</f>
        <v/>
      </c>
      <c r="R55">
        <f>IF(OR(P55="",N(P55)=0),"",SUMIFS(Fuel!$D$6:$D$605,Fuel!$C$6:$C$605,C55,Fuel!$P$6:$P$605,P55-1))</f>
        <v/>
      </c>
    </row>
    <row r="56">
      <c r="A56" s="1" t="n"/>
      <c r="B56" s="29" t="n"/>
      <c r="C56" s="24" t="n"/>
      <c r="D56" s="28" t="n"/>
      <c r="E56" s="33" t="n"/>
      <c r="F56" s="34" t="n"/>
      <c r="G56" s="27" t="n"/>
      <c r="H56" s="14">
        <f>IF(OR(N(E56)=0,F56=""),"",F56/E56)</f>
        <v/>
      </c>
      <c r="I56" s="11">
        <f>IF(R56="","",D56-R56)</f>
        <v/>
      </c>
      <c r="J56" s="35">
        <f>IF(R56="","",SUMIFS(Fuel!$E$6:$E$605,Fuel!$C$6:$C$605,C56,Fuel!$D$6:$D$605,"&gt;"&amp;R56,Fuel!$D$6:$D$605,"&lt;="&amp;D56))</f>
        <v/>
      </c>
      <c r="K56" s="36">
        <f>IF(OR(I56="",N(I56)=0),"",J56/I56*100)</f>
        <v/>
      </c>
      <c r="L56" s="36">
        <f>IF(OR(J56="",N(J56)=0),"",I56/J56)</f>
        <v/>
      </c>
      <c r="M56" s="1" t="n"/>
      <c r="N56">
        <f>IF(OR(C56="",N(D56)=0),"",D56+ROW()/10000000)</f>
        <v/>
      </c>
      <c r="O56">
        <f>IF(N56="","",COUNTIFS(Fuel!$C$6:$C$605,C56,Fuel!$N$6:$N$605,"&gt;"&amp;N56))</f>
        <v/>
      </c>
      <c r="P56">
        <f>IF(OR(N56="",G56=""),"",COUNTIFS(Fuel!$C$6:$C$605,C56,Fuel!$G$6:$G$605,"&lt;&gt;",Fuel!$N$6:$N$605,"&lt;"&amp;N56))</f>
        <v/>
      </c>
      <c r="R56">
        <f>IF(OR(P56="",N(P56)=0),"",SUMIFS(Fuel!$D$6:$D$605,Fuel!$C$6:$C$605,C56,Fuel!$P$6:$P$605,P56-1))</f>
        <v/>
      </c>
    </row>
    <row r="57">
      <c r="A57" s="1" t="n"/>
      <c r="B57" s="29" t="n"/>
      <c r="C57" s="24" t="n"/>
      <c r="D57" s="28" t="n"/>
      <c r="E57" s="33" t="n"/>
      <c r="F57" s="34" t="n"/>
      <c r="G57" s="27" t="n"/>
      <c r="H57" s="14">
        <f>IF(OR(N(E57)=0,F57=""),"",F57/E57)</f>
        <v/>
      </c>
      <c r="I57" s="11">
        <f>IF(R57="","",D57-R57)</f>
        <v/>
      </c>
      <c r="J57" s="35">
        <f>IF(R57="","",SUMIFS(Fuel!$E$6:$E$605,Fuel!$C$6:$C$605,C57,Fuel!$D$6:$D$605,"&gt;"&amp;R57,Fuel!$D$6:$D$605,"&lt;="&amp;D57))</f>
        <v/>
      </c>
      <c r="K57" s="36">
        <f>IF(OR(I57="",N(I57)=0),"",J57/I57*100)</f>
        <v/>
      </c>
      <c r="L57" s="36">
        <f>IF(OR(J57="",N(J57)=0),"",I57/J57)</f>
        <v/>
      </c>
      <c r="M57" s="1" t="n"/>
      <c r="N57">
        <f>IF(OR(C57="",N(D57)=0),"",D57+ROW()/10000000)</f>
        <v/>
      </c>
      <c r="O57">
        <f>IF(N57="","",COUNTIFS(Fuel!$C$6:$C$605,C57,Fuel!$N$6:$N$605,"&gt;"&amp;N57))</f>
        <v/>
      </c>
      <c r="P57">
        <f>IF(OR(N57="",G57=""),"",COUNTIFS(Fuel!$C$6:$C$605,C57,Fuel!$G$6:$G$605,"&lt;&gt;",Fuel!$N$6:$N$605,"&lt;"&amp;N57))</f>
        <v/>
      </c>
      <c r="R57">
        <f>IF(OR(P57="",N(P57)=0),"",SUMIFS(Fuel!$D$6:$D$605,Fuel!$C$6:$C$605,C57,Fuel!$P$6:$P$605,P57-1))</f>
        <v/>
      </c>
    </row>
    <row r="58">
      <c r="A58" s="1" t="n"/>
      <c r="B58" s="29" t="n"/>
      <c r="C58" s="24" t="n"/>
      <c r="D58" s="28" t="n"/>
      <c r="E58" s="33" t="n"/>
      <c r="F58" s="34" t="n"/>
      <c r="G58" s="27" t="n"/>
      <c r="H58" s="14">
        <f>IF(OR(N(E58)=0,F58=""),"",F58/E58)</f>
        <v/>
      </c>
      <c r="I58" s="11">
        <f>IF(R58="","",D58-R58)</f>
        <v/>
      </c>
      <c r="J58" s="35">
        <f>IF(R58="","",SUMIFS(Fuel!$E$6:$E$605,Fuel!$C$6:$C$605,C58,Fuel!$D$6:$D$605,"&gt;"&amp;R58,Fuel!$D$6:$D$605,"&lt;="&amp;D58))</f>
        <v/>
      </c>
      <c r="K58" s="36">
        <f>IF(OR(I58="",N(I58)=0),"",J58/I58*100)</f>
        <v/>
      </c>
      <c r="L58" s="36">
        <f>IF(OR(J58="",N(J58)=0),"",I58/J58)</f>
        <v/>
      </c>
      <c r="M58" s="1" t="n"/>
      <c r="N58">
        <f>IF(OR(C58="",N(D58)=0),"",D58+ROW()/10000000)</f>
        <v/>
      </c>
      <c r="O58">
        <f>IF(N58="","",COUNTIFS(Fuel!$C$6:$C$605,C58,Fuel!$N$6:$N$605,"&gt;"&amp;N58))</f>
        <v/>
      </c>
      <c r="P58">
        <f>IF(OR(N58="",G58=""),"",COUNTIFS(Fuel!$C$6:$C$605,C58,Fuel!$G$6:$G$605,"&lt;&gt;",Fuel!$N$6:$N$605,"&lt;"&amp;N58))</f>
        <v/>
      </c>
      <c r="R58">
        <f>IF(OR(P58="",N(P58)=0),"",SUMIFS(Fuel!$D$6:$D$605,Fuel!$C$6:$C$605,C58,Fuel!$P$6:$P$605,P58-1))</f>
        <v/>
      </c>
    </row>
    <row r="59">
      <c r="A59" s="1" t="n"/>
      <c r="B59" s="29" t="n"/>
      <c r="C59" s="24" t="n"/>
      <c r="D59" s="28" t="n"/>
      <c r="E59" s="33" t="n"/>
      <c r="F59" s="34" t="n"/>
      <c r="G59" s="27" t="n"/>
      <c r="H59" s="14">
        <f>IF(OR(N(E59)=0,F59=""),"",F59/E59)</f>
        <v/>
      </c>
      <c r="I59" s="11">
        <f>IF(R59="","",D59-R59)</f>
        <v/>
      </c>
      <c r="J59" s="35">
        <f>IF(R59="","",SUMIFS(Fuel!$E$6:$E$605,Fuel!$C$6:$C$605,C59,Fuel!$D$6:$D$605,"&gt;"&amp;R59,Fuel!$D$6:$D$605,"&lt;="&amp;D59))</f>
        <v/>
      </c>
      <c r="K59" s="36">
        <f>IF(OR(I59="",N(I59)=0),"",J59/I59*100)</f>
        <v/>
      </c>
      <c r="L59" s="36">
        <f>IF(OR(J59="",N(J59)=0),"",I59/J59)</f>
        <v/>
      </c>
      <c r="M59" s="1" t="n"/>
      <c r="N59">
        <f>IF(OR(C59="",N(D59)=0),"",D59+ROW()/10000000)</f>
        <v/>
      </c>
      <c r="O59">
        <f>IF(N59="","",COUNTIFS(Fuel!$C$6:$C$605,C59,Fuel!$N$6:$N$605,"&gt;"&amp;N59))</f>
        <v/>
      </c>
      <c r="P59">
        <f>IF(OR(N59="",G59=""),"",COUNTIFS(Fuel!$C$6:$C$605,C59,Fuel!$G$6:$G$605,"&lt;&gt;",Fuel!$N$6:$N$605,"&lt;"&amp;N59))</f>
        <v/>
      </c>
      <c r="R59">
        <f>IF(OR(P59="",N(P59)=0),"",SUMIFS(Fuel!$D$6:$D$605,Fuel!$C$6:$C$605,C59,Fuel!$P$6:$P$605,P59-1))</f>
        <v/>
      </c>
    </row>
    <row r="60">
      <c r="A60" s="1" t="n"/>
      <c r="B60" s="29" t="n"/>
      <c r="C60" s="24" t="n"/>
      <c r="D60" s="28" t="n"/>
      <c r="E60" s="33" t="n"/>
      <c r="F60" s="34" t="n"/>
      <c r="G60" s="27" t="n"/>
      <c r="H60" s="14">
        <f>IF(OR(N(E60)=0,F60=""),"",F60/E60)</f>
        <v/>
      </c>
      <c r="I60" s="11">
        <f>IF(R60="","",D60-R60)</f>
        <v/>
      </c>
      <c r="J60" s="35">
        <f>IF(R60="","",SUMIFS(Fuel!$E$6:$E$605,Fuel!$C$6:$C$605,C60,Fuel!$D$6:$D$605,"&gt;"&amp;R60,Fuel!$D$6:$D$605,"&lt;="&amp;D60))</f>
        <v/>
      </c>
      <c r="K60" s="36">
        <f>IF(OR(I60="",N(I60)=0),"",J60/I60*100)</f>
        <v/>
      </c>
      <c r="L60" s="36">
        <f>IF(OR(J60="",N(J60)=0),"",I60/J60)</f>
        <v/>
      </c>
      <c r="M60" s="1" t="n"/>
      <c r="N60">
        <f>IF(OR(C60="",N(D60)=0),"",D60+ROW()/10000000)</f>
        <v/>
      </c>
      <c r="O60">
        <f>IF(N60="","",COUNTIFS(Fuel!$C$6:$C$605,C60,Fuel!$N$6:$N$605,"&gt;"&amp;N60))</f>
        <v/>
      </c>
      <c r="P60">
        <f>IF(OR(N60="",G60=""),"",COUNTIFS(Fuel!$C$6:$C$605,C60,Fuel!$G$6:$G$605,"&lt;&gt;",Fuel!$N$6:$N$605,"&lt;"&amp;N60))</f>
        <v/>
      </c>
      <c r="R60">
        <f>IF(OR(P60="",N(P60)=0),"",SUMIFS(Fuel!$D$6:$D$605,Fuel!$C$6:$C$605,C60,Fuel!$P$6:$P$605,P60-1))</f>
        <v/>
      </c>
    </row>
    <row r="61">
      <c r="A61" s="1" t="n"/>
      <c r="B61" s="29" t="n"/>
      <c r="C61" s="24" t="n"/>
      <c r="D61" s="28" t="n"/>
      <c r="E61" s="33" t="n"/>
      <c r="F61" s="34" t="n"/>
      <c r="G61" s="27" t="n"/>
      <c r="H61" s="14">
        <f>IF(OR(N(E61)=0,F61=""),"",F61/E61)</f>
        <v/>
      </c>
      <c r="I61" s="11">
        <f>IF(R61="","",D61-R61)</f>
        <v/>
      </c>
      <c r="J61" s="35">
        <f>IF(R61="","",SUMIFS(Fuel!$E$6:$E$605,Fuel!$C$6:$C$605,C61,Fuel!$D$6:$D$605,"&gt;"&amp;R61,Fuel!$D$6:$D$605,"&lt;="&amp;D61))</f>
        <v/>
      </c>
      <c r="K61" s="36">
        <f>IF(OR(I61="",N(I61)=0),"",J61/I61*100)</f>
        <v/>
      </c>
      <c r="L61" s="36">
        <f>IF(OR(J61="",N(J61)=0),"",I61/J61)</f>
        <v/>
      </c>
      <c r="M61" s="1" t="n"/>
      <c r="N61">
        <f>IF(OR(C61="",N(D61)=0),"",D61+ROW()/10000000)</f>
        <v/>
      </c>
      <c r="O61">
        <f>IF(N61="","",COUNTIFS(Fuel!$C$6:$C$605,C61,Fuel!$N$6:$N$605,"&gt;"&amp;N61))</f>
        <v/>
      </c>
      <c r="P61">
        <f>IF(OR(N61="",G61=""),"",COUNTIFS(Fuel!$C$6:$C$605,C61,Fuel!$G$6:$G$605,"&lt;&gt;",Fuel!$N$6:$N$605,"&lt;"&amp;N61))</f>
        <v/>
      </c>
      <c r="R61">
        <f>IF(OR(P61="",N(P61)=0),"",SUMIFS(Fuel!$D$6:$D$605,Fuel!$C$6:$C$605,C61,Fuel!$P$6:$P$605,P61-1))</f>
        <v/>
      </c>
    </row>
    <row r="62">
      <c r="A62" s="1" t="n"/>
      <c r="B62" s="29" t="n"/>
      <c r="C62" s="24" t="n"/>
      <c r="D62" s="28" t="n"/>
      <c r="E62" s="33" t="n"/>
      <c r="F62" s="34" t="n"/>
      <c r="G62" s="27" t="n"/>
      <c r="H62" s="14">
        <f>IF(OR(N(E62)=0,F62=""),"",F62/E62)</f>
        <v/>
      </c>
      <c r="I62" s="11">
        <f>IF(R62="","",D62-R62)</f>
        <v/>
      </c>
      <c r="J62" s="35">
        <f>IF(R62="","",SUMIFS(Fuel!$E$6:$E$605,Fuel!$C$6:$C$605,C62,Fuel!$D$6:$D$605,"&gt;"&amp;R62,Fuel!$D$6:$D$605,"&lt;="&amp;D62))</f>
        <v/>
      </c>
      <c r="K62" s="36">
        <f>IF(OR(I62="",N(I62)=0),"",J62/I62*100)</f>
        <v/>
      </c>
      <c r="L62" s="36">
        <f>IF(OR(J62="",N(J62)=0),"",I62/J62)</f>
        <v/>
      </c>
      <c r="M62" s="1" t="n"/>
      <c r="N62">
        <f>IF(OR(C62="",N(D62)=0),"",D62+ROW()/10000000)</f>
        <v/>
      </c>
      <c r="O62">
        <f>IF(N62="","",COUNTIFS(Fuel!$C$6:$C$605,C62,Fuel!$N$6:$N$605,"&gt;"&amp;N62))</f>
        <v/>
      </c>
      <c r="P62">
        <f>IF(OR(N62="",G62=""),"",COUNTIFS(Fuel!$C$6:$C$605,C62,Fuel!$G$6:$G$605,"&lt;&gt;",Fuel!$N$6:$N$605,"&lt;"&amp;N62))</f>
        <v/>
      </c>
      <c r="R62">
        <f>IF(OR(P62="",N(P62)=0),"",SUMIFS(Fuel!$D$6:$D$605,Fuel!$C$6:$C$605,C62,Fuel!$P$6:$P$605,P62-1))</f>
        <v/>
      </c>
    </row>
    <row r="63">
      <c r="A63" s="1" t="n"/>
      <c r="B63" s="29" t="n"/>
      <c r="C63" s="24" t="n"/>
      <c r="D63" s="28" t="n"/>
      <c r="E63" s="33" t="n"/>
      <c r="F63" s="34" t="n"/>
      <c r="G63" s="27" t="n"/>
      <c r="H63" s="14">
        <f>IF(OR(N(E63)=0,F63=""),"",F63/E63)</f>
        <v/>
      </c>
      <c r="I63" s="11">
        <f>IF(R63="","",D63-R63)</f>
        <v/>
      </c>
      <c r="J63" s="35">
        <f>IF(R63="","",SUMIFS(Fuel!$E$6:$E$605,Fuel!$C$6:$C$605,C63,Fuel!$D$6:$D$605,"&gt;"&amp;R63,Fuel!$D$6:$D$605,"&lt;="&amp;D63))</f>
        <v/>
      </c>
      <c r="K63" s="36">
        <f>IF(OR(I63="",N(I63)=0),"",J63/I63*100)</f>
        <v/>
      </c>
      <c r="L63" s="36">
        <f>IF(OR(J63="",N(J63)=0),"",I63/J63)</f>
        <v/>
      </c>
      <c r="M63" s="1" t="n"/>
      <c r="N63">
        <f>IF(OR(C63="",N(D63)=0),"",D63+ROW()/10000000)</f>
        <v/>
      </c>
      <c r="O63">
        <f>IF(N63="","",COUNTIFS(Fuel!$C$6:$C$605,C63,Fuel!$N$6:$N$605,"&gt;"&amp;N63))</f>
        <v/>
      </c>
      <c r="P63">
        <f>IF(OR(N63="",G63=""),"",COUNTIFS(Fuel!$C$6:$C$605,C63,Fuel!$G$6:$G$605,"&lt;&gt;",Fuel!$N$6:$N$605,"&lt;"&amp;N63))</f>
        <v/>
      </c>
      <c r="R63">
        <f>IF(OR(P63="",N(P63)=0),"",SUMIFS(Fuel!$D$6:$D$605,Fuel!$C$6:$C$605,C63,Fuel!$P$6:$P$605,P63-1))</f>
        <v/>
      </c>
    </row>
    <row r="64">
      <c r="A64" s="1" t="n"/>
      <c r="B64" s="29" t="n"/>
      <c r="C64" s="24" t="n"/>
      <c r="D64" s="28" t="n"/>
      <c r="E64" s="33" t="n"/>
      <c r="F64" s="34" t="n"/>
      <c r="G64" s="27" t="n"/>
      <c r="H64" s="14">
        <f>IF(OR(N(E64)=0,F64=""),"",F64/E64)</f>
        <v/>
      </c>
      <c r="I64" s="11">
        <f>IF(R64="","",D64-R64)</f>
        <v/>
      </c>
      <c r="J64" s="35">
        <f>IF(R64="","",SUMIFS(Fuel!$E$6:$E$605,Fuel!$C$6:$C$605,C64,Fuel!$D$6:$D$605,"&gt;"&amp;R64,Fuel!$D$6:$D$605,"&lt;="&amp;D64))</f>
        <v/>
      </c>
      <c r="K64" s="36">
        <f>IF(OR(I64="",N(I64)=0),"",J64/I64*100)</f>
        <v/>
      </c>
      <c r="L64" s="36">
        <f>IF(OR(J64="",N(J64)=0),"",I64/J64)</f>
        <v/>
      </c>
      <c r="M64" s="1" t="n"/>
      <c r="N64">
        <f>IF(OR(C64="",N(D64)=0),"",D64+ROW()/10000000)</f>
        <v/>
      </c>
      <c r="O64">
        <f>IF(N64="","",COUNTIFS(Fuel!$C$6:$C$605,C64,Fuel!$N$6:$N$605,"&gt;"&amp;N64))</f>
        <v/>
      </c>
      <c r="P64">
        <f>IF(OR(N64="",G64=""),"",COUNTIFS(Fuel!$C$6:$C$605,C64,Fuel!$G$6:$G$605,"&lt;&gt;",Fuel!$N$6:$N$605,"&lt;"&amp;N64))</f>
        <v/>
      </c>
      <c r="R64">
        <f>IF(OR(P64="",N(P64)=0),"",SUMIFS(Fuel!$D$6:$D$605,Fuel!$C$6:$C$605,C64,Fuel!$P$6:$P$605,P64-1))</f>
        <v/>
      </c>
    </row>
    <row r="65">
      <c r="A65" s="1" t="n"/>
      <c r="B65" s="29" t="n"/>
      <c r="C65" s="24" t="n"/>
      <c r="D65" s="28" t="n"/>
      <c r="E65" s="33" t="n"/>
      <c r="F65" s="34" t="n"/>
      <c r="G65" s="27" t="n"/>
      <c r="H65" s="14">
        <f>IF(OR(N(E65)=0,F65=""),"",F65/E65)</f>
        <v/>
      </c>
      <c r="I65" s="11">
        <f>IF(R65="","",D65-R65)</f>
        <v/>
      </c>
      <c r="J65" s="35">
        <f>IF(R65="","",SUMIFS(Fuel!$E$6:$E$605,Fuel!$C$6:$C$605,C65,Fuel!$D$6:$D$605,"&gt;"&amp;R65,Fuel!$D$6:$D$605,"&lt;="&amp;D65))</f>
        <v/>
      </c>
      <c r="K65" s="36">
        <f>IF(OR(I65="",N(I65)=0),"",J65/I65*100)</f>
        <v/>
      </c>
      <c r="L65" s="36">
        <f>IF(OR(J65="",N(J65)=0),"",I65/J65)</f>
        <v/>
      </c>
      <c r="M65" s="1" t="n"/>
      <c r="N65">
        <f>IF(OR(C65="",N(D65)=0),"",D65+ROW()/10000000)</f>
        <v/>
      </c>
      <c r="O65">
        <f>IF(N65="","",COUNTIFS(Fuel!$C$6:$C$605,C65,Fuel!$N$6:$N$605,"&gt;"&amp;N65))</f>
        <v/>
      </c>
      <c r="P65">
        <f>IF(OR(N65="",G65=""),"",COUNTIFS(Fuel!$C$6:$C$605,C65,Fuel!$G$6:$G$605,"&lt;&gt;",Fuel!$N$6:$N$605,"&lt;"&amp;N65))</f>
        <v/>
      </c>
      <c r="R65">
        <f>IF(OR(P65="",N(P65)=0),"",SUMIFS(Fuel!$D$6:$D$605,Fuel!$C$6:$C$605,C65,Fuel!$P$6:$P$605,P65-1))</f>
        <v/>
      </c>
    </row>
    <row r="66">
      <c r="A66" s="1" t="n"/>
      <c r="B66" s="29" t="n"/>
      <c r="C66" s="24" t="n"/>
      <c r="D66" s="28" t="n"/>
      <c r="E66" s="33" t="n"/>
      <c r="F66" s="34" t="n"/>
      <c r="G66" s="27" t="n"/>
      <c r="H66" s="14">
        <f>IF(OR(N(E66)=0,F66=""),"",F66/E66)</f>
        <v/>
      </c>
      <c r="I66" s="11">
        <f>IF(R66="","",D66-R66)</f>
        <v/>
      </c>
      <c r="J66" s="35">
        <f>IF(R66="","",SUMIFS(Fuel!$E$6:$E$605,Fuel!$C$6:$C$605,C66,Fuel!$D$6:$D$605,"&gt;"&amp;R66,Fuel!$D$6:$D$605,"&lt;="&amp;D66))</f>
        <v/>
      </c>
      <c r="K66" s="36">
        <f>IF(OR(I66="",N(I66)=0),"",J66/I66*100)</f>
        <v/>
      </c>
      <c r="L66" s="36">
        <f>IF(OR(J66="",N(J66)=0),"",I66/J66)</f>
        <v/>
      </c>
      <c r="M66" s="1" t="n"/>
      <c r="N66">
        <f>IF(OR(C66="",N(D66)=0),"",D66+ROW()/10000000)</f>
        <v/>
      </c>
      <c r="O66">
        <f>IF(N66="","",COUNTIFS(Fuel!$C$6:$C$605,C66,Fuel!$N$6:$N$605,"&gt;"&amp;N66))</f>
        <v/>
      </c>
      <c r="P66">
        <f>IF(OR(N66="",G66=""),"",COUNTIFS(Fuel!$C$6:$C$605,C66,Fuel!$G$6:$G$605,"&lt;&gt;",Fuel!$N$6:$N$605,"&lt;"&amp;N66))</f>
        <v/>
      </c>
      <c r="R66">
        <f>IF(OR(P66="",N(P66)=0),"",SUMIFS(Fuel!$D$6:$D$605,Fuel!$C$6:$C$605,C66,Fuel!$P$6:$P$605,P66-1))</f>
        <v/>
      </c>
    </row>
    <row r="67">
      <c r="A67" s="1" t="n"/>
      <c r="B67" s="29" t="n"/>
      <c r="C67" s="24" t="n"/>
      <c r="D67" s="28" t="n"/>
      <c r="E67" s="33" t="n"/>
      <c r="F67" s="34" t="n"/>
      <c r="G67" s="27" t="n"/>
      <c r="H67" s="14">
        <f>IF(OR(N(E67)=0,F67=""),"",F67/E67)</f>
        <v/>
      </c>
      <c r="I67" s="11">
        <f>IF(R67="","",D67-R67)</f>
        <v/>
      </c>
      <c r="J67" s="35">
        <f>IF(R67="","",SUMIFS(Fuel!$E$6:$E$605,Fuel!$C$6:$C$605,C67,Fuel!$D$6:$D$605,"&gt;"&amp;R67,Fuel!$D$6:$D$605,"&lt;="&amp;D67))</f>
        <v/>
      </c>
      <c r="K67" s="36">
        <f>IF(OR(I67="",N(I67)=0),"",J67/I67*100)</f>
        <v/>
      </c>
      <c r="L67" s="36">
        <f>IF(OR(J67="",N(J67)=0),"",I67/J67)</f>
        <v/>
      </c>
      <c r="M67" s="1" t="n"/>
      <c r="N67">
        <f>IF(OR(C67="",N(D67)=0),"",D67+ROW()/10000000)</f>
        <v/>
      </c>
      <c r="O67">
        <f>IF(N67="","",COUNTIFS(Fuel!$C$6:$C$605,C67,Fuel!$N$6:$N$605,"&gt;"&amp;N67))</f>
        <v/>
      </c>
      <c r="P67">
        <f>IF(OR(N67="",G67=""),"",COUNTIFS(Fuel!$C$6:$C$605,C67,Fuel!$G$6:$G$605,"&lt;&gt;",Fuel!$N$6:$N$605,"&lt;"&amp;N67))</f>
        <v/>
      </c>
      <c r="R67">
        <f>IF(OR(P67="",N(P67)=0),"",SUMIFS(Fuel!$D$6:$D$605,Fuel!$C$6:$C$605,C67,Fuel!$P$6:$P$605,P67-1))</f>
        <v/>
      </c>
    </row>
    <row r="68">
      <c r="A68" s="1" t="n"/>
      <c r="B68" s="29" t="n"/>
      <c r="C68" s="24" t="n"/>
      <c r="D68" s="28" t="n"/>
      <c r="E68" s="33" t="n"/>
      <c r="F68" s="34" t="n"/>
      <c r="G68" s="27" t="n"/>
      <c r="H68" s="14">
        <f>IF(OR(N(E68)=0,F68=""),"",F68/E68)</f>
        <v/>
      </c>
      <c r="I68" s="11">
        <f>IF(R68="","",D68-R68)</f>
        <v/>
      </c>
      <c r="J68" s="35">
        <f>IF(R68="","",SUMIFS(Fuel!$E$6:$E$605,Fuel!$C$6:$C$605,C68,Fuel!$D$6:$D$605,"&gt;"&amp;R68,Fuel!$D$6:$D$605,"&lt;="&amp;D68))</f>
        <v/>
      </c>
      <c r="K68" s="36">
        <f>IF(OR(I68="",N(I68)=0),"",J68/I68*100)</f>
        <v/>
      </c>
      <c r="L68" s="36">
        <f>IF(OR(J68="",N(J68)=0),"",I68/J68)</f>
        <v/>
      </c>
      <c r="M68" s="1" t="n"/>
      <c r="N68">
        <f>IF(OR(C68="",N(D68)=0),"",D68+ROW()/10000000)</f>
        <v/>
      </c>
      <c r="O68">
        <f>IF(N68="","",COUNTIFS(Fuel!$C$6:$C$605,C68,Fuel!$N$6:$N$605,"&gt;"&amp;N68))</f>
        <v/>
      </c>
      <c r="P68">
        <f>IF(OR(N68="",G68=""),"",COUNTIFS(Fuel!$C$6:$C$605,C68,Fuel!$G$6:$G$605,"&lt;&gt;",Fuel!$N$6:$N$605,"&lt;"&amp;N68))</f>
        <v/>
      </c>
      <c r="R68">
        <f>IF(OR(P68="",N(P68)=0),"",SUMIFS(Fuel!$D$6:$D$605,Fuel!$C$6:$C$605,C68,Fuel!$P$6:$P$605,P68-1))</f>
        <v/>
      </c>
    </row>
    <row r="69">
      <c r="A69" s="1" t="n"/>
      <c r="B69" s="29" t="n"/>
      <c r="C69" s="24" t="n"/>
      <c r="D69" s="28" t="n"/>
      <c r="E69" s="33" t="n"/>
      <c r="F69" s="34" t="n"/>
      <c r="G69" s="27" t="n"/>
      <c r="H69" s="14">
        <f>IF(OR(N(E69)=0,F69=""),"",F69/E69)</f>
        <v/>
      </c>
      <c r="I69" s="11">
        <f>IF(R69="","",D69-R69)</f>
        <v/>
      </c>
      <c r="J69" s="35">
        <f>IF(R69="","",SUMIFS(Fuel!$E$6:$E$605,Fuel!$C$6:$C$605,C69,Fuel!$D$6:$D$605,"&gt;"&amp;R69,Fuel!$D$6:$D$605,"&lt;="&amp;D69))</f>
        <v/>
      </c>
      <c r="K69" s="36">
        <f>IF(OR(I69="",N(I69)=0),"",J69/I69*100)</f>
        <v/>
      </c>
      <c r="L69" s="36">
        <f>IF(OR(J69="",N(J69)=0),"",I69/J69)</f>
        <v/>
      </c>
      <c r="M69" s="1" t="n"/>
      <c r="N69">
        <f>IF(OR(C69="",N(D69)=0),"",D69+ROW()/10000000)</f>
        <v/>
      </c>
      <c r="O69">
        <f>IF(N69="","",COUNTIFS(Fuel!$C$6:$C$605,C69,Fuel!$N$6:$N$605,"&gt;"&amp;N69))</f>
        <v/>
      </c>
      <c r="P69">
        <f>IF(OR(N69="",G69=""),"",COUNTIFS(Fuel!$C$6:$C$605,C69,Fuel!$G$6:$G$605,"&lt;&gt;",Fuel!$N$6:$N$605,"&lt;"&amp;N69))</f>
        <v/>
      </c>
      <c r="R69">
        <f>IF(OR(P69="",N(P69)=0),"",SUMIFS(Fuel!$D$6:$D$605,Fuel!$C$6:$C$605,C69,Fuel!$P$6:$P$605,P69-1))</f>
        <v/>
      </c>
    </row>
    <row r="70">
      <c r="A70" s="1" t="n"/>
      <c r="B70" s="29" t="n"/>
      <c r="C70" s="24" t="n"/>
      <c r="D70" s="28" t="n"/>
      <c r="E70" s="33" t="n"/>
      <c r="F70" s="34" t="n"/>
      <c r="G70" s="27" t="n"/>
      <c r="H70" s="14">
        <f>IF(OR(N(E70)=0,F70=""),"",F70/E70)</f>
        <v/>
      </c>
      <c r="I70" s="11">
        <f>IF(R70="","",D70-R70)</f>
        <v/>
      </c>
      <c r="J70" s="35">
        <f>IF(R70="","",SUMIFS(Fuel!$E$6:$E$605,Fuel!$C$6:$C$605,C70,Fuel!$D$6:$D$605,"&gt;"&amp;R70,Fuel!$D$6:$D$605,"&lt;="&amp;D70))</f>
        <v/>
      </c>
      <c r="K70" s="36">
        <f>IF(OR(I70="",N(I70)=0),"",J70/I70*100)</f>
        <v/>
      </c>
      <c r="L70" s="36">
        <f>IF(OR(J70="",N(J70)=0),"",I70/J70)</f>
        <v/>
      </c>
      <c r="M70" s="1" t="n"/>
      <c r="N70">
        <f>IF(OR(C70="",N(D70)=0),"",D70+ROW()/10000000)</f>
        <v/>
      </c>
      <c r="O70">
        <f>IF(N70="","",COUNTIFS(Fuel!$C$6:$C$605,C70,Fuel!$N$6:$N$605,"&gt;"&amp;N70))</f>
        <v/>
      </c>
      <c r="P70">
        <f>IF(OR(N70="",G70=""),"",COUNTIFS(Fuel!$C$6:$C$605,C70,Fuel!$G$6:$G$605,"&lt;&gt;",Fuel!$N$6:$N$605,"&lt;"&amp;N70))</f>
        <v/>
      </c>
      <c r="R70">
        <f>IF(OR(P70="",N(P70)=0),"",SUMIFS(Fuel!$D$6:$D$605,Fuel!$C$6:$C$605,C70,Fuel!$P$6:$P$605,P70-1))</f>
        <v/>
      </c>
    </row>
    <row r="71">
      <c r="A71" s="1" t="n"/>
      <c r="B71" s="29" t="n"/>
      <c r="C71" s="24" t="n"/>
      <c r="D71" s="28" t="n"/>
      <c r="E71" s="33" t="n"/>
      <c r="F71" s="34" t="n"/>
      <c r="G71" s="27" t="n"/>
      <c r="H71" s="14">
        <f>IF(OR(N(E71)=0,F71=""),"",F71/E71)</f>
        <v/>
      </c>
      <c r="I71" s="11">
        <f>IF(R71="","",D71-R71)</f>
        <v/>
      </c>
      <c r="J71" s="35">
        <f>IF(R71="","",SUMIFS(Fuel!$E$6:$E$605,Fuel!$C$6:$C$605,C71,Fuel!$D$6:$D$605,"&gt;"&amp;R71,Fuel!$D$6:$D$605,"&lt;="&amp;D71))</f>
        <v/>
      </c>
      <c r="K71" s="36">
        <f>IF(OR(I71="",N(I71)=0),"",J71/I71*100)</f>
        <v/>
      </c>
      <c r="L71" s="36">
        <f>IF(OR(J71="",N(J71)=0),"",I71/J71)</f>
        <v/>
      </c>
      <c r="M71" s="1" t="n"/>
      <c r="N71">
        <f>IF(OR(C71="",N(D71)=0),"",D71+ROW()/10000000)</f>
        <v/>
      </c>
      <c r="O71">
        <f>IF(N71="","",COUNTIFS(Fuel!$C$6:$C$605,C71,Fuel!$N$6:$N$605,"&gt;"&amp;N71))</f>
        <v/>
      </c>
      <c r="P71">
        <f>IF(OR(N71="",G71=""),"",COUNTIFS(Fuel!$C$6:$C$605,C71,Fuel!$G$6:$G$605,"&lt;&gt;",Fuel!$N$6:$N$605,"&lt;"&amp;N71))</f>
        <v/>
      </c>
      <c r="R71">
        <f>IF(OR(P71="",N(P71)=0),"",SUMIFS(Fuel!$D$6:$D$605,Fuel!$C$6:$C$605,C71,Fuel!$P$6:$P$605,P71-1))</f>
        <v/>
      </c>
    </row>
    <row r="72">
      <c r="A72" s="1" t="n"/>
      <c r="B72" s="29" t="n"/>
      <c r="C72" s="24" t="n"/>
      <c r="D72" s="28" t="n"/>
      <c r="E72" s="33" t="n"/>
      <c r="F72" s="34" t="n"/>
      <c r="G72" s="27" t="n"/>
      <c r="H72" s="14">
        <f>IF(OR(N(E72)=0,F72=""),"",F72/E72)</f>
        <v/>
      </c>
      <c r="I72" s="11">
        <f>IF(R72="","",D72-R72)</f>
        <v/>
      </c>
      <c r="J72" s="35">
        <f>IF(R72="","",SUMIFS(Fuel!$E$6:$E$605,Fuel!$C$6:$C$605,C72,Fuel!$D$6:$D$605,"&gt;"&amp;R72,Fuel!$D$6:$D$605,"&lt;="&amp;D72))</f>
        <v/>
      </c>
      <c r="K72" s="36">
        <f>IF(OR(I72="",N(I72)=0),"",J72/I72*100)</f>
        <v/>
      </c>
      <c r="L72" s="36">
        <f>IF(OR(J72="",N(J72)=0),"",I72/J72)</f>
        <v/>
      </c>
      <c r="M72" s="1" t="n"/>
      <c r="N72">
        <f>IF(OR(C72="",N(D72)=0),"",D72+ROW()/10000000)</f>
        <v/>
      </c>
      <c r="O72">
        <f>IF(N72="","",COUNTIFS(Fuel!$C$6:$C$605,C72,Fuel!$N$6:$N$605,"&gt;"&amp;N72))</f>
        <v/>
      </c>
      <c r="P72">
        <f>IF(OR(N72="",G72=""),"",COUNTIFS(Fuel!$C$6:$C$605,C72,Fuel!$G$6:$G$605,"&lt;&gt;",Fuel!$N$6:$N$605,"&lt;"&amp;N72))</f>
        <v/>
      </c>
      <c r="R72">
        <f>IF(OR(P72="",N(P72)=0),"",SUMIFS(Fuel!$D$6:$D$605,Fuel!$C$6:$C$605,C72,Fuel!$P$6:$P$605,P72-1))</f>
        <v/>
      </c>
    </row>
    <row r="73">
      <c r="A73" s="1" t="n"/>
      <c r="B73" s="29" t="n"/>
      <c r="C73" s="24" t="n"/>
      <c r="D73" s="28" t="n"/>
      <c r="E73" s="33" t="n"/>
      <c r="F73" s="34" t="n"/>
      <c r="G73" s="27" t="n"/>
      <c r="H73" s="14">
        <f>IF(OR(N(E73)=0,F73=""),"",F73/E73)</f>
        <v/>
      </c>
      <c r="I73" s="11">
        <f>IF(R73="","",D73-R73)</f>
        <v/>
      </c>
      <c r="J73" s="35">
        <f>IF(R73="","",SUMIFS(Fuel!$E$6:$E$605,Fuel!$C$6:$C$605,C73,Fuel!$D$6:$D$605,"&gt;"&amp;R73,Fuel!$D$6:$D$605,"&lt;="&amp;D73))</f>
        <v/>
      </c>
      <c r="K73" s="36">
        <f>IF(OR(I73="",N(I73)=0),"",J73/I73*100)</f>
        <v/>
      </c>
      <c r="L73" s="36">
        <f>IF(OR(J73="",N(J73)=0),"",I73/J73)</f>
        <v/>
      </c>
      <c r="M73" s="1" t="n"/>
      <c r="N73">
        <f>IF(OR(C73="",N(D73)=0),"",D73+ROW()/10000000)</f>
        <v/>
      </c>
      <c r="O73">
        <f>IF(N73="","",COUNTIFS(Fuel!$C$6:$C$605,C73,Fuel!$N$6:$N$605,"&gt;"&amp;N73))</f>
        <v/>
      </c>
      <c r="P73">
        <f>IF(OR(N73="",G73=""),"",COUNTIFS(Fuel!$C$6:$C$605,C73,Fuel!$G$6:$G$605,"&lt;&gt;",Fuel!$N$6:$N$605,"&lt;"&amp;N73))</f>
        <v/>
      </c>
      <c r="R73">
        <f>IF(OR(P73="",N(P73)=0),"",SUMIFS(Fuel!$D$6:$D$605,Fuel!$C$6:$C$605,C73,Fuel!$P$6:$P$605,P73-1))</f>
        <v/>
      </c>
    </row>
    <row r="74">
      <c r="A74" s="1" t="n"/>
      <c r="B74" s="29" t="n"/>
      <c r="C74" s="24" t="n"/>
      <c r="D74" s="28" t="n"/>
      <c r="E74" s="33" t="n"/>
      <c r="F74" s="34" t="n"/>
      <c r="G74" s="27" t="n"/>
      <c r="H74" s="14">
        <f>IF(OR(N(E74)=0,F74=""),"",F74/E74)</f>
        <v/>
      </c>
      <c r="I74" s="11">
        <f>IF(R74="","",D74-R74)</f>
        <v/>
      </c>
      <c r="J74" s="35">
        <f>IF(R74="","",SUMIFS(Fuel!$E$6:$E$605,Fuel!$C$6:$C$605,C74,Fuel!$D$6:$D$605,"&gt;"&amp;R74,Fuel!$D$6:$D$605,"&lt;="&amp;D74))</f>
        <v/>
      </c>
      <c r="K74" s="36">
        <f>IF(OR(I74="",N(I74)=0),"",J74/I74*100)</f>
        <v/>
      </c>
      <c r="L74" s="36">
        <f>IF(OR(J74="",N(J74)=0),"",I74/J74)</f>
        <v/>
      </c>
      <c r="M74" s="1" t="n"/>
      <c r="N74">
        <f>IF(OR(C74="",N(D74)=0),"",D74+ROW()/10000000)</f>
        <v/>
      </c>
      <c r="O74">
        <f>IF(N74="","",COUNTIFS(Fuel!$C$6:$C$605,C74,Fuel!$N$6:$N$605,"&gt;"&amp;N74))</f>
        <v/>
      </c>
      <c r="P74">
        <f>IF(OR(N74="",G74=""),"",COUNTIFS(Fuel!$C$6:$C$605,C74,Fuel!$G$6:$G$605,"&lt;&gt;",Fuel!$N$6:$N$605,"&lt;"&amp;N74))</f>
        <v/>
      </c>
      <c r="R74">
        <f>IF(OR(P74="",N(P74)=0),"",SUMIFS(Fuel!$D$6:$D$605,Fuel!$C$6:$C$605,C74,Fuel!$P$6:$P$605,P74-1))</f>
        <v/>
      </c>
    </row>
    <row r="75">
      <c r="A75" s="1" t="n"/>
      <c r="B75" s="29" t="n"/>
      <c r="C75" s="24" t="n"/>
      <c r="D75" s="28" t="n"/>
      <c r="E75" s="33" t="n"/>
      <c r="F75" s="34" t="n"/>
      <c r="G75" s="27" t="n"/>
      <c r="H75" s="14">
        <f>IF(OR(N(E75)=0,F75=""),"",F75/E75)</f>
        <v/>
      </c>
      <c r="I75" s="11">
        <f>IF(R75="","",D75-R75)</f>
        <v/>
      </c>
      <c r="J75" s="35">
        <f>IF(R75="","",SUMIFS(Fuel!$E$6:$E$605,Fuel!$C$6:$C$605,C75,Fuel!$D$6:$D$605,"&gt;"&amp;R75,Fuel!$D$6:$D$605,"&lt;="&amp;D75))</f>
        <v/>
      </c>
      <c r="K75" s="36">
        <f>IF(OR(I75="",N(I75)=0),"",J75/I75*100)</f>
        <v/>
      </c>
      <c r="L75" s="36">
        <f>IF(OR(J75="",N(J75)=0),"",I75/J75)</f>
        <v/>
      </c>
      <c r="M75" s="1" t="n"/>
      <c r="N75">
        <f>IF(OR(C75="",N(D75)=0),"",D75+ROW()/10000000)</f>
        <v/>
      </c>
      <c r="O75">
        <f>IF(N75="","",COUNTIFS(Fuel!$C$6:$C$605,C75,Fuel!$N$6:$N$605,"&gt;"&amp;N75))</f>
        <v/>
      </c>
      <c r="P75">
        <f>IF(OR(N75="",G75=""),"",COUNTIFS(Fuel!$C$6:$C$605,C75,Fuel!$G$6:$G$605,"&lt;&gt;",Fuel!$N$6:$N$605,"&lt;"&amp;N75))</f>
        <v/>
      </c>
      <c r="R75">
        <f>IF(OR(P75="",N(P75)=0),"",SUMIFS(Fuel!$D$6:$D$605,Fuel!$C$6:$C$605,C75,Fuel!$P$6:$P$605,P75-1))</f>
        <v/>
      </c>
    </row>
    <row r="76">
      <c r="A76" s="1" t="n"/>
      <c r="B76" s="29" t="n"/>
      <c r="C76" s="24" t="n"/>
      <c r="D76" s="28" t="n"/>
      <c r="E76" s="33" t="n"/>
      <c r="F76" s="34" t="n"/>
      <c r="G76" s="27" t="n"/>
      <c r="H76" s="14">
        <f>IF(OR(N(E76)=0,F76=""),"",F76/E76)</f>
        <v/>
      </c>
      <c r="I76" s="11">
        <f>IF(R76="","",D76-R76)</f>
        <v/>
      </c>
      <c r="J76" s="35">
        <f>IF(R76="","",SUMIFS(Fuel!$E$6:$E$605,Fuel!$C$6:$C$605,C76,Fuel!$D$6:$D$605,"&gt;"&amp;R76,Fuel!$D$6:$D$605,"&lt;="&amp;D76))</f>
        <v/>
      </c>
      <c r="K76" s="36">
        <f>IF(OR(I76="",N(I76)=0),"",J76/I76*100)</f>
        <v/>
      </c>
      <c r="L76" s="36">
        <f>IF(OR(J76="",N(J76)=0),"",I76/J76)</f>
        <v/>
      </c>
      <c r="M76" s="1" t="n"/>
      <c r="N76">
        <f>IF(OR(C76="",N(D76)=0),"",D76+ROW()/10000000)</f>
        <v/>
      </c>
      <c r="O76">
        <f>IF(N76="","",COUNTIFS(Fuel!$C$6:$C$605,C76,Fuel!$N$6:$N$605,"&gt;"&amp;N76))</f>
        <v/>
      </c>
      <c r="P76">
        <f>IF(OR(N76="",G76=""),"",COUNTIFS(Fuel!$C$6:$C$605,C76,Fuel!$G$6:$G$605,"&lt;&gt;",Fuel!$N$6:$N$605,"&lt;"&amp;N76))</f>
        <v/>
      </c>
      <c r="R76">
        <f>IF(OR(P76="",N(P76)=0),"",SUMIFS(Fuel!$D$6:$D$605,Fuel!$C$6:$C$605,C76,Fuel!$P$6:$P$605,P76-1))</f>
        <v/>
      </c>
    </row>
    <row r="77">
      <c r="A77" s="1" t="n"/>
      <c r="B77" s="29" t="n"/>
      <c r="C77" s="24" t="n"/>
      <c r="D77" s="28" t="n"/>
      <c r="E77" s="33" t="n"/>
      <c r="F77" s="34" t="n"/>
      <c r="G77" s="27" t="n"/>
      <c r="H77" s="14">
        <f>IF(OR(N(E77)=0,F77=""),"",F77/E77)</f>
        <v/>
      </c>
      <c r="I77" s="11">
        <f>IF(R77="","",D77-R77)</f>
        <v/>
      </c>
      <c r="J77" s="35">
        <f>IF(R77="","",SUMIFS(Fuel!$E$6:$E$605,Fuel!$C$6:$C$605,C77,Fuel!$D$6:$D$605,"&gt;"&amp;R77,Fuel!$D$6:$D$605,"&lt;="&amp;D77))</f>
        <v/>
      </c>
      <c r="K77" s="36">
        <f>IF(OR(I77="",N(I77)=0),"",J77/I77*100)</f>
        <v/>
      </c>
      <c r="L77" s="36">
        <f>IF(OR(J77="",N(J77)=0),"",I77/J77)</f>
        <v/>
      </c>
      <c r="M77" s="1" t="n"/>
      <c r="N77">
        <f>IF(OR(C77="",N(D77)=0),"",D77+ROW()/10000000)</f>
        <v/>
      </c>
      <c r="O77">
        <f>IF(N77="","",COUNTIFS(Fuel!$C$6:$C$605,C77,Fuel!$N$6:$N$605,"&gt;"&amp;N77))</f>
        <v/>
      </c>
      <c r="P77">
        <f>IF(OR(N77="",G77=""),"",COUNTIFS(Fuel!$C$6:$C$605,C77,Fuel!$G$6:$G$605,"&lt;&gt;",Fuel!$N$6:$N$605,"&lt;"&amp;N77))</f>
        <v/>
      </c>
      <c r="R77">
        <f>IF(OR(P77="",N(P77)=0),"",SUMIFS(Fuel!$D$6:$D$605,Fuel!$C$6:$C$605,C77,Fuel!$P$6:$P$605,P77-1))</f>
        <v/>
      </c>
    </row>
    <row r="78">
      <c r="A78" s="1" t="n"/>
      <c r="B78" s="29" t="n"/>
      <c r="C78" s="24" t="n"/>
      <c r="D78" s="28" t="n"/>
      <c r="E78" s="33" t="n"/>
      <c r="F78" s="34" t="n"/>
      <c r="G78" s="27" t="n"/>
      <c r="H78" s="14">
        <f>IF(OR(N(E78)=0,F78=""),"",F78/E78)</f>
        <v/>
      </c>
      <c r="I78" s="11">
        <f>IF(R78="","",D78-R78)</f>
        <v/>
      </c>
      <c r="J78" s="35">
        <f>IF(R78="","",SUMIFS(Fuel!$E$6:$E$605,Fuel!$C$6:$C$605,C78,Fuel!$D$6:$D$605,"&gt;"&amp;R78,Fuel!$D$6:$D$605,"&lt;="&amp;D78))</f>
        <v/>
      </c>
      <c r="K78" s="36">
        <f>IF(OR(I78="",N(I78)=0),"",J78/I78*100)</f>
        <v/>
      </c>
      <c r="L78" s="36">
        <f>IF(OR(J78="",N(J78)=0),"",I78/J78)</f>
        <v/>
      </c>
      <c r="M78" s="1" t="n"/>
      <c r="N78">
        <f>IF(OR(C78="",N(D78)=0),"",D78+ROW()/10000000)</f>
        <v/>
      </c>
      <c r="O78">
        <f>IF(N78="","",COUNTIFS(Fuel!$C$6:$C$605,C78,Fuel!$N$6:$N$605,"&gt;"&amp;N78))</f>
        <v/>
      </c>
      <c r="P78">
        <f>IF(OR(N78="",G78=""),"",COUNTIFS(Fuel!$C$6:$C$605,C78,Fuel!$G$6:$G$605,"&lt;&gt;",Fuel!$N$6:$N$605,"&lt;"&amp;N78))</f>
        <v/>
      </c>
      <c r="R78">
        <f>IF(OR(P78="",N(P78)=0),"",SUMIFS(Fuel!$D$6:$D$605,Fuel!$C$6:$C$605,C78,Fuel!$P$6:$P$605,P78-1))</f>
        <v/>
      </c>
    </row>
    <row r="79">
      <c r="A79" s="1" t="n"/>
      <c r="B79" s="29" t="n"/>
      <c r="C79" s="24" t="n"/>
      <c r="D79" s="28" t="n"/>
      <c r="E79" s="33" t="n"/>
      <c r="F79" s="34" t="n"/>
      <c r="G79" s="27" t="n"/>
      <c r="H79" s="14">
        <f>IF(OR(N(E79)=0,F79=""),"",F79/E79)</f>
        <v/>
      </c>
      <c r="I79" s="11">
        <f>IF(R79="","",D79-R79)</f>
        <v/>
      </c>
      <c r="J79" s="35">
        <f>IF(R79="","",SUMIFS(Fuel!$E$6:$E$605,Fuel!$C$6:$C$605,C79,Fuel!$D$6:$D$605,"&gt;"&amp;R79,Fuel!$D$6:$D$605,"&lt;="&amp;D79))</f>
        <v/>
      </c>
      <c r="K79" s="36">
        <f>IF(OR(I79="",N(I79)=0),"",J79/I79*100)</f>
        <v/>
      </c>
      <c r="L79" s="36">
        <f>IF(OR(J79="",N(J79)=0),"",I79/J79)</f>
        <v/>
      </c>
      <c r="M79" s="1" t="n"/>
      <c r="N79">
        <f>IF(OR(C79="",N(D79)=0),"",D79+ROW()/10000000)</f>
        <v/>
      </c>
      <c r="O79">
        <f>IF(N79="","",COUNTIFS(Fuel!$C$6:$C$605,C79,Fuel!$N$6:$N$605,"&gt;"&amp;N79))</f>
        <v/>
      </c>
      <c r="P79">
        <f>IF(OR(N79="",G79=""),"",COUNTIFS(Fuel!$C$6:$C$605,C79,Fuel!$G$6:$G$605,"&lt;&gt;",Fuel!$N$6:$N$605,"&lt;"&amp;N79))</f>
        <v/>
      </c>
      <c r="R79">
        <f>IF(OR(P79="",N(P79)=0),"",SUMIFS(Fuel!$D$6:$D$605,Fuel!$C$6:$C$605,C79,Fuel!$P$6:$P$605,P79-1))</f>
        <v/>
      </c>
    </row>
    <row r="80">
      <c r="A80" s="1" t="n"/>
      <c r="B80" s="29" t="n"/>
      <c r="C80" s="24" t="n"/>
      <c r="D80" s="28" t="n"/>
      <c r="E80" s="33" t="n"/>
      <c r="F80" s="34" t="n"/>
      <c r="G80" s="27" t="n"/>
      <c r="H80" s="14">
        <f>IF(OR(N(E80)=0,F80=""),"",F80/E80)</f>
        <v/>
      </c>
      <c r="I80" s="11">
        <f>IF(R80="","",D80-R80)</f>
        <v/>
      </c>
      <c r="J80" s="35">
        <f>IF(R80="","",SUMIFS(Fuel!$E$6:$E$605,Fuel!$C$6:$C$605,C80,Fuel!$D$6:$D$605,"&gt;"&amp;R80,Fuel!$D$6:$D$605,"&lt;="&amp;D80))</f>
        <v/>
      </c>
      <c r="K80" s="36">
        <f>IF(OR(I80="",N(I80)=0),"",J80/I80*100)</f>
        <v/>
      </c>
      <c r="L80" s="36">
        <f>IF(OR(J80="",N(J80)=0),"",I80/J80)</f>
        <v/>
      </c>
      <c r="M80" s="1" t="n"/>
      <c r="N80">
        <f>IF(OR(C80="",N(D80)=0),"",D80+ROW()/10000000)</f>
        <v/>
      </c>
      <c r="O80">
        <f>IF(N80="","",COUNTIFS(Fuel!$C$6:$C$605,C80,Fuel!$N$6:$N$605,"&gt;"&amp;N80))</f>
        <v/>
      </c>
      <c r="P80">
        <f>IF(OR(N80="",G80=""),"",COUNTIFS(Fuel!$C$6:$C$605,C80,Fuel!$G$6:$G$605,"&lt;&gt;",Fuel!$N$6:$N$605,"&lt;"&amp;N80))</f>
        <v/>
      </c>
      <c r="R80">
        <f>IF(OR(P80="",N(P80)=0),"",SUMIFS(Fuel!$D$6:$D$605,Fuel!$C$6:$C$605,C80,Fuel!$P$6:$P$605,P80-1))</f>
        <v/>
      </c>
    </row>
    <row r="81">
      <c r="A81" s="1" t="n"/>
      <c r="B81" s="29" t="n"/>
      <c r="C81" s="24" t="n"/>
      <c r="D81" s="28" t="n"/>
      <c r="E81" s="33" t="n"/>
      <c r="F81" s="34" t="n"/>
      <c r="G81" s="27" t="n"/>
      <c r="H81" s="14">
        <f>IF(OR(N(E81)=0,F81=""),"",F81/E81)</f>
        <v/>
      </c>
      <c r="I81" s="11">
        <f>IF(R81="","",D81-R81)</f>
        <v/>
      </c>
      <c r="J81" s="35">
        <f>IF(R81="","",SUMIFS(Fuel!$E$6:$E$605,Fuel!$C$6:$C$605,C81,Fuel!$D$6:$D$605,"&gt;"&amp;R81,Fuel!$D$6:$D$605,"&lt;="&amp;D81))</f>
        <v/>
      </c>
      <c r="K81" s="36">
        <f>IF(OR(I81="",N(I81)=0),"",J81/I81*100)</f>
        <v/>
      </c>
      <c r="L81" s="36">
        <f>IF(OR(J81="",N(J81)=0),"",I81/J81)</f>
        <v/>
      </c>
      <c r="M81" s="1" t="n"/>
      <c r="N81">
        <f>IF(OR(C81="",N(D81)=0),"",D81+ROW()/10000000)</f>
        <v/>
      </c>
      <c r="O81">
        <f>IF(N81="","",COUNTIFS(Fuel!$C$6:$C$605,C81,Fuel!$N$6:$N$605,"&gt;"&amp;N81))</f>
        <v/>
      </c>
      <c r="P81">
        <f>IF(OR(N81="",G81=""),"",COUNTIFS(Fuel!$C$6:$C$605,C81,Fuel!$G$6:$G$605,"&lt;&gt;",Fuel!$N$6:$N$605,"&lt;"&amp;N81))</f>
        <v/>
      </c>
      <c r="R81">
        <f>IF(OR(P81="",N(P81)=0),"",SUMIFS(Fuel!$D$6:$D$605,Fuel!$C$6:$C$605,C81,Fuel!$P$6:$P$605,P81-1))</f>
        <v/>
      </c>
    </row>
    <row r="82">
      <c r="A82" s="1" t="n"/>
      <c r="B82" s="29" t="n"/>
      <c r="C82" s="24" t="n"/>
      <c r="D82" s="28" t="n"/>
      <c r="E82" s="33" t="n"/>
      <c r="F82" s="34" t="n"/>
      <c r="G82" s="27" t="n"/>
      <c r="H82" s="14">
        <f>IF(OR(N(E82)=0,F82=""),"",F82/E82)</f>
        <v/>
      </c>
      <c r="I82" s="11">
        <f>IF(R82="","",D82-R82)</f>
        <v/>
      </c>
      <c r="J82" s="35">
        <f>IF(R82="","",SUMIFS(Fuel!$E$6:$E$605,Fuel!$C$6:$C$605,C82,Fuel!$D$6:$D$605,"&gt;"&amp;R82,Fuel!$D$6:$D$605,"&lt;="&amp;D82))</f>
        <v/>
      </c>
      <c r="K82" s="36">
        <f>IF(OR(I82="",N(I82)=0),"",J82/I82*100)</f>
        <v/>
      </c>
      <c r="L82" s="36">
        <f>IF(OR(J82="",N(J82)=0),"",I82/J82)</f>
        <v/>
      </c>
      <c r="M82" s="1" t="n"/>
      <c r="N82">
        <f>IF(OR(C82="",N(D82)=0),"",D82+ROW()/10000000)</f>
        <v/>
      </c>
      <c r="O82">
        <f>IF(N82="","",COUNTIFS(Fuel!$C$6:$C$605,C82,Fuel!$N$6:$N$605,"&gt;"&amp;N82))</f>
        <v/>
      </c>
      <c r="P82">
        <f>IF(OR(N82="",G82=""),"",COUNTIFS(Fuel!$C$6:$C$605,C82,Fuel!$G$6:$G$605,"&lt;&gt;",Fuel!$N$6:$N$605,"&lt;"&amp;N82))</f>
        <v/>
      </c>
      <c r="R82">
        <f>IF(OR(P82="",N(P82)=0),"",SUMIFS(Fuel!$D$6:$D$605,Fuel!$C$6:$C$605,C82,Fuel!$P$6:$P$605,P82-1))</f>
        <v/>
      </c>
    </row>
    <row r="83">
      <c r="A83" s="1" t="n"/>
      <c r="B83" s="29" t="n"/>
      <c r="C83" s="24" t="n"/>
      <c r="D83" s="28" t="n"/>
      <c r="E83" s="33" t="n"/>
      <c r="F83" s="34" t="n"/>
      <c r="G83" s="27" t="n"/>
      <c r="H83" s="14">
        <f>IF(OR(N(E83)=0,F83=""),"",F83/E83)</f>
        <v/>
      </c>
      <c r="I83" s="11">
        <f>IF(R83="","",D83-R83)</f>
        <v/>
      </c>
      <c r="J83" s="35">
        <f>IF(R83="","",SUMIFS(Fuel!$E$6:$E$605,Fuel!$C$6:$C$605,C83,Fuel!$D$6:$D$605,"&gt;"&amp;R83,Fuel!$D$6:$D$605,"&lt;="&amp;D83))</f>
        <v/>
      </c>
      <c r="K83" s="36">
        <f>IF(OR(I83="",N(I83)=0),"",J83/I83*100)</f>
        <v/>
      </c>
      <c r="L83" s="36">
        <f>IF(OR(J83="",N(J83)=0),"",I83/J83)</f>
        <v/>
      </c>
      <c r="M83" s="1" t="n"/>
      <c r="N83">
        <f>IF(OR(C83="",N(D83)=0),"",D83+ROW()/10000000)</f>
        <v/>
      </c>
      <c r="O83">
        <f>IF(N83="","",COUNTIFS(Fuel!$C$6:$C$605,C83,Fuel!$N$6:$N$605,"&gt;"&amp;N83))</f>
        <v/>
      </c>
      <c r="P83">
        <f>IF(OR(N83="",G83=""),"",COUNTIFS(Fuel!$C$6:$C$605,C83,Fuel!$G$6:$G$605,"&lt;&gt;",Fuel!$N$6:$N$605,"&lt;"&amp;N83))</f>
        <v/>
      </c>
      <c r="R83">
        <f>IF(OR(P83="",N(P83)=0),"",SUMIFS(Fuel!$D$6:$D$605,Fuel!$C$6:$C$605,C83,Fuel!$P$6:$P$605,P83-1))</f>
        <v/>
      </c>
    </row>
    <row r="84">
      <c r="A84" s="1" t="n"/>
      <c r="B84" s="29" t="n"/>
      <c r="C84" s="24" t="n"/>
      <c r="D84" s="28" t="n"/>
      <c r="E84" s="33" t="n"/>
      <c r="F84" s="34" t="n"/>
      <c r="G84" s="27" t="n"/>
      <c r="H84" s="14">
        <f>IF(OR(N(E84)=0,F84=""),"",F84/E84)</f>
        <v/>
      </c>
      <c r="I84" s="11">
        <f>IF(R84="","",D84-R84)</f>
        <v/>
      </c>
      <c r="J84" s="35">
        <f>IF(R84="","",SUMIFS(Fuel!$E$6:$E$605,Fuel!$C$6:$C$605,C84,Fuel!$D$6:$D$605,"&gt;"&amp;R84,Fuel!$D$6:$D$605,"&lt;="&amp;D84))</f>
        <v/>
      </c>
      <c r="K84" s="36">
        <f>IF(OR(I84="",N(I84)=0),"",J84/I84*100)</f>
        <v/>
      </c>
      <c r="L84" s="36">
        <f>IF(OR(J84="",N(J84)=0),"",I84/J84)</f>
        <v/>
      </c>
      <c r="M84" s="1" t="n"/>
      <c r="N84">
        <f>IF(OR(C84="",N(D84)=0),"",D84+ROW()/10000000)</f>
        <v/>
      </c>
      <c r="O84">
        <f>IF(N84="","",COUNTIFS(Fuel!$C$6:$C$605,C84,Fuel!$N$6:$N$605,"&gt;"&amp;N84))</f>
        <v/>
      </c>
      <c r="P84">
        <f>IF(OR(N84="",G84=""),"",COUNTIFS(Fuel!$C$6:$C$605,C84,Fuel!$G$6:$G$605,"&lt;&gt;",Fuel!$N$6:$N$605,"&lt;"&amp;N84))</f>
        <v/>
      </c>
      <c r="R84">
        <f>IF(OR(P84="",N(P84)=0),"",SUMIFS(Fuel!$D$6:$D$605,Fuel!$C$6:$C$605,C84,Fuel!$P$6:$P$605,P84-1))</f>
        <v/>
      </c>
    </row>
    <row r="85">
      <c r="A85" s="1" t="n"/>
      <c r="B85" s="29" t="n"/>
      <c r="C85" s="24" t="n"/>
      <c r="D85" s="28" t="n"/>
      <c r="E85" s="33" t="n"/>
      <c r="F85" s="34" t="n"/>
      <c r="G85" s="27" t="n"/>
      <c r="H85" s="14">
        <f>IF(OR(N(E85)=0,F85=""),"",F85/E85)</f>
        <v/>
      </c>
      <c r="I85" s="11">
        <f>IF(R85="","",D85-R85)</f>
        <v/>
      </c>
      <c r="J85" s="35">
        <f>IF(R85="","",SUMIFS(Fuel!$E$6:$E$605,Fuel!$C$6:$C$605,C85,Fuel!$D$6:$D$605,"&gt;"&amp;R85,Fuel!$D$6:$D$605,"&lt;="&amp;D85))</f>
        <v/>
      </c>
      <c r="K85" s="36">
        <f>IF(OR(I85="",N(I85)=0),"",J85/I85*100)</f>
        <v/>
      </c>
      <c r="L85" s="36">
        <f>IF(OR(J85="",N(J85)=0),"",I85/J85)</f>
        <v/>
      </c>
      <c r="M85" s="1" t="n"/>
      <c r="N85">
        <f>IF(OR(C85="",N(D85)=0),"",D85+ROW()/10000000)</f>
        <v/>
      </c>
      <c r="O85">
        <f>IF(N85="","",COUNTIFS(Fuel!$C$6:$C$605,C85,Fuel!$N$6:$N$605,"&gt;"&amp;N85))</f>
        <v/>
      </c>
      <c r="P85">
        <f>IF(OR(N85="",G85=""),"",COUNTIFS(Fuel!$C$6:$C$605,C85,Fuel!$G$6:$G$605,"&lt;&gt;",Fuel!$N$6:$N$605,"&lt;"&amp;N85))</f>
        <v/>
      </c>
      <c r="R85">
        <f>IF(OR(P85="",N(P85)=0),"",SUMIFS(Fuel!$D$6:$D$605,Fuel!$C$6:$C$605,C85,Fuel!$P$6:$P$605,P85-1))</f>
        <v/>
      </c>
    </row>
    <row r="86">
      <c r="A86" s="1" t="n"/>
      <c r="B86" s="29" t="n"/>
      <c r="C86" s="24" t="n"/>
      <c r="D86" s="28" t="n"/>
      <c r="E86" s="33" t="n"/>
      <c r="F86" s="34" t="n"/>
      <c r="G86" s="27" t="n"/>
      <c r="H86" s="14">
        <f>IF(OR(N(E86)=0,F86=""),"",F86/E86)</f>
        <v/>
      </c>
      <c r="I86" s="11">
        <f>IF(R86="","",D86-R86)</f>
        <v/>
      </c>
      <c r="J86" s="35">
        <f>IF(R86="","",SUMIFS(Fuel!$E$6:$E$605,Fuel!$C$6:$C$605,C86,Fuel!$D$6:$D$605,"&gt;"&amp;R86,Fuel!$D$6:$D$605,"&lt;="&amp;D86))</f>
        <v/>
      </c>
      <c r="K86" s="36">
        <f>IF(OR(I86="",N(I86)=0),"",J86/I86*100)</f>
        <v/>
      </c>
      <c r="L86" s="36">
        <f>IF(OR(J86="",N(J86)=0),"",I86/J86)</f>
        <v/>
      </c>
      <c r="M86" s="1" t="n"/>
      <c r="N86">
        <f>IF(OR(C86="",N(D86)=0),"",D86+ROW()/10000000)</f>
        <v/>
      </c>
      <c r="O86">
        <f>IF(N86="","",COUNTIFS(Fuel!$C$6:$C$605,C86,Fuel!$N$6:$N$605,"&gt;"&amp;N86))</f>
        <v/>
      </c>
      <c r="P86">
        <f>IF(OR(N86="",G86=""),"",COUNTIFS(Fuel!$C$6:$C$605,C86,Fuel!$G$6:$G$605,"&lt;&gt;",Fuel!$N$6:$N$605,"&lt;"&amp;N86))</f>
        <v/>
      </c>
      <c r="R86">
        <f>IF(OR(P86="",N(P86)=0),"",SUMIFS(Fuel!$D$6:$D$605,Fuel!$C$6:$C$605,C86,Fuel!$P$6:$P$605,P86-1))</f>
        <v/>
      </c>
    </row>
    <row r="87">
      <c r="A87" s="1" t="n"/>
      <c r="B87" s="29" t="n"/>
      <c r="C87" s="24" t="n"/>
      <c r="D87" s="28" t="n"/>
      <c r="E87" s="33" t="n"/>
      <c r="F87" s="34" t="n"/>
      <c r="G87" s="27" t="n"/>
      <c r="H87" s="14">
        <f>IF(OR(N(E87)=0,F87=""),"",F87/E87)</f>
        <v/>
      </c>
      <c r="I87" s="11">
        <f>IF(R87="","",D87-R87)</f>
        <v/>
      </c>
      <c r="J87" s="35">
        <f>IF(R87="","",SUMIFS(Fuel!$E$6:$E$605,Fuel!$C$6:$C$605,C87,Fuel!$D$6:$D$605,"&gt;"&amp;R87,Fuel!$D$6:$D$605,"&lt;="&amp;D87))</f>
        <v/>
      </c>
      <c r="K87" s="36">
        <f>IF(OR(I87="",N(I87)=0),"",J87/I87*100)</f>
        <v/>
      </c>
      <c r="L87" s="36">
        <f>IF(OR(J87="",N(J87)=0),"",I87/J87)</f>
        <v/>
      </c>
      <c r="M87" s="1" t="n"/>
      <c r="N87">
        <f>IF(OR(C87="",N(D87)=0),"",D87+ROW()/10000000)</f>
        <v/>
      </c>
      <c r="O87">
        <f>IF(N87="","",COUNTIFS(Fuel!$C$6:$C$605,C87,Fuel!$N$6:$N$605,"&gt;"&amp;N87))</f>
        <v/>
      </c>
      <c r="P87">
        <f>IF(OR(N87="",G87=""),"",COUNTIFS(Fuel!$C$6:$C$605,C87,Fuel!$G$6:$G$605,"&lt;&gt;",Fuel!$N$6:$N$605,"&lt;"&amp;N87))</f>
        <v/>
      </c>
      <c r="R87">
        <f>IF(OR(P87="",N(P87)=0),"",SUMIFS(Fuel!$D$6:$D$605,Fuel!$C$6:$C$605,C87,Fuel!$P$6:$P$605,P87-1))</f>
        <v/>
      </c>
    </row>
    <row r="88">
      <c r="A88" s="1" t="n"/>
      <c r="B88" s="29" t="n"/>
      <c r="C88" s="24" t="n"/>
      <c r="D88" s="28" t="n"/>
      <c r="E88" s="33" t="n"/>
      <c r="F88" s="34" t="n"/>
      <c r="G88" s="27" t="n"/>
      <c r="H88" s="14">
        <f>IF(OR(N(E88)=0,F88=""),"",F88/E88)</f>
        <v/>
      </c>
      <c r="I88" s="11">
        <f>IF(R88="","",D88-R88)</f>
        <v/>
      </c>
      <c r="J88" s="35">
        <f>IF(R88="","",SUMIFS(Fuel!$E$6:$E$605,Fuel!$C$6:$C$605,C88,Fuel!$D$6:$D$605,"&gt;"&amp;R88,Fuel!$D$6:$D$605,"&lt;="&amp;D88))</f>
        <v/>
      </c>
      <c r="K88" s="36">
        <f>IF(OR(I88="",N(I88)=0),"",J88/I88*100)</f>
        <v/>
      </c>
      <c r="L88" s="36">
        <f>IF(OR(J88="",N(J88)=0),"",I88/J88)</f>
        <v/>
      </c>
      <c r="M88" s="1" t="n"/>
      <c r="N88">
        <f>IF(OR(C88="",N(D88)=0),"",D88+ROW()/10000000)</f>
        <v/>
      </c>
      <c r="O88">
        <f>IF(N88="","",COUNTIFS(Fuel!$C$6:$C$605,C88,Fuel!$N$6:$N$605,"&gt;"&amp;N88))</f>
        <v/>
      </c>
      <c r="P88">
        <f>IF(OR(N88="",G88=""),"",COUNTIFS(Fuel!$C$6:$C$605,C88,Fuel!$G$6:$G$605,"&lt;&gt;",Fuel!$N$6:$N$605,"&lt;"&amp;N88))</f>
        <v/>
      </c>
      <c r="R88">
        <f>IF(OR(P88="",N(P88)=0),"",SUMIFS(Fuel!$D$6:$D$605,Fuel!$C$6:$C$605,C88,Fuel!$P$6:$P$605,P88-1))</f>
        <v/>
      </c>
    </row>
    <row r="89">
      <c r="A89" s="1" t="n"/>
      <c r="B89" s="29" t="n"/>
      <c r="C89" s="24" t="n"/>
      <c r="D89" s="28" t="n"/>
      <c r="E89" s="33" t="n"/>
      <c r="F89" s="34" t="n"/>
      <c r="G89" s="27" t="n"/>
      <c r="H89" s="14">
        <f>IF(OR(N(E89)=0,F89=""),"",F89/E89)</f>
        <v/>
      </c>
      <c r="I89" s="11">
        <f>IF(R89="","",D89-R89)</f>
        <v/>
      </c>
      <c r="J89" s="35">
        <f>IF(R89="","",SUMIFS(Fuel!$E$6:$E$605,Fuel!$C$6:$C$605,C89,Fuel!$D$6:$D$605,"&gt;"&amp;R89,Fuel!$D$6:$D$605,"&lt;="&amp;D89))</f>
        <v/>
      </c>
      <c r="K89" s="36">
        <f>IF(OR(I89="",N(I89)=0),"",J89/I89*100)</f>
        <v/>
      </c>
      <c r="L89" s="36">
        <f>IF(OR(J89="",N(J89)=0),"",I89/J89)</f>
        <v/>
      </c>
      <c r="M89" s="1" t="n"/>
      <c r="N89">
        <f>IF(OR(C89="",N(D89)=0),"",D89+ROW()/10000000)</f>
        <v/>
      </c>
      <c r="O89">
        <f>IF(N89="","",COUNTIFS(Fuel!$C$6:$C$605,C89,Fuel!$N$6:$N$605,"&gt;"&amp;N89))</f>
        <v/>
      </c>
      <c r="P89">
        <f>IF(OR(N89="",G89=""),"",COUNTIFS(Fuel!$C$6:$C$605,C89,Fuel!$G$6:$G$605,"&lt;&gt;",Fuel!$N$6:$N$605,"&lt;"&amp;N89))</f>
        <v/>
      </c>
      <c r="R89">
        <f>IF(OR(P89="",N(P89)=0),"",SUMIFS(Fuel!$D$6:$D$605,Fuel!$C$6:$C$605,C89,Fuel!$P$6:$P$605,P89-1))</f>
        <v/>
      </c>
    </row>
    <row r="90">
      <c r="A90" s="1" t="n"/>
      <c r="B90" s="29" t="n"/>
      <c r="C90" s="24" t="n"/>
      <c r="D90" s="28" t="n"/>
      <c r="E90" s="33" t="n"/>
      <c r="F90" s="34" t="n"/>
      <c r="G90" s="27" t="n"/>
      <c r="H90" s="14">
        <f>IF(OR(N(E90)=0,F90=""),"",F90/E90)</f>
        <v/>
      </c>
      <c r="I90" s="11">
        <f>IF(R90="","",D90-R90)</f>
        <v/>
      </c>
      <c r="J90" s="35">
        <f>IF(R90="","",SUMIFS(Fuel!$E$6:$E$605,Fuel!$C$6:$C$605,C90,Fuel!$D$6:$D$605,"&gt;"&amp;R90,Fuel!$D$6:$D$605,"&lt;="&amp;D90))</f>
        <v/>
      </c>
      <c r="K90" s="36">
        <f>IF(OR(I90="",N(I90)=0),"",J90/I90*100)</f>
        <v/>
      </c>
      <c r="L90" s="36">
        <f>IF(OR(J90="",N(J90)=0),"",I90/J90)</f>
        <v/>
      </c>
      <c r="M90" s="1" t="n"/>
      <c r="N90">
        <f>IF(OR(C90="",N(D90)=0),"",D90+ROW()/10000000)</f>
        <v/>
      </c>
      <c r="O90">
        <f>IF(N90="","",COUNTIFS(Fuel!$C$6:$C$605,C90,Fuel!$N$6:$N$605,"&gt;"&amp;N90))</f>
        <v/>
      </c>
      <c r="P90">
        <f>IF(OR(N90="",G90=""),"",COUNTIFS(Fuel!$C$6:$C$605,C90,Fuel!$G$6:$G$605,"&lt;&gt;",Fuel!$N$6:$N$605,"&lt;"&amp;N90))</f>
        <v/>
      </c>
      <c r="R90">
        <f>IF(OR(P90="",N(P90)=0),"",SUMIFS(Fuel!$D$6:$D$605,Fuel!$C$6:$C$605,C90,Fuel!$P$6:$P$605,P90-1))</f>
        <v/>
      </c>
    </row>
    <row r="91">
      <c r="A91" s="1" t="n"/>
      <c r="B91" s="29" t="n"/>
      <c r="C91" s="24" t="n"/>
      <c r="D91" s="28" t="n"/>
      <c r="E91" s="33" t="n"/>
      <c r="F91" s="34" t="n"/>
      <c r="G91" s="27" t="n"/>
      <c r="H91" s="14">
        <f>IF(OR(N(E91)=0,F91=""),"",F91/E91)</f>
        <v/>
      </c>
      <c r="I91" s="11">
        <f>IF(R91="","",D91-R91)</f>
        <v/>
      </c>
      <c r="J91" s="35">
        <f>IF(R91="","",SUMIFS(Fuel!$E$6:$E$605,Fuel!$C$6:$C$605,C91,Fuel!$D$6:$D$605,"&gt;"&amp;R91,Fuel!$D$6:$D$605,"&lt;="&amp;D91))</f>
        <v/>
      </c>
      <c r="K91" s="36">
        <f>IF(OR(I91="",N(I91)=0),"",J91/I91*100)</f>
        <v/>
      </c>
      <c r="L91" s="36">
        <f>IF(OR(J91="",N(J91)=0),"",I91/J91)</f>
        <v/>
      </c>
      <c r="M91" s="1" t="n"/>
      <c r="N91">
        <f>IF(OR(C91="",N(D91)=0),"",D91+ROW()/10000000)</f>
        <v/>
      </c>
      <c r="O91">
        <f>IF(N91="","",COUNTIFS(Fuel!$C$6:$C$605,C91,Fuel!$N$6:$N$605,"&gt;"&amp;N91))</f>
        <v/>
      </c>
      <c r="P91">
        <f>IF(OR(N91="",G91=""),"",COUNTIFS(Fuel!$C$6:$C$605,C91,Fuel!$G$6:$G$605,"&lt;&gt;",Fuel!$N$6:$N$605,"&lt;"&amp;N91))</f>
        <v/>
      </c>
      <c r="R91">
        <f>IF(OR(P91="",N(P91)=0),"",SUMIFS(Fuel!$D$6:$D$605,Fuel!$C$6:$C$605,C91,Fuel!$P$6:$P$605,P91-1))</f>
        <v/>
      </c>
    </row>
    <row r="92">
      <c r="A92" s="1" t="n"/>
      <c r="B92" s="29" t="n"/>
      <c r="C92" s="24" t="n"/>
      <c r="D92" s="28" t="n"/>
      <c r="E92" s="33" t="n"/>
      <c r="F92" s="34" t="n"/>
      <c r="G92" s="27" t="n"/>
      <c r="H92" s="14">
        <f>IF(OR(N(E92)=0,F92=""),"",F92/E92)</f>
        <v/>
      </c>
      <c r="I92" s="11">
        <f>IF(R92="","",D92-R92)</f>
        <v/>
      </c>
      <c r="J92" s="35">
        <f>IF(R92="","",SUMIFS(Fuel!$E$6:$E$605,Fuel!$C$6:$C$605,C92,Fuel!$D$6:$D$605,"&gt;"&amp;R92,Fuel!$D$6:$D$605,"&lt;="&amp;D92))</f>
        <v/>
      </c>
      <c r="K92" s="36">
        <f>IF(OR(I92="",N(I92)=0),"",J92/I92*100)</f>
        <v/>
      </c>
      <c r="L92" s="36">
        <f>IF(OR(J92="",N(J92)=0),"",I92/J92)</f>
        <v/>
      </c>
      <c r="M92" s="1" t="n"/>
      <c r="N92">
        <f>IF(OR(C92="",N(D92)=0),"",D92+ROW()/10000000)</f>
        <v/>
      </c>
      <c r="O92">
        <f>IF(N92="","",COUNTIFS(Fuel!$C$6:$C$605,C92,Fuel!$N$6:$N$605,"&gt;"&amp;N92))</f>
        <v/>
      </c>
      <c r="P92">
        <f>IF(OR(N92="",G92=""),"",COUNTIFS(Fuel!$C$6:$C$605,C92,Fuel!$G$6:$G$605,"&lt;&gt;",Fuel!$N$6:$N$605,"&lt;"&amp;N92))</f>
        <v/>
      </c>
      <c r="R92">
        <f>IF(OR(P92="",N(P92)=0),"",SUMIFS(Fuel!$D$6:$D$605,Fuel!$C$6:$C$605,C92,Fuel!$P$6:$P$605,P92-1))</f>
        <v/>
      </c>
    </row>
    <row r="93">
      <c r="A93" s="1" t="n"/>
      <c r="B93" s="29" t="n"/>
      <c r="C93" s="24" t="n"/>
      <c r="D93" s="28" t="n"/>
      <c r="E93" s="33" t="n"/>
      <c r="F93" s="34" t="n"/>
      <c r="G93" s="27" t="n"/>
      <c r="H93" s="14">
        <f>IF(OR(N(E93)=0,F93=""),"",F93/E93)</f>
        <v/>
      </c>
      <c r="I93" s="11">
        <f>IF(R93="","",D93-R93)</f>
        <v/>
      </c>
      <c r="J93" s="35">
        <f>IF(R93="","",SUMIFS(Fuel!$E$6:$E$605,Fuel!$C$6:$C$605,C93,Fuel!$D$6:$D$605,"&gt;"&amp;R93,Fuel!$D$6:$D$605,"&lt;="&amp;D93))</f>
        <v/>
      </c>
      <c r="K93" s="36">
        <f>IF(OR(I93="",N(I93)=0),"",J93/I93*100)</f>
        <v/>
      </c>
      <c r="L93" s="36">
        <f>IF(OR(J93="",N(J93)=0),"",I93/J93)</f>
        <v/>
      </c>
      <c r="M93" s="1" t="n"/>
      <c r="N93">
        <f>IF(OR(C93="",N(D93)=0),"",D93+ROW()/10000000)</f>
        <v/>
      </c>
      <c r="O93">
        <f>IF(N93="","",COUNTIFS(Fuel!$C$6:$C$605,C93,Fuel!$N$6:$N$605,"&gt;"&amp;N93))</f>
        <v/>
      </c>
      <c r="P93">
        <f>IF(OR(N93="",G93=""),"",COUNTIFS(Fuel!$C$6:$C$605,C93,Fuel!$G$6:$G$605,"&lt;&gt;",Fuel!$N$6:$N$605,"&lt;"&amp;N93))</f>
        <v/>
      </c>
      <c r="R93">
        <f>IF(OR(P93="",N(P93)=0),"",SUMIFS(Fuel!$D$6:$D$605,Fuel!$C$6:$C$605,C93,Fuel!$P$6:$P$605,P93-1))</f>
        <v/>
      </c>
    </row>
    <row r="94">
      <c r="A94" s="1" t="n"/>
      <c r="B94" s="29" t="n"/>
      <c r="C94" s="24" t="n"/>
      <c r="D94" s="28" t="n"/>
      <c r="E94" s="33" t="n"/>
      <c r="F94" s="34" t="n"/>
      <c r="G94" s="27" t="n"/>
      <c r="H94" s="14">
        <f>IF(OR(N(E94)=0,F94=""),"",F94/E94)</f>
        <v/>
      </c>
      <c r="I94" s="11">
        <f>IF(R94="","",D94-R94)</f>
        <v/>
      </c>
      <c r="J94" s="35">
        <f>IF(R94="","",SUMIFS(Fuel!$E$6:$E$605,Fuel!$C$6:$C$605,C94,Fuel!$D$6:$D$605,"&gt;"&amp;R94,Fuel!$D$6:$D$605,"&lt;="&amp;D94))</f>
        <v/>
      </c>
      <c r="K94" s="36">
        <f>IF(OR(I94="",N(I94)=0),"",J94/I94*100)</f>
        <v/>
      </c>
      <c r="L94" s="36">
        <f>IF(OR(J94="",N(J94)=0),"",I94/J94)</f>
        <v/>
      </c>
      <c r="M94" s="1" t="n"/>
      <c r="N94">
        <f>IF(OR(C94="",N(D94)=0),"",D94+ROW()/10000000)</f>
        <v/>
      </c>
      <c r="O94">
        <f>IF(N94="","",COUNTIFS(Fuel!$C$6:$C$605,C94,Fuel!$N$6:$N$605,"&gt;"&amp;N94))</f>
        <v/>
      </c>
      <c r="P94">
        <f>IF(OR(N94="",G94=""),"",COUNTIFS(Fuel!$C$6:$C$605,C94,Fuel!$G$6:$G$605,"&lt;&gt;",Fuel!$N$6:$N$605,"&lt;"&amp;N94))</f>
        <v/>
      </c>
      <c r="R94">
        <f>IF(OR(P94="",N(P94)=0),"",SUMIFS(Fuel!$D$6:$D$605,Fuel!$C$6:$C$605,C94,Fuel!$P$6:$P$605,P94-1))</f>
        <v/>
      </c>
    </row>
    <row r="95">
      <c r="A95" s="1" t="n"/>
      <c r="B95" s="29" t="n"/>
      <c r="C95" s="24" t="n"/>
      <c r="D95" s="28" t="n"/>
      <c r="E95" s="33" t="n"/>
      <c r="F95" s="34" t="n"/>
      <c r="G95" s="27" t="n"/>
      <c r="H95" s="14">
        <f>IF(OR(N(E95)=0,F95=""),"",F95/E95)</f>
        <v/>
      </c>
      <c r="I95" s="11">
        <f>IF(R95="","",D95-R95)</f>
        <v/>
      </c>
      <c r="J95" s="35">
        <f>IF(R95="","",SUMIFS(Fuel!$E$6:$E$605,Fuel!$C$6:$C$605,C95,Fuel!$D$6:$D$605,"&gt;"&amp;R95,Fuel!$D$6:$D$605,"&lt;="&amp;D95))</f>
        <v/>
      </c>
      <c r="K95" s="36">
        <f>IF(OR(I95="",N(I95)=0),"",J95/I95*100)</f>
        <v/>
      </c>
      <c r="L95" s="36">
        <f>IF(OR(J95="",N(J95)=0),"",I95/J95)</f>
        <v/>
      </c>
      <c r="M95" s="1" t="n"/>
      <c r="N95">
        <f>IF(OR(C95="",N(D95)=0),"",D95+ROW()/10000000)</f>
        <v/>
      </c>
      <c r="O95">
        <f>IF(N95="","",COUNTIFS(Fuel!$C$6:$C$605,C95,Fuel!$N$6:$N$605,"&gt;"&amp;N95))</f>
        <v/>
      </c>
      <c r="P95">
        <f>IF(OR(N95="",G95=""),"",COUNTIFS(Fuel!$C$6:$C$605,C95,Fuel!$G$6:$G$605,"&lt;&gt;",Fuel!$N$6:$N$605,"&lt;"&amp;N95))</f>
        <v/>
      </c>
      <c r="R95">
        <f>IF(OR(P95="",N(P95)=0),"",SUMIFS(Fuel!$D$6:$D$605,Fuel!$C$6:$C$605,C95,Fuel!$P$6:$P$605,P95-1))</f>
        <v/>
      </c>
    </row>
    <row r="96">
      <c r="A96" s="1" t="n"/>
      <c r="B96" s="29" t="n"/>
      <c r="C96" s="24" t="n"/>
      <c r="D96" s="28" t="n"/>
      <c r="E96" s="33" t="n"/>
      <c r="F96" s="34" t="n"/>
      <c r="G96" s="27" t="n"/>
      <c r="H96" s="14">
        <f>IF(OR(N(E96)=0,F96=""),"",F96/E96)</f>
        <v/>
      </c>
      <c r="I96" s="11">
        <f>IF(R96="","",D96-R96)</f>
        <v/>
      </c>
      <c r="J96" s="35">
        <f>IF(R96="","",SUMIFS(Fuel!$E$6:$E$605,Fuel!$C$6:$C$605,C96,Fuel!$D$6:$D$605,"&gt;"&amp;R96,Fuel!$D$6:$D$605,"&lt;="&amp;D96))</f>
        <v/>
      </c>
      <c r="K96" s="36">
        <f>IF(OR(I96="",N(I96)=0),"",J96/I96*100)</f>
        <v/>
      </c>
      <c r="L96" s="36">
        <f>IF(OR(J96="",N(J96)=0),"",I96/J96)</f>
        <v/>
      </c>
      <c r="M96" s="1" t="n"/>
      <c r="N96">
        <f>IF(OR(C96="",N(D96)=0),"",D96+ROW()/10000000)</f>
        <v/>
      </c>
      <c r="O96">
        <f>IF(N96="","",COUNTIFS(Fuel!$C$6:$C$605,C96,Fuel!$N$6:$N$605,"&gt;"&amp;N96))</f>
        <v/>
      </c>
      <c r="P96">
        <f>IF(OR(N96="",G96=""),"",COUNTIFS(Fuel!$C$6:$C$605,C96,Fuel!$G$6:$G$605,"&lt;&gt;",Fuel!$N$6:$N$605,"&lt;"&amp;N96))</f>
        <v/>
      </c>
      <c r="R96">
        <f>IF(OR(P96="",N(P96)=0),"",SUMIFS(Fuel!$D$6:$D$605,Fuel!$C$6:$C$605,C96,Fuel!$P$6:$P$605,P96-1))</f>
        <v/>
      </c>
    </row>
    <row r="97">
      <c r="A97" s="1" t="n"/>
      <c r="B97" s="29" t="n"/>
      <c r="C97" s="24" t="n"/>
      <c r="D97" s="28" t="n"/>
      <c r="E97" s="33" t="n"/>
      <c r="F97" s="34" t="n"/>
      <c r="G97" s="27" t="n"/>
      <c r="H97" s="14">
        <f>IF(OR(N(E97)=0,F97=""),"",F97/E97)</f>
        <v/>
      </c>
      <c r="I97" s="11">
        <f>IF(R97="","",D97-R97)</f>
        <v/>
      </c>
      <c r="J97" s="35">
        <f>IF(R97="","",SUMIFS(Fuel!$E$6:$E$605,Fuel!$C$6:$C$605,C97,Fuel!$D$6:$D$605,"&gt;"&amp;R97,Fuel!$D$6:$D$605,"&lt;="&amp;D97))</f>
        <v/>
      </c>
      <c r="K97" s="36">
        <f>IF(OR(I97="",N(I97)=0),"",J97/I97*100)</f>
        <v/>
      </c>
      <c r="L97" s="36">
        <f>IF(OR(J97="",N(J97)=0),"",I97/J97)</f>
        <v/>
      </c>
      <c r="M97" s="1" t="n"/>
      <c r="N97">
        <f>IF(OR(C97="",N(D97)=0),"",D97+ROW()/10000000)</f>
        <v/>
      </c>
      <c r="O97">
        <f>IF(N97="","",COUNTIFS(Fuel!$C$6:$C$605,C97,Fuel!$N$6:$N$605,"&gt;"&amp;N97))</f>
        <v/>
      </c>
      <c r="P97">
        <f>IF(OR(N97="",G97=""),"",COUNTIFS(Fuel!$C$6:$C$605,C97,Fuel!$G$6:$G$605,"&lt;&gt;",Fuel!$N$6:$N$605,"&lt;"&amp;N97))</f>
        <v/>
      </c>
      <c r="R97">
        <f>IF(OR(P97="",N(P97)=0),"",SUMIFS(Fuel!$D$6:$D$605,Fuel!$C$6:$C$605,C97,Fuel!$P$6:$P$605,P97-1))</f>
        <v/>
      </c>
    </row>
    <row r="98">
      <c r="A98" s="1" t="n"/>
      <c r="B98" s="29" t="n"/>
      <c r="C98" s="24" t="n"/>
      <c r="D98" s="28" t="n"/>
      <c r="E98" s="33" t="n"/>
      <c r="F98" s="34" t="n"/>
      <c r="G98" s="27" t="n"/>
      <c r="H98" s="14">
        <f>IF(OR(N(E98)=0,F98=""),"",F98/E98)</f>
        <v/>
      </c>
      <c r="I98" s="11">
        <f>IF(R98="","",D98-R98)</f>
        <v/>
      </c>
      <c r="J98" s="35">
        <f>IF(R98="","",SUMIFS(Fuel!$E$6:$E$605,Fuel!$C$6:$C$605,C98,Fuel!$D$6:$D$605,"&gt;"&amp;R98,Fuel!$D$6:$D$605,"&lt;="&amp;D98))</f>
        <v/>
      </c>
      <c r="K98" s="36">
        <f>IF(OR(I98="",N(I98)=0),"",J98/I98*100)</f>
        <v/>
      </c>
      <c r="L98" s="36">
        <f>IF(OR(J98="",N(J98)=0),"",I98/J98)</f>
        <v/>
      </c>
      <c r="M98" s="1" t="n"/>
      <c r="N98">
        <f>IF(OR(C98="",N(D98)=0),"",D98+ROW()/10000000)</f>
        <v/>
      </c>
      <c r="O98">
        <f>IF(N98="","",COUNTIFS(Fuel!$C$6:$C$605,C98,Fuel!$N$6:$N$605,"&gt;"&amp;N98))</f>
        <v/>
      </c>
      <c r="P98">
        <f>IF(OR(N98="",G98=""),"",COUNTIFS(Fuel!$C$6:$C$605,C98,Fuel!$G$6:$G$605,"&lt;&gt;",Fuel!$N$6:$N$605,"&lt;"&amp;N98))</f>
        <v/>
      </c>
      <c r="R98">
        <f>IF(OR(P98="",N(P98)=0),"",SUMIFS(Fuel!$D$6:$D$605,Fuel!$C$6:$C$605,C98,Fuel!$P$6:$P$605,P98-1))</f>
        <v/>
      </c>
    </row>
    <row r="99">
      <c r="A99" s="1" t="n"/>
      <c r="B99" s="29" t="n"/>
      <c r="C99" s="24" t="n"/>
      <c r="D99" s="28" t="n"/>
      <c r="E99" s="33" t="n"/>
      <c r="F99" s="34" t="n"/>
      <c r="G99" s="27" t="n"/>
      <c r="H99" s="14">
        <f>IF(OR(N(E99)=0,F99=""),"",F99/E99)</f>
        <v/>
      </c>
      <c r="I99" s="11">
        <f>IF(R99="","",D99-R99)</f>
        <v/>
      </c>
      <c r="J99" s="35">
        <f>IF(R99="","",SUMIFS(Fuel!$E$6:$E$605,Fuel!$C$6:$C$605,C99,Fuel!$D$6:$D$605,"&gt;"&amp;R99,Fuel!$D$6:$D$605,"&lt;="&amp;D99))</f>
        <v/>
      </c>
      <c r="K99" s="36">
        <f>IF(OR(I99="",N(I99)=0),"",J99/I99*100)</f>
        <v/>
      </c>
      <c r="L99" s="36">
        <f>IF(OR(J99="",N(J99)=0),"",I99/J99)</f>
        <v/>
      </c>
      <c r="M99" s="1" t="n"/>
      <c r="N99">
        <f>IF(OR(C99="",N(D99)=0),"",D99+ROW()/10000000)</f>
        <v/>
      </c>
      <c r="O99">
        <f>IF(N99="","",COUNTIFS(Fuel!$C$6:$C$605,C99,Fuel!$N$6:$N$605,"&gt;"&amp;N99))</f>
        <v/>
      </c>
      <c r="P99">
        <f>IF(OR(N99="",G99=""),"",COUNTIFS(Fuel!$C$6:$C$605,C99,Fuel!$G$6:$G$605,"&lt;&gt;",Fuel!$N$6:$N$605,"&lt;"&amp;N99))</f>
        <v/>
      </c>
      <c r="R99">
        <f>IF(OR(P99="",N(P99)=0),"",SUMIFS(Fuel!$D$6:$D$605,Fuel!$C$6:$C$605,C99,Fuel!$P$6:$P$605,P99-1))</f>
        <v/>
      </c>
    </row>
    <row r="100">
      <c r="A100" s="1" t="n"/>
      <c r="B100" s="29" t="n"/>
      <c r="C100" s="24" t="n"/>
      <c r="D100" s="28" t="n"/>
      <c r="E100" s="33" t="n"/>
      <c r="F100" s="34" t="n"/>
      <c r="G100" s="27" t="n"/>
      <c r="H100" s="14">
        <f>IF(OR(N(E100)=0,F100=""),"",F100/E100)</f>
        <v/>
      </c>
      <c r="I100" s="11">
        <f>IF(R100="","",D100-R100)</f>
        <v/>
      </c>
      <c r="J100" s="35">
        <f>IF(R100="","",SUMIFS(Fuel!$E$6:$E$605,Fuel!$C$6:$C$605,C100,Fuel!$D$6:$D$605,"&gt;"&amp;R100,Fuel!$D$6:$D$605,"&lt;="&amp;D100))</f>
        <v/>
      </c>
      <c r="K100" s="36">
        <f>IF(OR(I100="",N(I100)=0),"",J100/I100*100)</f>
        <v/>
      </c>
      <c r="L100" s="36">
        <f>IF(OR(J100="",N(J100)=0),"",I100/J100)</f>
        <v/>
      </c>
      <c r="M100" s="1" t="n"/>
      <c r="N100">
        <f>IF(OR(C100="",N(D100)=0),"",D100+ROW()/10000000)</f>
        <v/>
      </c>
      <c r="O100">
        <f>IF(N100="","",COUNTIFS(Fuel!$C$6:$C$605,C100,Fuel!$N$6:$N$605,"&gt;"&amp;N100))</f>
        <v/>
      </c>
      <c r="P100">
        <f>IF(OR(N100="",G100=""),"",COUNTIFS(Fuel!$C$6:$C$605,C100,Fuel!$G$6:$G$605,"&lt;&gt;",Fuel!$N$6:$N$605,"&lt;"&amp;N100))</f>
        <v/>
      </c>
      <c r="R100">
        <f>IF(OR(P100="",N(P100)=0),"",SUMIFS(Fuel!$D$6:$D$605,Fuel!$C$6:$C$605,C100,Fuel!$P$6:$P$605,P100-1))</f>
        <v/>
      </c>
    </row>
    <row r="101">
      <c r="A101" s="1" t="n"/>
      <c r="B101" s="29" t="n"/>
      <c r="C101" s="24" t="n"/>
      <c r="D101" s="28" t="n"/>
      <c r="E101" s="33" t="n"/>
      <c r="F101" s="34" t="n"/>
      <c r="G101" s="27" t="n"/>
      <c r="H101" s="14">
        <f>IF(OR(N(E101)=0,F101=""),"",F101/E101)</f>
        <v/>
      </c>
      <c r="I101" s="11">
        <f>IF(R101="","",D101-R101)</f>
        <v/>
      </c>
      <c r="J101" s="35">
        <f>IF(R101="","",SUMIFS(Fuel!$E$6:$E$605,Fuel!$C$6:$C$605,C101,Fuel!$D$6:$D$605,"&gt;"&amp;R101,Fuel!$D$6:$D$605,"&lt;="&amp;D101))</f>
        <v/>
      </c>
      <c r="K101" s="36">
        <f>IF(OR(I101="",N(I101)=0),"",J101/I101*100)</f>
        <v/>
      </c>
      <c r="L101" s="36">
        <f>IF(OR(J101="",N(J101)=0),"",I101/J101)</f>
        <v/>
      </c>
      <c r="M101" s="1" t="n"/>
      <c r="N101">
        <f>IF(OR(C101="",N(D101)=0),"",D101+ROW()/10000000)</f>
        <v/>
      </c>
      <c r="O101">
        <f>IF(N101="","",COUNTIFS(Fuel!$C$6:$C$605,C101,Fuel!$N$6:$N$605,"&gt;"&amp;N101))</f>
        <v/>
      </c>
      <c r="P101">
        <f>IF(OR(N101="",G101=""),"",COUNTIFS(Fuel!$C$6:$C$605,C101,Fuel!$G$6:$G$605,"&lt;&gt;",Fuel!$N$6:$N$605,"&lt;"&amp;N101))</f>
        <v/>
      </c>
      <c r="R101">
        <f>IF(OR(P101="",N(P101)=0),"",SUMIFS(Fuel!$D$6:$D$605,Fuel!$C$6:$C$605,C101,Fuel!$P$6:$P$605,P101-1))</f>
        <v/>
      </c>
    </row>
    <row r="102">
      <c r="A102" s="1" t="n"/>
      <c r="B102" s="29" t="n"/>
      <c r="C102" s="24" t="n"/>
      <c r="D102" s="28" t="n"/>
      <c r="E102" s="33" t="n"/>
      <c r="F102" s="34" t="n"/>
      <c r="G102" s="27" t="n"/>
      <c r="H102" s="14">
        <f>IF(OR(N(E102)=0,F102=""),"",F102/E102)</f>
        <v/>
      </c>
      <c r="I102" s="11">
        <f>IF(R102="","",D102-R102)</f>
        <v/>
      </c>
      <c r="J102" s="35">
        <f>IF(R102="","",SUMIFS(Fuel!$E$6:$E$605,Fuel!$C$6:$C$605,C102,Fuel!$D$6:$D$605,"&gt;"&amp;R102,Fuel!$D$6:$D$605,"&lt;="&amp;D102))</f>
        <v/>
      </c>
      <c r="K102" s="36">
        <f>IF(OR(I102="",N(I102)=0),"",J102/I102*100)</f>
        <v/>
      </c>
      <c r="L102" s="36">
        <f>IF(OR(J102="",N(J102)=0),"",I102/J102)</f>
        <v/>
      </c>
      <c r="M102" s="1" t="n"/>
      <c r="N102">
        <f>IF(OR(C102="",N(D102)=0),"",D102+ROW()/10000000)</f>
        <v/>
      </c>
      <c r="O102">
        <f>IF(N102="","",COUNTIFS(Fuel!$C$6:$C$605,C102,Fuel!$N$6:$N$605,"&gt;"&amp;N102))</f>
        <v/>
      </c>
      <c r="P102">
        <f>IF(OR(N102="",G102=""),"",COUNTIFS(Fuel!$C$6:$C$605,C102,Fuel!$G$6:$G$605,"&lt;&gt;",Fuel!$N$6:$N$605,"&lt;"&amp;N102))</f>
        <v/>
      </c>
      <c r="R102">
        <f>IF(OR(P102="",N(P102)=0),"",SUMIFS(Fuel!$D$6:$D$605,Fuel!$C$6:$C$605,C102,Fuel!$P$6:$P$605,P102-1))</f>
        <v/>
      </c>
    </row>
    <row r="103">
      <c r="A103" s="1" t="n"/>
      <c r="B103" s="29" t="n"/>
      <c r="C103" s="24" t="n"/>
      <c r="D103" s="28" t="n"/>
      <c r="E103" s="33" t="n"/>
      <c r="F103" s="34" t="n"/>
      <c r="G103" s="27" t="n"/>
      <c r="H103" s="14">
        <f>IF(OR(N(E103)=0,F103=""),"",F103/E103)</f>
        <v/>
      </c>
      <c r="I103" s="11">
        <f>IF(R103="","",D103-R103)</f>
        <v/>
      </c>
      <c r="J103" s="35">
        <f>IF(R103="","",SUMIFS(Fuel!$E$6:$E$605,Fuel!$C$6:$C$605,C103,Fuel!$D$6:$D$605,"&gt;"&amp;R103,Fuel!$D$6:$D$605,"&lt;="&amp;D103))</f>
        <v/>
      </c>
      <c r="K103" s="36">
        <f>IF(OR(I103="",N(I103)=0),"",J103/I103*100)</f>
        <v/>
      </c>
      <c r="L103" s="36">
        <f>IF(OR(J103="",N(J103)=0),"",I103/J103)</f>
        <v/>
      </c>
      <c r="M103" s="1" t="n"/>
      <c r="N103">
        <f>IF(OR(C103="",N(D103)=0),"",D103+ROW()/10000000)</f>
        <v/>
      </c>
      <c r="O103">
        <f>IF(N103="","",COUNTIFS(Fuel!$C$6:$C$605,C103,Fuel!$N$6:$N$605,"&gt;"&amp;N103))</f>
        <v/>
      </c>
      <c r="P103">
        <f>IF(OR(N103="",G103=""),"",COUNTIFS(Fuel!$C$6:$C$605,C103,Fuel!$G$6:$G$605,"&lt;&gt;",Fuel!$N$6:$N$605,"&lt;"&amp;N103))</f>
        <v/>
      </c>
      <c r="R103">
        <f>IF(OR(P103="",N(P103)=0),"",SUMIFS(Fuel!$D$6:$D$605,Fuel!$C$6:$C$605,C103,Fuel!$P$6:$P$605,P103-1))</f>
        <v/>
      </c>
    </row>
    <row r="104">
      <c r="A104" s="1" t="n"/>
      <c r="B104" s="29" t="n"/>
      <c r="C104" s="24" t="n"/>
      <c r="D104" s="28" t="n"/>
      <c r="E104" s="33" t="n"/>
      <c r="F104" s="34" t="n"/>
      <c r="G104" s="27" t="n"/>
      <c r="H104" s="14">
        <f>IF(OR(N(E104)=0,F104=""),"",F104/E104)</f>
        <v/>
      </c>
      <c r="I104" s="11">
        <f>IF(R104="","",D104-R104)</f>
        <v/>
      </c>
      <c r="J104" s="35">
        <f>IF(R104="","",SUMIFS(Fuel!$E$6:$E$605,Fuel!$C$6:$C$605,C104,Fuel!$D$6:$D$605,"&gt;"&amp;R104,Fuel!$D$6:$D$605,"&lt;="&amp;D104))</f>
        <v/>
      </c>
      <c r="K104" s="36">
        <f>IF(OR(I104="",N(I104)=0),"",J104/I104*100)</f>
        <v/>
      </c>
      <c r="L104" s="36">
        <f>IF(OR(J104="",N(J104)=0),"",I104/J104)</f>
        <v/>
      </c>
      <c r="M104" s="1" t="n"/>
      <c r="N104">
        <f>IF(OR(C104="",N(D104)=0),"",D104+ROW()/10000000)</f>
        <v/>
      </c>
      <c r="O104">
        <f>IF(N104="","",COUNTIFS(Fuel!$C$6:$C$605,C104,Fuel!$N$6:$N$605,"&gt;"&amp;N104))</f>
        <v/>
      </c>
      <c r="P104">
        <f>IF(OR(N104="",G104=""),"",COUNTIFS(Fuel!$C$6:$C$605,C104,Fuel!$G$6:$G$605,"&lt;&gt;",Fuel!$N$6:$N$605,"&lt;"&amp;N104))</f>
        <v/>
      </c>
      <c r="R104">
        <f>IF(OR(P104="",N(P104)=0),"",SUMIFS(Fuel!$D$6:$D$605,Fuel!$C$6:$C$605,C104,Fuel!$P$6:$P$605,P104-1))</f>
        <v/>
      </c>
    </row>
    <row r="105">
      <c r="A105" s="1" t="n"/>
      <c r="B105" s="29" t="n"/>
      <c r="C105" s="24" t="n"/>
      <c r="D105" s="28" t="n"/>
      <c r="E105" s="33" t="n"/>
      <c r="F105" s="34" t="n"/>
      <c r="G105" s="27" t="n"/>
      <c r="H105" s="14">
        <f>IF(OR(N(E105)=0,F105=""),"",F105/E105)</f>
        <v/>
      </c>
      <c r="I105" s="11">
        <f>IF(R105="","",D105-R105)</f>
        <v/>
      </c>
      <c r="J105" s="35">
        <f>IF(R105="","",SUMIFS(Fuel!$E$6:$E$605,Fuel!$C$6:$C$605,C105,Fuel!$D$6:$D$605,"&gt;"&amp;R105,Fuel!$D$6:$D$605,"&lt;="&amp;D105))</f>
        <v/>
      </c>
      <c r="K105" s="36">
        <f>IF(OR(I105="",N(I105)=0),"",J105/I105*100)</f>
        <v/>
      </c>
      <c r="L105" s="36">
        <f>IF(OR(J105="",N(J105)=0),"",I105/J105)</f>
        <v/>
      </c>
      <c r="M105" s="1" t="n"/>
      <c r="N105">
        <f>IF(OR(C105="",N(D105)=0),"",D105+ROW()/10000000)</f>
        <v/>
      </c>
      <c r="O105">
        <f>IF(N105="","",COUNTIFS(Fuel!$C$6:$C$605,C105,Fuel!$N$6:$N$605,"&gt;"&amp;N105))</f>
        <v/>
      </c>
      <c r="P105">
        <f>IF(OR(N105="",G105=""),"",COUNTIFS(Fuel!$C$6:$C$605,C105,Fuel!$G$6:$G$605,"&lt;&gt;",Fuel!$N$6:$N$605,"&lt;"&amp;N105))</f>
        <v/>
      </c>
      <c r="R105">
        <f>IF(OR(P105="",N(P105)=0),"",SUMIFS(Fuel!$D$6:$D$605,Fuel!$C$6:$C$605,C105,Fuel!$P$6:$P$605,P105-1))</f>
        <v/>
      </c>
    </row>
    <row r="106">
      <c r="A106" s="1" t="n"/>
      <c r="B106" s="29" t="n"/>
      <c r="C106" s="24" t="n"/>
      <c r="D106" s="28" t="n"/>
      <c r="E106" s="33" t="n"/>
      <c r="F106" s="34" t="n"/>
      <c r="G106" s="27" t="n"/>
      <c r="H106" s="14">
        <f>IF(OR(N(E106)=0,F106=""),"",F106/E106)</f>
        <v/>
      </c>
      <c r="I106" s="11">
        <f>IF(R106="","",D106-R106)</f>
        <v/>
      </c>
      <c r="J106" s="35">
        <f>IF(R106="","",SUMIFS(Fuel!$E$6:$E$605,Fuel!$C$6:$C$605,C106,Fuel!$D$6:$D$605,"&gt;"&amp;R106,Fuel!$D$6:$D$605,"&lt;="&amp;D106))</f>
        <v/>
      </c>
      <c r="K106" s="36">
        <f>IF(OR(I106="",N(I106)=0),"",J106/I106*100)</f>
        <v/>
      </c>
      <c r="L106" s="36">
        <f>IF(OR(J106="",N(J106)=0),"",I106/J106)</f>
        <v/>
      </c>
      <c r="M106" s="1" t="n"/>
      <c r="N106">
        <f>IF(OR(C106="",N(D106)=0),"",D106+ROW()/10000000)</f>
        <v/>
      </c>
      <c r="O106">
        <f>IF(N106="","",COUNTIFS(Fuel!$C$6:$C$605,C106,Fuel!$N$6:$N$605,"&gt;"&amp;N106))</f>
        <v/>
      </c>
      <c r="P106">
        <f>IF(OR(N106="",G106=""),"",COUNTIFS(Fuel!$C$6:$C$605,C106,Fuel!$G$6:$G$605,"&lt;&gt;",Fuel!$N$6:$N$605,"&lt;"&amp;N106))</f>
        <v/>
      </c>
      <c r="R106">
        <f>IF(OR(P106="",N(P106)=0),"",SUMIFS(Fuel!$D$6:$D$605,Fuel!$C$6:$C$605,C106,Fuel!$P$6:$P$605,P106-1))</f>
        <v/>
      </c>
    </row>
    <row r="107">
      <c r="A107" s="1" t="n"/>
      <c r="B107" s="29" t="n"/>
      <c r="C107" s="24" t="n"/>
      <c r="D107" s="28" t="n"/>
      <c r="E107" s="33" t="n"/>
      <c r="F107" s="34" t="n"/>
      <c r="G107" s="27" t="n"/>
      <c r="H107" s="14">
        <f>IF(OR(N(E107)=0,F107=""),"",F107/E107)</f>
        <v/>
      </c>
      <c r="I107" s="11">
        <f>IF(R107="","",D107-R107)</f>
        <v/>
      </c>
      <c r="J107" s="35">
        <f>IF(R107="","",SUMIFS(Fuel!$E$6:$E$605,Fuel!$C$6:$C$605,C107,Fuel!$D$6:$D$605,"&gt;"&amp;R107,Fuel!$D$6:$D$605,"&lt;="&amp;D107))</f>
        <v/>
      </c>
      <c r="K107" s="36">
        <f>IF(OR(I107="",N(I107)=0),"",J107/I107*100)</f>
        <v/>
      </c>
      <c r="L107" s="36">
        <f>IF(OR(J107="",N(J107)=0),"",I107/J107)</f>
        <v/>
      </c>
      <c r="M107" s="1" t="n"/>
      <c r="N107">
        <f>IF(OR(C107="",N(D107)=0),"",D107+ROW()/10000000)</f>
        <v/>
      </c>
      <c r="O107">
        <f>IF(N107="","",COUNTIFS(Fuel!$C$6:$C$605,C107,Fuel!$N$6:$N$605,"&gt;"&amp;N107))</f>
        <v/>
      </c>
      <c r="P107">
        <f>IF(OR(N107="",G107=""),"",COUNTIFS(Fuel!$C$6:$C$605,C107,Fuel!$G$6:$G$605,"&lt;&gt;",Fuel!$N$6:$N$605,"&lt;"&amp;N107))</f>
        <v/>
      </c>
      <c r="R107">
        <f>IF(OR(P107="",N(P107)=0),"",SUMIFS(Fuel!$D$6:$D$605,Fuel!$C$6:$C$605,C107,Fuel!$P$6:$P$605,P107-1))</f>
        <v/>
      </c>
    </row>
    <row r="108">
      <c r="A108" s="1" t="n"/>
      <c r="B108" s="29" t="n"/>
      <c r="C108" s="24" t="n"/>
      <c r="D108" s="28" t="n"/>
      <c r="E108" s="33" t="n"/>
      <c r="F108" s="34" t="n"/>
      <c r="G108" s="27" t="n"/>
      <c r="H108" s="14">
        <f>IF(OR(N(E108)=0,F108=""),"",F108/E108)</f>
        <v/>
      </c>
      <c r="I108" s="11">
        <f>IF(R108="","",D108-R108)</f>
        <v/>
      </c>
      <c r="J108" s="35">
        <f>IF(R108="","",SUMIFS(Fuel!$E$6:$E$605,Fuel!$C$6:$C$605,C108,Fuel!$D$6:$D$605,"&gt;"&amp;R108,Fuel!$D$6:$D$605,"&lt;="&amp;D108))</f>
        <v/>
      </c>
      <c r="K108" s="36">
        <f>IF(OR(I108="",N(I108)=0),"",J108/I108*100)</f>
        <v/>
      </c>
      <c r="L108" s="36">
        <f>IF(OR(J108="",N(J108)=0),"",I108/J108)</f>
        <v/>
      </c>
      <c r="M108" s="1" t="n"/>
      <c r="N108">
        <f>IF(OR(C108="",N(D108)=0),"",D108+ROW()/10000000)</f>
        <v/>
      </c>
      <c r="O108">
        <f>IF(N108="","",COUNTIFS(Fuel!$C$6:$C$605,C108,Fuel!$N$6:$N$605,"&gt;"&amp;N108))</f>
        <v/>
      </c>
      <c r="P108">
        <f>IF(OR(N108="",G108=""),"",COUNTIFS(Fuel!$C$6:$C$605,C108,Fuel!$G$6:$G$605,"&lt;&gt;",Fuel!$N$6:$N$605,"&lt;"&amp;N108))</f>
        <v/>
      </c>
      <c r="R108">
        <f>IF(OR(P108="",N(P108)=0),"",SUMIFS(Fuel!$D$6:$D$605,Fuel!$C$6:$C$605,C108,Fuel!$P$6:$P$605,P108-1))</f>
        <v/>
      </c>
    </row>
    <row r="109">
      <c r="A109" s="1" t="n"/>
      <c r="B109" s="29" t="n"/>
      <c r="C109" s="24" t="n"/>
      <c r="D109" s="28" t="n"/>
      <c r="E109" s="33" t="n"/>
      <c r="F109" s="34" t="n"/>
      <c r="G109" s="27" t="n"/>
      <c r="H109" s="14">
        <f>IF(OR(N(E109)=0,F109=""),"",F109/E109)</f>
        <v/>
      </c>
      <c r="I109" s="11">
        <f>IF(R109="","",D109-R109)</f>
        <v/>
      </c>
      <c r="J109" s="35">
        <f>IF(R109="","",SUMIFS(Fuel!$E$6:$E$605,Fuel!$C$6:$C$605,C109,Fuel!$D$6:$D$605,"&gt;"&amp;R109,Fuel!$D$6:$D$605,"&lt;="&amp;D109))</f>
        <v/>
      </c>
      <c r="K109" s="36">
        <f>IF(OR(I109="",N(I109)=0),"",J109/I109*100)</f>
        <v/>
      </c>
      <c r="L109" s="36">
        <f>IF(OR(J109="",N(J109)=0),"",I109/J109)</f>
        <v/>
      </c>
      <c r="M109" s="1" t="n"/>
      <c r="N109">
        <f>IF(OR(C109="",N(D109)=0),"",D109+ROW()/10000000)</f>
        <v/>
      </c>
      <c r="O109">
        <f>IF(N109="","",COUNTIFS(Fuel!$C$6:$C$605,C109,Fuel!$N$6:$N$605,"&gt;"&amp;N109))</f>
        <v/>
      </c>
      <c r="P109">
        <f>IF(OR(N109="",G109=""),"",COUNTIFS(Fuel!$C$6:$C$605,C109,Fuel!$G$6:$G$605,"&lt;&gt;",Fuel!$N$6:$N$605,"&lt;"&amp;N109))</f>
        <v/>
      </c>
      <c r="R109">
        <f>IF(OR(P109="",N(P109)=0),"",SUMIFS(Fuel!$D$6:$D$605,Fuel!$C$6:$C$605,C109,Fuel!$P$6:$P$605,P109-1))</f>
        <v/>
      </c>
    </row>
    <row r="110">
      <c r="A110" s="1" t="n"/>
      <c r="B110" s="29" t="n"/>
      <c r="C110" s="24" t="n"/>
      <c r="D110" s="28" t="n"/>
      <c r="E110" s="33" t="n"/>
      <c r="F110" s="34" t="n"/>
      <c r="G110" s="27" t="n"/>
      <c r="H110" s="14">
        <f>IF(OR(N(E110)=0,F110=""),"",F110/E110)</f>
        <v/>
      </c>
      <c r="I110" s="11">
        <f>IF(R110="","",D110-R110)</f>
        <v/>
      </c>
      <c r="J110" s="35">
        <f>IF(R110="","",SUMIFS(Fuel!$E$6:$E$605,Fuel!$C$6:$C$605,C110,Fuel!$D$6:$D$605,"&gt;"&amp;R110,Fuel!$D$6:$D$605,"&lt;="&amp;D110))</f>
        <v/>
      </c>
      <c r="K110" s="36">
        <f>IF(OR(I110="",N(I110)=0),"",J110/I110*100)</f>
        <v/>
      </c>
      <c r="L110" s="36">
        <f>IF(OR(J110="",N(J110)=0),"",I110/J110)</f>
        <v/>
      </c>
      <c r="M110" s="1" t="n"/>
      <c r="N110">
        <f>IF(OR(C110="",N(D110)=0),"",D110+ROW()/10000000)</f>
        <v/>
      </c>
      <c r="O110">
        <f>IF(N110="","",COUNTIFS(Fuel!$C$6:$C$605,C110,Fuel!$N$6:$N$605,"&gt;"&amp;N110))</f>
        <v/>
      </c>
      <c r="P110">
        <f>IF(OR(N110="",G110=""),"",COUNTIFS(Fuel!$C$6:$C$605,C110,Fuel!$G$6:$G$605,"&lt;&gt;",Fuel!$N$6:$N$605,"&lt;"&amp;N110))</f>
        <v/>
      </c>
      <c r="R110">
        <f>IF(OR(P110="",N(P110)=0),"",SUMIFS(Fuel!$D$6:$D$605,Fuel!$C$6:$C$605,C110,Fuel!$P$6:$P$605,P110-1))</f>
        <v/>
      </c>
    </row>
    <row r="111">
      <c r="A111" s="1" t="n"/>
      <c r="B111" s="29" t="n"/>
      <c r="C111" s="24" t="n"/>
      <c r="D111" s="28" t="n"/>
      <c r="E111" s="33" t="n"/>
      <c r="F111" s="34" t="n"/>
      <c r="G111" s="27" t="n"/>
      <c r="H111" s="14">
        <f>IF(OR(N(E111)=0,F111=""),"",F111/E111)</f>
        <v/>
      </c>
      <c r="I111" s="11">
        <f>IF(R111="","",D111-R111)</f>
        <v/>
      </c>
      <c r="J111" s="35">
        <f>IF(R111="","",SUMIFS(Fuel!$E$6:$E$605,Fuel!$C$6:$C$605,C111,Fuel!$D$6:$D$605,"&gt;"&amp;R111,Fuel!$D$6:$D$605,"&lt;="&amp;D111))</f>
        <v/>
      </c>
      <c r="K111" s="36">
        <f>IF(OR(I111="",N(I111)=0),"",J111/I111*100)</f>
        <v/>
      </c>
      <c r="L111" s="36">
        <f>IF(OR(J111="",N(J111)=0),"",I111/J111)</f>
        <v/>
      </c>
      <c r="M111" s="1" t="n"/>
      <c r="N111">
        <f>IF(OR(C111="",N(D111)=0),"",D111+ROW()/10000000)</f>
        <v/>
      </c>
      <c r="O111">
        <f>IF(N111="","",COUNTIFS(Fuel!$C$6:$C$605,C111,Fuel!$N$6:$N$605,"&gt;"&amp;N111))</f>
        <v/>
      </c>
      <c r="P111">
        <f>IF(OR(N111="",G111=""),"",COUNTIFS(Fuel!$C$6:$C$605,C111,Fuel!$G$6:$G$605,"&lt;&gt;",Fuel!$N$6:$N$605,"&lt;"&amp;N111))</f>
        <v/>
      </c>
      <c r="R111">
        <f>IF(OR(P111="",N(P111)=0),"",SUMIFS(Fuel!$D$6:$D$605,Fuel!$C$6:$C$605,C111,Fuel!$P$6:$P$605,P111-1))</f>
        <v/>
      </c>
    </row>
    <row r="112">
      <c r="A112" s="1" t="n"/>
      <c r="B112" s="29" t="n"/>
      <c r="C112" s="24" t="n"/>
      <c r="D112" s="28" t="n"/>
      <c r="E112" s="33" t="n"/>
      <c r="F112" s="34" t="n"/>
      <c r="G112" s="27" t="n"/>
      <c r="H112" s="14">
        <f>IF(OR(N(E112)=0,F112=""),"",F112/E112)</f>
        <v/>
      </c>
      <c r="I112" s="11">
        <f>IF(R112="","",D112-R112)</f>
        <v/>
      </c>
      <c r="J112" s="35">
        <f>IF(R112="","",SUMIFS(Fuel!$E$6:$E$605,Fuel!$C$6:$C$605,C112,Fuel!$D$6:$D$605,"&gt;"&amp;R112,Fuel!$D$6:$D$605,"&lt;="&amp;D112))</f>
        <v/>
      </c>
      <c r="K112" s="36">
        <f>IF(OR(I112="",N(I112)=0),"",J112/I112*100)</f>
        <v/>
      </c>
      <c r="L112" s="36">
        <f>IF(OR(J112="",N(J112)=0),"",I112/J112)</f>
        <v/>
      </c>
      <c r="M112" s="1" t="n"/>
      <c r="N112">
        <f>IF(OR(C112="",N(D112)=0),"",D112+ROW()/10000000)</f>
        <v/>
      </c>
      <c r="O112">
        <f>IF(N112="","",COUNTIFS(Fuel!$C$6:$C$605,C112,Fuel!$N$6:$N$605,"&gt;"&amp;N112))</f>
        <v/>
      </c>
      <c r="P112">
        <f>IF(OR(N112="",G112=""),"",COUNTIFS(Fuel!$C$6:$C$605,C112,Fuel!$G$6:$G$605,"&lt;&gt;",Fuel!$N$6:$N$605,"&lt;"&amp;N112))</f>
        <v/>
      </c>
      <c r="R112">
        <f>IF(OR(P112="",N(P112)=0),"",SUMIFS(Fuel!$D$6:$D$605,Fuel!$C$6:$C$605,C112,Fuel!$P$6:$P$605,P112-1))</f>
        <v/>
      </c>
    </row>
    <row r="113">
      <c r="A113" s="1" t="n"/>
      <c r="B113" s="29" t="n"/>
      <c r="C113" s="24" t="n"/>
      <c r="D113" s="28" t="n"/>
      <c r="E113" s="33" t="n"/>
      <c r="F113" s="34" t="n"/>
      <c r="G113" s="27" t="n"/>
      <c r="H113" s="14">
        <f>IF(OR(N(E113)=0,F113=""),"",F113/E113)</f>
        <v/>
      </c>
      <c r="I113" s="11">
        <f>IF(R113="","",D113-R113)</f>
        <v/>
      </c>
      <c r="J113" s="35">
        <f>IF(R113="","",SUMIFS(Fuel!$E$6:$E$605,Fuel!$C$6:$C$605,C113,Fuel!$D$6:$D$605,"&gt;"&amp;R113,Fuel!$D$6:$D$605,"&lt;="&amp;D113))</f>
        <v/>
      </c>
      <c r="K113" s="36">
        <f>IF(OR(I113="",N(I113)=0),"",J113/I113*100)</f>
        <v/>
      </c>
      <c r="L113" s="36">
        <f>IF(OR(J113="",N(J113)=0),"",I113/J113)</f>
        <v/>
      </c>
      <c r="M113" s="1" t="n"/>
      <c r="N113">
        <f>IF(OR(C113="",N(D113)=0),"",D113+ROW()/10000000)</f>
        <v/>
      </c>
      <c r="O113">
        <f>IF(N113="","",COUNTIFS(Fuel!$C$6:$C$605,C113,Fuel!$N$6:$N$605,"&gt;"&amp;N113))</f>
        <v/>
      </c>
      <c r="P113">
        <f>IF(OR(N113="",G113=""),"",COUNTIFS(Fuel!$C$6:$C$605,C113,Fuel!$G$6:$G$605,"&lt;&gt;",Fuel!$N$6:$N$605,"&lt;"&amp;N113))</f>
        <v/>
      </c>
      <c r="R113">
        <f>IF(OR(P113="",N(P113)=0),"",SUMIFS(Fuel!$D$6:$D$605,Fuel!$C$6:$C$605,C113,Fuel!$P$6:$P$605,P113-1))</f>
        <v/>
      </c>
    </row>
    <row r="114">
      <c r="A114" s="1" t="n"/>
      <c r="B114" s="29" t="n"/>
      <c r="C114" s="24" t="n"/>
      <c r="D114" s="28" t="n"/>
      <c r="E114" s="33" t="n"/>
      <c r="F114" s="34" t="n"/>
      <c r="G114" s="27" t="n"/>
      <c r="H114" s="14">
        <f>IF(OR(N(E114)=0,F114=""),"",F114/E114)</f>
        <v/>
      </c>
      <c r="I114" s="11">
        <f>IF(R114="","",D114-R114)</f>
        <v/>
      </c>
      <c r="J114" s="35">
        <f>IF(R114="","",SUMIFS(Fuel!$E$6:$E$605,Fuel!$C$6:$C$605,C114,Fuel!$D$6:$D$605,"&gt;"&amp;R114,Fuel!$D$6:$D$605,"&lt;="&amp;D114))</f>
        <v/>
      </c>
      <c r="K114" s="36">
        <f>IF(OR(I114="",N(I114)=0),"",J114/I114*100)</f>
        <v/>
      </c>
      <c r="L114" s="36">
        <f>IF(OR(J114="",N(J114)=0),"",I114/J114)</f>
        <v/>
      </c>
      <c r="M114" s="1" t="n"/>
      <c r="N114">
        <f>IF(OR(C114="",N(D114)=0),"",D114+ROW()/10000000)</f>
        <v/>
      </c>
      <c r="O114">
        <f>IF(N114="","",COUNTIFS(Fuel!$C$6:$C$605,C114,Fuel!$N$6:$N$605,"&gt;"&amp;N114))</f>
        <v/>
      </c>
      <c r="P114">
        <f>IF(OR(N114="",G114=""),"",COUNTIFS(Fuel!$C$6:$C$605,C114,Fuel!$G$6:$G$605,"&lt;&gt;",Fuel!$N$6:$N$605,"&lt;"&amp;N114))</f>
        <v/>
      </c>
      <c r="R114">
        <f>IF(OR(P114="",N(P114)=0),"",SUMIFS(Fuel!$D$6:$D$605,Fuel!$C$6:$C$605,C114,Fuel!$P$6:$P$605,P114-1))</f>
        <v/>
      </c>
    </row>
    <row r="115">
      <c r="A115" s="1" t="n"/>
      <c r="B115" s="29" t="n"/>
      <c r="C115" s="24" t="n"/>
      <c r="D115" s="28" t="n"/>
      <c r="E115" s="33" t="n"/>
      <c r="F115" s="34" t="n"/>
      <c r="G115" s="27" t="n"/>
      <c r="H115" s="14">
        <f>IF(OR(N(E115)=0,F115=""),"",F115/E115)</f>
        <v/>
      </c>
      <c r="I115" s="11">
        <f>IF(R115="","",D115-R115)</f>
        <v/>
      </c>
      <c r="J115" s="35">
        <f>IF(R115="","",SUMIFS(Fuel!$E$6:$E$605,Fuel!$C$6:$C$605,C115,Fuel!$D$6:$D$605,"&gt;"&amp;R115,Fuel!$D$6:$D$605,"&lt;="&amp;D115))</f>
        <v/>
      </c>
      <c r="K115" s="36">
        <f>IF(OR(I115="",N(I115)=0),"",J115/I115*100)</f>
        <v/>
      </c>
      <c r="L115" s="36">
        <f>IF(OR(J115="",N(J115)=0),"",I115/J115)</f>
        <v/>
      </c>
      <c r="M115" s="1" t="n"/>
      <c r="N115">
        <f>IF(OR(C115="",N(D115)=0),"",D115+ROW()/10000000)</f>
        <v/>
      </c>
      <c r="O115">
        <f>IF(N115="","",COUNTIFS(Fuel!$C$6:$C$605,C115,Fuel!$N$6:$N$605,"&gt;"&amp;N115))</f>
        <v/>
      </c>
      <c r="P115">
        <f>IF(OR(N115="",G115=""),"",COUNTIFS(Fuel!$C$6:$C$605,C115,Fuel!$G$6:$G$605,"&lt;&gt;",Fuel!$N$6:$N$605,"&lt;"&amp;N115))</f>
        <v/>
      </c>
      <c r="R115">
        <f>IF(OR(P115="",N(P115)=0),"",SUMIFS(Fuel!$D$6:$D$605,Fuel!$C$6:$C$605,C115,Fuel!$P$6:$P$605,P115-1))</f>
        <v/>
      </c>
    </row>
    <row r="116">
      <c r="A116" s="1" t="n"/>
      <c r="B116" s="29" t="n"/>
      <c r="C116" s="24" t="n"/>
      <c r="D116" s="28" t="n"/>
      <c r="E116" s="33" t="n"/>
      <c r="F116" s="34" t="n"/>
      <c r="G116" s="27" t="n"/>
      <c r="H116" s="14">
        <f>IF(OR(N(E116)=0,F116=""),"",F116/E116)</f>
        <v/>
      </c>
      <c r="I116" s="11">
        <f>IF(R116="","",D116-R116)</f>
        <v/>
      </c>
      <c r="J116" s="35">
        <f>IF(R116="","",SUMIFS(Fuel!$E$6:$E$605,Fuel!$C$6:$C$605,C116,Fuel!$D$6:$D$605,"&gt;"&amp;R116,Fuel!$D$6:$D$605,"&lt;="&amp;D116))</f>
        <v/>
      </c>
      <c r="K116" s="36">
        <f>IF(OR(I116="",N(I116)=0),"",J116/I116*100)</f>
        <v/>
      </c>
      <c r="L116" s="36">
        <f>IF(OR(J116="",N(J116)=0),"",I116/J116)</f>
        <v/>
      </c>
      <c r="M116" s="1" t="n"/>
      <c r="N116">
        <f>IF(OR(C116="",N(D116)=0),"",D116+ROW()/10000000)</f>
        <v/>
      </c>
      <c r="O116">
        <f>IF(N116="","",COUNTIFS(Fuel!$C$6:$C$605,C116,Fuel!$N$6:$N$605,"&gt;"&amp;N116))</f>
        <v/>
      </c>
      <c r="P116">
        <f>IF(OR(N116="",G116=""),"",COUNTIFS(Fuel!$C$6:$C$605,C116,Fuel!$G$6:$G$605,"&lt;&gt;",Fuel!$N$6:$N$605,"&lt;"&amp;N116))</f>
        <v/>
      </c>
      <c r="R116">
        <f>IF(OR(P116="",N(P116)=0),"",SUMIFS(Fuel!$D$6:$D$605,Fuel!$C$6:$C$605,C116,Fuel!$P$6:$P$605,P116-1))</f>
        <v/>
      </c>
    </row>
    <row r="117">
      <c r="A117" s="1" t="n"/>
      <c r="B117" s="29" t="n"/>
      <c r="C117" s="24" t="n"/>
      <c r="D117" s="28" t="n"/>
      <c r="E117" s="33" t="n"/>
      <c r="F117" s="34" t="n"/>
      <c r="G117" s="27" t="n"/>
      <c r="H117" s="14">
        <f>IF(OR(N(E117)=0,F117=""),"",F117/E117)</f>
        <v/>
      </c>
      <c r="I117" s="11">
        <f>IF(R117="","",D117-R117)</f>
        <v/>
      </c>
      <c r="J117" s="35">
        <f>IF(R117="","",SUMIFS(Fuel!$E$6:$E$605,Fuel!$C$6:$C$605,C117,Fuel!$D$6:$D$605,"&gt;"&amp;R117,Fuel!$D$6:$D$605,"&lt;="&amp;D117))</f>
        <v/>
      </c>
      <c r="K117" s="36">
        <f>IF(OR(I117="",N(I117)=0),"",J117/I117*100)</f>
        <v/>
      </c>
      <c r="L117" s="36">
        <f>IF(OR(J117="",N(J117)=0),"",I117/J117)</f>
        <v/>
      </c>
      <c r="M117" s="1" t="n"/>
      <c r="N117">
        <f>IF(OR(C117="",N(D117)=0),"",D117+ROW()/10000000)</f>
        <v/>
      </c>
      <c r="O117">
        <f>IF(N117="","",COUNTIFS(Fuel!$C$6:$C$605,C117,Fuel!$N$6:$N$605,"&gt;"&amp;N117))</f>
        <v/>
      </c>
      <c r="P117">
        <f>IF(OR(N117="",G117=""),"",COUNTIFS(Fuel!$C$6:$C$605,C117,Fuel!$G$6:$G$605,"&lt;&gt;",Fuel!$N$6:$N$605,"&lt;"&amp;N117))</f>
        <v/>
      </c>
      <c r="R117">
        <f>IF(OR(P117="",N(P117)=0),"",SUMIFS(Fuel!$D$6:$D$605,Fuel!$C$6:$C$605,C117,Fuel!$P$6:$P$605,P117-1))</f>
        <v/>
      </c>
    </row>
    <row r="118">
      <c r="A118" s="1" t="n"/>
      <c r="B118" s="29" t="n"/>
      <c r="C118" s="24" t="n"/>
      <c r="D118" s="28" t="n"/>
      <c r="E118" s="33" t="n"/>
      <c r="F118" s="34" t="n"/>
      <c r="G118" s="27" t="n"/>
      <c r="H118" s="14">
        <f>IF(OR(N(E118)=0,F118=""),"",F118/E118)</f>
        <v/>
      </c>
      <c r="I118" s="11">
        <f>IF(R118="","",D118-R118)</f>
        <v/>
      </c>
      <c r="J118" s="35">
        <f>IF(R118="","",SUMIFS(Fuel!$E$6:$E$605,Fuel!$C$6:$C$605,C118,Fuel!$D$6:$D$605,"&gt;"&amp;R118,Fuel!$D$6:$D$605,"&lt;="&amp;D118))</f>
        <v/>
      </c>
      <c r="K118" s="36">
        <f>IF(OR(I118="",N(I118)=0),"",J118/I118*100)</f>
        <v/>
      </c>
      <c r="L118" s="36">
        <f>IF(OR(J118="",N(J118)=0),"",I118/J118)</f>
        <v/>
      </c>
      <c r="M118" s="1" t="n"/>
      <c r="N118">
        <f>IF(OR(C118="",N(D118)=0),"",D118+ROW()/10000000)</f>
        <v/>
      </c>
      <c r="O118">
        <f>IF(N118="","",COUNTIFS(Fuel!$C$6:$C$605,C118,Fuel!$N$6:$N$605,"&gt;"&amp;N118))</f>
        <v/>
      </c>
      <c r="P118">
        <f>IF(OR(N118="",G118=""),"",COUNTIFS(Fuel!$C$6:$C$605,C118,Fuel!$G$6:$G$605,"&lt;&gt;",Fuel!$N$6:$N$605,"&lt;"&amp;N118))</f>
        <v/>
      </c>
      <c r="R118">
        <f>IF(OR(P118="",N(P118)=0),"",SUMIFS(Fuel!$D$6:$D$605,Fuel!$C$6:$C$605,C118,Fuel!$P$6:$P$605,P118-1))</f>
        <v/>
      </c>
    </row>
    <row r="119">
      <c r="A119" s="1" t="n"/>
      <c r="B119" s="29" t="n"/>
      <c r="C119" s="24" t="n"/>
      <c r="D119" s="28" t="n"/>
      <c r="E119" s="33" t="n"/>
      <c r="F119" s="34" t="n"/>
      <c r="G119" s="27" t="n"/>
      <c r="H119" s="14">
        <f>IF(OR(N(E119)=0,F119=""),"",F119/E119)</f>
        <v/>
      </c>
      <c r="I119" s="11">
        <f>IF(R119="","",D119-R119)</f>
        <v/>
      </c>
      <c r="J119" s="35">
        <f>IF(R119="","",SUMIFS(Fuel!$E$6:$E$605,Fuel!$C$6:$C$605,C119,Fuel!$D$6:$D$605,"&gt;"&amp;R119,Fuel!$D$6:$D$605,"&lt;="&amp;D119))</f>
        <v/>
      </c>
      <c r="K119" s="36">
        <f>IF(OR(I119="",N(I119)=0),"",J119/I119*100)</f>
        <v/>
      </c>
      <c r="L119" s="36">
        <f>IF(OR(J119="",N(J119)=0),"",I119/J119)</f>
        <v/>
      </c>
      <c r="M119" s="1" t="n"/>
      <c r="N119">
        <f>IF(OR(C119="",N(D119)=0),"",D119+ROW()/10000000)</f>
        <v/>
      </c>
      <c r="O119">
        <f>IF(N119="","",COUNTIFS(Fuel!$C$6:$C$605,C119,Fuel!$N$6:$N$605,"&gt;"&amp;N119))</f>
        <v/>
      </c>
      <c r="P119">
        <f>IF(OR(N119="",G119=""),"",COUNTIFS(Fuel!$C$6:$C$605,C119,Fuel!$G$6:$G$605,"&lt;&gt;",Fuel!$N$6:$N$605,"&lt;"&amp;N119))</f>
        <v/>
      </c>
      <c r="R119">
        <f>IF(OR(P119="",N(P119)=0),"",SUMIFS(Fuel!$D$6:$D$605,Fuel!$C$6:$C$605,C119,Fuel!$P$6:$P$605,P119-1))</f>
        <v/>
      </c>
    </row>
    <row r="120">
      <c r="A120" s="1" t="n"/>
      <c r="B120" s="29" t="n"/>
      <c r="C120" s="24" t="n"/>
      <c r="D120" s="28" t="n"/>
      <c r="E120" s="33" t="n"/>
      <c r="F120" s="34" t="n"/>
      <c r="G120" s="27" t="n"/>
      <c r="H120" s="14">
        <f>IF(OR(N(E120)=0,F120=""),"",F120/E120)</f>
        <v/>
      </c>
      <c r="I120" s="11">
        <f>IF(R120="","",D120-R120)</f>
        <v/>
      </c>
      <c r="J120" s="35">
        <f>IF(R120="","",SUMIFS(Fuel!$E$6:$E$605,Fuel!$C$6:$C$605,C120,Fuel!$D$6:$D$605,"&gt;"&amp;R120,Fuel!$D$6:$D$605,"&lt;="&amp;D120))</f>
        <v/>
      </c>
      <c r="K120" s="36">
        <f>IF(OR(I120="",N(I120)=0),"",J120/I120*100)</f>
        <v/>
      </c>
      <c r="L120" s="36">
        <f>IF(OR(J120="",N(J120)=0),"",I120/J120)</f>
        <v/>
      </c>
      <c r="M120" s="1" t="n"/>
      <c r="N120">
        <f>IF(OR(C120="",N(D120)=0),"",D120+ROW()/10000000)</f>
        <v/>
      </c>
      <c r="O120">
        <f>IF(N120="","",COUNTIFS(Fuel!$C$6:$C$605,C120,Fuel!$N$6:$N$605,"&gt;"&amp;N120))</f>
        <v/>
      </c>
      <c r="P120">
        <f>IF(OR(N120="",G120=""),"",COUNTIFS(Fuel!$C$6:$C$605,C120,Fuel!$G$6:$G$605,"&lt;&gt;",Fuel!$N$6:$N$605,"&lt;"&amp;N120))</f>
        <v/>
      </c>
      <c r="R120">
        <f>IF(OR(P120="",N(P120)=0),"",SUMIFS(Fuel!$D$6:$D$605,Fuel!$C$6:$C$605,C120,Fuel!$P$6:$P$605,P120-1))</f>
        <v/>
      </c>
    </row>
    <row r="121">
      <c r="A121" s="1" t="n"/>
      <c r="B121" s="29" t="n"/>
      <c r="C121" s="24" t="n"/>
      <c r="D121" s="28" t="n"/>
      <c r="E121" s="33" t="n"/>
      <c r="F121" s="34" t="n"/>
      <c r="G121" s="27" t="n"/>
      <c r="H121" s="14">
        <f>IF(OR(N(E121)=0,F121=""),"",F121/E121)</f>
        <v/>
      </c>
      <c r="I121" s="11">
        <f>IF(R121="","",D121-R121)</f>
        <v/>
      </c>
      <c r="J121" s="35">
        <f>IF(R121="","",SUMIFS(Fuel!$E$6:$E$605,Fuel!$C$6:$C$605,C121,Fuel!$D$6:$D$605,"&gt;"&amp;R121,Fuel!$D$6:$D$605,"&lt;="&amp;D121))</f>
        <v/>
      </c>
      <c r="K121" s="36">
        <f>IF(OR(I121="",N(I121)=0),"",J121/I121*100)</f>
        <v/>
      </c>
      <c r="L121" s="36">
        <f>IF(OR(J121="",N(J121)=0),"",I121/J121)</f>
        <v/>
      </c>
      <c r="M121" s="1" t="n"/>
      <c r="N121">
        <f>IF(OR(C121="",N(D121)=0),"",D121+ROW()/10000000)</f>
        <v/>
      </c>
      <c r="O121">
        <f>IF(N121="","",COUNTIFS(Fuel!$C$6:$C$605,C121,Fuel!$N$6:$N$605,"&gt;"&amp;N121))</f>
        <v/>
      </c>
      <c r="P121">
        <f>IF(OR(N121="",G121=""),"",COUNTIFS(Fuel!$C$6:$C$605,C121,Fuel!$G$6:$G$605,"&lt;&gt;",Fuel!$N$6:$N$605,"&lt;"&amp;N121))</f>
        <v/>
      </c>
      <c r="R121">
        <f>IF(OR(P121="",N(P121)=0),"",SUMIFS(Fuel!$D$6:$D$605,Fuel!$C$6:$C$605,C121,Fuel!$P$6:$P$605,P121-1))</f>
        <v/>
      </c>
    </row>
    <row r="122">
      <c r="A122" s="1" t="n"/>
      <c r="B122" s="29" t="n"/>
      <c r="C122" s="24" t="n"/>
      <c r="D122" s="28" t="n"/>
      <c r="E122" s="33" t="n"/>
      <c r="F122" s="34" t="n"/>
      <c r="G122" s="27" t="n"/>
      <c r="H122" s="14">
        <f>IF(OR(N(E122)=0,F122=""),"",F122/E122)</f>
        <v/>
      </c>
      <c r="I122" s="11">
        <f>IF(R122="","",D122-R122)</f>
        <v/>
      </c>
      <c r="J122" s="35">
        <f>IF(R122="","",SUMIFS(Fuel!$E$6:$E$605,Fuel!$C$6:$C$605,C122,Fuel!$D$6:$D$605,"&gt;"&amp;R122,Fuel!$D$6:$D$605,"&lt;="&amp;D122))</f>
        <v/>
      </c>
      <c r="K122" s="36">
        <f>IF(OR(I122="",N(I122)=0),"",J122/I122*100)</f>
        <v/>
      </c>
      <c r="L122" s="36">
        <f>IF(OR(J122="",N(J122)=0),"",I122/J122)</f>
        <v/>
      </c>
      <c r="M122" s="1" t="n"/>
      <c r="N122">
        <f>IF(OR(C122="",N(D122)=0),"",D122+ROW()/10000000)</f>
        <v/>
      </c>
      <c r="O122">
        <f>IF(N122="","",COUNTIFS(Fuel!$C$6:$C$605,C122,Fuel!$N$6:$N$605,"&gt;"&amp;N122))</f>
        <v/>
      </c>
      <c r="P122">
        <f>IF(OR(N122="",G122=""),"",COUNTIFS(Fuel!$C$6:$C$605,C122,Fuel!$G$6:$G$605,"&lt;&gt;",Fuel!$N$6:$N$605,"&lt;"&amp;N122))</f>
        <v/>
      </c>
      <c r="R122">
        <f>IF(OR(P122="",N(P122)=0),"",SUMIFS(Fuel!$D$6:$D$605,Fuel!$C$6:$C$605,C122,Fuel!$P$6:$P$605,P122-1))</f>
        <v/>
      </c>
    </row>
    <row r="123">
      <c r="A123" s="1" t="n"/>
      <c r="B123" s="29" t="n"/>
      <c r="C123" s="24" t="n"/>
      <c r="D123" s="28" t="n"/>
      <c r="E123" s="33" t="n"/>
      <c r="F123" s="34" t="n"/>
      <c r="G123" s="27" t="n"/>
      <c r="H123" s="14">
        <f>IF(OR(N(E123)=0,F123=""),"",F123/E123)</f>
        <v/>
      </c>
      <c r="I123" s="11">
        <f>IF(R123="","",D123-R123)</f>
        <v/>
      </c>
      <c r="J123" s="35">
        <f>IF(R123="","",SUMIFS(Fuel!$E$6:$E$605,Fuel!$C$6:$C$605,C123,Fuel!$D$6:$D$605,"&gt;"&amp;R123,Fuel!$D$6:$D$605,"&lt;="&amp;D123))</f>
        <v/>
      </c>
      <c r="K123" s="36">
        <f>IF(OR(I123="",N(I123)=0),"",J123/I123*100)</f>
        <v/>
      </c>
      <c r="L123" s="36">
        <f>IF(OR(J123="",N(J123)=0),"",I123/J123)</f>
        <v/>
      </c>
      <c r="M123" s="1" t="n"/>
      <c r="N123">
        <f>IF(OR(C123="",N(D123)=0),"",D123+ROW()/10000000)</f>
        <v/>
      </c>
      <c r="O123">
        <f>IF(N123="","",COUNTIFS(Fuel!$C$6:$C$605,C123,Fuel!$N$6:$N$605,"&gt;"&amp;N123))</f>
        <v/>
      </c>
      <c r="P123">
        <f>IF(OR(N123="",G123=""),"",COUNTIFS(Fuel!$C$6:$C$605,C123,Fuel!$G$6:$G$605,"&lt;&gt;",Fuel!$N$6:$N$605,"&lt;"&amp;N123))</f>
        <v/>
      </c>
      <c r="R123">
        <f>IF(OR(P123="",N(P123)=0),"",SUMIFS(Fuel!$D$6:$D$605,Fuel!$C$6:$C$605,C123,Fuel!$P$6:$P$605,P123-1))</f>
        <v/>
      </c>
    </row>
    <row r="124">
      <c r="A124" s="1" t="n"/>
      <c r="B124" s="29" t="n"/>
      <c r="C124" s="24" t="n"/>
      <c r="D124" s="28" t="n"/>
      <c r="E124" s="33" t="n"/>
      <c r="F124" s="34" t="n"/>
      <c r="G124" s="27" t="n"/>
      <c r="H124" s="14">
        <f>IF(OR(N(E124)=0,F124=""),"",F124/E124)</f>
        <v/>
      </c>
      <c r="I124" s="11">
        <f>IF(R124="","",D124-R124)</f>
        <v/>
      </c>
      <c r="J124" s="35">
        <f>IF(R124="","",SUMIFS(Fuel!$E$6:$E$605,Fuel!$C$6:$C$605,C124,Fuel!$D$6:$D$605,"&gt;"&amp;R124,Fuel!$D$6:$D$605,"&lt;="&amp;D124))</f>
        <v/>
      </c>
      <c r="K124" s="36">
        <f>IF(OR(I124="",N(I124)=0),"",J124/I124*100)</f>
        <v/>
      </c>
      <c r="L124" s="36">
        <f>IF(OR(J124="",N(J124)=0),"",I124/J124)</f>
        <v/>
      </c>
      <c r="M124" s="1" t="n"/>
      <c r="N124">
        <f>IF(OR(C124="",N(D124)=0),"",D124+ROW()/10000000)</f>
        <v/>
      </c>
      <c r="O124">
        <f>IF(N124="","",COUNTIFS(Fuel!$C$6:$C$605,C124,Fuel!$N$6:$N$605,"&gt;"&amp;N124))</f>
        <v/>
      </c>
      <c r="P124">
        <f>IF(OR(N124="",G124=""),"",COUNTIFS(Fuel!$C$6:$C$605,C124,Fuel!$G$6:$G$605,"&lt;&gt;",Fuel!$N$6:$N$605,"&lt;"&amp;N124))</f>
        <v/>
      </c>
      <c r="R124">
        <f>IF(OR(P124="",N(P124)=0),"",SUMIFS(Fuel!$D$6:$D$605,Fuel!$C$6:$C$605,C124,Fuel!$P$6:$P$605,P124-1))</f>
        <v/>
      </c>
    </row>
    <row r="125">
      <c r="A125" s="1" t="n"/>
      <c r="B125" s="29" t="n"/>
      <c r="C125" s="24" t="n"/>
      <c r="D125" s="28" t="n"/>
      <c r="E125" s="33" t="n"/>
      <c r="F125" s="34" t="n"/>
      <c r="G125" s="27" t="n"/>
      <c r="H125" s="14">
        <f>IF(OR(N(E125)=0,F125=""),"",F125/E125)</f>
        <v/>
      </c>
      <c r="I125" s="11">
        <f>IF(R125="","",D125-R125)</f>
        <v/>
      </c>
      <c r="J125" s="35">
        <f>IF(R125="","",SUMIFS(Fuel!$E$6:$E$605,Fuel!$C$6:$C$605,C125,Fuel!$D$6:$D$605,"&gt;"&amp;R125,Fuel!$D$6:$D$605,"&lt;="&amp;D125))</f>
        <v/>
      </c>
      <c r="K125" s="36">
        <f>IF(OR(I125="",N(I125)=0),"",J125/I125*100)</f>
        <v/>
      </c>
      <c r="L125" s="36">
        <f>IF(OR(J125="",N(J125)=0),"",I125/J125)</f>
        <v/>
      </c>
      <c r="M125" s="1" t="n"/>
      <c r="N125">
        <f>IF(OR(C125="",N(D125)=0),"",D125+ROW()/10000000)</f>
        <v/>
      </c>
      <c r="O125">
        <f>IF(N125="","",COUNTIFS(Fuel!$C$6:$C$605,C125,Fuel!$N$6:$N$605,"&gt;"&amp;N125))</f>
        <v/>
      </c>
      <c r="P125">
        <f>IF(OR(N125="",G125=""),"",COUNTIFS(Fuel!$C$6:$C$605,C125,Fuel!$G$6:$G$605,"&lt;&gt;",Fuel!$N$6:$N$605,"&lt;"&amp;N125))</f>
        <v/>
      </c>
      <c r="R125">
        <f>IF(OR(P125="",N(P125)=0),"",SUMIFS(Fuel!$D$6:$D$605,Fuel!$C$6:$C$605,C125,Fuel!$P$6:$P$605,P125-1))</f>
        <v/>
      </c>
    </row>
    <row r="126">
      <c r="A126" s="1" t="n"/>
      <c r="B126" s="29" t="n"/>
      <c r="C126" s="24" t="n"/>
      <c r="D126" s="28" t="n"/>
      <c r="E126" s="33" t="n"/>
      <c r="F126" s="34" t="n"/>
      <c r="G126" s="27" t="n"/>
      <c r="H126" s="14">
        <f>IF(OR(N(E126)=0,F126=""),"",F126/E126)</f>
        <v/>
      </c>
      <c r="I126" s="11">
        <f>IF(R126="","",D126-R126)</f>
        <v/>
      </c>
      <c r="J126" s="35">
        <f>IF(R126="","",SUMIFS(Fuel!$E$6:$E$605,Fuel!$C$6:$C$605,C126,Fuel!$D$6:$D$605,"&gt;"&amp;R126,Fuel!$D$6:$D$605,"&lt;="&amp;D126))</f>
        <v/>
      </c>
      <c r="K126" s="36">
        <f>IF(OR(I126="",N(I126)=0),"",J126/I126*100)</f>
        <v/>
      </c>
      <c r="L126" s="36">
        <f>IF(OR(J126="",N(J126)=0),"",I126/J126)</f>
        <v/>
      </c>
      <c r="M126" s="1" t="n"/>
      <c r="N126">
        <f>IF(OR(C126="",N(D126)=0),"",D126+ROW()/10000000)</f>
        <v/>
      </c>
      <c r="O126">
        <f>IF(N126="","",COUNTIFS(Fuel!$C$6:$C$605,C126,Fuel!$N$6:$N$605,"&gt;"&amp;N126))</f>
        <v/>
      </c>
      <c r="P126">
        <f>IF(OR(N126="",G126=""),"",COUNTIFS(Fuel!$C$6:$C$605,C126,Fuel!$G$6:$G$605,"&lt;&gt;",Fuel!$N$6:$N$605,"&lt;"&amp;N126))</f>
        <v/>
      </c>
      <c r="R126">
        <f>IF(OR(P126="",N(P126)=0),"",SUMIFS(Fuel!$D$6:$D$605,Fuel!$C$6:$C$605,C126,Fuel!$P$6:$P$605,P126-1))</f>
        <v/>
      </c>
    </row>
    <row r="127">
      <c r="A127" s="1" t="n"/>
      <c r="B127" s="29" t="n"/>
      <c r="C127" s="24" t="n"/>
      <c r="D127" s="28" t="n"/>
      <c r="E127" s="33" t="n"/>
      <c r="F127" s="34" t="n"/>
      <c r="G127" s="27" t="n"/>
      <c r="H127" s="14">
        <f>IF(OR(N(E127)=0,F127=""),"",F127/E127)</f>
        <v/>
      </c>
      <c r="I127" s="11">
        <f>IF(R127="","",D127-R127)</f>
        <v/>
      </c>
      <c r="J127" s="35">
        <f>IF(R127="","",SUMIFS(Fuel!$E$6:$E$605,Fuel!$C$6:$C$605,C127,Fuel!$D$6:$D$605,"&gt;"&amp;R127,Fuel!$D$6:$D$605,"&lt;="&amp;D127))</f>
        <v/>
      </c>
      <c r="K127" s="36">
        <f>IF(OR(I127="",N(I127)=0),"",J127/I127*100)</f>
        <v/>
      </c>
      <c r="L127" s="36">
        <f>IF(OR(J127="",N(J127)=0),"",I127/J127)</f>
        <v/>
      </c>
      <c r="M127" s="1" t="n"/>
      <c r="N127">
        <f>IF(OR(C127="",N(D127)=0),"",D127+ROW()/10000000)</f>
        <v/>
      </c>
      <c r="O127">
        <f>IF(N127="","",COUNTIFS(Fuel!$C$6:$C$605,C127,Fuel!$N$6:$N$605,"&gt;"&amp;N127))</f>
        <v/>
      </c>
      <c r="P127">
        <f>IF(OR(N127="",G127=""),"",COUNTIFS(Fuel!$C$6:$C$605,C127,Fuel!$G$6:$G$605,"&lt;&gt;",Fuel!$N$6:$N$605,"&lt;"&amp;N127))</f>
        <v/>
      </c>
      <c r="R127">
        <f>IF(OR(P127="",N(P127)=0),"",SUMIFS(Fuel!$D$6:$D$605,Fuel!$C$6:$C$605,C127,Fuel!$P$6:$P$605,P127-1))</f>
        <v/>
      </c>
    </row>
    <row r="128">
      <c r="A128" s="1" t="n"/>
      <c r="B128" s="29" t="n"/>
      <c r="C128" s="24" t="n"/>
      <c r="D128" s="28" t="n"/>
      <c r="E128" s="33" t="n"/>
      <c r="F128" s="34" t="n"/>
      <c r="G128" s="27" t="n"/>
      <c r="H128" s="14">
        <f>IF(OR(N(E128)=0,F128=""),"",F128/E128)</f>
        <v/>
      </c>
      <c r="I128" s="11">
        <f>IF(R128="","",D128-R128)</f>
        <v/>
      </c>
      <c r="J128" s="35">
        <f>IF(R128="","",SUMIFS(Fuel!$E$6:$E$605,Fuel!$C$6:$C$605,C128,Fuel!$D$6:$D$605,"&gt;"&amp;R128,Fuel!$D$6:$D$605,"&lt;="&amp;D128))</f>
        <v/>
      </c>
      <c r="K128" s="36">
        <f>IF(OR(I128="",N(I128)=0),"",J128/I128*100)</f>
        <v/>
      </c>
      <c r="L128" s="36">
        <f>IF(OR(J128="",N(J128)=0),"",I128/J128)</f>
        <v/>
      </c>
      <c r="M128" s="1" t="n"/>
      <c r="N128">
        <f>IF(OR(C128="",N(D128)=0),"",D128+ROW()/10000000)</f>
        <v/>
      </c>
      <c r="O128">
        <f>IF(N128="","",COUNTIFS(Fuel!$C$6:$C$605,C128,Fuel!$N$6:$N$605,"&gt;"&amp;N128))</f>
        <v/>
      </c>
      <c r="P128">
        <f>IF(OR(N128="",G128=""),"",COUNTIFS(Fuel!$C$6:$C$605,C128,Fuel!$G$6:$G$605,"&lt;&gt;",Fuel!$N$6:$N$605,"&lt;"&amp;N128))</f>
        <v/>
      </c>
      <c r="R128">
        <f>IF(OR(P128="",N(P128)=0),"",SUMIFS(Fuel!$D$6:$D$605,Fuel!$C$6:$C$605,C128,Fuel!$P$6:$P$605,P128-1))</f>
        <v/>
      </c>
    </row>
    <row r="129">
      <c r="A129" s="1" t="n"/>
      <c r="B129" s="29" t="n"/>
      <c r="C129" s="24" t="n"/>
      <c r="D129" s="28" t="n"/>
      <c r="E129" s="33" t="n"/>
      <c r="F129" s="34" t="n"/>
      <c r="G129" s="27" t="n"/>
      <c r="H129" s="14">
        <f>IF(OR(N(E129)=0,F129=""),"",F129/E129)</f>
        <v/>
      </c>
      <c r="I129" s="11">
        <f>IF(R129="","",D129-R129)</f>
        <v/>
      </c>
      <c r="J129" s="35">
        <f>IF(R129="","",SUMIFS(Fuel!$E$6:$E$605,Fuel!$C$6:$C$605,C129,Fuel!$D$6:$D$605,"&gt;"&amp;R129,Fuel!$D$6:$D$605,"&lt;="&amp;D129))</f>
        <v/>
      </c>
      <c r="K129" s="36">
        <f>IF(OR(I129="",N(I129)=0),"",J129/I129*100)</f>
        <v/>
      </c>
      <c r="L129" s="36">
        <f>IF(OR(J129="",N(J129)=0),"",I129/J129)</f>
        <v/>
      </c>
      <c r="M129" s="1" t="n"/>
      <c r="N129">
        <f>IF(OR(C129="",N(D129)=0),"",D129+ROW()/10000000)</f>
        <v/>
      </c>
      <c r="O129">
        <f>IF(N129="","",COUNTIFS(Fuel!$C$6:$C$605,C129,Fuel!$N$6:$N$605,"&gt;"&amp;N129))</f>
        <v/>
      </c>
      <c r="P129">
        <f>IF(OR(N129="",G129=""),"",COUNTIFS(Fuel!$C$6:$C$605,C129,Fuel!$G$6:$G$605,"&lt;&gt;",Fuel!$N$6:$N$605,"&lt;"&amp;N129))</f>
        <v/>
      </c>
      <c r="R129">
        <f>IF(OR(P129="",N(P129)=0),"",SUMIFS(Fuel!$D$6:$D$605,Fuel!$C$6:$C$605,C129,Fuel!$P$6:$P$605,P129-1))</f>
        <v/>
      </c>
    </row>
    <row r="130">
      <c r="A130" s="1" t="n"/>
      <c r="B130" s="29" t="n"/>
      <c r="C130" s="24" t="n"/>
      <c r="D130" s="28" t="n"/>
      <c r="E130" s="33" t="n"/>
      <c r="F130" s="34" t="n"/>
      <c r="G130" s="27" t="n"/>
      <c r="H130" s="14">
        <f>IF(OR(N(E130)=0,F130=""),"",F130/E130)</f>
        <v/>
      </c>
      <c r="I130" s="11">
        <f>IF(R130="","",D130-R130)</f>
        <v/>
      </c>
      <c r="J130" s="35">
        <f>IF(R130="","",SUMIFS(Fuel!$E$6:$E$605,Fuel!$C$6:$C$605,C130,Fuel!$D$6:$D$605,"&gt;"&amp;R130,Fuel!$D$6:$D$605,"&lt;="&amp;D130))</f>
        <v/>
      </c>
      <c r="K130" s="36">
        <f>IF(OR(I130="",N(I130)=0),"",J130/I130*100)</f>
        <v/>
      </c>
      <c r="L130" s="36">
        <f>IF(OR(J130="",N(J130)=0),"",I130/J130)</f>
        <v/>
      </c>
      <c r="M130" s="1" t="n"/>
      <c r="N130">
        <f>IF(OR(C130="",N(D130)=0),"",D130+ROW()/10000000)</f>
        <v/>
      </c>
      <c r="O130">
        <f>IF(N130="","",COUNTIFS(Fuel!$C$6:$C$605,C130,Fuel!$N$6:$N$605,"&gt;"&amp;N130))</f>
        <v/>
      </c>
      <c r="P130">
        <f>IF(OR(N130="",G130=""),"",COUNTIFS(Fuel!$C$6:$C$605,C130,Fuel!$G$6:$G$605,"&lt;&gt;",Fuel!$N$6:$N$605,"&lt;"&amp;N130))</f>
        <v/>
      </c>
      <c r="R130">
        <f>IF(OR(P130="",N(P130)=0),"",SUMIFS(Fuel!$D$6:$D$605,Fuel!$C$6:$C$605,C130,Fuel!$P$6:$P$605,P130-1))</f>
        <v/>
      </c>
    </row>
    <row r="131">
      <c r="A131" s="1" t="n"/>
      <c r="B131" s="29" t="n"/>
      <c r="C131" s="24" t="n"/>
      <c r="D131" s="28" t="n"/>
      <c r="E131" s="33" t="n"/>
      <c r="F131" s="34" t="n"/>
      <c r="G131" s="27" t="n"/>
      <c r="H131" s="14">
        <f>IF(OR(N(E131)=0,F131=""),"",F131/E131)</f>
        <v/>
      </c>
      <c r="I131" s="11">
        <f>IF(R131="","",D131-R131)</f>
        <v/>
      </c>
      <c r="J131" s="35">
        <f>IF(R131="","",SUMIFS(Fuel!$E$6:$E$605,Fuel!$C$6:$C$605,C131,Fuel!$D$6:$D$605,"&gt;"&amp;R131,Fuel!$D$6:$D$605,"&lt;="&amp;D131))</f>
        <v/>
      </c>
      <c r="K131" s="36">
        <f>IF(OR(I131="",N(I131)=0),"",J131/I131*100)</f>
        <v/>
      </c>
      <c r="L131" s="36">
        <f>IF(OR(J131="",N(J131)=0),"",I131/J131)</f>
        <v/>
      </c>
      <c r="M131" s="1" t="n"/>
      <c r="N131">
        <f>IF(OR(C131="",N(D131)=0),"",D131+ROW()/10000000)</f>
        <v/>
      </c>
      <c r="O131">
        <f>IF(N131="","",COUNTIFS(Fuel!$C$6:$C$605,C131,Fuel!$N$6:$N$605,"&gt;"&amp;N131))</f>
        <v/>
      </c>
      <c r="P131">
        <f>IF(OR(N131="",G131=""),"",COUNTIFS(Fuel!$C$6:$C$605,C131,Fuel!$G$6:$G$605,"&lt;&gt;",Fuel!$N$6:$N$605,"&lt;"&amp;N131))</f>
        <v/>
      </c>
      <c r="R131">
        <f>IF(OR(P131="",N(P131)=0),"",SUMIFS(Fuel!$D$6:$D$605,Fuel!$C$6:$C$605,C131,Fuel!$P$6:$P$605,P131-1))</f>
        <v/>
      </c>
    </row>
    <row r="132">
      <c r="A132" s="1" t="n"/>
      <c r="B132" s="29" t="n"/>
      <c r="C132" s="24" t="n"/>
      <c r="D132" s="28" t="n"/>
      <c r="E132" s="33" t="n"/>
      <c r="F132" s="34" t="n"/>
      <c r="G132" s="27" t="n"/>
      <c r="H132" s="14">
        <f>IF(OR(N(E132)=0,F132=""),"",F132/E132)</f>
        <v/>
      </c>
      <c r="I132" s="11">
        <f>IF(R132="","",D132-R132)</f>
        <v/>
      </c>
      <c r="J132" s="35">
        <f>IF(R132="","",SUMIFS(Fuel!$E$6:$E$605,Fuel!$C$6:$C$605,C132,Fuel!$D$6:$D$605,"&gt;"&amp;R132,Fuel!$D$6:$D$605,"&lt;="&amp;D132))</f>
        <v/>
      </c>
      <c r="K132" s="36">
        <f>IF(OR(I132="",N(I132)=0),"",J132/I132*100)</f>
        <v/>
      </c>
      <c r="L132" s="36">
        <f>IF(OR(J132="",N(J132)=0),"",I132/J132)</f>
        <v/>
      </c>
      <c r="M132" s="1" t="n"/>
      <c r="N132">
        <f>IF(OR(C132="",N(D132)=0),"",D132+ROW()/10000000)</f>
        <v/>
      </c>
      <c r="O132">
        <f>IF(N132="","",COUNTIFS(Fuel!$C$6:$C$605,C132,Fuel!$N$6:$N$605,"&gt;"&amp;N132))</f>
        <v/>
      </c>
      <c r="P132">
        <f>IF(OR(N132="",G132=""),"",COUNTIFS(Fuel!$C$6:$C$605,C132,Fuel!$G$6:$G$605,"&lt;&gt;",Fuel!$N$6:$N$605,"&lt;"&amp;N132))</f>
        <v/>
      </c>
      <c r="R132">
        <f>IF(OR(P132="",N(P132)=0),"",SUMIFS(Fuel!$D$6:$D$605,Fuel!$C$6:$C$605,C132,Fuel!$P$6:$P$605,P132-1))</f>
        <v/>
      </c>
    </row>
    <row r="133">
      <c r="A133" s="1" t="n"/>
      <c r="B133" s="29" t="n"/>
      <c r="C133" s="24" t="n"/>
      <c r="D133" s="28" t="n"/>
      <c r="E133" s="33" t="n"/>
      <c r="F133" s="34" t="n"/>
      <c r="G133" s="27" t="n"/>
      <c r="H133" s="14">
        <f>IF(OR(N(E133)=0,F133=""),"",F133/E133)</f>
        <v/>
      </c>
      <c r="I133" s="11">
        <f>IF(R133="","",D133-R133)</f>
        <v/>
      </c>
      <c r="J133" s="35">
        <f>IF(R133="","",SUMIFS(Fuel!$E$6:$E$605,Fuel!$C$6:$C$605,C133,Fuel!$D$6:$D$605,"&gt;"&amp;R133,Fuel!$D$6:$D$605,"&lt;="&amp;D133))</f>
        <v/>
      </c>
      <c r="K133" s="36">
        <f>IF(OR(I133="",N(I133)=0),"",J133/I133*100)</f>
        <v/>
      </c>
      <c r="L133" s="36">
        <f>IF(OR(J133="",N(J133)=0),"",I133/J133)</f>
        <v/>
      </c>
      <c r="M133" s="1" t="n"/>
      <c r="N133">
        <f>IF(OR(C133="",N(D133)=0),"",D133+ROW()/10000000)</f>
        <v/>
      </c>
      <c r="O133">
        <f>IF(N133="","",COUNTIFS(Fuel!$C$6:$C$605,C133,Fuel!$N$6:$N$605,"&gt;"&amp;N133))</f>
        <v/>
      </c>
      <c r="P133">
        <f>IF(OR(N133="",G133=""),"",COUNTIFS(Fuel!$C$6:$C$605,C133,Fuel!$G$6:$G$605,"&lt;&gt;",Fuel!$N$6:$N$605,"&lt;"&amp;N133))</f>
        <v/>
      </c>
      <c r="R133">
        <f>IF(OR(P133="",N(P133)=0),"",SUMIFS(Fuel!$D$6:$D$605,Fuel!$C$6:$C$605,C133,Fuel!$P$6:$P$605,P133-1))</f>
        <v/>
      </c>
    </row>
    <row r="134">
      <c r="A134" s="1" t="n"/>
      <c r="B134" s="29" t="n"/>
      <c r="C134" s="24" t="n"/>
      <c r="D134" s="28" t="n"/>
      <c r="E134" s="33" t="n"/>
      <c r="F134" s="34" t="n"/>
      <c r="G134" s="27" t="n"/>
      <c r="H134" s="14">
        <f>IF(OR(N(E134)=0,F134=""),"",F134/E134)</f>
        <v/>
      </c>
      <c r="I134" s="11">
        <f>IF(R134="","",D134-R134)</f>
        <v/>
      </c>
      <c r="J134" s="35">
        <f>IF(R134="","",SUMIFS(Fuel!$E$6:$E$605,Fuel!$C$6:$C$605,C134,Fuel!$D$6:$D$605,"&gt;"&amp;R134,Fuel!$D$6:$D$605,"&lt;="&amp;D134))</f>
        <v/>
      </c>
      <c r="K134" s="36">
        <f>IF(OR(I134="",N(I134)=0),"",J134/I134*100)</f>
        <v/>
      </c>
      <c r="L134" s="36">
        <f>IF(OR(J134="",N(J134)=0),"",I134/J134)</f>
        <v/>
      </c>
      <c r="M134" s="1" t="n"/>
      <c r="N134">
        <f>IF(OR(C134="",N(D134)=0),"",D134+ROW()/10000000)</f>
        <v/>
      </c>
      <c r="O134">
        <f>IF(N134="","",COUNTIFS(Fuel!$C$6:$C$605,C134,Fuel!$N$6:$N$605,"&gt;"&amp;N134))</f>
        <v/>
      </c>
      <c r="P134">
        <f>IF(OR(N134="",G134=""),"",COUNTIFS(Fuel!$C$6:$C$605,C134,Fuel!$G$6:$G$605,"&lt;&gt;",Fuel!$N$6:$N$605,"&lt;"&amp;N134))</f>
        <v/>
      </c>
      <c r="R134">
        <f>IF(OR(P134="",N(P134)=0),"",SUMIFS(Fuel!$D$6:$D$605,Fuel!$C$6:$C$605,C134,Fuel!$P$6:$P$605,P134-1))</f>
        <v/>
      </c>
    </row>
    <row r="135">
      <c r="A135" s="1" t="n"/>
      <c r="B135" s="29" t="n"/>
      <c r="C135" s="24" t="n"/>
      <c r="D135" s="28" t="n"/>
      <c r="E135" s="33" t="n"/>
      <c r="F135" s="34" t="n"/>
      <c r="G135" s="27" t="n"/>
      <c r="H135" s="14">
        <f>IF(OR(N(E135)=0,F135=""),"",F135/E135)</f>
        <v/>
      </c>
      <c r="I135" s="11">
        <f>IF(R135="","",D135-R135)</f>
        <v/>
      </c>
      <c r="J135" s="35">
        <f>IF(R135="","",SUMIFS(Fuel!$E$6:$E$605,Fuel!$C$6:$C$605,C135,Fuel!$D$6:$D$605,"&gt;"&amp;R135,Fuel!$D$6:$D$605,"&lt;="&amp;D135))</f>
        <v/>
      </c>
      <c r="K135" s="36">
        <f>IF(OR(I135="",N(I135)=0),"",J135/I135*100)</f>
        <v/>
      </c>
      <c r="L135" s="36">
        <f>IF(OR(J135="",N(J135)=0),"",I135/J135)</f>
        <v/>
      </c>
      <c r="M135" s="1" t="n"/>
      <c r="N135">
        <f>IF(OR(C135="",N(D135)=0),"",D135+ROW()/10000000)</f>
        <v/>
      </c>
      <c r="O135">
        <f>IF(N135="","",COUNTIFS(Fuel!$C$6:$C$605,C135,Fuel!$N$6:$N$605,"&gt;"&amp;N135))</f>
        <v/>
      </c>
      <c r="P135">
        <f>IF(OR(N135="",G135=""),"",COUNTIFS(Fuel!$C$6:$C$605,C135,Fuel!$G$6:$G$605,"&lt;&gt;",Fuel!$N$6:$N$605,"&lt;"&amp;N135))</f>
        <v/>
      </c>
      <c r="R135">
        <f>IF(OR(P135="",N(P135)=0),"",SUMIFS(Fuel!$D$6:$D$605,Fuel!$C$6:$C$605,C135,Fuel!$P$6:$P$605,P135-1))</f>
        <v/>
      </c>
    </row>
    <row r="136">
      <c r="A136" s="1" t="n"/>
      <c r="B136" s="29" t="n"/>
      <c r="C136" s="24" t="n"/>
      <c r="D136" s="28" t="n"/>
      <c r="E136" s="33" t="n"/>
      <c r="F136" s="34" t="n"/>
      <c r="G136" s="27" t="n"/>
      <c r="H136" s="14">
        <f>IF(OR(N(E136)=0,F136=""),"",F136/E136)</f>
        <v/>
      </c>
      <c r="I136" s="11">
        <f>IF(R136="","",D136-R136)</f>
        <v/>
      </c>
      <c r="J136" s="35">
        <f>IF(R136="","",SUMIFS(Fuel!$E$6:$E$605,Fuel!$C$6:$C$605,C136,Fuel!$D$6:$D$605,"&gt;"&amp;R136,Fuel!$D$6:$D$605,"&lt;="&amp;D136))</f>
        <v/>
      </c>
      <c r="K136" s="36">
        <f>IF(OR(I136="",N(I136)=0),"",J136/I136*100)</f>
        <v/>
      </c>
      <c r="L136" s="36">
        <f>IF(OR(J136="",N(J136)=0),"",I136/J136)</f>
        <v/>
      </c>
      <c r="M136" s="1" t="n"/>
      <c r="N136">
        <f>IF(OR(C136="",N(D136)=0),"",D136+ROW()/10000000)</f>
        <v/>
      </c>
      <c r="O136">
        <f>IF(N136="","",COUNTIFS(Fuel!$C$6:$C$605,C136,Fuel!$N$6:$N$605,"&gt;"&amp;N136))</f>
        <v/>
      </c>
      <c r="P136">
        <f>IF(OR(N136="",G136=""),"",COUNTIFS(Fuel!$C$6:$C$605,C136,Fuel!$G$6:$G$605,"&lt;&gt;",Fuel!$N$6:$N$605,"&lt;"&amp;N136))</f>
        <v/>
      </c>
      <c r="R136">
        <f>IF(OR(P136="",N(P136)=0),"",SUMIFS(Fuel!$D$6:$D$605,Fuel!$C$6:$C$605,C136,Fuel!$P$6:$P$605,P136-1))</f>
        <v/>
      </c>
    </row>
    <row r="137">
      <c r="A137" s="1" t="n"/>
      <c r="B137" s="29" t="n"/>
      <c r="C137" s="24" t="n"/>
      <c r="D137" s="28" t="n"/>
      <c r="E137" s="33" t="n"/>
      <c r="F137" s="34" t="n"/>
      <c r="G137" s="27" t="n"/>
      <c r="H137" s="14">
        <f>IF(OR(N(E137)=0,F137=""),"",F137/E137)</f>
        <v/>
      </c>
      <c r="I137" s="11">
        <f>IF(R137="","",D137-R137)</f>
        <v/>
      </c>
      <c r="J137" s="35">
        <f>IF(R137="","",SUMIFS(Fuel!$E$6:$E$605,Fuel!$C$6:$C$605,C137,Fuel!$D$6:$D$605,"&gt;"&amp;R137,Fuel!$D$6:$D$605,"&lt;="&amp;D137))</f>
        <v/>
      </c>
      <c r="K137" s="36">
        <f>IF(OR(I137="",N(I137)=0),"",J137/I137*100)</f>
        <v/>
      </c>
      <c r="L137" s="36">
        <f>IF(OR(J137="",N(J137)=0),"",I137/J137)</f>
        <v/>
      </c>
      <c r="M137" s="1" t="n"/>
      <c r="N137">
        <f>IF(OR(C137="",N(D137)=0),"",D137+ROW()/10000000)</f>
        <v/>
      </c>
      <c r="O137">
        <f>IF(N137="","",COUNTIFS(Fuel!$C$6:$C$605,C137,Fuel!$N$6:$N$605,"&gt;"&amp;N137))</f>
        <v/>
      </c>
      <c r="P137">
        <f>IF(OR(N137="",G137=""),"",COUNTIFS(Fuel!$C$6:$C$605,C137,Fuel!$G$6:$G$605,"&lt;&gt;",Fuel!$N$6:$N$605,"&lt;"&amp;N137))</f>
        <v/>
      </c>
      <c r="R137">
        <f>IF(OR(P137="",N(P137)=0),"",SUMIFS(Fuel!$D$6:$D$605,Fuel!$C$6:$C$605,C137,Fuel!$P$6:$P$605,P137-1))</f>
        <v/>
      </c>
    </row>
    <row r="138">
      <c r="A138" s="1" t="n"/>
      <c r="B138" s="29" t="n"/>
      <c r="C138" s="24" t="n"/>
      <c r="D138" s="28" t="n"/>
      <c r="E138" s="33" t="n"/>
      <c r="F138" s="34" t="n"/>
      <c r="G138" s="27" t="n"/>
      <c r="H138" s="14">
        <f>IF(OR(N(E138)=0,F138=""),"",F138/E138)</f>
        <v/>
      </c>
      <c r="I138" s="11">
        <f>IF(R138="","",D138-R138)</f>
        <v/>
      </c>
      <c r="J138" s="35">
        <f>IF(R138="","",SUMIFS(Fuel!$E$6:$E$605,Fuel!$C$6:$C$605,C138,Fuel!$D$6:$D$605,"&gt;"&amp;R138,Fuel!$D$6:$D$605,"&lt;="&amp;D138))</f>
        <v/>
      </c>
      <c r="K138" s="36">
        <f>IF(OR(I138="",N(I138)=0),"",J138/I138*100)</f>
        <v/>
      </c>
      <c r="L138" s="36">
        <f>IF(OR(J138="",N(J138)=0),"",I138/J138)</f>
        <v/>
      </c>
      <c r="M138" s="1" t="n"/>
      <c r="N138">
        <f>IF(OR(C138="",N(D138)=0),"",D138+ROW()/10000000)</f>
        <v/>
      </c>
      <c r="O138">
        <f>IF(N138="","",COUNTIFS(Fuel!$C$6:$C$605,C138,Fuel!$N$6:$N$605,"&gt;"&amp;N138))</f>
        <v/>
      </c>
      <c r="P138">
        <f>IF(OR(N138="",G138=""),"",COUNTIFS(Fuel!$C$6:$C$605,C138,Fuel!$G$6:$G$605,"&lt;&gt;",Fuel!$N$6:$N$605,"&lt;"&amp;N138))</f>
        <v/>
      </c>
      <c r="R138">
        <f>IF(OR(P138="",N(P138)=0),"",SUMIFS(Fuel!$D$6:$D$605,Fuel!$C$6:$C$605,C138,Fuel!$P$6:$P$605,P138-1))</f>
        <v/>
      </c>
    </row>
    <row r="139">
      <c r="A139" s="1" t="n"/>
      <c r="B139" s="29" t="n"/>
      <c r="C139" s="24" t="n"/>
      <c r="D139" s="28" t="n"/>
      <c r="E139" s="33" t="n"/>
      <c r="F139" s="34" t="n"/>
      <c r="G139" s="27" t="n"/>
      <c r="H139" s="14">
        <f>IF(OR(N(E139)=0,F139=""),"",F139/E139)</f>
        <v/>
      </c>
      <c r="I139" s="11">
        <f>IF(R139="","",D139-R139)</f>
        <v/>
      </c>
      <c r="J139" s="35">
        <f>IF(R139="","",SUMIFS(Fuel!$E$6:$E$605,Fuel!$C$6:$C$605,C139,Fuel!$D$6:$D$605,"&gt;"&amp;R139,Fuel!$D$6:$D$605,"&lt;="&amp;D139))</f>
        <v/>
      </c>
      <c r="K139" s="36">
        <f>IF(OR(I139="",N(I139)=0),"",J139/I139*100)</f>
        <v/>
      </c>
      <c r="L139" s="36">
        <f>IF(OR(J139="",N(J139)=0),"",I139/J139)</f>
        <v/>
      </c>
      <c r="M139" s="1" t="n"/>
      <c r="N139">
        <f>IF(OR(C139="",N(D139)=0),"",D139+ROW()/10000000)</f>
        <v/>
      </c>
      <c r="O139">
        <f>IF(N139="","",COUNTIFS(Fuel!$C$6:$C$605,C139,Fuel!$N$6:$N$605,"&gt;"&amp;N139))</f>
        <v/>
      </c>
      <c r="P139">
        <f>IF(OR(N139="",G139=""),"",COUNTIFS(Fuel!$C$6:$C$605,C139,Fuel!$G$6:$G$605,"&lt;&gt;",Fuel!$N$6:$N$605,"&lt;"&amp;N139))</f>
        <v/>
      </c>
      <c r="R139">
        <f>IF(OR(P139="",N(P139)=0),"",SUMIFS(Fuel!$D$6:$D$605,Fuel!$C$6:$C$605,C139,Fuel!$P$6:$P$605,P139-1))</f>
        <v/>
      </c>
    </row>
    <row r="140">
      <c r="A140" s="1" t="n"/>
      <c r="B140" s="29" t="n"/>
      <c r="C140" s="24" t="n"/>
      <c r="D140" s="28" t="n"/>
      <c r="E140" s="33" t="n"/>
      <c r="F140" s="34" t="n"/>
      <c r="G140" s="27" t="n"/>
      <c r="H140" s="14">
        <f>IF(OR(N(E140)=0,F140=""),"",F140/E140)</f>
        <v/>
      </c>
      <c r="I140" s="11">
        <f>IF(R140="","",D140-R140)</f>
        <v/>
      </c>
      <c r="J140" s="35">
        <f>IF(R140="","",SUMIFS(Fuel!$E$6:$E$605,Fuel!$C$6:$C$605,C140,Fuel!$D$6:$D$605,"&gt;"&amp;R140,Fuel!$D$6:$D$605,"&lt;="&amp;D140))</f>
        <v/>
      </c>
      <c r="K140" s="36">
        <f>IF(OR(I140="",N(I140)=0),"",J140/I140*100)</f>
        <v/>
      </c>
      <c r="L140" s="36">
        <f>IF(OR(J140="",N(J140)=0),"",I140/J140)</f>
        <v/>
      </c>
      <c r="M140" s="1" t="n"/>
      <c r="N140">
        <f>IF(OR(C140="",N(D140)=0),"",D140+ROW()/10000000)</f>
        <v/>
      </c>
      <c r="O140">
        <f>IF(N140="","",COUNTIFS(Fuel!$C$6:$C$605,C140,Fuel!$N$6:$N$605,"&gt;"&amp;N140))</f>
        <v/>
      </c>
      <c r="P140">
        <f>IF(OR(N140="",G140=""),"",COUNTIFS(Fuel!$C$6:$C$605,C140,Fuel!$G$6:$G$605,"&lt;&gt;",Fuel!$N$6:$N$605,"&lt;"&amp;N140))</f>
        <v/>
      </c>
      <c r="R140">
        <f>IF(OR(P140="",N(P140)=0),"",SUMIFS(Fuel!$D$6:$D$605,Fuel!$C$6:$C$605,C140,Fuel!$P$6:$P$605,P140-1))</f>
        <v/>
      </c>
    </row>
    <row r="141">
      <c r="A141" s="1" t="n"/>
      <c r="B141" s="29" t="n"/>
      <c r="C141" s="24" t="n"/>
      <c r="D141" s="28" t="n"/>
      <c r="E141" s="33" t="n"/>
      <c r="F141" s="34" t="n"/>
      <c r="G141" s="27" t="n"/>
      <c r="H141" s="14">
        <f>IF(OR(N(E141)=0,F141=""),"",F141/E141)</f>
        <v/>
      </c>
      <c r="I141" s="11">
        <f>IF(R141="","",D141-R141)</f>
        <v/>
      </c>
      <c r="J141" s="35">
        <f>IF(R141="","",SUMIFS(Fuel!$E$6:$E$605,Fuel!$C$6:$C$605,C141,Fuel!$D$6:$D$605,"&gt;"&amp;R141,Fuel!$D$6:$D$605,"&lt;="&amp;D141))</f>
        <v/>
      </c>
      <c r="K141" s="36">
        <f>IF(OR(I141="",N(I141)=0),"",J141/I141*100)</f>
        <v/>
      </c>
      <c r="L141" s="36">
        <f>IF(OR(J141="",N(J141)=0),"",I141/J141)</f>
        <v/>
      </c>
      <c r="M141" s="1" t="n"/>
      <c r="N141">
        <f>IF(OR(C141="",N(D141)=0),"",D141+ROW()/10000000)</f>
        <v/>
      </c>
      <c r="O141">
        <f>IF(N141="","",COUNTIFS(Fuel!$C$6:$C$605,C141,Fuel!$N$6:$N$605,"&gt;"&amp;N141))</f>
        <v/>
      </c>
      <c r="P141">
        <f>IF(OR(N141="",G141=""),"",COUNTIFS(Fuel!$C$6:$C$605,C141,Fuel!$G$6:$G$605,"&lt;&gt;",Fuel!$N$6:$N$605,"&lt;"&amp;N141))</f>
        <v/>
      </c>
      <c r="R141">
        <f>IF(OR(P141="",N(P141)=0),"",SUMIFS(Fuel!$D$6:$D$605,Fuel!$C$6:$C$605,C141,Fuel!$P$6:$P$605,P141-1))</f>
        <v/>
      </c>
    </row>
    <row r="142">
      <c r="A142" s="1" t="n"/>
      <c r="B142" s="29" t="n"/>
      <c r="C142" s="24" t="n"/>
      <c r="D142" s="28" t="n"/>
      <c r="E142" s="33" t="n"/>
      <c r="F142" s="34" t="n"/>
      <c r="G142" s="27" t="n"/>
      <c r="H142" s="14">
        <f>IF(OR(N(E142)=0,F142=""),"",F142/E142)</f>
        <v/>
      </c>
      <c r="I142" s="11">
        <f>IF(R142="","",D142-R142)</f>
        <v/>
      </c>
      <c r="J142" s="35">
        <f>IF(R142="","",SUMIFS(Fuel!$E$6:$E$605,Fuel!$C$6:$C$605,C142,Fuel!$D$6:$D$605,"&gt;"&amp;R142,Fuel!$D$6:$D$605,"&lt;="&amp;D142))</f>
        <v/>
      </c>
      <c r="K142" s="36">
        <f>IF(OR(I142="",N(I142)=0),"",J142/I142*100)</f>
        <v/>
      </c>
      <c r="L142" s="36">
        <f>IF(OR(J142="",N(J142)=0),"",I142/J142)</f>
        <v/>
      </c>
      <c r="M142" s="1" t="n"/>
      <c r="N142">
        <f>IF(OR(C142="",N(D142)=0),"",D142+ROW()/10000000)</f>
        <v/>
      </c>
      <c r="O142">
        <f>IF(N142="","",COUNTIFS(Fuel!$C$6:$C$605,C142,Fuel!$N$6:$N$605,"&gt;"&amp;N142))</f>
        <v/>
      </c>
      <c r="P142">
        <f>IF(OR(N142="",G142=""),"",COUNTIFS(Fuel!$C$6:$C$605,C142,Fuel!$G$6:$G$605,"&lt;&gt;",Fuel!$N$6:$N$605,"&lt;"&amp;N142))</f>
        <v/>
      </c>
      <c r="R142">
        <f>IF(OR(P142="",N(P142)=0),"",SUMIFS(Fuel!$D$6:$D$605,Fuel!$C$6:$C$605,C142,Fuel!$P$6:$P$605,P142-1))</f>
        <v/>
      </c>
    </row>
    <row r="143">
      <c r="A143" s="1" t="n"/>
      <c r="B143" s="29" t="n"/>
      <c r="C143" s="24" t="n"/>
      <c r="D143" s="28" t="n"/>
      <c r="E143" s="33" t="n"/>
      <c r="F143" s="34" t="n"/>
      <c r="G143" s="27" t="n"/>
      <c r="H143" s="14">
        <f>IF(OR(N(E143)=0,F143=""),"",F143/E143)</f>
        <v/>
      </c>
      <c r="I143" s="11">
        <f>IF(R143="","",D143-R143)</f>
        <v/>
      </c>
      <c r="J143" s="35">
        <f>IF(R143="","",SUMIFS(Fuel!$E$6:$E$605,Fuel!$C$6:$C$605,C143,Fuel!$D$6:$D$605,"&gt;"&amp;R143,Fuel!$D$6:$D$605,"&lt;="&amp;D143))</f>
        <v/>
      </c>
      <c r="K143" s="36">
        <f>IF(OR(I143="",N(I143)=0),"",J143/I143*100)</f>
        <v/>
      </c>
      <c r="L143" s="36">
        <f>IF(OR(J143="",N(J143)=0),"",I143/J143)</f>
        <v/>
      </c>
      <c r="M143" s="1" t="n"/>
      <c r="N143">
        <f>IF(OR(C143="",N(D143)=0),"",D143+ROW()/10000000)</f>
        <v/>
      </c>
      <c r="O143">
        <f>IF(N143="","",COUNTIFS(Fuel!$C$6:$C$605,C143,Fuel!$N$6:$N$605,"&gt;"&amp;N143))</f>
        <v/>
      </c>
      <c r="P143">
        <f>IF(OR(N143="",G143=""),"",COUNTIFS(Fuel!$C$6:$C$605,C143,Fuel!$G$6:$G$605,"&lt;&gt;",Fuel!$N$6:$N$605,"&lt;"&amp;N143))</f>
        <v/>
      </c>
      <c r="R143">
        <f>IF(OR(P143="",N(P143)=0),"",SUMIFS(Fuel!$D$6:$D$605,Fuel!$C$6:$C$605,C143,Fuel!$P$6:$P$605,P143-1))</f>
        <v/>
      </c>
    </row>
    <row r="144">
      <c r="A144" s="1" t="n"/>
      <c r="B144" s="29" t="n"/>
      <c r="C144" s="24" t="n"/>
      <c r="D144" s="28" t="n"/>
      <c r="E144" s="33" t="n"/>
      <c r="F144" s="34" t="n"/>
      <c r="G144" s="27" t="n"/>
      <c r="H144" s="14">
        <f>IF(OR(N(E144)=0,F144=""),"",F144/E144)</f>
        <v/>
      </c>
      <c r="I144" s="11">
        <f>IF(R144="","",D144-R144)</f>
        <v/>
      </c>
      <c r="J144" s="35">
        <f>IF(R144="","",SUMIFS(Fuel!$E$6:$E$605,Fuel!$C$6:$C$605,C144,Fuel!$D$6:$D$605,"&gt;"&amp;R144,Fuel!$D$6:$D$605,"&lt;="&amp;D144))</f>
        <v/>
      </c>
      <c r="K144" s="36">
        <f>IF(OR(I144="",N(I144)=0),"",J144/I144*100)</f>
        <v/>
      </c>
      <c r="L144" s="36">
        <f>IF(OR(J144="",N(J144)=0),"",I144/J144)</f>
        <v/>
      </c>
      <c r="M144" s="1" t="n"/>
      <c r="N144">
        <f>IF(OR(C144="",N(D144)=0),"",D144+ROW()/10000000)</f>
        <v/>
      </c>
      <c r="O144">
        <f>IF(N144="","",COUNTIFS(Fuel!$C$6:$C$605,C144,Fuel!$N$6:$N$605,"&gt;"&amp;N144))</f>
        <v/>
      </c>
      <c r="P144">
        <f>IF(OR(N144="",G144=""),"",COUNTIFS(Fuel!$C$6:$C$605,C144,Fuel!$G$6:$G$605,"&lt;&gt;",Fuel!$N$6:$N$605,"&lt;"&amp;N144))</f>
        <v/>
      </c>
      <c r="R144">
        <f>IF(OR(P144="",N(P144)=0),"",SUMIFS(Fuel!$D$6:$D$605,Fuel!$C$6:$C$605,C144,Fuel!$P$6:$P$605,P144-1))</f>
        <v/>
      </c>
    </row>
    <row r="145">
      <c r="A145" s="1" t="n"/>
      <c r="B145" s="29" t="n"/>
      <c r="C145" s="24" t="n"/>
      <c r="D145" s="28" t="n"/>
      <c r="E145" s="33" t="n"/>
      <c r="F145" s="34" t="n"/>
      <c r="G145" s="27" t="n"/>
      <c r="H145" s="14">
        <f>IF(OR(N(E145)=0,F145=""),"",F145/E145)</f>
        <v/>
      </c>
      <c r="I145" s="11">
        <f>IF(R145="","",D145-R145)</f>
        <v/>
      </c>
      <c r="J145" s="35">
        <f>IF(R145="","",SUMIFS(Fuel!$E$6:$E$605,Fuel!$C$6:$C$605,C145,Fuel!$D$6:$D$605,"&gt;"&amp;R145,Fuel!$D$6:$D$605,"&lt;="&amp;D145))</f>
        <v/>
      </c>
      <c r="K145" s="36">
        <f>IF(OR(I145="",N(I145)=0),"",J145/I145*100)</f>
        <v/>
      </c>
      <c r="L145" s="36">
        <f>IF(OR(J145="",N(J145)=0),"",I145/J145)</f>
        <v/>
      </c>
      <c r="M145" s="1" t="n"/>
      <c r="N145">
        <f>IF(OR(C145="",N(D145)=0),"",D145+ROW()/10000000)</f>
        <v/>
      </c>
      <c r="O145">
        <f>IF(N145="","",COUNTIFS(Fuel!$C$6:$C$605,C145,Fuel!$N$6:$N$605,"&gt;"&amp;N145))</f>
        <v/>
      </c>
      <c r="P145">
        <f>IF(OR(N145="",G145=""),"",COUNTIFS(Fuel!$C$6:$C$605,C145,Fuel!$G$6:$G$605,"&lt;&gt;",Fuel!$N$6:$N$605,"&lt;"&amp;N145))</f>
        <v/>
      </c>
      <c r="R145">
        <f>IF(OR(P145="",N(P145)=0),"",SUMIFS(Fuel!$D$6:$D$605,Fuel!$C$6:$C$605,C145,Fuel!$P$6:$P$605,P145-1))</f>
        <v/>
      </c>
    </row>
    <row r="146">
      <c r="A146" s="1" t="n"/>
      <c r="B146" s="29" t="n"/>
      <c r="C146" s="24" t="n"/>
      <c r="D146" s="28" t="n"/>
      <c r="E146" s="33" t="n"/>
      <c r="F146" s="34" t="n"/>
      <c r="G146" s="27" t="n"/>
      <c r="H146" s="14">
        <f>IF(OR(N(E146)=0,F146=""),"",F146/E146)</f>
        <v/>
      </c>
      <c r="I146" s="11">
        <f>IF(R146="","",D146-R146)</f>
        <v/>
      </c>
      <c r="J146" s="35">
        <f>IF(R146="","",SUMIFS(Fuel!$E$6:$E$605,Fuel!$C$6:$C$605,C146,Fuel!$D$6:$D$605,"&gt;"&amp;R146,Fuel!$D$6:$D$605,"&lt;="&amp;D146))</f>
        <v/>
      </c>
      <c r="K146" s="36">
        <f>IF(OR(I146="",N(I146)=0),"",J146/I146*100)</f>
        <v/>
      </c>
      <c r="L146" s="36">
        <f>IF(OR(J146="",N(J146)=0),"",I146/J146)</f>
        <v/>
      </c>
      <c r="M146" s="1" t="n"/>
      <c r="N146">
        <f>IF(OR(C146="",N(D146)=0),"",D146+ROW()/10000000)</f>
        <v/>
      </c>
      <c r="O146">
        <f>IF(N146="","",COUNTIFS(Fuel!$C$6:$C$605,C146,Fuel!$N$6:$N$605,"&gt;"&amp;N146))</f>
        <v/>
      </c>
      <c r="P146">
        <f>IF(OR(N146="",G146=""),"",COUNTIFS(Fuel!$C$6:$C$605,C146,Fuel!$G$6:$G$605,"&lt;&gt;",Fuel!$N$6:$N$605,"&lt;"&amp;N146))</f>
        <v/>
      </c>
      <c r="R146">
        <f>IF(OR(P146="",N(P146)=0),"",SUMIFS(Fuel!$D$6:$D$605,Fuel!$C$6:$C$605,C146,Fuel!$P$6:$P$605,P146-1))</f>
        <v/>
      </c>
    </row>
    <row r="147">
      <c r="A147" s="1" t="n"/>
      <c r="B147" s="29" t="n"/>
      <c r="C147" s="24" t="n"/>
      <c r="D147" s="28" t="n"/>
      <c r="E147" s="33" t="n"/>
      <c r="F147" s="34" t="n"/>
      <c r="G147" s="27" t="n"/>
      <c r="H147" s="14">
        <f>IF(OR(N(E147)=0,F147=""),"",F147/E147)</f>
        <v/>
      </c>
      <c r="I147" s="11">
        <f>IF(R147="","",D147-R147)</f>
        <v/>
      </c>
      <c r="J147" s="35">
        <f>IF(R147="","",SUMIFS(Fuel!$E$6:$E$605,Fuel!$C$6:$C$605,C147,Fuel!$D$6:$D$605,"&gt;"&amp;R147,Fuel!$D$6:$D$605,"&lt;="&amp;D147))</f>
        <v/>
      </c>
      <c r="K147" s="36">
        <f>IF(OR(I147="",N(I147)=0),"",J147/I147*100)</f>
        <v/>
      </c>
      <c r="L147" s="36">
        <f>IF(OR(J147="",N(J147)=0),"",I147/J147)</f>
        <v/>
      </c>
      <c r="M147" s="1" t="n"/>
      <c r="N147">
        <f>IF(OR(C147="",N(D147)=0),"",D147+ROW()/10000000)</f>
        <v/>
      </c>
      <c r="O147">
        <f>IF(N147="","",COUNTIFS(Fuel!$C$6:$C$605,C147,Fuel!$N$6:$N$605,"&gt;"&amp;N147))</f>
        <v/>
      </c>
      <c r="P147">
        <f>IF(OR(N147="",G147=""),"",COUNTIFS(Fuel!$C$6:$C$605,C147,Fuel!$G$6:$G$605,"&lt;&gt;",Fuel!$N$6:$N$605,"&lt;"&amp;N147))</f>
        <v/>
      </c>
      <c r="R147">
        <f>IF(OR(P147="",N(P147)=0),"",SUMIFS(Fuel!$D$6:$D$605,Fuel!$C$6:$C$605,C147,Fuel!$P$6:$P$605,P147-1))</f>
        <v/>
      </c>
    </row>
    <row r="148">
      <c r="A148" s="1" t="n"/>
      <c r="B148" s="29" t="n"/>
      <c r="C148" s="24" t="n"/>
      <c r="D148" s="28" t="n"/>
      <c r="E148" s="33" t="n"/>
      <c r="F148" s="34" t="n"/>
      <c r="G148" s="27" t="n"/>
      <c r="H148" s="14">
        <f>IF(OR(N(E148)=0,F148=""),"",F148/E148)</f>
        <v/>
      </c>
      <c r="I148" s="11">
        <f>IF(R148="","",D148-R148)</f>
        <v/>
      </c>
      <c r="J148" s="35">
        <f>IF(R148="","",SUMIFS(Fuel!$E$6:$E$605,Fuel!$C$6:$C$605,C148,Fuel!$D$6:$D$605,"&gt;"&amp;R148,Fuel!$D$6:$D$605,"&lt;="&amp;D148))</f>
        <v/>
      </c>
      <c r="K148" s="36">
        <f>IF(OR(I148="",N(I148)=0),"",J148/I148*100)</f>
        <v/>
      </c>
      <c r="L148" s="36">
        <f>IF(OR(J148="",N(J148)=0),"",I148/J148)</f>
        <v/>
      </c>
      <c r="M148" s="1" t="n"/>
      <c r="N148">
        <f>IF(OR(C148="",N(D148)=0),"",D148+ROW()/10000000)</f>
        <v/>
      </c>
      <c r="O148">
        <f>IF(N148="","",COUNTIFS(Fuel!$C$6:$C$605,C148,Fuel!$N$6:$N$605,"&gt;"&amp;N148))</f>
        <v/>
      </c>
      <c r="P148">
        <f>IF(OR(N148="",G148=""),"",COUNTIFS(Fuel!$C$6:$C$605,C148,Fuel!$G$6:$G$605,"&lt;&gt;",Fuel!$N$6:$N$605,"&lt;"&amp;N148))</f>
        <v/>
      </c>
      <c r="R148">
        <f>IF(OR(P148="",N(P148)=0),"",SUMIFS(Fuel!$D$6:$D$605,Fuel!$C$6:$C$605,C148,Fuel!$P$6:$P$605,P148-1))</f>
        <v/>
      </c>
    </row>
    <row r="149">
      <c r="A149" s="1" t="n"/>
      <c r="B149" s="29" t="n"/>
      <c r="C149" s="24" t="n"/>
      <c r="D149" s="28" t="n"/>
      <c r="E149" s="33" t="n"/>
      <c r="F149" s="34" t="n"/>
      <c r="G149" s="27" t="n"/>
      <c r="H149" s="14">
        <f>IF(OR(N(E149)=0,F149=""),"",F149/E149)</f>
        <v/>
      </c>
      <c r="I149" s="11">
        <f>IF(R149="","",D149-R149)</f>
        <v/>
      </c>
      <c r="J149" s="35">
        <f>IF(R149="","",SUMIFS(Fuel!$E$6:$E$605,Fuel!$C$6:$C$605,C149,Fuel!$D$6:$D$605,"&gt;"&amp;R149,Fuel!$D$6:$D$605,"&lt;="&amp;D149))</f>
        <v/>
      </c>
      <c r="K149" s="36">
        <f>IF(OR(I149="",N(I149)=0),"",J149/I149*100)</f>
        <v/>
      </c>
      <c r="L149" s="36">
        <f>IF(OR(J149="",N(J149)=0),"",I149/J149)</f>
        <v/>
      </c>
      <c r="M149" s="1" t="n"/>
      <c r="N149">
        <f>IF(OR(C149="",N(D149)=0),"",D149+ROW()/10000000)</f>
        <v/>
      </c>
      <c r="O149">
        <f>IF(N149="","",COUNTIFS(Fuel!$C$6:$C$605,C149,Fuel!$N$6:$N$605,"&gt;"&amp;N149))</f>
        <v/>
      </c>
      <c r="P149">
        <f>IF(OR(N149="",G149=""),"",COUNTIFS(Fuel!$C$6:$C$605,C149,Fuel!$G$6:$G$605,"&lt;&gt;",Fuel!$N$6:$N$605,"&lt;"&amp;N149))</f>
        <v/>
      </c>
      <c r="R149">
        <f>IF(OR(P149="",N(P149)=0),"",SUMIFS(Fuel!$D$6:$D$605,Fuel!$C$6:$C$605,C149,Fuel!$P$6:$P$605,P149-1))</f>
        <v/>
      </c>
    </row>
    <row r="150">
      <c r="A150" s="1" t="n"/>
      <c r="B150" s="29" t="n"/>
      <c r="C150" s="24" t="n"/>
      <c r="D150" s="28" t="n"/>
      <c r="E150" s="33" t="n"/>
      <c r="F150" s="34" t="n"/>
      <c r="G150" s="27" t="n"/>
      <c r="H150" s="14">
        <f>IF(OR(N(E150)=0,F150=""),"",F150/E150)</f>
        <v/>
      </c>
      <c r="I150" s="11">
        <f>IF(R150="","",D150-R150)</f>
        <v/>
      </c>
      <c r="J150" s="35">
        <f>IF(R150="","",SUMIFS(Fuel!$E$6:$E$605,Fuel!$C$6:$C$605,C150,Fuel!$D$6:$D$605,"&gt;"&amp;R150,Fuel!$D$6:$D$605,"&lt;="&amp;D150))</f>
        <v/>
      </c>
      <c r="K150" s="36">
        <f>IF(OR(I150="",N(I150)=0),"",J150/I150*100)</f>
        <v/>
      </c>
      <c r="L150" s="36">
        <f>IF(OR(J150="",N(J150)=0),"",I150/J150)</f>
        <v/>
      </c>
      <c r="M150" s="1" t="n"/>
      <c r="N150">
        <f>IF(OR(C150="",N(D150)=0),"",D150+ROW()/10000000)</f>
        <v/>
      </c>
      <c r="O150">
        <f>IF(N150="","",COUNTIFS(Fuel!$C$6:$C$605,C150,Fuel!$N$6:$N$605,"&gt;"&amp;N150))</f>
        <v/>
      </c>
      <c r="P150">
        <f>IF(OR(N150="",G150=""),"",COUNTIFS(Fuel!$C$6:$C$605,C150,Fuel!$G$6:$G$605,"&lt;&gt;",Fuel!$N$6:$N$605,"&lt;"&amp;N150))</f>
        <v/>
      </c>
      <c r="R150">
        <f>IF(OR(P150="",N(P150)=0),"",SUMIFS(Fuel!$D$6:$D$605,Fuel!$C$6:$C$605,C150,Fuel!$P$6:$P$605,P150-1))</f>
        <v/>
      </c>
    </row>
    <row r="151">
      <c r="A151" s="1" t="n"/>
      <c r="B151" s="29" t="n"/>
      <c r="C151" s="24" t="n"/>
      <c r="D151" s="28" t="n"/>
      <c r="E151" s="33" t="n"/>
      <c r="F151" s="34" t="n"/>
      <c r="G151" s="27" t="n"/>
      <c r="H151" s="14">
        <f>IF(OR(N(E151)=0,F151=""),"",F151/E151)</f>
        <v/>
      </c>
      <c r="I151" s="11">
        <f>IF(R151="","",D151-R151)</f>
        <v/>
      </c>
      <c r="J151" s="35">
        <f>IF(R151="","",SUMIFS(Fuel!$E$6:$E$605,Fuel!$C$6:$C$605,C151,Fuel!$D$6:$D$605,"&gt;"&amp;R151,Fuel!$D$6:$D$605,"&lt;="&amp;D151))</f>
        <v/>
      </c>
      <c r="K151" s="36">
        <f>IF(OR(I151="",N(I151)=0),"",J151/I151*100)</f>
        <v/>
      </c>
      <c r="L151" s="36">
        <f>IF(OR(J151="",N(J151)=0),"",I151/J151)</f>
        <v/>
      </c>
      <c r="M151" s="1" t="n"/>
      <c r="N151">
        <f>IF(OR(C151="",N(D151)=0),"",D151+ROW()/10000000)</f>
        <v/>
      </c>
      <c r="O151">
        <f>IF(N151="","",COUNTIFS(Fuel!$C$6:$C$605,C151,Fuel!$N$6:$N$605,"&gt;"&amp;N151))</f>
        <v/>
      </c>
      <c r="P151">
        <f>IF(OR(N151="",G151=""),"",COUNTIFS(Fuel!$C$6:$C$605,C151,Fuel!$G$6:$G$605,"&lt;&gt;",Fuel!$N$6:$N$605,"&lt;"&amp;N151))</f>
        <v/>
      </c>
      <c r="R151">
        <f>IF(OR(P151="",N(P151)=0),"",SUMIFS(Fuel!$D$6:$D$605,Fuel!$C$6:$C$605,C151,Fuel!$P$6:$P$605,P151-1))</f>
        <v/>
      </c>
    </row>
    <row r="152">
      <c r="A152" s="1" t="n"/>
      <c r="B152" s="29" t="n"/>
      <c r="C152" s="24" t="n"/>
      <c r="D152" s="28" t="n"/>
      <c r="E152" s="33" t="n"/>
      <c r="F152" s="34" t="n"/>
      <c r="G152" s="27" t="n"/>
      <c r="H152" s="14">
        <f>IF(OR(N(E152)=0,F152=""),"",F152/E152)</f>
        <v/>
      </c>
      <c r="I152" s="11">
        <f>IF(R152="","",D152-R152)</f>
        <v/>
      </c>
      <c r="J152" s="35">
        <f>IF(R152="","",SUMIFS(Fuel!$E$6:$E$605,Fuel!$C$6:$C$605,C152,Fuel!$D$6:$D$605,"&gt;"&amp;R152,Fuel!$D$6:$D$605,"&lt;="&amp;D152))</f>
        <v/>
      </c>
      <c r="K152" s="36">
        <f>IF(OR(I152="",N(I152)=0),"",J152/I152*100)</f>
        <v/>
      </c>
      <c r="L152" s="36">
        <f>IF(OR(J152="",N(J152)=0),"",I152/J152)</f>
        <v/>
      </c>
      <c r="M152" s="1" t="n"/>
      <c r="N152">
        <f>IF(OR(C152="",N(D152)=0),"",D152+ROW()/10000000)</f>
        <v/>
      </c>
      <c r="O152">
        <f>IF(N152="","",COUNTIFS(Fuel!$C$6:$C$605,C152,Fuel!$N$6:$N$605,"&gt;"&amp;N152))</f>
        <v/>
      </c>
      <c r="P152">
        <f>IF(OR(N152="",G152=""),"",COUNTIFS(Fuel!$C$6:$C$605,C152,Fuel!$G$6:$G$605,"&lt;&gt;",Fuel!$N$6:$N$605,"&lt;"&amp;N152))</f>
        <v/>
      </c>
      <c r="R152">
        <f>IF(OR(P152="",N(P152)=0),"",SUMIFS(Fuel!$D$6:$D$605,Fuel!$C$6:$C$605,C152,Fuel!$P$6:$P$605,P152-1))</f>
        <v/>
      </c>
    </row>
    <row r="153">
      <c r="A153" s="1" t="n"/>
      <c r="B153" s="29" t="n"/>
      <c r="C153" s="24" t="n"/>
      <c r="D153" s="28" t="n"/>
      <c r="E153" s="33" t="n"/>
      <c r="F153" s="34" t="n"/>
      <c r="G153" s="27" t="n"/>
      <c r="H153" s="14">
        <f>IF(OR(N(E153)=0,F153=""),"",F153/E153)</f>
        <v/>
      </c>
      <c r="I153" s="11">
        <f>IF(R153="","",D153-R153)</f>
        <v/>
      </c>
      <c r="J153" s="35">
        <f>IF(R153="","",SUMIFS(Fuel!$E$6:$E$605,Fuel!$C$6:$C$605,C153,Fuel!$D$6:$D$605,"&gt;"&amp;R153,Fuel!$D$6:$D$605,"&lt;="&amp;D153))</f>
        <v/>
      </c>
      <c r="K153" s="36">
        <f>IF(OR(I153="",N(I153)=0),"",J153/I153*100)</f>
        <v/>
      </c>
      <c r="L153" s="36">
        <f>IF(OR(J153="",N(J153)=0),"",I153/J153)</f>
        <v/>
      </c>
      <c r="M153" s="1" t="n"/>
      <c r="N153">
        <f>IF(OR(C153="",N(D153)=0),"",D153+ROW()/10000000)</f>
        <v/>
      </c>
      <c r="O153">
        <f>IF(N153="","",COUNTIFS(Fuel!$C$6:$C$605,C153,Fuel!$N$6:$N$605,"&gt;"&amp;N153))</f>
        <v/>
      </c>
      <c r="P153">
        <f>IF(OR(N153="",G153=""),"",COUNTIFS(Fuel!$C$6:$C$605,C153,Fuel!$G$6:$G$605,"&lt;&gt;",Fuel!$N$6:$N$605,"&lt;"&amp;N153))</f>
        <v/>
      </c>
      <c r="R153">
        <f>IF(OR(P153="",N(P153)=0),"",SUMIFS(Fuel!$D$6:$D$605,Fuel!$C$6:$C$605,C153,Fuel!$P$6:$P$605,P153-1))</f>
        <v/>
      </c>
    </row>
    <row r="154">
      <c r="A154" s="1" t="n"/>
      <c r="B154" s="29" t="n"/>
      <c r="C154" s="24" t="n"/>
      <c r="D154" s="28" t="n"/>
      <c r="E154" s="33" t="n"/>
      <c r="F154" s="34" t="n"/>
      <c r="G154" s="27" t="n"/>
      <c r="H154" s="14">
        <f>IF(OR(N(E154)=0,F154=""),"",F154/E154)</f>
        <v/>
      </c>
      <c r="I154" s="11">
        <f>IF(R154="","",D154-R154)</f>
        <v/>
      </c>
      <c r="J154" s="35">
        <f>IF(R154="","",SUMIFS(Fuel!$E$6:$E$605,Fuel!$C$6:$C$605,C154,Fuel!$D$6:$D$605,"&gt;"&amp;R154,Fuel!$D$6:$D$605,"&lt;="&amp;D154))</f>
        <v/>
      </c>
      <c r="K154" s="36">
        <f>IF(OR(I154="",N(I154)=0),"",J154/I154*100)</f>
        <v/>
      </c>
      <c r="L154" s="36">
        <f>IF(OR(J154="",N(J154)=0),"",I154/J154)</f>
        <v/>
      </c>
      <c r="M154" s="1" t="n"/>
      <c r="N154">
        <f>IF(OR(C154="",N(D154)=0),"",D154+ROW()/10000000)</f>
        <v/>
      </c>
      <c r="O154">
        <f>IF(N154="","",COUNTIFS(Fuel!$C$6:$C$605,C154,Fuel!$N$6:$N$605,"&gt;"&amp;N154))</f>
        <v/>
      </c>
      <c r="P154">
        <f>IF(OR(N154="",G154=""),"",COUNTIFS(Fuel!$C$6:$C$605,C154,Fuel!$G$6:$G$605,"&lt;&gt;",Fuel!$N$6:$N$605,"&lt;"&amp;N154))</f>
        <v/>
      </c>
      <c r="R154">
        <f>IF(OR(P154="",N(P154)=0),"",SUMIFS(Fuel!$D$6:$D$605,Fuel!$C$6:$C$605,C154,Fuel!$P$6:$P$605,P154-1))</f>
        <v/>
      </c>
    </row>
    <row r="155">
      <c r="A155" s="1" t="n"/>
      <c r="B155" s="29" t="n"/>
      <c r="C155" s="24" t="n"/>
      <c r="D155" s="28" t="n"/>
      <c r="E155" s="33" t="n"/>
      <c r="F155" s="34" t="n"/>
      <c r="G155" s="27" t="n"/>
      <c r="H155" s="14">
        <f>IF(OR(N(E155)=0,F155=""),"",F155/E155)</f>
        <v/>
      </c>
      <c r="I155" s="11">
        <f>IF(R155="","",D155-R155)</f>
        <v/>
      </c>
      <c r="J155" s="35">
        <f>IF(R155="","",SUMIFS(Fuel!$E$6:$E$605,Fuel!$C$6:$C$605,C155,Fuel!$D$6:$D$605,"&gt;"&amp;R155,Fuel!$D$6:$D$605,"&lt;="&amp;D155))</f>
        <v/>
      </c>
      <c r="K155" s="36">
        <f>IF(OR(I155="",N(I155)=0),"",J155/I155*100)</f>
        <v/>
      </c>
      <c r="L155" s="36">
        <f>IF(OR(J155="",N(J155)=0),"",I155/J155)</f>
        <v/>
      </c>
      <c r="M155" s="1" t="n"/>
      <c r="N155">
        <f>IF(OR(C155="",N(D155)=0),"",D155+ROW()/10000000)</f>
        <v/>
      </c>
      <c r="O155">
        <f>IF(N155="","",COUNTIFS(Fuel!$C$6:$C$605,C155,Fuel!$N$6:$N$605,"&gt;"&amp;N155))</f>
        <v/>
      </c>
      <c r="P155">
        <f>IF(OR(N155="",G155=""),"",COUNTIFS(Fuel!$C$6:$C$605,C155,Fuel!$G$6:$G$605,"&lt;&gt;",Fuel!$N$6:$N$605,"&lt;"&amp;N155))</f>
        <v/>
      </c>
      <c r="R155">
        <f>IF(OR(P155="",N(P155)=0),"",SUMIFS(Fuel!$D$6:$D$605,Fuel!$C$6:$C$605,C155,Fuel!$P$6:$P$605,P155-1))</f>
        <v/>
      </c>
    </row>
    <row r="156">
      <c r="A156" s="1" t="n"/>
      <c r="B156" s="29" t="n"/>
      <c r="C156" s="24" t="n"/>
      <c r="D156" s="28" t="n"/>
      <c r="E156" s="33" t="n"/>
      <c r="F156" s="34" t="n"/>
      <c r="G156" s="27" t="n"/>
      <c r="H156" s="14">
        <f>IF(OR(N(E156)=0,F156=""),"",F156/E156)</f>
        <v/>
      </c>
      <c r="I156" s="11">
        <f>IF(R156="","",D156-R156)</f>
        <v/>
      </c>
      <c r="J156" s="35">
        <f>IF(R156="","",SUMIFS(Fuel!$E$6:$E$605,Fuel!$C$6:$C$605,C156,Fuel!$D$6:$D$605,"&gt;"&amp;R156,Fuel!$D$6:$D$605,"&lt;="&amp;D156))</f>
        <v/>
      </c>
      <c r="K156" s="36">
        <f>IF(OR(I156="",N(I156)=0),"",J156/I156*100)</f>
        <v/>
      </c>
      <c r="L156" s="36">
        <f>IF(OR(J156="",N(J156)=0),"",I156/J156)</f>
        <v/>
      </c>
      <c r="M156" s="1" t="n"/>
      <c r="N156">
        <f>IF(OR(C156="",N(D156)=0),"",D156+ROW()/10000000)</f>
        <v/>
      </c>
      <c r="O156">
        <f>IF(N156="","",COUNTIFS(Fuel!$C$6:$C$605,C156,Fuel!$N$6:$N$605,"&gt;"&amp;N156))</f>
        <v/>
      </c>
      <c r="P156">
        <f>IF(OR(N156="",G156=""),"",COUNTIFS(Fuel!$C$6:$C$605,C156,Fuel!$G$6:$G$605,"&lt;&gt;",Fuel!$N$6:$N$605,"&lt;"&amp;N156))</f>
        <v/>
      </c>
      <c r="R156">
        <f>IF(OR(P156="",N(P156)=0),"",SUMIFS(Fuel!$D$6:$D$605,Fuel!$C$6:$C$605,C156,Fuel!$P$6:$P$605,P156-1))</f>
        <v/>
      </c>
    </row>
    <row r="157">
      <c r="A157" s="1" t="n"/>
      <c r="B157" s="29" t="n"/>
      <c r="C157" s="24" t="n"/>
      <c r="D157" s="28" t="n"/>
      <c r="E157" s="33" t="n"/>
      <c r="F157" s="34" t="n"/>
      <c r="G157" s="27" t="n"/>
      <c r="H157" s="14">
        <f>IF(OR(N(E157)=0,F157=""),"",F157/E157)</f>
        <v/>
      </c>
      <c r="I157" s="11">
        <f>IF(R157="","",D157-R157)</f>
        <v/>
      </c>
      <c r="J157" s="35">
        <f>IF(R157="","",SUMIFS(Fuel!$E$6:$E$605,Fuel!$C$6:$C$605,C157,Fuel!$D$6:$D$605,"&gt;"&amp;R157,Fuel!$D$6:$D$605,"&lt;="&amp;D157))</f>
        <v/>
      </c>
      <c r="K157" s="36">
        <f>IF(OR(I157="",N(I157)=0),"",J157/I157*100)</f>
        <v/>
      </c>
      <c r="L157" s="36">
        <f>IF(OR(J157="",N(J157)=0),"",I157/J157)</f>
        <v/>
      </c>
      <c r="M157" s="1" t="n"/>
      <c r="N157">
        <f>IF(OR(C157="",N(D157)=0),"",D157+ROW()/10000000)</f>
        <v/>
      </c>
      <c r="O157">
        <f>IF(N157="","",COUNTIFS(Fuel!$C$6:$C$605,C157,Fuel!$N$6:$N$605,"&gt;"&amp;N157))</f>
        <v/>
      </c>
      <c r="P157">
        <f>IF(OR(N157="",G157=""),"",COUNTIFS(Fuel!$C$6:$C$605,C157,Fuel!$G$6:$G$605,"&lt;&gt;",Fuel!$N$6:$N$605,"&lt;"&amp;N157))</f>
        <v/>
      </c>
      <c r="R157">
        <f>IF(OR(P157="",N(P157)=0),"",SUMIFS(Fuel!$D$6:$D$605,Fuel!$C$6:$C$605,C157,Fuel!$P$6:$P$605,P157-1))</f>
        <v/>
      </c>
    </row>
    <row r="158">
      <c r="A158" s="1" t="n"/>
      <c r="B158" s="29" t="n"/>
      <c r="C158" s="24" t="n"/>
      <c r="D158" s="28" t="n"/>
      <c r="E158" s="33" t="n"/>
      <c r="F158" s="34" t="n"/>
      <c r="G158" s="27" t="n"/>
      <c r="H158" s="14">
        <f>IF(OR(N(E158)=0,F158=""),"",F158/E158)</f>
        <v/>
      </c>
      <c r="I158" s="11">
        <f>IF(R158="","",D158-R158)</f>
        <v/>
      </c>
      <c r="J158" s="35">
        <f>IF(R158="","",SUMIFS(Fuel!$E$6:$E$605,Fuel!$C$6:$C$605,C158,Fuel!$D$6:$D$605,"&gt;"&amp;R158,Fuel!$D$6:$D$605,"&lt;="&amp;D158))</f>
        <v/>
      </c>
      <c r="K158" s="36">
        <f>IF(OR(I158="",N(I158)=0),"",J158/I158*100)</f>
        <v/>
      </c>
      <c r="L158" s="36">
        <f>IF(OR(J158="",N(J158)=0),"",I158/J158)</f>
        <v/>
      </c>
      <c r="M158" s="1" t="n"/>
      <c r="N158">
        <f>IF(OR(C158="",N(D158)=0),"",D158+ROW()/10000000)</f>
        <v/>
      </c>
      <c r="O158">
        <f>IF(N158="","",COUNTIFS(Fuel!$C$6:$C$605,C158,Fuel!$N$6:$N$605,"&gt;"&amp;N158))</f>
        <v/>
      </c>
      <c r="P158">
        <f>IF(OR(N158="",G158=""),"",COUNTIFS(Fuel!$C$6:$C$605,C158,Fuel!$G$6:$G$605,"&lt;&gt;",Fuel!$N$6:$N$605,"&lt;"&amp;N158))</f>
        <v/>
      </c>
      <c r="R158">
        <f>IF(OR(P158="",N(P158)=0),"",SUMIFS(Fuel!$D$6:$D$605,Fuel!$C$6:$C$605,C158,Fuel!$P$6:$P$605,P158-1))</f>
        <v/>
      </c>
    </row>
    <row r="159">
      <c r="A159" s="1" t="n"/>
      <c r="B159" s="29" t="n"/>
      <c r="C159" s="24" t="n"/>
      <c r="D159" s="28" t="n"/>
      <c r="E159" s="33" t="n"/>
      <c r="F159" s="34" t="n"/>
      <c r="G159" s="27" t="n"/>
      <c r="H159" s="14">
        <f>IF(OR(N(E159)=0,F159=""),"",F159/E159)</f>
        <v/>
      </c>
      <c r="I159" s="11">
        <f>IF(R159="","",D159-R159)</f>
        <v/>
      </c>
      <c r="J159" s="35">
        <f>IF(R159="","",SUMIFS(Fuel!$E$6:$E$605,Fuel!$C$6:$C$605,C159,Fuel!$D$6:$D$605,"&gt;"&amp;R159,Fuel!$D$6:$D$605,"&lt;="&amp;D159))</f>
        <v/>
      </c>
      <c r="K159" s="36">
        <f>IF(OR(I159="",N(I159)=0),"",J159/I159*100)</f>
        <v/>
      </c>
      <c r="L159" s="36">
        <f>IF(OR(J159="",N(J159)=0),"",I159/J159)</f>
        <v/>
      </c>
      <c r="M159" s="1" t="n"/>
      <c r="N159">
        <f>IF(OR(C159="",N(D159)=0),"",D159+ROW()/10000000)</f>
        <v/>
      </c>
      <c r="O159">
        <f>IF(N159="","",COUNTIFS(Fuel!$C$6:$C$605,C159,Fuel!$N$6:$N$605,"&gt;"&amp;N159))</f>
        <v/>
      </c>
      <c r="P159">
        <f>IF(OR(N159="",G159=""),"",COUNTIFS(Fuel!$C$6:$C$605,C159,Fuel!$G$6:$G$605,"&lt;&gt;",Fuel!$N$6:$N$605,"&lt;"&amp;N159))</f>
        <v/>
      </c>
      <c r="R159">
        <f>IF(OR(P159="",N(P159)=0),"",SUMIFS(Fuel!$D$6:$D$605,Fuel!$C$6:$C$605,C159,Fuel!$P$6:$P$605,P159-1))</f>
        <v/>
      </c>
    </row>
    <row r="160">
      <c r="A160" s="1" t="n"/>
      <c r="B160" s="29" t="n"/>
      <c r="C160" s="24" t="n"/>
      <c r="D160" s="28" t="n"/>
      <c r="E160" s="33" t="n"/>
      <c r="F160" s="34" t="n"/>
      <c r="G160" s="27" t="n"/>
      <c r="H160" s="14">
        <f>IF(OR(N(E160)=0,F160=""),"",F160/E160)</f>
        <v/>
      </c>
      <c r="I160" s="11">
        <f>IF(R160="","",D160-R160)</f>
        <v/>
      </c>
      <c r="J160" s="35">
        <f>IF(R160="","",SUMIFS(Fuel!$E$6:$E$605,Fuel!$C$6:$C$605,C160,Fuel!$D$6:$D$605,"&gt;"&amp;R160,Fuel!$D$6:$D$605,"&lt;="&amp;D160))</f>
        <v/>
      </c>
      <c r="K160" s="36">
        <f>IF(OR(I160="",N(I160)=0),"",J160/I160*100)</f>
        <v/>
      </c>
      <c r="L160" s="36">
        <f>IF(OR(J160="",N(J160)=0),"",I160/J160)</f>
        <v/>
      </c>
      <c r="M160" s="1" t="n"/>
      <c r="N160">
        <f>IF(OR(C160="",N(D160)=0),"",D160+ROW()/10000000)</f>
        <v/>
      </c>
      <c r="O160">
        <f>IF(N160="","",COUNTIFS(Fuel!$C$6:$C$605,C160,Fuel!$N$6:$N$605,"&gt;"&amp;N160))</f>
        <v/>
      </c>
      <c r="P160">
        <f>IF(OR(N160="",G160=""),"",COUNTIFS(Fuel!$C$6:$C$605,C160,Fuel!$G$6:$G$605,"&lt;&gt;",Fuel!$N$6:$N$605,"&lt;"&amp;N160))</f>
        <v/>
      </c>
      <c r="R160">
        <f>IF(OR(P160="",N(P160)=0),"",SUMIFS(Fuel!$D$6:$D$605,Fuel!$C$6:$C$605,C160,Fuel!$P$6:$P$605,P160-1))</f>
        <v/>
      </c>
    </row>
    <row r="161">
      <c r="A161" s="1" t="n"/>
      <c r="B161" s="29" t="n"/>
      <c r="C161" s="24" t="n"/>
      <c r="D161" s="28" t="n"/>
      <c r="E161" s="33" t="n"/>
      <c r="F161" s="34" t="n"/>
      <c r="G161" s="27" t="n"/>
      <c r="H161" s="14">
        <f>IF(OR(N(E161)=0,F161=""),"",F161/E161)</f>
        <v/>
      </c>
      <c r="I161" s="11">
        <f>IF(R161="","",D161-R161)</f>
        <v/>
      </c>
      <c r="J161" s="35">
        <f>IF(R161="","",SUMIFS(Fuel!$E$6:$E$605,Fuel!$C$6:$C$605,C161,Fuel!$D$6:$D$605,"&gt;"&amp;R161,Fuel!$D$6:$D$605,"&lt;="&amp;D161))</f>
        <v/>
      </c>
      <c r="K161" s="36">
        <f>IF(OR(I161="",N(I161)=0),"",J161/I161*100)</f>
        <v/>
      </c>
      <c r="L161" s="36">
        <f>IF(OR(J161="",N(J161)=0),"",I161/J161)</f>
        <v/>
      </c>
      <c r="M161" s="1" t="n"/>
      <c r="N161">
        <f>IF(OR(C161="",N(D161)=0),"",D161+ROW()/10000000)</f>
        <v/>
      </c>
      <c r="O161">
        <f>IF(N161="","",COUNTIFS(Fuel!$C$6:$C$605,C161,Fuel!$N$6:$N$605,"&gt;"&amp;N161))</f>
        <v/>
      </c>
      <c r="P161">
        <f>IF(OR(N161="",G161=""),"",COUNTIFS(Fuel!$C$6:$C$605,C161,Fuel!$G$6:$G$605,"&lt;&gt;",Fuel!$N$6:$N$605,"&lt;"&amp;N161))</f>
        <v/>
      </c>
      <c r="R161">
        <f>IF(OR(P161="",N(P161)=0),"",SUMIFS(Fuel!$D$6:$D$605,Fuel!$C$6:$C$605,C161,Fuel!$P$6:$P$605,P161-1))</f>
        <v/>
      </c>
    </row>
    <row r="162">
      <c r="A162" s="1" t="n"/>
      <c r="B162" s="29" t="n"/>
      <c r="C162" s="24" t="n"/>
      <c r="D162" s="28" t="n"/>
      <c r="E162" s="33" t="n"/>
      <c r="F162" s="34" t="n"/>
      <c r="G162" s="27" t="n"/>
      <c r="H162" s="14">
        <f>IF(OR(N(E162)=0,F162=""),"",F162/E162)</f>
        <v/>
      </c>
      <c r="I162" s="11">
        <f>IF(R162="","",D162-R162)</f>
        <v/>
      </c>
      <c r="J162" s="35">
        <f>IF(R162="","",SUMIFS(Fuel!$E$6:$E$605,Fuel!$C$6:$C$605,C162,Fuel!$D$6:$D$605,"&gt;"&amp;R162,Fuel!$D$6:$D$605,"&lt;="&amp;D162))</f>
        <v/>
      </c>
      <c r="K162" s="36">
        <f>IF(OR(I162="",N(I162)=0),"",J162/I162*100)</f>
        <v/>
      </c>
      <c r="L162" s="36">
        <f>IF(OR(J162="",N(J162)=0),"",I162/J162)</f>
        <v/>
      </c>
      <c r="M162" s="1" t="n"/>
      <c r="N162">
        <f>IF(OR(C162="",N(D162)=0),"",D162+ROW()/10000000)</f>
        <v/>
      </c>
      <c r="O162">
        <f>IF(N162="","",COUNTIFS(Fuel!$C$6:$C$605,C162,Fuel!$N$6:$N$605,"&gt;"&amp;N162))</f>
        <v/>
      </c>
      <c r="P162">
        <f>IF(OR(N162="",G162=""),"",COUNTIFS(Fuel!$C$6:$C$605,C162,Fuel!$G$6:$G$605,"&lt;&gt;",Fuel!$N$6:$N$605,"&lt;"&amp;N162))</f>
        <v/>
      </c>
      <c r="R162">
        <f>IF(OR(P162="",N(P162)=0),"",SUMIFS(Fuel!$D$6:$D$605,Fuel!$C$6:$C$605,C162,Fuel!$P$6:$P$605,P162-1))</f>
        <v/>
      </c>
    </row>
    <row r="163">
      <c r="A163" s="1" t="n"/>
      <c r="B163" s="29" t="n"/>
      <c r="C163" s="24" t="n"/>
      <c r="D163" s="28" t="n"/>
      <c r="E163" s="33" t="n"/>
      <c r="F163" s="34" t="n"/>
      <c r="G163" s="27" t="n"/>
      <c r="H163" s="14">
        <f>IF(OR(N(E163)=0,F163=""),"",F163/E163)</f>
        <v/>
      </c>
      <c r="I163" s="11">
        <f>IF(R163="","",D163-R163)</f>
        <v/>
      </c>
      <c r="J163" s="35">
        <f>IF(R163="","",SUMIFS(Fuel!$E$6:$E$605,Fuel!$C$6:$C$605,C163,Fuel!$D$6:$D$605,"&gt;"&amp;R163,Fuel!$D$6:$D$605,"&lt;="&amp;D163))</f>
        <v/>
      </c>
      <c r="K163" s="36">
        <f>IF(OR(I163="",N(I163)=0),"",J163/I163*100)</f>
        <v/>
      </c>
      <c r="L163" s="36">
        <f>IF(OR(J163="",N(J163)=0),"",I163/J163)</f>
        <v/>
      </c>
      <c r="M163" s="1" t="n"/>
      <c r="N163">
        <f>IF(OR(C163="",N(D163)=0),"",D163+ROW()/10000000)</f>
        <v/>
      </c>
      <c r="O163">
        <f>IF(N163="","",COUNTIFS(Fuel!$C$6:$C$605,C163,Fuel!$N$6:$N$605,"&gt;"&amp;N163))</f>
        <v/>
      </c>
      <c r="P163">
        <f>IF(OR(N163="",G163=""),"",COUNTIFS(Fuel!$C$6:$C$605,C163,Fuel!$G$6:$G$605,"&lt;&gt;",Fuel!$N$6:$N$605,"&lt;"&amp;N163))</f>
        <v/>
      </c>
      <c r="R163">
        <f>IF(OR(P163="",N(P163)=0),"",SUMIFS(Fuel!$D$6:$D$605,Fuel!$C$6:$C$605,C163,Fuel!$P$6:$P$605,P163-1))</f>
        <v/>
      </c>
    </row>
    <row r="164">
      <c r="A164" s="1" t="n"/>
      <c r="B164" s="29" t="n"/>
      <c r="C164" s="24" t="n"/>
      <c r="D164" s="28" t="n"/>
      <c r="E164" s="33" t="n"/>
      <c r="F164" s="34" t="n"/>
      <c r="G164" s="27" t="n"/>
      <c r="H164" s="14">
        <f>IF(OR(N(E164)=0,F164=""),"",F164/E164)</f>
        <v/>
      </c>
      <c r="I164" s="11">
        <f>IF(R164="","",D164-R164)</f>
        <v/>
      </c>
      <c r="J164" s="35">
        <f>IF(R164="","",SUMIFS(Fuel!$E$6:$E$605,Fuel!$C$6:$C$605,C164,Fuel!$D$6:$D$605,"&gt;"&amp;R164,Fuel!$D$6:$D$605,"&lt;="&amp;D164))</f>
        <v/>
      </c>
      <c r="K164" s="36">
        <f>IF(OR(I164="",N(I164)=0),"",J164/I164*100)</f>
        <v/>
      </c>
      <c r="L164" s="36">
        <f>IF(OR(J164="",N(J164)=0),"",I164/J164)</f>
        <v/>
      </c>
      <c r="M164" s="1" t="n"/>
      <c r="N164">
        <f>IF(OR(C164="",N(D164)=0),"",D164+ROW()/10000000)</f>
        <v/>
      </c>
      <c r="O164">
        <f>IF(N164="","",COUNTIFS(Fuel!$C$6:$C$605,C164,Fuel!$N$6:$N$605,"&gt;"&amp;N164))</f>
        <v/>
      </c>
      <c r="P164">
        <f>IF(OR(N164="",G164=""),"",COUNTIFS(Fuel!$C$6:$C$605,C164,Fuel!$G$6:$G$605,"&lt;&gt;",Fuel!$N$6:$N$605,"&lt;"&amp;N164))</f>
        <v/>
      </c>
      <c r="R164">
        <f>IF(OR(P164="",N(P164)=0),"",SUMIFS(Fuel!$D$6:$D$605,Fuel!$C$6:$C$605,C164,Fuel!$P$6:$P$605,P164-1))</f>
        <v/>
      </c>
    </row>
    <row r="165">
      <c r="A165" s="1" t="n"/>
      <c r="B165" s="29" t="n"/>
      <c r="C165" s="24" t="n"/>
      <c r="D165" s="28" t="n"/>
      <c r="E165" s="33" t="n"/>
      <c r="F165" s="34" t="n"/>
      <c r="G165" s="27" t="n"/>
      <c r="H165" s="14">
        <f>IF(OR(N(E165)=0,F165=""),"",F165/E165)</f>
        <v/>
      </c>
      <c r="I165" s="11">
        <f>IF(R165="","",D165-R165)</f>
        <v/>
      </c>
      <c r="J165" s="35">
        <f>IF(R165="","",SUMIFS(Fuel!$E$6:$E$605,Fuel!$C$6:$C$605,C165,Fuel!$D$6:$D$605,"&gt;"&amp;R165,Fuel!$D$6:$D$605,"&lt;="&amp;D165))</f>
        <v/>
      </c>
      <c r="K165" s="36">
        <f>IF(OR(I165="",N(I165)=0),"",J165/I165*100)</f>
        <v/>
      </c>
      <c r="L165" s="36">
        <f>IF(OR(J165="",N(J165)=0),"",I165/J165)</f>
        <v/>
      </c>
      <c r="M165" s="1" t="n"/>
      <c r="N165">
        <f>IF(OR(C165="",N(D165)=0),"",D165+ROW()/10000000)</f>
        <v/>
      </c>
      <c r="O165">
        <f>IF(N165="","",COUNTIFS(Fuel!$C$6:$C$605,C165,Fuel!$N$6:$N$605,"&gt;"&amp;N165))</f>
        <v/>
      </c>
      <c r="P165">
        <f>IF(OR(N165="",G165=""),"",COUNTIFS(Fuel!$C$6:$C$605,C165,Fuel!$G$6:$G$605,"&lt;&gt;",Fuel!$N$6:$N$605,"&lt;"&amp;N165))</f>
        <v/>
      </c>
      <c r="R165">
        <f>IF(OR(P165="",N(P165)=0),"",SUMIFS(Fuel!$D$6:$D$605,Fuel!$C$6:$C$605,C165,Fuel!$P$6:$P$605,P165-1))</f>
        <v/>
      </c>
    </row>
    <row r="166">
      <c r="A166" s="1" t="n"/>
      <c r="B166" s="29" t="n"/>
      <c r="C166" s="24" t="n"/>
      <c r="D166" s="28" t="n"/>
      <c r="E166" s="33" t="n"/>
      <c r="F166" s="34" t="n"/>
      <c r="G166" s="27" t="n"/>
      <c r="H166" s="14">
        <f>IF(OR(N(E166)=0,F166=""),"",F166/E166)</f>
        <v/>
      </c>
      <c r="I166" s="11">
        <f>IF(R166="","",D166-R166)</f>
        <v/>
      </c>
      <c r="J166" s="35">
        <f>IF(R166="","",SUMIFS(Fuel!$E$6:$E$605,Fuel!$C$6:$C$605,C166,Fuel!$D$6:$D$605,"&gt;"&amp;R166,Fuel!$D$6:$D$605,"&lt;="&amp;D166))</f>
        <v/>
      </c>
      <c r="K166" s="36">
        <f>IF(OR(I166="",N(I166)=0),"",J166/I166*100)</f>
        <v/>
      </c>
      <c r="L166" s="36">
        <f>IF(OR(J166="",N(J166)=0),"",I166/J166)</f>
        <v/>
      </c>
      <c r="M166" s="1" t="n"/>
      <c r="N166">
        <f>IF(OR(C166="",N(D166)=0),"",D166+ROW()/10000000)</f>
        <v/>
      </c>
      <c r="O166">
        <f>IF(N166="","",COUNTIFS(Fuel!$C$6:$C$605,C166,Fuel!$N$6:$N$605,"&gt;"&amp;N166))</f>
        <v/>
      </c>
      <c r="P166">
        <f>IF(OR(N166="",G166=""),"",COUNTIFS(Fuel!$C$6:$C$605,C166,Fuel!$G$6:$G$605,"&lt;&gt;",Fuel!$N$6:$N$605,"&lt;"&amp;N166))</f>
        <v/>
      </c>
      <c r="R166">
        <f>IF(OR(P166="",N(P166)=0),"",SUMIFS(Fuel!$D$6:$D$605,Fuel!$C$6:$C$605,C166,Fuel!$P$6:$P$605,P166-1))</f>
        <v/>
      </c>
    </row>
    <row r="167">
      <c r="A167" s="1" t="n"/>
      <c r="B167" s="29" t="n"/>
      <c r="C167" s="24" t="n"/>
      <c r="D167" s="28" t="n"/>
      <c r="E167" s="33" t="n"/>
      <c r="F167" s="34" t="n"/>
      <c r="G167" s="27" t="n"/>
      <c r="H167" s="14">
        <f>IF(OR(N(E167)=0,F167=""),"",F167/E167)</f>
        <v/>
      </c>
      <c r="I167" s="11">
        <f>IF(R167="","",D167-R167)</f>
        <v/>
      </c>
      <c r="J167" s="35">
        <f>IF(R167="","",SUMIFS(Fuel!$E$6:$E$605,Fuel!$C$6:$C$605,C167,Fuel!$D$6:$D$605,"&gt;"&amp;R167,Fuel!$D$6:$D$605,"&lt;="&amp;D167))</f>
        <v/>
      </c>
      <c r="K167" s="36">
        <f>IF(OR(I167="",N(I167)=0),"",J167/I167*100)</f>
        <v/>
      </c>
      <c r="L167" s="36">
        <f>IF(OR(J167="",N(J167)=0),"",I167/J167)</f>
        <v/>
      </c>
      <c r="M167" s="1" t="n"/>
      <c r="N167">
        <f>IF(OR(C167="",N(D167)=0),"",D167+ROW()/10000000)</f>
        <v/>
      </c>
      <c r="O167">
        <f>IF(N167="","",COUNTIFS(Fuel!$C$6:$C$605,C167,Fuel!$N$6:$N$605,"&gt;"&amp;N167))</f>
        <v/>
      </c>
      <c r="P167">
        <f>IF(OR(N167="",G167=""),"",COUNTIFS(Fuel!$C$6:$C$605,C167,Fuel!$G$6:$G$605,"&lt;&gt;",Fuel!$N$6:$N$605,"&lt;"&amp;N167))</f>
        <v/>
      </c>
      <c r="R167">
        <f>IF(OR(P167="",N(P167)=0),"",SUMIFS(Fuel!$D$6:$D$605,Fuel!$C$6:$C$605,C167,Fuel!$P$6:$P$605,P167-1))</f>
        <v/>
      </c>
    </row>
    <row r="168">
      <c r="A168" s="1" t="n"/>
      <c r="B168" s="29" t="n"/>
      <c r="C168" s="24" t="n"/>
      <c r="D168" s="28" t="n"/>
      <c r="E168" s="33" t="n"/>
      <c r="F168" s="34" t="n"/>
      <c r="G168" s="27" t="n"/>
      <c r="H168" s="14">
        <f>IF(OR(N(E168)=0,F168=""),"",F168/E168)</f>
        <v/>
      </c>
      <c r="I168" s="11">
        <f>IF(R168="","",D168-R168)</f>
        <v/>
      </c>
      <c r="J168" s="35">
        <f>IF(R168="","",SUMIFS(Fuel!$E$6:$E$605,Fuel!$C$6:$C$605,C168,Fuel!$D$6:$D$605,"&gt;"&amp;R168,Fuel!$D$6:$D$605,"&lt;="&amp;D168))</f>
        <v/>
      </c>
      <c r="K168" s="36">
        <f>IF(OR(I168="",N(I168)=0),"",J168/I168*100)</f>
        <v/>
      </c>
      <c r="L168" s="36">
        <f>IF(OR(J168="",N(J168)=0),"",I168/J168)</f>
        <v/>
      </c>
      <c r="M168" s="1" t="n"/>
      <c r="N168">
        <f>IF(OR(C168="",N(D168)=0),"",D168+ROW()/10000000)</f>
        <v/>
      </c>
      <c r="O168">
        <f>IF(N168="","",COUNTIFS(Fuel!$C$6:$C$605,C168,Fuel!$N$6:$N$605,"&gt;"&amp;N168))</f>
        <v/>
      </c>
      <c r="P168">
        <f>IF(OR(N168="",G168=""),"",COUNTIFS(Fuel!$C$6:$C$605,C168,Fuel!$G$6:$G$605,"&lt;&gt;",Fuel!$N$6:$N$605,"&lt;"&amp;N168))</f>
        <v/>
      </c>
      <c r="R168">
        <f>IF(OR(P168="",N(P168)=0),"",SUMIFS(Fuel!$D$6:$D$605,Fuel!$C$6:$C$605,C168,Fuel!$P$6:$P$605,P168-1))</f>
        <v/>
      </c>
    </row>
    <row r="169">
      <c r="A169" s="1" t="n"/>
      <c r="B169" s="29" t="n"/>
      <c r="C169" s="24" t="n"/>
      <c r="D169" s="28" t="n"/>
      <c r="E169" s="33" t="n"/>
      <c r="F169" s="34" t="n"/>
      <c r="G169" s="27" t="n"/>
      <c r="H169" s="14">
        <f>IF(OR(N(E169)=0,F169=""),"",F169/E169)</f>
        <v/>
      </c>
      <c r="I169" s="11">
        <f>IF(R169="","",D169-R169)</f>
        <v/>
      </c>
      <c r="J169" s="35">
        <f>IF(R169="","",SUMIFS(Fuel!$E$6:$E$605,Fuel!$C$6:$C$605,C169,Fuel!$D$6:$D$605,"&gt;"&amp;R169,Fuel!$D$6:$D$605,"&lt;="&amp;D169))</f>
        <v/>
      </c>
      <c r="K169" s="36">
        <f>IF(OR(I169="",N(I169)=0),"",J169/I169*100)</f>
        <v/>
      </c>
      <c r="L169" s="36">
        <f>IF(OR(J169="",N(J169)=0),"",I169/J169)</f>
        <v/>
      </c>
      <c r="M169" s="1" t="n"/>
      <c r="N169">
        <f>IF(OR(C169="",N(D169)=0),"",D169+ROW()/10000000)</f>
        <v/>
      </c>
      <c r="O169">
        <f>IF(N169="","",COUNTIFS(Fuel!$C$6:$C$605,C169,Fuel!$N$6:$N$605,"&gt;"&amp;N169))</f>
        <v/>
      </c>
      <c r="P169">
        <f>IF(OR(N169="",G169=""),"",COUNTIFS(Fuel!$C$6:$C$605,C169,Fuel!$G$6:$G$605,"&lt;&gt;",Fuel!$N$6:$N$605,"&lt;"&amp;N169))</f>
        <v/>
      </c>
      <c r="R169">
        <f>IF(OR(P169="",N(P169)=0),"",SUMIFS(Fuel!$D$6:$D$605,Fuel!$C$6:$C$605,C169,Fuel!$P$6:$P$605,P169-1))</f>
        <v/>
      </c>
    </row>
    <row r="170">
      <c r="A170" s="1" t="n"/>
      <c r="B170" s="29" t="n"/>
      <c r="C170" s="24" t="n"/>
      <c r="D170" s="28" t="n"/>
      <c r="E170" s="33" t="n"/>
      <c r="F170" s="34" t="n"/>
      <c r="G170" s="27" t="n"/>
      <c r="H170" s="14">
        <f>IF(OR(N(E170)=0,F170=""),"",F170/E170)</f>
        <v/>
      </c>
      <c r="I170" s="11">
        <f>IF(R170="","",D170-R170)</f>
        <v/>
      </c>
      <c r="J170" s="35">
        <f>IF(R170="","",SUMIFS(Fuel!$E$6:$E$605,Fuel!$C$6:$C$605,C170,Fuel!$D$6:$D$605,"&gt;"&amp;R170,Fuel!$D$6:$D$605,"&lt;="&amp;D170))</f>
        <v/>
      </c>
      <c r="K170" s="36">
        <f>IF(OR(I170="",N(I170)=0),"",J170/I170*100)</f>
        <v/>
      </c>
      <c r="L170" s="36">
        <f>IF(OR(J170="",N(J170)=0),"",I170/J170)</f>
        <v/>
      </c>
      <c r="M170" s="1" t="n"/>
      <c r="N170">
        <f>IF(OR(C170="",N(D170)=0),"",D170+ROW()/10000000)</f>
        <v/>
      </c>
      <c r="O170">
        <f>IF(N170="","",COUNTIFS(Fuel!$C$6:$C$605,C170,Fuel!$N$6:$N$605,"&gt;"&amp;N170))</f>
        <v/>
      </c>
      <c r="P170">
        <f>IF(OR(N170="",G170=""),"",COUNTIFS(Fuel!$C$6:$C$605,C170,Fuel!$G$6:$G$605,"&lt;&gt;",Fuel!$N$6:$N$605,"&lt;"&amp;N170))</f>
        <v/>
      </c>
      <c r="R170">
        <f>IF(OR(P170="",N(P170)=0),"",SUMIFS(Fuel!$D$6:$D$605,Fuel!$C$6:$C$605,C170,Fuel!$P$6:$P$605,P170-1))</f>
        <v/>
      </c>
    </row>
    <row r="171">
      <c r="A171" s="1" t="n"/>
      <c r="B171" s="29" t="n"/>
      <c r="C171" s="24" t="n"/>
      <c r="D171" s="28" t="n"/>
      <c r="E171" s="33" t="n"/>
      <c r="F171" s="34" t="n"/>
      <c r="G171" s="27" t="n"/>
      <c r="H171" s="14">
        <f>IF(OR(N(E171)=0,F171=""),"",F171/E171)</f>
        <v/>
      </c>
      <c r="I171" s="11">
        <f>IF(R171="","",D171-R171)</f>
        <v/>
      </c>
      <c r="J171" s="35">
        <f>IF(R171="","",SUMIFS(Fuel!$E$6:$E$605,Fuel!$C$6:$C$605,C171,Fuel!$D$6:$D$605,"&gt;"&amp;R171,Fuel!$D$6:$D$605,"&lt;="&amp;D171))</f>
        <v/>
      </c>
      <c r="K171" s="36">
        <f>IF(OR(I171="",N(I171)=0),"",J171/I171*100)</f>
        <v/>
      </c>
      <c r="L171" s="36">
        <f>IF(OR(J171="",N(J171)=0),"",I171/J171)</f>
        <v/>
      </c>
      <c r="M171" s="1" t="n"/>
      <c r="N171">
        <f>IF(OR(C171="",N(D171)=0),"",D171+ROW()/10000000)</f>
        <v/>
      </c>
      <c r="O171">
        <f>IF(N171="","",COUNTIFS(Fuel!$C$6:$C$605,C171,Fuel!$N$6:$N$605,"&gt;"&amp;N171))</f>
        <v/>
      </c>
      <c r="P171">
        <f>IF(OR(N171="",G171=""),"",COUNTIFS(Fuel!$C$6:$C$605,C171,Fuel!$G$6:$G$605,"&lt;&gt;",Fuel!$N$6:$N$605,"&lt;"&amp;N171))</f>
        <v/>
      </c>
      <c r="R171">
        <f>IF(OR(P171="",N(P171)=0),"",SUMIFS(Fuel!$D$6:$D$605,Fuel!$C$6:$C$605,C171,Fuel!$P$6:$P$605,P171-1))</f>
        <v/>
      </c>
    </row>
    <row r="172">
      <c r="A172" s="1" t="n"/>
      <c r="B172" s="29" t="n"/>
      <c r="C172" s="24" t="n"/>
      <c r="D172" s="28" t="n"/>
      <c r="E172" s="33" t="n"/>
      <c r="F172" s="34" t="n"/>
      <c r="G172" s="27" t="n"/>
      <c r="H172" s="14">
        <f>IF(OR(N(E172)=0,F172=""),"",F172/E172)</f>
        <v/>
      </c>
      <c r="I172" s="11">
        <f>IF(R172="","",D172-R172)</f>
        <v/>
      </c>
      <c r="J172" s="35">
        <f>IF(R172="","",SUMIFS(Fuel!$E$6:$E$605,Fuel!$C$6:$C$605,C172,Fuel!$D$6:$D$605,"&gt;"&amp;R172,Fuel!$D$6:$D$605,"&lt;="&amp;D172))</f>
        <v/>
      </c>
      <c r="K172" s="36">
        <f>IF(OR(I172="",N(I172)=0),"",J172/I172*100)</f>
        <v/>
      </c>
      <c r="L172" s="36">
        <f>IF(OR(J172="",N(J172)=0),"",I172/J172)</f>
        <v/>
      </c>
      <c r="M172" s="1" t="n"/>
      <c r="N172">
        <f>IF(OR(C172="",N(D172)=0),"",D172+ROW()/10000000)</f>
        <v/>
      </c>
      <c r="O172">
        <f>IF(N172="","",COUNTIFS(Fuel!$C$6:$C$605,C172,Fuel!$N$6:$N$605,"&gt;"&amp;N172))</f>
        <v/>
      </c>
      <c r="P172">
        <f>IF(OR(N172="",G172=""),"",COUNTIFS(Fuel!$C$6:$C$605,C172,Fuel!$G$6:$G$605,"&lt;&gt;",Fuel!$N$6:$N$605,"&lt;"&amp;N172))</f>
        <v/>
      </c>
      <c r="R172">
        <f>IF(OR(P172="",N(P172)=0),"",SUMIFS(Fuel!$D$6:$D$605,Fuel!$C$6:$C$605,C172,Fuel!$P$6:$P$605,P172-1))</f>
        <v/>
      </c>
    </row>
    <row r="173">
      <c r="A173" s="1" t="n"/>
      <c r="B173" s="29" t="n"/>
      <c r="C173" s="24" t="n"/>
      <c r="D173" s="28" t="n"/>
      <c r="E173" s="33" t="n"/>
      <c r="F173" s="34" t="n"/>
      <c r="G173" s="27" t="n"/>
      <c r="H173" s="14">
        <f>IF(OR(N(E173)=0,F173=""),"",F173/E173)</f>
        <v/>
      </c>
      <c r="I173" s="11">
        <f>IF(R173="","",D173-R173)</f>
        <v/>
      </c>
      <c r="J173" s="35">
        <f>IF(R173="","",SUMIFS(Fuel!$E$6:$E$605,Fuel!$C$6:$C$605,C173,Fuel!$D$6:$D$605,"&gt;"&amp;R173,Fuel!$D$6:$D$605,"&lt;="&amp;D173))</f>
        <v/>
      </c>
      <c r="K173" s="36">
        <f>IF(OR(I173="",N(I173)=0),"",J173/I173*100)</f>
        <v/>
      </c>
      <c r="L173" s="36">
        <f>IF(OR(J173="",N(J173)=0),"",I173/J173)</f>
        <v/>
      </c>
      <c r="M173" s="1" t="n"/>
      <c r="N173">
        <f>IF(OR(C173="",N(D173)=0),"",D173+ROW()/10000000)</f>
        <v/>
      </c>
      <c r="O173">
        <f>IF(N173="","",COUNTIFS(Fuel!$C$6:$C$605,C173,Fuel!$N$6:$N$605,"&gt;"&amp;N173))</f>
        <v/>
      </c>
      <c r="P173">
        <f>IF(OR(N173="",G173=""),"",COUNTIFS(Fuel!$C$6:$C$605,C173,Fuel!$G$6:$G$605,"&lt;&gt;",Fuel!$N$6:$N$605,"&lt;"&amp;N173))</f>
        <v/>
      </c>
      <c r="R173">
        <f>IF(OR(P173="",N(P173)=0),"",SUMIFS(Fuel!$D$6:$D$605,Fuel!$C$6:$C$605,C173,Fuel!$P$6:$P$605,P173-1))</f>
        <v/>
      </c>
    </row>
    <row r="174">
      <c r="A174" s="1" t="n"/>
      <c r="B174" s="29" t="n"/>
      <c r="C174" s="24" t="n"/>
      <c r="D174" s="28" t="n"/>
      <c r="E174" s="33" t="n"/>
      <c r="F174" s="34" t="n"/>
      <c r="G174" s="27" t="n"/>
      <c r="H174" s="14">
        <f>IF(OR(N(E174)=0,F174=""),"",F174/E174)</f>
        <v/>
      </c>
      <c r="I174" s="11">
        <f>IF(R174="","",D174-R174)</f>
        <v/>
      </c>
      <c r="J174" s="35">
        <f>IF(R174="","",SUMIFS(Fuel!$E$6:$E$605,Fuel!$C$6:$C$605,C174,Fuel!$D$6:$D$605,"&gt;"&amp;R174,Fuel!$D$6:$D$605,"&lt;="&amp;D174))</f>
        <v/>
      </c>
      <c r="K174" s="36">
        <f>IF(OR(I174="",N(I174)=0),"",J174/I174*100)</f>
        <v/>
      </c>
      <c r="L174" s="36">
        <f>IF(OR(J174="",N(J174)=0),"",I174/J174)</f>
        <v/>
      </c>
      <c r="M174" s="1" t="n"/>
      <c r="N174">
        <f>IF(OR(C174="",N(D174)=0),"",D174+ROW()/10000000)</f>
        <v/>
      </c>
      <c r="O174">
        <f>IF(N174="","",COUNTIFS(Fuel!$C$6:$C$605,C174,Fuel!$N$6:$N$605,"&gt;"&amp;N174))</f>
        <v/>
      </c>
      <c r="P174">
        <f>IF(OR(N174="",G174=""),"",COUNTIFS(Fuel!$C$6:$C$605,C174,Fuel!$G$6:$G$605,"&lt;&gt;",Fuel!$N$6:$N$605,"&lt;"&amp;N174))</f>
        <v/>
      </c>
      <c r="R174">
        <f>IF(OR(P174="",N(P174)=0),"",SUMIFS(Fuel!$D$6:$D$605,Fuel!$C$6:$C$605,C174,Fuel!$P$6:$P$605,P174-1))</f>
        <v/>
      </c>
    </row>
    <row r="175">
      <c r="A175" s="1" t="n"/>
      <c r="B175" s="29" t="n"/>
      <c r="C175" s="24" t="n"/>
      <c r="D175" s="28" t="n"/>
      <c r="E175" s="33" t="n"/>
      <c r="F175" s="34" t="n"/>
      <c r="G175" s="27" t="n"/>
      <c r="H175" s="14">
        <f>IF(OR(N(E175)=0,F175=""),"",F175/E175)</f>
        <v/>
      </c>
      <c r="I175" s="11">
        <f>IF(R175="","",D175-R175)</f>
        <v/>
      </c>
      <c r="J175" s="35">
        <f>IF(R175="","",SUMIFS(Fuel!$E$6:$E$605,Fuel!$C$6:$C$605,C175,Fuel!$D$6:$D$605,"&gt;"&amp;R175,Fuel!$D$6:$D$605,"&lt;="&amp;D175))</f>
        <v/>
      </c>
      <c r="K175" s="36">
        <f>IF(OR(I175="",N(I175)=0),"",J175/I175*100)</f>
        <v/>
      </c>
      <c r="L175" s="36">
        <f>IF(OR(J175="",N(J175)=0),"",I175/J175)</f>
        <v/>
      </c>
      <c r="M175" s="1" t="n"/>
      <c r="N175">
        <f>IF(OR(C175="",N(D175)=0),"",D175+ROW()/10000000)</f>
        <v/>
      </c>
      <c r="O175">
        <f>IF(N175="","",COUNTIFS(Fuel!$C$6:$C$605,C175,Fuel!$N$6:$N$605,"&gt;"&amp;N175))</f>
        <v/>
      </c>
      <c r="P175">
        <f>IF(OR(N175="",G175=""),"",COUNTIFS(Fuel!$C$6:$C$605,C175,Fuel!$G$6:$G$605,"&lt;&gt;",Fuel!$N$6:$N$605,"&lt;"&amp;N175))</f>
        <v/>
      </c>
      <c r="R175">
        <f>IF(OR(P175="",N(P175)=0),"",SUMIFS(Fuel!$D$6:$D$605,Fuel!$C$6:$C$605,C175,Fuel!$P$6:$P$605,P175-1))</f>
        <v/>
      </c>
    </row>
    <row r="176">
      <c r="A176" s="1" t="n"/>
      <c r="B176" s="29" t="n"/>
      <c r="C176" s="24" t="n"/>
      <c r="D176" s="28" t="n"/>
      <c r="E176" s="33" t="n"/>
      <c r="F176" s="34" t="n"/>
      <c r="G176" s="27" t="n"/>
      <c r="H176" s="14">
        <f>IF(OR(N(E176)=0,F176=""),"",F176/E176)</f>
        <v/>
      </c>
      <c r="I176" s="11">
        <f>IF(R176="","",D176-R176)</f>
        <v/>
      </c>
      <c r="J176" s="35">
        <f>IF(R176="","",SUMIFS(Fuel!$E$6:$E$605,Fuel!$C$6:$C$605,C176,Fuel!$D$6:$D$605,"&gt;"&amp;R176,Fuel!$D$6:$D$605,"&lt;="&amp;D176))</f>
        <v/>
      </c>
      <c r="K176" s="36">
        <f>IF(OR(I176="",N(I176)=0),"",J176/I176*100)</f>
        <v/>
      </c>
      <c r="L176" s="36">
        <f>IF(OR(J176="",N(J176)=0),"",I176/J176)</f>
        <v/>
      </c>
      <c r="M176" s="1" t="n"/>
      <c r="N176">
        <f>IF(OR(C176="",N(D176)=0),"",D176+ROW()/10000000)</f>
        <v/>
      </c>
      <c r="O176">
        <f>IF(N176="","",COUNTIFS(Fuel!$C$6:$C$605,C176,Fuel!$N$6:$N$605,"&gt;"&amp;N176))</f>
        <v/>
      </c>
      <c r="P176">
        <f>IF(OR(N176="",G176=""),"",COUNTIFS(Fuel!$C$6:$C$605,C176,Fuel!$G$6:$G$605,"&lt;&gt;",Fuel!$N$6:$N$605,"&lt;"&amp;N176))</f>
        <v/>
      </c>
      <c r="R176">
        <f>IF(OR(P176="",N(P176)=0),"",SUMIFS(Fuel!$D$6:$D$605,Fuel!$C$6:$C$605,C176,Fuel!$P$6:$P$605,P176-1))</f>
        <v/>
      </c>
    </row>
    <row r="177">
      <c r="A177" s="1" t="n"/>
      <c r="B177" s="29" t="n"/>
      <c r="C177" s="24" t="n"/>
      <c r="D177" s="28" t="n"/>
      <c r="E177" s="33" t="n"/>
      <c r="F177" s="34" t="n"/>
      <c r="G177" s="27" t="n"/>
      <c r="H177" s="14">
        <f>IF(OR(N(E177)=0,F177=""),"",F177/E177)</f>
        <v/>
      </c>
      <c r="I177" s="11">
        <f>IF(R177="","",D177-R177)</f>
        <v/>
      </c>
      <c r="J177" s="35">
        <f>IF(R177="","",SUMIFS(Fuel!$E$6:$E$605,Fuel!$C$6:$C$605,C177,Fuel!$D$6:$D$605,"&gt;"&amp;R177,Fuel!$D$6:$D$605,"&lt;="&amp;D177))</f>
        <v/>
      </c>
      <c r="K177" s="36">
        <f>IF(OR(I177="",N(I177)=0),"",J177/I177*100)</f>
        <v/>
      </c>
      <c r="L177" s="36">
        <f>IF(OR(J177="",N(J177)=0),"",I177/J177)</f>
        <v/>
      </c>
      <c r="M177" s="1" t="n"/>
      <c r="N177">
        <f>IF(OR(C177="",N(D177)=0),"",D177+ROW()/10000000)</f>
        <v/>
      </c>
      <c r="O177">
        <f>IF(N177="","",COUNTIFS(Fuel!$C$6:$C$605,C177,Fuel!$N$6:$N$605,"&gt;"&amp;N177))</f>
        <v/>
      </c>
      <c r="P177">
        <f>IF(OR(N177="",G177=""),"",COUNTIFS(Fuel!$C$6:$C$605,C177,Fuel!$G$6:$G$605,"&lt;&gt;",Fuel!$N$6:$N$605,"&lt;"&amp;N177))</f>
        <v/>
      </c>
      <c r="R177">
        <f>IF(OR(P177="",N(P177)=0),"",SUMIFS(Fuel!$D$6:$D$605,Fuel!$C$6:$C$605,C177,Fuel!$P$6:$P$605,P177-1))</f>
        <v/>
      </c>
    </row>
    <row r="178">
      <c r="A178" s="1" t="n"/>
      <c r="B178" s="29" t="n"/>
      <c r="C178" s="24" t="n"/>
      <c r="D178" s="28" t="n"/>
      <c r="E178" s="33" t="n"/>
      <c r="F178" s="34" t="n"/>
      <c r="G178" s="27" t="n"/>
      <c r="H178" s="14">
        <f>IF(OR(N(E178)=0,F178=""),"",F178/E178)</f>
        <v/>
      </c>
      <c r="I178" s="11">
        <f>IF(R178="","",D178-R178)</f>
        <v/>
      </c>
      <c r="J178" s="35">
        <f>IF(R178="","",SUMIFS(Fuel!$E$6:$E$605,Fuel!$C$6:$C$605,C178,Fuel!$D$6:$D$605,"&gt;"&amp;R178,Fuel!$D$6:$D$605,"&lt;="&amp;D178))</f>
        <v/>
      </c>
      <c r="K178" s="36">
        <f>IF(OR(I178="",N(I178)=0),"",J178/I178*100)</f>
        <v/>
      </c>
      <c r="L178" s="36">
        <f>IF(OR(J178="",N(J178)=0),"",I178/J178)</f>
        <v/>
      </c>
      <c r="M178" s="1" t="n"/>
      <c r="N178">
        <f>IF(OR(C178="",N(D178)=0),"",D178+ROW()/10000000)</f>
        <v/>
      </c>
      <c r="O178">
        <f>IF(N178="","",COUNTIFS(Fuel!$C$6:$C$605,C178,Fuel!$N$6:$N$605,"&gt;"&amp;N178))</f>
        <v/>
      </c>
      <c r="P178">
        <f>IF(OR(N178="",G178=""),"",COUNTIFS(Fuel!$C$6:$C$605,C178,Fuel!$G$6:$G$605,"&lt;&gt;",Fuel!$N$6:$N$605,"&lt;"&amp;N178))</f>
        <v/>
      </c>
      <c r="R178">
        <f>IF(OR(P178="",N(P178)=0),"",SUMIFS(Fuel!$D$6:$D$605,Fuel!$C$6:$C$605,C178,Fuel!$P$6:$P$605,P178-1))</f>
        <v/>
      </c>
    </row>
    <row r="179">
      <c r="A179" s="1" t="n"/>
      <c r="B179" s="29" t="n"/>
      <c r="C179" s="24" t="n"/>
      <c r="D179" s="28" t="n"/>
      <c r="E179" s="33" t="n"/>
      <c r="F179" s="34" t="n"/>
      <c r="G179" s="27" t="n"/>
      <c r="H179" s="14">
        <f>IF(OR(N(E179)=0,F179=""),"",F179/E179)</f>
        <v/>
      </c>
      <c r="I179" s="11">
        <f>IF(R179="","",D179-R179)</f>
        <v/>
      </c>
      <c r="J179" s="35">
        <f>IF(R179="","",SUMIFS(Fuel!$E$6:$E$605,Fuel!$C$6:$C$605,C179,Fuel!$D$6:$D$605,"&gt;"&amp;R179,Fuel!$D$6:$D$605,"&lt;="&amp;D179))</f>
        <v/>
      </c>
      <c r="K179" s="36">
        <f>IF(OR(I179="",N(I179)=0),"",J179/I179*100)</f>
        <v/>
      </c>
      <c r="L179" s="36">
        <f>IF(OR(J179="",N(J179)=0),"",I179/J179)</f>
        <v/>
      </c>
      <c r="M179" s="1" t="n"/>
      <c r="N179">
        <f>IF(OR(C179="",N(D179)=0),"",D179+ROW()/10000000)</f>
        <v/>
      </c>
      <c r="O179">
        <f>IF(N179="","",COUNTIFS(Fuel!$C$6:$C$605,C179,Fuel!$N$6:$N$605,"&gt;"&amp;N179))</f>
        <v/>
      </c>
      <c r="P179">
        <f>IF(OR(N179="",G179=""),"",COUNTIFS(Fuel!$C$6:$C$605,C179,Fuel!$G$6:$G$605,"&lt;&gt;",Fuel!$N$6:$N$605,"&lt;"&amp;N179))</f>
        <v/>
      </c>
      <c r="R179">
        <f>IF(OR(P179="",N(P179)=0),"",SUMIFS(Fuel!$D$6:$D$605,Fuel!$C$6:$C$605,C179,Fuel!$P$6:$P$605,P179-1))</f>
        <v/>
      </c>
    </row>
    <row r="180">
      <c r="A180" s="1" t="n"/>
      <c r="B180" s="29" t="n"/>
      <c r="C180" s="24" t="n"/>
      <c r="D180" s="28" t="n"/>
      <c r="E180" s="33" t="n"/>
      <c r="F180" s="34" t="n"/>
      <c r="G180" s="27" t="n"/>
      <c r="H180" s="14">
        <f>IF(OR(N(E180)=0,F180=""),"",F180/E180)</f>
        <v/>
      </c>
      <c r="I180" s="11">
        <f>IF(R180="","",D180-R180)</f>
        <v/>
      </c>
      <c r="J180" s="35">
        <f>IF(R180="","",SUMIFS(Fuel!$E$6:$E$605,Fuel!$C$6:$C$605,C180,Fuel!$D$6:$D$605,"&gt;"&amp;R180,Fuel!$D$6:$D$605,"&lt;="&amp;D180))</f>
        <v/>
      </c>
      <c r="K180" s="36">
        <f>IF(OR(I180="",N(I180)=0),"",J180/I180*100)</f>
        <v/>
      </c>
      <c r="L180" s="36">
        <f>IF(OR(J180="",N(J180)=0),"",I180/J180)</f>
        <v/>
      </c>
      <c r="M180" s="1" t="n"/>
      <c r="N180">
        <f>IF(OR(C180="",N(D180)=0),"",D180+ROW()/10000000)</f>
        <v/>
      </c>
      <c r="O180">
        <f>IF(N180="","",COUNTIFS(Fuel!$C$6:$C$605,C180,Fuel!$N$6:$N$605,"&gt;"&amp;N180))</f>
        <v/>
      </c>
      <c r="P180">
        <f>IF(OR(N180="",G180=""),"",COUNTIFS(Fuel!$C$6:$C$605,C180,Fuel!$G$6:$G$605,"&lt;&gt;",Fuel!$N$6:$N$605,"&lt;"&amp;N180))</f>
        <v/>
      </c>
      <c r="R180">
        <f>IF(OR(P180="",N(P180)=0),"",SUMIFS(Fuel!$D$6:$D$605,Fuel!$C$6:$C$605,C180,Fuel!$P$6:$P$605,P180-1))</f>
        <v/>
      </c>
    </row>
    <row r="181">
      <c r="A181" s="1" t="n"/>
      <c r="B181" s="29" t="n"/>
      <c r="C181" s="24" t="n"/>
      <c r="D181" s="28" t="n"/>
      <c r="E181" s="33" t="n"/>
      <c r="F181" s="34" t="n"/>
      <c r="G181" s="27" t="n"/>
      <c r="H181" s="14">
        <f>IF(OR(N(E181)=0,F181=""),"",F181/E181)</f>
        <v/>
      </c>
      <c r="I181" s="11">
        <f>IF(R181="","",D181-R181)</f>
        <v/>
      </c>
      <c r="J181" s="35">
        <f>IF(R181="","",SUMIFS(Fuel!$E$6:$E$605,Fuel!$C$6:$C$605,C181,Fuel!$D$6:$D$605,"&gt;"&amp;R181,Fuel!$D$6:$D$605,"&lt;="&amp;D181))</f>
        <v/>
      </c>
      <c r="K181" s="36">
        <f>IF(OR(I181="",N(I181)=0),"",J181/I181*100)</f>
        <v/>
      </c>
      <c r="L181" s="36">
        <f>IF(OR(J181="",N(J181)=0),"",I181/J181)</f>
        <v/>
      </c>
      <c r="M181" s="1" t="n"/>
      <c r="N181">
        <f>IF(OR(C181="",N(D181)=0),"",D181+ROW()/10000000)</f>
        <v/>
      </c>
      <c r="O181">
        <f>IF(N181="","",COUNTIFS(Fuel!$C$6:$C$605,C181,Fuel!$N$6:$N$605,"&gt;"&amp;N181))</f>
        <v/>
      </c>
      <c r="P181">
        <f>IF(OR(N181="",G181=""),"",COUNTIFS(Fuel!$C$6:$C$605,C181,Fuel!$G$6:$G$605,"&lt;&gt;",Fuel!$N$6:$N$605,"&lt;"&amp;N181))</f>
        <v/>
      </c>
      <c r="R181">
        <f>IF(OR(P181="",N(P181)=0),"",SUMIFS(Fuel!$D$6:$D$605,Fuel!$C$6:$C$605,C181,Fuel!$P$6:$P$605,P181-1))</f>
        <v/>
      </c>
    </row>
    <row r="182">
      <c r="A182" s="1" t="n"/>
      <c r="B182" s="29" t="n"/>
      <c r="C182" s="24" t="n"/>
      <c r="D182" s="28" t="n"/>
      <c r="E182" s="33" t="n"/>
      <c r="F182" s="34" t="n"/>
      <c r="G182" s="27" t="n"/>
      <c r="H182" s="14">
        <f>IF(OR(N(E182)=0,F182=""),"",F182/E182)</f>
        <v/>
      </c>
      <c r="I182" s="11">
        <f>IF(R182="","",D182-R182)</f>
        <v/>
      </c>
      <c r="J182" s="35">
        <f>IF(R182="","",SUMIFS(Fuel!$E$6:$E$605,Fuel!$C$6:$C$605,C182,Fuel!$D$6:$D$605,"&gt;"&amp;R182,Fuel!$D$6:$D$605,"&lt;="&amp;D182))</f>
        <v/>
      </c>
      <c r="K182" s="36">
        <f>IF(OR(I182="",N(I182)=0),"",J182/I182*100)</f>
        <v/>
      </c>
      <c r="L182" s="36">
        <f>IF(OR(J182="",N(J182)=0),"",I182/J182)</f>
        <v/>
      </c>
      <c r="M182" s="1" t="n"/>
      <c r="N182">
        <f>IF(OR(C182="",N(D182)=0),"",D182+ROW()/10000000)</f>
        <v/>
      </c>
      <c r="O182">
        <f>IF(N182="","",COUNTIFS(Fuel!$C$6:$C$605,C182,Fuel!$N$6:$N$605,"&gt;"&amp;N182))</f>
        <v/>
      </c>
      <c r="P182">
        <f>IF(OR(N182="",G182=""),"",COUNTIFS(Fuel!$C$6:$C$605,C182,Fuel!$G$6:$G$605,"&lt;&gt;",Fuel!$N$6:$N$605,"&lt;"&amp;N182))</f>
        <v/>
      </c>
      <c r="R182">
        <f>IF(OR(P182="",N(P182)=0),"",SUMIFS(Fuel!$D$6:$D$605,Fuel!$C$6:$C$605,C182,Fuel!$P$6:$P$605,P182-1))</f>
        <v/>
      </c>
    </row>
    <row r="183">
      <c r="A183" s="1" t="n"/>
      <c r="B183" s="29" t="n"/>
      <c r="C183" s="24" t="n"/>
      <c r="D183" s="28" t="n"/>
      <c r="E183" s="33" t="n"/>
      <c r="F183" s="34" t="n"/>
      <c r="G183" s="27" t="n"/>
      <c r="H183" s="14">
        <f>IF(OR(N(E183)=0,F183=""),"",F183/E183)</f>
        <v/>
      </c>
      <c r="I183" s="11">
        <f>IF(R183="","",D183-R183)</f>
        <v/>
      </c>
      <c r="J183" s="35">
        <f>IF(R183="","",SUMIFS(Fuel!$E$6:$E$605,Fuel!$C$6:$C$605,C183,Fuel!$D$6:$D$605,"&gt;"&amp;R183,Fuel!$D$6:$D$605,"&lt;="&amp;D183))</f>
        <v/>
      </c>
      <c r="K183" s="36">
        <f>IF(OR(I183="",N(I183)=0),"",J183/I183*100)</f>
        <v/>
      </c>
      <c r="L183" s="36">
        <f>IF(OR(J183="",N(J183)=0),"",I183/J183)</f>
        <v/>
      </c>
      <c r="M183" s="1" t="n"/>
      <c r="N183">
        <f>IF(OR(C183="",N(D183)=0),"",D183+ROW()/10000000)</f>
        <v/>
      </c>
      <c r="O183">
        <f>IF(N183="","",COUNTIFS(Fuel!$C$6:$C$605,C183,Fuel!$N$6:$N$605,"&gt;"&amp;N183))</f>
        <v/>
      </c>
      <c r="P183">
        <f>IF(OR(N183="",G183=""),"",COUNTIFS(Fuel!$C$6:$C$605,C183,Fuel!$G$6:$G$605,"&lt;&gt;",Fuel!$N$6:$N$605,"&lt;"&amp;N183))</f>
        <v/>
      </c>
      <c r="R183">
        <f>IF(OR(P183="",N(P183)=0),"",SUMIFS(Fuel!$D$6:$D$605,Fuel!$C$6:$C$605,C183,Fuel!$P$6:$P$605,P183-1))</f>
        <v/>
      </c>
    </row>
    <row r="184">
      <c r="A184" s="1" t="n"/>
      <c r="B184" s="29" t="n"/>
      <c r="C184" s="24" t="n"/>
      <c r="D184" s="28" t="n"/>
      <c r="E184" s="33" t="n"/>
      <c r="F184" s="34" t="n"/>
      <c r="G184" s="27" t="n"/>
      <c r="H184" s="14">
        <f>IF(OR(N(E184)=0,F184=""),"",F184/E184)</f>
        <v/>
      </c>
      <c r="I184" s="11">
        <f>IF(R184="","",D184-R184)</f>
        <v/>
      </c>
      <c r="J184" s="35">
        <f>IF(R184="","",SUMIFS(Fuel!$E$6:$E$605,Fuel!$C$6:$C$605,C184,Fuel!$D$6:$D$605,"&gt;"&amp;R184,Fuel!$D$6:$D$605,"&lt;="&amp;D184))</f>
        <v/>
      </c>
      <c r="K184" s="36">
        <f>IF(OR(I184="",N(I184)=0),"",J184/I184*100)</f>
        <v/>
      </c>
      <c r="L184" s="36">
        <f>IF(OR(J184="",N(J184)=0),"",I184/J184)</f>
        <v/>
      </c>
      <c r="M184" s="1" t="n"/>
      <c r="N184">
        <f>IF(OR(C184="",N(D184)=0),"",D184+ROW()/10000000)</f>
        <v/>
      </c>
      <c r="O184">
        <f>IF(N184="","",COUNTIFS(Fuel!$C$6:$C$605,C184,Fuel!$N$6:$N$605,"&gt;"&amp;N184))</f>
        <v/>
      </c>
      <c r="P184">
        <f>IF(OR(N184="",G184=""),"",COUNTIFS(Fuel!$C$6:$C$605,C184,Fuel!$G$6:$G$605,"&lt;&gt;",Fuel!$N$6:$N$605,"&lt;"&amp;N184))</f>
        <v/>
      </c>
      <c r="R184">
        <f>IF(OR(P184="",N(P184)=0),"",SUMIFS(Fuel!$D$6:$D$605,Fuel!$C$6:$C$605,C184,Fuel!$P$6:$P$605,P184-1))</f>
        <v/>
      </c>
    </row>
    <row r="185">
      <c r="A185" s="1" t="n"/>
      <c r="B185" s="29" t="n"/>
      <c r="C185" s="24" t="n"/>
      <c r="D185" s="28" t="n"/>
      <c r="E185" s="33" t="n"/>
      <c r="F185" s="34" t="n"/>
      <c r="G185" s="27" t="n"/>
      <c r="H185" s="14">
        <f>IF(OR(N(E185)=0,F185=""),"",F185/E185)</f>
        <v/>
      </c>
      <c r="I185" s="11">
        <f>IF(R185="","",D185-R185)</f>
        <v/>
      </c>
      <c r="J185" s="35">
        <f>IF(R185="","",SUMIFS(Fuel!$E$6:$E$605,Fuel!$C$6:$C$605,C185,Fuel!$D$6:$D$605,"&gt;"&amp;R185,Fuel!$D$6:$D$605,"&lt;="&amp;D185))</f>
        <v/>
      </c>
      <c r="K185" s="36">
        <f>IF(OR(I185="",N(I185)=0),"",J185/I185*100)</f>
        <v/>
      </c>
      <c r="L185" s="36">
        <f>IF(OR(J185="",N(J185)=0),"",I185/J185)</f>
        <v/>
      </c>
      <c r="M185" s="1" t="n"/>
      <c r="N185">
        <f>IF(OR(C185="",N(D185)=0),"",D185+ROW()/10000000)</f>
        <v/>
      </c>
      <c r="O185">
        <f>IF(N185="","",COUNTIFS(Fuel!$C$6:$C$605,C185,Fuel!$N$6:$N$605,"&gt;"&amp;N185))</f>
        <v/>
      </c>
      <c r="P185">
        <f>IF(OR(N185="",G185=""),"",COUNTIFS(Fuel!$C$6:$C$605,C185,Fuel!$G$6:$G$605,"&lt;&gt;",Fuel!$N$6:$N$605,"&lt;"&amp;N185))</f>
        <v/>
      </c>
      <c r="R185">
        <f>IF(OR(P185="",N(P185)=0),"",SUMIFS(Fuel!$D$6:$D$605,Fuel!$C$6:$C$605,C185,Fuel!$P$6:$P$605,P185-1))</f>
        <v/>
      </c>
    </row>
    <row r="186">
      <c r="A186" s="1" t="n"/>
      <c r="B186" s="29" t="n"/>
      <c r="C186" s="24" t="n"/>
      <c r="D186" s="28" t="n"/>
      <c r="E186" s="33" t="n"/>
      <c r="F186" s="34" t="n"/>
      <c r="G186" s="27" t="n"/>
      <c r="H186" s="14">
        <f>IF(OR(N(E186)=0,F186=""),"",F186/E186)</f>
        <v/>
      </c>
      <c r="I186" s="11">
        <f>IF(R186="","",D186-R186)</f>
        <v/>
      </c>
      <c r="J186" s="35">
        <f>IF(R186="","",SUMIFS(Fuel!$E$6:$E$605,Fuel!$C$6:$C$605,C186,Fuel!$D$6:$D$605,"&gt;"&amp;R186,Fuel!$D$6:$D$605,"&lt;="&amp;D186))</f>
        <v/>
      </c>
      <c r="K186" s="36">
        <f>IF(OR(I186="",N(I186)=0),"",J186/I186*100)</f>
        <v/>
      </c>
      <c r="L186" s="36">
        <f>IF(OR(J186="",N(J186)=0),"",I186/J186)</f>
        <v/>
      </c>
      <c r="M186" s="1" t="n"/>
      <c r="N186">
        <f>IF(OR(C186="",N(D186)=0),"",D186+ROW()/10000000)</f>
        <v/>
      </c>
      <c r="O186">
        <f>IF(N186="","",COUNTIFS(Fuel!$C$6:$C$605,C186,Fuel!$N$6:$N$605,"&gt;"&amp;N186))</f>
        <v/>
      </c>
      <c r="P186">
        <f>IF(OR(N186="",G186=""),"",COUNTIFS(Fuel!$C$6:$C$605,C186,Fuel!$G$6:$G$605,"&lt;&gt;",Fuel!$N$6:$N$605,"&lt;"&amp;N186))</f>
        <v/>
      </c>
      <c r="R186">
        <f>IF(OR(P186="",N(P186)=0),"",SUMIFS(Fuel!$D$6:$D$605,Fuel!$C$6:$C$605,C186,Fuel!$P$6:$P$605,P186-1))</f>
        <v/>
      </c>
    </row>
    <row r="187">
      <c r="A187" s="1" t="n"/>
      <c r="B187" s="29" t="n"/>
      <c r="C187" s="24" t="n"/>
      <c r="D187" s="28" t="n"/>
      <c r="E187" s="33" t="n"/>
      <c r="F187" s="34" t="n"/>
      <c r="G187" s="27" t="n"/>
      <c r="H187" s="14">
        <f>IF(OR(N(E187)=0,F187=""),"",F187/E187)</f>
        <v/>
      </c>
      <c r="I187" s="11">
        <f>IF(R187="","",D187-R187)</f>
        <v/>
      </c>
      <c r="J187" s="35">
        <f>IF(R187="","",SUMIFS(Fuel!$E$6:$E$605,Fuel!$C$6:$C$605,C187,Fuel!$D$6:$D$605,"&gt;"&amp;R187,Fuel!$D$6:$D$605,"&lt;="&amp;D187))</f>
        <v/>
      </c>
      <c r="K187" s="36">
        <f>IF(OR(I187="",N(I187)=0),"",J187/I187*100)</f>
        <v/>
      </c>
      <c r="L187" s="36">
        <f>IF(OR(J187="",N(J187)=0),"",I187/J187)</f>
        <v/>
      </c>
      <c r="M187" s="1" t="n"/>
      <c r="N187">
        <f>IF(OR(C187="",N(D187)=0),"",D187+ROW()/10000000)</f>
        <v/>
      </c>
      <c r="O187">
        <f>IF(N187="","",COUNTIFS(Fuel!$C$6:$C$605,C187,Fuel!$N$6:$N$605,"&gt;"&amp;N187))</f>
        <v/>
      </c>
      <c r="P187">
        <f>IF(OR(N187="",G187=""),"",COUNTIFS(Fuel!$C$6:$C$605,C187,Fuel!$G$6:$G$605,"&lt;&gt;",Fuel!$N$6:$N$605,"&lt;"&amp;N187))</f>
        <v/>
      </c>
      <c r="R187">
        <f>IF(OR(P187="",N(P187)=0),"",SUMIFS(Fuel!$D$6:$D$605,Fuel!$C$6:$C$605,C187,Fuel!$P$6:$P$605,P187-1))</f>
        <v/>
      </c>
    </row>
    <row r="188">
      <c r="A188" s="1" t="n"/>
      <c r="B188" s="29" t="n"/>
      <c r="C188" s="24" t="n"/>
      <c r="D188" s="28" t="n"/>
      <c r="E188" s="33" t="n"/>
      <c r="F188" s="34" t="n"/>
      <c r="G188" s="27" t="n"/>
      <c r="H188" s="14">
        <f>IF(OR(N(E188)=0,F188=""),"",F188/E188)</f>
        <v/>
      </c>
      <c r="I188" s="11">
        <f>IF(R188="","",D188-R188)</f>
        <v/>
      </c>
      <c r="J188" s="35">
        <f>IF(R188="","",SUMIFS(Fuel!$E$6:$E$605,Fuel!$C$6:$C$605,C188,Fuel!$D$6:$D$605,"&gt;"&amp;R188,Fuel!$D$6:$D$605,"&lt;="&amp;D188))</f>
        <v/>
      </c>
      <c r="K188" s="36">
        <f>IF(OR(I188="",N(I188)=0),"",J188/I188*100)</f>
        <v/>
      </c>
      <c r="L188" s="36">
        <f>IF(OR(J188="",N(J188)=0),"",I188/J188)</f>
        <v/>
      </c>
      <c r="M188" s="1" t="n"/>
      <c r="N188">
        <f>IF(OR(C188="",N(D188)=0),"",D188+ROW()/10000000)</f>
        <v/>
      </c>
      <c r="O188">
        <f>IF(N188="","",COUNTIFS(Fuel!$C$6:$C$605,C188,Fuel!$N$6:$N$605,"&gt;"&amp;N188))</f>
        <v/>
      </c>
      <c r="P188">
        <f>IF(OR(N188="",G188=""),"",COUNTIFS(Fuel!$C$6:$C$605,C188,Fuel!$G$6:$G$605,"&lt;&gt;",Fuel!$N$6:$N$605,"&lt;"&amp;N188))</f>
        <v/>
      </c>
      <c r="R188">
        <f>IF(OR(P188="",N(P188)=0),"",SUMIFS(Fuel!$D$6:$D$605,Fuel!$C$6:$C$605,C188,Fuel!$P$6:$P$605,P188-1))</f>
        <v/>
      </c>
    </row>
    <row r="189">
      <c r="A189" s="1" t="n"/>
      <c r="B189" s="29" t="n"/>
      <c r="C189" s="24" t="n"/>
      <c r="D189" s="28" t="n"/>
      <c r="E189" s="33" t="n"/>
      <c r="F189" s="34" t="n"/>
      <c r="G189" s="27" t="n"/>
      <c r="H189" s="14">
        <f>IF(OR(N(E189)=0,F189=""),"",F189/E189)</f>
        <v/>
      </c>
      <c r="I189" s="11">
        <f>IF(R189="","",D189-R189)</f>
        <v/>
      </c>
      <c r="J189" s="35">
        <f>IF(R189="","",SUMIFS(Fuel!$E$6:$E$605,Fuel!$C$6:$C$605,C189,Fuel!$D$6:$D$605,"&gt;"&amp;R189,Fuel!$D$6:$D$605,"&lt;="&amp;D189))</f>
        <v/>
      </c>
      <c r="K189" s="36">
        <f>IF(OR(I189="",N(I189)=0),"",J189/I189*100)</f>
        <v/>
      </c>
      <c r="L189" s="36">
        <f>IF(OR(J189="",N(J189)=0),"",I189/J189)</f>
        <v/>
      </c>
      <c r="M189" s="1" t="n"/>
      <c r="N189">
        <f>IF(OR(C189="",N(D189)=0),"",D189+ROW()/10000000)</f>
        <v/>
      </c>
      <c r="O189">
        <f>IF(N189="","",COUNTIFS(Fuel!$C$6:$C$605,C189,Fuel!$N$6:$N$605,"&gt;"&amp;N189))</f>
        <v/>
      </c>
      <c r="P189">
        <f>IF(OR(N189="",G189=""),"",COUNTIFS(Fuel!$C$6:$C$605,C189,Fuel!$G$6:$G$605,"&lt;&gt;",Fuel!$N$6:$N$605,"&lt;"&amp;N189))</f>
        <v/>
      </c>
      <c r="R189">
        <f>IF(OR(P189="",N(P189)=0),"",SUMIFS(Fuel!$D$6:$D$605,Fuel!$C$6:$C$605,C189,Fuel!$P$6:$P$605,P189-1))</f>
        <v/>
      </c>
    </row>
    <row r="190">
      <c r="A190" s="1" t="n"/>
      <c r="B190" s="29" t="n"/>
      <c r="C190" s="24" t="n"/>
      <c r="D190" s="28" t="n"/>
      <c r="E190" s="33" t="n"/>
      <c r="F190" s="34" t="n"/>
      <c r="G190" s="27" t="n"/>
      <c r="H190" s="14">
        <f>IF(OR(N(E190)=0,F190=""),"",F190/E190)</f>
        <v/>
      </c>
      <c r="I190" s="11">
        <f>IF(R190="","",D190-R190)</f>
        <v/>
      </c>
      <c r="J190" s="35">
        <f>IF(R190="","",SUMIFS(Fuel!$E$6:$E$605,Fuel!$C$6:$C$605,C190,Fuel!$D$6:$D$605,"&gt;"&amp;R190,Fuel!$D$6:$D$605,"&lt;="&amp;D190))</f>
        <v/>
      </c>
      <c r="K190" s="36">
        <f>IF(OR(I190="",N(I190)=0),"",J190/I190*100)</f>
        <v/>
      </c>
      <c r="L190" s="36">
        <f>IF(OR(J190="",N(J190)=0),"",I190/J190)</f>
        <v/>
      </c>
      <c r="M190" s="1" t="n"/>
      <c r="N190">
        <f>IF(OR(C190="",N(D190)=0),"",D190+ROW()/10000000)</f>
        <v/>
      </c>
      <c r="O190">
        <f>IF(N190="","",COUNTIFS(Fuel!$C$6:$C$605,C190,Fuel!$N$6:$N$605,"&gt;"&amp;N190))</f>
        <v/>
      </c>
      <c r="P190">
        <f>IF(OR(N190="",G190=""),"",COUNTIFS(Fuel!$C$6:$C$605,C190,Fuel!$G$6:$G$605,"&lt;&gt;",Fuel!$N$6:$N$605,"&lt;"&amp;N190))</f>
        <v/>
      </c>
      <c r="R190">
        <f>IF(OR(P190="",N(P190)=0),"",SUMIFS(Fuel!$D$6:$D$605,Fuel!$C$6:$C$605,C190,Fuel!$P$6:$P$605,P190-1))</f>
        <v/>
      </c>
    </row>
    <row r="191">
      <c r="A191" s="1" t="n"/>
      <c r="B191" s="29" t="n"/>
      <c r="C191" s="24" t="n"/>
      <c r="D191" s="28" t="n"/>
      <c r="E191" s="33" t="n"/>
      <c r="F191" s="34" t="n"/>
      <c r="G191" s="27" t="n"/>
      <c r="H191" s="14">
        <f>IF(OR(N(E191)=0,F191=""),"",F191/E191)</f>
        <v/>
      </c>
      <c r="I191" s="11">
        <f>IF(R191="","",D191-R191)</f>
        <v/>
      </c>
      <c r="J191" s="35">
        <f>IF(R191="","",SUMIFS(Fuel!$E$6:$E$605,Fuel!$C$6:$C$605,C191,Fuel!$D$6:$D$605,"&gt;"&amp;R191,Fuel!$D$6:$D$605,"&lt;="&amp;D191))</f>
        <v/>
      </c>
      <c r="K191" s="36">
        <f>IF(OR(I191="",N(I191)=0),"",J191/I191*100)</f>
        <v/>
      </c>
      <c r="L191" s="36">
        <f>IF(OR(J191="",N(J191)=0),"",I191/J191)</f>
        <v/>
      </c>
      <c r="M191" s="1" t="n"/>
      <c r="N191">
        <f>IF(OR(C191="",N(D191)=0),"",D191+ROW()/10000000)</f>
        <v/>
      </c>
      <c r="O191">
        <f>IF(N191="","",COUNTIFS(Fuel!$C$6:$C$605,C191,Fuel!$N$6:$N$605,"&gt;"&amp;N191))</f>
        <v/>
      </c>
      <c r="P191">
        <f>IF(OR(N191="",G191=""),"",COUNTIFS(Fuel!$C$6:$C$605,C191,Fuel!$G$6:$G$605,"&lt;&gt;",Fuel!$N$6:$N$605,"&lt;"&amp;N191))</f>
        <v/>
      </c>
      <c r="R191">
        <f>IF(OR(P191="",N(P191)=0),"",SUMIFS(Fuel!$D$6:$D$605,Fuel!$C$6:$C$605,C191,Fuel!$P$6:$P$605,P191-1))</f>
        <v/>
      </c>
    </row>
    <row r="192">
      <c r="A192" s="1" t="n"/>
      <c r="B192" s="29" t="n"/>
      <c r="C192" s="24" t="n"/>
      <c r="D192" s="28" t="n"/>
      <c r="E192" s="33" t="n"/>
      <c r="F192" s="34" t="n"/>
      <c r="G192" s="27" t="n"/>
      <c r="H192" s="14">
        <f>IF(OR(N(E192)=0,F192=""),"",F192/E192)</f>
        <v/>
      </c>
      <c r="I192" s="11">
        <f>IF(R192="","",D192-R192)</f>
        <v/>
      </c>
      <c r="J192" s="35">
        <f>IF(R192="","",SUMIFS(Fuel!$E$6:$E$605,Fuel!$C$6:$C$605,C192,Fuel!$D$6:$D$605,"&gt;"&amp;R192,Fuel!$D$6:$D$605,"&lt;="&amp;D192))</f>
        <v/>
      </c>
      <c r="K192" s="36">
        <f>IF(OR(I192="",N(I192)=0),"",J192/I192*100)</f>
        <v/>
      </c>
      <c r="L192" s="36">
        <f>IF(OR(J192="",N(J192)=0),"",I192/J192)</f>
        <v/>
      </c>
      <c r="M192" s="1" t="n"/>
      <c r="N192">
        <f>IF(OR(C192="",N(D192)=0),"",D192+ROW()/10000000)</f>
        <v/>
      </c>
      <c r="O192">
        <f>IF(N192="","",COUNTIFS(Fuel!$C$6:$C$605,C192,Fuel!$N$6:$N$605,"&gt;"&amp;N192))</f>
        <v/>
      </c>
      <c r="P192">
        <f>IF(OR(N192="",G192=""),"",COUNTIFS(Fuel!$C$6:$C$605,C192,Fuel!$G$6:$G$605,"&lt;&gt;",Fuel!$N$6:$N$605,"&lt;"&amp;N192))</f>
        <v/>
      </c>
      <c r="R192">
        <f>IF(OR(P192="",N(P192)=0),"",SUMIFS(Fuel!$D$6:$D$605,Fuel!$C$6:$C$605,C192,Fuel!$P$6:$P$605,P192-1))</f>
        <v/>
      </c>
    </row>
    <row r="193">
      <c r="A193" s="1" t="n"/>
      <c r="B193" s="29" t="n"/>
      <c r="C193" s="24" t="n"/>
      <c r="D193" s="28" t="n"/>
      <c r="E193" s="33" t="n"/>
      <c r="F193" s="34" t="n"/>
      <c r="G193" s="27" t="n"/>
      <c r="H193" s="14">
        <f>IF(OR(N(E193)=0,F193=""),"",F193/E193)</f>
        <v/>
      </c>
      <c r="I193" s="11">
        <f>IF(R193="","",D193-R193)</f>
        <v/>
      </c>
      <c r="J193" s="35">
        <f>IF(R193="","",SUMIFS(Fuel!$E$6:$E$605,Fuel!$C$6:$C$605,C193,Fuel!$D$6:$D$605,"&gt;"&amp;R193,Fuel!$D$6:$D$605,"&lt;="&amp;D193))</f>
        <v/>
      </c>
      <c r="K193" s="36">
        <f>IF(OR(I193="",N(I193)=0),"",J193/I193*100)</f>
        <v/>
      </c>
      <c r="L193" s="36">
        <f>IF(OR(J193="",N(J193)=0),"",I193/J193)</f>
        <v/>
      </c>
      <c r="M193" s="1" t="n"/>
      <c r="N193">
        <f>IF(OR(C193="",N(D193)=0),"",D193+ROW()/10000000)</f>
        <v/>
      </c>
      <c r="O193">
        <f>IF(N193="","",COUNTIFS(Fuel!$C$6:$C$605,C193,Fuel!$N$6:$N$605,"&gt;"&amp;N193))</f>
        <v/>
      </c>
      <c r="P193">
        <f>IF(OR(N193="",G193=""),"",COUNTIFS(Fuel!$C$6:$C$605,C193,Fuel!$G$6:$G$605,"&lt;&gt;",Fuel!$N$6:$N$605,"&lt;"&amp;N193))</f>
        <v/>
      </c>
      <c r="R193">
        <f>IF(OR(P193="",N(P193)=0),"",SUMIFS(Fuel!$D$6:$D$605,Fuel!$C$6:$C$605,C193,Fuel!$P$6:$P$605,P193-1))</f>
        <v/>
      </c>
    </row>
    <row r="194">
      <c r="A194" s="1" t="n"/>
      <c r="B194" s="29" t="n"/>
      <c r="C194" s="24" t="n"/>
      <c r="D194" s="28" t="n"/>
      <c r="E194" s="33" t="n"/>
      <c r="F194" s="34" t="n"/>
      <c r="G194" s="27" t="n"/>
      <c r="H194" s="14">
        <f>IF(OR(N(E194)=0,F194=""),"",F194/E194)</f>
        <v/>
      </c>
      <c r="I194" s="11">
        <f>IF(R194="","",D194-R194)</f>
        <v/>
      </c>
      <c r="J194" s="35">
        <f>IF(R194="","",SUMIFS(Fuel!$E$6:$E$605,Fuel!$C$6:$C$605,C194,Fuel!$D$6:$D$605,"&gt;"&amp;R194,Fuel!$D$6:$D$605,"&lt;="&amp;D194))</f>
        <v/>
      </c>
      <c r="K194" s="36">
        <f>IF(OR(I194="",N(I194)=0),"",J194/I194*100)</f>
        <v/>
      </c>
      <c r="L194" s="36">
        <f>IF(OR(J194="",N(J194)=0),"",I194/J194)</f>
        <v/>
      </c>
      <c r="M194" s="1" t="n"/>
      <c r="N194">
        <f>IF(OR(C194="",N(D194)=0),"",D194+ROW()/10000000)</f>
        <v/>
      </c>
      <c r="O194">
        <f>IF(N194="","",COUNTIFS(Fuel!$C$6:$C$605,C194,Fuel!$N$6:$N$605,"&gt;"&amp;N194))</f>
        <v/>
      </c>
      <c r="P194">
        <f>IF(OR(N194="",G194=""),"",COUNTIFS(Fuel!$C$6:$C$605,C194,Fuel!$G$6:$G$605,"&lt;&gt;",Fuel!$N$6:$N$605,"&lt;"&amp;N194))</f>
        <v/>
      </c>
      <c r="R194">
        <f>IF(OR(P194="",N(P194)=0),"",SUMIFS(Fuel!$D$6:$D$605,Fuel!$C$6:$C$605,C194,Fuel!$P$6:$P$605,P194-1))</f>
        <v/>
      </c>
    </row>
    <row r="195">
      <c r="A195" s="1" t="n"/>
      <c r="B195" s="29" t="n"/>
      <c r="C195" s="24" t="n"/>
      <c r="D195" s="28" t="n"/>
      <c r="E195" s="33" t="n"/>
      <c r="F195" s="34" t="n"/>
      <c r="G195" s="27" t="n"/>
      <c r="H195" s="14">
        <f>IF(OR(N(E195)=0,F195=""),"",F195/E195)</f>
        <v/>
      </c>
      <c r="I195" s="11">
        <f>IF(R195="","",D195-R195)</f>
        <v/>
      </c>
      <c r="J195" s="35">
        <f>IF(R195="","",SUMIFS(Fuel!$E$6:$E$605,Fuel!$C$6:$C$605,C195,Fuel!$D$6:$D$605,"&gt;"&amp;R195,Fuel!$D$6:$D$605,"&lt;="&amp;D195))</f>
        <v/>
      </c>
      <c r="K195" s="36">
        <f>IF(OR(I195="",N(I195)=0),"",J195/I195*100)</f>
        <v/>
      </c>
      <c r="L195" s="36">
        <f>IF(OR(J195="",N(J195)=0),"",I195/J195)</f>
        <v/>
      </c>
      <c r="M195" s="1" t="n"/>
      <c r="N195">
        <f>IF(OR(C195="",N(D195)=0),"",D195+ROW()/10000000)</f>
        <v/>
      </c>
      <c r="O195">
        <f>IF(N195="","",COUNTIFS(Fuel!$C$6:$C$605,C195,Fuel!$N$6:$N$605,"&gt;"&amp;N195))</f>
        <v/>
      </c>
      <c r="P195">
        <f>IF(OR(N195="",G195=""),"",COUNTIFS(Fuel!$C$6:$C$605,C195,Fuel!$G$6:$G$605,"&lt;&gt;",Fuel!$N$6:$N$605,"&lt;"&amp;N195))</f>
        <v/>
      </c>
      <c r="R195">
        <f>IF(OR(P195="",N(P195)=0),"",SUMIFS(Fuel!$D$6:$D$605,Fuel!$C$6:$C$605,C195,Fuel!$P$6:$P$605,P195-1))</f>
        <v/>
      </c>
    </row>
    <row r="196">
      <c r="A196" s="1" t="n"/>
      <c r="B196" s="29" t="n"/>
      <c r="C196" s="24" t="n"/>
      <c r="D196" s="28" t="n"/>
      <c r="E196" s="33" t="n"/>
      <c r="F196" s="34" t="n"/>
      <c r="G196" s="27" t="n"/>
      <c r="H196" s="14">
        <f>IF(OR(N(E196)=0,F196=""),"",F196/E196)</f>
        <v/>
      </c>
      <c r="I196" s="11">
        <f>IF(R196="","",D196-R196)</f>
        <v/>
      </c>
      <c r="J196" s="35">
        <f>IF(R196="","",SUMIFS(Fuel!$E$6:$E$605,Fuel!$C$6:$C$605,C196,Fuel!$D$6:$D$605,"&gt;"&amp;R196,Fuel!$D$6:$D$605,"&lt;="&amp;D196))</f>
        <v/>
      </c>
      <c r="K196" s="36">
        <f>IF(OR(I196="",N(I196)=0),"",J196/I196*100)</f>
        <v/>
      </c>
      <c r="L196" s="36">
        <f>IF(OR(J196="",N(J196)=0),"",I196/J196)</f>
        <v/>
      </c>
      <c r="M196" s="1" t="n"/>
      <c r="N196">
        <f>IF(OR(C196="",N(D196)=0),"",D196+ROW()/10000000)</f>
        <v/>
      </c>
      <c r="O196">
        <f>IF(N196="","",COUNTIFS(Fuel!$C$6:$C$605,C196,Fuel!$N$6:$N$605,"&gt;"&amp;N196))</f>
        <v/>
      </c>
      <c r="P196">
        <f>IF(OR(N196="",G196=""),"",COUNTIFS(Fuel!$C$6:$C$605,C196,Fuel!$G$6:$G$605,"&lt;&gt;",Fuel!$N$6:$N$605,"&lt;"&amp;N196))</f>
        <v/>
      </c>
      <c r="R196">
        <f>IF(OR(P196="",N(P196)=0),"",SUMIFS(Fuel!$D$6:$D$605,Fuel!$C$6:$C$605,C196,Fuel!$P$6:$P$605,P196-1))</f>
        <v/>
      </c>
    </row>
    <row r="197">
      <c r="A197" s="1" t="n"/>
      <c r="B197" s="29" t="n"/>
      <c r="C197" s="24" t="n"/>
      <c r="D197" s="28" t="n"/>
      <c r="E197" s="33" t="n"/>
      <c r="F197" s="34" t="n"/>
      <c r="G197" s="27" t="n"/>
      <c r="H197" s="14">
        <f>IF(OR(N(E197)=0,F197=""),"",F197/E197)</f>
        <v/>
      </c>
      <c r="I197" s="11">
        <f>IF(R197="","",D197-R197)</f>
        <v/>
      </c>
      <c r="J197" s="35">
        <f>IF(R197="","",SUMIFS(Fuel!$E$6:$E$605,Fuel!$C$6:$C$605,C197,Fuel!$D$6:$D$605,"&gt;"&amp;R197,Fuel!$D$6:$D$605,"&lt;="&amp;D197))</f>
        <v/>
      </c>
      <c r="K197" s="36">
        <f>IF(OR(I197="",N(I197)=0),"",J197/I197*100)</f>
        <v/>
      </c>
      <c r="L197" s="36">
        <f>IF(OR(J197="",N(J197)=0),"",I197/J197)</f>
        <v/>
      </c>
      <c r="M197" s="1" t="n"/>
      <c r="N197">
        <f>IF(OR(C197="",N(D197)=0),"",D197+ROW()/10000000)</f>
        <v/>
      </c>
      <c r="O197">
        <f>IF(N197="","",COUNTIFS(Fuel!$C$6:$C$605,C197,Fuel!$N$6:$N$605,"&gt;"&amp;N197))</f>
        <v/>
      </c>
      <c r="P197">
        <f>IF(OR(N197="",G197=""),"",COUNTIFS(Fuel!$C$6:$C$605,C197,Fuel!$G$6:$G$605,"&lt;&gt;",Fuel!$N$6:$N$605,"&lt;"&amp;N197))</f>
        <v/>
      </c>
      <c r="R197">
        <f>IF(OR(P197="",N(P197)=0),"",SUMIFS(Fuel!$D$6:$D$605,Fuel!$C$6:$C$605,C197,Fuel!$P$6:$P$605,P197-1))</f>
        <v/>
      </c>
    </row>
    <row r="198">
      <c r="A198" s="1" t="n"/>
      <c r="B198" s="29" t="n"/>
      <c r="C198" s="24" t="n"/>
      <c r="D198" s="28" t="n"/>
      <c r="E198" s="33" t="n"/>
      <c r="F198" s="34" t="n"/>
      <c r="G198" s="27" t="n"/>
      <c r="H198" s="14">
        <f>IF(OR(N(E198)=0,F198=""),"",F198/E198)</f>
        <v/>
      </c>
      <c r="I198" s="11">
        <f>IF(R198="","",D198-R198)</f>
        <v/>
      </c>
      <c r="J198" s="35">
        <f>IF(R198="","",SUMIFS(Fuel!$E$6:$E$605,Fuel!$C$6:$C$605,C198,Fuel!$D$6:$D$605,"&gt;"&amp;R198,Fuel!$D$6:$D$605,"&lt;="&amp;D198))</f>
        <v/>
      </c>
      <c r="K198" s="36">
        <f>IF(OR(I198="",N(I198)=0),"",J198/I198*100)</f>
        <v/>
      </c>
      <c r="L198" s="36">
        <f>IF(OR(J198="",N(J198)=0),"",I198/J198)</f>
        <v/>
      </c>
      <c r="M198" s="1" t="n"/>
      <c r="N198">
        <f>IF(OR(C198="",N(D198)=0),"",D198+ROW()/10000000)</f>
        <v/>
      </c>
      <c r="O198">
        <f>IF(N198="","",COUNTIFS(Fuel!$C$6:$C$605,C198,Fuel!$N$6:$N$605,"&gt;"&amp;N198))</f>
        <v/>
      </c>
      <c r="P198">
        <f>IF(OR(N198="",G198=""),"",COUNTIFS(Fuel!$C$6:$C$605,C198,Fuel!$G$6:$G$605,"&lt;&gt;",Fuel!$N$6:$N$605,"&lt;"&amp;N198))</f>
        <v/>
      </c>
      <c r="R198">
        <f>IF(OR(P198="",N(P198)=0),"",SUMIFS(Fuel!$D$6:$D$605,Fuel!$C$6:$C$605,C198,Fuel!$P$6:$P$605,P198-1))</f>
        <v/>
      </c>
    </row>
    <row r="199">
      <c r="A199" s="1" t="n"/>
      <c r="B199" s="29" t="n"/>
      <c r="C199" s="24" t="n"/>
      <c r="D199" s="28" t="n"/>
      <c r="E199" s="33" t="n"/>
      <c r="F199" s="34" t="n"/>
      <c r="G199" s="27" t="n"/>
      <c r="H199" s="14">
        <f>IF(OR(N(E199)=0,F199=""),"",F199/E199)</f>
        <v/>
      </c>
      <c r="I199" s="11">
        <f>IF(R199="","",D199-R199)</f>
        <v/>
      </c>
      <c r="J199" s="35">
        <f>IF(R199="","",SUMIFS(Fuel!$E$6:$E$605,Fuel!$C$6:$C$605,C199,Fuel!$D$6:$D$605,"&gt;"&amp;R199,Fuel!$D$6:$D$605,"&lt;="&amp;D199))</f>
        <v/>
      </c>
      <c r="K199" s="36">
        <f>IF(OR(I199="",N(I199)=0),"",J199/I199*100)</f>
        <v/>
      </c>
      <c r="L199" s="36">
        <f>IF(OR(J199="",N(J199)=0),"",I199/J199)</f>
        <v/>
      </c>
      <c r="M199" s="1" t="n"/>
      <c r="N199">
        <f>IF(OR(C199="",N(D199)=0),"",D199+ROW()/10000000)</f>
        <v/>
      </c>
      <c r="O199">
        <f>IF(N199="","",COUNTIFS(Fuel!$C$6:$C$605,C199,Fuel!$N$6:$N$605,"&gt;"&amp;N199))</f>
        <v/>
      </c>
      <c r="P199">
        <f>IF(OR(N199="",G199=""),"",COUNTIFS(Fuel!$C$6:$C$605,C199,Fuel!$G$6:$G$605,"&lt;&gt;",Fuel!$N$6:$N$605,"&lt;"&amp;N199))</f>
        <v/>
      </c>
      <c r="R199">
        <f>IF(OR(P199="",N(P199)=0),"",SUMIFS(Fuel!$D$6:$D$605,Fuel!$C$6:$C$605,C199,Fuel!$P$6:$P$605,P199-1))</f>
        <v/>
      </c>
    </row>
    <row r="200">
      <c r="A200" s="1" t="n"/>
      <c r="B200" s="29" t="n"/>
      <c r="C200" s="24" t="n"/>
      <c r="D200" s="28" t="n"/>
      <c r="E200" s="33" t="n"/>
      <c r="F200" s="34" t="n"/>
      <c r="G200" s="27" t="n"/>
      <c r="H200" s="14">
        <f>IF(OR(N(E200)=0,F200=""),"",F200/E200)</f>
        <v/>
      </c>
      <c r="I200" s="11">
        <f>IF(R200="","",D200-R200)</f>
        <v/>
      </c>
      <c r="J200" s="35">
        <f>IF(R200="","",SUMIFS(Fuel!$E$6:$E$605,Fuel!$C$6:$C$605,C200,Fuel!$D$6:$D$605,"&gt;"&amp;R200,Fuel!$D$6:$D$605,"&lt;="&amp;D200))</f>
        <v/>
      </c>
      <c r="K200" s="36">
        <f>IF(OR(I200="",N(I200)=0),"",J200/I200*100)</f>
        <v/>
      </c>
      <c r="L200" s="36">
        <f>IF(OR(J200="",N(J200)=0),"",I200/J200)</f>
        <v/>
      </c>
      <c r="M200" s="1" t="n"/>
      <c r="N200">
        <f>IF(OR(C200="",N(D200)=0),"",D200+ROW()/10000000)</f>
        <v/>
      </c>
      <c r="O200">
        <f>IF(N200="","",COUNTIFS(Fuel!$C$6:$C$605,C200,Fuel!$N$6:$N$605,"&gt;"&amp;N200))</f>
        <v/>
      </c>
      <c r="P200">
        <f>IF(OR(N200="",G200=""),"",COUNTIFS(Fuel!$C$6:$C$605,C200,Fuel!$G$6:$G$605,"&lt;&gt;",Fuel!$N$6:$N$605,"&lt;"&amp;N200))</f>
        <v/>
      </c>
      <c r="R200">
        <f>IF(OR(P200="",N(P200)=0),"",SUMIFS(Fuel!$D$6:$D$605,Fuel!$C$6:$C$605,C200,Fuel!$P$6:$P$605,P200-1))</f>
        <v/>
      </c>
    </row>
    <row r="201">
      <c r="A201" s="1" t="n"/>
      <c r="B201" s="29" t="n"/>
      <c r="C201" s="24" t="n"/>
      <c r="D201" s="28" t="n"/>
      <c r="E201" s="33" t="n"/>
      <c r="F201" s="34" t="n"/>
      <c r="G201" s="27" t="n"/>
      <c r="H201" s="14">
        <f>IF(OR(N(E201)=0,F201=""),"",F201/E201)</f>
        <v/>
      </c>
      <c r="I201" s="11">
        <f>IF(R201="","",D201-R201)</f>
        <v/>
      </c>
      <c r="J201" s="35">
        <f>IF(R201="","",SUMIFS(Fuel!$E$6:$E$605,Fuel!$C$6:$C$605,C201,Fuel!$D$6:$D$605,"&gt;"&amp;R201,Fuel!$D$6:$D$605,"&lt;="&amp;D201))</f>
        <v/>
      </c>
      <c r="K201" s="36">
        <f>IF(OR(I201="",N(I201)=0),"",J201/I201*100)</f>
        <v/>
      </c>
      <c r="L201" s="36">
        <f>IF(OR(J201="",N(J201)=0),"",I201/J201)</f>
        <v/>
      </c>
      <c r="M201" s="1" t="n"/>
      <c r="N201">
        <f>IF(OR(C201="",N(D201)=0),"",D201+ROW()/10000000)</f>
        <v/>
      </c>
      <c r="O201">
        <f>IF(N201="","",COUNTIFS(Fuel!$C$6:$C$605,C201,Fuel!$N$6:$N$605,"&gt;"&amp;N201))</f>
        <v/>
      </c>
      <c r="P201">
        <f>IF(OR(N201="",G201=""),"",COUNTIFS(Fuel!$C$6:$C$605,C201,Fuel!$G$6:$G$605,"&lt;&gt;",Fuel!$N$6:$N$605,"&lt;"&amp;N201))</f>
        <v/>
      </c>
      <c r="R201">
        <f>IF(OR(P201="",N(P201)=0),"",SUMIFS(Fuel!$D$6:$D$605,Fuel!$C$6:$C$605,C201,Fuel!$P$6:$P$605,P201-1))</f>
        <v/>
      </c>
    </row>
    <row r="202">
      <c r="A202" s="1" t="n"/>
      <c r="B202" s="29" t="n"/>
      <c r="C202" s="24" t="n"/>
      <c r="D202" s="28" t="n"/>
      <c r="E202" s="33" t="n"/>
      <c r="F202" s="34" t="n"/>
      <c r="G202" s="27" t="n"/>
      <c r="H202" s="14">
        <f>IF(OR(N(E202)=0,F202=""),"",F202/E202)</f>
        <v/>
      </c>
      <c r="I202" s="11">
        <f>IF(R202="","",D202-R202)</f>
        <v/>
      </c>
      <c r="J202" s="35">
        <f>IF(R202="","",SUMIFS(Fuel!$E$6:$E$605,Fuel!$C$6:$C$605,C202,Fuel!$D$6:$D$605,"&gt;"&amp;R202,Fuel!$D$6:$D$605,"&lt;="&amp;D202))</f>
        <v/>
      </c>
      <c r="K202" s="36">
        <f>IF(OR(I202="",N(I202)=0),"",J202/I202*100)</f>
        <v/>
      </c>
      <c r="L202" s="36">
        <f>IF(OR(J202="",N(J202)=0),"",I202/J202)</f>
        <v/>
      </c>
      <c r="M202" s="1" t="n"/>
      <c r="N202">
        <f>IF(OR(C202="",N(D202)=0),"",D202+ROW()/10000000)</f>
        <v/>
      </c>
      <c r="O202">
        <f>IF(N202="","",COUNTIFS(Fuel!$C$6:$C$605,C202,Fuel!$N$6:$N$605,"&gt;"&amp;N202))</f>
        <v/>
      </c>
      <c r="P202">
        <f>IF(OR(N202="",G202=""),"",COUNTIFS(Fuel!$C$6:$C$605,C202,Fuel!$G$6:$G$605,"&lt;&gt;",Fuel!$N$6:$N$605,"&lt;"&amp;N202))</f>
        <v/>
      </c>
      <c r="R202">
        <f>IF(OR(P202="",N(P202)=0),"",SUMIFS(Fuel!$D$6:$D$605,Fuel!$C$6:$C$605,C202,Fuel!$P$6:$P$605,P202-1))</f>
        <v/>
      </c>
    </row>
    <row r="203">
      <c r="A203" s="1" t="n"/>
      <c r="B203" s="29" t="n"/>
      <c r="C203" s="24" t="n"/>
      <c r="D203" s="28" t="n"/>
      <c r="E203" s="33" t="n"/>
      <c r="F203" s="34" t="n"/>
      <c r="G203" s="27" t="n"/>
      <c r="H203" s="14">
        <f>IF(OR(N(E203)=0,F203=""),"",F203/E203)</f>
        <v/>
      </c>
      <c r="I203" s="11">
        <f>IF(R203="","",D203-R203)</f>
        <v/>
      </c>
      <c r="J203" s="35">
        <f>IF(R203="","",SUMIFS(Fuel!$E$6:$E$605,Fuel!$C$6:$C$605,C203,Fuel!$D$6:$D$605,"&gt;"&amp;R203,Fuel!$D$6:$D$605,"&lt;="&amp;D203))</f>
        <v/>
      </c>
      <c r="K203" s="36">
        <f>IF(OR(I203="",N(I203)=0),"",J203/I203*100)</f>
        <v/>
      </c>
      <c r="L203" s="36">
        <f>IF(OR(J203="",N(J203)=0),"",I203/J203)</f>
        <v/>
      </c>
      <c r="M203" s="1" t="n"/>
      <c r="N203">
        <f>IF(OR(C203="",N(D203)=0),"",D203+ROW()/10000000)</f>
        <v/>
      </c>
      <c r="O203">
        <f>IF(N203="","",COUNTIFS(Fuel!$C$6:$C$605,C203,Fuel!$N$6:$N$605,"&gt;"&amp;N203))</f>
        <v/>
      </c>
      <c r="P203">
        <f>IF(OR(N203="",G203=""),"",COUNTIFS(Fuel!$C$6:$C$605,C203,Fuel!$G$6:$G$605,"&lt;&gt;",Fuel!$N$6:$N$605,"&lt;"&amp;N203))</f>
        <v/>
      </c>
      <c r="R203">
        <f>IF(OR(P203="",N(P203)=0),"",SUMIFS(Fuel!$D$6:$D$605,Fuel!$C$6:$C$605,C203,Fuel!$P$6:$P$605,P203-1))</f>
        <v/>
      </c>
    </row>
    <row r="204">
      <c r="A204" s="1" t="n"/>
      <c r="B204" s="29" t="n"/>
      <c r="C204" s="24" t="n"/>
      <c r="D204" s="28" t="n"/>
      <c r="E204" s="33" t="n"/>
      <c r="F204" s="34" t="n"/>
      <c r="G204" s="27" t="n"/>
      <c r="H204" s="14">
        <f>IF(OR(N(E204)=0,F204=""),"",F204/E204)</f>
        <v/>
      </c>
      <c r="I204" s="11">
        <f>IF(R204="","",D204-R204)</f>
        <v/>
      </c>
      <c r="J204" s="35">
        <f>IF(R204="","",SUMIFS(Fuel!$E$6:$E$605,Fuel!$C$6:$C$605,C204,Fuel!$D$6:$D$605,"&gt;"&amp;R204,Fuel!$D$6:$D$605,"&lt;="&amp;D204))</f>
        <v/>
      </c>
      <c r="K204" s="36">
        <f>IF(OR(I204="",N(I204)=0),"",J204/I204*100)</f>
        <v/>
      </c>
      <c r="L204" s="36">
        <f>IF(OR(J204="",N(J204)=0),"",I204/J204)</f>
        <v/>
      </c>
      <c r="M204" s="1" t="n"/>
      <c r="N204">
        <f>IF(OR(C204="",N(D204)=0),"",D204+ROW()/10000000)</f>
        <v/>
      </c>
      <c r="O204">
        <f>IF(N204="","",COUNTIFS(Fuel!$C$6:$C$605,C204,Fuel!$N$6:$N$605,"&gt;"&amp;N204))</f>
        <v/>
      </c>
      <c r="P204">
        <f>IF(OR(N204="",G204=""),"",COUNTIFS(Fuel!$C$6:$C$605,C204,Fuel!$G$6:$G$605,"&lt;&gt;",Fuel!$N$6:$N$605,"&lt;"&amp;N204))</f>
        <v/>
      </c>
      <c r="R204">
        <f>IF(OR(P204="",N(P204)=0),"",SUMIFS(Fuel!$D$6:$D$605,Fuel!$C$6:$C$605,C204,Fuel!$P$6:$P$605,P204-1))</f>
        <v/>
      </c>
    </row>
    <row r="205">
      <c r="A205" s="1" t="n"/>
      <c r="B205" s="29" t="n"/>
      <c r="C205" s="24" t="n"/>
      <c r="D205" s="28" t="n"/>
      <c r="E205" s="33" t="n"/>
      <c r="F205" s="34" t="n"/>
      <c r="G205" s="27" t="n"/>
      <c r="H205" s="14">
        <f>IF(OR(N(E205)=0,F205=""),"",F205/E205)</f>
        <v/>
      </c>
      <c r="I205" s="11">
        <f>IF(R205="","",D205-R205)</f>
        <v/>
      </c>
      <c r="J205" s="35">
        <f>IF(R205="","",SUMIFS(Fuel!$E$6:$E$605,Fuel!$C$6:$C$605,C205,Fuel!$D$6:$D$605,"&gt;"&amp;R205,Fuel!$D$6:$D$605,"&lt;="&amp;D205))</f>
        <v/>
      </c>
      <c r="K205" s="36">
        <f>IF(OR(I205="",N(I205)=0),"",J205/I205*100)</f>
        <v/>
      </c>
      <c r="L205" s="36">
        <f>IF(OR(J205="",N(J205)=0),"",I205/J205)</f>
        <v/>
      </c>
      <c r="M205" s="1" t="n"/>
      <c r="N205">
        <f>IF(OR(C205="",N(D205)=0),"",D205+ROW()/10000000)</f>
        <v/>
      </c>
      <c r="O205">
        <f>IF(N205="","",COUNTIFS(Fuel!$C$6:$C$605,C205,Fuel!$N$6:$N$605,"&gt;"&amp;N205))</f>
        <v/>
      </c>
      <c r="P205">
        <f>IF(OR(N205="",G205=""),"",COUNTIFS(Fuel!$C$6:$C$605,C205,Fuel!$G$6:$G$605,"&lt;&gt;",Fuel!$N$6:$N$605,"&lt;"&amp;N205))</f>
        <v/>
      </c>
      <c r="R205">
        <f>IF(OR(P205="",N(P205)=0),"",SUMIFS(Fuel!$D$6:$D$605,Fuel!$C$6:$C$605,C205,Fuel!$P$6:$P$605,P205-1))</f>
        <v/>
      </c>
    </row>
    <row r="206">
      <c r="A206" s="1" t="n"/>
      <c r="B206" s="29" t="n"/>
      <c r="C206" s="24" t="n"/>
      <c r="D206" s="28" t="n"/>
      <c r="E206" s="33" t="n"/>
      <c r="F206" s="34" t="n"/>
      <c r="G206" s="27" t="n"/>
      <c r="H206" s="14">
        <f>IF(OR(N(E206)=0,F206=""),"",F206/E206)</f>
        <v/>
      </c>
      <c r="I206" s="11">
        <f>IF(R206="","",D206-R206)</f>
        <v/>
      </c>
      <c r="J206" s="35">
        <f>IF(R206="","",SUMIFS(Fuel!$E$6:$E$605,Fuel!$C$6:$C$605,C206,Fuel!$D$6:$D$605,"&gt;"&amp;R206,Fuel!$D$6:$D$605,"&lt;="&amp;D206))</f>
        <v/>
      </c>
      <c r="K206" s="36">
        <f>IF(OR(I206="",N(I206)=0),"",J206/I206*100)</f>
        <v/>
      </c>
      <c r="L206" s="36">
        <f>IF(OR(J206="",N(J206)=0),"",I206/J206)</f>
        <v/>
      </c>
      <c r="M206" s="1" t="n"/>
      <c r="N206">
        <f>IF(OR(C206="",N(D206)=0),"",D206+ROW()/10000000)</f>
        <v/>
      </c>
      <c r="O206">
        <f>IF(N206="","",COUNTIFS(Fuel!$C$6:$C$605,C206,Fuel!$N$6:$N$605,"&gt;"&amp;N206))</f>
        <v/>
      </c>
      <c r="P206">
        <f>IF(OR(N206="",G206=""),"",COUNTIFS(Fuel!$C$6:$C$605,C206,Fuel!$G$6:$G$605,"&lt;&gt;",Fuel!$N$6:$N$605,"&lt;"&amp;N206))</f>
        <v/>
      </c>
      <c r="R206">
        <f>IF(OR(P206="",N(P206)=0),"",SUMIFS(Fuel!$D$6:$D$605,Fuel!$C$6:$C$605,C206,Fuel!$P$6:$P$605,P206-1))</f>
        <v/>
      </c>
    </row>
    <row r="207">
      <c r="A207" s="1" t="n"/>
      <c r="B207" s="29" t="n"/>
      <c r="C207" s="24" t="n"/>
      <c r="D207" s="28" t="n"/>
      <c r="E207" s="33" t="n"/>
      <c r="F207" s="34" t="n"/>
      <c r="G207" s="27" t="n"/>
      <c r="H207" s="14">
        <f>IF(OR(N(E207)=0,F207=""),"",F207/E207)</f>
        <v/>
      </c>
      <c r="I207" s="11">
        <f>IF(R207="","",D207-R207)</f>
        <v/>
      </c>
      <c r="J207" s="35">
        <f>IF(R207="","",SUMIFS(Fuel!$E$6:$E$605,Fuel!$C$6:$C$605,C207,Fuel!$D$6:$D$605,"&gt;"&amp;R207,Fuel!$D$6:$D$605,"&lt;="&amp;D207))</f>
        <v/>
      </c>
      <c r="K207" s="36">
        <f>IF(OR(I207="",N(I207)=0),"",J207/I207*100)</f>
        <v/>
      </c>
      <c r="L207" s="36">
        <f>IF(OR(J207="",N(J207)=0),"",I207/J207)</f>
        <v/>
      </c>
      <c r="M207" s="1" t="n"/>
      <c r="N207">
        <f>IF(OR(C207="",N(D207)=0),"",D207+ROW()/10000000)</f>
        <v/>
      </c>
      <c r="O207">
        <f>IF(N207="","",COUNTIFS(Fuel!$C$6:$C$605,C207,Fuel!$N$6:$N$605,"&gt;"&amp;N207))</f>
        <v/>
      </c>
      <c r="P207">
        <f>IF(OR(N207="",G207=""),"",COUNTIFS(Fuel!$C$6:$C$605,C207,Fuel!$G$6:$G$605,"&lt;&gt;",Fuel!$N$6:$N$605,"&lt;"&amp;N207))</f>
        <v/>
      </c>
      <c r="R207">
        <f>IF(OR(P207="",N(P207)=0),"",SUMIFS(Fuel!$D$6:$D$605,Fuel!$C$6:$C$605,C207,Fuel!$P$6:$P$605,P207-1))</f>
        <v/>
      </c>
    </row>
    <row r="208">
      <c r="A208" s="1" t="n"/>
      <c r="B208" s="29" t="n"/>
      <c r="C208" s="24" t="n"/>
      <c r="D208" s="28" t="n"/>
      <c r="E208" s="33" t="n"/>
      <c r="F208" s="34" t="n"/>
      <c r="G208" s="27" t="n"/>
      <c r="H208" s="14">
        <f>IF(OR(N(E208)=0,F208=""),"",F208/E208)</f>
        <v/>
      </c>
      <c r="I208" s="11">
        <f>IF(R208="","",D208-R208)</f>
        <v/>
      </c>
      <c r="J208" s="35">
        <f>IF(R208="","",SUMIFS(Fuel!$E$6:$E$605,Fuel!$C$6:$C$605,C208,Fuel!$D$6:$D$605,"&gt;"&amp;R208,Fuel!$D$6:$D$605,"&lt;="&amp;D208))</f>
        <v/>
      </c>
      <c r="K208" s="36">
        <f>IF(OR(I208="",N(I208)=0),"",J208/I208*100)</f>
        <v/>
      </c>
      <c r="L208" s="36">
        <f>IF(OR(J208="",N(J208)=0),"",I208/J208)</f>
        <v/>
      </c>
      <c r="M208" s="1" t="n"/>
      <c r="N208">
        <f>IF(OR(C208="",N(D208)=0),"",D208+ROW()/10000000)</f>
        <v/>
      </c>
      <c r="O208">
        <f>IF(N208="","",COUNTIFS(Fuel!$C$6:$C$605,C208,Fuel!$N$6:$N$605,"&gt;"&amp;N208))</f>
        <v/>
      </c>
      <c r="P208">
        <f>IF(OR(N208="",G208=""),"",COUNTIFS(Fuel!$C$6:$C$605,C208,Fuel!$G$6:$G$605,"&lt;&gt;",Fuel!$N$6:$N$605,"&lt;"&amp;N208))</f>
        <v/>
      </c>
      <c r="R208">
        <f>IF(OR(P208="",N(P208)=0),"",SUMIFS(Fuel!$D$6:$D$605,Fuel!$C$6:$C$605,C208,Fuel!$P$6:$P$605,P208-1))</f>
        <v/>
      </c>
    </row>
    <row r="209">
      <c r="A209" s="1" t="n"/>
      <c r="B209" s="29" t="n"/>
      <c r="C209" s="24" t="n"/>
      <c r="D209" s="28" t="n"/>
      <c r="E209" s="33" t="n"/>
      <c r="F209" s="34" t="n"/>
      <c r="G209" s="27" t="n"/>
      <c r="H209" s="14">
        <f>IF(OR(N(E209)=0,F209=""),"",F209/E209)</f>
        <v/>
      </c>
      <c r="I209" s="11">
        <f>IF(R209="","",D209-R209)</f>
        <v/>
      </c>
      <c r="J209" s="35">
        <f>IF(R209="","",SUMIFS(Fuel!$E$6:$E$605,Fuel!$C$6:$C$605,C209,Fuel!$D$6:$D$605,"&gt;"&amp;R209,Fuel!$D$6:$D$605,"&lt;="&amp;D209))</f>
        <v/>
      </c>
      <c r="K209" s="36">
        <f>IF(OR(I209="",N(I209)=0),"",J209/I209*100)</f>
        <v/>
      </c>
      <c r="L209" s="36">
        <f>IF(OR(J209="",N(J209)=0),"",I209/J209)</f>
        <v/>
      </c>
      <c r="M209" s="1" t="n"/>
      <c r="N209">
        <f>IF(OR(C209="",N(D209)=0),"",D209+ROW()/10000000)</f>
        <v/>
      </c>
      <c r="O209">
        <f>IF(N209="","",COUNTIFS(Fuel!$C$6:$C$605,C209,Fuel!$N$6:$N$605,"&gt;"&amp;N209))</f>
        <v/>
      </c>
      <c r="P209">
        <f>IF(OR(N209="",G209=""),"",COUNTIFS(Fuel!$C$6:$C$605,C209,Fuel!$G$6:$G$605,"&lt;&gt;",Fuel!$N$6:$N$605,"&lt;"&amp;N209))</f>
        <v/>
      </c>
      <c r="R209">
        <f>IF(OR(P209="",N(P209)=0),"",SUMIFS(Fuel!$D$6:$D$605,Fuel!$C$6:$C$605,C209,Fuel!$P$6:$P$605,P209-1))</f>
        <v/>
      </c>
    </row>
    <row r="210">
      <c r="A210" s="1" t="n"/>
      <c r="B210" s="29" t="n"/>
      <c r="C210" s="24" t="n"/>
      <c r="D210" s="28" t="n"/>
      <c r="E210" s="33" t="n"/>
      <c r="F210" s="34" t="n"/>
      <c r="G210" s="27" t="n"/>
      <c r="H210" s="14">
        <f>IF(OR(N(E210)=0,F210=""),"",F210/E210)</f>
        <v/>
      </c>
      <c r="I210" s="11">
        <f>IF(R210="","",D210-R210)</f>
        <v/>
      </c>
      <c r="J210" s="35">
        <f>IF(R210="","",SUMIFS(Fuel!$E$6:$E$605,Fuel!$C$6:$C$605,C210,Fuel!$D$6:$D$605,"&gt;"&amp;R210,Fuel!$D$6:$D$605,"&lt;="&amp;D210))</f>
        <v/>
      </c>
      <c r="K210" s="36">
        <f>IF(OR(I210="",N(I210)=0),"",J210/I210*100)</f>
        <v/>
      </c>
      <c r="L210" s="36">
        <f>IF(OR(J210="",N(J210)=0),"",I210/J210)</f>
        <v/>
      </c>
      <c r="M210" s="1" t="n"/>
      <c r="N210">
        <f>IF(OR(C210="",N(D210)=0),"",D210+ROW()/10000000)</f>
        <v/>
      </c>
      <c r="O210">
        <f>IF(N210="","",COUNTIFS(Fuel!$C$6:$C$605,C210,Fuel!$N$6:$N$605,"&gt;"&amp;N210))</f>
        <v/>
      </c>
      <c r="P210">
        <f>IF(OR(N210="",G210=""),"",COUNTIFS(Fuel!$C$6:$C$605,C210,Fuel!$G$6:$G$605,"&lt;&gt;",Fuel!$N$6:$N$605,"&lt;"&amp;N210))</f>
        <v/>
      </c>
      <c r="R210">
        <f>IF(OR(P210="",N(P210)=0),"",SUMIFS(Fuel!$D$6:$D$605,Fuel!$C$6:$C$605,C210,Fuel!$P$6:$P$605,P210-1))</f>
        <v/>
      </c>
    </row>
    <row r="211">
      <c r="A211" s="1" t="n"/>
      <c r="B211" s="29" t="n"/>
      <c r="C211" s="24" t="n"/>
      <c r="D211" s="28" t="n"/>
      <c r="E211" s="33" t="n"/>
      <c r="F211" s="34" t="n"/>
      <c r="G211" s="27" t="n"/>
      <c r="H211" s="14">
        <f>IF(OR(N(E211)=0,F211=""),"",F211/E211)</f>
        <v/>
      </c>
      <c r="I211" s="11">
        <f>IF(R211="","",D211-R211)</f>
        <v/>
      </c>
      <c r="J211" s="35">
        <f>IF(R211="","",SUMIFS(Fuel!$E$6:$E$605,Fuel!$C$6:$C$605,C211,Fuel!$D$6:$D$605,"&gt;"&amp;R211,Fuel!$D$6:$D$605,"&lt;="&amp;D211))</f>
        <v/>
      </c>
      <c r="K211" s="36">
        <f>IF(OR(I211="",N(I211)=0),"",J211/I211*100)</f>
        <v/>
      </c>
      <c r="L211" s="36">
        <f>IF(OR(J211="",N(J211)=0),"",I211/J211)</f>
        <v/>
      </c>
      <c r="M211" s="1" t="n"/>
      <c r="N211">
        <f>IF(OR(C211="",N(D211)=0),"",D211+ROW()/10000000)</f>
        <v/>
      </c>
      <c r="O211">
        <f>IF(N211="","",COUNTIFS(Fuel!$C$6:$C$605,C211,Fuel!$N$6:$N$605,"&gt;"&amp;N211))</f>
        <v/>
      </c>
      <c r="P211">
        <f>IF(OR(N211="",G211=""),"",COUNTIFS(Fuel!$C$6:$C$605,C211,Fuel!$G$6:$G$605,"&lt;&gt;",Fuel!$N$6:$N$605,"&lt;"&amp;N211))</f>
        <v/>
      </c>
      <c r="R211">
        <f>IF(OR(P211="",N(P211)=0),"",SUMIFS(Fuel!$D$6:$D$605,Fuel!$C$6:$C$605,C211,Fuel!$P$6:$P$605,P211-1))</f>
        <v/>
      </c>
    </row>
    <row r="212">
      <c r="A212" s="1" t="n"/>
      <c r="B212" s="29" t="n"/>
      <c r="C212" s="24" t="n"/>
      <c r="D212" s="28" t="n"/>
      <c r="E212" s="33" t="n"/>
      <c r="F212" s="34" t="n"/>
      <c r="G212" s="27" t="n"/>
      <c r="H212" s="14">
        <f>IF(OR(N(E212)=0,F212=""),"",F212/E212)</f>
        <v/>
      </c>
      <c r="I212" s="11">
        <f>IF(R212="","",D212-R212)</f>
        <v/>
      </c>
      <c r="J212" s="35">
        <f>IF(R212="","",SUMIFS(Fuel!$E$6:$E$605,Fuel!$C$6:$C$605,C212,Fuel!$D$6:$D$605,"&gt;"&amp;R212,Fuel!$D$6:$D$605,"&lt;="&amp;D212))</f>
        <v/>
      </c>
      <c r="K212" s="36">
        <f>IF(OR(I212="",N(I212)=0),"",J212/I212*100)</f>
        <v/>
      </c>
      <c r="L212" s="36">
        <f>IF(OR(J212="",N(J212)=0),"",I212/J212)</f>
        <v/>
      </c>
      <c r="M212" s="1" t="n"/>
      <c r="N212">
        <f>IF(OR(C212="",N(D212)=0),"",D212+ROW()/10000000)</f>
        <v/>
      </c>
      <c r="O212">
        <f>IF(N212="","",COUNTIFS(Fuel!$C$6:$C$605,C212,Fuel!$N$6:$N$605,"&gt;"&amp;N212))</f>
        <v/>
      </c>
      <c r="P212">
        <f>IF(OR(N212="",G212=""),"",COUNTIFS(Fuel!$C$6:$C$605,C212,Fuel!$G$6:$G$605,"&lt;&gt;",Fuel!$N$6:$N$605,"&lt;"&amp;N212))</f>
        <v/>
      </c>
      <c r="R212">
        <f>IF(OR(P212="",N(P212)=0),"",SUMIFS(Fuel!$D$6:$D$605,Fuel!$C$6:$C$605,C212,Fuel!$P$6:$P$605,P212-1))</f>
        <v/>
      </c>
    </row>
    <row r="213">
      <c r="A213" s="1" t="n"/>
      <c r="B213" s="29" t="n"/>
      <c r="C213" s="24" t="n"/>
      <c r="D213" s="28" t="n"/>
      <c r="E213" s="33" t="n"/>
      <c r="F213" s="34" t="n"/>
      <c r="G213" s="27" t="n"/>
      <c r="H213" s="14">
        <f>IF(OR(N(E213)=0,F213=""),"",F213/E213)</f>
        <v/>
      </c>
      <c r="I213" s="11">
        <f>IF(R213="","",D213-R213)</f>
        <v/>
      </c>
      <c r="J213" s="35">
        <f>IF(R213="","",SUMIFS(Fuel!$E$6:$E$605,Fuel!$C$6:$C$605,C213,Fuel!$D$6:$D$605,"&gt;"&amp;R213,Fuel!$D$6:$D$605,"&lt;="&amp;D213))</f>
        <v/>
      </c>
      <c r="K213" s="36">
        <f>IF(OR(I213="",N(I213)=0),"",J213/I213*100)</f>
        <v/>
      </c>
      <c r="L213" s="36">
        <f>IF(OR(J213="",N(J213)=0),"",I213/J213)</f>
        <v/>
      </c>
      <c r="M213" s="1" t="n"/>
      <c r="N213">
        <f>IF(OR(C213="",N(D213)=0),"",D213+ROW()/10000000)</f>
        <v/>
      </c>
      <c r="O213">
        <f>IF(N213="","",COUNTIFS(Fuel!$C$6:$C$605,C213,Fuel!$N$6:$N$605,"&gt;"&amp;N213))</f>
        <v/>
      </c>
      <c r="P213">
        <f>IF(OR(N213="",G213=""),"",COUNTIFS(Fuel!$C$6:$C$605,C213,Fuel!$G$6:$G$605,"&lt;&gt;",Fuel!$N$6:$N$605,"&lt;"&amp;N213))</f>
        <v/>
      </c>
      <c r="R213">
        <f>IF(OR(P213="",N(P213)=0),"",SUMIFS(Fuel!$D$6:$D$605,Fuel!$C$6:$C$605,C213,Fuel!$P$6:$P$605,P213-1))</f>
        <v/>
      </c>
    </row>
    <row r="214">
      <c r="A214" s="1" t="n"/>
      <c r="B214" s="29" t="n"/>
      <c r="C214" s="24" t="n"/>
      <c r="D214" s="28" t="n"/>
      <c r="E214" s="33" t="n"/>
      <c r="F214" s="34" t="n"/>
      <c r="G214" s="27" t="n"/>
      <c r="H214" s="14">
        <f>IF(OR(N(E214)=0,F214=""),"",F214/E214)</f>
        <v/>
      </c>
      <c r="I214" s="11">
        <f>IF(R214="","",D214-R214)</f>
        <v/>
      </c>
      <c r="J214" s="35">
        <f>IF(R214="","",SUMIFS(Fuel!$E$6:$E$605,Fuel!$C$6:$C$605,C214,Fuel!$D$6:$D$605,"&gt;"&amp;R214,Fuel!$D$6:$D$605,"&lt;="&amp;D214))</f>
        <v/>
      </c>
      <c r="K214" s="36">
        <f>IF(OR(I214="",N(I214)=0),"",J214/I214*100)</f>
        <v/>
      </c>
      <c r="L214" s="36">
        <f>IF(OR(J214="",N(J214)=0),"",I214/J214)</f>
        <v/>
      </c>
      <c r="M214" s="1" t="n"/>
      <c r="N214">
        <f>IF(OR(C214="",N(D214)=0),"",D214+ROW()/10000000)</f>
        <v/>
      </c>
      <c r="O214">
        <f>IF(N214="","",COUNTIFS(Fuel!$C$6:$C$605,C214,Fuel!$N$6:$N$605,"&gt;"&amp;N214))</f>
        <v/>
      </c>
      <c r="P214">
        <f>IF(OR(N214="",G214=""),"",COUNTIFS(Fuel!$C$6:$C$605,C214,Fuel!$G$6:$G$605,"&lt;&gt;",Fuel!$N$6:$N$605,"&lt;"&amp;N214))</f>
        <v/>
      </c>
      <c r="R214">
        <f>IF(OR(P214="",N(P214)=0),"",SUMIFS(Fuel!$D$6:$D$605,Fuel!$C$6:$C$605,C214,Fuel!$P$6:$P$605,P214-1))</f>
        <v/>
      </c>
    </row>
    <row r="215">
      <c r="A215" s="1" t="n"/>
      <c r="B215" s="29" t="n"/>
      <c r="C215" s="24" t="n"/>
      <c r="D215" s="28" t="n"/>
      <c r="E215" s="33" t="n"/>
      <c r="F215" s="34" t="n"/>
      <c r="G215" s="27" t="n"/>
      <c r="H215" s="14">
        <f>IF(OR(N(E215)=0,F215=""),"",F215/E215)</f>
        <v/>
      </c>
      <c r="I215" s="11">
        <f>IF(R215="","",D215-R215)</f>
        <v/>
      </c>
      <c r="J215" s="35">
        <f>IF(R215="","",SUMIFS(Fuel!$E$6:$E$605,Fuel!$C$6:$C$605,C215,Fuel!$D$6:$D$605,"&gt;"&amp;R215,Fuel!$D$6:$D$605,"&lt;="&amp;D215))</f>
        <v/>
      </c>
      <c r="K215" s="36">
        <f>IF(OR(I215="",N(I215)=0),"",J215/I215*100)</f>
        <v/>
      </c>
      <c r="L215" s="36">
        <f>IF(OR(J215="",N(J215)=0),"",I215/J215)</f>
        <v/>
      </c>
      <c r="M215" s="1" t="n"/>
      <c r="N215">
        <f>IF(OR(C215="",N(D215)=0),"",D215+ROW()/10000000)</f>
        <v/>
      </c>
      <c r="O215">
        <f>IF(N215="","",COUNTIFS(Fuel!$C$6:$C$605,C215,Fuel!$N$6:$N$605,"&gt;"&amp;N215))</f>
        <v/>
      </c>
      <c r="P215">
        <f>IF(OR(N215="",G215=""),"",COUNTIFS(Fuel!$C$6:$C$605,C215,Fuel!$G$6:$G$605,"&lt;&gt;",Fuel!$N$6:$N$605,"&lt;"&amp;N215))</f>
        <v/>
      </c>
      <c r="R215">
        <f>IF(OR(P215="",N(P215)=0),"",SUMIFS(Fuel!$D$6:$D$605,Fuel!$C$6:$C$605,C215,Fuel!$P$6:$P$605,P215-1))</f>
        <v/>
      </c>
    </row>
    <row r="216">
      <c r="A216" s="1" t="n"/>
      <c r="B216" s="29" t="n"/>
      <c r="C216" s="24" t="n"/>
      <c r="D216" s="28" t="n"/>
      <c r="E216" s="33" t="n"/>
      <c r="F216" s="34" t="n"/>
      <c r="G216" s="27" t="n"/>
      <c r="H216" s="14">
        <f>IF(OR(N(E216)=0,F216=""),"",F216/E216)</f>
        <v/>
      </c>
      <c r="I216" s="11">
        <f>IF(R216="","",D216-R216)</f>
        <v/>
      </c>
      <c r="J216" s="35">
        <f>IF(R216="","",SUMIFS(Fuel!$E$6:$E$605,Fuel!$C$6:$C$605,C216,Fuel!$D$6:$D$605,"&gt;"&amp;R216,Fuel!$D$6:$D$605,"&lt;="&amp;D216))</f>
        <v/>
      </c>
      <c r="K216" s="36">
        <f>IF(OR(I216="",N(I216)=0),"",J216/I216*100)</f>
        <v/>
      </c>
      <c r="L216" s="36">
        <f>IF(OR(J216="",N(J216)=0),"",I216/J216)</f>
        <v/>
      </c>
      <c r="M216" s="1" t="n"/>
      <c r="N216">
        <f>IF(OR(C216="",N(D216)=0),"",D216+ROW()/10000000)</f>
        <v/>
      </c>
      <c r="O216">
        <f>IF(N216="","",COUNTIFS(Fuel!$C$6:$C$605,C216,Fuel!$N$6:$N$605,"&gt;"&amp;N216))</f>
        <v/>
      </c>
      <c r="P216">
        <f>IF(OR(N216="",G216=""),"",COUNTIFS(Fuel!$C$6:$C$605,C216,Fuel!$G$6:$G$605,"&lt;&gt;",Fuel!$N$6:$N$605,"&lt;"&amp;N216))</f>
        <v/>
      </c>
      <c r="R216">
        <f>IF(OR(P216="",N(P216)=0),"",SUMIFS(Fuel!$D$6:$D$605,Fuel!$C$6:$C$605,C216,Fuel!$P$6:$P$605,P216-1))</f>
        <v/>
      </c>
    </row>
    <row r="217">
      <c r="A217" s="1" t="n"/>
      <c r="B217" s="29" t="n"/>
      <c r="C217" s="24" t="n"/>
      <c r="D217" s="28" t="n"/>
      <c r="E217" s="33" t="n"/>
      <c r="F217" s="34" t="n"/>
      <c r="G217" s="27" t="n"/>
      <c r="H217" s="14">
        <f>IF(OR(N(E217)=0,F217=""),"",F217/E217)</f>
        <v/>
      </c>
      <c r="I217" s="11">
        <f>IF(R217="","",D217-R217)</f>
        <v/>
      </c>
      <c r="J217" s="35">
        <f>IF(R217="","",SUMIFS(Fuel!$E$6:$E$605,Fuel!$C$6:$C$605,C217,Fuel!$D$6:$D$605,"&gt;"&amp;R217,Fuel!$D$6:$D$605,"&lt;="&amp;D217))</f>
        <v/>
      </c>
      <c r="K217" s="36">
        <f>IF(OR(I217="",N(I217)=0),"",J217/I217*100)</f>
        <v/>
      </c>
      <c r="L217" s="36">
        <f>IF(OR(J217="",N(J217)=0),"",I217/J217)</f>
        <v/>
      </c>
      <c r="M217" s="1" t="n"/>
      <c r="N217">
        <f>IF(OR(C217="",N(D217)=0),"",D217+ROW()/10000000)</f>
        <v/>
      </c>
      <c r="O217">
        <f>IF(N217="","",COUNTIFS(Fuel!$C$6:$C$605,C217,Fuel!$N$6:$N$605,"&gt;"&amp;N217))</f>
        <v/>
      </c>
      <c r="P217">
        <f>IF(OR(N217="",G217=""),"",COUNTIFS(Fuel!$C$6:$C$605,C217,Fuel!$G$6:$G$605,"&lt;&gt;",Fuel!$N$6:$N$605,"&lt;"&amp;N217))</f>
        <v/>
      </c>
      <c r="R217">
        <f>IF(OR(P217="",N(P217)=0),"",SUMIFS(Fuel!$D$6:$D$605,Fuel!$C$6:$C$605,C217,Fuel!$P$6:$P$605,P217-1))</f>
        <v/>
      </c>
    </row>
    <row r="218">
      <c r="A218" s="1" t="n"/>
      <c r="B218" s="29" t="n"/>
      <c r="C218" s="24" t="n"/>
      <c r="D218" s="28" t="n"/>
      <c r="E218" s="33" t="n"/>
      <c r="F218" s="34" t="n"/>
      <c r="G218" s="27" t="n"/>
      <c r="H218" s="14">
        <f>IF(OR(N(E218)=0,F218=""),"",F218/E218)</f>
        <v/>
      </c>
      <c r="I218" s="11">
        <f>IF(R218="","",D218-R218)</f>
        <v/>
      </c>
      <c r="J218" s="35">
        <f>IF(R218="","",SUMIFS(Fuel!$E$6:$E$605,Fuel!$C$6:$C$605,C218,Fuel!$D$6:$D$605,"&gt;"&amp;R218,Fuel!$D$6:$D$605,"&lt;="&amp;D218))</f>
        <v/>
      </c>
      <c r="K218" s="36">
        <f>IF(OR(I218="",N(I218)=0),"",J218/I218*100)</f>
        <v/>
      </c>
      <c r="L218" s="36">
        <f>IF(OR(J218="",N(J218)=0),"",I218/J218)</f>
        <v/>
      </c>
      <c r="M218" s="1" t="n"/>
      <c r="N218">
        <f>IF(OR(C218="",N(D218)=0),"",D218+ROW()/10000000)</f>
        <v/>
      </c>
      <c r="O218">
        <f>IF(N218="","",COUNTIFS(Fuel!$C$6:$C$605,C218,Fuel!$N$6:$N$605,"&gt;"&amp;N218))</f>
        <v/>
      </c>
      <c r="P218">
        <f>IF(OR(N218="",G218=""),"",COUNTIFS(Fuel!$C$6:$C$605,C218,Fuel!$G$6:$G$605,"&lt;&gt;",Fuel!$N$6:$N$605,"&lt;"&amp;N218))</f>
        <v/>
      </c>
      <c r="R218">
        <f>IF(OR(P218="",N(P218)=0),"",SUMIFS(Fuel!$D$6:$D$605,Fuel!$C$6:$C$605,C218,Fuel!$P$6:$P$605,P218-1))</f>
        <v/>
      </c>
    </row>
    <row r="219">
      <c r="A219" s="1" t="n"/>
      <c r="B219" s="29" t="n"/>
      <c r="C219" s="24" t="n"/>
      <c r="D219" s="28" t="n"/>
      <c r="E219" s="33" t="n"/>
      <c r="F219" s="34" t="n"/>
      <c r="G219" s="27" t="n"/>
      <c r="H219" s="14">
        <f>IF(OR(N(E219)=0,F219=""),"",F219/E219)</f>
        <v/>
      </c>
      <c r="I219" s="11">
        <f>IF(R219="","",D219-R219)</f>
        <v/>
      </c>
      <c r="J219" s="35">
        <f>IF(R219="","",SUMIFS(Fuel!$E$6:$E$605,Fuel!$C$6:$C$605,C219,Fuel!$D$6:$D$605,"&gt;"&amp;R219,Fuel!$D$6:$D$605,"&lt;="&amp;D219))</f>
        <v/>
      </c>
      <c r="K219" s="36">
        <f>IF(OR(I219="",N(I219)=0),"",J219/I219*100)</f>
        <v/>
      </c>
      <c r="L219" s="36">
        <f>IF(OR(J219="",N(J219)=0),"",I219/J219)</f>
        <v/>
      </c>
      <c r="M219" s="1" t="n"/>
      <c r="N219">
        <f>IF(OR(C219="",N(D219)=0),"",D219+ROW()/10000000)</f>
        <v/>
      </c>
      <c r="O219">
        <f>IF(N219="","",COUNTIFS(Fuel!$C$6:$C$605,C219,Fuel!$N$6:$N$605,"&gt;"&amp;N219))</f>
        <v/>
      </c>
      <c r="P219">
        <f>IF(OR(N219="",G219=""),"",COUNTIFS(Fuel!$C$6:$C$605,C219,Fuel!$G$6:$G$605,"&lt;&gt;",Fuel!$N$6:$N$605,"&lt;"&amp;N219))</f>
        <v/>
      </c>
      <c r="R219">
        <f>IF(OR(P219="",N(P219)=0),"",SUMIFS(Fuel!$D$6:$D$605,Fuel!$C$6:$C$605,C219,Fuel!$P$6:$P$605,P219-1))</f>
        <v/>
      </c>
    </row>
    <row r="220">
      <c r="A220" s="1" t="n"/>
      <c r="B220" s="29" t="n"/>
      <c r="C220" s="24" t="n"/>
      <c r="D220" s="28" t="n"/>
      <c r="E220" s="33" t="n"/>
      <c r="F220" s="34" t="n"/>
      <c r="G220" s="27" t="n"/>
      <c r="H220" s="14">
        <f>IF(OR(N(E220)=0,F220=""),"",F220/E220)</f>
        <v/>
      </c>
      <c r="I220" s="11">
        <f>IF(R220="","",D220-R220)</f>
        <v/>
      </c>
      <c r="J220" s="35">
        <f>IF(R220="","",SUMIFS(Fuel!$E$6:$E$605,Fuel!$C$6:$C$605,C220,Fuel!$D$6:$D$605,"&gt;"&amp;R220,Fuel!$D$6:$D$605,"&lt;="&amp;D220))</f>
        <v/>
      </c>
      <c r="K220" s="36">
        <f>IF(OR(I220="",N(I220)=0),"",J220/I220*100)</f>
        <v/>
      </c>
      <c r="L220" s="36">
        <f>IF(OR(J220="",N(J220)=0),"",I220/J220)</f>
        <v/>
      </c>
      <c r="M220" s="1" t="n"/>
      <c r="N220">
        <f>IF(OR(C220="",N(D220)=0),"",D220+ROW()/10000000)</f>
        <v/>
      </c>
      <c r="O220">
        <f>IF(N220="","",COUNTIFS(Fuel!$C$6:$C$605,C220,Fuel!$N$6:$N$605,"&gt;"&amp;N220))</f>
        <v/>
      </c>
      <c r="P220">
        <f>IF(OR(N220="",G220=""),"",COUNTIFS(Fuel!$C$6:$C$605,C220,Fuel!$G$6:$G$605,"&lt;&gt;",Fuel!$N$6:$N$605,"&lt;"&amp;N220))</f>
        <v/>
      </c>
      <c r="R220">
        <f>IF(OR(P220="",N(P220)=0),"",SUMIFS(Fuel!$D$6:$D$605,Fuel!$C$6:$C$605,C220,Fuel!$P$6:$P$605,P220-1))</f>
        <v/>
      </c>
    </row>
    <row r="221">
      <c r="A221" s="1" t="n"/>
      <c r="B221" s="29" t="n"/>
      <c r="C221" s="24" t="n"/>
      <c r="D221" s="28" t="n"/>
      <c r="E221" s="33" t="n"/>
      <c r="F221" s="34" t="n"/>
      <c r="G221" s="27" t="n"/>
      <c r="H221" s="14">
        <f>IF(OR(N(E221)=0,F221=""),"",F221/E221)</f>
        <v/>
      </c>
      <c r="I221" s="11">
        <f>IF(R221="","",D221-R221)</f>
        <v/>
      </c>
      <c r="J221" s="35">
        <f>IF(R221="","",SUMIFS(Fuel!$E$6:$E$605,Fuel!$C$6:$C$605,C221,Fuel!$D$6:$D$605,"&gt;"&amp;R221,Fuel!$D$6:$D$605,"&lt;="&amp;D221))</f>
        <v/>
      </c>
      <c r="K221" s="36">
        <f>IF(OR(I221="",N(I221)=0),"",J221/I221*100)</f>
        <v/>
      </c>
      <c r="L221" s="36">
        <f>IF(OR(J221="",N(J221)=0),"",I221/J221)</f>
        <v/>
      </c>
      <c r="M221" s="1" t="n"/>
      <c r="N221">
        <f>IF(OR(C221="",N(D221)=0),"",D221+ROW()/10000000)</f>
        <v/>
      </c>
      <c r="O221">
        <f>IF(N221="","",COUNTIFS(Fuel!$C$6:$C$605,C221,Fuel!$N$6:$N$605,"&gt;"&amp;N221))</f>
        <v/>
      </c>
      <c r="P221">
        <f>IF(OR(N221="",G221=""),"",COUNTIFS(Fuel!$C$6:$C$605,C221,Fuel!$G$6:$G$605,"&lt;&gt;",Fuel!$N$6:$N$605,"&lt;"&amp;N221))</f>
        <v/>
      </c>
      <c r="R221">
        <f>IF(OR(P221="",N(P221)=0),"",SUMIFS(Fuel!$D$6:$D$605,Fuel!$C$6:$C$605,C221,Fuel!$P$6:$P$605,P221-1))</f>
        <v/>
      </c>
    </row>
    <row r="222">
      <c r="A222" s="1" t="n"/>
      <c r="B222" s="29" t="n"/>
      <c r="C222" s="24" t="n"/>
      <c r="D222" s="28" t="n"/>
      <c r="E222" s="33" t="n"/>
      <c r="F222" s="34" t="n"/>
      <c r="G222" s="27" t="n"/>
      <c r="H222" s="14">
        <f>IF(OR(N(E222)=0,F222=""),"",F222/E222)</f>
        <v/>
      </c>
      <c r="I222" s="11">
        <f>IF(R222="","",D222-R222)</f>
        <v/>
      </c>
      <c r="J222" s="35">
        <f>IF(R222="","",SUMIFS(Fuel!$E$6:$E$605,Fuel!$C$6:$C$605,C222,Fuel!$D$6:$D$605,"&gt;"&amp;R222,Fuel!$D$6:$D$605,"&lt;="&amp;D222))</f>
        <v/>
      </c>
      <c r="K222" s="36">
        <f>IF(OR(I222="",N(I222)=0),"",J222/I222*100)</f>
        <v/>
      </c>
      <c r="L222" s="36">
        <f>IF(OR(J222="",N(J222)=0),"",I222/J222)</f>
        <v/>
      </c>
      <c r="M222" s="1" t="n"/>
      <c r="N222">
        <f>IF(OR(C222="",N(D222)=0),"",D222+ROW()/10000000)</f>
        <v/>
      </c>
      <c r="O222">
        <f>IF(N222="","",COUNTIFS(Fuel!$C$6:$C$605,C222,Fuel!$N$6:$N$605,"&gt;"&amp;N222))</f>
        <v/>
      </c>
      <c r="P222">
        <f>IF(OR(N222="",G222=""),"",COUNTIFS(Fuel!$C$6:$C$605,C222,Fuel!$G$6:$G$605,"&lt;&gt;",Fuel!$N$6:$N$605,"&lt;"&amp;N222))</f>
        <v/>
      </c>
      <c r="R222">
        <f>IF(OR(P222="",N(P222)=0),"",SUMIFS(Fuel!$D$6:$D$605,Fuel!$C$6:$C$605,C222,Fuel!$P$6:$P$605,P222-1))</f>
        <v/>
      </c>
    </row>
    <row r="223">
      <c r="A223" s="1" t="n"/>
      <c r="B223" s="29" t="n"/>
      <c r="C223" s="24" t="n"/>
      <c r="D223" s="28" t="n"/>
      <c r="E223" s="33" t="n"/>
      <c r="F223" s="34" t="n"/>
      <c r="G223" s="27" t="n"/>
      <c r="H223" s="14">
        <f>IF(OR(N(E223)=0,F223=""),"",F223/E223)</f>
        <v/>
      </c>
      <c r="I223" s="11">
        <f>IF(R223="","",D223-R223)</f>
        <v/>
      </c>
      <c r="J223" s="35">
        <f>IF(R223="","",SUMIFS(Fuel!$E$6:$E$605,Fuel!$C$6:$C$605,C223,Fuel!$D$6:$D$605,"&gt;"&amp;R223,Fuel!$D$6:$D$605,"&lt;="&amp;D223))</f>
        <v/>
      </c>
      <c r="K223" s="36">
        <f>IF(OR(I223="",N(I223)=0),"",J223/I223*100)</f>
        <v/>
      </c>
      <c r="L223" s="36">
        <f>IF(OR(J223="",N(J223)=0),"",I223/J223)</f>
        <v/>
      </c>
      <c r="M223" s="1" t="n"/>
      <c r="N223">
        <f>IF(OR(C223="",N(D223)=0),"",D223+ROW()/10000000)</f>
        <v/>
      </c>
      <c r="O223">
        <f>IF(N223="","",COUNTIFS(Fuel!$C$6:$C$605,C223,Fuel!$N$6:$N$605,"&gt;"&amp;N223))</f>
        <v/>
      </c>
      <c r="P223">
        <f>IF(OR(N223="",G223=""),"",COUNTIFS(Fuel!$C$6:$C$605,C223,Fuel!$G$6:$G$605,"&lt;&gt;",Fuel!$N$6:$N$605,"&lt;"&amp;N223))</f>
        <v/>
      </c>
      <c r="R223">
        <f>IF(OR(P223="",N(P223)=0),"",SUMIFS(Fuel!$D$6:$D$605,Fuel!$C$6:$C$605,C223,Fuel!$P$6:$P$605,P223-1))</f>
        <v/>
      </c>
    </row>
    <row r="224">
      <c r="A224" s="1" t="n"/>
      <c r="B224" s="29" t="n"/>
      <c r="C224" s="24" t="n"/>
      <c r="D224" s="28" t="n"/>
      <c r="E224" s="33" t="n"/>
      <c r="F224" s="34" t="n"/>
      <c r="G224" s="27" t="n"/>
      <c r="H224" s="14">
        <f>IF(OR(N(E224)=0,F224=""),"",F224/E224)</f>
        <v/>
      </c>
      <c r="I224" s="11">
        <f>IF(R224="","",D224-R224)</f>
        <v/>
      </c>
      <c r="J224" s="35">
        <f>IF(R224="","",SUMIFS(Fuel!$E$6:$E$605,Fuel!$C$6:$C$605,C224,Fuel!$D$6:$D$605,"&gt;"&amp;R224,Fuel!$D$6:$D$605,"&lt;="&amp;D224))</f>
        <v/>
      </c>
      <c r="K224" s="36">
        <f>IF(OR(I224="",N(I224)=0),"",J224/I224*100)</f>
        <v/>
      </c>
      <c r="L224" s="36">
        <f>IF(OR(J224="",N(J224)=0),"",I224/J224)</f>
        <v/>
      </c>
      <c r="M224" s="1" t="n"/>
      <c r="N224">
        <f>IF(OR(C224="",N(D224)=0),"",D224+ROW()/10000000)</f>
        <v/>
      </c>
      <c r="O224">
        <f>IF(N224="","",COUNTIFS(Fuel!$C$6:$C$605,C224,Fuel!$N$6:$N$605,"&gt;"&amp;N224))</f>
        <v/>
      </c>
      <c r="P224">
        <f>IF(OR(N224="",G224=""),"",COUNTIFS(Fuel!$C$6:$C$605,C224,Fuel!$G$6:$G$605,"&lt;&gt;",Fuel!$N$6:$N$605,"&lt;"&amp;N224))</f>
        <v/>
      </c>
      <c r="R224">
        <f>IF(OR(P224="",N(P224)=0),"",SUMIFS(Fuel!$D$6:$D$605,Fuel!$C$6:$C$605,C224,Fuel!$P$6:$P$605,P224-1))</f>
        <v/>
      </c>
    </row>
    <row r="225">
      <c r="A225" s="1" t="n"/>
      <c r="B225" s="29" t="n"/>
      <c r="C225" s="24" t="n"/>
      <c r="D225" s="28" t="n"/>
      <c r="E225" s="33" t="n"/>
      <c r="F225" s="34" t="n"/>
      <c r="G225" s="27" t="n"/>
      <c r="H225" s="14">
        <f>IF(OR(N(E225)=0,F225=""),"",F225/E225)</f>
        <v/>
      </c>
      <c r="I225" s="11">
        <f>IF(R225="","",D225-R225)</f>
        <v/>
      </c>
      <c r="J225" s="35">
        <f>IF(R225="","",SUMIFS(Fuel!$E$6:$E$605,Fuel!$C$6:$C$605,C225,Fuel!$D$6:$D$605,"&gt;"&amp;R225,Fuel!$D$6:$D$605,"&lt;="&amp;D225))</f>
        <v/>
      </c>
      <c r="K225" s="36">
        <f>IF(OR(I225="",N(I225)=0),"",J225/I225*100)</f>
        <v/>
      </c>
      <c r="L225" s="36">
        <f>IF(OR(J225="",N(J225)=0),"",I225/J225)</f>
        <v/>
      </c>
      <c r="M225" s="1" t="n"/>
      <c r="N225">
        <f>IF(OR(C225="",N(D225)=0),"",D225+ROW()/10000000)</f>
        <v/>
      </c>
      <c r="O225">
        <f>IF(N225="","",COUNTIFS(Fuel!$C$6:$C$605,C225,Fuel!$N$6:$N$605,"&gt;"&amp;N225))</f>
        <v/>
      </c>
      <c r="P225">
        <f>IF(OR(N225="",G225=""),"",COUNTIFS(Fuel!$C$6:$C$605,C225,Fuel!$G$6:$G$605,"&lt;&gt;",Fuel!$N$6:$N$605,"&lt;"&amp;N225))</f>
        <v/>
      </c>
      <c r="R225">
        <f>IF(OR(P225="",N(P225)=0),"",SUMIFS(Fuel!$D$6:$D$605,Fuel!$C$6:$C$605,C225,Fuel!$P$6:$P$605,P225-1))</f>
        <v/>
      </c>
    </row>
    <row r="226">
      <c r="A226" s="1" t="n"/>
      <c r="B226" s="29" t="n"/>
      <c r="C226" s="24" t="n"/>
      <c r="D226" s="28" t="n"/>
      <c r="E226" s="33" t="n"/>
      <c r="F226" s="34" t="n"/>
      <c r="G226" s="27" t="n"/>
      <c r="H226" s="14">
        <f>IF(OR(N(E226)=0,F226=""),"",F226/E226)</f>
        <v/>
      </c>
      <c r="I226" s="11">
        <f>IF(R226="","",D226-R226)</f>
        <v/>
      </c>
      <c r="J226" s="35">
        <f>IF(R226="","",SUMIFS(Fuel!$E$6:$E$605,Fuel!$C$6:$C$605,C226,Fuel!$D$6:$D$605,"&gt;"&amp;R226,Fuel!$D$6:$D$605,"&lt;="&amp;D226))</f>
        <v/>
      </c>
      <c r="K226" s="36">
        <f>IF(OR(I226="",N(I226)=0),"",J226/I226*100)</f>
        <v/>
      </c>
      <c r="L226" s="36">
        <f>IF(OR(J226="",N(J226)=0),"",I226/J226)</f>
        <v/>
      </c>
      <c r="M226" s="1" t="n"/>
      <c r="N226">
        <f>IF(OR(C226="",N(D226)=0),"",D226+ROW()/10000000)</f>
        <v/>
      </c>
      <c r="O226">
        <f>IF(N226="","",COUNTIFS(Fuel!$C$6:$C$605,C226,Fuel!$N$6:$N$605,"&gt;"&amp;N226))</f>
        <v/>
      </c>
      <c r="P226">
        <f>IF(OR(N226="",G226=""),"",COUNTIFS(Fuel!$C$6:$C$605,C226,Fuel!$G$6:$G$605,"&lt;&gt;",Fuel!$N$6:$N$605,"&lt;"&amp;N226))</f>
        <v/>
      </c>
      <c r="R226">
        <f>IF(OR(P226="",N(P226)=0),"",SUMIFS(Fuel!$D$6:$D$605,Fuel!$C$6:$C$605,C226,Fuel!$P$6:$P$605,P226-1))</f>
        <v/>
      </c>
    </row>
    <row r="227">
      <c r="A227" s="1" t="n"/>
      <c r="B227" s="29" t="n"/>
      <c r="C227" s="24" t="n"/>
      <c r="D227" s="28" t="n"/>
      <c r="E227" s="33" t="n"/>
      <c r="F227" s="34" t="n"/>
      <c r="G227" s="27" t="n"/>
      <c r="H227" s="14">
        <f>IF(OR(N(E227)=0,F227=""),"",F227/E227)</f>
        <v/>
      </c>
      <c r="I227" s="11">
        <f>IF(R227="","",D227-R227)</f>
        <v/>
      </c>
      <c r="J227" s="35">
        <f>IF(R227="","",SUMIFS(Fuel!$E$6:$E$605,Fuel!$C$6:$C$605,C227,Fuel!$D$6:$D$605,"&gt;"&amp;R227,Fuel!$D$6:$D$605,"&lt;="&amp;D227))</f>
        <v/>
      </c>
      <c r="K227" s="36">
        <f>IF(OR(I227="",N(I227)=0),"",J227/I227*100)</f>
        <v/>
      </c>
      <c r="L227" s="36">
        <f>IF(OR(J227="",N(J227)=0),"",I227/J227)</f>
        <v/>
      </c>
      <c r="M227" s="1" t="n"/>
      <c r="N227">
        <f>IF(OR(C227="",N(D227)=0),"",D227+ROW()/10000000)</f>
        <v/>
      </c>
      <c r="O227">
        <f>IF(N227="","",COUNTIFS(Fuel!$C$6:$C$605,C227,Fuel!$N$6:$N$605,"&gt;"&amp;N227))</f>
        <v/>
      </c>
      <c r="P227">
        <f>IF(OR(N227="",G227=""),"",COUNTIFS(Fuel!$C$6:$C$605,C227,Fuel!$G$6:$G$605,"&lt;&gt;",Fuel!$N$6:$N$605,"&lt;"&amp;N227))</f>
        <v/>
      </c>
      <c r="R227">
        <f>IF(OR(P227="",N(P227)=0),"",SUMIFS(Fuel!$D$6:$D$605,Fuel!$C$6:$C$605,C227,Fuel!$P$6:$P$605,P227-1))</f>
        <v/>
      </c>
    </row>
    <row r="228">
      <c r="A228" s="1" t="n"/>
      <c r="B228" s="29" t="n"/>
      <c r="C228" s="24" t="n"/>
      <c r="D228" s="28" t="n"/>
      <c r="E228" s="33" t="n"/>
      <c r="F228" s="34" t="n"/>
      <c r="G228" s="27" t="n"/>
      <c r="H228" s="14">
        <f>IF(OR(N(E228)=0,F228=""),"",F228/E228)</f>
        <v/>
      </c>
      <c r="I228" s="11">
        <f>IF(R228="","",D228-R228)</f>
        <v/>
      </c>
      <c r="J228" s="35">
        <f>IF(R228="","",SUMIFS(Fuel!$E$6:$E$605,Fuel!$C$6:$C$605,C228,Fuel!$D$6:$D$605,"&gt;"&amp;R228,Fuel!$D$6:$D$605,"&lt;="&amp;D228))</f>
        <v/>
      </c>
      <c r="K228" s="36">
        <f>IF(OR(I228="",N(I228)=0),"",J228/I228*100)</f>
        <v/>
      </c>
      <c r="L228" s="36">
        <f>IF(OR(J228="",N(J228)=0),"",I228/J228)</f>
        <v/>
      </c>
      <c r="M228" s="1" t="n"/>
      <c r="N228">
        <f>IF(OR(C228="",N(D228)=0),"",D228+ROW()/10000000)</f>
        <v/>
      </c>
      <c r="O228">
        <f>IF(N228="","",COUNTIFS(Fuel!$C$6:$C$605,C228,Fuel!$N$6:$N$605,"&gt;"&amp;N228))</f>
        <v/>
      </c>
      <c r="P228">
        <f>IF(OR(N228="",G228=""),"",COUNTIFS(Fuel!$C$6:$C$605,C228,Fuel!$G$6:$G$605,"&lt;&gt;",Fuel!$N$6:$N$605,"&lt;"&amp;N228))</f>
        <v/>
      </c>
      <c r="R228">
        <f>IF(OR(P228="",N(P228)=0),"",SUMIFS(Fuel!$D$6:$D$605,Fuel!$C$6:$C$605,C228,Fuel!$P$6:$P$605,P228-1))</f>
        <v/>
      </c>
    </row>
    <row r="229">
      <c r="A229" s="1" t="n"/>
      <c r="B229" s="29" t="n"/>
      <c r="C229" s="24" t="n"/>
      <c r="D229" s="28" t="n"/>
      <c r="E229" s="33" t="n"/>
      <c r="F229" s="34" t="n"/>
      <c r="G229" s="27" t="n"/>
      <c r="H229" s="14">
        <f>IF(OR(N(E229)=0,F229=""),"",F229/E229)</f>
        <v/>
      </c>
      <c r="I229" s="11">
        <f>IF(R229="","",D229-R229)</f>
        <v/>
      </c>
      <c r="J229" s="35">
        <f>IF(R229="","",SUMIFS(Fuel!$E$6:$E$605,Fuel!$C$6:$C$605,C229,Fuel!$D$6:$D$605,"&gt;"&amp;R229,Fuel!$D$6:$D$605,"&lt;="&amp;D229))</f>
        <v/>
      </c>
      <c r="K229" s="36">
        <f>IF(OR(I229="",N(I229)=0),"",J229/I229*100)</f>
        <v/>
      </c>
      <c r="L229" s="36">
        <f>IF(OR(J229="",N(J229)=0),"",I229/J229)</f>
        <v/>
      </c>
      <c r="M229" s="1" t="n"/>
      <c r="N229">
        <f>IF(OR(C229="",N(D229)=0),"",D229+ROW()/10000000)</f>
        <v/>
      </c>
      <c r="O229">
        <f>IF(N229="","",COUNTIFS(Fuel!$C$6:$C$605,C229,Fuel!$N$6:$N$605,"&gt;"&amp;N229))</f>
        <v/>
      </c>
      <c r="P229">
        <f>IF(OR(N229="",G229=""),"",COUNTIFS(Fuel!$C$6:$C$605,C229,Fuel!$G$6:$G$605,"&lt;&gt;",Fuel!$N$6:$N$605,"&lt;"&amp;N229))</f>
        <v/>
      </c>
      <c r="R229">
        <f>IF(OR(P229="",N(P229)=0),"",SUMIFS(Fuel!$D$6:$D$605,Fuel!$C$6:$C$605,C229,Fuel!$P$6:$P$605,P229-1))</f>
        <v/>
      </c>
    </row>
    <row r="230">
      <c r="A230" s="1" t="n"/>
      <c r="B230" s="29" t="n"/>
      <c r="C230" s="24" t="n"/>
      <c r="D230" s="28" t="n"/>
      <c r="E230" s="33" t="n"/>
      <c r="F230" s="34" t="n"/>
      <c r="G230" s="27" t="n"/>
      <c r="H230" s="14">
        <f>IF(OR(N(E230)=0,F230=""),"",F230/E230)</f>
        <v/>
      </c>
      <c r="I230" s="11">
        <f>IF(R230="","",D230-R230)</f>
        <v/>
      </c>
      <c r="J230" s="35">
        <f>IF(R230="","",SUMIFS(Fuel!$E$6:$E$605,Fuel!$C$6:$C$605,C230,Fuel!$D$6:$D$605,"&gt;"&amp;R230,Fuel!$D$6:$D$605,"&lt;="&amp;D230))</f>
        <v/>
      </c>
      <c r="K230" s="36">
        <f>IF(OR(I230="",N(I230)=0),"",J230/I230*100)</f>
        <v/>
      </c>
      <c r="L230" s="36">
        <f>IF(OR(J230="",N(J230)=0),"",I230/J230)</f>
        <v/>
      </c>
      <c r="M230" s="1" t="n"/>
      <c r="N230">
        <f>IF(OR(C230="",N(D230)=0),"",D230+ROW()/10000000)</f>
        <v/>
      </c>
      <c r="O230">
        <f>IF(N230="","",COUNTIFS(Fuel!$C$6:$C$605,C230,Fuel!$N$6:$N$605,"&gt;"&amp;N230))</f>
        <v/>
      </c>
      <c r="P230">
        <f>IF(OR(N230="",G230=""),"",COUNTIFS(Fuel!$C$6:$C$605,C230,Fuel!$G$6:$G$605,"&lt;&gt;",Fuel!$N$6:$N$605,"&lt;"&amp;N230))</f>
        <v/>
      </c>
      <c r="R230">
        <f>IF(OR(P230="",N(P230)=0),"",SUMIFS(Fuel!$D$6:$D$605,Fuel!$C$6:$C$605,C230,Fuel!$P$6:$P$605,P230-1))</f>
        <v/>
      </c>
    </row>
    <row r="231">
      <c r="A231" s="1" t="n"/>
      <c r="B231" s="29" t="n"/>
      <c r="C231" s="24" t="n"/>
      <c r="D231" s="28" t="n"/>
      <c r="E231" s="33" t="n"/>
      <c r="F231" s="34" t="n"/>
      <c r="G231" s="27" t="n"/>
      <c r="H231" s="14">
        <f>IF(OR(N(E231)=0,F231=""),"",F231/E231)</f>
        <v/>
      </c>
      <c r="I231" s="11">
        <f>IF(R231="","",D231-R231)</f>
        <v/>
      </c>
      <c r="J231" s="35">
        <f>IF(R231="","",SUMIFS(Fuel!$E$6:$E$605,Fuel!$C$6:$C$605,C231,Fuel!$D$6:$D$605,"&gt;"&amp;R231,Fuel!$D$6:$D$605,"&lt;="&amp;D231))</f>
        <v/>
      </c>
      <c r="K231" s="36">
        <f>IF(OR(I231="",N(I231)=0),"",J231/I231*100)</f>
        <v/>
      </c>
      <c r="L231" s="36">
        <f>IF(OR(J231="",N(J231)=0),"",I231/J231)</f>
        <v/>
      </c>
      <c r="M231" s="1" t="n"/>
      <c r="N231">
        <f>IF(OR(C231="",N(D231)=0),"",D231+ROW()/10000000)</f>
        <v/>
      </c>
      <c r="O231">
        <f>IF(N231="","",COUNTIFS(Fuel!$C$6:$C$605,C231,Fuel!$N$6:$N$605,"&gt;"&amp;N231))</f>
        <v/>
      </c>
      <c r="P231">
        <f>IF(OR(N231="",G231=""),"",COUNTIFS(Fuel!$C$6:$C$605,C231,Fuel!$G$6:$G$605,"&lt;&gt;",Fuel!$N$6:$N$605,"&lt;"&amp;N231))</f>
        <v/>
      </c>
      <c r="R231">
        <f>IF(OR(P231="",N(P231)=0),"",SUMIFS(Fuel!$D$6:$D$605,Fuel!$C$6:$C$605,C231,Fuel!$P$6:$P$605,P231-1))</f>
        <v/>
      </c>
    </row>
    <row r="232">
      <c r="A232" s="1" t="n"/>
      <c r="B232" s="29" t="n"/>
      <c r="C232" s="24" t="n"/>
      <c r="D232" s="28" t="n"/>
      <c r="E232" s="33" t="n"/>
      <c r="F232" s="34" t="n"/>
      <c r="G232" s="27" t="n"/>
      <c r="H232" s="14">
        <f>IF(OR(N(E232)=0,F232=""),"",F232/E232)</f>
        <v/>
      </c>
      <c r="I232" s="11">
        <f>IF(R232="","",D232-R232)</f>
        <v/>
      </c>
      <c r="J232" s="35">
        <f>IF(R232="","",SUMIFS(Fuel!$E$6:$E$605,Fuel!$C$6:$C$605,C232,Fuel!$D$6:$D$605,"&gt;"&amp;R232,Fuel!$D$6:$D$605,"&lt;="&amp;D232))</f>
        <v/>
      </c>
      <c r="K232" s="36">
        <f>IF(OR(I232="",N(I232)=0),"",J232/I232*100)</f>
        <v/>
      </c>
      <c r="L232" s="36">
        <f>IF(OR(J232="",N(J232)=0),"",I232/J232)</f>
        <v/>
      </c>
      <c r="M232" s="1" t="n"/>
      <c r="N232">
        <f>IF(OR(C232="",N(D232)=0),"",D232+ROW()/10000000)</f>
        <v/>
      </c>
      <c r="O232">
        <f>IF(N232="","",COUNTIFS(Fuel!$C$6:$C$605,C232,Fuel!$N$6:$N$605,"&gt;"&amp;N232))</f>
        <v/>
      </c>
      <c r="P232">
        <f>IF(OR(N232="",G232=""),"",COUNTIFS(Fuel!$C$6:$C$605,C232,Fuel!$G$6:$G$605,"&lt;&gt;",Fuel!$N$6:$N$605,"&lt;"&amp;N232))</f>
        <v/>
      </c>
      <c r="R232">
        <f>IF(OR(P232="",N(P232)=0),"",SUMIFS(Fuel!$D$6:$D$605,Fuel!$C$6:$C$605,C232,Fuel!$P$6:$P$605,P232-1))</f>
        <v/>
      </c>
    </row>
    <row r="233">
      <c r="A233" s="1" t="n"/>
      <c r="B233" s="29" t="n"/>
      <c r="C233" s="24" t="n"/>
      <c r="D233" s="28" t="n"/>
      <c r="E233" s="33" t="n"/>
      <c r="F233" s="34" t="n"/>
      <c r="G233" s="27" t="n"/>
      <c r="H233" s="14">
        <f>IF(OR(N(E233)=0,F233=""),"",F233/E233)</f>
        <v/>
      </c>
      <c r="I233" s="11">
        <f>IF(R233="","",D233-R233)</f>
        <v/>
      </c>
      <c r="J233" s="35">
        <f>IF(R233="","",SUMIFS(Fuel!$E$6:$E$605,Fuel!$C$6:$C$605,C233,Fuel!$D$6:$D$605,"&gt;"&amp;R233,Fuel!$D$6:$D$605,"&lt;="&amp;D233))</f>
        <v/>
      </c>
      <c r="K233" s="36">
        <f>IF(OR(I233="",N(I233)=0),"",J233/I233*100)</f>
        <v/>
      </c>
      <c r="L233" s="36">
        <f>IF(OR(J233="",N(J233)=0),"",I233/J233)</f>
        <v/>
      </c>
      <c r="M233" s="1" t="n"/>
      <c r="N233">
        <f>IF(OR(C233="",N(D233)=0),"",D233+ROW()/10000000)</f>
        <v/>
      </c>
      <c r="O233">
        <f>IF(N233="","",COUNTIFS(Fuel!$C$6:$C$605,C233,Fuel!$N$6:$N$605,"&gt;"&amp;N233))</f>
        <v/>
      </c>
      <c r="P233">
        <f>IF(OR(N233="",G233=""),"",COUNTIFS(Fuel!$C$6:$C$605,C233,Fuel!$G$6:$G$605,"&lt;&gt;",Fuel!$N$6:$N$605,"&lt;"&amp;N233))</f>
        <v/>
      </c>
      <c r="R233">
        <f>IF(OR(P233="",N(P233)=0),"",SUMIFS(Fuel!$D$6:$D$605,Fuel!$C$6:$C$605,C233,Fuel!$P$6:$P$605,P233-1))</f>
        <v/>
      </c>
    </row>
    <row r="234">
      <c r="A234" s="1" t="n"/>
      <c r="B234" s="29" t="n"/>
      <c r="C234" s="24" t="n"/>
      <c r="D234" s="28" t="n"/>
      <c r="E234" s="33" t="n"/>
      <c r="F234" s="34" t="n"/>
      <c r="G234" s="27" t="n"/>
      <c r="H234" s="14">
        <f>IF(OR(N(E234)=0,F234=""),"",F234/E234)</f>
        <v/>
      </c>
      <c r="I234" s="11">
        <f>IF(R234="","",D234-R234)</f>
        <v/>
      </c>
      <c r="J234" s="35">
        <f>IF(R234="","",SUMIFS(Fuel!$E$6:$E$605,Fuel!$C$6:$C$605,C234,Fuel!$D$6:$D$605,"&gt;"&amp;R234,Fuel!$D$6:$D$605,"&lt;="&amp;D234))</f>
        <v/>
      </c>
      <c r="K234" s="36">
        <f>IF(OR(I234="",N(I234)=0),"",J234/I234*100)</f>
        <v/>
      </c>
      <c r="L234" s="36">
        <f>IF(OR(J234="",N(J234)=0),"",I234/J234)</f>
        <v/>
      </c>
      <c r="M234" s="1" t="n"/>
      <c r="N234">
        <f>IF(OR(C234="",N(D234)=0),"",D234+ROW()/10000000)</f>
        <v/>
      </c>
      <c r="O234">
        <f>IF(N234="","",COUNTIFS(Fuel!$C$6:$C$605,C234,Fuel!$N$6:$N$605,"&gt;"&amp;N234))</f>
        <v/>
      </c>
      <c r="P234">
        <f>IF(OR(N234="",G234=""),"",COUNTIFS(Fuel!$C$6:$C$605,C234,Fuel!$G$6:$G$605,"&lt;&gt;",Fuel!$N$6:$N$605,"&lt;"&amp;N234))</f>
        <v/>
      </c>
      <c r="R234">
        <f>IF(OR(P234="",N(P234)=0),"",SUMIFS(Fuel!$D$6:$D$605,Fuel!$C$6:$C$605,C234,Fuel!$P$6:$P$605,P234-1))</f>
        <v/>
      </c>
    </row>
    <row r="235">
      <c r="A235" s="1" t="n"/>
      <c r="B235" s="29" t="n"/>
      <c r="C235" s="24" t="n"/>
      <c r="D235" s="28" t="n"/>
      <c r="E235" s="33" t="n"/>
      <c r="F235" s="34" t="n"/>
      <c r="G235" s="27" t="n"/>
      <c r="H235" s="14">
        <f>IF(OR(N(E235)=0,F235=""),"",F235/E235)</f>
        <v/>
      </c>
      <c r="I235" s="11">
        <f>IF(R235="","",D235-R235)</f>
        <v/>
      </c>
      <c r="J235" s="35">
        <f>IF(R235="","",SUMIFS(Fuel!$E$6:$E$605,Fuel!$C$6:$C$605,C235,Fuel!$D$6:$D$605,"&gt;"&amp;R235,Fuel!$D$6:$D$605,"&lt;="&amp;D235))</f>
        <v/>
      </c>
      <c r="K235" s="36">
        <f>IF(OR(I235="",N(I235)=0),"",J235/I235*100)</f>
        <v/>
      </c>
      <c r="L235" s="36">
        <f>IF(OR(J235="",N(J235)=0),"",I235/J235)</f>
        <v/>
      </c>
      <c r="M235" s="1" t="n"/>
      <c r="N235">
        <f>IF(OR(C235="",N(D235)=0),"",D235+ROW()/10000000)</f>
        <v/>
      </c>
      <c r="O235">
        <f>IF(N235="","",COUNTIFS(Fuel!$C$6:$C$605,C235,Fuel!$N$6:$N$605,"&gt;"&amp;N235))</f>
        <v/>
      </c>
      <c r="P235">
        <f>IF(OR(N235="",G235=""),"",COUNTIFS(Fuel!$C$6:$C$605,C235,Fuel!$G$6:$G$605,"&lt;&gt;",Fuel!$N$6:$N$605,"&lt;"&amp;N235))</f>
        <v/>
      </c>
      <c r="R235">
        <f>IF(OR(P235="",N(P235)=0),"",SUMIFS(Fuel!$D$6:$D$605,Fuel!$C$6:$C$605,C235,Fuel!$P$6:$P$605,P235-1))</f>
        <v/>
      </c>
    </row>
    <row r="236">
      <c r="A236" s="1" t="n"/>
      <c r="B236" s="29" t="n"/>
      <c r="C236" s="24" t="n"/>
      <c r="D236" s="28" t="n"/>
      <c r="E236" s="33" t="n"/>
      <c r="F236" s="34" t="n"/>
      <c r="G236" s="27" t="n"/>
      <c r="H236" s="14">
        <f>IF(OR(N(E236)=0,F236=""),"",F236/E236)</f>
        <v/>
      </c>
      <c r="I236" s="11">
        <f>IF(R236="","",D236-R236)</f>
        <v/>
      </c>
      <c r="J236" s="35">
        <f>IF(R236="","",SUMIFS(Fuel!$E$6:$E$605,Fuel!$C$6:$C$605,C236,Fuel!$D$6:$D$605,"&gt;"&amp;R236,Fuel!$D$6:$D$605,"&lt;="&amp;D236))</f>
        <v/>
      </c>
      <c r="K236" s="36">
        <f>IF(OR(I236="",N(I236)=0),"",J236/I236*100)</f>
        <v/>
      </c>
      <c r="L236" s="36">
        <f>IF(OR(J236="",N(J236)=0),"",I236/J236)</f>
        <v/>
      </c>
      <c r="M236" s="1" t="n"/>
      <c r="N236">
        <f>IF(OR(C236="",N(D236)=0),"",D236+ROW()/10000000)</f>
        <v/>
      </c>
      <c r="O236">
        <f>IF(N236="","",COUNTIFS(Fuel!$C$6:$C$605,C236,Fuel!$N$6:$N$605,"&gt;"&amp;N236))</f>
        <v/>
      </c>
      <c r="P236">
        <f>IF(OR(N236="",G236=""),"",COUNTIFS(Fuel!$C$6:$C$605,C236,Fuel!$G$6:$G$605,"&lt;&gt;",Fuel!$N$6:$N$605,"&lt;"&amp;N236))</f>
        <v/>
      </c>
      <c r="R236">
        <f>IF(OR(P236="",N(P236)=0),"",SUMIFS(Fuel!$D$6:$D$605,Fuel!$C$6:$C$605,C236,Fuel!$P$6:$P$605,P236-1))</f>
        <v/>
      </c>
    </row>
    <row r="237">
      <c r="A237" s="1" t="n"/>
      <c r="B237" s="29" t="n"/>
      <c r="C237" s="24" t="n"/>
      <c r="D237" s="28" t="n"/>
      <c r="E237" s="33" t="n"/>
      <c r="F237" s="34" t="n"/>
      <c r="G237" s="27" t="n"/>
      <c r="H237" s="14">
        <f>IF(OR(N(E237)=0,F237=""),"",F237/E237)</f>
        <v/>
      </c>
      <c r="I237" s="11">
        <f>IF(R237="","",D237-R237)</f>
        <v/>
      </c>
      <c r="J237" s="35">
        <f>IF(R237="","",SUMIFS(Fuel!$E$6:$E$605,Fuel!$C$6:$C$605,C237,Fuel!$D$6:$D$605,"&gt;"&amp;R237,Fuel!$D$6:$D$605,"&lt;="&amp;D237))</f>
        <v/>
      </c>
      <c r="K237" s="36">
        <f>IF(OR(I237="",N(I237)=0),"",J237/I237*100)</f>
        <v/>
      </c>
      <c r="L237" s="36">
        <f>IF(OR(J237="",N(J237)=0),"",I237/J237)</f>
        <v/>
      </c>
      <c r="M237" s="1" t="n"/>
      <c r="N237">
        <f>IF(OR(C237="",N(D237)=0),"",D237+ROW()/10000000)</f>
        <v/>
      </c>
      <c r="O237">
        <f>IF(N237="","",COUNTIFS(Fuel!$C$6:$C$605,C237,Fuel!$N$6:$N$605,"&gt;"&amp;N237))</f>
        <v/>
      </c>
      <c r="P237">
        <f>IF(OR(N237="",G237=""),"",COUNTIFS(Fuel!$C$6:$C$605,C237,Fuel!$G$6:$G$605,"&lt;&gt;",Fuel!$N$6:$N$605,"&lt;"&amp;N237))</f>
        <v/>
      </c>
      <c r="R237">
        <f>IF(OR(P237="",N(P237)=0),"",SUMIFS(Fuel!$D$6:$D$605,Fuel!$C$6:$C$605,C237,Fuel!$P$6:$P$605,P237-1))</f>
        <v/>
      </c>
    </row>
    <row r="238">
      <c r="A238" s="1" t="n"/>
      <c r="B238" s="29" t="n"/>
      <c r="C238" s="24" t="n"/>
      <c r="D238" s="28" t="n"/>
      <c r="E238" s="33" t="n"/>
      <c r="F238" s="34" t="n"/>
      <c r="G238" s="27" t="n"/>
      <c r="H238" s="14">
        <f>IF(OR(N(E238)=0,F238=""),"",F238/E238)</f>
        <v/>
      </c>
      <c r="I238" s="11">
        <f>IF(R238="","",D238-R238)</f>
        <v/>
      </c>
      <c r="J238" s="35">
        <f>IF(R238="","",SUMIFS(Fuel!$E$6:$E$605,Fuel!$C$6:$C$605,C238,Fuel!$D$6:$D$605,"&gt;"&amp;R238,Fuel!$D$6:$D$605,"&lt;="&amp;D238))</f>
        <v/>
      </c>
      <c r="K238" s="36">
        <f>IF(OR(I238="",N(I238)=0),"",J238/I238*100)</f>
        <v/>
      </c>
      <c r="L238" s="36">
        <f>IF(OR(J238="",N(J238)=0),"",I238/J238)</f>
        <v/>
      </c>
      <c r="M238" s="1" t="n"/>
      <c r="N238">
        <f>IF(OR(C238="",N(D238)=0),"",D238+ROW()/10000000)</f>
        <v/>
      </c>
      <c r="O238">
        <f>IF(N238="","",COUNTIFS(Fuel!$C$6:$C$605,C238,Fuel!$N$6:$N$605,"&gt;"&amp;N238))</f>
        <v/>
      </c>
      <c r="P238">
        <f>IF(OR(N238="",G238=""),"",COUNTIFS(Fuel!$C$6:$C$605,C238,Fuel!$G$6:$G$605,"&lt;&gt;",Fuel!$N$6:$N$605,"&lt;"&amp;N238))</f>
        <v/>
      </c>
      <c r="R238">
        <f>IF(OR(P238="",N(P238)=0),"",SUMIFS(Fuel!$D$6:$D$605,Fuel!$C$6:$C$605,C238,Fuel!$P$6:$P$605,P238-1))</f>
        <v/>
      </c>
    </row>
    <row r="239">
      <c r="A239" s="1" t="n"/>
      <c r="B239" s="29" t="n"/>
      <c r="C239" s="24" t="n"/>
      <c r="D239" s="28" t="n"/>
      <c r="E239" s="33" t="n"/>
      <c r="F239" s="34" t="n"/>
      <c r="G239" s="27" t="n"/>
      <c r="H239" s="14">
        <f>IF(OR(N(E239)=0,F239=""),"",F239/E239)</f>
        <v/>
      </c>
      <c r="I239" s="11">
        <f>IF(R239="","",D239-R239)</f>
        <v/>
      </c>
      <c r="J239" s="35">
        <f>IF(R239="","",SUMIFS(Fuel!$E$6:$E$605,Fuel!$C$6:$C$605,C239,Fuel!$D$6:$D$605,"&gt;"&amp;R239,Fuel!$D$6:$D$605,"&lt;="&amp;D239))</f>
        <v/>
      </c>
      <c r="K239" s="36">
        <f>IF(OR(I239="",N(I239)=0),"",J239/I239*100)</f>
        <v/>
      </c>
      <c r="L239" s="36">
        <f>IF(OR(J239="",N(J239)=0),"",I239/J239)</f>
        <v/>
      </c>
      <c r="M239" s="1" t="n"/>
      <c r="N239">
        <f>IF(OR(C239="",N(D239)=0),"",D239+ROW()/10000000)</f>
        <v/>
      </c>
      <c r="O239">
        <f>IF(N239="","",COUNTIFS(Fuel!$C$6:$C$605,C239,Fuel!$N$6:$N$605,"&gt;"&amp;N239))</f>
        <v/>
      </c>
      <c r="P239">
        <f>IF(OR(N239="",G239=""),"",COUNTIFS(Fuel!$C$6:$C$605,C239,Fuel!$G$6:$G$605,"&lt;&gt;",Fuel!$N$6:$N$605,"&lt;"&amp;N239))</f>
        <v/>
      </c>
      <c r="R239">
        <f>IF(OR(P239="",N(P239)=0),"",SUMIFS(Fuel!$D$6:$D$605,Fuel!$C$6:$C$605,C239,Fuel!$P$6:$P$605,P239-1))</f>
        <v/>
      </c>
    </row>
    <row r="240">
      <c r="A240" s="1" t="n"/>
      <c r="B240" s="29" t="n"/>
      <c r="C240" s="24" t="n"/>
      <c r="D240" s="28" t="n"/>
      <c r="E240" s="33" t="n"/>
      <c r="F240" s="34" t="n"/>
      <c r="G240" s="27" t="n"/>
      <c r="H240" s="14">
        <f>IF(OR(N(E240)=0,F240=""),"",F240/E240)</f>
        <v/>
      </c>
      <c r="I240" s="11">
        <f>IF(R240="","",D240-R240)</f>
        <v/>
      </c>
      <c r="J240" s="35">
        <f>IF(R240="","",SUMIFS(Fuel!$E$6:$E$605,Fuel!$C$6:$C$605,C240,Fuel!$D$6:$D$605,"&gt;"&amp;R240,Fuel!$D$6:$D$605,"&lt;="&amp;D240))</f>
        <v/>
      </c>
      <c r="K240" s="36">
        <f>IF(OR(I240="",N(I240)=0),"",J240/I240*100)</f>
        <v/>
      </c>
      <c r="L240" s="36">
        <f>IF(OR(J240="",N(J240)=0),"",I240/J240)</f>
        <v/>
      </c>
      <c r="M240" s="1" t="n"/>
      <c r="N240">
        <f>IF(OR(C240="",N(D240)=0),"",D240+ROW()/10000000)</f>
        <v/>
      </c>
      <c r="O240">
        <f>IF(N240="","",COUNTIFS(Fuel!$C$6:$C$605,C240,Fuel!$N$6:$N$605,"&gt;"&amp;N240))</f>
        <v/>
      </c>
      <c r="P240">
        <f>IF(OR(N240="",G240=""),"",COUNTIFS(Fuel!$C$6:$C$605,C240,Fuel!$G$6:$G$605,"&lt;&gt;",Fuel!$N$6:$N$605,"&lt;"&amp;N240))</f>
        <v/>
      </c>
      <c r="R240">
        <f>IF(OR(P240="",N(P240)=0),"",SUMIFS(Fuel!$D$6:$D$605,Fuel!$C$6:$C$605,C240,Fuel!$P$6:$P$605,P240-1))</f>
        <v/>
      </c>
    </row>
    <row r="241">
      <c r="A241" s="1" t="n"/>
      <c r="B241" s="29" t="n"/>
      <c r="C241" s="24" t="n"/>
      <c r="D241" s="28" t="n"/>
      <c r="E241" s="33" t="n"/>
      <c r="F241" s="34" t="n"/>
      <c r="G241" s="27" t="n"/>
      <c r="H241" s="14">
        <f>IF(OR(N(E241)=0,F241=""),"",F241/E241)</f>
        <v/>
      </c>
      <c r="I241" s="11">
        <f>IF(R241="","",D241-R241)</f>
        <v/>
      </c>
      <c r="J241" s="35">
        <f>IF(R241="","",SUMIFS(Fuel!$E$6:$E$605,Fuel!$C$6:$C$605,C241,Fuel!$D$6:$D$605,"&gt;"&amp;R241,Fuel!$D$6:$D$605,"&lt;="&amp;D241))</f>
        <v/>
      </c>
      <c r="K241" s="36">
        <f>IF(OR(I241="",N(I241)=0),"",J241/I241*100)</f>
        <v/>
      </c>
      <c r="L241" s="36">
        <f>IF(OR(J241="",N(J241)=0),"",I241/J241)</f>
        <v/>
      </c>
      <c r="M241" s="1" t="n"/>
      <c r="N241">
        <f>IF(OR(C241="",N(D241)=0),"",D241+ROW()/10000000)</f>
        <v/>
      </c>
      <c r="O241">
        <f>IF(N241="","",COUNTIFS(Fuel!$C$6:$C$605,C241,Fuel!$N$6:$N$605,"&gt;"&amp;N241))</f>
        <v/>
      </c>
      <c r="P241">
        <f>IF(OR(N241="",G241=""),"",COUNTIFS(Fuel!$C$6:$C$605,C241,Fuel!$G$6:$G$605,"&lt;&gt;",Fuel!$N$6:$N$605,"&lt;"&amp;N241))</f>
        <v/>
      </c>
      <c r="R241">
        <f>IF(OR(P241="",N(P241)=0),"",SUMIFS(Fuel!$D$6:$D$605,Fuel!$C$6:$C$605,C241,Fuel!$P$6:$P$605,P241-1))</f>
        <v/>
      </c>
    </row>
    <row r="242">
      <c r="A242" s="1" t="n"/>
      <c r="B242" s="29" t="n"/>
      <c r="C242" s="24" t="n"/>
      <c r="D242" s="28" t="n"/>
      <c r="E242" s="33" t="n"/>
      <c r="F242" s="34" t="n"/>
      <c r="G242" s="27" t="n"/>
      <c r="H242" s="14">
        <f>IF(OR(N(E242)=0,F242=""),"",F242/E242)</f>
        <v/>
      </c>
      <c r="I242" s="11">
        <f>IF(R242="","",D242-R242)</f>
        <v/>
      </c>
      <c r="J242" s="35">
        <f>IF(R242="","",SUMIFS(Fuel!$E$6:$E$605,Fuel!$C$6:$C$605,C242,Fuel!$D$6:$D$605,"&gt;"&amp;R242,Fuel!$D$6:$D$605,"&lt;="&amp;D242))</f>
        <v/>
      </c>
      <c r="K242" s="36">
        <f>IF(OR(I242="",N(I242)=0),"",J242/I242*100)</f>
        <v/>
      </c>
      <c r="L242" s="36">
        <f>IF(OR(J242="",N(J242)=0),"",I242/J242)</f>
        <v/>
      </c>
      <c r="M242" s="1" t="n"/>
      <c r="N242">
        <f>IF(OR(C242="",N(D242)=0),"",D242+ROW()/10000000)</f>
        <v/>
      </c>
      <c r="O242">
        <f>IF(N242="","",COUNTIFS(Fuel!$C$6:$C$605,C242,Fuel!$N$6:$N$605,"&gt;"&amp;N242))</f>
        <v/>
      </c>
      <c r="P242">
        <f>IF(OR(N242="",G242=""),"",COUNTIFS(Fuel!$C$6:$C$605,C242,Fuel!$G$6:$G$605,"&lt;&gt;",Fuel!$N$6:$N$605,"&lt;"&amp;N242))</f>
        <v/>
      </c>
      <c r="R242">
        <f>IF(OR(P242="",N(P242)=0),"",SUMIFS(Fuel!$D$6:$D$605,Fuel!$C$6:$C$605,C242,Fuel!$P$6:$P$605,P242-1))</f>
        <v/>
      </c>
    </row>
    <row r="243">
      <c r="A243" s="1" t="n"/>
      <c r="B243" s="29" t="n"/>
      <c r="C243" s="24" t="n"/>
      <c r="D243" s="28" t="n"/>
      <c r="E243" s="33" t="n"/>
      <c r="F243" s="34" t="n"/>
      <c r="G243" s="27" t="n"/>
      <c r="H243" s="14">
        <f>IF(OR(N(E243)=0,F243=""),"",F243/E243)</f>
        <v/>
      </c>
      <c r="I243" s="11">
        <f>IF(R243="","",D243-R243)</f>
        <v/>
      </c>
      <c r="J243" s="35">
        <f>IF(R243="","",SUMIFS(Fuel!$E$6:$E$605,Fuel!$C$6:$C$605,C243,Fuel!$D$6:$D$605,"&gt;"&amp;R243,Fuel!$D$6:$D$605,"&lt;="&amp;D243))</f>
        <v/>
      </c>
      <c r="K243" s="36">
        <f>IF(OR(I243="",N(I243)=0),"",J243/I243*100)</f>
        <v/>
      </c>
      <c r="L243" s="36">
        <f>IF(OR(J243="",N(J243)=0),"",I243/J243)</f>
        <v/>
      </c>
      <c r="M243" s="1" t="n"/>
      <c r="N243">
        <f>IF(OR(C243="",N(D243)=0),"",D243+ROW()/10000000)</f>
        <v/>
      </c>
      <c r="O243">
        <f>IF(N243="","",COUNTIFS(Fuel!$C$6:$C$605,C243,Fuel!$N$6:$N$605,"&gt;"&amp;N243))</f>
        <v/>
      </c>
      <c r="P243">
        <f>IF(OR(N243="",G243=""),"",COUNTIFS(Fuel!$C$6:$C$605,C243,Fuel!$G$6:$G$605,"&lt;&gt;",Fuel!$N$6:$N$605,"&lt;"&amp;N243))</f>
        <v/>
      </c>
      <c r="R243">
        <f>IF(OR(P243="",N(P243)=0),"",SUMIFS(Fuel!$D$6:$D$605,Fuel!$C$6:$C$605,C243,Fuel!$P$6:$P$605,P243-1))</f>
        <v/>
      </c>
    </row>
    <row r="244">
      <c r="A244" s="1" t="n"/>
      <c r="B244" s="29" t="n"/>
      <c r="C244" s="24" t="n"/>
      <c r="D244" s="28" t="n"/>
      <c r="E244" s="33" t="n"/>
      <c r="F244" s="34" t="n"/>
      <c r="G244" s="27" t="n"/>
      <c r="H244" s="14">
        <f>IF(OR(N(E244)=0,F244=""),"",F244/E244)</f>
        <v/>
      </c>
      <c r="I244" s="11">
        <f>IF(R244="","",D244-R244)</f>
        <v/>
      </c>
      <c r="J244" s="35">
        <f>IF(R244="","",SUMIFS(Fuel!$E$6:$E$605,Fuel!$C$6:$C$605,C244,Fuel!$D$6:$D$605,"&gt;"&amp;R244,Fuel!$D$6:$D$605,"&lt;="&amp;D244))</f>
        <v/>
      </c>
      <c r="K244" s="36">
        <f>IF(OR(I244="",N(I244)=0),"",J244/I244*100)</f>
        <v/>
      </c>
      <c r="L244" s="36">
        <f>IF(OR(J244="",N(J244)=0),"",I244/J244)</f>
        <v/>
      </c>
      <c r="M244" s="1" t="n"/>
      <c r="N244">
        <f>IF(OR(C244="",N(D244)=0),"",D244+ROW()/10000000)</f>
        <v/>
      </c>
      <c r="O244">
        <f>IF(N244="","",COUNTIFS(Fuel!$C$6:$C$605,C244,Fuel!$N$6:$N$605,"&gt;"&amp;N244))</f>
        <v/>
      </c>
      <c r="P244">
        <f>IF(OR(N244="",G244=""),"",COUNTIFS(Fuel!$C$6:$C$605,C244,Fuel!$G$6:$G$605,"&lt;&gt;",Fuel!$N$6:$N$605,"&lt;"&amp;N244))</f>
        <v/>
      </c>
      <c r="R244">
        <f>IF(OR(P244="",N(P244)=0),"",SUMIFS(Fuel!$D$6:$D$605,Fuel!$C$6:$C$605,C244,Fuel!$P$6:$P$605,P244-1))</f>
        <v/>
      </c>
    </row>
    <row r="245">
      <c r="A245" s="1" t="n"/>
      <c r="B245" s="29" t="n"/>
      <c r="C245" s="24" t="n"/>
      <c r="D245" s="28" t="n"/>
      <c r="E245" s="33" t="n"/>
      <c r="F245" s="34" t="n"/>
      <c r="G245" s="27" t="n"/>
      <c r="H245" s="14">
        <f>IF(OR(N(E245)=0,F245=""),"",F245/E245)</f>
        <v/>
      </c>
      <c r="I245" s="11">
        <f>IF(R245="","",D245-R245)</f>
        <v/>
      </c>
      <c r="J245" s="35">
        <f>IF(R245="","",SUMIFS(Fuel!$E$6:$E$605,Fuel!$C$6:$C$605,C245,Fuel!$D$6:$D$605,"&gt;"&amp;R245,Fuel!$D$6:$D$605,"&lt;="&amp;D245))</f>
        <v/>
      </c>
      <c r="K245" s="36">
        <f>IF(OR(I245="",N(I245)=0),"",J245/I245*100)</f>
        <v/>
      </c>
      <c r="L245" s="36">
        <f>IF(OR(J245="",N(J245)=0),"",I245/J245)</f>
        <v/>
      </c>
      <c r="M245" s="1" t="n"/>
      <c r="N245">
        <f>IF(OR(C245="",N(D245)=0),"",D245+ROW()/10000000)</f>
        <v/>
      </c>
      <c r="O245">
        <f>IF(N245="","",COUNTIFS(Fuel!$C$6:$C$605,C245,Fuel!$N$6:$N$605,"&gt;"&amp;N245))</f>
        <v/>
      </c>
      <c r="P245">
        <f>IF(OR(N245="",G245=""),"",COUNTIFS(Fuel!$C$6:$C$605,C245,Fuel!$G$6:$G$605,"&lt;&gt;",Fuel!$N$6:$N$605,"&lt;"&amp;N245))</f>
        <v/>
      </c>
      <c r="R245">
        <f>IF(OR(P245="",N(P245)=0),"",SUMIFS(Fuel!$D$6:$D$605,Fuel!$C$6:$C$605,C245,Fuel!$P$6:$P$605,P245-1))</f>
        <v/>
      </c>
    </row>
    <row r="246">
      <c r="A246" s="1" t="n"/>
      <c r="B246" s="29" t="n"/>
      <c r="C246" s="24" t="n"/>
      <c r="D246" s="28" t="n"/>
      <c r="E246" s="33" t="n"/>
      <c r="F246" s="34" t="n"/>
      <c r="G246" s="27" t="n"/>
      <c r="H246" s="14">
        <f>IF(OR(N(E246)=0,F246=""),"",F246/E246)</f>
        <v/>
      </c>
      <c r="I246" s="11">
        <f>IF(R246="","",D246-R246)</f>
        <v/>
      </c>
      <c r="J246" s="35">
        <f>IF(R246="","",SUMIFS(Fuel!$E$6:$E$605,Fuel!$C$6:$C$605,C246,Fuel!$D$6:$D$605,"&gt;"&amp;R246,Fuel!$D$6:$D$605,"&lt;="&amp;D246))</f>
        <v/>
      </c>
      <c r="K246" s="36">
        <f>IF(OR(I246="",N(I246)=0),"",J246/I246*100)</f>
        <v/>
      </c>
      <c r="L246" s="36">
        <f>IF(OR(J246="",N(J246)=0),"",I246/J246)</f>
        <v/>
      </c>
      <c r="M246" s="1" t="n"/>
      <c r="N246">
        <f>IF(OR(C246="",N(D246)=0),"",D246+ROW()/10000000)</f>
        <v/>
      </c>
      <c r="O246">
        <f>IF(N246="","",COUNTIFS(Fuel!$C$6:$C$605,C246,Fuel!$N$6:$N$605,"&gt;"&amp;N246))</f>
        <v/>
      </c>
      <c r="P246">
        <f>IF(OR(N246="",G246=""),"",COUNTIFS(Fuel!$C$6:$C$605,C246,Fuel!$G$6:$G$605,"&lt;&gt;",Fuel!$N$6:$N$605,"&lt;"&amp;N246))</f>
        <v/>
      </c>
      <c r="R246">
        <f>IF(OR(P246="",N(P246)=0),"",SUMIFS(Fuel!$D$6:$D$605,Fuel!$C$6:$C$605,C246,Fuel!$P$6:$P$605,P246-1))</f>
        <v/>
      </c>
    </row>
    <row r="247">
      <c r="A247" s="1" t="n"/>
      <c r="B247" s="29" t="n"/>
      <c r="C247" s="24" t="n"/>
      <c r="D247" s="28" t="n"/>
      <c r="E247" s="33" t="n"/>
      <c r="F247" s="34" t="n"/>
      <c r="G247" s="27" t="n"/>
      <c r="H247" s="14">
        <f>IF(OR(N(E247)=0,F247=""),"",F247/E247)</f>
        <v/>
      </c>
      <c r="I247" s="11">
        <f>IF(R247="","",D247-R247)</f>
        <v/>
      </c>
      <c r="J247" s="35">
        <f>IF(R247="","",SUMIFS(Fuel!$E$6:$E$605,Fuel!$C$6:$C$605,C247,Fuel!$D$6:$D$605,"&gt;"&amp;R247,Fuel!$D$6:$D$605,"&lt;="&amp;D247))</f>
        <v/>
      </c>
      <c r="K247" s="36">
        <f>IF(OR(I247="",N(I247)=0),"",J247/I247*100)</f>
        <v/>
      </c>
      <c r="L247" s="36">
        <f>IF(OR(J247="",N(J247)=0),"",I247/J247)</f>
        <v/>
      </c>
      <c r="M247" s="1" t="n"/>
      <c r="N247">
        <f>IF(OR(C247="",N(D247)=0),"",D247+ROW()/10000000)</f>
        <v/>
      </c>
      <c r="O247">
        <f>IF(N247="","",COUNTIFS(Fuel!$C$6:$C$605,C247,Fuel!$N$6:$N$605,"&gt;"&amp;N247))</f>
        <v/>
      </c>
      <c r="P247">
        <f>IF(OR(N247="",G247=""),"",COUNTIFS(Fuel!$C$6:$C$605,C247,Fuel!$G$6:$G$605,"&lt;&gt;",Fuel!$N$6:$N$605,"&lt;"&amp;N247))</f>
        <v/>
      </c>
      <c r="R247">
        <f>IF(OR(P247="",N(P247)=0),"",SUMIFS(Fuel!$D$6:$D$605,Fuel!$C$6:$C$605,C247,Fuel!$P$6:$P$605,P247-1))</f>
        <v/>
      </c>
    </row>
    <row r="248">
      <c r="A248" s="1" t="n"/>
      <c r="B248" s="29" t="n"/>
      <c r="C248" s="24" t="n"/>
      <c r="D248" s="28" t="n"/>
      <c r="E248" s="33" t="n"/>
      <c r="F248" s="34" t="n"/>
      <c r="G248" s="27" t="n"/>
      <c r="H248" s="14">
        <f>IF(OR(N(E248)=0,F248=""),"",F248/E248)</f>
        <v/>
      </c>
      <c r="I248" s="11">
        <f>IF(R248="","",D248-R248)</f>
        <v/>
      </c>
      <c r="J248" s="35">
        <f>IF(R248="","",SUMIFS(Fuel!$E$6:$E$605,Fuel!$C$6:$C$605,C248,Fuel!$D$6:$D$605,"&gt;"&amp;R248,Fuel!$D$6:$D$605,"&lt;="&amp;D248))</f>
        <v/>
      </c>
      <c r="K248" s="36">
        <f>IF(OR(I248="",N(I248)=0),"",J248/I248*100)</f>
        <v/>
      </c>
      <c r="L248" s="36">
        <f>IF(OR(J248="",N(J248)=0),"",I248/J248)</f>
        <v/>
      </c>
      <c r="M248" s="1" t="n"/>
      <c r="N248">
        <f>IF(OR(C248="",N(D248)=0),"",D248+ROW()/10000000)</f>
        <v/>
      </c>
      <c r="O248">
        <f>IF(N248="","",COUNTIFS(Fuel!$C$6:$C$605,C248,Fuel!$N$6:$N$605,"&gt;"&amp;N248))</f>
        <v/>
      </c>
      <c r="P248">
        <f>IF(OR(N248="",G248=""),"",COUNTIFS(Fuel!$C$6:$C$605,C248,Fuel!$G$6:$G$605,"&lt;&gt;",Fuel!$N$6:$N$605,"&lt;"&amp;N248))</f>
        <v/>
      </c>
      <c r="R248">
        <f>IF(OR(P248="",N(P248)=0),"",SUMIFS(Fuel!$D$6:$D$605,Fuel!$C$6:$C$605,C248,Fuel!$P$6:$P$605,P248-1))</f>
        <v/>
      </c>
    </row>
    <row r="249">
      <c r="A249" s="1" t="n"/>
      <c r="B249" s="29" t="n"/>
      <c r="C249" s="24" t="n"/>
      <c r="D249" s="28" t="n"/>
      <c r="E249" s="33" t="n"/>
      <c r="F249" s="34" t="n"/>
      <c r="G249" s="27" t="n"/>
      <c r="H249" s="14">
        <f>IF(OR(N(E249)=0,F249=""),"",F249/E249)</f>
        <v/>
      </c>
      <c r="I249" s="11">
        <f>IF(R249="","",D249-R249)</f>
        <v/>
      </c>
      <c r="J249" s="35">
        <f>IF(R249="","",SUMIFS(Fuel!$E$6:$E$605,Fuel!$C$6:$C$605,C249,Fuel!$D$6:$D$605,"&gt;"&amp;R249,Fuel!$D$6:$D$605,"&lt;="&amp;D249))</f>
        <v/>
      </c>
      <c r="K249" s="36">
        <f>IF(OR(I249="",N(I249)=0),"",J249/I249*100)</f>
        <v/>
      </c>
      <c r="L249" s="36">
        <f>IF(OR(J249="",N(J249)=0),"",I249/J249)</f>
        <v/>
      </c>
      <c r="M249" s="1" t="n"/>
      <c r="N249">
        <f>IF(OR(C249="",N(D249)=0),"",D249+ROW()/10000000)</f>
        <v/>
      </c>
      <c r="O249">
        <f>IF(N249="","",COUNTIFS(Fuel!$C$6:$C$605,C249,Fuel!$N$6:$N$605,"&gt;"&amp;N249))</f>
        <v/>
      </c>
      <c r="P249">
        <f>IF(OR(N249="",G249=""),"",COUNTIFS(Fuel!$C$6:$C$605,C249,Fuel!$G$6:$G$605,"&lt;&gt;",Fuel!$N$6:$N$605,"&lt;"&amp;N249))</f>
        <v/>
      </c>
      <c r="R249">
        <f>IF(OR(P249="",N(P249)=0),"",SUMIFS(Fuel!$D$6:$D$605,Fuel!$C$6:$C$605,C249,Fuel!$P$6:$P$605,P249-1))</f>
        <v/>
      </c>
    </row>
    <row r="250">
      <c r="A250" s="1" t="n"/>
      <c r="B250" s="29" t="n"/>
      <c r="C250" s="24" t="n"/>
      <c r="D250" s="28" t="n"/>
      <c r="E250" s="33" t="n"/>
      <c r="F250" s="34" t="n"/>
      <c r="G250" s="27" t="n"/>
      <c r="H250" s="14">
        <f>IF(OR(N(E250)=0,F250=""),"",F250/E250)</f>
        <v/>
      </c>
      <c r="I250" s="11">
        <f>IF(R250="","",D250-R250)</f>
        <v/>
      </c>
      <c r="J250" s="35">
        <f>IF(R250="","",SUMIFS(Fuel!$E$6:$E$605,Fuel!$C$6:$C$605,C250,Fuel!$D$6:$D$605,"&gt;"&amp;R250,Fuel!$D$6:$D$605,"&lt;="&amp;D250))</f>
        <v/>
      </c>
      <c r="K250" s="36">
        <f>IF(OR(I250="",N(I250)=0),"",J250/I250*100)</f>
        <v/>
      </c>
      <c r="L250" s="36">
        <f>IF(OR(J250="",N(J250)=0),"",I250/J250)</f>
        <v/>
      </c>
      <c r="M250" s="1" t="n"/>
      <c r="N250">
        <f>IF(OR(C250="",N(D250)=0),"",D250+ROW()/10000000)</f>
        <v/>
      </c>
      <c r="O250">
        <f>IF(N250="","",COUNTIFS(Fuel!$C$6:$C$605,C250,Fuel!$N$6:$N$605,"&gt;"&amp;N250))</f>
        <v/>
      </c>
      <c r="P250">
        <f>IF(OR(N250="",G250=""),"",COUNTIFS(Fuel!$C$6:$C$605,C250,Fuel!$G$6:$G$605,"&lt;&gt;",Fuel!$N$6:$N$605,"&lt;"&amp;N250))</f>
        <v/>
      </c>
      <c r="R250">
        <f>IF(OR(P250="",N(P250)=0),"",SUMIFS(Fuel!$D$6:$D$605,Fuel!$C$6:$C$605,C250,Fuel!$P$6:$P$605,P250-1))</f>
        <v/>
      </c>
    </row>
    <row r="251">
      <c r="A251" s="1" t="n"/>
      <c r="B251" s="29" t="n"/>
      <c r="C251" s="24" t="n"/>
      <c r="D251" s="28" t="n"/>
      <c r="E251" s="33" t="n"/>
      <c r="F251" s="34" t="n"/>
      <c r="G251" s="27" t="n"/>
      <c r="H251" s="14">
        <f>IF(OR(N(E251)=0,F251=""),"",F251/E251)</f>
        <v/>
      </c>
      <c r="I251" s="11">
        <f>IF(R251="","",D251-R251)</f>
        <v/>
      </c>
      <c r="J251" s="35">
        <f>IF(R251="","",SUMIFS(Fuel!$E$6:$E$605,Fuel!$C$6:$C$605,C251,Fuel!$D$6:$D$605,"&gt;"&amp;R251,Fuel!$D$6:$D$605,"&lt;="&amp;D251))</f>
        <v/>
      </c>
      <c r="K251" s="36">
        <f>IF(OR(I251="",N(I251)=0),"",J251/I251*100)</f>
        <v/>
      </c>
      <c r="L251" s="36">
        <f>IF(OR(J251="",N(J251)=0),"",I251/J251)</f>
        <v/>
      </c>
      <c r="M251" s="1" t="n"/>
      <c r="N251">
        <f>IF(OR(C251="",N(D251)=0),"",D251+ROW()/10000000)</f>
        <v/>
      </c>
      <c r="O251">
        <f>IF(N251="","",COUNTIFS(Fuel!$C$6:$C$605,C251,Fuel!$N$6:$N$605,"&gt;"&amp;N251))</f>
        <v/>
      </c>
      <c r="P251">
        <f>IF(OR(N251="",G251=""),"",COUNTIFS(Fuel!$C$6:$C$605,C251,Fuel!$G$6:$G$605,"&lt;&gt;",Fuel!$N$6:$N$605,"&lt;"&amp;N251))</f>
        <v/>
      </c>
      <c r="R251">
        <f>IF(OR(P251="",N(P251)=0),"",SUMIFS(Fuel!$D$6:$D$605,Fuel!$C$6:$C$605,C251,Fuel!$P$6:$P$605,P251-1))</f>
        <v/>
      </c>
    </row>
    <row r="252">
      <c r="A252" s="1" t="n"/>
      <c r="B252" s="29" t="n"/>
      <c r="C252" s="24" t="n"/>
      <c r="D252" s="28" t="n"/>
      <c r="E252" s="33" t="n"/>
      <c r="F252" s="34" t="n"/>
      <c r="G252" s="27" t="n"/>
      <c r="H252" s="14">
        <f>IF(OR(N(E252)=0,F252=""),"",F252/E252)</f>
        <v/>
      </c>
      <c r="I252" s="11">
        <f>IF(R252="","",D252-R252)</f>
        <v/>
      </c>
      <c r="J252" s="35">
        <f>IF(R252="","",SUMIFS(Fuel!$E$6:$E$605,Fuel!$C$6:$C$605,C252,Fuel!$D$6:$D$605,"&gt;"&amp;R252,Fuel!$D$6:$D$605,"&lt;="&amp;D252))</f>
        <v/>
      </c>
      <c r="K252" s="36">
        <f>IF(OR(I252="",N(I252)=0),"",J252/I252*100)</f>
        <v/>
      </c>
      <c r="L252" s="36">
        <f>IF(OR(J252="",N(J252)=0),"",I252/J252)</f>
        <v/>
      </c>
      <c r="M252" s="1" t="n"/>
      <c r="N252">
        <f>IF(OR(C252="",N(D252)=0),"",D252+ROW()/10000000)</f>
        <v/>
      </c>
      <c r="O252">
        <f>IF(N252="","",COUNTIFS(Fuel!$C$6:$C$605,C252,Fuel!$N$6:$N$605,"&gt;"&amp;N252))</f>
        <v/>
      </c>
      <c r="P252">
        <f>IF(OR(N252="",G252=""),"",COUNTIFS(Fuel!$C$6:$C$605,C252,Fuel!$G$6:$G$605,"&lt;&gt;",Fuel!$N$6:$N$605,"&lt;"&amp;N252))</f>
        <v/>
      </c>
      <c r="R252">
        <f>IF(OR(P252="",N(P252)=0),"",SUMIFS(Fuel!$D$6:$D$605,Fuel!$C$6:$C$605,C252,Fuel!$P$6:$P$605,P252-1))</f>
        <v/>
      </c>
    </row>
    <row r="253">
      <c r="A253" s="1" t="n"/>
      <c r="B253" s="29" t="n"/>
      <c r="C253" s="24" t="n"/>
      <c r="D253" s="28" t="n"/>
      <c r="E253" s="33" t="n"/>
      <c r="F253" s="34" t="n"/>
      <c r="G253" s="27" t="n"/>
      <c r="H253" s="14">
        <f>IF(OR(N(E253)=0,F253=""),"",F253/E253)</f>
        <v/>
      </c>
      <c r="I253" s="11">
        <f>IF(R253="","",D253-R253)</f>
        <v/>
      </c>
      <c r="J253" s="35">
        <f>IF(R253="","",SUMIFS(Fuel!$E$6:$E$605,Fuel!$C$6:$C$605,C253,Fuel!$D$6:$D$605,"&gt;"&amp;R253,Fuel!$D$6:$D$605,"&lt;="&amp;D253))</f>
        <v/>
      </c>
      <c r="K253" s="36">
        <f>IF(OR(I253="",N(I253)=0),"",J253/I253*100)</f>
        <v/>
      </c>
      <c r="L253" s="36">
        <f>IF(OR(J253="",N(J253)=0),"",I253/J253)</f>
        <v/>
      </c>
      <c r="M253" s="1" t="n"/>
      <c r="N253">
        <f>IF(OR(C253="",N(D253)=0),"",D253+ROW()/10000000)</f>
        <v/>
      </c>
      <c r="O253">
        <f>IF(N253="","",COUNTIFS(Fuel!$C$6:$C$605,C253,Fuel!$N$6:$N$605,"&gt;"&amp;N253))</f>
        <v/>
      </c>
      <c r="P253">
        <f>IF(OR(N253="",G253=""),"",COUNTIFS(Fuel!$C$6:$C$605,C253,Fuel!$G$6:$G$605,"&lt;&gt;",Fuel!$N$6:$N$605,"&lt;"&amp;N253))</f>
        <v/>
      </c>
      <c r="R253">
        <f>IF(OR(P253="",N(P253)=0),"",SUMIFS(Fuel!$D$6:$D$605,Fuel!$C$6:$C$605,C253,Fuel!$P$6:$P$605,P253-1))</f>
        <v/>
      </c>
    </row>
    <row r="254">
      <c r="A254" s="1" t="n"/>
      <c r="B254" s="29" t="n"/>
      <c r="C254" s="24" t="n"/>
      <c r="D254" s="28" t="n"/>
      <c r="E254" s="33" t="n"/>
      <c r="F254" s="34" t="n"/>
      <c r="G254" s="27" t="n"/>
      <c r="H254" s="14">
        <f>IF(OR(N(E254)=0,F254=""),"",F254/E254)</f>
        <v/>
      </c>
      <c r="I254" s="11">
        <f>IF(R254="","",D254-R254)</f>
        <v/>
      </c>
      <c r="J254" s="35">
        <f>IF(R254="","",SUMIFS(Fuel!$E$6:$E$605,Fuel!$C$6:$C$605,C254,Fuel!$D$6:$D$605,"&gt;"&amp;R254,Fuel!$D$6:$D$605,"&lt;="&amp;D254))</f>
        <v/>
      </c>
      <c r="K254" s="36">
        <f>IF(OR(I254="",N(I254)=0),"",J254/I254*100)</f>
        <v/>
      </c>
      <c r="L254" s="36">
        <f>IF(OR(J254="",N(J254)=0),"",I254/J254)</f>
        <v/>
      </c>
      <c r="M254" s="1" t="n"/>
      <c r="N254">
        <f>IF(OR(C254="",N(D254)=0),"",D254+ROW()/10000000)</f>
        <v/>
      </c>
      <c r="O254">
        <f>IF(N254="","",COUNTIFS(Fuel!$C$6:$C$605,C254,Fuel!$N$6:$N$605,"&gt;"&amp;N254))</f>
        <v/>
      </c>
      <c r="P254">
        <f>IF(OR(N254="",G254=""),"",COUNTIFS(Fuel!$C$6:$C$605,C254,Fuel!$G$6:$G$605,"&lt;&gt;",Fuel!$N$6:$N$605,"&lt;"&amp;N254))</f>
        <v/>
      </c>
      <c r="R254">
        <f>IF(OR(P254="",N(P254)=0),"",SUMIFS(Fuel!$D$6:$D$605,Fuel!$C$6:$C$605,C254,Fuel!$P$6:$P$605,P254-1))</f>
        <v/>
      </c>
    </row>
    <row r="255">
      <c r="A255" s="1" t="n"/>
      <c r="B255" s="29" t="n"/>
      <c r="C255" s="24" t="n"/>
      <c r="D255" s="28" t="n"/>
      <c r="E255" s="33" t="n"/>
      <c r="F255" s="34" t="n"/>
      <c r="G255" s="27" t="n"/>
      <c r="H255" s="14">
        <f>IF(OR(N(E255)=0,F255=""),"",F255/E255)</f>
        <v/>
      </c>
      <c r="I255" s="11">
        <f>IF(R255="","",D255-R255)</f>
        <v/>
      </c>
      <c r="J255" s="35">
        <f>IF(R255="","",SUMIFS(Fuel!$E$6:$E$605,Fuel!$C$6:$C$605,C255,Fuel!$D$6:$D$605,"&gt;"&amp;R255,Fuel!$D$6:$D$605,"&lt;="&amp;D255))</f>
        <v/>
      </c>
      <c r="K255" s="36">
        <f>IF(OR(I255="",N(I255)=0),"",J255/I255*100)</f>
        <v/>
      </c>
      <c r="L255" s="36">
        <f>IF(OR(J255="",N(J255)=0),"",I255/J255)</f>
        <v/>
      </c>
      <c r="M255" s="1" t="n"/>
      <c r="N255">
        <f>IF(OR(C255="",N(D255)=0),"",D255+ROW()/10000000)</f>
        <v/>
      </c>
      <c r="O255">
        <f>IF(N255="","",COUNTIFS(Fuel!$C$6:$C$605,C255,Fuel!$N$6:$N$605,"&gt;"&amp;N255))</f>
        <v/>
      </c>
      <c r="P255">
        <f>IF(OR(N255="",G255=""),"",COUNTIFS(Fuel!$C$6:$C$605,C255,Fuel!$G$6:$G$605,"&lt;&gt;",Fuel!$N$6:$N$605,"&lt;"&amp;N255))</f>
        <v/>
      </c>
      <c r="R255">
        <f>IF(OR(P255="",N(P255)=0),"",SUMIFS(Fuel!$D$6:$D$605,Fuel!$C$6:$C$605,C255,Fuel!$P$6:$P$605,P255-1))</f>
        <v/>
      </c>
    </row>
    <row r="256">
      <c r="A256" s="1" t="n"/>
      <c r="B256" s="29" t="n"/>
      <c r="C256" s="24" t="n"/>
      <c r="D256" s="28" t="n"/>
      <c r="E256" s="33" t="n"/>
      <c r="F256" s="34" t="n"/>
      <c r="G256" s="27" t="n"/>
      <c r="H256" s="14">
        <f>IF(OR(N(E256)=0,F256=""),"",F256/E256)</f>
        <v/>
      </c>
      <c r="I256" s="11">
        <f>IF(R256="","",D256-R256)</f>
        <v/>
      </c>
      <c r="J256" s="35">
        <f>IF(R256="","",SUMIFS(Fuel!$E$6:$E$605,Fuel!$C$6:$C$605,C256,Fuel!$D$6:$D$605,"&gt;"&amp;R256,Fuel!$D$6:$D$605,"&lt;="&amp;D256))</f>
        <v/>
      </c>
      <c r="K256" s="36">
        <f>IF(OR(I256="",N(I256)=0),"",J256/I256*100)</f>
        <v/>
      </c>
      <c r="L256" s="36">
        <f>IF(OR(J256="",N(J256)=0),"",I256/J256)</f>
        <v/>
      </c>
      <c r="M256" s="1" t="n"/>
      <c r="N256">
        <f>IF(OR(C256="",N(D256)=0),"",D256+ROW()/10000000)</f>
        <v/>
      </c>
      <c r="O256">
        <f>IF(N256="","",COUNTIFS(Fuel!$C$6:$C$605,C256,Fuel!$N$6:$N$605,"&gt;"&amp;N256))</f>
        <v/>
      </c>
      <c r="P256">
        <f>IF(OR(N256="",G256=""),"",COUNTIFS(Fuel!$C$6:$C$605,C256,Fuel!$G$6:$G$605,"&lt;&gt;",Fuel!$N$6:$N$605,"&lt;"&amp;N256))</f>
        <v/>
      </c>
      <c r="R256">
        <f>IF(OR(P256="",N(P256)=0),"",SUMIFS(Fuel!$D$6:$D$605,Fuel!$C$6:$C$605,C256,Fuel!$P$6:$P$605,P256-1))</f>
        <v/>
      </c>
    </row>
    <row r="257">
      <c r="A257" s="1" t="n"/>
      <c r="B257" s="29" t="n"/>
      <c r="C257" s="24" t="n"/>
      <c r="D257" s="28" t="n"/>
      <c r="E257" s="33" t="n"/>
      <c r="F257" s="34" t="n"/>
      <c r="G257" s="27" t="n"/>
      <c r="H257" s="14">
        <f>IF(OR(N(E257)=0,F257=""),"",F257/E257)</f>
        <v/>
      </c>
      <c r="I257" s="11">
        <f>IF(R257="","",D257-R257)</f>
        <v/>
      </c>
      <c r="J257" s="35">
        <f>IF(R257="","",SUMIFS(Fuel!$E$6:$E$605,Fuel!$C$6:$C$605,C257,Fuel!$D$6:$D$605,"&gt;"&amp;R257,Fuel!$D$6:$D$605,"&lt;="&amp;D257))</f>
        <v/>
      </c>
      <c r="K257" s="36">
        <f>IF(OR(I257="",N(I257)=0),"",J257/I257*100)</f>
        <v/>
      </c>
      <c r="L257" s="36">
        <f>IF(OR(J257="",N(J257)=0),"",I257/J257)</f>
        <v/>
      </c>
      <c r="M257" s="1" t="n"/>
      <c r="N257">
        <f>IF(OR(C257="",N(D257)=0),"",D257+ROW()/10000000)</f>
        <v/>
      </c>
      <c r="O257">
        <f>IF(N257="","",COUNTIFS(Fuel!$C$6:$C$605,C257,Fuel!$N$6:$N$605,"&gt;"&amp;N257))</f>
        <v/>
      </c>
      <c r="P257">
        <f>IF(OR(N257="",G257=""),"",COUNTIFS(Fuel!$C$6:$C$605,C257,Fuel!$G$6:$G$605,"&lt;&gt;",Fuel!$N$6:$N$605,"&lt;"&amp;N257))</f>
        <v/>
      </c>
      <c r="R257">
        <f>IF(OR(P257="",N(P257)=0),"",SUMIFS(Fuel!$D$6:$D$605,Fuel!$C$6:$C$605,C257,Fuel!$P$6:$P$605,P257-1))</f>
        <v/>
      </c>
    </row>
    <row r="258">
      <c r="A258" s="1" t="n"/>
      <c r="B258" s="29" t="n"/>
      <c r="C258" s="24" t="n"/>
      <c r="D258" s="28" t="n"/>
      <c r="E258" s="33" t="n"/>
      <c r="F258" s="34" t="n"/>
      <c r="G258" s="27" t="n"/>
      <c r="H258" s="14">
        <f>IF(OR(N(E258)=0,F258=""),"",F258/E258)</f>
        <v/>
      </c>
      <c r="I258" s="11">
        <f>IF(R258="","",D258-R258)</f>
        <v/>
      </c>
      <c r="J258" s="35">
        <f>IF(R258="","",SUMIFS(Fuel!$E$6:$E$605,Fuel!$C$6:$C$605,C258,Fuel!$D$6:$D$605,"&gt;"&amp;R258,Fuel!$D$6:$D$605,"&lt;="&amp;D258))</f>
        <v/>
      </c>
      <c r="K258" s="36">
        <f>IF(OR(I258="",N(I258)=0),"",J258/I258*100)</f>
        <v/>
      </c>
      <c r="L258" s="36">
        <f>IF(OR(J258="",N(J258)=0),"",I258/J258)</f>
        <v/>
      </c>
      <c r="M258" s="1" t="n"/>
      <c r="N258">
        <f>IF(OR(C258="",N(D258)=0),"",D258+ROW()/10000000)</f>
        <v/>
      </c>
      <c r="O258">
        <f>IF(N258="","",COUNTIFS(Fuel!$C$6:$C$605,C258,Fuel!$N$6:$N$605,"&gt;"&amp;N258))</f>
        <v/>
      </c>
      <c r="P258">
        <f>IF(OR(N258="",G258=""),"",COUNTIFS(Fuel!$C$6:$C$605,C258,Fuel!$G$6:$G$605,"&lt;&gt;",Fuel!$N$6:$N$605,"&lt;"&amp;N258))</f>
        <v/>
      </c>
      <c r="R258">
        <f>IF(OR(P258="",N(P258)=0),"",SUMIFS(Fuel!$D$6:$D$605,Fuel!$C$6:$C$605,C258,Fuel!$P$6:$P$605,P258-1))</f>
        <v/>
      </c>
    </row>
    <row r="259">
      <c r="A259" s="1" t="n"/>
      <c r="B259" s="29" t="n"/>
      <c r="C259" s="24" t="n"/>
      <c r="D259" s="28" t="n"/>
      <c r="E259" s="33" t="n"/>
      <c r="F259" s="34" t="n"/>
      <c r="G259" s="27" t="n"/>
      <c r="H259" s="14">
        <f>IF(OR(N(E259)=0,F259=""),"",F259/E259)</f>
        <v/>
      </c>
      <c r="I259" s="11">
        <f>IF(R259="","",D259-R259)</f>
        <v/>
      </c>
      <c r="J259" s="35">
        <f>IF(R259="","",SUMIFS(Fuel!$E$6:$E$605,Fuel!$C$6:$C$605,C259,Fuel!$D$6:$D$605,"&gt;"&amp;R259,Fuel!$D$6:$D$605,"&lt;="&amp;D259))</f>
        <v/>
      </c>
      <c r="K259" s="36">
        <f>IF(OR(I259="",N(I259)=0),"",J259/I259*100)</f>
        <v/>
      </c>
      <c r="L259" s="36">
        <f>IF(OR(J259="",N(J259)=0),"",I259/J259)</f>
        <v/>
      </c>
      <c r="M259" s="1" t="n"/>
      <c r="N259">
        <f>IF(OR(C259="",N(D259)=0),"",D259+ROW()/10000000)</f>
        <v/>
      </c>
      <c r="O259">
        <f>IF(N259="","",COUNTIFS(Fuel!$C$6:$C$605,C259,Fuel!$N$6:$N$605,"&gt;"&amp;N259))</f>
        <v/>
      </c>
      <c r="P259">
        <f>IF(OR(N259="",G259=""),"",COUNTIFS(Fuel!$C$6:$C$605,C259,Fuel!$G$6:$G$605,"&lt;&gt;",Fuel!$N$6:$N$605,"&lt;"&amp;N259))</f>
        <v/>
      </c>
      <c r="R259">
        <f>IF(OR(P259="",N(P259)=0),"",SUMIFS(Fuel!$D$6:$D$605,Fuel!$C$6:$C$605,C259,Fuel!$P$6:$P$605,P259-1))</f>
        <v/>
      </c>
    </row>
    <row r="260">
      <c r="A260" s="1" t="n"/>
      <c r="B260" s="29" t="n"/>
      <c r="C260" s="24" t="n"/>
      <c r="D260" s="28" t="n"/>
      <c r="E260" s="33" t="n"/>
      <c r="F260" s="34" t="n"/>
      <c r="G260" s="27" t="n"/>
      <c r="H260" s="14">
        <f>IF(OR(N(E260)=0,F260=""),"",F260/E260)</f>
        <v/>
      </c>
      <c r="I260" s="11">
        <f>IF(R260="","",D260-R260)</f>
        <v/>
      </c>
      <c r="J260" s="35">
        <f>IF(R260="","",SUMIFS(Fuel!$E$6:$E$605,Fuel!$C$6:$C$605,C260,Fuel!$D$6:$D$605,"&gt;"&amp;R260,Fuel!$D$6:$D$605,"&lt;="&amp;D260))</f>
        <v/>
      </c>
      <c r="K260" s="36">
        <f>IF(OR(I260="",N(I260)=0),"",J260/I260*100)</f>
        <v/>
      </c>
      <c r="L260" s="36">
        <f>IF(OR(J260="",N(J260)=0),"",I260/J260)</f>
        <v/>
      </c>
      <c r="M260" s="1" t="n"/>
      <c r="N260">
        <f>IF(OR(C260="",N(D260)=0),"",D260+ROW()/10000000)</f>
        <v/>
      </c>
      <c r="O260">
        <f>IF(N260="","",COUNTIFS(Fuel!$C$6:$C$605,C260,Fuel!$N$6:$N$605,"&gt;"&amp;N260))</f>
        <v/>
      </c>
      <c r="P260">
        <f>IF(OR(N260="",G260=""),"",COUNTIFS(Fuel!$C$6:$C$605,C260,Fuel!$G$6:$G$605,"&lt;&gt;",Fuel!$N$6:$N$605,"&lt;"&amp;N260))</f>
        <v/>
      </c>
      <c r="R260">
        <f>IF(OR(P260="",N(P260)=0),"",SUMIFS(Fuel!$D$6:$D$605,Fuel!$C$6:$C$605,C260,Fuel!$P$6:$P$605,P260-1))</f>
        <v/>
      </c>
    </row>
    <row r="261">
      <c r="A261" s="1" t="n"/>
      <c r="B261" s="29" t="n"/>
      <c r="C261" s="24" t="n"/>
      <c r="D261" s="28" t="n"/>
      <c r="E261" s="33" t="n"/>
      <c r="F261" s="34" t="n"/>
      <c r="G261" s="27" t="n"/>
      <c r="H261" s="14">
        <f>IF(OR(N(E261)=0,F261=""),"",F261/E261)</f>
        <v/>
      </c>
      <c r="I261" s="11">
        <f>IF(R261="","",D261-R261)</f>
        <v/>
      </c>
      <c r="J261" s="35">
        <f>IF(R261="","",SUMIFS(Fuel!$E$6:$E$605,Fuel!$C$6:$C$605,C261,Fuel!$D$6:$D$605,"&gt;"&amp;R261,Fuel!$D$6:$D$605,"&lt;="&amp;D261))</f>
        <v/>
      </c>
      <c r="K261" s="36">
        <f>IF(OR(I261="",N(I261)=0),"",J261/I261*100)</f>
        <v/>
      </c>
      <c r="L261" s="36">
        <f>IF(OR(J261="",N(J261)=0),"",I261/J261)</f>
        <v/>
      </c>
      <c r="M261" s="1" t="n"/>
      <c r="N261">
        <f>IF(OR(C261="",N(D261)=0),"",D261+ROW()/10000000)</f>
        <v/>
      </c>
      <c r="O261">
        <f>IF(N261="","",COUNTIFS(Fuel!$C$6:$C$605,C261,Fuel!$N$6:$N$605,"&gt;"&amp;N261))</f>
        <v/>
      </c>
      <c r="P261">
        <f>IF(OR(N261="",G261=""),"",COUNTIFS(Fuel!$C$6:$C$605,C261,Fuel!$G$6:$G$605,"&lt;&gt;",Fuel!$N$6:$N$605,"&lt;"&amp;N261))</f>
        <v/>
      </c>
      <c r="R261">
        <f>IF(OR(P261="",N(P261)=0),"",SUMIFS(Fuel!$D$6:$D$605,Fuel!$C$6:$C$605,C261,Fuel!$P$6:$P$605,P261-1))</f>
        <v/>
      </c>
    </row>
    <row r="262">
      <c r="A262" s="1" t="n"/>
      <c r="B262" s="29" t="n"/>
      <c r="C262" s="24" t="n"/>
      <c r="D262" s="28" t="n"/>
      <c r="E262" s="33" t="n"/>
      <c r="F262" s="34" t="n"/>
      <c r="G262" s="27" t="n"/>
      <c r="H262" s="14">
        <f>IF(OR(N(E262)=0,F262=""),"",F262/E262)</f>
        <v/>
      </c>
      <c r="I262" s="11">
        <f>IF(R262="","",D262-R262)</f>
        <v/>
      </c>
      <c r="J262" s="35">
        <f>IF(R262="","",SUMIFS(Fuel!$E$6:$E$605,Fuel!$C$6:$C$605,C262,Fuel!$D$6:$D$605,"&gt;"&amp;R262,Fuel!$D$6:$D$605,"&lt;="&amp;D262))</f>
        <v/>
      </c>
      <c r="K262" s="36">
        <f>IF(OR(I262="",N(I262)=0),"",J262/I262*100)</f>
        <v/>
      </c>
      <c r="L262" s="36">
        <f>IF(OR(J262="",N(J262)=0),"",I262/J262)</f>
        <v/>
      </c>
      <c r="M262" s="1" t="n"/>
      <c r="N262">
        <f>IF(OR(C262="",N(D262)=0),"",D262+ROW()/10000000)</f>
        <v/>
      </c>
      <c r="O262">
        <f>IF(N262="","",COUNTIFS(Fuel!$C$6:$C$605,C262,Fuel!$N$6:$N$605,"&gt;"&amp;N262))</f>
        <v/>
      </c>
      <c r="P262">
        <f>IF(OR(N262="",G262=""),"",COUNTIFS(Fuel!$C$6:$C$605,C262,Fuel!$G$6:$G$605,"&lt;&gt;",Fuel!$N$6:$N$605,"&lt;"&amp;N262))</f>
        <v/>
      </c>
      <c r="R262">
        <f>IF(OR(P262="",N(P262)=0),"",SUMIFS(Fuel!$D$6:$D$605,Fuel!$C$6:$C$605,C262,Fuel!$P$6:$P$605,P262-1))</f>
        <v/>
      </c>
    </row>
    <row r="263">
      <c r="A263" s="1" t="n"/>
      <c r="B263" s="29" t="n"/>
      <c r="C263" s="24" t="n"/>
      <c r="D263" s="28" t="n"/>
      <c r="E263" s="33" t="n"/>
      <c r="F263" s="34" t="n"/>
      <c r="G263" s="27" t="n"/>
      <c r="H263" s="14">
        <f>IF(OR(N(E263)=0,F263=""),"",F263/E263)</f>
        <v/>
      </c>
      <c r="I263" s="11">
        <f>IF(R263="","",D263-R263)</f>
        <v/>
      </c>
      <c r="J263" s="35">
        <f>IF(R263="","",SUMIFS(Fuel!$E$6:$E$605,Fuel!$C$6:$C$605,C263,Fuel!$D$6:$D$605,"&gt;"&amp;R263,Fuel!$D$6:$D$605,"&lt;="&amp;D263))</f>
        <v/>
      </c>
      <c r="K263" s="36">
        <f>IF(OR(I263="",N(I263)=0),"",J263/I263*100)</f>
        <v/>
      </c>
      <c r="L263" s="36">
        <f>IF(OR(J263="",N(J263)=0),"",I263/J263)</f>
        <v/>
      </c>
      <c r="M263" s="1" t="n"/>
      <c r="N263">
        <f>IF(OR(C263="",N(D263)=0),"",D263+ROW()/10000000)</f>
        <v/>
      </c>
      <c r="O263">
        <f>IF(N263="","",COUNTIFS(Fuel!$C$6:$C$605,C263,Fuel!$N$6:$N$605,"&gt;"&amp;N263))</f>
        <v/>
      </c>
      <c r="P263">
        <f>IF(OR(N263="",G263=""),"",COUNTIFS(Fuel!$C$6:$C$605,C263,Fuel!$G$6:$G$605,"&lt;&gt;",Fuel!$N$6:$N$605,"&lt;"&amp;N263))</f>
        <v/>
      </c>
      <c r="R263">
        <f>IF(OR(P263="",N(P263)=0),"",SUMIFS(Fuel!$D$6:$D$605,Fuel!$C$6:$C$605,C263,Fuel!$P$6:$P$605,P263-1))</f>
        <v/>
      </c>
    </row>
    <row r="264">
      <c r="A264" s="1" t="n"/>
      <c r="B264" s="29" t="n"/>
      <c r="C264" s="24" t="n"/>
      <c r="D264" s="28" t="n"/>
      <c r="E264" s="33" t="n"/>
      <c r="F264" s="34" t="n"/>
      <c r="G264" s="27" t="n"/>
      <c r="H264" s="14">
        <f>IF(OR(N(E264)=0,F264=""),"",F264/E264)</f>
        <v/>
      </c>
      <c r="I264" s="11">
        <f>IF(R264="","",D264-R264)</f>
        <v/>
      </c>
      <c r="J264" s="35">
        <f>IF(R264="","",SUMIFS(Fuel!$E$6:$E$605,Fuel!$C$6:$C$605,C264,Fuel!$D$6:$D$605,"&gt;"&amp;R264,Fuel!$D$6:$D$605,"&lt;="&amp;D264))</f>
        <v/>
      </c>
      <c r="K264" s="36">
        <f>IF(OR(I264="",N(I264)=0),"",J264/I264*100)</f>
        <v/>
      </c>
      <c r="L264" s="36">
        <f>IF(OR(J264="",N(J264)=0),"",I264/J264)</f>
        <v/>
      </c>
      <c r="M264" s="1" t="n"/>
      <c r="N264">
        <f>IF(OR(C264="",N(D264)=0),"",D264+ROW()/10000000)</f>
        <v/>
      </c>
      <c r="O264">
        <f>IF(N264="","",COUNTIFS(Fuel!$C$6:$C$605,C264,Fuel!$N$6:$N$605,"&gt;"&amp;N264))</f>
        <v/>
      </c>
      <c r="P264">
        <f>IF(OR(N264="",G264=""),"",COUNTIFS(Fuel!$C$6:$C$605,C264,Fuel!$G$6:$G$605,"&lt;&gt;",Fuel!$N$6:$N$605,"&lt;"&amp;N264))</f>
        <v/>
      </c>
      <c r="R264">
        <f>IF(OR(P264="",N(P264)=0),"",SUMIFS(Fuel!$D$6:$D$605,Fuel!$C$6:$C$605,C264,Fuel!$P$6:$P$605,P264-1))</f>
        <v/>
      </c>
    </row>
    <row r="265">
      <c r="A265" s="1" t="n"/>
      <c r="B265" s="29" t="n"/>
      <c r="C265" s="24" t="n"/>
      <c r="D265" s="28" t="n"/>
      <c r="E265" s="33" t="n"/>
      <c r="F265" s="34" t="n"/>
      <c r="G265" s="27" t="n"/>
      <c r="H265" s="14">
        <f>IF(OR(N(E265)=0,F265=""),"",F265/E265)</f>
        <v/>
      </c>
      <c r="I265" s="11">
        <f>IF(R265="","",D265-R265)</f>
        <v/>
      </c>
      <c r="J265" s="35">
        <f>IF(R265="","",SUMIFS(Fuel!$E$6:$E$605,Fuel!$C$6:$C$605,C265,Fuel!$D$6:$D$605,"&gt;"&amp;R265,Fuel!$D$6:$D$605,"&lt;="&amp;D265))</f>
        <v/>
      </c>
      <c r="K265" s="36">
        <f>IF(OR(I265="",N(I265)=0),"",J265/I265*100)</f>
        <v/>
      </c>
      <c r="L265" s="36">
        <f>IF(OR(J265="",N(J265)=0),"",I265/J265)</f>
        <v/>
      </c>
      <c r="M265" s="1" t="n"/>
      <c r="N265">
        <f>IF(OR(C265="",N(D265)=0),"",D265+ROW()/10000000)</f>
        <v/>
      </c>
      <c r="O265">
        <f>IF(N265="","",COUNTIFS(Fuel!$C$6:$C$605,C265,Fuel!$N$6:$N$605,"&gt;"&amp;N265))</f>
        <v/>
      </c>
      <c r="P265">
        <f>IF(OR(N265="",G265=""),"",COUNTIFS(Fuel!$C$6:$C$605,C265,Fuel!$G$6:$G$605,"&lt;&gt;",Fuel!$N$6:$N$605,"&lt;"&amp;N265))</f>
        <v/>
      </c>
      <c r="R265">
        <f>IF(OR(P265="",N(P265)=0),"",SUMIFS(Fuel!$D$6:$D$605,Fuel!$C$6:$C$605,C265,Fuel!$P$6:$P$605,P265-1))</f>
        <v/>
      </c>
    </row>
    <row r="266">
      <c r="A266" s="1" t="n"/>
      <c r="B266" s="29" t="n"/>
      <c r="C266" s="24" t="n"/>
      <c r="D266" s="28" t="n"/>
      <c r="E266" s="33" t="n"/>
      <c r="F266" s="34" t="n"/>
      <c r="G266" s="27" t="n"/>
      <c r="H266" s="14">
        <f>IF(OR(N(E266)=0,F266=""),"",F266/E266)</f>
        <v/>
      </c>
      <c r="I266" s="11">
        <f>IF(R266="","",D266-R266)</f>
        <v/>
      </c>
      <c r="J266" s="35">
        <f>IF(R266="","",SUMIFS(Fuel!$E$6:$E$605,Fuel!$C$6:$C$605,C266,Fuel!$D$6:$D$605,"&gt;"&amp;R266,Fuel!$D$6:$D$605,"&lt;="&amp;D266))</f>
        <v/>
      </c>
      <c r="K266" s="36">
        <f>IF(OR(I266="",N(I266)=0),"",J266/I266*100)</f>
        <v/>
      </c>
      <c r="L266" s="36">
        <f>IF(OR(J266="",N(J266)=0),"",I266/J266)</f>
        <v/>
      </c>
      <c r="M266" s="1" t="n"/>
      <c r="N266">
        <f>IF(OR(C266="",N(D266)=0),"",D266+ROW()/10000000)</f>
        <v/>
      </c>
      <c r="O266">
        <f>IF(N266="","",COUNTIFS(Fuel!$C$6:$C$605,C266,Fuel!$N$6:$N$605,"&gt;"&amp;N266))</f>
        <v/>
      </c>
      <c r="P266">
        <f>IF(OR(N266="",G266=""),"",COUNTIFS(Fuel!$C$6:$C$605,C266,Fuel!$G$6:$G$605,"&lt;&gt;",Fuel!$N$6:$N$605,"&lt;"&amp;N266))</f>
        <v/>
      </c>
      <c r="R266">
        <f>IF(OR(P266="",N(P266)=0),"",SUMIFS(Fuel!$D$6:$D$605,Fuel!$C$6:$C$605,C266,Fuel!$P$6:$P$605,P266-1))</f>
        <v/>
      </c>
    </row>
    <row r="267">
      <c r="A267" s="1" t="n"/>
      <c r="B267" s="29" t="n"/>
      <c r="C267" s="24" t="n"/>
      <c r="D267" s="28" t="n"/>
      <c r="E267" s="33" t="n"/>
      <c r="F267" s="34" t="n"/>
      <c r="G267" s="27" t="n"/>
      <c r="H267" s="14">
        <f>IF(OR(N(E267)=0,F267=""),"",F267/E267)</f>
        <v/>
      </c>
      <c r="I267" s="11">
        <f>IF(R267="","",D267-R267)</f>
        <v/>
      </c>
      <c r="J267" s="35">
        <f>IF(R267="","",SUMIFS(Fuel!$E$6:$E$605,Fuel!$C$6:$C$605,C267,Fuel!$D$6:$D$605,"&gt;"&amp;R267,Fuel!$D$6:$D$605,"&lt;="&amp;D267))</f>
        <v/>
      </c>
      <c r="K267" s="36">
        <f>IF(OR(I267="",N(I267)=0),"",J267/I267*100)</f>
        <v/>
      </c>
      <c r="L267" s="36">
        <f>IF(OR(J267="",N(J267)=0),"",I267/J267)</f>
        <v/>
      </c>
      <c r="M267" s="1" t="n"/>
      <c r="N267">
        <f>IF(OR(C267="",N(D267)=0),"",D267+ROW()/10000000)</f>
        <v/>
      </c>
      <c r="O267">
        <f>IF(N267="","",COUNTIFS(Fuel!$C$6:$C$605,C267,Fuel!$N$6:$N$605,"&gt;"&amp;N267))</f>
        <v/>
      </c>
      <c r="P267">
        <f>IF(OR(N267="",G267=""),"",COUNTIFS(Fuel!$C$6:$C$605,C267,Fuel!$G$6:$G$605,"&lt;&gt;",Fuel!$N$6:$N$605,"&lt;"&amp;N267))</f>
        <v/>
      </c>
      <c r="R267">
        <f>IF(OR(P267="",N(P267)=0),"",SUMIFS(Fuel!$D$6:$D$605,Fuel!$C$6:$C$605,C267,Fuel!$P$6:$P$605,P267-1))</f>
        <v/>
      </c>
    </row>
    <row r="268">
      <c r="A268" s="1" t="n"/>
      <c r="B268" s="29" t="n"/>
      <c r="C268" s="24" t="n"/>
      <c r="D268" s="28" t="n"/>
      <c r="E268" s="33" t="n"/>
      <c r="F268" s="34" t="n"/>
      <c r="G268" s="27" t="n"/>
      <c r="H268" s="14">
        <f>IF(OR(N(E268)=0,F268=""),"",F268/E268)</f>
        <v/>
      </c>
      <c r="I268" s="11">
        <f>IF(R268="","",D268-R268)</f>
        <v/>
      </c>
      <c r="J268" s="35">
        <f>IF(R268="","",SUMIFS(Fuel!$E$6:$E$605,Fuel!$C$6:$C$605,C268,Fuel!$D$6:$D$605,"&gt;"&amp;R268,Fuel!$D$6:$D$605,"&lt;="&amp;D268))</f>
        <v/>
      </c>
      <c r="K268" s="36">
        <f>IF(OR(I268="",N(I268)=0),"",J268/I268*100)</f>
        <v/>
      </c>
      <c r="L268" s="36">
        <f>IF(OR(J268="",N(J268)=0),"",I268/J268)</f>
        <v/>
      </c>
      <c r="M268" s="1" t="n"/>
      <c r="N268">
        <f>IF(OR(C268="",N(D268)=0),"",D268+ROW()/10000000)</f>
        <v/>
      </c>
      <c r="O268">
        <f>IF(N268="","",COUNTIFS(Fuel!$C$6:$C$605,C268,Fuel!$N$6:$N$605,"&gt;"&amp;N268))</f>
        <v/>
      </c>
      <c r="P268">
        <f>IF(OR(N268="",G268=""),"",COUNTIFS(Fuel!$C$6:$C$605,C268,Fuel!$G$6:$G$605,"&lt;&gt;",Fuel!$N$6:$N$605,"&lt;"&amp;N268))</f>
        <v/>
      </c>
      <c r="R268">
        <f>IF(OR(P268="",N(P268)=0),"",SUMIFS(Fuel!$D$6:$D$605,Fuel!$C$6:$C$605,C268,Fuel!$P$6:$P$605,P268-1))</f>
        <v/>
      </c>
    </row>
    <row r="269">
      <c r="A269" s="1" t="n"/>
      <c r="B269" s="29" t="n"/>
      <c r="C269" s="24" t="n"/>
      <c r="D269" s="28" t="n"/>
      <c r="E269" s="33" t="n"/>
      <c r="F269" s="34" t="n"/>
      <c r="G269" s="27" t="n"/>
      <c r="H269" s="14">
        <f>IF(OR(N(E269)=0,F269=""),"",F269/E269)</f>
        <v/>
      </c>
      <c r="I269" s="11">
        <f>IF(R269="","",D269-R269)</f>
        <v/>
      </c>
      <c r="J269" s="35">
        <f>IF(R269="","",SUMIFS(Fuel!$E$6:$E$605,Fuel!$C$6:$C$605,C269,Fuel!$D$6:$D$605,"&gt;"&amp;R269,Fuel!$D$6:$D$605,"&lt;="&amp;D269))</f>
        <v/>
      </c>
      <c r="K269" s="36">
        <f>IF(OR(I269="",N(I269)=0),"",J269/I269*100)</f>
        <v/>
      </c>
      <c r="L269" s="36">
        <f>IF(OR(J269="",N(J269)=0),"",I269/J269)</f>
        <v/>
      </c>
      <c r="M269" s="1" t="n"/>
      <c r="N269">
        <f>IF(OR(C269="",N(D269)=0),"",D269+ROW()/10000000)</f>
        <v/>
      </c>
      <c r="O269">
        <f>IF(N269="","",COUNTIFS(Fuel!$C$6:$C$605,C269,Fuel!$N$6:$N$605,"&gt;"&amp;N269))</f>
        <v/>
      </c>
      <c r="P269">
        <f>IF(OR(N269="",G269=""),"",COUNTIFS(Fuel!$C$6:$C$605,C269,Fuel!$G$6:$G$605,"&lt;&gt;",Fuel!$N$6:$N$605,"&lt;"&amp;N269))</f>
        <v/>
      </c>
      <c r="R269">
        <f>IF(OR(P269="",N(P269)=0),"",SUMIFS(Fuel!$D$6:$D$605,Fuel!$C$6:$C$605,C269,Fuel!$P$6:$P$605,P269-1))</f>
        <v/>
      </c>
    </row>
    <row r="270">
      <c r="A270" s="1" t="n"/>
      <c r="B270" s="29" t="n"/>
      <c r="C270" s="24" t="n"/>
      <c r="D270" s="28" t="n"/>
      <c r="E270" s="33" t="n"/>
      <c r="F270" s="34" t="n"/>
      <c r="G270" s="27" t="n"/>
      <c r="H270" s="14">
        <f>IF(OR(N(E270)=0,F270=""),"",F270/E270)</f>
        <v/>
      </c>
      <c r="I270" s="11">
        <f>IF(R270="","",D270-R270)</f>
        <v/>
      </c>
      <c r="J270" s="35">
        <f>IF(R270="","",SUMIFS(Fuel!$E$6:$E$605,Fuel!$C$6:$C$605,C270,Fuel!$D$6:$D$605,"&gt;"&amp;R270,Fuel!$D$6:$D$605,"&lt;="&amp;D270))</f>
        <v/>
      </c>
      <c r="K270" s="36">
        <f>IF(OR(I270="",N(I270)=0),"",J270/I270*100)</f>
        <v/>
      </c>
      <c r="L270" s="36">
        <f>IF(OR(J270="",N(J270)=0),"",I270/J270)</f>
        <v/>
      </c>
      <c r="M270" s="1" t="n"/>
      <c r="N270">
        <f>IF(OR(C270="",N(D270)=0),"",D270+ROW()/10000000)</f>
        <v/>
      </c>
      <c r="O270">
        <f>IF(N270="","",COUNTIFS(Fuel!$C$6:$C$605,C270,Fuel!$N$6:$N$605,"&gt;"&amp;N270))</f>
        <v/>
      </c>
      <c r="P270">
        <f>IF(OR(N270="",G270=""),"",COUNTIFS(Fuel!$C$6:$C$605,C270,Fuel!$G$6:$G$605,"&lt;&gt;",Fuel!$N$6:$N$605,"&lt;"&amp;N270))</f>
        <v/>
      </c>
      <c r="R270">
        <f>IF(OR(P270="",N(P270)=0),"",SUMIFS(Fuel!$D$6:$D$605,Fuel!$C$6:$C$605,C270,Fuel!$P$6:$P$605,P270-1))</f>
        <v/>
      </c>
    </row>
    <row r="271">
      <c r="A271" s="1" t="n"/>
      <c r="B271" s="29" t="n"/>
      <c r="C271" s="24" t="n"/>
      <c r="D271" s="28" t="n"/>
      <c r="E271" s="33" t="n"/>
      <c r="F271" s="34" t="n"/>
      <c r="G271" s="27" t="n"/>
      <c r="H271" s="14">
        <f>IF(OR(N(E271)=0,F271=""),"",F271/E271)</f>
        <v/>
      </c>
      <c r="I271" s="11">
        <f>IF(R271="","",D271-R271)</f>
        <v/>
      </c>
      <c r="J271" s="35">
        <f>IF(R271="","",SUMIFS(Fuel!$E$6:$E$605,Fuel!$C$6:$C$605,C271,Fuel!$D$6:$D$605,"&gt;"&amp;R271,Fuel!$D$6:$D$605,"&lt;="&amp;D271))</f>
        <v/>
      </c>
      <c r="K271" s="36">
        <f>IF(OR(I271="",N(I271)=0),"",J271/I271*100)</f>
        <v/>
      </c>
      <c r="L271" s="36">
        <f>IF(OR(J271="",N(J271)=0),"",I271/J271)</f>
        <v/>
      </c>
      <c r="M271" s="1" t="n"/>
      <c r="N271">
        <f>IF(OR(C271="",N(D271)=0),"",D271+ROW()/10000000)</f>
        <v/>
      </c>
      <c r="O271">
        <f>IF(N271="","",COUNTIFS(Fuel!$C$6:$C$605,C271,Fuel!$N$6:$N$605,"&gt;"&amp;N271))</f>
        <v/>
      </c>
      <c r="P271">
        <f>IF(OR(N271="",G271=""),"",COUNTIFS(Fuel!$C$6:$C$605,C271,Fuel!$G$6:$G$605,"&lt;&gt;",Fuel!$N$6:$N$605,"&lt;"&amp;N271))</f>
        <v/>
      </c>
      <c r="R271">
        <f>IF(OR(P271="",N(P271)=0),"",SUMIFS(Fuel!$D$6:$D$605,Fuel!$C$6:$C$605,C271,Fuel!$P$6:$P$605,P271-1))</f>
        <v/>
      </c>
    </row>
    <row r="272">
      <c r="A272" s="1" t="n"/>
      <c r="B272" s="29" t="n"/>
      <c r="C272" s="24" t="n"/>
      <c r="D272" s="28" t="n"/>
      <c r="E272" s="33" t="n"/>
      <c r="F272" s="34" t="n"/>
      <c r="G272" s="27" t="n"/>
      <c r="H272" s="14">
        <f>IF(OR(N(E272)=0,F272=""),"",F272/E272)</f>
        <v/>
      </c>
      <c r="I272" s="11">
        <f>IF(R272="","",D272-R272)</f>
        <v/>
      </c>
      <c r="J272" s="35">
        <f>IF(R272="","",SUMIFS(Fuel!$E$6:$E$605,Fuel!$C$6:$C$605,C272,Fuel!$D$6:$D$605,"&gt;"&amp;R272,Fuel!$D$6:$D$605,"&lt;="&amp;D272))</f>
        <v/>
      </c>
      <c r="K272" s="36">
        <f>IF(OR(I272="",N(I272)=0),"",J272/I272*100)</f>
        <v/>
      </c>
      <c r="L272" s="36">
        <f>IF(OR(J272="",N(J272)=0),"",I272/J272)</f>
        <v/>
      </c>
      <c r="M272" s="1" t="n"/>
      <c r="N272">
        <f>IF(OR(C272="",N(D272)=0),"",D272+ROW()/10000000)</f>
        <v/>
      </c>
      <c r="O272">
        <f>IF(N272="","",COUNTIFS(Fuel!$C$6:$C$605,C272,Fuel!$N$6:$N$605,"&gt;"&amp;N272))</f>
        <v/>
      </c>
      <c r="P272">
        <f>IF(OR(N272="",G272=""),"",COUNTIFS(Fuel!$C$6:$C$605,C272,Fuel!$G$6:$G$605,"&lt;&gt;",Fuel!$N$6:$N$605,"&lt;"&amp;N272))</f>
        <v/>
      </c>
      <c r="R272">
        <f>IF(OR(P272="",N(P272)=0),"",SUMIFS(Fuel!$D$6:$D$605,Fuel!$C$6:$C$605,C272,Fuel!$P$6:$P$605,P272-1))</f>
        <v/>
      </c>
    </row>
    <row r="273">
      <c r="A273" s="1" t="n"/>
      <c r="B273" s="29" t="n"/>
      <c r="C273" s="24" t="n"/>
      <c r="D273" s="28" t="n"/>
      <c r="E273" s="33" t="n"/>
      <c r="F273" s="34" t="n"/>
      <c r="G273" s="27" t="n"/>
      <c r="H273" s="14">
        <f>IF(OR(N(E273)=0,F273=""),"",F273/E273)</f>
        <v/>
      </c>
      <c r="I273" s="11">
        <f>IF(R273="","",D273-R273)</f>
        <v/>
      </c>
      <c r="J273" s="35">
        <f>IF(R273="","",SUMIFS(Fuel!$E$6:$E$605,Fuel!$C$6:$C$605,C273,Fuel!$D$6:$D$605,"&gt;"&amp;R273,Fuel!$D$6:$D$605,"&lt;="&amp;D273))</f>
        <v/>
      </c>
      <c r="K273" s="36">
        <f>IF(OR(I273="",N(I273)=0),"",J273/I273*100)</f>
        <v/>
      </c>
      <c r="L273" s="36">
        <f>IF(OR(J273="",N(J273)=0),"",I273/J273)</f>
        <v/>
      </c>
      <c r="M273" s="1" t="n"/>
      <c r="N273">
        <f>IF(OR(C273="",N(D273)=0),"",D273+ROW()/10000000)</f>
        <v/>
      </c>
      <c r="O273">
        <f>IF(N273="","",COUNTIFS(Fuel!$C$6:$C$605,C273,Fuel!$N$6:$N$605,"&gt;"&amp;N273))</f>
        <v/>
      </c>
      <c r="P273">
        <f>IF(OR(N273="",G273=""),"",COUNTIFS(Fuel!$C$6:$C$605,C273,Fuel!$G$6:$G$605,"&lt;&gt;",Fuel!$N$6:$N$605,"&lt;"&amp;N273))</f>
        <v/>
      </c>
      <c r="R273">
        <f>IF(OR(P273="",N(P273)=0),"",SUMIFS(Fuel!$D$6:$D$605,Fuel!$C$6:$C$605,C273,Fuel!$P$6:$P$605,P273-1))</f>
        <v/>
      </c>
    </row>
    <row r="274">
      <c r="A274" s="1" t="n"/>
      <c r="B274" s="29" t="n"/>
      <c r="C274" s="24" t="n"/>
      <c r="D274" s="28" t="n"/>
      <c r="E274" s="33" t="n"/>
      <c r="F274" s="34" t="n"/>
      <c r="G274" s="27" t="n"/>
      <c r="H274" s="14">
        <f>IF(OR(N(E274)=0,F274=""),"",F274/E274)</f>
        <v/>
      </c>
      <c r="I274" s="11">
        <f>IF(R274="","",D274-R274)</f>
        <v/>
      </c>
      <c r="J274" s="35">
        <f>IF(R274="","",SUMIFS(Fuel!$E$6:$E$605,Fuel!$C$6:$C$605,C274,Fuel!$D$6:$D$605,"&gt;"&amp;R274,Fuel!$D$6:$D$605,"&lt;="&amp;D274))</f>
        <v/>
      </c>
      <c r="K274" s="36">
        <f>IF(OR(I274="",N(I274)=0),"",J274/I274*100)</f>
        <v/>
      </c>
      <c r="L274" s="36">
        <f>IF(OR(J274="",N(J274)=0),"",I274/J274)</f>
        <v/>
      </c>
      <c r="M274" s="1" t="n"/>
      <c r="N274">
        <f>IF(OR(C274="",N(D274)=0),"",D274+ROW()/10000000)</f>
        <v/>
      </c>
      <c r="O274">
        <f>IF(N274="","",COUNTIFS(Fuel!$C$6:$C$605,C274,Fuel!$N$6:$N$605,"&gt;"&amp;N274))</f>
        <v/>
      </c>
      <c r="P274">
        <f>IF(OR(N274="",G274=""),"",COUNTIFS(Fuel!$C$6:$C$605,C274,Fuel!$G$6:$G$605,"&lt;&gt;",Fuel!$N$6:$N$605,"&lt;"&amp;N274))</f>
        <v/>
      </c>
      <c r="R274">
        <f>IF(OR(P274="",N(P274)=0),"",SUMIFS(Fuel!$D$6:$D$605,Fuel!$C$6:$C$605,C274,Fuel!$P$6:$P$605,P274-1))</f>
        <v/>
      </c>
    </row>
    <row r="275">
      <c r="A275" s="1" t="n"/>
      <c r="B275" s="29" t="n"/>
      <c r="C275" s="24" t="n"/>
      <c r="D275" s="28" t="n"/>
      <c r="E275" s="33" t="n"/>
      <c r="F275" s="34" t="n"/>
      <c r="G275" s="27" t="n"/>
      <c r="H275" s="14">
        <f>IF(OR(N(E275)=0,F275=""),"",F275/E275)</f>
        <v/>
      </c>
      <c r="I275" s="11">
        <f>IF(R275="","",D275-R275)</f>
        <v/>
      </c>
      <c r="J275" s="35">
        <f>IF(R275="","",SUMIFS(Fuel!$E$6:$E$605,Fuel!$C$6:$C$605,C275,Fuel!$D$6:$D$605,"&gt;"&amp;R275,Fuel!$D$6:$D$605,"&lt;="&amp;D275))</f>
        <v/>
      </c>
      <c r="K275" s="36">
        <f>IF(OR(I275="",N(I275)=0),"",J275/I275*100)</f>
        <v/>
      </c>
      <c r="L275" s="36">
        <f>IF(OR(J275="",N(J275)=0),"",I275/J275)</f>
        <v/>
      </c>
      <c r="M275" s="1" t="n"/>
      <c r="N275">
        <f>IF(OR(C275="",N(D275)=0),"",D275+ROW()/10000000)</f>
        <v/>
      </c>
      <c r="O275">
        <f>IF(N275="","",COUNTIFS(Fuel!$C$6:$C$605,C275,Fuel!$N$6:$N$605,"&gt;"&amp;N275))</f>
        <v/>
      </c>
      <c r="P275">
        <f>IF(OR(N275="",G275=""),"",COUNTIFS(Fuel!$C$6:$C$605,C275,Fuel!$G$6:$G$605,"&lt;&gt;",Fuel!$N$6:$N$605,"&lt;"&amp;N275))</f>
        <v/>
      </c>
      <c r="R275">
        <f>IF(OR(P275="",N(P275)=0),"",SUMIFS(Fuel!$D$6:$D$605,Fuel!$C$6:$C$605,C275,Fuel!$P$6:$P$605,P275-1))</f>
        <v/>
      </c>
    </row>
    <row r="276">
      <c r="A276" s="1" t="n"/>
      <c r="B276" s="29" t="n"/>
      <c r="C276" s="24" t="n"/>
      <c r="D276" s="28" t="n"/>
      <c r="E276" s="33" t="n"/>
      <c r="F276" s="34" t="n"/>
      <c r="G276" s="27" t="n"/>
      <c r="H276" s="14">
        <f>IF(OR(N(E276)=0,F276=""),"",F276/E276)</f>
        <v/>
      </c>
      <c r="I276" s="11">
        <f>IF(R276="","",D276-R276)</f>
        <v/>
      </c>
      <c r="J276" s="35">
        <f>IF(R276="","",SUMIFS(Fuel!$E$6:$E$605,Fuel!$C$6:$C$605,C276,Fuel!$D$6:$D$605,"&gt;"&amp;R276,Fuel!$D$6:$D$605,"&lt;="&amp;D276))</f>
        <v/>
      </c>
      <c r="K276" s="36">
        <f>IF(OR(I276="",N(I276)=0),"",J276/I276*100)</f>
        <v/>
      </c>
      <c r="L276" s="36">
        <f>IF(OR(J276="",N(J276)=0),"",I276/J276)</f>
        <v/>
      </c>
      <c r="M276" s="1" t="n"/>
      <c r="N276">
        <f>IF(OR(C276="",N(D276)=0),"",D276+ROW()/10000000)</f>
        <v/>
      </c>
      <c r="O276">
        <f>IF(N276="","",COUNTIFS(Fuel!$C$6:$C$605,C276,Fuel!$N$6:$N$605,"&gt;"&amp;N276))</f>
        <v/>
      </c>
      <c r="P276">
        <f>IF(OR(N276="",G276=""),"",COUNTIFS(Fuel!$C$6:$C$605,C276,Fuel!$G$6:$G$605,"&lt;&gt;",Fuel!$N$6:$N$605,"&lt;"&amp;N276))</f>
        <v/>
      </c>
      <c r="R276">
        <f>IF(OR(P276="",N(P276)=0),"",SUMIFS(Fuel!$D$6:$D$605,Fuel!$C$6:$C$605,C276,Fuel!$P$6:$P$605,P276-1))</f>
        <v/>
      </c>
    </row>
    <row r="277">
      <c r="A277" s="1" t="n"/>
      <c r="B277" s="29" t="n"/>
      <c r="C277" s="24" t="n"/>
      <c r="D277" s="28" t="n"/>
      <c r="E277" s="33" t="n"/>
      <c r="F277" s="34" t="n"/>
      <c r="G277" s="27" t="n"/>
      <c r="H277" s="14">
        <f>IF(OR(N(E277)=0,F277=""),"",F277/E277)</f>
        <v/>
      </c>
      <c r="I277" s="11">
        <f>IF(R277="","",D277-R277)</f>
        <v/>
      </c>
      <c r="J277" s="35">
        <f>IF(R277="","",SUMIFS(Fuel!$E$6:$E$605,Fuel!$C$6:$C$605,C277,Fuel!$D$6:$D$605,"&gt;"&amp;R277,Fuel!$D$6:$D$605,"&lt;="&amp;D277))</f>
        <v/>
      </c>
      <c r="K277" s="36">
        <f>IF(OR(I277="",N(I277)=0),"",J277/I277*100)</f>
        <v/>
      </c>
      <c r="L277" s="36">
        <f>IF(OR(J277="",N(J277)=0),"",I277/J277)</f>
        <v/>
      </c>
      <c r="M277" s="1" t="n"/>
      <c r="N277">
        <f>IF(OR(C277="",N(D277)=0),"",D277+ROW()/10000000)</f>
        <v/>
      </c>
      <c r="O277">
        <f>IF(N277="","",COUNTIFS(Fuel!$C$6:$C$605,C277,Fuel!$N$6:$N$605,"&gt;"&amp;N277))</f>
        <v/>
      </c>
      <c r="P277">
        <f>IF(OR(N277="",G277=""),"",COUNTIFS(Fuel!$C$6:$C$605,C277,Fuel!$G$6:$G$605,"&lt;&gt;",Fuel!$N$6:$N$605,"&lt;"&amp;N277))</f>
        <v/>
      </c>
      <c r="R277">
        <f>IF(OR(P277="",N(P277)=0),"",SUMIFS(Fuel!$D$6:$D$605,Fuel!$C$6:$C$605,C277,Fuel!$P$6:$P$605,P277-1))</f>
        <v/>
      </c>
    </row>
    <row r="278">
      <c r="A278" s="1" t="n"/>
      <c r="B278" s="29" t="n"/>
      <c r="C278" s="24" t="n"/>
      <c r="D278" s="28" t="n"/>
      <c r="E278" s="33" t="n"/>
      <c r="F278" s="34" t="n"/>
      <c r="G278" s="27" t="n"/>
      <c r="H278" s="14">
        <f>IF(OR(N(E278)=0,F278=""),"",F278/E278)</f>
        <v/>
      </c>
      <c r="I278" s="11">
        <f>IF(R278="","",D278-R278)</f>
        <v/>
      </c>
      <c r="J278" s="35">
        <f>IF(R278="","",SUMIFS(Fuel!$E$6:$E$605,Fuel!$C$6:$C$605,C278,Fuel!$D$6:$D$605,"&gt;"&amp;R278,Fuel!$D$6:$D$605,"&lt;="&amp;D278))</f>
        <v/>
      </c>
      <c r="K278" s="36">
        <f>IF(OR(I278="",N(I278)=0),"",J278/I278*100)</f>
        <v/>
      </c>
      <c r="L278" s="36">
        <f>IF(OR(J278="",N(J278)=0),"",I278/J278)</f>
        <v/>
      </c>
      <c r="M278" s="1" t="n"/>
      <c r="N278">
        <f>IF(OR(C278="",N(D278)=0),"",D278+ROW()/10000000)</f>
        <v/>
      </c>
      <c r="O278">
        <f>IF(N278="","",COUNTIFS(Fuel!$C$6:$C$605,C278,Fuel!$N$6:$N$605,"&gt;"&amp;N278))</f>
        <v/>
      </c>
      <c r="P278">
        <f>IF(OR(N278="",G278=""),"",COUNTIFS(Fuel!$C$6:$C$605,C278,Fuel!$G$6:$G$605,"&lt;&gt;",Fuel!$N$6:$N$605,"&lt;"&amp;N278))</f>
        <v/>
      </c>
      <c r="R278">
        <f>IF(OR(P278="",N(P278)=0),"",SUMIFS(Fuel!$D$6:$D$605,Fuel!$C$6:$C$605,C278,Fuel!$P$6:$P$605,P278-1))</f>
        <v/>
      </c>
    </row>
    <row r="279">
      <c r="A279" s="1" t="n"/>
      <c r="B279" s="29" t="n"/>
      <c r="C279" s="24" t="n"/>
      <c r="D279" s="28" t="n"/>
      <c r="E279" s="33" t="n"/>
      <c r="F279" s="34" t="n"/>
      <c r="G279" s="27" t="n"/>
      <c r="H279" s="14">
        <f>IF(OR(N(E279)=0,F279=""),"",F279/E279)</f>
        <v/>
      </c>
      <c r="I279" s="11">
        <f>IF(R279="","",D279-R279)</f>
        <v/>
      </c>
      <c r="J279" s="35">
        <f>IF(R279="","",SUMIFS(Fuel!$E$6:$E$605,Fuel!$C$6:$C$605,C279,Fuel!$D$6:$D$605,"&gt;"&amp;R279,Fuel!$D$6:$D$605,"&lt;="&amp;D279))</f>
        <v/>
      </c>
      <c r="K279" s="36">
        <f>IF(OR(I279="",N(I279)=0),"",J279/I279*100)</f>
        <v/>
      </c>
      <c r="L279" s="36">
        <f>IF(OR(J279="",N(J279)=0),"",I279/J279)</f>
        <v/>
      </c>
      <c r="M279" s="1" t="n"/>
      <c r="N279">
        <f>IF(OR(C279="",N(D279)=0),"",D279+ROW()/10000000)</f>
        <v/>
      </c>
      <c r="O279">
        <f>IF(N279="","",COUNTIFS(Fuel!$C$6:$C$605,C279,Fuel!$N$6:$N$605,"&gt;"&amp;N279))</f>
        <v/>
      </c>
      <c r="P279">
        <f>IF(OR(N279="",G279=""),"",COUNTIFS(Fuel!$C$6:$C$605,C279,Fuel!$G$6:$G$605,"&lt;&gt;",Fuel!$N$6:$N$605,"&lt;"&amp;N279))</f>
        <v/>
      </c>
      <c r="R279">
        <f>IF(OR(P279="",N(P279)=0),"",SUMIFS(Fuel!$D$6:$D$605,Fuel!$C$6:$C$605,C279,Fuel!$P$6:$P$605,P279-1))</f>
        <v/>
      </c>
    </row>
    <row r="280">
      <c r="A280" s="1" t="n"/>
      <c r="B280" s="29" t="n"/>
      <c r="C280" s="24" t="n"/>
      <c r="D280" s="28" t="n"/>
      <c r="E280" s="33" t="n"/>
      <c r="F280" s="34" t="n"/>
      <c r="G280" s="27" t="n"/>
      <c r="H280" s="14">
        <f>IF(OR(N(E280)=0,F280=""),"",F280/E280)</f>
        <v/>
      </c>
      <c r="I280" s="11">
        <f>IF(R280="","",D280-R280)</f>
        <v/>
      </c>
      <c r="J280" s="35">
        <f>IF(R280="","",SUMIFS(Fuel!$E$6:$E$605,Fuel!$C$6:$C$605,C280,Fuel!$D$6:$D$605,"&gt;"&amp;R280,Fuel!$D$6:$D$605,"&lt;="&amp;D280))</f>
        <v/>
      </c>
      <c r="K280" s="36">
        <f>IF(OR(I280="",N(I280)=0),"",J280/I280*100)</f>
        <v/>
      </c>
      <c r="L280" s="36">
        <f>IF(OR(J280="",N(J280)=0),"",I280/J280)</f>
        <v/>
      </c>
      <c r="M280" s="1" t="n"/>
      <c r="N280">
        <f>IF(OR(C280="",N(D280)=0),"",D280+ROW()/10000000)</f>
        <v/>
      </c>
      <c r="O280">
        <f>IF(N280="","",COUNTIFS(Fuel!$C$6:$C$605,C280,Fuel!$N$6:$N$605,"&gt;"&amp;N280))</f>
        <v/>
      </c>
      <c r="P280">
        <f>IF(OR(N280="",G280=""),"",COUNTIFS(Fuel!$C$6:$C$605,C280,Fuel!$G$6:$G$605,"&lt;&gt;",Fuel!$N$6:$N$605,"&lt;"&amp;N280))</f>
        <v/>
      </c>
      <c r="R280">
        <f>IF(OR(P280="",N(P280)=0),"",SUMIFS(Fuel!$D$6:$D$605,Fuel!$C$6:$C$605,C280,Fuel!$P$6:$P$605,P280-1))</f>
        <v/>
      </c>
    </row>
    <row r="281">
      <c r="A281" s="1" t="n"/>
      <c r="B281" s="29" t="n"/>
      <c r="C281" s="24" t="n"/>
      <c r="D281" s="28" t="n"/>
      <c r="E281" s="33" t="n"/>
      <c r="F281" s="34" t="n"/>
      <c r="G281" s="27" t="n"/>
      <c r="H281" s="14">
        <f>IF(OR(N(E281)=0,F281=""),"",F281/E281)</f>
        <v/>
      </c>
      <c r="I281" s="11">
        <f>IF(R281="","",D281-R281)</f>
        <v/>
      </c>
      <c r="J281" s="35">
        <f>IF(R281="","",SUMIFS(Fuel!$E$6:$E$605,Fuel!$C$6:$C$605,C281,Fuel!$D$6:$D$605,"&gt;"&amp;R281,Fuel!$D$6:$D$605,"&lt;="&amp;D281))</f>
        <v/>
      </c>
      <c r="K281" s="36">
        <f>IF(OR(I281="",N(I281)=0),"",J281/I281*100)</f>
        <v/>
      </c>
      <c r="L281" s="36">
        <f>IF(OR(J281="",N(J281)=0),"",I281/J281)</f>
        <v/>
      </c>
      <c r="M281" s="1" t="n"/>
      <c r="N281">
        <f>IF(OR(C281="",N(D281)=0),"",D281+ROW()/10000000)</f>
        <v/>
      </c>
      <c r="O281">
        <f>IF(N281="","",COUNTIFS(Fuel!$C$6:$C$605,C281,Fuel!$N$6:$N$605,"&gt;"&amp;N281))</f>
        <v/>
      </c>
      <c r="P281">
        <f>IF(OR(N281="",G281=""),"",COUNTIFS(Fuel!$C$6:$C$605,C281,Fuel!$G$6:$G$605,"&lt;&gt;",Fuel!$N$6:$N$605,"&lt;"&amp;N281))</f>
        <v/>
      </c>
      <c r="R281">
        <f>IF(OR(P281="",N(P281)=0),"",SUMIFS(Fuel!$D$6:$D$605,Fuel!$C$6:$C$605,C281,Fuel!$P$6:$P$605,P281-1))</f>
        <v/>
      </c>
    </row>
    <row r="282">
      <c r="A282" s="1" t="n"/>
      <c r="B282" s="29" t="n"/>
      <c r="C282" s="24" t="n"/>
      <c r="D282" s="28" t="n"/>
      <c r="E282" s="33" t="n"/>
      <c r="F282" s="34" t="n"/>
      <c r="G282" s="27" t="n"/>
      <c r="H282" s="14">
        <f>IF(OR(N(E282)=0,F282=""),"",F282/E282)</f>
        <v/>
      </c>
      <c r="I282" s="11">
        <f>IF(R282="","",D282-R282)</f>
        <v/>
      </c>
      <c r="J282" s="35">
        <f>IF(R282="","",SUMIFS(Fuel!$E$6:$E$605,Fuel!$C$6:$C$605,C282,Fuel!$D$6:$D$605,"&gt;"&amp;R282,Fuel!$D$6:$D$605,"&lt;="&amp;D282))</f>
        <v/>
      </c>
      <c r="K282" s="36">
        <f>IF(OR(I282="",N(I282)=0),"",J282/I282*100)</f>
        <v/>
      </c>
      <c r="L282" s="36">
        <f>IF(OR(J282="",N(J282)=0),"",I282/J282)</f>
        <v/>
      </c>
      <c r="M282" s="1" t="n"/>
      <c r="N282">
        <f>IF(OR(C282="",N(D282)=0),"",D282+ROW()/10000000)</f>
        <v/>
      </c>
      <c r="O282">
        <f>IF(N282="","",COUNTIFS(Fuel!$C$6:$C$605,C282,Fuel!$N$6:$N$605,"&gt;"&amp;N282))</f>
        <v/>
      </c>
      <c r="P282">
        <f>IF(OR(N282="",G282=""),"",COUNTIFS(Fuel!$C$6:$C$605,C282,Fuel!$G$6:$G$605,"&lt;&gt;",Fuel!$N$6:$N$605,"&lt;"&amp;N282))</f>
        <v/>
      </c>
      <c r="R282">
        <f>IF(OR(P282="",N(P282)=0),"",SUMIFS(Fuel!$D$6:$D$605,Fuel!$C$6:$C$605,C282,Fuel!$P$6:$P$605,P282-1))</f>
        <v/>
      </c>
    </row>
    <row r="283">
      <c r="A283" s="1" t="n"/>
      <c r="B283" s="29" t="n"/>
      <c r="C283" s="24" t="n"/>
      <c r="D283" s="28" t="n"/>
      <c r="E283" s="33" t="n"/>
      <c r="F283" s="34" t="n"/>
      <c r="G283" s="27" t="n"/>
      <c r="H283" s="14">
        <f>IF(OR(N(E283)=0,F283=""),"",F283/E283)</f>
        <v/>
      </c>
      <c r="I283" s="11">
        <f>IF(R283="","",D283-R283)</f>
        <v/>
      </c>
      <c r="J283" s="35">
        <f>IF(R283="","",SUMIFS(Fuel!$E$6:$E$605,Fuel!$C$6:$C$605,C283,Fuel!$D$6:$D$605,"&gt;"&amp;R283,Fuel!$D$6:$D$605,"&lt;="&amp;D283))</f>
        <v/>
      </c>
      <c r="K283" s="36">
        <f>IF(OR(I283="",N(I283)=0),"",J283/I283*100)</f>
        <v/>
      </c>
      <c r="L283" s="36">
        <f>IF(OR(J283="",N(J283)=0),"",I283/J283)</f>
        <v/>
      </c>
      <c r="M283" s="1" t="n"/>
      <c r="N283">
        <f>IF(OR(C283="",N(D283)=0),"",D283+ROW()/10000000)</f>
        <v/>
      </c>
      <c r="O283">
        <f>IF(N283="","",COUNTIFS(Fuel!$C$6:$C$605,C283,Fuel!$N$6:$N$605,"&gt;"&amp;N283))</f>
        <v/>
      </c>
      <c r="P283">
        <f>IF(OR(N283="",G283=""),"",COUNTIFS(Fuel!$C$6:$C$605,C283,Fuel!$G$6:$G$605,"&lt;&gt;",Fuel!$N$6:$N$605,"&lt;"&amp;N283))</f>
        <v/>
      </c>
      <c r="R283">
        <f>IF(OR(P283="",N(P283)=0),"",SUMIFS(Fuel!$D$6:$D$605,Fuel!$C$6:$C$605,C283,Fuel!$P$6:$P$605,P283-1))</f>
        <v/>
      </c>
    </row>
    <row r="284">
      <c r="A284" s="1" t="n"/>
      <c r="B284" s="29" t="n"/>
      <c r="C284" s="24" t="n"/>
      <c r="D284" s="28" t="n"/>
      <c r="E284" s="33" t="n"/>
      <c r="F284" s="34" t="n"/>
      <c r="G284" s="27" t="n"/>
      <c r="H284" s="14">
        <f>IF(OR(N(E284)=0,F284=""),"",F284/E284)</f>
        <v/>
      </c>
      <c r="I284" s="11">
        <f>IF(R284="","",D284-R284)</f>
        <v/>
      </c>
      <c r="J284" s="35">
        <f>IF(R284="","",SUMIFS(Fuel!$E$6:$E$605,Fuel!$C$6:$C$605,C284,Fuel!$D$6:$D$605,"&gt;"&amp;R284,Fuel!$D$6:$D$605,"&lt;="&amp;D284))</f>
        <v/>
      </c>
      <c r="K284" s="36">
        <f>IF(OR(I284="",N(I284)=0),"",J284/I284*100)</f>
        <v/>
      </c>
      <c r="L284" s="36">
        <f>IF(OR(J284="",N(J284)=0),"",I284/J284)</f>
        <v/>
      </c>
      <c r="M284" s="1" t="n"/>
      <c r="N284">
        <f>IF(OR(C284="",N(D284)=0),"",D284+ROW()/10000000)</f>
        <v/>
      </c>
      <c r="O284">
        <f>IF(N284="","",COUNTIFS(Fuel!$C$6:$C$605,C284,Fuel!$N$6:$N$605,"&gt;"&amp;N284))</f>
        <v/>
      </c>
      <c r="P284">
        <f>IF(OR(N284="",G284=""),"",COUNTIFS(Fuel!$C$6:$C$605,C284,Fuel!$G$6:$G$605,"&lt;&gt;",Fuel!$N$6:$N$605,"&lt;"&amp;N284))</f>
        <v/>
      </c>
      <c r="R284">
        <f>IF(OR(P284="",N(P284)=0),"",SUMIFS(Fuel!$D$6:$D$605,Fuel!$C$6:$C$605,C284,Fuel!$P$6:$P$605,P284-1))</f>
        <v/>
      </c>
    </row>
    <row r="285">
      <c r="A285" s="1" t="n"/>
      <c r="B285" s="29" t="n"/>
      <c r="C285" s="24" t="n"/>
      <c r="D285" s="28" t="n"/>
      <c r="E285" s="33" t="n"/>
      <c r="F285" s="34" t="n"/>
      <c r="G285" s="27" t="n"/>
      <c r="H285" s="14">
        <f>IF(OR(N(E285)=0,F285=""),"",F285/E285)</f>
        <v/>
      </c>
      <c r="I285" s="11">
        <f>IF(R285="","",D285-R285)</f>
        <v/>
      </c>
      <c r="J285" s="35">
        <f>IF(R285="","",SUMIFS(Fuel!$E$6:$E$605,Fuel!$C$6:$C$605,C285,Fuel!$D$6:$D$605,"&gt;"&amp;R285,Fuel!$D$6:$D$605,"&lt;="&amp;D285))</f>
        <v/>
      </c>
      <c r="K285" s="36">
        <f>IF(OR(I285="",N(I285)=0),"",J285/I285*100)</f>
        <v/>
      </c>
      <c r="L285" s="36">
        <f>IF(OR(J285="",N(J285)=0),"",I285/J285)</f>
        <v/>
      </c>
      <c r="M285" s="1" t="n"/>
      <c r="N285">
        <f>IF(OR(C285="",N(D285)=0),"",D285+ROW()/10000000)</f>
        <v/>
      </c>
      <c r="O285">
        <f>IF(N285="","",COUNTIFS(Fuel!$C$6:$C$605,C285,Fuel!$N$6:$N$605,"&gt;"&amp;N285))</f>
        <v/>
      </c>
      <c r="P285">
        <f>IF(OR(N285="",G285=""),"",COUNTIFS(Fuel!$C$6:$C$605,C285,Fuel!$G$6:$G$605,"&lt;&gt;",Fuel!$N$6:$N$605,"&lt;"&amp;N285))</f>
        <v/>
      </c>
      <c r="R285">
        <f>IF(OR(P285="",N(P285)=0),"",SUMIFS(Fuel!$D$6:$D$605,Fuel!$C$6:$C$605,C285,Fuel!$P$6:$P$605,P285-1))</f>
        <v/>
      </c>
    </row>
    <row r="286">
      <c r="A286" s="1" t="n"/>
      <c r="B286" s="29" t="n"/>
      <c r="C286" s="24" t="n"/>
      <c r="D286" s="28" t="n"/>
      <c r="E286" s="33" t="n"/>
      <c r="F286" s="34" t="n"/>
      <c r="G286" s="27" t="n"/>
      <c r="H286" s="14">
        <f>IF(OR(N(E286)=0,F286=""),"",F286/E286)</f>
        <v/>
      </c>
      <c r="I286" s="11">
        <f>IF(R286="","",D286-R286)</f>
        <v/>
      </c>
      <c r="J286" s="35">
        <f>IF(R286="","",SUMIFS(Fuel!$E$6:$E$605,Fuel!$C$6:$C$605,C286,Fuel!$D$6:$D$605,"&gt;"&amp;R286,Fuel!$D$6:$D$605,"&lt;="&amp;D286))</f>
        <v/>
      </c>
      <c r="K286" s="36">
        <f>IF(OR(I286="",N(I286)=0),"",J286/I286*100)</f>
        <v/>
      </c>
      <c r="L286" s="36">
        <f>IF(OR(J286="",N(J286)=0),"",I286/J286)</f>
        <v/>
      </c>
      <c r="M286" s="1" t="n"/>
      <c r="N286">
        <f>IF(OR(C286="",N(D286)=0),"",D286+ROW()/10000000)</f>
        <v/>
      </c>
      <c r="O286">
        <f>IF(N286="","",COUNTIFS(Fuel!$C$6:$C$605,C286,Fuel!$N$6:$N$605,"&gt;"&amp;N286))</f>
        <v/>
      </c>
      <c r="P286">
        <f>IF(OR(N286="",G286=""),"",COUNTIFS(Fuel!$C$6:$C$605,C286,Fuel!$G$6:$G$605,"&lt;&gt;",Fuel!$N$6:$N$605,"&lt;"&amp;N286))</f>
        <v/>
      </c>
      <c r="R286">
        <f>IF(OR(P286="",N(P286)=0),"",SUMIFS(Fuel!$D$6:$D$605,Fuel!$C$6:$C$605,C286,Fuel!$P$6:$P$605,P286-1))</f>
        <v/>
      </c>
    </row>
    <row r="287">
      <c r="A287" s="1" t="n"/>
      <c r="B287" s="29" t="n"/>
      <c r="C287" s="24" t="n"/>
      <c r="D287" s="28" t="n"/>
      <c r="E287" s="33" t="n"/>
      <c r="F287" s="34" t="n"/>
      <c r="G287" s="27" t="n"/>
      <c r="H287" s="14">
        <f>IF(OR(N(E287)=0,F287=""),"",F287/E287)</f>
        <v/>
      </c>
      <c r="I287" s="11">
        <f>IF(R287="","",D287-R287)</f>
        <v/>
      </c>
      <c r="J287" s="35">
        <f>IF(R287="","",SUMIFS(Fuel!$E$6:$E$605,Fuel!$C$6:$C$605,C287,Fuel!$D$6:$D$605,"&gt;"&amp;R287,Fuel!$D$6:$D$605,"&lt;="&amp;D287))</f>
        <v/>
      </c>
      <c r="K287" s="36">
        <f>IF(OR(I287="",N(I287)=0),"",J287/I287*100)</f>
        <v/>
      </c>
      <c r="L287" s="36">
        <f>IF(OR(J287="",N(J287)=0),"",I287/J287)</f>
        <v/>
      </c>
      <c r="M287" s="1" t="n"/>
      <c r="N287">
        <f>IF(OR(C287="",N(D287)=0),"",D287+ROW()/10000000)</f>
        <v/>
      </c>
      <c r="O287">
        <f>IF(N287="","",COUNTIFS(Fuel!$C$6:$C$605,C287,Fuel!$N$6:$N$605,"&gt;"&amp;N287))</f>
        <v/>
      </c>
      <c r="P287">
        <f>IF(OR(N287="",G287=""),"",COUNTIFS(Fuel!$C$6:$C$605,C287,Fuel!$G$6:$G$605,"&lt;&gt;",Fuel!$N$6:$N$605,"&lt;"&amp;N287))</f>
        <v/>
      </c>
      <c r="R287">
        <f>IF(OR(P287="",N(P287)=0),"",SUMIFS(Fuel!$D$6:$D$605,Fuel!$C$6:$C$605,C287,Fuel!$P$6:$P$605,P287-1))</f>
        <v/>
      </c>
    </row>
    <row r="288">
      <c r="A288" s="1" t="n"/>
      <c r="B288" s="29" t="n"/>
      <c r="C288" s="24" t="n"/>
      <c r="D288" s="28" t="n"/>
      <c r="E288" s="33" t="n"/>
      <c r="F288" s="34" t="n"/>
      <c r="G288" s="27" t="n"/>
      <c r="H288" s="14">
        <f>IF(OR(N(E288)=0,F288=""),"",F288/E288)</f>
        <v/>
      </c>
      <c r="I288" s="11">
        <f>IF(R288="","",D288-R288)</f>
        <v/>
      </c>
      <c r="J288" s="35">
        <f>IF(R288="","",SUMIFS(Fuel!$E$6:$E$605,Fuel!$C$6:$C$605,C288,Fuel!$D$6:$D$605,"&gt;"&amp;R288,Fuel!$D$6:$D$605,"&lt;="&amp;D288))</f>
        <v/>
      </c>
      <c r="K288" s="36">
        <f>IF(OR(I288="",N(I288)=0),"",J288/I288*100)</f>
        <v/>
      </c>
      <c r="L288" s="36">
        <f>IF(OR(J288="",N(J288)=0),"",I288/J288)</f>
        <v/>
      </c>
      <c r="M288" s="1" t="n"/>
      <c r="N288">
        <f>IF(OR(C288="",N(D288)=0),"",D288+ROW()/10000000)</f>
        <v/>
      </c>
      <c r="O288">
        <f>IF(N288="","",COUNTIFS(Fuel!$C$6:$C$605,C288,Fuel!$N$6:$N$605,"&gt;"&amp;N288))</f>
        <v/>
      </c>
      <c r="P288">
        <f>IF(OR(N288="",G288=""),"",COUNTIFS(Fuel!$C$6:$C$605,C288,Fuel!$G$6:$G$605,"&lt;&gt;",Fuel!$N$6:$N$605,"&lt;"&amp;N288))</f>
        <v/>
      </c>
      <c r="R288">
        <f>IF(OR(P288="",N(P288)=0),"",SUMIFS(Fuel!$D$6:$D$605,Fuel!$C$6:$C$605,C288,Fuel!$P$6:$P$605,P288-1))</f>
        <v/>
      </c>
    </row>
    <row r="289">
      <c r="A289" s="1" t="n"/>
      <c r="B289" s="29" t="n"/>
      <c r="C289" s="24" t="n"/>
      <c r="D289" s="28" t="n"/>
      <c r="E289" s="33" t="n"/>
      <c r="F289" s="34" t="n"/>
      <c r="G289" s="27" t="n"/>
      <c r="H289" s="14">
        <f>IF(OR(N(E289)=0,F289=""),"",F289/E289)</f>
        <v/>
      </c>
      <c r="I289" s="11">
        <f>IF(R289="","",D289-R289)</f>
        <v/>
      </c>
      <c r="J289" s="35">
        <f>IF(R289="","",SUMIFS(Fuel!$E$6:$E$605,Fuel!$C$6:$C$605,C289,Fuel!$D$6:$D$605,"&gt;"&amp;R289,Fuel!$D$6:$D$605,"&lt;="&amp;D289))</f>
        <v/>
      </c>
      <c r="K289" s="36">
        <f>IF(OR(I289="",N(I289)=0),"",J289/I289*100)</f>
        <v/>
      </c>
      <c r="L289" s="36">
        <f>IF(OR(J289="",N(J289)=0),"",I289/J289)</f>
        <v/>
      </c>
      <c r="M289" s="1" t="n"/>
      <c r="N289">
        <f>IF(OR(C289="",N(D289)=0),"",D289+ROW()/10000000)</f>
        <v/>
      </c>
      <c r="O289">
        <f>IF(N289="","",COUNTIFS(Fuel!$C$6:$C$605,C289,Fuel!$N$6:$N$605,"&gt;"&amp;N289))</f>
        <v/>
      </c>
      <c r="P289">
        <f>IF(OR(N289="",G289=""),"",COUNTIFS(Fuel!$C$6:$C$605,C289,Fuel!$G$6:$G$605,"&lt;&gt;",Fuel!$N$6:$N$605,"&lt;"&amp;N289))</f>
        <v/>
      </c>
      <c r="R289">
        <f>IF(OR(P289="",N(P289)=0),"",SUMIFS(Fuel!$D$6:$D$605,Fuel!$C$6:$C$605,C289,Fuel!$P$6:$P$605,P289-1))</f>
        <v/>
      </c>
    </row>
    <row r="290">
      <c r="A290" s="1" t="n"/>
      <c r="B290" s="29" t="n"/>
      <c r="C290" s="24" t="n"/>
      <c r="D290" s="28" t="n"/>
      <c r="E290" s="33" t="n"/>
      <c r="F290" s="34" t="n"/>
      <c r="G290" s="27" t="n"/>
      <c r="H290" s="14">
        <f>IF(OR(N(E290)=0,F290=""),"",F290/E290)</f>
        <v/>
      </c>
      <c r="I290" s="11">
        <f>IF(R290="","",D290-R290)</f>
        <v/>
      </c>
      <c r="J290" s="35">
        <f>IF(R290="","",SUMIFS(Fuel!$E$6:$E$605,Fuel!$C$6:$C$605,C290,Fuel!$D$6:$D$605,"&gt;"&amp;R290,Fuel!$D$6:$D$605,"&lt;="&amp;D290))</f>
        <v/>
      </c>
      <c r="K290" s="36">
        <f>IF(OR(I290="",N(I290)=0),"",J290/I290*100)</f>
        <v/>
      </c>
      <c r="L290" s="36">
        <f>IF(OR(J290="",N(J290)=0),"",I290/J290)</f>
        <v/>
      </c>
      <c r="M290" s="1" t="n"/>
      <c r="N290">
        <f>IF(OR(C290="",N(D290)=0),"",D290+ROW()/10000000)</f>
        <v/>
      </c>
      <c r="O290">
        <f>IF(N290="","",COUNTIFS(Fuel!$C$6:$C$605,C290,Fuel!$N$6:$N$605,"&gt;"&amp;N290))</f>
        <v/>
      </c>
      <c r="P290">
        <f>IF(OR(N290="",G290=""),"",COUNTIFS(Fuel!$C$6:$C$605,C290,Fuel!$G$6:$G$605,"&lt;&gt;",Fuel!$N$6:$N$605,"&lt;"&amp;N290))</f>
        <v/>
      </c>
      <c r="R290">
        <f>IF(OR(P290="",N(P290)=0),"",SUMIFS(Fuel!$D$6:$D$605,Fuel!$C$6:$C$605,C290,Fuel!$P$6:$P$605,P290-1))</f>
        <v/>
      </c>
    </row>
    <row r="291">
      <c r="A291" s="1" t="n"/>
      <c r="B291" s="29" t="n"/>
      <c r="C291" s="24" t="n"/>
      <c r="D291" s="28" t="n"/>
      <c r="E291" s="33" t="n"/>
      <c r="F291" s="34" t="n"/>
      <c r="G291" s="27" t="n"/>
      <c r="H291" s="14">
        <f>IF(OR(N(E291)=0,F291=""),"",F291/E291)</f>
        <v/>
      </c>
      <c r="I291" s="11">
        <f>IF(R291="","",D291-R291)</f>
        <v/>
      </c>
      <c r="J291" s="35">
        <f>IF(R291="","",SUMIFS(Fuel!$E$6:$E$605,Fuel!$C$6:$C$605,C291,Fuel!$D$6:$D$605,"&gt;"&amp;R291,Fuel!$D$6:$D$605,"&lt;="&amp;D291))</f>
        <v/>
      </c>
      <c r="K291" s="36">
        <f>IF(OR(I291="",N(I291)=0),"",J291/I291*100)</f>
        <v/>
      </c>
      <c r="L291" s="36">
        <f>IF(OR(J291="",N(J291)=0),"",I291/J291)</f>
        <v/>
      </c>
      <c r="M291" s="1" t="n"/>
      <c r="N291">
        <f>IF(OR(C291="",N(D291)=0),"",D291+ROW()/10000000)</f>
        <v/>
      </c>
      <c r="O291">
        <f>IF(N291="","",COUNTIFS(Fuel!$C$6:$C$605,C291,Fuel!$N$6:$N$605,"&gt;"&amp;N291))</f>
        <v/>
      </c>
      <c r="P291">
        <f>IF(OR(N291="",G291=""),"",COUNTIFS(Fuel!$C$6:$C$605,C291,Fuel!$G$6:$G$605,"&lt;&gt;",Fuel!$N$6:$N$605,"&lt;"&amp;N291))</f>
        <v/>
      </c>
      <c r="R291">
        <f>IF(OR(P291="",N(P291)=0),"",SUMIFS(Fuel!$D$6:$D$605,Fuel!$C$6:$C$605,C291,Fuel!$P$6:$P$605,P291-1))</f>
        <v/>
      </c>
    </row>
    <row r="292">
      <c r="A292" s="1" t="n"/>
      <c r="B292" s="29" t="n"/>
      <c r="C292" s="24" t="n"/>
      <c r="D292" s="28" t="n"/>
      <c r="E292" s="33" t="n"/>
      <c r="F292" s="34" t="n"/>
      <c r="G292" s="27" t="n"/>
      <c r="H292" s="14">
        <f>IF(OR(N(E292)=0,F292=""),"",F292/E292)</f>
        <v/>
      </c>
      <c r="I292" s="11">
        <f>IF(R292="","",D292-R292)</f>
        <v/>
      </c>
      <c r="J292" s="35">
        <f>IF(R292="","",SUMIFS(Fuel!$E$6:$E$605,Fuel!$C$6:$C$605,C292,Fuel!$D$6:$D$605,"&gt;"&amp;R292,Fuel!$D$6:$D$605,"&lt;="&amp;D292))</f>
        <v/>
      </c>
      <c r="K292" s="36">
        <f>IF(OR(I292="",N(I292)=0),"",J292/I292*100)</f>
        <v/>
      </c>
      <c r="L292" s="36">
        <f>IF(OR(J292="",N(J292)=0),"",I292/J292)</f>
        <v/>
      </c>
      <c r="M292" s="1" t="n"/>
      <c r="N292">
        <f>IF(OR(C292="",N(D292)=0),"",D292+ROW()/10000000)</f>
        <v/>
      </c>
      <c r="O292">
        <f>IF(N292="","",COUNTIFS(Fuel!$C$6:$C$605,C292,Fuel!$N$6:$N$605,"&gt;"&amp;N292))</f>
        <v/>
      </c>
      <c r="P292">
        <f>IF(OR(N292="",G292=""),"",COUNTIFS(Fuel!$C$6:$C$605,C292,Fuel!$G$6:$G$605,"&lt;&gt;",Fuel!$N$6:$N$605,"&lt;"&amp;N292))</f>
        <v/>
      </c>
      <c r="R292">
        <f>IF(OR(P292="",N(P292)=0),"",SUMIFS(Fuel!$D$6:$D$605,Fuel!$C$6:$C$605,C292,Fuel!$P$6:$P$605,P292-1))</f>
        <v/>
      </c>
    </row>
    <row r="293">
      <c r="A293" s="1" t="n"/>
      <c r="B293" s="29" t="n"/>
      <c r="C293" s="24" t="n"/>
      <c r="D293" s="28" t="n"/>
      <c r="E293" s="33" t="n"/>
      <c r="F293" s="34" t="n"/>
      <c r="G293" s="27" t="n"/>
      <c r="H293" s="14">
        <f>IF(OR(N(E293)=0,F293=""),"",F293/E293)</f>
        <v/>
      </c>
      <c r="I293" s="11">
        <f>IF(R293="","",D293-R293)</f>
        <v/>
      </c>
      <c r="J293" s="35">
        <f>IF(R293="","",SUMIFS(Fuel!$E$6:$E$605,Fuel!$C$6:$C$605,C293,Fuel!$D$6:$D$605,"&gt;"&amp;R293,Fuel!$D$6:$D$605,"&lt;="&amp;D293))</f>
        <v/>
      </c>
      <c r="K293" s="36">
        <f>IF(OR(I293="",N(I293)=0),"",J293/I293*100)</f>
        <v/>
      </c>
      <c r="L293" s="36">
        <f>IF(OR(J293="",N(J293)=0),"",I293/J293)</f>
        <v/>
      </c>
      <c r="M293" s="1" t="n"/>
      <c r="N293">
        <f>IF(OR(C293="",N(D293)=0),"",D293+ROW()/10000000)</f>
        <v/>
      </c>
      <c r="O293">
        <f>IF(N293="","",COUNTIFS(Fuel!$C$6:$C$605,C293,Fuel!$N$6:$N$605,"&gt;"&amp;N293))</f>
        <v/>
      </c>
      <c r="P293">
        <f>IF(OR(N293="",G293=""),"",COUNTIFS(Fuel!$C$6:$C$605,C293,Fuel!$G$6:$G$605,"&lt;&gt;",Fuel!$N$6:$N$605,"&lt;"&amp;N293))</f>
        <v/>
      </c>
      <c r="R293">
        <f>IF(OR(P293="",N(P293)=0),"",SUMIFS(Fuel!$D$6:$D$605,Fuel!$C$6:$C$605,C293,Fuel!$P$6:$P$605,P293-1))</f>
        <v/>
      </c>
    </row>
    <row r="294">
      <c r="A294" s="1" t="n"/>
      <c r="B294" s="29" t="n"/>
      <c r="C294" s="24" t="n"/>
      <c r="D294" s="28" t="n"/>
      <c r="E294" s="33" t="n"/>
      <c r="F294" s="34" t="n"/>
      <c r="G294" s="27" t="n"/>
      <c r="H294" s="14">
        <f>IF(OR(N(E294)=0,F294=""),"",F294/E294)</f>
        <v/>
      </c>
      <c r="I294" s="11">
        <f>IF(R294="","",D294-R294)</f>
        <v/>
      </c>
      <c r="J294" s="35">
        <f>IF(R294="","",SUMIFS(Fuel!$E$6:$E$605,Fuel!$C$6:$C$605,C294,Fuel!$D$6:$D$605,"&gt;"&amp;R294,Fuel!$D$6:$D$605,"&lt;="&amp;D294))</f>
        <v/>
      </c>
      <c r="K294" s="36">
        <f>IF(OR(I294="",N(I294)=0),"",J294/I294*100)</f>
        <v/>
      </c>
      <c r="L294" s="36">
        <f>IF(OR(J294="",N(J294)=0),"",I294/J294)</f>
        <v/>
      </c>
      <c r="M294" s="1" t="n"/>
      <c r="N294">
        <f>IF(OR(C294="",N(D294)=0),"",D294+ROW()/10000000)</f>
        <v/>
      </c>
      <c r="O294">
        <f>IF(N294="","",COUNTIFS(Fuel!$C$6:$C$605,C294,Fuel!$N$6:$N$605,"&gt;"&amp;N294))</f>
        <v/>
      </c>
      <c r="P294">
        <f>IF(OR(N294="",G294=""),"",COUNTIFS(Fuel!$C$6:$C$605,C294,Fuel!$G$6:$G$605,"&lt;&gt;",Fuel!$N$6:$N$605,"&lt;"&amp;N294))</f>
        <v/>
      </c>
      <c r="R294">
        <f>IF(OR(P294="",N(P294)=0),"",SUMIFS(Fuel!$D$6:$D$605,Fuel!$C$6:$C$605,C294,Fuel!$P$6:$P$605,P294-1))</f>
        <v/>
      </c>
    </row>
    <row r="295">
      <c r="A295" s="1" t="n"/>
      <c r="B295" s="29" t="n"/>
      <c r="C295" s="24" t="n"/>
      <c r="D295" s="28" t="n"/>
      <c r="E295" s="33" t="n"/>
      <c r="F295" s="34" t="n"/>
      <c r="G295" s="27" t="n"/>
      <c r="H295" s="14">
        <f>IF(OR(N(E295)=0,F295=""),"",F295/E295)</f>
        <v/>
      </c>
      <c r="I295" s="11">
        <f>IF(R295="","",D295-R295)</f>
        <v/>
      </c>
      <c r="J295" s="35">
        <f>IF(R295="","",SUMIFS(Fuel!$E$6:$E$605,Fuel!$C$6:$C$605,C295,Fuel!$D$6:$D$605,"&gt;"&amp;R295,Fuel!$D$6:$D$605,"&lt;="&amp;D295))</f>
        <v/>
      </c>
      <c r="K295" s="36">
        <f>IF(OR(I295="",N(I295)=0),"",J295/I295*100)</f>
        <v/>
      </c>
      <c r="L295" s="36">
        <f>IF(OR(J295="",N(J295)=0),"",I295/J295)</f>
        <v/>
      </c>
      <c r="M295" s="1" t="n"/>
      <c r="N295">
        <f>IF(OR(C295="",N(D295)=0),"",D295+ROW()/10000000)</f>
        <v/>
      </c>
      <c r="O295">
        <f>IF(N295="","",COUNTIFS(Fuel!$C$6:$C$605,C295,Fuel!$N$6:$N$605,"&gt;"&amp;N295))</f>
        <v/>
      </c>
      <c r="P295">
        <f>IF(OR(N295="",G295=""),"",COUNTIFS(Fuel!$C$6:$C$605,C295,Fuel!$G$6:$G$605,"&lt;&gt;",Fuel!$N$6:$N$605,"&lt;"&amp;N295))</f>
        <v/>
      </c>
      <c r="R295">
        <f>IF(OR(P295="",N(P295)=0),"",SUMIFS(Fuel!$D$6:$D$605,Fuel!$C$6:$C$605,C295,Fuel!$P$6:$P$605,P295-1))</f>
        <v/>
      </c>
    </row>
    <row r="296">
      <c r="A296" s="1" t="n"/>
      <c r="B296" s="29" t="n"/>
      <c r="C296" s="24" t="n"/>
      <c r="D296" s="28" t="n"/>
      <c r="E296" s="33" t="n"/>
      <c r="F296" s="34" t="n"/>
      <c r="G296" s="27" t="n"/>
      <c r="H296" s="14">
        <f>IF(OR(N(E296)=0,F296=""),"",F296/E296)</f>
        <v/>
      </c>
      <c r="I296" s="11">
        <f>IF(R296="","",D296-R296)</f>
        <v/>
      </c>
      <c r="J296" s="35">
        <f>IF(R296="","",SUMIFS(Fuel!$E$6:$E$605,Fuel!$C$6:$C$605,C296,Fuel!$D$6:$D$605,"&gt;"&amp;R296,Fuel!$D$6:$D$605,"&lt;="&amp;D296))</f>
        <v/>
      </c>
      <c r="K296" s="36">
        <f>IF(OR(I296="",N(I296)=0),"",J296/I296*100)</f>
        <v/>
      </c>
      <c r="L296" s="36">
        <f>IF(OR(J296="",N(J296)=0),"",I296/J296)</f>
        <v/>
      </c>
      <c r="M296" s="1" t="n"/>
      <c r="N296">
        <f>IF(OR(C296="",N(D296)=0),"",D296+ROW()/10000000)</f>
        <v/>
      </c>
      <c r="O296">
        <f>IF(N296="","",COUNTIFS(Fuel!$C$6:$C$605,C296,Fuel!$N$6:$N$605,"&gt;"&amp;N296))</f>
        <v/>
      </c>
      <c r="P296">
        <f>IF(OR(N296="",G296=""),"",COUNTIFS(Fuel!$C$6:$C$605,C296,Fuel!$G$6:$G$605,"&lt;&gt;",Fuel!$N$6:$N$605,"&lt;"&amp;N296))</f>
        <v/>
      </c>
      <c r="R296">
        <f>IF(OR(P296="",N(P296)=0),"",SUMIFS(Fuel!$D$6:$D$605,Fuel!$C$6:$C$605,C296,Fuel!$P$6:$P$605,P296-1))</f>
        <v/>
      </c>
    </row>
    <row r="297">
      <c r="A297" s="1" t="n"/>
      <c r="B297" s="29" t="n"/>
      <c r="C297" s="24" t="n"/>
      <c r="D297" s="28" t="n"/>
      <c r="E297" s="33" t="n"/>
      <c r="F297" s="34" t="n"/>
      <c r="G297" s="27" t="n"/>
      <c r="H297" s="14">
        <f>IF(OR(N(E297)=0,F297=""),"",F297/E297)</f>
        <v/>
      </c>
      <c r="I297" s="11">
        <f>IF(R297="","",D297-R297)</f>
        <v/>
      </c>
      <c r="J297" s="35">
        <f>IF(R297="","",SUMIFS(Fuel!$E$6:$E$605,Fuel!$C$6:$C$605,C297,Fuel!$D$6:$D$605,"&gt;"&amp;R297,Fuel!$D$6:$D$605,"&lt;="&amp;D297))</f>
        <v/>
      </c>
      <c r="K297" s="36">
        <f>IF(OR(I297="",N(I297)=0),"",J297/I297*100)</f>
        <v/>
      </c>
      <c r="L297" s="36">
        <f>IF(OR(J297="",N(J297)=0),"",I297/J297)</f>
        <v/>
      </c>
      <c r="M297" s="1" t="n"/>
      <c r="N297">
        <f>IF(OR(C297="",N(D297)=0),"",D297+ROW()/10000000)</f>
        <v/>
      </c>
      <c r="O297">
        <f>IF(N297="","",COUNTIFS(Fuel!$C$6:$C$605,C297,Fuel!$N$6:$N$605,"&gt;"&amp;N297))</f>
        <v/>
      </c>
      <c r="P297">
        <f>IF(OR(N297="",G297=""),"",COUNTIFS(Fuel!$C$6:$C$605,C297,Fuel!$G$6:$G$605,"&lt;&gt;",Fuel!$N$6:$N$605,"&lt;"&amp;N297))</f>
        <v/>
      </c>
      <c r="R297">
        <f>IF(OR(P297="",N(P297)=0),"",SUMIFS(Fuel!$D$6:$D$605,Fuel!$C$6:$C$605,C297,Fuel!$P$6:$P$605,P297-1))</f>
        <v/>
      </c>
    </row>
    <row r="298">
      <c r="A298" s="1" t="n"/>
      <c r="B298" s="29" t="n"/>
      <c r="C298" s="24" t="n"/>
      <c r="D298" s="28" t="n"/>
      <c r="E298" s="33" t="n"/>
      <c r="F298" s="34" t="n"/>
      <c r="G298" s="27" t="n"/>
      <c r="H298" s="14">
        <f>IF(OR(N(E298)=0,F298=""),"",F298/E298)</f>
        <v/>
      </c>
      <c r="I298" s="11">
        <f>IF(R298="","",D298-R298)</f>
        <v/>
      </c>
      <c r="J298" s="35">
        <f>IF(R298="","",SUMIFS(Fuel!$E$6:$E$605,Fuel!$C$6:$C$605,C298,Fuel!$D$6:$D$605,"&gt;"&amp;R298,Fuel!$D$6:$D$605,"&lt;="&amp;D298))</f>
        <v/>
      </c>
      <c r="K298" s="36">
        <f>IF(OR(I298="",N(I298)=0),"",J298/I298*100)</f>
        <v/>
      </c>
      <c r="L298" s="36">
        <f>IF(OR(J298="",N(J298)=0),"",I298/J298)</f>
        <v/>
      </c>
      <c r="M298" s="1" t="n"/>
      <c r="N298">
        <f>IF(OR(C298="",N(D298)=0),"",D298+ROW()/10000000)</f>
        <v/>
      </c>
      <c r="O298">
        <f>IF(N298="","",COUNTIFS(Fuel!$C$6:$C$605,C298,Fuel!$N$6:$N$605,"&gt;"&amp;N298))</f>
        <v/>
      </c>
      <c r="P298">
        <f>IF(OR(N298="",G298=""),"",COUNTIFS(Fuel!$C$6:$C$605,C298,Fuel!$G$6:$G$605,"&lt;&gt;",Fuel!$N$6:$N$605,"&lt;"&amp;N298))</f>
        <v/>
      </c>
      <c r="R298">
        <f>IF(OR(P298="",N(P298)=0),"",SUMIFS(Fuel!$D$6:$D$605,Fuel!$C$6:$C$605,C298,Fuel!$P$6:$P$605,P298-1))</f>
        <v/>
      </c>
    </row>
    <row r="299">
      <c r="A299" s="1" t="n"/>
      <c r="B299" s="29" t="n"/>
      <c r="C299" s="24" t="n"/>
      <c r="D299" s="28" t="n"/>
      <c r="E299" s="33" t="n"/>
      <c r="F299" s="34" t="n"/>
      <c r="G299" s="27" t="n"/>
      <c r="H299" s="14">
        <f>IF(OR(N(E299)=0,F299=""),"",F299/E299)</f>
        <v/>
      </c>
      <c r="I299" s="11">
        <f>IF(R299="","",D299-R299)</f>
        <v/>
      </c>
      <c r="J299" s="35">
        <f>IF(R299="","",SUMIFS(Fuel!$E$6:$E$605,Fuel!$C$6:$C$605,C299,Fuel!$D$6:$D$605,"&gt;"&amp;R299,Fuel!$D$6:$D$605,"&lt;="&amp;D299))</f>
        <v/>
      </c>
      <c r="K299" s="36">
        <f>IF(OR(I299="",N(I299)=0),"",J299/I299*100)</f>
        <v/>
      </c>
      <c r="L299" s="36">
        <f>IF(OR(J299="",N(J299)=0),"",I299/J299)</f>
        <v/>
      </c>
      <c r="M299" s="1" t="n"/>
      <c r="N299">
        <f>IF(OR(C299="",N(D299)=0),"",D299+ROW()/10000000)</f>
        <v/>
      </c>
      <c r="O299">
        <f>IF(N299="","",COUNTIFS(Fuel!$C$6:$C$605,C299,Fuel!$N$6:$N$605,"&gt;"&amp;N299))</f>
        <v/>
      </c>
      <c r="P299">
        <f>IF(OR(N299="",G299=""),"",COUNTIFS(Fuel!$C$6:$C$605,C299,Fuel!$G$6:$G$605,"&lt;&gt;",Fuel!$N$6:$N$605,"&lt;"&amp;N299))</f>
        <v/>
      </c>
      <c r="R299">
        <f>IF(OR(P299="",N(P299)=0),"",SUMIFS(Fuel!$D$6:$D$605,Fuel!$C$6:$C$605,C299,Fuel!$P$6:$P$605,P299-1))</f>
        <v/>
      </c>
    </row>
    <row r="300">
      <c r="A300" s="1" t="n"/>
      <c r="B300" s="29" t="n"/>
      <c r="C300" s="24" t="n"/>
      <c r="D300" s="28" t="n"/>
      <c r="E300" s="33" t="n"/>
      <c r="F300" s="34" t="n"/>
      <c r="G300" s="27" t="n"/>
      <c r="H300" s="14">
        <f>IF(OR(N(E300)=0,F300=""),"",F300/E300)</f>
        <v/>
      </c>
      <c r="I300" s="11">
        <f>IF(R300="","",D300-R300)</f>
        <v/>
      </c>
      <c r="J300" s="35">
        <f>IF(R300="","",SUMIFS(Fuel!$E$6:$E$605,Fuel!$C$6:$C$605,C300,Fuel!$D$6:$D$605,"&gt;"&amp;R300,Fuel!$D$6:$D$605,"&lt;="&amp;D300))</f>
        <v/>
      </c>
      <c r="K300" s="36">
        <f>IF(OR(I300="",N(I300)=0),"",J300/I300*100)</f>
        <v/>
      </c>
      <c r="L300" s="36">
        <f>IF(OR(J300="",N(J300)=0),"",I300/J300)</f>
        <v/>
      </c>
      <c r="M300" s="1" t="n"/>
      <c r="N300">
        <f>IF(OR(C300="",N(D300)=0),"",D300+ROW()/10000000)</f>
        <v/>
      </c>
      <c r="O300">
        <f>IF(N300="","",COUNTIFS(Fuel!$C$6:$C$605,C300,Fuel!$N$6:$N$605,"&gt;"&amp;N300))</f>
        <v/>
      </c>
      <c r="P300">
        <f>IF(OR(N300="",G300=""),"",COUNTIFS(Fuel!$C$6:$C$605,C300,Fuel!$G$6:$G$605,"&lt;&gt;",Fuel!$N$6:$N$605,"&lt;"&amp;N300))</f>
        <v/>
      </c>
      <c r="R300">
        <f>IF(OR(P300="",N(P300)=0),"",SUMIFS(Fuel!$D$6:$D$605,Fuel!$C$6:$C$605,C300,Fuel!$P$6:$P$605,P300-1))</f>
        <v/>
      </c>
    </row>
    <row r="301">
      <c r="A301" s="1" t="n"/>
      <c r="B301" s="29" t="n"/>
      <c r="C301" s="24" t="n"/>
      <c r="D301" s="28" t="n"/>
      <c r="E301" s="33" t="n"/>
      <c r="F301" s="34" t="n"/>
      <c r="G301" s="27" t="n"/>
      <c r="H301" s="14">
        <f>IF(OR(N(E301)=0,F301=""),"",F301/E301)</f>
        <v/>
      </c>
      <c r="I301" s="11">
        <f>IF(R301="","",D301-R301)</f>
        <v/>
      </c>
      <c r="J301" s="35">
        <f>IF(R301="","",SUMIFS(Fuel!$E$6:$E$605,Fuel!$C$6:$C$605,C301,Fuel!$D$6:$D$605,"&gt;"&amp;R301,Fuel!$D$6:$D$605,"&lt;="&amp;D301))</f>
        <v/>
      </c>
      <c r="K301" s="36">
        <f>IF(OR(I301="",N(I301)=0),"",J301/I301*100)</f>
        <v/>
      </c>
      <c r="L301" s="36">
        <f>IF(OR(J301="",N(J301)=0),"",I301/J301)</f>
        <v/>
      </c>
      <c r="M301" s="1" t="n"/>
      <c r="N301">
        <f>IF(OR(C301="",N(D301)=0),"",D301+ROW()/10000000)</f>
        <v/>
      </c>
      <c r="O301">
        <f>IF(N301="","",COUNTIFS(Fuel!$C$6:$C$605,C301,Fuel!$N$6:$N$605,"&gt;"&amp;N301))</f>
        <v/>
      </c>
      <c r="P301">
        <f>IF(OR(N301="",G301=""),"",COUNTIFS(Fuel!$C$6:$C$605,C301,Fuel!$G$6:$G$605,"&lt;&gt;",Fuel!$N$6:$N$605,"&lt;"&amp;N301))</f>
        <v/>
      </c>
      <c r="R301">
        <f>IF(OR(P301="",N(P301)=0),"",SUMIFS(Fuel!$D$6:$D$605,Fuel!$C$6:$C$605,C301,Fuel!$P$6:$P$605,P301-1))</f>
        <v/>
      </c>
    </row>
    <row r="302">
      <c r="A302" s="1" t="n"/>
      <c r="B302" s="29" t="n"/>
      <c r="C302" s="24" t="n"/>
      <c r="D302" s="28" t="n"/>
      <c r="E302" s="33" t="n"/>
      <c r="F302" s="34" t="n"/>
      <c r="G302" s="27" t="n"/>
      <c r="H302" s="14">
        <f>IF(OR(N(E302)=0,F302=""),"",F302/E302)</f>
        <v/>
      </c>
      <c r="I302" s="11">
        <f>IF(R302="","",D302-R302)</f>
        <v/>
      </c>
      <c r="J302" s="35">
        <f>IF(R302="","",SUMIFS(Fuel!$E$6:$E$605,Fuel!$C$6:$C$605,C302,Fuel!$D$6:$D$605,"&gt;"&amp;R302,Fuel!$D$6:$D$605,"&lt;="&amp;D302))</f>
        <v/>
      </c>
      <c r="K302" s="36">
        <f>IF(OR(I302="",N(I302)=0),"",J302/I302*100)</f>
        <v/>
      </c>
      <c r="L302" s="36">
        <f>IF(OR(J302="",N(J302)=0),"",I302/J302)</f>
        <v/>
      </c>
      <c r="M302" s="1" t="n"/>
      <c r="N302">
        <f>IF(OR(C302="",N(D302)=0),"",D302+ROW()/10000000)</f>
        <v/>
      </c>
      <c r="O302">
        <f>IF(N302="","",COUNTIFS(Fuel!$C$6:$C$605,C302,Fuel!$N$6:$N$605,"&gt;"&amp;N302))</f>
        <v/>
      </c>
      <c r="P302">
        <f>IF(OR(N302="",G302=""),"",COUNTIFS(Fuel!$C$6:$C$605,C302,Fuel!$G$6:$G$605,"&lt;&gt;",Fuel!$N$6:$N$605,"&lt;"&amp;N302))</f>
        <v/>
      </c>
      <c r="R302">
        <f>IF(OR(P302="",N(P302)=0),"",SUMIFS(Fuel!$D$6:$D$605,Fuel!$C$6:$C$605,C302,Fuel!$P$6:$P$605,P302-1))</f>
        <v/>
      </c>
    </row>
    <row r="303">
      <c r="A303" s="1" t="n"/>
      <c r="B303" s="29" t="n"/>
      <c r="C303" s="24" t="n"/>
      <c r="D303" s="28" t="n"/>
      <c r="E303" s="33" t="n"/>
      <c r="F303" s="34" t="n"/>
      <c r="G303" s="27" t="n"/>
      <c r="H303" s="14">
        <f>IF(OR(N(E303)=0,F303=""),"",F303/E303)</f>
        <v/>
      </c>
      <c r="I303" s="11">
        <f>IF(R303="","",D303-R303)</f>
        <v/>
      </c>
      <c r="J303" s="35">
        <f>IF(R303="","",SUMIFS(Fuel!$E$6:$E$605,Fuel!$C$6:$C$605,C303,Fuel!$D$6:$D$605,"&gt;"&amp;R303,Fuel!$D$6:$D$605,"&lt;="&amp;D303))</f>
        <v/>
      </c>
      <c r="K303" s="36">
        <f>IF(OR(I303="",N(I303)=0),"",J303/I303*100)</f>
        <v/>
      </c>
      <c r="L303" s="36">
        <f>IF(OR(J303="",N(J303)=0),"",I303/J303)</f>
        <v/>
      </c>
      <c r="M303" s="1" t="n"/>
      <c r="N303">
        <f>IF(OR(C303="",N(D303)=0),"",D303+ROW()/10000000)</f>
        <v/>
      </c>
      <c r="O303">
        <f>IF(N303="","",COUNTIFS(Fuel!$C$6:$C$605,C303,Fuel!$N$6:$N$605,"&gt;"&amp;N303))</f>
        <v/>
      </c>
      <c r="P303">
        <f>IF(OR(N303="",G303=""),"",COUNTIFS(Fuel!$C$6:$C$605,C303,Fuel!$G$6:$G$605,"&lt;&gt;",Fuel!$N$6:$N$605,"&lt;"&amp;N303))</f>
        <v/>
      </c>
      <c r="R303">
        <f>IF(OR(P303="",N(P303)=0),"",SUMIFS(Fuel!$D$6:$D$605,Fuel!$C$6:$C$605,C303,Fuel!$P$6:$P$605,P303-1))</f>
        <v/>
      </c>
    </row>
    <row r="304">
      <c r="A304" s="1" t="n"/>
      <c r="B304" s="29" t="n"/>
      <c r="C304" s="24" t="n"/>
      <c r="D304" s="28" t="n"/>
      <c r="E304" s="33" t="n"/>
      <c r="F304" s="34" t="n"/>
      <c r="G304" s="27" t="n"/>
      <c r="H304" s="14">
        <f>IF(OR(N(E304)=0,F304=""),"",F304/E304)</f>
        <v/>
      </c>
      <c r="I304" s="11">
        <f>IF(R304="","",D304-R304)</f>
        <v/>
      </c>
      <c r="J304" s="35">
        <f>IF(R304="","",SUMIFS(Fuel!$E$6:$E$605,Fuel!$C$6:$C$605,C304,Fuel!$D$6:$D$605,"&gt;"&amp;R304,Fuel!$D$6:$D$605,"&lt;="&amp;D304))</f>
        <v/>
      </c>
      <c r="K304" s="36">
        <f>IF(OR(I304="",N(I304)=0),"",J304/I304*100)</f>
        <v/>
      </c>
      <c r="L304" s="36">
        <f>IF(OR(J304="",N(J304)=0),"",I304/J304)</f>
        <v/>
      </c>
      <c r="M304" s="1" t="n"/>
      <c r="N304">
        <f>IF(OR(C304="",N(D304)=0),"",D304+ROW()/10000000)</f>
        <v/>
      </c>
      <c r="O304">
        <f>IF(N304="","",COUNTIFS(Fuel!$C$6:$C$605,C304,Fuel!$N$6:$N$605,"&gt;"&amp;N304))</f>
        <v/>
      </c>
      <c r="P304">
        <f>IF(OR(N304="",G304=""),"",COUNTIFS(Fuel!$C$6:$C$605,C304,Fuel!$G$6:$G$605,"&lt;&gt;",Fuel!$N$6:$N$605,"&lt;"&amp;N304))</f>
        <v/>
      </c>
      <c r="R304">
        <f>IF(OR(P304="",N(P304)=0),"",SUMIFS(Fuel!$D$6:$D$605,Fuel!$C$6:$C$605,C304,Fuel!$P$6:$P$605,P304-1))</f>
        <v/>
      </c>
    </row>
    <row r="305">
      <c r="A305" s="1" t="n"/>
      <c r="B305" s="29" t="n"/>
      <c r="C305" s="24" t="n"/>
      <c r="D305" s="28" t="n"/>
      <c r="E305" s="33" t="n"/>
      <c r="F305" s="34" t="n"/>
      <c r="G305" s="27" t="n"/>
      <c r="H305" s="14">
        <f>IF(OR(N(E305)=0,F305=""),"",F305/E305)</f>
        <v/>
      </c>
      <c r="I305" s="11">
        <f>IF(R305="","",D305-R305)</f>
        <v/>
      </c>
      <c r="J305" s="35">
        <f>IF(R305="","",SUMIFS(Fuel!$E$6:$E$605,Fuel!$C$6:$C$605,C305,Fuel!$D$6:$D$605,"&gt;"&amp;R305,Fuel!$D$6:$D$605,"&lt;="&amp;D305))</f>
        <v/>
      </c>
      <c r="K305" s="36">
        <f>IF(OR(I305="",N(I305)=0),"",J305/I305*100)</f>
        <v/>
      </c>
      <c r="L305" s="36">
        <f>IF(OR(J305="",N(J305)=0),"",I305/J305)</f>
        <v/>
      </c>
      <c r="M305" s="1" t="n"/>
      <c r="N305">
        <f>IF(OR(C305="",N(D305)=0),"",D305+ROW()/10000000)</f>
        <v/>
      </c>
      <c r="O305">
        <f>IF(N305="","",COUNTIFS(Fuel!$C$6:$C$605,C305,Fuel!$N$6:$N$605,"&gt;"&amp;N305))</f>
        <v/>
      </c>
      <c r="P305">
        <f>IF(OR(N305="",G305=""),"",COUNTIFS(Fuel!$C$6:$C$605,C305,Fuel!$G$6:$G$605,"&lt;&gt;",Fuel!$N$6:$N$605,"&lt;"&amp;N305))</f>
        <v/>
      </c>
      <c r="R305">
        <f>IF(OR(P305="",N(P305)=0),"",SUMIFS(Fuel!$D$6:$D$605,Fuel!$C$6:$C$605,C305,Fuel!$P$6:$P$605,P305-1))</f>
        <v/>
      </c>
    </row>
    <row r="306">
      <c r="A306" s="1" t="n"/>
      <c r="B306" s="29" t="n"/>
      <c r="C306" s="24" t="n"/>
      <c r="D306" s="28" t="n"/>
      <c r="E306" s="33" t="n"/>
      <c r="F306" s="34" t="n"/>
      <c r="G306" s="27" t="n"/>
      <c r="H306" s="14">
        <f>IF(OR(N(E306)=0,F306=""),"",F306/E306)</f>
        <v/>
      </c>
      <c r="I306" s="11">
        <f>IF(R306="","",D306-R306)</f>
        <v/>
      </c>
      <c r="J306" s="35">
        <f>IF(R306="","",SUMIFS(Fuel!$E$6:$E$605,Fuel!$C$6:$C$605,C306,Fuel!$D$6:$D$605,"&gt;"&amp;R306,Fuel!$D$6:$D$605,"&lt;="&amp;D306))</f>
        <v/>
      </c>
      <c r="K306" s="36">
        <f>IF(OR(I306="",N(I306)=0),"",J306/I306*100)</f>
        <v/>
      </c>
      <c r="L306" s="36">
        <f>IF(OR(J306="",N(J306)=0),"",I306/J306)</f>
        <v/>
      </c>
      <c r="M306" s="1" t="n"/>
      <c r="N306">
        <f>IF(OR(C306="",N(D306)=0),"",D306+ROW()/10000000)</f>
        <v/>
      </c>
      <c r="O306">
        <f>IF(N306="","",COUNTIFS(Fuel!$C$6:$C$605,C306,Fuel!$N$6:$N$605,"&gt;"&amp;N306))</f>
        <v/>
      </c>
      <c r="P306">
        <f>IF(OR(N306="",G306=""),"",COUNTIFS(Fuel!$C$6:$C$605,C306,Fuel!$G$6:$G$605,"&lt;&gt;",Fuel!$N$6:$N$605,"&lt;"&amp;N306))</f>
        <v/>
      </c>
      <c r="R306">
        <f>IF(OR(P306="",N(P306)=0),"",SUMIFS(Fuel!$D$6:$D$605,Fuel!$C$6:$C$605,C306,Fuel!$P$6:$P$605,P306-1))</f>
        <v/>
      </c>
    </row>
    <row r="307">
      <c r="A307" s="1" t="n"/>
      <c r="B307" s="29" t="n"/>
      <c r="C307" s="24" t="n"/>
      <c r="D307" s="28" t="n"/>
      <c r="E307" s="33" t="n"/>
      <c r="F307" s="34" t="n"/>
      <c r="G307" s="27" t="n"/>
      <c r="H307" s="14">
        <f>IF(OR(N(E307)=0,F307=""),"",F307/E307)</f>
        <v/>
      </c>
      <c r="I307" s="11">
        <f>IF(R307="","",D307-R307)</f>
        <v/>
      </c>
      <c r="J307" s="35">
        <f>IF(R307="","",SUMIFS(Fuel!$E$6:$E$605,Fuel!$C$6:$C$605,C307,Fuel!$D$6:$D$605,"&gt;"&amp;R307,Fuel!$D$6:$D$605,"&lt;="&amp;D307))</f>
        <v/>
      </c>
      <c r="K307" s="36">
        <f>IF(OR(I307="",N(I307)=0),"",J307/I307*100)</f>
        <v/>
      </c>
      <c r="L307" s="36">
        <f>IF(OR(J307="",N(J307)=0),"",I307/J307)</f>
        <v/>
      </c>
      <c r="M307" s="1" t="n"/>
      <c r="N307">
        <f>IF(OR(C307="",N(D307)=0),"",D307+ROW()/10000000)</f>
        <v/>
      </c>
      <c r="O307">
        <f>IF(N307="","",COUNTIFS(Fuel!$C$6:$C$605,C307,Fuel!$N$6:$N$605,"&gt;"&amp;N307))</f>
        <v/>
      </c>
      <c r="P307">
        <f>IF(OR(N307="",G307=""),"",COUNTIFS(Fuel!$C$6:$C$605,C307,Fuel!$G$6:$G$605,"&lt;&gt;",Fuel!$N$6:$N$605,"&lt;"&amp;N307))</f>
        <v/>
      </c>
      <c r="R307">
        <f>IF(OR(P307="",N(P307)=0),"",SUMIFS(Fuel!$D$6:$D$605,Fuel!$C$6:$C$605,C307,Fuel!$P$6:$P$605,P307-1))</f>
        <v/>
      </c>
    </row>
    <row r="308">
      <c r="A308" s="1" t="n"/>
      <c r="B308" s="29" t="n"/>
      <c r="C308" s="24" t="n"/>
      <c r="D308" s="28" t="n"/>
      <c r="E308" s="33" t="n"/>
      <c r="F308" s="34" t="n"/>
      <c r="G308" s="27" t="n"/>
      <c r="H308" s="14">
        <f>IF(OR(N(E308)=0,F308=""),"",F308/E308)</f>
        <v/>
      </c>
      <c r="I308" s="11">
        <f>IF(R308="","",D308-R308)</f>
        <v/>
      </c>
      <c r="J308" s="35">
        <f>IF(R308="","",SUMIFS(Fuel!$E$6:$E$605,Fuel!$C$6:$C$605,C308,Fuel!$D$6:$D$605,"&gt;"&amp;R308,Fuel!$D$6:$D$605,"&lt;="&amp;D308))</f>
        <v/>
      </c>
      <c r="K308" s="36">
        <f>IF(OR(I308="",N(I308)=0),"",J308/I308*100)</f>
        <v/>
      </c>
      <c r="L308" s="36">
        <f>IF(OR(J308="",N(J308)=0),"",I308/J308)</f>
        <v/>
      </c>
      <c r="M308" s="1" t="n"/>
      <c r="N308">
        <f>IF(OR(C308="",N(D308)=0),"",D308+ROW()/10000000)</f>
        <v/>
      </c>
      <c r="O308">
        <f>IF(N308="","",COUNTIFS(Fuel!$C$6:$C$605,C308,Fuel!$N$6:$N$605,"&gt;"&amp;N308))</f>
        <v/>
      </c>
      <c r="P308">
        <f>IF(OR(N308="",G308=""),"",COUNTIFS(Fuel!$C$6:$C$605,C308,Fuel!$G$6:$G$605,"&lt;&gt;",Fuel!$N$6:$N$605,"&lt;"&amp;N308))</f>
        <v/>
      </c>
      <c r="R308">
        <f>IF(OR(P308="",N(P308)=0),"",SUMIFS(Fuel!$D$6:$D$605,Fuel!$C$6:$C$605,C308,Fuel!$P$6:$P$605,P308-1))</f>
        <v/>
      </c>
    </row>
    <row r="309">
      <c r="A309" s="1" t="n"/>
      <c r="B309" s="29" t="n"/>
      <c r="C309" s="24" t="n"/>
      <c r="D309" s="28" t="n"/>
      <c r="E309" s="33" t="n"/>
      <c r="F309" s="34" t="n"/>
      <c r="G309" s="27" t="n"/>
      <c r="H309" s="14">
        <f>IF(OR(N(E309)=0,F309=""),"",F309/E309)</f>
        <v/>
      </c>
      <c r="I309" s="11">
        <f>IF(R309="","",D309-R309)</f>
        <v/>
      </c>
      <c r="J309" s="35">
        <f>IF(R309="","",SUMIFS(Fuel!$E$6:$E$605,Fuel!$C$6:$C$605,C309,Fuel!$D$6:$D$605,"&gt;"&amp;R309,Fuel!$D$6:$D$605,"&lt;="&amp;D309))</f>
        <v/>
      </c>
      <c r="K309" s="36">
        <f>IF(OR(I309="",N(I309)=0),"",J309/I309*100)</f>
        <v/>
      </c>
      <c r="L309" s="36">
        <f>IF(OR(J309="",N(J309)=0),"",I309/J309)</f>
        <v/>
      </c>
      <c r="M309" s="1" t="n"/>
      <c r="N309">
        <f>IF(OR(C309="",N(D309)=0),"",D309+ROW()/10000000)</f>
        <v/>
      </c>
      <c r="O309">
        <f>IF(N309="","",COUNTIFS(Fuel!$C$6:$C$605,C309,Fuel!$N$6:$N$605,"&gt;"&amp;N309))</f>
        <v/>
      </c>
      <c r="P309">
        <f>IF(OR(N309="",G309=""),"",COUNTIFS(Fuel!$C$6:$C$605,C309,Fuel!$G$6:$G$605,"&lt;&gt;",Fuel!$N$6:$N$605,"&lt;"&amp;N309))</f>
        <v/>
      </c>
      <c r="R309">
        <f>IF(OR(P309="",N(P309)=0),"",SUMIFS(Fuel!$D$6:$D$605,Fuel!$C$6:$C$605,C309,Fuel!$P$6:$P$605,P309-1))</f>
        <v/>
      </c>
    </row>
    <row r="310">
      <c r="A310" s="1" t="n"/>
      <c r="B310" s="29" t="n"/>
      <c r="C310" s="24" t="n"/>
      <c r="D310" s="28" t="n"/>
      <c r="E310" s="33" t="n"/>
      <c r="F310" s="34" t="n"/>
      <c r="G310" s="27" t="n"/>
      <c r="H310" s="14">
        <f>IF(OR(N(E310)=0,F310=""),"",F310/E310)</f>
        <v/>
      </c>
      <c r="I310" s="11">
        <f>IF(R310="","",D310-R310)</f>
        <v/>
      </c>
      <c r="J310" s="35">
        <f>IF(R310="","",SUMIFS(Fuel!$E$6:$E$605,Fuel!$C$6:$C$605,C310,Fuel!$D$6:$D$605,"&gt;"&amp;R310,Fuel!$D$6:$D$605,"&lt;="&amp;D310))</f>
        <v/>
      </c>
      <c r="K310" s="36">
        <f>IF(OR(I310="",N(I310)=0),"",J310/I310*100)</f>
        <v/>
      </c>
      <c r="L310" s="36">
        <f>IF(OR(J310="",N(J310)=0),"",I310/J310)</f>
        <v/>
      </c>
      <c r="M310" s="1" t="n"/>
      <c r="N310">
        <f>IF(OR(C310="",N(D310)=0),"",D310+ROW()/10000000)</f>
        <v/>
      </c>
      <c r="O310">
        <f>IF(N310="","",COUNTIFS(Fuel!$C$6:$C$605,C310,Fuel!$N$6:$N$605,"&gt;"&amp;N310))</f>
        <v/>
      </c>
      <c r="P310">
        <f>IF(OR(N310="",G310=""),"",COUNTIFS(Fuel!$C$6:$C$605,C310,Fuel!$G$6:$G$605,"&lt;&gt;",Fuel!$N$6:$N$605,"&lt;"&amp;N310))</f>
        <v/>
      </c>
      <c r="R310">
        <f>IF(OR(P310="",N(P310)=0),"",SUMIFS(Fuel!$D$6:$D$605,Fuel!$C$6:$C$605,C310,Fuel!$P$6:$P$605,P310-1))</f>
        <v/>
      </c>
    </row>
    <row r="311">
      <c r="A311" s="1" t="n"/>
      <c r="B311" s="29" t="n"/>
      <c r="C311" s="24" t="n"/>
      <c r="D311" s="28" t="n"/>
      <c r="E311" s="33" t="n"/>
      <c r="F311" s="34" t="n"/>
      <c r="G311" s="27" t="n"/>
      <c r="H311" s="14">
        <f>IF(OR(N(E311)=0,F311=""),"",F311/E311)</f>
        <v/>
      </c>
      <c r="I311" s="11">
        <f>IF(R311="","",D311-R311)</f>
        <v/>
      </c>
      <c r="J311" s="35">
        <f>IF(R311="","",SUMIFS(Fuel!$E$6:$E$605,Fuel!$C$6:$C$605,C311,Fuel!$D$6:$D$605,"&gt;"&amp;R311,Fuel!$D$6:$D$605,"&lt;="&amp;D311))</f>
        <v/>
      </c>
      <c r="K311" s="36">
        <f>IF(OR(I311="",N(I311)=0),"",J311/I311*100)</f>
        <v/>
      </c>
      <c r="L311" s="36">
        <f>IF(OR(J311="",N(J311)=0),"",I311/J311)</f>
        <v/>
      </c>
      <c r="M311" s="1" t="n"/>
      <c r="N311">
        <f>IF(OR(C311="",N(D311)=0),"",D311+ROW()/10000000)</f>
        <v/>
      </c>
      <c r="O311">
        <f>IF(N311="","",COUNTIFS(Fuel!$C$6:$C$605,C311,Fuel!$N$6:$N$605,"&gt;"&amp;N311))</f>
        <v/>
      </c>
      <c r="P311">
        <f>IF(OR(N311="",G311=""),"",COUNTIFS(Fuel!$C$6:$C$605,C311,Fuel!$G$6:$G$605,"&lt;&gt;",Fuel!$N$6:$N$605,"&lt;"&amp;N311))</f>
        <v/>
      </c>
      <c r="R311">
        <f>IF(OR(P311="",N(P311)=0),"",SUMIFS(Fuel!$D$6:$D$605,Fuel!$C$6:$C$605,C311,Fuel!$P$6:$P$605,P311-1))</f>
        <v/>
      </c>
    </row>
    <row r="312">
      <c r="A312" s="1" t="n"/>
      <c r="B312" s="29" t="n"/>
      <c r="C312" s="24" t="n"/>
      <c r="D312" s="28" t="n"/>
      <c r="E312" s="33" t="n"/>
      <c r="F312" s="34" t="n"/>
      <c r="G312" s="27" t="n"/>
      <c r="H312" s="14">
        <f>IF(OR(N(E312)=0,F312=""),"",F312/E312)</f>
        <v/>
      </c>
      <c r="I312" s="11">
        <f>IF(R312="","",D312-R312)</f>
        <v/>
      </c>
      <c r="J312" s="35">
        <f>IF(R312="","",SUMIFS(Fuel!$E$6:$E$605,Fuel!$C$6:$C$605,C312,Fuel!$D$6:$D$605,"&gt;"&amp;R312,Fuel!$D$6:$D$605,"&lt;="&amp;D312))</f>
        <v/>
      </c>
      <c r="K312" s="36">
        <f>IF(OR(I312="",N(I312)=0),"",J312/I312*100)</f>
        <v/>
      </c>
      <c r="L312" s="36">
        <f>IF(OR(J312="",N(J312)=0),"",I312/J312)</f>
        <v/>
      </c>
      <c r="M312" s="1" t="n"/>
      <c r="N312">
        <f>IF(OR(C312="",N(D312)=0),"",D312+ROW()/10000000)</f>
        <v/>
      </c>
      <c r="O312">
        <f>IF(N312="","",COUNTIFS(Fuel!$C$6:$C$605,C312,Fuel!$N$6:$N$605,"&gt;"&amp;N312))</f>
        <v/>
      </c>
      <c r="P312">
        <f>IF(OR(N312="",G312=""),"",COUNTIFS(Fuel!$C$6:$C$605,C312,Fuel!$G$6:$G$605,"&lt;&gt;",Fuel!$N$6:$N$605,"&lt;"&amp;N312))</f>
        <v/>
      </c>
      <c r="R312">
        <f>IF(OR(P312="",N(P312)=0),"",SUMIFS(Fuel!$D$6:$D$605,Fuel!$C$6:$C$605,C312,Fuel!$P$6:$P$605,P312-1))</f>
        <v/>
      </c>
    </row>
    <row r="313">
      <c r="A313" s="1" t="n"/>
      <c r="B313" s="29" t="n"/>
      <c r="C313" s="24" t="n"/>
      <c r="D313" s="28" t="n"/>
      <c r="E313" s="33" t="n"/>
      <c r="F313" s="34" t="n"/>
      <c r="G313" s="27" t="n"/>
      <c r="H313" s="14">
        <f>IF(OR(N(E313)=0,F313=""),"",F313/E313)</f>
        <v/>
      </c>
      <c r="I313" s="11">
        <f>IF(R313="","",D313-R313)</f>
        <v/>
      </c>
      <c r="J313" s="35">
        <f>IF(R313="","",SUMIFS(Fuel!$E$6:$E$605,Fuel!$C$6:$C$605,C313,Fuel!$D$6:$D$605,"&gt;"&amp;R313,Fuel!$D$6:$D$605,"&lt;="&amp;D313))</f>
        <v/>
      </c>
      <c r="K313" s="36">
        <f>IF(OR(I313="",N(I313)=0),"",J313/I313*100)</f>
        <v/>
      </c>
      <c r="L313" s="36">
        <f>IF(OR(J313="",N(J313)=0),"",I313/J313)</f>
        <v/>
      </c>
      <c r="M313" s="1" t="n"/>
      <c r="N313">
        <f>IF(OR(C313="",N(D313)=0),"",D313+ROW()/10000000)</f>
        <v/>
      </c>
      <c r="O313">
        <f>IF(N313="","",COUNTIFS(Fuel!$C$6:$C$605,C313,Fuel!$N$6:$N$605,"&gt;"&amp;N313))</f>
        <v/>
      </c>
      <c r="P313">
        <f>IF(OR(N313="",G313=""),"",COUNTIFS(Fuel!$C$6:$C$605,C313,Fuel!$G$6:$G$605,"&lt;&gt;",Fuel!$N$6:$N$605,"&lt;"&amp;N313))</f>
        <v/>
      </c>
      <c r="R313">
        <f>IF(OR(P313="",N(P313)=0),"",SUMIFS(Fuel!$D$6:$D$605,Fuel!$C$6:$C$605,C313,Fuel!$P$6:$P$605,P313-1))</f>
        <v/>
      </c>
    </row>
    <row r="314">
      <c r="A314" s="1" t="n"/>
      <c r="B314" s="29" t="n"/>
      <c r="C314" s="24" t="n"/>
      <c r="D314" s="28" t="n"/>
      <c r="E314" s="33" t="n"/>
      <c r="F314" s="34" t="n"/>
      <c r="G314" s="27" t="n"/>
      <c r="H314" s="14">
        <f>IF(OR(N(E314)=0,F314=""),"",F314/E314)</f>
        <v/>
      </c>
      <c r="I314" s="11">
        <f>IF(R314="","",D314-R314)</f>
        <v/>
      </c>
      <c r="J314" s="35">
        <f>IF(R314="","",SUMIFS(Fuel!$E$6:$E$605,Fuel!$C$6:$C$605,C314,Fuel!$D$6:$D$605,"&gt;"&amp;R314,Fuel!$D$6:$D$605,"&lt;="&amp;D314))</f>
        <v/>
      </c>
      <c r="K314" s="36">
        <f>IF(OR(I314="",N(I314)=0),"",J314/I314*100)</f>
        <v/>
      </c>
      <c r="L314" s="36">
        <f>IF(OR(J314="",N(J314)=0),"",I314/J314)</f>
        <v/>
      </c>
      <c r="M314" s="1" t="n"/>
      <c r="N314">
        <f>IF(OR(C314="",N(D314)=0),"",D314+ROW()/10000000)</f>
        <v/>
      </c>
      <c r="O314">
        <f>IF(N314="","",COUNTIFS(Fuel!$C$6:$C$605,C314,Fuel!$N$6:$N$605,"&gt;"&amp;N314))</f>
        <v/>
      </c>
      <c r="P314">
        <f>IF(OR(N314="",G314=""),"",COUNTIFS(Fuel!$C$6:$C$605,C314,Fuel!$G$6:$G$605,"&lt;&gt;",Fuel!$N$6:$N$605,"&lt;"&amp;N314))</f>
        <v/>
      </c>
      <c r="R314">
        <f>IF(OR(P314="",N(P314)=0),"",SUMIFS(Fuel!$D$6:$D$605,Fuel!$C$6:$C$605,C314,Fuel!$P$6:$P$605,P314-1))</f>
        <v/>
      </c>
    </row>
    <row r="315">
      <c r="A315" s="1" t="n"/>
      <c r="B315" s="29" t="n"/>
      <c r="C315" s="24" t="n"/>
      <c r="D315" s="28" t="n"/>
      <c r="E315" s="33" t="n"/>
      <c r="F315" s="34" t="n"/>
      <c r="G315" s="27" t="n"/>
      <c r="H315" s="14">
        <f>IF(OR(N(E315)=0,F315=""),"",F315/E315)</f>
        <v/>
      </c>
      <c r="I315" s="11">
        <f>IF(R315="","",D315-R315)</f>
        <v/>
      </c>
      <c r="J315" s="35">
        <f>IF(R315="","",SUMIFS(Fuel!$E$6:$E$605,Fuel!$C$6:$C$605,C315,Fuel!$D$6:$D$605,"&gt;"&amp;R315,Fuel!$D$6:$D$605,"&lt;="&amp;D315))</f>
        <v/>
      </c>
      <c r="K315" s="36">
        <f>IF(OR(I315="",N(I315)=0),"",J315/I315*100)</f>
        <v/>
      </c>
      <c r="L315" s="36">
        <f>IF(OR(J315="",N(J315)=0),"",I315/J315)</f>
        <v/>
      </c>
      <c r="M315" s="1" t="n"/>
      <c r="N315">
        <f>IF(OR(C315="",N(D315)=0),"",D315+ROW()/10000000)</f>
        <v/>
      </c>
      <c r="O315">
        <f>IF(N315="","",COUNTIFS(Fuel!$C$6:$C$605,C315,Fuel!$N$6:$N$605,"&gt;"&amp;N315))</f>
        <v/>
      </c>
      <c r="P315">
        <f>IF(OR(N315="",G315=""),"",COUNTIFS(Fuel!$C$6:$C$605,C315,Fuel!$G$6:$G$605,"&lt;&gt;",Fuel!$N$6:$N$605,"&lt;"&amp;N315))</f>
        <v/>
      </c>
      <c r="R315">
        <f>IF(OR(P315="",N(P315)=0),"",SUMIFS(Fuel!$D$6:$D$605,Fuel!$C$6:$C$605,C315,Fuel!$P$6:$P$605,P315-1))</f>
        <v/>
      </c>
    </row>
    <row r="316">
      <c r="A316" s="1" t="n"/>
      <c r="B316" s="29" t="n"/>
      <c r="C316" s="24" t="n"/>
      <c r="D316" s="28" t="n"/>
      <c r="E316" s="33" t="n"/>
      <c r="F316" s="34" t="n"/>
      <c r="G316" s="27" t="n"/>
      <c r="H316" s="14">
        <f>IF(OR(N(E316)=0,F316=""),"",F316/E316)</f>
        <v/>
      </c>
      <c r="I316" s="11">
        <f>IF(R316="","",D316-R316)</f>
        <v/>
      </c>
      <c r="J316" s="35">
        <f>IF(R316="","",SUMIFS(Fuel!$E$6:$E$605,Fuel!$C$6:$C$605,C316,Fuel!$D$6:$D$605,"&gt;"&amp;R316,Fuel!$D$6:$D$605,"&lt;="&amp;D316))</f>
        <v/>
      </c>
      <c r="K316" s="36">
        <f>IF(OR(I316="",N(I316)=0),"",J316/I316*100)</f>
        <v/>
      </c>
      <c r="L316" s="36">
        <f>IF(OR(J316="",N(J316)=0),"",I316/J316)</f>
        <v/>
      </c>
      <c r="M316" s="1" t="n"/>
      <c r="N316">
        <f>IF(OR(C316="",N(D316)=0),"",D316+ROW()/10000000)</f>
        <v/>
      </c>
      <c r="O316">
        <f>IF(N316="","",COUNTIFS(Fuel!$C$6:$C$605,C316,Fuel!$N$6:$N$605,"&gt;"&amp;N316))</f>
        <v/>
      </c>
      <c r="P316">
        <f>IF(OR(N316="",G316=""),"",COUNTIFS(Fuel!$C$6:$C$605,C316,Fuel!$G$6:$G$605,"&lt;&gt;",Fuel!$N$6:$N$605,"&lt;"&amp;N316))</f>
        <v/>
      </c>
      <c r="R316">
        <f>IF(OR(P316="",N(P316)=0),"",SUMIFS(Fuel!$D$6:$D$605,Fuel!$C$6:$C$605,C316,Fuel!$P$6:$P$605,P316-1))</f>
        <v/>
      </c>
    </row>
    <row r="317">
      <c r="A317" s="1" t="n"/>
      <c r="B317" s="29" t="n"/>
      <c r="C317" s="24" t="n"/>
      <c r="D317" s="28" t="n"/>
      <c r="E317" s="33" t="n"/>
      <c r="F317" s="34" t="n"/>
      <c r="G317" s="27" t="n"/>
      <c r="H317" s="14">
        <f>IF(OR(N(E317)=0,F317=""),"",F317/E317)</f>
        <v/>
      </c>
      <c r="I317" s="11">
        <f>IF(R317="","",D317-R317)</f>
        <v/>
      </c>
      <c r="J317" s="35">
        <f>IF(R317="","",SUMIFS(Fuel!$E$6:$E$605,Fuel!$C$6:$C$605,C317,Fuel!$D$6:$D$605,"&gt;"&amp;R317,Fuel!$D$6:$D$605,"&lt;="&amp;D317))</f>
        <v/>
      </c>
      <c r="K317" s="36">
        <f>IF(OR(I317="",N(I317)=0),"",J317/I317*100)</f>
        <v/>
      </c>
      <c r="L317" s="36">
        <f>IF(OR(J317="",N(J317)=0),"",I317/J317)</f>
        <v/>
      </c>
      <c r="M317" s="1" t="n"/>
      <c r="N317">
        <f>IF(OR(C317="",N(D317)=0),"",D317+ROW()/10000000)</f>
        <v/>
      </c>
      <c r="O317">
        <f>IF(N317="","",COUNTIFS(Fuel!$C$6:$C$605,C317,Fuel!$N$6:$N$605,"&gt;"&amp;N317))</f>
        <v/>
      </c>
      <c r="P317">
        <f>IF(OR(N317="",G317=""),"",COUNTIFS(Fuel!$C$6:$C$605,C317,Fuel!$G$6:$G$605,"&lt;&gt;",Fuel!$N$6:$N$605,"&lt;"&amp;N317))</f>
        <v/>
      </c>
      <c r="R317">
        <f>IF(OR(P317="",N(P317)=0),"",SUMIFS(Fuel!$D$6:$D$605,Fuel!$C$6:$C$605,C317,Fuel!$P$6:$P$605,P317-1))</f>
        <v/>
      </c>
    </row>
    <row r="318">
      <c r="A318" s="1" t="n"/>
      <c r="B318" s="29" t="n"/>
      <c r="C318" s="24" t="n"/>
      <c r="D318" s="28" t="n"/>
      <c r="E318" s="33" t="n"/>
      <c r="F318" s="34" t="n"/>
      <c r="G318" s="27" t="n"/>
      <c r="H318" s="14">
        <f>IF(OR(N(E318)=0,F318=""),"",F318/E318)</f>
        <v/>
      </c>
      <c r="I318" s="11">
        <f>IF(R318="","",D318-R318)</f>
        <v/>
      </c>
      <c r="J318" s="35">
        <f>IF(R318="","",SUMIFS(Fuel!$E$6:$E$605,Fuel!$C$6:$C$605,C318,Fuel!$D$6:$D$605,"&gt;"&amp;R318,Fuel!$D$6:$D$605,"&lt;="&amp;D318))</f>
        <v/>
      </c>
      <c r="K318" s="36">
        <f>IF(OR(I318="",N(I318)=0),"",J318/I318*100)</f>
        <v/>
      </c>
      <c r="L318" s="36">
        <f>IF(OR(J318="",N(J318)=0),"",I318/J318)</f>
        <v/>
      </c>
      <c r="M318" s="1" t="n"/>
      <c r="N318">
        <f>IF(OR(C318="",N(D318)=0),"",D318+ROW()/10000000)</f>
        <v/>
      </c>
      <c r="O318">
        <f>IF(N318="","",COUNTIFS(Fuel!$C$6:$C$605,C318,Fuel!$N$6:$N$605,"&gt;"&amp;N318))</f>
        <v/>
      </c>
      <c r="P318">
        <f>IF(OR(N318="",G318=""),"",COUNTIFS(Fuel!$C$6:$C$605,C318,Fuel!$G$6:$G$605,"&lt;&gt;",Fuel!$N$6:$N$605,"&lt;"&amp;N318))</f>
        <v/>
      </c>
      <c r="R318">
        <f>IF(OR(P318="",N(P318)=0),"",SUMIFS(Fuel!$D$6:$D$605,Fuel!$C$6:$C$605,C318,Fuel!$P$6:$P$605,P318-1))</f>
        <v/>
      </c>
    </row>
    <row r="319">
      <c r="A319" s="1" t="n"/>
      <c r="B319" s="29" t="n"/>
      <c r="C319" s="24" t="n"/>
      <c r="D319" s="28" t="n"/>
      <c r="E319" s="33" t="n"/>
      <c r="F319" s="34" t="n"/>
      <c r="G319" s="27" t="n"/>
      <c r="H319" s="14">
        <f>IF(OR(N(E319)=0,F319=""),"",F319/E319)</f>
        <v/>
      </c>
      <c r="I319" s="11">
        <f>IF(R319="","",D319-R319)</f>
        <v/>
      </c>
      <c r="J319" s="35">
        <f>IF(R319="","",SUMIFS(Fuel!$E$6:$E$605,Fuel!$C$6:$C$605,C319,Fuel!$D$6:$D$605,"&gt;"&amp;R319,Fuel!$D$6:$D$605,"&lt;="&amp;D319))</f>
        <v/>
      </c>
      <c r="K319" s="36">
        <f>IF(OR(I319="",N(I319)=0),"",J319/I319*100)</f>
        <v/>
      </c>
      <c r="L319" s="36">
        <f>IF(OR(J319="",N(J319)=0),"",I319/J319)</f>
        <v/>
      </c>
      <c r="M319" s="1" t="n"/>
      <c r="N319">
        <f>IF(OR(C319="",N(D319)=0),"",D319+ROW()/10000000)</f>
        <v/>
      </c>
      <c r="O319">
        <f>IF(N319="","",COUNTIFS(Fuel!$C$6:$C$605,C319,Fuel!$N$6:$N$605,"&gt;"&amp;N319))</f>
        <v/>
      </c>
      <c r="P319">
        <f>IF(OR(N319="",G319=""),"",COUNTIFS(Fuel!$C$6:$C$605,C319,Fuel!$G$6:$G$605,"&lt;&gt;",Fuel!$N$6:$N$605,"&lt;"&amp;N319))</f>
        <v/>
      </c>
      <c r="R319">
        <f>IF(OR(P319="",N(P319)=0),"",SUMIFS(Fuel!$D$6:$D$605,Fuel!$C$6:$C$605,C319,Fuel!$P$6:$P$605,P319-1))</f>
        <v/>
      </c>
    </row>
    <row r="320">
      <c r="A320" s="1" t="n"/>
      <c r="B320" s="29" t="n"/>
      <c r="C320" s="24" t="n"/>
      <c r="D320" s="28" t="n"/>
      <c r="E320" s="33" t="n"/>
      <c r="F320" s="34" t="n"/>
      <c r="G320" s="27" t="n"/>
      <c r="H320" s="14">
        <f>IF(OR(N(E320)=0,F320=""),"",F320/E320)</f>
        <v/>
      </c>
      <c r="I320" s="11">
        <f>IF(R320="","",D320-R320)</f>
        <v/>
      </c>
      <c r="J320" s="35">
        <f>IF(R320="","",SUMIFS(Fuel!$E$6:$E$605,Fuel!$C$6:$C$605,C320,Fuel!$D$6:$D$605,"&gt;"&amp;R320,Fuel!$D$6:$D$605,"&lt;="&amp;D320))</f>
        <v/>
      </c>
      <c r="K320" s="36">
        <f>IF(OR(I320="",N(I320)=0),"",J320/I320*100)</f>
        <v/>
      </c>
      <c r="L320" s="36">
        <f>IF(OR(J320="",N(J320)=0),"",I320/J320)</f>
        <v/>
      </c>
      <c r="M320" s="1" t="n"/>
      <c r="N320">
        <f>IF(OR(C320="",N(D320)=0),"",D320+ROW()/10000000)</f>
        <v/>
      </c>
      <c r="O320">
        <f>IF(N320="","",COUNTIFS(Fuel!$C$6:$C$605,C320,Fuel!$N$6:$N$605,"&gt;"&amp;N320))</f>
        <v/>
      </c>
      <c r="P320">
        <f>IF(OR(N320="",G320=""),"",COUNTIFS(Fuel!$C$6:$C$605,C320,Fuel!$G$6:$G$605,"&lt;&gt;",Fuel!$N$6:$N$605,"&lt;"&amp;N320))</f>
        <v/>
      </c>
      <c r="R320">
        <f>IF(OR(P320="",N(P320)=0),"",SUMIFS(Fuel!$D$6:$D$605,Fuel!$C$6:$C$605,C320,Fuel!$P$6:$P$605,P320-1))</f>
        <v/>
      </c>
    </row>
    <row r="321">
      <c r="A321" s="1" t="n"/>
      <c r="B321" s="29" t="n"/>
      <c r="C321" s="24" t="n"/>
      <c r="D321" s="28" t="n"/>
      <c r="E321" s="33" t="n"/>
      <c r="F321" s="34" t="n"/>
      <c r="G321" s="27" t="n"/>
      <c r="H321" s="14">
        <f>IF(OR(N(E321)=0,F321=""),"",F321/E321)</f>
        <v/>
      </c>
      <c r="I321" s="11">
        <f>IF(R321="","",D321-R321)</f>
        <v/>
      </c>
      <c r="J321" s="35">
        <f>IF(R321="","",SUMIFS(Fuel!$E$6:$E$605,Fuel!$C$6:$C$605,C321,Fuel!$D$6:$D$605,"&gt;"&amp;R321,Fuel!$D$6:$D$605,"&lt;="&amp;D321))</f>
        <v/>
      </c>
      <c r="K321" s="36">
        <f>IF(OR(I321="",N(I321)=0),"",J321/I321*100)</f>
        <v/>
      </c>
      <c r="L321" s="36">
        <f>IF(OR(J321="",N(J321)=0),"",I321/J321)</f>
        <v/>
      </c>
      <c r="M321" s="1" t="n"/>
      <c r="N321">
        <f>IF(OR(C321="",N(D321)=0),"",D321+ROW()/10000000)</f>
        <v/>
      </c>
      <c r="O321">
        <f>IF(N321="","",COUNTIFS(Fuel!$C$6:$C$605,C321,Fuel!$N$6:$N$605,"&gt;"&amp;N321))</f>
        <v/>
      </c>
      <c r="P321">
        <f>IF(OR(N321="",G321=""),"",COUNTIFS(Fuel!$C$6:$C$605,C321,Fuel!$G$6:$G$605,"&lt;&gt;",Fuel!$N$6:$N$605,"&lt;"&amp;N321))</f>
        <v/>
      </c>
      <c r="R321">
        <f>IF(OR(P321="",N(P321)=0),"",SUMIFS(Fuel!$D$6:$D$605,Fuel!$C$6:$C$605,C321,Fuel!$P$6:$P$605,P321-1))</f>
        <v/>
      </c>
    </row>
    <row r="322">
      <c r="A322" s="1" t="n"/>
      <c r="B322" s="29" t="n"/>
      <c r="C322" s="24" t="n"/>
      <c r="D322" s="28" t="n"/>
      <c r="E322" s="33" t="n"/>
      <c r="F322" s="34" t="n"/>
      <c r="G322" s="27" t="n"/>
      <c r="H322" s="14">
        <f>IF(OR(N(E322)=0,F322=""),"",F322/E322)</f>
        <v/>
      </c>
      <c r="I322" s="11">
        <f>IF(R322="","",D322-R322)</f>
        <v/>
      </c>
      <c r="J322" s="35">
        <f>IF(R322="","",SUMIFS(Fuel!$E$6:$E$605,Fuel!$C$6:$C$605,C322,Fuel!$D$6:$D$605,"&gt;"&amp;R322,Fuel!$D$6:$D$605,"&lt;="&amp;D322))</f>
        <v/>
      </c>
      <c r="K322" s="36">
        <f>IF(OR(I322="",N(I322)=0),"",J322/I322*100)</f>
        <v/>
      </c>
      <c r="L322" s="36">
        <f>IF(OR(J322="",N(J322)=0),"",I322/J322)</f>
        <v/>
      </c>
      <c r="M322" s="1" t="n"/>
      <c r="N322">
        <f>IF(OR(C322="",N(D322)=0),"",D322+ROW()/10000000)</f>
        <v/>
      </c>
      <c r="O322">
        <f>IF(N322="","",COUNTIFS(Fuel!$C$6:$C$605,C322,Fuel!$N$6:$N$605,"&gt;"&amp;N322))</f>
        <v/>
      </c>
      <c r="P322">
        <f>IF(OR(N322="",G322=""),"",COUNTIFS(Fuel!$C$6:$C$605,C322,Fuel!$G$6:$G$605,"&lt;&gt;",Fuel!$N$6:$N$605,"&lt;"&amp;N322))</f>
        <v/>
      </c>
      <c r="R322">
        <f>IF(OR(P322="",N(P322)=0),"",SUMIFS(Fuel!$D$6:$D$605,Fuel!$C$6:$C$605,C322,Fuel!$P$6:$P$605,P322-1))</f>
        <v/>
      </c>
    </row>
    <row r="323">
      <c r="A323" s="1" t="n"/>
      <c r="B323" s="29" t="n"/>
      <c r="C323" s="24" t="n"/>
      <c r="D323" s="28" t="n"/>
      <c r="E323" s="33" t="n"/>
      <c r="F323" s="34" t="n"/>
      <c r="G323" s="27" t="n"/>
      <c r="H323" s="14">
        <f>IF(OR(N(E323)=0,F323=""),"",F323/E323)</f>
        <v/>
      </c>
      <c r="I323" s="11">
        <f>IF(R323="","",D323-R323)</f>
        <v/>
      </c>
      <c r="J323" s="35">
        <f>IF(R323="","",SUMIFS(Fuel!$E$6:$E$605,Fuel!$C$6:$C$605,C323,Fuel!$D$6:$D$605,"&gt;"&amp;R323,Fuel!$D$6:$D$605,"&lt;="&amp;D323))</f>
        <v/>
      </c>
      <c r="K323" s="36">
        <f>IF(OR(I323="",N(I323)=0),"",J323/I323*100)</f>
        <v/>
      </c>
      <c r="L323" s="36">
        <f>IF(OR(J323="",N(J323)=0),"",I323/J323)</f>
        <v/>
      </c>
      <c r="M323" s="1" t="n"/>
      <c r="N323">
        <f>IF(OR(C323="",N(D323)=0),"",D323+ROW()/10000000)</f>
        <v/>
      </c>
      <c r="O323">
        <f>IF(N323="","",COUNTIFS(Fuel!$C$6:$C$605,C323,Fuel!$N$6:$N$605,"&gt;"&amp;N323))</f>
        <v/>
      </c>
      <c r="P323">
        <f>IF(OR(N323="",G323=""),"",COUNTIFS(Fuel!$C$6:$C$605,C323,Fuel!$G$6:$G$605,"&lt;&gt;",Fuel!$N$6:$N$605,"&lt;"&amp;N323))</f>
        <v/>
      </c>
      <c r="R323">
        <f>IF(OR(P323="",N(P323)=0),"",SUMIFS(Fuel!$D$6:$D$605,Fuel!$C$6:$C$605,C323,Fuel!$P$6:$P$605,P323-1))</f>
        <v/>
      </c>
    </row>
    <row r="324">
      <c r="A324" s="1" t="n"/>
      <c r="B324" s="29" t="n"/>
      <c r="C324" s="24" t="n"/>
      <c r="D324" s="28" t="n"/>
      <c r="E324" s="33" t="n"/>
      <c r="F324" s="34" t="n"/>
      <c r="G324" s="27" t="n"/>
      <c r="H324" s="14">
        <f>IF(OR(N(E324)=0,F324=""),"",F324/E324)</f>
        <v/>
      </c>
      <c r="I324" s="11">
        <f>IF(R324="","",D324-R324)</f>
        <v/>
      </c>
      <c r="J324" s="35">
        <f>IF(R324="","",SUMIFS(Fuel!$E$6:$E$605,Fuel!$C$6:$C$605,C324,Fuel!$D$6:$D$605,"&gt;"&amp;R324,Fuel!$D$6:$D$605,"&lt;="&amp;D324))</f>
        <v/>
      </c>
      <c r="K324" s="36">
        <f>IF(OR(I324="",N(I324)=0),"",J324/I324*100)</f>
        <v/>
      </c>
      <c r="L324" s="36">
        <f>IF(OR(J324="",N(J324)=0),"",I324/J324)</f>
        <v/>
      </c>
      <c r="M324" s="1" t="n"/>
      <c r="N324">
        <f>IF(OR(C324="",N(D324)=0),"",D324+ROW()/10000000)</f>
        <v/>
      </c>
      <c r="O324">
        <f>IF(N324="","",COUNTIFS(Fuel!$C$6:$C$605,C324,Fuel!$N$6:$N$605,"&gt;"&amp;N324))</f>
        <v/>
      </c>
      <c r="P324">
        <f>IF(OR(N324="",G324=""),"",COUNTIFS(Fuel!$C$6:$C$605,C324,Fuel!$G$6:$G$605,"&lt;&gt;",Fuel!$N$6:$N$605,"&lt;"&amp;N324))</f>
        <v/>
      </c>
      <c r="R324">
        <f>IF(OR(P324="",N(P324)=0),"",SUMIFS(Fuel!$D$6:$D$605,Fuel!$C$6:$C$605,C324,Fuel!$P$6:$P$605,P324-1))</f>
        <v/>
      </c>
    </row>
    <row r="325">
      <c r="A325" s="1" t="n"/>
      <c r="B325" s="29" t="n"/>
      <c r="C325" s="24" t="n"/>
      <c r="D325" s="28" t="n"/>
      <c r="E325" s="33" t="n"/>
      <c r="F325" s="34" t="n"/>
      <c r="G325" s="27" t="n"/>
      <c r="H325" s="14">
        <f>IF(OR(N(E325)=0,F325=""),"",F325/E325)</f>
        <v/>
      </c>
      <c r="I325" s="11">
        <f>IF(R325="","",D325-R325)</f>
        <v/>
      </c>
      <c r="J325" s="35">
        <f>IF(R325="","",SUMIFS(Fuel!$E$6:$E$605,Fuel!$C$6:$C$605,C325,Fuel!$D$6:$D$605,"&gt;"&amp;R325,Fuel!$D$6:$D$605,"&lt;="&amp;D325))</f>
        <v/>
      </c>
      <c r="K325" s="36">
        <f>IF(OR(I325="",N(I325)=0),"",J325/I325*100)</f>
        <v/>
      </c>
      <c r="L325" s="36">
        <f>IF(OR(J325="",N(J325)=0),"",I325/J325)</f>
        <v/>
      </c>
      <c r="M325" s="1" t="n"/>
      <c r="N325">
        <f>IF(OR(C325="",N(D325)=0),"",D325+ROW()/10000000)</f>
        <v/>
      </c>
      <c r="O325">
        <f>IF(N325="","",COUNTIFS(Fuel!$C$6:$C$605,C325,Fuel!$N$6:$N$605,"&gt;"&amp;N325))</f>
        <v/>
      </c>
      <c r="P325">
        <f>IF(OR(N325="",G325=""),"",COUNTIFS(Fuel!$C$6:$C$605,C325,Fuel!$G$6:$G$605,"&lt;&gt;",Fuel!$N$6:$N$605,"&lt;"&amp;N325))</f>
        <v/>
      </c>
      <c r="R325">
        <f>IF(OR(P325="",N(P325)=0),"",SUMIFS(Fuel!$D$6:$D$605,Fuel!$C$6:$C$605,C325,Fuel!$P$6:$P$605,P325-1))</f>
        <v/>
      </c>
    </row>
    <row r="326">
      <c r="A326" s="1" t="n"/>
      <c r="B326" s="29" t="n"/>
      <c r="C326" s="24" t="n"/>
      <c r="D326" s="28" t="n"/>
      <c r="E326" s="33" t="n"/>
      <c r="F326" s="34" t="n"/>
      <c r="G326" s="27" t="n"/>
      <c r="H326" s="14">
        <f>IF(OR(N(E326)=0,F326=""),"",F326/E326)</f>
        <v/>
      </c>
      <c r="I326" s="11">
        <f>IF(R326="","",D326-R326)</f>
        <v/>
      </c>
      <c r="J326" s="35">
        <f>IF(R326="","",SUMIFS(Fuel!$E$6:$E$605,Fuel!$C$6:$C$605,C326,Fuel!$D$6:$D$605,"&gt;"&amp;R326,Fuel!$D$6:$D$605,"&lt;="&amp;D326))</f>
        <v/>
      </c>
      <c r="K326" s="36">
        <f>IF(OR(I326="",N(I326)=0),"",J326/I326*100)</f>
        <v/>
      </c>
      <c r="L326" s="36">
        <f>IF(OR(J326="",N(J326)=0),"",I326/J326)</f>
        <v/>
      </c>
      <c r="M326" s="1" t="n"/>
      <c r="N326">
        <f>IF(OR(C326="",N(D326)=0),"",D326+ROW()/10000000)</f>
        <v/>
      </c>
      <c r="O326">
        <f>IF(N326="","",COUNTIFS(Fuel!$C$6:$C$605,C326,Fuel!$N$6:$N$605,"&gt;"&amp;N326))</f>
        <v/>
      </c>
      <c r="P326">
        <f>IF(OR(N326="",G326=""),"",COUNTIFS(Fuel!$C$6:$C$605,C326,Fuel!$G$6:$G$605,"&lt;&gt;",Fuel!$N$6:$N$605,"&lt;"&amp;N326))</f>
        <v/>
      </c>
      <c r="R326">
        <f>IF(OR(P326="",N(P326)=0),"",SUMIFS(Fuel!$D$6:$D$605,Fuel!$C$6:$C$605,C326,Fuel!$P$6:$P$605,P326-1))</f>
        <v/>
      </c>
    </row>
    <row r="327">
      <c r="A327" s="1" t="n"/>
      <c r="B327" s="29" t="n"/>
      <c r="C327" s="24" t="n"/>
      <c r="D327" s="28" t="n"/>
      <c r="E327" s="33" t="n"/>
      <c r="F327" s="34" t="n"/>
      <c r="G327" s="27" t="n"/>
      <c r="H327" s="14">
        <f>IF(OR(N(E327)=0,F327=""),"",F327/E327)</f>
        <v/>
      </c>
      <c r="I327" s="11">
        <f>IF(R327="","",D327-R327)</f>
        <v/>
      </c>
      <c r="J327" s="35">
        <f>IF(R327="","",SUMIFS(Fuel!$E$6:$E$605,Fuel!$C$6:$C$605,C327,Fuel!$D$6:$D$605,"&gt;"&amp;R327,Fuel!$D$6:$D$605,"&lt;="&amp;D327))</f>
        <v/>
      </c>
      <c r="K327" s="36">
        <f>IF(OR(I327="",N(I327)=0),"",J327/I327*100)</f>
        <v/>
      </c>
      <c r="L327" s="36">
        <f>IF(OR(J327="",N(J327)=0),"",I327/J327)</f>
        <v/>
      </c>
      <c r="M327" s="1" t="n"/>
      <c r="N327">
        <f>IF(OR(C327="",N(D327)=0),"",D327+ROW()/10000000)</f>
        <v/>
      </c>
      <c r="O327">
        <f>IF(N327="","",COUNTIFS(Fuel!$C$6:$C$605,C327,Fuel!$N$6:$N$605,"&gt;"&amp;N327))</f>
        <v/>
      </c>
      <c r="P327">
        <f>IF(OR(N327="",G327=""),"",COUNTIFS(Fuel!$C$6:$C$605,C327,Fuel!$G$6:$G$605,"&lt;&gt;",Fuel!$N$6:$N$605,"&lt;"&amp;N327))</f>
        <v/>
      </c>
      <c r="R327">
        <f>IF(OR(P327="",N(P327)=0),"",SUMIFS(Fuel!$D$6:$D$605,Fuel!$C$6:$C$605,C327,Fuel!$P$6:$P$605,P327-1))</f>
        <v/>
      </c>
    </row>
    <row r="328">
      <c r="A328" s="1" t="n"/>
      <c r="B328" s="29" t="n"/>
      <c r="C328" s="24" t="n"/>
      <c r="D328" s="28" t="n"/>
      <c r="E328" s="33" t="n"/>
      <c r="F328" s="34" t="n"/>
      <c r="G328" s="27" t="n"/>
      <c r="H328" s="14">
        <f>IF(OR(N(E328)=0,F328=""),"",F328/E328)</f>
        <v/>
      </c>
      <c r="I328" s="11">
        <f>IF(R328="","",D328-R328)</f>
        <v/>
      </c>
      <c r="J328" s="35">
        <f>IF(R328="","",SUMIFS(Fuel!$E$6:$E$605,Fuel!$C$6:$C$605,C328,Fuel!$D$6:$D$605,"&gt;"&amp;R328,Fuel!$D$6:$D$605,"&lt;="&amp;D328))</f>
        <v/>
      </c>
      <c r="K328" s="36">
        <f>IF(OR(I328="",N(I328)=0),"",J328/I328*100)</f>
        <v/>
      </c>
      <c r="L328" s="36">
        <f>IF(OR(J328="",N(J328)=0),"",I328/J328)</f>
        <v/>
      </c>
      <c r="M328" s="1" t="n"/>
      <c r="N328">
        <f>IF(OR(C328="",N(D328)=0),"",D328+ROW()/10000000)</f>
        <v/>
      </c>
      <c r="O328">
        <f>IF(N328="","",COUNTIFS(Fuel!$C$6:$C$605,C328,Fuel!$N$6:$N$605,"&gt;"&amp;N328))</f>
        <v/>
      </c>
      <c r="P328">
        <f>IF(OR(N328="",G328=""),"",COUNTIFS(Fuel!$C$6:$C$605,C328,Fuel!$G$6:$G$605,"&lt;&gt;",Fuel!$N$6:$N$605,"&lt;"&amp;N328))</f>
        <v/>
      </c>
      <c r="R328">
        <f>IF(OR(P328="",N(P328)=0),"",SUMIFS(Fuel!$D$6:$D$605,Fuel!$C$6:$C$605,C328,Fuel!$P$6:$P$605,P328-1))</f>
        <v/>
      </c>
    </row>
    <row r="329">
      <c r="A329" s="1" t="n"/>
      <c r="B329" s="29" t="n"/>
      <c r="C329" s="24" t="n"/>
      <c r="D329" s="28" t="n"/>
      <c r="E329" s="33" t="n"/>
      <c r="F329" s="34" t="n"/>
      <c r="G329" s="27" t="n"/>
      <c r="H329" s="14">
        <f>IF(OR(N(E329)=0,F329=""),"",F329/E329)</f>
        <v/>
      </c>
      <c r="I329" s="11">
        <f>IF(R329="","",D329-R329)</f>
        <v/>
      </c>
      <c r="J329" s="35">
        <f>IF(R329="","",SUMIFS(Fuel!$E$6:$E$605,Fuel!$C$6:$C$605,C329,Fuel!$D$6:$D$605,"&gt;"&amp;R329,Fuel!$D$6:$D$605,"&lt;="&amp;D329))</f>
        <v/>
      </c>
      <c r="K329" s="36">
        <f>IF(OR(I329="",N(I329)=0),"",J329/I329*100)</f>
        <v/>
      </c>
      <c r="L329" s="36">
        <f>IF(OR(J329="",N(J329)=0),"",I329/J329)</f>
        <v/>
      </c>
      <c r="M329" s="1" t="n"/>
      <c r="N329">
        <f>IF(OR(C329="",N(D329)=0),"",D329+ROW()/10000000)</f>
        <v/>
      </c>
      <c r="O329">
        <f>IF(N329="","",COUNTIFS(Fuel!$C$6:$C$605,C329,Fuel!$N$6:$N$605,"&gt;"&amp;N329))</f>
        <v/>
      </c>
      <c r="P329">
        <f>IF(OR(N329="",G329=""),"",COUNTIFS(Fuel!$C$6:$C$605,C329,Fuel!$G$6:$G$605,"&lt;&gt;",Fuel!$N$6:$N$605,"&lt;"&amp;N329))</f>
        <v/>
      </c>
      <c r="R329">
        <f>IF(OR(P329="",N(P329)=0),"",SUMIFS(Fuel!$D$6:$D$605,Fuel!$C$6:$C$605,C329,Fuel!$P$6:$P$605,P329-1))</f>
        <v/>
      </c>
    </row>
    <row r="330">
      <c r="A330" s="1" t="n"/>
      <c r="B330" s="29" t="n"/>
      <c r="C330" s="24" t="n"/>
      <c r="D330" s="28" t="n"/>
      <c r="E330" s="33" t="n"/>
      <c r="F330" s="34" t="n"/>
      <c r="G330" s="27" t="n"/>
      <c r="H330" s="14">
        <f>IF(OR(N(E330)=0,F330=""),"",F330/E330)</f>
        <v/>
      </c>
      <c r="I330" s="11">
        <f>IF(R330="","",D330-R330)</f>
        <v/>
      </c>
      <c r="J330" s="35">
        <f>IF(R330="","",SUMIFS(Fuel!$E$6:$E$605,Fuel!$C$6:$C$605,C330,Fuel!$D$6:$D$605,"&gt;"&amp;R330,Fuel!$D$6:$D$605,"&lt;="&amp;D330))</f>
        <v/>
      </c>
      <c r="K330" s="36">
        <f>IF(OR(I330="",N(I330)=0),"",J330/I330*100)</f>
        <v/>
      </c>
      <c r="L330" s="36">
        <f>IF(OR(J330="",N(J330)=0),"",I330/J330)</f>
        <v/>
      </c>
      <c r="M330" s="1" t="n"/>
      <c r="N330">
        <f>IF(OR(C330="",N(D330)=0),"",D330+ROW()/10000000)</f>
        <v/>
      </c>
      <c r="O330">
        <f>IF(N330="","",COUNTIFS(Fuel!$C$6:$C$605,C330,Fuel!$N$6:$N$605,"&gt;"&amp;N330))</f>
        <v/>
      </c>
      <c r="P330">
        <f>IF(OR(N330="",G330=""),"",COUNTIFS(Fuel!$C$6:$C$605,C330,Fuel!$G$6:$G$605,"&lt;&gt;",Fuel!$N$6:$N$605,"&lt;"&amp;N330))</f>
        <v/>
      </c>
      <c r="R330">
        <f>IF(OR(P330="",N(P330)=0),"",SUMIFS(Fuel!$D$6:$D$605,Fuel!$C$6:$C$605,C330,Fuel!$P$6:$P$605,P330-1))</f>
        <v/>
      </c>
    </row>
    <row r="331">
      <c r="A331" s="1" t="n"/>
      <c r="B331" s="29" t="n"/>
      <c r="C331" s="24" t="n"/>
      <c r="D331" s="28" t="n"/>
      <c r="E331" s="33" t="n"/>
      <c r="F331" s="34" t="n"/>
      <c r="G331" s="27" t="n"/>
      <c r="H331" s="14">
        <f>IF(OR(N(E331)=0,F331=""),"",F331/E331)</f>
        <v/>
      </c>
      <c r="I331" s="11">
        <f>IF(R331="","",D331-R331)</f>
        <v/>
      </c>
      <c r="J331" s="35">
        <f>IF(R331="","",SUMIFS(Fuel!$E$6:$E$605,Fuel!$C$6:$C$605,C331,Fuel!$D$6:$D$605,"&gt;"&amp;R331,Fuel!$D$6:$D$605,"&lt;="&amp;D331))</f>
        <v/>
      </c>
      <c r="K331" s="36">
        <f>IF(OR(I331="",N(I331)=0),"",J331/I331*100)</f>
        <v/>
      </c>
      <c r="L331" s="36">
        <f>IF(OR(J331="",N(J331)=0),"",I331/J331)</f>
        <v/>
      </c>
      <c r="M331" s="1" t="n"/>
      <c r="N331">
        <f>IF(OR(C331="",N(D331)=0),"",D331+ROW()/10000000)</f>
        <v/>
      </c>
      <c r="O331">
        <f>IF(N331="","",COUNTIFS(Fuel!$C$6:$C$605,C331,Fuel!$N$6:$N$605,"&gt;"&amp;N331))</f>
        <v/>
      </c>
      <c r="P331">
        <f>IF(OR(N331="",G331=""),"",COUNTIFS(Fuel!$C$6:$C$605,C331,Fuel!$G$6:$G$605,"&lt;&gt;",Fuel!$N$6:$N$605,"&lt;"&amp;N331))</f>
        <v/>
      </c>
      <c r="R331">
        <f>IF(OR(P331="",N(P331)=0),"",SUMIFS(Fuel!$D$6:$D$605,Fuel!$C$6:$C$605,C331,Fuel!$P$6:$P$605,P331-1))</f>
        <v/>
      </c>
    </row>
    <row r="332">
      <c r="A332" s="1" t="n"/>
      <c r="B332" s="29" t="n"/>
      <c r="C332" s="24" t="n"/>
      <c r="D332" s="28" t="n"/>
      <c r="E332" s="33" t="n"/>
      <c r="F332" s="34" t="n"/>
      <c r="G332" s="27" t="n"/>
      <c r="H332" s="14">
        <f>IF(OR(N(E332)=0,F332=""),"",F332/E332)</f>
        <v/>
      </c>
      <c r="I332" s="11">
        <f>IF(R332="","",D332-R332)</f>
        <v/>
      </c>
      <c r="J332" s="35">
        <f>IF(R332="","",SUMIFS(Fuel!$E$6:$E$605,Fuel!$C$6:$C$605,C332,Fuel!$D$6:$D$605,"&gt;"&amp;R332,Fuel!$D$6:$D$605,"&lt;="&amp;D332))</f>
        <v/>
      </c>
      <c r="K332" s="36">
        <f>IF(OR(I332="",N(I332)=0),"",J332/I332*100)</f>
        <v/>
      </c>
      <c r="L332" s="36">
        <f>IF(OR(J332="",N(J332)=0),"",I332/J332)</f>
        <v/>
      </c>
      <c r="M332" s="1" t="n"/>
      <c r="N332">
        <f>IF(OR(C332="",N(D332)=0),"",D332+ROW()/10000000)</f>
        <v/>
      </c>
      <c r="O332">
        <f>IF(N332="","",COUNTIFS(Fuel!$C$6:$C$605,C332,Fuel!$N$6:$N$605,"&gt;"&amp;N332))</f>
        <v/>
      </c>
      <c r="P332">
        <f>IF(OR(N332="",G332=""),"",COUNTIFS(Fuel!$C$6:$C$605,C332,Fuel!$G$6:$G$605,"&lt;&gt;",Fuel!$N$6:$N$605,"&lt;"&amp;N332))</f>
        <v/>
      </c>
      <c r="R332">
        <f>IF(OR(P332="",N(P332)=0),"",SUMIFS(Fuel!$D$6:$D$605,Fuel!$C$6:$C$605,C332,Fuel!$P$6:$P$605,P332-1))</f>
        <v/>
      </c>
    </row>
    <row r="333">
      <c r="A333" s="1" t="n"/>
      <c r="B333" s="29" t="n"/>
      <c r="C333" s="24" t="n"/>
      <c r="D333" s="28" t="n"/>
      <c r="E333" s="33" t="n"/>
      <c r="F333" s="34" t="n"/>
      <c r="G333" s="27" t="n"/>
      <c r="H333" s="14">
        <f>IF(OR(N(E333)=0,F333=""),"",F333/E333)</f>
        <v/>
      </c>
      <c r="I333" s="11">
        <f>IF(R333="","",D333-R333)</f>
        <v/>
      </c>
      <c r="J333" s="35">
        <f>IF(R333="","",SUMIFS(Fuel!$E$6:$E$605,Fuel!$C$6:$C$605,C333,Fuel!$D$6:$D$605,"&gt;"&amp;R333,Fuel!$D$6:$D$605,"&lt;="&amp;D333))</f>
        <v/>
      </c>
      <c r="K333" s="36">
        <f>IF(OR(I333="",N(I333)=0),"",J333/I333*100)</f>
        <v/>
      </c>
      <c r="L333" s="36">
        <f>IF(OR(J333="",N(J333)=0),"",I333/J333)</f>
        <v/>
      </c>
      <c r="M333" s="1" t="n"/>
      <c r="N333">
        <f>IF(OR(C333="",N(D333)=0),"",D333+ROW()/10000000)</f>
        <v/>
      </c>
      <c r="O333">
        <f>IF(N333="","",COUNTIFS(Fuel!$C$6:$C$605,C333,Fuel!$N$6:$N$605,"&gt;"&amp;N333))</f>
        <v/>
      </c>
      <c r="P333">
        <f>IF(OR(N333="",G333=""),"",COUNTIFS(Fuel!$C$6:$C$605,C333,Fuel!$G$6:$G$605,"&lt;&gt;",Fuel!$N$6:$N$605,"&lt;"&amp;N333))</f>
        <v/>
      </c>
      <c r="R333">
        <f>IF(OR(P333="",N(P333)=0),"",SUMIFS(Fuel!$D$6:$D$605,Fuel!$C$6:$C$605,C333,Fuel!$P$6:$P$605,P333-1))</f>
        <v/>
      </c>
    </row>
    <row r="334">
      <c r="A334" s="1" t="n"/>
      <c r="B334" s="29" t="n"/>
      <c r="C334" s="24" t="n"/>
      <c r="D334" s="28" t="n"/>
      <c r="E334" s="33" t="n"/>
      <c r="F334" s="34" t="n"/>
      <c r="G334" s="27" t="n"/>
      <c r="H334" s="14">
        <f>IF(OR(N(E334)=0,F334=""),"",F334/E334)</f>
        <v/>
      </c>
      <c r="I334" s="11">
        <f>IF(R334="","",D334-R334)</f>
        <v/>
      </c>
      <c r="J334" s="35">
        <f>IF(R334="","",SUMIFS(Fuel!$E$6:$E$605,Fuel!$C$6:$C$605,C334,Fuel!$D$6:$D$605,"&gt;"&amp;R334,Fuel!$D$6:$D$605,"&lt;="&amp;D334))</f>
        <v/>
      </c>
      <c r="K334" s="36">
        <f>IF(OR(I334="",N(I334)=0),"",J334/I334*100)</f>
        <v/>
      </c>
      <c r="L334" s="36">
        <f>IF(OR(J334="",N(J334)=0),"",I334/J334)</f>
        <v/>
      </c>
      <c r="M334" s="1" t="n"/>
      <c r="N334">
        <f>IF(OR(C334="",N(D334)=0),"",D334+ROW()/10000000)</f>
        <v/>
      </c>
      <c r="O334">
        <f>IF(N334="","",COUNTIFS(Fuel!$C$6:$C$605,C334,Fuel!$N$6:$N$605,"&gt;"&amp;N334))</f>
        <v/>
      </c>
      <c r="P334">
        <f>IF(OR(N334="",G334=""),"",COUNTIFS(Fuel!$C$6:$C$605,C334,Fuel!$G$6:$G$605,"&lt;&gt;",Fuel!$N$6:$N$605,"&lt;"&amp;N334))</f>
        <v/>
      </c>
      <c r="R334">
        <f>IF(OR(P334="",N(P334)=0),"",SUMIFS(Fuel!$D$6:$D$605,Fuel!$C$6:$C$605,C334,Fuel!$P$6:$P$605,P334-1))</f>
        <v/>
      </c>
    </row>
    <row r="335">
      <c r="A335" s="1" t="n"/>
      <c r="B335" s="29" t="n"/>
      <c r="C335" s="24" t="n"/>
      <c r="D335" s="28" t="n"/>
      <c r="E335" s="33" t="n"/>
      <c r="F335" s="34" t="n"/>
      <c r="G335" s="27" t="n"/>
      <c r="H335" s="14">
        <f>IF(OR(N(E335)=0,F335=""),"",F335/E335)</f>
        <v/>
      </c>
      <c r="I335" s="11">
        <f>IF(R335="","",D335-R335)</f>
        <v/>
      </c>
      <c r="J335" s="35">
        <f>IF(R335="","",SUMIFS(Fuel!$E$6:$E$605,Fuel!$C$6:$C$605,C335,Fuel!$D$6:$D$605,"&gt;"&amp;R335,Fuel!$D$6:$D$605,"&lt;="&amp;D335))</f>
        <v/>
      </c>
      <c r="K335" s="36">
        <f>IF(OR(I335="",N(I335)=0),"",J335/I335*100)</f>
        <v/>
      </c>
      <c r="L335" s="36">
        <f>IF(OR(J335="",N(J335)=0),"",I335/J335)</f>
        <v/>
      </c>
      <c r="M335" s="1" t="n"/>
      <c r="N335">
        <f>IF(OR(C335="",N(D335)=0),"",D335+ROW()/10000000)</f>
        <v/>
      </c>
      <c r="O335">
        <f>IF(N335="","",COUNTIFS(Fuel!$C$6:$C$605,C335,Fuel!$N$6:$N$605,"&gt;"&amp;N335))</f>
        <v/>
      </c>
      <c r="P335">
        <f>IF(OR(N335="",G335=""),"",COUNTIFS(Fuel!$C$6:$C$605,C335,Fuel!$G$6:$G$605,"&lt;&gt;",Fuel!$N$6:$N$605,"&lt;"&amp;N335))</f>
        <v/>
      </c>
      <c r="R335">
        <f>IF(OR(P335="",N(P335)=0),"",SUMIFS(Fuel!$D$6:$D$605,Fuel!$C$6:$C$605,C335,Fuel!$P$6:$P$605,P335-1))</f>
        <v/>
      </c>
    </row>
    <row r="336">
      <c r="A336" s="1" t="n"/>
      <c r="B336" s="29" t="n"/>
      <c r="C336" s="24" t="n"/>
      <c r="D336" s="28" t="n"/>
      <c r="E336" s="33" t="n"/>
      <c r="F336" s="34" t="n"/>
      <c r="G336" s="27" t="n"/>
      <c r="H336" s="14">
        <f>IF(OR(N(E336)=0,F336=""),"",F336/E336)</f>
        <v/>
      </c>
      <c r="I336" s="11">
        <f>IF(R336="","",D336-R336)</f>
        <v/>
      </c>
      <c r="J336" s="35">
        <f>IF(R336="","",SUMIFS(Fuel!$E$6:$E$605,Fuel!$C$6:$C$605,C336,Fuel!$D$6:$D$605,"&gt;"&amp;R336,Fuel!$D$6:$D$605,"&lt;="&amp;D336))</f>
        <v/>
      </c>
      <c r="K336" s="36">
        <f>IF(OR(I336="",N(I336)=0),"",J336/I336*100)</f>
        <v/>
      </c>
      <c r="L336" s="36">
        <f>IF(OR(J336="",N(J336)=0),"",I336/J336)</f>
        <v/>
      </c>
      <c r="M336" s="1" t="n"/>
      <c r="N336">
        <f>IF(OR(C336="",N(D336)=0),"",D336+ROW()/10000000)</f>
        <v/>
      </c>
      <c r="O336">
        <f>IF(N336="","",COUNTIFS(Fuel!$C$6:$C$605,C336,Fuel!$N$6:$N$605,"&gt;"&amp;N336))</f>
        <v/>
      </c>
      <c r="P336">
        <f>IF(OR(N336="",G336=""),"",COUNTIFS(Fuel!$C$6:$C$605,C336,Fuel!$G$6:$G$605,"&lt;&gt;",Fuel!$N$6:$N$605,"&lt;"&amp;N336))</f>
        <v/>
      </c>
      <c r="R336">
        <f>IF(OR(P336="",N(P336)=0),"",SUMIFS(Fuel!$D$6:$D$605,Fuel!$C$6:$C$605,C336,Fuel!$P$6:$P$605,P336-1))</f>
        <v/>
      </c>
    </row>
    <row r="337">
      <c r="A337" s="1" t="n"/>
      <c r="B337" s="29" t="n"/>
      <c r="C337" s="24" t="n"/>
      <c r="D337" s="28" t="n"/>
      <c r="E337" s="33" t="n"/>
      <c r="F337" s="34" t="n"/>
      <c r="G337" s="27" t="n"/>
      <c r="H337" s="14">
        <f>IF(OR(N(E337)=0,F337=""),"",F337/E337)</f>
        <v/>
      </c>
      <c r="I337" s="11">
        <f>IF(R337="","",D337-R337)</f>
        <v/>
      </c>
      <c r="J337" s="35">
        <f>IF(R337="","",SUMIFS(Fuel!$E$6:$E$605,Fuel!$C$6:$C$605,C337,Fuel!$D$6:$D$605,"&gt;"&amp;R337,Fuel!$D$6:$D$605,"&lt;="&amp;D337))</f>
        <v/>
      </c>
      <c r="K337" s="36">
        <f>IF(OR(I337="",N(I337)=0),"",J337/I337*100)</f>
        <v/>
      </c>
      <c r="L337" s="36">
        <f>IF(OR(J337="",N(J337)=0),"",I337/J337)</f>
        <v/>
      </c>
      <c r="M337" s="1" t="n"/>
      <c r="N337">
        <f>IF(OR(C337="",N(D337)=0),"",D337+ROW()/10000000)</f>
        <v/>
      </c>
      <c r="O337">
        <f>IF(N337="","",COUNTIFS(Fuel!$C$6:$C$605,C337,Fuel!$N$6:$N$605,"&gt;"&amp;N337))</f>
        <v/>
      </c>
      <c r="P337">
        <f>IF(OR(N337="",G337=""),"",COUNTIFS(Fuel!$C$6:$C$605,C337,Fuel!$G$6:$G$605,"&lt;&gt;",Fuel!$N$6:$N$605,"&lt;"&amp;N337))</f>
        <v/>
      </c>
      <c r="R337">
        <f>IF(OR(P337="",N(P337)=0),"",SUMIFS(Fuel!$D$6:$D$605,Fuel!$C$6:$C$605,C337,Fuel!$P$6:$P$605,P337-1))</f>
        <v/>
      </c>
    </row>
    <row r="338">
      <c r="A338" s="1" t="n"/>
      <c r="B338" s="29" t="n"/>
      <c r="C338" s="24" t="n"/>
      <c r="D338" s="28" t="n"/>
      <c r="E338" s="33" t="n"/>
      <c r="F338" s="34" t="n"/>
      <c r="G338" s="27" t="n"/>
      <c r="H338" s="14">
        <f>IF(OR(N(E338)=0,F338=""),"",F338/E338)</f>
        <v/>
      </c>
      <c r="I338" s="11">
        <f>IF(R338="","",D338-R338)</f>
        <v/>
      </c>
      <c r="J338" s="35">
        <f>IF(R338="","",SUMIFS(Fuel!$E$6:$E$605,Fuel!$C$6:$C$605,C338,Fuel!$D$6:$D$605,"&gt;"&amp;R338,Fuel!$D$6:$D$605,"&lt;="&amp;D338))</f>
        <v/>
      </c>
      <c r="K338" s="36">
        <f>IF(OR(I338="",N(I338)=0),"",J338/I338*100)</f>
        <v/>
      </c>
      <c r="L338" s="36">
        <f>IF(OR(J338="",N(J338)=0),"",I338/J338)</f>
        <v/>
      </c>
      <c r="M338" s="1" t="n"/>
      <c r="N338">
        <f>IF(OR(C338="",N(D338)=0),"",D338+ROW()/10000000)</f>
        <v/>
      </c>
      <c r="O338">
        <f>IF(N338="","",COUNTIFS(Fuel!$C$6:$C$605,C338,Fuel!$N$6:$N$605,"&gt;"&amp;N338))</f>
        <v/>
      </c>
      <c r="P338">
        <f>IF(OR(N338="",G338=""),"",COUNTIFS(Fuel!$C$6:$C$605,C338,Fuel!$G$6:$G$605,"&lt;&gt;",Fuel!$N$6:$N$605,"&lt;"&amp;N338))</f>
        <v/>
      </c>
      <c r="R338">
        <f>IF(OR(P338="",N(P338)=0),"",SUMIFS(Fuel!$D$6:$D$605,Fuel!$C$6:$C$605,C338,Fuel!$P$6:$P$605,P338-1))</f>
        <v/>
      </c>
    </row>
    <row r="339">
      <c r="A339" s="1" t="n"/>
      <c r="B339" s="29" t="n"/>
      <c r="C339" s="24" t="n"/>
      <c r="D339" s="28" t="n"/>
      <c r="E339" s="33" t="n"/>
      <c r="F339" s="34" t="n"/>
      <c r="G339" s="27" t="n"/>
      <c r="H339" s="14">
        <f>IF(OR(N(E339)=0,F339=""),"",F339/E339)</f>
        <v/>
      </c>
      <c r="I339" s="11">
        <f>IF(R339="","",D339-R339)</f>
        <v/>
      </c>
      <c r="J339" s="35">
        <f>IF(R339="","",SUMIFS(Fuel!$E$6:$E$605,Fuel!$C$6:$C$605,C339,Fuel!$D$6:$D$605,"&gt;"&amp;R339,Fuel!$D$6:$D$605,"&lt;="&amp;D339))</f>
        <v/>
      </c>
      <c r="K339" s="36">
        <f>IF(OR(I339="",N(I339)=0),"",J339/I339*100)</f>
        <v/>
      </c>
      <c r="L339" s="36">
        <f>IF(OR(J339="",N(J339)=0),"",I339/J339)</f>
        <v/>
      </c>
      <c r="M339" s="1" t="n"/>
      <c r="N339">
        <f>IF(OR(C339="",N(D339)=0),"",D339+ROW()/10000000)</f>
        <v/>
      </c>
      <c r="O339">
        <f>IF(N339="","",COUNTIFS(Fuel!$C$6:$C$605,C339,Fuel!$N$6:$N$605,"&gt;"&amp;N339))</f>
        <v/>
      </c>
      <c r="P339">
        <f>IF(OR(N339="",G339=""),"",COUNTIFS(Fuel!$C$6:$C$605,C339,Fuel!$G$6:$G$605,"&lt;&gt;",Fuel!$N$6:$N$605,"&lt;"&amp;N339))</f>
        <v/>
      </c>
      <c r="R339">
        <f>IF(OR(P339="",N(P339)=0),"",SUMIFS(Fuel!$D$6:$D$605,Fuel!$C$6:$C$605,C339,Fuel!$P$6:$P$605,P339-1))</f>
        <v/>
      </c>
    </row>
    <row r="340">
      <c r="A340" s="1" t="n"/>
      <c r="B340" s="29" t="n"/>
      <c r="C340" s="24" t="n"/>
      <c r="D340" s="28" t="n"/>
      <c r="E340" s="33" t="n"/>
      <c r="F340" s="34" t="n"/>
      <c r="G340" s="27" t="n"/>
      <c r="H340" s="14">
        <f>IF(OR(N(E340)=0,F340=""),"",F340/E340)</f>
        <v/>
      </c>
      <c r="I340" s="11">
        <f>IF(R340="","",D340-R340)</f>
        <v/>
      </c>
      <c r="J340" s="35">
        <f>IF(R340="","",SUMIFS(Fuel!$E$6:$E$605,Fuel!$C$6:$C$605,C340,Fuel!$D$6:$D$605,"&gt;"&amp;R340,Fuel!$D$6:$D$605,"&lt;="&amp;D340))</f>
        <v/>
      </c>
      <c r="K340" s="36">
        <f>IF(OR(I340="",N(I340)=0),"",J340/I340*100)</f>
        <v/>
      </c>
      <c r="L340" s="36">
        <f>IF(OR(J340="",N(J340)=0),"",I340/J340)</f>
        <v/>
      </c>
      <c r="M340" s="1" t="n"/>
      <c r="N340">
        <f>IF(OR(C340="",N(D340)=0),"",D340+ROW()/10000000)</f>
        <v/>
      </c>
      <c r="O340">
        <f>IF(N340="","",COUNTIFS(Fuel!$C$6:$C$605,C340,Fuel!$N$6:$N$605,"&gt;"&amp;N340))</f>
        <v/>
      </c>
      <c r="P340">
        <f>IF(OR(N340="",G340=""),"",COUNTIFS(Fuel!$C$6:$C$605,C340,Fuel!$G$6:$G$605,"&lt;&gt;",Fuel!$N$6:$N$605,"&lt;"&amp;N340))</f>
        <v/>
      </c>
      <c r="R340">
        <f>IF(OR(P340="",N(P340)=0),"",SUMIFS(Fuel!$D$6:$D$605,Fuel!$C$6:$C$605,C340,Fuel!$P$6:$P$605,P340-1))</f>
        <v/>
      </c>
    </row>
    <row r="341">
      <c r="A341" s="1" t="n"/>
      <c r="B341" s="29" t="n"/>
      <c r="C341" s="24" t="n"/>
      <c r="D341" s="28" t="n"/>
      <c r="E341" s="33" t="n"/>
      <c r="F341" s="34" t="n"/>
      <c r="G341" s="27" t="n"/>
      <c r="H341" s="14">
        <f>IF(OR(N(E341)=0,F341=""),"",F341/E341)</f>
        <v/>
      </c>
      <c r="I341" s="11">
        <f>IF(R341="","",D341-R341)</f>
        <v/>
      </c>
      <c r="J341" s="35">
        <f>IF(R341="","",SUMIFS(Fuel!$E$6:$E$605,Fuel!$C$6:$C$605,C341,Fuel!$D$6:$D$605,"&gt;"&amp;R341,Fuel!$D$6:$D$605,"&lt;="&amp;D341))</f>
        <v/>
      </c>
      <c r="K341" s="36">
        <f>IF(OR(I341="",N(I341)=0),"",J341/I341*100)</f>
        <v/>
      </c>
      <c r="L341" s="36">
        <f>IF(OR(J341="",N(J341)=0),"",I341/J341)</f>
        <v/>
      </c>
      <c r="M341" s="1" t="n"/>
      <c r="N341">
        <f>IF(OR(C341="",N(D341)=0),"",D341+ROW()/10000000)</f>
        <v/>
      </c>
      <c r="O341">
        <f>IF(N341="","",COUNTIFS(Fuel!$C$6:$C$605,C341,Fuel!$N$6:$N$605,"&gt;"&amp;N341))</f>
        <v/>
      </c>
      <c r="P341">
        <f>IF(OR(N341="",G341=""),"",COUNTIFS(Fuel!$C$6:$C$605,C341,Fuel!$G$6:$G$605,"&lt;&gt;",Fuel!$N$6:$N$605,"&lt;"&amp;N341))</f>
        <v/>
      </c>
      <c r="R341">
        <f>IF(OR(P341="",N(P341)=0),"",SUMIFS(Fuel!$D$6:$D$605,Fuel!$C$6:$C$605,C341,Fuel!$P$6:$P$605,P341-1))</f>
        <v/>
      </c>
    </row>
    <row r="342">
      <c r="A342" s="1" t="n"/>
      <c r="B342" s="29" t="n"/>
      <c r="C342" s="24" t="n"/>
      <c r="D342" s="28" t="n"/>
      <c r="E342" s="33" t="n"/>
      <c r="F342" s="34" t="n"/>
      <c r="G342" s="27" t="n"/>
      <c r="H342" s="14">
        <f>IF(OR(N(E342)=0,F342=""),"",F342/E342)</f>
        <v/>
      </c>
      <c r="I342" s="11">
        <f>IF(R342="","",D342-R342)</f>
        <v/>
      </c>
      <c r="J342" s="35">
        <f>IF(R342="","",SUMIFS(Fuel!$E$6:$E$605,Fuel!$C$6:$C$605,C342,Fuel!$D$6:$D$605,"&gt;"&amp;R342,Fuel!$D$6:$D$605,"&lt;="&amp;D342))</f>
        <v/>
      </c>
      <c r="K342" s="36">
        <f>IF(OR(I342="",N(I342)=0),"",J342/I342*100)</f>
        <v/>
      </c>
      <c r="L342" s="36">
        <f>IF(OR(J342="",N(J342)=0),"",I342/J342)</f>
        <v/>
      </c>
      <c r="M342" s="1" t="n"/>
      <c r="N342">
        <f>IF(OR(C342="",N(D342)=0),"",D342+ROW()/10000000)</f>
        <v/>
      </c>
      <c r="O342">
        <f>IF(N342="","",COUNTIFS(Fuel!$C$6:$C$605,C342,Fuel!$N$6:$N$605,"&gt;"&amp;N342))</f>
        <v/>
      </c>
      <c r="P342">
        <f>IF(OR(N342="",G342=""),"",COUNTIFS(Fuel!$C$6:$C$605,C342,Fuel!$G$6:$G$605,"&lt;&gt;",Fuel!$N$6:$N$605,"&lt;"&amp;N342))</f>
        <v/>
      </c>
      <c r="R342">
        <f>IF(OR(P342="",N(P342)=0),"",SUMIFS(Fuel!$D$6:$D$605,Fuel!$C$6:$C$605,C342,Fuel!$P$6:$P$605,P342-1))</f>
        <v/>
      </c>
    </row>
    <row r="343">
      <c r="A343" s="1" t="n"/>
      <c r="B343" s="29" t="n"/>
      <c r="C343" s="24" t="n"/>
      <c r="D343" s="28" t="n"/>
      <c r="E343" s="33" t="n"/>
      <c r="F343" s="34" t="n"/>
      <c r="G343" s="27" t="n"/>
      <c r="H343" s="14">
        <f>IF(OR(N(E343)=0,F343=""),"",F343/E343)</f>
        <v/>
      </c>
      <c r="I343" s="11">
        <f>IF(R343="","",D343-R343)</f>
        <v/>
      </c>
      <c r="J343" s="35">
        <f>IF(R343="","",SUMIFS(Fuel!$E$6:$E$605,Fuel!$C$6:$C$605,C343,Fuel!$D$6:$D$605,"&gt;"&amp;R343,Fuel!$D$6:$D$605,"&lt;="&amp;D343))</f>
        <v/>
      </c>
      <c r="K343" s="36">
        <f>IF(OR(I343="",N(I343)=0),"",J343/I343*100)</f>
        <v/>
      </c>
      <c r="L343" s="36">
        <f>IF(OR(J343="",N(J343)=0),"",I343/J343)</f>
        <v/>
      </c>
      <c r="M343" s="1" t="n"/>
      <c r="N343">
        <f>IF(OR(C343="",N(D343)=0),"",D343+ROW()/10000000)</f>
        <v/>
      </c>
      <c r="O343">
        <f>IF(N343="","",COUNTIFS(Fuel!$C$6:$C$605,C343,Fuel!$N$6:$N$605,"&gt;"&amp;N343))</f>
        <v/>
      </c>
      <c r="P343">
        <f>IF(OR(N343="",G343=""),"",COUNTIFS(Fuel!$C$6:$C$605,C343,Fuel!$G$6:$G$605,"&lt;&gt;",Fuel!$N$6:$N$605,"&lt;"&amp;N343))</f>
        <v/>
      </c>
      <c r="R343">
        <f>IF(OR(P343="",N(P343)=0),"",SUMIFS(Fuel!$D$6:$D$605,Fuel!$C$6:$C$605,C343,Fuel!$P$6:$P$605,P343-1))</f>
        <v/>
      </c>
    </row>
    <row r="344">
      <c r="A344" s="1" t="n"/>
      <c r="B344" s="29" t="n"/>
      <c r="C344" s="24" t="n"/>
      <c r="D344" s="28" t="n"/>
      <c r="E344" s="33" t="n"/>
      <c r="F344" s="34" t="n"/>
      <c r="G344" s="27" t="n"/>
      <c r="H344" s="14">
        <f>IF(OR(N(E344)=0,F344=""),"",F344/E344)</f>
        <v/>
      </c>
      <c r="I344" s="11">
        <f>IF(R344="","",D344-R344)</f>
        <v/>
      </c>
      <c r="J344" s="35">
        <f>IF(R344="","",SUMIFS(Fuel!$E$6:$E$605,Fuel!$C$6:$C$605,C344,Fuel!$D$6:$D$605,"&gt;"&amp;R344,Fuel!$D$6:$D$605,"&lt;="&amp;D344))</f>
        <v/>
      </c>
      <c r="K344" s="36">
        <f>IF(OR(I344="",N(I344)=0),"",J344/I344*100)</f>
        <v/>
      </c>
      <c r="L344" s="36">
        <f>IF(OR(J344="",N(J344)=0),"",I344/J344)</f>
        <v/>
      </c>
      <c r="M344" s="1" t="n"/>
      <c r="N344">
        <f>IF(OR(C344="",N(D344)=0),"",D344+ROW()/10000000)</f>
        <v/>
      </c>
      <c r="O344">
        <f>IF(N344="","",COUNTIFS(Fuel!$C$6:$C$605,C344,Fuel!$N$6:$N$605,"&gt;"&amp;N344))</f>
        <v/>
      </c>
      <c r="P344">
        <f>IF(OR(N344="",G344=""),"",COUNTIFS(Fuel!$C$6:$C$605,C344,Fuel!$G$6:$G$605,"&lt;&gt;",Fuel!$N$6:$N$605,"&lt;"&amp;N344))</f>
        <v/>
      </c>
      <c r="R344">
        <f>IF(OR(P344="",N(P344)=0),"",SUMIFS(Fuel!$D$6:$D$605,Fuel!$C$6:$C$605,C344,Fuel!$P$6:$P$605,P344-1))</f>
        <v/>
      </c>
    </row>
    <row r="345">
      <c r="A345" s="1" t="n"/>
      <c r="B345" s="29" t="n"/>
      <c r="C345" s="24" t="n"/>
      <c r="D345" s="28" t="n"/>
      <c r="E345" s="33" t="n"/>
      <c r="F345" s="34" t="n"/>
      <c r="G345" s="27" t="n"/>
      <c r="H345" s="14">
        <f>IF(OR(N(E345)=0,F345=""),"",F345/E345)</f>
        <v/>
      </c>
      <c r="I345" s="11">
        <f>IF(R345="","",D345-R345)</f>
        <v/>
      </c>
      <c r="J345" s="35">
        <f>IF(R345="","",SUMIFS(Fuel!$E$6:$E$605,Fuel!$C$6:$C$605,C345,Fuel!$D$6:$D$605,"&gt;"&amp;R345,Fuel!$D$6:$D$605,"&lt;="&amp;D345))</f>
        <v/>
      </c>
      <c r="K345" s="36">
        <f>IF(OR(I345="",N(I345)=0),"",J345/I345*100)</f>
        <v/>
      </c>
      <c r="L345" s="36">
        <f>IF(OR(J345="",N(J345)=0),"",I345/J345)</f>
        <v/>
      </c>
      <c r="M345" s="1" t="n"/>
      <c r="N345">
        <f>IF(OR(C345="",N(D345)=0),"",D345+ROW()/10000000)</f>
        <v/>
      </c>
      <c r="O345">
        <f>IF(N345="","",COUNTIFS(Fuel!$C$6:$C$605,C345,Fuel!$N$6:$N$605,"&gt;"&amp;N345))</f>
        <v/>
      </c>
      <c r="P345">
        <f>IF(OR(N345="",G345=""),"",COUNTIFS(Fuel!$C$6:$C$605,C345,Fuel!$G$6:$G$605,"&lt;&gt;",Fuel!$N$6:$N$605,"&lt;"&amp;N345))</f>
        <v/>
      </c>
      <c r="R345">
        <f>IF(OR(P345="",N(P345)=0),"",SUMIFS(Fuel!$D$6:$D$605,Fuel!$C$6:$C$605,C345,Fuel!$P$6:$P$605,P345-1))</f>
        <v/>
      </c>
    </row>
    <row r="346">
      <c r="A346" s="1" t="n"/>
      <c r="B346" s="29" t="n"/>
      <c r="C346" s="24" t="n"/>
      <c r="D346" s="28" t="n"/>
      <c r="E346" s="33" t="n"/>
      <c r="F346" s="34" t="n"/>
      <c r="G346" s="27" t="n"/>
      <c r="H346" s="14">
        <f>IF(OR(N(E346)=0,F346=""),"",F346/E346)</f>
        <v/>
      </c>
      <c r="I346" s="11">
        <f>IF(R346="","",D346-R346)</f>
        <v/>
      </c>
      <c r="J346" s="35">
        <f>IF(R346="","",SUMIFS(Fuel!$E$6:$E$605,Fuel!$C$6:$C$605,C346,Fuel!$D$6:$D$605,"&gt;"&amp;R346,Fuel!$D$6:$D$605,"&lt;="&amp;D346))</f>
        <v/>
      </c>
      <c r="K346" s="36">
        <f>IF(OR(I346="",N(I346)=0),"",J346/I346*100)</f>
        <v/>
      </c>
      <c r="L346" s="36">
        <f>IF(OR(J346="",N(J346)=0),"",I346/J346)</f>
        <v/>
      </c>
      <c r="M346" s="1" t="n"/>
      <c r="N346">
        <f>IF(OR(C346="",N(D346)=0),"",D346+ROW()/10000000)</f>
        <v/>
      </c>
      <c r="O346">
        <f>IF(N346="","",COUNTIFS(Fuel!$C$6:$C$605,C346,Fuel!$N$6:$N$605,"&gt;"&amp;N346))</f>
        <v/>
      </c>
      <c r="P346">
        <f>IF(OR(N346="",G346=""),"",COUNTIFS(Fuel!$C$6:$C$605,C346,Fuel!$G$6:$G$605,"&lt;&gt;",Fuel!$N$6:$N$605,"&lt;"&amp;N346))</f>
        <v/>
      </c>
      <c r="R346">
        <f>IF(OR(P346="",N(P346)=0),"",SUMIFS(Fuel!$D$6:$D$605,Fuel!$C$6:$C$605,C346,Fuel!$P$6:$P$605,P346-1))</f>
        <v/>
      </c>
    </row>
    <row r="347">
      <c r="A347" s="1" t="n"/>
      <c r="B347" s="29" t="n"/>
      <c r="C347" s="24" t="n"/>
      <c r="D347" s="28" t="n"/>
      <c r="E347" s="33" t="n"/>
      <c r="F347" s="34" t="n"/>
      <c r="G347" s="27" t="n"/>
      <c r="H347" s="14">
        <f>IF(OR(N(E347)=0,F347=""),"",F347/E347)</f>
        <v/>
      </c>
      <c r="I347" s="11">
        <f>IF(R347="","",D347-R347)</f>
        <v/>
      </c>
      <c r="J347" s="35">
        <f>IF(R347="","",SUMIFS(Fuel!$E$6:$E$605,Fuel!$C$6:$C$605,C347,Fuel!$D$6:$D$605,"&gt;"&amp;R347,Fuel!$D$6:$D$605,"&lt;="&amp;D347))</f>
        <v/>
      </c>
      <c r="K347" s="36">
        <f>IF(OR(I347="",N(I347)=0),"",J347/I347*100)</f>
        <v/>
      </c>
      <c r="L347" s="36">
        <f>IF(OR(J347="",N(J347)=0),"",I347/J347)</f>
        <v/>
      </c>
      <c r="M347" s="1" t="n"/>
      <c r="N347">
        <f>IF(OR(C347="",N(D347)=0),"",D347+ROW()/10000000)</f>
        <v/>
      </c>
      <c r="O347">
        <f>IF(N347="","",COUNTIFS(Fuel!$C$6:$C$605,C347,Fuel!$N$6:$N$605,"&gt;"&amp;N347))</f>
        <v/>
      </c>
      <c r="P347">
        <f>IF(OR(N347="",G347=""),"",COUNTIFS(Fuel!$C$6:$C$605,C347,Fuel!$G$6:$G$605,"&lt;&gt;",Fuel!$N$6:$N$605,"&lt;"&amp;N347))</f>
        <v/>
      </c>
      <c r="R347">
        <f>IF(OR(P347="",N(P347)=0),"",SUMIFS(Fuel!$D$6:$D$605,Fuel!$C$6:$C$605,C347,Fuel!$P$6:$P$605,P347-1))</f>
        <v/>
      </c>
    </row>
    <row r="348">
      <c r="A348" s="1" t="n"/>
      <c r="B348" s="29" t="n"/>
      <c r="C348" s="24" t="n"/>
      <c r="D348" s="28" t="n"/>
      <c r="E348" s="33" t="n"/>
      <c r="F348" s="34" t="n"/>
      <c r="G348" s="27" t="n"/>
      <c r="H348" s="14">
        <f>IF(OR(N(E348)=0,F348=""),"",F348/E348)</f>
        <v/>
      </c>
      <c r="I348" s="11">
        <f>IF(R348="","",D348-R348)</f>
        <v/>
      </c>
      <c r="J348" s="35">
        <f>IF(R348="","",SUMIFS(Fuel!$E$6:$E$605,Fuel!$C$6:$C$605,C348,Fuel!$D$6:$D$605,"&gt;"&amp;R348,Fuel!$D$6:$D$605,"&lt;="&amp;D348))</f>
        <v/>
      </c>
      <c r="K348" s="36">
        <f>IF(OR(I348="",N(I348)=0),"",J348/I348*100)</f>
        <v/>
      </c>
      <c r="L348" s="36">
        <f>IF(OR(J348="",N(J348)=0),"",I348/J348)</f>
        <v/>
      </c>
      <c r="M348" s="1" t="n"/>
      <c r="N348">
        <f>IF(OR(C348="",N(D348)=0),"",D348+ROW()/10000000)</f>
        <v/>
      </c>
      <c r="O348">
        <f>IF(N348="","",COUNTIFS(Fuel!$C$6:$C$605,C348,Fuel!$N$6:$N$605,"&gt;"&amp;N348))</f>
        <v/>
      </c>
      <c r="P348">
        <f>IF(OR(N348="",G348=""),"",COUNTIFS(Fuel!$C$6:$C$605,C348,Fuel!$G$6:$G$605,"&lt;&gt;",Fuel!$N$6:$N$605,"&lt;"&amp;N348))</f>
        <v/>
      </c>
      <c r="R348">
        <f>IF(OR(P348="",N(P348)=0),"",SUMIFS(Fuel!$D$6:$D$605,Fuel!$C$6:$C$605,C348,Fuel!$P$6:$P$605,P348-1))</f>
        <v/>
      </c>
    </row>
    <row r="349">
      <c r="A349" s="1" t="n"/>
      <c r="B349" s="29" t="n"/>
      <c r="C349" s="24" t="n"/>
      <c r="D349" s="28" t="n"/>
      <c r="E349" s="33" t="n"/>
      <c r="F349" s="34" t="n"/>
      <c r="G349" s="27" t="n"/>
      <c r="H349" s="14">
        <f>IF(OR(N(E349)=0,F349=""),"",F349/E349)</f>
        <v/>
      </c>
      <c r="I349" s="11">
        <f>IF(R349="","",D349-R349)</f>
        <v/>
      </c>
      <c r="J349" s="35">
        <f>IF(R349="","",SUMIFS(Fuel!$E$6:$E$605,Fuel!$C$6:$C$605,C349,Fuel!$D$6:$D$605,"&gt;"&amp;R349,Fuel!$D$6:$D$605,"&lt;="&amp;D349))</f>
        <v/>
      </c>
      <c r="K349" s="36">
        <f>IF(OR(I349="",N(I349)=0),"",J349/I349*100)</f>
        <v/>
      </c>
      <c r="L349" s="36">
        <f>IF(OR(J349="",N(J349)=0),"",I349/J349)</f>
        <v/>
      </c>
      <c r="M349" s="1" t="n"/>
      <c r="N349">
        <f>IF(OR(C349="",N(D349)=0),"",D349+ROW()/10000000)</f>
        <v/>
      </c>
      <c r="O349">
        <f>IF(N349="","",COUNTIFS(Fuel!$C$6:$C$605,C349,Fuel!$N$6:$N$605,"&gt;"&amp;N349))</f>
        <v/>
      </c>
      <c r="P349">
        <f>IF(OR(N349="",G349=""),"",COUNTIFS(Fuel!$C$6:$C$605,C349,Fuel!$G$6:$G$605,"&lt;&gt;",Fuel!$N$6:$N$605,"&lt;"&amp;N349))</f>
        <v/>
      </c>
      <c r="R349">
        <f>IF(OR(P349="",N(P349)=0),"",SUMIFS(Fuel!$D$6:$D$605,Fuel!$C$6:$C$605,C349,Fuel!$P$6:$P$605,P349-1))</f>
        <v/>
      </c>
    </row>
    <row r="350">
      <c r="A350" s="1" t="n"/>
      <c r="B350" s="29" t="n"/>
      <c r="C350" s="24" t="n"/>
      <c r="D350" s="28" t="n"/>
      <c r="E350" s="33" t="n"/>
      <c r="F350" s="34" t="n"/>
      <c r="G350" s="27" t="n"/>
      <c r="H350" s="14">
        <f>IF(OR(N(E350)=0,F350=""),"",F350/E350)</f>
        <v/>
      </c>
      <c r="I350" s="11">
        <f>IF(R350="","",D350-R350)</f>
        <v/>
      </c>
      <c r="J350" s="35">
        <f>IF(R350="","",SUMIFS(Fuel!$E$6:$E$605,Fuel!$C$6:$C$605,C350,Fuel!$D$6:$D$605,"&gt;"&amp;R350,Fuel!$D$6:$D$605,"&lt;="&amp;D350))</f>
        <v/>
      </c>
      <c r="K350" s="36">
        <f>IF(OR(I350="",N(I350)=0),"",J350/I350*100)</f>
        <v/>
      </c>
      <c r="L350" s="36">
        <f>IF(OR(J350="",N(J350)=0),"",I350/J350)</f>
        <v/>
      </c>
      <c r="M350" s="1" t="n"/>
      <c r="N350">
        <f>IF(OR(C350="",N(D350)=0),"",D350+ROW()/10000000)</f>
        <v/>
      </c>
      <c r="O350">
        <f>IF(N350="","",COUNTIFS(Fuel!$C$6:$C$605,C350,Fuel!$N$6:$N$605,"&gt;"&amp;N350))</f>
        <v/>
      </c>
      <c r="P350">
        <f>IF(OR(N350="",G350=""),"",COUNTIFS(Fuel!$C$6:$C$605,C350,Fuel!$G$6:$G$605,"&lt;&gt;",Fuel!$N$6:$N$605,"&lt;"&amp;N350))</f>
        <v/>
      </c>
      <c r="R350">
        <f>IF(OR(P350="",N(P350)=0),"",SUMIFS(Fuel!$D$6:$D$605,Fuel!$C$6:$C$605,C350,Fuel!$P$6:$P$605,P350-1))</f>
        <v/>
      </c>
    </row>
    <row r="351">
      <c r="A351" s="1" t="n"/>
      <c r="B351" s="29" t="n"/>
      <c r="C351" s="24" t="n"/>
      <c r="D351" s="28" t="n"/>
      <c r="E351" s="33" t="n"/>
      <c r="F351" s="34" t="n"/>
      <c r="G351" s="27" t="n"/>
      <c r="H351" s="14">
        <f>IF(OR(N(E351)=0,F351=""),"",F351/E351)</f>
        <v/>
      </c>
      <c r="I351" s="11">
        <f>IF(R351="","",D351-R351)</f>
        <v/>
      </c>
      <c r="J351" s="35">
        <f>IF(R351="","",SUMIFS(Fuel!$E$6:$E$605,Fuel!$C$6:$C$605,C351,Fuel!$D$6:$D$605,"&gt;"&amp;R351,Fuel!$D$6:$D$605,"&lt;="&amp;D351))</f>
        <v/>
      </c>
      <c r="K351" s="36">
        <f>IF(OR(I351="",N(I351)=0),"",J351/I351*100)</f>
        <v/>
      </c>
      <c r="L351" s="36">
        <f>IF(OR(J351="",N(J351)=0),"",I351/J351)</f>
        <v/>
      </c>
      <c r="M351" s="1" t="n"/>
      <c r="N351">
        <f>IF(OR(C351="",N(D351)=0),"",D351+ROW()/10000000)</f>
        <v/>
      </c>
      <c r="O351">
        <f>IF(N351="","",COUNTIFS(Fuel!$C$6:$C$605,C351,Fuel!$N$6:$N$605,"&gt;"&amp;N351))</f>
        <v/>
      </c>
      <c r="P351">
        <f>IF(OR(N351="",G351=""),"",COUNTIFS(Fuel!$C$6:$C$605,C351,Fuel!$G$6:$G$605,"&lt;&gt;",Fuel!$N$6:$N$605,"&lt;"&amp;N351))</f>
        <v/>
      </c>
      <c r="R351">
        <f>IF(OR(P351="",N(P351)=0),"",SUMIFS(Fuel!$D$6:$D$605,Fuel!$C$6:$C$605,C351,Fuel!$P$6:$P$605,P351-1))</f>
        <v/>
      </c>
    </row>
    <row r="352">
      <c r="A352" s="1" t="n"/>
      <c r="B352" s="29" t="n"/>
      <c r="C352" s="24" t="n"/>
      <c r="D352" s="28" t="n"/>
      <c r="E352" s="33" t="n"/>
      <c r="F352" s="34" t="n"/>
      <c r="G352" s="27" t="n"/>
      <c r="H352" s="14">
        <f>IF(OR(N(E352)=0,F352=""),"",F352/E352)</f>
        <v/>
      </c>
      <c r="I352" s="11">
        <f>IF(R352="","",D352-R352)</f>
        <v/>
      </c>
      <c r="J352" s="35">
        <f>IF(R352="","",SUMIFS(Fuel!$E$6:$E$605,Fuel!$C$6:$C$605,C352,Fuel!$D$6:$D$605,"&gt;"&amp;R352,Fuel!$D$6:$D$605,"&lt;="&amp;D352))</f>
        <v/>
      </c>
      <c r="K352" s="36">
        <f>IF(OR(I352="",N(I352)=0),"",J352/I352*100)</f>
        <v/>
      </c>
      <c r="L352" s="36">
        <f>IF(OR(J352="",N(J352)=0),"",I352/J352)</f>
        <v/>
      </c>
      <c r="M352" s="1" t="n"/>
      <c r="N352">
        <f>IF(OR(C352="",N(D352)=0),"",D352+ROW()/10000000)</f>
        <v/>
      </c>
      <c r="O352">
        <f>IF(N352="","",COUNTIFS(Fuel!$C$6:$C$605,C352,Fuel!$N$6:$N$605,"&gt;"&amp;N352))</f>
        <v/>
      </c>
      <c r="P352">
        <f>IF(OR(N352="",G352=""),"",COUNTIFS(Fuel!$C$6:$C$605,C352,Fuel!$G$6:$G$605,"&lt;&gt;",Fuel!$N$6:$N$605,"&lt;"&amp;N352))</f>
        <v/>
      </c>
      <c r="R352">
        <f>IF(OR(P352="",N(P352)=0),"",SUMIFS(Fuel!$D$6:$D$605,Fuel!$C$6:$C$605,C352,Fuel!$P$6:$P$605,P352-1))</f>
        <v/>
      </c>
    </row>
    <row r="353">
      <c r="A353" s="1" t="n"/>
      <c r="B353" s="29" t="n"/>
      <c r="C353" s="24" t="n"/>
      <c r="D353" s="28" t="n"/>
      <c r="E353" s="33" t="n"/>
      <c r="F353" s="34" t="n"/>
      <c r="G353" s="27" t="n"/>
      <c r="H353" s="14">
        <f>IF(OR(N(E353)=0,F353=""),"",F353/E353)</f>
        <v/>
      </c>
      <c r="I353" s="11">
        <f>IF(R353="","",D353-R353)</f>
        <v/>
      </c>
      <c r="J353" s="35">
        <f>IF(R353="","",SUMIFS(Fuel!$E$6:$E$605,Fuel!$C$6:$C$605,C353,Fuel!$D$6:$D$605,"&gt;"&amp;R353,Fuel!$D$6:$D$605,"&lt;="&amp;D353))</f>
        <v/>
      </c>
      <c r="K353" s="36">
        <f>IF(OR(I353="",N(I353)=0),"",J353/I353*100)</f>
        <v/>
      </c>
      <c r="L353" s="36">
        <f>IF(OR(J353="",N(J353)=0),"",I353/J353)</f>
        <v/>
      </c>
      <c r="M353" s="1" t="n"/>
      <c r="N353">
        <f>IF(OR(C353="",N(D353)=0),"",D353+ROW()/10000000)</f>
        <v/>
      </c>
      <c r="O353">
        <f>IF(N353="","",COUNTIFS(Fuel!$C$6:$C$605,C353,Fuel!$N$6:$N$605,"&gt;"&amp;N353))</f>
        <v/>
      </c>
      <c r="P353">
        <f>IF(OR(N353="",G353=""),"",COUNTIFS(Fuel!$C$6:$C$605,C353,Fuel!$G$6:$G$605,"&lt;&gt;",Fuel!$N$6:$N$605,"&lt;"&amp;N353))</f>
        <v/>
      </c>
      <c r="R353">
        <f>IF(OR(P353="",N(P353)=0),"",SUMIFS(Fuel!$D$6:$D$605,Fuel!$C$6:$C$605,C353,Fuel!$P$6:$P$605,P353-1))</f>
        <v/>
      </c>
    </row>
    <row r="354">
      <c r="A354" s="1" t="n"/>
      <c r="B354" s="29" t="n"/>
      <c r="C354" s="24" t="n"/>
      <c r="D354" s="28" t="n"/>
      <c r="E354" s="33" t="n"/>
      <c r="F354" s="34" t="n"/>
      <c r="G354" s="27" t="n"/>
      <c r="H354" s="14">
        <f>IF(OR(N(E354)=0,F354=""),"",F354/E354)</f>
        <v/>
      </c>
      <c r="I354" s="11">
        <f>IF(R354="","",D354-R354)</f>
        <v/>
      </c>
      <c r="J354" s="35">
        <f>IF(R354="","",SUMIFS(Fuel!$E$6:$E$605,Fuel!$C$6:$C$605,C354,Fuel!$D$6:$D$605,"&gt;"&amp;R354,Fuel!$D$6:$D$605,"&lt;="&amp;D354))</f>
        <v/>
      </c>
      <c r="K354" s="36">
        <f>IF(OR(I354="",N(I354)=0),"",J354/I354*100)</f>
        <v/>
      </c>
      <c r="L354" s="36">
        <f>IF(OR(J354="",N(J354)=0),"",I354/J354)</f>
        <v/>
      </c>
      <c r="M354" s="1" t="n"/>
      <c r="N354">
        <f>IF(OR(C354="",N(D354)=0),"",D354+ROW()/10000000)</f>
        <v/>
      </c>
      <c r="O354">
        <f>IF(N354="","",COUNTIFS(Fuel!$C$6:$C$605,C354,Fuel!$N$6:$N$605,"&gt;"&amp;N354))</f>
        <v/>
      </c>
      <c r="P354">
        <f>IF(OR(N354="",G354=""),"",COUNTIFS(Fuel!$C$6:$C$605,C354,Fuel!$G$6:$G$605,"&lt;&gt;",Fuel!$N$6:$N$605,"&lt;"&amp;N354))</f>
        <v/>
      </c>
      <c r="R354">
        <f>IF(OR(P354="",N(P354)=0),"",SUMIFS(Fuel!$D$6:$D$605,Fuel!$C$6:$C$605,C354,Fuel!$P$6:$P$605,P354-1))</f>
        <v/>
      </c>
    </row>
    <row r="355">
      <c r="A355" s="1" t="n"/>
      <c r="B355" s="29" t="n"/>
      <c r="C355" s="24" t="n"/>
      <c r="D355" s="28" t="n"/>
      <c r="E355" s="33" t="n"/>
      <c r="F355" s="34" t="n"/>
      <c r="G355" s="27" t="n"/>
      <c r="H355" s="14">
        <f>IF(OR(N(E355)=0,F355=""),"",F355/E355)</f>
        <v/>
      </c>
      <c r="I355" s="11">
        <f>IF(R355="","",D355-R355)</f>
        <v/>
      </c>
      <c r="J355" s="35">
        <f>IF(R355="","",SUMIFS(Fuel!$E$6:$E$605,Fuel!$C$6:$C$605,C355,Fuel!$D$6:$D$605,"&gt;"&amp;R355,Fuel!$D$6:$D$605,"&lt;="&amp;D355))</f>
        <v/>
      </c>
      <c r="K355" s="36">
        <f>IF(OR(I355="",N(I355)=0),"",J355/I355*100)</f>
        <v/>
      </c>
      <c r="L355" s="36">
        <f>IF(OR(J355="",N(J355)=0),"",I355/J355)</f>
        <v/>
      </c>
      <c r="M355" s="1" t="n"/>
      <c r="N355">
        <f>IF(OR(C355="",N(D355)=0),"",D355+ROW()/10000000)</f>
        <v/>
      </c>
      <c r="O355">
        <f>IF(N355="","",COUNTIFS(Fuel!$C$6:$C$605,C355,Fuel!$N$6:$N$605,"&gt;"&amp;N355))</f>
        <v/>
      </c>
      <c r="P355">
        <f>IF(OR(N355="",G355=""),"",COUNTIFS(Fuel!$C$6:$C$605,C355,Fuel!$G$6:$G$605,"&lt;&gt;",Fuel!$N$6:$N$605,"&lt;"&amp;N355))</f>
        <v/>
      </c>
      <c r="R355">
        <f>IF(OR(P355="",N(P355)=0),"",SUMIFS(Fuel!$D$6:$D$605,Fuel!$C$6:$C$605,C355,Fuel!$P$6:$P$605,P355-1))</f>
        <v/>
      </c>
    </row>
    <row r="356">
      <c r="A356" s="1" t="n"/>
      <c r="B356" s="29" t="n"/>
      <c r="C356" s="24" t="n"/>
      <c r="D356" s="28" t="n"/>
      <c r="E356" s="33" t="n"/>
      <c r="F356" s="34" t="n"/>
      <c r="G356" s="27" t="n"/>
      <c r="H356" s="14">
        <f>IF(OR(N(E356)=0,F356=""),"",F356/E356)</f>
        <v/>
      </c>
      <c r="I356" s="11">
        <f>IF(R356="","",D356-R356)</f>
        <v/>
      </c>
      <c r="J356" s="35">
        <f>IF(R356="","",SUMIFS(Fuel!$E$6:$E$605,Fuel!$C$6:$C$605,C356,Fuel!$D$6:$D$605,"&gt;"&amp;R356,Fuel!$D$6:$D$605,"&lt;="&amp;D356))</f>
        <v/>
      </c>
      <c r="K356" s="36">
        <f>IF(OR(I356="",N(I356)=0),"",J356/I356*100)</f>
        <v/>
      </c>
      <c r="L356" s="36">
        <f>IF(OR(J356="",N(J356)=0),"",I356/J356)</f>
        <v/>
      </c>
      <c r="M356" s="1" t="n"/>
      <c r="N356">
        <f>IF(OR(C356="",N(D356)=0),"",D356+ROW()/10000000)</f>
        <v/>
      </c>
      <c r="O356">
        <f>IF(N356="","",COUNTIFS(Fuel!$C$6:$C$605,C356,Fuel!$N$6:$N$605,"&gt;"&amp;N356))</f>
        <v/>
      </c>
      <c r="P356">
        <f>IF(OR(N356="",G356=""),"",COUNTIFS(Fuel!$C$6:$C$605,C356,Fuel!$G$6:$G$605,"&lt;&gt;",Fuel!$N$6:$N$605,"&lt;"&amp;N356))</f>
        <v/>
      </c>
      <c r="R356">
        <f>IF(OR(P356="",N(P356)=0),"",SUMIFS(Fuel!$D$6:$D$605,Fuel!$C$6:$C$605,C356,Fuel!$P$6:$P$605,P356-1))</f>
        <v/>
      </c>
    </row>
    <row r="357">
      <c r="A357" s="1" t="n"/>
      <c r="B357" s="29" t="n"/>
      <c r="C357" s="24" t="n"/>
      <c r="D357" s="28" t="n"/>
      <c r="E357" s="33" t="n"/>
      <c r="F357" s="34" t="n"/>
      <c r="G357" s="27" t="n"/>
      <c r="H357" s="14">
        <f>IF(OR(N(E357)=0,F357=""),"",F357/E357)</f>
        <v/>
      </c>
      <c r="I357" s="11">
        <f>IF(R357="","",D357-R357)</f>
        <v/>
      </c>
      <c r="J357" s="35">
        <f>IF(R357="","",SUMIFS(Fuel!$E$6:$E$605,Fuel!$C$6:$C$605,C357,Fuel!$D$6:$D$605,"&gt;"&amp;R357,Fuel!$D$6:$D$605,"&lt;="&amp;D357))</f>
        <v/>
      </c>
      <c r="K357" s="36">
        <f>IF(OR(I357="",N(I357)=0),"",J357/I357*100)</f>
        <v/>
      </c>
      <c r="L357" s="36">
        <f>IF(OR(J357="",N(J357)=0),"",I357/J357)</f>
        <v/>
      </c>
      <c r="M357" s="1" t="n"/>
      <c r="N357">
        <f>IF(OR(C357="",N(D357)=0),"",D357+ROW()/10000000)</f>
        <v/>
      </c>
      <c r="O357">
        <f>IF(N357="","",COUNTIFS(Fuel!$C$6:$C$605,C357,Fuel!$N$6:$N$605,"&gt;"&amp;N357))</f>
        <v/>
      </c>
      <c r="P357">
        <f>IF(OR(N357="",G357=""),"",COUNTIFS(Fuel!$C$6:$C$605,C357,Fuel!$G$6:$G$605,"&lt;&gt;",Fuel!$N$6:$N$605,"&lt;"&amp;N357))</f>
        <v/>
      </c>
      <c r="R357">
        <f>IF(OR(P357="",N(P357)=0),"",SUMIFS(Fuel!$D$6:$D$605,Fuel!$C$6:$C$605,C357,Fuel!$P$6:$P$605,P357-1))</f>
        <v/>
      </c>
    </row>
    <row r="358">
      <c r="A358" s="1" t="n"/>
      <c r="B358" s="29" t="n"/>
      <c r="C358" s="24" t="n"/>
      <c r="D358" s="28" t="n"/>
      <c r="E358" s="33" t="n"/>
      <c r="F358" s="34" t="n"/>
      <c r="G358" s="27" t="n"/>
      <c r="H358" s="14">
        <f>IF(OR(N(E358)=0,F358=""),"",F358/E358)</f>
        <v/>
      </c>
      <c r="I358" s="11">
        <f>IF(R358="","",D358-R358)</f>
        <v/>
      </c>
      <c r="J358" s="35">
        <f>IF(R358="","",SUMIFS(Fuel!$E$6:$E$605,Fuel!$C$6:$C$605,C358,Fuel!$D$6:$D$605,"&gt;"&amp;R358,Fuel!$D$6:$D$605,"&lt;="&amp;D358))</f>
        <v/>
      </c>
      <c r="K358" s="36">
        <f>IF(OR(I358="",N(I358)=0),"",J358/I358*100)</f>
        <v/>
      </c>
      <c r="L358" s="36">
        <f>IF(OR(J358="",N(J358)=0),"",I358/J358)</f>
        <v/>
      </c>
      <c r="M358" s="1" t="n"/>
      <c r="N358">
        <f>IF(OR(C358="",N(D358)=0),"",D358+ROW()/10000000)</f>
        <v/>
      </c>
      <c r="O358">
        <f>IF(N358="","",COUNTIFS(Fuel!$C$6:$C$605,C358,Fuel!$N$6:$N$605,"&gt;"&amp;N358))</f>
        <v/>
      </c>
      <c r="P358">
        <f>IF(OR(N358="",G358=""),"",COUNTIFS(Fuel!$C$6:$C$605,C358,Fuel!$G$6:$G$605,"&lt;&gt;",Fuel!$N$6:$N$605,"&lt;"&amp;N358))</f>
        <v/>
      </c>
      <c r="R358">
        <f>IF(OR(P358="",N(P358)=0),"",SUMIFS(Fuel!$D$6:$D$605,Fuel!$C$6:$C$605,C358,Fuel!$P$6:$P$605,P358-1))</f>
        <v/>
      </c>
    </row>
    <row r="359">
      <c r="A359" s="1" t="n"/>
      <c r="B359" s="29" t="n"/>
      <c r="C359" s="24" t="n"/>
      <c r="D359" s="28" t="n"/>
      <c r="E359" s="33" t="n"/>
      <c r="F359" s="34" t="n"/>
      <c r="G359" s="27" t="n"/>
      <c r="H359" s="14">
        <f>IF(OR(N(E359)=0,F359=""),"",F359/E359)</f>
        <v/>
      </c>
      <c r="I359" s="11">
        <f>IF(R359="","",D359-R359)</f>
        <v/>
      </c>
      <c r="J359" s="35">
        <f>IF(R359="","",SUMIFS(Fuel!$E$6:$E$605,Fuel!$C$6:$C$605,C359,Fuel!$D$6:$D$605,"&gt;"&amp;R359,Fuel!$D$6:$D$605,"&lt;="&amp;D359))</f>
        <v/>
      </c>
      <c r="K359" s="36">
        <f>IF(OR(I359="",N(I359)=0),"",J359/I359*100)</f>
        <v/>
      </c>
      <c r="L359" s="36">
        <f>IF(OR(J359="",N(J359)=0),"",I359/J359)</f>
        <v/>
      </c>
      <c r="M359" s="1" t="n"/>
      <c r="N359">
        <f>IF(OR(C359="",N(D359)=0),"",D359+ROW()/10000000)</f>
        <v/>
      </c>
      <c r="O359">
        <f>IF(N359="","",COUNTIFS(Fuel!$C$6:$C$605,C359,Fuel!$N$6:$N$605,"&gt;"&amp;N359))</f>
        <v/>
      </c>
      <c r="P359">
        <f>IF(OR(N359="",G359=""),"",COUNTIFS(Fuel!$C$6:$C$605,C359,Fuel!$G$6:$G$605,"&lt;&gt;",Fuel!$N$6:$N$605,"&lt;"&amp;N359))</f>
        <v/>
      </c>
      <c r="R359">
        <f>IF(OR(P359="",N(P359)=0),"",SUMIFS(Fuel!$D$6:$D$605,Fuel!$C$6:$C$605,C359,Fuel!$P$6:$P$605,P359-1))</f>
        <v/>
      </c>
    </row>
    <row r="360">
      <c r="A360" s="1" t="n"/>
      <c r="B360" s="29" t="n"/>
      <c r="C360" s="24" t="n"/>
      <c r="D360" s="28" t="n"/>
      <c r="E360" s="33" t="n"/>
      <c r="F360" s="34" t="n"/>
      <c r="G360" s="27" t="n"/>
      <c r="H360" s="14">
        <f>IF(OR(N(E360)=0,F360=""),"",F360/E360)</f>
        <v/>
      </c>
      <c r="I360" s="11">
        <f>IF(R360="","",D360-R360)</f>
        <v/>
      </c>
      <c r="J360" s="35">
        <f>IF(R360="","",SUMIFS(Fuel!$E$6:$E$605,Fuel!$C$6:$C$605,C360,Fuel!$D$6:$D$605,"&gt;"&amp;R360,Fuel!$D$6:$D$605,"&lt;="&amp;D360))</f>
        <v/>
      </c>
      <c r="K360" s="36">
        <f>IF(OR(I360="",N(I360)=0),"",J360/I360*100)</f>
        <v/>
      </c>
      <c r="L360" s="36">
        <f>IF(OR(J360="",N(J360)=0),"",I360/J360)</f>
        <v/>
      </c>
      <c r="M360" s="1" t="n"/>
      <c r="N360">
        <f>IF(OR(C360="",N(D360)=0),"",D360+ROW()/10000000)</f>
        <v/>
      </c>
      <c r="O360">
        <f>IF(N360="","",COUNTIFS(Fuel!$C$6:$C$605,C360,Fuel!$N$6:$N$605,"&gt;"&amp;N360))</f>
        <v/>
      </c>
      <c r="P360">
        <f>IF(OR(N360="",G360=""),"",COUNTIFS(Fuel!$C$6:$C$605,C360,Fuel!$G$6:$G$605,"&lt;&gt;",Fuel!$N$6:$N$605,"&lt;"&amp;N360))</f>
        <v/>
      </c>
      <c r="R360">
        <f>IF(OR(P360="",N(P360)=0),"",SUMIFS(Fuel!$D$6:$D$605,Fuel!$C$6:$C$605,C360,Fuel!$P$6:$P$605,P360-1))</f>
        <v/>
      </c>
    </row>
    <row r="361">
      <c r="A361" s="1" t="n"/>
      <c r="B361" s="29" t="n"/>
      <c r="C361" s="24" t="n"/>
      <c r="D361" s="28" t="n"/>
      <c r="E361" s="33" t="n"/>
      <c r="F361" s="34" t="n"/>
      <c r="G361" s="27" t="n"/>
      <c r="H361" s="14">
        <f>IF(OR(N(E361)=0,F361=""),"",F361/E361)</f>
        <v/>
      </c>
      <c r="I361" s="11">
        <f>IF(R361="","",D361-R361)</f>
        <v/>
      </c>
      <c r="J361" s="35">
        <f>IF(R361="","",SUMIFS(Fuel!$E$6:$E$605,Fuel!$C$6:$C$605,C361,Fuel!$D$6:$D$605,"&gt;"&amp;R361,Fuel!$D$6:$D$605,"&lt;="&amp;D361))</f>
        <v/>
      </c>
      <c r="K361" s="36">
        <f>IF(OR(I361="",N(I361)=0),"",J361/I361*100)</f>
        <v/>
      </c>
      <c r="L361" s="36">
        <f>IF(OR(J361="",N(J361)=0),"",I361/J361)</f>
        <v/>
      </c>
      <c r="M361" s="1" t="n"/>
      <c r="N361">
        <f>IF(OR(C361="",N(D361)=0),"",D361+ROW()/10000000)</f>
        <v/>
      </c>
      <c r="O361">
        <f>IF(N361="","",COUNTIFS(Fuel!$C$6:$C$605,C361,Fuel!$N$6:$N$605,"&gt;"&amp;N361))</f>
        <v/>
      </c>
      <c r="P361">
        <f>IF(OR(N361="",G361=""),"",COUNTIFS(Fuel!$C$6:$C$605,C361,Fuel!$G$6:$G$605,"&lt;&gt;",Fuel!$N$6:$N$605,"&lt;"&amp;N361))</f>
        <v/>
      </c>
      <c r="R361">
        <f>IF(OR(P361="",N(P361)=0),"",SUMIFS(Fuel!$D$6:$D$605,Fuel!$C$6:$C$605,C361,Fuel!$P$6:$P$605,P361-1))</f>
        <v/>
      </c>
    </row>
    <row r="362">
      <c r="A362" s="1" t="n"/>
      <c r="B362" s="29" t="n"/>
      <c r="C362" s="24" t="n"/>
      <c r="D362" s="28" t="n"/>
      <c r="E362" s="33" t="n"/>
      <c r="F362" s="34" t="n"/>
      <c r="G362" s="27" t="n"/>
      <c r="H362" s="14">
        <f>IF(OR(N(E362)=0,F362=""),"",F362/E362)</f>
        <v/>
      </c>
      <c r="I362" s="11">
        <f>IF(R362="","",D362-R362)</f>
        <v/>
      </c>
      <c r="J362" s="35">
        <f>IF(R362="","",SUMIFS(Fuel!$E$6:$E$605,Fuel!$C$6:$C$605,C362,Fuel!$D$6:$D$605,"&gt;"&amp;R362,Fuel!$D$6:$D$605,"&lt;="&amp;D362))</f>
        <v/>
      </c>
      <c r="K362" s="36">
        <f>IF(OR(I362="",N(I362)=0),"",J362/I362*100)</f>
        <v/>
      </c>
      <c r="L362" s="36">
        <f>IF(OR(J362="",N(J362)=0),"",I362/J362)</f>
        <v/>
      </c>
      <c r="M362" s="1" t="n"/>
      <c r="N362">
        <f>IF(OR(C362="",N(D362)=0),"",D362+ROW()/10000000)</f>
        <v/>
      </c>
      <c r="O362">
        <f>IF(N362="","",COUNTIFS(Fuel!$C$6:$C$605,C362,Fuel!$N$6:$N$605,"&gt;"&amp;N362))</f>
        <v/>
      </c>
      <c r="P362">
        <f>IF(OR(N362="",G362=""),"",COUNTIFS(Fuel!$C$6:$C$605,C362,Fuel!$G$6:$G$605,"&lt;&gt;",Fuel!$N$6:$N$605,"&lt;"&amp;N362))</f>
        <v/>
      </c>
      <c r="R362">
        <f>IF(OR(P362="",N(P362)=0),"",SUMIFS(Fuel!$D$6:$D$605,Fuel!$C$6:$C$605,C362,Fuel!$P$6:$P$605,P362-1))</f>
        <v/>
      </c>
    </row>
    <row r="363">
      <c r="A363" s="1" t="n"/>
      <c r="B363" s="29" t="n"/>
      <c r="C363" s="24" t="n"/>
      <c r="D363" s="28" t="n"/>
      <c r="E363" s="33" t="n"/>
      <c r="F363" s="34" t="n"/>
      <c r="G363" s="27" t="n"/>
      <c r="H363" s="14">
        <f>IF(OR(N(E363)=0,F363=""),"",F363/E363)</f>
        <v/>
      </c>
      <c r="I363" s="11">
        <f>IF(R363="","",D363-R363)</f>
        <v/>
      </c>
      <c r="J363" s="35">
        <f>IF(R363="","",SUMIFS(Fuel!$E$6:$E$605,Fuel!$C$6:$C$605,C363,Fuel!$D$6:$D$605,"&gt;"&amp;R363,Fuel!$D$6:$D$605,"&lt;="&amp;D363))</f>
        <v/>
      </c>
      <c r="K363" s="36">
        <f>IF(OR(I363="",N(I363)=0),"",J363/I363*100)</f>
        <v/>
      </c>
      <c r="L363" s="36">
        <f>IF(OR(J363="",N(J363)=0),"",I363/J363)</f>
        <v/>
      </c>
      <c r="M363" s="1" t="n"/>
      <c r="N363">
        <f>IF(OR(C363="",N(D363)=0),"",D363+ROW()/10000000)</f>
        <v/>
      </c>
      <c r="O363">
        <f>IF(N363="","",COUNTIFS(Fuel!$C$6:$C$605,C363,Fuel!$N$6:$N$605,"&gt;"&amp;N363))</f>
        <v/>
      </c>
      <c r="P363">
        <f>IF(OR(N363="",G363=""),"",COUNTIFS(Fuel!$C$6:$C$605,C363,Fuel!$G$6:$G$605,"&lt;&gt;",Fuel!$N$6:$N$605,"&lt;"&amp;N363))</f>
        <v/>
      </c>
      <c r="R363">
        <f>IF(OR(P363="",N(P363)=0),"",SUMIFS(Fuel!$D$6:$D$605,Fuel!$C$6:$C$605,C363,Fuel!$P$6:$P$605,P363-1))</f>
        <v/>
      </c>
    </row>
    <row r="364">
      <c r="A364" s="1" t="n"/>
      <c r="B364" s="29" t="n"/>
      <c r="C364" s="24" t="n"/>
      <c r="D364" s="28" t="n"/>
      <c r="E364" s="33" t="n"/>
      <c r="F364" s="34" t="n"/>
      <c r="G364" s="27" t="n"/>
      <c r="H364" s="14">
        <f>IF(OR(N(E364)=0,F364=""),"",F364/E364)</f>
        <v/>
      </c>
      <c r="I364" s="11">
        <f>IF(R364="","",D364-R364)</f>
        <v/>
      </c>
      <c r="J364" s="35">
        <f>IF(R364="","",SUMIFS(Fuel!$E$6:$E$605,Fuel!$C$6:$C$605,C364,Fuel!$D$6:$D$605,"&gt;"&amp;R364,Fuel!$D$6:$D$605,"&lt;="&amp;D364))</f>
        <v/>
      </c>
      <c r="K364" s="36">
        <f>IF(OR(I364="",N(I364)=0),"",J364/I364*100)</f>
        <v/>
      </c>
      <c r="L364" s="36">
        <f>IF(OR(J364="",N(J364)=0),"",I364/J364)</f>
        <v/>
      </c>
      <c r="M364" s="1" t="n"/>
      <c r="N364">
        <f>IF(OR(C364="",N(D364)=0),"",D364+ROW()/10000000)</f>
        <v/>
      </c>
      <c r="O364">
        <f>IF(N364="","",COUNTIFS(Fuel!$C$6:$C$605,C364,Fuel!$N$6:$N$605,"&gt;"&amp;N364))</f>
        <v/>
      </c>
      <c r="P364">
        <f>IF(OR(N364="",G364=""),"",COUNTIFS(Fuel!$C$6:$C$605,C364,Fuel!$G$6:$G$605,"&lt;&gt;",Fuel!$N$6:$N$605,"&lt;"&amp;N364))</f>
        <v/>
      </c>
      <c r="R364">
        <f>IF(OR(P364="",N(P364)=0),"",SUMIFS(Fuel!$D$6:$D$605,Fuel!$C$6:$C$605,C364,Fuel!$P$6:$P$605,P364-1))</f>
        <v/>
      </c>
    </row>
    <row r="365">
      <c r="A365" s="1" t="n"/>
      <c r="B365" s="29" t="n"/>
      <c r="C365" s="24" t="n"/>
      <c r="D365" s="28" t="n"/>
      <c r="E365" s="33" t="n"/>
      <c r="F365" s="34" t="n"/>
      <c r="G365" s="27" t="n"/>
      <c r="H365" s="14">
        <f>IF(OR(N(E365)=0,F365=""),"",F365/E365)</f>
        <v/>
      </c>
      <c r="I365" s="11">
        <f>IF(R365="","",D365-R365)</f>
        <v/>
      </c>
      <c r="J365" s="35">
        <f>IF(R365="","",SUMIFS(Fuel!$E$6:$E$605,Fuel!$C$6:$C$605,C365,Fuel!$D$6:$D$605,"&gt;"&amp;R365,Fuel!$D$6:$D$605,"&lt;="&amp;D365))</f>
        <v/>
      </c>
      <c r="K365" s="36">
        <f>IF(OR(I365="",N(I365)=0),"",J365/I365*100)</f>
        <v/>
      </c>
      <c r="L365" s="36">
        <f>IF(OR(J365="",N(J365)=0),"",I365/J365)</f>
        <v/>
      </c>
      <c r="M365" s="1" t="n"/>
      <c r="N365">
        <f>IF(OR(C365="",N(D365)=0),"",D365+ROW()/10000000)</f>
        <v/>
      </c>
      <c r="O365">
        <f>IF(N365="","",COUNTIFS(Fuel!$C$6:$C$605,C365,Fuel!$N$6:$N$605,"&gt;"&amp;N365))</f>
        <v/>
      </c>
      <c r="P365">
        <f>IF(OR(N365="",G365=""),"",COUNTIFS(Fuel!$C$6:$C$605,C365,Fuel!$G$6:$G$605,"&lt;&gt;",Fuel!$N$6:$N$605,"&lt;"&amp;N365))</f>
        <v/>
      </c>
      <c r="R365">
        <f>IF(OR(P365="",N(P365)=0),"",SUMIFS(Fuel!$D$6:$D$605,Fuel!$C$6:$C$605,C365,Fuel!$P$6:$P$605,P365-1))</f>
        <v/>
      </c>
    </row>
    <row r="366">
      <c r="A366" s="1" t="n"/>
      <c r="B366" s="29" t="n"/>
      <c r="C366" s="24" t="n"/>
      <c r="D366" s="28" t="n"/>
      <c r="E366" s="33" t="n"/>
      <c r="F366" s="34" t="n"/>
      <c r="G366" s="27" t="n"/>
      <c r="H366" s="14">
        <f>IF(OR(N(E366)=0,F366=""),"",F366/E366)</f>
        <v/>
      </c>
      <c r="I366" s="11">
        <f>IF(R366="","",D366-R366)</f>
        <v/>
      </c>
      <c r="J366" s="35">
        <f>IF(R366="","",SUMIFS(Fuel!$E$6:$E$605,Fuel!$C$6:$C$605,C366,Fuel!$D$6:$D$605,"&gt;"&amp;R366,Fuel!$D$6:$D$605,"&lt;="&amp;D366))</f>
        <v/>
      </c>
      <c r="K366" s="36">
        <f>IF(OR(I366="",N(I366)=0),"",J366/I366*100)</f>
        <v/>
      </c>
      <c r="L366" s="36">
        <f>IF(OR(J366="",N(J366)=0),"",I366/J366)</f>
        <v/>
      </c>
      <c r="M366" s="1" t="n"/>
      <c r="N366">
        <f>IF(OR(C366="",N(D366)=0),"",D366+ROW()/10000000)</f>
        <v/>
      </c>
      <c r="O366">
        <f>IF(N366="","",COUNTIFS(Fuel!$C$6:$C$605,C366,Fuel!$N$6:$N$605,"&gt;"&amp;N366))</f>
        <v/>
      </c>
      <c r="P366">
        <f>IF(OR(N366="",G366=""),"",COUNTIFS(Fuel!$C$6:$C$605,C366,Fuel!$G$6:$G$605,"&lt;&gt;",Fuel!$N$6:$N$605,"&lt;"&amp;N366))</f>
        <v/>
      </c>
      <c r="R366">
        <f>IF(OR(P366="",N(P366)=0),"",SUMIFS(Fuel!$D$6:$D$605,Fuel!$C$6:$C$605,C366,Fuel!$P$6:$P$605,P366-1))</f>
        <v/>
      </c>
    </row>
    <row r="367">
      <c r="A367" s="1" t="n"/>
      <c r="B367" s="29" t="n"/>
      <c r="C367" s="24" t="n"/>
      <c r="D367" s="28" t="n"/>
      <c r="E367" s="33" t="n"/>
      <c r="F367" s="34" t="n"/>
      <c r="G367" s="27" t="n"/>
      <c r="H367" s="14">
        <f>IF(OR(N(E367)=0,F367=""),"",F367/E367)</f>
        <v/>
      </c>
      <c r="I367" s="11">
        <f>IF(R367="","",D367-R367)</f>
        <v/>
      </c>
      <c r="J367" s="35">
        <f>IF(R367="","",SUMIFS(Fuel!$E$6:$E$605,Fuel!$C$6:$C$605,C367,Fuel!$D$6:$D$605,"&gt;"&amp;R367,Fuel!$D$6:$D$605,"&lt;="&amp;D367))</f>
        <v/>
      </c>
      <c r="K367" s="36">
        <f>IF(OR(I367="",N(I367)=0),"",J367/I367*100)</f>
        <v/>
      </c>
      <c r="L367" s="36">
        <f>IF(OR(J367="",N(J367)=0),"",I367/J367)</f>
        <v/>
      </c>
      <c r="M367" s="1" t="n"/>
      <c r="N367">
        <f>IF(OR(C367="",N(D367)=0),"",D367+ROW()/10000000)</f>
        <v/>
      </c>
      <c r="O367">
        <f>IF(N367="","",COUNTIFS(Fuel!$C$6:$C$605,C367,Fuel!$N$6:$N$605,"&gt;"&amp;N367))</f>
        <v/>
      </c>
      <c r="P367">
        <f>IF(OR(N367="",G367=""),"",COUNTIFS(Fuel!$C$6:$C$605,C367,Fuel!$G$6:$G$605,"&lt;&gt;",Fuel!$N$6:$N$605,"&lt;"&amp;N367))</f>
        <v/>
      </c>
      <c r="R367">
        <f>IF(OR(P367="",N(P367)=0),"",SUMIFS(Fuel!$D$6:$D$605,Fuel!$C$6:$C$605,C367,Fuel!$P$6:$P$605,P367-1))</f>
        <v/>
      </c>
    </row>
    <row r="368">
      <c r="A368" s="1" t="n"/>
      <c r="B368" s="29" t="n"/>
      <c r="C368" s="24" t="n"/>
      <c r="D368" s="28" t="n"/>
      <c r="E368" s="33" t="n"/>
      <c r="F368" s="34" t="n"/>
      <c r="G368" s="27" t="n"/>
      <c r="H368" s="14">
        <f>IF(OR(N(E368)=0,F368=""),"",F368/E368)</f>
        <v/>
      </c>
      <c r="I368" s="11">
        <f>IF(R368="","",D368-R368)</f>
        <v/>
      </c>
      <c r="J368" s="35">
        <f>IF(R368="","",SUMIFS(Fuel!$E$6:$E$605,Fuel!$C$6:$C$605,C368,Fuel!$D$6:$D$605,"&gt;"&amp;R368,Fuel!$D$6:$D$605,"&lt;="&amp;D368))</f>
        <v/>
      </c>
      <c r="K368" s="36">
        <f>IF(OR(I368="",N(I368)=0),"",J368/I368*100)</f>
        <v/>
      </c>
      <c r="L368" s="36">
        <f>IF(OR(J368="",N(J368)=0),"",I368/J368)</f>
        <v/>
      </c>
      <c r="M368" s="1" t="n"/>
      <c r="N368">
        <f>IF(OR(C368="",N(D368)=0),"",D368+ROW()/10000000)</f>
        <v/>
      </c>
      <c r="O368">
        <f>IF(N368="","",COUNTIFS(Fuel!$C$6:$C$605,C368,Fuel!$N$6:$N$605,"&gt;"&amp;N368))</f>
        <v/>
      </c>
      <c r="P368">
        <f>IF(OR(N368="",G368=""),"",COUNTIFS(Fuel!$C$6:$C$605,C368,Fuel!$G$6:$G$605,"&lt;&gt;",Fuel!$N$6:$N$605,"&lt;"&amp;N368))</f>
        <v/>
      </c>
      <c r="R368">
        <f>IF(OR(P368="",N(P368)=0),"",SUMIFS(Fuel!$D$6:$D$605,Fuel!$C$6:$C$605,C368,Fuel!$P$6:$P$605,P368-1))</f>
        <v/>
      </c>
    </row>
    <row r="369">
      <c r="A369" s="1" t="n"/>
      <c r="B369" s="29" t="n"/>
      <c r="C369" s="24" t="n"/>
      <c r="D369" s="28" t="n"/>
      <c r="E369" s="33" t="n"/>
      <c r="F369" s="34" t="n"/>
      <c r="G369" s="27" t="n"/>
      <c r="H369" s="14">
        <f>IF(OR(N(E369)=0,F369=""),"",F369/E369)</f>
        <v/>
      </c>
      <c r="I369" s="11">
        <f>IF(R369="","",D369-R369)</f>
        <v/>
      </c>
      <c r="J369" s="35">
        <f>IF(R369="","",SUMIFS(Fuel!$E$6:$E$605,Fuel!$C$6:$C$605,C369,Fuel!$D$6:$D$605,"&gt;"&amp;R369,Fuel!$D$6:$D$605,"&lt;="&amp;D369))</f>
        <v/>
      </c>
      <c r="K369" s="36">
        <f>IF(OR(I369="",N(I369)=0),"",J369/I369*100)</f>
        <v/>
      </c>
      <c r="L369" s="36">
        <f>IF(OR(J369="",N(J369)=0),"",I369/J369)</f>
        <v/>
      </c>
      <c r="M369" s="1" t="n"/>
      <c r="N369">
        <f>IF(OR(C369="",N(D369)=0),"",D369+ROW()/10000000)</f>
        <v/>
      </c>
      <c r="O369">
        <f>IF(N369="","",COUNTIFS(Fuel!$C$6:$C$605,C369,Fuel!$N$6:$N$605,"&gt;"&amp;N369))</f>
        <v/>
      </c>
      <c r="P369">
        <f>IF(OR(N369="",G369=""),"",COUNTIFS(Fuel!$C$6:$C$605,C369,Fuel!$G$6:$G$605,"&lt;&gt;",Fuel!$N$6:$N$605,"&lt;"&amp;N369))</f>
        <v/>
      </c>
      <c r="R369">
        <f>IF(OR(P369="",N(P369)=0),"",SUMIFS(Fuel!$D$6:$D$605,Fuel!$C$6:$C$605,C369,Fuel!$P$6:$P$605,P369-1))</f>
        <v/>
      </c>
    </row>
    <row r="370">
      <c r="A370" s="1" t="n"/>
      <c r="B370" s="29" t="n"/>
      <c r="C370" s="24" t="n"/>
      <c r="D370" s="28" t="n"/>
      <c r="E370" s="33" t="n"/>
      <c r="F370" s="34" t="n"/>
      <c r="G370" s="27" t="n"/>
      <c r="H370" s="14">
        <f>IF(OR(N(E370)=0,F370=""),"",F370/E370)</f>
        <v/>
      </c>
      <c r="I370" s="11">
        <f>IF(R370="","",D370-R370)</f>
        <v/>
      </c>
      <c r="J370" s="35">
        <f>IF(R370="","",SUMIFS(Fuel!$E$6:$E$605,Fuel!$C$6:$C$605,C370,Fuel!$D$6:$D$605,"&gt;"&amp;R370,Fuel!$D$6:$D$605,"&lt;="&amp;D370))</f>
        <v/>
      </c>
      <c r="K370" s="36">
        <f>IF(OR(I370="",N(I370)=0),"",J370/I370*100)</f>
        <v/>
      </c>
      <c r="L370" s="36">
        <f>IF(OR(J370="",N(J370)=0),"",I370/J370)</f>
        <v/>
      </c>
      <c r="M370" s="1" t="n"/>
      <c r="N370">
        <f>IF(OR(C370="",N(D370)=0),"",D370+ROW()/10000000)</f>
        <v/>
      </c>
      <c r="O370">
        <f>IF(N370="","",COUNTIFS(Fuel!$C$6:$C$605,C370,Fuel!$N$6:$N$605,"&gt;"&amp;N370))</f>
        <v/>
      </c>
      <c r="P370">
        <f>IF(OR(N370="",G370=""),"",COUNTIFS(Fuel!$C$6:$C$605,C370,Fuel!$G$6:$G$605,"&lt;&gt;",Fuel!$N$6:$N$605,"&lt;"&amp;N370))</f>
        <v/>
      </c>
      <c r="R370">
        <f>IF(OR(P370="",N(P370)=0),"",SUMIFS(Fuel!$D$6:$D$605,Fuel!$C$6:$C$605,C370,Fuel!$P$6:$P$605,P370-1))</f>
        <v/>
      </c>
    </row>
    <row r="371">
      <c r="A371" s="1" t="n"/>
      <c r="B371" s="29" t="n"/>
      <c r="C371" s="24" t="n"/>
      <c r="D371" s="28" t="n"/>
      <c r="E371" s="33" t="n"/>
      <c r="F371" s="34" t="n"/>
      <c r="G371" s="27" t="n"/>
      <c r="H371" s="14">
        <f>IF(OR(N(E371)=0,F371=""),"",F371/E371)</f>
        <v/>
      </c>
      <c r="I371" s="11">
        <f>IF(R371="","",D371-R371)</f>
        <v/>
      </c>
      <c r="J371" s="35">
        <f>IF(R371="","",SUMIFS(Fuel!$E$6:$E$605,Fuel!$C$6:$C$605,C371,Fuel!$D$6:$D$605,"&gt;"&amp;R371,Fuel!$D$6:$D$605,"&lt;="&amp;D371))</f>
        <v/>
      </c>
      <c r="K371" s="36">
        <f>IF(OR(I371="",N(I371)=0),"",J371/I371*100)</f>
        <v/>
      </c>
      <c r="L371" s="36">
        <f>IF(OR(J371="",N(J371)=0),"",I371/J371)</f>
        <v/>
      </c>
      <c r="M371" s="1" t="n"/>
      <c r="N371">
        <f>IF(OR(C371="",N(D371)=0),"",D371+ROW()/10000000)</f>
        <v/>
      </c>
      <c r="O371">
        <f>IF(N371="","",COUNTIFS(Fuel!$C$6:$C$605,C371,Fuel!$N$6:$N$605,"&gt;"&amp;N371))</f>
        <v/>
      </c>
      <c r="P371">
        <f>IF(OR(N371="",G371=""),"",COUNTIFS(Fuel!$C$6:$C$605,C371,Fuel!$G$6:$G$605,"&lt;&gt;",Fuel!$N$6:$N$605,"&lt;"&amp;N371))</f>
        <v/>
      </c>
      <c r="R371">
        <f>IF(OR(P371="",N(P371)=0),"",SUMIFS(Fuel!$D$6:$D$605,Fuel!$C$6:$C$605,C371,Fuel!$P$6:$P$605,P371-1))</f>
        <v/>
      </c>
    </row>
    <row r="372">
      <c r="A372" s="1" t="n"/>
      <c r="B372" s="29" t="n"/>
      <c r="C372" s="24" t="n"/>
      <c r="D372" s="28" t="n"/>
      <c r="E372" s="33" t="n"/>
      <c r="F372" s="34" t="n"/>
      <c r="G372" s="27" t="n"/>
      <c r="H372" s="14">
        <f>IF(OR(N(E372)=0,F372=""),"",F372/E372)</f>
        <v/>
      </c>
      <c r="I372" s="11">
        <f>IF(R372="","",D372-R372)</f>
        <v/>
      </c>
      <c r="J372" s="35">
        <f>IF(R372="","",SUMIFS(Fuel!$E$6:$E$605,Fuel!$C$6:$C$605,C372,Fuel!$D$6:$D$605,"&gt;"&amp;R372,Fuel!$D$6:$D$605,"&lt;="&amp;D372))</f>
        <v/>
      </c>
      <c r="K372" s="36">
        <f>IF(OR(I372="",N(I372)=0),"",J372/I372*100)</f>
        <v/>
      </c>
      <c r="L372" s="36">
        <f>IF(OR(J372="",N(J372)=0),"",I372/J372)</f>
        <v/>
      </c>
      <c r="M372" s="1" t="n"/>
      <c r="N372">
        <f>IF(OR(C372="",N(D372)=0),"",D372+ROW()/10000000)</f>
        <v/>
      </c>
      <c r="O372">
        <f>IF(N372="","",COUNTIFS(Fuel!$C$6:$C$605,C372,Fuel!$N$6:$N$605,"&gt;"&amp;N372))</f>
        <v/>
      </c>
      <c r="P372">
        <f>IF(OR(N372="",G372=""),"",COUNTIFS(Fuel!$C$6:$C$605,C372,Fuel!$G$6:$G$605,"&lt;&gt;",Fuel!$N$6:$N$605,"&lt;"&amp;N372))</f>
        <v/>
      </c>
      <c r="R372">
        <f>IF(OR(P372="",N(P372)=0),"",SUMIFS(Fuel!$D$6:$D$605,Fuel!$C$6:$C$605,C372,Fuel!$P$6:$P$605,P372-1))</f>
        <v/>
      </c>
    </row>
    <row r="373">
      <c r="A373" s="1" t="n"/>
      <c r="B373" s="29" t="n"/>
      <c r="C373" s="24" t="n"/>
      <c r="D373" s="28" t="n"/>
      <c r="E373" s="33" t="n"/>
      <c r="F373" s="34" t="n"/>
      <c r="G373" s="27" t="n"/>
      <c r="H373" s="14">
        <f>IF(OR(N(E373)=0,F373=""),"",F373/E373)</f>
        <v/>
      </c>
      <c r="I373" s="11">
        <f>IF(R373="","",D373-R373)</f>
        <v/>
      </c>
      <c r="J373" s="35">
        <f>IF(R373="","",SUMIFS(Fuel!$E$6:$E$605,Fuel!$C$6:$C$605,C373,Fuel!$D$6:$D$605,"&gt;"&amp;R373,Fuel!$D$6:$D$605,"&lt;="&amp;D373))</f>
        <v/>
      </c>
      <c r="K373" s="36">
        <f>IF(OR(I373="",N(I373)=0),"",J373/I373*100)</f>
        <v/>
      </c>
      <c r="L373" s="36">
        <f>IF(OR(J373="",N(J373)=0),"",I373/J373)</f>
        <v/>
      </c>
      <c r="M373" s="1" t="n"/>
      <c r="N373">
        <f>IF(OR(C373="",N(D373)=0),"",D373+ROW()/10000000)</f>
        <v/>
      </c>
      <c r="O373">
        <f>IF(N373="","",COUNTIFS(Fuel!$C$6:$C$605,C373,Fuel!$N$6:$N$605,"&gt;"&amp;N373))</f>
        <v/>
      </c>
      <c r="P373">
        <f>IF(OR(N373="",G373=""),"",COUNTIFS(Fuel!$C$6:$C$605,C373,Fuel!$G$6:$G$605,"&lt;&gt;",Fuel!$N$6:$N$605,"&lt;"&amp;N373))</f>
        <v/>
      </c>
      <c r="R373">
        <f>IF(OR(P373="",N(P373)=0),"",SUMIFS(Fuel!$D$6:$D$605,Fuel!$C$6:$C$605,C373,Fuel!$P$6:$P$605,P373-1))</f>
        <v/>
      </c>
    </row>
    <row r="374">
      <c r="A374" s="1" t="n"/>
      <c r="B374" s="29" t="n"/>
      <c r="C374" s="24" t="n"/>
      <c r="D374" s="28" t="n"/>
      <c r="E374" s="33" t="n"/>
      <c r="F374" s="34" t="n"/>
      <c r="G374" s="27" t="n"/>
      <c r="H374" s="14">
        <f>IF(OR(N(E374)=0,F374=""),"",F374/E374)</f>
        <v/>
      </c>
      <c r="I374" s="11">
        <f>IF(R374="","",D374-R374)</f>
        <v/>
      </c>
      <c r="J374" s="35">
        <f>IF(R374="","",SUMIFS(Fuel!$E$6:$E$605,Fuel!$C$6:$C$605,C374,Fuel!$D$6:$D$605,"&gt;"&amp;R374,Fuel!$D$6:$D$605,"&lt;="&amp;D374))</f>
        <v/>
      </c>
      <c r="K374" s="36">
        <f>IF(OR(I374="",N(I374)=0),"",J374/I374*100)</f>
        <v/>
      </c>
      <c r="L374" s="36">
        <f>IF(OR(J374="",N(J374)=0),"",I374/J374)</f>
        <v/>
      </c>
      <c r="M374" s="1" t="n"/>
      <c r="N374">
        <f>IF(OR(C374="",N(D374)=0),"",D374+ROW()/10000000)</f>
        <v/>
      </c>
      <c r="O374">
        <f>IF(N374="","",COUNTIFS(Fuel!$C$6:$C$605,C374,Fuel!$N$6:$N$605,"&gt;"&amp;N374))</f>
        <v/>
      </c>
      <c r="P374">
        <f>IF(OR(N374="",G374=""),"",COUNTIFS(Fuel!$C$6:$C$605,C374,Fuel!$G$6:$G$605,"&lt;&gt;",Fuel!$N$6:$N$605,"&lt;"&amp;N374))</f>
        <v/>
      </c>
      <c r="R374">
        <f>IF(OR(P374="",N(P374)=0),"",SUMIFS(Fuel!$D$6:$D$605,Fuel!$C$6:$C$605,C374,Fuel!$P$6:$P$605,P374-1))</f>
        <v/>
      </c>
    </row>
    <row r="375">
      <c r="A375" s="1" t="n"/>
      <c r="B375" s="29" t="n"/>
      <c r="C375" s="24" t="n"/>
      <c r="D375" s="28" t="n"/>
      <c r="E375" s="33" t="n"/>
      <c r="F375" s="34" t="n"/>
      <c r="G375" s="27" t="n"/>
      <c r="H375" s="14">
        <f>IF(OR(N(E375)=0,F375=""),"",F375/E375)</f>
        <v/>
      </c>
      <c r="I375" s="11">
        <f>IF(R375="","",D375-R375)</f>
        <v/>
      </c>
      <c r="J375" s="35">
        <f>IF(R375="","",SUMIFS(Fuel!$E$6:$E$605,Fuel!$C$6:$C$605,C375,Fuel!$D$6:$D$605,"&gt;"&amp;R375,Fuel!$D$6:$D$605,"&lt;="&amp;D375))</f>
        <v/>
      </c>
      <c r="K375" s="36">
        <f>IF(OR(I375="",N(I375)=0),"",J375/I375*100)</f>
        <v/>
      </c>
      <c r="L375" s="36">
        <f>IF(OR(J375="",N(J375)=0),"",I375/J375)</f>
        <v/>
      </c>
      <c r="M375" s="1" t="n"/>
      <c r="N375">
        <f>IF(OR(C375="",N(D375)=0),"",D375+ROW()/10000000)</f>
        <v/>
      </c>
      <c r="O375">
        <f>IF(N375="","",COUNTIFS(Fuel!$C$6:$C$605,C375,Fuel!$N$6:$N$605,"&gt;"&amp;N375))</f>
        <v/>
      </c>
      <c r="P375">
        <f>IF(OR(N375="",G375=""),"",COUNTIFS(Fuel!$C$6:$C$605,C375,Fuel!$G$6:$G$605,"&lt;&gt;",Fuel!$N$6:$N$605,"&lt;"&amp;N375))</f>
        <v/>
      </c>
      <c r="R375">
        <f>IF(OR(P375="",N(P375)=0),"",SUMIFS(Fuel!$D$6:$D$605,Fuel!$C$6:$C$605,C375,Fuel!$P$6:$P$605,P375-1))</f>
        <v/>
      </c>
    </row>
    <row r="376">
      <c r="A376" s="1" t="n"/>
      <c r="B376" s="29" t="n"/>
      <c r="C376" s="24" t="n"/>
      <c r="D376" s="28" t="n"/>
      <c r="E376" s="33" t="n"/>
      <c r="F376" s="34" t="n"/>
      <c r="G376" s="27" t="n"/>
      <c r="H376" s="14">
        <f>IF(OR(N(E376)=0,F376=""),"",F376/E376)</f>
        <v/>
      </c>
      <c r="I376" s="11">
        <f>IF(R376="","",D376-R376)</f>
        <v/>
      </c>
      <c r="J376" s="35">
        <f>IF(R376="","",SUMIFS(Fuel!$E$6:$E$605,Fuel!$C$6:$C$605,C376,Fuel!$D$6:$D$605,"&gt;"&amp;R376,Fuel!$D$6:$D$605,"&lt;="&amp;D376))</f>
        <v/>
      </c>
      <c r="K376" s="36">
        <f>IF(OR(I376="",N(I376)=0),"",J376/I376*100)</f>
        <v/>
      </c>
      <c r="L376" s="36">
        <f>IF(OR(J376="",N(J376)=0),"",I376/J376)</f>
        <v/>
      </c>
      <c r="M376" s="1" t="n"/>
      <c r="N376">
        <f>IF(OR(C376="",N(D376)=0),"",D376+ROW()/10000000)</f>
        <v/>
      </c>
      <c r="O376">
        <f>IF(N376="","",COUNTIFS(Fuel!$C$6:$C$605,C376,Fuel!$N$6:$N$605,"&gt;"&amp;N376))</f>
        <v/>
      </c>
      <c r="P376">
        <f>IF(OR(N376="",G376=""),"",COUNTIFS(Fuel!$C$6:$C$605,C376,Fuel!$G$6:$G$605,"&lt;&gt;",Fuel!$N$6:$N$605,"&lt;"&amp;N376))</f>
        <v/>
      </c>
      <c r="R376">
        <f>IF(OR(P376="",N(P376)=0),"",SUMIFS(Fuel!$D$6:$D$605,Fuel!$C$6:$C$605,C376,Fuel!$P$6:$P$605,P376-1))</f>
        <v/>
      </c>
    </row>
    <row r="377">
      <c r="A377" s="1" t="n"/>
      <c r="B377" s="29" t="n"/>
      <c r="C377" s="24" t="n"/>
      <c r="D377" s="28" t="n"/>
      <c r="E377" s="33" t="n"/>
      <c r="F377" s="34" t="n"/>
      <c r="G377" s="27" t="n"/>
      <c r="H377" s="14">
        <f>IF(OR(N(E377)=0,F377=""),"",F377/E377)</f>
        <v/>
      </c>
      <c r="I377" s="11">
        <f>IF(R377="","",D377-R377)</f>
        <v/>
      </c>
      <c r="J377" s="35">
        <f>IF(R377="","",SUMIFS(Fuel!$E$6:$E$605,Fuel!$C$6:$C$605,C377,Fuel!$D$6:$D$605,"&gt;"&amp;R377,Fuel!$D$6:$D$605,"&lt;="&amp;D377))</f>
        <v/>
      </c>
      <c r="K377" s="36">
        <f>IF(OR(I377="",N(I377)=0),"",J377/I377*100)</f>
        <v/>
      </c>
      <c r="L377" s="36">
        <f>IF(OR(J377="",N(J377)=0),"",I377/J377)</f>
        <v/>
      </c>
      <c r="M377" s="1" t="n"/>
      <c r="N377">
        <f>IF(OR(C377="",N(D377)=0),"",D377+ROW()/10000000)</f>
        <v/>
      </c>
      <c r="O377">
        <f>IF(N377="","",COUNTIFS(Fuel!$C$6:$C$605,C377,Fuel!$N$6:$N$605,"&gt;"&amp;N377))</f>
        <v/>
      </c>
      <c r="P377">
        <f>IF(OR(N377="",G377=""),"",COUNTIFS(Fuel!$C$6:$C$605,C377,Fuel!$G$6:$G$605,"&lt;&gt;",Fuel!$N$6:$N$605,"&lt;"&amp;N377))</f>
        <v/>
      </c>
      <c r="R377">
        <f>IF(OR(P377="",N(P377)=0),"",SUMIFS(Fuel!$D$6:$D$605,Fuel!$C$6:$C$605,C377,Fuel!$P$6:$P$605,P377-1))</f>
        <v/>
      </c>
    </row>
    <row r="378">
      <c r="A378" s="1" t="n"/>
      <c r="B378" s="29" t="n"/>
      <c r="C378" s="24" t="n"/>
      <c r="D378" s="28" t="n"/>
      <c r="E378" s="33" t="n"/>
      <c r="F378" s="34" t="n"/>
      <c r="G378" s="27" t="n"/>
      <c r="H378" s="14">
        <f>IF(OR(N(E378)=0,F378=""),"",F378/E378)</f>
        <v/>
      </c>
      <c r="I378" s="11">
        <f>IF(R378="","",D378-R378)</f>
        <v/>
      </c>
      <c r="J378" s="35">
        <f>IF(R378="","",SUMIFS(Fuel!$E$6:$E$605,Fuel!$C$6:$C$605,C378,Fuel!$D$6:$D$605,"&gt;"&amp;R378,Fuel!$D$6:$D$605,"&lt;="&amp;D378))</f>
        <v/>
      </c>
      <c r="K378" s="36">
        <f>IF(OR(I378="",N(I378)=0),"",J378/I378*100)</f>
        <v/>
      </c>
      <c r="L378" s="36">
        <f>IF(OR(J378="",N(J378)=0),"",I378/J378)</f>
        <v/>
      </c>
      <c r="M378" s="1" t="n"/>
      <c r="N378">
        <f>IF(OR(C378="",N(D378)=0),"",D378+ROW()/10000000)</f>
        <v/>
      </c>
      <c r="O378">
        <f>IF(N378="","",COUNTIFS(Fuel!$C$6:$C$605,C378,Fuel!$N$6:$N$605,"&gt;"&amp;N378))</f>
        <v/>
      </c>
      <c r="P378">
        <f>IF(OR(N378="",G378=""),"",COUNTIFS(Fuel!$C$6:$C$605,C378,Fuel!$G$6:$G$605,"&lt;&gt;",Fuel!$N$6:$N$605,"&lt;"&amp;N378))</f>
        <v/>
      </c>
      <c r="R378">
        <f>IF(OR(P378="",N(P378)=0),"",SUMIFS(Fuel!$D$6:$D$605,Fuel!$C$6:$C$605,C378,Fuel!$P$6:$P$605,P378-1))</f>
        <v/>
      </c>
    </row>
    <row r="379">
      <c r="A379" s="1" t="n"/>
      <c r="B379" s="29" t="n"/>
      <c r="C379" s="24" t="n"/>
      <c r="D379" s="28" t="n"/>
      <c r="E379" s="33" t="n"/>
      <c r="F379" s="34" t="n"/>
      <c r="G379" s="27" t="n"/>
      <c r="H379" s="14">
        <f>IF(OR(N(E379)=0,F379=""),"",F379/E379)</f>
        <v/>
      </c>
      <c r="I379" s="11">
        <f>IF(R379="","",D379-R379)</f>
        <v/>
      </c>
      <c r="J379" s="35">
        <f>IF(R379="","",SUMIFS(Fuel!$E$6:$E$605,Fuel!$C$6:$C$605,C379,Fuel!$D$6:$D$605,"&gt;"&amp;R379,Fuel!$D$6:$D$605,"&lt;="&amp;D379))</f>
        <v/>
      </c>
      <c r="K379" s="36">
        <f>IF(OR(I379="",N(I379)=0),"",J379/I379*100)</f>
        <v/>
      </c>
      <c r="L379" s="36">
        <f>IF(OR(J379="",N(J379)=0),"",I379/J379)</f>
        <v/>
      </c>
      <c r="M379" s="1" t="n"/>
      <c r="N379">
        <f>IF(OR(C379="",N(D379)=0),"",D379+ROW()/10000000)</f>
        <v/>
      </c>
      <c r="O379">
        <f>IF(N379="","",COUNTIFS(Fuel!$C$6:$C$605,C379,Fuel!$N$6:$N$605,"&gt;"&amp;N379))</f>
        <v/>
      </c>
      <c r="P379">
        <f>IF(OR(N379="",G379=""),"",COUNTIFS(Fuel!$C$6:$C$605,C379,Fuel!$G$6:$G$605,"&lt;&gt;",Fuel!$N$6:$N$605,"&lt;"&amp;N379))</f>
        <v/>
      </c>
      <c r="R379">
        <f>IF(OR(P379="",N(P379)=0),"",SUMIFS(Fuel!$D$6:$D$605,Fuel!$C$6:$C$605,C379,Fuel!$P$6:$P$605,P379-1))</f>
        <v/>
      </c>
    </row>
    <row r="380">
      <c r="A380" s="1" t="n"/>
      <c r="B380" s="29" t="n"/>
      <c r="C380" s="24" t="n"/>
      <c r="D380" s="28" t="n"/>
      <c r="E380" s="33" t="n"/>
      <c r="F380" s="34" t="n"/>
      <c r="G380" s="27" t="n"/>
      <c r="H380" s="14">
        <f>IF(OR(N(E380)=0,F380=""),"",F380/E380)</f>
        <v/>
      </c>
      <c r="I380" s="11">
        <f>IF(R380="","",D380-R380)</f>
        <v/>
      </c>
      <c r="J380" s="35">
        <f>IF(R380="","",SUMIFS(Fuel!$E$6:$E$605,Fuel!$C$6:$C$605,C380,Fuel!$D$6:$D$605,"&gt;"&amp;R380,Fuel!$D$6:$D$605,"&lt;="&amp;D380))</f>
        <v/>
      </c>
      <c r="K380" s="36">
        <f>IF(OR(I380="",N(I380)=0),"",J380/I380*100)</f>
        <v/>
      </c>
      <c r="L380" s="36">
        <f>IF(OR(J380="",N(J380)=0),"",I380/J380)</f>
        <v/>
      </c>
      <c r="M380" s="1" t="n"/>
      <c r="N380">
        <f>IF(OR(C380="",N(D380)=0),"",D380+ROW()/10000000)</f>
        <v/>
      </c>
      <c r="O380">
        <f>IF(N380="","",COUNTIFS(Fuel!$C$6:$C$605,C380,Fuel!$N$6:$N$605,"&gt;"&amp;N380))</f>
        <v/>
      </c>
      <c r="P380">
        <f>IF(OR(N380="",G380=""),"",COUNTIFS(Fuel!$C$6:$C$605,C380,Fuel!$G$6:$G$605,"&lt;&gt;",Fuel!$N$6:$N$605,"&lt;"&amp;N380))</f>
        <v/>
      </c>
      <c r="R380">
        <f>IF(OR(P380="",N(P380)=0),"",SUMIFS(Fuel!$D$6:$D$605,Fuel!$C$6:$C$605,C380,Fuel!$P$6:$P$605,P380-1))</f>
        <v/>
      </c>
    </row>
    <row r="381">
      <c r="A381" s="1" t="n"/>
      <c r="B381" s="29" t="n"/>
      <c r="C381" s="24" t="n"/>
      <c r="D381" s="28" t="n"/>
      <c r="E381" s="33" t="n"/>
      <c r="F381" s="34" t="n"/>
      <c r="G381" s="27" t="n"/>
      <c r="H381" s="14">
        <f>IF(OR(N(E381)=0,F381=""),"",F381/E381)</f>
        <v/>
      </c>
      <c r="I381" s="11">
        <f>IF(R381="","",D381-R381)</f>
        <v/>
      </c>
      <c r="J381" s="35">
        <f>IF(R381="","",SUMIFS(Fuel!$E$6:$E$605,Fuel!$C$6:$C$605,C381,Fuel!$D$6:$D$605,"&gt;"&amp;R381,Fuel!$D$6:$D$605,"&lt;="&amp;D381))</f>
        <v/>
      </c>
      <c r="K381" s="36">
        <f>IF(OR(I381="",N(I381)=0),"",J381/I381*100)</f>
        <v/>
      </c>
      <c r="L381" s="36">
        <f>IF(OR(J381="",N(J381)=0),"",I381/J381)</f>
        <v/>
      </c>
      <c r="M381" s="1" t="n"/>
      <c r="N381">
        <f>IF(OR(C381="",N(D381)=0),"",D381+ROW()/10000000)</f>
        <v/>
      </c>
      <c r="O381">
        <f>IF(N381="","",COUNTIFS(Fuel!$C$6:$C$605,C381,Fuel!$N$6:$N$605,"&gt;"&amp;N381))</f>
        <v/>
      </c>
      <c r="P381">
        <f>IF(OR(N381="",G381=""),"",COUNTIFS(Fuel!$C$6:$C$605,C381,Fuel!$G$6:$G$605,"&lt;&gt;",Fuel!$N$6:$N$605,"&lt;"&amp;N381))</f>
        <v/>
      </c>
      <c r="R381">
        <f>IF(OR(P381="",N(P381)=0),"",SUMIFS(Fuel!$D$6:$D$605,Fuel!$C$6:$C$605,C381,Fuel!$P$6:$P$605,P381-1))</f>
        <v/>
      </c>
    </row>
    <row r="382">
      <c r="A382" s="1" t="n"/>
      <c r="B382" s="29" t="n"/>
      <c r="C382" s="24" t="n"/>
      <c r="D382" s="28" t="n"/>
      <c r="E382" s="33" t="n"/>
      <c r="F382" s="34" t="n"/>
      <c r="G382" s="27" t="n"/>
      <c r="H382" s="14">
        <f>IF(OR(N(E382)=0,F382=""),"",F382/E382)</f>
        <v/>
      </c>
      <c r="I382" s="11">
        <f>IF(R382="","",D382-R382)</f>
        <v/>
      </c>
      <c r="J382" s="35">
        <f>IF(R382="","",SUMIFS(Fuel!$E$6:$E$605,Fuel!$C$6:$C$605,C382,Fuel!$D$6:$D$605,"&gt;"&amp;R382,Fuel!$D$6:$D$605,"&lt;="&amp;D382))</f>
        <v/>
      </c>
      <c r="K382" s="36">
        <f>IF(OR(I382="",N(I382)=0),"",J382/I382*100)</f>
        <v/>
      </c>
      <c r="L382" s="36">
        <f>IF(OR(J382="",N(J382)=0),"",I382/J382)</f>
        <v/>
      </c>
      <c r="M382" s="1" t="n"/>
      <c r="N382">
        <f>IF(OR(C382="",N(D382)=0),"",D382+ROW()/10000000)</f>
        <v/>
      </c>
      <c r="O382">
        <f>IF(N382="","",COUNTIFS(Fuel!$C$6:$C$605,C382,Fuel!$N$6:$N$605,"&gt;"&amp;N382))</f>
        <v/>
      </c>
      <c r="P382">
        <f>IF(OR(N382="",G382=""),"",COUNTIFS(Fuel!$C$6:$C$605,C382,Fuel!$G$6:$G$605,"&lt;&gt;",Fuel!$N$6:$N$605,"&lt;"&amp;N382))</f>
        <v/>
      </c>
      <c r="R382">
        <f>IF(OR(P382="",N(P382)=0),"",SUMIFS(Fuel!$D$6:$D$605,Fuel!$C$6:$C$605,C382,Fuel!$P$6:$P$605,P382-1))</f>
        <v/>
      </c>
    </row>
    <row r="383">
      <c r="A383" s="1" t="n"/>
      <c r="B383" s="29" t="n"/>
      <c r="C383" s="24" t="n"/>
      <c r="D383" s="28" t="n"/>
      <c r="E383" s="33" t="n"/>
      <c r="F383" s="34" t="n"/>
      <c r="G383" s="27" t="n"/>
      <c r="H383" s="14">
        <f>IF(OR(N(E383)=0,F383=""),"",F383/E383)</f>
        <v/>
      </c>
      <c r="I383" s="11">
        <f>IF(R383="","",D383-R383)</f>
        <v/>
      </c>
      <c r="J383" s="35">
        <f>IF(R383="","",SUMIFS(Fuel!$E$6:$E$605,Fuel!$C$6:$C$605,C383,Fuel!$D$6:$D$605,"&gt;"&amp;R383,Fuel!$D$6:$D$605,"&lt;="&amp;D383))</f>
        <v/>
      </c>
      <c r="K383" s="36">
        <f>IF(OR(I383="",N(I383)=0),"",J383/I383*100)</f>
        <v/>
      </c>
      <c r="L383" s="36">
        <f>IF(OR(J383="",N(J383)=0),"",I383/J383)</f>
        <v/>
      </c>
      <c r="M383" s="1" t="n"/>
      <c r="N383">
        <f>IF(OR(C383="",N(D383)=0),"",D383+ROW()/10000000)</f>
        <v/>
      </c>
      <c r="O383">
        <f>IF(N383="","",COUNTIFS(Fuel!$C$6:$C$605,C383,Fuel!$N$6:$N$605,"&gt;"&amp;N383))</f>
        <v/>
      </c>
      <c r="P383">
        <f>IF(OR(N383="",G383=""),"",COUNTIFS(Fuel!$C$6:$C$605,C383,Fuel!$G$6:$G$605,"&lt;&gt;",Fuel!$N$6:$N$605,"&lt;"&amp;N383))</f>
        <v/>
      </c>
      <c r="R383">
        <f>IF(OR(P383="",N(P383)=0),"",SUMIFS(Fuel!$D$6:$D$605,Fuel!$C$6:$C$605,C383,Fuel!$P$6:$P$605,P383-1))</f>
        <v/>
      </c>
    </row>
    <row r="384">
      <c r="A384" s="1" t="n"/>
      <c r="B384" s="29" t="n"/>
      <c r="C384" s="24" t="n"/>
      <c r="D384" s="28" t="n"/>
      <c r="E384" s="33" t="n"/>
      <c r="F384" s="34" t="n"/>
      <c r="G384" s="27" t="n"/>
      <c r="H384" s="14">
        <f>IF(OR(N(E384)=0,F384=""),"",F384/E384)</f>
        <v/>
      </c>
      <c r="I384" s="11">
        <f>IF(R384="","",D384-R384)</f>
        <v/>
      </c>
      <c r="J384" s="35">
        <f>IF(R384="","",SUMIFS(Fuel!$E$6:$E$605,Fuel!$C$6:$C$605,C384,Fuel!$D$6:$D$605,"&gt;"&amp;R384,Fuel!$D$6:$D$605,"&lt;="&amp;D384))</f>
        <v/>
      </c>
      <c r="K384" s="36">
        <f>IF(OR(I384="",N(I384)=0),"",J384/I384*100)</f>
        <v/>
      </c>
      <c r="L384" s="36">
        <f>IF(OR(J384="",N(J384)=0),"",I384/J384)</f>
        <v/>
      </c>
      <c r="M384" s="1" t="n"/>
      <c r="N384">
        <f>IF(OR(C384="",N(D384)=0),"",D384+ROW()/10000000)</f>
        <v/>
      </c>
      <c r="O384">
        <f>IF(N384="","",COUNTIFS(Fuel!$C$6:$C$605,C384,Fuel!$N$6:$N$605,"&gt;"&amp;N384))</f>
        <v/>
      </c>
      <c r="P384">
        <f>IF(OR(N384="",G384=""),"",COUNTIFS(Fuel!$C$6:$C$605,C384,Fuel!$G$6:$G$605,"&lt;&gt;",Fuel!$N$6:$N$605,"&lt;"&amp;N384))</f>
        <v/>
      </c>
      <c r="R384">
        <f>IF(OR(P384="",N(P384)=0),"",SUMIFS(Fuel!$D$6:$D$605,Fuel!$C$6:$C$605,C384,Fuel!$P$6:$P$605,P384-1))</f>
        <v/>
      </c>
    </row>
    <row r="385">
      <c r="A385" s="1" t="n"/>
      <c r="B385" s="29" t="n"/>
      <c r="C385" s="24" t="n"/>
      <c r="D385" s="28" t="n"/>
      <c r="E385" s="33" t="n"/>
      <c r="F385" s="34" t="n"/>
      <c r="G385" s="27" t="n"/>
      <c r="H385" s="14">
        <f>IF(OR(N(E385)=0,F385=""),"",F385/E385)</f>
        <v/>
      </c>
      <c r="I385" s="11">
        <f>IF(R385="","",D385-R385)</f>
        <v/>
      </c>
      <c r="J385" s="35">
        <f>IF(R385="","",SUMIFS(Fuel!$E$6:$E$605,Fuel!$C$6:$C$605,C385,Fuel!$D$6:$D$605,"&gt;"&amp;R385,Fuel!$D$6:$D$605,"&lt;="&amp;D385))</f>
        <v/>
      </c>
      <c r="K385" s="36">
        <f>IF(OR(I385="",N(I385)=0),"",J385/I385*100)</f>
        <v/>
      </c>
      <c r="L385" s="36">
        <f>IF(OR(J385="",N(J385)=0),"",I385/J385)</f>
        <v/>
      </c>
      <c r="M385" s="1" t="n"/>
      <c r="N385">
        <f>IF(OR(C385="",N(D385)=0),"",D385+ROW()/10000000)</f>
        <v/>
      </c>
      <c r="O385">
        <f>IF(N385="","",COUNTIFS(Fuel!$C$6:$C$605,C385,Fuel!$N$6:$N$605,"&gt;"&amp;N385))</f>
        <v/>
      </c>
      <c r="P385">
        <f>IF(OR(N385="",G385=""),"",COUNTIFS(Fuel!$C$6:$C$605,C385,Fuel!$G$6:$G$605,"&lt;&gt;",Fuel!$N$6:$N$605,"&lt;"&amp;N385))</f>
        <v/>
      </c>
      <c r="R385">
        <f>IF(OR(P385="",N(P385)=0),"",SUMIFS(Fuel!$D$6:$D$605,Fuel!$C$6:$C$605,C385,Fuel!$P$6:$P$605,P385-1))</f>
        <v/>
      </c>
    </row>
    <row r="386">
      <c r="A386" s="1" t="n"/>
      <c r="B386" s="29" t="n"/>
      <c r="C386" s="24" t="n"/>
      <c r="D386" s="28" t="n"/>
      <c r="E386" s="33" t="n"/>
      <c r="F386" s="34" t="n"/>
      <c r="G386" s="27" t="n"/>
      <c r="H386" s="14">
        <f>IF(OR(N(E386)=0,F386=""),"",F386/E386)</f>
        <v/>
      </c>
      <c r="I386" s="11">
        <f>IF(R386="","",D386-R386)</f>
        <v/>
      </c>
      <c r="J386" s="35">
        <f>IF(R386="","",SUMIFS(Fuel!$E$6:$E$605,Fuel!$C$6:$C$605,C386,Fuel!$D$6:$D$605,"&gt;"&amp;R386,Fuel!$D$6:$D$605,"&lt;="&amp;D386))</f>
        <v/>
      </c>
      <c r="K386" s="36">
        <f>IF(OR(I386="",N(I386)=0),"",J386/I386*100)</f>
        <v/>
      </c>
      <c r="L386" s="36">
        <f>IF(OR(J386="",N(J386)=0),"",I386/J386)</f>
        <v/>
      </c>
      <c r="M386" s="1" t="n"/>
      <c r="N386">
        <f>IF(OR(C386="",N(D386)=0),"",D386+ROW()/10000000)</f>
        <v/>
      </c>
      <c r="O386">
        <f>IF(N386="","",COUNTIFS(Fuel!$C$6:$C$605,C386,Fuel!$N$6:$N$605,"&gt;"&amp;N386))</f>
        <v/>
      </c>
      <c r="P386">
        <f>IF(OR(N386="",G386=""),"",COUNTIFS(Fuel!$C$6:$C$605,C386,Fuel!$G$6:$G$605,"&lt;&gt;",Fuel!$N$6:$N$605,"&lt;"&amp;N386))</f>
        <v/>
      </c>
      <c r="R386">
        <f>IF(OR(P386="",N(P386)=0),"",SUMIFS(Fuel!$D$6:$D$605,Fuel!$C$6:$C$605,C386,Fuel!$P$6:$P$605,P386-1))</f>
        <v/>
      </c>
    </row>
    <row r="387">
      <c r="A387" s="1" t="n"/>
      <c r="B387" s="29" t="n"/>
      <c r="C387" s="24" t="n"/>
      <c r="D387" s="28" t="n"/>
      <c r="E387" s="33" t="n"/>
      <c r="F387" s="34" t="n"/>
      <c r="G387" s="27" t="n"/>
      <c r="H387" s="14">
        <f>IF(OR(N(E387)=0,F387=""),"",F387/E387)</f>
        <v/>
      </c>
      <c r="I387" s="11">
        <f>IF(R387="","",D387-R387)</f>
        <v/>
      </c>
      <c r="J387" s="35">
        <f>IF(R387="","",SUMIFS(Fuel!$E$6:$E$605,Fuel!$C$6:$C$605,C387,Fuel!$D$6:$D$605,"&gt;"&amp;R387,Fuel!$D$6:$D$605,"&lt;="&amp;D387))</f>
        <v/>
      </c>
      <c r="K387" s="36">
        <f>IF(OR(I387="",N(I387)=0),"",J387/I387*100)</f>
        <v/>
      </c>
      <c r="L387" s="36">
        <f>IF(OR(J387="",N(J387)=0),"",I387/J387)</f>
        <v/>
      </c>
      <c r="M387" s="1" t="n"/>
      <c r="N387">
        <f>IF(OR(C387="",N(D387)=0),"",D387+ROW()/10000000)</f>
        <v/>
      </c>
      <c r="O387">
        <f>IF(N387="","",COUNTIFS(Fuel!$C$6:$C$605,C387,Fuel!$N$6:$N$605,"&gt;"&amp;N387))</f>
        <v/>
      </c>
      <c r="P387">
        <f>IF(OR(N387="",G387=""),"",COUNTIFS(Fuel!$C$6:$C$605,C387,Fuel!$G$6:$G$605,"&lt;&gt;",Fuel!$N$6:$N$605,"&lt;"&amp;N387))</f>
        <v/>
      </c>
      <c r="R387">
        <f>IF(OR(P387="",N(P387)=0),"",SUMIFS(Fuel!$D$6:$D$605,Fuel!$C$6:$C$605,C387,Fuel!$P$6:$P$605,P387-1))</f>
        <v/>
      </c>
    </row>
    <row r="388">
      <c r="A388" s="1" t="n"/>
      <c r="B388" s="29" t="n"/>
      <c r="C388" s="24" t="n"/>
      <c r="D388" s="28" t="n"/>
      <c r="E388" s="33" t="n"/>
      <c r="F388" s="34" t="n"/>
      <c r="G388" s="27" t="n"/>
      <c r="H388" s="14">
        <f>IF(OR(N(E388)=0,F388=""),"",F388/E388)</f>
        <v/>
      </c>
      <c r="I388" s="11">
        <f>IF(R388="","",D388-R388)</f>
        <v/>
      </c>
      <c r="J388" s="35">
        <f>IF(R388="","",SUMIFS(Fuel!$E$6:$E$605,Fuel!$C$6:$C$605,C388,Fuel!$D$6:$D$605,"&gt;"&amp;R388,Fuel!$D$6:$D$605,"&lt;="&amp;D388))</f>
        <v/>
      </c>
      <c r="K388" s="36">
        <f>IF(OR(I388="",N(I388)=0),"",J388/I388*100)</f>
        <v/>
      </c>
      <c r="L388" s="36">
        <f>IF(OR(J388="",N(J388)=0),"",I388/J388)</f>
        <v/>
      </c>
      <c r="M388" s="1" t="n"/>
      <c r="N388">
        <f>IF(OR(C388="",N(D388)=0),"",D388+ROW()/10000000)</f>
        <v/>
      </c>
      <c r="O388">
        <f>IF(N388="","",COUNTIFS(Fuel!$C$6:$C$605,C388,Fuel!$N$6:$N$605,"&gt;"&amp;N388))</f>
        <v/>
      </c>
      <c r="P388">
        <f>IF(OR(N388="",G388=""),"",COUNTIFS(Fuel!$C$6:$C$605,C388,Fuel!$G$6:$G$605,"&lt;&gt;",Fuel!$N$6:$N$605,"&lt;"&amp;N388))</f>
        <v/>
      </c>
      <c r="R388">
        <f>IF(OR(P388="",N(P388)=0),"",SUMIFS(Fuel!$D$6:$D$605,Fuel!$C$6:$C$605,C388,Fuel!$P$6:$P$605,P388-1))</f>
        <v/>
      </c>
    </row>
    <row r="389">
      <c r="A389" s="1" t="n"/>
      <c r="B389" s="29" t="n"/>
      <c r="C389" s="24" t="n"/>
      <c r="D389" s="28" t="n"/>
      <c r="E389" s="33" t="n"/>
      <c r="F389" s="34" t="n"/>
      <c r="G389" s="27" t="n"/>
      <c r="H389" s="14">
        <f>IF(OR(N(E389)=0,F389=""),"",F389/E389)</f>
        <v/>
      </c>
      <c r="I389" s="11">
        <f>IF(R389="","",D389-R389)</f>
        <v/>
      </c>
      <c r="J389" s="35">
        <f>IF(R389="","",SUMIFS(Fuel!$E$6:$E$605,Fuel!$C$6:$C$605,C389,Fuel!$D$6:$D$605,"&gt;"&amp;R389,Fuel!$D$6:$D$605,"&lt;="&amp;D389))</f>
        <v/>
      </c>
      <c r="K389" s="36">
        <f>IF(OR(I389="",N(I389)=0),"",J389/I389*100)</f>
        <v/>
      </c>
      <c r="L389" s="36">
        <f>IF(OR(J389="",N(J389)=0),"",I389/J389)</f>
        <v/>
      </c>
      <c r="M389" s="1" t="n"/>
      <c r="N389">
        <f>IF(OR(C389="",N(D389)=0),"",D389+ROW()/10000000)</f>
        <v/>
      </c>
      <c r="O389">
        <f>IF(N389="","",COUNTIFS(Fuel!$C$6:$C$605,C389,Fuel!$N$6:$N$605,"&gt;"&amp;N389))</f>
        <v/>
      </c>
      <c r="P389">
        <f>IF(OR(N389="",G389=""),"",COUNTIFS(Fuel!$C$6:$C$605,C389,Fuel!$G$6:$G$605,"&lt;&gt;",Fuel!$N$6:$N$605,"&lt;"&amp;N389))</f>
        <v/>
      </c>
      <c r="R389">
        <f>IF(OR(P389="",N(P389)=0),"",SUMIFS(Fuel!$D$6:$D$605,Fuel!$C$6:$C$605,C389,Fuel!$P$6:$P$605,P389-1))</f>
        <v/>
      </c>
    </row>
    <row r="390">
      <c r="A390" s="1" t="n"/>
      <c r="B390" s="29" t="n"/>
      <c r="C390" s="24" t="n"/>
      <c r="D390" s="28" t="n"/>
      <c r="E390" s="33" t="n"/>
      <c r="F390" s="34" t="n"/>
      <c r="G390" s="27" t="n"/>
      <c r="H390" s="14">
        <f>IF(OR(N(E390)=0,F390=""),"",F390/E390)</f>
        <v/>
      </c>
      <c r="I390" s="11">
        <f>IF(R390="","",D390-R390)</f>
        <v/>
      </c>
      <c r="J390" s="35">
        <f>IF(R390="","",SUMIFS(Fuel!$E$6:$E$605,Fuel!$C$6:$C$605,C390,Fuel!$D$6:$D$605,"&gt;"&amp;R390,Fuel!$D$6:$D$605,"&lt;="&amp;D390))</f>
        <v/>
      </c>
      <c r="K390" s="36">
        <f>IF(OR(I390="",N(I390)=0),"",J390/I390*100)</f>
        <v/>
      </c>
      <c r="L390" s="36">
        <f>IF(OR(J390="",N(J390)=0),"",I390/J390)</f>
        <v/>
      </c>
      <c r="M390" s="1" t="n"/>
      <c r="N390">
        <f>IF(OR(C390="",N(D390)=0),"",D390+ROW()/10000000)</f>
        <v/>
      </c>
      <c r="O390">
        <f>IF(N390="","",COUNTIFS(Fuel!$C$6:$C$605,C390,Fuel!$N$6:$N$605,"&gt;"&amp;N390))</f>
        <v/>
      </c>
      <c r="P390">
        <f>IF(OR(N390="",G390=""),"",COUNTIFS(Fuel!$C$6:$C$605,C390,Fuel!$G$6:$G$605,"&lt;&gt;",Fuel!$N$6:$N$605,"&lt;"&amp;N390))</f>
        <v/>
      </c>
      <c r="R390">
        <f>IF(OR(P390="",N(P390)=0),"",SUMIFS(Fuel!$D$6:$D$605,Fuel!$C$6:$C$605,C390,Fuel!$P$6:$P$605,P390-1))</f>
        <v/>
      </c>
    </row>
    <row r="391">
      <c r="A391" s="1" t="n"/>
      <c r="B391" s="29" t="n"/>
      <c r="C391" s="24" t="n"/>
      <c r="D391" s="28" t="n"/>
      <c r="E391" s="33" t="n"/>
      <c r="F391" s="34" t="n"/>
      <c r="G391" s="27" t="n"/>
      <c r="H391" s="14">
        <f>IF(OR(N(E391)=0,F391=""),"",F391/E391)</f>
        <v/>
      </c>
      <c r="I391" s="11">
        <f>IF(R391="","",D391-R391)</f>
        <v/>
      </c>
      <c r="J391" s="35">
        <f>IF(R391="","",SUMIFS(Fuel!$E$6:$E$605,Fuel!$C$6:$C$605,C391,Fuel!$D$6:$D$605,"&gt;"&amp;R391,Fuel!$D$6:$D$605,"&lt;="&amp;D391))</f>
        <v/>
      </c>
      <c r="K391" s="36">
        <f>IF(OR(I391="",N(I391)=0),"",J391/I391*100)</f>
        <v/>
      </c>
      <c r="L391" s="36">
        <f>IF(OR(J391="",N(J391)=0),"",I391/J391)</f>
        <v/>
      </c>
      <c r="M391" s="1" t="n"/>
      <c r="N391">
        <f>IF(OR(C391="",N(D391)=0),"",D391+ROW()/10000000)</f>
        <v/>
      </c>
      <c r="O391">
        <f>IF(N391="","",COUNTIFS(Fuel!$C$6:$C$605,C391,Fuel!$N$6:$N$605,"&gt;"&amp;N391))</f>
        <v/>
      </c>
      <c r="P391">
        <f>IF(OR(N391="",G391=""),"",COUNTIFS(Fuel!$C$6:$C$605,C391,Fuel!$G$6:$G$605,"&lt;&gt;",Fuel!$N$6:$N$605,"&lt;"&amp;N391))</f>
        <v/>
      </c>
      <c r="R391">
        <f>IF(OR(P391="",N(P391)=0),"",SUMIFS(Fuel!$D$6:$D$605,Fuel!$C$6:$C$605,C391,Fuel!$P$6:$P$605,P391-1))</f>
        <v/>
      </c>
    </row>
    <row r="392">
      <c r="A392" s="1" t="n"/>
      <c r="B392" s="29" t="n"/>
      <c r="C392" s="24" t="n"/>
      <c r="D392" s="28" t="n"/>
      <c r="E392" s="33" t="n"/>
      <c r="F392" s="34" t="n"/>
      <c r="G392" s="27" t="n"/>
      <c r="H392" s="14">
        <f>IF(OR(N(E392)=0,F392=""),"",F392/E392)</f>
        <v/>
      </c>
      <c r="I392" s="11">
        <f>IF(R392="","",D392-R392)</f>
        <v/>
      </c>
      <c r="J392" s="35">
        <f>IF(R392="","",SUMIFS(Fuel!$E$6:$E$605,Fuel!$C$6:$C$605,C392,Fuel!$D$6:$D$605,"&gt;"&amp;R392,Fuel!$D$6:$D$605,"&lt;="&amp;D392))</f>
        <v/>
      </c>
      <c r="K392" s="36">
        <f>IF(OR(I392="",N(I392)=0),"",J392/I392*100)</f>
        <v/>
      </c>
      <c r="L392" s="36">
        <f>IF(OR(J392="",N(J392)=0),"",I392/J392)</f>
        <v/>
      </c>
      <c r="M392" s="1" t="n"/>
      <c r="N392">
        <f>IF(OR(C392="",N(D392)=0),"",D392+ROW()/10000000)</f>
        <v/>
      </c>
      <c r="O392">
        <f>IF(N392="","",COUNTIFS(Fuel!$C$6:$C$605,C392,Fuel!$N$6:$N$605,"&gt;"&amp;N392))</f>
        <v/>
      </c>
      <c r="P392">
        <f>IF(OR(N392="",G392=""),"",COUNTIFS(Fuel!$C$6:$C$605,C392,Fuel!$G$6:$G$605,"&lt;&gt;",Fuel!$N$6:$N$605,"&lt;"&amp;N392))</f>
        <v/>
      </c>
      <c r="R392">
        <f>IF(OR(P392="",N(P392)=0),"",SUMIFS(Fuel!$D$6:$D$605,Fuel!$C$6:$C$605,C392,Fuel!$P$6:$P$605,P392-1))</f>
        <v/>
      </c>
    </row>
    <row r="393">
      <c r="A393" s="1" t="n"/>
      <c r="B393" s="29" t="n"/>
      <c r="C393" s="24" t="n"/>
      <c r="D393" s="28" t="n"/>
      <c r="E393" s="33" t="n"/>
      <c r="F393" s="34" t="n"/>
      <c r="G393" s="27" t="n"/>
      <c r="H393" s="14">
        <f>IF(OR(N(E393)=0,F393=""),"",F393/E393)</f>
        <v/>
      </c>
      <c r="I393" s="11">
        <f>IF(R393="","",D393-R393)</f>
        <v/>
      </c>
      <c r="J393" s="35">
        <f>IF(R393="","",SUMIFS(Fuel!$E$6:$E$605,Fuel!$C$6:$C$605,C393,Fuel!$D$6:$D$605,"&gt;"&amp;R393,Fuel!$D$6:$D$605,"&lt;="&amp;D393))</f>
        <v/>
      </c>
      <c r="K393" s="36">
        <f>IF(OR(I393="",N(I393)=0),"",J393/I393*100)</f>
        <v/>
      </c>
      <c r="L393" s="36">
        <f>IF(OR(J393="",N(J393)=0),"",I393/J393)</f>
        <v/>
      </c>
      <c r="M393" s="1" t="n"/>
      <c r="N393">
        <f>IF(OR(C393="",N(D393)=0),"",D393+ROW()/10000000)</f>
        <v/>
      </c>
      <c r="O393">
        <f>IF(N393="","",COUNTIFS(Fuel!$C$6:$C$605,C393,Fuel!$N$6:$N$605,"&gt;"&amp;N393))</f>
        <v/>
      </c>
      <c r="P393">
        <f>IF(OR(N393="",G393=""),"",COUNTIFS(Fuel!$C$6:$C$605,C393,Fuel!$G$6:$G$605,"&lt;&gt;",Fuel!$N$6:$N$605,"&lt;"&amp;N393))</f>
        <v/>
      </c>
      <c r="R393">
        <f>IF(OR(P393="",N(P393)=0),"",SUMIFS(Fuel!$D$6:$D$605,Fuel!$C$6:$C$605,C393,Fuel!$P$6:$P$605,P393-1))</f>
        <v/>
      </c>
    </row>
    <row r="394">
      <c r="A394" s="1" t="n"/>
      <c r="B394" s="29" t="n"/>
      <c r="C394" s="24" t="n"/>
      <c r="D394" s="28" t="n"/>
      <c r="E394" s="33" t="n"/>
      <c r="F394" s="34" t="n"/>
      <c r="G394" s="27" t="n"/>
      <c r="H394" s="14">
        <f>IF(OR(N(E394)=0,F394=""),"",F394/E394)</f>
        <v/>
      </c>
      <c r="I394" s="11">
        <f>IF(R394="","",D394-R394)</f>
        <v/>
      </c>
      <c r="J394" s="35">
        <f>IF(R394="","",SUMIFS(Fuel!$E$6:$E$605,Fuel!$C$6:$C$605,C394,Fuel!$D$6:$D$605,"&gt;"&amp;R394,Fuel!$D$6:$D$605,"&lt;="&amp;D394))</f>
        <v/>
      </c>
      <c r="K394" s="36">
        <f>IF(OR(I394="",N(I394)=0),"",J394/I394*100)</f>
        <v/>
      </c>
      <c r="L394" s="36">
        <f>IF(OR(J394="",N(J394)=0),"",I394/J394)</f>
        <v/>
      </c>
      <c r="M394" s="1" t="n"/>
      <c r="N394">
        <f>IF(OR(C394="",N(D394)=0),"",D394+ROW()/10000000)</f>
        <v/>
      </c>
      <c r="O394">
        <f>IF(N394="","",COUNTIFS(Fuel!$C$6:$C$605,C394,Fuel!$N$6:$N$605,"&gt;"&amp;N394))</f>
        <v/>
      </c>
      <c r="P394">
        <f>IF(OR(N394="",G394=""),"",COUNTIFS(Fuel!$C$6:$C$605,C394,Fuel!$G$6:$G$605,"&lt;&gt;",Fuel!$N$6:$N$605,"&lt;"&amp;N394))</f>
        <v/>
      </c>
      <c r="R394">
        <f>IF(OR(P394="",N(P394)=0),"",SUMIFS(Fuel!$D$6:$D$605,Fuel!$C$6:$C$605,C394,Fuel!$P$6:$P$605,P394-1))</f>
        <v/>
      </c>
    </row>
    <row r="395">
      <c r="A395" s="1" t="n"/>
      <c r="B395" s="29" t="n"/>
      <c r="C395" s="24" t="n"/>
      <c r="D395" s="28" t="n"/>
      <c r="E395" s="33" t="n"/>
      <c r="F395" s="34" t="n"/>
      <c r="G395" s="27" t="n"/>
      <c r="H395" s="14">
        <f>IF(OR(N(E395)=0,F395=""),"",F395/E395)</f>
        <v/>
      </c>
      <c r="I395" s="11">
        <f>IF(R395="","",D395-R395)</f>
        <v/>
      </c>
      <c r="J395" s="35">
        <f>IF(R395="","",SUMIFS(Fuel!$E$6:$E$605,Fuel!$C$6:$C$605,C395,Fuel!$D$6:$D$605,"&gt;"&amp;R395,Fuel!$D$6:$D$605,"&lt;="&amp;D395))</f>
        <v/>
      </c>
      <c r="K395" s="36">
        <f>IF(OR(I395="",N(I395)=0),"",J395/I395*100)</f>
        <v/>
      </c>
      <c r="L395" s="36">
        <f>IF(OR(J395="",N(J395)=0),"",I395/J395)</f>
        <v/>
      </c>
      <c r="M395" s="1" t="n"/>
      <c r="N395">
        <f>IF(OR(C395="",N(D395)=0),"",D395+ROW()/10000000)</f>
        <v/>
      </c>
      <c r="O395">
        <f>IF(N395="","",COUNTIFS(Fuel!$C$6:$C$605,C395,Fuel!$N$6:$N$605,"&gt;"&amp;N395))</f>
        <v/>
      </c>
      <c r="P395">
        <f>IF(OR(N395="",G395=""),"",COUNTIFS(Fuel!$C$6:$C$605,C395,Fuel!$G$6:$G$605,"&lt;&gt;",Fuel!$N$6:$N$605,"&lt;"&amp;N395))</f>
        <v/>
      </c>
      <c r="R395">
        <f>IF(OR(P395="",N(P395)=0),"",SUMIFS(Fuel!$D$6:$D$605,Fuel!$C$6:$C$605,C395,Fuel!$P$6:$P$605,P395-1))</f>
        <v/>
      </c>
    </row>
    <row r="396">
      <c r="A396" s="1" t="n"/>
      <c r="B396" s="29" t="n"/>
      <c r="C396" s="24" t="n"/>
      <c r="D396" s="28" t="n"/>
      <c r="E396" s="33" t="n"/>
      <c r="F396" s="34" t="n"/>
      <c r="G396" s="27" t="n"/>
      <c r="H396" s="14">
        <f>IF(OR(N(E396)=0,F396=""),"",F396/E396)</f>
        <v/>
      </c>
      <c r="I396" s="11">
        <f>IF(R396="","",D396-R396)</f>
        <v/>
      </c>
      <c r="J396" s="35">
        <f>IF(R396="","",SUMIFS(Fuel!$E$6:$E$605,Fuel!$C$6:$C$605,C396,Fuel!$D$6:$D$605,"&gt;"&amp;R396,Fuel!$D$6:$D$605,"&lt;="&amp;D396))</f>
        <v/>
      </c>
      <c r="K396" s="36">
        <f>IF(OR(I396="",N(I396)=0),"",J396/I396*100)</f>
        <v/>
      </c>
      <c r="L396" s="36">
        <f>IF(OR(J396="",N(J396)=0),"",I396/J396)</f>
        <v/>
      </c>
      <c r="M396" s="1" t="n"/>
      <c r="N396">
        <f>IF(OR(C396="",N(D396)=0),"",D396+ROW()/10000000)</f>
        <v/>
      </c>
      <c r="O396">
        <f>IF(N396="","",COUNTIFS(Fuel!$C$6:$C$605,C396,Fuel!$N$6:$N$605,"&gt;"&amp;N396))</f>
        <v/>
      </c>
      <c r="P396">
        <f>IF(OR(N396="",G396=""),"",COUNTIFS(Fuel!$C$6:$C$605,C396,Fuel!$G$6:$G$605,"&lt;&gt;",Fuel!$N$6:$N$605,"&lt;"&amp;N396))</f>
        <v/>
      </c>
      <c r="R396">
        <f>IF(OR(P396="",N(P396)=0),"",SUMIFS(Fuel!$D$6:$D$605,Fuel!$C$6:$C$605,C396,Fuel!$P$6:$P$605,P396-1))</f>
        <v/>
      </c>
    </row>
    <row r="397">
      <c r="A397" s="1" t="n"/>
      <c r="B397" s="29" t="n"/>
      <c r="C397" s="24" t="n"/>
      <c r="D397" s="28" t="n"/>
      <c r="E397" s="33" t="n"/>
      <c r="F397" s="34" t="n"/>
      <c r="G397" s="27" t="n"/>
      <c r="H397" s="14">
        <f>IF(OR(N(E397)=0,F397=""),"",F397/E397)</f>
        <v/>
      </c>
      <c r="I397" s="11">
        <f>IF(R397="","",D397-R397)</f>
        <v/>
      </c>
      <c r="J397" s="35">
        <f>IF(R397="","",SUMIFS(Fuel!$E$6:$E$605,Fuel!$C$6:$C$605,C397,Fuel!$D$6:$D$605,"&gt;"&amp;R397,Fuel!$D$6:$D$605,"&lt;="&amp;D397))</f>
        <v/>
      </c>
      <c r="K397" s="36">
        <f>IF(OR(I397="",N(I397)=0),"",J397/I397*100)</f>
        <v/>
      </c>
      <c r="L397" s="36">
        <f>IF(OR(J397="",N(J397)=0),"",I397/J397)</f>
        <v/>
      </c>
      <c r="M397" s="1" t="n"/>
      <c r="N397">
        <f>IF(OR(C397="",N(D397)=0),"",D397+ROW()/10000000)</f>
        <v/>
      </c>
      <c r="O397">
        <f>IF(N397="","",COUNTIFS(Fuel!$C$6:$C$605,C397,Fuel!$N$6:$N$605,"&gt;"&amp;N397))</f>
        <v/>
      </c>
      <c r="P397">
        <f>IF(OR(N397="",G397=""),"",COUNTIFS(Fuel!$C$6:$C$605,C397,Fuel!$G$6:$G$605,"&lt;&gt;",Fuel!$N$6:$N$605,"&lt;"&amp;N397))</f>
        <v/>
      </c>
      <c r="R397">
        <f>IF(OR(P397="",N(P397)=0),"",SUMIFS(Fuel!$D$6:$D$605,Fuel!$C$6:$C$605,C397,Fuel!$P$6:$P$605,P397-1))</f>
        <v/>
      </c>
    </row>
    <row r="398">
      <c r="A398" s="1" t="n"/>
      <c r="B398" s="29" t="n"/>
      <c r="C398" s="24" t="n"/>
      <c r="D398" s="28" t="n"/>
      <c r="E398" s="33" t="n"/>
      <c r="F398" s="34" t="n"/>
      <c r="G398" s="27" t="n"/>
      <c r="H398" s="14">
        <f>IF(OR(N(E398)=0,F398=""),"",F398/E398)</f>
        <v/>
      </c>
      <c r="I398" s="11">
        <f>IF(R398="","",D398-R398)</f>
        <v/>
      </c>
      <c r="J398" s="35">
        <f>IF(R398="","",SUMIFS(Fuel!$E$6:$E$605,Fuel!$C$6:$C$605,C398,Fuel!$D$6:$D$605,"&gt;"&amp;R398,Fuel!$D$6:$D$605,"&lt;="&amp;D398))</f>
        <v/>
      </c>
      <c r="K398" s="36">
        <f>IF(OR(I398="",N(I398)=0),"",J398/I398*100)</f>
        <v/>
      </c>
      <c r="L398" s="36">
        <f>IF(OR(J398="",N(J398)=0),"",I398/J398)</f>
        <v/>
      </c>
      <c r="M398" s="1" t="n"/>
      <c r="N398">
        <f>IF(OR(C398="",N(D398)=0),"",D398+ROW()/10000000)</f>
        <v/>
      </c>
      <c r="O398">
        <f>IF(N398="","",COUNTIFS(Fuel!$C$6:$C$605,C398,Fuel!$N$6:$N$605,"&gt;"&amp;N398))</f>
        <v/>
      </c>
      <c r="P398">
        <f>IF(OR(N398="",G398=""),"",COUNTIFS(Fuel!$C$6:$C$605,C398,Fuel!$G$6:$G$605,"&lt;&gt;",Fuel!$N$6:$N$605,"&lt;"&amp;N398))</f>
        <v/>
      </c>
      <c r="R398">
        <f>IF(OR(P398="",N(P398)=0),"",SUMIFS(Fuel!$D$6:$D$605,Fuel!$C$6:$C$605,C398,Fuel!$P$6:$P$605,P398-1))</f>
        <v/>
      </c>
    </row>
    <row r="399">
      <c r="A399" s="1" t="n"/>
      <c r="B399" s="29" t="n"/>
      <c r="C399" s="24" t="n"/>
      <c r="D399" s="28" t="n"/>
      <c r="E399" s="33" t="n"/>
      <c r="F399" s="34" t="n"/>
      <c r="G399" s="27" t="n"/>
      <c r="H399" s="14">
        <f>IF(OR(N(E399)=0,F399=""),"",F399/E399)</f>
        <v/>
      </c>
      <c r="I399" s="11">
        <f>IF(R399="","",D399-R399)</f>
        <v/>
      </c>
      <c r="J399" s="35">
        <f>IF(R399="","",SUMIFS(Fuel!$E$6:$E$605,Fuel!$C$6:$C$605,C399,Fuel!$D$6:$D$605,"&gt;"&amp;R399,Fuel!$D$6:$D$605,"&lt;="&amp;D399))</f>
        <v/>
      </c>
      <c r="K399" s="36">
        <f>IF(OR(I399="",N(I399)=0),"",J399/I399*100)</f>
        <v/>
      </c>
      <c r="L399" s="36">
        <f>IF(OR(J399="",N(J399)=0),"",I399/J399)</f>
        <v/>
      </c>
      <c r="M399" s="1" t="n"/>
      <c r="N399">
        <f>IF(OR(C399="",N(D399)=0),"",D399+ROW()/10000000)</f>
        <v/>
      </c>
      <c r="O399">
        <f>IF(N399="","",COUNTIFS(Fuel!$C$6:$C$605,C399,Fuel!$N$6:$N$605,"&gt;"&amp;N399))</f>
        <v/>
      </c>
      <c r="P399">
        <f>IF(OR(N399="",G399=""),"",COUNTIFS(Fuel!$C$6:$C$605,C399,Fuel!$G$6:$G$605,"&lt;&gt;",Fuel!$N$6:$N$605,"&lt;"&amp;N399))</f>
        <v/>
      </c>
      <c r="R399">
        <f>IF(OR(P399="",N(P399)=0),"",SUMIFS(Fuel!$D$6:$D$605,Fuel!$C$6:$C$605,C399,Fuel!$P$6:$P$605,P399-1))</f>
        <v/>
      </c>
    </row>
    <row r="400">
      <c r="A400" s="1" t="n"/>
      <c r="B400" s="29" t="n"/>
      <c r="C400" s="24" t="n"/>
      <c r="D400" s="28" t="n"/>
      <c r="E400" s="33" t="n"/>
      <c r="F400" s="34" t="n"/>
      <c r="G400" s="27" t="n"/>
      <c r="H400" s="14">
        <f>IF(OR(N(E400)=0,F400=""),"",F400/E400)</f>
        <v/>
      </c>
      <c r="I400" s="11">
        <f>IF(R400="","",D400-R400)</f>
        <v/>
      </c>
      <c r="J400" s="35">
        <f>IF(R400="","",SUMIFS(Fuel!$E$6:$E$605,Fuel!$C$6:$C$605,C400,Fuel!$D$6:$D$605,"&gt;"&amp;R400,Fuel!$D$6:$D$605,"&lt;="&amp;D400))</f>
        <v/>
      </c>
      <c r="K400" s="36">
        <f>IF(OR(I400="",N(I400)=0),"",J400/I400*100)</f>
        <v/>
      </c>
      <c r="L400" s="36">
        <f>IF(OR(J400="",N(J400)=0),"",I400/J400)</f>
        <v/>
      </c>
      <c r="M400" s="1" t="n"/>
      <c r="N400">
        <f>IF(OR(C400="",N(D400)=0),"",D400+ROW()/10000000)</f>
        <v/>
      </c>
      <c r="O400">
        <f>IF(N400="","",COUNTIFS(Fuel!$C$6:$C$605,C400,Fuel!$N$6:$N$605,"&gt;"&amp;N400))</f>
        <v/>
      </c>
      <c r="P400">
        <f>IF(OR(N400="",G400=""),"",COUNTIFS(Fuel!$C$6:$C$605,C400,Fuel!$G$6:$G$605,"&lt;&gt;",Fuel!$N$6:$N$605,"&lt;"&amp;N400))</f>
        <v/>
      </c>
      <c r="R400">
        <f>IF(OR(P400="",N(P400)=0),"",SUMIFS(Fuel!$D$6:$D$605,Fuel!$C$6:$C$605,C400,Fuel!$P$6:$P$605,P400-1))</f>
        <v/>
      </c>
    </row>
    <row r="401">
      <c r="A401" s="1" t="n"/>
      <c r="B401" s="29" t="n"/>
      <c r="C401" s="24" t="n"/>
      <c r="D401" s="28" t="n"/>
      <c r="E401" s="33" t="n"/>
      <c r="F401" s="34" t="n"/>
      <c r="G401" s="27" t="n"/>
      <c r="H401" s="14">
        <f>IF(OR(N(E401)=0,F401=""),"",F401/E401)</f>
        <v/>
      </c>
      <c r="I401" s="11">
        <f>IF(R401="","",D401-R401)</f>
        <v/>
      </c>
      <c r="J401" s="35">
        <f>IF(R401="","",SUMIFS(Fuel!$E$6:$E$605,Fuel!$C$6:$C$605,C401,Fuel!$D$6:$D$605,"&gt;"&amp;R401,Fuel!$D$6:$D$605,"&lt;="&amp;D401))</f>
        <v/>
      </c>
      <c r="K401" s="36">
        <f>IF(OR(I401="",N(I401)=0),"",J401/I401*100)</f>
        <v/>
      </c>
      <c r="L401" s="36">
        <f>IF(OR(J401="",N(J401)=0),"",I401/J401)</f>
        <v/>
      </c>
      <c r="M401" s="1" t="n"/>
      <c r="N401">
        <f>IF(OR(C401="",N(D401)=0),"",D401+ROW()/10000000)</f>
        <v/>
      </c>
      <c r="O401">
        <f>IF(N401="","",COUNTIFS(Fuel!$C$6:$C$605,C401,Fuel!$N$6:$N$605,"&gt;"&amp;N401))</f>
        <v/>
      </c>
      <c r="P401">
        <f>IF(OR(N401="",G401=""),"",COUNTIFS(Fuel!$C$6:$C$605,C401,Fuel!$G$6:$G$605,"&lt;&gt;",Fuel!$N$6:$N$605,"&lt;"&amp;N401))</f>
        <v/>
      </c>
      <c r="R401">
        <f>IF(OR(P401="",N(P401)=0),"",SUMIFS(Fuel!$D$6:$D$605,Fuel!$C$6:$C$605,C401,Fuel!$P$6:$P$605,P401-1))</f>
        <v/>
      </c>
    </row>
    <row r="402">
      <c r="A402" s="1" t="n"/>
      <c r="B402" s="29" t="n"/>
      <c r="C402" s="24" t="n"/>
      <c r="D402" s="28" t="n"/>
      <c r="E402" s="33" t="n"/>
      <c r="F402" s="34" t="n"/>
      <c r="G402" s="27" t="n"/>
      <c r="H402" s="14">
        <f>IF(OR(N(E402)=0,F402=""),"",F402/E402)</f>
        <v/>
      </c>
      <c r="I402" s="11">
        <f>IF(R402="","",D402-R402)</f>
        <v/>
      </c>
      <c r="J402" s="35">
        <f>IF(R402="","",SUMIFS(Fuel!$E$6:$E$605,Fuel!$C$6:$C$605,C402,Fuel!$D$6:$D$605,"&gt;"&amp;R402,Fuel!$D$6:$D$605,"&lt;="&amp;D402))</f>
        <v/>
      </c>
      <c r="K402" s="36">
        <f>IF(OR(I402="",N(I402)=0),"",J402/I402*100)</f>
        <v/>
      </c>
      <c r="L402" s="36">
        <f>IF(OR(J402="",N(J402)=0),"",I402/J402)</f>
        <v/>
      </c>
      <c r="M402" s="1" t="n"/>
      <c r="N402">
        <f>IF(OR(C402="",N(D402)=0),"",D402+ROW()/10000000)</f>
        <v/>
      </c>
      <c r="O402">
        <f>IF(N402="","",COUNTIFS(Fuel!$C$6:$C$605,C402,Fuel!$N$6:$N$605,"&gt;"&amp;N402))</f>
        <v/>
      </c>
      <c r="P402">
        <f>IF(OR(N402="",G402=""),"",COUNTIFS(Fuel!$C$6:$C$605,C402,Fuel!$G$6:$G$605,"&lt;&gt;",Fuel!$N$6:$N$605,"&lt;"&amp;N402))</f>
        <v/>
      </c>
      <c r="R402">
        <f>IF(OR(P402="",N(P402)=0),"",SUMIFS(Fuel!$D$6:$D$605,Fuel!$C$6:$C$605,C402,Fuel!$P$6:$P$605,P402-1))</f>
        <v/>
      </c>
    </row>
    <row r="403">
      <c r="A403" s="1" t="n"/>
      <c r="B403" s="29" t="n"/>
      <c r="C403" s="24" t="n"/>
      <c r="D403" s="28" t="n"/>
      <c r="E403" s="33" t="n"/>
      <c r="F403" s="34" t="n"/>
      <c r="G403" s="27" t="n"/>
      <c r="H403" s="14">
        <f>IF(OR(N(E403)=0,F403=""),"",F403/E403)</f>
        <v/>
      </c>
      <c r="I403" s="11">
        <f>IF(R403="","",D403-R403)</f>
        <v/>
      </c>
      <c r="J403" s="35">
        <f>IF(R403="","",SUMIFS(Fuel!$E$6:$E$605,Fuel!$C$6:$C$605,C403,Fuel!$D$6:$D$605,"&gt;"&amp;R403,Fuel!$D$6:$D$605,"&lt;="&amp;D403))</f>
        <v/>
      </c>
      <c r="K403" s="36">
        <f>IF(OR(I403="",N(I403)=0),"",J403/I403*100)</f>
        <v/>
      </c>
      <c r="L403" s="36">
        <f>IF(OR(J403="",N(J403)=0),"",I403/J403)</f>
        <v/>
      </c>
      <c r="M403" s="1" t="n"/>
      <c r="N403">
        <f>IF(OR(C403="",N(D403)=0),"",D403+ROW()/10000000)</f>
        <v/>
      </c>
      <c r="O403">
        <f>IF(N403="","",COUNTIFS(Fuel!$C$6:$C$605,C403,Fuel!$N$6:$N$605,"&gt;"&amp;N403))</f>
        <v/>
      </c>
      <c r="P403">
        <f>IF(OR(N403="",G403=""),"",COUNTIFS(Fuel!$C$6:$C$605,C403,Fuel!$G$6:$G$605,"&lt;&gt;",Fuel!$N$6:$N$605,"&lt;"&amp;N403))</f>
        <v/>
      </c>
      <c r="R403">
        <f>IF(OR(P403="",N(P403)=0),"",SUMIFS(Fuel!$D$6:$D$605,Fuel!$C$6:$C$605,C403,Fuel!$P$6:$P$605,P403-1))</f>
        <v/>
      </c>
    </row>
    <row r="404">
      <c r="A404" s="1" t="n"/>
      <c r="B404" s="29" t="n"/>
      <c r="C404" s="24" t="n"/>
      <c r="D404" s="28" t="n"/>
      <c r="E404" s="33" t="n"/>
      <c r="F404" s="34" t="n"/>
      <c r="G404" s="27" t="n"/>
      <c r="H404" s="14">
        <f>IF(OR(N(E404)=0,F404=""),"",F404/E404)</f>
        <v/>
      </c>
      <c r="I404" s="11">
        <f>IF(R404="","",D404-R404)</f>
        <v/>
      </c>
      <c r="J404" s="35">
        <f>IF(R404="","",SUMIFS(Fuel!$E$6:$E$605,Fuel!$C$6:$C$605,C404,Fuel!$D$6:$D$605,"&gt;"&amp;R404,Fuel!$D$6:$D$605,"&lt;="&amp;D404))</f>
        <v/>
      </c>
      <c r="K404" s="36">
        <f>IF(OR(I404="",N(I404)=0),"",J404/I404*100)</f>
        <v/>
      </c>
      <c r="L404" s="36">
        <f>IF(OR(J404="",N(J404)=0),"",I404/J404)</f>
        <v/>
      </c>
      <c r="M404" s="1" t="n"/>
      <c r="N404">
        <f>IF(OR(C404="",N(D404)=0),"",D404+ROW()/10000000)</f>
        <v/>
      </c>
      <c r="O404">
        <f>IF(N404="","",COUNTIFS(Fuel!$C$6:$C$605,C404,Fuel!$N$6:$N$605,"&gt;"&amp;N404))</f>
        <v/>
      </c>
      <c r="P404">
        <f>IF(OR(N404="",G404=""),"",COUNTIFS(Fuel!$C$6:$C$605,C404,Fuel!$G$6:$G$605,"&lt;&gt;",Fuel!$N$6:$N$605,"&lt;"&amp;N404))</f>
        <v/>
      </c>
      <c r="R404">
        <f>IF(OR(P404="",N(P404)=0),"",SUMIFS(Fuel!$D$6:$D$605,Fuel!$C$6:$C$605,C404,Fuel!$P$6:$P$605,P404-1))</f>
        <v/>
      </c>
    </row>
    <row r="405">
      <c r="A405" s="1" t="n"/>
      <c r="B405" s="29" t="n"/>
      <c r="C405" s="24" t="n"/>
      <c r="D405" s="28" t="n"/>
      <c r="E405" s="33" t="n"/>
      <c r="F405" s="34" t="n"/>
      <c r="G405" s="27" t="n"/>
      <c r="H405" s="14">
        <f>IF(OR(N(E405)=0,F405=""),"",F405/E405)</f>
        <v/>
      </c>
      <c r="I405" s="11">
        <f>IF(R405="","",D405-R405)</f>
        <v/>
      </c>
      <c r="J405" s="35">
        <f>IF(R405="","",SUMIFS(Fuel!$E$6:$E$605,Fuel!$C$6:$C$605,C405,Fuel!$D$6:$D$605,"&gt;"&amp;R405,Fuel!$D$6:$D$605,"&lt;="&amp;D405))</f>
        <v/>
      </c>
      <c r="K405" s="36">
        <f>IF(OR(I405="",N(I405)=0),"",J405/I405*100)</f>
        <v/>
      </c>
      <c r="L405" s="36">
        <f>IF(OR(J405="",N(J405)=0),"",I405/J405)</f>
        <v/>
      </c>
      <c r="M405" s="1" t="n"/>
      <c r="N405">
        <f>IF(OR(C405="",N(D405)=0),"",D405+ROW()/10000000)</f>
        <v/>
      </c>
      <c r="O405">
        <f>IF(N405="","",COUNTIFS(Fuel!$C$6:$C$605,C405,Fuel!$N$6:$N$605,"&gt;"&amp;N405))</f>
        <v/>
      </c>
      <c r="P405">
        <f>IF(OR(N405="",G405=""),"",COUNTIFS(Fuel!$C$6:$C$605,C405,Fuel!$G$6:$G$605,"&lt;&gt;",Fuel!$N$6:$N$605,"&lt;"&amp;N405))</f>
        <v/>
      </c>
      <c r="R405">
        <f>IF(OR(P405="",N(P405)=0),"",SUMIFS(Fuel!$D$6:$D$605,Fuel!$C$6:$C$605,C405,Fuel!$P$6:$P$605,P405-1))</f>
        <v/>
      </c>
    </row>
    <row r="406">
      <c r="A406" s="1" t="n"/>
      <c r="B406" s="29" t="n"/>
      <c r="C406" s="24" t="n"/>
      <c r="D406" s="28" t="n"/>
      <c r="E406" s="33" t="n"/>
      <c r="F406" s="34" t="n"/>
      <c r="G406" s="27" t="n"/>
      <c r="H406" s="14">
        <f>IF(OR(N(E406)=0,F406=""),"",F406/E406)</f>
        <v/>
      </c>
      <c r="I406" s="11">
        <f>IF(R406="","",D406-R406)</f>
        <v/>
      </c>
      <c r="J406" s="35">
        <f>IF(R406="","",SUMIFS(Fuel!$E$6:$E$605,Fuel!$C$6:$C$605,C406,Fuel!$D$6:$D$605,"&gt;"&amp;R406,Fuel!$D$6:$D$605,"&lt;="&amp;D406))</f>
        <v/>
      </c>
      <c r="K406" s="36">
        <f>IF(OR(I406="",N(I406)=0),"",J406/I406*100)</f>
        <v/>
      </c>
      <c r="L406" s="36">
        <f>IF(OR(J406="",N(J406)=0),"",I406/J406)</f>
        <v/>
      </c>
      <c r="M406" s="1" t="n"/>
      <c r="N406">
        <f>IF(OR(C406="",N(D406)=0),"",D406+ROW()/10000000)</f>
        <v/>
      </c>
      <c r="O406">
        <f>IF(N406="","",COUNTIFS(Fuel!$C$6:$C$605,C406,Fuel!$N$6:$N$605,"&gt;"&amp;N406))</f>
        <v/>
      </c>
      <c r="P406">
        <f>IF(OR(N406="",G406=""),"",COUNTIFS(Fuel!$C$6:$C$605,C406,Fuel!$G$6:$G$605,"&lt;&gt;",Fuel!$N$6:$N$605,"&lt;"&amp;N406))</f>
        <v/>
      </c>
      <c r="R406">
        <f>IF(OR(P406="",N(P406)=0),"",SUMIFS(Fuel!$D$6:$D$605,Fuel!$C$6:$C$605,C406,Fuel!$P$6:$P$605,P406-1))</f>
        <v/>
      </c>
    </row>
    <row r="407">
      <c r="A407" s="1" t="n"/>
      <c r="B407" s="29" t="n"/>
      <c r="C407" s="24" t="n"/>
      <c r="D407" s="28" t="n"/>
      <c r="E407" s="33" t="n"/>
      <c r="F407" s="34" t="n"/>
      <c r="G407" s="27" t="n"/>
      <c r="H407" s="14">
        <f>IF(OR(N(E407)=0,F407=""),"",F407/E407)</f>
        <v/>
      </c>
      <c r="I407" s="11">
        <f>IF(R407="","",D407-R407)</f>
        <v/>
      </c>
      <c r="J407" s="35">
        <f>IF(R407="","",SUMIFS(Fuel!$E$6:$E$605,Fuel!$C$6:$C$605,C407,Fuel!$D$6:$D$605,"&gt;"&amp;R407,Fuel!$D$6:$D$605,"&lt;="&amp;D407))</f>
        <v/>
      </c>
      <c r="K407" s="36">
        <f>IF(OR(I407="",N(I407)=0),"",J407/I407*100)</f>
        <v/>
      </c>
      <c r="L407" s="36">
        <f>IF(OR(J407="",N(J407)=0),"",I407/J407)</f>
        <v/>
      </c>
      <c r="M407" s="1" t="n"/>
      <c r="N407">
        <f>IF(OR(C407="",N(D407)=0),"",D407+ROW()/10000000)</f>
        <v/>
      </c>
      <c r="O407">
        <f>IF(N407="","",COUNTIFS(Fuel!$C$6:$C$605,C407,Fuel!$N$6:$N$605,"&gt;"&amp;N407))</f>
        <v/>
      </c>
      <c r="P407">
        <f>IF(OR(N407="",G407=""),"",COUNTIFS(Fuel!$C$6:$C$605,C407,Fuel!$G$6:$G$605,"&lt;&gt;",Fuel!$N$6:$N$605,"&lt;"&amp;N407))</f>
        <v/>
      </c>
      <c r="R407">
        <f>IF(OR(P407="",N(P407)=0),"",SUMIFS(Fuel!$D$6:$D$605,Fuel!$C$6:$C$605,C407,Fuel!$P$6:$P$605,P407-1))</f>
        <v/>
      </c>
    </row>
    <row r="408">
      <c r="A408" s="1" t="n"/>
      <c r="B408" s="29" t="n"/>
      <c r="C408" s="24" t="n"/>
      <c r="D408" s="28" t="n"/>
      <c r="E408" s="33" t="n"/>
      <c r="F408" s="34" t="n"/>
      <c r="G408" s="27" t="n"/>
      <c r="H408" s="14">
        <f>IF(OR(N(E408)=0,F408=""),"",F408/E408)</f>
        <v/>
      </c>
      <c r="I408" s="11">
        <f>IF(R408="","",D408-R408)</f>
        <v/>
      </c>
      <c r="J408" s="35">
        <f>IF(R408="","",SUMIFS(Fuel!$E$6:$E$605,Fuel!$C$6:$C$605,C408,Fuel!$D$6:$D$605,"&gt;"&amp;R408,Fuel!$D$6:$D$605,"&lt;="&amp;D408))</f>
        <v/>
      </c>
      <c r="K408" s="36">
        <f>IF(OR(I408="",N(I408)=0),"",J408/I408*100)</f>
        <v/>
      </c>
      <c r="L408" s="36">
        <f>IF(OR(J408="",N(J408)=0),"",I408/J408)</f>
        <v/>
      </c>
      <c r="M408" s="1" t="n"/>
      <c r="N408">
        <f>IF(OR(C408="",N(D408)=0),"",D408+ROW()/10000000)</f>
        <v/>
      </c>
      <c r="O408">
        <f>IF(N408="","",COUNTIFS(Fuel!$C$6:$C$605,C408,Fuel!$N$6:$N$605,"&gt;"&amp;N408))</f>
        <v/>
      </c>
      <c r="P408">
        <f>IF(OR(N408="",G408=""),"",COUNTIFS(Fuel!$C$6:$C$605,C408,Fuel!$G$6:$G$605,"&lt;&gt;",Fuel!$N$6:$N$605,"&lt;"&amp;N408))</f>
        <v/>
      </c>
      <c r="R408">
        <f>IF(OR(P408="",N(P408)=0),"",SUMIFS(Fuel!$D$6:$D$605,Fuel!$C$6:$C$605,C408,Fuel!$P$6:$P$605,P408-1))</f>
        <v/>
      </c>
    </row>
    <row r="409">
      <c r="A409" s="1" t="n"/>
      <c r="B409" s="29" t="n"/>
      <c r="C409" s="24" t="n"/>
      <c r="D409" s="28" t="n"/>
      <c r="E409" s="33" t="n"/>
      <c r="F409" s="34" t="n"/>
      <c r="G409" s="27" t="n"/>
      <c r="H409" s="14">
        <f>IF(OR(N(E409)=0,F409=""),"",F409/E409)</f>
        <v/>
      </c>
      <c r="I409" s="11">
        <f>IF(R409="","",D409-R409)</f>
        <v/>
      </c>
      <c r="J409" s="35">
        <f>IF(R409="","",SUMIFS(Fuel!$E$6:$E$605,Fuel!$C$6:$C$605,C409,Fuel!$D$6:$D$605,"&gt;"&amp;R409,Fuel!$D$6:$D$605,"&lt;="&amp;D409))</f>
        <v/>
      </c>
      <c r="K409" s="36">
        <f>IF(OR(I409="",N(I409)=0),"",J409/I409*100)</f>
        <v/>
      </c>
      <c r="L409" s="36">
        <f>IF(OR(J409="",N(J409)=0),"",I409/J409)</f>
        <v/>
      </c>
      <c r="M409" s="1" t="n"/>
      <c r="N409">
        <f>IF(OR(C409="",N(D409)=0),"",D409+ROW()/10000000)</f>
        <v/>
      </c>
      <c r="O409">
        <f>IF(N409="","",COUNTIFS(Fuel!$C$6:$C$605,C409,Fuel!$N$6:$N$605,"&gt;"&amp;N409))</f>
        <v/>
      </c>
      <c r="P409">
        <f>IF(OR(N409="",G409=""),"",COUNTIFS(Fuel!$C$6:$C$605,C409,Fuel!$G$6:$G$605,"&lt;&gt;",Fuel!$N$6:$N$605,"&lt;"&amp;N409))</f>
        <v/>
      </c>
      <c r="R409">
        <f>IF(OR(P409="",N(P409)=0),"",SUMIFS(Fuel!$D$6:$D$605,Fuel!$C$6:$C$605,C409,Fuel!$P$6:$P$605,P409-1))</f>
        <v/>
      </c>
    </row>
    <row r="410">
      <c r="A410" s="1" t="n"/>
      <c r="B410" s="29" t="n"/>
      <c r="C410" s="24" t="n"/>
      <c r="D410" s="28" t="n"/>
      <c r="E410" s="33" t="n"/>
      <c r="F410" s="34" t="n"/>
      <c r="G410" s="27" t="n"/>
      <c r="H410" s="14">
        <f>IF(OR(N(E410)=0,F410=""),"",F410/E410)</f>
        <v/>
      </c>
      <c r="I410" s="11">
        <f>IF(R410="","",D410-R410)</f>
        <v/>
      </c>
      <c r="J410" s="35">
        <f>IF(R410="","",SUMIFS(Fuel!$E$6:$E$605,Fuel!$C$6:$C$605,C410,Fuel!$D$6:$D$605,"&gt;"&amp;R410,Fuel!$D$6:$D$605,"&lt;="&amp;D410))</f>
        <v/>
      </c>
      <c r="K410" s="36">
        <f>IF(OR(I410="",N(I410)=0),"",J410/I410*100)</f>
        <v/>
      </c>
      <c r="L410" s="36">
        <f>IF(OR(J410="",N(J410)=0),"",I410/J410)</f>
        <v/>
      </c>
      <c r="M410" s="1" t="n"/>
      <c r="N410">
        <f>IF(OR(C410="",N(D410)=0),"",D410+ROW()/10000000)</f>
        <v/>
      </c>
      <c r="O410">
        <f>IF(N410="","",COUNTIFS(Fuel!$C$6:$C$605,C410,Fuel!$N$6:$N$605,"&gt;"&amp;N410))</f>
        <v/>
      </c>
      <c r="P410">
        <f>IF(OR(N410="",G410=""),"",COUNTIFS(Fuel!$C$6:$C$605,C410,Fuel!$G$6:$G$605,"&lt;&gt;",Fuel!$N$6:$N$605,"&lt;"&amp;N410))</f>
        <v/>
      </c>
      <c r="R410">
        <f>IF(OR(P410="",N(P410)=0),"",SUMIFS(Fuel!$D$6:$D$605,Fuel!$C$6:$C$605,C410,Fuel!$P$6:$P$605,P410-1))</f>
        <v/>
      </c>
    </row>
    <row r="411">
      <c r="A411" s="1" t="n"/>
      <c r="B411" s="29" t="n"/>
      <c r="C411" s="24" t="n"/>
      <c r="D411" s="28" t="n"/>
      <c r="E411" s="33" t="n"/>
      <c r="F411" s="34" t="n"/>
      <c r="G411" s="27" t="n"/>
      <c r="H411" s="14">
        <f>IF(OR(N(E411)=0,F411=""),"",F411/E411)</f>
        <v/>
      </c>
      <c r="I411" s="11">
        <f>IF(R411="","",D411-R411)</f>
        <v/>
      </c>
      <c r="J411" s="35">
        <f>IF(R411="","",SUMIFS(Fuel!$E$6:$E$605,Fuel!$C$6:$C$605,C411,Fuel!$D$6:$D$605,"&gt;"&amp;R411,Fuel!$D$6:$D$605,"&lt;="&amp;D411))</f>
        <v/>
      </c>
      <c r="K411" s="36">
        <f>IF(OR(I411="",N(I411)=0),"",J411/I411*100)</f>
        <v/>
      </c>
      <c r="L411" s="36">
        <f>IF(OR(J411="",N(J411)=0),"",I411/J411)</f>
        <v/>
      </c>
      <c r="M411" s="1" t="n"/>
      <c r="N411">
        <f>IF(OR(C411="",N(D411)=0),"",D411+ROW()/10000000)</f>
        <v/>
      </c>
      <c r="O411">
        <f>IF(N411="","",COUNTIFS(Fuel!$C$6:$C$605,C411,Fuel!$N$6:$N$605,"&gt;"&amp;N411))</f>
        <v/>
      </c>
      <c r="P411">
        <f>IF(OR(N411="",G411=""),"",COUNTIFS(Fuel!$C$6:$C$605,C411,Fuel!$G$6:$G$605,"&lt;&gt;",Fuel!$N$6:$N$605,"&lt;"&amp;N411))</f>
        <v/>
      </c>
      <c r="R411">
        <f>IF(OR(P411="",N(P411)=0),"",SUMIFS(Fuel!$D$6:$D$605,Fuel!$C$6:$C$605,C411,Fuel!$P$6:$P$605,P411-1))</f>
        <v/>
      </c>
    </row>
    <row r="412">
      <c r="A412" s="1" t="n"/>
      <c r="B412" s="29" t="n"/>
      <c r="C412" s="24" t="n"/>
      <c r="D412" s="28" t="n"/>
      <c r="E412" s="33" t="n"/>
      <c r="F412" s="34" t="n"/>
      <c r="G412" s="27" t="n"/>
      <c r="H412" s="14">
        <f>IF(OR(N(E412)=0,F412=""),"",F412/E412)</f>
        <v/>
      </c>
      <c r="I412" s="11">
        <f>IF(R412="","",D412-R412)</f>
        <v/>
      </c>
      <c r="J412" s="35">
        <f>IF(R412="","",SUMIFS(Fuel!$E$6:$E$605,Fuel!$C$6:$C$605,C412,Fuel!$D$6:$D$605,"&gt;"&amp;R412,Fuel!$D$6:$D$605,"&lt;="&amp;D412))</f>
        <v/>
      </c>
      <c r="K412" s="36">
        <f>IF(OR(I412="",N(I412)=0),"",J412/I412*100)</f>
        <v/>
      </c>
      <c r="L412" s="36">
        <f>IF(OR(J412="",N(J412)=0),"",I412/J412)</f>
        <v/>
      </c>
      <c r="M412" s="1" t="n"/>
      <c r="N412">
        <f>IF(OR(C412="",N(D412)=0),"",D412+ROW()/10000000)</f>
        <v/>
      </c>
      <c r="O412">
        <f>IF(N412="","",COUNTIFS(Fuel!$C$6:$C$605,C412,Fuel!$N$6:$N$605,"&gt;"&amp;N412))</f>
        <v/>
      </c>
      <c r="P412">
        <f>IF(OR(N412="",G412=""),"",COUNTIFS(Fuel!$C$6:$C$605,C412,Fuel!$G$6:$G$605,"&lt;&gt;",Fuel!$N$6:$N$605,"&lt;"&amp;N412))</f>
        <v/>
      </c>
      <c r="R412">
        <f>IF(OR(P412="",N(P412)=0),"",SUMIFS(Fuel!$D$6:$D$605,Fuel!$C$6:$C$605,C412,Fuel!$P$6:$P$605,P412-1))</f>
        <v/>
      </c>
    </row>
    <row r="413">
      <c r="A413" s="1" t="n"/>
      <c r="B413" s="29" t="n"/>
      <c r="C413" s="24" t="n"/>
      <c r="D413" s="28" t="n"/>
      <c r="E413" s="33" t="n"/>
      <c r="F413" s="34" t="n"/>
      <c r="G413" s="27" t="n"/>
      <c r="H413" s="14">
        <f>IF(OR(N(E413)=0,F413=""),"",F413/E413)</f>
        <v/>
      </c>
      <c r="I413" s="11">
        <f>IF(R413="","",D413-R413)</f>
        <v/>
      </c>
      <c r="J413" s="35">
        <f>IF(R413="","",SUMIFS(Fuel!$E$6:$E$605,Fuel!$C$6:$C$605,C413,Fuel!$D$6:$D$605,"&gt;"&amp;R413,Fuel!$D$6:$D$605,"&lt;="&amp;D413))</f>
        <v/>
      </c>
      <c r="K413" s="36">
        <f>IF(OR(I413="",N(I413)=0),"",J413/I413*100)</f>
        <v/>
      </c>
      <c r="L413" s="36">
        <f>IF(OR(J413="",N(J413)=0),"",I413/J413)</f>
        <v/>
      </c>
      <c r="M413" s="1" t="n"/>
      <c r="N413">
        <f>IF(OR(C413="",N(D413)=0),"",D413+ROW()/10000000)</f>
        <v/>
      </c>
      <c r="O413">
        <f>IF(N413="","",COUNTIFS(Fuel!$C$6:$C$605,C413,Fuel!$N$6:$N$605,"&gt;"&amp;N413))</f>
        <v/>
      </c>
      <c r="P413">
        <f>IF(OR(N413="",G413=""),"",COUNTIFS(Fuel!$C$6:$C$605,C413,Fuel!$G$6:$G$605,"&lt;&gt;",Fuel!$N$6:$N$605,"&lt;"&amp;N413))</f>
        <v/>
      </c>
      <c r="R413">
        <f>IF(OR(P413="",N(P413)=0),"",SUMIFS(Fuel!$D$6:$D$605,Fuel!$C$6:$C$605,C413,Fuel!$P$6:$P$605,P413-1))</f>
        <v/>
      </c>
    </row>
    <row r="414">
      <c r="A414" s="1" t="n"/>
      <c r="B414" s="29" t="n"/>
      <c r="C414" s="24" t="n"/>
      <c r="D414" s="28" t="n"/>
      <c r="E414" s="33" t="n"/>
      <c r="F414" s="34" t="n"/>
      <c r="G414" s="27" t="n"/>
      <c r="H414" s="14">
        <f>IF(OR(N(E414)=0,F414=""),"",F414/E414)</f>
        <v/>
      </c>
      <c r="I414" s="11">
        <f>IF(R414="","",D414-R414)</f>
        <v/>
      </c>
      <c r="J414" s="35">
        <f>IF(R414="","",SUMIFS(Fuel!$E$6:$E$605,Fuel!$C$6:$C$605,C414,Fuel!$D$6:$D$605,"&gt;"&amp;R414,Fuel!$D$6:$D$605,"&lt;="&amp;D414))</f>
        <v/>
      </c>
      <c r="K414" s="36">
        <f>IF(OR(I414="",N(I414)=0),"",J414/I414*100)</f>
        <v/>
      </c>
      <c r="L414" s="36">
        <f>IF(OR(J414="",N(J414)=0),"",I414/J414)</f>
        <v/>
      </c>
      <c r="M414" s="1" t="n"/>
      <c r="N414">
        <f>IF(OR(C414="",N(D414)=0),"",D414+ROW()/10000000)</f>
        <v/>
      </c>
      <c r="O414">
        <f>IF(N414="","",COUNTIFS(Fuel!$C$6:$C$605,C414,Fuel!$N$6:$N$605,"&gt;"&amp;N414))</f>
        <v/>
      </c>
      <c r="P414">
        <f>IF(OR(N414="",G414=""),"",COUNTIFS(Fuel!$C$6:$C$605,C414,Fuel!$G$6:$G$605,"&lt;&gt;",Fuel!$N$6:$N$605,"&lt;"&amp;N414))</f>
        <v/>
      </c>
      <c r="R414">
        <f>IF(OR(P414="",N(P414)=0),"",SUMIFS(Fuel!$D$6:$D$605,Fuel!$C$6:$C$605,C414,Fuel!$P$6:$P$605,P414-1))</f>
        <v/>
      </c>
    </row>
    <row r="415">
      <c r="A415" s="1" t="n"/>
      <c r="B415" s="29" t="n"/>
      <c r="C415" s="24" t="n"/>
      <c r="D415" s="28" t="n"/>
      <c r="E415" s="33" t="n"/>
      <c r="F415" s="34" t="n"/>
      <c r="G415" s="27" t="n"/>
      <c r="H415" s="14">
        <f>IF(OR(N(E415)=0,F415=""),"",F415/E415)</f>
        <v/>
      </c>
      <c r="I415" s="11">
        <f>IF(R415="","",D415-R415)</f>
        <v/>
      </c>
      <c r="J415" s="35">
        <f>IF(R415="","",SUMIFS(Fuel!$E$6:$E$605,Fuel!$C$6:$C$605,C415,Fuel!$D$6:$D$605,"&gt;"&amp;R415,Fuel!$D$6:$D$605,"&lt;="&amp;D415))</f>
        <v/>
      </c>
      <c r="K415" s="36">
        <f>IF(OR(I415="",N(I415)=0),"",J415/I415*100)</f>
        <v/>
      </c>
      <c r="L415" s="36">
        <f>IF(OR(J415="",N(J415)=0),"",I415/J415)</f>
        <v/>
      </c>
      <c r="M415" s="1" t="n"/>
      <c r="N415">
        <f>IF(OR(C415="",N(D415)=0),"",D415+ROW()/10000000)</f>
        <v/>
      </c>
      <c r="O415">
        <f>IF(N415="","",COUNTIFS(Fuel!$C$6:$C$605,C415,Fuel!$N$6:$N$605,"&gt;"&amp;N415))</f>
        <v/>
      </c>
      <c r="P415">
        <f>IF(OR(N415="",G415=""),"",COUNTIFS(Fuel!$C$6:$C$605,C415,Fuel!$G$6:$G$605,"&lt;&gt;",Fuel!$N$6:$N$605,"&lt;"&amp;N415))</f>
        <v/>
      </c>
      <c r="R415">
        <f>IF(OR(P415="",N(P415)=0),"",SUMIFS(Fuel!$D$6:$D$605,Fuel!$C$6:$C$605,C415,Fuel!$P$6:$P$605,P415-1))</f>
        <v/>
      </c>
    </row>
    <row r="416">
      <c r="A416" s="1" t="n"/>
      <c r="B416" s="29" t="n"/>
      <c r="C416" s="24" t="n"/>
      <c r="D416" s="28" t="n"/>
      <c r="E416" s="33" t="n"/>
      <c r="F416" s="34" t="n"/>
      <c r="G416" s="27" t="n"/>
      <c r="H416" s="14">
        <f>IF(OR(N(E416)=0,F416=""),"",F416/E416)</f>
        <v/>
      </c>
      <c r="I416" s="11">
        <f>IF(R416="","",D416-R416)</f>
        <v/>
      </c>
      <c r="J416" s="35">
        <f>IF(R416="","",SUMIFS(Fuel!$E$6:$E$605,Fuel!$C$6:$C$605,C416,Fuel!$D$6:$D$605,"&gt;"&amp;R416,Fuel!$D$6:$D$605,"&lt;="&amp;D416))</f>
        <v/>
      </c>
      <c r="K416" s="36">
        <f>IF(OR(I416="",N(I416)=0),"",J416/I416*100)</f>
        <v/>
      </c>
      <c r="L416" s="36">
        <f>IF(OR(J416="",N(J416)=0),"",I416/J416)</f>
        <v/>
      </c>
      <c r="M416" s="1" t="n"/>
      <c r="N416">
        <f>IF(OR(C416="",N(D416)=0),"",D416+ROW()/10000000)</f>
        <v/>
      </c>
      <c r="O416">
        <f>IF(N416="","",COUNTIFS(Fuel!$C$6:$C$605,C416,Fuel!$N$6:$N$605,"&gt;"&amp;N416))</f>
        <v/>
      </c>
      <c r="P416">
        <f>IF(OR(N416="",G416=""),"",COUNTIFS(Fuel!$C$6:$C$605,C416,Fuel!$G$6:$G$605,"&lt;&gt;",Fuel!$N$6:$N$605,"&lt;"&amp;N416))</f>
        <v/>
      </c>
      <c r="R416">
        <f>IF(OR(P416="",N(P416)=0),"",SUMIFS(Fuel!$D$6:$D$605,Fuel!$C$6:$C$605,C416,Fuel!$P$6:$P$605,P416-1))</f>
        <v/>
      </c>
    </row>
    <row r="417">
      <c r="A417" s="1" t="n"/>
      <c r="B417" s="29" t="n"/>
      <c r="C417" s="24" t="n"/>
      <c r="D417" s="28" t="n"/>
      <c r="E417" s="33" t="n"/>
      <c r="F417" s="34" t="n"/>
      <c r="G417" s="27" t="n"/>
      <c r="H417" s="14">
        <f>IF(OR(N(E417)=0,F417=""),"",F417/E417)</f>
        <v/>
      </c>
      <c r="I417" s="11">
        <f>IF(R417="","",D417-R417)</f>
        <v/>
      </c>
      <c r="J417" s="35">
        <f>IF(R417="","",SUMIFS(Fuel!$E$6:$E$605,Fuel!$C$6:$C$605,C417,Fuel!$D$6:$D$605,"&gt;"&amp;R417,Fuel!$D$6:$D$605,"&lt;="&amp;D417))</f>
        <v/>
      </c>
      <c r="K417" s="36">
        <f>IF(OR(I417="",N(I417)=0),"",J417/I417*100)</f>
        <v/>
      </c>
      <c r="L417" s="36">
        <f>IF(OR(J417="",N(J417)=0),"",I417/J417)</f>
        <v/>
      </c>
      <c r="M417" s="1" t="n"/>
      <c r="N417">
        <f>IF(OR(C417="",N(D417)=0),"",D417+ROW()/10000000)</f>
        <v/>
      </c>
      <c r="O417">
        <f>IF(N417="","",COUNTIFS(Fuel!$C$6:$C$605,C417,Fuel!$N$6:$N$605,"&gt;"&amp;N417))</f>
        <v/>
      </c>
      <c r="P417">
        <f>IF(OR(N417="",G417=""),"",COUNTIFS(Fuel!$C$6:$C$605,C417,Fuel!$G$6:$G$605,"&lt;&gt;",Fuel!$N$6:$N$605,"&lt;"&amp;N417))</f>
        <v/>
      </c>
      <c r="R417">
        <f>IF(OR(P417="",N(P417)=0),"",SUMIFS(Fuel!$D$6:$D$605,Fuel!$C$6:$C$605,C417,Fuel!$P$6:$P$605,P417-1))</f>
        <v/>
      </c>
    </row>
    <row r="418">
      <c r="A418" s="1" t="n"/>
      <c r="B418" s="29" t="n"/>
      <c r="C418" s="24" t="n"/>
      <c r="D418" s="28" t="n"/>
      <c r="E418" s="33" t="n"/>
      <c r="F418" s="34" t="n"/>
      <c r="G418" s="27" t="n"/>
      <c r="H418" s="14">
        <f>IF(OR(N(E418)=0,F418=""),"",F418/E418)</f>
        <v/>
      </c>
      <c r="I418" s="11">
        <f>IF(R418="","",D418-R418)</f>
        <v/>
      </c>
      <c r="J418" s="35">
        <f>IF(R418="","",SUMIFS(Fuel!$E$6:$E$605,Fuel!$C$6:$C$605,C418,Fuel!$D$6:$D$605,"&gt;"&amp;R418,Fuel!$D$6:$D$605,"&lt;="&amp;D418))</f>
        <v/>
      </c>
      <c r="K418" s="36">
        <f>IF(OR(I418="",N(I418)=0),"",J418/I418*100)</f>
        <v/>
      </c>
      <c r="L418" s="36">
        <f>IF(OR(J418="",N(J418)=0),"",I418/J418)</f>
        <v/>
      </c>
      <c r="M418" s="1" t="n"/>
      <c r="N418">
        <f>IF(OR(C418="",N(D418)=0),"",D418+ROW()/10000000)</f>
        <v/>
      </c>
      <c r="O418">
        <f>IF(N418="","",COUNTIFS(Fuel!$C$6:$C$605,C418,Fuel!$N$6:$N$605,"&gt;"&amp;N418))</f>
        <v/>
      </c>
      <c r="P418">
        <f>IF(OR(N418="",G418=""),"",COUNTIFS(Fuel!$C$6:$C$605,C418,Fuel!$G$6:$G$605,"&lt;&gt;",Fuel!$N$6:$N$605,"&lt;"&amp;N418))</f>
        <v/>
      </c>
      <c r="R418">
        <f>IF(OR(P418="",N(P418)=0),"",SUMIFS(Fuel!$D$6:$D$605,Fuel!$C$6:$C$605,C418,Fuel!$P$6:$P$605,P418-1))</f>
        <v/>
      </c>
    </row>
    <row r="419">
      <c r="A419" s="1" t="n"/>
      <c r="B419" s="29" t="n"/>
      <c r="C419" s="24" t="n"/>
      <c r="D419" s="28" t="n"/>
      <c r="E419" s="33" t="n"/>
      <c r="F419" s="34" t="n"/>
      <c r="G419" s="27" t="n"/>
      <c r="H419" s="14">
        <f>IF(OR(N(E419)=0,F419=""),"",F419/E419)</f>
        <v/>
      </c>
      <c r="I419" s="11">
        <f>IF(R419="","",D419-R419)</f>
        <v/>
      </c>
      <c r="J419" s="35">
        <f>IF(R419="","",SUMIFS(Fuel!$E$6:$E$605,Fuel!$C$6:$C$605,C419,Fuel!$D$6:$D$605,"&gt;"&amp;R419,Fuel!$D$6:$D$605,"&lt;="&amp;D419))</f>
        <v/>
      </c>
      <c r="K419" s="36">
        <f>IF(OR(I419="",N(I419)=0),"",J419/I419*100)</f>
        <v/>
      </c>
      <c r="L419" s="36">
        <f>IF(OR(J419="",N(J419)=0),"",I419/J419)</f>
        <v/>
      </c>
      <c r="M419" s="1" t="n"/>
      <c r="N419">
        <f>IF(OR(C419="",N(D419)=0),"",D419+ROW()/10000000)</f>
        <v/>
      </c>
      <c r="O419">
        <f>IF(N419="","",COUNTIFS(Fuel!$C$6:$C$605,C419,Fuel!$N$6:$N$605,"&gt;"&amp;N419))</f>
        <v/>
      </c>
      <c r="P419">
        <f>IF(OR(N419="",G419=""),"",COUNTIFS(Fuel!$C$6:$C$605,C419,Fuel!$G$6:$G$605,"&lt;&gt;",Fuel!$N$6:$N$605,"&lt;"&amp;N419))</f>
        <v/>
      </c>
      <c r="R419">
        <f>IF(OR(P419="",N(P419)=0),"",SUMIFS(Fuel!$D$6:$D$605,Fuel!$C$6:$C$605,C419,Fuel!$P$6:$P$605,P419-1))</f>
        <v/>
      </c>
    </row>
    <row r="420">
      <c r="A420" s="1" t="n"/>
      <c r="B420" s="29" t="n"/>
      <c r="C420" s="24" t="n"/>
      <c r="D420" s="28" t="n"/>
      <c r="E420" s="33" t="n"/>
      <c r="F420" s="34" t="n"/>
      <c r="G420" s="27" t="n"/>
      <c r="H420" s="14">
        <f>IF(OR(N(E420)=0,F420=""),"",F420/E420)</f>
        <v/>
      </c>
      <c r="I420" s="11">
        <f>IF(R420="","",D420-R420)</f>
        <v/>
      </c>
      <c r="J420" s="35">
        <f>IF(R420="","",SUMIFS(Fuel!$E$6:$E$605,Fuel!$C$6:$C$605,C420,Fuel!$D$6:$D$605,"&gt;"&amp;R420,Fuel!$D$6:$D$605,"&lt;="&amp;D420))</f>
        <v/>
      </c>
      <c r="K420" s="36">
        <f>IF(OR(I420="",N(I420)=0),"",J420/I420*100)</f>
        <v/>
      </c>
      <c r="L420" s="36">
        <f>IF(OR(J420="",N(J420)=0),"",I420/J420)</f>
        <v/>
      </c>
      <c r="M420" s="1" t="n"/>
      <c r="N420">
        <f>IF(OR(C420="",N(D420)=0),"",D420+ROW()/10000000)</f>
        <v/>
      </c>
      <c r="O420">
        <f>IF(N420="","",COUNTIFS(Fuel!$C$6:$C$605,C420,Fuel!$N$6:$N$605,"&gt;"&amp;N420))</f>
        <v/>
      </c>
      <c r="P420">
        <f>IF(OR(N420="",G420=""),"",COUNTIFS(Fuel!$C$6:$C$605,C420,Fuel!$G$6:$G$605,"&lt;&gt;",Fuel!$N$6:$N$605,"&lt;"&amp;N420))</f>
        <v/>
      </c>
      <c r="R420">
        <f>IF(OR(P420="",N(P420)=0),"",SUMIFS(Fuel!$D$6:$D$605,Fuel!$C$6:$C$605,C420,Fuel!$P$6:$P$605,P420-1))</f>
        <v/>
      </c>
    </row>
    <row r="421">
      <c r="A421" s="1" t="n"/>
      <c r="B421" s="29" t="n"/>
      <c r="C421" s="24" t="n"/>
      <c r="D421" s="28" t="n"/>
      <c r="E421" s="33" t="n"/>
      <c r="F421" s="34" t="n"/>
      <c r="G421" s="27" t="n"/>
      <c r="H421" s="14">
        <f>IF(OR(N(E421)=0,F421=""),"",F421/E421)</f>
        <v/>
      </c>
      <c r="I421" s="11">
        <f>IF(R421="","",D421-R421)</f>
        <v/>
      </c>
      <c r="J421" s="35">
        <f>IF(R421="","",SUMIFS(Fuel!$E$6:$E$605,Fuel!$C$6:$C$605,C421,Fuel!$D$6:$D$605,"&gt;"&amp;R421,Fuel!$D$6:$D$605,"&lt;="&amp;D421))</f>
        <v/>
      </c>
      <c r="K421" s="36">
        <f>IF(OR(I421="",N(I421)=0),"",J421/I421*100)</f>
        <v/>
      </c>
      <c r="L421" s="36">
        <f>IF(OR(J421="",N(J421)=0),"",I421/J421)</f>
        <v/>
      </c>
      <c r="M421" s="1" t="n"/>
      <c r="N421">
        <f>IF(OR(C421="",N(D421)=0),"",D421+ROW()/10000000)</f>
        <v/>
      </c>
      <c r="O421">
        <f>IF(N421="","",COUNTIFS(Fuel!$C$6:$C$605,C421,Fuel!$N$6:$N$605,"&gt;"&amp;N421))</f>
        <v/>
      </c>
      <c r="P421">
        <f>IF(OR(N421="",G421=""),"",COUNTIFS(Fuel!$C$6:$C$605,C421,Fuel!$G$6:$G$605,"&lt;&gt;",Fuel!$N$6:$N$605,"&lt;"&amp;N421))</f>
        <v/>
      </c>
      <c r="R421">
        <f>IF(OR(P421="",N(P421)=0),"",SUMIFS(Fuel!$D$6:$D$605,Fuel!$C$6:$C$605,C421,Fuel!$P$6:$P$605,P421-1))</f>
        <v/>
      </c>
    </row>
    <row r="422">
      <c r="A422" s="1" t="n"/>
      <c r="B422" s="29" t="n"/>
      <c r="C422" s="24" t="n"/>
      <c r="D422" s="28" t="n"/>
      <c r="E422" s="33" t="n"/>
      <c r="F422" s="34" t="n"/>
      <c r="G422" s="27" t="n"/>
      <c r="H422" s="14">
        <f>IF(OR(N(E422)=0,F422=""),"",F422/E422)</f>
        <v/>
      </c>
      <c r="I422" s="11">
        <f>IF(R422="","",D422-R422)</f>
        <v/>
      </c>
      <c r="J422" s="35">
        <f>IF(R422="","",SUMIFS(Fuel!$E$6:$E$605,Fuel!$C$6:$C$605,C422,Fuel!$D$6:$D$605,"&gt;"&amp;R422,Fuel!$D$6:$D$605,"&lt;="&amp;D422))</f>
        <v/>
      </c>
      <c r="K422" s="36">
        <f>IF(OR(I422="",N(I422)=0),"",J422/I422*100)</f>
        <v/>
      </c>
      <c r="L422" s="36">
        <f>IF(OR(J422="",N(J422)=0),"",I422/J422)</f>
        <v/>
      </c>
      <c r="M422" s="1" t="n"/>
      <c r="N422">
        <f>IF(OR(C422="",N(D422)=0),"",D422+ROW()/10000000)</f>
        <v/>
      </c>
      <c r="O422">
        <f>IF(N422="","",COUNTIFS(Fuel!$C$6:$C$605,C422,Fuel!$N$6:$N$605,"&gt;"&amp;N422))</f>
        <v/>
      </c>
      <c r="P422">
        <f>IF(OR(N422="",G422=""),"",COUNTIFS(Fuel!$C$6:$C$605,C422,Fuel!$G$6:$G$605,"&lt;&gt;",Fuel!$N$6:$N$605,"&lt;"&amp;N422))</f>
        <v/>
      </c>
      <c r="R422">
        <f>IF(OR(P422="",N(P422)=0),"",SUMIFS(Fuel!$D$6:$D$605,Fuel!$C$6:$C$605,C422,Fuel!$P$6:$P$605,P422-1))</f>
        <v/>
      </c>
    </row>
    <row r="423">
      <c r="A423" s="1" t="n"/>
      <c r="B423" s="29" t="n"/>
      <c r="C423" s="24" t="n"/>
      <c r="D423" s="28" t="n"/>
      <c r="E423" s="33" t="n"/>
      <c r="F423" s="34" t="n"/>
      <c r="G423" s="27" t="n"/>
      <c r="H423" s="14">
        <f>IF(OR(N(E423)=0,F423=""),"",F423/E423)</f>
        <v/>
      </c>
      <c r="I423" s="11">
        <f>IF(R423="","",D423-R423)</f>
        <v/>
      </c>
      <c r="J423" s="35">
        <f>IF(R423="","",SUMIFS(Fuel!$E$6:$E$605,Fuel!$C$6:$C$605,C423,Fuel!$D$6:$D$605,"&gt;"&amp;R423,Fuel!$D$6:$D$605,"&lt;="&amp;D423))</f>
        <v/>
      </c>
      <c r="K423" s="36">
        <f>IF(OR(I423="",N(I423)=0),"",J423/I423*100)</f>
        <v/>
      </c>
      <c r="L423" s="36">
        <f>IF(OR(J423="",N(J423)=0),"",I423/J423)</f>
        <v/>
      </c>
      <c r="M423" s="1" t="n"/>
      <c r="N423">
        <f>IF(OR(C423="",N(D423)=0),"",D423+ROW()/10000000)</f>
        <v/>
      </c>
      <c r="O423">
        <f>IF(N423="","",COUNTIFS(Fuel!$C$6:$C$605,C423,Fuel!$N$6:$N$605,"&gt;"&amp;N423))</f>
        <v/>
      </c>
      <c r="P423">
        <f>IF(OR(N423="",G423=""),"",COUNTIFS(Fuel!$C$6:$C$605,C423,Fuel!$G$6:$G$605,"&lt;&gt;",Fuel!$N$6:$N$605,"&lt;"&amp;N423))</f>
        <v/>
      </c>
      <c r="R423">
        <f>IF(OR(P423="",N(P423)=0),"",SUMIFS(Fuel!$D$6:$D$605,Fuel!$C$6:$C$605,C423,Fuel!$P$6:$P$605,P423-1))</f>
        <v/>
      </c>
    </row>
    <row r="424">
      <c r="A424" s="1" t="n"/>
      <c r="B424" s="29" t="n"/>
      <c r="C424" s="24" t="n"/>
      <c r="D424" s="28" t="n"/>
      <c r="E424" s="33" t="n"/>
      <c r="F424" s="34" t="n"/>
      <c r="G424" s="27" t="n"/>
      <c r="H424" s="14">
        <f>IF(OR(N(E424)=0,F424=""),"",F424/E424)</f>
        <v/>
      </c>
      <c r="I424" s="11">
        <f>IF(R424="","",D424-R424)</f>
        <v/>
      </c>
      <c r="J424" s="35">
        <f>IF(R424="","",SUMIFS(Fuel!$E$6:$E$605,Fuel!$C$6:$C$605,C424,Fuel!$D$6:$D$605,"&gt;"&amp;R424,Fuel!$D$6:$D$605,"&lt;="&amp;D424))</f>
        <v/>
      </c>
      <c r="K424" s="36">
        <f>IF(OR(I424="",N(I424)=0),"",J424/I424*100)</f>
        <v/>
      </c>
      <c r="L424" s="36">
        <f>IF(OR(J424="",N(J424)=0),"",I424/J424)</f>
        <v/>
      </c>
      <c r="M424" s="1" t="n"/>
      <c r="N424">
        <f>IF(OR(C424="",N(D424)=0),"",D424+ROW()/10000000)</f>
        <v/>
      </c>
      <c r="O424">
        <f>IF(N424="","",COUNTIFS(Fuel!$C$6:$C$605,C424,Fuel!$N$6:$N$605,"&gt;"&amp;N424))</f>
        <v/>
      </c>
      <c r="P424">
        <f>IF(OR(N424="",G424=""),"",COUNTIFS(Fuel!$C$6:$C$605,C424,Fuel!$G$6:$G$605,"&lt;&gt;",Fuel!$N$6:$N$605,"&lt;"&amp;N424))</f>
        <v/>
      </c>
      <c r="R424">
        <f>IF(OR(P424="",N(P424)=0),"",SUMIFS(Fuel!$D$6:$D$605,Fuel!$C$6:$C$605,C424,Fuel!$P$6:$P$605,P424-1))</f>
        <v/>
      </c>
    </row>
    <row r="425">
      <c r="A425" s="1" t="n"/>
      <c r="B425" s="29" t="n"/>
      <c r="C425" s="24" t="n"/>
      <c r="D425" s="28" t="n"/>
      <c r="E425" s="33" t="n"/>
      <c r="F425" s="34" t="n"/>
      <c r="G425" s="27" t="n"/>
      <c r="H425" s="14">
        <f>IF(OR(N(E425)=0,F425=""),"",F425/E425)</f>
        <v/>
      </c>
      <c r="I425" s="11">
        <f>IF(R425="","",D425-R425)</f>
        <v/>
      </c>
      <c r="J425" s="35">
        <f>IF(R425="","",SUMIFS(Fuel!$E$6:$E$605,Fuel!$C$6:$C$605,C425,Fuel!$D$6:$D$605,"&gt;"&amp;R425,Fuel!$D$6:$D$605,"&lt;="&amp;D425))</f>
        <v/>
      </c>
      <c r="K425" s="36">
        <f>IF(OR(I425="",N(I425)=0),"",J425/I425*100)</f>
        <v/>
      </c>
      <c r="L425" s="36">
        <f>IF(OR(J425="",N(J425)=0),"",I425/J425)</f>
        <v/>
      </c>
      <c r="M425" s="1" t="n"/>
      <c r="N425">
        <f>IF(OR(C425="",N(D425)=0),"",D425+ROW()/10000000)</f>
        <v/>
      </c>
      <c r="O425">
        <f>IF(N425="","",COUNTIFS(Fuel!$C$6:$C$605,C425,Fuel!$N$6:$N$605,"&gt;"&amp;N425))</f>
        <v/>
      </c>
      <c r="P425">
        <f>IF(OR(N425="",G425=""),"",COUNTIFS(Fuel!$C$6:$C$605,C425,Fuel!$G$6:$G$605,"&lt;&gt;",Fuel!$N$6:$N$605,"&lt;"&amp;N425))</f>
        <v/>
      </c>
      <c r="R425">
        <f>IF(OR(P425="",N(P425)=0),"",SUMIFS(Fuel!$D$6:$D$605,Fuel!$C$6:$C$605,C425,Fuel!$P$6:$P$605,P425-1))</f>
        <v/>
      </c>
    </row>
    <row r="426">
      <c r="A426" s="1" t="n"/>
      <c r="B426" s="29" t="n"/>
      <c r="C426" s="24" t="n"/>
      <c r="D426" s="28" t="n"/>
      <c r="E426" s="33" t="n"/>
      <c r="F426" s="34" t="n"/>
      <c r="G426" s="27" t="n"/>
      <c r="H426" s="14">
        <f>IF(OR(N(E426)=0,F426=""),"",F426/E426)</f>
        <v/>
      </c>
      <c r="I426" s="11">
        <f>IF(R426="","",D426-R426)</f>
        <v/>
      </c>
      <c r="J426" s="35">
        <f>IF(R426="","",SUMIFS(Fuel!$E$6:$E$605,Fuel!$C$6:$C$605,C426,Fuel!$D$6:$D$605,"&gt;"&amp;R426,Fuel!$D$6:$D$605,"&lt;="&amp;D426))</f>
        <v/>
      </c>
      <c r="K426" s="36">
        <f>IF(OR(I426="",N(I426)=0),"",J426/I426*100)</f>
        <v/>
      </c>
      <c r="L426" s="36">
        <f>IF(OR(J426="",N(J426)=0),"",I426/J426)</f>
        <v/>
      </c>
      <c r="M426" s="1" t="n"/>
      <c r="N426">
        <f>IF(OR(C426="",N(D426)=0),"",D426+ROW()/10000000)</f>
        <v/>
      </c>
      <c r="O426">
        <f>IF(N426="","",COUNTIFS(Fuel!$C$6:$C$605,C426,Fuel!$N$6:$N$605,"&gt;"&amp;N426))</f>
        <v/>
      </c>
      <c r="P426">
        <f>IF(OR(N426="",G426=""),"",COUNTIFS(Fuel!$C$6:$C$605,C426,Fuel!$G$6:$G$605,"&lt;&gt;",Fuel!$N$6:$N$605,"&lt;"&amp;N426))</f>
        <v/>
      </c>
      <c r="R426">
        <f>IF(OR(P426="",N(P426)=0),"",SUMIFS(Fuel!$D$6:$D$605,Fuel!$C$6:$C$605,C426,Fuel!$P$6:$P$605,P426-1))</f>
        <v/>
      </c>
    </row>
    <row r="427">
      <c r="A427" s="1" t="n"/>
      <c r="B427" s="29" t="n"/>
      <c r="C427" s="24" t="n"/>
      <c r="D427" s="28" t="n"/>
      <c r="E427" s="33" t="n"/>
      <c r="F427" s="34" t="n"/>
      <c r="G427" s="27" t="n"/>
      <c r="H427" s="14">
        <f>IF(OR(N(E427)=0,F427=""),"",F427/E427)</f>
        <v/>
      </c>
      <c r="I427" s="11">
        <f>IF(R427="","",D427-R427)</f>
        <v/>
      </c>
      <c r="J427" s="35">
        <f>IF(R427="","",SUMIFS(Fuel!$E$6:$E$605,Fuel!$C$6:$C$605,C427,Fuel!$D$6:$D$605,"&gt;"&amp;R427,Fuel!$D$6:$D$605,"&lt;="&amp;D427))</f>
        <v/>
      </c>
      <c r="K427" s="36">
        <f>IF(OR(I427="",N(I427)=0),"",J427/I427*100)</f>
        <v/>
      </c>
      <c r="L427" s="36">
        <f>IF(OR(J427="",N(J427)=0),"",I427/J427)</f>
        <v/>
      </c>
      <c r="M427" s="1" t="n"/>
      <c r="N427">
        <f>IF(OR(C427="",N(D427)=0),"",D427+ROW()/10000000)</f>
        <v/>
      </c>
      <c r="O427">
        <f>IF(N427="","",COUNTIFS(Fuel!$C$6:$C$605,C427,Fuel!$N$6:$N$605,"&gt;"&amp;N427))</f>
        <v/>
      </c>
      <c r="P427">
        <f>IF(OR(N427="",G427=""),"",COUNTIFS(Fuel!$C$6:$C$605,C427,Fuel!$G$6:$G$605,"&lt;&gt;",Fuel!$N$6:$N$605,"&lt;"&amp;N427))</f>
        <v/>
      </c>
      <c r="R427">
        <f>IF(OR(P427="",N(P427)=0),"",SUMIFS(Fuel!$D$6:$D$605,Fuel!$C$6:$C$605,C427,Fuel!$P$6:$P$605,P427-1))</f>
        <v/>
      </c>
    </row>
    <row r="428">
      <c r="A428" s="1" t="n"/>
      <c r="B428" s="29" t="n"/>
      <c r="C428" s="24" t="n"/>
      <c r="D428" s="28" t="n"/>
      <c r="E428" s="33" t="n"/>
      <c r="F428" s="34" t="n"/>
      <c r="G428" s="27" t="n"/>
      <c r="H428" s="14">
        <f>IF(OR(N(E428)=0,F428=""),"",F428/E428)</f>
        <v/>
      </c>
      <c r="I428" s="11">
        <f>IF(R428="","",D428-R428)</f>
        <v/>
      </c>
      <c r="J428" s="35">
        <f>IF(R428="","",SUMIFS(Fuel!$E$6:$E$605,Fuel!$C$6:$C$605,C428,Fuel!$D$6:$D$605,"&gt;"&amp;R428,Fuel!$D$6:$D$605,"&lt;="&amp;D428))</f>
        <v/>
      </c>
      <c r="K428" s="36">
        <f>IF(OR(I428="",N(I428)=0),"",J428/I428*100)</f>
        <v/>
      </c>
      <c r="L428" s="36">
        <f>IF(OR(J428="",N(J428)=0),"",I428/J428)</f>
        <v/>
      </c>
      <c r="M428" s="1" t="n"/>
      <c r="N428">
        <f>IF(OR(C428="",N(D428)=0),"",D428+ROW()/10000000)</f>
        <v/>
      </c>
      <c r="O428">
        <f>IF(N428="","",COUNTIFS(Fuel!$C$6:$C$605,C428,Fuel!$N$6:$N$605,"&gt;"&amp;N428))</f>
        <v/>
      </c>
      <c r="P428">
        <f>IF(OR(N428="",G428=""),"",COUNTIFS(Fuel!$C$6:$C$605,C428,Fuel!$G$6:$G$605,"&lt;&gt;",Fuel!$N$6:$N$605,"&lt;"&amp;N428))</f>
        <v/>
      </c>
      <c r="R428">
        <f>IF(OR(P428="",N(P428)=0),"",SUMIFS(Fuel!$D$6:$D$605,Fuel!$C$6:$C$605,C428,Fuel!$P$6:$P$605,P428-1))</f>
        <v/>
      </c>
    </row>
    <row r="429">
      <c r="A429" s="1" t="n"/>
      <c r="B429" s="29" t="n"/>
      <c r="C429" s="24" t="n"/>
      <c r="D429" s="28" t="n"/>
      <c r="E429" s="33" t="n"/>
      <c r="F429" s="34" t="n"/>
      <c r="G429" s="27" t="n"/>
      <c r="H429" s="14">
        <f>IF(OR(N(E429)=0,F429=""),"",F429/E429)</f>
        <v/>
      </c>
      <c r="I429" s="11">
        <f>IF(R429="","",D429-R429)</f>
        <v/>
      </c>
      <c r="J429" s="35">
        <f>IF(R429="","",SUMIFS(Fuel!$E$6:$E$605,Fuel!$C$6:$C$605,C429,Fuel!$D$6:$D$605,"&gt;"&amp;R429,Fuel!$D$6:$D$605,"&lt;="&amp;D429))</f>
        <v/>
      </c>
      <c r="K429" s="36">
        <f>IF(OR(I429="",N(I429)=0),"",J429/I429*100)</f>
        <v/>
      </c>
      <c r="L429" s="36">
        <f>IF(OR(J429="",N(J429)=0),"",I429/J429)</f>
        <v/>
      </c>
      <c r="M429" s="1" t="n"/>
      <c r="N429">
        <f>IF(OR(C429="",N(D429)=0),"",D429+ROW()/10000000)</f>
        <v/>
      </c>
      <c r="O429">
        <f>IF(N429="","",COUNTIFS(Fuel!$C$6:$C$605,C429,Fuel!$N$6:$N$605,"&gt;"&amp;N429))</f>
        <v/>
      </c>
      <c r="P429">
        <f>IF(OR(N429="",G429=""),"",COUNTIFS(Fuel!$C$6:$C$605,C429,Fuel!$G$6:$G$605,"&lt;&gt;",Fuel!$N$6:$N$605,"&lt;"&amp;N429))</f>
        <v/>
      </c>
      <c r="R429">
        <f>IF(OR(P429="",N(P429)=0),"",SUMIFS(Fuel!$D$6:$D$605,Fuel!$C$6:$C$605,C429,Fuel!$P$6:$P$605,P429-1))</f>
        <v/>
      </c>
    </row>
    <row r="430">
      <c r="A430" s="1" t="n"/>
      <c r="B430" s="29" t="n"/>
      <c r="C430" s="24" t="n"/>
      <c r="D430" s="28" t="n"/>
      <c r="E430" s="33" t="n"/>
      <c r="F430" s="34" t="n"/>
      <c r="G430" s="27" t="n"/>
      <c r="H430" s="14">
        <f>IF(OR(N(E430)=0,F430=""),"",F430/E430)</f>
        <v/>
      </c>
      <c r="I430" s="11">
        <f>IF(R430="","",D430-R430)</f>
        <v/>
      </c>
      <c r="J430" s="35">
        <f>IF(R430="","",SUMIFS(Fuel!$E$6:$E$605,Fuel!$C$6:$C$605,C430,Fuel!$D$6:$D$605,"&gt;"&amp;R430,Fuel!$D$6:$D$605,"&lt;="&amp;D430))</f>
        <v/>
      </c>
      <c r="K430" s="36">
        <f>IF(OR(I430="",N(I430)=0),"",J430/I430*100)</f>
        <v/>
      </c>
      <c r="L430" s="36">
        <f>IF(OR(J430="",N(J430)=0),"",I430/J430)</f>
        <v/>
      </c>
      <c r="M430" s="1" t="n"/>
      <c r="N430">
        <f>IF(OR(C430="",N(D430)=0),"",D430+ROW()/10000000)</f>
        <v/>
      </c>
      <c r="O430">
        <f>IF(N430="","",COUNTIFS(Fuel!$C$6:$C$605,C430,Fuel!$N$6:$N$605,"&gt;"&amp;N430))</f>
        <v/>
      </c>
      <c r="P430">
        <f>IF(OR(N430="",G430=""),"",COUNTIFS(Fuel!$C$6:$C$605,C430,Fuel!$G$6:$G$605,"&lt;&gt;",Fuel!$N$6:$N$605,"&lt;"&amp;N430))</f>
        <v/>
      </c>
      <c r="R430">
        <f>IF(OR(P430="",N(P430)=0),"",SUMIFS(Fuel!$D$6:$D$605,Fuel!$C$6:$C$605,C430,Fuel!$P$6:$P$605,P430-1))</f>
        <v/>
      </c>
    </row>
    <row r="431">
      <c r="A431" s="1" t="n"/>
      <c r="B431" s="29" t="n"/>
      <c r="C431" s="24" t="n"/>
      <c r="D431" s="28" t="n"/>
      <c r="E431" s="33" t="n"/>
      <c r="F431" s="34" t="n"/>
      <c r="G431" s="27" t="n"/>
      <c r="H431" s="14">
        <f>IF(OR(N(E431)=0,F431=""),"",F431/E431)</f>
        <v/>
      </c>
      <c r="I431" s="11">
        <f>IF(R431="","",D431-R431)</f>
        <v/>
      </c>
      <c r="J431" s="35">
        <f>IF(R431="","",SUMIFS(Fuel!$E$6:$E$605,Fuel!$C$6:$C$605,C431,Fuel!$D$6:$D$605,"&gt;"&amp;R431,Fuel!$D$6:$D$605,"&lt;="&amp;D431))</f>
        <v/>
      </c>
      <c r="K431" s="36">
        <f>IF(OR(I431="",N(I431)=0),"",J431/I431*100)</f>
        <v/>
      </c>
      <c r="L431" s="36">
        <f>IF(OR(J431="",N(J431)=0),"",I431/J431)</f>
        <v/>
      </c>
      <c r="M431" s="1" t="n"/>
      <c r="N431">
        <f>IF(OR(C431="",N(D431)=0),"",D431+ROW()/10000000)</f>
        <v/>
      </c>
      <c r="O431">
        <f>IF(N431="","",COUNTIFS(Fuel!$C$6:$C$605,C431,Fuel!$N$6:$N$605,"&gt;"&amp;N431))</f>
        <v/>
      </c>
      <c r="P431">
        <f>IF(OR(N431="",G431=""),"",COUNTIFS(Fuel!$C$6:$C$605,C431,Fuel!$G$6:$G$605,"&lt;&gt;",Fuel!$N$6:$N$605,"&lt;"&amp;N431))</f>
        <v/>
      </c>
      <c r="R431">
        <f>IF(OR(P431="",N(P431)=0),"",SUMIFS(Fuel!$D$6:$D$605,Fuel!$C$6:$C$605,C431,Fuel!$P$6:$P$605,P431-1))</f>
        <v/>
      </c>
    </row>
    <row r="432">
      <c r="A432" s="1" t="n"/>
      <c r="B432" s="29" t="n"/>
      <c r="C432" s="24" t="n"/>
      <c r="D432" s="28" t="n"/>
      <c r="E432" s="33" t="n"/>
      <c r="F432" s="34" t="n"/>
      <c r="G432" s="27" t="n"/>
      <c r="H432" s="14">
        <f>IF(OR(N(E432)=0,F432=""),"",F432/E432)</f>
        <v/>
      </c>
      <c r="I432" s="11">
        <f>IF(R432="","",D432-R432)</f>
        <v/>
      </c>
      <c r="J432" s="35">
        <f>IF(R432="","",SUMIFS(Fuel!$E$6:$E$605,Fuel!$C$6:$C$605,C432,Fuel!$D$6:$D$605,"&gt;"&amp;R432,Fuel!$D$6:$D$605,"&lt;="&amp;D432))</f>
        <v/>
      </c>
      <c r="K432" s="36">
        <f>IF(OR(I432="",N(I432)=0),"",J432/I432*100)</f>
        <v/>
      </c>
      <c r="L432" s="36">
        <f>IF(OR(J432="",N(J432)=0),"",I432/J432)</f>
        <v/>
      </c>
      <c r="M432" s="1" t="n"/>
      <c r="N432">
        <f>IF(OR(C432="",N(D432)=0),"",D432+ROW()/10000000)</f>
        <v/>
      </c>
      <c r="O432">
        <f>IF(N432="","",COUNTIFS(Fuel!$C$6:$C$605,C432,Fuel!$N$6:$N$605,"&gt;"&amp;N432))</f>
        <v/>
      </c>
      <c r="P432">
        <f>IF(OR(N432="",G432=""),"",COUNTIFS(Fuel!$C$6:$C$605,C432,Fuel!$G$6:$G$605,"&lt;&gt;",Fuel!$N$6:$N$605,"&lt;"&amp;N432))</f>
        <v/>
      </c>
      <c r="R432">
        <f>IF(OR(P432="",N(P432)=0),"",SUMIFS(Fuel!$D$6:$D$605,Fuel!$C$6:$C$605,C432,Fuel!$P$6:$P$605,P432-1))</f>
        <v/>
      </c>
    </row>
    <row r="433">
      <c r="A433" s="1" t="n"/>
      <c r="B433" s="29" t="n"/>
      <c r="C433" s="24" t="n"/>
      <c r="D433" s="28" t="n"/>
      <c r="E433" s="33" t="n"/>
      <c r="F433" s="34" t="n"/>
      <c r="G433" s="27" t="n"/>
      <c r="H433" s="14">
        <f>IF(OR(N(E433)=0,F433=""),"",F433/E433)</f>
        <v/>
      </c>
      <c r="I433" s="11">
        <f>IF(R433="","",D433-R433)</f>
        <v/>
      </c>
      <c r="J433" s="35">
        <f>IF(R433="","",SUMIFS(Fuel!$E$6:$E$605,Fuel!$C$6:$C$605,C433,Fuel!$D$6:$D$605,"&gt;"&amp;R433,Fuel!$D$6:$D$605,"&lt;="&amp;D433))</f>
        <v/>
      </c>
      <c r="K433" s="36">
        <f>IF(OR(I433="",N(I433)=0),"",J433/I433*100)</f>
        <v/>
      </c>
      <c r="L433" s="36">
        <f>IF(OR(J433="",N(J433)=0),"",I433/J433)</f>
        <v/>
      </c>
      <c r="M433" s="1" t="n"/>
      <c r="N433">
        <f>IF(OR(C433="",N(D433)=0),"",D433+ROW()/10000000)</f>
        <v/>
      </c>
      <c r="O433">
        <f>IF(N433="","",COUNTIFS(Fuel!$C$6:$C$605,C433,Fuel!$N$6:$N$605,"&gt;"&amp;N433))</f>
        <v/>
      </c>
      <c r="P433">
        <f>IF(OR(N433="",G433=""),"",COUNTIFS(Fuel!$C$6:$C$605,C433,Fuel!$G$6:$G$605,"&lt;&gt;",Fuel!$N$6:$N$605,"&lt;"&amp;N433))</f>
        <v/>
      </c>
      <c r="R433">
        <f>IF(OR(P433="",N(P433)=0),"",SUMIFS(Fuel!$D$6:$D$605,Fuel!$C$6:$C$605,C433,Fuel!$P$6:$P$605,P433-1))</f>
        <v/>
      </c>
    </row>
    <row r="434">
      <c r="A434" s="1" t="n"/>
      <c r="B434" s="29" t="n"/>
      <c r="C434" s="24" t="n"/>
      <c r="D434" s="28" t="n"/>
      <c r="E434" s="33" t="n"/>
      <c r="F434" s="34" t="n"/>
      <c r="G434" s="27" t="n"/>
      <c r="H434" s="14">
        <f>IF(OR(N(E434)=0,F434=""),"",F434/E434)</f>
        <v/>
      </c>
      <c r="I434" s="11">
        <f>IF(R434="","",D434-R434)</f>
        <v/>
      </c>
      <c r="J434" s="35">
        <f>IF(R434="","",SUMIFS(Fuel!$E$6:$E$605,Fuel!$C$6:$C$605,C434,Fuel!$D$6:$D$605,"&gt;"&amp;R434,Fuel!$D$6:$D$605,"&lt;="&amp;D434))</f>
        <v/>
      </c>
      <c r="K434" s="36">
        <f>IF(OR(I434="",N(I434)=0),"",J434/I434*100)</f>
        <v/>
      </c>
      <c r="L434" s="36">
        <f>IF(OR(J434="",N(J434)=0),"",I434/J434)</f>
        <v/>
      </c>
      <c r="M434" s="1" t="n"/>
      <c r="N434">
        <f>IF(OR(C434="",N(D434)=0),"",D434+ROW()/10000000)</f>
        <v/>
      </c>
      <c r="O434">
        <f>IF(N434="","",COUNTIFS(Fuel!$C$6:$C$605,C434,Fuel!$N$6:$N$605,"&gt;"&amp;N434))</f>
        <v/>
      </c>
      <c r="P434">
        <f>IF(OR(N434="",G434=""),"",COUNTIFS(Fuel!$C$6:$C$605,C434,Fuel!$G$6:$G$605,"&lt;&gt;",Fuel!$N$6:$N$605,"&lt;"&amp;N434))</f>
        <v/>
      </c>
      <c r="R434">
        <f>IF(OR(P434="",N(P434)=0),"",SUMIFS(Fuel!$D$6:$D$605,Fuel!$C$6:$C$605,C434,Fuel!$P$6:$P$605,P434-1))</f>
        <v/>
      </c>
    </row>
    <row r="435">
      <c r="A435" s="1" t="n"/>
      <c r="B435" s="29" t="n"/>
      <c r="C435" s="24" t="n"/>
      <c r="D435" s="28" t="n"/>
      <c r="E435" s="33" t="n"/>
      <c r="F435" s="34" t="n"/>
      <c r="G435" s="27" t="n"/>
      <c r="H435" s="14">
        <f>IF(OR(N(E435)=0,F435=""),"",F435/E435)</f>
        <v/>
      </c>
      <c r="I435" s="11">
        <f>IF(R435="","",D435-R435)</f>
        <v/>
      </c>
      <c r="J435" s="35">
        <f>IF(R435="","",SUMIFS(Fuel!$E$6:$E$605,Fuel!$C$6:$C$605,C435,Fuel!$D$6:$D$605,"&gt;"&amp;R435,Fuel!$D$6:$D$605,"&lt;="&amp;D435))</f>
        <v/>
      </c>
      <c r="K435" s="36">
        <f>IF(OR(I435="",N(I435)=0),"",J435/I435*100)</f>
        <v/>
      </c>
      <c r="L435" s="36">
        <f>IF(OR(J435="",N(J435)=0),"",I435/J435)</f>
        <v/>
      </c>
      <c r="M435" s="1" t="n"/>
      <c r="N435">
        <f>IF(OR(C435="",N(D435)=0),"",D435+ROW()/10000000)</f>
        <v/>
      </c>
      <c r="O435">
        <f>IF(N435="","",COUNTIFS(Fuel!$C$6:$C$605,C435,Fuel!$N$6:$N$605,"&gt;"&amp;N435))</f>
        <v/>
      </c>
      <c r="P435">
        <f>IF(OR(N435="",G435=""),"",COUNTIFS(Fuel!$C$6:$C$605,C435,Fuel!$G$6:$G$605,"&lt;&gt;",Fuel!$N$6:$N$605,"&lt;"&amp;N435))</f>
        <v/>
      </c>
      <c r="R435">
        <f>IF(OR(P435="",N(P435)=0),"",SUMIFS(Fuel!$D$6:$D$605,Fuel!$C$6:$C$605,C435,Fuel!$P$6:$P$605,P435-1))</f>
        <v/>
      </c>
    </row>
    <row r="436">
      <c r="A436" s="1" t="n"/>
      <c r="B436" s="29" t="n"/>
      <c r="C436" s="24" t="n"/>
      <c r="D436" s="28" t="n"/>
      <c r="E436" s="33" t="n"/>
      <c r="F436" s="34" t="n"/>
      <c r="G436" s="27" t="n"/>
      <c r="H436" s="14">
        <f>IF(OR(N(E436)=0,F436=""),"",F436/E436)</f>
        <v/>
      </c>
      <c r="I436" s="11">
        <f>IF(R436="","",D436-R436)</f>
        <v/>
      </c>
      <c r="J436" s="35">
        <f>IF(R436="","",SUMIFS(Fuel!$E$6:$E$605,Fuel!$C$6:$C$605,C436,Fuel!$D$6:$D$605,"&gt;"&amp;R436,Fuel!$D$6:$D$605,"&lt;="&amp;D436))</f>
        <v/>
      </c>
      <c r="K436" s="36">
        <f>IF(OR(I436="",N(I436)=0),"",J436/I436*100)</f>
        <v/>
      </c>
      <c r="L436" s="36">
        <f>IF(OR(J436="",N(J436)=0),"",I436/J436)</f>
        <v/>
      </c>
      <c r="M436" s="1" t="n"/>
      <c r="N436">
        <f>IF(OR(C436="",N(D436)=0),"",D436+ROW()/10000000)</f>
        <v/>
      </c>
      <c r="O436">
        <f>IF(N436="","",COUNTIFS(Fuel!$C$6:$C$605,C436,Fuel!$N$6:$N$605,"&gt;"&amp;N436))</f>
        <v/>
      </c>
      <c r="P436">
        <f>IF(OR(N436="",G436=""),"",COUNTIFS(Fuel!$C$6:$C$605,C436,Fuel!$G$6:$G$605,"&lt;&gt;",Fuel!$N$6:$N$605,"&lt;"&amp;N436))</f>
        <v/>
      </c>
      <c r="R436">
        <f>IF(OR(P436="",N(P436)=0),"",SUMIFS(Fuel!$D$6:$D$605,Fuel!$C$6:$C$605,C436,Fuel!$P$6:$P$605,P436-1))</f>
        <v/>
      </c>
    </row>
    <row r="437">
      <c r="A437" s="1" t="n"/>
      <c r="B437" s="29" t="n"/>
      <c r="C437" s="24" t="n"/>
      <c r="D437" s="28" t="n"/>
      <c r="E437" s="33" t="n"/>
      <c r="F437" s="34" t="n"/>
      <c r="G437" s="27" t="n"/>
      <c r="H437" s="14">
        <f>IF(OR(N(E437)=0,F437=""),"",F437/E437)</f>
        <v/>
      </c>
      <c r="I437" s="11">
        <f>IF(R437="","",D437-R437)</f>
        <v/>
      </c>
      <c r="J437" s="35">
        <f>IF(R437="","",SUMIFS(Fuel!$E$6:$E$605,Fuel!$C$6:$C$605,C437,Fuel!$D$6:$D$605,"&gt;"&amp;R437,Fuel!$D$6:$D$605,"&lt;="&amp;D437))</f>
        <v/>
      </c>
      <c r="K437" s="36">
        <f>IF(OR(I437="",N(I437)=0),"",J437/I437*100)</f>
        <v/>
      </c>
      <c r="L437" s="36">
        <f>IF(OR(J437="",N(J437)=0),"",I437/J437)</f>
        <v/>
      </c>
      <c r="M437" s="1" t="n"/>
      <c r="N437">
        <f>IF(OR(C437="",N(D437)=0),"",D437+ROW()/10000000)</f>
        <v/>
      </c>
      <c r="O437">
        <f>IF(N437="","",COUNTIFS(Fuel!$C$6:$C$605,C437,Fuel!$N$6:$N$605,"&gt;"&amp;N437))</f>
        <v/>
      </c>
      <c r="P437">
        <f>IF(OR(N437="",G437=""),"",COUNTIFS(Fuel!$C$6:$C$605,C437,Fuel!$G$6:$G$605,"&lt;&gt;",Fuel!$N$6:$N$605,"&lt;"&amp;N437))</f>
        <v/>
      </c>
      <c r="R437">
        <f>IF(OR(P437="",N(P437)=0),"",SUMIFS(Fuel!$D$6:$D$605,Fuel!$C$6:$C$605,C437,Fuel!$P$6:$P$605,P437-1))</f>
        <v/>
      </c>
    </row>
    <row r="438">
      <c r="A438" s="1" t="n"/>
      <c r="B438" s="29" t="n"/>
      <c r="C438" s="24" t="n"/>
      <c r="D438" s="28" t="n"/>
      <c r="E438" s="33" t="n"/>
      <c r="F438" s="34" t="n"/>
      <c r="G438" s="27" t="n"/>
      <c r="H438" s="14">
        <f>IF(OR(N(E438)=0,F438=""),"",F438/E438)</f>
        <v/>
      </c>
      <c r="I438" s="11">
        <f>IF(R438="","",D438-R438)</f>
        <v/>
      </c>
      <c r="J438" s="35">
        <f>IF(R438="","",SUMIFS(Fuel!$E$6:$E$605,Fuel!$C$6:$C$605,C438,Fuel!$D$6:$D$605,"&gt;"&amp;R438,Fuel!$D$6:$D$605,"&lt;="&amp;D438))</f>
        <v/>
      </c>
      <c r="K438" s="36">
        <f>IF(OR(I438="",N(I438)=0),"",J438/I438*100)</f>
        <v/>
      </c>
      <c r="L438" s="36">
        <f>IF(OR(J438="",N(J438)=0),"",I438/J438)</f>
        <v/>
      </c>
      <c r="M438" s="1" t="n"/>
      <c r="N438">
        <f>IF(OR(C438="",N(D438)=0),"",D438+ROW()/10000000)</f>
        <v/>
      </c>
      <c r="O438">
        <f>IF(N438="","",COUNTIFS(Fuel!$C$6:$C$605,C438,Fuel!$N$6:$N$605,"&gt;"&amp;N438))</f>
        <v/>
      </c>
      <c r="P438">
        <f>IF(OR(N438="",G438=""),"",COUNTIFS(Fuel!$C$6:$C$605,C438,Fuel!$G$6:$G$605,"&lt;&gt;",Fuel!$N$6:$N$605,"&lt;"&amp;N438))</f>
        <v/>
      </c>
      <c r="R438">
        <f>IF(OR(P438="",N(P438)=0),"",SUMIFS(Fuel!$D$6:$D$605,Fuel!$C$6:$C$605,C438,Fuel!$P$6:$P$605,P438-1))</f>
        <v/>
      </c>
    </row>
    <row r="439">
      <c r="A439" s="1" t="n"/>
      <c r="B439" s="29" t="n"/>
      <c r="C439" s="24" t="n"/>
      <c r="D439" s="28" t="n"/>
      <c r="E439" s="33" t="n"/>
      <c r="F439" s="34" t="n"/>
      <c r="G439" s="27" t="n"/>
      <c r="H439" s="14">
        <f>IF(OR(N(E439)=0,F439=""),"",F439/E439)</f>
        <v/>
      </c>
      <c r="I439" s="11">
        <f>IF(R439="","",D439-R439)</f>
        <v/>
      </c>
      <c r="J439" s="35">
        <f>IF(R439="","",SUMIFS(Fuel!$E$6:$E$605,Fuel!$C$6:$C$605,C439,Fuel!$D$6:$D$605,"&gt;"&amp;R439,Fuel!$D$6:$D$605,"&lt;="&amp;D439))</f>
        <v/>
      </c>
      <c r="K439" s="36">
        <f>IF(OR(I439="",N(I439)=0),"",J439/I439*100)</f>
        <v/>
      </c>
      <c r="L439" s="36">
        <f>IF(OR(J439="",N(J439)=0),"",I439/J439)</f>
        <v/>
      </c>
      <c r="M439" s="1" t="n"/>
      <c r="N439">
        <f>IF(OR(C439="",N(D439)=0),"",D439+ROW()/10000000)</f>
        <v/>
      </c>
      <c r="O439">
        <f>IF(N439="","",COUNTIFS(Fuel!$C$6:$C$605,C439,Fuel!$N$6:$N$605,"&gt;"&amp;N439))</f>
        <v/>
      </c>
      <c r="P439">
        <f>IF(OR(N439="",G439=""),"",COUNTIFS(Fuel!$C$6:$C$605,C439,Fuel!$G$6:$G$605,"&lt;&gt;",Fuel!$N$6:$N$605,"&lt;"&amp;N439))</f>
        <v/>
      </c>
      <c r="R439">
        <f>IF(OR(P439="",N(P439)=0),"",SUMIFS(Fuel!$D$6:$D$605,Fuel!$C$6:$C$605,C439,Fuel!$P$6:$P$605,P439-1))</f>
        <v/>
      </c>
    </row>
    <row r="440">
      <c r="A440" s="1" t="n"/>
      <c r="B440" s="29" t="n"/>
      <c r="C440" s="24" t="n"/>
      <c r="D440" s="28" t="n"/>
      <c r="E440" s="33" t="n"/>
      <c r="F440" s="34" t="n"/>
      <c r="G440" s="27" t="n"/>
      <c r="H440" s="14">
        <f>IF(OR(N(E440)=0,F440=""),"",F440/E440)</f>
        <v/>
      </c>
      <c r="I440" s="11">
        <f>IF(R440="","",D440-R440)</f>
        <v/>
      </c>
      <c r="J440" s="35">
        <f>IF(R440="","",SUMIFS(Fuel!$E$6:$E$605,Fuel!$C$6:$C$605,C440,Fuel!$D$6:$D$605,"&gt;"&amp;R440,Fuel!$D$6:$D$605,"&lt;="&amp;D440))</f>
        <v/>
      </c>
      <c r="K440" s="36">
        <f>IF(OR(I440="",N(I440)=0),"",J440/I440*100)</f>
        <v/>
      </c>
      <c r="L440" s="36">
        <f>IF(OR(J440="",N(J440)=0),"",I440/J440)</f>
        <v/>
      </c>
      <c r="M440" s="1" t="n"/>
      <c r="N440">
        <f>IF(OR(C440="",N(D440)=0),"",D440+ROW()/10000000)</f>
        <v/>
      </c>
      <c r="O440">
        <f>IF(N440="","",COUNTIFS(Fuel!$C$6:$C$605,C440,Fuel!$N$6:$N$605,"&gt;"&amp;N440))</f>
        <v/>
      </c>
      <c r="P440">
        <f>IF(OR(N440="",G440=""),"",COUNTIFS(Fuel!$C$6:$C$605,C440,Fuel!$G$6:$G$605,"&lt;&gt;",Fuel!$N$6:$N$605,"&lt;"&amp;N440))</f>
        <v/>
      </c>
      <c r="R440">
        <f>IF(OR(P440="",N(P440)=0),"",SUMIFS(Fuel!$D$6:$D$605,Fuel!$C$6:$C$605,C440,Fuel!$P$6:$P$605,P440-1))</f>
        <v/>
      </c>
    </row>
    <row r="441">
      <c r="A441" s="1" t="n"/>
      <c r="B441" s="29" t="n"/>
      <c r="C441" s="24" t="n"/>
      <c r="D441" s="28" t="n"/>
      <c r="E441" s="33" t="n"/>
      <c r="F441" s="34" t="n"/>
      <c r="G441" s="27" t="n"/>
      <c r="H441" s="14">
        <f>IF(OR(N(E441)=0,F441=""),"",F441/E441)</f>
        <v/>
      </c>
      <c r="I441" s="11">
        <f>IF(R441="","",D441-R441)</f>
        <v/>
      </c>
      <c r="J441" s="35">
        <f>IF(R441="","",SUMIFS(Fuel!$E$6:$E$605,Fuel!$C$6:$C$605,C441,Fuel!$D$6:$D$605,"&gt;"&amp;R441,Fuel!$D$6:$D$605,"&lt;="&amp;D441))</f>
        <v/>
      </c>
      <c r="K441" s="36">
        <f>IF(OR(I441="",N(I441)=0),"",J441/I441*100)</f>
        <v/>
      </c>
      <c r="L441" s="36">
        <f>IF(OR(J441="",N(J441)=0),"",I441/J441)</f>
        <v/>
      </c>
      <c r="M441" s="1" t="n"/>
      <c r="N441">
        <f>IF(OR(C441="",N(D441)=0),"",D441+ROW()/10000000)</f>
        <v/>
      </c>
      <c r="O441">
        <f>IF(N441="","",COUNTIFS(Fuel!$C$6:$C$605,C441,Fuel!$N$6:$N$605,"&gt;"&amp;N441))</f>
        <v/>
      </c>
      <c r="P441">
        <f>IF(OR(N441="",G441=""),"",COUNTIFS(Fuel!$C$6:$C$605,C441,Fuel!$G$6:$G$605,"&lt;&gt;",Fuel!$N$6:$N$605,"&lt;"&amp;N441))</f>
        <v/>
      </c>
      <c r="R441">
        <f>IF(OR(P441="",N(P441)=0),"",SUMIFS(Fuel!$D$6:$D$605,Fuel!$C$6:$C$605,C441,Fuel!$P$6:$P$605,P441-1))</f>
        <v/>
      </c>
    </row>
    <row r="442">
      <c r="A442" s="1" t="n"/>
      <c r="B442" s="29" t="n"/>
      <c r="C442" s="24" t="n"/>
      <c r="D442" s="28" t="n"/>
      <c r="E442" s="33" t="n"/>
      <c r="F442" s="34" t="n"/>
      <c r="G442" s="27" t="n"/>
      <c r="H442" s="14">
        <f>IF(OR(N(E442)=0,F442=""),"",F442/E442)</f>
        <v/>
      </c>
      <c r="I442" s="11">
        <f>IF(R442="","",D442-R442)</f>
        <v/>
      </c>
      <c r="J442" s="35">
        <f>IF(R442="","",SUMIFS(Fuel!$E$6:$E$605,Fuel!$C$6:$C$605,C442,Fuel!$D$6:$D$605,"&gt;"&amp;R442,Fuel!$D$6:$D$605,"&lt;="&amp;D442))</f>
        <v/>
      </c>
      <c r="K442" s="36">
        <f>IF(OR(I442="",N(I442)=0),"",J442/I442*100)</f>
        <v/>
      </c>
      <c r="L442" s="36">
        <f>IF(OR(J442="",N(J442)=0),"",I442/J442)</f>
        <v/>
      </c>
      <c r="M442" s="1" t="n"/>
      <c r="N442">
        <f>IF(OR(C442="",N(D442)=0),"",D442+ROW()/10000000)</f>
        <v/>
      </c>
      <c r="O442">
        <f>IF(N442="","",COUNTIFS(Fuel!$C$6:$C$605,C442,Fuel!$N$6:$N$605,"&gt;"&amp;N442))</f>
        <v/>
      </c>
      <c r="P442">
        <f>IF(OR(N442="",G442=""),"",COUNTIFS(Fuel!$C$6:$C$605,C442,Fuel!$G$6:$G$605,"&lt;&gt;",Fuel!$N$6:$N$605,"&lt;"&amp;N442))</f>
        <v/>
      </c>
      <c r="R442">
        <f>IF(OR(P442="",N(P442)=0),"",SUMIFS(Fuel!$D$6:$D$605,Fuel!$C$6:$C$605,C442,Fuel!$P$6:$P$605,P442-1))</f>
        <v/>
      </c>
    </row>
    <row r="443">
      <c r="A443" s="1" t="n"/>
      <c r="B443" s="29" t="n"/>
      <c r="C443" s="24" t="n"/>
      <c r="D443" s="28" t="n"/>
      <c r="E443" s="33" t="n"/>
      <c r="F443" s="34" t="n"/>
      <c r="G443" s="27" t="n"/>
      <c r="H443" s="14">
        <f>IF(OR(N(E443)=0,F443=""),"",F443/E443)</f>
        <v/>
      </c>
      <c r="I443" s="11">
        <f>IF(R443="","",D443-R443)</f>
        <v/>
      </c>
      <c r="J443" s="35">
        <f>IF(R443="","",SUMIFS(Fuel!$E$6:$E$605,Fuel!$C$6:$C$605,C443,Fuel!$D$6:$D$605,"&gt;"&amp;R443,Fuel!$D$6:$D$605,"&lt;="&amp;D443))</f>
        <v/>
      </c>
      <c r="K443" s="36">
        <f>IF(OR(I443="",N(I443)=0),"",J443/I443*100)</f>
        <v/>
      </c>
      <c r="L443" s="36">
        <f>IF(OR(J443="",N(J443)=0),"",I443/J443)</f>
        <v/>
      </c>
      <c r="M443" s="1" t="n"/>
      <c r="N443">
        <f>IF(OR(C443="",N(D443)=0),"",D443+ROW()/10000000)</f>
        <v/>
      </c>
      <c r="O443">
        <f>IF(N443="","",COUNTIFS(Fuel!$C$6:$C$605,C443,Fuel!$N$6:$N$605,"&gt;"&amp;N443))</f>
        <v/>
      </c>
      <c r="P443">
        <f>IF(OR(N443="",G443=""),"",COUNTIFS(Fuel!$C$6:$C$605,C443,Fuel!$G$6:$G$605,"&lt;&gt;",Fuel!$N$6:$N$605,"&lt;"&amp;N443))</f>
        <v/>
      </c>
      <c r="R443">
        <f>IF(OR(P443="",N(P443)=0),"",SUMIFS(Fuel!$D$6:$D$605,Fuel!$C$6:$C$605,C443,Fuel!$P$6:$P$605,P443-1))</f>
        <v/>
      </c>
    </row>
    <row r="444">
      <c r="A444" s="1" t="n"/>
      <c r="B444" s="29" t="n"/>
      <c r="C444" s="24" t="n"/>
      <c r="D444" s="28" t="n"/>
      <c r="E444" s="33" t="n"/>
      <c r="F444" s="34" t="n"/>
      <c r="G444" s="27" t="n"/>
      <c r="H444" s="14">
        <f>IF(OR(N(E444)=0,F444=""),"",F444/E444)</f>
        <v/>
      </c>
      <c r="I444" s="11">
        <f>IF(R444="","",D444-R444)</f>
        <v/>
      </c>
      <c r="J444" s="35">
        <f>IF(R444="","",SUMIFS(Fuel!$E$6:$E$605,Fuel!$C$6:$C$605,C444,Fuel!$D$6:$D$605,"&gt;"&amp;R444,Fuel!$D$6:$D$605,"&lt;="&amp;D444))</f>
        <v/>
      </c>
      <c r="K444" s="36">
        <f>IF(OR(I444="",N(I444)=0),"",J444/I444*100)</f>
        <v/>
      </c>
      <c r="L444" s="36">
        <f>IF(OR(J444="",N(J444)=0),"",I444/J444)</f>
        <v/>
      </c>
      <c r="M444" s="1" t="n"/>
      <c r="N444">
        <f>IF(OR(C444="",N(D444)=0),"",D444+ROW()/10000000)</f>
        <v/>
      </c>
      <c r="O444">
        <f>IF(N444="","",COUNTIFS(Fuel!$C$6:$C$605,C444,Fuel!$N$6:$N$605,"&gt;"&amp;N444))</f>
        <v/>
      </c>
      <c r="P444">
        <f>IF(OR(N444="",G444=""),"",COUNTIFS(Fuel!$C$6:$C$605,C444,Fuel!$G$6:$G$605,"&lt;&gt;",Fuel!$N$6:$N$605,"&lt;"&amp;N444))</f>
        <v/>
      </c>
      <c r="R444">
        <f>IF(OR(P444="",N(P444)=0),"",SUMIFS(Fuel!$D$6:$D$605,Fuel!$C$6:$C$605,C444,Fuel!$P$6:$P$605,P444-1))</f>
        <v/>
      </c>
    </row>
    <row r="445">
      <c r="A445" s="1" t="n"/>
      <c r="B445" s="29" t="n"/>
      <c r="C445" s="24" t="n"/>
      <c r="D445" s="28" t="n"/>
      <c r="E445" s="33" t="n"/>
      <c r="F445" s="34" t="n"/>
      <c r="G445" s="27" t="n"/>
      <c r="H445" s="14">
        <f>IF(OR(N(E445)=0,F445=""),"",F445/E445)</f>
        <v/>
      </c>
      <c r="I445" s="11">
        <f>IF(R445="","",D445-R445)</f>
        <v/>
      </c>
      <c r="J445" s="35">
        <f>IF(R445="","",SUMIFS(Fuel!$E$6:$E$605,Fuel!$C$6:$C$605,C445,Fuel!$D$6:$D$605,"&gt;"&amp;R445,Fuel!$D$6:$D$605,"&lt;="&amp;D445))</f>
        <v/>
      </c>
      <c r="K445" s="36">
        <f>IF(OR(I445="",N(I445)=0),"",J445/I445*100)</f>
        <v/>
      </c>
      <c r="L445" s="36">
        <f>IF(OR(J445="",N(J445)=0),"",I445/J445)</f>
        <v/>
      </c>
      <c r="M445" s="1" t="n"/>
      <c r="N445">
        <f>IF(OR(C445="",N(D445)=0),"",D445+ROW()/10000000)</f>
        <v/>
      </c>
      <c r="O445">
        <f>IF(N445="","",COUNTIFS(Fuel!$C$6:$C$605,C445,Fuel!$N$6:$N$605,"&gt;"&amp;N445))</f>
        <v/>
      </c>
      <c r="P445">
        <f>IF(OR(N445="",G445=""),"",COUNTIFS(Fuel!$C$6:$C$605,C445,Fuel!$G$6:$G$605,"&lt;&gt;",Fuel!$N$6:$N$605,"&lt;"&amp;N445))</f>
        <v/>
      </c>
      <c r="R445">
        <f>IF(OR(P445="",N(P445)=0),"",SUMIFS(Fuel!$D$6:$D$605,Fuel!$C$6:$C$605,C445,Fuel!$P$6:$P$605,P445-1))</f>
        <v/>
      </c>
    </row>
    <row r="446">
      <c r="A446" s="1" t="n"/>
      <c r="B446" s="29" t="n"/>
      <c r="C446" s="24" t="n"/>
      <c r="D446" s="28" t="n"/>
      <c r="E446" s="33" t="n"/>
      <c r="F446" s="34" t="n"/>
      <c r="G446" s="27" t="n"/>
      <c r="H446" s="14">
        <f>IF(OR(N(E446)=0,F446=""),"",F446/E446)</f>
        <v/>
      </c>
      <c r="I446" s="11">
        <f>IF(R446="","",D446-R446)</f>
        <v/>
      </c>
      <c r="J446" s="35">
        <f>IF(R446="","",SUMIFS(Fuel!$E$6:$E$605,Fuel!$C$6:$C$605,C446,Fuel!$D$6:$D$605,"&gt;"&amp;R446,Fuel!$D$6:$D$605,"&lt;="&amp;D446))</f>
        <v/>
      </c>
      <c r="K446" s="36">
        <f>IF(OR(I446="",N(I446)=0),"",J446/I446*100)</f>
        <v/>
      </c>
      <c r="L446" s="36">
        <f>IF(OR(J446="",N(J446)=0),"",I446/J446)</f>
        <v/>
      </c>
      <c r="M446" s="1" t="n"/>
      <c r="N446">
        <f>IF(OR(C446="",N(D446)=0),"",D446+ROW()/10000000)</f>
        <v/>
      </c>
      <c r="O446">
        <f>IF(N446="","",COUNTIFS(Fuel!$C$6:$C$605,C446,Fuel!$N$6:$N$605,"&gt;"&amp;N446))</f>
        <v/>
      </c>
      <c r="P446">
        <f>IF(OR(N446="",G446=""),"",COUNTIFS(Fuel!$C$6:$C$605,C446,Fuel!$G$6:$G$605,"&lt;&gt;",Fuel!$N$6:$N$605,"&lt;"&amp;N446))</f>
        <v/>
      </c>
      <c r="R446">
        <f>IF(OR(P446="",N(P446)=0),"",SUMIFS(Fuel!$D$6:$D$605,Fuel!$C$6:$C$605,C446,Fuel!$P$6:$P$605,P446-1))</f>
        <v/>
      </c>
    </row>
    <row r="447">
      <c r="A447" s="1" t="n"/>
      <c r="B447" s="29" t="n"/>
      <c r="C447" s="24" t="n"/>
      <c r="D447" s="28" t="n"/>
      <c r="E447" s="33" t="n"/>
      <c r="F447" s="34" t="n"/>
      <c r="G447" s="27" t="n"/>
      <c r="H447" s="14">
        <f>IF(OR(N(E447)=0,F447=""),"",F447/E447)</f>
        <v/>
      </c>
      <c r="I447" s="11">
        <f>IF(R447="","",D447-R447)</f>
        <v/>
      </c>
      <c r="J447" s="35">
        <f>IF(R447="","",SUMIFS(Fuel!$E$6:$E$605,Fuel!$C$6:$C$605,C447,Fuel!$D$6:$D$605,"&gt;"&amp;R447,Fuel!$D$6:$D$605,"&lt;="&amp;D447))</f>
        <v/>
      </c>
      <c r="K447" s="36">
        <f>IF(OR(I447="",N(I447)=0),"",J447/I447*100)</f>
        <v/>
      </c>
      <c r="L447" s="36">
        <f>IF(OR(J447="",N(J447)=0),"",I447/J447)</f>
        <v/>
      </c>
      <c r="M447" s="1" t="n"/>
      <c r="N447">
        <f>IF(OR(C447="",N(D447)=0),"",D447+ROW()/10000000)</f>
        <v/>
      </c>
      <c r="O447">
        <f>IF(N447="","",COUNTIFS(Fuel!$C$6:$C$605,C447,Fuel!$N$6:$N$605,"&gt;"&amp;N447))</f>
        <v/>
      </c>
      <c r="P447">
        <f>IF(OR(N447="",G447=""),"",COUNTIFS(Fuel!$C$6:$C$605,C447,Fuel!$G$6:$G$605,"&lt;&gt;",Fuel!$N$6:$N$605,"&lt;"&amp;N447))</f>
        <v/>
      </c>
      <c r="R447">
        <f>IF(OR(P447="",N(P447)=0),"",SUMIFS(Fuel!$D$6:$D$605,Fuel!$C$6:$C$605,C447,Fuel!$P$6:$P$605,P447-1))</f>
        <v/>
      </c>
    </row>
    <row r="448">
      <c r="A448" s="1" t="n"/>
      <c r="B448" s="29" t="n"/>
      <c r="C448" s="24" t="n"/>
      <c r="D448" s="28" t="n"/>
      <c r="E448" s="33" t="n"/>
      <c r="F448" s="34" t="n"/>
      <c r="G448" s="27" t="n"/>
      <c r="H448" s="14">
        <f>IF(OR(N(E448)=0,F448=""),"",F448/E448)</f>
        <v/>
      </c>
      <c r="I448" s="11">
        <f>IF(R448="","",D448-R448)</f>
        <v/>
      </c>
      <c r="J448" s="35">
        <f>IF(R448="","",SUMIFS(Fuel!$E$6:$E$605,Fuel!$C$6:$C$605,C448,Fuel!$D$6:$D$605,"&gt;"&amp;R448,Fuel!$D$6:$D$605,"&lt;="&amp;D448))</f>
        <v/>
      </c>
      <c r="K448" s="36">
        <f>IF(OR(I448="",N(I448)=0),"",J448/I448*100)</f>
        <v/>
      </c>
      <c r="L448" s="36">
        <f>IF(OR(J448="",N(J448)=0),"",I448/J448)</f>
        <v/>
      </c>
      <c r="M448" s="1" t="n"/>
      <c r="N448">
        <f>IF(OR(C448="",N(D448)=0),"",D448+ROW()/10000000)</f>
        <v/>
      </c>
      <c r="O448">
        <f>IF(N448="","",COUNTIFS(Fuel!$C$6:$C$605,C448,Fuel!$N$6:$N$605,"&gt;"&amp;N448))</f>
        <v/>
      </c>
      <c r="P448">
        <f>IF(OR(N448="",G448=""),"",COUNTIFS(Fuel!$C$6:$C$605,C448,Fuel!$G$6:$G$605,"&lt;&gt;",Fuel!$N$6:$N$605,"&lt;"&amp;N448))</f>
        <v/>
      </c>
      <c r="R448">
        <f>IF(OR(P448="",N(P448)=0),"",SUMIFS(Fuel!$D$6:$D$605,Fuel!$C$6:$C$605,C448,Fuel!$P$6:$P$605,P448-1))</f>
        <v/>
      </c>
    </row>
    <row r="449">
      <c r="A449" s="1" t="n"/>
      <c r="B449" s="29" t="n"/>
      <c r="C449" s="24" t="n"/>
      <c r="D449" s="28" t="n"/>
      <c r="E449" s="33" t="n"/>
      <c r="F449" s="34" t="n"/>
      <c r="G449" s="27" t="n"/>
      <c r="H449" s="14">
        <f>IF(OR(N(E449)=0,F449=""),"",F449/E449)</f>
        <v/>
      </c>
      <c r="I449" s="11">
        <f>IF(R449="","",D449-R449)</f>
        <v/>
      </c>
      <c r="J449" s="35">
        <f>IF(R449="","",SUMIFS(Fuel!$E$6:$E$605,Fuel!$C$6:$C$605,C449,Fuel!$D$6:$D$605,"&gt;"&amp;R449,Fuel!$D$6:$D$605,"&lt;="&amp;D449))</f>
        <v/>
      </c>
      <c r="K449" s="36">
        <f>IF(OR(I449="",N(I449)=0),"",J449/I449*100)</f>
        <v/>
      </c>
      <c r="L449" s="36">
        <f>IF(OR(J449="",N(J449)=0),"",I449/J449)</f>
        <v/>
      </c>
      <c r="M449" s="1" t="n"/>
      <c r="N449">
        <f>IF(OR(C449="",N(D449)=0),"",D449+ROW()/10000000)</f>
        <v/>
      </c>
      <c r="O449">
        <f>IF(N449="","",COUNTIFS(Fuel!$C$6:$C$605,C449,Fuel!$N$6:$N$605,"&gt;"&amp;N449))</f>
        <v/>
      </c>
      <c r="P449">
        <f>IF(OR(N449="",G449=""),"",COUNTIFS(Fuel!$C$6:$C$605,C449,Fuel!$G$6:$G$605,"&lt;&gt;",Fuel!$N$6:$N$605,"&lt;"&amp;N449))</f>
        <v/>
      </c>
      <c r="R449">
        <f>IF(OR(P449="",N(P449)=0),"",SUMIFS(Fuel!$D$6:$D$605,Fuel!$C$6:$C$605,C449,Fuel!$P$6:$P$605,P449-1))</f>
        <v/>
      </c>
    </row>
    <row r="450">
      <c r="A450" s="1" t="n"/>
      <c r="B450" s="29" t="n"/>
      <c r="C450" s="24" t="n"/>
      <c r="D450" s="28" t="n"/>
      <c r="E450" s="33" t="n"/>
      <c r="F450" s="34" t="n"/>
      <c r="G450" s="27" t="n"/>
      <c r="H450" s="14">
        <f>IF(OR(N(E450)=0,F450=""),"",F450/E450)</f>
        <v/>
      </c>
      <c r="I450" s="11">
        <f>IF(R450="","",D450-R450)</f>
        <v/>
      </c>
      <c r="J450" s="35">
        <f>IF(R450="","",SUMIFS(Fuel!$E$6:$E$605,Fuel!$C$6:$C$605,C450,Fuel!$D$6:$D$605,"&gt;"&amp;R450,Fuel!$D$6:$D$605,"&lt;="&amp;D450))</f>
        <v/>
      </c>
      <c r="K450" s="36">
        <f>IF(OR(I450="",N(I450)=0),"",J450/I450*100)</f>
        <v/>
      </c>
      <c r="L450" s="36">
        <f>IF(OR(J450="",N(J450)=0),"",I450/J450)</f>
        <v/>
      </c>
      <c r="M450" s="1" t="n"/>
      <c r="N450">
        <f>IF(OR(C450="",N(D450)=0),"",D450+ROW()/10000000)</f>
        <v/>
      </c>
      <c r="O450">
        <f>IF(N450="","",COUNTIFS(Fuel!$C$6:$C$605,C450,Fuel!$N$6:$N$605,"&gt;"&amp;N450))</f>
        <v/>
      </c>
      <c r="P450">
        <f>IF(OR(N450="",G450=""),"",COUNTIFS(Fuel!$C$6:$C$605,C450,Fuel!$G$6:$G$605,"&lt;&gt;",Fuel!$N$6:$N$605,"&lt;"&amp;N450))</f>
        <v/>
      </c>
      <c r="R450">
        <f>IF(OR(P450="",N(P450)=0),"",SUMIFS(Fuel!$D$6:$D$605,Fuel!$C$6:$C$605,C450,Fuel!$P$6:$P$605,P450-1))</f>
        <v/>
      </c>
    </row>
    <row r="451">
      <c r="A451" s="1" t="n"/>
      <c r="B451" s="29" t="n"/>
      <c r="C451" s="24" t="n"/>
      <c r="D451" s="28" t="n"/>
      <c r="E451" s="33" t="n"/>
      <c r="F451" s="34" t="n"/>
      <c r="G451" s="27" t="n"/>
      <c r="H451" s="14">
        <f>IF(OR(N(E451)=0,F451=""),"",F451/E451)</f>
        <v/>
      </c>
      <c r="I451" s="11">
        <f>IF(R451="","",D451-R451)</f>
        <v/>
      </c>
      <c r="J451" s="35">
        <f>IF(R451="","",SUMIFS(Fuel!$E$6:$E$605,Fuel!$C$6:$C$605,C451,Fuel!$D$6:$D$605,"&gt;"&amp;R451,Fuel!$D$6:$D$605,"&lt;="&amp;D451))</f>
        <v/>
      </c>
      <c r="K451" s="36">
        <f>IF(OR(I451="",N(I451)=0),"",J451/I451*100)</f>
        <v/>
      </c>
      <c r="L451" s="36">
        <f>IF(OR(J451="",N(J451)=0),"",I451/J451)</f>
        <v/>
      </c>
      <c r="M451" s="1" t="n"/>
      <c r="N451">
        <f>IF(OR(C451="",N(D451)=0),"",D451+ROW()/10000000)</f>
        <v/>
      </c>
      <c r="O451">
        <f>IF(N451="","",COUNTIFS(Fuel!$C$6:$C$605,C451,Fuel!$N$6:$N$605,"&gt;"&amp;N451))</f>
        <v/>
      </c>
      <c r="P451">
        <f>IF(OR(N451="",G451=""),"",COUNTIFS(Fuel!$C$6:$C$605,C451,Fuel!$G$6:$G$605,"&lt;&gt;",Fuel!$N$6:$N$605,"&lt;"&amp;N451))</f>
        <v/>
      </c>
      <c r="R451">
        <f>IF(OR(P451="",N(P451)=0),"",SUMIFS(Fuel!$D$6:$D$605,Fuel!$C$6:$C$605,C451,Fuel!$P$6:$P$605,P451-1))</f>
        <v/>
      </c>
    </row>
    <row r="452">
      <c r="A452" s="1" t="n"/>
      <c r="B452" s="29" t="n"/>
      <c r="C452" s="24" t="n"/>
      <c r="D452" s="28" t="n"/>
      <c r="E452" s="33" t="n"/>
      <c r="F452" s="34" t="n"/>
      <c r="G452" s="27" t="n"/>
      <c r="H452" s="14">
        <f>IF(OR(N(E452)=0,F452=""),"",F452/E452)</f>
        <v/>
      </c>
      <c r="I452" s="11">
        <f>IF(R452="","",D452-R452)</f>
        <v/>
      </c>
      <c r="J452" s="35">
        <f>IF(R452="","",SUMIFS(Fuel!$E$6:$E$605,Fuel!$C$6:$C$605,C452,Fuel!$D$6:$D$605,"&gt;"&amp;R452,Fuel!$D$6:$D$605,"&lt;="&amp;D452))</f>
        <v/>
      </c>
      <c r="K452" s="36">
        <f>IF(OR(I452="",N(I452)=0),"",J452/I452*100)</f>
        <v/>
      </c>
      <c r="L452" s="36">
        <f>IF(OR(J452="",N(J452)=0),"",I452/J452)</f>
        <v/>
      </c>
      <c r="M452" s="1" t="n"/>
      <c r="N452">
        <f>IF(OR(C452="",N(D452)=0),"",D452+ROW()/10000000)</f>
        <v/>
      </c>
      <c r="O452">
        <f>IF(N452="","",COUNTIFS(Fuel!$C$6:$C$605,C452,Fuel!$N$6:$N$605,"&gt;"&amp;N452))</f>
        <v/>
      </c>
      <c r="P452">
        <f>IF(OR(N452="",G452=""),"",COUNTIFS(Fuel!$C$6:$C$605,C452,Fuel!$G$6:$G$605,"&lt;&gt;",Fuel!$N$6:$N$605,"&lt;"&amp;N452))</f>
        <v/>
      </c>
      <c r="R452">
        <f>IF(OR(P452="",N(P452)=0),"",SUMIFS(Fuel!$D$6:$D$605,Fuel!$C$6:$C$605,C452,Fuel!$P$6:$P$605,P452-1))</f>
        <v/>
      </c>
    </row>
    <row r="453">
      <c r="A453" s="1" t="n"/>
      <c r="B453" s="29" t="n"/>
      <c r="C453" s="24" t="n"/>
      <c r="D453" s="28" t="n"/>
      <c r="E453" s="33" t="n"/>
      <c r="F453" s="34" t="n"/>
      <c r="G453" s="27" t="n"/>
      <c r="H453" s="14">
        <f>IF(OR(N(E453)=0,F453=""),"",F453/E453)</f>
        <v/>
      </c>
      <c r="I453" s="11">
        <f>IF(R453="","",D453-R453)</f>
        <v/>
      </c>
      <c r="J453" s="35">
        <f>IF(R453="","",SUMIFS(Fuel!$E$6:$E$605,Fuel!$C$6:$C$605,C453,Fuel!$D$6:$D$605,"&gt;"&amp;R453,Fuel!$D$6:$D$605,"&lt;="&amp;D453))</f>
        <v/>
      </c>
      <c r="K453" s="36">
        <f>IF(OR(I453="",N(I453)=0),"",J453/I453*100)</f>
        <v/>
      </c>
      <c r="L453" s="36">
        <f>IF(OR(J453="",N(J453)=0),"",I453/J453)</f>
        <v/>
      </c>
      <c r="M453" s="1" t="n"/>
      <c r="N453">
        <f>IF(OR(C453="",N(D453)=0),"",D453+ROW()/10000000)</f>
        <v/>
      </c>
      <c r="O453">
        <f>IF(N453="","",COUNTIFS(Fuel!$C$6:$C$605,C453,Fuel!$N$6:$N$605,"&gt;"&amp;N453))</f>
        <v/>
      </c>
      <c r="P453">
        <f>IF(OR(N453="",G453=""),"",COUNTIFS(Fuel!$C$6:$C$605,C453,Fuel!$G$6:$G$605,"&lt;&gt;",Fuel!$N$6:$N$605,"&lt;"&amp;N453))</f>
        <v/>
      </c>
      <c r="R453">
        <f>IF(OR(P453="",N(P453)=0),"",SUMIFS(Fuel!$D$6:$D$605,Fuel!$C$6:$C$605,C453,Fuel!$P$6:$P$605,P453-1))</f>
        <v/>
      </c>
    </row>
    <row r="454">
      <c r="A454" s="1" t="n"/>
      <c r="B454" s="29" t="n"/>
      <c r="C454" s="24" t="n"/>
      <c r="D454" s="28" t="n"/>
      <c r="E454" s="33" t="n"/>
      <c r="F454" s="34" t="n"/>
      <c r="G454" s="27" t="n"/>
      <c r="H454" s="14">
        <f>IF(OR(N(E454)=0,F454=""),"",F454/E454)</f>
        <v/>
      </c>
      <c r="I454" s="11">
        <f>IF(R454="","",D454-R454)</f>
        <v/>
      </c>
      <c r="J454" s="35">
        <f>IF(R454="","",SUMIFS(Fuel!$E$6:$E$605,Fuel!$C$6:$C$605,C454,Fuel!$D$6:$D$605,"&gt;"&amp;R454,Fuel!$D$6:$D$605,"&lt;="&amp;D454))</f>
        <v/>
      </c>
      <c r="K454" s="36">
        <f>IF(OR(I454="",N(I454)=0),"",J454/I454*100)</f>
        <v/>
      </c>
      <c r="L454" s="36">
        <f>IF(OR(J454="",N(J454)=0),"",I454/J454)</f>
        <v/>
      </c>
      <c r="M454" s="1" t="n"/>
      <c r="N454">
        <f>IF(OR(C454="",N(D454)=0),"",D454+ROW()/10000000)</f>
        <v/>
      </c>
      <c r="O454">
        <f>IF(N454="","",COUNTIFS(Fuel!$C$6:$C$605,C454,Fuel!$N$6:$N$605,"&gt;"&amp;N454))</f>
        <v/>
      </c>
      <c r="P454">
        <f>IF(OR(N454="",G454=""),"",COUNTIFS(Fuel!$C$6:$C$605,C454,Fuel!$G$6:$G$605,"&lt;&gt;",Fuel!$N$6:$N$605,"&lt;"&amp;N454))</f>
        <v/>
      </c>
      <c r="R454">
        <f>IF(OR(P454="",N(P454)=0),"",SUMIFS(Fuel!$D$6:$D$605,Fuel!$C$6:$C$605,C454,Fuel!$P$6:$P$605,P454-1))</f>
        <v/>
      </c>
    </row>
    <row r="455">
      <c r="A455" s="1" t="n"/>
      <c r="B455" s="29" t="n"/>
      <c r="C455" s="24" t="n"/>
      <c r="D455" s="28" t="n"/>
      <c r="E455" s="33" t="n"/>
      <c r="F455" s="34" t="n"/>
      <c r="G455" s="27" t="n"/>
      <c r="H455" s="14">
        <f>IF(OR(N(E455)=0,F455=""),"",F455/E455)</f>
        <v/>
      </c>
      <c r="I455" s="11">
        <f>IF(R455="","",D455-R455)</f>
        <v/>
      </c>
      <c r="J455" s="35">
        <f>IF(R455="","",SUMIFS(Fuel!$E$6:$E$605,Fuel!$C$6:$C$605,C455,Fuel!$D$6:$D$605,"&gt;"&amp;R455,Fuel!$D$6:$D$605,"&lt;="&amp;D455))</f>
        <v/>
      </c>
      <c r="K455" s="36">
        <f>IF(OR(I455="",N(I455)=0),"",J455/I455*100)</f>
        <v/>
      </c>
      <c r="L455" s="36">
        <f>IF(OR(J455="",N(J455)=0),"",I455/J455)</f>
        <v/>
      </c>
      <c r="M455" s="1" t="n"/>
      <c r="N455">
        <f>IF(OR(C455="",N(D455)=0),"",D455+ROW()/10000000)</f>
        <v/>
      </c>
      <c r="O455">
        <f>IF(N455="","",COUNTIFS(Fuel!$C$6:$C$605,C455,Fuel!$N$6:$N$605,"&gt;"&amp;N455))</f>
        <v/>
      </c>
      <c r="P455">
        <f>IF(OR(N455="",G455=""),"",COUNTIFS(Fuel!$C$6:$C$605,C455,Fuel!$G$6:$G$605,"&lt;&gt;",Fuel!$N$6:$N$605,"&lt;"&amp;N455))</f>
        <v/>
      </c>
      <c r="R455">
        <f>IF(OR(P455="",N(P455)=0),"",SUMIFS(Fuel!$D$6:$D$605,Fuel!$C$6:$C$605,C455,Fuel!$P$6:$P$605,P455-1))</f>
        <v/>
      </c>
    </row>
    <row r="456">
      <c r="A456" s="1" t="n"/>
      <c r="B456" s="29" t="n"/>
      <c r="C456" s="24" t="n"/>
      <c r="D456" s="28" t="n"/>
      <c r="E456" s="33" t="n"/>
      <c r="F456" s="34" t="n"/>
      <c r="G456" s="27" t="n"/>
      <c r="H456" s="14">
        <f>IF(OR(N(E456)=0,F456=""),"",F456/E456)</f>
        <v/>
      </c>
      <c r="I456" s="11">
        <f>IF(R456="","",D456-R456)</f>
        <v/>
      </c>
      <c r="J456" s="35">
        <f>IF(R456="","",SUMIFS(Fuel!$E$6:$E$605,Fuel!$C$6:$C$605,C456,Fuel!$D$6:$D$605,"&gt;"&amp;R456,Fuel!$D$6:$D$605,"&lt;="&amp;D456))</f>
        <v/>
      </c>
      <c r="K456" s="36">
        <f>IF(OR(I456="",N(I456)=0),"",J456/I456*100)</f>
        <v/>
      </c>
      <c r="L456" s="36">
        <f>IF(OR(J456="",N(J456)=0),"",I456/J456)</f>
        <v/>
      </c>
      <c r="M456" s="1" t="n"/>
      <c r="N456">
        <f>IF(OR(C456="",N(D456)=0),"",D456+ROW()/10000000)</f>
        <v/>
      </c>
      <c r="O456">
        <f>IF(N456="","",COUNTIFS(Fuel!$C$6:$C$605,C456,Fuel!$N$6:$N$605,"&gt;"&amp;N456))</f>
        <v/>
      </c>
      <c r="P456">
        <f>IF(OR(N456="",G456=""),"",COUNTIFS(Fuel!$C$6:$C$605,C456,Fuel!$G$6:$G$605,"&lt;&gt;",Fuel!$N$6:$N$605,"&lt;"&amp;N456))</f>
        <v/>
      </c>
      <c r="R456">
        <f>IF(OR(P456="",N(P456)=0),"",SUMIFS(Fuel!$D$6:$D$605,Fuel!$C$6:$C$605,C456,Fuel!$P$6:$P$605,P456-1))</f>
        <v/>
      </c>
    </row>
    <row r="457">
      <c r="A457" s="1" t="n"/>
      <c r="B457" s="29" t="n"/>
      <c r="C457" s="24" t="n"/>
      <c r="D457" s="28" t="n"/>
      <c r="E457" s="33" t="n"/>
      <c r="F457" s="34" t="n"/>
      <c r="G457" s="27" t="n"/>
      <c r="H457" s="14">
        <f>IF(OR(N(E457)=0,F457=""),"",F457/E457)</f>
        <v/>
      </c>
      <c r="I457" s="11">
        <f>IF(R457="","",D457-R457)</f>
        <v/>
      </c>
      <c r="J457" s="35">
        <f>IF(R457="","",SUMIFS(Fuel!$E$6:$E$605,Fuel!$C$6:$C$605,C457,Fuel!$D$6:$D$605,"&gt;"&amp;R457,Fuel!$D$6:$D$605,"&lt;="&amp;D457))</f>
        <v/>
      </c>
      <c r="K457" s="36">
        <f>IF(OR(I457="",N(I457)=0),"",J457/I457*100)</f>
        <v/>
      </c>
      <c r="L457" s="36">
        <f>IF(OR(J457="",N(J457)=0),"",I457/J457)</f>
        <v/>
      </c>
      <c r="M457" s="1" t="n"/>
      <c r="N457">
        <f>IF(OR(C457="",N(D457)=0),"",D457+ROW()/10000000)</f>
        <v/>
      </c>
      <c r="O457">
        <f>IF(N457="","",COUNTIFS(Fuel!$C$6:$C$605,C457,Fuel!$N$6:$N$605,"&gt;"&amp;N457))</f>
        <v/>
      </c>
      <c r="P457">
        <f>IF(OR(N457="",G457=""),"",COUNTIFS(Fuel!$C$6:$C$605,C457,Fuel!$G$6:$G$605,"&lt;&gt;",Fuel!$N$6:$N$605,"&lt;"&amp;N457))</f>
        <v/>
      </c>
      <c r="R457">
        <f>IF(OR(P457="",N(P457)=0),"",SUMIFS(Fuel!$D$6:$D$605,Fuel!$C$6:$C$605,C457,Fuel!$P$6:$P$605,P457-1))</f>
        <v/>
      </c>
    </row>
    <row r="458">
      <c r="A458" s="1" t="n"/>
      <c r="B458" s="29" t="n"/>
      <c r="C458" s="24" t="n"/>
      <c r="D458" s="28" t="n"/>
      <c r="E458" s="33" t="n"/>
      <c r="F458" s="34" t="n"/>
      <c r="G458" s="27" t="n"/>
      <c r="H458" s="14">
        <f>IF(OR(N(E458)=0,F458=""),"",F458/E458)</f>
        <v/>
      </c>
      <c r="I458" s="11">
        <f>IF(R458="","",D458-R458)</f>
        <v/>
      </c>
      <c r="J458" s="35">
        <f>IF(R458="","",SUMIFS(Fuel!$E$6:$E$605,Fuel!$C$6:$C$605,C458,Fuel!$D$6:$D$605,"&gt;"&amp;R458,Fuel!$D$6:$D$605,"&lt;="&amp;D458))</f>
        <v/>
      </c>
      <c r="K458" s="36">
        <f>IF(OR(I458="",N(I458)=0),"",J458/I458*100)</f>
        <v/>
      </c>
      <c r="L458" s="36">
        <f>IF(OR(J458="",N(J458)=0),"",I458/J458)</f>
        <v/>
      </c>
      <c r="M458" s="1" t="n"/>
      <c r="N458">
        <f>IF(OR(C458="",N(D458)=0),"",D458+ROW()/10000000)</f>
        <v/>
      </c>
      <c r="O458">
        <f>IF(N458="","",COUNTIFS(Fuel!$C$6:$C$605,C458,Fuel!$N$6:$N$605,"&gt;"&amp;N458))</f>
        <v/>
      </c>
      <c r="P458">
        <f>IF(OR(N458="",G458=""),"",COUNTIFS(Fuel!$C$6:$C$605,C458,Fuel!$G$6:$G$605,"&lt;&gt;",Fuel!$N$6:$N$605,"&lt;"&amp;N458))</f>
        <v/>
      </c>
      <c r="R458">
        <f>IF(OR(P458="",N(P458)=0),"",SUMIFS(Fuel!$D$6:$D$605,Fuel!$C$6:$C$605,C458,Fuel!$P$6:$P$605,P458-1))</f>
        <v/>
      </c>
    </row>
    <row r="459">
      <c r="A459" s="1" t="n"/>
      <c r="B459" s="29" t="n"/>
      <c r="C459" s="24" t="n"/>
      <c r="D459" s="28" t="n"/>
      <c r="E459" s="33" t="n"/>
      <c r="F459" s="34" t="n"/>
      <c r="G459" s="27" t="n"/>
      <c r="H459" s="14">
        <f>IF(OR(N(E459)=0,F459=""),"",F459/E459)</f>
        <v/>
      </c>
      <c r="I459" s="11">
        <f>IF(R459="","",D459-R459)</f>
        <v/>
      </c>
      <c r="J459" s="35">
        <f>IF(R459="","",SUMIFS(Fuel!$E$6:$E$605,Fuel!$C$6:$C$605,C459,Fuel!$D$6:$D$605,"&gt;"&amp;R459,Fuel!$D$6:$D$605,"&lt;="&amp;D459))</f>
        <v/>
      </c>
      <c r="K459" s="36">
        <f>IF(OR(I459="",N(I459)=0),"",J459/I459*100)</f>
        <v/>
      </c>
      <c r="L459" s="36">
        <f>IF(OR(J459="",N(J459)=0),"",I459/J459)</f>
        <v/>
      </c>
      <c r="M459" s="1" t="n"/>
      <c r="N459">
        <f>IF(OR(C459="",N(D459)=0),"",D459+ROW()/10000000)</f>
        <v/>
      </c>
      <c r="O459">
        <f>IF(N459="","",COUNTIFS(Fuel!$C$6:$C$605,C459,Fuel!$N$6:$N$605,"&gt;"&amp;N459))</f>
        <v/>
      </c>
      <c r="P459">
        <f>IF(OR(N459="",G459=""),"",COUNTIFS(Fuel!$C$6:$C$605,C459,Fuel!$G$6:$G$605,"&lt;&gt;",Fuel!$N$6:$N$605,"&lt;"&amp;N459))</f>
        <v/>
      </c>
      <c r="R459">
        <f>IF(OR(P459="",N(P459)=0),"",SUMIFS(Fuel!$D$6:$D$605,Fuel!$C$6:$C$605,C459,Fuel!$P$6:$P$605,P459-1))</f>
        <v/>
      </c>
    </row>
    <row r="460">
      <c r="A460" s="1" t="n"/>
      <c r="B460" s="29" t="n"/>
      <c r="C460" s="24" t="n"/>
      <c r="D460" s="28" t="n"/>
      <c r="E460" s="33" t="n"/>
      <c r="F460" s="34" t="n"/>
      <c r="G460" s="27" t="n"/>
      <c r="H460" s="14">
        <f>IF(OR(N(E460)=0,F460=""),"",F460/E460)</f>
        <v/>
      </c>
      <c r="I460" s="11">
        <f>IF(R460="","",D460-R460)</f>
        <v/>
      </c>
      <c r="J460" s="35">
        <f>IF(R460="","",SUMIFS(Fuel!$E$6:$E$605,Fuel!$C$6:$C$605,C460,Fuel!$D$6:$D$605,"&gt;"&amp;R460,Fuel!$D$6:$D$605,"&lt;="&amp;D460))</f>
        <v/>
      </c>
      <c r="K460" s="36">
        <f>IF(OR(I460="",N(I460)=0),"",J460/I460*100)</f>
        <v/>
      </c>
      <c r="L460" s="36">
        <f>IF(OR(J460="",N(J460)=0),"",I460/J460)</f>
        <v/>
      </c>
      <c r="M460" s="1" t="n"/>
      <c r="N460">
        <f>IF(OR(C460="",N(D460)=0),"",D460+ROW()/10000000)</f>
        <v/>
      </c>
      <c r="O460">
        <f>IF(N460="","",COUNTIFS(Fuel!$C$6:$C$605,C460,Fuel!$N$6:$N$605,"&gt;"&amp;N460))</f>
        <v/>
      </c>
      <c r="P460">
        <f>IF(OR(N460="",G460=""),"",COUNTIFS(Fuel!$C$6:$C$605,C460,Fuel!$G$6:$G$605,"&lt;&gt;",Fuel!$N$6:$N$605,"&lt;"&amp;N460))</f>
        <v/>
      </c>
      <c r="R460">
        <f>IF(OR(P460="",N(P460)=0),"",SUMIFS(Fuel!$D$6:$D$605,Fuel!$C$6:$C$605,C460,Fuel!$P$6:$P$605,P460-1))</f>
        <v/>
      </c>
    </row>
    <row r="461">
      <c r="A461" s="1" t="n"/>
      <c r="B461" s="29" t="n"/>
      <c r="C461" s="24" t="n"/>
      <c r="D461" s="28" t="n"/>
      <c r="E461" s="33" t="n"/>
      <c r="F461" s="34" t="n"/>
      <c r="G461" s="27" t="n"/>
      <c r="H461" s="14">
        <f>IF(OR(N(E461)=0,F461=""),"",F461/E461)</f>
        <v/>
      </c>
      <c r="I461" s="11">
        <f>IF(R461="","",D461-R461)</f>
        <v/>
      </c>
      <c r="J461" s="35">
        <f>IF(R461="","",SUMIFS(Fuel!$E$6:$E$605,Fuel!$C$6:$C$605,C461,Fuel!$D$6:$D$605,"&gt;"&amp;R461,Fuel!$D$6:$D$605,"&lt;="&amp;D461))</f>
        <v/>
      </c>
      <c r="K461" s="36">
        <f>IF(OR(I461="",N(I461)=0),"",J461/I461*100)</f>
        <v/>
      </c>
      <c r="L461" s="36">
        <f>IF(OR(J461="",N(J461)=0),"",I461/J461)</f>
        <v/>
      </c>
      <c r="M461" s="1" t="n"/>
      <c r="N461">
        <f>IF(OR(C461="",N(D461)=0),"",D461+ROW()/10000000)</f>
        <v/>
      </c>
      <c r="O461">
        <f>IF(N461="","",COUNTIFS(Fuel!$C$6:$C$605,C461,Fuel!$N$6:$N$605,"&gt;"&amp;N461))</f>
        <v/>
      </c>
      <c r="P461">
        <f>IF(OR(N461="",G461=""),"",COUNTIFS(Fuel!$C$6:$C$605,C461,Fuel!$G$6:$G$605,"&lt;&gt;",Fuel!$N$6:$N$605,"&lt;"&amp;N461))</f>
        <v/>
      </c>
      <c r="R461">
        <f>IF(OR(P461="",N(P461)=0),"",SUMIFS(Fuel!$D$6:$D$605,Fuel!$C$6:$C$605,C461,Fuel!$P$6:$P$605,P461-1))</f>
        <v/>
      </c>
    </row>
    <row r="462">
      <c r="A462" s="1" t="n"/>
      <c r="B462" s="29" t="n"/>
      <c r="C462" s="24" t="n"/>
      <c r="D462" s="28" t="n"/>
      <c r="E462" s="33" t="n"/>
      <c r="F462" s="34" t="n"/>
      <c r="G462" s="27" t="n"/>
      <c r="H462" s="14">
        <f>IF(OR(N(E462)=0,F462=""),"",F462/E462)</f>
        <v/>
      </c>
      <c r="I462" s="11">
        <f>IF(R462="","",D462-R462)</f>
        <v/>
      </c>
      <c r="J462" s="35">
        <f>IF(R462="","",SUMIFS(Fuel!$E$6:$E$605,Fuel!$C$6:$C$605,C462,Fuel!$D$6:$D$605,"&gt;"&amp;R462,Fuel!$D$6:$D$605,"&lt;="&amp;D462))</f>
        <v/>
      </c>
      <c r="K462" s="36">
        <f>IF(OR(I462="",N(I462)=0),"",J462/I462*100)</f>
        <v/>
      </c>
      <c r="L462" s="36">
        <f>IF(OR(J462="",N(J462)=0),"",I462/J462)</f>
        <v/>
      </c>
      <c r="M462" s="1" t="n"/>
      <c r="N462">
        <f>IF(OR(C462="",N(D462)=0),"",D462+ROW()/10000000)</f>
        <v/>
      </c>
      <c r="O462">
        <f>IF(N462="","",COUNTIFS(Fuel!$C$6:$C$605,C462,Fuel!$N$6:$N$605,"&gt;"&amp;N462))</f>
        <v/>
      </c>
      <c r="P462">
        <f>IF(OR(N462="",G462=""),"",COUNTIFS(Fuel!$C$6:$C$605,C462,Fuel!$G$6:$G$605,"&lt;&gt;",Fuel!$N$6:$N$605,"&lt;"&amp;N462))</f>
        <v/>
      </c>
      <c r="R462">
        <f>IF(OR(P462="",N(P462)=0),"",SUMIFS(Fuel!$D$6:$D$605,Fuel!$C$6:$C$605,C462,Fuel!$P$6:$P$605,P462-1))</f>
        <v/>
      </c>
    </row>
    <row r="463">
      <c r="A463" s="1" t="n"/>
      <c r="B463" s="29" t="n"/>
      <c r="C463" s="24" t="n"/>
      <c r="D463" s="28" t="n"/>
      <c r="E463" s="33" t="n"/>
      <c r="F463" s="34" t="n"/>
      <c r="G463" s="27" t="n"/>
      <c r="H463" s="14">
        <f>IF(OR(N(E463)=0,F463=""),"",F463/E463)</f>
        <v/>
      </c>
      <c r="I463" s="11">
        <f>IF(R463="","",D463-R463)</f>
        <v/>
      </c>
      <c r="J463" s="35">
        <f>IF(R463="","",SUMIFS(Fuel!$E$6:$E$605,Fuel!$C$6:$C$605,C463,Fuel!$D$6:$D$605,"&gt;"&amp;R463,Fuel!$D$6:$D$605,"&lt;="&amp;D463))</f>
        <v/>
      </c>
      <c r="K463" s="36">
        <f>IF(OR(I463="",N(I463)=0),"",J463/I463*100)</f>
        <v/>
      </c>
      <c r="L463" s="36">
        <f>IF(OR(J463="",N(J463)=0),"",I463/J463)</f>
        <v/>
      </c>
      <c r="M463" s="1" t="n"/>
      <c r="N463">
        <f>IF(OR(C463="",N(D463)=0),"",D463+ROW()/10000000)</f>
        <v/>
      </c>
      <c r="O463">
        <f>IF(N463="","",COUNTIFS(Fuel!$C$6:$C$605,C463,Fuel!$N$6:$N$605,"&gt;"&amp;N463))</f>
        <v/>
      </c>
      <c r="P463">
        <f>IF(OR(N463="",G463=""),"",COUNTIFS(Fuel!$C$6:$C$605,C463,Fuel!$G$6:$G$605,"&lt;&gt;",Fuel!$N$6:$N$605,"&lt;"&amp;N463))</f>
        <v/>
      </c>
      <c r="R463">
        <f>IF(OR(P463="",N(P463)=0),"",SUMIFS(Fuel!$D$6:$D$605,Fuel!$C$6:$C$605,C463,Fuel!$P$6:$P$605,P463-1))</f>
        <v/>
      </c>
    </row>
    <row r="464">
      <c r="A464" s="1" t="n"/>
      <c r="B464" s="29" t="n"/>
      <c r="C464" s="24" t="n"/>
      <c r="D464" s="28" t="n"/>
      <c r="E464" s="33" t="n"/>
      <c r="F464" s="34" t="n"/>
      <c r="G464" s="27" t="n"/>
      <c r="H464" s="14">
        <f>IF(OR(N(E464)=0,F464=""),"",F464/E464)</f>
        <v/>
      </c>
      <c r="I464" s="11">
        <f>IF(R464="","",D464-R464)</f>
        <v/>
      </c>
      <c r="J464" s="35">
        <f>IF(R464="","",SUMIFS(Fuel!$E$6:$E$605,Fuel!$C$6:$C$605,C464,Fuel!$D$6:$D$605,"&gt;"&amp;R464,Fuel!$D$6:$D$605,"&lt;="&amp;D464))</f>
        <v/>
      </c>
      <c r="K464" s="36">
        <f>IF(OR(I464="",N(I464)=0),"",J464/I464*100)</f>
        <v/>
      </c>
      <c r="L464" s="36">
        <f>IF(OR(J464="",N(J464)=0),"",I464/J464)</f>
        <v/>
      </c>
      <c r="M464" s="1" t="n"/>
      <c r="N464">
        <f>IF(OR(C464="",N(D464)=0),"",D464+ROW()/10000000)</f>
        <v/>
      </c>
      <c r="O464">
        <f>IF(N464="","",COUNTIFS(Fuel!$C$6:$C$605,C464,Fuel!$N$6:$N$605,"&gt;"&amp;N464))</f>
        <v/>
      </c>
      <c r="P464">
        <f>IF(OR(N464="",G464=""),"",COUNTIFS(Fuel!$C$6:$C$605,C464,Fuel!$G$6:$G$605,"&lt;&gt;",Fuel!$N$6:$N$605,"&lt;"&amp;N464))</f>
        <v/>
      </c>
      <c r="R464">
        <f>IF(OR(P464="",N(P464)=0),"",SUMIFS(Fuel!$D$6:$D$605,Fuel!$C$6:$C$605,C464,Fuel!$P$6:$P$605,P464-1))</f>
        <v/>
      </c>
    </row>
    <row r="465">
      <c r="A465" s="1" t="n"/>
      <c r="B465" s="29" t="n"/>
      <c r="C465" s="24" t="n"/>
      <c r="D465" s="28" t="n"/>
      <c r="E465" s="33" t="n"/>
      <c r="F465" s="34" t="n"/>
      <c r="G465" s="27" t="n"/>
      <c r="H465" s="14">
        <f>IF(OR(N(E465)=0,F465=""),"",F465/E465)</f>
        <v/>
      </c>
      <c r="I465" s="11">
        <f>IF(R465="","",D465-R465)</f>
        <v/>
      </c>
      <c r="J465" s="35">
        <f>IF(R465="","",SUMIFS(Fuel!$E$6:$E$605,Fuel!$C$6:$C$605,C465,Fuel!$D$6:$D$605,"&gt;"&amp;R465,Fuel!$D$6:$D$605,"&lt;="&amp;D465))</f>
        <v/>
      </c>
      <c r="K465" s="36">
        <f>IF(OR(I465="",N(I465)=0),"",J465/I465*100)</f>
        <v/>
      </c>
      <c r="L465" s="36">
        <f>IF(OR(J465="",N(J465)=0),"",I465/J465)</f>
        <v/>
      </c>
      <c r="M465" s="1" t="n"/>
      <c r="N465">
        <f>IF(OR(C465="",N(D465)=0),"",D465+ROW()/10000000)</f>
        <v/>
      </c>
      <c r="O465">
        <f>IF(N465="","",COUNTIFS(Fuel!$C$6:$C$605,C465,Fuel!$N$6:$N$605,"&gt;"&amp;N465))</f>
        <v/>
      </c>
      <c r="P465">
        <f>IF(OR(N465="",G465=""),"",COUNTIFS(Fuel!$C$6:$C$605,C465,Fuel!$G$6:$G$605,"&lt;&gt;",Fuel!$N$6:$N$605,"&lt;"&amp;N465))</f>
        <v/>
      </c>
      <c r="R465">
        <f>IF(OR(P465="",N(P465)=0),"",SUMIFS(Fuel!$D$6:$D$605,Fuel!$C$6:$C$605,C465,Fuel!$P$6:$P$605,P465-1))</f>
        <v/>
      </c>
    </row>
    <row r="466">
      <c r="A466" s="1" t="n"/>
      <c r="B466" s="29" t="n"/>
      <c r="C466" s="24" t="n"/>
      <c r="D466" s="28" t="n"/>
      <c r="E466" s="33" t="n"/>
      <c r="F466" s="34" t="n"/>
      <c r="G466" s="27" t="n"/>
      <c r="H466" s="14">
        <f>IF(OR(N(E466)=0,F466=""),"",F466/E466)</f>
        <v/>
      </c>
      <c r="I466" s="11">
        <f>IF(R466="","",D466-R466)</f>
        <v/>
      </c>
      <c r="J466" s="35">
        <f>IF(R466="","",SUMIFS(Fuel!$E$6:$E$605,Fuel!$C$6:$C$605,C466,Fuel!$D$6:$D$605,"&gt;"&amp;R466,Fuel!$D$6:$D$605,"&lt;="&amp;D466))</f>
        <v/>
      </c>
      <c r="K466" s="36">
        <f>IF(OR(I466="",N(I466)=0),"",J466/I466*100)</f>
        <v/>
      </c>
      <c r="L466" s="36">
        <f>IF(OR(J466="",N(J466)=0),"",I466/J466)</f>
        <v/>
      </c>
      <c r="M466" s="1" t="n"/>
      <c r="N466">
        <f>IF(OR(C466="",N(D466)=0),"",D466+ROW()/10000000)</f>
        <v/>
      </c>
      <c r="O466">
        <f>IF(N466="","",COUNTIFS(Fuel!$C$6:$C$605,C466,Fuel!$N$6:$N$605,"&gt;"&amp;N466))</f>
        <v/>
      </c>
      <c r="P466">
        <f>IF(OR(N466="",G466=""),"",COUNTIFS(Fuel!$C$6:$C$605,C466,Fuel!$G$6:$G$605,"&lt;&gt;",Fuel!$N$6:$N$605,"&lt;"&amp;N466))</f>
        <v/>
      </c>
      <c r="R466">
        <f>IF(OR(P466="",N(P466)=0),"",SUMIFS(Fuel!$D$6:$D$605,Fuel!$C$6:$C$605,C466,Fuel!$P$6:$P$605,P466-1))</f>
        <v/>
      </c>
    </row>
    <row r="467">
      <c r="A467" s="1" t="n"/>
      <c r="B467" s="29" t="n"/>
      <c r="C467" s="24" t="n"/>
      <c r="D467" s="28" t="n"/>
      <c r="E467" s="33" t="n"/>
      <c r="F467" s="34" t="n"/>
      <c r="G467" s="27" t="n"/>
      <c r="H467" s="14">
        <f>IF(OR(N(E467)=0,F467=""),"",F467/E467)</f>
        <v/>
      </c>
      <c r="I467" s="11">
        <f>IF(R467="","",D467-R467)</f>
        <v/>
      </c>
      <c r="J467" s="35">
        <f>IF(R467="","",SUMIFS(Fuel!$E$6:$E$605,Fuel!$C$6:$C$605,C467,Fuel!$D$6:$D$605,"&gt;"&amp;R467,Fuel!$D$6:$D$605,"&lt;="&amp;D467))</f>
        <v/>
      </c>
      <c r="K467" s="36">
        <f>IF(OR(I467="",N(I467)=0),"",J467/I467*100)</f>
        <v/>
      </c>
      <c r="L467" s="36">
        <f>IF(OR(J467="",N(J467)=0),"",I467/J467)</f>
        <v/>
      </c>
      <c r="M467" s="1" t="n"/>
      <c r="N467">
        <f>IF(OR(C467="",N(D467)=0),"",D467+ROW()/10000000)</f>
        <v/>
      </c>
      <c r="O467">
        <f>IF(N467="","",COUNTIFS(Fuel!$C$6:$C$605,C467,Fuel!$N$6:$N$605,"&gt;"&amp;N467))</f>
        <v/>
      </c>
      <c r="P467">
        <f>IF(OR(N467="",G467=""),"",COUNTIFS(Fuel!$C$6:$C$605,C467,Fuel!$G$6:$G$605,"&lt;&gt;",Fuel!$N$6:$N$605,"&lt;"&amp;N467))</f>
        <v/>
      </c>
      <c r="R467">
        <f>IF(OR(P467="",N(P467)=0),"",SUMIFS(Fuel!$D$6:$D$605,Fuel!$C$6:$C$605,C467,Fuel!$P$6:$P$605,P467-1))</f>
        <v/>
      </c>
    </row>
    <row r="468">
      <c r="A468" s="1" t="n"/>
      <c r="B468" s="29" t="n"/>
      <c r="C468" s="24" t="n"/>
      <c r="D468" s="28" t="n"/>
      <c r="E468" s="33" t="n"/>
      <c r="F468" s="34" t="n"/>
      <c r="G468" s="27" t="n"/>
      <c r="H468" s="14">
        <f>IF(OR(N(E468)=0,F468=""),"",F468/E468)</f>
        <v/>
      </c>
      <c r="I468" s="11">
        <f>IF(R468="","",D468-R468)</f>
        <v/>
      </c>
      <c r="J468" s="35">
        <f>IF(R468="","",SUMIFS(Fuel!$E$6:$E$605,Fuel!$C$6:$C$605,C468,Fuel!$D$6:$D$605,"&gt;"&amp;R468,Fuel!$D$6:$D$605,"&lt;="&amp;D468))</f>
        <v/>
      </c>
      <c r="K468" s="36">
        <f>IF(OR(I468="",N(I468)=0),"",J468/I468*100)</f>
        <v/>
      </c>
      <c r="L468" s="36">
        <f>IF(OR(J468="",N(J468)=0),"",I468/J468)</f>
        <v/>
      </c>
      <c r="M468" s="1" t="n"/>
      <c r="N468">
        <f>IF(OR(C468="",N(D468)=0),"",D468+ROW()/10000000)</f>
        <v/>
      </c>
      <c r="O468">
        <f>IF(N468="","",COUNTIFS(Fuel!$C$6:$C$605,C468,Fuel!$N$6:$N$605,"&gt;"&amp;N468))</f>
        <v/>
      </c>
      <c r="P468">
        <f>IF(OR(N468="",G468=""),"",COUNTIFS(Fuel!$C$6:$C$605,C468,Fuel!$G$6:$G$605,"&lt;&gt;",Fuel!$N$6:$N$605,"&lt;"&amp;N468))</f>
        <v/>
      </c>
      <c r="R468">
        <f>IF(OR(P468="",N(P468)=0),"",SUMIFS(Fuel!$D$6:$D$605,Fuel!$C$6:$C$605,C468,Fuel!$P$6:$P$605,P468-1))</f>
        <v/>
      </c>
    </row>
    <row r="469">
      <c r="A469" s="1" t="n"/>
      <c r="B469" s="29" t="n"/>
      <c r="C469" s="24" t="n"/>
      <c r="D469" s="28" t="n"/>
      <c r="E469" s="33" t="n"/>
      <c r="F469" s="34" t="n"/>
      <c r="G469" s="27" t="n"/>
      <c r="H469" s="14">
        <f>IF(OR(N(E469)=0,F469=""),"",F469/E469)</f>
        <v/>
      </c>
      <c r="I469" s="11">
        <f>IF(R469="","",D469-R469)</f>
        <v/>
      </c>
      <c r="J469" s="35">
        <f>IF(R469="","",SUMIFS(Fuel!$E$6:$E$605,Fuel!$C$6:$C$605,C469,Fuel!$D$6:$D$605,"&gt;"&amp;R469,Fuel!$D$6:$D$605,"&lt;="&amp;D469))</f>
        <v/>
      </c>
      <c r="K469" s="36">
        <f>IF(OR(I469="",N(I469)=0),"",J469/I469*100)</f>
        <v/>
      </c>
      <c r="L469" s="36">
        <f>IF(OR(J469="",N(J469)=0),"",I469/J469)</f>
        <v/>
      </c>
      <c r="M469" s="1" t="n"/>
      <c r="N469">
        <f>IF(OR(C469="",N(D469)=0),"",D469+ROW()/10000000)</f>
        <v/>
      </c>
      <c r="O469">
        <f>IF(N469="","",COUNTIFS(Fuel!$C$6:$C$605,C469,Fuel!$N$6:$N$605,"&gt;"&amp;N469))</f>
        <v/>
      </c>
      <c r="P469">
        <f>IF(OR(N469="",G469=""),"",COUNTIFS(Fuel!$C$6:$C$605,C469,Fuel!$G$6:$G$605,"&lt;&gt;",Fuel!$N$6:$N$605,"&lt;"&amp;N469))</f>
        <v/>
      </c>
      <c r="R469">
        <f>IF(OR(P469="",N(P469)=0),"",SUMIFS(Fuel!$D$6:$D$605,Fuel!$C$6:$C$605,C469,Fuel!$P$6:$P$605,P469-1))</f>
        <v/>
      </c>
    </row>
    <row r="470">
      <c r="A470" s="1" t="n"/>
      <c r="B470" s="29" t="n"/>
      <c r="C470" s="24" t="n"/>
      <c r="D470" s="28" t="n"/>
      <c r="E470" s="33" t="n"/>
      <c r="F470" s="34" t="n"/>
      <c r="G470" s="27" t="n"/>
      <c r="H470" s="14">
        <f>IF(OR(N(E470)=0,F470=""),"",F470/E470)</f>
        <v/>
      </c>
      <c r="I470" s="11">
        <f>IF(R470="","",D470-R470)</f>
        <v/>
      </c>
      <c r="J470" s="35">
        <f>IF(R470="","",SUMIFS(Fuel!$E$6:$E$605,Fuel!$C$6:$C$605,C470,Fuel!$D$6:$D$605,"&gt;"&amp;R470,Fuel!$D$6:$D$605,"&lt;="&amp;D470))</f>
        <v/>
      </c>
      <c r="K470" s="36">
        <f>IF(OR(I470="",N(I470)=0),"",J470/I470*100)</f>
        <v/>
      </c>
      <c r="L470" s="36">
        <f>IF(OR(J470="",N(J470)=0),"",I470/J470)</f>
        <v/>
      </c>
      <c r="M470" s="1" t="n"/>
      <c r="N470">
        <f>IF(OR(C470="",N(D470)=0),"",D470+ROW()/10000000)</f>
        <v/>
      </c>
      <c r="O470">
        <f>IF(N470="","",COUNTIFS(Fuel!$C$6:$C$605,C470,Fuel!$N$6:$N$605,"&gt;"&amp;N470))</f>
        <v/>
      </c>
      <c r="P470">
        <f>IF(OR(N470="",G470=""),"",COUNTIFS(Fuel!$C$6:$C$605,C470,Fuel!$G$6:$G$605,"&lt;&gt;",Fuel!$N$6:$N$605,"&lt;"&amp;N470))</f>
        <v/>
      </c>
      <c r="R470">
        <f>IF(OR(P470="",N(P470)=0),"",SUMIFS(Fuel!$D$6:$D$605,Fuel!$C$6:$C$605,C470,Fuel!$P$6:$P$605,P470-1))</f>
        <v/>
      </c>
    </row>
    <row r="471">
      <c r="A471" s="1" t="n"/>
      <c r="B471" s="29" t="n"/>
      <c r="C471" s="24" t="n"/>
      <c r="D471" s="28" t="n"/>
      <c r="E471" s="33" t="n"/>
      <c r="F471" s="34" t="n"/>
      <c r="G471" s="27" t="n"/>
      <c r="H471" s="14">
        <f>IF(OR(N(E471)=0,F471=""),"",F471/E471)</f>
        <v/>
      </c>
      <c r="I471" s="11">
        <f>IF(R471="","",D471-R471)</f>
        <v/>
      </c>
      <c r="J471" s="35">
        <f>IF(R471="","",SUMIFS(Fuel!$E$6:$E$605,Fuel!$C$6:$C$605,C471,Fuel!$D$6:$D$605,"&gt;"&amp;R471,Fuel!$D$6:$D$605,"&lt;="&amp;D471))</f>
        <v/>
      </c>
      <c r="K471" s="36">
        <f>IF(OR(I471="",N(I471)=0),"",J471/I471*100)</f>
        <v/>
      </c>
      <c r="L471" s="36">
        <f>IF(OR(J471="",N(J471)=0),"",I471/J471)</f>
        <v/>
      </c>
      <c r="M471" s="1" t="n"/>
      <c r="N471">
        <f>IF(OR(C471="",N(D471)=0),"",D471+ROW()/10000000)</f>
        <v/>
      </c>
      <c r="O471">
        <f>IF(N471="","",COUNTIFS(Fuel!$C$6:$C$605,C471,Fuel!$N$6:$N$605,"&gt;"&amp;N471))</f>
        <v/>
      </c>
      <c r="P471">
        <f>IF(OR(N471="",G471=""),"",COUNTIFS(Fuel!$C$6:$C$605,C471,Fuel!$G$6:$G$605,"&lt;&gt;",Fuel!$N$6:$N$605,"&lt;"&amp;N471))</f>
        <v/>
      </c>
      <c r="R471">
        <f>IF(OR(P471="",N(P471)=0),"",SUMIFS(Fuel!$D$6:$D$605,Fuel!$C$6:$C$605,C471,Fuel!$P$6:$P$605,P471-1))</f>
        <v/>
      </c>
    </row>
    <row r="472">
      <c r="A472" s="1" t="n"/>
      <c r="B472" s="29" t="n"/>
      <c r="C472" s="24" t="n"/>
      <c r="D472" s="28" t="n"/>
      <c r="E472" s="33" t="n"/>
      <c r="F472" s="34" t="n"/>
      <c r="G472" s="27" t="n"/>
      <c r="H472" s="14">
        <f>IF(OR(N(E472)=0,F472=""),"",F472/E472)</f>
        <v/>
      </c>
      <c r="I472" s="11">
        <f>IF(R472="","",D472-R472)</f>
        <v/>
      </c>
      <c r="J472" s="35">
        <f>IF(R472="","",SUMIFS(Fuel!$E$6:$E$605,Fuel!$C$6:$C$605,C472,Fuel!$D$6:$D$605,"&gt;"&amp;R472,Fuel!$D$6:$D$605,"&lt;="&amp;D472))</f>
        <v/>
      </c>
      <c r="K472" s="36">
        <f>IF(OR(I472="",N(I472)=0),"",J472/I472*100)</f>
        <v/>
      </c>
      <c r="L472" s="36">
        <f>IF(OR(J472="",N(J472)=0),"",I472/J472)</f>
        <v/>
      </c>
      <c r="M472" s="1" t="n"/>
      <c r="N472">
        <f>IF(OR(C472="",N(D472)=0),"",D472+ROW()/10000000)</f>
        <v/>
      </c>
      <c r="O472">
        <f>IF(N472="","",COUNTIFS(Fuel!$C$6:$C$605,C472,Fuel!$N$6:$N$605,"&gt;"&amp;N472))</f>
        <v/>
      </c>
      <c r="P472">
        <f>IF(OR(N472="",G472=""),"",COUNTIFS(Fuel!$C$6:$C$605,C472,Fuel!$G$6:$G$605,"&lt;&gt;",Fuel!$N$6:$N$605,"&lt;"&amp;N472))</f>
        <v/>
      </c>
      <c r="R472">
        <f>IF(OR(P472="",N(P472)=0),"",SUMIFS(Fuel!$D$6:$D$605,Fuel!$C$6:$C$605,C472,Fuel!$P$6:$P$605,P472-1))</f>
        <v/>
      </c>
    </row>
    <row r="473">
      <c r="A473" s="1" t="n"/>
      <c r="B473" s="29" t="n"/>
      <c r="C473" s="24" t="n"/>
      <c r="D473" s="28" t="n"/>
      <c r="E473" s="33" t="n"/>
      <c r="F473" s="34" t="n"/>
      <c r="G473" s="27" t="n"/>
      <c r="H473" s="14">
        <f>IF(OR(N(E473)=0,F473=""),"",F473/E473)</f>
        <v/>
      </c>
      <c r="I473" s="11">
        <f>IF(R473="","",D473-R473)</f>
        <v/>
      </c>
      <c r="J473" s="35">
        <f>IF(R473="","",SUMIFS(Fuel!$E$6:$E$605,Fuel!$C$6:$C$605,C473,Fuel!$D$6:$D$605,"&gt;"&amp;R473,Fuel!$D$6:$D$605,"&lt;="&amp;D473))</f>
        <v/>
      </c>
      <c r="K473" s="36">
        <f>IF(OR(I473="",N(I473)=0),"",J473/I473*100)</f>
        <v/>
      </c>
      <c r="L473" s="36">
        <f>IF(OR(J473="",N(J473)=0),"",I473/J473)</f>
        <v/>
      </c>
      <c r="M473" s="1" t="n"/>
      <c r="N473">
        <f>IF(OR(C473="",N(D473)=0),"",D473+ROW()/10000000)</f>
        <v/>
      </c>
      <c r="O473">
        <f>IF(N473="","",COUNTIFS(Fuel!$C$6:$C$605,C473,Fuel!$N$6:$N$605,"&gt;"&amp;N473))</f>
        <v/>
      </c>
      <c r="P473">
        <f>IF(OR(N473="",G473=""),"",COUNTIFS(Fuel!$C$6:$C$605,C473,Fuel!$G$6:$G$605,"&lt;&gt;",Fuel!$N$6:$N$605,"&lt;"&amp;N473))</f>
        <v/>
      </c>
      <c r="R473">
        <f>IF(OR(P473="",N(P473)=0),"",SUMIFS(Fuel!$D$6:$D$605,Fuel!$C$6:$C$605,C473,Fuel!$P$6:$P$605,P473-1))</f>
        <v/>
      </c>
    </row>
    <row r="474">
      <c r="A474" s="1" t="n"/>
      <c r="B474" s="29" t="n"/>
      <c r="C474" s="24" t="n"/>
      <c r="D474" s="28" t="n"/>
      <c r="E474" s="33" t="n"/>
      <c r="F474" s="34" t="n"/>
      <c r="G474" s="27" t="n"/>
      <c r="H474" s="14">
        <f>IF(OR(N(E474)=0,F474=""),"",F474/E474)</f>
        <v/>
      </c>
      <c r="I474" s="11">
        <f>IF(R474="","",D474-R474)</f>
        <v/>
      </c>
      <c r="J474" s="35">
        <f>IF(R474="","",SUMIFS(Fuel!$E$6:$E$605,Fuel!$C$6:$C$605,C474,Fuel!$D$6:$D$605,"&gt;"&amp;R474,Fuel!$D$6:$D$605,"&lt;="&amp;D474))</f>
        <v/>
      </c>
      <c r="K474" s="36">
        <f>IF(OR(I474="",N(I474)=0),"",J474/I474*100)</f>
        <v/>
      </c>
      <c r="L474" s="36">
        <f>IF(OR(J474="",N(J474)=0),"",I474/J474)</f>
        <v/>
      </c>
      <c r="M474" s="1" t="n"/>
      <c r="N474">
        <f>IF(OR(C474="",N(D474)=0),"",D474+ROW()/10000000)</f>
        <v/>
      </c>
      <c r="O474">
        <f>IF(N474="","",COUNTIFS(Fuel!$C$6:$C$605,C474,Fuel!$N$6:$N$605,"&gt;"&amp;N474))</f>
        <v/>
      </c>
      <c r="P474">
        <f>IF(OR(N474="",G474=""),"",COUNTIFS(Fuel!$C$6:$C$605,C474,Fuel!$G$6:$G$605,"&lt;&gt;",Fuel!$N$6:$N$605,"&lt;"&amp;N474))</f>
        <v/>
      </c>
      <c r="R474">
        <f>IF(OR(P474="",N(P474)=0),"",SUMIFS(Fuel!$D$6:$D$605,Fuel!$C$6:$C$605,C474,Fuel!$P$6:$P$605,P474-1))</f>
        <v/>
      </c>
    </row>
    <row r="475">
      <c r="A475" s="1" t="n"/>
      <c r="B475" s="29" t="n"/>
      <c r="C475" s="24" t="n"/>
      <c r="D475" s="28" t="n"/>
      <c r="E475" s="33" t="n"/>
      <c r="F475" s="34" t="n"/>
      <c r="G475" s="27" t="n"/>
      <c r="H475" s="14">
        <f>IF(OR(N(E475)=0,F475=""),"",F475/E475)</f>
        <v/>
      </c>
      <c r="I475" s="11">
        <f>IF(R475="","",D475-R475)</f>
        <v/>
      </c>
      <c r="J475" s="35">
        <f>IF(R475="","",SUMIFS(Fuel!$E$6:$E$605,Fuel!$C$6:$C$605,C475,Fuel!$D$6:$D$605,"&gt;"&amp;R475,Fuel!$D$6:$D$605,"&lt;="&amp;D475))</f>
        <v/>
      </c>
      <c r="K475" s="36">
        <f>IF(OR(I475="",N(I475)=0),"",J475/I475*100)</f>
        <v/>
      </c>
      <c r="L475" s="36">
        <f>IF(OR(J475="",N(J475)=0),"",I475/J475)</f>
        <v/>
      </c>
      <c r="M475" s="1" t="n"/>
      <c r="N475">
        <f>IF(OR(C475="",N(D475)=0),"",D475+ROW()/10000000)</f>
        <v/>
      </c>
      <c r="O475">
        <f>IF(N475="","",COUNTIFS(Fuel!$C$6:$C$605,C475,Fuel!$N$6:$N$605,"&gt;"&amp;N475))</f>
        <v/>
      </c>
      <c r="P475">
        <f>IF(OR(N475="",G475=""),"",COUNTIFS(Fuel!$C$6:$C$605,C475,Fuel!$G$6:$G$605,"&lt;&gt;",Fuel!$N$6:$N$605,"&lt;"&amp;N475))</f>
        <v/>
      </c>
      <c r="R475">
        <f>IF(OR(P475="",N(P475)=0),"",SUMIFS(Fuel!$D$6:$D$605,Fuel!$C$6:$C$605,C475,Fuel!$P$6:$P$605,P475-1))</f>
        <v/>
      </c>
    </row>
    <row r="476">
      <c r="A476" s="1" t="n"/>
      <c r="B476" s="29" t="n"/>
      <c r="C476" s="24" t="n"/>
      <c r="D476" s="28" t="n"/>
      <c r="E476" s="33" t="n"/>
      <c r="F476" s="34" t="n"/>
      <c r="G476" s="27" t="n"/>
      <c r="H476" s="14">
        <f>IF(OR(N(E476)=0,F476=""),"",F476/E476)</f>
        <v/>
      </c>
      <c r="I476" s="11">
        <f>IF(R476="","",D476-R476)</f>
        <v/>
      </c>
      <c r="J476" s="35">
        <f>IF(R476="","",SUMIFS(Fuel!$E$6:$E$605,Fuel!$C$6:$C$605,C476,Fuel!$D$6:$D$605,"&gt;"&amp;R476,Fuel!$D$6:$D$605,"&lt;="&amp;D476))</f>
        <v/>
      </c>
      <c r="K476" s="36">
        <f>IF(OR(I476="",N(I476)=0),"",J476/I476*100)</f>
        <v/>
      </c>
      <c r="L476" s="36">
        <f>IF(OR(J476="",N(J476)=0),"",I476/J476)</f>
        <v/>
      </c>
      <c r="M476" s="1" t="n"/>
      <c r="N476">
        <f>IF(OR(C476="",N(D476)=0),"",D476+ROW()/10000000)</f>
        <v/>
      </c>
      <c r="O476">
        <f>IF(N476="","",COUNTIFS(Fuel!$C$6:$C$605,C476,Fuel!$N$6:$N$605,"&gt;"&amp;N476))</f>
        <v/>
      </c>
      <c r="P476">
        <f>IF(OR(N476="",G476=""),"",COUNTIFS(Fuel!$C$6:$C$605,C476,Fuel!$G$6:$G$605,"&lt;&gt;",Fuel!$N$6:$N$605,"&lt;"&amp;N476))</f>
        <v/>
      </c>
      <c r="R476">
        <f>IF(OR(P476="",N(P476)=0),"",SUMIFS(Fuel!$D$6:$D$605,Fuel!$C$6:$C$605,C476,Fuel!$P$6:$P$605,P476-1))</f>
        <v/>
      </c>
    </row>
    <row r="477">
      <c r="A477" s="1" t="n"/>
      <c r="B477" s="29" t="n"/>
      <c r="C477" s="24" t="n"/>
      <c r="D477" s="28" t="n"/>
      <c r="E477" s="33" t="n"/>
      <c r="F477" s="34" t="n"/>
      <c r="G477" s="27" t="n"/>
      <c r="H477" s="14">
        <f>IF(OR(N(E477)=0,F477=""),"",F477/E477)</f>
        <v/>
      </c>
      <c r="I477" s="11">
        <f>IF(R477="","",D477-R477)</f>
        <v/>
      </c>
      <c r="J477" s="35">
        <f>IF(R477="","",SUMIFS(Fuel!$E$6:$E$605,Fuel!$C$6:$C$605,C477,Fuel!$D$6:$D$605,"&gt;"&amp;R477,Fuel!$D$6:$D$605,"&lt;="&amp;D477))</f>
        <v/>
      </c>
      <c r="K477" s="36">
        <f>IF(OR(I477="",N(I477)=0),"",J477/I477*100)</f>
        <v/>
      </c>
      <c r="L477" s="36">
        <f>IF(OR(J477="",N(J477)=0),"",I477/J477)</f>
        <v/>
      </c>
      <c r="M477" s="1" t="n"/>
      <c r="N477">
        <f>IF(OR(C477="",N(D477)=0),"",D477+ROW()/10000000)</f>
        <v/>
      </c>
      <c r="O477">
        <f>IF(N477="","",COUNTIFS(Fuel!$C$6:$C$605,C477,Fuel!$N$6:$N$605,"&gt;"&amp;N477))</f>
        <v/>
      </c>
      <c r="P477">
        <f>IF(OR(N477="",G477=""),"",COUNTIFS(Fuel!$C$6:$C$605,C477,Fuel!$G$6:$G$605,"&lt;&gt;",Fuel!$N$6:$N$605,"&lt;"&amp;N477))</f>
        <v/>
      </c>
      <c r="R477">
        <f>IF(OR(P477="",N(P477)=0),"",SUMIFS(Fuel!$D$6:$D$605,Fuel!$C$6:$C$605,C477,Fuel!$P$6:$P$605,P477-1))</f>
        <v/>
      </c>
    </row>
    <row r="478">
      <c r="A478" s="1" t="n"/>
      <c r="B478" s="29" t="n"/>
      <c r="C478" s="24" t="n"/>
      <c r="D478" s="28" t="n"/>
      <c r="E478" s="33" t="n"/>
      <c r="F478" s="34" t="n"/>
      <c r="G478" s="27" t="n"/>
      <c r="H478" s="14">
        <f>IF(OR(N(E478)=0,F478=""),"",F478/E478)</f>
        <v/>
      </c>
      <c r="I478" s="11">
        <f>IF(R478="","",D478-R478)</f>
        <v/>
      </c>
      <c r="J478" s="35">
        <f>IF(R478="","",SUMIFS(Fuel!$E$6:$E$605,Fuel!$C$6:$C$605,C478,Fuel!$D$6:$D$605,"&gt;"&amp;R478,Fuel!$D$6:$D$605,"&lt;="&amp;D478))</f>
        <v/>
      </c>
      <c r="K478" s="36">
        <f>IF(OR(I478="",N(I478)=0),"",J478/I478*100)</f>
        <v/>
      </c>
      <c r="L478" s="36">
        <f>IF(OR(J478="",N(J478)=0),"",I478/J478)</f>
        <v/>
      </c>
      <c r="M478" s="1" t="n"/>
      <c r="N478">
        <f>IF(OR(C478="",N(D478)=0),"",D478+ROW()/10000000)</f>
        <v/>
      </c>
      <c r="O478">
        <f>IF(N478="","",COUNTIFS(Fuel!$C$6:$C$605,C478,Fuel!$N$6:$N$605,"&gt;"&amp;N478))</f>
        <v/>
      </c>
      <c r="P478">
        <f>IF(OR(N478="",G478=""),"",COUNTIFS(Fuel!$C$6:$C$605,C478,Fuel!$G$6:$G$605,"&lt;&gt;",Fuel!$N$6:$N$605,"&lt;"&amp;N478))</f>
        <v/>
      </c>
      <c r="R478">
        <f>IF(OR(P478="",N(P478)=0),"",SUMIFS(Fuel!$D$6:$D$605,Fuel!$C$6:$C$605,C478,Fuel!$P$6:$P$605,P478-1))</f>
        <v/>
      </c>
    </row>
    <row r="479">
      <c r="A479" s="1" t="n"/>
      <c r="B479" s="29" t="n"/>
      <c r="C479" s="24" t="n"/>
      <c r="D479" s="28" t="n"/>
      <c r="E479" s="33" t="n"/>
      <c r="F479" s="34" t="n"/>
      <c r="G479" s="27" t="n"/>
      <c r="H479" s="14">
        <f>IF(OR(N(E479)=0,F479=""),"",F479/E479)</f>
        <v/>
      </c>
      <c r="I479" s="11">
        <f>IF(R479="","",D479-R479)</f>
        <v/>
      </c>
      <c r="J479" s="35">
        <f>IF(R479="","",SUMIFS(Fuel!$E$6:$E$605,Fuel!$C$6:$C$605,C479,Fuel!$D$6:$D$605,"&gt;"&amp;R479,Fuel!$D$6:$D$605,"&lt;="&amp;D479))</f>
        <v/>
      </c>
      <c r="K479" s="36">
        <f>IF(OR(I479="",N(I479)=0),"",J479/I479*100)</f>
        <v/>
      </c>
      <c r="L479" s="36">
        <f>IF(OR(J479="",N(J479)=0),"",I479/J479)</f>
        <v/>
      </c>
      <c r="M479" s="1" t="n"/>
      <c r="N479">
        <f>IF(OR(C479="",N(D479)=0),"",D479+ROW()/10000000)</f>
        <v/>
      </c>
      <c r="O479">
        <f>IF(N479="","",COUNTIFS(Fuel!$C$6:$C$605,C479,Fuel!$N$6:$N$605,"&gt;"&amp;N479))</f>
        <v/>
      </c>
      <c r="P479">
        <f>IF(OR(N479="",G479=""),"",COUNTIFS(Fuel!$C$6:$C$605,C479,Fuel!$G$6:$G$605,"&lt;&gt;",Fuel!$N$6:$N$605,"&lt;"&amp;N479))</f>
        <v/>
      </c>
      <c r="R479">
        <f>IF(OR(P479="",N(P479)=0),"",SUMIFS(Fuel!$D$6:$D$605,Fuel!$C$6:$C$605,C479,Fuel!$P$6:$P$605,P479-1))</f>
        <v/>
      </c>
    </row>
    <row r="480">
      <c r="A480" s="1" t="n"/>
      <c r="B480" s="29" t="n"/>
      <c r="C480" s="24" t="n"/>
      <c r="D480" s="28" t="n"/>
      <c r="E480" s="33" t="n"/>
      <c r="F480" s="34" t="n"/>
      <c r="G480" s="27" t="n"/>
      <c r="H480" s="14">
        <f>IF(OR(N(E480)=0,F480=""),"",F480/E480)</f>
        <v/>
      </c>
      <c r="I480" s="11">
        <f>IF(R480="","",D480-R480)</f>
        <v/>
      </c>
      <c r="J480" s="35">
        <f>IF(R480="","",SUMIFS(Fuel!$E$6:$E$605,Fuel!$C$6:$C$605,C480,Fuel!$D$6:$D$605,"&gt;"&amp;R480,Fuel!$D$6:$D$605,"&lt;="&amp;D480))</f>
        <v/>
      </c>
      <c r="K480" s="36">
        <f>IF(OR(I480="",N(I480)=0),"",J480/I480*100)</f>
        <v/>
      </c>
      <c r="L480" s="36">
        <f>IF(OR(J480="",N(J480)=0),"",I480/J480)</f>
        <v/>
      </c>
      <c r="M480" s="1" t="n"/>
      <c r="N480">
        <f>IF(OR(C480="",N(D480)=0),"",D480+ROW()/10000000)</f>
        <v/>
      </c>
      <c r="O480">
        <f>IF(N480="","",COUNTIFS(Fuel!$C$6:$C$605,C480,Fuel!$N$6:$N$605,"&gt;"&amp;N480))</f>
        <v/>
      </c>
      <c r="P480">
        <f>IF(OR(N480="",G480=""),"",COUNTIFS(Fuel!$C$6:$C$605,C480,Fuel!$G$6:$G$605,"&lt;&gt;",Fuel!$N$6:$N$605,"&lt;"&amp;N480))</f>
        <v/>
      </c>
      <c r="R480">
        <f>IF(OR(P480="",N(P480)=0),"",SUMIFS(Fuel!$D$6:$D$605,Fuel!$C$6:$C$605,C480,Fuel!$P$6:$P$605,P480-1))</f>
        <v/>
      </c>
    </row>
    <row r="481">
      <c r="A481" s="1" t="n"/>
      <c r="B481" s="29" t="n"/>
      <c r="C481" s="24" t="n"/>
      <c r="D481" s="28" t="n"/>
      <c r="E481" s="33" t="n"/>
      <c r="F481" s="34" t="n"/>
      <c r="G481" s="27" t="n"/>
      <c r="H481" s="14">
        <f>IF(OR(N(E481)=0,F481=""),"",F481/E481)</f>
        <v/>
      </c>
      <c r="I481" s="11">
        <f>IF(R481="","",D481-R481)</f>
        <v/>
      </c>
      <c r="J481" s="35">
        <f>IF(R481="","",SUMIFS(Fuel!$E$6:$E$605,Fuel!$C$6:$C$605,C481,Fuel!$D$6:$D$605,"&gt;"&amp;R481,Fuel!$D$6:$D$605,"&lt;="&amp;D481))</f>
        <v/>
      </c>
      <c r="K481" s="36">
        <f>IF(OR(I481="",N(I481)=0),"",J481/I481*100)</f>
        <v/>
      </c>
      <c r="L481" s="36">
        <f>IF(OR(J481="",N(J481)=0),"",I481/J481)</f>
        <v/>
      </c>
      <c r="M481" s="1" t="n"/>
      <c r="N481">
        <f>IF(OR(C481="",N(D481)=0),"",D481+ROW()/10000000)</f>
        <v/>
      </c>
      <c r="O481">
        <f>IF(N481="","",COUNTIFS(Fuel!$C$6:$C$605,C481,Fuel!$N$6:$N$605,"&gt;"&amp;N481))</f>
        <v/>
      </c>
      <c r="P481">
        <f>IF(OR(N481="",G481=""),"",COUNTIFS(Fuel!$C$6:$C$605,C481,Fuel!$G$6:$G$605,"&lt;&gt;",Fuel!$N$6:$N$605,"&lt;"&amp;N481))</f>
        <v/>
      </c>
      <c r="R481">
        <f>IF(OR(P481="",N(P481)=0),"",SUMIFS(Fuel!$D$6:$D$605,Fuel!$C$6:$C$605,C481,Fuel!$P$6:$P$605,P481-1))</f>
        <v/>
      </c>
    </row>
    <row r="482">
      <c r="A482" s="1" t="n"/>
      <c r="B482" s="29" t="n"/>
      <c r="C482" s="24" t="n"/>
      <c r="D482" s="28" t="n"/>
      <c r="E482" s="33" t="n"/>
      <c r="F482" s="34" t="n"/>
      <c r="G482" s="27" t="n"/>
      <c r="H482" s="14">
        <f>IF(OR(N(E482)=0,F482=""),"",F482/E482)</f>
        <v/>
      </c>
      <c r="I482" s="11">
        <f>IF(R482="","",D482-R482)</f>
        <v/>
      </c>
      <c r="J482" s="35">
        <f>IF(R482="","",SUMIFS(Fuel!$E$6:$E$605,Fuel!$C$6:$C$605,C482,Fuel!$D$6:$D$605,"&gt;"&amp;R482,Fuel!$D$6:$D$605,"&lt;="&amp;D482))</f>
        <v/>
      </c>
      <c r="K482" s="36">
        <f>IF(OR(I482="",N(I482)=0),"",J482/I482*100)</f>
        <v/>
      </c>
      <c r="L482" s="36">
        <f>IF(OR(J482="",N(J482)=0),"",I482/J482)</f>
        <v/>
      </c>
      <c r="M482" s="1" t="n"/>
      <c r="N482">
        <f>IF(OR(C482="",N(D482)=0),"",D482+ROW()/10000000)</f>
        <v/>
      </c>
      <c r="O482">
        <f>IF(N482="","",COUNTIFS(Fuel!$C$6:$C$605,C482,Fuel!$N$6:$N$605,"&gt;"&amp;N482))</f>
        <v/>
      </c>
      <c r="P482">
        <f>IF(OR(N482="",G482=""),"",COUNTIFS(Fuel!$C$6:$C$605,C482,Fuel!$G$6:$G$605,"&lt;&gt;",Fuel!$N$6:$N$605,"&lt;"&amp;N482))</f>
        <v/>
      </c>
      <c r="R482">
        <f>IF(OR(P482="",N(P482)=0),"",SUMIFS(Fuel!$D$6:$D$605,Fuel!$C$6:$C$605,C482,Fuel!$P$6:$P$605,P482-1))</f>
        <v/>
      </c>
    </row>
    <row r="483">
      <c r="A483" s="1" t="n"/>
      <c r="B483" s="29" t="n"/>
      <c r="C483" s="24" t="n"/>
      <c r="D483" s="28" t="n"/>
      <c r="E483" s="33" t="n"/>
      <c r="F483" s="34" t="n"/>
      <c r="G483" s="27" t="n"/>
      <c r="H483" s="14">
        <f>IF(OR(N(E483)=0,F483=""),"",F483/E483)</f>
        <v/>
      </c>
      <c r="I483" s="11">
        <f>IF(R483="","",D483-R483)</f>
        <v/>
      </c>
      <c r="J483" s="35">
        <f>IF(R483="","",SUMIFS(Fuel!$E$6:$E$605,Fuel!$C$6:$C$605,C483,Fuel!$D$6:$D$605,"&gt;"&amp;R483,Fuel!$D$6:$D$605,"&lt;="&amp;D483))</f>
        <v/>
      </c>
      <c r="K483" s="36">
        <f>IF(OR(I483="",N(I483)=0),"",J483/I483*100)</f>
        <v/>
      </c>
      <c r="L483" s="36">
        <f>IF(OR(J483="",N(J483)=0),"",I483/J483)</f>
        <v/>
      </c>
      <c r="M483" s="1" t="n"/>
      <c r="N483">
        <f>IF(OR(C483="",N(D483)=0),"",D483+ROW()/10000000)</f>
        <v/>
      </c>
      <c r="O483">
        <f>IF(N483="","",COUNTIFS(Fuel!$C$6:$C$605,C483,Fuel!$N$6:$N$605,"&gt;"&amp;N483))</f>
        <v/>
      </c>
      <c r="P483">
        <f>IF(OR(N483="",G483=""),"",COUNTIFS(Fuel!$C$6:$C$605,C483,Fuel!$G$6:$G$605,"&lt;&gt;",Fuel!$N$6:$N$605,"&lt;"&amp;N483))</f>
        <v/>
      </c>
      <c r="R483">
        <f>IF(OR(P483="",N(P483)=0),"",SUMIFS(Fuel!$D$6:$D$605,Fuel!$C$6:$C$605,C483,Fuel!$P$6:$P$605,P483-1))</f>
        <v/>
      </c>
    </row>
    <row r="484">
      <c r="A484" s="1" t="n"/>
      <c r="B484" s="29" t="n"/>
      <c r="C484" s="24" t="n"/>
      <c r="D484" s="28" t="n"/>
      <c r="E484" s="33" t="n"/>
      <c r="F484" s="34" t="n"/>
      <c r="G484" s="27" t="n"/>
      <c r="H484" s="14">
        <f>IF(OR(N(E484)=0,F484=""),"",F484/E484)</f>
        <v/>
      </c>
      <c r="I484" s="11">
        <f>IF(R484="","",D484-R484)</f>
        <v/>
      </c>
      <c r="J484" s="35">
        <f>IF(R484="","",SUMIFS(Fuel!$E$6:$E$605,Fuel!$C$6:$C$605,C484,Fuel!$D$6:$D$605,"&gt;"&amp;R484,Fuel!$D$6:$D$605,"&lt;="&amp;D484))</f>
        <v/>
      </c>
      <c r="K484" s="36">
        <f>IF(OR(I484="",N(I484)=0),"",J484/I484*100)</f>
        <v/>
      </c>
      <c r="L484" s="36">
        <f>IF(OR(J484="",N(J484)=0),"",I484/J484)</f>
        <v/>
      </c>
      <c r="M484" s="1" t="n"/>
      <c r="N484">
        <f>IF(OR(C484="",N(D484)=0),"",D484+ROW()/10000000)</f>
        <v/>
      </c>
      <c r="O484">
        <f>IF(N484="","",COUNTIFS(Fuel!$C$6:$C$605,C484,Fuel!$N$6:$N$605,"&gt;"&amp;N484))</f>
        <v/>
      </c>
      <c r="P484">
        <f>IF(OR(N484="",G484=""),"",COUNTIFS(Fuel!$C$6:$C$605,C484,Fuel!$G$6:$G$605,"&lt;&gt;",Fuel!$N$6:$N$605,"&lt;"&amp;N484))</f>
        <v/>
      </c>
      <c r="R484">
        <f>IF(OR(P484="",N(P484)=0),"",SUMIFS(Fuel!$D$6:$D$605,Fuel!$C$6:$C$605,C484,Fuel!$P$6:$P$605,P484-1))</f>
        <v/>
      </c>
    </row>
    <row r="485">
      <c r="A485" s="1" t="n"/>
      <c r="B485" s="29" t="n"/>
      <c r="C485" s="24" t="n"/>
      <c r="D485" s="28" t="n"/>
      <c r="E485" s="33" t="n"/>
      <c r="F485" s="34" t="n"/>
      <c r="G485" s="27" t="n"/>
      <c r="H485" s="14">
        <f>IF(OR(N(E485)=0,F485=""),"",F485/E485)</f>
        <v/>
      </c>
      <c r="I485" s="11">
        <f>IF(R485="","",D485-R485)</f>
        <v/>
      </c>
      <c r="J485" s="35">
        <f>IF(R485="","",SUMIFS(Fuel!$E$6:$E$605,Fuel!$C$6:$C$605,C485,Fuel!$D$6:$D$605,"&gt;"&amp;R485,Fuel!$D$6:$D$605,"&lt;="&amp;D485))</f>
        <v/>
      </c>
      <c r="K485" s="36">
        <f>IF(OR(I485="",N(I485)=0),"",J485/I485*100)</f>
        <v/>
      </c>
      <c r="L485" s="36">
        <f>IF(OR(J485="",N(J485)=0),"",I485/J485)</f>
        <v/>
      </c>
      <c r="M485" s="1" t="n"/>
      <c r="N485">
        <f>IF(OR(C485="",N(D485)=0),"",D485+ROW()/10000000)</f>
        <v/>
      </c>
      <c r="O485">
        <f>IF(N485="","",COUNTIFS(Fuel!$C$6:$C$605,C485,Fuel!$N$6:$N$605,"&gt;"&amp;N485))</f>
        <v/>
      </c>
      <c r="P485">
        <f>IF(OR(N485="",G485=""),"",COUNTIFS(Fuel!$C$6:$C$605,C485,Fuel!$G$6:$G$605,"&lt;&gt;",Fuel!$N$6:$N$605,"&lt;"&amp;N485))</f>
        <v/>
      </c>
      <c r="R485">
        <f>IF(OR(P485="",N(P485)=0),"",SUMIFS(Fuel!$D$6:$D$605,Fuel!$C$6:$C$605,C485,Fuel!$P$6:$P$605,P485-1))</f>
        <v/>
      </c>
    </row>
    <row r="486">
      <c r="A486" s="1" t="n"/>
      <c r="B486" s="29" t="n"/>
      <c r="C486" s="24" t="n"/>
      <c r="D486" s="28" t="n"/>
      <c r="E486" s="33" t="n"/>
      <c r="F486" s="34" t="n"/>
      <c r="G486" s="27" t="n"/>
      <c r="H486" s="14">
        <f>IF(OR(N(E486)=0,F486=""),"",F486/E486)</f>
        <v/>
      </c>
      <c r="I486" s="11">
        <f>IF(R486="","",D486-R486)</f>
        <v/>
      </c>
      <c r="J486" s="35">
        <f>IF(R486="","",SUMIFS(Fuel!$E$6:$E$605,Fuel!$C$6:$C$605,C486,Fuel!$D$6:$D$605,"&gt;"&amp;R486,Fuel!$D$6:$D$605,"&lt;="&amp;D486))</f>
        <v/>
      </c>
      <c r="K486" s="36">
        <f>IF(OR(I486="",N(I486)=0),"",J486/I486*100)</f>
        <v/>
      </c>
      <c r="L486" s="36">
        <f>IF(OR(J486="",N(J486)=0),"",I486/J486)</f>
        <v/>
      </c>
      <c r="M486" s="1" t="n"/>
      <c r="N486">
        <f>IF(OR(C486="",N(D486)=0),"",D486+ROW()/10000000)</f>
        <v/>
      </c>
      <c r="O486">
        <f>IF(N486="","",COUNTIFS(Fuel!$C$6:$C$605,C486,Fuel!$N$6:$N$605,"&gt;"&amp;N486))</f>
        <v/>
      </c>
      <c r="P486">
        <f>IF(OR(N486="",G486=""),"",COUNTIFS(Fuel!$C$6:$C$605,C486,Fuel!$G$6:$G$605,"&lt;&gt;",Fuel!$N$6:$N$605,"&lt;"&amp;N486))</f>
        <v/>
      </c>
      <c r="R486">
        <f>IF(OR(P486="",N(P486)=0),"",SUMIFS(Fuel!$D$6:$D$605,Fuel!$C$6:$C$605,C486,Fuel!$P$6:$P$605,P486-1))</f>
        <v/>
      </c>
    </row>
    <row r="487">
      <c r="A487" s="1" t="n"/>
      <c r="B487" s="29" t="n"/>
      <c r="C487" s="24" t="n"/>
      <c r="D487" s="28" t="n"/>
      <c r="E487" s="33" t="n"/>
      <c r="F487" s="34" t="n"/>
      <c r="G487" s="27" t="n"/>
      <c r="H487" s="14">
        <f>IF(OR(N(E487)=0,F487=""),"",F487/E487)</f>
        <v/>
      </c>
      <c r="I487" s="11">
        <f>IF(R487="","",D487-R487)</f>
        <v/>
      </c>
      <c r="J487" s="35">
        <f>IF(R487="","",SUMIFS(Fuel!$E$6:$E$605,Fuel!$C$6:$C$605,C487,Fuel!$D$6:$D$605,"&gt;"&amp;R487,Fuel!$D$6:$D$605,"&lt;="&amp;D487))</f>
        <v/>
      </c>
      <c r="K487" s="36">
        <f>IF(OR(I487="",N(I487)=0),"",J487/I487*100)</f>
        <v/>
      </c>
      <c r="L487" s="36">
        <f>IF(OR(J487="",N(J487)=0),"",I487/J487)</f>
        <v/>
      </c>
      <c r="M487" s="1" t="n"/>
      <c r="N487">
        <f>IF(OR(C487="",N(D487)=0),"",D487+ROW()/10000000)</f>
        <v/>
      </c>
      <c r="O487">
        <f>IF(N487="","",COUNTIFS(Fuel!$C$6:$C$605,C487,Fuel!$N$6:$N$605,"&gt;"&amp;N487))</f>
        <v/>
      </c>
      <c r="P487">
        <f>IF(OR(N487="",G487=""),"",COUNTIFS(Fuel!$C$6:$C$605,C487,Fuel!$G$6:$G$605,"&lt;&gt;",Fuel!$N$6:$N$605,"&lt;"&amp;N487))</f>
        <v/>
      </c>
      <c r="R487">
        <f>IF(OR(P487="",N(P487)=0),"",SUMIFS(Fuel!$D$6:$D$605,Fuel!$C$6:$C$605,C487,Fuel!$P$6:$P$605,P487-1))</f>
        <v/>
      </c>
    </row>
    <row r="488">
      <c r="A488" s="1" t="n"/>
      <c r="B488" s="29" t="n"/>
      <c r="C488" s="24" t="n"/>
      <c r="D488" s="28" t="n"/>
      <c r="E488" s="33" t="n"/>
      <c r="F488" s="34" t="n"/>
      <c r="G488" s="27" t="n"/>
      <c r="H488" s="14">
        <f>IF(OR(N(E488)=0,F488=""),"",F488/E488)</f>
        <v/>
      </c>
      <c r="I488" s="11">
        <f>IF(R488="","",D488-R488)</f>
        <v/>
      </c>
      <c r="J488" s="35">
        <f>IF(R488="","",SUMIFS(Fuel!$E$6:$E$605,Fuel!$C$6:$C$605,C488,Fuel!$D$6:$D$605,"&gt;"&amp;R488,Fuel!$D$6:$D$605,"&lt;="&amp;D488))</f>
        <v/>
      </c>
      <c r="K488" s="36">
        <f>IF(OR(I488="",N(I488)=0),"",J488/I488*100)</f>
        <v/>
      </c>
      <c r="L488" s="36">
        <f>IF(OR(J488="",N(J488)=0),"",I488/J488)</f>
        <v/>
      </c>
      <c r="M488" s="1" t="n"/>
      <c r="N488">
        <f>IF(OR(C488="",N(D488)=0),"",D488+ROW()/10000000)</f>
        <v/>
      </c>
      <c r="O488">
        <f>IF(N488="","",COUNTIFS(Fuel!$C$6:$C$605,C488,Fuel!$N$6:$N$605,"&gt;"&amp;N488))</f>
        <v/>
      </c>
      <c r="P488">
        <f>IF(OR(N488="",G488=""),"",COUNTIFS(Fuel!$C$6:$C$605,C488,Fuel!$G$6:$G$605,"&lt;&gt;",Fuel!$N$6:$N$605,"&lt;"&amp;N488))</f>
        <v/>
      </c>
      <c r="R488">
        <f>IF(OR(P488="",N(P488)=0),"",SUMIFS(Fuel!$D$6:$D$605,Fuel!$C$6:$C$605,C488,Fuel!$P$6:$P$605,P488-1))</f>
        <v/>
      </c>
    </row>
    <row r="489">
      <c r="A489" s="1" t="n"/>
      <c r="B489" s="29" t="n"/>
      <c r="C489" s="24" t="n"/>
      <c r="D489" s="28" t="n"/>
      <c r="E489" s="33" t="n"/>
      <c r="F489" s="34" t="n"/>
      <c r="G489" s="27" t="n"/>
      <c r="H489" s="14">
        <f>IF(OR(N(E489)=0,F489=""),"",F489/E489)</f>
        <v/>
      </c>
      <c r="I489" s="11">
        <f>IF(R489="","",D489-R489)</f>
        <v/>
      </c>
      <c r="J489" s="35">
        <f>IF(R489="","",SUMIFS(Fuel!$E$6:$E$605,Fuel!$C$6:$C$605,C489,Fuel!$D$6:$D$605,"&gt;"&amp;R489,Fuel!$D$6:$D$605,"&lt;="&amp;D489))</f>
        <v/>
      </c>
      <c r="K489" s="36">
        <f>IF(OR(I489="",N(I489)=0),"",J489/I489*100)</f>
        <v/>
      </c>
      <c r="L489" s="36">
        <f>IF(OR(J489="",N(J489)=0),"",I489/J489)</f>
        <v/>
      </c>
      <c r="M489" s="1" t="n"/>
      <c r="N489">
        <f>IF(OR(C489="",N(D489)=0),"",D489+ROW()/10000000)</f>
        <v/>
      </c>
      <c r="O489">
        <f>IF(N489="","",COUNTIFS(Fuel!$C$6:$C$605,C489,Fuel!$N$6:$N$605,"&gt;"&amp;N489))</f>
        <v/>
      </c>
      <c r="P489">
        <f>IF(OR(N489="",G489=""),"",COUNTIFS(Fuel!$C$6:$C$605,C489,Fuel!$G$6:$G$605,"&lt;&gt;",Fuel!$N$6:$N$605,"&lt;"&amp;N489))</f>
        <v/>
      </c>
      <c r="R489">
        <f>IF(OR(P489="",N(P489)=0),"",SUMIFS(Fuel!$D$6:$D$605,Fuel!$C$6:$C$605,C489,Fuel!$P$6:$P$605,P489-1))</f>
        <v/>
      </c>
    </row>
    <row r="490">
      <c r="A490" s="1" t="n"/>
      <c r="B490" s="29" t="n"/>
      <c r="C490" s="24" t="n"/>
      <c r="D490" s="28" t="n"/>
      <c r="E490" s="33" t="n"/>
      <c r="F490" s="34" t="n"/>
      <c r="G490" s="27" t="n"/>
      <c r="H490" s="14">
        <f>IF(OR(N(E490)=0,F490=""),"",F490/E490)</f>
        <v/>
      </c>
      <c r="I490" s="11">
        <f>IF(R490="","",D490-R490)</f>
        <v/>
      </c>
      <c r="J490" s="35">
        <f>IF(R490="","",SUMIFS(Fuel!$E$6:$E$605,Fuel!$C$6:$C$605,C490,Fuel!$D$6:$D$605,"&gt;"&amp;R490,Fuel!$D$6:$D$605,"&lt;="&amp;D490))</f>
        <v/>
      </c>
      <c r="K490" s="36">
        <f>IF(OR(I490="",N(I490)=0),"",J490/I490*100)</f>
        <v/>
      </c>
      <c r="L490" s="36">
        <f>IF(OR(J490="",N(J490)=0),"",I490/J490)</f>
        <v/>
      </c>
      <c r="M490" s="1" t="n"/>
      <c r="N490">
        <f>IF(OR(C490="",N(D490)=0),"",D490+ROW()/10000000)</f>
        <v/>
      </c>
      <c r="O490">
        <f>IF(N490="","",COUNTIFS(Fuel!$C$6:$C$605,C490,Fuel!$N$6:$N$605,"&gt;"&amp;N490))</f>
        <v/>
      </c>
      <c r="P490">
        <f>IF(OR(N490="",G490=""),"",COUNTIFS(Fuel!$C$6:$C$605,C490,Fuel!$G$6:$G$605,"&lt;&gt;",Fuel!$N$6:$N$605,"&lt;"&amp;N490))</f>
        <v/>
      </c>
      <c r="R490">
        <f>IF(OR(P490="",N(P490)=0),"",SUMIFS(Fuel!$D$6:$D$605,Fuel!$C$6:$C$605,C490,Fuel!$P$6:$P$605,P490-1))</f>
        <v/>
      </c>
    </row>
    <row r="491">
      <c r="A491" s="1" t="n"/>
      <c r="B491" s="29" t="n"/>
      <c r="C491" s="24" t="n"/>
      <c r="D491" s="28" t="n"/>
      <c r="E491" s="33" t="n"/>
      <c r="F491" s="34" t="n"/>
      <c r="G491" s="27" t="n"/>
      <c r="H491" s="14">
        <f>IF(OR(N(E491)=0,F491=""),"",F491/E491)</f>
        <v/>
      </c>
      <c r="I491" s="11">
        <f>IF(R491="","",D491-R491)</f>
        <v/>
      </c>
      <c r="J491" s="35">
        <f>IF(R491="","",SUMIFS(Fuel!$E$6:$E$605,Fuel!$C$6:$C$605,C491,Fuel!$D$6:$D$605,"&gt;"&amp;R491,Fuel!$D$6:$D$605,"&lt;="&amp;D491))</f>
        <v/>
      </c>
      <c r="K491" s="36">
        <f>IF(OR(I491="",N(I491)=0),"",J491/I491*100)</f>
        <v/>
      </c>
      <c r="L491" s="36">
        <f>IF(OR(J491="",N(J491)=0),"",I491/J491)</f>
        <v/>
      </c>
      <c r="M491" s="1" t="n"/>
      <c r="N491">
        <f>IF(OR(C491="",N(D491)=0),"",D491+ROW()/10000000)</f>
        <v/>
      </c>
      <c r="O491">
        <f>IF(N491="","",COUNTIFS(Fuel!$C$6:$C$605,C491,Fuel!$N$6:$N$605,"&gt;"&amp;N491))</f>
        <v/>
      </c>
      <c r="P491">
        <f>IF(OR(N491="",G491=""),"",COUNTIFS(Fuel!$C$6:$C$605,C491,Fuel!$G$6:$G$605,"&lt;&gt;",Fuel!$N$6:$N$605,"&lt;"&amp;N491))</f>
        <v/>
      </c>
      <c r="R491">
        <f>IF(OR(P491="",N(P491)=0),"",SUMIFS(Fuel!$D$6:$D$605,Fuel!$C$6:$C$605,C491,Fuel!$P$6:$P$605,P491-1))</f>
        <v/>
      </c>
    </row>
    <row r="492">
      <c r="A492" s="1" t="n"/>
      <c r="B492" s="29" t="n"/>
      <c r="C492" s="24" t="n"/>
      <c r="D492" s="28" t="n"/>
      <c r="E492" s="33" t="n"/>
      <c r="F492" s="34" t="n"/>
      <c r="G492" s="27" t="n"/>
      <c r="H492" s="14">
        <f>IF(OR(N(E492)=0,F492=""),"",F492/E492)</f>
        <v/>
      </c>
      <c r="I492" s="11">
        <f>IF(R492="","",D492-R492)</f>
        <v/>
      </c>
      <c r="J492" s="35">
        <f>IF(R492="","",SUMIFS(Fuel!$E$6:$E$605,Fuel!$C$6:$C$605,C492,Fuel!$D$6:$D$605,"&gt;"&amp;R492,Fuel!$D$6:$D$605,"&lt;="&amp;D492))</f>
        <v/>
      </c>
      <c r="K492" s="36">
        <f>IF(OR(I492="",N(I492)=0),"",J492/I492*100)</f>
        <v/>
      </c>
      <c r="L492" s="36">
        <f>IF(OR(J492="",N(J492)=0),"",I492/J492)</f>
        <v/>
      </c>
      <c r="M492" s="1" t="n"/>
      <c r="N492">
        <f>IF(OR(C492="",N(D492)=0),"",D492+ROW()/10000000)</f>
        <v/>
      </c>
      <c r="O492">
        <f>IF(N492="","",COUNTIFS(Fuel!$C$6:$C$605,C492,Fuel!$N$6:$N$605,"&gt;"&amp;N492))</f>
        <v/>
      </c>
      <c r="P492">
        <f>IF(OR(N492="",G492=""),"",COUNTIFS(Fuel!$C$6:$C$605,C492,Fuel!$G$6:$G$605,"&lt;&gt;",Fuel!$N$6:$N$605,"&lt;"&amp;N492))</f>
        <v/>
      </c>
      <c r="R492">
        <f>IF(OR(P492="",N(P492)=0),"",SUMIFS(Fuel!$D$6:$D$605,Fuel!$C$6:$C$605,C492,Fuel!$P$6:$P$605,P492-1))</f>
        <v/>
      </c>
    </row>
    <row r="493">
      <c r="A493" s="1" t="n"/>
      <c r="B493" s="29" t="n"/>
      <c r="C493" s="24" t="n"/>
      <c r="D493" s="28" t="n"/>
      <c r="E493" s="33" t="n"/>
      <c r="F493" s="34" t="n"/>
      <c r="G493" s="27" t="n"/>
      <c r="H493" s="14">
        <f>IF(OR(N(E493)=0,F493=""),"",F493/E493)</f>
        <v/>
      </c>
      <c r="I493" s="11">
        <f>IF(R493="","",D493-R493)</f>
        <v/>
      </c>
      <c r="J493" s="35">
        <f>IF(R493="","",SUMIFS(Fuel!$E$6:$E$605,Fuel!$C$6:$C$605,C493,Fuel!$D$6:$D$605,"&gt;"&amp;R493,Fuel!$D$6:$D$605,"&lt;="&amp;D493))</f>
        <v/>
      </c>
      <c r="K493" s="36">
        <f>IF(OR(I493="",N(I493)=0),"",J493/I493*100)</f>
        <v/>
      </c>
      <c r="L493" s="36">
        <f>IF(OR(J493="",N(J493)=0),"",I493/J493)</f>
        <v/>
      </c>
      <c r="M493" s="1" t="n"/>
      <c r="N493">
        <f>IF(OR(C493="",N(D493)=0),"",D493+ROW()/10000000)</f>
        <v/>
      </c>
      <c r="O493">
        <f>IF(N493="","",COUNTIFS(Fuel!$C$6:$C$605,C493,Fuel!$N$6:$N$605,"&gt;"&amp;N493))</f>
        <v/>
      </c>
      <c r="P493">
        <f>IF(OR(N493="",G493=""),"",COUNTIFS(Fuel!$C$6:$C$605,C493,Fuel!$G$6:$G$605,"&lt;&gt;",Fuel!$N$6:$N$605,"&lt;"&amp;N493))</f>
        <v/>
      </c>
      <c r="R493">
        <f>IF(OR(P493="",N(P493)=0),"",SUMIFS(Fuel!$D$6:$D$605,Fuel!$C$6:$C$605,C493,Fuel!$P$6:$P$605,P493-1))</f>
        <v/>
      </c>
    </row>
    <row r="494">
      <c r="A494" s="1" t="n"/>
      <c r="B494" s="29" t="n"/>
      <c r="C494" s="24" t="n"/>
      <c r="D494" s="28" t="n"/>
      <c r="E494" s="33" t="n"/>
      <c r="F494" s="34" t="n"/>
      <c r="G494" s="27" t="n"/>
      <c r="H494" s="14">
        <f>IF(OR(N(E494)=0,F494=""),"",F494/E494)</f>
        <v/>
      </c>
      <c r="I494" s="11">
        <f>IF(R494="","",D494-R494)</f>
        <v/>
      </c>
      <c r="J494" s="35">
        <f>IF(R494="","",SUMIFS(Fuel!$E$6:$E$605,Fuel!$C$6:$C$605,C494,Fuel!$D$6:$D$605,"&gt;"&amp;R494,Fuel!$D$6:$D$605,"&lt;="&amp;D494))</f>
        <v/>
      </c>
      <c r="K494" s="36">
        <f>IF(OR(I494="",N(I494)=0),"",J494/I494*100)</f>
        <v/>
      </c>
      <c r="L494" s="36">
        <f>IF(OR(J494="",N(J494)=0),"",I494/J494)</f>
        <v/>
      </c>
      <c r="M494" s="1" t="n"/>
      <c r="N494">
        <f>IF(OR(C494="",N(D494)=0),"",D494+ROW()/10000000)</f>
        <v/>
      </c>
      <c r="O494">
        <f>IF(N494="","",COUNTIFS(Fuel!$C$6:$C$605,C494,Fuel!$N$6:$N$605,"&gt;"&amp;N494))</f>
        <v/>
      </c>
      <c r="P494">
        <f>IF(OR(N494="",G494=""),"",COUNTIFS(Fuel!$C$6:$C$605,C494,Fuel!$G$6:$G$605,"&lt;&gt;",Fuel!$N$6:$N$605,"&lt;"&amp;N494))</f>
        <v/>
      </c>
      <c r="R494">
        <f>IF(OR(P494="",N(P494)=0),"",SUMIFS(Fuel!$D$6:$D$605,Fuel!$C$6:$C$605,C494,Fuel!$P$6:$P$605,P494-1))</f>
        <v/>
      </c>
    </row>
    <row r="495">
      <c r="A495" s="1" t="n"/>
      <c r="B495" s="29" t="n"/>
      <c r="C495" s="24" t="n"/>
      <c r="D495" s="28" t="n"/>
      <c r="E495" s="33" t="n"/>
      <c r="F495" s="34" t="n"/>
      <c r="G495" s="27" t="n"/>
      <c r="H495" s="14">
        <f>IF(OR(N(E495)=0,F495=""),"",F495/E495)</f>
        <v/>
      </c>
      <c r="I495" s="11">
        <f>IF(R495="","",D495-R495)</f>
        <v/>
      </c>
      <c r="J495" s="35">
        <f>IF(R495="","",SUMIFS(Fuel!$E$6:$E$605,Fuel!$C$6:$C$605,C495,Fuel!$D$6:$D$605,"&gt;"&amp;R495,Fuel!$D$6:$D$605,"&lt;="&amp;D495))</f>
        <v/>
      </c>
      <c r="K495" s="36">
        <f>IF(OR(I495="",N(I495)=0),"",J495/I495*100)</f>
        <v/>
      </c>
      <c r="L495" s="36">
        <f>IF(OR(J495="",N(J495)=0),"",I495/J495)</f>
        <v/>
      </c>
      <c r="M495" s="1" t="n"/>
      <c r="N495">
        <f>IF(OR(C495="",N(D495)=0),"",D495+ROW()/10000000)</f>
        <v/>
      </c>
      <c r="O495">
        <f>IF(N495="","",COUNTIFS(Fuel!$C$6:$C$605,C495,Fuel!$N$6:$N$605,"&gt;"&amp;N495))</f>
        <v/>
      </c>
      <c r="P495">
        <f>IF(OR(N495="",G495=""),"",COUNTIFS(Fuel!$C$6:$C$605,C495,Fuel!$G$6:$G$605,"&lt;&gt;",Fuel!$N$6:$N$605,"&lt;"&amp;N495))</f>
        <v/>
      </c>
      <c r="R495">
        <f>IF(OR(P495="",N(P495)=0),"",SUMIFS(Fuel!$D$6:$D$605,Fuel!$C$6:$C$605,C495,Fuel!$P$6:$P$605,P495-1))</f>
        <v/>
      </c>
    </row>
    <row r="496">
      <c r="A496" s="1" t="n"/>
      <c r="B496" s="29" t="n"/>
      <c r="C496" s="24" t="n"/>
      <c r="D496" s="28" t="n"/>
      <c r="E496" s="33" t="n"/>
      <c r="F496" s="34" t="n"/>
      <c r="G496" s="27" t="n"/>
      <c r="H496" s="14">
        <f>IF(OR(N(E496)=0,F496=""),"",F496/E496)</f>
        <v/>
      </c>
      <c r="I496" s="11">
        <f>IF(R496="","",D496-R496)</f>
        <v/>
      </c>
      <c r="J496" s="35">
        <f>IF(R496="","",SUMIFS(Fuel!$E$6:$E$605,Fuel!$C$6:$C$605,C496,Fuel!$D$6:$D$605,"&gt;"&amp;R496,Fuel!$D$6:$D$605,"&lt;="&amp;D496))</f>
        <v/>
      </c>
      <c r="K496" s="36">
        <f>IF(OR(I496="",N(I496)=0),"",J496/I496*100)</f>
        <v/>
      </c>
      <c r="L496" s="36">
        <f>IF(OR(J496="",N(J496)=0),"",I496/J496)</f>
        <v/>
      </c>
      <c r="M496" s="1" t="n"/>
      <c r="N496">
        <f>IF(OR(C496="",N(D496)=0),"",D496+ROW()/10000000)</f>
        <v/>
      </c>
      <c r="O496">
        <f>IF(N496="","",COUNTIFS(Fuel!$C$6:$C$605,C496,Fuel!$N$6:$N$605,"&gt;"&amp;N496))</f>
        <v/>
      </c>
      <c r="P496">
        <f>IF(OR(N496="",G496=""),"",COUNTIFS(Fuel!$C$6:$C$605,C496,Fuel!$G$6:$G$605,"&lt;&gt;",Fuel!$N$6:$N$605,"&lt;"&amp;N496))</f>
        <v/>
      </c>
      <c r="R496">
        <f>IF(OR(P496="",N(P496)=0),"",SUMIFS(Fuel!$D$6:$D$605,Fuel!$C$6:$C$605,C496,Fuel!$P$6:$P$605,P496-1))</f>
        <v/>
      </c>
    </row>
    <row r="497">
      <c r="A497" s="1" t="n"/>
      <c r="B497" s="29" t="n"/>
      <c r="C497" s="24" t="n"/>
      <c r="D497" s="28" t="n"/>
      <c r="E497" s="33" t="n"/>
      <c r="F497" s="34" t="n"/>
      <c r="G497" s="27" t="n"/>
      <c r="H497" s="14">
        <f>IF(OR(N(E497)=0,F497=""),"",F497/E497)</f>
        <v/>
      </c>
      <c r="I497" s="11">
        <f>IF(R497="","",D497-R497)</f>
        <v/>
      </c>
      <c r="J497" s="35">
        <f>IF(R497="","",SUMIFS(Fuel!$E$6:$E$605,Fuel!$C$6:$C$605,C497,Fuel!$D$6:$D$605,"&gt;"&amp;R497,Fuel!$D$6:$D$605,"&lt;="&amp;D497))</f>
        <v/>
      </c>
      <c r="K497" s="36">
        <f>IF(OR(I497="",N(I497)=0),"",J497/I497*100)</f>
        <v/>
      </c>
      <c r="L497" s="36">
        <f>IF(OR(J497="",N(J497)=0),"",I497/J497)</f>
        <v/>
      </c>
      <c r="M497" s="1" t="n"/>
      <c r="N497">
        <f>IF(OR(C497="",N(D497)=0),"",D497+ROW()/10000000)</f>
        <v/>
      </c>
      <c r="O497">
        <f>IF(N497="","",COUNTIFS(Fuel!$C$6:$C$605,C497,Fuel!$N$6:$N$605,"&gt;"&amp;N497))</f>
        <v/>
      </c>
      <c r="P497">
        <f>IF(OR(N497="",G497=""),"",COUNTIFS(Fuel!$C$6:$C$605,C497,Fuel!$G$6:$G$605,"&lt;&gt;",Fuel!$N$6:$N$605,"&lt;"&amp;N497))</f>
        <v/>
      </c>
      <c r="R497">
        <f>IF(OR(P497="",N(P497)=0),"",SUMIFS(Fuel!$D$6:$D$605,Fuel!$C$6:$C$605,C497,Fuel!$P$6:$P$605,P497-1))</f>
        <v/>
      </c>
    </row>
    <row r="498">
      <c r="A498" s="1" t="n"/>
      <c r="B498" s="29" t="n"/>
      <c r="C498" s="24" t="n"/>
      <c r="D498" s="28" t="n"/>
      <c r="E498" s="33" t="n"/>
      <c r="F498" s="34" t="n"/>
      <c r="G498" s="27" t="n"/>
      <c r="H498" s="14">
        <f>IF(OR(N(E498)=0,F498=""),"",F498/E498)</f>
        <v/>
      </c>
      <c r="I498" s="11">
        <f>IF(R498="","",D498-R498)</f>
        <v/>
      </c>
      <c r="J498" s="35">
        <f>IF(R498="","",SUMIFS(Fuel!$E$6:$E$605,Fuel!$C$6:$C$605,C498,Fuel!$D$6:$D$605,"&gt;"&amp;R498,Fuel!$D$6:$D$605,"&lt;="&amp;D498))</f>
        <v/>
      </c>
      <c r="K498" s="36">
        <f>IF(OR(I498="",N(I498)=0),"",J498/I498*100)</f>
        <v/>
      </c>
      <c r="L498" s="36">
        <f>IF(OR(J498="",N(J498)=0),"",I498/J498)</f>
        <v/>
      </c>
      <c r="M498" s="1" t="n"/>
      <c r="N498">
        <f>IF(OR(C498="",N(D498)=0),"",D498+ROW()/10000000)</f>
        <v/>
      </c>
      <c r="O498">
        <f>IF(N498="","",COUNTIFS(Fuel!$C$6:$C$605,C498,Fuel!$N$6:$N$605,"&gt;"&amp;N498))</f>
        <v/>
      </c>
      <c r="P498">
        <f>IF(OR(N498="",G498=""),"",COUNTIFS(Fuel!$C$6:$C$605,C498,Fuel!$G$6:$G$605,"&lt;&gt;",Fuel!$N$6:$N$605,"&lt;"&amp;N498))</f>
        <v/>
      </c>
      <c r="R498">
        <f>IF(OR(P498="",N(P498)=0),"",SUMIFS(Fuel!$D$6:$D$605,Fuel!$C$6:$C$605,C498,Fuel!$P$6:$P$605,P498-1))</f>
        <v/>
      </c>
    </row>
    <row r="499">
      <c r="A499" s="1" t="n"/>
      <c r="B499" s="29" t="n"/>
      <c r="C499" s="24" t="n"/>
      <c r="D499" s="28" t="n"/>
      <c r="E499" s="33" t="n"/>
      <c r="F499" s="34" t="n"/>
      <c r="G499" s="27" t="n"/>
      <c r="H499" s="14">
        <f>IF(OR(N(E499)=0,F499=""),"",F499/E499)</f>
        <v/>
      </c>
      <c r="I499" s="11">
        <f>IF(R499="","",D499-R499)</f>
        <v/>
      </c>
      <c r="J499" s="35">
        <f>IF(R499="","",SUMIFS(Fuel!$E$6:$E$605,Fuel!$C$6:$C$605,C499,Fuel!$D$6:$D$605,"&gt;"&amp;R499,Fuel!$D$6:$D$605,"&lt;="&amp;D499))</f>
        <v/>
      </c>
      <c r="K499" s="36">
        <f>IF(OR(I499="",N(I499)=0),"",J499/I499*100)</f>
        <v/>
      </c>
      <c r="L499" s="36">
        <f>IF(OR(J499="",N(J499)=0),"",I499/J499)</f>
        <v/>
      </c>
      <c r="M499" s="1" t="n"/>
      <c r="N499">
        <f>IF(OR(C499="",N(D499)=0),"",D499+ROW()/10000000)</f>
        <v/>
      </c>
      <c r="O499">
        <f>IF(N499="","",COUNTIFS(Fuel!$C$6:$C$605,C499,Fuel!$N$6:$N$605,"&gt;"&amp;N499))</f>
        <v/>
      </c>
      <c r="P499">
        <f>IF(OR(N499="",G499=""),"",COUNTIFS(Fuel!$C$6:$C$605,C499,Fuel!$G$6:$G$605,"&lt;&gt;",Fuel!$N$6:$N$605,"&lt;"&amp;N499))</f>
        <v/>
      </c>
      <c r="R499">
        <f>IF(OR(P499="",N(P499)=0),"",SUMIFS(Fuel!$D$6:$D$605,Fuel!$C$6:$C$605,C499,Fuel!$P$6:$P$605,P499-1))</f>
        <v/>
      </c>
    </row>
    <row r="500">
      <c r="A500" s="1" t="n"/>
      <c r="B500" s="29" t="n"/>
      <c r="C500" s="24" t="n"/>
      <c r="D500" s="28" t="n"/>
      <c r="E500" s="33" t="n"/>
      <c r="F500" s="34" t="n"/>
      <c r="G500" s="27" t="n"/>
      <c r="H500" s="14">
        <f>IF(OR(N(E500)=0,F500=""),"",F500/E500)</f>
        <v/>
      </c>
      <c r="I500" s="11">
        <f>IF(R500="","",D500-R500)</f>
        <v/>
      </c>
      <c r="J500" s="35">
        <f>IF(R500="","",SUMIFS(Fuel!$E$6:$E$605,Fuel!$C$6:$C$605,C500,Fuel!$D$6:$D$605,"&gt;"&amp;R500,Fuel!$D$6:$D$605,"&lt;="&amp;D500))</f>
        <v/>
      </c>
      <c r="K500" s="36">
        <f>IF(OR(I500="",N(I500)=0),"",J500/I500*100)</f>
        <v/>
      </c>
      <c r="L500" s="36">
        <f>IF(OR(J500="",N(J500)=0),"",I500/J500)</f>
        <v/>
      </c>
      <c r="M500" s="1" t="n"/>
      <c r="N500">
        <f>IF(OR(C500="",N(D500)=0),"",D500+ROW()/10000000)</f>
        <v/>
      </c>
      <c r="O500">
        <f>IF(N500="","",COUNTIFS(Fuel!$C$6:$C$605,C500,Fuel!$N$6:$N$605,"&gt;"&amp;N500))</f>
        <v/>
      </c>
      <c r="P500">
        <f>IF(OR(N500="",G500=""),"",COUNTIFS(Fuel!$C$6:$C$605,C500,Fuel!$G$6:$G$605,"&lt;&gt;",Fuel!$N$6:$N$605,"&lt;"&amp;N500))</f>
        <v/>
      </c>
      <c r="R500">
        <f>IF(OR(P500="",N(P500)=0),"",SUMIFS(Fuel!$D$6:$D$605,Fuel!$C$6:$C$605,C500,Fuel!$P$6:$P$605,P500-1))</f>
        <v/>
      </c>
    </row>
    <row r="501">
      <c r="A501" s="1" t="n"/>
      <c r="B501" s="29" t="n"/>
      <c r="C501" s="24" t="n"/>
      <c r="D501" s="28" t="n"/>
      <c r="E501" s="33" t="n"/>
      <c r="F501" s="34" t="n"/>
      <c r="G501" s="27" t="n"/>
      <c r="H501" s="14">
        <f>IF(OR(N(E501)=0,F501=""),"",F501/E501)</f>
        <v/>
      </c>
      <c r="I501" s="11">
        <f>IF(R501="","",D501-R501)</f>
        <v/>
      </c>
      <c r="J501" s="35">
        <f>IF(R501="","",SUMIFS(Fuel!$E$6:$E$605,Fuel!$C$6:$C$605,C501,Fuel!$D$6:$D$605,"&gt;"&amp;R501,Fuel!$D$6:$D$605,"&lt;="&amp;D501))</f>
        <v/>
      </c>
      <c r="K501" s="36">
        <f>IF(OR(I501="",N(I501)=0),"",J501/I501*100)</f>
        <v/>
      </c>
      <c r="L501" s="36">
        <f>IF(OR(J501="",N(J501)=0),"",I501/J501)</f>
        <v/>
      </c>
      <c r="M501" s="1" t="n"/>
      <c r="N501">
        <f>IF(OR(C501="",N(D501)=0),"",D501+ROW()/10000000)</f>
        <v/>
      </c>
      <c r="O501">
        <f>IF(N501="","",COUNTIFS(Fuel!$C$6:$C$605,C501,Fuel!$N$6:$N$605,"&gt;"&amp;N501))</f>
        <v/>
      </c>
      <c r="P501">
        <f>IF(OR(N501="",G501=""),"",COUNTIFS(Fuel!$C$6:$C$605,C501,Fuel!$G$6:$G$605,"&lt;&gt;",Fuel!$N$6:$N$605,"&lt;"&amp;N501))</f>
        <v/>
      </c>
      <c r="R501">
        <f>IF(OR(P501="",N(P501)=0),"",SUMIFS(Fuel!$D$6:$D$605,Fuel!$C$6:$C$605,C501,Fuel!$P$6:$P$605,P501-1))</f>
        <v/>
      </c>
    </row>
    <row r="502">
      <c r="A502" s="1" t="n"/>
      <c r="B502" s="29" t="n"/>
      <c r="C502" s="24" t="n"/>
      <c r="D502" s="28" t="n"/>
      <c r="E502" s="33" t="n"/>
      <c r="F502" s="34" t="n"/>
      <c r="G502" s="27" t="n"/>
      <c r="H502" s="14">
        <f>IF(OR(N(E502)=0,F502=""),"",F502/E502)</f>
        <v/>
      </c>
      <c r="I502" s="11">
        <f>IF(R502="","",D502-R502)</f>
        <v/>
      </c>
      <c r="J502" s="35">
        <f>IF(R502="","",SUMIFS(Fuel!$E$6:$E$605,Fuel!$C$6:$C$605,C502,Fuel!$D$6:$D$605,"&gt;"&amp;R502,Fuel!$D$6:$D$605,"&lt;="&amp;D502))</f>
        <v/>
      </c>
      <c r="K502" s="36">
        <f>IF(OR(I502="",N(I502)=0),"",J502/I502*100)</f>
        <v/>
      </c>
      <c r="L502" s="36">
        <f>IF(OR(J502="",N(J502)=0),"",I502/J502)</f>
        <v/>
      </c>
      <c r="M502" s="1" t="n"/>
      <c r="N502">
        <f>IF(OR(C502="",N(D502)=0),"",D502+ROW()/10000000)</f>
        <v/>
      </c>
      <c r="O502">
        <f>IF(N502="","",COUNTIFS(Fuel!$C$6:$C$605,C502,Fuel!$N$6:$N$605,"&gt;"&amp;N502))</f>
        <v/>
      </c>
      <c r="P502">
        <f>IF(OR(N502="",G502=""),"",COUNTIFS(Fuel!$C$6:$C$605,C502,Fuel!$G$6:$G$605,"&lt;&gt;",Fuel!$N$6:$N$605,"&lt;"&amp;N502))</f>
        <v/>
      </c>
      <c r="R502">
        <f>IF(OR(P502="",N(P502)=0),"",SUMIFS(Fuel!$D$6:$D$605,Fuel!$C$6:$C$605,C502,Fuel!$P$6:$P$605,P502-1))</f>
        <v/>
      </c>
    </row>
    <row r="503">
      <c r="A503" s="1" t="n"/>
      <c r="B503" s="29" t="n"/>
      <c r="C503" s="24" t="n"/>
      <c r="D503" s="28" t="n"/>
      <c r="E503" s="33" t="n"/>
      <c r="F503" s="34" t="n"/>
      <c r="G503" s="27" t="n"/>
      <c r="H503" s="14">
        <f>IF(OR(N(E503)=0,F503=""),"",F503/E503)</f>
        <v/>
      </c>
      <c r="I503" s="11">
        <f>IF(R503="","",D503-R503)</f>
        <v/>
      </c>
      <c r="J503" s="35">
        <f>IF(R503="","",SUMIFS(Fuel!$E$6:$E$605,Fuel!$C$6:$C$605,C503,Fuel!$D$6:$D$605,"&gt;"&amp;R503,Fuel!$D$6:$D$605,"&lt;="&amp;D503))</f>
        <v/>
      </c>
      <c r="K503" s="36">
        <f>IF(OR(I503="",N(I503)=0),"",J503/I503*100)</f>
        <v/>
      </c>
      <c r="L503" s="36">
        <f>IF(OR(J503="",N(J503)=0),"",I503/J503)</f>
        <v/>
      </c>
      <c r="M503" s="1" t="n"/>
      <c r="N503">
        <f>IF(OR(C503="",N(D503)=0),"",D503+ROW()/10000000)</f>
        <v/>
      </c>
      <c r="O503">
        <f>IF(N503="","",COUNTIFS(Fuel!$C$6:$C$605,C503,Fuel!$N$6:$N$605,"&gt;"&amp;N503))</f>
        <v/>
      </c>
      <c r="P503">
        <f>IF(OR(N503="",G503=""),"",COUNTIFS(Fuel!$C$6:$C$605,C503,Fuel!$G$6:$G$605,"&lt;&gt;",Fuel!$N$6:$N$605,"&lt;"&amp;N503))</f>
        <v/>
      </c>
      <c r="R503">
        <f>IF(OR(P503="",N(P503)=0),"",SUMIFS(Fuel!$D$6:$D$605,Fuel!$C$6:$C$605,C503,Fuel!$P$6:$P$605,P503-1))</f>
        <v/>
      </c>
    </row>
    <row r="504">
      <c r="A504" s="1" t="n"/>
      <c r="B504" s="29" t="n"/>
      <c r="C504" s="24" t="n"/>
      <c r="D504" s="28" t="n"/>
      <c r="E504" s="33" t="n"/>
      <c r="F504" s="34" t="n"/>
      <c r="G504" s="27" t="n"/>
      <c r="H504" s="14">
        <f>IF(OR(N(E504)=0,F504=""),"",F504/E504)</f>
        <v/>
      </c>
      <c r="I504" s="11">
        <f>IF(R504="","",D504-R504)</f>
        <v/>
      </c>
      <c r="J504" s="35">
        <f>IF(R504="","",SUMIFS(Fuel!$E$6:$E$605,Fuel!$C$6:$C$605,C504,Fuel!$D$6:$D$605,"&gt;"&amp;R504,Fuel!$D$6:$D$605,"&lt;="&amp;D504))</f>
        <v/>
      </c>
      <c r="K504" s="36">
        <f>IF(OR(I504="",N(I504)=0),"",J504/I504*100)</f>
        <v/>
      </c>
      <c r="L504" s="36">
        <f>IF(OR(J504="",N(J504)=0),"",I504/J504)</f>
        <v/>
      </c>
      <c r="M504" s="1" t="n"/>
      <c r="N504">
        <f>IF(OR(C504="",N(D504)=0),"",D504+ROW()/10000000)</f>
        <v/>
      </c>
      <c r="O504">
        <f>IF(N504="","",COUNTIFS(Fuel!$C$6:$C$605,C504,Fuel!$N$6:$N$605,"&gt;"&amp;N504))</f>
        <v/>
      </c>
      <c r="P504">
        <f>IF(OR(N504="",G504=""),"",COUNTIFS(Fuel!$C$6:$C$605,C504,Fuel!$G$6:$G$605,"&lt;&gt;",Fuel!$N$6:$N$605,"&lt;"&amp;N504))</f>
        <v/>
      </c>
      <c r="R504">
        <f>IF(OR(P504="",N(P504)=0),"",SUMIFS(Fuel!$D$6:$D$605,Fuel!$C$6:$C$605,C504,Fuel!$P$6:$P$605,P504-1))</f>
        <v/>
      </c>
    </row>
    <row r="505">
      <c r="A505" s="1" t="n"/>
      <c r="B505" s="29" t="n"/>
      <c r="C505" s="24" t="n"/>
      <c r="D505" s="28" t="n"/>
      <c r="E505" s="33" t="n"/>
      <c r="F505" s="34" t="n"/>
      <c r="G505" s="27" t="n"/>
      <c r="H505" s="14">
        <f>IF(OR(N(E505)=0,F505=""),"",F505/E505)</f>
        <v/>
      </c>
      <c r="I505" s="11">
        <f>IF(R505="","",D505-R505)</f>
        <v/>
      </c>
      <c r="J505" s="35">
        <f>IF(R505="","",SUMIFS(Fuel!$E$6:$E$605,Fuel!$C$6:$C$605,C505,Fuel!$D$6:$D$605,"&gt;"&amp;R505,Fuel!$D$6:$D$605,"&lt;="&amp;D505))</f>
        <v/>
      </c>
      <c r="K505" s="36">
        <f>IF(OR(I505="",N(I505)=0),"",J505/I505*100)</f>
        <v/>
      </c>
      <c r="L505" s="36">
        <f>IF(OR(J505="",N(J505)=0),"",I505/J505)</f>
        <v/>
      </c>
      <c r="M505" s="1" t="n"/>
      <c r="N505">
        <f>IF(OR(C505="",N(D505)=0),"",D505+ROW()/10000000)</f>
        <v/>
      </c>
      <c r="O505">
        <f>IF(N505="","",COUNTIFS(Fuel!$C$6:$C$605,C505,Fuel!$N$6:$N$605,"&gt;"&amp;N505))</f>
        <v/>
      </c>
      <c r="P505">
        <f>IF(OR(N505="",G505=""),"",COUNTIFS(Fuel!$C$6:$C$605,C505,Fuel!$G$6:$G$605,"&lt;&gt;",Fuel!$N$6:$N$605,"&lt;"&amp;N505))</f>
        <v/>
      </c>
      <c r="R505">
        <f>IF(OR(P505="",N(P505)=0),"",SUMIFS(Fuel!$D$6:$D$605,Fuel!$C$6:$C$605,C505,Fuel!$P$6:$P$605,P505-1))</f>
        <v/>
      </c>
    </row>
    <row r="506">
      <c r="A506" s="1" t="n"/>
      <c r="B506" s="29" t="n"/>
      <c r="C506" s="24" t="n"/>
      <c r="D506" s="28" t="n"/>
      <c r="E506" s="33" t="n"/>
      <c r="F506" s="34" t="n"/>
      <c r="G506" s="27" t="n"/>
      <c r="H506" s="14">
        <f>IF(OR(N(E506)=0,F506=""),"",F506/E506)</f>
        <v/>
      </c>
      <c r="I506" s="11">
        <f>IF(R506="","",D506-R506)</f>
        <v/>
      </c>
      <c r="J506" s="35">
        <f>IF(R506="","",SUMIFS(Fuel!$E$6:$E$605,Fuel!$C$6:$C$605,C506,Fuel!$D$6:$D$605,"&gt;"&amp;R506,Fuel!$D$6:$D$605,"&lt;="&amp;D506))</f>
        <v/>
      </c>
      <c r="K506" s="36">
        <f>IF(OR(I506="",N(I506)=0),"",J506/I506*100)</f>
        <v/>
      </c>
      <c r="L506" s="36">
        <f>IF(OR(J506="",N(J506)=0),"",I506/J506)</f>
        <v/>
      </c>
      <c r="M506" s="1" t="n"/>
      <c r="N506">
        <f>IF(OR(C506="",N(D506)=0),"",D506+ROW()/10000000)</f>
        <v/>
      </c>
      <c r="O506">
        <f>IF(N506="","",COUNTIFS(Fuel!$C$6:$C$605,C506,Fuel!$N$6:$N$605,"&gt;"&amp;N506))</f>
        <v/>
      </c>
      <c r="P506">
        <f>IF(OR(N506="",G506=""),"",COUNTIFS(Fuel!$C$6:$C$605,C506,Fuel!$G$6:$G$605,"&lt;&gt;",Fuel!$N$6:$N$605,"&lt;"&amp;N506))</f>
        <v/>
      </c>
      <c r="R506">
        <f>IF(OR(P506="",N(P506)=0),"",SUMIFS(Fuel!$D$6:$D$605,Fuel!$C$6:$C$605,C506,Fuel!$P$6:$P$605,P506-1))</f>
        <v/>
      </c>
    </row>
    <row r="507">
      <c r="A507" s="1" t="n"/>
      <c r="B507" s="29" t="n"/>
      <c r="C507" s="24" t="n"/>
      <c r="D507" s="28" t="n"/>
      <c r="E507" s="33" t="n"/>
      <c r="F507" s="34" t="n"/>
      <c r="G507" s="27" t="n"/>
      <c r="H507" s="14">
        <f>IF(OR(N(E507)=0,F507=""),"",F507/E507)</f>
        <v/>
      </c>
      <c r="I507" s="11">
        <f>IF(R507="","",D507-R507)</f>
        <v/>
      </c>
      <c r="J507" s="35">
        <f>IF(R507="","",SUMIFS(Fuel!$E$6:$E$605,Fuel!$C$6:$C$605,C507,Fuel!$D$6:$D$605,"&gt;"&amp;R507,Fuel!$D$6:$D$605,"&lt;="&amp;D507))</f>
        <v/>
      </c>
      <c r="K507" s="36">
        <f>IF(OR(I507="",N(I507)=0),"",J507/I507*100)</f>
        <v/>
      </c>
      <c r="L507" s="36">
        <f>IF(OR(J507="",N(J507)=0),"",I507/J507)</f>
        <v/>
      </c>
      <c r="M507" s="1" t="n"/>
      <c r="N507">
        <f>IF(OR(C507="",N(D507)=0),"",D507+ROW()/10000000)</f>
        <v/>
      </c>
      <c r="O507">
        <f>IF(N507="","",COUNTIFS(Fuel!$C$6:$C$605,C507,Fuel!$N$6:$N$605,"&gt;"&amp;N507))</f>
        <v/>
      </c>
      <c r="P507">
        <f>IF(OR(N507="",G507=""),"",COUNTIFS(Fuel!$C$6:$C$605,C507,Fuel!$G$6:$G$605,"&lt;&gt;",Fuel!$N$6:$N$605,"&lt;"&amp;N507))</f>
        <v/>
      </c>
      <c r="R507">
        <f>IF(OR(P507="",N(P507)=0),"",SUMIFS(Fuel!$D$6:$D$605,Fuel!$C$6:$C$605,C507,Fuel!$P$6:$P$605,P507-1))</f>
        <v/>
      </c>
    </row>
    <row r="508">
      <c r="A508" s="1" t="n"/>
      <c r="B508" s="29" t="n"/>
      <c r="C508" s="24" t="n"/>
      <c r="D508" s="28" t="n"/>
      <c r="E508" s="33" t="n"/>
      <c r="F508" s="34" t="n"/>
      <c r="G508" s="27" t="n"/>
      <c r="H508" s="14">
        <f>IF(OR(N(E508)=0,F508=""),"",F508/E508)</f>
        <v/>
      </c>
      <c r="I508" s="11">
        <f>IF(R508="","",D508-R508)</f>
        <v/>
      </c>
      <c r="J508" s="35">
        <f>IF(R508="","",SUMIFS(Fuel!$E$6:$E$605,Fuel!$C$6:$C$605,C508,Fuel!$D$6:$D$605,"&gt;"&amp;R508,Fuel!$D$6:$D$605,"&lt;="&amp;D508))</f>
        <v/>
      </c>
      <c r="K508" s="36">
        <f>IF(OR(I508="",N(I508)=0),"",J508/I508*100)</f>
        <v/>
      </c>
      <c r="L508" s="36">
        <f>IF(OR(J508="",N(J508)=0),"",I508/J508)</f>
        <v/>
      </c>
      <c r="M508" s="1" t="n"/>
      <c r="N508">
        <f>IF(OR(C508="",N(D508)=0),"",D508+ROW()/10000000)</f>
        <v/>
      </c>
      <c r="O508">
        <f>IF(N508="","",COUNTIFS(Fuel!$C$6:$C$605,C508,Fuel!$N$6:$N$605,"&gt;"&amp;N508))</f>
        <v/>
      </c>
      <c r="P508">
        <f>IF(OR(N508="",G508=""),"",COUNTIFS(Fuel!$C$6:$C$605,C508,Fuel!$G$6:$G$605,"&lt;&gt;",Fuel!$N$6:$N$605,"&lt;"&amp;N508))</f>
        <v/>
      </c>
      <c r="R508">
        <f>IF(OR(P508="",N(P508)=0),"",SUMIFS(Fuel!$D$6:$D$605,Fuel!$C$6:$C$605,C508,Fuel!$P$6:$P$605,P508-1))</f>
        <v/>
      </c>
    </row>
    <row r="509">
      <c r="A509" s="1" t="n"/>
      <c r="B509" s="29" t="n"/>
      <c r="C509" s="24" t="n"/>
      <c r="D509" s="28" t="n"/>
      <c r="E509" s="33" t="n"/>
      <c r="F509" s="34" t="n"/>
      <c r="G509" s="27" t="n"/>
      <c r="H509" s="14">
        <f>IF(OR(N(E509)=0,F509=""),"",F509/E509)</f>
        <v/>
      </c>
      <c r="I509" s="11">
        <f>IF(R509="","",D509-R509)</f>
        <v/>
      </c>
      <c r="J509" s="35">
        <f>IF(R509="","",SUMIFS(Fuel!$E$6:$E$605,Fuel!$C$6:$C$605,C509,Fuel!$D$6:$D$605,"&gt;"&amp;R509,Fuel!$D$6:$D$605,"&lt;="&amp;D509))</f>
        <v/>
      </c>
      <c r="K509" s="36">
        <f>IF(OR(I509="",N(I509)=0),"",J509/I509*100)</f>
        <v/>
      </c>
      <c r="L509" s="36">
        <f>IF(OR(J509="",N(J509)=0),"",I509/J509)</f>
        <v/>
      </c>
      <c r="M509" s="1" t="n"/>
      <c r="N509">
        <f>IF(OR(C509="",N(D509)=0),"",D509+ROW()/10000000)</f>
        <v/>
      </c>
      <c r="O509">
        <f>IF(N509="","",COUNTIFS(Fuel!$C$6:$C$605,C509,Fuel!$N$6:$N$605,"&gt;"&amp;N509))</f>
        <v/>
      </c>
      <c r="P509">
        <f>IF(OR(N509="",G509=""),"",COUNTIFS(Fuel!$C$6:$C$605,C509,Fuel!$G$6:$G$605,"&lt;&gt;",Fuel!$N$6:$N$605,"&lt;"&amp;N509))</f>
        <v/>
      </c>
      <c r="R509">
        <f>IF(OR(P509="",N(P509)=0),"",SUMIFS(Fuel!$D$6:$D$605,Fuel!$C$6:$C$605,C509,Fuel!$P$6:$P$605,P509-1))</f>
        <v/>
      </c>
    </row>
    <row r="510">
      <c r="A510" s="1" t="n"/>
      <c r="B510" s="29" t="n"/>
      <c r="C510" s="24" t="n"/>
      <c r="D510" s="28" t="n"/>
      <c r="E510" s="33" t="n"/>
      <c r="F510" s="34" t="n"/>
      <c r="G510" s="27" t="n"/>
      <c r="H510" s="14">
        <f>IF(OR(N(E510)=0,F510=""),"",F510/E510)</f>
        <v/>
      </c>
      <c r="I510" s="11">
        <f>IF(R510="","",D510-R510)</f>
        <v/>
      </c>
      <c r="J510" s="35">
        <f>IF(R510="","",SUMIFS(Fuel!$E$6:$E$605,Fuel!$C$6:$C$605,C510,Fuel!$D$6:$D$605,"&gt;"&amp;R510,Fuel!$D$6:$D$605,"&lt;="&amp;D510))</f>
        <v/>
      </c>
      <c r="K510" s="36">
        <f>IF(OR(I510="",N(I510)=0),"",J510/I510*100)</f>
        <v/>
      </c>
      <c r="L510" s="36">
        <f>IF(OR(J510="",N(J510)=0),"",I510/J510)</f>
        <v/>
      </c>
      <c r="M510" s="1" t="n"/>
      <c r="N510">
        <f>IF(OR(C510="",N(D510)=0),"",D510+ROW()/10000000)</f>
        <v/>
      </c>
      <c r="O510">
        <f>IF(N510="","",COUNTIFS(Fuel!$C$6:$C$605,C510,Fuel!$N$6:$N$605,"&gt;"&amp;N510))</f>
        <v/>
      </c>
      <c r="P510">
        <f>IF(OR(N510="",G510=""),"",COUNTIFS(Fuel!$C$6:$C$605,C510,Fuel!$G$6:$G$605,"&lt;&gt;",Fuel!$N$6:$N$605,"&lt;"&amp;N510))</f>
        <v/>
      </c>
      <c r="R510">
        <f>IF(OR(P510="",N(P510)=0),"",SUMIFS(Fuel!$D$6:$D$605,Fuel!$C$6:$C$605,C510,Fuel!$P$6:$P$605,P510-1))</f>
        <v/>
      </c>
    </row>
    <row r="511">
      <c r="A511" s="1" t="n"/>
      <c r="B511" s="29" t="n"/>
      <c r="C511" s="24" t="n"/>
      <c r="D511" s="28" t="n"/>
      <c r="E511" s="33" t="n"/>
      <c r="F511" s="34" t="n"/>
      <c r="G511" s="27" t="n"/>
      <c r="H511" s="14">
        <f>IF(OR(N(E511)=0,F511=""),"",F511/E511)</f>
        <v/>
      </c>
      <c r="I511" s="11">
        <f>IF(R511="","",D511-R511)</f>
        <v/>
      </c>
      <c r="J511" s="35">
        <f>IF(R511="","",SUMIFS(Fuel!$E$6:$E$605,Fuel!$C$6:$C$605,C511,Fuel!$D$6:$D$605,"&gt;"&amp;R511,Fuel!$D$6:$D$605,"&lt;="&amp;D511))</f>
        <v/>
      </c>
      <c r="K511" s="36">
        <f>IF(OR(I511="",N(I511)=0),"",J511/I511*100)</f>
        <v/>
      </c>
      <c r="L511" s="36">
        <f>IF(OR(J511="",N(J511)=0),"",I511/J511)</f>
        <v/>
      </c>
      <c r="M511" s="1" t="n"/>
      <c r="N511">
        <f>IF(OR(C511="",N(D511)=0),"",D511+ROW()/10000000)</f>
        <v/>
      </c>
      <c r="O511">
        <f>IF(N511="","",COUNTIFS(Fuel!$C$6:$C$605,C511,Fuel!$N$6:$N$605,"&gt;"&amp;N511))</f>
        <v/>
      </c>
      <c r="P511">
        <f>IF(OR(N511="",G511=""),"",COUNTIFS(Fuel!$C$6:$C$605,C511,Fuel!$G$6:$G$605,"&lt;&gt;",Fuel!$N$6:$N$605,"&lt;"&amp;N511))</f>
        <v/>
      </c>
      <c r="R511">
        <f>IF(OR(P511="",N(P511)=0),"",SUMIFS(Fuel!$D$6:$D$605,Fuel!$C$6:$C$605,C511,Fuel!$P$6:$P$605,P511-1))</f>
        <v/>
      </c>
    </row>
    <row r="512">
      <c r="A512" s="1" t="n"/>
      <c r="B512" s="29" t="n"/>
      <c r="C512" s="24" t="n"/>
      <c r="D512" s="28" t="n"/>
      <c r="E512" s="33" t="n"/>
      <c r="F512" s="34" t="n"/>
      <c r="G512" s="27" t="n"/>
      <c r="H512" s="14">
        <f>IF(OR(N(E512)=0,F512=""),"",F512/E512)</f>
        <v/>
      </c>
      <c r="I512" s="11">
        <f>IF(R512="","",D512-R512)</f>
        <v/>
      </c>
      <c r="J512" s="35">
        <f>IF(R512="","",SUMIFS(Fuel!$E$6:$E$605,Fuel!$C$6:$C$605,C512,Fuel!$D$6:$D$605,"&gt;"&amp;R512,Fuel!$D$6:$D$605,"&lt;="&amp;D512))</f>
        <v/>
      </c>
      <c r="K512" s="36">
        <f>IF(OR(I512="",N(I512)=0),"",J512/I512*100)</f>
        <v/>
      </c>
      <c r="L512" s="36">
        <f>IF(OR(J512="",N(J512)=0),"",I512/J512)</f>
        <v/>
      </c>
      <c r="M512" s="1" t="n"/>
      <c r="N512">
        <f>IF(OR(C512="",N(D512)=0),"",D512+ROW()/10000000)</f>
        <v/>
      </c>
      <c r="O512">
        <f>IF(N512="","",COUNTIFS(Fuel!$C$6:$C$605,C512,Fuel!$N$6:$N$605,"&gt;"&amp;N512))</f>
        <v/>
      </c>
      <c r="P512">
        <f>IF(OR(N512="",G512=""),"",COUNTIFS(Fuel!$C$6:$C$605,C512,Fuel!$G$6:$G$605,"&lt;&gt;",Fuel!$N$6:$N$605,"&lt;"&amp;N512))</f>
        <v/>
      </c>
      <c r="R512">
        <f>IF(OR(P512="",N(P512)=0),"",SUMIFS(Fuel!$D$6:$D$605,Fuel!$C$6:$C$605,C512,Fuel!$P$6:$P$605,P512-1))</f>
        <v/>
      </c>
    </row>
    <row r="513">
      <c r="A513" s="1" t="n"/>
      <c r="B513" s="29" t="n"/>
      <c r="C513" s="24" t="n"/>
      <c r="D513" s="28" t="n"/>
      <c r="E513" s="33" t="n"/>
      <c r="F513" s="34" t="n"/>
      <c r="G513" s="27" t="n"/>
      <c r="H513" s="14">
        <f>IF(OR(N(E513)=0,F513=""),"",F513/E513)</f>
        <v/>
      </c>
      <c r="I513" s="11">
        <f>IF(R513="","",D513-R513)</f>
        <v/>
      </c>
      <c r="J513" s="35">
        <f>IF(R513="","",SUMIFS(Fuel!$E$6:$E$605,Fuel!$C$6:$C$605,C513,Fuel!$D$6:$D$605,"&gt;"&amp;R513,Fuel!$D$6:$D$605,"&lt;="&amp;D513))</f>
        <v/>
      </c>
      <c r="K513" s="36">
        <f>IF(OR(I513="",N(I513)=0),"",J513/I513*100)</f>
        <v/>
      </c>
      <c r="L513" s="36">
        <f>IF(OR(J513="",N(J513)=0),"",I513/J513)</f>
        <v/>
      </c>
      <c r="M513" s="1" t="n"/>
      <c r="N513">
        <f>IF(OR(C513="",N(D513)=0),"",D513+ROW()/10000000)</f>
        <v/>
      </c>
      <c r="O513">
        <f>IF(N513="","",COUNTIFS(Fuel!$C$6:$C$605,C513,Fuel!$N$6:$N$605,"&gt;"&amp;N513))</f>
        <v/>
      </c>
      <c r="P513">
        <f>IF(OR(N513="",G513=""),"",COUNTIFS(Fuel!$C$6:$C$605,C513,Fuel!$G$6:$G$605,"&lt;&gt;",Fuel!$N$6:$N$605,"&lt;"&amp;N513))</f>
        <v/>
      </c>
      <c r="R513">
        <f>IF(OR(P513="",N(P513)=0),"",SUMIFS(Fuel!$D$6:$D$605,Fuel!$C$6:$C$605,C513,Fuel!$P$6:$P$605,P513-1))</f>
        <v/>
      </c>
    </row>
    <row r="514">
      <c r="A514" s="1" t="n"/>
      <c r="B514" s="29" t="n"/>
      <c r="C514" s="24" t="n"/>
      <c r="D514" s="28" t="n"/>
      <c r="E514" s="33" t="n"/>
      <c r="F514" s="34" t="n"/>
      <c r="G514" s="27" t="n"/>
      <c r="H514" s="14">
        <f>IF(OR(N(E514)=0,F514=""),"",F514/E514)</f>
        <v/>
      </c>
      <c r="I514" s="11">
        <f>IF(R514="","",D514-R514)</f>
        <v/>
      </c>
      <c r="J514" s="35">
        <f>IF(R514="","",SUMIFS(Fuel!$E$6:$E$605,Fuel!$C$6:$C$605,C514,Fuel!$D$6:$D$605,"&gt;"&amp;R514,Fuel!$D$6:$D$605,"&lt;="&amp;D514))</f>
        <v/>
      </c>
      <c r="K514" s="36">
        <f>IF(OR(I514="",N(I514)=0),"",J514/I514*100)</f>
        <v/>
      </c>
      <c r="L514" s="36">
        <f>IF(OR(J514="",N(J514)=0),"",I514/J514)</f>
        <v/>
      </c>
      <c r="M514" s="1" t="n"/>
      <c r="N514">
        <f>IF(OR(C514="",N(D514)=0),"",D514+ROW()/10000000)</f>
        <v/>
      </c>
      <c r="O514">
        <f>IF(N514="","",COUNTIFS(Fuel!$C$6:$C$605,C514,Fuel!$N$6:$N$605,"&gt;"&amp;N514))</f>
        <v/>
      </c>
      <c r="P514">
        <f>IF(OR(N514="",G514=""),"",COUNTIFS(Fuel!$C$6:$C$605,C514,Fuel!$G$6:$G$605,"&lt;&gt;",Fuel!$N$6:$N$605,"&lt;"&amp;N514))</f>
        <v/>
      </c>
      <c r="R514">
        <f>IF(OR(P514="",N(P514)=0),"",SUMIFS(Fuel!$D$6:$D$605,Fuel!$C$6:$C$605,C514,Fuel!$P$6:$P$605,P514-1))</f>
        <v/>
      </c>
    </row>
    <row r="515">
      <c r="A515" s="1" t="n"/>
      <c r="B515" s="29" t="n"/>
      <c r="C515" s="24" t="n"/>
      <c r="D515" s="28" t="n"/>
      <c r="E515" s="33" t="n"/>
      <c r="F515" s="34" t="n"/>
      <c r="G515" s="27" t="n"/>
      <c r="H515" s="14">
        <f>IF(OR(N(E515)=0,F515=""),"",F515/E515)</f>
        <v/>
      </c>
      <c r="I515" s="11">
        <f>IF(R515="","",D515-R515)</f>
        <v/>
      </c>
      <c r="J515" s="35">
        <f>IF(R515="","",SUMIFS(Fuel!$E$6:$E$605,Fuel!$C$6:$C$605,C515,Fuel!$D$6:$D$605,"&gt;"&amp;R515,Fuel!$D$6:$D$605,"&lt;="&amp;D515))</f>
        <v/>
      </c>
      <c r="K515" s="36">
        <f>IF(OR(I515="",N(I515)=0),"",J515/I515*100)</f>
        <v/>
      </c>
      <c r="L515" s="36">
        <f>IF(OR(J515="",N(J515)=0),"",I515/J515)</f>
        <v/>
      </c>
      <c r="M515" s="1" t="n"/>
      <c r="N515">
        <f>IF(OR(C515="",N(D515)=0),"",D515+ROW()/10000000)</f>
        <v/>
      </c>
      <c r="O515">
        <f>IF(N515="","",COUNTIFS(Fuel!$C$6:$C$605,C515,Fuel!$N$6:$N$605,"&gt;"&amp;N515))</f>
        <v/>
      </c>
      <c r="P515">
        <f>IF(OR(N515="",G515=""),"",COUNTIFS(Fuel!$C$6:$C$605,C515,Fuel!$G$6:$G$605,"&lt;&gt;",Fuel!$N$6:$N$605,"&lt;"&amp;N515))</f>
        <v/>
      </c>
      <c r="R515">
        <f>IF(OR(P515="",N(P515)=0),"",SUMIFS(Fuel!$D$6:$D$605,Fuel!$C$6:$C$605,C515,Fuel!$P$6:$P$605,P515-1))</f>
        <v/>
      </c>
    </row>
    <row r="516">
      <c r="A516" s="1" t="n"/>
      <c r="B516" s="29" t="n"/>
      <c r="C516" s="24" t="n"/>
      <c r="D516" s="28" t="n"/>
      <c r="E516" s="33" t="n"/>
      <c r="F516" s="34" t="n"/>
      <c r="G516" s="27" t="n"/>
      <c r="H516" s="14">
        <f>IF(OR(N(E516)=0,F516=""),"",F516/E516)</f>
        <v/>
      </c>
      <c r="I516" s="11">
        <f>IF(R516="","",D516-R516)</f>
        <v/>
      </c>
      <c r="J516" s="35">
        <f>IF(R516="","",SUMIFS(Fuel!$E$6:$E$605,Fuel!$C$6:$C$605,C516,Fuel!$D$6:$D$605,"&gt;"&amp;R516,Fuel!$D$6:$D$605,"&lt;="&amp;D516))</f>
        <v/>
      </c>
      <c r="K516" s="36">
        <f>IF(OR(I516="",N(I516)=0),"",J516/I516*100)</f>
        <v/>
      </c>
      <c r="L516" s="36">
        <f>IF(OR(J516="",N(J516)=0),"",I516/J516)</f>
        <v/>
      </c>
      <c r="M516" s="1" t="n"/>
      <c r="N516">
        <f>IF(OR(C516="",N(D516)=0),"",D516+ROW()/10000000)</f>
        <v/>
      </c>
      <c r="O516">
        <f>IF(N516="","",COUNTIFS(Fuel!$C$6:$C$605,C516,Fuel!$N$6:$N$605,"&gt;"&amp;N516))</f>
        <v/>
      </c>
      <c r="P516">
        <f>IF(OR(N516="",G516=""),"",COUNTIFS(Fuel!$C$6:$C$605,C516,Fuel!$G$6:$G$605,"&lt;&gt;",Fuel!$N$6:$N$605,"&lt;"&amp;N516))</f>
        <v/>
      </c>
      <c r="R516">
        <f>IF(OR(P516="",N(P516)=0),"",SUMIFS(Fuel!$D$6:$D$605,Fuel!$C$6:$C$605,C516,Fuel!$P$6:$P$605,P516-1))</f>
        <v/>
      </c>
    </row>
    <row r="517">
      <c r="A517" s="1" t="n"/>
      <c r="B517" s="29" t="n"/>
      <c r="C517" s="24" t="n"/>
      <c r="D517" s="28" t="n"/>
      <c r="E517" s="33" t="n"/>
      <c r="F517" s="34" t="n"/>
      <c r="G517" s="27" t="n"/>
      <c r="H517" s="14">
        <f>IF(OR(N(E517)=0,F517=""),"",F517/E517)</f>
        <v/>
      </c>
      <c r="I517" s="11">
        <f>IF(R517="","",D517-R517)</f>
        <v/>
      </c>
      <c r="J517" s="35">
        <f>IF(R517="","",SUMIFS(Fuel!$E$6:$E$605,Fuel!$C$6:$C$605,C517,Fuel!$D$6:$D$605,"&gt;"&amp;R517,Fuel!$D$6:$D$605,"&lt;="&amp;D517))</f>
        <v/>
      </c>
      <c r="K517" s="36">
        <f>IF(OR(I517="",N(I517)=0),"",J517/I517*100)</f>
        <v/>
      </c>
      <c r="L517" s="36">
        <f>IF(OR(J517="",N(J517)=0),"",I517/J517)</f>
        <v/>
      </c>
      <c r="M517" s="1" t="n"/>
      <c r="N517">
        <f>IF(OR(C517="",N(D517)=0),"",D517+ROW()/10000000)</f>
        <v/>
      </c>
      <c r="O517">
        <f>IF(N517="","",COUNTIFS(Fuel!$C$6:$C$605,C517,Fuel!$N$6:$N$605,"&gt;"&amp;N517))</f>
        <v/>
      </c>
      <c r="P517">
        <f>IF(OR(N517="",G517=""),"",COUNTIFS(Fuel!$C$6:$C$605,C517,Fuel!$G$6:$G$605,"&lt;&gt;",Fuel!$N$6:$N$605,"&lt;"&amp;N517))</f>
        <v/>
      </c>
      <c r="R517">
        <f>IF(OR(P517="",N(P517)=0),"",SUMIFS(Fuel!$D$6:$D$605,Fuel!$C$6:$C$605,C517,Fuel!$P$6:$P$605,P517-1))</f>
        <v/>
      </c>
    </row>
    <row r="518">
      <c r="A518" s="1" t="n"/>
      <c r="B518" s="29" t="n"/>
      <c r="C518" s="24" t="n"/>
      <c r="D518" s="28" t="n"/>
      <c r="E518" s="33" t="n"/>
      <c r="F518" s="34" t="n"/>
      <c r="G518" s="27" t="n"/>
      <c r="H518" s="14">
        <f>IF(OR(N(E518)=0,F518=""),"",F518/E518)</f>
        <v/>
      </c>
      <c r="I518" s="11">
        <f>IF(R518="","",D518-R518)</f>
        <v/>
      </c>
      <c r="J518" s="35">
        <f>IF(R518="","",SUMIFS(Fuel!$E$6:$E$605,Fuel!$C$6:$C$605,C518,Fuel!$D$6:$D$605,"&gt;"&amp;R518,Fuel!$D$6:$D$605,"&lt;="&amp;D518))</f>
        <v/>
      </c>
      <c r="K518" s="36">
        <f>IF(OR(I518="",N(I518)=0),"",J518/I518*100)</f>
        <v/>
      </c>
      <c r="L518" s="36">
        <f>IF(OR(J518="",N(J518)=0),"",I518/J518)</f>
        <v/>
      </c>
      <c r="M518" s="1" t="n"/>
      <c r="N518">
        <f>IF(OR(C518="",N(D518)=0),"",D518+ROW()/10000000)</f>
        <v/>
      </c>
      <c r="O518">
        <f>IF(N518="","",COUNTIFS(Fuel!$C$6:$C$605,C518,Fuel!$N$6:$N$605,"&gt;"&amp;N518))</f>
        <v/>
      </c>
      <c r="P518">
        <f>IF(OR(N518="",G518=""),"",COUNTIFS(Fuel!$C$6:$C$605,C518,Fuel!$G$6:$G$605,"&lt;&gt;",Fuel!$N$6:$N$605,"&lt;"&amp;N518))</f>
        <v/>
      </c>
      <c r="R518">
        <f>IF(OR(P518="",N(P518)=0),"",SUMIFS(Fuel!$D$6:$D$605,Fuel!$C$6:$C$605,C518,Fuel!$P$6:$P$605,P518-1))</f>
        <v/>
      </c>
    </row>
    <row r="519">
      <c r="A519" s="1" t="n"/>
      <c r="B519" s="29" t="n"/>
      <c r="C519" s="24" t="n"/>
      <c r="D519" s="28" t="n"/>
      <c r="E519" s="33" t="n"/>
      <c r="F519" s="34" t="n"/>
      <c r="G519" s="27" t="n"/>
      <c r="H519" s="14">
        <f>IF(OR(N(E519)=0,F519=""),"",F519/E519)</f>
        <v/>
      </c>
      <c r="I519" s="11">
        <f>IF(R519="","",D519-R519)</f>
        <v/>
      </c>
      <c r="J519" s="35">
        <f>IF(R519="","",SUMIFS(Fuel!$E$6:$E$605,Fuel!$C$6:$C$605,C519,Fuel!$D$6:$D$605,"&gt;"&amp;R519,Fuel!$D$6:$D$605,"&lt;="&amp;D519))</f>
        <v/>
      </c>
      <c r="K519" s="36">
        <f>IF(OR(I519="",N(I519)=0),"",J519/I519*100)</f>
        <v/>
      </c>
      <c r="L519" s="36">
        <f>IF(OR(J519="",N(J519)=0),"",I519/J519)</f>
        <v/>
      </c>
      <c r="M519" s="1" t="n"/>
      <c r="N519">
        <f>IF(OR(C519="",N(D519)=0),"",D519+ROW()/10000000)</f>
        <v/>
      </c>
      <c r="O519">
        <f>IF(N519="","",COUNTIFS(Fuel!$C$6:$C$605,C519,Fuel!$N$6:$N$605,"&gt;"&amp;N519))</f>
        <v/>
      </c>
      <c r="P519">
        <f>IF(OR(N519="",G519=""),"",COUNTIFS(Fuel!$C$6:$C$605,C519,Fuel!$G$6:$G$605,"&lt;&gt;",Fuel!$N$6:$N$605,"&lt;"&amp;N519))</f>
        <v/>
      </c>
      <c r="R519">
        <f>IF(OR(P519="",N(P519)=0),"",SUMIFS(Fuel!$D$6:$D$605,Fuel!$C$6:$C$605,C519,Fuel!$P$6:$P$605,P519-1))</f>
        <v/>
      </c>
    </row>
    <row r="520">
      <c r="A520" s="1" t="n"/>
      <c r="B520" s="29" t="n"/>
      <c r="C520" s="24" t="n"/>
      <c r="D520" s="28" t="n"/>
      <c r="E520" s="33" t="n"/>
      <c r="F520" s="34" t="n"/>
      <c r="G520" s="27" t="n"/>
      <c r="H520" s="14">
        <f>IF(OR(N(E520)=0,F520=""),"",F520/E520)</f>
        <v/>
      </c>
      <c r="I520" s="11">
        <f>IF(R520="","",D520-R520)</f>
        <v/>
      </c>
      <c r="J520" s="35">
        <f>IF(R520="","",SUMIFS(Fuel!$E$6:$E$605,Fuel!$C$6:$C$605,C520,Fuel!$D$6:$D$605,"&gt;"&amp;R520,Fuel!$D$6:$D$605,"&lt;="&amp;D520))</f>
        <v/>
      </c>
      <c r="K520" s="36">
        <f>IF(OR(I520="",N(I520)=0),"",J520/I520*100)</f>
        <v/>
      </c>
      <c r="L520" s="36">
        <f>IF(OR(J520="",N(J520)=0),"",I520/J520)</f>
        <v/>
      </c>
      <c r="M520" s="1" t="n"/>
      <c r="N520">
        <f>IF(OR(C520="",N(D520)=0),"",D520+ROW()/10000000)</f>
        <v/>
      </c>
      <c r="O520">
        <f>IF(N520="","",COUNTIFS(Fuel!$C$6:$C$605,C520,Fuel!$N$6:$N$605,"&gt;"&amp;N520))</f>
        <v/>
      </c>
      <c r="P520">
        <f>IF(OR(N520="",G520=""),"",COUNTIFS(Fuel!$C$6:$C$605,C520,Fuel!$G$6:$G$605,"&lt;&gt;",Fuel!$N$6:$N$605,"&lt;"&amp;N520))</f>
        <v/>
      </c>
      <c r="R520">
        <f>IF(OR(P520="",N(P520)=0),"",SUMIFS(Fuel!$D$6:$D$605,Fuel!$C$6:$C$605,C520,Fuel!$P$6:$P$605,P520-1))</f>
        <v/>
      </c>
    </row>
    <row r="521">
      <c r="A521" s="1" t="n"/>
      <c r="B521" s="29" t="n"/>
      <c r="C521" s="24" t="n"/>
      <c r="D521" s="28" t="n"/>
      <c r="E521" s="33" t="n"/>
      <c r="F521" s="34" t="n"/>
      <c r="G521" s="27" t="n"/>
      <c r="H521" s="14">
        <f>IF(OR(N(E521)=0,F521=""),"",F521/E521)</f>
        <v/>
      </c>
      <c r="I521" s="11">
        <f>IF(R521="","",D521-R521)</f>
        <v/>
      </c>
      <c r="J521" s="35">
        <f>IF(R521="","",SUMIFS(Fuel!$E$6:$E$605,Fuel!$C$6:$C$605,C521,Fuel!$D$6:$D$605,"&gt;"&amp;R521,Fuel!$D$6:$D$605,"&lt;="&amp;D521))</f>
        <v/>
      </c>
      <c r="K521" s="36">
        <f>IF(OR(I521="",N(I521)=0),"",J521/I521*100)</f>
        <v/>
      </c>
      <c r="L521" s="36">
        <f>IF(OR(J521="",N(J521)=0),"",I521/J521)</f>
        <v/>
      </c>
      <c r="M521" s="1" t="n"/>
      <c r="N521">
        <f>IF(OR(C521="",N(D521)=0),"",D521+ROW()/10000000)</f>
        <v/>
      </c>
      <c r="O521">
        <f>IF(N521="","",COUNTIFS(Fuel!$C$6:$C$605,C521,Fuel!$N$6:$N$605,"&gt;"&amp;N521))</f>
        <v/>
      </c>
      <c r="P521">
        <f>IF(OR(N521="",G521=""),"",COUNTIFS(Fuel!$C$6:$C$605,C521,Fuel!$G$6:$G$605,"&lt;&gt;",Fuel!$N$6:$N$605,"&lt;"&amp;N521))</f>
        <v/>
      </c>
      <c r="R521">
        <f>IF(OR(P521="",N(P521)=0),"",SUMIFS(Fuel!$D$6:$D$605,Fuel!$C$6:$C$605,C521,Fuel!$P$6:$P$605,P521-1))</f>
        <v/>
      </c>
    </row>
    <row r="522">
      <c r="A522" s="1" t="n"/>
      <c r="B522" s="29" t="n"/>
      <c r="C522" s="24" t="n"/>
      <c r="D522" s="28" t="n"/>
      <c r="E522" s="33" t="n"/>
      <c r="F522" s="34" t="n"/>
      <c r="G522" s="27" t="n"/>
      <c r="H522" s="14">
        <f>IF(OR(N(E522)=0,F522=""),"",F522/E522)</f>
        <v/>
      </c>
      <c r="I522" s="11">
        <f>IF(R522="","",D522-R522)</f>
        <v/>
      </c>
      <c r="J522" s="35">
        <f>IF(R522="","",SUMIFS(Fuel!$E$6:$E$605,Fuel!$C$6:$C$605,C522,Fuel!$D$6:$D$605,"&gt;"&amp;R522,Fuel!$D$6:$D$605,"&lt;="&amp;D522))</f>
        <v/>
      </c>
      <c r="K522" s="36">
        <f>IF(OR(I522="",N(I522)=0),"",J522/I522*100)</f>
        <v/>
      </c>
      <c r="L522" s="36">
        <f>IF(OR(J522="",N(J522)=0),"",I522/J522)</f>
        <v/>
      </c>
      <c r="M522" s="1" t="n"/>
      <c r="N522">
        <f>IF(OR(C522="",N(D522)=0),"",D522+ROW()/10000000)</f>
        <v/>
      </c>
      <c r="O522">
        <f>IF(N522="","",COUNTIFS(Fuel!$C$6:$C$605,C522,Fuel!$N$6:$N$605,"&gt;"&amp;N522))</f>
        <v/>
      </c>
      <c r="P522">
        <f>IF(OR(N522="",G522=""),"",COUNTIFS(Fuel!$C$6:$C$605,C522,Fuel!$G$6:$G$605,"&lt;&gt;",Fuel!$N$6:$N$605,"&lt;"&amp;N522))</f>
        <v/>
      </c>
      <c r="R522">
        <f>IF(OR(P522="",N(P522)=0),"",SUMIFS(Fuel!$D$6:$D$605,Fuel!$C$6:$C$605,C522,Fuel!$P$6:$P$605,P522-1))</f>
        <v/>
      </c>
    </row>
    <row r="523">
      <c r="A523" s="1" t="n"/>
      <c r="B523" s="29" t="n"/>
      <c r="C523" s="24" t="n"/>
      <c r="D523" s="28" t="n"/>
      <c r="E523" s="33" t="n"/>
      <c r="F523" s="34" t="n"/>
      <c r="G523" s="27" t="n"/>
      <c r="H523" s="14">
        <f>IF(OR(N(E523)=0,F523=""),"",F523/E523)</f>
        <v/>
      </c>
      <c r="I523" s="11">
        <f>IF(R523="","",D523-R523)</f>
        <v/>
      </c>
      <c r="J523" s="35">
        <f>IF(R523="","",SUMIFS(Fuel!$E$6:$E$605,Fuel!$C$6:$C$605,C523,Fuel!$D$6:$D$605,"&gt;"&amp;R523,Fuel!$D$6:$D$605,"&lt;="&amp;D523))</f>
        <v/>
      </c>
      <c r="K523" s="36">
        <f>IF(OR(I523="",N(I523)=0),"",J523/I523*100)</f>
        <v/>
      </c>
      <c r="L523" s="36">
        <f>IF(OR(J523="",N(J523)=0),"",I523/J523)</f>
        <v/>
      </c>
      <c r="M523" s="1" t="n"/>
      <c r="N523">
        <f>IF(OR(C523="",N(D523)=0),"",D523+ROW()/10000000)</f>
        <v/>
      </c>
      <c r="O523">
        <f>IF(N523="","",COUNTIFS(Fuel!$C$6:$C$605,C523,Fuel!$N$6:$N$605,"&gt;"&amp;N523))</f>
        <v/>
      </c>
      <c r="P523">
        <f>IF(OR(N523="",G523=""),"",COUNTIFS(Fuel!$C$6:$C$605,C523,Fuel!$G$6:$G$605,"&lt;&gt;",Fuel!$N$6:$N$605,"&lt;"&amp;N523))</f>
        <v/>
      </c>
      <c r="R523">
        <f>IF(OR(P523="",N(P523)=0),"",SUMIFS(Fuel!$D$6:$D$605,Fuel!$C$6:$C$605,C523,Fuel!$P$6:$P$605,P523-1))</f>
        <v/>
      </c>
    </row>
    <row r="524">
      <c r="A524" s="1" t="n"/>
      <c r="B524" s="29" t="n"/>
      <c r="C524" s="24" t="n"/>
      <c r="D524" s="28" t="n"/>
      <c r="E524" s="33" t="n"/>
      <c r="F524" s="34" t="n"/>
      <c r="G524" s="27" t="n"/>
      <c r="H524" s="14">
        <f>IF(OR(N(E524)=0,F524=""),"",F524/E524)</f>
        <v/>
      </c>
      <c r="I524" s="11">
        <f>IF(R524="","",D524-R524)</f>
        <v/>
      </c>
      <c r="J524" s="35">
        <f>IF(R524="","",SUMIFS(Fuel!$E$6:$E$605,Fuel!$C$6:$C$605,C524,Fuel!$D$6:$D$605,"&gt;"&amp;R524,Fuel!$D$6:$D$605,"&lt;="&amp;D524))</f>
        <v/>
      </c>
      <c r="K524" s="36">
        <f>IF(OR(I524="",N(I524)=0),"",J524/I524*100)</f>
        <v/>
      </c>
      <c r="L524" s="36">
        <f>IF(OR(J524="",N(J524)=0),"",I524/J524)</f>
        <v/>
      </c>
      <c r="M524" s="1" t="n"/>
      <c r="N524">
        <f>IF(OR(C524="",N(D524)=0),"",D524+ROW()/10000000)</f>
        <v/>
      </c>
      <c r="O524">
        <f>IF(N524="","",COUNTIFS(Fuel!$C$6:$C$605,C524,Fuel!$N$6:$N$605,"&gt;"&amp;N524))</f>
        <v/>
      </c>
      <c r="P524">
        <f>IF(OR(N524="",G524=""),"",COUNTIFS(Fuel!$C$6:$C$605,C524,Fuel!$G$6:$G$605,"&lt;&gt;",Fuel!$N$6:$N$605,"&lt;"&amp;N524))</f>
        <v/>
      </c>
      <c r="R524">
        <f>IF(OR(P524="",N(P524)=0),"",SUMIFS(Fuel!$D$6:$D$605,Fuel!$C$6:$C$605,C524,Fuel!$P$6:$P$605,P524-1))</f>
        <v/>
      </c>
    </row>
    <row r="525">
      <c r="A525" s="1" t="n"/>
      <c r="B525" s="29" t="n"/>
      <c r="C525" s="24" t="n"/>
      <c r="D525" s="28" t="n"/>
      <c r="E525" s="33" t="n"/>
      <c r="F525" s="34" t="n"/>
      <c r="G525" s="27" t="n"/>
      <c r="H525" s="14">
        <f>IF(OR(N(E525)=0,F525=""),"",F525/E525)</f>
        <v/>
      </c>
      <c r="I525" s="11">
        <f>IF(R525="","",D525-R525)</f>
        <v/>
      </c>
      <c r="J525" s="35">
        <f>IF(R525="","",SUMIFS(Fuel!$E$6:$E$605,Fuel!$C$6:$C$605,C525,Fuel!$D$6:$D$605,"&gt;"&amp;R525,Fuel!$D$6:$D$605,"&lt;="&amp;D525))</f>
        <v/>
      </c>
      <c r="K525" s="36">
        <f>IF(OR(I525="",N(I525)=0),"",J525/I525*100)</f>
        <v/>
      </c>
      <c r="L525" s="36">
        <f>IF(OR(J525="",N(J525)=0),"",I525/J525)</f>
        <v/>
      </c>
      <c r="M525" s="1" t="n"/>
      <c r="N525">
        <f>IF(OR(C525="",N(D525)=0),"",D525+ROW()/10000000)</f>
        <v/>
      </c>
      <c r="O525">
        <f>IF(N525="","",COUNTIFS(Fuel!$C$6:$C$605,C525,Fuel!$N$6:$N$605,"&gt;"&amp;N525))</f>
        <v/>
      </c>
      <c r="P525">
        <f>IF(OR(N525="",G525=""),"",COUNTIFS(Fuel!$C$6:$C$605,C525,Fuel!$G$6:$G$605,"&lt;&gt;",Fuel!$N$6:$N$605,"&lt;"&amp;N525))</f>
        <v/>
      </c>
      <c r="R525">
        <f>IF(OR(P525="",N(P525)=0),"",SUMIFS(Fuel!$D$6:$D$605,Fuel!$C$6:$C$605,C525,Fuel!$P$6:$P$605,P525-1))</f>
        <v/>
      </c>
    </row>
    <row r="526">
      <c r="A526" s="1" t="n"/>
      <c r="B526" s="29" t="n"/>
      <c r="C526" s="24" t="n"/>
      <c r="D526" s="28" t="n"/>
      <c r="E526" s="33" t="n"/>
      <c r="F526" s="34" t="n"/>
      <c r="G526" s="27" t="n"/>
      <c r="H526" s="14">
        <f>IF(OR(N(E526)=0,F526=""),"",F526/E526)</f>
        <v/>
      </c>
      <c r="I526" s="11">
        <f>IF(R526="","",D526-R526)</f>
        <v/>
      </c>
      <c r="J526" s="35">
        <f>IF(R526="","",SUMIFS(Fuel!$E$6:$E$605,Fuel!$C$6:$C$605,C526,Fuel!$D$6:$D$605,"&gt;"&amp;R526,Fuel!$D$6:$D$605,"&lt;="&amp;D526))</f>
        <v/>
      </c>
      <c r="K526" s="36">
        <f>IF(OR(I526="",N(I526)=0),"",J526/I526*100)</f>
        <v/>
      </c>
      <c r="L526" s="36">
        <f>IF(OR(J526="",N(J526)=0),"",I526/J526)</f>
        <v/>
      </c>
      <c r="M526" s="1" t="n"/>
      <c r="N526">
        <f>IF(OR(C526="",N(D526)=0),"",D526+ROW()/10000000)</f>
        <v/>
      </c>
      <c r="O526">
        <f>IF(N526="","",COUNTIFS(Fuel!$C$6:$C$605,C526,Fuel!$N$6:$N$605,"&gt;"&amp;N526))</f>
        <v/>
      </c>
      <c r="P526">
        <f>IF(OR(N526="",G526=""),"",COUNTIFS(Fuel!$C$6:$C$605,C526,Fuel!$G$6:$G$605,"&lt;&gt;",Fuel!$N$6:$N$605,"&lt;"&amp;N526))</f>
        <v/>
      </c>
      <c r="R526">
        <f>IF(OR(P526="",N(P526)=0),"",SUMIFS(Fuel!$D$6:$D$605,Fuel!$C$6:$C$605,C526,Fuel!$P$6:$P$605,P526-1))</f>
        <v/>
      </c>
    </row>
    <row r="527">
      <c r="A527" s="1" t="n"/>
      <c r="B527" s="29" t="n"/>
      <c r="C527" s="24" t="n"/>
      <c r="D527" s="28" t="n"/>
      <c r="E527" s="33" t="n"/>
      <c r="F527" s="34" t="n"/>
      <c r="G527" s="27" t="n"/>
      <c r="H527" s="14">
        <f>IF(OR(N(E527)=0,F527=""),"",F527/E527)</f>
        <v/>
      </c>
      <c r="I527" s="11">
        <f>IF(R527="","",D527-R527)</f>
        <v/>
      </c>
      <c r="J527" s="35">
        <f>IF(R527="","",SUMIFS(Fuel!$E$6:$E$605,Fuel!$C$6:$C$605,C527,Fuel!$D$6:$D$605,"&gt;"&amp;R527,Fuel!$D$6:$D$605,"&lt;="&amp;D527))</f>
        <v/>
      </c>
      <c r="K527" s="36">
        <f>IF(OR(I527="",N(I527)=0),"",J527/I527*100)</f>
        <v/>
      </c>
      <c r="L527" s="36">
        <f>IF(OR(J527="",N(J527)=0),"",I527/J527)</f>
        <v/>
      </c>
      <c r="M527" s="1" t="n"/>
      <c r="N527">
        <f>IF(OR(C527="",N(D527)=0),"",D527+ROW()/10000000)</f>
        <v/>
      </c>
      <c r="O527">
        <f>IF(N527="","",COUNTIFS(Fuel!$C$6:$C$605,C527,Fuel!$N$6:$N$605,"&gt;"&amp;N527))</f>
        <v/>
      </c>
      <c r="P527">
        <f>IF(OR(N527="",G527=""),"",COUNTIFS(Fuel!$C$6:$C$605,C527,Fuel!$G$6:$G$605,"&lt;&gt;",Fuel!$N$6:$N$605,"&lt;"&amp;N527))</f>
        <v/>
      </c>
      <c r="R527">
        <f>IF(OR(P527="",N(P527)=0),"",SUMIFS(Fuel!$D$6:$D$605,Fuel!$C$6:$C$605,C527,Fuel!$P$6:$P$605,P527-1))</f>
        <v/>
      </c>
    </row>
    <row r="528">
      <c r="A528" s="1" t="n"/>
      <c r="B528" s="29" t="n"/>
      <c r="C528" s="24" t="n"/>
      <c r="D528" s="28" t="n"/>
      <c r="E528" s="33" t="n"/>
      <c r="F528" s="34" t="n"/>
      <c r="G528" s="27" t="n"/>
      <c r="H528" s="14">
        <f>IF(OR(N(E528)=0,F528=""),"",F528/E528)</f>
        <v/>
      </c>
      <c r="I528" s="11">
        <f>IF(R528="","",D528-R528)</f>
        <v/>
      </c>
      <c r="J528" s="35">
        <f>IF(R528="","",SUMIFS(Fuel!$E$6:$E$605,Fuel!$C$6:$C$605,C528,Fuel!$D$6:$D$605,"&gt;"&amp;R528,Fuel!$D$6:$D$605,"&lt;="&amp;D528))</f>
        <v/>
      </c>
      <c r="K528" s="36">
        <f>IF(OR(I528="",N(I528)=0),"",J528/I528*100)</f>
        <v/>
      </c>
      <c r="L528" s="36">
        <f>IF(OR(J528="",N(J528)=0),"",I528/J528)</f>
        <v/>
      </c>
      <c r="M528" s="1" t="n"/>
      <c r="N528">
        <f>IF(OR(C528="",N(D528)=0),"",D528+ROW()/10000000)</f>
        <v/>
      </c>
      <c r="O528">
        <f>IF(N528="","",COUNTIFS(Fuel!$C$6:$C$605,C528,Fuel!$N$6:$N$605,"&gt;"&amp;N528))</f>
        <v/>
      </c>
      <c r="P528">
        <f>IF(OR(N528="",G528=""),"",COUNTIFS(Fuel!$C$6:$C$605,C528,Fuel!$G$6:$G$605,"&lt;&gt;",Fuel!$N$6:$N$605,"&lt;"&amp;N528))</f>
        <v/>
      </c>
      <c r="R528">
        <f>IF(OR(P528="",N(P528)=0),"",SUMIFS(Fuel!$D$6:$D$605,Fuel!$C$6:$C$605,C528,Fuel!$P$6:$P$605,P528-1))</f>
        <v/>
      </c>
    </row>
    <row r="529">
      <c r="A529" s="1" t="n"/>
      <c r="B529" s="29" t="n"/>
      <c r="C529" s="24" t="n"/>
      <c r="D529" s="28" t="n"/>
      <c r="E529" s="33" t="n"/>
      <c r="F529" s="34" t="n"/>
      <c r="G529" s="27" t="n"/>
      <c r="H529" s="14">
        <f>IF(OR(N(E529)=0,F529=""),"",F529/E529)</f>
        <v/>
      </c>
      <c r="I529" s="11">
        <f>IF(R529="","",D529-R529)</f>
        <v/>
      </c>
      <c r="J529" s="35">
        <f>IF(R529="","",SUMIFS(Fuel!$E$6:$E$605,Fuel!$C$6:$C$605,C529,Fuel!$D$6:$D$605,"&gt;"&amp;R529,Fuel!$D$6:$D$605,"&lt;="&amp;D529))</f>
        <v/>
      </c>
      <c r="K529" s="36">
        <f>IF(OR(I529="",N(I529)=0),"",J529/I529*100)</f>
        <v/>
      </c>
      <c r="L529" s="36">
        <f>IF(OR(J529="",N(J529)=0),"",I529/J529)</f>
        <v/>
      </c>
      <c r="M529" s="1" t="n"/>
      <c r="N529">
        <f>IF(OR(C529="",N(D529)=0),"",D529+ROW()/10000000)</f>
        <v/>
      </c>
      <c r="O529">
        <f>IF(N529="","",COUNTIFS(Fuel!$C$6:$C$605,C529,Fuel!$N$6:$N$605,"&gt;"&amp;N529))</f>
        <v/>
      </c>
      <c r="P529">
        <f>IF(OR(N529="",G529=""),"",COUNTIFS(Fuel!$C$6:$C$605,C529,Fuel!$G$6:$G$605,"&lt;&gt;",Fuel!$N$6:$N$605,"&lt;"&amp;N529))</f>
        <v/>
      </c>
      <c r="R529">
        <f>IF(OR(P529="",N(P529)=0),"",SUMIFS(Fuel!$D$6:$D$605,Fuel!$C$6:$C$605,C529,Fuel!$P$6:$P$605,P529-1))</f>
        <v/>
      </c>
    </row>
    <row r="530">
      <c r="A530" s="1" t="n"/>
      <c r="B530" s="29" t="n"/>
      <c r="C530" s="24" t="n"/>
      <c r="D530" s="28" t="n"/>
      <c r="E530" s="33" t="n"/>
      <c r="F530" s="34" t="n"/>
      <c r="G530" s="27" t="n"/>
      <c r="H530" s="14">
        <f>IF(OR(N(E530)=0,F530=""),"",F530/E530)</f>
        <v/>
      </c>
      <c r="I530" s="11">
        <f>IF(R530="","",D530-R530)</f>
        <v/>
      </c>
      <c r="J530" s="35">
        <f>IF(R530="","",SUMIFS(Fuel!$E$6:$E$605,Fuel!$C$6:$C$605,C530,Fuel!$D$6:$D$605,"&gt;"&amp;R530,Fuel!$D$6:$D$605,"&lt;="&amp;D530))</f>
        <v/>
      </c>
      <c r="K530" s="36">
        <f>IF(OR(I530="",N(I530)=0),"",J530/I530*100)</f>
        <v/>
      </c>
      <c r="L530" s="36">
        <f>IF(OR(J530="",N(J530)=0),"",I530/J530)</f>
        <v/>
      </c>
      <c r="M530" s="1" t="n"/>
      <c r="N530">
        <f>IF(OR(C530="",N(D530)=0),"",D530+ROW()/10000000)</f>
        <v/>
      </c>
      <c r="O530">
        <f>IF(N530="","",COUNTIFS(Fuel!$C$6:$C$605,C530,Fuel!$N$6:$N$605,"&gt;"&amp;N530))</f>
        <v/>
      </c>
      <c r="P530">
        <f>IF(OR(N530="",G530=""),"",COUNTIFS(Fuel!$C$6:$C$605,C530,Fuel!$G$6:$G$605,"&lt;&gt;",Fuel!$N$6:$N$605,"&lt;"&amp;N530))</f>
        <v/>
      </c>
      <c r="R530">
        <f>IF(OR(P530="",N(P530)=0),"",SUMIFS(Fuel!$D$6:$D$605,Fuel!$C$6:$C$605,C530,Fuel!$P$6:$P$605,P530-1))</f>
        <v/>
      </c>
    </row>
    <row r="531">
      <c r="A531" s="1" t="n"/>
      <c r="B531" s="29" t="n"/>
      <c r="C531" s="24" t="n"/>
      <c r="D531" s="28" t="n"/>
      <c r="E531" s="33" t="n"/>
      <c r="F531" s="34" t="n"/>
      <c r="G531" s="27" t="n"/>
      <c r="H531" s="14">
        <f>IF(OR(N(E531)=0,F531=""),"",F531/E531)</f>
        <v/>
      </c>
      <c r="I531" s="11">
        <f>IF(R531="","",D531-R531)</f>
        <v/>
      </c>
      <c r="J531" s="35">
        <f>IF(R531="","",SUMIFS(Fuel!$E$6:$E$605,Fuel!$C$6:$C$605,C531,Fuel!$D$6:$D$605,"&gt;"&amp;R531,Fuel!$D$6:$D$605,"&lt;="&amp;D531))</f>
        <v/>
      </c>
      <c r="K531" s="36">
        <f>IF(OR(I531="",N(I531)=0),"",J531/I531*100)</f>
        <v/>
      </c>
      <c r="L531" s="36">
        <f>IF(OR(J531="",N(J531)=0),"",I531/J531)</f>
        <v/>
      </c>
      <c r="M531" s="1" t="n"/>
      <c r="N531">
        <f>IF(OR(C531="",N(D531)=0),"",D531+ROW()/10000000)</f>
        <v/>
      </c>
      <c r="O531">
        <f>IF(N531="","",COUNTIFS(Fuel!$C$6:$C$605,C531,Fuel!$N$6:$N$605,"&gt;"&amp;N531))</f>
        <v/>
      </c>
      <c r="P531">
        <f>IF(OR(N531="",G531=""),"",COUNTIFS(Fuel!$C$6:$C$605,C531,Fuel!$G$6:$G$605,"&lt;&gt;",Fuel!$N$6:$N$605,"&lt;"&amp;N531))</f>
        <v/>
      </c>
      <c r="R531">
        <f>IF(OR(P531="",N(P531)=0),"",SUMIFS(Fuel!$D$6:$D$605,Fuel!$C$6:$C$605,C531,Fuel!$P$6:$P$605,P531-1))</f>
        <v/>
      </c>
    </row>
    <row r="532">
      <c r="A532" s="1" t="n"/>
      <c r="B532" s="29" t="n"/>
      <c r="C532" s="24" t="n"/>
      <c r="D532" s="28" t="n"/>
      <c r="E532" s="33" t="n"/>
      <c r="F532" s="34" t="n"/>
      <c r="G532" s="27" t="n"/>
      <c r="H532" s="14">
        <f>IF(OR(N(E532)=0,F532=""),"",F532/E532)</f>
        <v/>
      </c>
      <c r="I532" s="11">
        <f>IF(R532="","",D532-R532)</f>
        <v/>
      </c>
      <c r="J532" s="35">
        <f>IF(R532="","",SUMIFS(Fuel!$E$6:$E$605,Fuel!$C$6:$C$605,C532,Fuel!$D$6:$D$605,"&gt;"&amp;R532,Fuel!$D$6:$D$605,"&lt;="&amp;D532))</f>
        <v/>
      </c>
      <c r="K532" s="36">
        <f>IF(OR(I532="",N(I532)=0),"",J532/I532*100)</f>
        <v/>
      </c>
      <c r="L532" s="36">
        <f>IF(OR(J532="",N(J532)=0),"",I532/J532)</f>
        <v/>
      </c>
      <c r="M532" s="1" t="n"/>
      <c r="N532">
        <f>IF(OR(C532="",N(D532)=0),"",D532+ROW()/10000000)</f>
        <v/>
      </c>
      <c r="O532">
        <f>IF(N532="","",COUNTIFS(Fuel!$C$6:$C$605,C532,Fuel!$N$6:$N$605,"&gt;"&amp;N532))</f>
        <v/>
      </c>
      <c r="P532">
        <f>IF(OR(N532="",G532=""),"",COUNTIFS(Fuel!$C$6:$C$605,C532,Fuel!$G$6:$G$605,"&lt;&gt;",Fuel!$N$6:$N$605,"&lt;"&amp;N532))</f>
        <v/>
      </c>
      <c r="R532">
        <f>IF(OR(P532="",N(P532)=0),"",SUMIFS(Fuel!$D$6:$D$605,Fuel!$C$6:$C$605,C532,Fuel!$P$6:$P$605,P532-1))</f>
        <v/>
      </c>
    </row>
    <row r="533">
      <c r="A533" s="1" t="n"/>
      <c r="B533" s="29" t="n"/>
      <c r="C533" s="24" t="n"/>
      <c r="D533" s="28" t="n"/>
      <c r="E533" s="33" t="n"/>
      <c r="F533" s="34" t="n"/>
      <c r="G533" s="27" t="n"/>
      <c r="H533" s="14">
        <f>IF(OR(N(E533)=0,F533=""),"",F533/E533)</f>
        <v/>
      </c>
      <c r="I533" s="11">
        <f>IF(R533="","",D533-R533)</f>
        <v/>
      </c>
      <c r="J533" s="35">
        <f>IF(R533="","",SUMIFS(Fuel!$E$6:$E$605,Fuel!$C$6:$C$605,C533,Fuel!$D$6:$D$605,"&gt;"&amp;R533,Fuel!$D$6:$D$605,"&lt;="&amp;D533))</f>
        <v/>
      </c>
      <c r="K533" s="36">
        <f>IF(OR(I533="",N(I533)=0),"",J533/I533*100)</f>
        <v/>
      </c>
      <c r="L533" s="36">
        <f>IF(OR(J533="",N(J533)=0),"",I533/J533)</f>
        <v/>
      </c>
      <c r="M533" s="1" t="n"/>
      <c r="N533">
        <f>IF(OR(C533="",N(D533)=0),"",D533+ROW()/10000000)</f>
        <v/>
      </c>
      <c r="O533">
        <f>IF(N533="","",COUNTIFS(Fuel!$C$6:$C$605,C533,Fuel!$N$6:$N$605,"&gt;"&amp;N533))</f>
        <v/>
      </c>
      <c r="P533">
        <f>IF(OR(N533="",G533=""),"",COUNTIFS(Fuel!$C$6:$C$605,C533,Fuel!$G$6:$G$605,"&lt;&gt;",Fuel!$N$6:$N$605,"&lt;"&amp;N533))</f>
        <v/>
      </c>
      <c r="R533">
        <f>IF(OR(P533="",N(P533)=0),"",SUMIFS(Fuel!$D$6:$D$605,Fuel!$C$6:$C$605,C533,Fuel!$P$6:$P$605,P533-1))</f>
        <v/>
      </c>
    </row>
    <row r="534">
      <c r="A534" s="1" t="n"/>
      <c r="B534" s="29" t="n"/>
      <c r="C534" s="24" t="n"/>
      <c r="D534" s="28" t="n"/>
      <c r="E534" s="33" t="n"/>
      <c r="F534" s="34" t="n"/>
      <c r="G534" s="27" t="n"/>
      <c r="H534" s="14">
        <f>IF(OR(N(E534)=0,F534=""),"",F534/E534)</f>
        <v/>
      </c>
      <c r="I534" s="11">
        <f>IF(R534="","",D534-R534)</f>
        <v/>
      </c>
      <c r="J534" s="35">
        <f>IF(R534="","",SUMIFS(Fuel!$E$6:$E$605,Fuel!$C$6:$C$605,C534,Fuel!$D$6:$D$605,"&gt;"&amp;R534,Fuel!$D$6:$D$605,"&lt;="&amp;D534))</f>
        <v/>
      </c>
      <c r="K534" s="36">
        <f>IF(OR(I534="",N(I534)=0),"",J534/I534*100)</f>
        <v/>
      </c>
      <c r="L534" s="36">
        <f>IF(OR(J534="",N(J534)=0),"",I534/J534)</f>
        <v/>
      </c>
      <c r="M534" s="1" t="n"/>
      <c r="N534">
        <f>IF(OR(C534="",N(D534)=0),"",D534+ROW()/10000000)</f>
        <v/>
      </c>
      <c r="O534">
        <f>IF(N534="","",COUNTIFS(Fuel!$C$6:$C$605,C534,Fuel!$N$6:$N$605,"&gt;"&amp;N534))</f>
        <v/>
      </c>
      <c r="P534">
        <f>IF(OR(N534="",G534=""),"",COUNTIFS(Fuel!$C$6:$C$605,C534,Fuel!$G$6:$G$605,"&lt;&gt;",Fuel!$N$6:$N$605,"&lt;"&amp;N534))</f>
        <v/>
      </c>
      <c r="R534">
        <f>IF(OR(P534="",N(P534)=0),"",SUMIFS(Fuel!$D$6:$D$605,Fuel!$C$6:$C$605,C534,Fuel!$P$6:$P$605,P534-1))</f>
        <v/>
      </c>
    </row>
    <row r="535">
      <c r="A535" s="1" t="n"/>
      <c r="B535" s="29" t="n"/>
      <c r="C535" s="24" t="n"/>
      <c r="D535" s="28" t="n"/>
      <c r="E535" s="33" t="n"/>
      <c r="F535" s="34" t="n"/>
      <c r="G535" s="27" t="n"/>
      <c r="H535" s="14">
        <f>IF(OR(N(E535)=0,F535=""),"",F535/E535)</f>
        <v/>
      </c>
      <c r="I535" s="11">
        <f>IF(R535="","",D535-R535)</f>
        <v/>
      </c>
      <c r="J535" s="35">
        <f>IF(R535="","",SUMIFS(Fuel!$E$6:$E$605,Fuel!$C$6:$C$605,C535,Fuel!$D$6:$D$605,"&gt;"&amp;R535,Fuel!$D$6:$D$605,"&lt;="&amp;D535))</f>
        <v/>
      </c>
      <c r="K535" s="36">
        <f>IF(OR(I535="",N(I535)=0),"",J535/I535*100)</f>
        <v/>
      </c>
      <c r="L535" s="36">
        <f>IF(OR(J535="",N(J535)=0),"",I535/J535)</f>
        <v/>
      </c>
      <c r="M535" s="1" t="n"/>
      <c r="N535">
        <f>IF(OR(C535="",N(D535)=0),"",D535+ROW()/10000000)</f>
        <v/>
      </c>
      <c r="O535">
        <f>IF(N535="","",COUNTIFS(Fuel!$C$6:$C$605,C535,Fuel!$N$6:$N$605,"&gt;"&amp;N535))</f>
        <v/>
      </c>
      <c r="P535">
        <f>IF(OR(N535="",G535=""),"",COUNTIFS(Fuel!$C$6:$C$605,C535,Fuel!$G$6:$G$605,"&lt;&gt;",Fuel!$N$6:$N$605,"&lt;"&amp;N535))</f>
        <v/>
      </c>
      <c r="R535">
        <f>IF(OR(P535="",N(P535)=0),"",SUMIFS(Fuel!$D$6:$D$605,Fuel!$C$6:$C$605,C535,Fuel!$P$6:$P$605,P535-1))</f>
        <v/>
      </c>
    </row>
    <row r="536">
      <c r="A536" s="1" t="n"/>
      <c r="B536" s="29" t="n"/>
      <c r="C536" s="24" t="n"/>
      <c r="D536" s="28" t="n"/>
      <c r="E536" s="33" t="n"/>
      <c r="F536" s="34" t="n"/>
      <c r="G536" s="27" t="n"/>
      <c r="H536" s="14">
        <f>IF(OR(N(E536)=0,F536=""),"",F536/E536)</f>
        <v/>
      </c>
      <c r="I536" s="11">
        <f>IF(R536="","",D536-R536)</f>
        <v/>
      </c>
      <c r="J536" s="35">
        <f>IF(R536="","",SUMIFS(Fuel!$E$6:$E$605,Fuel!$C$6:$C$605,C536,Fuel!$D$6:$D$605,"&gt;"&amp;R536,Fuel!$D$6:$D$605,"&lt;="&amp;D536))</f>
        <v/>
      </c>
      <c r="K536" s="36">
        <f>IF(OR(I536="",N(I536)=0),"",J536/I536*100)</f>
        <v/>
      </c>
      <c r="L536" s="36">
        <f>IF(OR(J536="",N(J536)=0),"",I536/J536)</f>
        <v/>
      </c>
      <c r="M536" s="1" t="n"/>
      <c r="N536">
        <f>IF(OR(C536="",N(D536)=0),"",D536+ROW()/10000000)</f>
        <v/>
      </c>
      <c r="O536">
        <f>IF(N536="","",COUNTIFS(Fuel!$C$6:$C$605,C536,Fuel!$N$6:$N$605,"&gt;"&amp;N536))</f>
        <v/>
      </c>
      <c r="P536">
        <f>IF(OR(N536="",G536=""),"",COUNTIFS(Fuel!$C$6:$C$605,C536,Fuel!$G$6:$G$605,"&lt;&gt;",Fuel!$N$6:$N$605,"&lt;"&amp;N536))</f>
        <v/>
      </c>
      <c r="R536">
        <f>IF(OR(P536="",N(P536)=0),"",SUMIFS(Fuel!$D$6:$D$605,Fuel!$C$6:$C$605,C536,Fuel!$P$6:$P$605,P536-1))</f>
        <v/>
      </c>
    </row>
    <row r="537">
      <c r="A537" s="1" t="n"/>
      <c r="B537" s="29" t="n"/>
      <c r="C537" s="24" t="n"/>
      <c r="D537" s="28" t="n"/>
      <c r="E537" s="33" t="n"/>
      <c r="F537" s="34" t="n"/>
      <c r="G537" s="27" t="n"/>
      <c r="H537" s="14">
        <f>IF(OR(N(E537)=0,F537=""),"",F537/E537)</f>
        <v/>
      </c>
      <c r="I537" s="11">
        <f>IF(R537="","",D537-R537)</f>
        <v/>
      </c>
      <c r="J537" s="35">
        <f>IF(R537="","",SUMIFS(Fuel!$E$6:$E$605,Fuel!$C$6:$C$605,C537,Fuel!$D$6:$D$605,"&gt;"&amp;R537,Fuel!$D$6:$D$605,"&lt;="&amp;D537))</f>
        <v/>
      </c>
      <c r="K537" s="36">
        <f>IF(OR(I537="",N(I537)=0),"",J537/I537*100)</f>
        <v/>
      </c>
      <c r="L537" s="36">
        <f>IF(OR(J537="",N(J537)=0),"",I537/J537)</f>
        <v/>
      </c>
      <c r="M537" s="1" t="n"/>
      <c r="N537">
        <f>IF(OR(C537="",N(D537)=0),"",D537+ROW()/10000000)</f>
        <v/>
      </c>
      <c r="O537">
        <f>IF(N537="","",COUNTIFS(Fuel!$C$6:$C$605,C537,Fuel!$N$6:$N$605,"&gt;"&amp;N537))</f>
        <v/>
      </c>
      <c r="P537">
        <f>IF(OR(N537="",G537=""),"",COUNTIFS(Fuel!$C$6:$C$605,C537,Fuel!$G$6:$G$605,"&lt;&gt;",Fuel!$N$6:$N$605,"&lt;"&amp;N537))</f>
        <v/>
      </c>
      <c r="R537">
        <f>IF(OR(P537="",N(P537)=0),"",SUMIFS(Fuel!$D$6:$D$605,Fuel!$C$6:$C$605,C537,Fuel!$P$6:$P$605,P537-1))</f>
        <v/>
      </c>
    </row>
    <row r="538">
      <c r="A538" s="1" t="n"/>
      <c r="B538" s="29" t="n"/>
      <c r="C538" s="24" t="n"/>
      <c r="D538" s="28" t="n"/>
      <c r="E538" s="33" t="n"/>
      <c r="F538" s="34" t="n"/>
      <c r="G538" s="27" t="n"/>
      <c r="H538" s="14">
        <f>IF(OR(N(E538)=0,F538=""),"",F538/E538)</f>
        <v/>
      </c>
      <c r="I538" s="11">
        <f>IF(R538="","",D538-R538)</f>
        <v/>
      </c>
      <c r="J538" s="35">
        <f>IF(R538="","",SUMIFS(Fuel!$E$6:$E$605,Fuel!$C$6:$C$605,C538,Fuel!$D$6:$D$605,"&gt;"&amp;R538,Fuel!$D$6:$D$605,"&lt;="&amp;D538))</f>
        <v/>
      </c>
      <c r="K538" s="36">
        <f>IF(OR(I538="",N(I538)=0),"",J538/I538*100)</f>
        <v/>
      </c>
      <c r="L538" s="36">
        <f>IF(OR(J538="",N(J538)=0),"",I538/J538)</f>
        <v/>
      </c>
      <c r="M538" s="1" t="n"/>
      <c r="N538">
        <f>IF(OR(C538="",N(D538)=0),"",D538+ROW()/10000000)</f>
        <v/>
      </c>
      <c r="O538">
        <f>IF(N538="","",COUNTIFS(Fuel!$C$6:$C$605,C538,Fuel!$N$6:$N$605,"&gt;"&amp;N538))</f>
        <v/>
      </c>
      <c r="P538">
        <f>IF(OR(N538="",G538=""),"",COUNTIFS(Fuel!$C$6:$C$605,C538,Fuel!$G$6:$G$605,"&lt;&gt;",Fuel!$N$6:$N$605,"&lt;"&amp;N538))</f>
        <v/>
      </c>
      <c r="R538">
        <f>IF(OR(P538="",N(P538)=0),"",SUMIFS(Fuel!$D$6:$D$605,Fuel!$C$6:$C$605,C538,Fuel!$P$6:$P$605,P538-1))</f>
        <v/>
      </c>
    </row>
    <row r="539">
      <c r="A539" s="1" t="n"/>
      <c r="B539" s="29" t="n"/>
      <c r="C539" s="24" t="n"/>
      <c r="D539" s="28" t="n"/>
      <c r="E539" s="33" t="n"/>
      <c r="F539" s="34" t="n"/>
      <c r="G539" s="27" t="n"/>
      <c r="H539" s="14">
        <f>IF(OR(N(E539)=0,F539=""),"",F539/E539)</f>
        <v/>
      </c>
      <c r="I539" s="11">
        <f>IF(R539="","",D539-R539)</f>
        <v/>
      </c>
      <c r="J539" s="35">
        <f>IF(R539="","",SUMIFS(Fuel!$E$6:$E$605,Fuel!$C$6:$C$605,C539,Fuel!$D$6:$D$605,"&gt;"&amp;R539,Fuel!$D$6:$D$605,"&lt;="&amp;D539))</f>
        <v/>
      </c>
      <c r="K539" s="36">
        <f>IF(OR(I539="",N(I539)=0),"",J539/I539*100)</f>
        <v/>
      </c>
      <c r="L539" s="36">
        <f>IF(OR(J539="",N(J539)=0),"",I539/J539)</f>
        <v/>
      </c>
      <c r="M539" s="1" t="n"/>
      <c r="N539">
        <f>IF(OR(C539="",N(D539)=0),"",D539+ROW()/10000000)</f>
        <v/>
      </c>
      <c r="O539">
        <f>IF(N539="","",COUNTIFS(Fuel!$C$6:$C$605,C539,Fuel!$N$6:$N$605,"&gt;"&amp;N539))</f>
        <v/>
      </c>
      <c r="P539">
        <f>IF(OR(N539="",G539=""),"",COUNTIFS(Fuel!$C$6:$C$605,C539,Fuel!$G$6:$G$605,"&lt;&gt;",Fuel!$N$6:$N$605,"&lt;"&amp;N539))</f>
        <v/>
      </c>
      <c r="R539">
        <f>IF(OR(P539="",N(P539)=0),"",SUMIFS(Fuel!$D$6:$D$605,Fuel!$C$6:$C$605,C539,Fuel!$P$6:$P$605,P539-1))</f>
        <v/>
      </c>
    </row>
    <row r="540">
      <c r="A540" s="1" t="n"/>
      <c r="B540" s="29" t="n"/>
      <c r="C540" s="24" t="n"/>
      <c r="D540" s="28" t="n"/>
      <c r="E540" s="33" t="n"/>
      <c r="F540" s="34" t="n"/>
      <c r="G540" s="27" t="n"/>
      <c r="H540" s="14">
        <f>IF(OR(N(E540)=0,F540=""),"",F540/E540)</f>
        <v/>
      </c>
      <c r="I540" s="11">
        <f>IF(R540="","",D540-R540)</f>
        <v/>
      </c>
      <c r="J540" s="35">
        <f>IF(R540="","",SUMIFS(Fuel!$E$6:$E$605,Fuel!$C$6:$C$605,C540,Fuel!$D$6:$D$605,"&gt;"&amp;R540,Fuel!$D$6:$D$605,"&lt;="&amp;D540))</f>
        <v/>
      </c>
      <c r="K540" s="36">
        <f>IF(OR(I540="",N(I540)=0),"",J540/I540*100)</f>
        <v/>
      </c>
      <c r="L540" s="36">
        <f>IF(OR(J540="",N(J540)=0),"",I540/J540)</f>
        <v/>
      </c>
      <c r="M540" s="1" t="n"/>
      <c r="N540">
        <f>IF(OR(C540="",N(D540)=0),"",D540+ROW()/10000000)</f>
        <v/>
      </c>
      <c r="O540">
        <f>IF(N540="","",COUNTIFS(Fuel!$C$6:$C$605,C540,Fuel!$N$6:$N$605,"&gt;"&amp;N540))</f>
        <v/>
      </c>
      <c r="P540">
        <f>IF(OR(N540="",G540=""),"",COUNTIFS(Fuel!$C$6:$C$605,C540,Fuel!$G$6:$G$605,"&lt;&gt;",Fuel!$N$6:$N$605,"&lt;"&amp;N540))</f>
        <v/>
      </c>
      <c r="R540">
        <f>IF(OR(P540="",N(P540)=0),"",SUMIFS(Fuel!$D$6:$D$605,Fuel!$C$6:$C$605,C540,Fuel!$P$6:$P$605,P540-1))</f>
        <v/>
      </c>
    </row>
    <row r="541">
      <c r="A541" s="1" t="n"/>
      <c r="B541" s="29" t="n"/>
      <c r="C541" s="24" t="n"/>
      <c r="D541" s="28" t="n"/>
      <c r="E541" s="33" t="n"/>
      <c r="F541" s="34" t="n"/>
      <c r="G541" s="27" t="n"/>
      <c r="H541" s="14">
        <f>IF(OR(N(E541)=0,F541=""),"",F541/E541)</f>
        <v/>
      </c>
      <c r="I541" s="11">
        <f>IF(R541="","",D541-R541)</f>
        <v/>
      </c>
      <c r="J541" s="35">
        <f>IF(R541="","",SUMIFS(Fuel!$E$6:$E$605,Fuel!$C$6:$C$605,C541,Fuel!$D$6:$D$605,"&gt;"&amp;R541,Fuel!$D$6:$D$605,"&lt;="&amp;D541))</f>
        <v/>
      </c>
      <c r="K541" s="36">
        <f>IF(OR(I541="",N(I541)=0),"",J541/I541*100)</f>
        <v/>
      </c>
      <c r="L541" s="36">
        <f>IF(OR(J541="",N(J541)=0),"",I541/J541)</f>
        <v/>
      </c>
      <c r="M541" s="1" t="n"/>
      <c r="N541">
        <f>IF(OR(C541="",N(D541)=0),"",D541+ROW()/10000000)</f>
        <v/>
      </c>
      <c r="O541">
        <f>IF(N541="","",COUNTIFS(Fuel!$C$6:$C$605,C541,Fuel!$N$6:$N$605,"&gt;"&amp;N541))</f>
        <v/>
      </c>
      <c r="P541">
        <f>IF(OR(N541="",G541=""),"",COUNTIFS(Fuel!$C$6:$C$605,C541,Fuel!$G$6:$G$605,"&lt;&gt;",Fuel!$N$6:$N$605,"&lt;"&amp;N541))</f>
        <v/>
      </c>
      <c r="R541">
        <f>IF(OR(P541="",N(P541)=0),"",SUMIFS(Fuel!$D$6:$D$605,Fuel!$C$6:$C$605,C541,Fuel!$P$6:$P$605,P541-1))</f>
        <v/>
      </c>
    </row>
    <row r="542">
      <c r="A542" s="1" t="n"/>
      <c r="B542" s="29" t="n"/>
      <c r="C542" s="24" t="n"/>
      <c r="D542" s="28" t="n"/>
      <c r="E542" s="33" t="n"/>
      <c r="F542" s="34" t="n"/>
      <c r="G542" s="27" t="n"/>
      <c r="H542" s="14">
        <f>IF(OR(N(E542)=0,F542=""),"",F542/E542)</f>
        <v/>
      </c>
      <c r="I542" s="11">
        <f>IF(R542="","",D542-R542)</f>
        <v/>
      </c>
      <c r="J542" s="35">
        <f>IF(R542="","",SUMIFS(Fuel!$E$6:$E$605,Fuel!$C$6:$C$605,C542,Fuel!$D$6:$D$605,"&gt;"&amp;R542,Fuel!$D$6:$D$605,"&lt;="&amp;D542))</f>
        <v/>
      </c>
      <c r="K542" s="36">
        <f>IF(OR(I542="",N(I542)=0),"",J542/I542*100)</f>
        <v/>
      </c>
      <c r="L542" s="36">
        <f>IF(OR(J542="",N(J542)=0),"",I542/J542)</f>
        <v/>
      </c>
      <c r="M542" s="1" t="n"/>
      <c r="N542">
        <f>IF(OR(C542="",N(D542)=0),"",D542+ROW()/10000000)</f>
        <v/>
      </c>
      <c r="O542">
        <f>IF(N542="","",COUNTIFS(Fuel!$C$6:$C$605,C542,Fuel!$N$6:$N$605,"&gt;"&amp;N542))</f>
        <v/>
      </c>
      <c r="P542">
        <f>IF(OR(N542="",G542=""),"",COUNTIFS(Fuel!$C$6:$C$605,C542,Fuel!$G$6:$G$605,"&lt;&gt;",Fuel!$N$6:$N$605,"&lt;"&amp;N542))</f>
        <v/>
      </c>
      <c r="R542">
        <f>IF(OR(P542="",N(P542)=0),"",SUMIFS(Fuel!$D$6:$D$605,Fuel!$C$6:$C$605,C542,Fuel!$P$6:$P$605,P542-1))</f>
        <v/>
      </c>
    </row>
    <row r="543">
      <c r="A543" s="1" t="n"/>
      <c r="B543" s="29" t="n"/>
      <c r="C543" s="24" t="n"/>
      <c r="D543" s="28" t="n"/>
      <c r="E543" s="33" t="n"/>
      <c r="F543" s="34" t="n"/>
      <c r="G543" s="27" t="n"/>
      <c r="H543" s="14">
        <f>IF(OR(N(E543)=0,F543=""),"",F543/E543)</f>
        <v/>
      </c>
      <c r="I543" s="11">
        <f>IF(R543="","",D543-R543)</f>
        <v/>
      </c>
      <c r="J543" s="35">
        <f>IF(R543="","",SUMIFS(Fuel!$E$6:$E$605,Fuel!$C$6:$C$605,C543,Fuel!$D$6:$D$605,"&gt;"&amp;R543,Fuel!$D$6:$D$605,"&lt;="&amp;D543))</f>
        <v/>
      </c>
      <c r="K543" s="36">
        <f>IF(OR(I543="",N(I543)=0),"",J543/I543*100)</f>
        <v/>
      </c>
      <c r="L543" s="36">
        <f>IF(OR(J543="",N(J543)=0),"",I543/J543)</f>
        <v/>
      </c>
      <c r="M543" s="1" t="n"/>
      <c r="N543">
        <f>IF(OR(C543="",N(D543)=0),"",D543+ROW()/10000000)</f>
        <v/>
      </c>
      <c r="O543">
        <f>IF(N543="","",COUNTIFS(Fuel!$C$6:$C$605,C543,Fuel!$N$6:$N$605,"&gt;"&amp;N543))</f>
        <v/>
      </c>
      <c r="P543">
        <f>IF(OR(N543="",G543=""),"",COUNTIFS(Fuel!$C$6:$C$605,C543,Fuel!$G$6:$G$605,"&lt;&gt;",Fuel!$N$6:$N$605,"&lt;"&amp;N543))</f>
        <v/>
      </c>
      <c r="R543">
        <f>IF(OR(P543="",N(P543)=0),"",SUMIFS(Fuel!$D$6:$D$605,Fuel!$C$6:$C$605,C543,Fuel!$P$6:$P$605,P543-1))</f>
        <v/>
      </c>
    </row>
    <row r="544">
      <c r="A544" s="1" t="n"/>
      <c r="B544" s="29" t="n"/>
      <c r="C544" s="24" t="n"/>
      <c r="D544" s="28" t="n"/>
      <c r="E544" s="33" t="n"/>
      <c r="F544" s="34" t="n"/>
      <c r="G544" s="27" t="n"/>
      <c r="H544" s="14">
        <f>IF(OR(N(E544)=0,F544=""),"",F544/E544)</f>
        <v/>
      </c>
      <c r="I544" s="11">
        <f>IF(R544="","",D544-R544)</f>
        <v/>
      </c>
      <c r="J544" s="35">
        <f>IF(R544="","",SUMIFS(Fuel!$E$6:$E$605,Fuel!$C$6:$C$605,C544,Fuel!$D$6:$D$605,"&gt;"&amp;R544,Fuel!$D$6:$D$605,"&lt;="&amp;D544))</f>
        <v/>
      </c>
      <c r="K544" s="36">
        <f>IF(OR(I544="",N(I544)=0),"",J544/I544*100)</f>
        <v/>
      </c>
      <c r="L544" s="36">
        <f>IF(OR(J544="",N(J544)=0),"",I544/J544)</f>
        <v/>
      </c>
      <c r="M544" s="1" t="n"/>
      <c r="N544">
        <f>IF(OR(C544="",N(D544)=0),"",D544+ROW()/10000000)</f>
        <v/>
      </c>
      <c r="O544">
        <f>IF(N544="","",COUNTIFS(Fuel!$C$6:$C$605,C544,Fuel!$N$6:$N$605,"&gt;"&amp;N544))</f>
        <v/>
      </c>
      <c r="P544">
        <f>IF(OR(N544="",G544=""),"",COUNTIFS(Fuel!$C$6:$C$605,C544,Fuel!$G$6:$G$605,"&lt;&gt;",Fuel!$N$6:$N$605,"&lt;"&amp;N544))</f>
        <v/>
      </c>
      <c r="R544">
        <f>IF(OR(P544="",N(P544)=0),"",SUMIFS(Fuel!$D$6:$D$605,Fuel!$C$6:$C$605,C544,Fuel!$P$6:$P$605,P544-1))</f>
        <v/>
      </c>
    </row>
    <row r="545">
      <c r="A545" s="1" t="n"/>
      <c r="B545" s="29" t="n"/>
      <c r="C545" s="24" t="n"/>
      <c r="D545" s="28" t="n"/>
      <c r="E545" s="33" t="n"/>
      <c r="F545" s="34" t="n"/>
      <c r="G545" s="27" t="n"/>
      <c r="H545" s="14">
        <f>IF(OR(N(E545)=0,F545=""),"",F545/E545)</f>
        <v/>
      </c>
      <c r="I545" s="11">
        <f>IF(R545="","",D545-R545)</f>
        <v/>
      </c>
      <c r="J545" s="35">
        <f>IF(R545="","",SUMIFS(Fuel!$E$6:$E$605,Fuel!$C$6:$C$605,C545,Fuel!$D$6:$D$605,"&gt;"&amp;R545,Fuel!$D$6:$D$605,"&lt;="&amp;D545))</f>
        <v/>
      </c>
      <c r="K545" s="36">
        <f>IF(OR(I545="",N(I545)=0),"",J545/I545*100)</f>
        <v/>
      </c>
      <c r="L545" s="36">
        <f>IF(OR(J545="",N(J545)=0),"",I545/J545)</f>
        <v/>
      </c>
      <c r="M545" s="1" t="n"/>
      <c r="N545">
        <f>IF(OR(C545="",N(D545)=0),"",D545+ROW()/10000000)</f>
        <v/>
      </c>
      <c r="O545">
        <f>IF(N545="","",COUNTIFS(Fuel!$C$6:$C$605,C545,Fuel!$N$6:$N$605,"&gt;"&amp;N545))</f>
        <v/>
      </c>
      <c r="P545">
        <f>IF(OR(N545="",G545=""),"",COUNTIFS(Fuel!$C$6:$C$605,C545,Fuel!$G$6:$G$605,"&lt;&gt;",Fuel!$N$6:$N$605,"&lt;"&amp;N545))</f>
        <v/>
      </c>
      <c r="R545">
        <f>IF(OR(P545="",N(P545)=0),"",SUMIFS(Fuel!$D$6:$D$605,Fuel!$C$6:$C$605,C545,Fuel!$P$6:$P$605,P545-1))</f>
        <v/>
      </c>
    </row>
    <row r="546">
      <c r="A546" s="1" t="n"/>
      <c r="B546" s="29" t="n"/>
      <c r="C546" s="24" t="n"/>
      <c r="D546" s="28" t="n"/>
      <c r="E546" s="33" t="n"/>
      <c r="F546" s="34" t="n"/>
      <c r="G546" s="27" t="n"/>
      <c r="H546" s="14">
        <f>IF(OR(N(E546)=0,F546=""),"",F546/E546)</f>
        <v/>
      </c>
      <c r="I546" s="11">
        <f>IF(R546="","",D546-R546)</f>
        <v/>
      </c>
      <c r="J546" s="35">
        <f>IF(R546="","",SUMIFS(Fuel!$E$6:$E$605,Fuel!$C$6:$C$605,C546,Fuel!$D$6:$D$605,"&gt;"&amp;R546,Fuel!$D$6:$D$605,"&lt;="&amp;D546))</f>
        <v/>
      </c>
      <c r="K546" s="36">
        <f>IF(OR(I546="",N(I546)=0),"",J546/I546*100)</f>
        <v/>
      </c>
      <c r="L546" s="36">
        <f>IF(OR(J546="",N(J546)=0),"",I546/J546)</f>
        <v/>
      </c>
      <c r="M546" s="1" t="n"/>
      <c r="N546">
        <f>IF(OR(C546="",N(D546)=0),"",D546+ROW()/10000000)</f>
        <v/>
      </c>
      <c r="O546">
        <f>IF(N546="","",COUNTIFS(Fuel!$C$6:$C$605,C546,Fuel!$N$6:$N$605,"&gt;"&amp;N546))</f>
        <v/>
      </c>
      <c r="P546">
        <f>IF(OR(N546="",G546=""),"",COUNTIFS(Fuel!$C$6:$C$605,C546,Fuel!$G$6:$G$605,"&lt;&gt;",Fuel!$N$6:$N$605,"&lt;"&amp;N546))</f>
        <v/>
      </c>
      <c r="R546">
        <f>IF(OR(P546="",N(P546)=0),"",SUMIFS(Fuel!$D$6:$D$605,Fuel!$C$6:$C$605,C546,Fuel!$P$6:$P$605,P546-1))</f>
        <v/>
      </c>
    </row>
    <row r="547">
      <c r="A547" s="1" t="n"/>
      <c r="B547" s="29" t="n"/>
      <c r="C547" s="24" t="n"/>
      <c r="D547" s="28" t="n"/>
      <c r="E547" s="33" t="n"/>
      <c r="F547" s="34" t="n"/>
      <c r="G547" s="27" t="n"/>
      <c r="H547" s="14">
        <f>IF(OR(N(E547)=0,F547=""),"",F547/E547)</f>
        <v/>
      </c>
      <c r="I547" s="11">
        <f>IF(R547="","",D547-R547)</f>
        <v/>
      </c>
      <c r="J547" s="35">
        <f>IF(R547="","",SUMIFS(Fuel!$E$6:$E$605,Fuel!$C$6:$C$605,C547,Fuel!$D$6:$D$605,"&gt;"&amp;R547,Fuel!$D$6:$D$605,"&lt;="&amp;D547))</f>
        <v/>
      </c>
      <c r="K547" s="36">
        <f>IF(OR(I547="",N(I547)=0),"",J547/I547*100)</f>
        <v/>
      </c>
      <c r="L547" s="36">
        <f>IF(OR(J547="",N(J547)=0),"",I547/J547)</f>
        <v/>
      </c>
      <c r="M547" s="1" t="n"/>
      <c r="N547">
        <f>IF(OR(C547="",N(D547)=0),"",D547+ROW()/10000000)</f>
        <v/>
      </c>
      <c r="O547">
        <f>IF(N547="","",COUNTIFS(Fuel!$C$6:$C$605,C547,Fuel!$N$6:$N$605,"&gt;"&amp;N547))</f>
        <v/>
      </c>
      <c r="P547">
        <f>IF(OR(N547="",G547=""),"",COUNTIFS(Fuel!$C$6:$C$605,C547,Fuel!$G$6:$G$605,"&lt;&gt;",Fuel!$N$6:$N$605,"&lt;"&amp;N547))</f>
        <v/>
      </c>
      <c r="R547">
        <f>IF(OR(P547="",N(P547)=0),"",SUMIFS(Fuel!$D$6:$D$605,Fuel!$C$6:$C$605,C547,Fuel!$P$6:$P$605,P547-1))</f>
        <v/>
      </c>
    </row>
    <row r="548">
      <c r="A548" s="1" t="n"/>
      <c r="B548" s="29" t="n"/>
      <c r="C548" s="24" t="n"/>
      <c r="D548" s="28" t="n"/>
      <c r="E548" s="33" t="n"/>
      <c r="F548" s="34" t="n"/>
      <c r="G548" s="27" t="n"/>
      <c r="H548" s="14">
        <f>IF(OR(N(E548)=0,F548=""),"",F548/E548)</f>
        <v/>
      </c>
      <c r="I548" s="11">
        <f>IF(R548="","",D548-R548)</f>
        <v/>
      </c>
      <c r="J548" s="35">
        <f>IF(R548="","",SUMIFS(Fuel!$E$6:$E$605,Fuel!$C$6:$C$605,C548,Fuel!$D$6:$D$605,"&gt;"&amp;R548,Fuel!$D$6:$D$605,"&lt;="&amp;D548))</f>
        <v/>
      </c>
      <c r="K548" s="36">
        <f>IF(OR(I548="",N(I548)=0),"",J548/I548*100)</f>
        <v/>
      </c>
      <c r="L548" s="36">
        <f>IF(OR(J548="",N(J548)=0),"",I548/J548)</f>
        <v/>
      </c>
      <c r="M548" s="1" t="n"/>
      <c r="N548">
        <f>IF(OR(C548="",N(D548)=0),"",D548+ROW()/10000000)</f>
        <v/>
      </c>
      <c r="O548">
        <f>IF(N548="","",COUNTIFS(Fuel!$C$6:$C$605,C548,Fuel!$N$6:$N$605,"&gt;"&amp;N548))</f>
        <v/>
      </c>
      <c r="P548">
        <f>IF(OR(N548="",G548=""),"",COUNTIFS(Fuel!$C$6:$C$605,C548,Fuel!$G$6:$G$605,"&lt;&gt;",Fuel!$N$6:$N$605,"&lt;"&amp;N548))</f>
        <v/>
      </c>
      <c r="R548">
        <f>IF(OR(P548="",N(P548)=0),"",SUMIFS(Fuel!$D$6:$D$605,Fuel!$C$6:$C$605,C548,Fuel!$P$6:$P$605,P548-1))</f>
        <v/>
      </c>
    </row>
    <row r="549">
      <c r="A549" s="1" t="n"/>
      <c r="B549" s="29" t="n"/>
      <c r="C549" s="24" t="n"/>
      <c r="D549" s="28" t="n"/>
      <c r="E549" s="33" t="n"/>
      <c r="F549" s="34" t="n"/>
      <c r="G549" s="27" t="n"/>
      <c r="H549" s="14">
        <f>IF(OR(N(E549)=0,F549=""),"",F549/E549)</f>
        <v/>
      </c>
      <c r="I549" s="11">
        <f>IF(R549="","",D549-R549)</f>
        <v/>
      </c>
      <c r="J549" s="35">
        <f>IF(R549="","",SUMIFS(Fuel!$E$6:$E$605,Fuel!$C$6:$C$605,C549,Fuel!$D$6:$D$605,"&gt;"&amp;R549,Fuel!$D$6:$D$605,"&lt;="&amp;D549))</f>
        <v/>
      </c>
      <c r="K549" s="36">
        <f>IF(OR(I549="",N(I549)=0),"",J549/I549*100)</f>
        <v/>
      </c>
      <c r="L549" s="36">
        <f>IF(OR(J549="",N(J549)=0),"",I549/J549)</f>
        <v/>
      </c>
      <c r="M549" s="1" t="n"/>
      <c r="N549">
        <f>IF(OR(C549="",N(D549)=0),"",D549+ROW()/10000000)</f>
        <v/>
      </c>
      <c r="O549">
        <f>IF(N549="","",COUNTIFS(Fuel!$C$6:$C$605,C549,Fuel!$N$6:$N$605,"&gt;"&amp;N549))</f>
        <v/>
      </c>
      <c r="P549">
        <f>IF(OR(N549="",G549=""),"",COUNTIFS(Fuel!$C$6:$C$605,C549,Fuel!$G$6:$G$605,"&lt;&gt;",Fuel!$N$6:$N$605,"&lt;"&amp;N549))</f>
        <v/>
      </c>
      <c r="R549">
        <f>IF(OR(P549="",N(P549)=0),"",SUMIFS(Fuel!$D$6:$D$605,Fuel!$C$6:$C$605,C549,Fuel!$P$6:$P$605,P549-1))</f>
        <v/>
      </c>
    </row>
    <row r="550">
      <c r="A550" s="1" t="n"/>
      <c r="B550" s="29" t="n"/>
      <c r="C550" s="24" t="n"/>
      <c r="D550" s="28" t="n"/>
      <c r="E550" s="33" t="n"/>
      <c r="F550" s="34" t="n"/>
      <c r="G550" s="27" t="n"/>
      <c r="H550" s="14">
        <f>IF(OR(N(E550)=0,F550=""),"",F550/E550)</f>
        <v/>
      </c>
      <c r="I550" s="11">
        <f>IF(R550="","",D550-R550)</f>
        <v/>
      </c>
      <c r="J550" s="35">
        <f>IF(R550="","",SUMIFS(Fuel!$E$6:$E$605,Fuel!$C$6:$C$605,C550,Fuel!$D$6:$D$605,"&gt;"&amp;R550,Fuel!$D$6:$D$605,"&lt;="&amp;D550))</f>
        <v/>
      </c>
      <c r="K550" s="36">
        <f>IF(OR(I550="",N(I550)=0),"",J550/I550*100)</f>
        <v/>
      </c>
      <c r="L550" s="36">
        <f>IF(OR(J550="",N(J550)=0),"",I550/J550)</f>
        <v/>
      </c>
      <c r="M550" s="1" t="n"/>
      <c r="N550">
        <f>IF(OR(C550="",N(D550)=0),"",D550+ROW()/10000000)</f>
        <v/>
      </c>
      <c r="O550">
        <f>IF(N550="","",COUNTIFS(Fuel!$C$6:$C$605,C550,Fuel!$N$6:$N$605,"&gt;"&amp;N550))</f>
        <v/>
      </c>
      <c r="P550">
        <f>IF(OR(N550="",G550=""),"",COUNTIFS(Fuel!$C$6:$C$605,C550,Fuel!$G$6:$G$605,"&lt;&gt;",Fuel!$N$6:$N$605,"&lt;"&amp;N550))</f>
        <v/>
      </c>
      <c r="R550">
        <f>IF(OR(P550="",N(P550)=0),"",SUMIFS(Fuel!$D$6:$D$605,Fuel!$C$6:$C$605,C550,Fuel!$P$6:$P$605,P550-1))</f>
        <v/>
      </c>
    </row>
    <row r="551">
      <c r="A551" s="1" t="n"/>
      <c r="B551" s="29" t="n"/>
      <c r="C551" s="24" t="n"/>
      <c r="D551" s="28" t="n"/>
      <c r="E551" s="33" t="n"/>
      <c r="F551" s="34" t="n"/>
      <c r="G551" s="27" t="n"/>
      <c r="H551" s="14">
        <f>IF(OR(N(E551)=0,F551=""),"",F551/E551)</f>
        <v/>
      </c>
      <c r="I551" s="11">
        <f>IF(R551="","",D551-R551)</f>
        <v/>
      </c>
      <c r="J551" s="35">
        <f>IF(R551="","",SUMIFS(Fuel!$E$6:$E$605,Fuel!$C$6:$C$605,C551,Fuel!$D$6:$D$605,"&gt;"&amp;R551,Fuel!$D$6:$D$605,"&lt;="&amp;D551))</f>
        <v/>
      </c>
      <c r="K551" s="36">
        <f>IF(OR(I551="",N(I551)=0),"",J551/I551*100)</f>
        <v/>
      </c>
      <c r="L551" s="36">
        <f>IF(OR(J551="",N(J551)=0),"",I551/J551)</f>
        <v/>
      </c>
      <c r="M551" s="1" t="n"/>
      <c r="N551">
        <f>IF(OR(C551="",N(D551)=0),"",D551+ROW()/10000000)</f>
        <v/>
      </c>
      <c r="O551">
        <f>IF(N551="","",COUNTIFS(Fuel!$C$6:$C$605,C551,Fuel!$N$6:$N$605,"&gt;"&amp;N551))</f>
        <v/>
      </c>
      <c r="P551">
        <f>IF(OR(N551="",G551=""),"",COUNTIFS(Fuel!$C$6:$C$605,C551,Fuel!$G$6:$G$605,"&lt;&gt;",Fuel!$N$6:$N$605,"&lt;"&amp;N551))</f>
        <v/>
      </c>
      <c r="R551">
        <f>IF(OR(P551="",N(P551)=0),"",SUMIFS(Fuel!$D$6:$D$605,Fuel!$C$6:$C$605,C551,Fuel!$P$6:$P$605,P551-1))</f>
        <v/>
      </c>
    </row>
    <row r="552">
      <c r="A552" s="1" t="n"/>
      <c r="B552" s="29" t="n"/>
      <c r="C552" s="24" t="n"/>
      <c r="D552" s="28" t="n"/>
      <c r="E552" s="33" t="n"/>
      <c r="F552" s="34" t="n"/>
      <c r="G552" s="27" t="n"/>
      <c r="H552" s="14">
        <f>IF(OR(N(E552)=0,F552=""),"",F552/E552)</f>
        <v/>
      </c>
      <c r="I552" s="11">
        <f>IF(R552="","",D552-R552)</f>
        <v/>
      </c>
      <c r="J552" s="35">
        <f>IF(R552="","",SUMIFS(Fuel!$E$6:$E$605,Fuel!$C$6:$C$605,C552,Fuel!$D$6:$D$605,"&gt;"&amp;R552,Fuel!$D$6:$D$605,"&lt;="&amp;D552))</f>
        <v/>
      </c>
      <c r="K552" s="36">
        <f>IF(OR(I552="",N(I552)=0),"",J552/I552*100)</f>
        <v/>
      </c>
      <c r="L552" s="36">
        <f>IF(OR(J552="",N(J552)=0),"",I552/J552)</f>
        <v/>
      </c>
      <c r="M552" s="1" t="n"/>
      <c r="N552">
        <f>IF(OR(C552="",N(D552)=0),"",D552+ROW()/10000000)</f>
        <v/>
      </c>
      <c r="O552">
        <f>IF(N552="","",COUNTIFS(Fuel!$C$6:$C$605,C552,Fuel!$N$6:$N$605,"&gt;"&amp;N552))</f>
        <v/>
      </c>
      <c r="P552">
        <f>IF(OR(N552="",G552=""),"",COUNTIFS(Fuel!$C$6:$C$605,C552,Fuel!$G$6:$G$605,"&lt;&gt;",Fuel!$N$6:$N$605,"&lt;"&amp;N552))</f>
        <v/>
      </c>
      <c r="R552">
        <f>IF(OR(P552="",N(P552)=0),"",SUMIFS(Fuel!$D$6:$D$605,Fuel!$C$6:$C$605,C552,Fuel!$P$6:$P$605,P552-1))</f>
        <v/>
      </c>
    </row>
    <row r="553">
      <c r="A553" s="1" t="n"/>
      <c r="B553" s="29" t="n"/>
      <c r="C553" s="24" t="n"/>
      <c r="D553" s="28" t="n"/>
      <c r="E553" s="33" t="n"/>
      <c r="F553" s="34" t="n"/>
      <c r="G553" s="27" t="n"/>
      <c r="H553" s="14">
        <f>IF(OR(N(E553)=0,F553=""),"",F553/E553)</f>
        <v/>
      </c>
      <c r="I553" s="11">
        <f>IF(R553="","",D553-R553)</f>
        <v/>
      </c>
      <c r="J553" s="35">
        <f>IF(R553="","",SUMIFS(Fuel!$E$6:$E$605,Fuel!$C$6:$C$605,C553,Fuel!$D$6:$D$605,"&gt;"&amp;R553,Fuel!$D$6:$D$605,"&lt;="&amp;D553))</f>
        <v/>
      </c>
      <c r="K553" s="36">
        <f>IF(OR(I553="",N(I553)=0),"",J553/I553*100)</f>
        <v/>
      </c>
      <c r="L553" s="36">
        <f>IF(OR(J553="",N(J553)=0),"",I553/J553)</f>
        <v/>
      </c>
      <c r="M553" s="1" t="n"/>
      <c r="N553">
        <f>IF(OR(C553="",N(D553)=0),"",D553+ROW()/10000000)</f>
        <v/>
      </c>
      <c r="O553">
        <f>IF(N553="","",COUNTIFS(Fuel!$C$6:$C$605,C553,Fuel!$N$6:$N$605,"&gt;"&amp;N553))</f>
        <v/>
      </c>
      <c r="P553">
        <f>IF(OR(N553="",G553=""),"",COUNTIFS(Fuel!$C$6:$C$605,C553,Fuel!$G$6:$G$605,"&lt;&gt;",Fuel!$N$6:$N$605,"&lt;"&amp;N553))</f>
        <v/>
      </c>
      <c r="R553">
        <f>IF(OR(P553="",N(P553)=0),"",SUMIFS(Fuel!$D$6:$D$605,Fuel!$C$6:$C$605,C553,Fuel!$P$6:$P$605,P553-1))</f>
        <v/>
      </c>
    </row>
    <row r="554">
      <c r="A554" s="1" t="n"/>
      <c r="B554" s="29" t="n"/>
      <c r="C554" s="24" t="n"/>
      <c r="D554" s="28" t="n"/>
      <c r="E554" s="33" t="n"/>
      <c r="F554" s="34" t="n"/>
      <c r="G554" s="27" t="n"/>
      <c r="H554" s="14">
        <f>IF(OR(N(E554)=0,F554=""),"",F554/E554)</f>
        <v/>
      </c>
      <c r="I554" s="11">
        <f>IF(R554="","",D554-R554)</f>
        <v/>
      </c>
      <c r="J554" s="35">
        <f>IF(R554="","",SUMIFS(Fuel!$E$6:$E$605,Fuel!$C$6:$C$605,C554,Fuel!$D$6:$D$605,"&gt;"&amp;R554,Fuel!$D$6:$D$605,"&lt;="&amp;D554))</f>
        <v/>
      </c>
      <c r="K554" s="36">
        <f>IF(OR(I554="",N(I554)=0),"",J554/I554*100)</f>
        <v/>
      </c>
      <c r="L554" s="36">
        <f>IF(OR(J554="",N(J554)=0),"",I554/J554)</f>
        <v/>
      </c>
      <c r="M554" s="1" t="n"/>
      <c r="N554">
        <f>IF(OR(C554="",N(D554)=0),"",D554+ROW()/10000000)</f>
        <v/>
      </c>
      <c r="O554">
        <f>IF(N554="","",COUNTIFS(Fuel!$C$6:$C$605,C554,Fuel!$N$6:$N$605,"&gt;"&amp;N554))</f>
        <v/>
      </c>
      <c r="P554">
        <f>IF(OR(N554="",G554=""),"",COUNTIFS(Fuel!$C$6:$C$605,C554,Fuel!$G$6:$G$605,"&lt;&gt;",Fuel!$N$6:$N$605,"&lt;"&amp;N554))</f>
        <v/>
      </c>
      <c r="R554">
        <f>IF(OR(P554="",N(P554)=0),"",SUMIFS(Fuel!$D$6:$D$605,Fuel!$C$6:$C$605,C554,Fuel!$P$6:$P$605,P554-1))</f>
        <v/>
      </c>
    </row>
    <row r="555">
      <c r="A555" s="1" t="n"/>
      <c r="B555" s="29" t="n"/>
      <c r="C555" s="24" t="n"/>
      <c r="D555" s="28" t="n"/>
      <c r="E555" s="33" t="n"/>
      <c r="F555" s="34" t="n"/>
      <c r="G555" s="27" t="n"/>
      <c r="H555" s="14">
        <f>IF(OR(N(E555)=0,F555=""),"",F555/E555)</f>
        <v/>
      </c>
      <c r="I555" s="11">
        <f>IF(R555="","",D555-R555)</f>
        <v/>
      </c>
      <c r="J555" s="35">
        <f>IF(R555="","",SUMIFS(Fuel!$E$6:$E$605,Fuel!$C$6:$C$605,C555,Fuel!$D$6:$D$605,"&gt;"&amp;R555,Fuel!$D$6:$D$605,"&lt;="&amp;D555))</f>
        <v/>
      </c>
      <c r="K555" s="36">
        <f>IF(OR(I555="",N(I555)=0),"",J555/I555*100)</f>
        <v/>
      </c>
      <c r="L555" s="36">
        <f>IF(OR(J555="",N(J555)=0),"",I555/J555)</f>
        <v/>
      </c>
      <c r="M555" s="1" t="n"/>
      <c r="N555">
        <f>IF(OR(C555="",N(D555)=0),"",D555+ROW()/10000000)</f>
        <v/>
      </c>
      <c r="O555">
        <f>IF(N555="","",COUNTIFS(Fuel!$C$6:$C$605,C555,Fuel!$N$6:$N$605,"&gt;"&amp;N555))</f>
        <v/>
      </c>
      <c r="P555">
        <f>IF(OR(N555="",G555=""),"",COUNTIFS(Fuel!$C$6:$C$605,C555,Fuel!$G$6:$G$605,"&lt;&gt;",Fuel!$N$6:$N$605,"&lt;"&amp;N555))</f>
        <v/>
      </c>
      <c r="R555">
        <f>IF(OR(P555="",N(P555)=0),"",SUMIFS(Fuel!$D$6:$D$605,Fuel!$C$6:$C$605,C555,Fuel!$P$6:$P$605,P555-1))</f>
        <v/>
      </c>
    </row>
    <row r="556">
      <c r="A556" s="1" t="n"/>
      <c r="B556" s="29" t="n"/>
      <c r="C556" s="24" t="n"/>
      <c r="D556" s="28" t="n"/>
      <c r="E556" s="33" t="n"/>
      <c r="F556" s="34" t="n"/>
      <c r="G556" s="27" t="n"/>
      <c r="H556" s="14">
        <f>IF(OR(N(E556)=0,F556=""),"",F556/E556)</f>
        <v/>
      </c>
      <c r="I556" s="11">
        <f>IF(R556="","",D556-R556)</f>
        <v/>
      </c>
      <c r="J556" s="35">
        <f>IF(R556="","",SUMIFS(Fuel!$E$6:$E$605,Fuel!$C$6:$C$605,C556,Fuel!$D$6:$D$605,"&gt;"&amp;R556,Fuel!$D$6:$D$605,"&lt;="&amp;D556))</f>
        <v/>
      </c>
      <c r="K556" s="36">
        <f>IF(OR(I556="",N(I556)=0),"",J556/I556*100)</f>
        <v/>
      </c>
      <c r="L556" s="36">
        <f>IF(OR(J556="",N(J556)=0),"",I556/J556)</f>
        <v/>
      </c>
      <c r="M556" s="1" t="n"/>
      <c r="N556">
        <f>IF(OR(C556="",N(D556)=0),"",D556+ROW()/10000000)</f>
        <v/>
      </c>
      <c r="O556">
        <f>IF(N556="","",COUNTIFS(Fuel!$C$6:$C$605,C556,Fuel!$N$6:$N$605,"&gt;"&amp;N556))</f>
        <v/>
      </c>
      <c r="P556">
        <f>IF(OR(N556="",G556=""),"",COUNTIFS(Fuel!$C$6:$C$605,C556,Fuel!$G$6:$G$605,"&lt;&gt;",Fuel!$N$6:$N$605,"&lt;"&amp;N556))</f>
        <v/>
      </c>
      <c r="R556">
        <f>IF(OR(P556="",N(P556)=0),"",SUMIFS(Fuel!$D$6:$D$605,Fuel!$C$6:$C$605,C556,Fuel!$P$6:$P$605,P556-1))</f>
        <v/>
      </c>
    </row>
    <row r="557">
      <c r="A557" s="1" t="n"/>
      <c r="B557" s="29" t="n"/>
      <c r="C557" s="24" t="n"/>
      <c r="D557" s="28" t="n"/>
      <c r="E557" s="33" t="n"/>
      <c r="F557" s="34" t="n"/>
      <c r="G557" s="27" t="n"/>
      <c r="H557" s="14">
        <f>IF(OR(N(E557)=0,F557=""),"",F557/E557)</f>
        <v/>
      </c>
      <c r="I557" s="11">
        <f>IF(R557="","",D557-R557)</f>
        <v/>
      </c>
      <c r="J557" s="35">
        <f>IF(R557="","",SUMIFS(Fuel!$E$6:$E$605,Fuel!$C$6:$C$605,C557,Fuel!$D$6:$D$605,"&gt;"&amp;R557,Fuel!$D$6:$D$605,"&lt;="&amp;D557))</f>
        <v/>
      </c>
      <c r="K557" s="36">
        <f>IF(OR(I557="",N(I557)=0),"",J557/I557*100)</f>
        <v/>
      </c>
      <c r="L557" s="36">
        <f>IF(OR(J557="",N(J557)=0),"",I557/J557)</f>
        <v/>
      </c>
      <c r="M557" s="1" t="n"/>
      <c r="N557">
        <f>IF(OR(C557="",N(D557)=0),"",D557+ROW()/10000000)</f>
        <v/>
      </c>
      <c r="O557">
        <f>IF(N557="","",COUNTIFS(Fuel!$C$6:$C$605,C557,Fuel!$N$6:$N$605,"&gt;"&amp;N557))</f>
        <v/>
      </c>
      <c r="P557">
        <f>IF(OR(N557="",G557=""),"",COUNTIFS(Fuel!$C$6:$C$605,C557,Fuel!$G$6:$G$605,"&lt;&gt;",Fuel!$N$6:$N$605,"&lt;"&amp;N557))</f>
        <v/>
      </c>
      <c r="R557">
        <f>IF(OR(P557="",N(P557)=0),"",SUMIFS(Fuel!$D$6:$D$605,Fuel!$C$6:$C$605,C557,Fuel!$P$6:$P$605,P557-1))</f>
        <v/>
      </c>
    </row>
    <row r="558">
      <c r="A558" s="1" t="n"/>
      <c r="B558" s="29" t="n"/>
      <c r="C558" s="24" t="n"/>
      <c r="D558" s="28" t="n"/>
      <c r="E558" s="33" t="n"/>
      <c r="F558" s="34" t="n"/>
      <c r="G558" s="27" t="n"/>
      <c r="H558" s="14">
        <f>IF(OR(N(E558)=0,F558=""),"",F558/E558)</f>
        <v/>
      </c>
      <c r="I558" s="11">
        <f>IF(R558="","",D558-R558)</f>
        <v/>
      </c>
      <c r="J558" s="35">
        <f>IF(R558="","",SUMIFS(Fuel!$E$6:$E$605,Fuel!$C$6:$C$605,C558,Fuel!$D$6:$D$605,"&gt;"&amp;R558,Fuel!$D$6:$D$605,"&lt;="&amp;D558))</f>
        <v/>
      </c>
      <c r="K558" s="36">
        <f>IF(OR(I558="",N(I558)=0),"",J558/I558*100)</f>
        <v/>
      </c>
      <c r="L558" s="36">
        <f>IF(OR(J558="",N(J558)=0),"",I558/J558)</f>
        <v/>
      </c>
      <c r="M558" s="1" t="n"/>
      <c r="N558">
        <f>IF(OR(C558="",N(D558)=0),"",D558+ROW()/10000000)</f>
        <v/>
      </c>
      <c r="O558">
        <f>IF(N558="","",COUNTIFS(Fuel!$C$6:$C$605,C558,Fuel!$N$6:$N$605,"&gt;"&amp;N558))</f>
        <v/>
      </c>
      <c r="P558">
        <f>IF(OR(N558="",G558=""),"",COUNTIFS(Fuel!$C$6:$C$605,C558,Fuel!$G$6:$G$605,"&lt;&gt;",Fuel!$N$6:$N$605,"&lt;"&amp;N558))</f>
        <v/>
      </c>
      <c r="R558">
        <f>IF(OR(P558="",N(P558)=0),"",SUMIFS(Fuel!$D$6:$D$605,Fuel!$C$6:$C$605,C558,Fuel!$P$6:$P$605,P558-1))</f>
        <v/>
      </c>
    </row>
    <row r="559">
      <c r="A559" s="1" t="n"/>
      <c r="B559" s="29" t="n"/>
      <c r="C559" s="24" t="n"/>
      <c r="D559" s="28" t="n"/>
      <c r="E559" s="33" t="n"/>
      <c r="F559" s="34" t="n"/>
      <c r="G559" s="27" t="n"/>
      <c r="H559" s="14">
        <f>IF(OR(N(E559)=0,F559=""),"",F559/E559)</f>
        <v/>
      </c>
      <c r="I559" s="11">
        <f>IF(R559="","",D559-R559)</f>
        <v/>
      </c>
      <c r="J559" s="35">
        <f>IF(R559="","",SUMIFS(Fuel!$E$6:$E$605,Fuel!$C$6:$C$605,C559,Fuel!$D$6:$D$605,"&gt;"&amp;R559,Fuel!$D$6:$D$605,"&lt;="&amp;D559))</f>
        <v/>
      </c>
      <c r="K559" s="36">
        <f>IF(OR(I559="",N(I559)=0),"",J559/I559*100)</f>
        <v/>
      </c>
      <c r="L559" s="36">
        <f>IF(OR(J559="",N(J559)=0),"",I559/J559)</f>
        <v/>
      </c>
      <c r="M559" s="1" t="n"/>
      <c r="N559">
        <f>IF(OR(C559="",N(D559)=0),"",D559+ROW()/10000000)</f>
        <v/>
      </c>
      <c r="O559">
        <f>IF(N559="","",COUNTIFS(Fuel!$C$6:$C$605,C559,Fuel!$N$6:$N$605,"&gt;"&amp;N559))</f>
        <v/>
      </c>
      <c r="P559">
        <f>IF(OR(N559="",G559=""),"",COUNTIFS(Fuel!$C$6:$C$605,C559,Fuel!$G$6:$G$605,"&lt;&gt;",Fuel!$N$6:$N$605,"&lt;"&amp;N559))</f>
        <v/>
      </c>
      <c r="R559">
        <f>IF(OR(P559="",N(P559)=0),"",SUMIFS(Fuel!$D$6:$D$605,Fuel!$C$6:$C$605,C559,Fuel!$P$6:$P$605,P559-1))</f>
        <v/>
      </c>
    </row>
    <row r="560">
      <c r="A560" s="1" t="n"/>
      <c r="B560" s="29" t="n"/>
      <c r="C560" s="24" t="n"/>
      <c r="D560" s="28" t="n"/>
      <c r="E560" s="33" t="n"/>
      <c r="F560" s="34" t="n"/>
      <c r="G560" s="27" t="n"/>
      <c r="H560" s="14">
        <f>IF(OR(N(E560)=0,F560=""),"",F560/E560)</f>
        <v/>
      </c>
      <c r="I560" s="11">
        <f>IF(R560="","",D560-R560)</f>
        <v/>
      </c>
      <c r="J560" s="35">
        <f>IF(R560="","",SUMIFS(Fuel!$E$6:$E$605,Fuel!$C$6:$C$605,C560,Fuel!$D$6:$D$605,"&gt;"&amp;R560,Fuel!$D$6:$D$605,"&lt;="&amp;D560))</f>
        <v/>
      </c>
      <c r="K560" s="36">
        <f>IF(OR(I560="",N(I560)=0),"",J560/I560*100)</f>
        <v/>
      </c>
      <c r="L560" s="36">
        <f>IF(OR(J560="",N(J560)=0),"",I560/J560)</f>
        <v/>
      </c>
      <c r="M560" s="1" t="n"/>
      <c r="N560">
        <f>IF(OR(C560="",N(D560)=0),"",D560+ROW()/10000000)</f>
        <v/>
      </c>
      <c r="O560">
        <f>IF(N560="","",COUNTIFS(Fuel!$C$6:$C$605,C560,Fuel!$N$6:$N$605,"&gt;"&amp;N560))</f>
        <v/>
      </c>
      <c r="P560">
        <f>IF(OR(N560="",G560=""),"",COUNTIFS(Fuel!$C$6:$C$605,C560,Fuel!$G$6:$G$605,"&lt;&gt;",Fuel!$N$6:$N$605,"&lt;"&amp;N560))</f>
        <v/>
      </c>
      <c r="R560">
        <f>IF(OR(P560="",N(P560)=0),"",SUMIFS(Fuel!$D$6:$D$605,Fuel!$C$6:$C$605,C560,Fuel!$P$6:$P$605,P560-1))</f>
        <v/>
      </c>
    </row>
    <row r="561">
      <c r="A561" s="1" t="n"/>
      <c r="B561" s="29" t="n"/>
      <c r="C561" s="24" t="n"/>
      <c r="D561" s="28" t="n"/>
      <c r="E561" s="33" t="n"/>
      <c r="F561" s="34" t="n"/>
      <c r="G561" s="27" t="n"/>
      <c r="H561" s="14">
        <f>IF(OR(N(E561)=0,F561=""),"",F561/E561)</f>
        <v/>
      </c>
      <c r="I561" s="11">
        <f>IF(R561="","",D561-R561)</f>
        <v/>
      </c>
      <c r="J561" s="35">
        <f>IF(R561="","",SUMIFS(Fuel!$E$6:$E$605,Fuel!$C$6:$C$605,C561,Fuel!$D$6:$D$605,"&gt;"&amp;R561,Fuel!$D$6:$D$605,"&lt;="&amp;D561))</f>
        <v/>
      </c>
      <c r="K561" s="36">
        <f>IF(OR(I561="",N(I561)=0),"",J561/I561*100)</f>
        <v/>
      </c>
      <c r="L561" s="36">
        <f>IF(OR(J561="",N(J561)=0),"",I561/J561)</f>
        <v/>
      </c>
      <c r="M561" s="1" t="n"/>
      <c r="N561">
        <f>IF(OR(C561="",N(D561)=0),"",D561+ROW()/10000000)</f>
        <v/>
      </c>
      <c r="O561">
        <f>IF(N561="","",COUNTIFS(Fuel!$C$6:$C$605,C561,Fuel!$N$6:$N$605,"&gt;"&amp;N561))</f>
        <v/>
      </c>
      <c r="P561">
        <f>IF(OR(N561="",G561=""),"",COUNTIFS(Fuel!$C$6:$C$605,C561,Fuel!$G$6:$G$605,"&lt;&gt;",Fuel!$N$6:$N$605,"&lt;"&amp;N561))</f>
        <v/>
      </c>
      <c r="R561">
        <f>IF(OR(P561="",N(P561)=0),"",SUMIFS(Fuel!$D$6:$D$605,Fuel!$C$6:$C$605,C561,Fuel!$P$6:$P$605,P561-1))</f>
        <v/>
      </c>
    </row>
    <row r="562">
      <c r="A562" s="1" t="n"/>
      <c r="B562" s="29" t="n"/>
      <c r="C562" s="24" t="n"/>
      <c r="D562" s="28" t="n"/>
      <c r="E562" s="33" t="n"/>
      <c r="F562" s="34" t="n"/>
      <c r="G562" s="27" t="n"/>
      <c r="H562" s="14">
        <f>IF(OR(N(E562)=0,F562=""),"",F562/E562)</f>
        <v/>
      </c>
      <c r="I562" s="11">
        <f>IF(R562="","",D562-R562)</f>
        <v/>
      </c>
      <c r="J562" s="35">
        <f>IF(R562="","",SUMIFS(Fuel!$E$6:$E$605,Fuel!$C$6:$C$605,C562,Fuel!$D$6:$D$605,"&gt;"&amp;R562,Fuel!$D$6:$D$605,"&lt;="&amp;D562))</f>
        <v/>
      </c>
      <c r="K562" s="36">
        <f>IF(OR(I562="",N(I562)=0),"",J562/I562*100)</f>
        <v/>
      </c>
      <c r="L562" s="36">
        <f>IF(OR(J562="",N(J562)=0),"",I562/J562)</f>
        <v/>
      </c>
      <c r="M562" s="1" t="n"/>
      <c r="N562">
        <f>IF(OR(C562="",N(D562)=0),"",D562+ROW()/10000000)</f>
        <v/>
      </c>
      <c r="O562">
        <f>IF(N562="","",COUNTIFS(Fuel!$C$6:$C$605,C562,Fuel!$N$6:$N$605,"&gt;"&amp;N562))</f>
        <v/>
      </c>
      <c r="P562">
        <f>IF(OR(N562="",G562=""),"",COUNTIFS(Fuel!$C$6:$C$605,C562,Fuel!$G$6:$G$605,"&lt;&gt;",Fuel!$N$6:$N$605,"&lt;"&amp;N562))</f>
        <v/>
      </c>
      <c r="R562">
        <f>IF(OR(P562="",N(P562)=0),"",SUMIFS(Fuel!$D$6:$D$605,Fuel!$C$6:$C$605,C562,Fuel!$P$6:$P$605,P562-1))</f>
        <v/>
      </c>
    </row>
    <row r="563">
      <c r="A563" s="1" t="n"/>
      <c r="B563" s="29" t="n"/>
      <c r="C563" s="24" t="n"/>
      <c r="D563" s="28" t="n"/>
      <c r="E563" s="33" t="n"/>
      <c r="F563" s="34" t="n"/>
      <c r="G563" s="27" t="n"/>
      <c r="H563" s="14">
        <f>IF(OR(N(E563)=0,F563=""),"",F563/E563)</f>
        <v/>
      </c>
      <c r="I563" s="11">
        <f>IF(R563="","",D563-R563)</f>
        <v/>
      </c>
      <c r="J563" s="35">
        <f>IF(R563="","",SUMIFS(Fuel!$E$6:$E$605,Fuel!$C$6:$C$605,C563,Fuel!$D$6:$D$605,"&gt;"&amp;R563,Fuel!$D$6:$D$605,"&lt;="&amp;D563))</f>
        <v/>
      </c>
      <c r="K563" s="36">
        <f>IF(OR(I563="",N(I563)=0),"",J563/I563*100)</f>
        <v/>
      </c>
      <c r="L563" s="36">
        <f>IF(OR(J563="",N(J563)=0),"",I563/J563)</f>
        <v/>
      </c>
      <c r="M563" s="1" t="n"/>
      <c r="N563">
        <f>IF(OR(C563="",N(D563)=0),"",D563+ROW()/10000000)</f>
        <v/>
      </c>
      <c r="O563">
        <f>IF(N563="","",COUNTIFS(Fuel!$C$6:$C$605,C563,Fuel!$N$6:$N$605,"&gt;"&amp;N563))</f>
        <v/>
      </c>
      <c r="P563">
        <f>IF(OR(N563="",G563=""),"",COUNTIFS(Fuel!$C$6:$C$605,C563,Fuel!$G$6:$G$605,"&lt;&gt;",Fuel!$N$6:$N$605,"&lt;"&amp;N563))</f>
        <v/>
      </c>
      <c r="R563">
        <f>IF(OR(P563="",N(P563)=0),"",SUMIFS(Fuel!$D$6:$D$605,Fuel!$C$6:$C$605,C563,Fuel!$P$6:$P$605,P563-1))</f>
        <v/>
      </c>
    </row>
    <row r="564">
      <c r="A564" s="1" t="n"/>
      <c r="B564" s="29" t="n"/>
      <c r="C564" s="24" t="n"/>
      <c r="D564" s="28" t="n"/>
      <c r="E564" s="33" t="n"/>
      <c r="F564" s="34" t="n"/>
      <c r="G564" s="27" t="n"/>
      <c r="H564" s="14">
        <f>IF(OR(N(E564)=0,F564=""),"",F564/E564)</f>
        <v/>
      </c>
      <c r="I564" s="11">
        <f>IF(R564="","",D564-R564)</f>
        <v/>
      </c>
      <c r="J564" s="35">
        <f>IF(R564="","",SUMIFS(Fuel!$E$6:$E$605,Fuel!$C$6:$C$605,C564,Fuel!$D$6:$D$605,"&gt;"&amp;R564,Fuel!$D$6:$D$605,"&lt;="&amp;D564))</f>
        <v/>
      </c>
      <c r="K564" s="36">
        <f>IF(OR(I564="",N(I564)=0),"",J564/I564*100)</f>
        <v/>
      </c>
      <c r="L564" s="36">
        <f>IF(OR(J564="",N(J564)=0),"",I564/J564)</f>
        <v/>
      </c>
      <c r="M564" s="1" t="n"/>
      <c r="N564">
        <f>IF(OR(C564="",N(D564)=0),"",D564+ROW()/10000000)</f>
        <v/>
      </c>
      <c r="O564">
        <f>IF(N564="","",COUNTIFS(Fuel!$C$6:$C$605,C564,Fuel!$N$6:$N$605,"&gt;"&amp;N564))</f>
        <v/>
      </c>
      <c r="P564">
        <f>IF(OR(N564="",G564=""),"",COUNTIFS(Fuel!$C$6:$C$605,C564,Fuel!$G$6:$G$605,"&lt;&gt;",Fuel!$N$6:$N$605,"&lt;"&amp;N564))</f>
        <v/>
      </c>
      <c r="R564">
        <f>IF(OR(P564="",N(P564)=0),"",SUMIFS(Fuel!$D$6:$D$605,Fuel!$C$6:$C$605,C564,Fuel!$P$6:$P$605,P564-1))</f>
        <v/>
      </c>
    </row>
    <row r="565">
      <c r="A565" s="1" t="n"/>
      <c r="B565" s="29" t="n"/>
      <c r="C565" s="24" t="n"/>
      <c r="D565" s="28" t="n"/>
      <c r="E565" s="33" t="n"/>
      <c r="F565" s="34" t="n"/>
      <c r="G565" s="27" t="n"/>
      <c r="H565" s="14">
        <f>IF(OR(N(E565)=0,F565=""),"",F565/E565)</f>
        <v/>
      </c>
      <c r="I565" s="11">
        <f>IF(R565="","",D565-R565)</f>
        <v/>
      </c>
      <c r="J565" s="35">
        <f>IF(R565="","",SUMIFS(Fuel!$E$6:$E$605,Fuel!$C$6:$C$605,C565,Fuel!$D$6:$D$605,"&gt;"&amp;R565,Fuel!$D$6:$D$605,"&lt;="&amp;D565))</f>
        <v/>
      </c>
      <c r="K565" s="36">
        <f>IF(OR(I565="",N(I565)=0),"",J565/I565*100)</f>
        <v/>
      </c>
      <c r="L565" s="36">
        <f>IF(OR(J565="",N(J565)=0),"",I565/J565)</f>
        <v/>
      </c>
      <c r="M565" s="1" t="n"/>
      <c r="N565">
        <f>IF(OR(C565="",N(D565)=0),"",D565+ROW()/10000000)</f>
        <v/>
      </c>
      <c r="O565">
        <f>IF(N565="","",COUNTIFS(Fuel!$C$6:$C$605,C565,Fuel!$N$6:$N$605,"&gt;"&amp;N565))</f>
        <v/>
      </c>
      <c r="P565">
        <f>IF(OR(N565="",G565=""),"",COUNTIFS(Fuel!$C$6:$C$605,C565,Fuel!$G$6:$G$605,"&lt;&gt;",Fuel!$N$6:$N$605,"&lt;"&amp;N565))</f>
        <v/>
      </c>
      <c r="R565">
        <f>IF(OR(P565="",N(P565)=0),"",SUMIFS(Fuel!$D$6:$D$605,Fuel!$C$6:$C$605,C565,Fuel!$P$6:$P$605,P565-1))</f>
        <v/>
      </c>
    </row>
    <row r="566">
      <c r="A566" s="1" t="n"/>
      <c r="B566" s="29" t="n"/>
      <c r="C566" s="24" t="n"/>
      <c r="D566" s="28" t="n"/>
      <c r="E566" s="33" t="n"/>
      <c r="F566" s="34" t="n"/>
      <c r="G566" s="27" t="n"/>
      <c r="H566" s="14">
        <f>IF(OR(N(E566)=0,F566=""),"",F566/E566)</f>
        <v/>
      </c>
      <c r="I566" s="11">
        <f>IF(R566="","",D566-R566)</f>
        <v/>
      </c>
      <c r="J566" s="35">
        <f>IF(R566="","",SUMIFS(Fuel!$E$6:$E$605,Fuel!$C$6:$C$605,C566,Fuel!$D$6:$D$605,"&gt;"&amp;R566,Fuel!$D$6:$D$605,"&lt;="&amp;D566))</f>
        <v/>
      </c>
      <c r="K566" s="36">
        <f>IF(OR(I566="",N(I566)=0),"",J566/I566*100)</f>
        <v/>
      </c>
      <c r="L566" s="36">
        <f>IF(OR(J566="",N(J566)=0),"",I566/J566)</f>
        <v/>
      </c>
      <c r="M566" s="1" t="n"/>
      <c r="N566">
        <f>IF(OR(C566="",N(D566)=0),"",D566+ROW()/10000000)</f>
        <v/>
      </c>
      <c r="O566">
        <f>IF(N566="","",COUNTIFS(Fuel!$C$6:$C$605,C566,Fuel!$N$6:$N$605,"&gt;"&amp;N566))</f>
        <v/>
      </c>
      <c r="P566">
        <f>IF(OR(N566="",G566=""),"",COUNTIFS(Fuel!$C$6:$C$605,C566,Fuel!$G$6:$G$605,"&lt;&gt;",Fuel!$N$6:$N$605,"&lt;"&amp;N566))</f>
        <v/>
      </c>
      <c r="R566">
        <f>IF(OR(P566="",N(P566)=0),"",SUMIFS(Fuel!$D$6:$D$605,Fuel!$C$6:$C$605,C566,Fuel!$P$6:$P$605,P566-1))</f>
        <v/>
      </c>
    </row>
    <row r="567">
      <c r="A567" s="1" t="n"/>
      <c r="B567" s="29" t="n"/>
      <c r="C567" s="24" t="n"/>
      <c r="D567" s="28" t="n"/>
      <c r="E567" s="33" t="n"/>
      <c r="F567" s="34" t="n"/>
      <c r="G567" s="27" t="n"/>
      <c r="H567" s="14">
        <f>IF(OR(N(E567)=0,F567=""),"",F567/E567)</f>
        <v/>
      </c>
      <c r="I567" s="11">
        <f>IF(R567="","",D567-R567)</f>
        <v/>
      </c>
      <c r="J567" s="35">
        <f>IF(R567="","",SUMIFS(Fuel!$E$6:$E$605,Fuel!$C$6:$C$605,C567,Fuel!$D$6:$D$605,"&gt;"&amp;R567,Fuel!$D$6:$D$605,"&lt;="&amp;D567))</f>
        <v/>
      </c>
      <c r="K567" s="36">
        <f>IF(OR(I567="",N(I567)=0),"",J567/I567*100)</f>
        <v/>
      </c>
      <c r="L567" s="36">
        <f>IF(OR(J567="",N(J567)=0),"",I567/J567)</f>
        <v/>
      </c>
      <c r="M567" s="1" t="n"/>
      <c r="N567">
        <f>IF(OR(C567="",N(D567)=0),"",D567+ROW()/10000000)</f>
        <v/>
      </c>
      <c r="O567">
        <f>IF(N567="","",COUNTIFS(Fuel!$C$6:$C$605,C567,Fuel!$N$6:$N$605,"&gt;"&amp;N567))</f>
        <v/>
      </c>
      <c r="P567">
        <f>IF(OR(N567="",G567=""),"",COUNTIFS(Fuel!$C$6:$C$605,C567,Fuel!$G$6:$G$605,"&lt;&gt;",Fuel!$N$6:$N$605,"&lt;"&amp;N567))</f>
        <v/>
      </c>
      <c r="R567">
        <f>IF(OR(P567="",N(P567)=0),"",SUMIFS(Fuel!$D$6:$D$605,Fuel!$C$6:$C$605,C567,Fuel!$P$6:$P$605,P567-1))</f>
        <v/>
      </c>
    </row>
    <row r="568">
      <c r="A568" s="1" t="n"/>
      <c r="B568" s="29" t="n"/>
      <c r="C568" s="24" t="n"/>
      <c r="D568" s="28" t="n"/>
      <c r="E568" s="33" t="n"/>
      <c r="F568" s="34" t="n"/>
      <c r="G568" s="27" t="n"/>
      <c r="H568" s="14">
        <f>IF(OR(N(E568)=0,F568=""),"",F568/E568)</f>
        <v/>
      </c>
      <c r="I568" s="11">
        <f>IF(R568="","",D568-R568)</f>
        <v/>
      </c>
      <c r="J568" s="35">
        <f>IF(R568="","",SUMIFS(Fuel!$E$6:$E$605,Fuel!$C$6:$C$605,C568,Fuel!$D$6:$D$605,"&gt;"&amp;R568,Fuel!$D$6:$D$605,"&lt;="&amp;D568))</f>
        <v/>
      </c>
      <c r="K568" s="36">
        <f>IF(OR(I568="",N(I568)=0),"",J568/I568*100)</f>
        <v/>
      </c>
      <c r="L568" s="36">
        <f>IF(OR(J568="",N(J568)=0),"",I568/J568)</f>
        <v/>
      </c>
      <c r="M568" s="1" t="n"/>
      <c r="N568">
        <f>IF(OR(C568="",N(D568)=0),"",D568+ROW()/10000000)</f>
        <v/>
      </c>
      <c r="O568">
        <f>IF(N568="","",COUNTIFS(Fuel!$C$6:$C$605,C568,Fuel!$N$6:$N$605,"&gt;"&amp;N568))</f>
        <v/>
      </c>
      <c r="P568">
        <f>IF(OR(N568="",G568=""),"",COUNTIFS(Fuel!$C$6:$C$605,C568,Fuel!$G$6:$G$605,"&lt;&gt;",Fuel!$N$6:$N$605,"&lt;"&amp;N568))</f>
        <v/>
      </c>
      <c r="R568">
        <f>IF(OR(P568="",N(P568)=0),"",SUMIFS(Fuel!$D$6:$D$605,Fuel!$C$6:$C$605,C568,Fuel!$P$6:$P$605,P568-1))</f>
        <v/>
      </c>
    </row>
    <row r="569">
      <c r="A569" s="1" t="n"/>
      <c r="B569" s="29" t="n"/>
      <c r="C569" s="24" t="n"/>
      <c r="D569" s="28" t="n"/>
      <c r="E569" s="33" t="n"/>
      <c r="F569" s="34" t="n"/>
      <c r="G569" s="27" t="n"/>
      <c r="H569" s="14">
        <f>IF(OR(N(E569)=0,F569=""),"",F569/E569)</f>
        <v/>
      </c>
      <c r="I569" s="11">
        <f>IF(R569="","",D569-R569)</f>
        <v/>
      </c>
      <c r="J569" s="35">
        <f>IF(R569="","",SUMIFS(Fuel!$E$6:$E$605,Fuel!$C$6:$C$605,C569,Fuel!$D$6:$D$605,"&gt;"&amp;R569,Fuel!$D$6:$D$605,"&lt;="&amp;D569))</f>
        <v/>
      </c>
      <c r="K569" s="36">
        <f>IF(OR(I569="",N(I569)=0),"",J569/I569*100)</f>
        <v/>
      </c>
      <c r="L569" s="36">
        <f>IF(OR(J569="",N(J569)=0),"",I569/J569)</f>
        <v/>
      </c>
      <c r="M569" s="1" t="n"/>
      <c r="N569">
        <f>IF(OR(C569="",N(D569)=0),"",D569+ROW()/10000000)</f>
        <v/>
      </c>
      <c r="O569">
        <f>IF(N569="","",COUNTIFS(Fuel!$C$6:$C$605,C569,Fuel!$N$6:$N$605,"&gt;"&amp;N569))</f>
        <v/>
      </c>
      <c r="P569">
        <f>IF(OR(N569="",G569=""),"",COUNTIFS(Fuel!$C$6:$C$605,C569,Fuel!$G$6:$G$605,"&lt;&gt;",Fuel!$N$6:$N$605,"&lt;"&amp;N569))</f>
        <v/>
      </c>
      <c r="R569">
        <f>IF(OR(P569="",N(P569)=0),"",SUMIFS(Fuel!$D$6:$D$605,Fuel!$C$6:$C$605,C569,Fuel!$P$6:$P$605,P569-1))</f>
        <v/>
      </c>
    </row>
    <row r="570">
      <c r="A570" s="1" t="n"/>
      <c r="B570" s="29" t="n"/>
      <c r="C570" s="24" t="n"/>
      <c r="D570" s="28" t="n"/>
      <c r="E570" s="33" t="n"/>
      <c r="F570" s="34" t="n"/>
      <c r="G570" s="27" t="n"/>
      <c r="H570" s="14">
        <f>IF(OR(N(E570)=0,F570=""),"",F570/E570)</f>
        <v/>
      </c>
      <c r="I570" s="11">
        <f>IF(R570="","",D570-R570)</f>
        <v/>
      </c>
      <c r="J570" s="35">
        <f>IF(R570="","",SUMIFS(Fuel!$E$6:$E$605,Fuel!$C$6:$C$605,C570,Fuel!$D$6:$D$605,"&gt;"&amp;R570,Fuel!$D$6:$D$605,"&lt;="&amp;D570))</f>
        <v/>
      </c>
      <c r="K570" s="36">
        <f>IF(OR(I570="",N(I570)=0),"",J570/I570*100)</f>
        <v/>
      </c>
      <c r="L570" s="36">
        <f>IF(OR(J570="",N(J570)=0),"",I570/J570)</f>
        <v/>
      </c>
      <c r="M570" s="1" t="n"/>
      <c r="N570">
        <f>IF(OR(C570="",N(D570)=0),"",D570+ROW()/10000000)</f>
        <v/>
      </c>
      <c r="O570">
        <f>IF(N570="","",COUNTIFS(Fuel!$C$6:$C$605,C570,Fuel!$N$6:$N$605,"&gt;"&amp;N570))</f>
        <v/>
      </c>
      <c r="P570">
        <f>IF(OR(N570="",G570=""),"",COUNTIFS(Fuel!$C$6:$C$605,C570,Fuel!$G$6:$G$605,"&lt;&gt;",Fuel!$N$6:$N$605,"&lt;"&amp;N570))</f>
        <v/>
      </c>
      <c r="R570">
        <f>IF(OR(P570="",N(P570)=0),"",SUMIFS(Fuel!$D$6:$D$605,Fuel!$C$6:$C$605,C570,Fuel!$P$6:$P$605,P570-1))</f>
        <v/>
      </c>
    </row>
    <row r="571">
      <c r="A571" s="1" t="n"/>
      <c r="B571" s="29" t="n"/>
      <c r="C571" s="24" t="n"/>
      <c r="D571" s="28" t="n"/>
      <c r="E571" s="33" t="n"/>
      <c r="F571" s="34" t="n"/>
      <c r="G571" s="27" t="n"/>
      <c r="H571" s="14">
        <f>IF(OR(N(E571)=0,F571=""),"",F571/E571)</f>
        <v/>
      </c>
      <c r="I571" s="11">
        <f>IF(R571="","",D571-R571)</f>
        <v/>
      </c>
      <c r="J571" s="35">
        <f>IF(R571="","",SUMIFS(Fuel!$E$6:$E$605,Fuel!$C$6:$C$605,C571,Fuel!$D$6:$D$605,"&gt;"&amp;R571,Fuel!$D$6:$D$605,"&lt;="&amp;D571))</f>
        <v/>
      </c>
      <c r="K571" s="36">
        <f>IF(OR(I571="",N(I571)=0),"",J571/I571*100)</f>
        <v/>
      </c>
      <c r="L571" s="36">
        <f>IF(OR(J571="",N(J571)=0),"",I571/J571)</f>
        <v/>
      </c>
      <c r="M571" s="1" t="n"/>
      <c r="N571">
        <f>IF(OR(C571="",N(D571)=0),"",D571+ROW()/10000000)</f>
        <v/>
      </c>
      <c r="O571">
        <f>IF(N571="","",COUNTIFS(Fuel!$C$6:$C$605,C571,Fuel!$N$6:$N$605,"&gt;"&amp;N571))</f>
        <v/>
      </c>
      <c r="P571">
        <f>IF(OR(N571="",G571=""),"",COUNTIFS(Fuel!$C$6:$C$605,C571,Fuel!$G$6:$G$605,"&lt;&gt;",Fuel!$N$6:$N$605,"&lt;"&amp;N571))</f>
        <v/>
      </c>
      <c r="R571">
        <f>IF(OR(P571="",N(P571)=0),"",SUMIFS(Fuel!$D$6:$D$605,Fuel!$C$6:$C$605,C571,Fuel!$P$6:$P$605,P571-1))</f>
        <v/>
      </c>
    </row>
    <row r="572">
      <c r="A572" s="1" t="n"/>
      <c r="B572" s="29" t="n"/>
      <c r="C572" s="24" t="n"/>
      <c r="D572" s="28" t="n"/>
      <c r="E572" s="33" t="n"/>
      <c r="F572" s="34" t="n"/>
      <c r="G572" s="27" t="n"/>
      <c r="H572" s="14">
        <f>IF(OR(N(E572)=0,F572=""),"",F572/E572)</f>
        <v/>
      </c>
      <c r="I572" s="11">
        <f>IF(R572="","",D572-R572)</f>
        <v/>
      </c>
      <c r="J572" s="35">
        <f>IF(R572="","",SUMIFS(Fuel!$E$6:$E$605,Fuel!$C$6:$C$605,C572,Fuel!$D$6:$D$605,"&gt;"&amp;R572,Fuel!$D$6:$D$605,"&lt;="&amp;D572))</f>
        <v/>
      </c>
      <c r="K572" s="36">
        <f>IF(OR(I572="",N(I572)=0),"",J572/I572*100)</f>
        <v/>
      </c>
      <c r="L572" s="36">
        <f>IF(OR(J572="",N(J572)=0),"",I572/J572)</f>
        <v/>
      </c>
      <c r="M572" s="1" t="n"/>
      <c r="N572">
        <f>IF(OR(C572="",N(D572)=0),"",D572+ROW()/10000000)</f>
        <v/>
      </c>
      <c r="O572">
        <f>IF(N572="","",COUNTIFS(Fuel!$C$6:$C$605,C572,Fuel!$N$6:$N$605,"&gt;"&amp;N572))</f>
        <v/>
      </c>
      <c r="P572">
        <f>IF(OR(N572="",G572=""),"",COUNTIFS(Fuel!$C$6:$C$605,C572,Fuel!$G$6:$G$605,"&lt;&gt;",Fuel!$N$6:$N$605,"&lt;"&amp;N572))</f>
        <v/>
      </c>
      <c r="R572">
        <f>IF(OR(P572="",N(P572)=0),"",SUMIFS(Fuel!$D$6:$D$605,Fuel!$C$6:$C$605,C572,Fuel!$P$6:$P$605,P572-1))</f>
        <v/>
      </c>
    </row>
    <row r="573">
      <c r="A573" s="1" t="n"/>
      <c r="B573" s="29" t="n"/>
      <c r="C573" s="24" t="n"/>
      <c r="D573" s="28" t="n"/>
      <c r="E573" s="33" t="n"/>
      <c r="F573" s="34" t="n"/>
      <c r="G573" s="27" t="n"/>
      <c r="H573" s="14">
        <f>IF(OR(N(E573)=0,F573=""),"",F573/E573)</f>
        <v/>
      </c>
      <c r="I573" s="11">
        <f>IF(R573="","",D573-R573)</f>
        <v/>
      </c>
      <c r="J573" s="35">
        <f>IF(R573="","",SUMIFS(Fuel!$E$6:$E$605,Fuel!$C$6:$C$605,C573,Fuel!$D$6:$D$605,"&gt;"&amp;R573,Fuel!$D$6:$D$605,"&lt;="&amp;D573))</f>
        <v/>
      </c>
      <c r="K573" s="36">
        <f>IF(OR(I573="",N(I573)=0),"",J573/I573*100)</f>
        <v/>
      </c>
      <c r="L573" s="36">
        <f>IF(OR(J573="",N(J573)=0),"",I573/J573)</f>
        <v/>
      </c>
      <c r="M573" s="1" t="n"/>
      <c r="N573">
        <f>IF(OR(C573="",N(D573)=0),"",D573+ROW()/10000000)</f>
        <v/>
      </c>
      <c r="O573">
        <f>IF(N573="","",COUNTIFS(Fuel!$C$6:$C$605,C573,Fuel!$N$6:$N$605,"&gt;"&amp;N573))</f>
        <v/>
      </c>
      <c r="P573">
        <f>IF(OR(N573="",G573=""),"",COUNTIFS(Fuel!$C$6:$C$605,C573,Fuel!$G$6:$G$605,"&lt;&gt;",Fuel!$N$6:$N$605,"&lt;"&amp;N573))</f>
        <v/>
      </c>
      <c r="R573">
        <f>IF(OR(P573="",N(P573)=0),"",SUMIFS(Fuel!$D$6:$D$605,Fuel!$C$6:$C$605,C573,Fuel!$P$6:$P$605,P573-1))</f>
        <v/>
      </c>
    </row>
    <row r="574">
      <c r="A574" s="1" t="n"/>
      <c r="B574" s="29" t="n"/>
      <c r="C574" s="24" t="n"/>
      <c r="D574" s="28" t="n"/>
      <c r="E574" s="33" t="n"/>
      <c r="F574" s="34" t="n"/>
      <c r="G574" s="27" t="n"/>
      <c r="H574" s="14">
        <f>IF(OR(N(E574)=0,F574=""),"",F574/E574)</f>
        <v/>
      </c>
      <c r="I574" s="11">
        <f>IF(R574="","",D574-R574)</f>
        <v/>
      </c>
      <c r="J574" s="35">
        <f>IF(R574="","",SUMIFS(Fuel!$E$6:$E$605,Fuel!$C$6:$C$605,C574,Fuel!$D$6:$D$605,"&gt;"&amp;R574,Fuel!$D$6:$D$605,"&lt;="&amp;D574))</f>
        <v/>
      </c>
      <c r="K574" s="36">
        <f>IF(OR(I574="",N(I574)=0),"",J574/I574*100)</f>
        <v/>
      </c>
      <c r="L574" s="36">
        <f>IF(OR(J574="",N(J574)=0),"",I574/J574)</f>
        <v/>
      </c>
      <c r="M574" s="1" t="n"/>
      <c r="N574">
        <f>IF(OR(C574="",N(D574)=0),"",D574+ROW()/10000000)</f>
        <v/>
      </c>
      <c r="O574">
        <f>IF(N574="","",COUNTIFS(Fuel!$C$6:$C$605,C574,Fuel!$N$6:$N$605,"&gt;"&amp;N574))</f>
        <v/>
      </c>
      <c r="P574">
        <f>IF(OR(N574="",G574=""),"",COUNTIFS(Fuel!$C$6:$C$605,C574,Fuel!$G$6:$G$605,"&lt;&gt;",Fuel!$N$6:$N$605,"&lt;"&amp;N574))</f>
        <v/>
      </c>
      <c r="R574">
        <f>IF(OR(P574="",N(P574)=0),"",SUMIFS(Fuel!$D$6:$D$605,Fuel!$C$6:$C$605,C574,Fuel!$P$6:$P$605,P574-1))</f>
        <v/>
      </c>
    </row>
    <row r="575">
      <c r="A575" s="1" t="n"/>
      <c r="B575" s="29" t="n"/>
      <c r="C575" s="24" t="n"/>
      <c r="D575" s="28" t="n"/>
      <c r="E575" s="33" t="n"/>
      <c r="F575" s="34" t="n"/>
      <c r="G575" s="27" t="n"/>
      <c r="H575" s="14">
        <f>IF(OR(N(E575)=0,F575=""),"",F575/E575)</f>
        <v/>
      </c>
      <c r="I575" s="11">
        <f>IF(R575="","",D575-R575)</f>
        <v/>
      </c>
      <c r="J575" s="35">
        <f>IF(R575="","",SUMIFS(Fuel!$E$6:$E$605,Fuel!$C$6:$C$605,C575,Fuel!$D$6:$D$605,"&gt;"&amp;R575,Fuel!$D$6:$D$605,"&lt;="&amp;D575))</f>
        <v/>
      </c>
      <c r="K575" s="36">
        <f>IF(OR(I575="",N(I575)=0),"",J575/I575*100)</f>
        <v/>
      </c>
      <c r="L575" s="36">
        <f>IF(OR(J575="",N(J575)=0),"",I575/J575)</f>
        <v/>
      </c>
      <c r="M575" s="1" t="n"/>
      <c r="N575">
        <f>IF(OR(C575="",N(D575)=0),"",D575+ROW()/10000000)</f>
        <v/>
      </c>
      <c r="O575">
        <f>IF(N575="","",COUNTIFS(Fuel!$C$6:$C$605,C575,Fuel!$N$6:$N$605,"&gt;"&amp;N575))</f>
        <v/>
      </c>
      <c r="P575">
        <f>IF(OR(N575="",G575=""),"",COUNTIFS(Fuel!$C$6:$C$605,C575,Fuel!$G$6:$G$605,"&lt;&gt;",Fuel!$N$6:$N$605,"&lt;"&amp;N575))</f>
        <v/>
      </c>
      <c r="R575">
        <f>IF(OR(P575="",N(P575)=0),"",SUMIFS(Fuel!$D$6:$D$605,Fuel!$C$6:$C$605,C575,Fuel!$P$6:$P$605,P575-1))</f>
        <v/>
      </c>
    </row>
    <row r="576">
      <c r="A576" s="1" t="n"/>
      <c r="B576" s="29" t="n"/>
      <c r="C576" s="24" t="n"/>
      <c r="D576" s="28" t="n"/>
      <c r="E576" s="33" t="n"/>
      <c r="F576" s="34" t="n"/>
      <c r="G576" s="27" t="n"/>
      <c r="H576" s="14">
        <f>IF(OR(N(E576)=0,F576=""),"",F576/E576)</f>
        <v/>
      </c>
      <c r="I576" s="11">
        <f>IF(R576="","",D576-R576)</f>
        <v/>
      </c>
      <c r="J576" s="35">
        <f>IF(R576="","",SUMIFS(Fuel!$E$6:$E$605,Fuel!$C$6:$C$605,C576,Fuel!$D$6:$D$605,"&gt;"&amp;R576,Fuel!$D$6:$D$605,"&lt;="&amp;D576))</f>
        <v/>
      </c>
      <c r="K576" s="36">
        <f>IF(OR(I576="",N(I576)=0),"",J576/I576*100)</f>
        <v/>
      </c>
      <c r="L576" s="36">
        <f>IF(OR(J576="",N(J576)=0),"",I576/J576)</f>
        <v/>
      </c>
      <c r="M576" s="1" t="n"/>
      <c r="N576">
        <f>IF(OR(C576="",N(D576)=0),"",D576+ROW()/10000000)</f>
        <v/>
      </c>
      <c r="O576">
        <f>IF(N576="","",COUNTIFS(Fuel!$C$6:$C$605,C576,Fuel!$N$6:$N$605,"&gt;"&amp;N576))</f>
        <v/>
      </c>
      <c r="P576">
        <f>IF(OR(N576="",G576=""),"",COUNTIFS(Fuel!$C$6:$C$605,C576,Fuel!$G$6:$G$605,"&lt;&gt;",Fuel!$N$6:$N$605,"&lt;"&amp;N576))</f>
        <v/>
      </c>
      <c r="R576">
        <f>IF(OR(P576="",N(P576)=0),"",SUMIFS(Fuel!$D$6:$D$605,Fuel!$C$6:$C$605,C576,Fuel!$P$6:$P$605,P576-1))</f>
        <v/>
      </c>
    </row>
    <row r="577">
      <c r="A577" s="1" t="n"/>
      <c r="B577" s="29" t="n"/>
      <c r="C577" s="24" t="n"/>
      <c r="D577" s="28" t="n"/>
      <c r="E577" s="33" t="n"/>
      <c r="F577" s="34" t="n"/>
      <c r="G577" s="27" t="n"/>
      <c r="H577" s="14">
        <f>IF(OR(N(E577)=0,F577=""),"",F577/E577)</f>
        <v/>
      </c>
      <c r="I577" s="11">
        <f>IF(R577="","",D577-R577)</f>
        <v/>
      </c>
      <c r="J577" s="35">
        <f>IF(R577="","",SUMIFS(Fuel!$E$6:$E$605,Fuel!$C$6:$C$605,C577,Fuel!$D$6:$D$605,"&gt;"&amp;R577,Fuel!$D$6:$D$605,"&lt;="&amp;D577))</f>
        <v/>
      </c>
      <c r="K577" s="36">
        <f>IF(OR(I577="",N(I577)=0),"",J577/I577*100)</f>
        <v/>
      </c>
      <c r="L577" s="36">
        <f>IF(OR(J577="",N(J577)=0),"",I577/J577)</f>
        <v/>
      </c>
      <c r="M577" s="1" t="n"/>
      <c r="N577">
        <f>IF(OR(C577="",N(D577)=0),"",D577+ROW()/10000000)</f>
        <v/>
      </c>
      <c r="O577">
        <f>IF(N577="","",COUNTIFS(Fuel!$C$6:$C$605,C577,Fuel!$N$6:$N$605,"&gt;"&amp;N577))</f>
        <v/>
      </c>
      <c r="P577">
        <f>IF(OR(N577="",G577=""),"",COUNTIFS(Fuel!$C$6:$C$605,C577,Fuel!$G$6:$G$605,"&lt;&gt;",Fuel!$N$6:$N$605,"&lt;"&amp;N577))</f>
        <v/>
      </c>
      <c r="R577">
        <f>IF(OR(P577="",N(P577)=0),"",SUMIFS(Fuel!$D$6:$D$605,Fuel!$C$6:$C$605,C577,Fuel!$P$6:$P$605,P577-1))</f>
        <v/>
      </c>
    </row>
    <row r="578">
      <c r="A578" s="1" t="n"/>
      <c r="B578" s="29" t="n"/>
      <c r="C578" s="24" t="n"/>
      <c r="D578" s="28" t="n"/>
      <c r="E578" s="33" t="n"/>
      <c r="F578" s="34" t="n"/>
      <c r="G578" s="27" t="n"/>
      <c r="H578" s="14">
        <f>IF(OR(N(E578)=0,F578=""),"",F578/E578)</f>
        <v/>
      </c>
      <c r="I578" s="11">
        <f>IF(R578="","",D578-R578)</f>
        <v/>
      </c>
      <c r="J578" s="35">
        <f>IF(R578="","",SUMIFS(Fuel!$E$6:$E$605,Fuel!$C$6:$C$605,C578,Fuel!$D$6:$D$605,"&gt;"&amp;R578,Fuel!$D$6:$D$605,"&lt;="&amp;D578))</f>
        <v/>
      </c>
      <c r="K578" s="36">
        <f>IF(OR(I578="",N(I578)=0),"",J578/I578*100)</f>
        <v/>
      </c>
      <c r="L578" s="36">
        <f>IF(OR(J578="",N(J578)=0),"",I578/J578)</f>
        <v/>
      </c>
      <c r="M578" s="1" t="n"/>
      <c r="N578">
        <f>IF(OR(C578="",N(D578)=0),"",D578+ROW()/10000000)</f>
        <v/>
      </c>
      <c r="O578">
        <f>IF(N578="","",COUNTIFS(Fuel!$C$6:$C$605,C578,Fuel!$N$6:$N$605,"&gt;"&amp;N578))</f>
        <v/>
      </c>
      <c r="P578">
        <f>IF(OR(N578="",G578=""),"",COUNTIFS(Fuel!$C$6:$C$605,C578,Fuel!$G$6:$G$605,"&lt;&gt;",Fuel!$N$6:$N$605,"&lt;"&amp;N578))</f>
        <v/>
      </c>
      <c r="R578">
        <f>IF(OR(P578="",N(P578)=0),"",SUMIFS(Fuel!$D$6:$D$605,Fuel!$C$6:$C$605,C578,Fuel!$P$6:$P$605,P578-1))</f>
        <v/>
      </c>
    </row>
    <row r="579">
      <c r="A579" s="1" t="n"/>
      <c r="B579" s="29" t="n"/>
      <c r="C579" s="24" t="n"/>
      <c r="D579" s="28" t="n"/>
      <c r="E579" s="33" t="n"/>
      <c r="F579" s="34" t="n"/>
      <c r="G579" s="27" t="n"/>
      <c r="H579" s="14">
        <f>IF(OR(N(E579)=0,F579=""),"",F579/E579)</f>
        <v/>
      </c>
      <c r="I579" s="11">
        <f>IF(R579="","",D579-R579)</f>
        <v/>
      </c>
      <c r="J579" s="35">
        <f>IF(R579="","",SUMIFS(Fuel!$E$6:$E$605,Fuel!$C$6:$C$605,C579,Fuel!$D$6:$D$605,"&gt;"&amp;R579,Fuel!$D$6:$D$605,"&lt;="&amp;D579))</f>
        <v/>
      </c>
      <c r="K579" s="36">
        <f>IF(OR(I579="",N(I579)=0),"",J579/I579*100)</f>
        <v/>
      </c>
      <c r="L579" s="36">
        <f>IF(OR(J579="",N(J579)=0),"",I579/J579)</f>
        <v/>
      </c>
      <c r="M579" s="1" t="n"/>
      <c r="N579">
        <f>IF(OR(C579="",N(D579)=0),"",D579+ROW()/10000000)</f>
        <v/>
      </c>
      <c r="O579">
        <f>IF(N579="","",COUNTIFS(Fuel!$C$6:$C$605,C579,Fuel!$N$6:$N$605,"&gt;"&amp;N579))</f>
        <v/>
      </c>
      <c r="P579">
        <f>IF(OR(N579="",G579=""),"",COUNTIFS(Fuel!$C$6:$C$605,C579,Fuel!$G$6:$G$605,"&lt;&gt;",Fuel!$N$6:$N$605,"&lt;"&amp;N579))</f>
        <v/>
      </c>
      <c r="R579">
        <f>IF(OR(P579="",N(P579)=0),"",SUMIFS(Fuel!$D$6:$D$605,Fuel!$C$6:$C$605,C579,Fuel!$P$6:$P$605,P579-1))</f>
        <v/>
      </c>
    </row>
    <row r="580">
      <c r="A580" s="1" t="n"/>
      <c r="B580" s="29" t="n"/>
      <c r="C580" s="24" t="n"/>
      <c r="D580" s="28" t="n"/>
      <c r="E580" s="33" t="n"/>
      <c r="F580" s="34" t="n"/>
      <c r="G580" s="27" t="n"/>
      <c r="H580" s="14">
        <f>IF(OR(N(E580)=0,F580=""),"",F580/E580)</f>
        <v/>
      </c>
      <c r="I580" s="11">
        <f>IF(R580="","",D580-R580)</f>
        <v/>
      </c>
      <c r="J580" s="35">
        <f>IF(R580="","",SUMIFS(Fuel!$E$6:$E$605,Fuel!$C$6:$C$605,C580,Fuel!$D$6:$D$605,"&gt;"&amp;R580,Fuel!$D$6:$D$605,"&lt;="&amp;D580))</f>
        <v/>
      </c>
      <c r="K580" s="36">
        <f>IF(OR(I580="",N(I580)=0),"",J580/I580*100)</f>
        <v/>
      </c>
      <c r="L580" s="36">
        <f>IF(OR(J580="",N(J580)=0),"",I580/J580)</f>
        <v/>
      </c>
      <c r="M580" s="1" t="n"/>
      <c r="N580">
        <f>IF(OR(C580="",N(D580)=0),"",D580+ROW()/10000000)</f>
        <v/>
      </c>
      <c r="O580">
        <f>IF(N580="","",COUNTIFS(Fuel!$C$6:$C$605,C580,Fuel!$N$6:$N$605,"&gt;"&amp;N580))</f>
        <v/>
      </c>
      <c r="P580">
        <f>IF(OR(N580="",G580=""),"",COUNTIFS(Fuel!$C$6:$C$605,C580,Fuel!$G$6:$G$605,"&lt;&gt;",Fuel!$N$6:$N$605,"&lt;"&amp;N580))</f>
        <v/>
      </c>
      <c r="R580">
        <f>IF(OR(P580="",N(P580)=0),"",SUMIFS(Fuel!$D$6:$D$605,Fuel!$C$6:$C$605,C580,Fuel!$P$6:$P$605,P580-1))</f>
        <v/>
      </c>
    </row>
    <row r="581">
      <c r="A581" s="1" t="n"/>
      <c r="B581" s="29" t="n"/>
      <c r="C581" s="24" t="n"/>
      <c r="D581" s="28" t="n"/>
      <c r="E581" s="33" t="n"/>
      <c r="F581" s="34" t="n"/>
      <c r="G581" s="27" t="n"/>
      <c r="H581" s="14">
        <f>IF(OR(N(E581)=0,F581=""),"",F581/E581)</f>
        <v/>
      </c>
      <c r="I581" s="11">
        <f>IF(R581="","",D581-R581)</f>
        <v/>
      </c>
      <c r="J581" s="35">
        <f>IF(R581="","",SUMIFS(Fuel!$E$6:$E$605,Fuel!$C$6:$C$605,C581,Fuel!$D$6:$D$605,"&gt;"&amp;R581,Fuel!$D$6:$D$605,"&lt;="&amp;D581))</f>
        <v/>
      </c>
      <c r="K581" s="36">
        <f>IF(OR(I581="",N(I581)=0),"",J581/I581*100)</f>
        <v/>
      </c>
      <c r="L581" s="36">
        <f>IF(OR(J581="",N(J581)=0),"",I581/J581)</f>
        <v/>
      </c>
      <c r="M581" s="1" t="n"/>
      <c r="N581">
        <f>IF(OR(C581="",N(D581)=0),"",D581+ROW()/10000000)</f>
        <v/>
      </c>
      <c r="O581">
        <f>IF(N581="","",COUNTIFS(Fuel!$C$6:$C$605,C581,Fuel!$N$6:$N$605,"&gt;"&amp;N581))</f>
        <v/>
      </c>
      <c r="P581">
        <f>IF(OR(N581="",G581=""),"",COUNTIFS(Fuel!$C$6:$C$605,C581,Fuel!$G$6:$G$605,"&lt;&gt;",Fuel!$N$6:$N$605,"&lt;"&amp;N581))</f>
        <v/>
      </c>
      <c r="R581">
        <f>IF(OR(P581="",N(P581)=0),"",SUMIFS(Fuel!$D$6:$D$605,Fuel!$C$6:$C$605,C581,Fuel!$P$6:$P$605,P581-1))</f>
        <v/>
      </c>
    </row>
    <row r="582">
      <c r="A582" s="1" t="n"/>
      <c r="B582" s="29" t="n"/>
      <c r="C582" s="24" t="n"/>
      <c r="D582" s="28" t="n"/>
      <c r="E582" s="33" t="n"/>
      <c r="F582" s="34" t="n"/>
      <c r="G582" s="27" t="n"/>
      <c r="H582" s="14">
        <f>IF(OR(N(E582)=0,F582=""),"",F582/E582)</f>
        <v/>
      </c>
      <c r="I582" s="11">
        <f>IF(R582="","",D582-R582)</f>
        <v/>
      </c>
      <c r="J582" s="35">
        <f>IF(R582="","",SUMIFS(Fuel!$E$6:$E$605,Fuel!$C$6:$C$605,C582,Fuel!$D$6:$D$605,"&gt;"&amp;R582,Fuel!$D$6:$D$605,"&lt;="&amp;D582))</f>
        <v/>
      </c>
      <c r="K582" s="36">
        <f>IF(OR(I582="",N(I582)=0),"",J582/I582*100)</f>
        <v/>
      </c>
      <c r="L582" s="36">
        <f>IF(OR(J582="",N(J582)=0),"",I582/J582)</f>
        <v/>
      </c>
      <c r="M582" s="1" t="n"/>
      <c r="N582">
        <f>IF(OR(C582="",N(D582)=0),"",D582+ROW()/10000000)</f>
        <v/>
      </c>
      <c r="O582">
        <f>IF(N582="","",COUNTIFS(Fuel!$C$6:$C$605,C582,Fuel!$N$6:$N$605,"&gt;"&amp;N582))</f>
        <v/>
      </c>
      <c r="P582">
        <f>IF(OR(N582="",G582=""),"",COUNTIFS(Fuel!$C$6:$C$605,C582,Fuel!$G$6:$G$605,"&lt;&gt;",Fuel!$N$6:$N$605,"&lt;"&amp;N582))</f>
        <v/>
      </c>
      <c r="R582">
        <f>IF(OR(P582="",N(P582)=0),"",SUMIFS(Fuel!$D$6:$D$605,Fuel!$C$6:$C$605,C582,Fuel!$P$6:$P$605,P582-1))</f>
        <v/>
      </c>
    </row>
    <row r="583">
      <c r="A583" s="1" t="n"/>
      <c r="B583" s="29" t="n"/>
      <c r="C583" s="24" t="n"/>
      <c r="D583" s="28" t="n"/>
      <c r="E583" s="33" t="n"/>
      <c r="F583" s="34" t="n"/>
      <c r="G583" s="27" t="n"/>
      <c r="H583" s="14">
        <f>IF(OR(N(E583)=0,F583=""),"",F583/E583)</f>
        <v/>
      </c>
      <c r="I583" s="11">
        <f>IF(R583="","",D583-R583)</f>
        <v/>
      </c>
      <c r="J583" s="35">
        <f>IF(R583="","",SUMIFS(Fuel!$E$6:$E$605,Fuel!$C$6:$C$605,C583,Fuel!$D$6:$D$605,"&gt;"&amp;R583,Fuel!$D$6:$D$605,"&lt;="&amp;D583))</f>
        <v/>
      </c>
      <c r="K583" s="36">
        <f>IF(OR(I583="",N(I583)=0),"",J583/I583*100)</f>
        <v/>
      </c>
      <c r="L583" s="36">
        <f>IF(OR(J583="",N(J583)=0),"",I583/J583)</f>
        <v/>
      </c>
      <c r="M583" s="1" t="n"/>
      <c r="N583">
        <f>IF(OR(C583="",N(D583)=0),"",D583+ROW()/10000000)</f>
        <v/>
      </c>
      <c r="O583">
        <f>IF(N583="","",COUNTIFS(Fuel!$C$6:$C$605,C583,Fuel!$N$6:$N$605,"&gt;"&amp;N583))</f>
        <v/>
      </c>
      <c r="P583">
        <f>IF(OR(N583="",G583=""),"",COUNTIFS(Fuel!$C$6:$C$605,C583,Fuel!$G$6:$G$605,"&lt;&gt;",Fuel!$N$6:$N$605,"&lt;"&amp;N583))</f>
        <v/>
      </c>
      <c r="R583">
        <f>IF(OR(P583="",N(P583)=0),"",SUMIFS(Fuel!$D$6:$D$605,Fuel!$C$6:$C$605,C583,Fuel!$P$6:$P$605,P583-1))</f>
        <v/>
      </c>
    </row>
    <row r="584">
      <c r="A584" s="1" t="n"/>
      <c r="B584" s="29" t="n"/>
      <c r="C584" s="24" t="n"/>
      <c r="D584" s="28" t="n"/>
      <c r="E584" s="33" t="n"/>
      <c r="F584" s="34" t="n"/>
      <c r="G584" s="27" t="n"/>
      <c r="H584" s="14">
        <f>IF(OR(N(E584)=0,F584=""),"",F584/E584)</f>
        <v/>
      </c>
      <c r="I584" s="11">
        <f>IF(R584="","",D584-R584)</f>
        <v/>
      </c>
      <c r="J584" s="35">
        <f>IF(R584="","",SUMIFS(Fuel!$E$6:$E$605,Fuel!$C$6:$C$605,C584,Fuel!$D$6:$D$605,"&gt;"&amp;R584,Fuel!$D$6:$D$605,"&lt;="&amp;D584))</f>
        <v/>
      </c>
      <c r="K584" s="36">
        <f>IF(OR(I584="",N(I584)=0),"",J584/I584*100)</f>
        <v/>
      </c>
      <c r="L584" s="36">
        <f>IF(OR(J584="",N(J584)=0),"",I584/J584)</f>
        <v/>
      </c>
      <c r="M584" s="1" t="n"/>
      <c r="N584">
        <f>IF(OR(C584="",N(D584)=0),"",D584+ROW()/10000000)</f>
        <v/>
      </c>
      <c r="O584">
        <f>IF(N584="","",COUNTIFS(Fuel!$C$6:$C$605,C584,Fuel!$N$6:$N$605,"&gt;"&amp;N584))</f>
        <v/>
      </c>
      <c r="P584">
        <f>IF(OR(N584="",G584=""),"",COUNTIFS(Fuel!$C$6:$C$605,C584,Fuel!$G$6:$G$605,"&lt;&gt;",Fuel!$N$6:$N$605,"&lt;"&amp;N584))</f>
        <v/>
      </c>
      <c r="R584">
        <f>IF(OR(P584="",N(P584)=0),"",SUMIFS(Fuel!$D$6:$D$605,Fuel!$C$6:$C$605,C584,Fuel!$P$6:$P$605,P584-1))</f>
        <v/>
      </c>
    </row>
    <row r="585">
      <c r="A585" s="1" t="n"/>
      <c r="B585" s="29" t="n"/>
      <c r="C585" s="24" t="n"/>
      <c r="D585" s="28" t="n"/>
      <c r="E585" s="33" t="n"/>
      <c r="F585" s="34" t="n"/>
      <c r="G585" s="27" t="n"/>
      <c r="H585" s="14">
        <f>IF(OR(N(E585)=0,F585=""),"",F585/E585)</f>
        <v/>
      </c>
      <c r="I585" s="11">
        <f>IF(R585="","",D585-R585)</f>
        <v/>
      </c>
      <c r="J585" s="35">
        <f>IF(R585="","",SUMIFS(Fuel!$E$6:$E$605,Fuel!$C$6:$C$605,C585,Fuel!$D$6:$D$605,"&gt;"&amp;R585,Fuel!$D$6:$D$605,"&lt;="&amp;D585))</f>
        <v/>
      </c>
      <c r="K585" s="36">
        <f>IF(OR(I585="",N(I585)=0),"",J585/I585*100)</f>
        <v/>
      </c>
      <c r="L585" s="36">
        <f>IF(OR(J585="",N(J585)=0),"",I585/J585)</f>
        <v/>
      </c>
      <c r="M585" s="1" t="n"/>
      <c r="N585">
        <f>IF(OR(C585="",N(D585)=0),"",D585+ROW()/10000000)</f>
        <v/>
      </c>
      <c r="O585">
        <f>IF(N585="","",COUNTIFS(Fuel!$C$6:$C$605,C585,Fuel!$N$6:$N$605,"&gt;"&amp;N585))</f>
        <v/>
      </c>
      <c r="P585">
        <f>IF(OR(N585="",G585=""),"",COUNTIFS(Fuel!$C$6:$C$605,C585,Fuel!$G$6:$G$605,"&lt;&gt;",Fuel!$N$6:$N$605,"&lt;"&amp;N585))</f>
        <v/>
      </c>
      <c r="R585">
        <f>IF(OR(P585="",N(P585)=0),"",SUMIFS(Fuel!$D$6:$D$605,Fuel!$C$6:$C$605,C585,Fuel!$P$6:$P$605,P585-1))</f>
        <v/>
      </c>
    </row>
    <row r="586">
      <c r="A586" s="1" t="n"/>
      <c r="B586" s="29" t="n"/>
      <c r="C586" s="24" t="n"/>
      <c r="D586" s="28" t="n"/>
      <c r="E586" s="33" t="n"/>
      <c r="F586" s="34" t="n"/>
      <c r="G586" s="27" t="n"/>
      <c r="H586" s="14">
        <f>IF(OR(N(E586)=0,F586=""),"",F586/E586)</f>
        <v/>
      </c>
      <c r="I586" s="11">
        <f>IF(R586="","",D586-R586)</f>
        <v/>
      </c>
      <c r="J586" s="35">
        <f>IF(R586="","",SUMIFS(Fuel!$E$6:$E$605,Fuel!$C$6:$C$605,C586,Fuel!$D$6:$D$605,"&gt;"&amp;R586,Fuel!$D$6:$D$605,"&lt;="&amp;D586))</f>
        <v/>
      </c>
      <c r="K586" s="36">
        <f>IF(OR(I586="",N(I586)=0),"",J586/I586*100)</f>
        <v/>
      </c>
      <c r="L586" s="36">
        <f>IF(OR(J586="",N(J586)=0),"",I586/J586)</f>
        <v/>
      </c>
      <c r="M586" s="1" t="n"/>
      <c r="N586">
        <f>IF(OR(C586="",N(D586)=0),"",D586+ROW()/10000000)</f>
        <v/>
      </c>
      <c r="O586">
        <f>IF(N586="","",COUNTIFS(Fuel!$C$6:$C$605,C586,Fuel!$N$6:$N$605,"&gt;"&amp;N586))</f>
        <v/>
      </c>
      <c r="P586">
        <f>IF(OR(N586="",G586=""),"",COUNTIFS(Fuel!$C$6:$C$605,C586,Fuel!$G$6:$G$605,"&lt;&gt;",Fuel!$N$6:$N$605,"&lt;"&amp;N586))</f>
        <v/>
      </c>
      <c r="R586">
        <f>IF(OR(P586="",N(P586)=0),"",SUMIFS(Fuel!$D$6:$D$605,Fuel!$C$6:$C$605,C586,Fuel!$P$6:$P$605,P586-1))</f>
        <v/>
      </c>
    </row>
    <row r="587">
      <c r="A587" s="1" t="n"/>
      <c r="B587" s="29" t="n"/>
      <c r="C587" s="24" t="n"/>
      <c r="D587" s="28" t="n"/>
      <c r="E587" s="33" t="n"/>
      <c r="F587" s="34" t="n"/>
      <c r="G587" s="27" t="n"/>
      <c r="H587" s="14">
        <f>IF(OR(N(E587)=0,F587=""),"",F587/E587)</f>
        <v/>
      </c>
      <c r="I587" s="11">
        <f>IF(R587="","",D587-R587)</f>
        <v/>
      </c>
      <c r="J587" s="35">
        <f>IF(R587="","",SUMIFS(Fuel!$E$6:$E$605,Fuel!$C$6:$C$605,C587,Fuel!$D$6:$D$605,"&gt;"&amp;R587,Fuel!$D$6:$D$605,"&lt;="&amp;D587))</f>
        <v/>
      </c>
      <c r="K587" s="36">
        <f>IF(OR(I587="",N(I587)=0),"",J587/I587*100)</f>
        <v/>
      </c>
      <c r="L587" s="36">
        <f>IF(OR(J587="",N(J587)=0),"",I587/J587)</f>
        <v/>
      </c>
      <c r="M587" s="1" t="n"/>
      <c r="N587">
        <f>IF(OR(C587="",N(D587)=0),"",D587+ROW()/10000000)</f>
        <v/>
      </c>
      <c r="O587">
        <f>IF(N587="","",COUNTIFS(Fuel!$C$6:$C$605,C587,Fuel!$N$6:$N$605,"&gt;"&amp;N587))</f>
        <v/>
      </c>
      <c r="P587">
        <f>IF(OR(N587="",G587=""),"",COUNTIFS(Fuel!$C$6:$C$605,C587,Fuel!$G$6:$G$605,"&lt;&gt;",Fuel!$N$6:$N$605,"&lt;"&amp;N587))</f>
        <v/>
      </c>
      <c r="R587">
        <f>IF(OR(P587="",N(P587)=0),"",SUMIFS(Fuel!$D$6:$D$605,Fuel!$C$6:$C$605,C587,Fuel!$P$6:$P$605,P587-1))</f>
        <v/>
      </c>
    </row>
    <row r="588">
      <c r="A588" s="1" t="n"/>
      <c r="B588" s="29" t="n"/>
      <c r="C588" s="24" t="n"/>
      <c r="D588" s="28" t="n"/>
      <c r="E588" s="33" t="n"/>
      <c r="F588" s="34" t="n"/>
      <c r="G588" s="27" t="n"/>
      <c r="H588" s="14">
        <f>IF(OR(N(E588)=0,F588=""),"",F588/E588)</f>
        <v/>
      </c>
      <c r="I588" s="11">
        <f>IF(R588="","",D588-R588)</f>
        <v/>
      </c>
      <c r="J588" s="35">
        <f>IF(R588="","",SUMIFS(Fuel!$E$6:$E$605,Fuel!$C$6:$C$605,C588,Fuel!$D$6:$D$605,"&gt;"&amp;R588,Fuel!$D$6:$D$605,"&lt;="&amp;D588))</f>
        <v/>
      </c>
      <c r="K588" s="36">
        <f>IF(OR(I588="",N(I588)=0),"",J588/I588*100)</f>
        <v/>
      </c>
      <c r="L588" s="36">
        <f>IF(OR(J588="",N(J588)=0),"",I588/J588)</f>
        <v/>
      </c>
      <c r="M588" s="1" t="n"/>
      <c r="N588">
        <f>IF(OR(C588="",N(D588)=0),"",D588+ROW()/10000000)</f>
        <v/>
      </c>
      <c r="O588">
        <f>IF(N588="","",COUNTIFS(Fuel!$C$6:$C$605,C588,Fuel!$N$6:$N$605,"&gt;"&amp;N588))</f>
        <v/>
      </c>
      <c r="P588">
        <f>IF(OR(N588="",G588=""),"",COUNTIFS(Fuel!$C$6:$C$605,C588,Fuel!$G$6:$G$605,"&lt;&gt;",Fuel!$N$6:$N$605,"&lt;"&amp;N588))</f>
        <v/>
      </c>
      <c r="R588">
        <f>IF(OR(P588="",N(P588)=0),"",SUMIFS(Fuel!$D$6:$D$605,Fuel!$C$6:$C$605,C588,Fuel!$P$6:$P$605,P588-1))</f>
        <v/>
      </c>
    </row>
    <row r="589">
      <c r="A589" s="1" t="n"/>
      <c r="B589" s="29" t="n"/>
      <c r="C589" s="24" t="n"/>
      <c r="D589" s="28" t="n"/>
      <c r="E589" s="33" t="n"/>
      <c r="F589" s="34" t="n"/>
      <c r="G589" s="27" t="n"/>
      <c r="H589" s="14">
        <f>IF(OR(N(E589)=0,F589=""),"",F589/E589)</f>
        <v/>
      </c>
      <c r="I589" s="11">
        <f>IF(R589="","",D589-R589)</f>
        <v/>
      </c>
      <c r="J589" s="35">
        <f>IF(R589="","",SUMIFS(Fuel!$E$6:$E$605,Fuel!$C$6:$C$605,C589,Fuel!$D$6:$D$605,"&gt;"&amp;R589,Fuel!$D$6:$D$605,"&lt;="&amp;D589))</f>
        <v/>
      </c>
      <c r="K589" s="36">
        <f>IF(OR(I589="",N(I589)=0),"",J589/I589*100)</f>
        <v/>
      </c>
      <c r="L589" s="36">
        <f>IF(OR(J589="",N(J589)=0),"",I589/J589)</f>
        <v/>
      </c>
      <c r="M589" s="1" t="n"/>
      <c r="N589">
        <f>IF(OR(C589="",N(D589)=0),"",D589+ROW()/10000000)</f>
        <v/>
      </c>
      <c r="O589">
        <f>IF(N589="","",COUNTIFS(Fuel!$C$6:$C$605,C589,Fuel!$N$6:$N$605,"&gt;"&amp;N589))</f>
        <v/>
      </c>
      <c r="P589">
        <f>IF(OR(N589="",G589=""),"",COUNTIFS(Fuel!$C$6:$C$605,C589,Fuel!$G$6:$G$605,"&lt;&gt;",Fuel!$N$6:$N$605,"&lt;"&amp;N589))</f>
        <v/>
      </c>
      <c r="R589">
        <f>IF(OR(P589="",N(P589)=0),"",SUMIFS(Fuel!$D$6:$D$605,Fuel!$C$6:$C$605,C589,Fuel!$P$6:$P$605,P589-1))</f>
        <v/>
      </c>
    </row>
    <row r="590">
      <c r="A590" s="1" t="n"/>
      <c r="B590" s="29" t="n"/>
      <c r="C590" s="24" t="n"/>
      <c r="D590" s="28" t="n"/>
      <c r="E590" s="33" t="n"/>
      <c r="F590" s="34" t="n"/>
      <c r="G590" s="27" t="n"/>
      <c r="H590" s="14">
        <f>IF(OR(N(E590)=0,F590=""),"",F590/E590)</f>
        <v/>
      </c>
      <c r="I590" s="11">
        <f>IF(R590="","",D590-R590)</f>
        <v/>
      </c>
      <c r="J590" s="35">
        <f>IF(R590="","",SUMIFS(Fuel!$E$6:$E$605,Fuel!$C$6:$C$605,C590,Fuel!$D$6:$D$605,"&gt;"&amp;R590,Fuel!$D$6:$D$605,"&lt;="&amp;D590))</f>
        <v/>
      </c>
      <c r="K590" s="36">
        <f>IF(OR(I590="",N(I590)=0),"",J590/I590*100)</f>
        <v/>
      </c>
      <c r="L590" s="36">
        <f>IF(OR(J590="",N(J590)=0),"",I590/J590)</f>
        <v/>
      </c>
      <c r="M590" s="1" t="n"/>
      <c r="N590">
        <f>IF(OR(C590="",N(D590)=0),"",D590+ROW()/10000000)</f>
        <v/>
      </c>
      <c r="O590">
        <f>IF(N590="","",COUNTIFS(Fuel!$C$6:$C$605,C590,Fuel!$N$6:$N$605,"&gt;"&amp;N590))</f>
        <v/>
      </c>
      <c r="P590">
        <f>IF(OR(N590="",G590=""),"",COUNTIFS(Fuel!$C$6:$C$605,C590,Fuel!$G$6:$G$605,"&lt;&gt;",Fuel!$N$6:$N$605,"&lt;"&amp;N590))</f>
        <v/>
      </c>
      <c r="R590">
        <f>IF(OR(P590="",N(P590)=0),"",SUMIFS(Fuel!$D$6:$D$605,Fuel!$C$6:$C$605,C590,Fuel!$P$6:$P$605,P590-1))</f>
        <v/>
      </c>
    </row>
    <row r="591">
      <c r="A591" s="1" t="n"/>
      <c r="B591" s="29" t="n"/>
      <c r="C591" s="24" t="n"/>
      <c r="D591" s="28" t="n"/>
      <c r="E591" s="33" t="n"/>
      <c r="F591" s="34" t="n"/>
      <c r="G591" s="27" t="n"/>
      <c r="H591" s="14">
        <f>IF(OR(N(E591)=0,F591=""),"",F591/E591)</f>
        <v/>
      </c>
      <c r="I591" s="11">
        <f>IF(R591="","",D591-R591)</f>
        <v/>
      </c>
      <c r="J591" s="35">
        <f>IF(R591="","",SUMIFS(Fuel!$E$6:$E$605,Fuel!$C$6:$C$605,C591,Fuel!$D$6:$D$605,"&gt;"&amp;R591,Fuel!$D$6:$D$605,"&lt;="&amp;D591))</f>
        <v/>
      </c>
      <c r="K591" s="36">
        <f>IF(OR(I591="",N(I591)=0),"",J591/I591*100)</f>
        <v/>
      </c>
      <c r="L591" s="36">
        <f>IF(OR(J591="",N(J591)=0),"",I591/J591)</f>
        <v/>
      </c>
      <c r="M591" s="1" t="n"/>
      <c r="N591">
        <f>IF(OR(C591="",N(D591)=0),"",D591+ROW()/10000000)</f>
        <v/>
      </c>
      <c r="O591">
        <f>IF(N591="","",COUNTIFS(Fuel!$C$6:$C$605,C591,Fuel!$N$6:$N$605,"&gt;"&amp;N591))</f>
        <v/>
      </c>
      <c r="P591">
        <f>IF(OR(N591="",G591=""),"",COUNTIFS(Fuel!$C$6:$C$605,C591,Fuel!$G$6:$G$605,"&lt;&gt;",Fuel!$N$6:$N$605,"&lt;"&amp;N591))</f>
        <v/>
      </c>
      <c r="R591">
        <f>IF(OR(P591="",N(P591)=0),"",SUMIFS(Fuel!$D$6:$D$605,Fuel!$C$6:$C$605,C591,Fuel!$P$6:$P$605,P591-1))</f>
        <v/>
      </c>
    </row>
    <row r="592">
      <c r="A592" s="1" t="n"/>
      <c r="B592" s="29" t="n"/>
      <c r="C592" s="24" t="n"/>
      <c r="D592" s="28" t="n"/>
      <c r="E592" s="33" t="n"/>
      <c r="F592" s="34" t="n"/>
      <c r="G592" s="27" t="n"/>
      <c r="H592" s="14">
        <f>IF(OR(N(E592)=0,F592=""),"",F592/E592)</f>
        <v/>
      </c>
      <c r="I592" s="11">
        <f>IF(R592="","",D592-R592)</f>
        <v/>
      </c>
      <c r="J592" s="35">
        <f>IF(R592="","",SUMIFS(Fuel!$E$6:$E$605,Fuel!$C$6:$C$605,C592,Fuel!$D$6:$D$605,"&gt;"&amp;R592,Fuel!$D$6:$D$605,"&lt;="&amp;D592))</f>
        <v/>
      </c>
      <c r="K592" s="36">
        <f>IF(OR(I592="",N(I592)=0),"",J592/I592*100)</f>
        <v/>
      </c>
      <c r="L592" s="36">
        <f>IF(OR(J592="",N(J592)=0),"",I592/J592)</f>
        <v/>
      </c>
      <c r="M592" s="1" t="n"/>
      <c r="N592">
        <f>IF(OR(C592="",N(D592)=0),"",D592+ROW()/10000000)</f>
        <v/>
      </c>
      <c r="O592">
        <f>IF(N592="","",COUNTIFS(Fuel!$C$6:$C$605,C592,Fuel!$N$6:$N$605,"&gt;"&amp;N592))</f>
        <v/>
      </c>
      <c r="P592">
        <f>IF(OR(N592="",G592=""),"",COUNTIFS(Fuel!$C$6:$C$605,C592,Fuel!$G$6:$G$605,"&lt;&gt;",Fuel!$N$6:$N$605,"&lt;"&amp;N592))</f>
        <v/>
      </c>
      <c r="R592">
        <f>IF(OR(P592="",N(P592)=0),"",SUMIFS(Fuel!$D$6:$D$605,Fuel!$C$6:$C$605,C592,Fuel!$P$6:$P$605,P592-1))</f>
        <v/>
      </c>
    </row>
    <row r="593">
      <c r="A593" s="1" t="n"/>
      <c r="B593" s="29" t="n"/>
      <c r="C593" s="24" t="n"/>
      <c r="D593" s="28" t="n"/>
      <c r="E593" s="33" t="n"/>
      <c r="F593" s="34" t="n"/>
      <c r="G593" s="27" t="n"/>
      <c r="H593" s="14">
        <f>IF(OR(N(E593)=0,F593=""),"",F593/E593)</f>
        <v/>
      </c>
      <c r="I593" s="11">
        <f>IF(R593="","",D593-R593)</f>
        <v/>
      </c>
      <c r="J593" s="35">
        <f>IF(R593="","",SUMIFS(Fuel!$E$6:$E$605,Fuel!$C$6:$C$605,C593,Fuel!$D$6:$D$605,"&gt;"&amp;R593,Fuel!$D$6:$D$605,"&lt;="&amp;D593))</f>
        <v/>
      </c>
      <c r="K593" s="36">
        <f>IF(OR(I593="",N(I593)=0),"",J593/I593*100)</f>
        <v/>
      </c>
      <c r="L593" s="36">
        <f>IF(OR(J593="",N(J593)=0),"",I593/J593)</f>
        <v/>
      </c>
      <c r="M593" s="1" t="n"/>
      <c r="N593">
        <f>IF(OR(C593="",N(D593)=0),"",D593+ROW()/10000000)</f>
        <v/>
      </c>
      <c r="O593">
        <f>IF(N593="","",COUNTIFS(Fuel!$C$6:$C$605,C593,Fuel!$N$6:$N$605,"&gt;"&amp;N593))</f>
        <v/>
      </c>
      <c r="P593">
        <f>IF(OR(N593="",G593=""),"",COUNTIFS(Fuel!$C$6:$C$605,C593,Fuel!$G$6:$G$605,"&lt;&gt;",Fuel!$N$6:$N$605,"&lt;"&amp;N593))</f>
        <v/>
      </c>
      <c r="R593">
        <f>IF(OR(P593="",N(P593)=0),"",SUMIFS(Fuel!$D$6:$D$605,Fuel!$C$6:$C$605,C593,Fuel!$P$6:$P$605,P593-1))</f>
        <v/>
      </c>
    </row>
    <row r="594">
      <c r="A594" s="1" t="n"/>
      <c r="B594" s="29" t="n"/>
      <c r="C594" s="24" t="n"/>
      <c r="D594" s="28" t="n"/>
      <c r="E594" s="33" t="n"/>
      <c r="F594" s="34" t="n"/>
      <c r="G594" s="27" t="n"/>
      <c r="H594" s="14">
        <f>IF(OR(N(E594)=0,F594=""),"",F594/E594)</f>
        <v/>
      </c>
      <c r="I594" s="11">
        <f>IF(R594="","",D594-R594)</f>
        <v/>
      </c>
      <c r="J594" s="35">
        <f>IF(R594="","",SUMIFS(Fuel!$E$6:$E$605,Fuel!$C$6:$C$605,C594,Fuel!$D$6:$D$605,"&gt;"&amp;R594,Fuel!$D$6:$D$605,"&lt;="&amp;D594))</f>
        <v/>
      </c>
      <c r="K594" s="36">
        <f>IF(OR(I594="",N(I594)=0),"",J594/I594*100)</f>
        <v/>
      </c>
      <c r="L594" s="36">
        <f>IF(OR(J594="",N(J594)=0),"",I594/J594)</f>
        <v/>
      </c>
      <c r="M594" s="1" t="n"/>
      <c r="N594">
        <f>IF(OR(C594="",N(D594)=0),"",D594+ROW()/10000000)</f>
        <v/>
      </c>
      <c r="O594">
        <f>IF(N594="","",COUNTIFS(Fuel!$C$6:$C$605,C594,Fuel!$N$6:$N$605,"&gt;"&amp;N594))</f>
        <v/>
      </c>
      <c r="P594">
        <f>IF(OR(N594="",G594=""),"",COUNTIFS(Fuel!$C$6:$C$605,C594,Fuel!$G$6:$G$605,"&lt;&gt;",Fuel!$N$6:$N$605,"&lt;"&amp;N594))</f>
        <v/>
      </c>
      <c r="R594">
        <f>IF(OR(P594="",N(P594)=0),"",SUMIFS(Fuel!$D$6:$D$605,Fuel!$C$6:$C$605,C594,Fuel!$P$6:$P$605,P594-1))</f>
        <v/>
      </c>
    </row>
    <row r="595">
      <c r="A595" s="1" t="n"/>
      <c r="B595" s="29" t="n"/>
      <c r="C595" s="24" t="n"/>
      <c r="D595" s="28" t="n"/>
      <c r="E595" s="33" t="n"/>
      <c r="F595" s="34" t="n"/>
      <c r="G595" s="27" t="n"/>
      <c r="H595" s="14">
        <f>IF(OR(N(E595)=0,F595=""),"",F595/E595)</f>
        <v/>
      </c>
      <c r="I595" s="11">
        <f>IF(R595="","",D595-R595)</f>
        <v/>
      </c>
      <c r="J595" s="35">
        <f>IF(R595="","",SUMIFS(Fuel!$E$6:$E$605,Fuel!$C$6:$C$605,C595,Fuel!$D$6:$D$605,"&gt;"&amp;R595,Fuel!$D$6:$D$605,"&lt;="&amp;D595))</f>
        <v/>
      </c>
      <c r="K595" s="36">
        <f>IF(OR(I595="",N(I595)=0),"",J595/I595*100)</f>
        <v/>
      </c>
      <c r="L595" s="36">
        <f>IF(OR(J595="",N(J595)=0),"",I595/J595)</f>
        <v/>
      </c>
      <c r="M595" s="1" t="n"/>
      <c r="N595">
        <f>IF(OR(C595="",N(D595)=0),"",D595+ROW()/10000000)</f>
        <v/>
      </c>
      <c r="O595">
        <f>IF(N595="","",COUNTIFS(Fuel!$C$6:$C$605,C595,Fuel!$N$6:$N$605,"&gt;"&amp;N595))</f>
        <v/>
      </c>
      <c r="P595">
        <f>IF(OR(N595="",G595=""),"",COUNTIFS(Fuel!$C$6:$C$605,C595,Fuel!$G$6:$G$605,"&lt;&gt;",Fuel!$N$6:$N$605,"&lt;"&amp;N595))</f>
        <v/>
      </c>
      <c r="R595">
        <f>IF(OR(P595="",N(P595)=0),"",SUMIFS(Fuel!$D$6:$D$605,Fuel!$C$6:$C$605,C595,Fuel!$P$6:$P$605,P595-1))</f>
        <v/>
      </c>
    </row>
    <row r="596">
      <c r="A596" s="1" t="n"/>
      <c r="B596" s="29" t="n"/>
      <c r="C596" s="24" t="n"/>
      <c r="D596" s="28" t="n"/>
      <c r="E596" s="33" t="n"/>
      <c r="F596" s="34" t="n"/>
      <c r="G596" s="27" t="n"/>
      <c r="H596" s="14">
        <f>IF(OR(N(E596)=0,F596=""),"",F596/E596)</f>
        <v/>
      </c>
      <c r="I596" s="11">
        <f>IF(R596="","",D596-R596)</f>
        <v/>
      </c>
      <c r="J596" s="35">
        <f>IF(R596="","",SUMIFS(Fuel!$E$6:$E$605,Fuel!$C$6:$C$605,C596,Fuel!$D$6:$D$605,"&gt;"&amp;R596,Fuel!$D$6:$D$605,"&lt;="&amp;D596))</f>
        <v/>
      </c>
      <c r="K596" s="36">
        <f>IF(OR(I596="",N(I596)=0),"",J596/I596*100)</f>
        <v/>
      </c>
      <c r="L596" s="36">
        <f>IF(OR(J596="",N(J596)=0),"",I596/J596)</f>
        <v/>
      </c>
      <c r="M596" s="1" t="n"/>
      <c r="N596">
        <f>IF(OR(C596="",N(D596)=0),"",D596+ROW()/10000000)</f>
        <v/>
      </c>
      <c r="O596">
        <f>IF(N596="","",COUNTIFS(Fuel!$C$6:$C$605,C596,Fuel!$N$6:$N$605,"&gt;"&amp;N596))</f>
        <v/>
      </c>
      <c r="P596">
        <f>IF(OR(N596="",G596=""),"",COUNTIFS(Fuel!$C$6:$C$605,C596,Fuel!$G$6:$G$605,"&lt;&gt;",Fuel!$N$6:$N$605,"&lt;"&amp;N596))</f>
        <v/>
      </c>
      <c r="R596">
        <f>IF(OR(P596="",N(P596)=0),"",SUMIFS(Fuel!$D$6:$D$605,Fuel!$C$6:$C$605,C596,Fuel!$P$6:$P$605,P596-1))</f>
        <v/>
      </c>
    </row>
    <row r="597">
      <c r="A597" s="1" t="n"/>
      <c r="B597" s="29" t="n"/>
      <c r="C597" s="24" t="n"/>
      <c r="D597" s="28" t="n"/>
      <c r="E597" s="33" t="n"/>
      <c r="F597" s="34" t="n"/>
      <c r="G597" s="27" t="n"/>
      <c r="H597" s="14">
        <f>IF(OR(N(E597)=0,F597=""),"",F597/E597)</f>
        <v/>
      </c>
      <c r="I597" s="11">
        <f>IF(R597="","",D597-R597)</f>
        <v/>
      </c>
      <c r="J597" s="35">
        <f>IF(R597="","",SUMIFS(Fuel!$E$6:$E$605,Fuel!$C$6:$C$605,C597,Fuel!$D$6:$D$605,"&gt;"&amp;R597,Fuel!$D$6:$D$605,"&lt;="&amp;D597))</f>
        <v/>
      </c>
      <c r="K597" s="36">
        <f>IF(OR(I597="",N(I597)=0),"",J597/I597*100)</f>
        <v/>
      </c>
      <c r="L597" s="36">
        <f>IF(OR(J597="",N(J597)=0),"",I597/J597)</f>
        <v/>
      </c>
      <c r="M597" s="1" t="n"/>
      <c r="N597">
        <f>IF(OR(C597="",N(D597)=0),"",D597+ROW()/10000000)</f>
        <v/>
      </c>
      <c r="O597">
        <f>IF(N597="","",COUNTIFS(Fuel!$C$6:$C$605,C597,Fuel!$N$6:$N$605,"&gt;"&amp;N597))</f>
        <v/>
      </c>
      <c r="P597">
        <f>IF(OR(N597="",G597=""),"",COUNTIFS(Fuel!$C$6:$C$605,C597,Fuel!$G$6:$G$605,"&lt;&gt;",Fuel!$N$6:$N$605,"&lt;"&amp;N597))</f>
        <v/>
      </c>
      <c r="R597">
        <f>IF(OR(P597="",N(P597)=0),"",SUMIFS(Fuel!$D$6:$D$605,Fuel!$C$6:$C$605,C597,Fuel!$P$6:$P$605,P597-1))</f>
        <v/>
      </c>
    </row>
    <row r="598">
      <c r="A598" s="1" t="n"/>
      <c r="B598" s="29" t="n"/>
      <c r="C598" s="24" t="n"/>
      <c r="D598" s="28" t="n"/>
      <c r="E598" s="33" t="n"/>
      <c r="F598" s="34" t="n"/>
      <c r="G598" s="27" t="n"/>
      <c r="H598" s="14">
        <f>IF(OR(N(E598)=0,F598=""),"",F598/E598)</f>
        <v/>
      </c>
      <c r="I598" s="11">
        <f>IF(R598="","",D598-R598)</f>
        <v/>
      </c>
      <c r="J598" s="35">
        <f>IF(R598="","",SUMIFS(Fuel!$E$6:$E$605,Fuel!$C$6:$C$605,C598,Fuel!$D$6:$D$605,"&gt;"&amp;R598,Fuel!$D$6:$D$605,"&lt;="&amp;D598))</f>
        <v/>
      </c>
      <c r="K598" s="36">
        <f>IF(OR(I598="",N(I598)=0),"",J598/I598*100)</f>
        <v/>
      </c>
      <c r="L598" s="36">
        <f>IF(OR(J598="",N(J598)=0),"",I598/J598)</f>
        <v/>
      </c>
      <c r="M598" s="1" t="n"/>
      <c r="N598">
        <f>IF(OR(C598="",N(D598)=0),"",D598+ROW()/10000000)</f>
        <v/>
      </c>
      <c r="O598">
        <f>IF(N598="","",COUNTIFS(Fuel!$C$6:$C$605,C598,Fuel!$N$6:$N$605,"&gt;"&amp;N598))</f>
        <v/>
      </c>
      <c r="P598">
        <f>IF(OR(N598="",G598=""),"",COUNTIFS(Fuel!$C$6:$C$605,C598,Fuel!$G$6:$G$605,"&lt;&gt;",Fuel!$N$6:$N$605,"&lt;"&amp;N598))</f>
        <v/>
      </c>
      <c r="R598">
        <f>IF(OR(P598="",N(P598)=0),"",SUMIFS(Fuel!$D$6:$D$605,Fuel!$C$6:$C$605,C598,Fuel!$P$6:$P$605,P598-1))</f>
        <v/>
      </c>
    </row>
    <row r="599">
      <c r="A599" s="1" t="n"/>
      <c r="B599" s="29" t="n"/>
      <c r="C599" s="24" t="n"/>
      <c r="D599" s="28" t="n"/>
      <c r="E599" s="33" t="n"/>
      <c r="F599" s="34" t="n"/>
      <c r="G599" s="27" t="n"/>
      <c r="H599" s="14">
        <f>IF(OR(N(E599)=0,F599=""),"",F599/E599)</f>
        <v/>
      </c>
      <c r="I599" s="11">
        <f>IF(R599="","",D599-R599)</f>
        <v/>
      </c>
      <c r="J599" s="35">
        <f>IF(R599="","",SUMIFS(Fuel!$E$6:$E$605,Fuel!$C$6:$C$605,C599,Fuel!$D$6:$D$605,"&gt;"&amp;R599,Fuel!$D$6:$D$605,"&lt;="&amp;D599))</f>
        <v/>
      </c>
      <c r="K599" s="36">
        <f>IF(OR(I599="",N(I599)=0),"",J599/I599*100)</f>
        <v/>
      </c>
      <c r="L599" s="36">
        <f>IF(OR(J599="",N(J599)=0),"",I599/J599)</f>
        <v/>
      </c>
      <c r="M599" s="1" t="n"/>
      <c r="N599">
        <f>IF(OR(C599="",N(D599)=0),"",D599+ROW()/10000000)</f>
        <v/>
      </c>
      <c r="O599">
        <f>IF(N599="","",COUNTIFS(Fuel!$C$6:$C$605,C599,Fuel!$N$6:$N$605,"&gt;"&amp;N599))</f>
        <v/>
      </c>
      <c r="P599">
        <f>IF(OR(N599="",G599=""),"",COUNTIFS(Fuel!$C$6:$C$605,C599,Fuel!$G$6:$G$605,"&lt;&gt;",Fuel!$N$6:$N$605,"&lt;"&amp;N599))</f>
        <v/>
      </c>
      <c r="R599">
        <f>IF(OR(P599="",N(P599)=0),"",SUMIFS(Fuel!$D$6:$D$605,Fuel!$C$6:$C$605,C599,Fuel!$P$6:$P$605,P599-1))</f>
        <v/>
      </c>
    </row>
    <row r="600">
      <c r="A600" s="1" t="n"/>
      <c r="B600" s="29" t="n"/>
      <c r="C600" s="24" t="n"/>
      <c r="D600" s="28" t="n"/>
      <c r="E600" s="33" t="n"/>
      <c r="F600" s="34" t="n"/>
      <c r="G600" s="27" t="n"/>
      <c r="H600" s="14">
        <f>IF(OR(N(E600)=0,F600=""),"",F600/E600)</f>
        <v/>
      </c>
      <c r="I600" s="11">
        <f>IF(R600="","",D600-R600)</f>
        <v/>
      </c>
      <c r="J600" s="35">
        <f>IF(R600="","",SUMIFS(Fuel!$E$6:$E$605,Fuel!$C$6:$C$605,C600,Fuel!$D$6:$D$605,"&gt;"&amp;R600,Fuel!$D$6:$D$605,"&lt;="&amp;D600))</f>
        <v/>
      </c>
      <c r="K600" s="36">
        <f>IF(OR(I600="",N(I600)=0),"",J600/I600*100)</f>
        <v/>
      </c>
      <c r="L600" s="36">
        <f>IF(OR(J600="",N(J600)=0),"",I600/J600)</f>
        <v/>
      </c>
      <c r="M600" s="1" t="n"/>
      <c r="N600">
        <f>IF(OR(C600="",N(D600)=0),"",D600+ROW()/10000000)</f>
        <v/>
      </c>
      <c r="O600">
        <f>IF(N600="","",COUNTIFS(Fuel!$C$6:$C$605,C600,Fuel!$N$6:$N$605,"&gt;"&amp;N600))</f>
        <v/>
      </c>
      <c r="P600">
        <f>IF(OR(N600="",G600=""),"",COUNTIFS(Fuel!$C$6:$C$605,C600,Fuel!$G$6:$G$605,"&lt;&gt;",Fuel!$N$6:$N$605,"&lt;"&amp;N600))</f>
        <v/>
      </c>
      <c r="R600">
        <f>IF(OR(P600="",N(P600)=0),"",SUMIFS(Fuel!$D$6:$D$605,Fuel!$C$6:$C$605,C600,Fuel!$P$6:$P$605,P600-1))</f>
        <v/>
      </c>
    </row>
    <row r="601">
      <c r="A601" s="1" t="n"/>
      <c r="B601" s="29" t="n"/>
      <c r="C601" s="24" t="n"/>
      <c r="D601" s="28" t="n"/>
      <c r="E601" s="33" t="n"/>
      <c r="F601" s="34" t="n"/>
      <c r="G601" s="27" t="n"/>
      <c r="H601" s="14">
        <f>IF(OR(N(E601)=0,F601=""),"",F601/E601)</f>
        <v/>
      </c>
      <c r="I601" s="11">
        <f>IF(R601="","",D601-R601)</f>
        <v/>
      </c>
      <c r="J601" s="35">
        <f>IF(R601="","",SUMIFS(Fuel!$E$6:$E$605,Fuel!$C$6:$C$605,C601,Fuel!$D$6:$D$605,"&gt;"&amp;R601,Fuel!$D$6:$D$605,"&lt;="&amp;D601))</f>
        <v/>
      </c>
      <c r="K601" s="36">
        <f>IF(OR(I601="",N(I601)=0),"",J601/I601*100)</f>
        <v/>
      </c>
      <c r="L601" s="36">
        <f>IF(OR(J601="",N(J601)=0),"",I601/J601)</f>
        <v/>
      </c>
      <c r="M601" s="1" t="n"/>
      <c r="N601">
        <f>IF(OR(C601="",N(D601)=0),"",D601+ROW()/10000000)</f>
        <v/>
      </c>
      <c r="O601">
        <f>IF(N601="","",COUNTIFS(Fuel!$C$6:$C$605,C601,Fuel!$N$6:$N$605,"&gt;"&amp;N601))</f>
        <v/>
      </c>
      <c r="P601">
        <f>IF(OR(N601="",G601=""),"",COUNTIFS(Fuel!$C$6:$C$605,C601,Fuel!$G$6:$G$605,"&lt;&gt;",Fuel!$N$6:$N$605,"&lt;"&amp;N601))</f>
        <v/>
      </c>
      <c r="R601">
        <f>IF(OR(P601="",N(P601)=0),"",SUMIFS(Fuel!$D$6:$D$605,Fuel!$C$6:$C$605,C601,Fuel!$P$6:$P$605,P601-1))</f>
        <v/>
      </c>
    </row>
    <row r="602">
      <c r="A602" s="1" t="n"/>
      <c r="B602" s="29" t="n"/>
      <c r="C602" s="24" t="n"/>
      <c r="D602" s="28" t="n"/>
      <c r="E602" s="33" t="n"/>
      <c r="F602" s="34" t="n"/>
      <c r="G602" s="27" t="n"/>
      <c r="H602" s="14">
        <f>IF(OR(N(E602)=0,F602=""),"",F602/E602)</f>
        <v/>
      </c>
      <c r="I602" s="11">
        <f>IF(R602="","",D602-R602)</f>
        <v/>
      </c>
      <c r="J602" s="35">
        <f>IF(R602="","",SUMIFS(Fuel!$E$6:$E$605,Fuel!$C$6:$C$605,C602,Fuel!$D$6:$D$605,"&gt;"&amp;R602,Fuel!$D$6:$D$605,"&lt;="&amp;D602))</f>
        <v/>
      </c>
      <c r="K602" s="36">
        <f>IF(OR(I602="",N(I602)=0),"",J602/I602*100)</f>
        <v/>
      </c>
      <c r="L602" s="36">
        <f>IF(OR(J602="",N(J602)=0),"",I602/J602)</f>
        <v/>
      </c>
      <c r="M602" s="1" t="n"/>
      <c r="N602">
        <f>IF(OR(C602="",N(D602)=0),"",D602+ROW()/10000000)</f>
        <v/>
      </c>
      <c r="O602">
        <f>IF(N602="","",COUNTIFS(Fuel!$C$6:$C$605,C602,Fuel!$N$6:$N$605,"&gt;"&amp;N602))</f>
        <v/>
      </c>
      <c r="P602">
        <f>IF(OR(N602="",G602=""),"",COUNTIFS(Fuel!$C$6:$C$605,C602,Fuel!$G$6:$G$605,"&lt;&gt;",Fuel!$N$6:$N$605,"&lt;"&amp;N602))</f>
        <v/>
      </c>
      <c r="R602">
        <f>IF(OR(P602="",N(P602)=0),"",SUMIFS(Fuel!$D$6:$D$605,Fuel!$C$6:$C$605,C602,Fuel!$P$6:$P$605,P602-1))</f>
        <v/>
      </c>
    </row>
    <row r="603">
      <c r="A603" s="1" t="n"/>
      <c r="B603" s="29" t="n"/>
      <c r="C603" s="24" t="n"/>
      <c r="D603" s="28" t="n"/>
      <c r="E603" s="33" t="n"/>
      <c r="F603" s="34" t="n"/>
      <c r="G603" s="27" t="n"/>
      <c r="H603" s="14">
        <f>IF(OR(N(E603)=0,F603=""),"",F603/E603)</f>
        <v/>
      </c>
      <c r="I603" s="11">
        <f>IF(R603="","",D603-R603)</f>
        <v/>
      </c>
      <c r="J603" s="35">
        <f>IF(R603="","",SUMIFS(Fuel!$E$6:$E$605,Fuel!$C$6:$C$605,C603,Fuel!$D$6:$D$605,"&gt;"&amp;R603,Fuel!$D$6:$D$605,"&lt;="&amp;D603))</f>
        <v/>
      </c>
      <c r="K603" s="36">
        <f>IF(OR(I603="",N(I603)=0),"",J603/I603*100)</f>
        <v/>
      </c>
      <c r="L603" s="36">
        <f>IF(OR(J603="",N(J603)=0),"",I603/J603)</f>
        <v/>
      </c>
      <c r="M603" s="1" t="n"/>
      <c r="N603">
        <f>IF(OR(C603="",N(D603)=0),"",D603+ROW()/10000000)</f>
        <v/>
      </c>
      <c r="O603">
        <f>IF(N603="","",COUNTIFS(Fuel!$C$6:$C$605,C603,Fuel!$N$6:$N$605,"&gt;"&amp;N603))</f>
        <v/>
      </c>
      <c r="P603">
        <f>IF(OR(N603="",G603=""),"",COUNTIFS(Fuel!$C$6:$C$605,C603,Fuel!$G$6:$G$605,"&lt;&gt;",Fuel!$N$6:$N$605,"&lt;"&amp;N603))</f>
        <v/>
      </c>
      <c r="R603">
        <f>IF(OR(P603="",N(P603)=0),"",SUMIFS(Fuel!$D$6:$D$605,Fuel!$C$6:$C$605,C603,Fuel!$P$6:$P$605,P603-1))</f>
        <v/>
      </c>
    </row>
    <row r="604">
      <c r="A604" s="1" t="n"/>
      <c r="B604" s="29" t="n"/>
      <c r="C604" s="24" t="n"/>
      <c r="D604" s="28" t="n"/>
      <c r="E604" s="33" t="n"/>
      <c r="F604" s="34" t="n"/>
      <c r="G604" s="27" t="n"/>
      <c r="H604" s="14">
        <f>IF(OR(N(E604)=0,F604=""),"",F604/E604)</f>
        <v/>
      </c>
      <c r="I604" s="11">
        <f>IF(R604="","",D604-R604)</f>
        <v/>
      </c>
      <c r="J604" s="35">
        <f>IF(R604="","",SUMIFS(Fuel!$E$6:$E$605,Fuel!$C$6:$C$605,C604,Fuel!$D$6:$D$605,"&gt;"&amp;R604,Fuel!$D$6:$D$605,"&lt;="&amp;D604))</f>
        <v/>
      </c>
      <c r="K604" s="36">
        <f>IF(OR(I604="",N(I604)=0),"",J604/I604*100)</f>
        <v/>
      </c>
      <c r="L604" s="36">
        <f>IF(OR(J604="",N(J604)=0),"",I604/J604)</f>
        <v/>
      </c>
      <c r="M604" s="1" t="n"/>
      <c r="N604">
        <f>IF(OR(C604="",N(D604)=0),"",D604+ROW()/10000000)</f>
        <v/>
      </c>
      <c r="O604">
        <f>IF(N604="","",COUNTIFS(Fuel!$C$6:$C$605,C604,Fuel!$N$6:$N$605,"&gt;"&amp;N604))</f>
        <v/>
      </c>
      <c r="P604">
        <f>IF(OR(N604="",G604=""),"",COUNTIFS(Fuel!$C$6:$C$605,C604,Fuel!$G$6:$G$605,"&lt;&gt;",Fuel!$N$6:$N$605,"&lt;"&amp;N604))</f>
        <v/>
      </c>
      <c r="R604">
        <f>IF(OR(P604="",N(P604)=0),"",SUMIFS(Fuel!$D$6:$D$605,Fuel!$C$6:$C$605,C604,Fuel!$P$6:$P$605,P604-1))</f>
        <v/>
      </c>
    </row>
    <row r="605">
      <c r="A605" s="1" t="n"/>
      <c r="B605" s="29" t="n"/>
      <c r="C605" s="24" t="n"/>
      <c r="D605" s="28" t="n"/>
      <c r="E605" s="33" t="n"/>
      <c r="F605" s="34" t="n"/>
      <c r="G605" s="27" t="n"/>
      <c r="H605" s="14">
        <f>IF(OR(N(E605)=0,F605=""),"",F605/E605)</f>
        <v/>
      </c>
      <c r="I605" s="11">
        <f>IF(R605="","",D605-R605)</f>
        <v/>
      </c>
      <c r="J605" s="35">
        <f>IF(R605="","",SUMIFS(Fuel!$E$6:$E$605,Fuel!$C$6:$C$605,C605,Fuel!$D$6:$D$605,"&gt;"&amp;R605,Fuel!$D$6:$D$605,"&lt;="&amp;D605))</f>
        <v/>
      </c>
      <c r="K605" s="36">
        <f>IF(OR(I605="",N(I605)=0),"",J605/I605*100)</f>
        <v/>
      </c>
      <c r="L605" s="36">
        <f>IF(OR(J605="",N(J605)=0),"",I605/J605)</f>
        <v/>
      </c>
      <c r="M605" s="1" t="n"/>
      <c r="N605">
        <f>IF(OR(C605="",N(D605)=0),"",D605+ROW()/10000000)</f>
        <v/>
      </c>
      <c r="O605">
        <f>IF(N605="","",COUNTIFS(Fuel!$C$6:$C$605,C605,Fuel!$N$6:$N$605,"&gt;"&amp;N605))</f>
        <v/>
      </c>
      <c r="P605">
        <f>IF(OR(N605="",G605=""),"",COUNTIFS(Fuel!$C$6:$C$605,C605,Fuel!$G$6:$G$605,"&lt;&gt;",Fuel!$N$6:$N$605,"&lt;"&amp;N605))</f>
        <v/>
      </c>
      <c r="R605">
        <f>IF(OR(P605="",N(P605)=0),"",SUMIFS(Fuel!$D$6:$D$605,Fuel!$C$6:$C$605,C605,Fuel!$P$6:$P$605,P605-1))</f>
        <v/>
      </c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</row>
  </sheetData>
  <conditionalFormatting sqref="B6:L605">
    <cfRule type="expression" priority="1" dxfId="3">
      <formula>AND($B6&lt;&gt;"",$G6="")</formula>
    </cfRule>
  </conditionalFormatting>
  <dataValidations count="1">
    <dataValidation sqref="C6:C605" showDropDown="0" showInputMessage="0" showErrorMessage="1" allowBlank="1" type="list">
      <formula1>=Cars!$B$6:$B$10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3" customWidth="1" min="4" max="4"/>
    <col width="34" customWidth="1" min="5" max="5"/>
    <col width="11" customWidth="1" min="6" max="6"/>
    <col width="11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Costs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Everything else the cars cost: services, repairs, tyres, insurance, tax, parking. The odometer is optional.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9" t="inlineStr">
        <is>
          <t>Date</t>
        </is>
      </c>
      <c r="C5" s="9" t="inlineStr">
        <is>
          <t>Car</t>
        </is>
      </c>
      <c r="D5" s="9" t="inlineStr">
        <is>
          <t>Category</t>
        </is>
      </c>
      <c r="E5" s="9" t="inlineStr">
        <is>
          <t>What</t>
        </is>
      </c>
      <c r="F5" s="9" t="inlineStr">
        <is>
          <t>Odometer</t>
        </is>
      </c>
      <c r="G5" s="9" t="inlineStr">
        <is>
          <t>Amount</t>
        </is>
      </c>
      <c r="H5" s="1" t="n"/>
    </row>
    <row r="6">
      <c r="A6" s="1" t="n"/>
      <c r="B6" s="29" t="n">
        <v>46043</v>
      </c>
      <c r="C6" s="24" t="inlineStr">
        <is>
          <t>Blue hatchback</t>
        </is>
      </c>
      <c r="D6" s="25" t="inlineStr">
        <is>
          <t>Service</t>
        </is>
      </c>
      <c r="E6" s="25" t="inlineStr">
        <is>
          <t>Oil and filter, check-up</t>
        </is>
      </c>
      <c r="F6" s="28" t="n">
        <v>38242</v>
      </c>
      <c r="G6" s="34" t="n">
        <v>145</v>
      </c>
      <c r="H6" s="1" t="n"/>
      <c r="I6">
        <f>IF(OR(C6="",N(F6)=0),"",F6+ROW()/10000000)</f>
        <v/>
      </c>
      <c r="J6">
        <f>IF(I6="","",COUNTIFS(Costs!$C$6:$C$505,C6,Costs!$I$6:$I$505,"&gt;"&amp;I6))</f>
        <v/>
      </c>
    </row>
    <row r="7">
      <c r="A7" s="1" t="n"/>
      <c r="B7" s="29" t="n">
        <v>46123</v>
      </c>
      <c r="C7" s="24" t="inlineStr">
        <is>
          <t>Blue hatchback</t>
        </is>
      </c>
      <c r="D7" s="25" t="inlineStr">
        <is>
          <t>Tyres</t>
        </is>
      </c>
      <c r="E7" s="25" t="inlineStr">
        <is>
          <t>Rotation and balance</t>
        </is>
      </c>
      <c r="F7" s="28" t="n">
        <v>45942</v>
      </c>
      <c r="G7" s="34" t="n">
        <v>40</v>
      </c>
      <c r="H7" s="1" t="n"/>
      <c r="I7">
        <f>IF(OR(C7="",N(F7)=0),"",F7+ROW()/10000000)</f>
        <v/>
      </c>
      <c r="J7">
        <f>IF(I7="","",COUNTIFS(Costs!$C$6:$C$505,C7,Costs!$I$6:$I$505,"&gt;"&amp;I7))</f>
        <v/>
      </c>
    </row>
    <row r="8">
      <c r="A8" s="1" t="n"/>
      <c r="B8" s="29" t="n">
        <v>45963</v>
      </c>
      <c r="C8" s="24" t="inlineStr">
        <is>
          <t>Blue hatchback</t>
        </is>
      </c>
      <c r="D8" s="25" t="inlineStr">
        <is>
          <t>Insurance</t>
        </is>
      </c>
      <c r="E8" s="25" t="inlineStr">
        <is>
          <t>Yearly insurance</t>
        </is>
      </c>
      <c r="F8" s="28" t="n"/>
      <c r="G8" s="34" t="n">
        <v>486</v>
      </c>
      <c r="H8" s="1" t="n"/>
      <c r="I8">
        <f>IF(OR(C8="",N(F8)=0),"",F8+ROW()/10000000)</f>
        <v/>
      </c>
      <c r="J8">
        <f>IF(I8="","",COUNTIFS(Costs!$C$6:$C$505,C8,Costs!$I$6:$I$505,"&gt;"&amp;I8))</f>
        <v/>
      </c>
    </row>
    <row r="9">
      <c r="A9" s="1" t="n"/>
      <c r="B9" s="29" t="n">
        <v>46093</v>
      </c>
      <c r="C9" s="24" t="inlineStr">
        <is>
          <t>Blue hatchback</t>
        </is>
      </c>
      <c r="D9" s="25" t="inlineStr">
        <is>
          <t>Tax</t>
        </is>
      </c>
      <c r="E9" s="25" t="inlineStr">
        <is>
          <t>Road tax</t>
        </is>
      </c>
      <c r="F9" s="28" t="n"/>
      <c r="G9" s="34" t="n">
        <v>180</v>
      </c>
      <c r="H9" s="1" t="n"/>
      <c r="I9">
        <f>IF(OR(C9="",N(F9)=0),"",F9+ROW()/10000000)</f>
        <v/>
      </c>
      <c r="J9">
        <f>IF(I9="","",COUNTIFS(Costs!$C$6:$C$505,C9,Costs!$I$6:$I$505,"&gt;"&amp;I9))</f>
        <v/>
      </c>
    </row>
    <row r="10">
      <c r="A10" s="1" t="n"/>
      <c r="B10" s="29" t="n">
        <v>46198</v>
      </c>
      <c r="C10" s="24" t="inlineStr">
        <is>
          <t>Blue hatchback</t>
        </is>
      </c>
      <c r="D10" s="25" t="inlineStr">
        <is>
          <t>Repair</t>
        </is>
      </c>
      <c r="E10" s="25" t="inlineStr">
        <is>
          <t>New wiper blades</t>
        </is>
      </c>
      <c r="F10" s="28" t="n"/>
      <c r="G10" s="34" t="n">
        <v>32.5</v>
      </c>
      <c r="H10" s="1" t="n"/>
      <c r="I10">
        <f>IF(OR(C10="",N(F10)=0),"",F10+ROW()/10000000)</f>
        <v/>
      </c>
      <c r="J10">
        <f>IF(I10="","",COUNTIFS(Costs!$C$6:$C$505,C10,Costs!$I$6:$I$505,"&gt;"&amp;I10))</f>
        <v/>
      </c>
    </row>
    <row r="11">
      <c r="A11" s="1" t="n"/>
      <c r="B11" s="29" t="n">
        <v>46233</v>
      </c>
      <c r="C11" s="24" t="inlineStr">
        <is>
          <t>Blue hatchback</t>
        </is>
      </c>
      <c r="D11" s="25" t="inlineStr">
        <is>
          <t>Cleaning</t>
        </is>
      </c>
      <c r="E11" s="25" t="inlineStr">
        <is>
          <t>Valet</t>
        </is>
      </c>
      <c r="F11" s="28" t="n"/>
      <c r="G11" s="34" t="n">
        <v>45</v>
      </c>
      <c r="H11" s="1" t="n"/>
      <c r="I11">
        <f>IF(OR(C11="",N(F11)=0),"",F11+ROW()/10000000)</f>
        <v/>
      </c>
      <c r="J11">
        <f>IF(I11="","",COUNTIFS(Costs!$C$6:$C$505,C11,Costs!$I$6:$I$505,"&gt;"&amp;I11))</f>
        <v/>
      </c>
    </row>
    <row r="12">
      <c r="A12" s="1" t="n"/>
      <c r="B12" s="29" t="n">
        <v>45953</v>
      </c>
      <c r="C12" s="24" t="inlineStr">
        <is>
          <t>Grey van</t>
        </is>
      </c>
      <c r="D12" s="25" t="inlineStr">
        <is>
          <t>Service</t>
        </is>
      </c>
      <c r="E12" s="25" t="inlineStr">
        <is>
          <t>Oil and filter</t>
        </is>
      </c>
      <c r="F12" s="28" t="n">
        <v>119566</v>
      </c>
      <c r="G12" s="34" t="n">
        <v>168</v>
      </c>
      <c r="H12" s="1" t="n"/>
      <c r="I12">
        <f>IF(OR(C12="",N(F12)=0),"",F12+ROW()/10000000)</f>
        <v/>
      </c>
      <c r="J12">
        <f>IF(I12="","",COUNTIFS(Costs!$C$6:$C$505,C12,Costs!$I$6:$I$505,"&gt;"&amp;I12))</f>
        <v/>
      </c>
    </row>
    <row r="13">
      <c r="A13" s="1" t="n"/>
      <c r="B13" s="29" t="n">
        <v>46173</v>
      </c>
      <c r="C13" s="24" t="inlineStr">
        <is>
          <t>Grey van</t>
        </is>
      </c>
      <c r="D13" s="25" t="inlineStr">
        <is>
          <t>Tyres</t>
        </is>
      </c>
      <c r="E13" s="25" t="inlineStr">
        <is>
          <t>Two new front tyres</t>
        </is>
      </c>
      <c r="F13" s="28" t="n">
        <v>130966</v>
      </c>
      <c r="G13" s="34" t="n">
        <v>214</v>
      </c>
      <c r="H13" s="1" t="n"/>
      <c r="I13">
        <f>IF(OR(C13="",N(F13)=0),"",F13+ROW()/10000000)</f>
        <v/>
      </c>
      <c r="J13">
        <f>IF(I13="","",COUNTIFS(Costs!$C$6:$C$505,C13,Costs!$I$6:$I$505,"&gt;"&amp;I13))</f>
        <v/>
      </c>
    </row>
    <row r="14">
      <c r="A14" s="1" t="n"/>
      <c r="B14" s="29" t="n">
        <v>46013</v>
      </c>
      <c r="C14" s="24" t="inlineStr">
        <is>
          <t>Grey van</t>
        </is>
      </c>
      <c r="D14" s="25" t="inlineStr">
        <is>
          <t>Insurance</t>
        </is>
      </c>
      <c r="E14" s="25" t="inlineStr">
        <is>
          <t>Yearly insurance</t>
        </is>
      </c>
      <c r="F14" s="28" t="n"/>
      <c r="G14" s="34" t="n">
        <v>612</v>
      </c>
      <c r="H14" s="1" t="n"/>
      <c r="I14">
        <f>IF(OR(C14="",N(F14)=0),"",F14+ROW()/10000000)</f>
        <v/>
      </c>
      <c r="J14">
        <f>IF(I14="","",COUNTIFS(Costs!$C$6:$C$505,C14,Costs!$I$6:$I$505,"&gt;"&amp;I14))</f>
        <v/>
      </c>
    </row>
    <row r="15">
      <c r="A15" s="1" t="n"/>
      <c r="B15" s="29" t="n">
        <v>46143</v>
      </c>
      <c r="C15" s="24" t="inlineStr">
        <is>
          <t>Grey van</t>
        </is>
      </c>
      <c r="D15" s="25" t="inlineStr">
        <is>
          <t>Repair</t>
        </is>
      </c>
      <c r="E15" s="25" t="inlineStr">
        <is>
          <t>Rear light bulb</t>
        </is>
      </c>
      <c r="F15" s="28" t="n"/>
      <c r="G15" s="34" t="n">
        <v>18</v>
      </c>
      <c r="H15" s="1" t="n"/>
      <c r="I15">
        <f>IF(OR(C15="",N(F15)=0),"",F15+ROW()/10000000)</f>
        <v/>
      </c>
      <c r="J15">
        <f>IF(I15="","",COUNTIFS(Costs!$C$6:$C$505,C15,Costs!$I$6:$I$505,"&gt;"&amp;I15))</f>
        <v/>
      </c>
    </row>
    <row r="16">
      <c r="A16" s="1" t="n"/>
      <c r="B16" s="29" t="n">
        <v>46253</v>
      </c>
      <c r="C16" s="24" t="inlineStr">
        <is>
          <t>Grey van</t>
        </is>
      </c>
      <c r="D16" s="25" t="inlineStr">
        <is>
          <t>Parking</t>
        </is>
      </c>
      <c r="E16" s="25" t="inlineStr">
        <is>
          <t>Station parking, one month</t>
        </is>
      </c>
      <c r="F16" s="28" t="n"/>
      <c r="G16" s="34" t="n">
        <v>95</v>
      </c>
      <c r="H16" s="1" t="n"/>
      <c r="I16">
        <f>IF(OR(C16="",N(F16)=0),"",F16+ROW()/10000000)</f>
        <v/>
      </c>
      <c r="J16">
        <f>IF(I16="","",COUNTIFS(Costs!$C$6:$C$505,C16,Costs!$I$6:$I$505,"&gt;"&amp;I16))</f>
        <v/>
      </c>
    </row>
    <row r="17">
      <c r="A17" s="1" t="n"/>
      <c r="B17" s="29" t="n">
        <v>46268</v>
      </c>
      <c r="C17" s="24" t="inlineStr">
        <is>
          <t>Blue hatchback</t>
        </is>
      </c>
      <c r="D17" s="25" t="inlineStr">
        <is>
          <t>Tolls</t>
        </is>
      </c>
      <c r="E17" s="25" t="inlineStr">
        <is>
          <t>Bridge tolls</t>
        </is>
      </c>
      <c r="F17" s="28" t="n"/>
      <c r="G17" s="34" t="n">
        <v>12.6</v>
      </c>
      <c r="H17" s="1" t="n"/>
      <c r="I17">
        <f>IF(OR(C17="",N(F17)=0),"",F17+ROW()/10000000)</f>
        <v/>
      </c>
      <c r="J17">
        <f>IF(I17="","",COUNTIFS(Costs!$C$6:$C$505,C17,Costs!$I$6:$I$505,"&gt;"&amp;I17))</f>
        <v/>
      </c>
    </row>
    <row r="18">
      <c r="A18" s="1" t="n"/>
      <c r="B18" s="29" t="n"/>
      <c r="C18" s="24" t="n"/>
      <c r="D18" s="25" t="n"/>
      <c r="E18" s="25" t="n"/>
      <c r="F18" s="28" t="n"/>
      <c r="G18" s="34" t="n"/>
      <c r="H18" s="1" t="n"/>
      <c r="I18">
        <f>IF(OR(C18="",N(F18)=0),"",F18+ROW()/10000000)</f>
        <v/>
      </c>
      <c r="J18">
        <f>IF(I18="","",COUNTIFS(Costs!$C$6:$C$505,C18,Costs!$I$6:$I$505,"&gt;"&amp;I18))</f>
        <v/>
      </c>
    </row>
    <row r="19">
      <c r="A19" s="1" t="n"/>
      <c r="B19" s="29" t="n"/>
      <c r="C19" s="24" t="n"/>
      <c r="D19" s="25" t="n"/>
      <c r="E19" s="25" t="n"/>
      <c r="F19" s="28" t="n"/>
      <c r="G19" s="34" t="n"/>
      <c r="H19" s="1" t="n"/>
      <c r="I19">
        <f>IF(OR(C19="",N(F19)=0),"",F19+ROW()/10000000)</f>
        <v/>
      </c>
      <c r="J19">
        <f>IF(I19="","",COUNTIFS(Costs!$C$6:$C$505,C19,Costs!$I$6:$I$505,"&gt;"&amp;I19))</f>
        <v/>
      </c>
    </row>
    <row r="20">
      <c r="A20" s="1" t="n"/>
      <c r="B20" s="29" t="n"/>
      <c r="C20" s="24" t="n"/>
      <c r="D20" s="25" t="n"/>
      <c r="E20" s="25" t="n"/>
      <c r="F20" s="28" t="n"/>
      <c r="G20" s="34" t="n"/>
      <c r="H20" s="1" t="n"/>
      <c r="I20">
        <f>IF(OR(C20="",N(F20)=0),"",F20+ROW()/10000000)</f>
        <v/>
      </c>
      <c r="J20">
        <f>IF(I20="","",COUNTIFS(Costs!$C$6:$C$505,C20,Costs!$I$6:$I$505,"&gt;"&amp;I20))</f>
        <v/>
      </c>
    </row>
    <row r="21">
      <c r="A21" s="1" t="n"/>
      <c r="B21" s="29" t="n"/>
      <c r="C21" s="24" t="n"/>
      <c r="D21" s="25" t="n"/>
      <c r="E21" s="25" t="n"/>
      <c r="F21" s="28" t="n"/>
      <c r="G21" s="34" t="n"/>
      <c r="H21" s="1" t="n"/>
      <c r="I21">
        <f>IF(OR(C21="",N(F21)=0),"",F21+ROW()/10000000)</f>
        <v/>
      </c>
      <c r="J21">
        <f>IF(I21="","",COUNTIFS(Costs!$C$6:$C$505,C21,Costs!$I$6:$I$505,"&gt;"&amp;I21))</f>
        <v/>
      </c>
    </row>
    <row r="22">
      <c r="A22" s="1" t="n"/>
      <c r="B22" s="29" t="n"/>
      <c r="C22" s="24" t="n"/>
      <c r="D22" s="25" t="n"/>
      <c r="E22" s="25" t="n"/>
      <c r="F22" s="28" t="n"/>
      <c r="G22" s="34" t="n"/>
      <c r="H22" s="1" t="n"/>
      <c r="I22">
        <f>IF(OR(C22="",N(F22)=0),"",F22+ROW()/10000000)</f>
        <v/>
      </c>
      <c r="J22">
        <f>IF(I22="","",COUNTIFS(Costs!$C$6:$C$505,C22,Costs!$I$6:$I$505,"&gt;"&amp;I22))</f>
        <v/>
      </c>
    </row>
    <row r="23">
      <c r="A23" s="1" t="n"/>
      <c r="B23" s="29" t="n"/>
      <c r="C23" s="24" t="n"/>
      <c r="D23" s="25" t="n"/>
      <c r="E23" s="25" t="n"/>
      <c r="F23" s="28" t="n"/>
      <c r="G23" s="34" t="n"/>
      <c r="H23" s="1" t="n"/>
      <c r="I23">
        <f>IF(OR(C23="",N(F23)=0),"",F23+ROW()/10000000)</f>
        <v/>
      </c>
      <c r="J23">
        <f>IF(I23="","",COUNTIFS(Costs!$C$6:$C$505,C23,Costs!$I$6:$I$505,"&gt;"&amp;I23))</f>
        <v/>
      </c>
    </row>
    <row r="24">
      <c r="A24" s="1" t="n"/>
      <c r="B24" s="29" t="n"/>
      <c r="C24" s="24" t="n"/>
      <c r="D24" s="25" t="n"/>
      <c r="E24" s="25" t="n"/>
      <c r="F24" s="28" t="n"/>
      <c r="G24" s="34" t="n"/>
      <c r="H24" s="1" t="n"/>
      <c r="I24">
        <f>IF(OR(C24="",N(F24)=0),"",F24+ROW()/10000000)</f>
        <v/>
      </c>
      <c r="J24">
        <f>IF(I24="","",COUNTIFS(Costs!$C$6:$C$505,C24,Costs!$I$6:$I$505,"&gt;"&amp;I24))</f>
        <v/>
      </c>
    </row>
    <row r="25">
      <c r="A25" s="1" t="n"/>
      <c r="B25" s="29" t="n"/>
      <c r="C25" s="24" t="n"/>
      <c r="D25" s="25" t="n"/>
      <c r="E25" s="25" t="n"/>
      <c r="F25" s="28" t="n"/>
      <c r="G25" s="34" t="n"/>
      <c r="H25" s="1" t="n"/>
      <c r="I25">
        <f>IF(OR(C25="",N(F25)=0),"",F25+ROW()/10000000)</f>
        <v/>
      </c>
      <c r="J25">
        <f>IF(I25="","",COUNTIFS(Costs!$C$6:$C$505,C25,Costs!$I$6:$I$505,"&gt;"&amp;I25))</f>
        <v/>
      </c>
    </row>
    <row r="26">
      <c r="A26" s="1" t="n"/>
      <c r="B26" s="29" t="n"/>
      <c r="C26" s="24" t="n"/>
      <c r="D26" s="25" t="n"/>
      <c r="E26" s="25" t="n"/>
      <c r="F26" s="28" t="n"/>
      <c r="G26" s="34" t="n"/>
      <c r="H26" s="1" t="n"/>
      <c r="I26">
        <f>IF(OR(C26="",N(F26)=0),"",F26+ROW()/10000000)</f>
        <v/>
      </c>
      <c r="J26">
        <f>IF(I26="","",COUNTIFS(Costs!$C$6:$C$505,C26,Costs!$I$6:$I$505,"&gt;"&amp;I26))</f>
        <v/>
      </c>
    </row>
    <row r="27">
      <c r="A27" s="1" t="n"/>
      <c r="B27" s="29" t="n"/>
      <c r="C27" s="24" t="n"/>
      <c r="D27" s="25" t="n"/>
      <c r="E27" s="25" t="n"/>
      <c r="F27" s="28" t="n"/>
      <c r="G27" s="34" t="n"/>
      <c r="H27" s="1" t="n"/>
      <c r="I27">
        <f>IF(OR(C27="",N(F27)=0),"",F27+ROW()/10000000)</f>
        <v/>
      </c>
      <c r="J27">
        <f>IF(I27="","",COUNTIFS(Costs!$C$6:$C$505,C27,Costs!$I$6:$I$505,"&gt;"&amp;I27))</f>
        <v/>
      </c>
    </row>
    <row r="28">
      <c r="A28" s="1" t="n"/>
      <c r="B28" s="29" t="n"/>
      <c r="C28" s="24" t="n"/>
      <c r="D28" s="25" t="n"/>
      <c r="E28" s="25" t="n"/>
      <c r="F28" s="28" t="n"/>
      <c r="G28" s="34" t="n"/>
      <c r="H28" s="1" t="n"/>
      <c r="I28">
        <f>IF(OR(C28="",N(F28)=0),"",F28+ROW()/10000000)</f>
        <v/>
      </c>
      <c r="J28">
        <f>IF(I28="","",COUNTIFS(Costs!$C$6:$C$505,C28,Costs!$I$6:$I$505,"&gt;"&amp;I28))</f>
        <v/>
      </c>
    </row>
    <row r="29">
      <c r="A29" s="1" t="n"/>
      <c r="B29" s="29" t="n"/>
      <c r="C29" s="24" t="n"/>
      <c r="D29" s="25" t="n"/>
      <c r="E29" s="25" t="n"/>
      <c r="F29" s="28" t="n"/>
      <c r="G29" s="34" t="n"/>
      <c r="H29" s="1" t="n"/>
      <c r="I29">
        <f>IF(OR(C29="",N(F29)=0),"",F29+ROW()/10000000)</f>
        <v/>
      </c>
      <c r="J29">
        <f>IF(I29="","",COUNTIFS(Costs!$C$6:$C$505,C29,Costs!$I$6:$I$505,"&gt;"&amp;I29))</f>
        <v/>
      </c>
    </row>
    <row r="30">
      <c r="A30" s="1" t="n"/>
      <c r="B30" s="29" t="n"/>
      <c r="C30" s="24" t="n"/>
      <c r="D30" s="25" t="n"/>
      <c r="E30" s="25" t="n"/>
      <c r="F30" s="28" t="n"/>
      <c r="G30" s="34" t="n"/>
      <c r="H30" s="1" t="n"/>
      <c r="I30">
        <f>IF(OR(C30="",N(F30)=0),"",F30+ROW()/10000000)</f>
        <v/>
      </c>
      <c r="J30">
        <f>IF(I30="","",COUNTIFS(Costs!$C$6:$C$505,C30,Costs!$I$6:$I$505,"&gt;"&amp;I30))</f>
        <v/>
      </c>
    </row>
    <row r="31">
      <c r="A31" s="1" t="n"/>
      <c r="B31" s="29" t="n"/>
      <c r="C31" s="24" t="n"/>
      <c r="D31" s="25" t="n"/>
      <c r="E31" s="25" t="n"/>
      <c r="F31" s="28" t="n"/>
      <c r="G31" s="34" t="n"/>
      <c r="H31" s="1" t="n"/>
      <c r="I31">
        <f>IF(OR(C31="",N(F31)=0),"",F31+ROW()/10000000)</f>
        <v/>
      </c>
      <c r="J31">
        <f>IF(I31="","",COUNTIFS(Costs!$C$6:$C$505,C31,Costs!$I$6:$I$505,"&gt;"&amp;I31))</f>
        <v/>
      </c>
    </row>
    <row r="32">
      <c r="A32" s="1" t="n"/>
      <c r="B32" s="29" t="n"/>
      <c r="C32" s="24" t="n"/>
      <c r="D32" s="25" t="n"/>
      <c r="E32" s="25" t="n"/>
      <c r="F32" s="28" t="n"/>
      <c r="G32" s="34" t="n"/>
      <c r="H32" s="1" t="n"/>
      <c r="I32">
        <f>IF(OR(C32="",N(F32)=0),"",F32+ROW()/10000000)</f>
        <v/>
      </c>
      <c r="J32">
        <f>IF(I32="","",COUNTIFS(Costs!$C$6:$C$505,C32,Costs!$I$6:$I$505,"&gt;"&amp;I32))</f>
        <v/>
      </c>
    </row>
    <row r="33">
      <c r="A33" s="1" t="n"/>
      <c r="B33" s="29" t="n"/>
      <c r="C33" s="24" t="n"/>
      <c r="D33" s="25" t="n"/>
      <c r="E33" s="25" t="n"/>
      <c r="F33" s="28" t="n"/>
      <c r="G33" s="34" t="n"/>
      <c r="H33" s="1" t="n"/>
      <c r="I33">
        <f>IF(OR(C33="",N(F33)=0),"",F33+ROW()/10000000)</f>
        <v/>
      </c>
      <c r="J33">
        <f>IF(I33="","",COUNTIFS(Costs!$C$6:$C$505,C33,Costs!$I$6:$I$505,"&gt;"&amp;I33))</f>
        <v/>
      </c>
    </row>
    <row r="34">
      <c r="A34" s="1" t="n"/>
      <c r="B34" s="29" t="n"/>
      <c r="C34" s="24" t="n"/>
      <c r="D34" s="25" t="n"/>
      <c r="E34" s="25" t="n"/>
      <c r="F34" s="28" t="n"/>
      <c r="G34" s="34" t="n"/>
      <c r="H34" s="1" t="n"/>
      <c r="I34">
        <f>IF(OR(C34="",N(F34)=0),"",F34+ROW()/10000000)</f>
        <v/>
      </c>
      <c r="J34">
        <f>IF(I34="","",COUNTIFS(Costs!$C$6:$C$505,C34,Costs!$I$6:$I$505,"&gt;"&amp;I34))</f>
        <v/>
      </c>
    </row>
    <row r="35">
      <c r="A35" s="1" t="n"/>
      <c r="B35" s="29" t="n"/>
      <c r="C35" s="24" t="n"/>
      <c r="D35" s="25" t="n"/>
      <c r="E35" s="25" t="n"/>
      <c r="F35" s="28" t="n"/>
      <c r="G35" s="34" t="n"/>
      <c r="H35" s="1" t="n"/>
      <c r="I35">
        <f>IF(OR(C35="",N(F35)=0),"",F35+ROW()/10000000)</f>
        <v/>
      </c>
      <c r="J35">
        <f>IF(I35="","",COUNTIFS(Costs!$C$6:$C$505,C35,Costs!$I$6:$I$505,"&gt;"&amp;I35))</f>
        <v/>
      </c>
    </row>
    <row r="36">
      <c r="A36" s="1" t="n"/>
      <c r="B36" s="29" t="n"/>
      <c r="C36" s="24" t="n"/>
      <c r="D36" s="25" t="n"/>
      <c r="E36" s="25" t="n"/>
      <c r="F36" s="28" t="n"/>
      <c r="G36" s="34" t="n"/>
      <c r="H36" s="1" t="n"/>
      <c r="I36">
        <f>IF(OR(C36="",N(F36)=0),"",F36+ROW()/10000000)</f>
        <v/>
      </c>
      <c r="J36">
        <f>IF(I36="","",COUNTIFS(Costs!$C$6:$C$505,C36,Costs!$I$6:$I$505,"&gt;"&amp;I36))</f>
        <v/>
      </c>
    </row>
    <row r="37">
      <c r="A37" s="1" t="n"/>
      <c r="B37" s="29" t="n"/>
      <c r="C37" s="24" t="n"/>
      <c r="D37" s="25" t="n"/>
      <c r="E37" s="25" t="n"/>
      <c r="F37" s="28" t="n"/>
      <c r="G37" s="34" t="n"/>
      <c r="H37" s="1" t="n"/>
      <c r="I37">
        <f>IF(OR(C37="",N(F37)=0),"",F37+ROW()/10000000)</f>
        <v/>
      </c>
      <c r="J37">
        <f>IF(I37="","",COUNTIFS(Costs!$C$6:$C$505,C37,Costs!$I$6:$I$505,"&gt;"&amp;I37))</f>
        <v/>
      </c>
    </row>
    <row r="38">
      <c r="A38" s="1" t="n"/>
      <c r="B38" s="29" t="n"/>
      <c r="C38" s="24" t="n"/>
      <c r="D38" s="25" t="n"/>
      <c r="E38" s="25" t="n"/>
      <c r="F38" s="28" t="n"/>
      <c r="G38" s="34" t="n"/>
      <c r="H38" s="1" t="n"/>
      <c r="I38">
        <f>IF(OR(C38="",N(F38)=0),"",F38+ROW()/10000000)</f>
        <v/>
      </c>
      <c r="J38">
        <f>IF(I38="","",COUNTIFS(Costs!$C$6:$C$505,C38,Costs!$I$6:$I$505,"&gt;"&amp;I38))</f>
        <v/>
      </c>
    </row>
    <row r="39">
      <c r="A39" s="1" t="n"/>
      <c r="B39" s="29" t="n"/>
      <c r="C39" s="24" t="n"/>
      <c r="D39" s="25" t="n"/>
      <c r="E39" s="25" t="n"/>
      <c r="F39" s="28" t="n"/>
      <c r="G39" s="34" t="n"/>
      <c r="H39" s="1" t="n"/>
      <c r="I39">
        <f>IF(OR(C39="",N(F39)=0),"",F39+ROW()/10000000)</f>
        <v/>
      </c>
      <c r="J39">
        <f>IF(I39="","",COUNTIFS(Costs!$C$6:$C$505,C39,Costs!$I$6:$I$505,"&gt;"&amp;I39))</f>
        <v/>
      </c>
    </row>
    <row r="40">
      <c r="A40" s="1" t="n"/>
      <c r="B40" s="29" t="n"/>
      <c r="C40" s="24" t="n"/>
      <c r="D40" s="25" t="n"/>
      <c r="E40" s="25" t="n"/>
      <c r="F40" s="28" t="n"/>
      <c r="G40" s="34" t="n"/>
      <c r="H40" s="1" t="n"/>
      <c r="I40">
        <f>IF(OR(C40="",N(F40)=0),"",F40+ROW()/10000000)</f>
        <v/>
      </c>
      <c r="J40">
        <f>IF(I40="","",COUNTIFS(Costs!$C$6:$C$505,C40,Costs!$I$6:$I$505,"&gt;"&amp;I40))</f>
        <v/>
      </c>
    </row>
    <row r="41">
      <c r="A41" s="1" t="n"/>
      <c r="B41" s="29" t="n"/>
      <c r="C41" s="24" t="n"/>
      <c r="D41" s="25" t="n"/>
      <c r="E41" s="25" t="n"/>
      <c r="F41" s="28" t="n"/>
      <c r="G41" s="34" t="n"/>
      <c r="H41" s="1" t="n"/>
      <c r="I41">
        <f>IF(OR(C41="",N(F41)=0),"",F41+ROW()/10000000)</f>
        <v/>
      </c>
      <c r="J41">
        <f>IF(I41="","",COUNTIFS(Costs!$C$6:$C$505,C41,Costs!$I$6:$I$505,"&gt;"&amp;I41))</f>
        <v/>
      </c>
    </row>
    <row r="42">
      <c r="A42" s="1" t="n"/>
      <c r="B42" s="29" t="n"/>
      <c r="C42" s="24" t="n"/>
      <c r="D42" s="25" t="n"/>
      <c r="E42" s="25" t="n"/>
      <c r="F42" s="28" t="n"/>
      <c r="G42" s="34" t="n"/>
      <c r="H42" s="1" t="n"/>
      <c r="I42">
        <f>IF(OR(C42="",N(F42)=0),"",F42+ROW()/10000000)</f>
        <v/>
      </c>
      <c r="J42">
        <f>IF(I42="","",COUNTIFS(Costs!$C$6:$C$505,C42,Costs!$I$6:$I$505,"&gt;"&amp;I42))</f>
        <v/>
      </c>
    </row>
    <row r="43">
      <c r="A43" s="1" t="n"/>
      <c r="B43" s="29" t="n"/>
      <c r="C43" s="24" t="n"/>
      <c r="D43" s="25" t="n"/>
      <c r="E43" s="25" t="n"/>
      <c r="F43" s="28" t="n"/>
      <c r="G43" s="34" t="n"/>
      <c r="H43" s="1" t="n"/>
      <c r="I43">
        <f>IF(OR(C43="",N(F43)=0),"",F43+ROW()/10000000)</f>
        <v/>
      </c>
      <c r="J43">
        <f>IF(I43="","",COUNTIFS(Costs!$C$6:$C$505,C43,Costs!$I$6:$I$505,"&gt;"&amp;I43))</f>
        <v/>
      </c>
    </row>
    <row r="44">
      <c r="A44" s="1" t="n"/>
      <c r="B44" s="29" t="n"/>
      <c r="C44" s="24" t="n"/>
      <c r="D44" s="25" t="n"/>
      <c r="E44" s="25" t="n"/>
      <c r="F44" s="28" t="n"/>
      <c r="G44" s="34" t="n"/>
      <c r="H44" s="1" t="n"/>
      <c r="I44">
        <f>IF(OR(C44="",N(F44)=0),"",F44+ROW()/10000000)</f>
        <v/>
      </c>
      <c r="J44">
        <f>IF(I44="","",COUNTIFS(Costs!$C$6:$C$505,C44,Costs!$I$6:$I$505,"&gt;"&amp;I44))</f>
        <v/>
      </c>
    </row>
    <row r="45">
      <c r="A45" s="1" t="n"/>
      <c r="B45" s="29" t="n"/>
      <c r="C45" s="24" t="n"/>
      <c r="D45" s="25" t="n"/>
      <c r="E45" s="25" t="n"/>
      <c r="F45" s="28" t="n"/>
      <c r="G45" s="34" t="n"/>
      <c r="H45" s="1" t="n"/>
      <c r="I45">
        <f>IF(OR(C45="",N(F45)=0),"",F45+ROW()/10000000)</f>
        <v/>
      </c>
      <c r="J45">
        <f>IF(I45="","",COUNTIFS(Costs!$C$6:$C$505,C45,Costs!$I$6:$I$505,"&gt;"&amp;I45))</f>
        <v/>
      </c>
    </row>
    <row r="46">
      <c r="A46" s="1" t="n"/>
      <c r="B46" s="29" t="n"/>
      <c r="C46" s="24" t="n"/>
      <c r="D46" s="25" t="n"/>
      <c r="E46" s="25" t="n"/>
      <c r="F46" s="28" t="n"/>
      <c r="G46" s="34" t="n"/>
      <c r="H46" s="1" t="n"/>
      <c r="I46">
        <f>IF(OR(C46="",N(F46)=0),"",F46+ROW()/10000000)</f>
        <v/>
      </c>
      <c r="J46">
        <f>IF(I46="","",COUNTIFS(Costs!$C$6:$C$505,C46,Costs!$I$6:$I$505,"&gt;"&amp;I46))</f>
        <v/>
      </c>
    </row>
    <row r="47">
      <c r="A47" s="1" t="n"/>
      <c r="B47" s="29" t="n"/>
      <c r="C47" s="24" t="n"/>
      <c r="D47" s="25" t="n"/>
      <c r="E47" s="25" t="n"/>
      <c r="F47" s="28" t="n"/>
      <c r="G47" s="34" t="n"/>
      <c r="H47" s="1" t="n"/>
      <c r="I47">
        <f>IF(OR(C47="",N(F47)=0),"",F47+ROW()/10000000)</f>
        <v/>
      </c>
      <c r="J47">
        <f>IF(I47="","",COUNTIFS(Costs!$C$6:$C$505,C47,Costs!$I$6:$I$505,"&gt;"&amp;I47))</f>
        <v/>
      </c>
    </row>
    <row r="48">
      <c r="A48" s="1" t="n"/>
      <c r="B48" s="29" t="n"/>
      <c r="C48" s="24" t="n"/>
      <c r="D48" s="25" t="n"/>
      <c r="E48" s="25" t="n"/>
      <c r="F48" s="28" t="n"/>
      <c r="G48" s="34" t="n"/>
      <c r="H48" s="1" t="n"/>
      <c r="I48">
        <f>IF(OR(C48="",N(F48)=0),"",F48+ROW()/10000000)</f>
        <v/>
      </c>
      <c r="J48">
        <f>IF(I48="","",COUNTIFS(Costs!$C$6:$C$505,C48,Costs!$I$6:$I$505,"&gt;"&amp;I48))</f>
        <v/>
      </c>
    </row>
    <row r="49">
      <c r="A49" s="1" t="n"/>
      <c r="B49" s="29" t="n"/>
      <c r="C49" s="24" t="n"/>
      <c r="D49" s="25" t="n"/>
      <c r="E49" s="25" t="n"/>
      <c r="F49" s="28" t="n"/>
      <c r="G49" s="34" t="n"/>
      <c r="H49" s="1" t="n"/>
      <c r="I49">
        <f>IF(OR(C49="",N(F49)=0),"",F49+ROW()/10000000)</f>
        <v/>
      </c>
      <c r="J49">
        <f>IF(I49="","",COUNTIFS(Costs!$C$6:$C$505,C49,Costs!$I$6:$I$505,"&gt;"&amp;I49))</f>
        <v/>
      </c>
    </row>
    <row r="50">
      <c r="A50" s="1" t="n"/>
      <c r="B50" s="29" t="n"/>
      <c r="C50" s="24" t="n"/>
      <c r="D50" s="25" t="n"/>
      <c r="E50" s="25" t="n"/>
      <c r="F50" s="28" t="n"/>
      <c r="G50" s="34" t="n"/>
      <c r="H50" s="1" t="n"/>
      <c r="I50">
        <f>IF(OR(C50="",N(F50)=0),"",F50+ROW()/10000000)</f>
        <v/>
      </c>
      <c r="J50">
        <f>IF(I50="","",COUNTIFS(Costs!$C$6:$C$505,C50,Costs!$I$6:$I$505,"&gt;"&amp;I50))</f>
        <v/>
      </c>
    </row>
    <row r="51">
      <c r="A51" s="1" t="n"/>
      <c r="B51" s="29" t="n"/>
      <c r="C51" s="24" t="n"/>
      <c r="D51" s="25" t="n"/>
      <c r="E51" s="25" t="n"/>
      <c r="F51" s="28" t="n"/>
      <c r="G51" s="34" t="n"/>
      <c r="H51" s="1" t="n"/>
      <c r="I51">
        <f>IF(OR(C51="",N(F51)=0),"",F51+ROW()/10000000)</f>
        <v/>
      </c>
      <c r="J51">
        <f>IF(I51="","",COUNTIFS(Costs!$C$6:$C$505,C51,Costs!$I$6:$I$505,"&gt;"&amp;I51))</f>
        <v/>
      </c>
    </row>
    <row r="52">
      <c r="A52" s="1" t="n"/>
      <c r="B52" s="29" t="n"/>
      <c r="C52" s="24" t="n"/>
      <c r="D52" s="25" t="n"/>
      <c r="E52" s="25" t="n"/>
      <c r="F52" s="28" t="n"/>
      <c r="G52" s="34" t="n"/>
      <c r="H52" s="1" t="n"/>
      <c r="I52">
        <f>IF(OR(C52="",N(F52)=0),"",F52+ROW()/10000000)</f>
        <v/>
      </c>
      <c r="J52">
        <f>IF(I52="","",COUNTIFS(Costs!$C$6:$C$505,C52,Costs!$I$6:$I$505,"&gt;"&amp;I52))</f>
        <v/>
      </c>
    </row>
    <row r="53">
      <c r="A53" s="1" t="n"/>
      <c r="B53" s="29" t="n"/>
      <c r="C53" s="24" t="n"/>
      <c r="D53" s="25" t="n"/>
      <c r="E53" s="25" t="n"/>
      <c r="F53" s="28" t="n"/>
      <c r="G53" s="34" t="n"/>
      <c r="H53" s="1" t="n"/>
      <c r="I53">
        <f>IF(OR(C53="",N(F53)=0),"",F53+ROW()/10000000)</f>
        <v/>
      </c>
      <c r="J53">
        <f>IF(I53="","",COUNTIFS(Costs!$C$6:$C$505,C53,Costs!$I$6:$I$505,"&gt;"&amp;I53))</f>
        <v/>
      </c>
    </row>
    <row r="54">
      <c r="A54" s="1" t="n"/>
      <c r="B54" s="29" t="n"/>
      <c r="C54" s="24" t="n"/>
      <c r="D54" s="25" t="n"/>
      <c r="E54" s="25" t="n"/>
      <c r="F54" s="28" t="n"/>
      <c r="G54" s="34" t="n"/>
      <c r="H54" s="1" t="n"/>
      <c r="I54">
        <f>IF(OR(C54="",N(F54)=0),"",F54+ROW()/10000000)</f>
        <v/>
      </c>
      <c r="J54">
        <f>IF(I54="","",COUNTIFS(Costs!$C$6:$C$505,C54,Costs!$I$6:$I$505,"&gt;"&amp;I54))</f>
        <v/>
      </c>
    </row>
    <row r="55">
      <c r="A55" s="1" t="n"/>
      <c r="B55" s="29" t="n"/>
      <c r="C55" s="24" t="n"/>
      <c r="D55" s="25" t="n"/>
      <c r="E55" s="25" t="n"/>
      <c r="F55" s="28" t="n"/>
      <c r="G55" s="34" t="n"/>
      <c r="H55" s="1" t="n"/>
      <c r="I55">
        <f>IF(OR(C55="",N(F55)=0),"",F55+ROW()/10000000)</f>
        <v/>
      </c>
      <c r="J55">
        <f>IF(I55="","",COUNTIFS(Costs!$C$6:$C$505,C55,Costs!$I$6:$I$505,"&gt;"&amp;I55))</f>
        <v/>
      </c>
    </row>
    <row r="56">
      <c r="A56" s="1" t="n"/>
      <c r="B56" s="29" t="n"/>
      <c r="C56" s="24" t="n"/>
      <c r="D56" s="25" t="n"/>
      <c r="E56" s="25" t="n"/>
      <c r="F56" s="28" t="n"/>
      <c r="G56" s="34" t="n"/>
      <c r="H56" s="1" t="n"/>
      <c r="I56">
        <f>IF(OR(C56="",N(F56)=0),"",F56+ROW()/10000000)</f>
        <v/>
      </c>
      <c r="J56">
        <f>IF(I56="","",COUNTIFS(Costs!$C$6:$C$505,C56,Costs!$I$6:$I$505,"&gt;"&amp;I56))</f>
        <v/>
      </c>
    </row>
    <row r="57">
      <c r="A57" s="1" t="n"/>
      <c r="B57" s="29" t="n"/>
      <c r="C57" s="24" t="n"/>
      <c r="D57" s="25" t="n"/>
      <c r="E57" s="25" t="n"/>
      <c r="F57" s="28" t="n"/>
      <c r="G57" s="34" t="n"/>
      <c r="H57" s="1" t="n"/>
      <c r="I57">
        <f>IF(OR(C57="",N(F57)=0),"",F57+ROW()/10000000)</f>
        <v/>
      </c>
      <c r="J57">
        <f>IF(I57="","",COUNTIFS(Costs!$C$6:$C$505,C57,Costs!$I$6:$I$505,"&gt;"&amp;I57))</f>
        <v/>
      </c>
    </row>
    <row r="58">
      <c r="A58" s="1" t="n"/>
      <c r="B58" s="29" t="n"/>
      <c r="C58" s="24" t="n"/>
      <c r="D58" s="25" t="n"/>
      <c r="E58" s="25" t="n"/>
      <c r="F58" s="28" t="n"/>
      <c r="G58" s="34" t="n"/>
      <c r="H58" s="1" t="n"/>
      <c r="I58">
        <f>IF(OR(C58="",N(F58)=0),"",F58+ROW()/10000000)</f>
        <v/>
      </c>
      <c r="J58">
        <f>IF(I58="","",COUNTIFS(Costs!$C$6:$C$505,C58,Costs!$I$6:$I$505,"&gt;"&amp;I58))</f>
        <v/>
      </c>
    </row>
    <row r="59">
      <c r="A59" s="1" t="n"/>
      <c r="B59" s="29" t="n"/>
      <c r="C59" s="24" t="n"/>
      <c r="D59" s="25" t="n"/>
      <c r="E59" s="25" t="n"/>
      <c r="F59" s="28" t="n"/>
      <c r="G59" s="34" t="n"/>
      <c r="H59" s="1" t="n"/>
      <c r="I59">
        <f>IF(OR(C59="",N(F59)=0),"",F59+ROW()/10000000)</f>
        <v/>
      </c>
      <c r="J59">
        <f>IF(I59="","",COUNTIFS(Costs!$C$6:$C$505,C59,Costs!$I$6:$I$505,"&gt;"&amp;I59))</f>
        <v/>
      </c>
    </row>
    <row r="60">
      <c r="A60" s="1" t="n"/>
      <c r="B60" s="29" t="n"/>
      <c r="C60" s="24" t="n"/>
      <c r="D60" s="25" t="n"/>
      <c r="E60" s="25" t="n"/>
      <c r="F60" s="28" t="n"/>
      <c r="G60" s="34" t="n"/>
      <c r="H60" s="1" t="n"/>
      <c r="I60">
        <f>IF(OR(C60="",N(F60)=0),"",F60+ROW()/10000000)</f>
        <v/>
      </c>
      <c r="J60">
        <f>IF(I60="","",COUNTIFS(Costs!$C$6:$C$505,C60,Costs!$I$6:$I$505,"&gt;"&amp;I60))</f>
        <v/>
      </c>
    </row>
    <row r="61">
      <c r="A61" s="1" t="n"/>
      <c r="B61" s="29" t="n"/>
      <c r="C61" s="24" t="n"/>
      <c r="D61" s="25" t="n"/>
      <c r="E61" s="25" t="n"/>
      <c r="F61" s="28" t="n"/>
      <c r="G61" s="34" t="n"/>
      <c r="H61" s="1" t="n"/>
      <c r="I61">
        <f>IF(OR(C61="",N(F61)=0),"",F61+ROW()/10000000)</f>
        <v/>
      </c>
      <c r="J61">
        <f>IF(I61="","",COUNTIFS(Costs!$C$6:$C$505,C61,Costs!$I$6:$I$505,"&gt;"&amp;I61))</f>
        <v/>
      </c>
    </row>
    <row r="62">
      <c r="A62" s="1" t="n"/>
      <c r="B62" s="29" t="n"/>
      <c r="C62" s="24" t="n"/>
      <c r="D62" s="25" t="n"/>
      <c r="E62" s="25" t="n"/>
      <c r="F62" s="28" t="n"/>
      <c r="G62" s="34" t="n"/>
      <c r="H62" s="1" t="n"/>
      <c r="I62">
        <f>IF(OR(C62="",N(F62)=0),"",F62+ROW()/10000000)</f>
        <v/>
      </c>
      <c r="J62">
        <f>IF(I62="","",COUNTIFS(Costs!$C$6:$C$505,C62,Costs!$I$6:$I$505,"&gt;"&amp;I62))</f>
        <v/>
      </c>
    </row>
    <row r="63">
      <c r="A63" s="1" t="n"/>
      <c r="B63" s="29" t="n"/>
      <c r="C63" s="24" t="n"/>
      <c r="D63" s="25" t="n"/>
      <c r="E63" s="25" t="n"/>
      <c r="F63" s="28" t="n"/>
      <c r="G63" s="34" t="n"/>
      <c r="H63" s="1" t="n"/>
      <c r="I63">
        <f>IF(OR(C63="",N(F63)=0),"",F63+ROW()/10000000)</f>
        <v/>
      </c>
      <c r="J63">
        <f>IF(I63="","",COUNTIFS(Costs!$C$6:$C$505,C63,Costs!$I$6:$I$505,"&gt;"&amp;I63))</f>
        <v/>
      </c>
    </row>
    <row r="64">
      <c r="A64" s="1" t="n"/>
      <c r="B64" s="29" t="n"/>
      <c r="C64" s="24" t="n"/>
      <c r="D64" s="25" t="n"/>
      <c r="E64" s="25" t="n"/>
      <c r="F64" s="28" t="n"/>
      <c r="G64" s="34" t="n"/>
      <c r="H64" s="1" t="n"/>
      <c r="I64">
        <f>IF(OR(C64="",N(F64)=0),"",F64+ROW()/10000000)</f>
        <v/>
      </c>
      <c r="J64">
        <f>IF(I64="","",COUNTIFS(Costs!$C$6:$C$505,C64,Costs!$I$6:$I$505,"&gt;"&amp;I64))</f>
        <v/>
      </c>
    </row>
    <row r="65">
      <c r="A65" s="1" t="n"/>
      <c r="B65" s="29" t="n"/>
      <c r="C65" s="24" t="n"/>
      <c r="D65" s="25" t="n"/>
      <c r="E65" s="25" t="n"/>
      <c r="F65" s="28" t="n"/>
      <c r="G65" s="34" t="n"/>
      <c r="H65" s="1" t="n"/>
      <c r="I65">
        <f>IF(OR(C65="",N(F65)=0),"",F65+ROW()/10000000)</f>
        <v/>
      </c>
      <c r="J65">
        <f>IF(I65="","",COUNTIFS(Costs!$C$6:$C$505,C65,Costs!$I$6:$I$505,"&gt;"&amp;I65))</f>
        <v/>
      </c>
    </row>
    <row r="66">
      <c r="A66" s="1" t="n"/>
      <c r="B66" s="29" t="n"/>
      <c r="C66" s="24" t="n"/>
      <c r="D66" s="25" t="n"/>
      <c r="E66" s="25" t="n"/>
      <c r="F66" s="28" t="n"/>
      <c r="G66" s="34" t="n"/>
      <c r="H66" s="1" t="n"/>
      <c r="I66">
        <f>IF(OR(C66="",N(F66)=0),"",F66+ROW()/10000000)</f>
        <v/>
      </c>
      <c r="J66">
        <f>IF(I66="","",COUNTIFS(Costs!$C$6:$C$505,C66,Costs!$I$6:$I$505,"&gt;"&amp;I66))</f>
        <v/>
      </c>
    </row>
    <row r="67">
      <c r="A67" s="1" t="n"/>
      <c r="B67" s="29" t="n"/>
      <c r="C67" s="24" t="n"/>
      <c r="D67" s="25" t="n"/>
      <c r="E67" s="25" t="n"/>
      <c r="F67" s="28" t="n"/>
      <c r="G67" s="34" t="n"/>
      <c r="H67" s="1" t="n"/>
      <c r="I67">
        <f>IF(OR(C67="",N(F67)=0),"",F67+ROW()/10000000)</f>
        <v/>
      </c>
      <c r="J67">
        <f>IF(I67="","",COUNTIFS(Costs!$C$6:$C$505,C67,Costs!$I$6:$I$505,"&gt;"&amp;I67))</f>
        <v/>
      </c>
    </row>
    <row r="68">
      <c r="A68" s="1" t="n"/>
      <c r="B68" s="29" t="n"/>
      <c r="C68" s="24" t="n"/>
      <c r="D68" s="25" t="n"/>
      <c r="E68" s="25" t="n"/>
      <c r="F68" s="28" t="n"/>
      <c r="G68" s="34" t="n"/>
      <c r="H68" s="1" t="n"/>
      <c r="I68">
        <f>IF(OR(C68="",N(F68)=0),"",F68+ROW()/10000000)</f>
        <v/>
      </c>
      <c r="J68">
        <f>IF(I68="","",COUNTIFS(Costs!$C$6:$C$505,C68,Costs!$I$6:$I$505,"&gt;"&amp;I68))</f>
        <v/>
      </c>
    </row>
    <row r="69">
      <c r="A69" s="1" t="n"/>
      <c r="B69" s="29" t="n"/>
      <c r="C69" s="24" t="n"/>
      <c r="D69" s="25" t="n"/>
      <c r="E69" s="25" t="n"/>
      <c r="F69" s="28" t="n"/>
      <c r="G69" s="34" t="n"/>
      <c r="H69" s="1" t="n"/>
      <c r="I69">
        <f>IF(OR(C69="",N(F69)=0),"",F69+ROW()/10000000)</f>
        <v/>
      </c>
      <c r="J69">
        <f>IF(I69="","",COUNTIFS(Costs!$C$6:$C$505,C69,Costs!$I$6:$I$505,"&gt;"&amp;I69))</f>
        <v/>
      </c>
    </row>
    <row r="70">
      <c r="A70" s="1" t="n"/>
      <c r="B70" s="29" t="n"/>
      <c r="C70" s="24" t="n"/>
      <c r="D70" s="25" t="n"/>
      <c r="E70" s="25" t="n"/>
      <c r="F70" s="28" t="n"/>
      <c r="G70" s="34" t="n"/>
      <c r="H70" s="1" t="n"/>
      <c r="I70">
        <f>IF(OR(C70="",N(F70)=0),"",F70+ROW()/10000000)</f>
        <v/>
      </c>
      <c r="J70">
        <f>IF(I70="","",COUNTIFS(Costs!$C$6:$C$505,C70,Costs!$I$6:$I$505,"&gt;"&amp;I70))</f>
        <v/>
      </c>
    </row>
    <row r="71">
      <c r="A71" s="1" t="n"/>
      <c r="B71" s="29" t="n"/>
      <c r="C71" s="24" t="n"/>
      <c r="D71" s="25" t="n"/>
      <c r="E71" s="25" t="n"/>
      <c r="F71" s="28" t="n"/>
      <c r="G71" s="34" t="n"/>
      <c r="H71" s="1" t="n"/>
      <c r="I71">
        <f>IF(OR(C71="",N(F71)=0),"",F71+ROW()/10000000)</f>
        <v/>
      </c>
      <c r="J71">
        <f>IF(I71="","",COUNTIFS(Costs!$C$6:$C$505,C71,Costs!$I$6:$I$505,"&gt;"&amp;I71))</f>
        <v/>
      </c>
    </row>
    <row r="72">
      <c r="A72" s="1" t="n"/>
      <c r="B72" s="29" t="n"/>
      <c r="C72" s="24" t="n"/>
      <c r="D72" s="25" t="n"/>
      <c r="E72" s="25" t="n"/>
      <c r="F72" s="28" t="n"/>
      <c r="G72" s="34" t="n"/>
      <c r="H72" s="1" t="n"/>
      <c r="I72">
        <f>IF(OR(C72="",N(F72)=0),"",F72+ROW()/10000000)</f>
        <v/>
      </c>
      <c r="J72">
        <f>IF(I72="","",COUNTIFS(Costs!$C$6:$C$505,C72,Costs!$I$6:$I$505,"&gt;"&amp;I72))</f>
        <v/>
      </c>
    </row>
    <row r="73">
      <c r="A73" s="1" t="n"/>
      <c r="B73" s="29" t="n"/>
      <c r="C73" s="24" t="n"/>
      <c r="D73" s="25" t="n"/>
      <c r="E73" s="25" t="n"/>
      <c r="F73" s="28" t="n"/>
      <c r="G73" s="34" t="n"/>
      <c r="H73" s="1" t="n"/>
      <c r="I73">
        <f>IF(OR(C73="",N(F73)=0),"",F73+ROW()/10000000)</f>
        <v/>
      </c>
      <c r="J73">
        <f>IF(I73="","",COUNTIFS(Costs!$C$6:$C$505,C73,Costs!$I$6:$I$505,"&gt;"&amp;I73))</f>
        <v/>
      </c>
    </row>
    <row r="74">
      <c r="A74" s="1" t="n"/>
      <c r="B74" s="29" t="n"/>
      <c r="C74" s="24" t="n"/>
      <c r="D74" s="25" t="n"/>
      <c r="E74" s="25" t="n"/>
      <c r="F74" s="28" t="n"/>
      <c r="G74" s="34" t="n"/>
      <c r="H74" s="1" t="n"/>
      <c r="I74">
        <f>IF(OR(C74="",N(F74)=0),"",F74+ROW()/10000000)</f>
        <v/>
      </c>
      <c r="J74">
        <f>IF(I74="","",COUNTIFS(Costs!$C$6:$C$505,C74,Costs!$I$6:$I$505,"&gt;"&amp;I74))</f>
        <v/>
      </c>
    </row>
    <row r="75">
      <c r="A75" s="1" t="n"/>
      <c r="B75" s="29" t="n"/>
      <c r="C75" s="24" t="n"/>
      <c r="D75" s="25" t="n"/>
      <c r="E75" s="25" t="n"/>
      <c r="F75" s="28" t="n"/>
      <c r="G75" s="34" t="n"/>
      <c r="H75" s="1" t="n"/>
      <c r="I75">
        <f>IF(OR(C75="",N(F75)=0),"",F75+ROW()/10000000)</f>
        <v/>
      </c>
      <c r="J75">
        <f>IF(I75="","",COUNTIFS(Costs!$C$6:$C$505,C75,Costs!$I$6:$I$505,"&gt;"&amp;I75))</f>
        <v/>
      </c>
    </row>
    <row r="76">
      <c r="A76" s="1" t="n"/>
      <c r="B76" s="29" t="n"/>
      <c r="C76" s="24" t="n"/>
      <c r="D76" s="25" t="n"/>
      <c r="E76" s="25" t="n"/>
      <c r="F76" s="28" t="n"/>
      <c r="G76" s="34" t="n"/>
      <c r="H76" s="1" t="n"/>
      <c r="I76">
        <f>IF(OR(C76="",N(F76)=0),"",F76+ROW()/10000000)</f>
        <v/>
      </c>
      <c r="J76">
        <f>IF(I76="","",COUNTIFS(Costs!$C$6:$C$505,C76,Costs!$I$6:$I$505,"&gt;"&amp;I76))</f>
        <v/>
      </c>
    </row>
    <row r="77">
      <c r="A77" s="1" t="n"/>
      <c r="B77" s="29" t="n"/>
      <c r="C77" s="24" t="n"/>
      <c r="D77" s="25" t="n"/>
      <c r="E77" s="25" t="n"/>
      <c r="F77" s="28" t="n"/>
      <c r="G77" s="34" t="n"/>
      <c r="H77" s="1" t="n"/>
      <c r="I77">
        <f>IF(OR(C77="",N(F77)=0),"",F77+ROW()/10000000)</f>
        <v/>
      </c>
      <c r="J77">
        <f>IF(I77="","",COUNTIFS(Costs!$C$6:$C$505,C77,Costs!$I$6:$I$505,"&gt;"&amp;I77))</f>
        <v/>
      </c>
    </row>
    <row r="78">
      <c r="A78" s="1" t="n"/>
      <c r="B78" s="29" t="n"/>
      <c r="C78" s="24" t="n"/>
      <c r="D78" s="25" t="n"/>
      <c r="E78" s="25" t="n"/>
      <c r="F78" s="28" t="n"/>
      <c r="G78" s="34" t="n"/>
      <c r="H78" s="1" t="n"/>
      <c r="I78">
        <f>IF(OR(C78="",N(F78)=0),"",F78+ROW()/10000000)</f>
        <v/>
      </c>
      <c r="J78">
        <f>IF(I78="","",COUNTIFS(Costs!$C$6:$C$505,C78,Costs!$I$6:$I$505,"&gt;"&amp;I78))</f>
        <v/>
      </c>
    </row>
    <row r="79">
      <c r="A79" s="1" t="n"/>
      <c r="B79" s="29" t="n"/>
      <c r="C79" s="24" t="n"/>
      <c r="D79" s="25" t="n"/>
      <c r="E79" s="25" t="n"/>
      <c r="F79" s="28" t="n"/>
      <c r="G79" s="34" t="n"/>
      <c r="H79" s="1" t="n"/>
      <c r="I79">
        <f>IF(OR(C79="",N(F79)=0),"",F79+ROW()/10000000)</f>
        <v/>
      </c>
      <c r="J79">
        <f>IF(I79="","",COUNTIFS(Costs!$C$6:$C$505,C79,Costs!$I$6:$I$505,"&gt;"&amp;I79))</f>
        <v/>
      </c>
    </row>
    <row r="80">
      <c r="A80" s="1" t="n"/>
      <c r="B80" s="29" t="n"/>
      <c r="C80" s="24" t="n"/>
      <c r="D80" s="25" t="n"/>
      <c r="E80" s="25" t="n"/>
      <c r="F80" s="28" t="n"/>
      <c r="G80" s="34" t="n"/>
      <c r="H80" s="1" t="n"/>
      <c r="I80">
        <f>IF(OR(C80="",N(F80)=0),"",F80+ROW()/10000000)</f>
        <v/>
      </c>
      <c r="J80">
        <f>IF(I80="","",COUNTIFS(Costs!$C$6:$C$505,C80,Costs!$I$6:$I$505,"&gt;"&amp;I80))</f>
        <v/>
      </c>
    </row>
    <row r="81">
      <c r="A81" s="1" t="n"/>
      <c r="B81" s="29" t="n"/>
      <c r="C81" s="24" t="n"/>
      <c r="D81" s="25" t="n"/>
      <c r="E81" s="25" t="n"/>
      <c r="F81" s="28" t="n"/>
      <c r="G81" s="34" t="n"/>
      <c r="H81" s="1" t="n"/>
      <c r="I81">
        <f>IF(OR(C81="",N(F81)=0),"",F81+ROW()/10000000)</f>
        <v/>
      </c>
      <c r="J81">
        <f>IF(I81="","",COUNTIFS(Costs!$C$6:$C$505,C81,Costs!$I$6:$I$505,"&gt;"&amp;I81))</f>
        <v/>
      </c>
    </row>
    <row r="82">
      <c r="A82" s="1" t="n"/>
      <c r="B82" s="29" t="n"/>
      <c r="C82" s="24" t="n"/>
      <c r="D82" s="25" t="n"/>
      <c r="E82" s="25" t="n"/>
      <c r="F82" s="28" t="n"/>
      <c r="G82" s="34" t="n"/>
      <c r="H82" s="1" t="n"/>
      <c r="I82">
        <f>IF(OR(C82="",N(F82)=0),"",F82+ROW()/10000000)</f>
        <v/>
      </c>
      <c r="J82">
        <f>IF(I82="","",COUNTIFS(Costs!$C$6:$C$505,C82,Costs!$I$6:$I$505,"&gt;"&amp;I82))</f>
        <v/>
      </c>
    </row>
    <row r="83">
      <c r="A83" s="1" t="n"/>
      <c r="B83" s="29" t="n"/>
      <c r="C83" s="24" t="n"/>
      <c r="D83" s="25" t="n"/>
      <c r="E83" s="25" t="n"/>
      <c r="F83" s="28" t="n"/>
      <c r="G83" s="34" t="n"/>
      <c r="H83" s="1" t="n"/>
      <c r="I83">
        <f>IF(OR(C83="",N(F83)=0),"",F83+ROW()/10000000)</f>
        <v/>
      </c>
      <c r="J83">
        <f>IF(I83="","",COUNTIFS(Costs!$C$6:$C$505,C83,Costs!$I$6:$I$505,"&gt;"&amp;I83))</f>
        <v/>
      </c>
    </row>
    <row r="84">
      <c r="A84" s="1" t="n"/>
      <c r="B84" s="29" t="n"/>
      <c r="C84" s="24" t="n"/>
      <c r="D84" s="25" t="n"/>
      <c r="E84" s="25" t="n"/>
      <c r="F84" s="28" t="n"/>
      <c r="G84" s="34" t="n"/>
      <c r="H84" s="1" t="n"/>
      <c r="I84">
        <f>IF(OR(C84="",N(F84)=0),"",F84+ROW()/10000000)</f>
        <v/>
      </c>
      <c r="J84">
        <f>IF(I84="","",COUNTIFS(Costs!$C$6:$C$505,C84,Costs!$I$6:$I$505,"&gt;"&amp;I84))</f>
        <v/>
      </c>
    </row>
    <row r="85">
      <c r="A85" s="1" t="n"/>
      <c r="B85" s="29" t="n"/>
      <c r="C85" s="24" t="n"/>
      <c r="D85" s="25" t="n"/>
      <c r="E85" s="25" t="n"/>
      <c r="F85" s="28" t="n"/>
      <c r="G85" s="34" t="n"/>
      <c r="H85" s="1" t="n"/>
      <c r="I85">
        <f>IF(OR(C85="",N(F85)=0),"",F85+ROW()/10000000)</f>
        <v/>
      </c>
      <c r="J85">
        <f>IF(I85="","",COUNTIFS(Costs!$C$6:$C$505,C85,Costs!$I$6:$I$505,"&gt;"&amp;I85))</f>
        <v/>
      </c>
    </row>
    <row r="86">
      <c r="A86" s="1" t="n"/>
      <c r="B86" s="29" t="n"/>
      <c r="C86" s="24" t="n"/>
      <c r="D86" s="25" t="n"/>
      <c r="E86" s="25" t="n"/>
      <c r="F86" s="28" t="n"/>
      <c r="G86" s="34" t="n"/>
      <c r="H86" s="1" t="n"/>
      <c r="I86">
        <f>IF(OR(C86="",N(F86)=0),"",F86+ROW()/10000000)</f>
        <v/>
      </c>
      <c r="J86">
        <f>IF(I86="","",COUNTIFS(Costs!$C$6:$C$505,C86,Costs!$I$6:$I$505,"&gt;"&amp;I86))</f>
        <v/>
      </c>
    </row>
    <row r="87">
      <c r="A87" s="1" t="n"/>
      <c r="B87" s="29" t="n"/>
      <c r="C87" s="24" t="n"/>
      <c r="D87" s="25" t="n"/>
      <c r="E87" s="25" t="n"/>
      <c r="F87" s="28" t="n"/>
      <c r="G87" s="34" t="n"/>
      <c r="H87" s="1" t="n"/>
      <c r="I87">
        <f>IF(OR(C87="",N(F87)=0),"",F87+ROW()/10000000)</f>
        <v/>
      </c>
      <c r="J87">
        <f>IF(I87="","",COUNTIFS(Costs!$C$6:$C$505,C87,Costs!$I$6:$I$505,"&gt;"&amp;I87))</f>
        <v/>
      </c>
    </row>
    <row r="88">
      <c r="A88" s="1" t="n"/>
      <c r="B88" s="29" t="n"/>
      <c r="C88" s="24" t="n"/>
      <c r="D88" s="25" t="n"/>
      <c r="E88" s="25" t="n"/>
      <c r="F88" s="28" t="n"/>
      <c r="G88" s="34" t="n"/>
      <c r="H88" s="1" t="n"/>
      <c r="I88">
        <f>IF(OR(C88="",N(F88)=0),"",F88+ROW()/10000000)</f>
        <v/>
      </c>
      <c r="J88">
        <f>IF(I88="","",COUNTIFS(Costs!$C$6:$C$505,C88,Costs!$I$6:$I$505,"&gt;"&amp;I88))</f>
        <v/>
      </c>
    </row>
    <row r="89">
      <c r="A89" s="1" t="n"/>
      <c r="B89" s="29" t="n"/>
      <c r="C89" s="24" t="n"/>
      <c r="D89" s="25" t="n"/>
      <c r="E89" s="25" t="n"/>
      <c r="F89" s="28" t="n"/>
      <c r="G89" s="34" t="n"/>
      <c r="H89" s="1" t="n"/>
      <c r="I89">
        <f>IF(OR(C89="",N(F89)=0),"",F89+ROW()/10000000)</f>
        <v/>
      </c>
      <c r="J89">
        <f>IF(I89="","",COUNTIFS(Costs!$C$6:$C$505,C89,Costs!$I$6:$I$505,"&gt;"&amp;I89))</f>
        <v/>
      </c>
    </row>
    <row r="90">
      <c r="A90" s="1" t="n"/>
      <c r="B90" s="29" t="n"/>
      <c r="C90" s="24" t="n"/>
      <c r="D90" s="25" t="n"/>
      <c r="E90" s="25" t="n"/>
      <c r="F90" s="28" t="n"/>
      <c r="G90" s="34" t="n"/>
      <c r="H90" s="1" t="n"/>
      <c r="I90">
        <f>IF(OR(C90="",N(F90)=0),"",F90+ROW()/10000000)</f>
        <v/>
      </c>
      <c r="J90">
        <f>IF(I90="","",COUNTIFS(Costs!$C$6:$C$505,C90,Costs!$I$6:$I$505,"&gt;"&amp;I90))</f>
        <v/>
      </c>
    </row>
    <row r="91">
      <c r="A91" s="1" t="n"/>
      <c r="B91" s="29" t="n"/>
      <c r="C91" s="24" t="n"/>
      <c r="D91" s="25" t="n"/>
      <c r="E91" s="25" t="n"/>
      <c r="F91" s="28" t="n"/>
      <c r="G91" s="34" t="n"/>
      <c r="H91" s="1" t="n"/>
      <c r="I91">
        <f>IF(OR(C91="",N(F91)=0),"",F91+ROW()/10000000)</f>
        <v/>
      </c>
      <c r="J91">
        <f>IF(I91="","",COUNTIFS(Costs!$C$6:$C$505,C91,Costs!$I$6:$I$505,"&gt;"&amp;I91))</f>
        <v/>
      </c>
    </row>
    <row r="92">
      <c r="A92" s="1" t="n"/>
      <c r="B92" s="29" t="n"/>
      <c r="C92" s="24" t="n"/>
      <c r="D92" s="25" t="n"/>
      <c r="E92" s="25" t="n"/>
      <c r="F92" s="28" t="n"/>
      <c r="G92" s="34" t="n"/>
      <c r="H92" s="1" t="n"/>
      <c r="I92">
        <f>IF(OR(C92="",N(F92)=0),"",F92+ROW()/10000000)</f>
        <v/>
      </c>
      <c r="J92">
        <f>IF(I92="","",COUNTIFS(Costs!$C$6:$C$505,C92,Costs!$I$6:$I$505,"&gt;"&amp;I92))</f>
        <v/>
      </c>
    </row>
    <row r="93">
      <c r="A93" s="1" t="n"/>
      <c r="B93" s="29" t="n"/>
      <c r="C93" s="24" t="n"/>
      <c r="D93" s="25" t="n"/>
      <c r="E93" s="25" t="n"/>
      <c r="F93" s="28" t="n"/>
      <c r="G93" s="34" t="n"/>
      <c r="H93" s="1" t="n"/>
      <c r="I93">
        <f>IF(OR(C93="",N(F93)=0),"",F93+ROW()/10000000)</f>
        <v/>
      </c>
      <c r="J93">
        <f>IF(I93="","",COUNTIFS(Costs!$C$6:$C$505,C93,Costs!$I$6:$I$505,"&gt;"&amp;I93))</f>
        <v/>
      </c>
    </row>
    <row r="94">
      <c r="A94" s="1" t="n"/>
      <c r="B94" s="29" t="n"/>
      <c r="C94" s="24" t="n"/>
      <c r="D94" s="25" t="n"/>
      <c r="E94" s="25" t="n"/>
      <c r="F94" s="28" t="n"/>
      <c r="G94" s="34" t="n"/>
      <c r="H94" s="1" t="n"/>
      <c r="I94">
        <f>IF(OR(C94="",N(F94)=0),"",F94+ROW()/10000000)</f>
        <v/>
      </c>
      <c r="J94">
        <f>IF(I94="","",COUNTIFS(Costs!$C$6:$C$505,C94,Costs!$I$6:$I$505,"&gt;"&amp;I94))</f>
        <v/>
      </c>
    </row>
    <row r="95">
      <c r="A95" s="1" t="n"/>
      <c r="B95" s="29" t="n"/>
      <c r="C95" s="24" t="n"/>
      <c r="D95" s="25" t="n"/>
      <c r="E95" s="25" t="n"/>
      <c r="F95" s="28" t="n"/>
      <c r="G95" s="34" t="n"/>
      <c r="H95" s="1" t="n"/>
      <c r="I95">
        <f>IF(OR(C95="",N(F95)=0),"",F95+ROW()/10000000)</f>
        <v/>
      </c>
      <c r="J95">
        <f>IF(I95="","",COUNTIFS(Costs!$C$6:$C$505,C95,Costs!$I$6:$I$505,"&gt;"&amp;I95))</f>
        <v/>
      </c>
    </row>
    <row r="96">
      <c r="A96" s="1" t="n"/>
      <c r="B96" s="29" t="n"/>
      <c r="C96" s="24" t="n"/>
      <c r="D96" s="25" t="n"/>
      <c r="E96" s="25" t="n"/>
      <c r="F96" s="28" t="n"/>
      <c r="G96" s="34" t="n"/>
      <c r="H96" s="1" t="n"/>
      <c r="I96">
        <f>IF(OR(C96="",N(F96)=0),"",F96+ROW()/10000000)</f>
        <v/>
      </c>
      <c r="J96">
        <f>IF(I96="","",COUNTIFS(Costs!$C$6:$C$505,C96,Costs!$I$6:$I$505,"&gt;"&amp;I96))</f>
        <v/>
      </c>
    </row>
    <row r="97">
      <c r="A97" s="1" t="n"/>
      <c r="B97" s="29" t="n"/>
      <c r="C97" s="24" t="n"/>
      <c r="D97" s="25" t="n"/>
      <c r="E97" s="25" t="n"/>
      <c r="F97" s="28" t="n"/>
      <c r="G97" s="34" t="n"/>
      <c r="H97" s="1" t="n"/>
      <c r="I97">
        <f>IF(OR(C97="",N(F97)=0),"",F97+ROW()/10000000)</f>
        <v/>
      </c>
      <c r="J97">
        <f>IF(I97="","",COUNTIFS(Costs!$C$6:$C$505,C97,Costs!$I$6:$I$505,"&gt;"&amp;I97))</f>
        <v/>
      </c>
    </row>
    <row r="98">
      <c r="A98" s="1" t="n"/>
      <c r="B98" s="29" t="n"/>
      <c r="C98" s="24" t="n"/>
      <c r="D98" s="25" t="n"/>
      <c r="E98" s="25" t="n"/>
      <c r="F98" s="28" t="n"/>
      <c r="G98" s="34" t="n"/>
      <c r="H98" s="1" t="n"/>
      <c r="I98">
        <f>IF(OR(C98="",N(F98)=0),"",F98+ROW()/10000000)</f>
        <v/>
      </c>
      <c r="J98">
        <f>IF(I98="","",COUNTIFS(Costs!$C$6:$C$505,C98,Costs!$I$6:$I$505,"&gt;"&amp;I98))</f>
        <v/>
      </c>
    </row>
    <row r="99">
      <c r="A99" s="1" t="n"/>
      <c r="B99" s="29" t="n"/>
      <c r="C99" s="24" t="n"/>
      <c r="D99" s="25" t="n"/>
      <c r="E99" s="25" t="n"/>
      <c r="F99" s="28" t="n"/>
      <c r="G99" s="34" t="n"/>
      <c r="H99" s="1" t="n"/>
      <c r="I99">
        <f>IF(OR(C99="",N(F99)=0),"",F99+ROW()/10000000)</f>
        <v/>
      </c>
      <c r="J99">
        <f>IF(I99="","",COUNTIFS(Costs!$C$6:$C$505,C99,Costs!$I$6:$I$505,"&gt;"&amp;I99))</f>
        <v/>
      </c>
    </row>
    <row r="100">
      <c r="A100" s="1" t="n"/>
      <c r="B100" s="29" t="n"/>
      <c r="C100" s="24" t="n"/>
      <c r="D100" s="25" t="n"/>
      <c r="E100" s="25" t="n"/>
      <c r="F100" s="28" t="n"/>
      <c r="G100" s="34" t="n"/>
      <c r="H100" s="1" t="n"/>
      <c r="I100">
        <f>IF(OR(C100="",N(F100)=0),"",F100+ROW()/10000000)</f>
        <v/>
      </c>
      <c r="J100">
        <f>IF(I100="","",COUNTIFS(Costs!$C$6:$C$505,C100,Costs!$I$6:$I$505,"&gt;"&amp;I100))</f>
        <v/>
      </c>
    </row>
    <row r="101">
      <c r="A101" s="1" t="n"/>
      <c r="B101" s="29" t="n"/>
      <c r="C101" s="24" t="n"/>
      <c r="D101" s="25" t="n"/>
      <c r="E101" s="25" t="n"/>
      <c r="F101" s="28" t="n"/>
      <c r="G101" s="34" t="n"/>
      <c r="H101" s="1" t="n"/>
      <c r="I101">
        <f>IF(OR(C101="",N(F101)=0),"",F101+ROW()/10000000)</f>
        <v/>
      </c>
      <c r="J101">
        <f>IF(I101="","",COUNTIFS(Costs!$C$6:$C$505,C101,Costs!$I$6:$I$505,"&gt;"&amp;I101))</f>
        <v/>
      </c>
    </row>
    <row r="102">
      <c r="A102" s="1" t="n"/>
      <c r="B102" s="29" t="n"/>
      <c r="C102" s="24" t="n"/>
      <c r="D102" s="25" t="n"/>
      <c r="E102" s="25" t="n"/>
      <c r="F102" s="28" t="n"/>
      <c r="G102" s="34" t="n"/>
      <c r="H102" s="1" t="n"/>
      <c r="I102">
        <f>IF(OR(C102="",N(F102)=0),"",F102+ROW()/10000000)</f>
        <v/>
      </c>
      <c r="J102">
        <f>IF(I102="","",COUNTIFS(Costs!$C$6:$C$505,C102,Costs!$I$6:$I$505,"&gt;"&amp;I102))</f>
        <v/>
      </c>
    </row>
    <row r="103">
      <c r="A103" s="1" t="n"/>
      <c r="B103" s="29" t="n"/>
      <c r="C103" s="24" t="n"/>
      <c r="D103" s="25" t="n"/>
      <c r="E103" s="25" t="n"/>
      <c r="F103" s="28" t="n"/>
      <c r="G103" s="34" t="n"/>
      <c r="H103" s="1" t="n"/>
      <c r="I103">
        <f>IF(OR(C103="",N(F103)=0),"",F103+ROW()/10000000)</f>
        <v/>
      </c>
      <c r="J103">
        <f>IF(I103="","",COUNTIFS(Costs!$C$6:$C$505,C103,Costs!$I$6:$I$505,"&gt;"&amp;I103))</f>
        <v/>
      </c>
    </row>
    <row r="104">
      <c r="A104" s="1" t="n"/>
      <c r="B104" s="29" t="n"/>
      <c r="C104" s="24" t="n"/>
      <c r="D104" s="25" t="n"/>
      <c r="E104" s="25" t="n"/>
      <c r="F104" s="28" t="n"/>
      <c r="G104" s="34" t="n"/>
      <c r="H104" s="1" t="n"/>
      <c r="I104">
        <f>IF(OR(C104="",N(F104)=0),"",F104+ROW()/10000000)</f>
        <v/>
      </c>
      <c r="J104">
        <f>IF(I104="","",COUNTIFS(Costs!$C$6:$C$505,C104,Costs!$I$6:$I$505,"&gt;"&amp;I104))</f>
        <v/>
      </c>
    </row>
    <row r="105">
      <c r="A105" s="1" t="n"/>
      <c r="B105" s="29" t="n"/>
      <c r="C105" s="24" t="n"/>
      <c r="D105" s="25" t="n"/>
      <c r="E105" s="25" t="n"/>
      <c r="F105" s="28" t="n"/>
      <c r="G105" s="34" t="n"/>
      <c r="H105" s="1" t="n"/>
      <c r="I105">
        <f>IF(OR(C105="",N(F105)=0),"",F105+ROW()/10000000)</f>
        <v/>
      </c>
      <c r="J105">
        <f>IF(I105="","",COUNTIFS(Costs!$C$6:$C$505,C105,Costs!$I$6:$I$505,"&gt;"&amp;I105))</f>
        <v/>
      </c>
    </row>
    <row r="106">
      <c r="A106" s="1" t="n"/>
      <c r="B106" s="29" t="n"/>
      <c r="C106" s="24" t="n"/>
      <c r="D106" s="25" t="n"/>
      <c r="E106" s="25" t="n"/>
      <c r="F106" s="28" t="n"/>
      <c r="G106" s="34" t="n"/>
      <c r="H106" s="1" t="n"/>
      <c r="I106">
        <f>IF(OR(C106="",N(F106)=0),"",F106+ROW()/10000000)</f>
        <v/>
      </c>
      <c r="J106">
        <f>IF(I106="","",COUNTIFS(Costs!$C$6:$C$505,C106,Costs!$I$6:$I$505,"&gt;"&amp;I106))</f>
        <v/>
      </c>
    </row>
    <row r="107">
      <c r="A107" s="1" t="n"/>
      <c r="B107" s="29" t="n"/>
      <c r="C107" s="24" t="n"/>
      <c r="D107" s="25" t="n"/>
      <c r="E107" s="25" t="n"/>
      <c r="F107" s="28" t="n"/>
      <c r="G107" s="34" t="n"/>
      <c r="H107" s="1" t="n"/>
      <c r="I107">
        <f>IF(OR(C107="",N(F107)=0),"",F107+ROW()/10000000)</f>
        <v/>
      </c>
      <c r="J107">
        <f>IF(I107="","",COUNTIFS(Costs!$C$6:$C$505,C107,Costs!$I$6:$I$505,"&gt;"&amp;I107))</f>
        <v/>
      </c>
    </row>
    <row r="108">
      <c r="A108" s="1" t="n"/>
      <c r="B108" s="29" t="n"/>
      <c r="C108" s="24" t="n"/>
      <c r="D108" s="25" t="n"/>
      <c r="E108" s="25" t="n"/>
      <c r="F108" s="28" t="n"/>
      <c r="G108" s="34" t="n"/>
      <c r="H108" s="1" t="n"/>
      <c r="I108">
        <f>IF(OR(C108="",N(F108)=0),"",F108+ROW()/10000000)</f>
        <v/>
      </c>
      <c r="J108">
        <f>IF(I108="","",COUNTIFS(Costs!$C$6:$C$505,C108,Costs!$I$6:$I$505,"&gt;"&amp;I108))</f>
        <v/>
      </c>
    </row>
    <row r="109">
      <c r="A109" s="1" t="n"/>
      <c r="B109" s="29" t="n"/>
      <c r="C109" s="24" t="n"/>
      <c r="D109" s="25" t="n"/>
      <c r="E109" s="25" t="n"/>
      <c r="F109" s="28" t="n"/>
      <c r="G109" s="34" t="n"/>
      <c r="H109" s="1" t="n"/>
      <c r="I109">
        <f>IF(OR(C109="",N(F109)=0),"",F109+ROW()/10000000)</f>
        <v/>
      </c>
      <c r="J109">
        <f>IF(I109="","",COUNTIFS(Costs!$C$6:$C$505,C109,Costs!$I$6:$I$505,"&gt;"&amp;I109))</f>
        <v/>
      </c>
    </row>
    <row r="110">
      <c r="A110" s="1" t="n"/>
      <c r="B110" s="29" t="n"/>
      <c r="C110" s="24" t="n"/>
      <c r="D110" s="25" t="n"/>
      <c r="E110" s="25" t="n"/>
      <c r="F110" s="28" t="n"/>
      <c r="G110" s="34" t="n"/>
      <c r="H110" s="1" t="n"/>
      <c r="I110">
        <f>IF(OR(C110="",N(F110)=0),"",F110+ROW()/10000000)</f>
        <v/>
      </c>
      <c r="J110">
        <f>IF(I110="","",COUNTIFS(Costs!$C$6:$C$505,C110,Costs!$I$6:$I$505,"&gt;"&amp;I110))</f>
        <v/>
      </c>
    </row>
    <row r="111">
      <c r="A111" s="1" t="n"/>
      <c r="B111" s="29" t="n"/>
      <c r="C111" s="24" t="n"/>
      <c r="D111" s="25" t="n"/>
      <c r="E111" s="25" t="n"/>
      <c r="F111" s="28" t="n"/>
      <c r="G111" s="34" t="n"/>
      <c r="H111" s="1" t="n"/>
      <c r="I111">
        <f>IF(OR(C111="",N(F111)=0),"",F111+ROW()/10000000)</f>
        <v/>
      </c>
      <c r="J111">
        <f>IF(I111="","",COUNTIFS(Costs!$C$6:$C$505,C111,Costs!$I$6:$I$505,"&gt;"&amp;I111))</f>
        <v/>
      </c>
    </row>
    <row r="112">
      <c r="A112" s="1" t="n"/>
      <c r="B112" s="29" t="n"/>
      <c r="C112" s="24" t="n"/>
      <c r="D112" s="25" t="n"/>
      <c r="E112" s="25" t="n"/>
      <c r="F112" s="28" t="n"/>
      <c r="G112" s="34" t="n"/>
      <c r="H112" s="1" t="n"/>
      <c r="I112">
        <f>IF(OR(C112="",N(F112)=0),"",F112+ROW()/10000000)</f>
        <v/>
      </c>
      <c r="J112">
        <f>IF(I112="","",COUNTIFS(Costs!$C$6:$C$505,C112,Costs!$I$6:$I$505,"&gt;"&amp;I112))</f>
        <v/>
      </c>
    </row>
    <row r="113">
      <c r="A113" s="1" t="n"/>
      <c r="B113" s="29" t="n"/>
      <c r="C113" s="24" t="n"/>
      <c r="D113" s="25" t="n"/>
      <c r="E113" s="25" t="n"/>
      <c r="F113" s="28" t="n"/>
      <c r="G113" s="34" t="n"/>
      <c r="H113" s="1" t="n"/>
      <c r="I113">
        <f>IF(OR(C113="",N(F113)=0),"",F113+ROW()/10000000)</f>
        <v/>
      </c>
      <c r="J113">
        <f>IF(I113="","",COUNTIFS(Costs!$C$6:$C$505,C113,Costs!$I$6:$I$505,"&gt;"&amp;I113))</f>
        <v/>
      </c>
    </row>
    <row r="114">
      <c r="A114" s="1" t="n"/>
      <c r="B114" s="29" t="n"/>
      <c r="C114" s="24" t="n"/>
      <c r="D114" s="25" t="n"/>
      <c r="E114" s="25" t="n"/>
      <c r="F114" s="28" t="n"/>
      <c r="G114" s="34" t="n"/>
      <c r="H114" s="1" t="n"/>
      <c r="I114">
        <f>IF(OR(C114="",N(F114)=0),"",F114+ROW()/10000000)</f>
        <v/>
      </c>
      <c r="J114">
        <f>IF(I114="","",COUNTIFS(Costs!$C$6:$C$505,C114,Costs!$I$6:$I$505,"&gt;"&amp;I114))</f>
        <v/>
      </c>
    </row>
    <row r="115">
      <c r="A115" s="1" t="n"/>
      <c r="B115" s="29" t="n"/>
      <c r="C115" s="24" t="n"/>
      <c r="D115" s="25" t="n"/>
      <c r="E115" s="25" t="n"/>
      <c r="F115" s="28" t="n"/>
      <c r="G115" s="34" t="n"/>
      <c r="H115" s="1" t="n"/>
      <c r="I115">
        <f>IF(OR(C115="",N(F115)=0),"",F115+ROW()/10000000)</f>
        <v/>
      </c>
      <c r="J115">
        <f>IF(I115="","",COUNTIFS(Costs!$C$6:$C$505,C115,Costs!$I$6:$I$505,"&gt;"&amp;I115))</f>
        <v/>
      </c>
    </row>
    <row r="116">
      <c r="A116" s="1" t="n"/>
      <c r="B116" s="29" t="n"/>
      <c r="C116" s="24" t="n"/>
      <c r="D116" s="25" t="n"/>
      <c r="E116" s="25" t="n"/>
      <c r="F116" s="28" t="n"/>
      <c r="G116" s="34" t="n"/>
      <c r="H116" s="1" t="n"/>
      <c r="I116">
        <f>IF(OR(C116="",N(F116)=0),"",F116+ROW()/10000000)</f>
        <v/>
      </c>
      <c r="J116">
        <f>IF(I116="","",COUNTIFS(Costs!$C$6:$C$505,C116,Costs!$I$6:$I$505,"&gt;"&amp;I116))</f>
        <v/>
      </c>
    </row>
    <row r="117">
      <c r="A117" s="1" t="n"/>
      <c r="B117" s="29" t="n"/>
      <c r="C117" s="24" t="n"/>
      <c r="D117" s="25" t="n"/>
      <c r="E117" s="25" t="n"/>
      <c r="F117" s="28" t="n"/>
      <c r="G117" s="34" t="n"/>
      <c r="H117" s="1" t="n"/>
      <c r="I117">
        <f>IF(OR(C117="",N(F117)=0),"",F117+ROW()/10000000)</f>
        <v/>
      </c>
      <c r="J117">
        <f>IF(I117="","",COUNTIFS(Costs!$C$6:$C$505,C117,Costs!$I$6:$I$505,"&gt;"&amp;I117))</f>
        <v/>
      </c>
    </row>
    <row r="118">
      <c r="A118" s="1" t="n"/>
      <c r="B118" s="29" t="n"/>
      <c r="C118" s="24" t="n"/>
      <c r="D118" s="25" t="n"/>
      <c r="E118" s="25" t="n"/>
      <c r="F118" s="28" t="n"/>
      <c r="G118" s="34" t="n"/>
      <c r="H118" s="1" t="n"/>
      <c r="I118">
        <f>IF(OR(C118="",N(F118)=0),"",F118+ROW()/10000000)</f>
        <v/>
      </c>
      <c r="J118">
        <f>IF(I118="","",COUNTIFS(Costs!$C$6:$C$505,C118,Costs!$I$6:$I$505,"&gt;"&amp;I118))</f>
        <v/>
      </c>
    </row>
    <row r="119">
      <c r="A119" s="1" t="n"/>
      <c r="B119" s="29" t="n"/>
      <c r="C119" s="24" t="n"/>
      <c r="D119" s="25" t="n"/>
      <c r="E119" s="25" t="n"/>
      <c r="F119" s="28" t="n"/>
      <c r="G119" s="34" t="n"/>
      <c r="H119" s="1" t="n"/>
      <c r="I119">
        <f>IF(OR(C119="",N(F119)=0),"",F119+ROW()/10000000)</f>
        <v/>
      </c>
      <c r="J119">
        <f>IF(I119="","",COUNTIFS(Costs!$C$6:$C$505,C119,Costs!$I$6:$I$505,"&gt;"&amp;I119))</f>
        <v/>
      </c>
    </row>
    <row r="120">
      <c r="A120" s="1" t="n"/>
      <c r="B120" s="29" t="n"/>
      <c r="C120" s="24" t="n"/>
      <c r="D120" s="25" t="n"/>
      <c r="E120" s="25" t="n"/>
      <c r="F120" s="28" t="n"/>
      <c r="G120" s="34" t="n"/>
      <c r="H120" s="1" t="n"/>
      <c r="I120">
        <f>IF(OR(C120="",N(F120)=0),"",F120+ROW()/10000000)</f>
        <v/>
      </c>
      <c r="J120">
        <f>IF(I120="","",COUNTIFS(Costs!$C$6:$C$505,C120,Costs!$I$6:$I$505,"&gt;"&amp;I120))</f>
        <v/>
      </c>
    </row>
    <row r="121">
      <c r="A121" s="1" t="n"/>
      <c r="B121" s="29" t="n"/>
      <c r="C121" s="24" t="n"/>
      <c r="D121" s="25" t="n"/>
      <c r="E121" s="25" t="n"/>
      <c r="F121" s="28" t="n"/>
      <c r="G121" s="34" t="n"/>
      <c r="H121" s="1" t="n"/>
      <c r="I121">
        <f>IF(OR(C121="",N(F121)=0),"",F121+ROW()/10000000)</f>
        <v/>
      </c>
      <c r="J121">
        <f>IF(I121="","",COUNTIFS(Costs!$C$6:$C$505,C121,Costs!$I$6:$I$505,"&gt;"&amp;I121))</f>
        <v/>
      </c>
    </row>
    <row r="122">
      <c r="A122" s="1" t="n"/>
      <c r="B122" s="29" t="n"/>
      <c r="C122" s="24" t="n"/>
      <c r="D122" s="25" t="n"/>
      <c r="E122" s="25" t="n"/>
      <c r="F122" s="28" t="n"/>
      <c r="G122" s="34" t="n"/>
      <c r="H122" s="1" t="n"/>
      <c r="I122">
        <f>IF(OR(C122="",N(F122)=0),"",F122+ROW()/10000000)</f>
        <v/>
      </c>
      <c r="J122">
        <f>IF(I122="","",COUNTIFS(Costs!$C$6:$C$505,C122,Costs!$I$6:$I$505,"&gt;"&amp;I122))</f>
        <v/>
      </c>
    </row>
    <row r="123">
      <c r="A123" s="1" t="n"/>
      <c r="B123" s="29" t="n"/>
      <c r="C123" s="24" t="n"/>
      <c r="D123" s="25" t="n"/>
      <c r="E123" s="25" t="n"/>
      <c r="F123" s="28" t="n"/>
      <c r="G123" s="34" t="n"/>
      <c r="H123" s="1" t="n"/>
      <c r="I123">
        <f>IF(OR(C123="",N(F123)=0),"",F123+ROW()/10000000)</f>
        <v/>
      </c>
      <c r="J123">
        <f>IF(I123="","",COUNTIFS(Costs!$C$6:$C$505,C123,Costs!$I$6:$I$505,"&gt;"&amp;I123))</f>
        <v/>
      </c>
    </row>
    <row r="124">
      <c r="A124" s="1" t="n"/>
      <c r="B124" s="29" t="n"/>
      <c r="C124" s="24" t="n"/>
      <c r="D124" s="25" t="n"/>
      <c r="E124" s="25" t="n"/>
      <c r="F124" s="28" t="n"/>
      <c r="G124" s="34" t="n"/>
      <c r="H124" s="1" t="n"/>
      <c r="I124">
        <f>IF(OR(C124="",N(F124)=0),"",F124+ROW()/10000000)</f>
        <v/>
      </c>
      <c r="J124">
        <f>IF(I124="","",COUNTIFS(Costs!$C$6:$C$505,C124,Costs!$I$6:$I$505,"&gt;"&amp;I124))</f>
        <v/>
      </c>
    </row>
    <row r="125">
      <c r="A125" s="1" t="n"/>
      <c r="B125" s="29" t="n"/>
      <c r="C125" s="24" t="n"/>
      <c r="D125" s="25" t="n"/>
      <c r="E125" s="25" t="n"/>
      <c r="F125" s="28" t="n"/>
      <c r="G125" s="34" t="n"/>
      <c r="H125" s="1" t="n"/>
      <c r="I125">
        <f>IF(OR(C125="",N(F125)=0),"",F125+ROW()/10000000)</f>
        <v/>
      </c>
      <c r="J125">
        <f>IF(I125="","",COUNTIFS(Costs!$C$6:$C$505,C125,Costs!$I$6:$I$505,"&gt;"&amp;I125))</f>
        <v/>
      </c>
    </row>
    <row r="126">
      <c r="A126" s="1" t="n"/>
      <c r="B126" s="29" t="n"/>
      <c r="C126" s="24" t="n"/>
      <c r="D126" s="25" t="n"/>
      <c r="E126" s="25" t="n"/>
      <c r="F126" s="28" t="n"/>
      <c r="G126" s="34" t="n"/>
      <c r="H126" s="1" t="n"/>
      <c r="I126">
        <f>IF(OR(C126="",N(F126)=0),"",F126+ROW()/10000000)</f>
        <v/>
      </c>
      <c r="J126">
        <f>IF(I126="","",COUNTIFS(Costs!$C$6:$C$505,C126,Costs!$I$6:$I$505,"&gt;"&amp;I126))</f>
        <v/>
      </c>
    </row>
    <row r="127">
      <c r="A127" s="1" t="n"/>
      <c r="B127" s="29" t="n"/>
      <c r="C127" s="24" t="n"/>
      <c r="D127" s="25" t="n"/>
      <c r="E127" s="25" t="n"/>
      <c r="F127" s="28" t="n"/>
      <c r="G127" s="34" t="n"/>
      <c r="H127" s="1" t="n"/>
      <c r="I127">
        <f>IF(OR(C127="",N(F127)=0),"",F127+ROW()/10000000)</f>
        <v/>
      </c>
      <c r="J127">
        <f>IF(I127="","",COUNTIFS(Costs!$C$6:$C$505,C127,Costs!$I$6:$I$505,"&gt;"&amp;I127))</f>
        <v/>
      </c>
    </row>
    <row r="128">
      <c r="A128" s="1" t="n"/>
      <c r="B128" s="29" t="n"/>
      <c r="C128" s="24" t="n"/>
      <c r="D128" s="25" t="n"/>
      <c r="E128" s="25" t="n"/>
      <c r="F128" s="28" t="n"/>
      <c r="G128" s="34" t="n"/>
      <c r="H128" s="1" t="n"/>
      <c r="I128">
        <f>IF(OR(C128="",N(F128)=0),"",F128+ROW()/10000000)</f>
        <v/>
      </c>
      <c r="J128">
        <f>IF(I128="","",COUNTIFS(Costs!$C$6:$C$505,C128,Costs!$I$6:$I$505,"&gt;"&amp;I128))</f>
        <v/>
      </c>
    </row>
    <row r="129">
      <c r="A129" s="1" t="n"/>
      <c r="B129" s="29" t="n"/>
      <c r="C129" s="24" t="n"/>
      <c r="D129" s="25" t="n"/>
      <c r="E129" s="25" t="n"/>
      <c r="F129" s="28" t="n"/>
      <c r="G129" s="34" t="n"/>
      <c r="H129" s="1" t="n"/>
      <c r="I129">
        <f>IF(OR(C129="",N(F129)=0),"",F129+ROW()/10000000)</f>
        <v/>
      </c>
      <c r="J129">
        <f>IF(I129="","",COUNTIFS(Costs!$C$6:$C$505,C129,Costs!$I$6:$I$505,"&gt;"&amp;I129))</f>
        <v/>
      </c>
    </row>
    <row r="130">
      <c r="A130" s="1" t="n"/>
      <c r="B130" s="29" t="n"/>
      <c r="C130" s="24" t="n"/>
      <c r="D130" s="25" t="n"/>
      <c r="E130" s="25" t="n"/>
      <c r="F130" s="28" t="n"/>
      <c r="G130" s="34" t="n"/>
      <c r="H130" s="1" t="n"/>
      <c r="I130">
        <f>IF(OR(C130="",N(F130)=0),"",F130+ROW()/10000000)</f>
        <v/>
      </c>
      <c r="J130">
        <f>IF(I130="","",COUNTIFS(Costs!$C$6:$C$505,C130,Costs!$I$6:$I$505,"&gt;"&amp;I130))</f>
        <v/>
      </c>
    </row>
    <row r="131">
      <c r="A131" s="1" t="n"/>
      <c r="B131" s="29" t="n"/>
      <c r="C131" s="24" t="n"/>
      <c r="D131" s="25" t="n"/>
      <c r="E131" s="25" t="n"/>
      <c r="F131" s="28" t="n"/>
      <c r="G131" s="34" t="n"/>
      <c r="H131" s="1" t="n"/>
      <c r="I131">
        <f>IF(OR(C131="",N(F131)=0),"",F131+ROW()/10000000)</f>
        <v/>
      </c>
      <c r="J131">
        <f>IF(I131="","",COUNTIFS(Costs!$C$6:$C$505,C131,Costs!$I$6:$I$505,"&gt;"&amp;I131))</f>
        <v/>
      </c>
    </row>
    <row r="132">
      <c r="A132" s="1" t="n"/>
      <c r="B132" s="29" t="n"/>
      <c r="C132" s="24" t="n"/>
      <c r="D132" s="25" t="n"/>
      <c r="E132" s="25" t="n"/>
      <c r="F132" s="28" t="n"/>
      <c r="G132" s="34" t="n"/>
      <c r="H132" s="1" t="n"/>
      <c r="I132">
        <f>IF(OR(C132="",N(F132)=0),"",F132+ROW()/10000000)</f>
        <v/>
      </c>
      <c r="J132">
        <f>IF(I132="","",COUNTIFS(Costs!$C$6:$C$505,C132,Costs!$I$6:$I$505,"&gt;"&amp;I132))</f>
        <v/>
      </c>
    </row>
    <row r="133">
      <c r="A133" s="1" t="n"/>
      <c r="B133" s="29" t="n"/>
      <c r="C133" s="24" t="n"/>
      <c r="D133" s="25" t="n"/>
      <c r="E133" s="25" t="n"/>
      <c r="F133" s="28" t="n"/>
      <c r="G133" s="34" t="n"/>
      <c r="H133" s="1" t="n"/>
      <c r="I133">
        <f>IF(OR(C133="",N(F133)=0),"",F133+ROW()/10000000)</f>
        <v/>
      </c>
      <c r="J133">
        <f>IF(I133="","",COUNTIFS(Costs!$C$6:$C$505,C133,Costs!$I$6:$I$505,"&gt;"&amp;I133))</f>
        <v/>
      </c>
    </row>
    <row r="134">
      <c r="A134" s="1" t="n"/>
      <c r="B134" s="29" t="n"/>
      <c r="C134" s="24" t="n"/>
      <c r="D134" s="25" t="n"/>
      <c r="E134" s="25" t="n"/>
      <c r="F134" s="28" t="n"/>
      <c r="G134" s="34" t="n"/>
      <c r="H134" s="1" t="n"/>
      <c r="I134">
        <f>IF(OR(C134="",N(F134)=0),"",F134+ROW()/10000000)</f>
        <v/>
      </c>
      <c r="J134">
        <f>IF(I134="","",COUNTIFS(Costs!$C$6:$C$505,C134,Costs!$I$6:$I$505,"&gt;"&amp;I134))</f>
        <v/>
      </c>
    </row>
    <row r="135">
      <c r="A135" s="1" t="n"/>
      <c r="B135" s="29" t="n"/>
      <c r="C135" s="24" t="n"/>
      <c r="D135" s="25" t="n"/>
      <c r="E135" s="25" t="n"/>
      <c r="F135" s="28" t="n"/>
      <c r="G135" s="34" t="n"/>
      <c r="H135" s="1" t="n"/>
      <c r="I135">
        <f>IF(OR(C135="",N(F135)=0),"",F135+ROW()/10000000)</f>
        <v/>
      </c>
      <c r="J135">
        <f>IF(I135="","",COUNTIFS(Costs!$C$6:$C$505,C135,Costs!$I$6:$I$505,"&gt;"&amp;I135))</f>
        <v/>
      </c>
    </row>
    <row r="136">
      <c r="A136" s="1" t="n"/>
      <c r="B136" s="29" t="n"/>
      <c r="C136" s="24" t="n"/>
      <c r="D136" s="25" t="n"/>
      <c r="E136" s="25" t="n"/>
      <c r="F136" s="28" t="n"/>
      <c r="G136" s="34" t="n"/>
      <c r="H136" s="1" t="n"/>
      <c r="I136">
        <f>IF(OR(C136="",N(F136)=0),"",F136+ROW()/10000000)</f>
        <v/>
      </c>
      <c r="J136">
        <f>IF(I136="","",COUNTIFS(Costs!$C$6:$C$505,C136,Costs!$I$6:$I$505,"&gt;"&amp;I136))</f>
        <v/>
      </c>
    </row>
    <row r="137">
      <c r="A137" s="1" t="n"/>
      <c r="B137" s="29" t="n"/>
      <c r="C137" s="24" t="n"/>
      <c r="D137" s="25" t="n"/>
      <c r="E137" s="25" t="n"/>
      <c r="F137" s="28" t="n"/>
      <c r="G137" s="34" t="n"/>
      <c r="H137" s="1" t="n"/>
      <c r="I137">
        <f>IF(OR(C137="",N(F137)=0),"",F137+ROW()/10000000)</f>
        <v/>
      </c>
      <c r="J137">
        <f>IF(I137="","",COUNTIFS(Costs!$C$6:$C$505,C137,Costs!$I$6:$I$505,"&gt;"&amp;I137))</f>
        <v/>
      </c>
    </row>
    <row r="138">
      <c r="A138" s="1" t="n"/>
      <c r="B138" s="29" t="n"/>
      <c r="C138" s="24" t="n"/>
      <c r="D138" s="25" t="n"/>
      <c r="E138" s="25" t="n"/>
      <c r="F138" s="28" t="n"/>
      <c r="G138" s="34" t="n"/>
      <c r="H138" s="1" t="n"/>
      <c r="I138">
        <f>IF(OR(C138="",N(F138)=0),"",F138+ROW()/10000000)</f>
        <v/>
      </c>
      <c r="J138">
        <f>IF(I138="","",COUNTIFS(Costs!$C$6:$C$505,C138,Costs!$I$6:$I$505,"&gt;"&amp;I138))</f>
        <v/>
      </c>
    </row>
    <row r="139">
      <c r="A139" s="1" t="n"/>
      <c r="B139" s="29" t="n"/>
      <c r="C139" s="24" t="n"/>
      <c r="D139" s="25" t="n"/>
      <c r="E139" s="25" t="n"/>
      <c r="F139" s="28" t="n"/>
      <c r="G139" s="34" t="n"/>
      <c r="H139" s="1" t="n"/>
      <c r="I139">
        <f>IF(OR(C139="",N(F139)=0),"",F139+ROW()/10000000)</f>
        <v/>
      </c>
      <c r="J139">
        <f>IF(I139="","",COUNTIFS(Costs!$C$6:$C$505,C139,Costs!$I$6:$I$505,"&gt;"&amp;I139))</f>
        <v/>
      </c>
    </row>
    <row r="140">
      <c r="A140" s="1" t="n"/>
      <c r="B140" s="29" t="n"/>
      <c r="C140" s="24" t="n"/>
      <c r="D140" s="25" t="n"/>
      <c r="E140" s="25" t="n"/>
      <c r="F140" s="28" t="n"/>
      <c r="G140" s="34" t="n"/>
      <c r="H140" s="1" t="n"/>
      <c r="I140">
        <f>IF(OR(C140="",N(F140)=0),"",F140+ROW()/10000000)</f>
        <v/>
      </c>
      <c r="J140">
        <f>IF(I140="","",COUNTIFS(Costs!$C$6:$C$505,C140,Costs!$I$6:$I$505,"&gt;"&amp;I140))</f>
        <v/>
      </c>
    </row>
    <row r="141">
      <c r="A141" s="1" t="n"/>
      <c r="B141" s="29" t="n"/>
      <c r="C141" s="24" t="n"/>
      <c r="D141" s="25" t="n"/>
      <c r="E141" s="25" t="n"/>
      <c r="F141" s="28" t="n"/>
      <c r="G141" s="34" t="n"/>
      <c r="H141" s="1" t="n"/>
      <c r="I141">
        <f>IF(OR(C141="",N(F141)=0),"",F141+ROW()/10000000)</f>
        <v/>
      </c>
      <c r="J141">
        <f>IF(I141="","",COUNTIFS(Costs!$C$6:$C$505,C141,Costs!$I$6:$I$505,"&gt;"&amp;I141))</f>
        <v/>
      </c>
    </row>
    <row r="142">
      <c r="A142" s="1" t="n"/>
      <c r="B142" s="29" t="n"/>
      <c r="C142" s="24" t="n"/>
      <c r="D142" s="25" t="n"/>
      <c r="E142" s="25" t="n"/>
      <c r="F142" s="28" t="n"/>
      <c r="G142" s="34" t="n"/>
      <c r="H142" s="1" t="n"/>
      <c r="I142">
        <f>IF(OR(C142="",N(F142)=0),"",F142+ROW()/10000000)</f>
        <v/>
      </c>
      <c r="J142">
        <f>IF(I142="","",COUNTIFS(Costs!$C$6:$C$505,C142,Costs!$I$6:$I$505,"&gt;"&amp;I142))</f>
        <v/>
      </c>
    </row>
    <row r="143">
      <c r="A143" s="1" t="n"/>
      <c r="B143" s="29" t="n"/>
      <c r="C143" s="24" t="n"/>
      <c r="D143" s="25" t="n"/>
      <c r="E143" s="25" t="n"/>
      <c r="F143" s="28" t="n"/>
      <c r="G143" s="34" t="n"/>
      <c r="H143" s="1" t="n"/>
      <c r="I143">
        <f>IF(OR(C143="",N(F143)=0),"",F143+ROW()/10000000)</f>
        <v/>
      </c>
      <c r="J143">
        <f>IF(I143="","",COUNTIFS(Costs!$C$6:$C$505,C143,Costs!$I$6:$I$505,"&gt;"&amp;I143))</f>
        <v/>
      </c>
    </row>
    <row r="144">
      <c r="A144" s="1" t="n"/>
      <c r="B144" s="29" t="n"/>
      <c r="C144" s="24" t="n"/>
      <c r="D144" s="25" t="n"/>
      <c r="E144" s="25" t="n"/>
      <c r="F144" s="28" t="n"/>
      <c r="G144" s="34" t="n"/>
      <c r="H144" s="1" t="n"/>
      <c r="I144">
        <f>IF(OR(C144="",N(F144)=0),"",F144+ROW()/10000000)</f>
        <v/>
      </c>
      <c r="J144">
        <f>IF(I144="","",COUNTIFS(Costs!$C$6:$C$505,C144,Costs!$I$6:$I$505,"&gt;"&amp;I144))</f>
        <v/>
      </c>
    </row>
    <row r="145">
      <c r="A145" s="1" t="n"/>
      <c r="B145" s="29" t="n"/>
      <c r="C145" s="24" t="n"/>
      <c r="D145" s="25" t="n"/>
      <c r="E145" s="25" t="n"/>
      <c r="F145" s="28" t="n"/>
      <c r="G145" s="34" t="n"/>
      <c r="H145" s="1" t="n"/>
      <c r="I145">
        <f>IF(OR(C145="",N(F145)=0),"",F145+ROW()/10000000)</f>
        <v/>
      </c>
      <c r="J145">
        <f>IF(I145="","",COUNTIFS(Costs!$C$6:$C$505,C145,Costs!$I$6:$I$505,"&gt;"&amp;I145))</f>
        <v/>
      </c>
    </row>
    <row r="146">
      <c r="A146" s="1" t="n"/>
      <c r="B146" s="29" t="n"/>
      <c r="C146" s="24" t="n"/>
      <c r="D146" s="25" t="n"/>
      <c r="E146" s="25" t="n"/>
      <c r="F146" s="28" t="n"/>
      <c r="G146" s="34" t="n"/>
      <c r="H146" s="1" t="n"/>
      <c r="I146">
        <f>IF(OR(C146="",N(F146)=0),"",F146+ROW()/10000000)</f>
        <v/>
      </c>
      <c r="J146">
        <f>IF(I146="","",COUNTIFS(Costs!$C$6:$C$505,C146,Costs!$I$6:$I$505,"&gt;"&amp;I146))</f>
        <v/>
      </c>
    </row>
    <row r="147">
      <c r="A147" s="1" t="n"/>
      <c r="B147" s="29" t="n"/>
      <c r="C147" s="24" t="n"/>
      <c r="D147" s="25" t="n"/>
      <c r="E147" s="25" t="n"/>
      <c r="F147" s="28" t="n"/>
      <c r="G147" s="34" t="n"/>
      <c r="H147" s="1" t="n"/>
      <c r="I147">
        <f>IF(OR(C147="",N(F147)=0),"",F147+ROW()/10000000)</f>
        <v/>
      </c>
      <c r="J147">
        <f>IF(I147="","",COUNTIFS(Costs!$C$6:$C$505,C147,Costs!$I$6:$I$505,"&gt;"&amp;I147))</f>
        <v/>
      </c>
    </row>
    <row r="148">
      <c r="A148" s="1" t="n"/>
      <c r="B148" s="29" t="n"/>
      <c r="C148" s="24" t="n"/>
      <c r="D148" s="25" t="n"/>
      <c r="E148" s="25" t="n"/>
      <c r="F148" s="28" t="n"/>
      <c r="G148" s="34" t="n"/>
      <c r="H148" s="1" t="n"/>
      <c r="I148">
        <f>IF(OR(C148="",N(F148)=0),"",F148+ROW()/10000000)</f>
        <v/>
      </c>
      <c r="J148">
        <f>IF(I148="","",COUNTIFS(Costs!$C$6:$C$505,C148,Costs!$I$6:$I$505,"&gt;"&amp;I148))</f>
        <v/>
      </c>
    </row>
    <row r="149">
      <c r="A149" s="1" t="n"/>
      <c r="B149" s="29" t="n"/>
      <c r="C149" s="24" t="n"/>
      <c r="D149" s="25" t="n"/>
      <c r="E149" s="25" t="n"/>
      <c r="F149" s="28" t="n"/>
      <c r="G149" s="34" t="n"/>
      <c r="H149" s="1" t="n"/>
      <c r="I149">
        <f>IF(OR(C149="",N(F149)=0),"",F149+ROW()/10000000)</f>
        <v/>
      </c>
      <c r="J149">
        <f>IF(I149="","",COUNTIFS(Costs!$C$6:$C$505,C149,Costs!$I$6:$I$505,"&gt;"&amp;I149))</f>
        <v/>
      </c>
    </row>
    <row r="150">
      <c r="A150" s="1" t="n"/>
      <c r="B150" s="29" t="n"/>
      <c r="C150" s="24" t="n"/>
      <c r="D150" s="25" t="n"/>
      <c r="E150" s="25" t="n"/>
      <c r="F150" s="28" t="n"/>
      <c r="G150" s="34" t="n"/>
      <c r="H150" s="1" t="n"/>
      <c r="I150">
        <f>IF(OR(C150="",N(F150)=0),"",F150+ROW()/10000000)</f>
        <v/>
      </c>
      <c r="J150">
        <f>IF(I150="","",COUNTIFS(Costs!$C$6:$C$505,C150,Costs!$I$6:$I$505,"&gt;"&amp;I150))</f>
        <v/>
      </c>
    </row>
    <row r="151">
      <c r="A151" s="1" t="n"/>
      <c r="B151" s="29" t="n"/>
      <c r="C151" s="24" t="n"/>
      <c r="D151" s="25" t="n"/>
      <c r="E151" s="25" t="n"/>
      <c r="F151" s="28" t="n"/>
      <c r="G151" s="34" t="n"/>
      <c r="H151" s="1" t="n"/>
      <c r="I151">
        <f>IF(OR(C151="",N(F151)=0),"",F151+ROW()/10000000)</f>
        <v/>
      </c>
      <c r="J151">
        <f>IF(I151="","",COUNTIFS(Costs!$C$6:$C$505,C151,Costs!$I$6:$I$505,"&gt;"&amp;I151))</f>
        <v/>
      </c>
    </row>
    <row r="152">
      <c r="A152" s="1" t="n"/>
      <c r="B152" s="29" t="n"/>
      <c r="C152" s="24" t="n"/>
      <c r="D152" s="25" t="n"/>
      <c r="E152" s="25" t="n"/>
      <c r="F152" s="28" t="n"/>
      <c r="G152" s="34" t="n"/>
      <c r="H152" s="1" t="n"/>
      <c r="I152">
        <f>IF(OR(C152="",N(F152)=0),"",F152+ROW()/10000000)</f>
        <v/>
      </c>
      <c r="J152">
        <f>IF(I152="","",COUNTIFS(Costs!$C$6:$C$505,C152,Costs!$I$6:$I$505,"&gt;"&amp;I152))</f>
        <v/>
      </c>
    </row>
    <row r="153">
      <c r="A153" s="1" t="n"/>
      <c r="B153" s="29" t="n"/>
      <c r="C153" s="24" t="n"/>
      <c r="D153" s="25" t="n"/>
      <c r="E153" s="25" t="n"/>
      <c r="F153" s="28" t="n"/>
      <c r="G153" s="34" t="n"/>
      <c r="H153" s="1" t="n"/>
      <c r="I153">
        <f>IF(OR(C153="",N(F153)=0),"",F153+ROW()/10000000)</f>
        <v/>
      </c>
      <c r="J153">
        <f>IF(I153="","",COUNTIFS(Costs!$C$6:$C$505,C153,Costs!$I$6:$I$505,"&gt;"&amp;I153))</f>
        <v/>
      </c>
    </row>
    <row r="154">
      <c r="A154" s="1" t="n"/>
      <c r="B154" s="29" t="n"/>
      <c r="C154" s="24" t="n"/>
      <c r="D154" s="25" t="n"/>
      <c r="E154" s="25" t="n"/>
      <c r="F154" s="28" t="n"/>
      <c r="G154" s="34" t="n"/>
      <c r="H154" s="1" t="n"/>
      <c r="I154">
        <f>IF(OR(C154="",N(F154)=0),"",F154+ROW()/10000000)</f>
        <v/>
      </c>
      <c r="J154">
        <f>IF(I154="","",COUNTIFS(Costs!$C$6:$C$505,C154,Costs!$I$6:$I$505,"&gt;"&amp;I154))</f>
        <v/>
      </c>
    </row>
    <row r="155">
      <c r="A155" s="1" t="n"/>
      <c r="B155" s="29" t="n"/>
      <c r="C155" s="24" t="n"/>
      <c r="D155" s="25" t="n"/>
      <c r="E155" s="25" t="n"/>
      <c r="F155" s="28" t="n"/>
      <c r="G155" s="34" t="n"/>
      <c r="H155" s="1" t="n"/>
      <c r="I155">
        <f>IF(OR(C155="",N(F155)=0),"",F155+ROW()/10000000)</f>
        <v/>
      </c>
      <c r="J155">
        <f>IF(I155="","",COUNTIFS(Costs!$C$6:$C$505,C155,Costs!$I$6:$I$505,"&gt;"&amp;I155))</f>
        <v/>
      </c>
    </row>
    <row r="156">
      <c r="A156" s="1" t="n"/>
      <c r="B156" s="29" t="n"/>
      <c r="C156" s="24" t="n"/>
      <c r="D156" s="25" t="n"/>
      <c r="E156" s="25" t="n"/>
      <c r="F156" s="28" t="n"/>
      <c r="G156" s="34" t="n"/>
      <c r="H156" s="1" t="n"/>
      <c r="I156">
        <f>IF(OR(C156="",N(F156)=0),"",F156+ROW()/10000000)</f>
        <v/>
      </c>
      <c r="J156">
        <f>IF(I156="","",COUNTIFS(Costs!$C$6:$C$505,C156,Costs!$I$6:$I$505,"&gt;"&amp;I156))</f>
        <v/>
      </c>
    </row>
    <row r="157">
      <c r="A157" s="1" t="n"/>
      <c r="B157" s="29" t="n"/>
      <c r="C157" s="24" t="n"/>
      <c r="D157" s="25" t="n"/>
      <c r="E157" s="25" t="n"/>
      <c r="F157" s="28" t="n"/>
      <c r="G157" s="34" t="n"/>
      <c r="H157" s="1" t="n"/>
      <c r="I157">
        <f>IF(OR(C157="",N(F157)=0),"",F157+ROW()/10000000)</f>
        <v/>
      </c>
      <c r="J157">
        <f>IF(I157="","",COUNTIFS(Costs!$C$6:$C$505,C157,Costs!$I$6:$I$505,"&gt;"&amp;I157))</f>
        <v/>
      </c>
    </row>
    <row r="158">
      <c r="A158" s="1" t="n"/>
      <c r="B158" s="29" t="n"/>
      <c r="C158" s="24" t="n"/>
      <c r="D158" s="25" t="n"/>
      <c r="E158" s="25" t="n"/>
      <c r="F158" s="28" t="n"/>
      <c r="G158" s="34" t="n"/>
      <c r="H158" s="1" t="n"/>
      <c r="I158">
        <f>IF(OR(C158="",N(F158)=0),"",F158+ROW()/10000000)</f>
        <v/>
      </c>
      <c r="J158">
        <f>IF(I158="","",COUNTIFS(Costs!$C$6:$C$505,C158,Costs!$I$6:$I$505,"&gt;"&amp;I158))</f>
        <v/>
      </c>
    </row>
    <row r="159">
      <c r="A159" s="1" t="n"/>
      <c r="B159" s="29" t="n"/>
      <c r="C159" s="24" t="n"/>
      <c r="D159" s="25" t="n"/>
      <c r="E159" s="25" t="n"/>
      <c r="F159" s="28" t="n"/>
      <c r="G159" s="34" t="n"/>
      <c r="H159" s="1" t="n"/>
      <c r="I159">
        <f>IF(OR(C159="",N(F159)=0),"",F159+ROW()/10000000)</f>
        <v/>
      </c>
      <c r="J159">
        <f>IF(I159="","",COUNTIFS(Costs!$C$6:$C$505,C159,Costs!$I$6:$I$505,"&gt;"&amp;I159))</f>
        <v/>
      </c>
    </row>
    <row r="160">
      <c r="A160" s="1" t="n"/>
      <c r="B160" s="29" t="n"/>
      <c r="C160" s="24" t="n"/>
      <c r="D160" s="25" t="n"/>
      <c r="E160" s="25" t="n"/>
      <c r="F160" s="28" t="n"/>
      <c r="G160" s="34" t="n"/>
      <c r="H160" s="1" t="n"/>
      <c r="I160">
        <f>IF(OR(C160="",N(F160)=0),"",F160+ROW()/10000000)</f>
        <v/>
      </c>
      <c r="J160">
        <f>IF(I160="","",COUNTIFS(Costs!$C$6:$C$505,C160,Costs!$I$6:$I$505,"&gt;"&amp;I160))</f>
        <v/>
      </c>
    </row>
    <row r="161">
      <c r="A161" s="1" t="n"/>
      <c r="B161" s="29" t="n"/>
      <c r="C161" s="24" t="n"/>
      <c r="D161" s="25" t="n"/>
      <c r="E161" s="25" t="n"/>
      <c r="F161" s="28" t="n"/>
      <c r="G161" s="34" t="n"/>
      <c r="H161" s="1" t="n"/>
      <c r="I161">
        <f>IF(OR(C161="",N(F161)=0),"",F161+ROW()/10000000)</f>
        <v/>
      </c>
      <c r="J161">
        <f>IF(I161="","",COUNTIFS(Costs!$C$6:$C$505,C161,Costs!$I$6:$I$505,"&gt;"&amp;I161))</f>
        <v/>
      </c>
    </row>
    <row r="162">
      <c r="A162" s="1" t="n"/>
      <c r="B162" s="29" t="n"/>
      <c r="C162" s="24" t="n"/>
      <c r="D162" s="25" t="n"/>
      <c r="E162" s="25" t="n"/>
      <c r="F162" s="28" t="n"/>
      <c r="G162" s="34" t="n"/>
      <c r="H162" s="1" t="n"/>
      <c r="I162">
        <f>IF(OR(C162="",N(F162)=0),"",F162+ROW()/10000000)</f>
        <v/>
      </c>
      <c r="J162">
        <f>IF(I162="","",COUNTIFS(Costs!$C$6:$C$505,C162,Costs!$I$6:$I$505,"&gt;"&amp;I162))</f>
        <v/>
      </c>
    </row>
    <row r="163">
      <c r="A163" s="1" t="n"/>
      <c r="B163" s="29" t="n"/>
      <c r="C163" s="24" t="n"/>
      <c r="D163" s="25" t="n"/>
      <c r="E163" s="25" t="n"/>
      <c r="F163" s="28" t="n"/>
      <c r="G163" s="34" t="n"/>
      <c r="H163" s="1" t="n"/>
      <c r="I163">
        <f>IF(OR(C163="",N(F163)=0),"",F163+ROW()/10000000)</f>
        <v/>
      </c>
      <c r="J163">
        <f>IF(I163="","",COUNTIFS(Costs!$C$6:$C$505,C163,Costs!$I$6:$I$505,"&gt;"&amp;I163))</f>
        <v/>
      </c>
    </row>
    <row r="164">
      <c r="A164" s="1" t="n"/>
      <c r="B164" s="29" t="n"/>
      <c r="C164" s="24" t="n"/>
      <c r="D164" s="25" t="n"/>
      <c r="E164" s="25" t="n"/>
      <c r="F164" s="28" t="n"/>
      <c r="G164" s="34" t="n"/>
      <c r="H164" s="1" t="n"/>
      <c r="I164">
        <f>IF(OR(C164="",N(F164)=0),"",F164+ROW()/10000000)</f>
        <v/>
      </c>
      <c r="J164">
        <f>IF(I164="","",COUNTIFS(Costs!$C$6:$C$505,C164,Costs!$I$6:$I$505,"&gt;"&amp;I164))</f>
        <v/>
      </c>
    </row>
    <row r="165">
      <c r="A165" s="1" t="n"/>
      <c r="B165" s="29" t="n"/>
      <c r="C165" s="24" t="n"/>
      <c r="D165" s="25" t="n"/>
      <c r="E165" s="25" t="n"/>
      <c r="F165" s="28" t="n"/>
      <c r="G165" s="34" t="n"/>
      <c r="H165" s="1" t="n"/>
      <c r="I165">
        <f>IF(OR(C165="",N(F165)=0),"",F165+ROW()/10000000)</f>
        <v/>
      </c>
      <c r="J165">
        <f>IF(I165="","",COUNTIFS(Costs!$C$6:$C$505,C165,Costs!$I$6:$I$505,"&gt;"&amp;I165))</f>
        <v/>
      </c>
    </row>
    <row r="166">
      <c r="A166" s="1" t="n"/>
      <c r="B166" s="29" t="n"/>
      <c r="C166" s="24" t="n"/>
      <c r="D166" s="25" t="n"/>
      <c r="E166" s="25" t="n"/>
      <c r="F166" s="28" t="n"/>
      <c r="G166" s="34" t="n"/>
      <c r="H166" s="1" t="n"/>
      <c r="I166">
        <f>IF(OR(C166="",N(F166)=0),"",F166+ROW()/10000000)</f>
        <v/>
      </c>
      <c r="J166">
        <f>IF(I166="","",COUNTIFS(Costs!$C$6:$C$505,C166,Costs!$I$6:$I$505,"&gt;"&amp;I166))</f>
        <v/>
      </c>
    </row>
    <row r="167">
      <c r="A167" s="1" t="n"/>
      <c r="B167" s="29" t="n"/>
      <c r="C167" s="24" t="n"/>
      <c r="D167" s="25" t="n"/>
      <c r="E167" s="25" t="n"/>
      <c r="F167" s="28" t="n"/>
      <c r="G167" s="34" t="n"/>
      <c r="H167" s="1" t="n"/>
      <c r="I167">
        <f>IF(OR(C167="",N(F167)=0),"",F167+ROW()/10000000)</f>
        <v/>
      </c>
      <c r="J167">
        <f>IF(I167="","",COUNTIFS(Costs!$C$6:$C$505,C167,Costs!$I$6:$I$505,"&gt;"&amp;I167))</f>
        <v/>
      </c>
    </row>
    <row r="168">
      <c r="A168" s="1" t="n"/>
      <c r="B168" s="29" t="n"/>
      <c r="C168" s="24" t="n"/>
      <c r="D168" s="25" t="n"/>
      <c r="E168" s="25" t="n"/>
      <c r="F168" s="28" t="n"/>
      <c r="G168" s="34" t="n"/>
      <c r="H168" s="1" t="n"/>
      <c r="I168">
        <f>IF(OR(C168="",N(F168)=0),"",F168+ROW()/10000000)</f>
        <v/>
      </c>
      <c r="J168">
        <f>IF(I168="","",COUNTIFS(Costs!$C$6:$C$505,C168,Costs!$I$6:$I$505,"&gt;"&amp;I168))</f>
        <v/>
      </c>
    </row>
    <row r="169">
      <c r="A169" s="1" t="n"/>
      <c r="B169" s="29" t="n"/>
      <c r="C169" s="24" t="n"/>
      <c r="D169" s="25" t="n"/>
      <c r="E169" s="25" t="n"/>
      <c r="F169" s="28" t="n"/>
      <c r="G169" s="34" t="n"/>
      <c r="H169" s="1" t="n"/>
      <c r="I169">
        <f>IF(OR(C169="",N(F169)=0),"",F169+ROW()/10000000)</f>
        <v/>
      </c>
      <c r="J169">
        <f>IF(I169="","",COUNTIFS(Costs!$C$6:$C$505,C169,Costs!$I$6:$I$505,"&gt;"&amp;I169))</f>
        <v/>
      </c>
    </row>
    <row r="170">
      <c r="A170" s="1" t="n"/>
      <c r="B170" s="29" t="n"/>
      <c r="C170" s="24" t="n"/>
      <c r="D170" s="25" t="n"/>
      <c r="E170" s="25" t="n"/>
      <c r="F170" s="28" t="n"/>
      <c r="G170" s="34" t="n"/>
      <c r="H170" s="1" t="n"/>
      <c r="I170">
        <f>IF(OR(C170="",N(F170)=0),"",F170+ROW()/10000000)</f>
        <v/>
      </c>
      <c r="J170">
        <f>IF(I170="","",COUNTIFS(Costs!$C$6:$C$505,C170,Costs!$I$6:$I$505,"&gt;"&amp;I170))</f>
        <v/>
      </c>
    </row>
    <row r="171">
      <c r="A171" s="1" t="n"/>
      <c r="B171" s="29" t="n"/>
      <c r="C171" s="24" t="n"/>
      <c r="D171" s="25" t="n"/>
      <c r="E171" s="25" t="n"/>
      <c r="F171" s="28" t="n"/>
      <c r="G171" s="34" t="n"/>
      <c r="H171" s="1" t="n"/>
      <c r="I171">
        <f>IF(OR(C171="",N(F171)=0),"",F171+ROW()/10000000)</f>
        <v/>
      </c>
      <c r="J171">
        <f>IF(I171="","",COUNTIFS(Costs!$C$6:$C$505,C171,Costs!$I$6:$I$505,"&gt;"&amp;I171))</f>
        <v/>
      </c>
    </row>
    <row r="172">
      <c r="A172" s="1" t="n"/>
      <c r="B172" s="29" t="n"/>
      <c r="C172" s="24" t="n"/>
      <c r="D172" s="25" t="n"/>
      <c r="E172" s="25" t="n"/>
      <c r="F172" s="28" t="n"/>
      <c r="G172" s="34" t="n"/>
      <c r="H172" s="1" t="n"/>
      <c r="I172">
        <f>IF(OR(C172="",N(F172)=0),"",F172+ROW()/10000000)</f>
        <v/>
      </c>
      <c r="J172">
        <f>IF(I172="","",COUNTIFS(Costs!$C$6:$C$505,C172,Costs!$I$6:$I$505,"&gt;"&amp;I172))</f>
        <v/>
      </c>
    </row>
    <row r="173">
      <c r="A173" s="1" t="n"/>
      <c r="B173" s="29" t="n"/>
      <c r="C173" s="24" t="n"/>
      <c r="D173" s="25" t="n"/>
      <c r="E173" s="25" t="n"/>
      <c r="F173" s="28" t="n"/>
      <c r="G173" s="34" t="n"/>
      <c r="H173" s="1" t="n"/>
      <c r="I173">
        <f>IF(OR(C173="",N(F173)=0),"",F173+ROW()/10000000)</f>
        <v/>
      </c>
      <c r="J173">
        <f>IF(I173="","",COUNTIFS(Costs!$C$6:$C$505,C173,Costs!$I$6:$I$505,"&gt;"&amp;I173))</f>
        <v/>
      </c>
    </row>
    <row r="174">
      <c r="A174" s="1" t="n"/>
      <c r="B174" s="29" t="n"/>
      <c r="C174" s="24" t="n"/>
      <c r="D174" s="25" t="n"/>
      <c r="E174" s="25" t="n"/>
      <c r="F174" s="28" t="n"/>
      <c r="G174" s="34" t="n"/>
      <c r="H174" s="1" t="n"/>
      <c r="I174">
        <f>IF(OR(C174="",N(F174)=0),"",F174+ROW()/10000000)</f>
        <v/>
      </c>
      <c r="J174">
        <f>IF(I174="","",COUNTIFS(Costs!$C$6:$C$505,C174,Costs!$I$6:$I$505,"&gt;"&amp;I174))</f>
        <v/>
      </c>
    </row>
    <row r="175">
      <c r="A175" s="1" t="n"/>
      <c r="B175" s="29" t="n"/>
      <c r="C175" s="24" t="n"/>
      <c r="D175" s="25" t="n"/>
      <c r="E175" s="25" t="n"/>
      <c r="F175" s="28" t="n"/>
      <c r="G175" s="34" t="n"/>
      <c r="H175" s="1" t="n"/>
      <c r="I175">
        <f>IF(OR(C175="",N(F175)=0),"",F175+ROW()/10000000)</f>
        <v/>
      </c>
      <c r="J175">
        <f>IF(I175="","",COUNTIFS(Costs!$C$6:$C$505,C175,Costs!$I$6:$I$505,"&gt;"&amp;I175))</f>
        <v/>
      </c>
    </row>
    <row r="176">
      <c r="A176" s="1" t="n"/>
      <c r="B176" s="29" t="n"/>
      <c r="C176" s="24" t="n"/>
      <c r="D176" s="25" t="n"/>
      <c r="E176" s="25" t="n"/>
      <c r="F176" s="28" t="n"/>
      <c r="G176" s="34" t="n"/>
      <c r="H176" s="1" t="n"/>
      <c r="I176">
        <f>IF(OR(C176="",N(F176)=0),"",F176+ROW()/10000000)</f>
        <v/>
      </c>
      <c r="J176">
        <f>IF(I176="","",COUNTIFS(Costs!$C$6:$C$505,C176,Costs!$I$6:$I$505,"&gt;"&amp;I176))</f>
        <v/>
      </c>
    </row>
    <row r="177">
      <c r="A177" s="1" t="n"/>
      <c r="B177" s="29" t="n"/>
      <c r="C177" s="24" t="n"/>
      <c r="D177" s="25" t="n"/>
      <c r="E177" s="25" t="n"/>
      <c r="F177" s="28" t="n"/>
      <c r="G177" s="34" t="n"/>
      <c r="H177" s="1" t="n"/>
      <c r="I177">
        <f>IF(OR(C177="",N(F177)=0),"",F177+ROW()/10000000)</f>
        <v/>
      </c>
      <c r="J177">
        <f>IF(I177="","",COUNTIFS(Costs!$C$6:$C$505,C177,Costs!$I$6:$I$505,"&gt;"&amp;I177))</f>
        <v/>
      </c>
    </row>
    <row r="178">
      <c r="A178" s="1" t="n"/>
      <c r="B178" s="29" t="n"/>
      <c r="C178" s="24" t="n"/>
      <c r="D178" s="25" t="n"/>
      <c r="E178" s="25" t="n"/>
      <c r="F178" s="28" t="n"/>
      <c r="G178" s="34" t="n"/>
      <c r="H178" s="1" t="n"/>
      <c r="I178">
        <f>IF(OR(C178="",N(F178)=0),"",F178+ROW()/10000000)</f>
        <v/>
      </c>
      <c r="J178">
        <f>IF(I178="","",COUNTIFS(Costs!$C$6:$C$505,C178,Costs!$I$6:$I$505,"&gt;"&amp;I178))</f>
        <v/>
      </c>
    </row>
    <row r="179">
      <c r="A179" s="1" t="n"/>
      <c r="B179" s="29" t="n"/>
      <c r="C179" s="24" t="n"/>
      <c r="D179" s="25" t="n"/>
      <c r="E179" s="25" t="n"/>
      <c r="F179" s="28" t="n"/>
      <c r="G179" s="34" t="n"/>
      <c r="H179" s="1" t="n"/>
      <c r="I179">
        <f>IF(OR(C179="",N(F179)=0),"",F179+ROW()/10000000)</f>
        <v/>
      </c>
      <c r="J179">
        <f>IF(I179="","",COUNTIFS(Costs!$C$6:$C$505,C179,Costs!$I$6:$I$505,"&gt;"&amp;I179))</f>
        <v/>
      </c>
    </row>
    <row r="180">
      <c r="A180" s="1" t="n"/>
      <c r="B180" s="29" t="n"/>
      <c r="C180" s="24" t="n"/>
      <c r="D180" s="25" t="n"/>
      <c r="E180" s="25" t="n"/>
      <c r="F180" s="28" t="n"/>
      <c r="G180" s="34" t="n"/>
      <c r="H180" s="1" t="n"/>
      <c r="I180">
        <f>IF(OR(C180="",N(F180)=0),"",F180+ROW()/10000000)</f>
        <v/>
      </c>
      <c r="J180">
        <f>IF(I180="","",COUNTIFS(Costs!$C$6:$C$505,C180,Costs!$I$6:$I$505,"&gt;"&amp;I180))</f>
        <v/>
      </c>
    </row>
    <row r="181">
      <c r="A181" s="1" t="n"/>
      <c r="B181" s="29" t="n"/>
      <c r="C181" s="24" t="n"/>
      <c r="D181" s="25" t="n"/>
      <c r="E181" s="25" t="n"/>
      <c r="F181" s="28" t="n"/>
      <c r="G181" s="34" t="n"/>
      <c r="H181" s="1" t="n"/>
      <c r="I181">
        <f>IF(OR(C181="",N(F181)=0),"",F181+ROW()/10000000)</f>
        <v/>
      </c>
      <c r="J181">
        <f>IF(I181="","",COUNTIFS(Costs!$C$6:$C$505,C181,Costs!$I$6:$I$505,"&gt;"&amp;I181))</f>
        <v/>
      </c>
    </row>
    <row r="182">
      <c r="A182" s="1" t="n"/>
      <c r="B182" s="29" t="n"/>
      <c r="C182" s="24" t="n"/>
      <c r="D182" s="25" t="n"/>
      <c r="E182" s="25" t="n"/>
      <c r="F182" s="28" t="n"/>
      <c r="G182" s="34" t="n"/>
      <c r="H182" s="1" t="n"/>
      <c r="I182">
        <f>IF(OR(C182="",N(F182)=0),"",F182+ROW()/10000000)</f>
        <v/>
      </c>
      <c r="J182">
        <f>IF(I182="","",COUNTIFS(Costs!$C$6:$C$505,C182,Costs!$I$6:$I$505,"&gt;"&amp;I182))</f>
        <v/>
      </c>
    </row>
    <row r="183">
      <c r="A183" s="1" t="n"/>
      <c r="B183" s="29" t="n"/>
      <c r="C183" s="24" t="n"/>
      <c r="D183" s="25" t="n"/>
      <c r="E183" s="25" t="n"/>
      <c r="F183" s="28" t="n"/>
      <c r="G183" s="34" t="n"/>
      <c r="H183" s="1" t="n"/>
      <c r="I183">
        <f>IF(OR(C183="",N(F183)=0),"",F183+ROW()/10000000)</f>
        <v/>
      </c>
      <c r="J183">
        <f>IF(I183="","",COUNTIFS(Costs!$C$6:$C$505,C183,Costs!$I$6:$I$505,"&gt;"&amp;I183))</f>
        <v/>
      </c>
    </row>
    <row r="184">
      <c r="A184" s="1" t="n"/>
      <c r="B184" s="29" t="n"/>
      <c r="C184" s="24" t="n"/>
      <c r="D184" s="25" t="n"/>
      <c r="E184" s="25" t="n"/>
      <c r="F184" s="28" t="n"/>
      <c r="G184" s="34" t="n"/>
      <c r="H184" s="1" t="n"/>
      <c r="I184">
        <f>IF(OR(C184="",N(F184)=0),"",F184+ROW()/10000000)</f>
        <v/>
      </c>
      <c r="J184">
        <f>IF(I184="","",COUNTIFS(Costs!$C$6:$C$505,C184,Costs!$I$6:$I$505,"&gt;"&amp;I184))</f>
        <v/>
      </c>
    </row>
    <row r="185">
      <c r="A185" s="1" t="n"/>
      <c r="B185" s="29" t="n"/>
      <c r="C185" s="24" t="n"/>
      <c r="D185" s="25" t="n"/>
      <c r="E185" s="25" t="n"/>
      <c r="F185" s="28" t="n"/>
      <c r="G185" s="34" t="n"/>
      <c r="H185" s="1" t="n"/>
      <c r="I185">
        <f>IF(OR(C185="",N(F185)=0),"",F185+ROW()/10000000)</f>
        <v/>
      </c>
      <c r="J185">
        <f>IF(I185="","",COUNTIFS(Costs!$C$6:$C$505,C185,Costs!$I$6:$I$505,"&gt;"&amp;I185))</f>
        <v/>
      </c>
    </row>
    <row r="186">
      <c r="A186" s="1" t="n"/>
      <c r="B186" s="29" t="n"/>
      <c r="C186" s="24" t="n"/>
      <c r="D186" s="25" t="n"/>
      <c r="E186" s="25" t="n"/>
      <c r="F186" s="28" t="n"/>
      <c r="G186" s="34" t="n"/>
      <c r="H186" s="1" t="n"/>
      <c r="I186">
        <f>IF(OR(C186="",N(F186)=0),"",F186+ROW()/10000000)</f>
        <v/>
      </c>
      <c r="J186">
        <f>IF(I186="","",COUNTIFS(Costs!$C$6:$C$505,C186,Costs!$I$6:$I$505,"&gt;"&amp;I186))</f>
        <v/>
      </c>
    </row>
    <row r="187">
      <c r="A187" s="1" t="n"/>
      <c r="B187" s="29" t="n"/>
      <c r="C187" s="24" t="n"/>
      <c r="D187" s="25" t="n"/>
      <c r="E187" s="25" t="n"/>
      <c r="F187" s="28" t="n"/>
      <c r="G187" s="34" t="n"/>
      <c r="H187" s="1" t="n"/>
      <c r="I187">
        <f>IF(OR(C187="",N(F187)=0),"",F187+ROW()/10000000)</f>
        <v/>
      </c>
      <c r="J187">
        <f>IF(I187="","",COUNTIFS(Costs!$C$6:$C$505,C187,Costs!$I$6:$I$505,"&gt;"&amp;I187))</f>
        <v/>
      </c>
    </row>
    <row r="188">
      <c r="A188" s="1" t="n"/>
      <c r="B188" s="29" t="n"/>
      <c r="C188" s="24" t="n"/>
      <c r="D188" s="25" t="n"/>
      <c r="E188" s="25" t="n"/>
      <c r="F188" s="28" t="n"/>
      <c r="G188" s="34" t="n"/>
      <c r="H188" s="1" t="n"/>
      <c r="I188">
        <f>IF(OR(C188="",N(F188)=0),"",F188+ROW()/10000000)</f>
        <v/>
      </c>
      <c r="J188">
        <f>IF(I188="","",COUNTIFS(Costs!$C$6:$C$505,C188,Costs!$I$6:$I$505,"&gt;"&amp;I188))</f>
        <v/>
      </c>
    </row>
    <row r="189">
      <c r="A189" s="1" t="n"/>
      <c r="B189" s="29" t="n"/>
      <c r="C189" s="24" t="n"/>
      <c r="D189" s="25" t="n"/>
      <c r="E189" s="25" t="n"/>
      <c r="F189" s="28" t="n"/>
      <c r="G189" s="34" t="n"/>
      <c r="H189" s="1" t="n"/>
      <c r="I189">
        <f>IF(OR(C189="",N(F189)=0),"",F189+ROW()/10000000)</f>
        <v/>
      </c>
      <c r="J189">
        <f>IF(I189="","",COUNTIFS(Costs!$C$6:$C$505,C189,Costs!$I$6:$I$505,"&gt;"&amp;I189))</f>
        <v/>
      </c>
    </row>
    <row r="190">
      <c r="A190" s="1" t="n"/>
      <c r="B190" s="29" t="n"/>
      <c r="C190" s="24" t="n"/>
      <c r="D190" s="25" t="n"/>
      <c r="E190" s="25" t="n"/>
      <c r="F190" s="28" t="n"/>
      <c r="G190" s="34" t="n"/>
      <c r="H190" s="1" t="n"/>
      <c r="I190">
        <f>IF(OR(C190="",N(F190)=0),"",F190+ROW()/10000000)</f>
        <v/>
      </c>
      <c r="J190">
        <f>IF(I190="","",COUNTIFS(Costs!$C$6:$C$505,C190,Costs!$I$6:$I$505,"&gt;"&amp;I190))</f>
        <v/>
      </c>
    </row>
    <row r="191">
      <c r="A191" s="1" t="n"/>
      <c r="B191" s="29" t="n"/>
      <c r="C191" s="24" t="n"/>
      <c r="D191" s="25" t="n"/>
      <c r="E191" s="25" t="n"/>
      <c r="F191" s="28" t="n"/>
      <c r="G191" s="34" t="n"/>
      <c r="H191" s="1" t="n"/>
      <c r="I191">
        <f>IF(OR(C191="",N(F191)=0),"",F191+ROW()/10000000)</f>
        <v/>
      </c>
      <c r="J191">
        <f>IF(I191="","",COUNTIFS(Costs!$C$6:$C$505,C191,Costs!$I$6:$I$505,"&gt;"&amp;I191))</f>
        <v/>
      </c>
    </row>
    <row r="192">
      <c r="A192" s="1" t="n"/>
      <c r="B192" s="29" t="n"/>
      <c r="C192" s="24" t="n"/>
      <c r="D192" s="25" t="n"/>
      <c r="E192" s="25" t="n"/>
      <c r="F192" s="28" t="n"/>
      <c r="G192" s="34" t="n"/>
      <c r="H192" s="1" t="n"/>
      <c r="I192">
        <f>IF(OR(C192="",N(F192)=0),"",F192+ROW()/10000000)</f>
        <v/>
      </c>
      <c r="J192">
        <f>IF(I192="","",COUNTIFS(Costs!$C$6:$C$505,C192,Costs!$I$6:$I$505,"&gt;"&amp;I192))</f>
        <v/>
      </c>
    </row>
    <row r="193">
      <c r="A193" s="1" t="n"/>
      <c r="B193" s="29" t="n"/>
      <c r="C193" s="24" t="n"/>
      <c r="D193" s="25" t="n"/>
      <c r="E193" s="25" t="n"/>
      <c r="F193" s="28" t="n"/>
      <c r="G193" s="34" t="n"/>
      <c r="H193" s="1" t="n"/>
      <c r="I193">
        <f>IF(OR(C193="",N(F193)=0),"",F193+ROW()/10000000)</f>
        <v/>
      </c>
      <c r="J193">
        <f>IF(I193="","",COUNTIFS(Costs!$C$6:$C$505,C193,Costs!$I$6:$I$505,"&gt;"&amp;I193))</f>
        <v/>
      </c>
    </row>
    <row r="194">
      <c r="A194" s="1" t="n"/>
      <c r="B194" s="29" t="n"/>
      <c r="C194" s="24" t="n"/>
      <c r="D194" s="25" t="n"/>
      <c r="E194" s="25" t="n"/>
      <c r="F194" s="28" t="n"/>
      <c r="G194" s="34" t="n"/>
      <c r="H194" s="1" t="n"/>
      <c r="I194">
        <f>IF(OR(C194="",N(F194)=0),"",F194+ROW()/10000000)</f>
        <v/>
      </c>
      <c r="J194">
        <f>IF(I194="","",COUNTIFS(Costs!$C$6:$C$505,C194,Costs!$I$6:$I$505,"&gt;"&amp;I194))</f>
        <v/>
      </c>
    </row>
    <row r="195">
      <c r="A195" s="1" t="n"/>
      <c r="B195" s="29" t="n"/>
      <c r="C195" s="24" t="n"/>
      <c r="D195" s="25" t="n"/>
      <c r="E195" s="25" t="n"/>
      <c r="F195" s="28" t="n"/>
      <c r="G195" s="34" t="n"/>
      <c r="H195" s="1" t="n"/>
      <c r="I195">
        <f>IF(OR(C195="",N(F195)=0),"",F195+ROW()/10000000)</f>
        <v/>
      </c>
      <c r="J195">
        <f>IF(I195="","",COUNTIFS(Costs!$C$6:$C$505,C195,Costs!$I$6:$I$505,"&gt;"&amp;I195))</f>
        <v/>
      </c>
    </row>
    <row r="196">
      <c r="A196" s="1" t="n"/>
      <c r="B196" s="29" t="n"/>
      <c r="C196" s="24" t="n"/>
      <c r="D196" s="25" t="n"/>
      <c r="E196" s="25" t="n"/>
      <c r="F196" s="28" t="n"/>
      <c r="G196" s="34" t="n"/>
      <c r="H196" s="1" t="n"/>
      <c r="I196">
        <f>IF(OR(C196="",N(F196)=0),"",F196+ROW()/10000000)</f>
        <v/>
      </c>
      <c r="J196">
        <f>IF(I196="","",COUNTIFS(Costs!$C$6:$C$505,C196,Costs!$I$6:$I$505,"&gt;"&amp;I196))</f>
        <v/>
      </c>
    </row>
    <row r="197">
      <c r="A197" s="1" t="n"/>
      <c r="B197" s="29" t="n"/>
      <c r="C197" s="24" t="n"/>
      <c r="D197" s="25" t="n"/>
      <c r="E197" s="25" t="n"/>
      <c r="F197" s="28" t="n"/>
      <c r="G197" s="34" t="n"/>
      <c r="H197" s="1" t="n"/>
      <c r="I197">
        <f>IF(OR(C197="",N(F197)=0),"",F197+ROW()/10000000)</f>
        <v/>
      </c>
      <c r="J197">
        <f>IF(I197="","",COUNTIFS(Costs!$C$6:$C$505,C197,Costs!$I$6:$I$505,"&gt;"&amp;I197))</f>
        <v/>
      </c>
    </row>
    <row r="198">
      <c r="A198" s="1" t="n"/>
      <c r="B198" s="29" t="n"/>
      <c r="C198" s="24" t="n"/>
      <c r="D198" s="25" t="n"/>
      <c r="E198" s="25" t="n"/>
      <c r="F198" s="28" t="n"/>
      <c r="G198" s="34" t="n"/>
      <c r="H198" s="1" t="n"/>
      <c r="I198">
        <f>IF(OR(C198="",N(F198)=0),"",F198+ROW()/10000000)</f>
        <v/>
      </c>
      <c r="J198">
        <f>IF(I198="","",COUNTIFS(Costs!$C$6:$C$505,C198,Costs!$I$6:$I$505,"&gt;"&amp;I198))</f>
        <v/>
      </c>
    </row>
    <row r="199">
      <c r="A199" s="1" t="n"/>
      <c r="B199" s="29" t="n"/>
      <c r="C199" s="24" t="n"/>
      <c r="D199" s="25" t="n"/>
      <c r="E199" s="25" t="n"/>
      <c r="F199" s="28" t="n"/>
      <c r="G199" s="34" t="n"/>
      <c r="H199" s="1" t="n"/>
      <c r="I199">
        <f>IF(OR(C199="",N(F199)=0),"",F199+ROW()/10000000)</f>
        <v/>
      </c>
      <c r="J199">
        <f>IF(I199="","",COUNTIFS(Costs!$C$6:$C$505,C199,Costs!$I$6:$I$505,"&gt;"&amp;I199))</f>
        <v/>
      </c>
    </row>
    <row r="200">
      <c r="A200" s="1" t="n"/>
      <c r="B200" s="29" t="n"/>
      <c r="C200" s="24" t="n"/>
      <c r="D200" s="25" t="n"/>
      <c r="E200" s="25" t="n"/>
      <c r="F200" s="28" t="n"/>
      <c r="G200" s="34" t="n"/>
      <c r="H200" s="1" t="n"/>
      <c r="I200">
        <f>IF(OR(C200="",N(F200)=0),"",F200+ROW()/10000000)</f>
        <v/>
      </c>
      <c r="J200">
        <f>IF(I200="","",COUNTIFS(Costs!$C$6:$C$505,C200,Costs!$I$6:$I$505,"&gt;"&amp;I200))</f>
        <v/>
      </c>
    </row>
    <row r="201">
      <c r="A201" s="1" t="n"/>
      <c r="B201" s="29" t="n"/>
      <c r="C201" s="24" t="n"/>
      <c r="D201" s="25" t="n"/>
      <c r="E201" s="25" t="n"/>
      <c r="F201" s="28" t="n"/>
      <c r="G201" s="34" t="n"/>
      <c r="H201" s="1" t="n"/>
      <c r="I201">
        <f>IF(OR(C201="",N(F201)=0),"",F201+ROW()/10000000)</f>
        <v/>
      </c>
      <c r="J201">
        <f>IF(I201="","",COUNTIFS(Costs!$C$6:$C$505,C201,Costs!$I$6:$I$505,"&gt;"&amp;I201))</f>
        <v/>
      </c>
    </row>
    <row r="202">
      <c r="A202" s="1" t="n"/>
      <c r="B202" s="29" t="n"/>
      <c r="C202" s="24" t="n"/>
      <c r="D202" s="25" t="n"/>
      <c r="E202" s="25" t="n"/>
      <c r="F202" s="28" t="n"/>
      <c r="G202" s="34" t="n"/>
      <c r="H202" s="1" t="n"/>
      <c r="I202">
        <f>IF(OR(C202="",N(F202)=0),"",F202+ROW()/10000000)</f>
        <v/>
      </c>
      <c r="J202">
        <f>IF(I202="","",COUNTIFS(Costs!$C$6:$C$505,C202,Costs!$I$6:$I$505,"&gt;"&amp;I202))</f>
        <v/>
      </c>
    </row>
    <row r="203">
      <c r="A203" s="1" t="n"/>
      <c r="B203" s="29" t="n"/>
      <c r="C203" s="24" t="n"/>
      <c r="D203" s="25" t="n"/>
      <c r="E203" s="25" t="n"/>
      <c r="F203" s="28" t="n"/>
      <c r="G203" s="34" t="n"/>
      <c r="H203" s="1" t="n"/>
      <c r="I203">
        <f>IF(OR(C203="",N(F203)=0),"",F203+ROW()/10000000)</f>
        <v/>
      </c>
      <c r="J203">
        <f>IF(I203="","",COUNTIFS(Costs!$C$6:$C$505,C203,Costs!$I$6:$I$505,"&gt;"&amp;I203))</f>
        <v/>
      </c>
    </row>
    <row r="204">
      <c r="A204" s="1" t="n"/>
      <c r="B204" s="29" t="n"/>
      <c r="C204" s="24" t="n"/>
      <c r="D204" s="25" t="n"/>
      <c r="E204" s="25" t="n"/>
      <c r="F204" s="28" t="n"/>
      <c r="G204" s="34" t="n"/>
      <c r="H204" s="1" t="n"/>
      <c r="I204">
        <f>IF(OR(C204="",N(F204)=0),"",F204+ROW()/10000000)</f>
        <v/>
      </c>
      <c r="J204">
        <f>IF(I204="","",COUNTIFS(Costs!$C$6:$C$505,C204,Costs!$I$6:$I$505,"&gt;"&amp;I204))</f>
        <v/>
      </c>
    </row>
    <row r="205">
      <c r="A205" s="1" t="n"/>
      <c r="B205" s="29" t="n"/>
      <c r="C205" s="24" t="n"/>
      <c r="D205" s="25" t="n"/>
      <c r="E205" s="25" t="n"/>
      <c r="F205" s="28" t="n"/>
      <c r="G205" s="34" t="n"/>
      <c r="H205" s="1" t="n"/>
      <c r="I205">
        <f>IF(OR(C205="",N(F205)=0),"",F205+ROW()/10000000)</f>
        <v/>
      </c>
      <c r="J205">
        <f>IF(I205="","",COUNTIFS(Costs!$C$6:$C$505,C205,Costs!$I$6:$I$505,"&gt;"&amp;I205))</f>
        <v/>
      </c>
    </row>
    <row r="206">
      <c r="A206" s="1" t="n"/>
      <c r="B206" s="29" t="n"/>
      <c r="C206" s="24" t="n"/>
      <c r="D206" s="25" t="n"/>
      <c r="E206" s="25" t="n"/>
      <c r="F206" s="28" t="n"/>
      <c r="G206" s="34" t="n"/>
      <c r="H206" s="1" t="n"/>
      <c r="I206">
        <f>IF(OR(C206="",N(F206)=0),"",F206+ROW()/10000000)</f>
        <v/>
      </c>
      <c r="J206">
        <f>IF(I206="","",COUNTIFS(Costs!$C$6:$C$505,C206,Costs!$I$6:$I$505,"&gt;"&amp;I206))</f>
        <v/>
      </c>
    </row>
    <row r="207">
      <c r="A207" s="1" t="n"/>
      <c r="B207" s="29" t="n"/>
      <c r="C207" s="24" t="n"/>
      <c r="D207" s="25" t="n"/>
      <c r="E207" s="25" t="n"/>
      <c r="F207" s="28" t="n"/>
      <c r="G207" s="34" t="n"/>
      <c r="H207" s="1" t="n"/>
      <c r="I207">
        <f>IF(OR(C207="",N(F207)=0),"",F207+ROW()/10000000)</f>
        <v/>
      </c>
      <c r="J207">
        <f>IF(I207="","",COUNTIFS(Costs!$C$6:$C$505,C207,Costs!$I$6:$I$505,"&gt;"&amp;I207))</f>
        <v/>
      </c>
    </row>
    <row r="208">
      <c r="A208" s="1" t="n"/>
      <c r="B208" s="29" t="n"/>
      <c r="C208" s="24" t="n"/>
      <c r="D208" s="25" t="n"/>
      <c r="E208" s="25" t="n"/>
      <c r="F208" s="28" t="n"/>
      <c r="G208" s="34" t="n"/>
      <c r="H208" s="1" t="n"/>
      <c r="I208">
        <f>IF(OR(C208="",N(F208)=0),"",F208+ROW()/10000000)</f>
        <v/>
      </c>
      <c r="J208">
        <f>IF(I208="","",COUNTIFS(Costs!$C$6:$C$505,C208,Costs!$I$6:$I$505,"&gt;"&amp;I208))</f>
        <v/>
      </c>
    </row>
    <row r="209">
      <c r="A209" s="1" t="n"/>
      <c r="B209" s="29" t="n"/>
      <c r="C209" s="24" t="n"/>
      <c r="D209" s="25" t="n"/>
      <c r="E209" s="25" t="n"/>
      <c r="F209" s="28" t="n"/>
      <c r="G209" s="34" t="n"/>
      <c r="H209" s="1" t="n"/>
      <c r="I209">
        <f>IF(OR(C209="",N(F209)=0),"",F209+ROW()/10000000)</f>
        <v/>
      </c>
      <c r="J209">
        <f>IF(I209="","",COUNTIFS(Costs!$C$6:$C$505,C209,Costs!$I$6:$I$505,"&gt;"&amp;I209))</f>
        <v/>
      </c>
    </row>
    <row r="210">
      <c r="A210" s="1" t="n"/>
      <c r="B210" s="29" t="n"/>
      <c r="C210" s="24" t="n"/>
      <c r="D210" s="25" t="n"/>
      <c r="E210" s="25" t="n"/>
      <c r="F210" s="28" t="n"/>
      <c r="G210" s="34" t="n"/>
      <c r="H210" s="1" t="n"/>
      <c r="I210">
        <f>IF(OR(C210="",N(F210)=0),"",F210+ROW()/10000000)</f>
        <v/>
      </c>
      <c r="J210">
        <f>IF(I210="","",COUNTIFS(Costs!$C$6:$C$505,C210,Costs!$I$6:$I$505,"&gt;"&amp;I210))</f>
        <v/>
      </c>
    </row>
    <row r="211">
      <c r="A211" s="1" t="n"/>
      <c r="B211" s="29" t="n"/>
      <c r="C211" s="24" t="n"/>
      <c r="D211" s="25" t="n"/>
      <c r="E211" s="25" t="n"/>
      <c r="F211" s="28" t="n"/>
      <c r="G211" s="34" t="n"/>
      <c r="H211" s="1" t="n"/>
      <c r="I211">
        <f>IF(OR(C211="",N(F211)=0),"",F211+ROW()/10000000)</f>
        <v/>
      </c>
      <c r="J211">
        <f>IF(I211="","",COUNTIFS(Costs!$C$6:$C$505,C211,Costs!$I$6:$I$505,"&gt;"&amp;I211))</f>
        <v/>
      </c>
    </row>
    <row r="212">
      <c r="A212" s="1" t="n"/>
      <c r="B212" s="29" t="n"/>
      <c r="C212" s="24" t="n"/>
      <c r="D212" s="25" t="n"/>
      <c r="E212" s="25" t="n"/>
      <c r="F212" s="28" t="n"/>
      <c r="G212" s="34" t="n"/>
      <c r="H212" s="1" t="n"/>
      <c r="I212">
        <f>IF(OR(C212="",N(F212)=0),"",F212+ROW()/10000000)</f>
        <v/>
      </c>
      <c r="J212">
        <f>IF(I212="","",COUNTIFS(Costs!$C$6:$C$505,C212,Costs!$I$6:$I$505,"&gt;"&amp;I212))</f>
        <v/>
      </c>
    </row>
    <row r="213">
      <c r="A213" s="1" t="n"/>
      <c r="B213" s="29" t="n"/>
      <c r="C213" s="24" t="n"/>
      <c r="D213" s="25" t="n"/>
      <c r="E213" s="25" t="n"/>
      <c r="F213" s="28" t="n"/>
      <c r="G213" s="34" t="n"/>
      <c r="H213" s="1" t="n"/>
      <c r="I213">
        <f>IF(OR(C213="",N(F213)=0),"",F213+ROW()/10000000)</f>
        <v/>
      </c>
      <c r="J213">
        <f>IF(I213="","",COUNTIFS(Costs!$C$6:$C$505,C213,Costs!$I$6:$I$505,"&gt;"&amp;I213))</f>
        <v/>
      </c>
    </row>
    <row r="214">
      <c r="A214" s="1" t="n"/>
      <c r="B214" s="29" t="n"/>
      <c r="C214" s="24" t="n"/>
      <c r="D214" s="25" t="n"/>
      <c r="E214" s="25" t="n"/>
      <c r="F214" s="28" t="n"/>
      <c r="G214" s="34" t="n"/>
      <c r="H214" s="1" t="n"/>
      <c r="I214">
        <f>IF(OR(C214="",N(F214)=0),"",F214+ROW()/10000000)</f>
        <v/>
      </c>
      <c r="J214">
        <f>IF(I214="","",COUNTIFS(Costs!$C$6:$C$505,C214,Costs!$I$6:$I$505,"&gt;"&amp;I214))</f>
        <v/>
      </c>
    </row>
    <row r="215">
      <c r="A215" s="1" t="n"/>
      <c r="B215" s="29" t="n"/>
      <c r="C215" s="24" t="n"/>
      <c r="D215" s="25" t="n"/>
      <c r="E215" s="25" t="n"/>
      <c r="F215" s="28" t="n"/>
      <c r="G215" s="34" t="n"/>
      <c r="H215" s="1" t="n"/>
      <c r="I215">
        <f>IF(OR(C215="",N(F215)=0),"",F215+ROW()/10000000)</f>
        <v/>
      </c>
      <c r="J215">
        <f>IF(I215="","",COUNTIFS(Costs!$C$6:$C$505,C215,Costs!$I$6:$I$505,"&gt;"&amp;I215))</f>
        <v/>
      </c>
    </row>
    <row r="216">
      <c r="A216" s="1" t="n"/>
      <c r="B216" s="29" t="n"/>
      <c r="C216" s="24" t="n"/>
      <c r="D216" s="25" t="n"/>
      <c r="E216" s="25" t="n"/>
      <c r="F216" s="28" t="n"/>
      <c r="G216" s="34" t="n"/>
      <c r="H216" s="1" t="n"/>
      <c r="I216">
        <f>IF(OR(C216="",N(F216)=0),"",F216+ROW()/10000000)</f>
        <v/>
      </c>
      <c r="J216">
        <f>IF(I216="","",COUNTIFS(Costs!$C$6:$C$505,C216,Costs!$I$6:$I$505,"&gt;"&amp;I216))</f>
        <v/>
      </c>
    </row>
    <row r="217">
      <c r="A217" s="1" t="n"/>
      <c r="B217" s="29" t="n"/>
      <c r="C217" s="24" t="n"/>
      <c r="D217" s="25" t="n"/>
      <c r="E217" s="25" t="n"/>
      <c r="F217" s="28" t="n"/>
      <c r="G217" s="34" t="n"/>
      <c r="H217" s="1" t="n"/>
      <c r="I217">
        <f>IF(OR(C217="",N(F217)=0),"",F217+ROW()/10000000)</f>
        <v/>
      </c>
      <c r="J217">
        <f>IF(I217="","",COUNTIFS(Costs!$C$6:$C$505,C217,Costs!$I$6:$I$505,"&gt;"&amp;I217))</f>
        <v/>
      </c>
    </row>
    <row r="218">
      <c r="A218" s="1" t="n"/>
      <c r="B218" s="29" t="n"/>
      <c r="C218" s="24" t="n"/>
      <c r="D218" s="25" t="n"/>
      <c r="E218" s="25" t="n"/>
      <c r="F218" s="28" t="n"/>
      <c r="G218" s="34" t="n"/>
      <c r="H218" s="1" t="n"/>
      <c r="I218">
        <f>IF(OR(C218="",N(F218)=0),"",F218+ROW()/10000000)</f>
        <v/>
      </c>
      <c r="J218">
        <f>IF(I218="","",COUNTIFS(Costs!$C$6:$C$505,C218,Costs!$I$6:$I$505,"&gt;"&amp;I218))</f>
        <v/>
      </c>
    </row>
    <row r="219">
      <c r="A219" s="1" t="n"/>
      <c r="B219" s="29" t="n"/>
      <c r="C219" s="24" t="n"/>
      <c r="D219" s="25" t="n"/>
      <c r="E219" s="25" t="n"/>
      <c r="F219" s="28" t="n"/>
      <c r="G219" s="34" t="n"/>
      <c r="H219" s="1" t="n"/>
      <c r="I219">
        <f>IF(OR(C219="",N(F219)=0),"",F219+ROW()/10000000)</f>
        <v/>
      </c>
      <c r="J219">
        <f>IF(I219="","",COUNTIFS(Costs!$C$6:$C$505,C219,Costs!$I$6:$I$505,"&gt;"&amp;I219))</f>
        <v/>
      </c>
    </row>
    <row r="220">
      <c r="A220" s="1" t="n"/>
      <c r="B220" s="29" t="n"/>
      <c r="C220" s="24" t="n"/>
      <c r="D220" s="25" t="n"/>
      <c r="E220" s="25" t="n"/>
      <c r="F220" s="28" t="n"/>
      <c r="G220" s="34" t="n"/>
      <c r="H220" s="1" t="n"/>
      <c r="I220">
        <f>IF(OR(C220="",N(F220)=0),"",F220+ROW()/10000000)</f>
        <v/>
      </c>
      <c r="J220">
        <f>IF(I220="","",COUNTIFS(Costs!$C$6:$C$505,C220,Costs!$I$6:$I$505,"&gt;"&amp;I220))</f>
        <v/>
      </c>
    </row>
    <row r="221">
      <c r="A221" s="1" t="n"/>
      <c r="B221" s="29" t="n"/>
      <c r="C221" s="24" t="n"/>
      <c r="D221" s="25" t="n"/>
      <c r="E221" s="25" t="n"/>
      <c r="F221" s="28" t="n"/>
      <c r="G221" s="34" t="n"/>
      <c r="H221" s="1" t="n"/>
      <c r="I221">
        <f>IF(OR(C221="",N(F221)=0),"",F221+ROW()/10000000)</f>
        <v/>
      </c>
      <c r="J221">
        <f>IF(I221="","",COUNTIFS(Costs!$C$6:$C$505,C221,Costs!$I$6:$I$505,"&gt;"&amp;I221))</f>
        <v/>
      </c>
    </row>
    <row r="222">
      <c r="A222" s="1" t="n"/>
      <c r="B222" s="29" t="n"/>
      <c r="C222" s="24" t="n"/>
      <c r="D222" s="25" t="n"/>
      <c r="E222" s="25" t="n"/>
      <c r="F222" s="28" t="n"/>
      <c r="G222" s="34" t="n"/>
      <c r="H222" s="1" t="n"/>
      <c r="I222">
        <f>IF(OR(C222="",N(F222)=0),"",F222+ROW()/10000000)</f>
        <v/>
      </c>
      <c r="J222">
        <f>IF(I222="","",COUNTIFS(Costs!$C$6:$C$505,C222,Costs!$I$6:$I$505,"&gt;"&amp;I222))</f>
        <v/>
      </c>
    </row>
    <row r="223">
      <c r="A223" s="1" t="n"/>
      <c r="B223" s="29" t="n"/>
      <c r="C223" s="24" t="n"/>
      <c r="D223" s="25" t="n"/>
      <c r="E223" s="25" t="n"/>
      <c r="F223" s="28" t="n"/>
      <c r="G223" s="34" t="n"/>
      <c r="H223" s="1" t="n"/>
      <c r="I223">
        <f>IF(OR(C223="",N(F223)=0),"",F223+ROW()/10000000)</f>
        <v/>
      </c>
      <c r="J223">
        <f>IF(I223="","",COUNTIFS(Costs!$C$6:$C$505,C223,Costs!$I$6:$I$505,"&gt;"&amp;I223))</f>
        <v/>
      </c>
    </row>
    <row r="224">
      <c r="A224" s="1" t="n"/>
      <c r="B224" s="29" t="n"/>
      <c r="C224" s="24" t="n"/>
      <c r="D224" s="25" t="n"/>
      <c r="E224" s="25" t="n"/>
      <c r="F224" s="28" t="n"/>
      <c r="G224" s="34" t="n"/>
      <c r="H224" s="1" t="n"/>
      <c r="I224">
        <f>IF(OR(C224="",N(F224)=0),"",F224+ROW()/10000000)</f>
        <v/>
      </c>
      <c r="J224">
        <f>IF(I224="","",COUNTIFS(Costs!$C$6:$C$505,C224,Costs!$I$6:$I$505,"&gt;"&amp;I224))</f>
        <v/>
      </c>
    </row>
    <row r="225">
      <c r="A225" s="1" t="n"/>
      <c r="B225" s="29" t="n"/>
      <c r="C225" s="24" t="n"/>
      <c r="D225" s="25" t="n"/>
      <c r="E225" s="25" t="n"/>
      <c r="F225" s="28" t="n"/>
      <c r="G225" s="34" t="n"/>
      <c r="H225" s="1" t="n"/>
      <c r="I225">
        <f>IF(OR(C225="",N(F225)=0),"",F225+ROW()/10000000)</f>
        <v/>
      </c>
      <c r="J225">
        <f>IF(I225="","",COUNTIFS(Costs!$C$6:$C$505,C225,Costs!$I$6:$I$505,"&gt;"&amp;I225))</f>
        <v/>
      </c>
    </row>
    <row r="226">
      <c r="A226" s="1" t="n"/>
      <c r="B226" s="29" t="n"/>
      <c r="C226" s="24" t="n"/>
      <c r="D226" s="25" t="n"/>
      <c r="E226" s="25" t="n"/>
      <c r="F226" s="28" t="n"/>
      <c r="G226" s="34" t="n"/>
      <c r="H226" s="1" t="n"/>
      <c r="I226">
        <f>IF(OR(C226="",N(F226)=0),"",F226+ROW()/10000000)</f>
        <v/>
      </c>
      <c r="J226">
        <f>IF(I226="","",COUNTIFS(Costs!$C$6:$C$505,C226,Costs!$I$6:$I$505,"&gt;"&amp;I226))</f>
        <v/>
      </c>
    </row>
    <row r="227">
      <c r="A227" s="1" t="n"/>
      <c r="B227" s="29" t="n"/>
      <c r="C227" s="24" t="n"/>
      <c r="D227" s="25" t="n"/>
      <c r="E227" s="25" t="n"/>
      <c r="F227" s="28" t="n"/>
      <c r="G227" s="34" t="n"/>
      <c r="H227" s="1" t="n"/>
      <c r="I227">
        <f>IF(OR(C227="",N(F227)=0),"",F227+ROW()/10000000)</f>
        <v/>
      </c>
      <c r="J227">
        <f>IF(I227="","",COUNTIFS(Costs!$C$6:$C$505,C227,Costs!$I$6:$I$505,"&gt;"&amp;I227))</f>
        <v/>
      </c>
    </row>
    <row r="228">
      <c r="A228" s="1" t="n"/>
      <c r="B228" s="29" t="n"/>
      <c r="C228" s="24" t="n"/>
      <c r="D228" s="25" t="n"/>
      <c r="E228" s="25" t="n"/>
      <c r="F228" s="28" t="n"/>
      <c r="G228" s="34" t="n"/>
      <c r="H228" s="1" t="n"/>
      <c r="I228">
        <f>IF(OR(C228="",N(F228)=0),"",F228+ROW()/10000000)</f>
        <v/>
      </c>
      <c r="J228">
        <f>IF(I228="","",COUNTIFS(Costs!$C$6:$C$505,C228,Costs!$I$6:$I$505,"&gt;"&amp;I228))</f>
        <v/>
      </c>
    </row>
    <row r="229">
      <c r="A229" s="1" t="n"/>
      <c r="B229" s="29" t="n"/>
      <c r="C229" s="24" t="n"/>
      <c r="D229" s="25" t="n"/>
      <c r="E229" s="25" t="n"/>
      <c r="F229" s="28" t="n"/>
      <c r="G229" s="34" t="n"/>
      <c r="H229" s="1" t="n"/>
      <c r="I229">
        <f>IF(OR(C229="",N(F229)=0),"",F229+ROW()/10000000)</f>
        <v/>
      </c>
      <c r="J229">
        <f>IF(I229="","",COUNTIFS(Costs!$C$6:$C$505,C229,Costs!$I$6:$I$505,"&gt;"&amp;I229))</f>
        <v/>
      </c>
    </row>
    <row r="230">
      <c r="A230" s="1" t="n"/>
      <c r="B230" s="29" t="n"/>
      <c r="C230" s="24" t="n"/>
      <c r="D230" s="25" t="n"/>
      <c r="E230" s="25" t="n"/>
      <c r="F230" s="28" t="n"/>
      <c r="G230" s="34" t="n"/>
      <c r="H230" s="1" t="n"/>
      <c r="I230">
        <f>IF(OR(C230="",N(F230)=0),"",F230+ROW()/10000000)</f>
        <v/>
      </c>
      <c r="J230">
        <f>IF(I230="","",COUNTIFS(Costs!$C$6:$C$505,C230,Costs!$I$6:$I$505,"&gt;"&amp;I230))</f>
        <v/>
      </c>
    </row>
    <row r="231">
      <c r="A231" s="1" t="n"/>
      <c r="B231" s="29" t="n"/>
      <c r="C231" s="24" t="n"/>
      <c r="D231" s="25" t="n"/>
      <c r="E231" s="25" t="n"/>
      <c r="F231" s="28" t="n"/>
      <c r="G231" s="34" t="n"/>
      <c r="H231" s="1" t="n"/>
      <c r="I231">
        <f>IF(OR(C231="",N(F231)=0),"",F231+ROW()/10000000)</f>
        <v/>
      </c>
      <c r="J231">
        <f>IF(I231="","",COUNTIFS(Costs!$C$6:$C$505,C231,Costs!$I$6:$I$505,"&gt;"&amp;I231))</f>
        <v/>
      </c>
    </row>
    <row r="232">
      <c r="A232" s="1" t="n"/>
      <c r="B232" s="29" t="n"/>
      <c r="C232" s="24" t="n"/>
      <c r="D232" s="25" t="n"/>
      <c r="E232" s="25" t="n"/>
      <c r="F232" s="28" t="n"/>
      <c r="G232" s="34" t="n"/>
      <c r="H232" s="1" t="n"/>
      <c r="I232">
        <f>IF(OR(C232="",N(F232)=0),"",F232+ROW()/10000000)</f>
        <v/>
      </c>
      <c r="J232">
        <f>IF(I232="","",COUNTIFS(Costs!$C$6:$C$505,C232,Costs!$I$6:$I$505,"&gt;"&amp;I232))</f>
        <v/>
      </c>
    </row>
    <row r="233">
      <c r="A233" s="1" t="n"/>
      <c r="B233" s="29" t="n"/>
      <c r="C233" s="24" t="n"/>
      <c r="D233" s="25" t="n"/>
      <c r="E233" s="25" t="n"/>
      <c r="F233" s="28" t="n"/>
      <c r="G233" s="34" t="n"/>
      <c r="H233" s="1" t="n"/>
      <c r="I233">
        <f>IF(OR(C233="",N(F233)=0),"",F233+ROW()/10000000)</f>
        <v/>
      </c>
      <c r="J233">
        <f>IF(I233="","",COUNTIFS(Costs!$C$6:$C$505,C233,Costs!$I$6:$I$505,"&gt;"&amp;I233))</f>
        <v/>
      </c>
    </row>
    <row r="234">
      <c r="A234" s="1" t="n"/>
      <c r="B234" s="29" t="n"/>
      <c r="C234" s="24" t="n"/>
      <c r="D234" s="25" t="n"/>
      <c r="E234" s="25" t="n"/>
      <c r="F234" s="28" t="n"/>
      <c r="G234" s="34" t="n"/>
      <c r="H234" s="1" t="n"/>
      <c r="I234">
        <f>IF(OR(C234="",N(F234)=0),"",F234+ROW()/10000000)</f>
        <v/>
      </c>
      <c r="J234">
        <f>IF(I234="","",COUNTIFS(Costs!$C$6:$C$505,C234,Costs!$I$6:$I$505,"&gt;"&amp;I234))</f>
        <v/>
      </c>
    </row>
    <row r="235">
      <c r="A235" s="1" t="n"/>
      <c r="B235" s="29" t="n"/>
      <c r="C235" s="24" t="n"/>
      <c r="D235" s="25" t="n"/>
      <c r="E235" s="25" t="n"/>
      <c r="F235" s="28" t="n"/>
      <c r="G235" s="34" t="n"/>
      <c r="H235" s="1" t="n"/>
      <c r="I235">
        <f>IF(OR(C235="",N(F235)=0),"",F235+ROW()/10000000)</f>
        <v/>
      </c>
      <c r="J235">
        <f>IF(I235="","",COUNTIFS(Costs!$C$6:$C$505,C235,Costs!$I$6:$I$505,"&gt;"&amp;I235))</f>
        <v/>
      </c>
    </row>
    <row r="236">
      <c r="A236" s="1" t="n"/>
      <c r="B236" s="29" t="n"/>
      <c r="C236" s="24" t="n"/>
      <c r="D236" s="25" t="n"/>
      <c r="E236" s="25" t="n"/>
      <c r="F236" s="28" t="n"/>
      <c r="G236" s="34" t="n"/>
      <c r="H236" s="1" t="n"/>
      <c r="I236">
        <f>IF(OR(C236="",N(F236)=0),"",F236+ROW()/10000000)</f>
        <v/>
      </c>
      <c r="J236">
        <f>IF(I236="","",COUNTIFS(Costs!$C$6:$C$505,C236,Costs!$I$6:$I$505,"&gt;"&amp;I236))</f>
        <v/>
      </c>
    </row>
    <row r="237">
      <c r="A237" s="1" t="n"/>
      <c r="B237" s="29" t="n"/>
      <c r="C237" s="24" t="n"/>
      <c r="D237" s="25" t="n"/>
      <c r="E237" s="25" t="n"/>
      <c r="F237" s="28" t="n"/>
      <c r="G237" s="34" t="n"/>
      <c r="H237" s="1" t="n"/>
      <c r="I237">
        <f>IF(OR(C237="",N(F237)=0),"",F237+ROW()/10000000)</f>
        <v/>
      </c>
      <c r="J237">
        <f>IF(I237="","",COUNTIFS(Costs!$C$6:$C$505,C237,Costs!$I$6:$I$505,"&gt;"&amp;I237))</f>
        <v/>
      </c>
    </row>
    <row r="238">
      <c r="A238" s="1" t="n"/>
      <c r="B238" s="29" t="n"/>
      <c r="C238" s="24" t="n"/>
      <c r="D238" s="25" t="n"/>
      <c r="E238" s="25" t="n"/>
      <c r="F238" s="28" t="n"/>
      <c r="G238" s="34" t="n"/>
      <c r="H238" s="1" t="n"/>
      <c r="I238">
        <f>IF(OR(C238="",N(F238)=0),"",F238+ROW()/10000000)</f>
        <v/>
      </c>
      <c r="J238">
        <f>IF(I238="","",COUNTIFS(Costs!$C$6:$C$505,C238,Costs!$I$6:$I$505,"&gt;"&amp;I238))</f>
        <v/>
      </c>
    </row>
    <row r="239">
      <c r="A239" s="1" t="n"/>
      <c r="B239" s="29" t="n"/>
      <c r="C239" s="24" t="n"/>
      <c r="D239" s="25" t="n"/>
      <c r="E239" s="25" t="n"/>
      <c r="F239" s="28" t="n"/>
      <c r="G239" s="34" t="n"/>
      <c r="H239" s="1" t="n"/>
      <c r="I239">
        <f>IF(OR(C239="",N(F239)=0),"",F239+ROW()/10000000)</f>
        <v/>
      </c>
      <c r="J239">
        <f>IF(I239="","",COUNTIFS(Costs!$C$6:$C$505,C239,Costs!$I$6:$I$505,"&gt;"&amp;I239))</f>
        <v/>
      </c>
    </row>
    <row r="240">
      <c r="A240" s="1" t="n"/>
      <c r="B240" s="29" t="n"/>
      <c r="C240" s="24" t="n"/>
      <c r="D240" s="25" t="n"/>
      <c r="E240" s="25" t="n"/>
      <c r="F240" s="28" t="n"/>
      <c r="G240" s="34" t="n"/>
      <c r="H240" s="1" t="n"/>
      <c r="I240">
        <f>IF(OR(C240="",N(F240)=0),"",F240+ROW()/10000000)</f>
        <v/>
      </c>
      <c r="J240">
        <f>IF(I240="","",COUNTIFS(Costs!$C$6:$C$505,C240,Costs!$I$6:$I$505,"&gt;"&amp;I240))</f>
        <v/>
      </c>
    </row>
    <row r="241">
      <c r="A241" s="1" t="n"/>
      <c r="B241" s="29" t="n"/>
      <c r="C241" s="24" t="n"/>
      <c r="D241" s="25" t="n"/>
      <c r="E241" s="25" t="n"/>
      <c r="F241" s="28" t="n"/>
      <c r="G241" s="34" t="n"/>
      <c r="H241" s="1" t="n"/>
      <c r="I241">
        <f>IF(OR(C241="",N(F241)=0),"",F241+ROW()/10000000)</f>
        <v/>
      </c>
      <c r="J241">
        <f>IF(I241="","",COUNTIFS(Costs!$C$6:$C$505,C241,Costs!$I$6:$I$505,"&gt;"&amp;I241))</f>
        <v/>
      </c>
    </row>
    <row r="242">
      <c r="A242" s="1" t="n"/>
      <c r="B242" s="29" t="n"/>
      <c r="C242" s="24" t="n"/>
      <c r="D242" s="25" t="n"/>
      <c r="E242" s="25" t="n"/>
      <c r="F242" s="28" t="n"/>
      <c r="G242" s="34" t="n"/>
      <c r="H242" s="1" t="n"/>
      <c r="I242">
        <f>IF(OR(C242="",N(F242)=0),"",F242+ROW()/10000000)</f>
        <v/>
      </c>
      <c r="J242">
        <f>IF(I242="","",COUNTIFS(Costs!$C$6:$C$505,C242,Costs!$I$6:$I$505,"&gt;"&amp;I242))</f>
        <v/>
      </c>
    </row>
    <row r="243">
      <c r="A243" s="1" t="n"/>
      <c r="B243" s="29" t="n"/>
      <c r="C243" s="24" t="n"/>
      <c r="D243" s="25" t="n"/>
      <c r="E243" s="25" t="n"/>
      <c r="F243" s="28" t="n"/>
      <c r="G243" s="34" t="n"/>
      <c r="H243" s="1" t="n"/>
      <c r="I243">
        <f>IF(OR(C243="",N(F243)=0),"",F243+ROW()/10000000)</f>
        <v/>
      </c>
      <c r="J243">
        <f>IF(I243="","",COUNTIFS(Costs!$C$6:$C$505,C243,Costs!$I$6:$I$505,"&gt;"&amp;I243))</f>
        <v/>
      </c>
    </row>
    <row r="244">
      <c r="A244" s="1" t="n"/>
      <c r="B244" s="29" t="n"/>
      <c r="C244" s="24" t="n"/>
      <c r="D244" s="25" t="n"/>
      <c r="E244" s="25" t="n"/>
      <c r="F244" s="28" t="n"/>
      <c r="G244" s="34" t="n"/>
      <c r="H244" s="1" t="n"/>
      <c r="I244">
        <f>IF(OR(C244="",N(F244)=0),"",F244+ROW()/10000000)</f>
        <v/>
      </c>
      <c r="J244">
        <f>IF(I244="","",COUNTIFS(Costs!$C$6:$C$505,C244,Costs!$I$6:$I$505,"&gt;"&amp;I244))</f>
        <v/>
      </c>
    </row>
    <row r="245">
      <c r="A245" s="1" t="n"/>
      <c r="B245" s="29" t="n"/>
      <c r="C245" s="24" t="n"/>
      <c r="D245" s="25" t="n"/>
      <c r="E245" s="25" t="n"/>
      <c r="F245" s="28" t="n"/>
      <c r="G245" s="34" t="n"/>
      <c r="H245" s="1" t="n"/>
      <c r="I245">
        <f>IF(OR(C245="",N(F245)=0),"",F245+ROW()/10000000)</f>
        <v/>
      </c>
      <c r="J245">
        <f>IF(I245="","",COUNTIFS(Costs!$C$6:$C$505,C245,Costs!$I$6:$I$505,"&gt;"&amp;I245))</f>
        <v/>
      </c>
    </row>
    <row r="246">
      <c r="A246" s="1" t="n"/>
      <c r="B246" s="29" t="n"/>
      <c r="C246" s="24" t="n"/>
      <c r="D246" s="25" t="n"/>
      <c r="E246" s="25" t="n"/>
      <c r="F246" s="28" t="n"/>
      <c r="G246" s="34" t="n"/>
      <c r="H246" s="1" t="n"/>
      <c r="I246">
        <f>IF(OR(C246="",N(F246)=0),"",F246+ROW()/10000000)</f>
        <v/>
      </c>
      <c r="J246">
        <f>IF(I246="","",COUNTIFS(Costs!$C$6:$C$505,C246,Costs!$I$6:$I$505,"&gt;"&amp;I246))</f>
        <v/>
      </c>
    </row>
    <row r="247">
      <c r="A247" s="1" t="n"/>
      <c r="B247" s="29" t="n"/>
      <c r="C247" s="24" t="n"/>
      <c r="D247" s="25" t="n"/>
      <c r="E247" s="25" t="n"/>
      <c r="F247" s="28" t="n"/>
      <c r="G247" s="34" t="n"/>
      <c r="H247" s="1" t="n"/>
      <c r="I247">
        <f>IF(OR(C247="",N(F247)=0),"",F247+ROW()/10000000)</f>
        <v/>
      </c>
      <c r="J247">
        <f>IF(I247="","",COUNTIFS(Costs!$C$6:$C$505,C247,Costs!$I$6:$I$505,"&gt;"&amp;I247))</f>
        <v/>
      </c>
    </row>
    <row r="248">
      <c r="A248" s="1" t="n"/>
      <c r="B248" s="29" t="n"/>
      <c r="C248" s="24" t="n"/>
      <c r="D248" s="25" t="n"/>
      <c r="E248" s="25" t="n"/>
      <c r="F248" s="28" t="n"/>
      <c r="G248" s="34" t="n"/>
      <c r="H248" s="1" t="n"/>
      <c r="I248">
        <f>IF(OR(C248="",N(F248)=0),"",F248+ROW()/10000000)</f>
        <v/>
      </c>
      <c r="J248">
        <f>IF(I248="","",COUNTIFS(Costs!$C$6:$C$505,C248,Costs!$I$6:$I$505,"&gt;"&amp;I248))</f>
        <v/>
      </c>
    </row>
    <row r="249">
      <c r="A249" s="1" t="n"/>
      <c r="B249" s="29" t="n"/>
      <c r="C249" s="24" t="n"/>
      <c r="D249" s="25" t="n"/>
      <c r="E249" s="25" t="n"/>
      <c r="F249" s="28" t="n"/>
      <c r="G249" s="34" t="n"/>
      <c r="H249" s="1" t="n"/>
      <c r="I249">
        <f>IF(OR(C249="",N(F249)=0),"",F249+ROW()/10000000)</f>
        <v/>
      </c>
      <c r="J249">
        <f>IF(I249="","",COUNTIFS(Costs!$C$6:$C$505,C249,Costs!$I$6:$I$505,"&gt;"&amp;I249))</f>
        <v/>
      </c>
    </row>
    <row r="250">
      <c r="A250" s="1" t="n"/>
      <c r="B250" s="29" t="n"/>
      <c r="C250" s="24" t="n"/>
      <c r="D250" s="25" t="n"/>
      <c r="E250" s="25" t="n"/>
      <c r="F250" s="28" t="n"/>
      <c r="G250" s="34" t="n"/>
      <c r="H250" s="1" t="n"/>
      <c r="I250">
        <f>IF(OR(C250="",N(F250)=0),"",F250+ROW()/10000000)</f>
        <v/>
      </c>
      <c r="J250">
        <f>IF(I250="","",COUNTIFS(Costs!$C$6:$C$505,C250,Costs!$I$6:$I$505,"&gt;"&amp;I250))</f>
        <v/>
      </c>
    </row>
    <row r="251">
      <c r="A251" s="1" t="n"/>
      <c r="B251" s="29" t="n"/>
      <c r="C251" s="24" t="n"/>
      <c r="D251" s="25" t="n"/>
      <c r="E251" s="25" t="n"/>
      <c r="F251" s="28" t="n"/>
      <c r="G251" s="34" t="n"/>
      <c r="H251" s="1" t="n"/>
      <c r="I251">
        <f>IF(OR(C251="",N(F251)=0),"",F251+ROW()/10000000)</f>
        <v/>
      </c>
      <c r="J251">
        <f>IF(I251="","",COUNTIFS(Costs!$C$6:$C$505,C251,Costs!$I$6:$I$505,"&gt;"&amp;I251))</f>
        <v/>
      </c>
    </row>
    <row r="252">
      <c r="A252" s="1" t="n"/>
      <c r="B252" s="29" t="n"/>
      <c r="C252" s="24" t="n"/>
      <c r="D252" s="25" t="n"/>
      <c r="E252" s="25" t="n"/>
      <c r="F252" s="28" t="n"/>
      <c r="G252" s="34" t="n"/>
      <c r="H252" s="1" t="n"/>
      <c r="I252">
        <f>IF(OR(C252="",N(F252)=0),"",F252+ROW()/10000000)</f>
        <v/>
      </c>
      <c r="J252">
        <f>IF(I252="","",COUNTIFS(Costs!$C$6:$C$505,C252,Costs!$I$6:$I$505,"&gt;"&amp;I252))</f>
        <v/>
      </c>
    </row>
    <row r="253">
      <c r="A253" s="1" t="n"/>
      <c r="B253" s="29" t="n"/>
      <c r="C253" s="24" t="n"/>
      <c r="D253" s="25" t="n"/>
      <c r="E253" s="25" t="n"/>
      <c r="F253" s="28" t="n"/>
      <c r="G253" s="34" t="n"/>
      <c r="H253" s="1" t="n"/>
      <c r="I253">
        <f>IF(OR(C253="",N(F253)=0),"",F253+ROW()/10000000)</f>
        <v/>
      </c>
      <c r="J253">
        <f>IF(I253="","",COUNTIFS(Costs!$C$6:$C$505,C253,Costs!$I$6:$I$505,"&gt;"&amp;I253))</f>
        <v/>
      </c>
    </row>
    <row r="254">
      <c r="A254" s="1" t="n"/>
      <c r="B254" s="29" t="n"/>
      <c r="C254" s="24" t="n"/>
      <c r="D254" s="25" t="n"/>
      <c r="E254" s="25" t="n"/>
      <c r="F254" s="28" t="n"/>
      <c r="G254" s="34" t="n"/>
      <c r="H254" s="1" t="n"/>
      <c r="I254">
        <f>IF(OR(C254="",N(F254)=0),"",F254+ROW()/10000000)</f>
        <v/>
      </c>
      <c r="J254">
        <f>IF(I254="","",COUNTIFS(Costs!$C$6:$C$505,C254,Costs!$I$6:$I$505,"&gt;"&amp;I254))</f>
        <v/>
      </c>
    </row>
    <row r="255">
      <c r="A255" s="1" t="n"/>
      <c r="B255" s="29" t="n"/>
      <c r="C255" s="24" t="n"/>
      <c r="D255" s="25" t="n"/>
      <c r="E255" s="25" t="n"/>
      <c r="F255" s="28" t="n"/>
      <c r="G255" s="34" t="n"/>
      <c r="H255" s="1" t="n"/>
      <c r="I255">
        <f>IF(OR(C255="",N(F255)=0),"",F255+ROW()/10000000)</f>
        <v/>
      </c>
      <c r="J255">
        <f>IF(I255="","",COUNTIFS(Costs!$C$6:$C$505,C255,Costs!$I$6:$I$505,"&gt;"&amp;I255))</f>
        <v/>
      </c>
    </row>
    <row r="256">
      <c r="A256" s="1" t="n"/>
      <c r="B256" s="29" t="n"/>
      <c r="C256" s="24" t="n"/>
      <c r="D256" s="25" t="n"/>
      <c r="E256" s="25" t="n"/>
      <c r="F256" s="28" t="n"/>
      <c r="G256" s="34" t="n"/>
      <c r="H256" s="1" t="n"/>
      <c r="I256">
        <f>IF(OR(C256="",N(F256)=0),"",F256+ROW()/10000000)</f>
        <v/>
      </c>
      <c r="J256">
        <f>IF(I256="","",COUNTIFS(Costs!$C$6:$C$505,C256,Costs!$I$6:$I$505,"&gt;"&amp;I256))</f>
        <v/>
      </c>
    </row>
    <row r="257">
      <c r="A257" s="1" t="n"/>
      <c r="B257" s="29" t="n"/>
      <c r="C257" s="24" t="n"/>
      <c r="D257" s="25" t="n"/>
      <c r="E257" s="25" t="n"/>
      <c r="F257" s="28" t="n"/>
      <c r="G257" s="34" t="n"/>
      <c r="H257" s="1" t="n"/>
      <c r="I257">
        <f>IF(OR(C257="",N(F257)=0),"",F257+ROW()/10000000)</f>
        <v/>
      </c>
      <c r="J257">
        <f>IF(I257="","",COUNTIFS(Costs!$C$6:$C$505,C257,Costs!$I$6:$I$505,"&gt;"&amp;I257))</f>
        <v/>
      </c>
    </row>
    <row r="258">
      <c r="A258" s="1" t="n"/>
      <c r="B258" s="29" t="n"/>
      <c r="C258" s="24" t="n"/>
      <c r="D258" s="25" t="n"/>
      <c r="E258" s="25" t="n"/>
      <c r="F258" s="28" t="n"/>
      <c r="G258" s="34" t="n"/>
      <c r="H258" s="1" t="n"/>
      <c r="I258">
        <f>IF(OR(C258="",N(F258)=0),"",F258+ROW()/10000000)</f>
        <v/>
      </c>
      <c r="J258">
        <f>IF(I258="","",COUNTIFS(Costs!$C$6:$C$505,C258,Costs!$I$6:$I$505,"&gt;"&amp;I258))</f>
        <v/>
      </c>
    </row>
    <row r="259">
      <c r="A259" s="1" t="n"/>
      <c r="B259" s="29" t="n"/>
      <c r="C259" s="24" t="n"/>
      <c r="D259" s="25" t="n"/>
      <c r="E259" s="25" t="n"/>
      <c r="F259" s="28" t="n"/>
      <c r="G259" s="34" t="n"/>
      <c r="H259" s="1" t="n"/>
      <c r="I259">
        <f>IF(OR(C259="",N(F259)=0),"",F259+ROW()/10000000)</f>
        <v/>
      </c>
      <c r="J259">
        <f>IF(I259="","",COUNTIFS(Costs!$C$6:$C$505,C259,Costs!$I$6:$I$505,"&gt;"&amp;I259))</f>
        <v/>
      </c>
    </row>
    <row r="260">
      <c r="A260" s="1" t="n"/>
      <c r="B260" s="29" t="n"/>
      <c r="C260" s="24" t="n"/>
      <c r="D260" s="25" t="n"/>
      <c r="E260" s="25" t="n"/>
      <c r="F260" s="28" t="n"/>
      <c r="G260" s="34" t="n"/>
      <c r="H260" s="1" t="n"/>
      <c r="I260">
        <f>IF(OR(C260="",N(F260)=0),"",F260+ROW()/10000000)</f>
        <v/>
      </c>
      <c r="J260">
        <f>IF(I260="","",COUNTIFS(Costs!$C$6:$C$505,C260,Costs!$I$6:$I$505,"&gt;"&amp;I260))</f>
        <v/>
      </c>
    </row>
    <row r="261">
      <c r="A261" s="1" t="n"/>
      <c r="B261" s="29" t="n"/>
      <c r="C261" s="24" t="n"/>
      <c r="D261" s="25" t="n"/>
      <c r="E261" s="25" t="n"/>
      <c r="F261" s="28" t="n"/>
      <c r="G261" s="34" t="n"/>
      <c r="H261" s="1" t="n"/>
      <c r="I261">
        <f>IF(OR(C261="",N(F261)=0),"",F261+ROW()/10000000)</f>
        <v/>
      </c>
      <c r="J261">
        <f>IF(I261="","",COUNTIFS(Costs!$C$6:$C$505,C261,Costs!$I$6:$I$505,"&gt;"&amp;I261))</f>
        <v/>
      </c>
    </row>
    <row r="262">
      <c r="A262" s="1" t="n"/>
      <c r="B262" s="29" t="n"/>
      <c r="C262" s="24" t="n"/>
      <c r="D262" s="25" t="n"/>
      <c r="E262" s="25" t="n"/>
      <c r="F262" s="28" t="n"/>
      <c r="G262" s="34" t="n"/>
      <c r="H262" s="1" t="n"/>
      <c r="I262">
        <f>IF(OR(C262="",N(F262)=0),"",F262+ROW()/10000000)</f>
        <v/>
      </c>
      <c r="J262">
        <f>IF(I262="","",COUNTIFS(Costs!$C$6:$C$505,C262,Costs!$I$6:$I$505,"&gt;"&amp;I262))</f>
        <v/>
      </c>
    </row>
    <row r="263">
      <c r="A263" s="1" t="n"/>
      <c r="B263" s="29" t="n"/>
      <c r="C263" s="24" t="n"/>
      <c r="D263" s="25" t="n"/>
      <c r="E263" s="25" t="n"/>
      <c r="F263" s="28" t="n"/>
      <c r="G263" s="34" t="n"/>
      <c r="H263" s="1" t="n"/>
      <c r="I263">
        <f>IF(OR(C263="",N(F263)=0),"",F263+ROW()/10000000)</f>
        <v/>
      </c>
      <c r="J263">
        <f>IF(I263="","",COUNTIFS(Costs!$C$6:$C$505,C263,Costs!$I$6:$I$505,"&gt;"&amp;I263))</f>
        <v/>
      </c>
    </row>
    <row r="264">
      <c r="A264" s="1" t="n"/>
      <c r="B264" s="29" t="n"/>
      <c r="C264" s="24" t="n"/>
      <c r="D264" s="25" t="n"/>
      <c r="E264" s="25" t="n"/>
      <c r="F264" s="28" t="n"/>
      <c r="G264" s="34" t="n"/>
      <c r="H264" s="1" t="n"/>
      <c r="I264">
        <f>IF(OR(C264="",N(F264)=0),"",F264+ROW()/10000000)</f>
        <v/>
      </c>
      <c r="J264">
        <f>IF(I264="","",COUNTIFS(Costs!$C$6:$C$505,C264,Costs!$I$6:$I$505,"&gt;"&amp;I264))</f>
        <v/>
      </c>
    </row>
    <row r="265">
      <c r="A265" s="1" t="n"/>
      <c r="B265" s="29" t="n"/>
      <c r="C265" s="24" t="n"/>
      <c r="D265" s="25" t="n"/>
      <c r="E265" s="25" t="n"/>
      <c r="F265" s="28" t="n"/>
      <c r="G265" s="34" t="n"/>
      <c r="H265" s="1" t="n"/>
      <c r="I265">
        <f>IF(OR(C265="",N(F265)=0),"",F265+ROW()/10000000)</f>
        <v/>
      </c>
      <c r="J265">
        <f>IF(I265="","",COUNTIFS(Costs!$C$6:$C$505,C265,Costs!$I$6:$I$505,"&gt;"&amp;I265))</f>
        <v/>
      </c>
    </row>
    <row r="266">
      <c r="A266" s="1" t="n"/>
      <c r="B266" s="29" t="n"/>
      <c r="C266" s="24" t="n"/>
      <c r="D266" s="25" t="n"/>
      <c r="E266" s="25" t="n"/>
      <c r="F266" s="28" t="n"/>
      <c r="G266" s="34" t="n"/>
      <c r="H266" s="1" t="n"/>
      <c r="I266">
        <f>IF(OR(C266="",N(F266)=0),"",F266+ROW()/10000000)</f>
        <v/>
      </c>
      <c r="J266">
        <f>IF(I266="","",COUNTIFS(Costs!$C$6:$C$505,C266,Costs!$I$6:$I$505,"&gt;"&amp;I266))</f>
        <v/>
      </c>
    </row>
    <row r="267">
      <c r="A267" s="1" t="n"/>
      <c r="B267" s="29" t="n"/>
      <c r="C267" s="24" t="n"/>
      <c r="D267" s="25" t="n"/>
      <c r="E267" s="25" t="n"/>
      <c r="F267" s="28" t="n"/>
      <c r="G267" s="34" t="n"/>
      <c r="H267" s="1" t="n"/>
      <c r="I267">
        <f>IF(OR(C267="",N(F267)=0),"",F267+ROW()/10000000)</f>
        <v/>
      </c>
      <c r="J267">
        <f>IF(I267="","",COUNTIFS(Costs!$C$6:$C$505,C267,Costs!$I$6:$I$505,"&gt;"&amp;I267))</f>
        <v/>
      </c>
    </row>
    <row r="268">
      <c r="A268" s="1" t="n"/>
      <c r="B268" s="29" t="n"/>
      <c r="C268" s="24" t="n"/>
      <c r="D268" s="25" t="n"/>
      <c r="E268" s="25" t="n"/>
      <c r="F268" s="28" t="n"/>
      <c r="G268" s="34" t="n"/>
      <c r="H268" s="1" t="n"/>
      <c r="I268">
        <f>IF(OR(C268="",N(F268)=0),"",F268+ROW()/10000000)</f>
        <v/>
      </c>
      <c r="J268">
        <f>IF(I268="","",COUNTIFS(Costs!$C$6:$C$505,C268,Costs!$I$6:$I$505,"&gt;"&amp;I268))</f>
        <v/>
      </c>
    </row>
    <row r="269">
      <c r="A269" s="1" t="n"/>
      <c r="B269" s="29" t="n"/>
      <c r="C269" s="24" t="n"/>
      <c r="D269" s="25" t="n"/>
      <c r="E269" s="25" t="n"/>
      <c r="F269" s="28" t="n"/>
      <c r="G269" s="34" t="n"/>
      <c r="H269" s="1" t="n"/>
      <c r="I269">
        <f>IF(OR(C269="",N(F269)=0),"",F269+ROW()/10000000)</f>
        <v/>
      </c>
      <c r="J269">
        <f>IF(I269="","",COUNTIFS(Costs!$C$6:$C$505,C269,Costs!$I$6:$I$505,"&gt;"&amp;I269))</f>
        <v/>
      </c>
    </row>
    <row r="270">
      <c r="A270" s="1" t="n"/>
      <c r="B270" s="29" t="n"/>
      <c r="C270" s="24" t="n"/>
      <c r="D270" s="25" t="n"/>
      <c r="E270" s="25" t="n"/>
      <c r="F270" s="28" t="n"/>
      <c r="G270" s="34" t="n"/>
      <c r="H270" s="1" t="n"/>
      <c r="I270">
        <f>IF(OR(C270="",N(F270)=0),"",F270+ROW()/10000000)</f>
        <v/>
      </c>
      <c r="J270">
        <f>IF(I270="","",COUNTIFS(Costs!$C$6:$C$505,C270,Costs!$I$6:$I$505,"&gt;"&amp;I270))</f>
        <v/>
      </c>
    </row>
    <row r="271">
      <c r="A271" s="1" t="n"/>
      <c r="B271" s="29" t="n"/>
      <c r="C271" s="24" t="n"/>
      <c r="D271" s="25" t="n"/>
      <c r="E271" s="25" t="n"/>
      <c r="F271" s="28" t="n"/>
      <c r="G271" s="34" t="n"/>
      <c r="H271" s="1" t="n"/>
      <c r="I271">
        <f>IF(OR(C271="",N(F271)=0),"",F271+ROW()/10000000)</f>
        <v/>
      </c>
      <c r="J271">
        <f>IF(I271="","",COUNTIFS(Costs!$C$6:$C$505,C271,Costs!$I$6:$I$505,"&gt;"&amp;I271))</f>
        <v/>
      </c>
    </row>
    <row r="272">
      <c r="A272" s="1" t="n"/>
      <c r="B272" s="29" t="n"/>
      <c r="C272" s="24" t="n"/>
      <c r="D272" s="25" t="n"/>
      <c r="E272" s="25" t="n"/>
      <c r="F272" s="28" t="n"/>
      <c r="G272" s="34" t="n"/>
      <c r="H272" s="1" t="n"/>
      <c r="I272">
        <f>IF(OR(C272="",N(F272)=0),"",F272+ROW()/10000000)</f>
        <v/>
      </c>
      <c r="J272">
        <f>IF(I272="","",COUNTIFS(Costs!$C$6:$C$505,C272,Costs!$I$6:$I$505,"&gt;"&amp;I272))</f>
        <v/>
      </c>
    </row>
    <row r="273">
      <c r="A273" s="1" t="n"/>
      <c r="B273" s="29" t="n"/>
      <c r="C273" s="24" t="n"/>
      <c r="D273" s="25" t="n"/>
      <c r="E273" s="25" t="n"/>
      <c r="F273" s="28" t="n"/>
      <c r="G273" s="34" t="n"/>
      <c r="H273" s="1" t="n"/>
      <c r="I273">
        <f>IF(OR(C273="",N(F273)=0),"",F273+ROW()/10000000)</f>
        <v/>
      </c>
      <c r="J273">
        <f>IF(I273="","",COUNTIFS(Costs!$C$6:$C$505,C273,Costs!$I$6:$I$505,"&gt;"&amp;I273))</f>
        <v/>
      </c>
    </row>
    <row r="274">
      <c r="A274" s="1" t="n"/>
      <c r="B274" s="29" t="n"/>
      <c r="C274" s="24" t="n"/>
      <c r="D274" s="25" t="n"/>
      <c r="E274" s="25" t="n"/>
      <c r="F274" s="28" t="n"/>
      <c r="G274" s="34" t="n"/>
      <c r="H274" s="1" t="n"/>
      <c r="I274">
        <f>IF(OR(C274="",N(F274)=0),"",F274+ROW()/10000000)</f>
        <v/>
      </c>
      <c r="J274">
        <f>IF(I274="","",COUNTIFS(Costs!$C$6:$C$505,C274,Costs!$I$6:$I$505,"&gt;"&amp;I274))</f>
        <v/>
      </c>
    </row>
    <row r="275">
      <c r="A275" s="1" t="n"/>
      <c r="B275" s="29" t="n"/>
      <c r="C275" s="24" t="n"/>
      <c r="D275" s="25" t="n"/>
      <c r="E275" s="25" t="n"/>
      <c r="F275" s="28" t="n"/>
      <c r="G275" s="34" t="n"/>
      <c r="H275" s="1" t="n"/>
      <c r="I275">
        <f>IF(OR(C275="",N(F275)=0),"",F275+ROW()/10000000)</f>
        <v/>
      </c>
      <c r="J275">
        <f>IF(I275="","",COUNTIFS(Costs!$C$6:$C$505,C275,Costs!$I$6:$I$505,"&gt;"&amp;I275))</f>
        <v/>
      </c>
    </row>
    <row r="276">
      <c r="A276" s="1" t="n"/>
      <c r="B276" s="29" t="n"/>
      <c r="C276" s="24" t="n"/>
      <c r="D276" s="25" t="n"/>
      <c r="E276" s="25" t="n"/>
      <c r="F276" s="28" t="n"/>
      <c r="G276" s="34" t="n"/>
      <c r="H276" s="1" t="n"/>
      <c r="I276">
        <f>IF(OR(C276="",N(F276)=0),"",F276+ROW()/10000000)</f>
        <v/>
      </c>
      <c r="J276">
        <f>IF(I276="","",COUNTIFS(Costs!$C$6:$C$505,C276,Costs!$I$6:$I$505,"&gt;"&amp;I276))</f>
        <v/>
      </c>
    </row>
    <row r="277">
      <c r="A277" s="1" t="n"/>
      <c r="B277" s="29" t="n"/>
      <c r="C277" s="24" t="n"/>
      <c r="D277" s="25" t="n"/>
      <c r="E277" s="25" t="n"/>
      <c r="F277" s="28" t="n"/>
      <c r="G277" s="34" t="n"/>
      <c r="H277" s="1" t="n"/>
      <c r="I277">
        <f>IF(OR(C277="",N(F277)=0),"",F277+ROW()/10000000)</f>
        <v/>
      </c>
      <c r="J277">
        <f>IF(I277="","",COUNTIFS(Costs!$C$6:$C$505,C277,Costs!$I$6:$I$505,"&gt;"&amp;I277))</f>
        <v/>
      </c>
    </row>
    <row r="278">
      <c r="A278" s="1" t="n"/>
      <c r="B278" s="29" t="n"/>
      <c r="C278" s="24" t="n"/>
      <c r="D278" s="25" t="n"/>
      <c r="E278" s="25" t="n"/>
      <c r="F278" s="28" t="n"/>
      <c r="G278" s="34" t="n"/>
      <c r="H278" s="1" t="n"/>
      <c r="I278">
        <f>IF(OR(C278="",N(F278)=0),"",F278+ROW()/10000000)</f>
        <v/>
      </c>
      <c r="J278">
        <f>IF(I278="","",COUNTIFS(Costs!$C$6:$C$505,C278,Costs!$I$6:$I$505,"&gt;"&amp;I278))</f>
        <v/>
      </c>
    </row>
    <row r="279">
      <c r="A279" s="1" t="n"/>
      <c r="B279" s="29" t="n"/>
      <c r="C279" s="24" t="n"/>
      <c r="D279" s="25" t="n"/>
      <c r="E279" s="25" t="n"/>
      <c r="F279" s="28" t="n"/>
      <c r="G279" s="34" t="n"/>
      <c r="H279" s="1" t="n"/>
      <c r="I279">
        <f>IF(OR(C279="",N(F279)=0),"",F279+ROW()/10000000)</f>
        <v/>
      </c>
      <c r="J279">
        <f>IF(I279="","",COUNTIFS(Costs!$C$6:$C$505,C279,Costs!$I$6:$I$505,"&gt;"&amp;I279))</f>
        <v/>
      </c>
    </row>
    <row r="280">
      <c r="A280" s="1" t="n"/>
      <c r="B280" s="29" t="n"/>
      <c r="C280" s="24" t="n"/>
      <c r="D280" s="25" t="n"/>
      <c r="E280" s="25" t="n"/>
      <c r="F280" s="28" t="n"/>
      <c r="G280" s="34" t="n"/>
      <c r="H280" s="1" t="n"/>
      <c r="I280">
        <f>IF(OR(C280="",N(F280)=0),"",F280+ROW()/10000000)</f>
        <v/>
      </c>
      <c r="J280">
        <f>IF(I280="","",COUNTIFS(Costs!$C$6:$C$505,C280,Costs!$I$6:$I$505,"&gt;"&amp;I280))</f>
        <v/>
      </c>
    </row>
    <row r="281">
      <c r="A281" s="1" t="n"/>
      <c r="B281" s="29" t="n"/>
      <c r="C281" s="24" t="n"/>
      <c r="D281" s="25" t="n"/>
      <c r="E281" s="25" t="n"/>
      <c r="F281" s="28" t="n"/>
      <c r="G281" s="34" t="n"/>
      <c r="H281" s="1" t="n"/>
      <c r="I281">
        <f>IF(OR(C281="",N(F281)=0),"",F281+ROW()/10000000)</f>
        <v/>
      </c>
      <c r="J281">
        <f>IF(I281="","",COUNTIFS(Costs!$C$6:$C$505,C281,Costs!$I$6:$I$505,"&gt;"&amp;I281))</f>
        <v/>
      </c>
    </row>
    <row r="282">
      <c r="A282" s="1" t="n"/>
      <c r="B282" s="29" t="n"/>
      <c r="C282" s="24" t="n"/>
      <c r="D282" s="25" t="n"/>
      <c r="E282" s="25" t="n"/>
      <c r="F282" s="28" t="n"/>
      <c r="G282" s="34" t="n"/>
      <c r="H282" s="1" t="n"/>
      <c r="I282">
        <f>IF(OR(C282="",N(F282)=0),"",F282+ROW()/10000000)</f>
        <v/>
      </c>
      <c r="J282">
        <f>IF(I282="","",COUNTIFS(Costs!$C$6:$C$505,C282,Costs!$I$6:$I$505,"&gt;"&amp;I282))</f>
        <v/>
      </c>
    </row>
    <row r="283">
      <c r="A283" s="1" t="n"/>
      <c r="B283" s="29" t="n"/>
      <c r="C283" s="24" t="n"/>
      <c r="D283" s="25" t="n"/>
      <c r="E283" s="25" t="n"/>
      <c r="F283" s="28" t="n"/>
      <c r="G283" s="34" t="n"/>
      <c r="H283" s="1" t="n"/>
      <c r="I283">
        <f>IF(OR(C283="",N(F283)=0),"",F283+ROW()/10000000)</f>
        <v/>
      </c>
      <c r="J283">
        <f>IF(I283="","",COUNTIFS(Costs!$C$6:$C$505,C283,Costs!$I$6:$I$505,"&gt;"&amp;I283))</f>
        <v/>
      </c>
    </row>
    <row r="284">
      <c r="A284" s="1" t="n"/>
      <c r="B284" s="29" t="n"/>
      <c r="C284" s="24" t="n"/>
      <c r="D284" s="25" t="n"/>
      <c r="E284" s="25" t="n"/>
      <c r="F284" s="28" t="n"/>
      <c r="G284" s="34" t="n"/>
      <c r="H284" s="1" t="n"/>
      <c r="I284">
        <f>IF(OR(C284="",N(F284)=0),"",F284+ROW()/10000000)</f>
        <v/>
      </c>
      <c r="J284">
        <f>IF(I284="","",COUNTIFS(Costs!$C$6:$C$505,C284,Costs!$I$6:$I$505,"&gt;"&amp;I284))</f>
        <v/>
      </c>
    </row>
    <row r="285">
      <c r="A285" s="1" t="n"/>
      <c r="B285" s="29" t="n"/>
      <c r="C285" s="24" t="n"/>
      <c r="D285" s="25" t="n"/>
      <c r="E285" s="25" t="n"/>
      <c r="F285" s="28" t="n"/>
      <c r="G285" s="34" t="n"/>
      <c r="H285" s="1" t="n"/>
      <c r="I285">
        <f>IF(OR(C285="",N(F285)=0),"",F285+ROW()/10000000)</f>
        <v/>
      </c>
      <c r="J285">
        <f>IF(I285="","",COUNTIFS(Costs!$C$6:$C$505,C285,Costs!$I$6:$I$505,"&gt;"&amp;I285))</f>
        <v/>
      </c>
    </row>
    <row r="286">
      <c r="A286" s="1" t="n"/>
      <c r="B286" s="29" t="n"/>
      <c r="C286" s="24" t="n"/>
      <c r="D286" s="25" t="n"/>
      <c r="E286" s="25" t="n"/>
      <c r="F286" s="28" t="n"/>
      <c r="G286" s="34" t="n"/>
      <c r="H286" s="1" t="n"/>
      <c r="I286">
        <f>IF(OR(C286="",N(F286)=0),"",F286+ROW()/10000000)</f>
        <v/>
      </c>
      <c r="J286">
        <f>IF(I286="","",COUNTIFS(Costs!$C$6:$C$505,C286,Costs!$I$6:$I$505,"&gt;"&amp;I286))</f>
        <v/>
      </c>
    </row>
    <row r="287">
      <c r="A287" s="1" t="n"/>
      <c r="B287" s="29" t="n"/>
      <c r="C287" s="24" t="n"/>
      <c r="D287" s="25" t="n"/>
      <c r="E287" s="25" t="n"/>
      <c r="F287" s="28" t="n"/>
      <c r="G287" s="34" t="n"/>
      <c r="H287" s="1" t="n"/>
      <c r="I287">
        <f>IF(OR(C287="",N(F287)=0),"",F287+ROW()/10000000)</f>
        <v/>
      </c>
      <c r="J287">
        <f>IF(I287="","",COUNTIFS(Costs!$C$6:$C$505,C287,Costs!$I$6:$I$505,"&gt;"&amp;I287))</f>
        <v/>
      </c>
    </row>
    <row r="288">
      <c r="A288" s="1" t="n"/>
      <c r="B288" s="29" t="n"/>
      <c r="C288" s="24" t="n"/>
      <c r="D288" s="25" t="n"/>
      <c r="E288" s="25" t="n"/>
      <c r="F288" s="28" t="n"/>
      <c r="G288" s="34" t="n"/>
      <c r="H288" s="1" t="n"/>
      <c r="I288">
        <f>IF(OR(C288="",N(F288)=0),"",F288+ROW()/10000000)</f>
        <v/>
      </c>
      <c r="J288">
        <f>IF(I288="","",COUNTIFS(Costs!$C$6:$C$505,C288,Costs!$I$6:$I$505,"&gt;"&amp;I288))</f>
        <v/>
      </c>
    </row>
    <row r="289">
      <c r="A289" s="1" t="n"/>
      <c r="B289" s="29" t="n"/>
      <c r="C289" s="24" t="n"/>
      <c r="D289" s="25" t="n"/>
      <c r="E289" s="25" t="n"/>
      <c r="F289" s="28" t="n"/>
      <c r="G289" s="34" t="n"/>
      <c r="H289" s="1" t="n"/>
      <c r="I289">
        <f>IF(OR(C289="",N(F289)=0),"",F289+ROW()/10000000)</f>
        <v/>
      </c>
      <c r="J289">
        <f>IF(I289="","",COUNTIFS(Costs!$C$6:$C$505,C289,Costs!$I$6:$I$505,"&gt;"&amp;I289))</f>
        <v/>
      </c>
    </row>
    <row r="290">
      <c r="A290" s="1" t="n"/>
      <c r="B290" s="29" t="n"/>
      <c r="C290" s="24" t="n"/>
      <c r="D290" s="25" t="n"/>
      <c r="E290" s="25" t="n"/>
      <c r="F290" s="28" t="n"/>
      <c r="G290" s="34" t="n"/>
      <c r="H290" s="1" t="n"/>
      <c r="I290">
        <f>IF(OR(C290="",N(F290)=0),"",F290+ROW()/10000000)</f>
        <v/>
      </c>
      <c r="J290">
        <f>IF(I290="","",COUNTIFS(Costs!$C$6:$C$505,C290,Costs!$I$6:$I$505,"&gt;"&amp;I290))</f>
        <v/>
      </c>
    </row>
    <row r="291">
      <c r="A291" s="1" t="n"/>
      <c r="B291" s="29" t="n"/>
      <c r="C291" s="24" t="n"/>
      <c r="D291" s="25" t="n"/>
      <c r="E291" s="25" t="n"/>
      <c r="F291" s="28" t="n"/>
      <c r="G291" s="34" t="n"/>
      <c r="H291" s="1" t="n"/>
      <c r="I291">
        <f>IF(OR(C291="",N(F291)=0),"",F291+ROW()/10000000)</f>
        <v/>
      </c>
      <c r="J291">
        <f>IF(I291="","",COUNTIFS(Costs!$C$6:$C$505,C291,Costs!$I$6:$I$505,"&gt;"&amp;I291))</f>
        <v/>
      </c>
    </row>
    <row r="292">
      <c r="A292" s="1" t="n"/>
      <c r="B292" s="29" t="n"/>
      <c r="C292" s="24" t="n"/>
      <c r="D292" s="25" t="n"/>
      <c r="E292" s="25" t="n"/>
      <c r="F292" s="28" t="n"/>
      <c r="G292" s="34" t="n"/>
      <c r="H292" s="1" t="n"/>
      <c r="I292">
        <f>IF(OR(C292="",N(F292)=0),"",F292+ROW()/10000000)</f>
        <v/>
      </c>
      <c r="J292">
        <f>IF(I292="","",COUNTIFS(Costs!$C$6:$C$505,C292,Costs!$I$6:$I$505,"&gt;"&amp;I292))</f>
        <v/>
      </c>
    </row>
    <row r="293">
      <c r="A293" s="1" t="n"/>
      <c r="B293" s="29" t="n"/>
      <c r="C293" s="24" t="n"/>
      <c r="D293" s="25" t="n"/>
      <c r="E293" s="25" t="n"/>
      <c r="F293" s="28" t="n"/>
      <c r="G293" s="34" t="n"/>
      <c r="H293" s="1" t="n"/>
      <c r="I293">
        <f>IF(OR(C293="",N(F293)=0),"",F293+ROW()/10000000)</f>
        <v/>
      </c>
      <c r="J293">
        <f>IF(I293="","",COUNTIFS(Costs!$C$6:$C$505,C293,Costs!$I$6:$I$505,"&gt;"&amp;I293))</f>
        <v/>
      </c>
    </row>
    <row r="294">
      <c r="A294" s="1" t="n"/>
      <c r="B294" s="29" t="n"/>
      <c r="C294" s="24" t="n"/>
      <c r="D294" s="25" t="n"/>
      <c r="E294" s="25" t="n"/>
      <c r="F294" s="28" t="n"/>
      <c r="G294" s="34" t="n"/>
      <c r="H294" s="1" t="n"/>
      <c r="I294">
        <f>IF(OR(C294="",N(F294)=0),"",F294+ROW()/10000000)</f>
        <v/>
      </c>
      <c r="J294">
        <f>IF(I294="","",COUNTIFS(Costs!$C$6:$C$505,C294,Costs!$I$6:$I$505,"&gt;"&amp;I294))</f>
        <v/>
      </c>
    </row>
    <row r="295">
      <c r="A295" s="1" t="n"/>
      <c r="B295" s="29" t="n"/>
      <c r="C295" s="24" t="n"/>
      <c r="D295" s="25" t="n"/>
      <c r="E295" s="25" t="n"/>
      <c r="F295" s="28" t="n"/>
      <c r="G295" s="34" t="n"/>
      <c r="H295" s="1" t="n"/>
      <c r="I295">
        <f>IF(OR(C295="",N(F295)=0),"",F295+ROW()/10000000)</f>
        <v/>
      </c>
      <c r="J295">
        <f>IF(I295="","",COUNTIFS(Costs!$C$6:$C$505,C295,Costs!$I$6:$I$505,"&gt;"&amp;I295))</f>
        <v/>
      </c>
    </row>
    <row r="296">
      <c r="A296" s="1" t="n"/>
      <c r="B296" s="29" t="n"/>
      <c r="C296" s="24" t="n"/>
      <c r="D296" s="25" t="n"/>
      <c r="E296" s="25" t="n"/>
      <c r="F296" s="28" t="n"/>
      <c r="G296" s="34" t="n"/>
      <c r="H296" s="1" t="n"/>
      <c r="I296">
        <f>IF(OR(C296="",N(F296)=0),"",F296+ROW()/10000000)</f>
        <v/>
      </c>
      <c r="J296">
        <f>IF(I296="","",COUNTIFS(Costs!$C$6:$C$505,C296,Costs!$I$6:$I$505,"&gt;"&amp;I296))</f>
        <v/>
      </c>
    </row>
    <row r="297">
      <c r="A297" s="1" t="n"/>
      <c r="B297" s="29" t="n"/>
      <c r="C297" s="24" t="n"/>
      <c r="D297" s="25" t="n"/>
      <c r="E297" s="25" t="n"/>
      <c r="F297" s="28" t="n"/>
      <c r="G297" s="34" t="n"/>
      <c r="H297" s="1" t="n"/>
      <c r="I297">
        <f>IF(OR(C297="",N(F297)=0),"",F297+ROW()/10000000)</f>
        <v/>
      </c>
      <c r="J297">
        <f>IF(I297="","",COUNTIFS(Costs!$C$6:$C$505,C297,Costs!$I$6:$I$505,"&gt;"&amp;I297))</f>
        <v/>
      </c>
    </row>
    <row r="298">
      <c r="A298" s="1" t="n"/>
      <c r="B298" s="29" t="n"/>
      <c r="C298" s="24" t="n"/>
      <c r="D298" s="25" t="n"/>
      <c r="E298" s="25" t="n"/>
      <c r="F298" s="28" t="n"/>
      <c r="G298" s="34" t="n"/>
      <c r="H298" s="1" t="n"/>
      <c r="I298">
        <f>IF(OR(C298="",N(F298)=0),"",F298+ROW()/10000000)</f>
        <v/>
      </c>
      <c r="J298">
        <f>IF(I298="","",COUNTIFS(Costs!$C$6:$C$505,C298,Costs!$I$6:$I$505,"&gt;"&amp;I298))</f>
        <v/>
      </c>
    </row>
    <row r="299">
      <c r="A299" s="1" t="n"/>
      <c r="B299" s="29" t="n"/>
      <c r="C299" s="24" t="n"/>
      <c r="D299" s="25" t="n"/>
      <c r="E299" s="25" t="n"/>
      <c r="F299" s="28" t="n"/>
      <c r="G299" s="34" t="n"/>
      <c r="H299" s="1" t="n"/>
      <c r="I299">
        <f>IF(OR(C299="",N(F299)=0),"",F299+ROW()/10000000)</f>
        <v/>
      </c>
      <c r="J299">
        <f>IF(I299="","",COUNTIFS(Costs!$C$6:$C$505,C299,Costs!$I$6:$I$505,"&gt;"&amp;I299))</f>
        <v/>
      </c>
    </row>
    <row r="300">
      <c r="A300" s="1" t="n"/>
      <c r="B300" s="29" t="n"/>
      <c r="C300" s="24" t="n"/>
      <c r="D300" s="25" t="n"/>
      <c r="E300" s="25" t="n"/>
      <c r="F300" s="28" t="n"/>
      <c r="G300" s="34" t="n"/>
      <c r="H300" s="1" t="n"/>
      <c r="I300">
        <f>IF(OR(C300="",N(F300)=0),"",F300+ROW()/10000000)</f>
        <v/>
      </c>
      <c r="J300">
        <f>IF(I300="","",COUNTIFS(Costs!$C$6:$C$505,C300,Costs!$I$6:$I$505,"&gt;"&amp;I300))</f>
        <v/>
      </c>
    </row>
    <row r="301">
      <c r="A301" s="1" t="n"/>
      <c r="B301" s="29" t="n"/>
      <c r="C301" s="24" t="n"/>
      <c r="D301" s="25" t="n"/>
      <c r="E301" s="25" t="n"/>
      <c r="F301" s="28" t="n"/>
      <c r="G301" s="34" t="n"/>
      <c r="H301" s="1" t="n"/>
      <c r="I301">
        <f>IF(OR(C301="",N(F301)=0),"",F301+ROW()/10000000)</f>
        <v/>
      </c>
      <c r="J301">
        <f>IF(I301="","",COUNTIFS(Costs!$C$6:$C$505,C301,Costs!$I$6:$I$505,"&gt;"&amp;I301))</f>
        <v/>
      </c>
    </row>
    <row r="302">
      <c r="A302" s="1" t="n"/>
      <c r="B302" s="29" t="n"/>
      <c r="C302" s="24" t="n"/>
      <c r="D302" s="25" t="n"/>
      <c r="E302" s="25" t="n"/>
      <c r="F302" s="28" t="n"/>
      <c r="G302" s="34" t="n"/>
      <c r="H302" s="1" t="n"/>
      <c r="I302">
        <f>IF(OR(C302="",N(F302)=0),"",F302+ROW()/10000000)</f>
        <v/>
      </c>
      <c r="J302">
        <f>IF(I302="","",COUNTIFS(Costs!$C$6:$C$505,C302,Costs!$I$6:$I$505,"&gt;"&amp;I302))</f>
        <v/>
      </c>
    </row>
    <row r="303">
      <c r="A303" s="1" t="n"/>
      <c r="B303" s="29" t="n"/>
      <c r="C303" s="24" t="n"/>
      <c r="D303" s="25" t="n"/>
      <c r="E303" s="25" t="n"/>
      <c r="F303" s="28" t="n"/>
      <c r="G303" s="34" t="n"/>
      <c r="H303" s="1" t="n"/>
      <c r="I303">
        <f>IF(OR(C303="",N(F303)=0),"",F303+ROW()/10000000)</f>
        <v/>
      </c>
      <c r="J303">
        <f>IF(I303="","",COUNTIFS(Costs!$C$6:$C$505,C303,Costs!$I$6:$I$505,"&gt;"&amp;I303))</f>
        <v/>
      </c>
    </row>
    <row r="304">
      <c r="A304" s="1" t="n"/>
      <c r="B304" s="29" t="n"/>
      <c r="C304" s="24" t="n"/>
      <c r="D304" s="25" t="n"/>
      <c r="E304" s="25" t="n"/>
      <c r="F304" s="28" t="n"/>
      <c r="G304" s="34" t="n"/>
      <c r="H304" s="1" t="n"/>
      <c r="I304">
        <f>IF(OR(C304="",N(F304)=0),"",F304+ROW()/10000000)</f>
        <v/>
      </c>
      <c r="J304">
        <f>IF(I304="","",COUNTIFS(Costs!$C$6:$C$505,C304,Costs!$I$6:$I$505,"&gt;"&amp;I304))</f>
        <v/>
      </c>
    </row>
    <row r="305">
      <c r="A305" s="1" t="n"/>
      <c r="B305" s="29" t="n"/>
      <c r="C305" s="24" t="n"/>
      <c r="D305" s="25" t="n"/>
      <c r="E305" s="25" t="n"/>
      <c r="F305" s="28" t="n"/>
      <c r="G305" s="34" t="n"/>
      <c r="H305" s="1" t="n"/>
      <c r="I305">
        <f>IF(OR(C305="",N(F305)=0),"",F305+ROW()/10000000)</f>
        <v/>
      </c>
      <c r="J305">
        <f>IF(I305="","",COUNTIFS(Costs!$C$6:$C$505,C305,Costs!$I$6:$I$505,"&gt;"&amp;I305))</f>
        <v/>
      </c>
    </row>
    <row r="306">
      <c r="A306" s="1" t="n"/>
      <c r="B306" s="29" t="n"/>
      <c r="C306" s="24" t="n"/>
      <c r="D306" s="25" t="n"/>
      <c r="E306" s="25" t="n"/>
      <c r="F306" s="28" t="n"/>
      <c r="G306" s="34" t="n"/>
      <c r="H306" s="1" t="n"/>
      <c r="I306">
        <f>IF(OR(C306="",N(F306)=0),"",F306+ROW()/10000000)</f>
        <v/>
      </c>
      <c r="J306">
        <f>IF(I306="","",COUNTIFS(Costs!$C$6:$C$505,C306,Costs!$I$6:$I$505,"&gt;"&amp;I306))</f>
        <v/>
      </c>
    </row>
    <row r="307">
      <c r="A307" s="1" t="n"/>
      <c r="B307" s="29" t="n"/>
      <c r="C307" s="24" t="n"/>
      <c r="D307" s="25" t="n"/>
      <c r="E307" s="25" t="n"/>
      <c r="F307" s="28" t="n"/>
      <c r="G307" s="34" t="n"/>
      <c r="H307" s="1" t="n"/>
      <c r="I307">
        <f>IF(OR(C307="",N(F307)=0),"",F307+ROW()/10000000)</f>
        <v/>
      </c>
      <c r="J307">
        <f>IF(I307="","",COUNTIFS(Costs!$C$6:$C$505,C307,Costs!$I$6:$I$505,"&gt;"&amp;I307))</f>
        <v/>
      </c>
    </row>
    <row r="308">
      <c r="A308" s="1" t="n"/>
      <c r="B308" s="29" t="n"/>
      <c r="C308" s="24" t="n"/>
      <c r="D308" s="25" t="n"/>
      <c r="E308" s="25" t="n"/>
      <c r="F308" s="28" t="n"/>
      <c r="G308" s="34" t="n"/>
      <c r="H308" s="1" t="n"/>
      <c r="I308">
        <f>IF(OR(C308="",N(F308)=0),"",F308+ROW()/10000000)</f>
        <v/>
      </c>
      <c r="J308">
        <f>IF(I308="","",COUNTIFS(Costs!$C$6:$C$505,C308,Costs!$I$6:$I$505,"&gt;"&amp;I308))</f>
        <v/>
      </c>
    </row>
    <row r="309">
      <c r="A309" s="1" t="n"/>
      <c r="B309" s="29" t="n"/>
      <c r="C309" s="24" t="n"/>
      <c r="D309" s="25" t="n"/>
      <c r="E309" s="25" t="n"/>
      <c r="F309" s="28" t="n"/>
      <c r="G309" s="34" t="n"/>
      <c r="H309" s="1" t="n"/>
      <c r="I309">
        <f>IF(OR(C309="",N(F309)=0),"",F309+ROW()/10000000)</f>
        <v/>
      </c>
      <c r="J309">
        <f>IF(I309="","",COUNTIFS(Costs!$C$6:$C$505,C309,Costs!$I$6:$I$505,"&gt;"&amp;I309))</f>
        <v/>
      </c>
    </row>
    <row r="310">
      <c r="A310" s="1" t="n"/>
      <c r="B310" s="29" t="n"/>
      <c r="C310" s="24" t="n"/>
      <c r="D310" s="25" t="n"/>
      <c r="E310" s="25" t="n"/>
      <c r="F310" s="28" t="n"/>
      <c r="G310" s="34" t="n"/>
      <c r="H310" s="1" t="n"/>
      <c r="I310">
        <f>IF(OR(C310="",N(F310)=0),"",F310+ROW()/10000000)</f>
        <v/>
      </c>
      <c r="J310">
        <f>IF(I310="","",COUNTIFS(Costs!$C$6:$C$505,C310,Costs!$I$6:$I$505,"&gt;"&amp;I310))</f>
        <v/>
      </c>
    </row>
    <row r="311">
      <c r="A311" s="1" t="n"/>
      <c r="B311" s="29" t="n"/>
      <c r="C311" s="24" t="n"/>
      <c r="D311" s="25" t="n"/>
      <c r="E311" s="25" t="n"/>
      <c r="F311" s="28" t="n"/>
      <c r="G311" s="34" t="n"/>
      <c r="H311" s="1" t="n"/>
      <c r="I311">
        <f>IF(OR(C311="",N(F311)=0),"",F311+ROW()/10000000)</f>
        <v/>
      </c>
      <c r="J311">
        <f>IF(I311="","",COUNTIFS(Costs!$C$6:$C$505,C311,Costs!$I$6:$I$505,"&gt;"&amp;I311))</f>
        <v/>
      </c>
    </row>
    <row r="312">
      <c r="A312" s="1" t="n"/>
      <c r="B312" s="29" t="n"/>
      <c r="C312" s="24" t="n"/>
      <c r="D312" s="25" t="n"/>
      <c r="E312" s="25" t="n"/>
      <c r="F312" s="28" t="n"/>
      <c r="G312" s="34" t="n"/>
      <c r="H312" s="1" t="n"/>
      <c r="I312">
        <f>IF(OR(C312="",N(F312)=0),"",F312+ROW()/10000000)</f>
        <v/>
      </c>
      <c r="J312">
        <f>IF(I312="","",COUNTIFS(Costs!$C$6:$C$505,C312,Costs!$I$6:$I$505,"&gt;"&amp;I312))</f>
        <v/>
      </c>
    </row>
    <row r="313">
      <c r="A313" s="1" t="n"/>
      <c r="B313" s="29" t="n"/>
      <c r="C313" s="24" t="n"/>
      <c r="D313" s="25" t="n"/>
      <c r="E313" s="25" t="n"/>
      <c r="F313" s="28" t="n"/>
      <c r="G313" s="34" t="n"/>
      <c r="H313" s="1" t="n"/>
      <c r="I313">
        <f>IF(OR(C313="",N(F313)=0),"",F313+ROW()/10000000)</f>
        <v/>
      </c>
      <c r="J313">
        <f>IF(I313="","",COUNTIFS(Costs!$C$6:$C$505,C313,Costs!$I$6:$I$505,"&gt;"&amp;I313))</f>
        <v/>
      </c>
    </row>
    <row r="314">
      <c r="A314" s="1" t="n"/>
      <c r="B314" s="29" t="n"/>
      <c r="C314" s="24" t="n"/>
      <c r="D314" s="25" t="n"/>
      <c r="E314" s="25" t="n"/>
      <c r="F314" s="28" t="n"/>
      <c r="G314" s="34" t="n"/>
      <c r="H314" s="1" t="n"/>
      <c r="I314">
        <f>IF(OR(C314="",N(F314)=0),"",F314+ROW()/10000000)</f>
        <v/>
      </c>
      <c r="J314">
        <f>IF(I314="","",COUNTIFS(Costs!$C$6:$C$505,C314,Costs!$I$6:$I$505,"&gt;"&amp;I314))</f>
        <v/>
      </c>
    </row>
    <row r="315">
      <c r="A315" s="1" t="n"/>
      <c r="B315" s="29" t="n"/>
      <c r="C315" s="24" t="n"/>
      <c r="D315" s="25" t="n"/>
      <c r="E315" s="25" t="n"/>
      <c r="F315" s="28" t="n"/>
      <c r="G315" s="34" t="n"/>
      <c r="H315" s="1" t="n"/>
      <c r="I315">
        <f>IF(OR(C315="",N(F315)=0),"",F315+ROW()/10000000)</f>
        <v/>
      </c>
      <c r="J315">
        <f>IF(I315="","",COUNTIFS(Costs!$C$6:$C$505,C315,Costs!$I$6:$I$505,"&gt;"&amp;I315))</f>
        <v/>
      </c>
    </row>
    <row r="316">
      <c r="A316" s="1" t="n"/>
      <c r="B316" s="29" t="n"/>
      <c r="C316" s="24" t="n"/>
      <c r="D316" s="25" t="n"/>
      <c r="E316" s="25" t="n"/>
      <c r="F316" s="28" t="n"/>
      <c r="G316" s="34" t="n"/>
      <c r="H316" s="1" t="n"/>
      <c r="I316">
        <f>IF(OR(C316="",N(F316)=0),"",F316+ROW()/10000000)</f>
        <v/>
      </c>
      <c r="J316">
        <f>IF(I316="","",COUNTIFS(Costs!$C$6:$C$505,C316,Costs!$I$6:$I$505,"&gt;"&amp;I316))</f>
        <v/>
      </c>
    </row>
    <row r="317">
      <c r="A317" s="1" t="n"/>
      <c r="B317" s="29" t="n"/>
      <c r="C317" s="24" t="n"/>
      <c r="D317" s="25" t="n"/>
      <c r="E317" s="25" t="n"/>
      <c r="F317" s="28" t="n"/>
      <c r="G317" s="34" t="n"/>
      <c r="H317" s="1" t="n"/>
      <c r="I317">
        <f>IF(OR(C317="",N(F317)=0),"",F317+ROW()/10000000)</f>
        <v/>
      </c>
      <c r="J317">
        <f>IF(I317="","",COUNTIFS(Costs!$C$6:$C$505,C317,Costs!$I$6:$I$505,"&gt;"&amp;I317))</f>
        <v/>
      </c>
    </row>
    <row r="318">
      <c r="A318" s="1" t="n"/>
      <c r="B318" s="29" t="n"/>
      <c r="C318" s="24" t="n"/>
      <c r="D318" s="25" t="n"/>
      <c r="E318" s="25" t="n"/>
      <c r="F318" s="28" t="n"/>
      <c r="G318" s="34" t="n"/>
      <c r="H318" s="1" t="n"/>
      <c r="I318">
        <f>IF(OR(C318="",N(F318)=0),"",F318+ROW()/10000000)</f>
        <v/>
      </c>
      <c r="J318">
        <f>IF(I318="","",COUNTIFS(Costs!$C$6:$C$505,C318,Costs!$I$6:$I$505,"&gt;"&amp;I318))</f>
        <v/>
      </c>
    </row>
    <row r="319">
      <c r="A319" s="1" t="n"/>
      <c r="B319" s="29" t="n"/>
      <c r="C319" s="24" t="n"/>
      <c r="D319" s="25" t="n"/>
      <c r="E319" s="25" t="n"/>
      <c r="F319" s="28" t="n"/>
      <c r="G319" s="34" t="n"/>
      <c r="H319" s="1" t="n"/>
      <c r="I319">
        <f>IF(OR(C319="",N(F319)=0),"",F319+ROW()/10000000)</f>
        <v/>
      </c>
      <c r="J319">
        <f>IF(I319="","",COUNTIFS(Costs!$C$6:$C$505,C319,Costs!$I$6:$I$505,"&gt;"&amp;I319))</f>
        <v/>
      </c>
    </row>
    <row r="320">
      <c r="A320" s="1" t="n"/>
      <c r="B320" s="29" t="n"/>
      <c r="C320" s="24" t="n"/>
      <c r="D320" s="25" t="n"/>
      <c r="E320" s="25" t="n"/>
      <c r="F320" s="28" t="n"/>
      <c r="G320" s="34" t="n"/>
      <c r="H320" s="1" t="n"/>
      <c r="I320">
        <f>IF(OR(C320="",N(F320)=0),"",F320+ROW()/10000000)</f>
        <v/>
      </c>
      <c r="J320">
        <f>IF(I320="","",COUNTIFS(Costs!$C$6:$C$505,C320,Costs!$I$6:$I$505,"&gt;"&amp;I320))</f>
        <v/>
      </c>
    </row>
    <row r="321">
      <c r="A321" s="1" t="n"/>
      <c r="B321" s="29" t="n"/>
      <c r="C321" s="24" t="n"/>
      <c r="D321" s="25" t="n"/>
      <c r="E321" s="25" t="n"/>
      <c r="F321" s="28" t="n"/>
      <c r="G321" s="34" t="n"/>
      <c r="H321" s="1" t="n"/>
      <c r="I321">
        <f>IF(OR(C321="",N(F321)=0),"",F321+ROW()/10000000)</f>
        <v/>
      </c>
      <c r="J321">
        <f>IF(I321="","",COUNTIFS(Costs!$C$6:$C$505,C321,Costs!$I$6:$I$505,"&gt;"&amp;I321))</f>
        <v/>
      </c>
    </row>
    <row r="322">
      <c r="A322" s="1" t="n"/>
      <c r="B322" s="29" t="n"/>
      <c r="C322" s="24" t="n"/>
      <c r="D322" s="25" t="n"/>
      <c r="E322" s="25" t="n"/>
      <c r="F322" s="28" t="n"/>
      <c r="G322" s="34" t="n"/>
      <c r="H322" s="1" t="n"/>
      <c r="I322">
        <f>IF(OR(C322="",N(F322)=0),"",F322+ROW()/10000000)</f>
        <v/>
      </c>
      <c r="J322">
        <f>IF(I322="","",COUNTIFS(Costs!$C$6:$C$505,C322,Costs!$I$6:$I$505,"&gt;"&amp;I322))</f>
        <v/>
      </c>
    </row>
    <row r="323">
      <c r="A323" s="1" t="n"/>
      <c r="B323" s="29" t="n"/>
      <c r="C323" s="24" t="n"/>
      <c r="D323" s="25" t="n"/>
      <c r="E323" s="25" t="n"/>
      <c r="F323" s="28" t="n"/>
      <c r="G323" s="34" t="n"/>
      <c r="H323" s="1" t="n"/>
      <c r="I323">
        <f>IF(OR(C323="",N(F323)=0),"",F323+ROW()/10000000)</f>
        <v/>
      </c>
      <c r="J323">
        <f>IF(I323="","",COUNTIFS(Costs!$C$6:$C$505,C323,Costs!$I$6:$I$505,"&gt;"&amp;I323))</f>
        <v/>
      </c>
    </row>
    <row r="324">
      <c r="A324" s="1" t="n"/>
      <c r="B324" s="29" t="n"/>
      <c r="C324" s="24" t="n"/>
      <c r="D324" s="25" t="n"/>
      <c r="E324" s="25" t="n"/>
      <c r="F324" s="28" t="n"/>
      <c r="G324" s="34" t="n"/>
      <c r="H324" s="1" t="n"/>
      <c r="I324">
        <f>IF(OR(C324="",N(F324)=0),"",F324+ROW()/10000000)</f>
        <v/>
      </c>
      <c r="J324">
        <f>IF(I324="","",COUNTIFS(Costs!$C$6:$C$505,C324,Costs!$I$6:$I$505,"&gt;"&amp;I324))</f>
        <v/>
      </c>
    </row>
    <row r="325">
      <c r="A325" s="1" t="n"/>
      <c r="B325" s="29" t="n"/>
      <c r="C325" s="24" t="n"/>
      <c r="D325" s="25" t="n"/>
      <c r="E325" s="25" t="n"/>
      <c r="F325" s="28" t="n"/>
      <c r="G325" s="34" t="n"/>
      <c r="H325" s="1" t="n"/>
      <c r="I325">
        <f>IF(OR(C325="",N(F325)=0),"",F325+ROW()/10000000)</f>
        <v/>
      </c>
      <c r="J325">
        <f>IF(I325="","",COUNTIFS(Costs!$C$6:$C$505,C325,Costs!$I$6:$I$505,"&gt;"&amp;I325))</f>
        <v/>
      </c>
    </row>
    <row r="326">
      <c r="A326" s="1" t="n"/>
      <c r="B326" s="29" t="n"/>
      <c r="C326" s="24" t="n"/>
      <c r="D326" s="25" t="n"/>
      <c r="E326" s="25" t="n"/>
      <c r="F326" s="28" t="n"/>
      <c r="G326" s="34" t="n"/>
      <c r="H326" s="1" t="n"/>
      <c r="I326">
        <f>IF(OR(C326="",N(F326)=0),"",F326+ROW()/10000000)</f>
        <v/>
      </c>
      <c r="J326">
        <f>IF(I326="","",COUNTIFS(Costs!$C$6:$C$505,C326,Costs!$I$6:$I$505,"&gt;"&amp;I326))</f>
        <v/>
      </c>
    </row>
    <row r="327">
      <c r="A327" s="1" t="n"/>
      <c r="B327" s="29" t="n"/>
      <c r="C327" s="24" t="n"/>
      <c r="D327" s="25" t="n"/>
      <c r="E327" s="25" t="n"/>
      <c r="F327" s="28" t="n"/>
      <c r="G327" s="34" t="n"/>
      <c r="H327" s="1" t="n"/>
      <c r="I327">
        <f>IF(OR(C327="",N(F327)=0),"",F327+ROW()/10000000)</f>
        <v/>
      </c>
      <c r="J327">
        <f>IF(I327="","",COUNTIFS(Costs!$C$6:$C$505,C327,Costs!$I$6:$I$505,"&gt;"&amp;I327))</f>
        <v/>
      </c>
    </row>
    <row r="328">
      <c r="A328" s="1" t="n"/>
      <c r="B328" s="29" t="n"/>
      <c r="C328" s="24" t="n"/>
      <c r="D328" s="25" t="n"/>
      <c r="E328" s="25" t="n"/>
      <c r="F328" s="28" t="n"/>
      <c r="G328" s="34" t="n"/>
      <c r="H328" s="1" t="n"/>
      <c r="I328">
        <f>IF(OR(C328="",N(F328)=0),"",F328+ROW()/10000000)</f>
        <v/>
      </c>
      <c r="J328">
        <f>IF(I328="","",COUNTIFS(Costs!$C$6:$C$505,C328,Costs!$I$6:$I$505,"&gt;"&amp;I328))</f>
        <v/>
      </c>
    </row>
    <row r="329">
      <c r="A329" s="1" t="n"/>
      <c r="B329" s="29" t="n"/>
      <c r="C329" s="24" t="n"/>
      <c r="D329" s="25" t="n"/>
      <c r="E329" s="25" t="n"/>
      <c r="F329" s="28" t="n"/>
      <c r="G329" s="34" t="n"/>
      <c r="H329" s="1" t="n"/>
      <c r="I329">
        <f>IF(OR(C329="",N(F329)=0),"",F329+ROW()/10000000)</f>
        <v/>
      </c>
      <c r="J329">
        <f>IF(I329="","",COUNTIFS(Costs!$C$6:$C$505,C329,Costs!$I$6:$I$505,"&gt;"&amp;I329))</f>
        <v/>
      </c>
    </row>
    <row r="330">
      <c r="A330" s="1" t="n"/>
      <c r="B330" s="29" t="n"/>
      <c r="C330" s="24" t="n"/>
      <c r="D330" s="25" t="n"/>
      <c r="E330" s="25" t="n"/>
      <c r="F330" s="28" t="n"/>
      <c r="G330" s="34" t="n"/>
      <c r="H330" s="1" t="n"/>
      <c r="I330">
        <f>IF(OR(C330="",N(F330)=0),"",F330+ROW()/10000000)</f>
        <v/>
      </c>
      <c r="J330">
        <f>IF(I330="","",COUNTIFS(Costs!$C$6:$C$505,C330,Costs!$I$6:$I$505,"&gt;"&amp;I330))</f>
        <v/>
      </c>
    </row>
    <row r="331">
      <c r="A331" s="1" t="n"/>
      <c r="B331" s="29" t="n"/>
      <c r="C331" s="24" t="n"/>
      <c r="D331" s="25" t="n"/>
      <c r="E331" s="25" t="n"/>
      <c r="F331" s="28" t="n"/>
      <c r="G331" s="34" t="n"/>
      <c r="H331" s="1" t="n"/>
      <c r="I331">
        <f>IF(OR(C331="",N(F331)=0),"",F331+ROW()/10000000)</f>
        <v/>
      </c>
      <c r="J331">
        <f>IF(I331="","",COUNTIFS(Costs!$C$6:$C$505,C331,Costs!$I$6:$I$505,"&gt;"&amp;I331))</f>
        <v/>
      </c>
    </row>
    <row r="332">
      <c r="A332" s="1" t="n"/>
      <c r="B332" s="29" t="n"/>
      <c r="C332" s="24" t="n"/>
      <c r="D332" s="25" t="n"/>
      <c r="E332" s="25" t="n"/>
      <c r="F332" s="28" t="n"/>
      <c r="G332" s="34" t="n"/>
      <c r="H332" s="1" t="n"/>
      <c r="I332">
        <f>IF(OR(C332="",N(F332)=0),"",F332+ROW()/10000000)</f>
        <v/>
      </c>
      <c r="J332">
        <f>IF(I332="","",COUNTIFS(Costs!$C$6:$C$505,C332,Costs!$I$6:$I$505,"&gt;"&amp;I332))</f>
        <v/>
      </c>
    </row>
    <row r="333">
      <c r="A333" s="1" t="n"/>
      <c r="B333" s="29" t="n"/>
      <c r="C333" s="24" t="n"/>
      <c r="D333" s="25" t="n"/>
      <c r="E333" s="25" t="n"/>
      <c r="F333" s="28" t="n"/>
      <c r="G333" s="34" t="n"/>
      <c r="H333" s="1" t="n"/>
      <c r="I333">
        <f>IF(OR(C333="",N(F333)=0),"",F333+ROW()/10000000)</f>
        <v/>
      </c>
      <c r="J333">
        <f>IF(I333="","",COUNTIFS(Costs!$C$6:$C$505,C333,Costs!$I$6:$I$505,"&gt;"&amp;I333))</f>
        <v/>
      </c>
    </row>
    <row r="334">
      <c r="A334" s="1" t="n"/>
      <c r="B334" s="29" t="n"/>
      <c r="C334" s="24" t="n"/>
      <c r="D334" s="25" t="n"/>
      <c r="E334" s="25" t="n"/>
      <c r="F334" s="28" t="n"/>
      <c r="G334" s="34" t="n"/>
      <c r="H334" s="1" t="n"/>
      <c r="I334">
        <f>IF(OR(C334="",N(F334)=0),"",F334+ROW()/10000000)</f>
        <v/>
      </c>
      <c r="J334">
        <f>IF(I334="","",COUNTIFS(Costs!$C$6:$C$505,C334,Costs!$I$6:$I$505,"&gt;"&amp;I334))</f>
        <v/>
      </c>
    </row>
    <row r="335">
      <c r="A335" s="1" t="n"/>
      <c r="B335" s="29" t="n"/>
      <c r="C335" s="24" t="n"/>
      <c r="D335" s="25" t="n"/>
      <c r="E335" s="25" t="n"/>
      <c r="F335" s="28" t="n"/>
      <c r="G335" s="34" t="n"/>
      <c r="H335" s="1" t="n"/>
      <c r="I335">
        <f>IF(OR(C335="",N(F335)=0),"",F335+ROW()/10000000)</f>
        <v/>
      </c>
      <c r="J335">
        <f>IF(I335="","",COUNTIFS(Costs!$C$6:$C$505,C335,Costs!$I$6:$I$505,"&gt;"&amp;I335))</f>
        <v/>
      </c>
    </row>
    <row r="336">
      <c r="A336" s="1" t="n"/>
      <c r="B336" s="29" t="n"/>
      <c r="C336" s="24" t="n"/>
      <c r="D336" s="25" t="n"/>
      <c r="E336" s="25" t="n"/>
      <c r="F336" s="28" t="n"/>
      <c r="G336" s="34" t="n"/>
      <c r="H336" s="1" t="n"/>
      <c r="I336">
        <f>IF(OR(C336="",N(F336)=0),"",F336+ROW()/10000000)</f>
        <v/>
      </c>
      <c r="J336">
        <f>IF(I336="","",COUNTIFS(Costs!$C$6:$C$505,C336,Costs!$I$6:$I$505,"&gt;"&amp;I336))</f>
        <v/>
      </c>
    </row>
    <row r="337">
      <c r="A337" s="1" t="n"/>
      <c r="B337" s="29" t="n"/>
      <c r="C337" s="24" t="n"/>
      <c r="D337" s="25" t="n"/>
      <c r="E337" s="25" t="n"/>
      <c r="F337" s="28" t="n"/>
      <c r="G337" s="34" t="n"/>
      <c r="H337" s="1" t="n"/>
      <c r="I337">
        <f>IF(OR(C337="",N(F337)=0),"",F337+ROW()/10000000)</f>
        <v/>
      </c>
      <c r="J337">
        <f>IF(I337="","",COUNTIFS(Costs!$C$6:$C$505,C337,Costs!$I$6:$I$505,"&gt;"&amp;I337))</f>
        <v/>
      </c>
    </row>
    <row r="338">
      <c r="A338" s="1" t="n"/>
      <c r="B338" s="29" t="n"/>
      <c r="C338" s="24" t="n"/>
      <c r="D338" s="25" t="n"/>
      <c r="E338" s="25" t="n"/>
      <c r="F338" s="28" t="n"/>
      <c r="G338" s="34" t="n"/>
      <c r="H338" s="1" t="n"/>
      <c r="I338">
        <f>IF(OR(C338="",N(F338)=0),"",F338+ROW()/10000000)</f>
        <v/>
      </c>
      <c r="J338">
        <f>IF(I338="","",COUNTIFS(Costs!$C$6:$C$505,C338,Costs!$I$6:$I$505,"&gt;"&amp;I338))</f>
        <v/>
      </c>
    </row>
    <row r="339">
      <c r="A339" s="1" t="n"/>
      <c r="B339" s="29" t="n"/>
      <c r="C339" s="24" t="n"/>
      <c r="D339" s="25" t="n"/>
      <c r="E339" s="25" t="n"/>
      <c r="F339" s="28" t="n"/>
      <c r="G339" s="34" t="n"/>
      <c r="H339" s="1" t="n"/>
      <c r="I339">
        <f>IF(OR(C339="",N(F339)=0),"",F339+ROW()/10000000)</f>
        <v/>
      </c>
      <c r="J339">
        <f>IF(I339="","",COUNTIFS(Costs!$C$6:$C$505,C339,Costs!$I$6:$I$505,"&gt;"&amp;I339))</f>
        <v/>
      </c>
    </row>
    <row r="340">
      <c r="A340" s="1" t="n"/>
      <c r="B340" s="29" t="n"/>
      <c r="C340" s="24" t="n"/>
      <c r="D340" s="25" t="n"/>
      <c r="E340" s="25" t="n"/>
      <c r="F340" s="28" t="n"/>
      <c r="G340" s="34" t="n"/>
      <c r="H340" s="1" t="n"/>
      <c r="I340">
        <f>IF(OR(C340="",N(F340)=0),"",F340+ROW()/10000000)</f>
        <v/>
      </c>
      <c r="J340">
        <f>IF(I340="","",COUNTIFS(Costs!$C$6:$C$505,C340,Costs!$I$6:$I$505,"&gt;"&amp;I340))</f>
        <v/>
      </c>
    </row>
    <row r="341">
      <c r="A341" s="1" t="n"/>
      <c r="B341" s="29" t="n"/>
      <c r="C341" s="24" t="n"/>
      <c r="D341" s="25" t="n"/>
      <c r="E341" s="25" t="n"/>
      <c r="F341" s="28" t="n"/>
      <c r="G341" s="34" t="n"/>
      <c r="H341" s="1" t="n"/>
      <c r="I341">
        <f>IF(OR(C341="",N(F341)=0),"",F341+ROW()/10000000)</f>
        <v/>
      </c>
      <c r="J341">
        <f>IF(I341="","",COUNTIFS(Costs!$C$6:$C$505,C341,Costs!$I$6:$I$505,"&gt;"&amp;I341))</f>
        <v/>
      </c>
    </row>
    <row r="342">
      <c r="A342" s="1" t="n"/>
      <c r="B342" s="29" t="n"/>
      <c r="C342" s="24" t="n"/>
      <c r="D342" s="25" t="n"/>
      <c r="E342" s="25" t="n"/>
      <c r="F342" s="28" t="n"/>
      <c r="G342" s="34" t="n"/>
      <c r="H342" s="1" t="n"/>
      <c r="I342">
        <f>IF(OR(C342="",N(F342)=0),"",F342+ROW()/10000000)</f>
        <v/>
      </c>
      <c r="J342">
        <f>IF(I342="","",COUNTIFS(Costs!$C$6:$C$505,C342,Costs!$I$6:$I$505,"&gt;"&amp;I342))</f>
        <v/>
      </c>
    </row>
    <row r="343">
      <c r="A343" s="1" t="n"/>
      <c r="B343" s="29" t="n"/>
      <c r="C343" s="24" t="n"/>
      <c r="D343" s="25" t="n"/>
      <c r="E343" s="25" t="n"/>
      <c r="F343" s="28" t="n"/>
      <c r="G343" s="34" t="n"/>
      <c r="H343" s="1" t="n"/>
      <c r="I343">
        <f>IF(OR(C343="",N(F343)=0),"",F343+ROW()/10000000)</f>
        <v/>
      </c>
      <c r="J343">
        <f>IF(I343="","",COUNTIFS(Costs!$C$6:$C$505,C343,Costs!$I$6:$I$505,"&gt;"&amp;I343))</f>
        <v/>
      </c>
    </row>
    <row r="344">
      <c r="A344" s="1" t="n"/>
      <c r="B344" s="29" t="n"/>
      <c r="C344" s="24" t="n"/>
      <c r="D344" s="25" t="n"/>
      <c r="E344" s="25" t="n"/>
      <c r="F344" s="28" t="n"/>
      <c r="G344" s="34" t="n"/>
      <c r="H344" s="1" t="n"/>
      <c r="I344">
        <f>IF(OR(C344="",N(F344)=0),"",F344+ROW()/10000000)</f>
        <v/>
      </c>
      <c r="J344">
        <f>IF(I344="","",COUNTIFS(Costs!$C$6:$C$505,C344,Costs!$I$6:$I$505,"&gt;"&amp;I344))</f>
        <v/>
      </c>
    </row>
    <row r="345">
      <c r="A345" s="1" t="n"/>
      <c r="B345" s="29" t="n"/>
      <c r="C345" s="24" t="n"/>
      <c r="D345" s="25" t="n"/>
      <c r="E345" s="25" t="n"/>
      <c r="F345" s="28" t="n"/>
      <c r="G345" s="34" t="n"/>
      <c r="H345" s="1" t="n"/>
      <c r="I345">
        <f>IF(OR(C345="",N(F345)=0),"",F345+ROW()/10000000)</f>
        <v/>
      </c>
      <c r="J345">
        <f>IF(I345="","",COUNTIFS(Costs!$C$6:$C$505,C345,Costs!$I$6:$I$505,"&gt;"&amp;I345))</f>
        <v/>
      </c>
    </row>
    <row r="346">
      <c r="A346" s="1" t="n"/>
      <c r="B346" s="29" t="n"/>
      <c r="C346" s="24" t="n"/>
      <c r="D346" s="25" t="n"/>
      <c r="E346" s="25" t="n"/>
      <c r="F346" s="28" t="n"/>
      <c r="G346" s="34" t="n"/>
      <c r="H346" s="1" t="n"/>
      <c r="I346">
        <f>IF(OR(C346="",N(F346)=0),"",F346+ROW()/10000000)</f>
        <v/>
      </c>
      <c r="J346">
        <f>IF(I346="","",COUNTIFS(Costs!$C$6:$C$505,C346,Costs!$I$6:$I$505,"&gt;"&amp;I346))</f>
        <v/>
      </c>
    </row>
    <row r="347">
      <c r="A347" s="1" t="n"/>
      <c r="B347" s="29" t="n"/>
      <c r="C347" s="24" t="n"/>
      <c r="D347" s="25" t="n"/>
      <c r="E347" s="25" t="n"/>
      <c r="F347" s="28" t="n"/>
      <c r="G347" s="34" t="n"/>
      <c r="H347" s="1" t="n"/>
      <c r="I347">
        <f>IF(OR(C347="",N(F347)=0),"",F347+ROW()/10000000)</f>
        <v/>
      </c>
      <c r="J347">
        <f>IF(I347="","",COUNTIFS(Costs!$C$6:$C$505,C347,Costs!$I$6:$I$505,"&gt;"&amp;I347))</f>
        <v/>
      </c>
    </row>
    <row r="348">
      <c r="A348" s="1" t="n"/>
      <c r="B348" s="29" t="n"/>
      <c r="C348" s="24" t="n"/>
      <c r="D348" s="25" t="n"/>
      <c r="E348" s="25" t="n"/>
      <c r="F348" s="28" t="n"/>
      <c r="G348" s="34" t="n"/>
      <c r="H348" s="1" t="n"/>
      <c r="I348">
        <f>IF(OR(C348="",N(F348)=0),"",F348+ROW()/10000000)</f>
        <v/>
      </c>
      <c r="J348">
        <f>IF(I348="","",COUNTIFS(Costs!$C$6:$C$505,C348,Costs!$I$6:$I$505,"&gt;"&amp;I348))</f>
        <v/>
      </c>
    </row>
    <row r="349">
      <c r="A349" s="1" t="n"/>
      <c r="B349" s="29" t="n"/>
      <c r="C349" s="24" t="n"/>
      <c r="D349" s="25" t="n"/>
      <c r="E349" s="25" t="n"/>
      <c r="F349" s="28" t="n"/>
      <c r="G349" s="34" t="n"/>
      <c r="H349" s="1" t="n"/>
      <c r="I349">
        <f>IF(OR(C349="",N(F349)=0),"",F349+ROW()/10000000)</f>
        <v/>
      </c>
      <c r="J349">
        <f>IF(I349="","",COUNTIFS(Costs!$C$6:$C$505,C349,Costs!$I$6:$I$505,"&gt;"&amp;I349))</f>
        <v/>
      </c>
    </row>
    <row r="350">
      <c r="A350" s="1" t="n"/>
      <c r="B350" s="29" t="n"/>
      <c r="C350" s="24" t="n"/>
      <c r="D350" s="25" t="n"/>
      <c r="E350" s="25" t="n"/>
      <c r="F350" s="28" t="n"/>
      <c r="G350" s="34" t="n"/>
      <c r="H350" s="1" t="n"/>
      <c r="I350">
        <f>IF(OR(C350="",N(F350)=0),"",F350+ROW()/10000000)</f>
        <v/>
      </c>
      <c r="J350">
        <f>IF(I350="","",COUNTIFS(Costs!$C$6:$C$505,C350,Costs!$I$6:$I$505,"&gt;"&amp;I350))</f>
        <v/>
      </c>
    </row>
    <row r="351">
      <c r="A351" s="1" t="n"/>
      <c r="B351" s="29" t="n"/>
      <c r="C351" s="24" t="n"/>
      <c r="D351" s="25" t="n"/>
      <c r="E351" s="25" t="n"/>
      <c r="F351" s="28" t="n"/>
      <c r="G351" s="34" t="n"/>
      <c r="H351" s="1" t="n"/>
      <c r="I351">
        <f>IF(OR(C351="",N(F351)=0),"",F351+ROW()/10000000)</f>
        <v/>
      </c>
      <c r="J351">
        <f>IF(I351="","",COUNTIFS(Costs!$C$6:$C$505,C351,Costs!$I$6:$I$505,"&gt;"&amp;I351))</f>
        <v/>
      </c>
    </row>
    <row r="352">
      <c r="A352" s="1" t="n"/>
      <c r="B352" s="29" t="n"/>
      <c r="C352" s="24" t="n"/>
      <c r="D352" s="25" t="n"/>
      <c r="E352" s="25" t="n"/>
      <c r="F352" s="28" t="n"/>
      <c r="G352" s="34" t="n"/>
      <c r="H352" s="1" t="n"/>
      <c r="I352">
        <f>IF(OR(C352="",N(F352)=0),"",F352+ROW()/10000000)</f>
        <v/>
      </c>
      <c r="J352">
        <f>IF(I352="","",COUNTIFS(Costs!$C$6:$C$505,C352,Costs!$I$6:$I$505,"&gt;"&amp;I352))</f>
        <v/>
      </c>
    </row>
    <row r="353">
      <c r="A353" s="1" t="n"/>
      <c r="B353" s="29" t="n"/>
      <c r="C353" s="24" t="n"/>
      <c r="D353" s="25" t="n"/>
      <c r="E353" s="25" t="n"/>
      <c r="F353" s="28" t="n"/>
      <c r="G353" s="34" t="n"/>
      <c r="H353" s="1" t="n"/>
      <c r="I353">
        <f>IF(OR(C353="",N(F353)=0),"",F353+ROW()/10000000)</f>
        <v/>
      </c>
      <c r="J353">
        <f>IF(I353="","",COUNTIFS(Costs!$C$6:$C$505,C353,Costs!$I$6:$I$505,"&gt;"&amp;I353))</f>
        <v/>
      </c>
    </row>
    <row r="354">
      <c r="A354" s="1" t="n"/>
      <c r="B354" s="29" t="n"/>
      <c r="C354" s="24" t="n"/>
      <c r="D354" s="25" t="n"/>
      <c r="E354" s="25" t="n"/>
      <c r="F354" s="28" t="n"/>
      <c r="G354" s="34" t="n"/>
      <c r="H354" s="1" t="n"/>
      <c r="I354">
        <f>IF(OR(C354="",N(F354)=0),"",F354+ROW()/10000000)</f>
        <v/>
      </c>
      <c r="J354">
        <f>IF(I354="","",COUNTIFS(Costs!$C$6:$C$505,C354,Costs!$I$6:$I$505,"&gt;"&amp;I354))</f>
        <v/>
      </c>
    </row>
    <row r="355">
      <c r="A355" s="1" t="n"/>
      <c r="B355" s="29" t="n"/>
      <c r="C355" s="24" t="n"/>
      <c r="D355" s="25" t="n"/>
      <c r="E355" s="25" t="n"/>
      <c r="F355" s="28" t="n"/>
      <c r="G355" s="34" t="n"/>
      <c r="H355" s="1" t="n"/>
      <c r="I355">
        <f>IF(OR(C355="",N(F355)=0),"",F355+ROW()/10000000)</f>
        <v/>
      </c>
      <c r="J355">
        <f>IF(I355="","",COUNTIFS(Costs!$C$6:$C$505,C355,Costs!$I$6:$I$505,"&gt;"&amp;I355))</f>
        <v/>
      </c>
    </row>
    <row r="356">
      <c r="A356" s="1" t="n"/>
      <c r="B356" s="29" t="n"/>
      <c r="C356" s="24" t="n"/>
      <c r="D356" s="25" t="n"/>
      <c r="E356" s="25" t="n"/>
      <c r="F356" s="28" t="n"/>
      <c r="G356" s="34" t="n"/>
      <c r="H356" s="1" t="n"/>
      <c r="I356">
        <f>IF(OR(C356="",N(F356)=0),"",F356+ROW()/10000000)</f>
        <v/>
      </c>
      <c r="J356">
        <f>IF(I356="","",COUNTIFS(Costs!$C$6:$C$505,C356,Costs!$I$6:$I$505,"&gt;"&amp;I356))</f>
        <v/>
      </c>
    </row>
    <row r="357">
      <c r="A357" s="1" t="n"/>
      <c r="B357" s="29" t="n"/>
      <c r="C357" s="24" t="n"/>
      <c r="D357" s="25" t="n"/>
      <c r="E357" s="25" t="n"/>
      <c r="F357" s="28" t="n"/>
      <c r="G357" s="34" t="n"/>
      <c r="H357" s="1" t="n"/>
      <c r="I357">
        <f>IF(OR(C357="",N(F357)=0),"",F357+ROW()/10000000)</f>
        <v/>
      </c>
      <c r="J357">
        <f>IF(I357="","",COUNTIFS(Costs!$C$6:$C$505,C357,Costs!$I$6:$I$505,"&gt;"&amp;I357))</f>
        <v/>
      </c>
    </row>
    <row r="358">
      <c r="A358" s="1" t="n"/>
      <c r="B358" s="29" t="n"/>
      <c r="C358" s="24" t="n"/>
      <c r="D358" s="25" t="n"/>
      <c r="E358" s="25" t="n"/>
      <c r="F358" s="28" t="n"/>
      <c r="G358" s="34" t="n"/>
      <c r="H358" s="1" t="n"/>
      <c r="I358">
        <f>IF(OR(C358="",N(F358)=0),"",F358+ROW()/10000000)</f>
        <v/>
      </c>
      <c r="J358">
        <f>IF(I358="","",COUNTIFS(Costs!$C$6:$C$505,C358,Costs!$I$6:$I$505,"&gt;"&amp;I358))</f>
        <v/>
      </c>
    </row>
    <row r="359">
      <c r="A359" s="1" t="n"/>
      <c r="B359" s="29" t="n"/>
      <c r="C359" s="24" t="n"/>
      <c r="D359" s="25" t="n"/>
      <c r="E359" s="25" t="n"/>
      <c r="F359" s="28" t="n"/>
      <c r="G359" s="34" t="n"/>
      <c r="H359" s="1" t="n"/>
      <c r="I359">
        <f>IF(OR(C359="",N(F359)=0),"",F359+ROW()/10000000)</f>
        <v/>
      </c>
      <c r="J359">
        <f>IF(I359="","",COUNTIFS(Costs!$C$6:$C$505,C359,Costs!$I$6:$I$505,"&gt;"&amp;I359))</f>
        <v/>
      </c>
    </row>
    <row r="360">
      <c r="A360" s="1" t="n"/>
      <c r="B360" s="29" t="n"/>
      <c r="C360" s="24" t="n"/>
      <c r="D360" s="25" t="n"/>
      <c r="E360" s="25" t="n"/>
      <c r="F360" s="28" t="n"/>
      <c r="G360" s="34" t="n"/>
      <c r="H360" s="1" t="n"/>
      <c r="I360">
        <f>IF(OR(C360="",N(F360)=0),"",F360+ROW()/10000000)</f>
        <v/>
      </c>
      <c r="J360">
        <f>IF(I360="","",COUNTIFS(Costs!$C$6:$C$505,C360,Costs!$I$6:$I$505,"&gt;"&amp;I360))</f>
        <v/>
      </c>
    </row>
    <row r="361">
      <c r="A361" s="1" t="n"/>
      <c r="B361" s="29" t="n"/>
      <c r="C361" s="24" t="n"/>
      <c r="D361" s="25" t="n"/>
      <c r="E361" s="25" t="n"/>
      <c r="F361" s="28" t="n"/>
      <c r="G361" s="34" t="n"/>
      <c r="H361" s="1" t="n"/>
      <c r="I361">
        <f>IF(OR(C361="",N(F361)=0),"",F361+ROW()/10000000)</f>
        <v/>
      </c>
      <c r="J361">
        <f>IF(I361="","",COUNTIFS(Costs!$C$6:$C$505,C361,Costs!$I$6:$I$505,"&gt;"&amp;I361))</f>
        <v/>
      </c>
    </row>
    <row r="362">
      <c r="A362" s="1" t="n"/>
      <c r="B362" s="29" t="n"/>
      <c r="C362" s="24" t="n"/>
      <c r="D362" s="25" t="n"/>
      <c r="E362" s="25" t="n"/>
      <c r="F362" s="28" t="n"/>
      <c r="G362" s="34" t="n"/>
      <c r="H362" s="1" t="n"/>
      <c r="I362">
        <f>IF(OR(C362="",N(F362)=0),"",F362+ROW()/10000000)</f>
        <v/>
      </c>
      <c r="J362">
        <f>IF(I362="","",COUNTIFS(Costs!$C$6:$C$505,C362,Costs!$I$6:$I$505,"&gt;"&amp;I362))</f>
        <v/>
      </c>
    </row>
    <row r="363">
      <c r="A363" s="1" t="n"/>
      <c r="B363" s="29" t="n"/>
      <c r="C363" s="24" t="n"/>
      <c r="D363" s="25" t="n"/>
      <c r="E363" s="25" t="n"/>
      <c r="F363" s="28" t="n"/>
      <c r="G363" s="34" t="n"/>
      <c r="H363" s="1" t="n"/>
      <c r="I363">
        <f>IF(OR(C363="",N(F363)=0),"",F363+ROW()/10000000)</f>
        <v/>
      </c>
      <c r="J363">
        <f>IF(I363="","",COUNTIFS(Costs!$C$6:$C$505,C363,Costs!$I$6:$I$505,"&gt;"&amp;I363))</f>
        <v/>
      </c>
    </row>
    <row r="364">
      <c r="A364" s="1" t="n"/>
      <c r="B364" s="29" t="n"/>
      <c r="C364" s="24" t="n"/>
      <c r="D364" s="25" t="n"/>
      <c r="E364" s="25" t="n"/>
      <c r="F364" s="28" t="n"/>
      <c r="G364" s="34" t="n"/>
      <c r="H364" s="1" t="n"/>
      <c r="I364">
        <f>IF(OR(C364="",N(F364)=0),"",F364+ROW()/10000000)</f>
        <v/>
      </c>
      <c r="J364">
        <f>IF(I364="","",COUNTIFS(Costs!$C$6:$C$505,C364,Costs!$I$6:$I$505,"&gt;"&amp;I364))</f>
        <v/>
      </c>
    </row>
    <row r="365">
      <c r="A365" s="1" t="n"/>
      <c r="B365" s="29" t="n"/>
      <c r="C365" s="24" t="n"/>
      <c r="D365" s="25" t="n"/>
      <c r="E365" s="25" t="n"/>
      <c r="F365" s="28" t="n"/>
      <c r="G365" s="34" t="n"/>
      <c r="H365" s="1" t="n"/>
      <c r="I365">
        <f>IF(OR(C365="",N(F365)=0),"",F365+ROW()/10000000)</f>
        <v/>
      </c>
      <c r="J365">
        <f>IF(I365="","",COUNTIFS(Costs!$C$6:$C$505,C365,Costs!$I$6:$I$505,"&gt;"&amp;I365))</f>
        <v/>
      </c>
    </row>
    <row r="366">
      <c r="A366" s="1" t="n"/>
      <c r="B366" s="29" t="n"/>
      <c r="C366" s="24" t="n"/>
      <c r="D366" s="25" t="n"/>
      <c r="E366" s="25" t="n"/>
      <c r="F366" s="28" t="n"/>
      <c r="G366" s="34" t="n"/>
      <c r="H366" s="1" t="n"/>
      <c r="I366">
        <f>IF(OR(C366="",N(F366)=0),"",F366+ROW()/10000000)</f>
        <v/>
      </c>
      <c r="J366">
        <f>IF(I366="","",COUNTIFS(Costs!$C$6:$C$505,C366,Costs!$I$6:$I$505,"&gt;"&amp;I366))</f>
        <v/>
      </c>
    </row>
    <row r="367">
      <c r="A367" s="1" t="n"/>
      <c r="B367" s="29" t="n"/>
      <c r="C367" s="24" t="n"/>
      <c r="D367" s="25" t="n"/>
      <c r="E367" s="25" t="n"/>
      <c r="F367" s="28" t="n"/>
      <c r="G367" s="34" t="n"/>
      <c r="H367" s="1" t="n"/>
      <c r="I367">
        <f>IF(OR(C367="",N(F367)=0),"",F367+ROW()/10000000)</f>
        <v/>
      </c>
      <c r="J367">
        <f>IF(I367="","",COUNTIFS(Costs!$C$6:$C$505,C367,Costs!$I$6:$I$505,"&gt;"&amp;I367))</f>
        <v/>
      </c>
    </row>
    <row r="368">
      <c r="A368" s="1" t="n"/>
      <c r="B368" s="29" t="n"/>
      <c r="C368" s="24" t="n"/>
      <c r="D368" s="25" t="n"/>
      <c r="E368" s="25" t="n"/>
      <c r="F368" s="28" t="n"/>
      <c r="G368" s="34" t="n"/>
      <c r="H368" s="1" t="n"/>
      <c r="I368">
        <f>IF(OR(C368="",N(F368)=0),"",F368+ROW()/10000000)</f>
        <v/>
      </c>
      <c r="J368">
        <f>IF(I368="","",COUNTIFS(Costs!$C$6:$C$505,C368,Costs!$I$6:$I$505,"&gt;"&amp;I368))</f>
        <v/>
      </c>
    </row>
    <row r="369">
      <c r="A369" s="1" t="n"/>
      <c r="B369" s="29" t="n"/>
      <c r="C369" s="24" t="n"/>
      <c r="D369" s="25" t="n"/>
      <c r="E369" s="25" t="n"/>
      <c r="F369" s="28" t="n"/>
      <c r="G369" s="34" t="n"/>
      <c r="H369" s="1" t="n"/>
      <c r="I369">
        <f>IF(OR(C369="",N(F369)=0),"",F369+ROW()/10000000)</f>
        <v/>
      </c>
      <c r="J369">
        <f>IF(I369="","",COUNTIFS(Costs!$C$6:$C$505,C369,Costs!$I$6:$I$505,"&gt;"&amp;I369))</f>
        <v/>
      </c>
    </row>
    <row r="370">
      <c r="A370" s="1" t="n"/>
      <c r="B370" s="29" t="n"/>
      <c r="C370" s="24" t="n"/>
      <c r="D370" s="25" t="n"/>
      <c r="E370" s="25" t="n"/>
      <c r="F370" s="28" t="n"/>
      <c r="G370" s="34" t="n"/>
      <c r="H370" s="1" t="n"/>
      <c r="I370">
        <f>IF(OR(C370="",N(F370)=0),"",F370+ROW()/10000000)</f>
        <v/>
      </c>
      <c r="J370">
        <f>IF(I370="","",COUNTIFS(Costs!$C$6:$C$505,C370,Costs!$I$6:$I$505,"&gt;"&amp;I370))</f>
        <v/>
      </c>
    </row>
    <row r="371">
      <c r="A371" s="1" t="n"/>
      <c r="B371" s="29" t="n"/>
      <c r="C371" s="24" t="n"/>
      <c r="D371" s="25" t="n"/>
      <c r="E371" s="25" t="n"/>
      <c r="F371" s="28" t="n"/>
      <c r="G371" s="34" t="n"/>
      <c r="H371" s="1" t="n"/>
      <c r="I371">
        <f>IF(OR(C371="",N(F371)=0),"",F371+ROW()/10000000)</f>
        <v/>
      </c>
      <c r="J371">
        <f>IF(I371="","",COUNTIFS(Costs!$C$6:$C$505,C371,Costs!$I$6:$I$505,"&gt;"&amp;I371))</f>
        <v/>
      </c>
    </row>
    <row r="372">
      <c r="A372" s="1" t="n"/>
      <c r="B372" s="29" t="n"/>
      <c r="C372" s="24" t="n"/>
      <c r="D372" s="25" t="n"/>
      <c r="E372" s="25" t="n"/>
      <c r="F372" s="28" t="n"/>
      <c r="G372" s="34" t="n"/>
      <c r="H372" s="1" t="n"/>
      <c r="I372">
        <f>IF(OR(C372="",N(F372)=0),"",F372+ROW()/10000000)</f>
        <v/>
      </c>
      <c r="J372">
        <f>IF(I372="","",COUNTIFS(Costs!$C$6:$C$505,C372,Costs!$I$6:$I$505,"&gt;"&amp;I372))</f>
        <v/>
      </c>
    </row>
    <row r="373">
      <c r="A373" s="1" t="n"/>
      <c r="B373" s="29" t="n"/>
      <c r="C373" s="24" t="n"/>
      <c r="D373" s="25" t="n"/>
      <c r="E373" s="25" t="n"/>
      <c r="F373" s="28" t="n"/>
      <c r="G373" s="34" t="n"/>
      <c r="H373" s="1" t="n"/>
      <c r="I373">
        <f>IF(OR(C373="",N(F373)=0),"",F373+ROW()/10000000)</f>
        <v/>
      </c>
      <c r="J373">
        <f>IF(I373="","",COUNTIFS(Costs!$C$6:$C$505,C373,Costs!$I$6:$I$505,"&gt;"&amp;I373))</f>
        <v/>
      </c>
    </row>
    <row r="374">
      <c r="A374" s="1" t="n"/>
      <c r="B374" s="29" t="n"/>
      <c r="C374" s="24" t="n"/>
      <c r="D374" s="25" t="n"/>
      <c r="E374" s="25" t="n"/>
      <c r="F374" s="28" t="n"/>
      <c r="G374" s="34" t="n"/>
      <c r="H374" s="1" t="n"/>
      <c r="I374">
        <f>IF(OR(C374="",N(F374)=0),"",F374+ROW()/10000000)</f>
        <v/>
      </c>
      <c r="J374">
        <f>IF(I374="","",COUNTIFS(Costs!$C$6:$C$505,C374,Costs!$I$6:$I$505,"&gt;"&amp;I374))</f>
        <v/>
      </c>
    </row>
    <row r="375">
      <c r="A375" s="1" t="n"/>
      <c r="B375" s="29" t="n"/>
      <c r="C375" s="24" t="n"/>
      <c r="D375" s="25" t="n"/>
      <c r="E375" s="25" t="n"/>
      <c r="F375" s="28" t="n"/>
      <c r="G375" s="34" t="n"/>
      <c r="H375" s="1" t="n"/>
      <c r="I375">
        <f>IF(OR(C375="",N(F375)=0),"",F375+ROW()/10000000)</f>
        <v/>
      </c>
      <c r="J375">
        <f>IF(I375="","",COUNTIFS(Costs!$C$6:$C$505,C375,Costs!$I$6:$I$505,"&gt;"&amp;I375))</f>
        <v/>
      </c>
    </row>
    <row r="376">
      <c r="A376" s="1" t="n"/>
      <c r="B376" s="29" t="n"/>
      <c r="C376" s="24" t="n"/>
      <c r="D376" s="25" t="n"/>
      <c r="E376" s="25" t="n"/>
      <c r="F376" s="28" t="n"/>
      <c r="G376" s="34" t="n"/>
      <c r="H376" s="1" t="n"/>
      <c r="I376">
        <f>IF(OR(C376="",N(F376)=0),"",F376+ROW()/10000000)</f>
        <v/>
      </c>
      <c r="J376">
        <f>IF(I376="","",COUNTIFS(Costs!$C$6:$C$505,C376,Costs!$I$6:$I$505,"&gt;"&amp;I376))</f>
        <v/>
      </c>
    </row>
    <row r="377">
      <c r="A377" s="1" t="n"/>
      <c r="B377" s="29" t="n"/>
      <c r="C377" s="24" t="n"/>
      <c r="D377" s="25" t="n"/>
      <c r="E377" s="25" t="n"/>
      <c r="F377" s="28" t="n"/>
      <c r="G377" s="34" t="n"/>
      <c r="H377" s="1" t="n"/>
      <c r="I377">
        <f>IF(OR(C377="",N(F377)=0),"",F377+ROW()/10000000)</f>
        <v/>
      </c>
      <c r="J377">
        <f>IF(I377="","",COUNTIFS(Costs!$C$6:$C$505,C377,Costs!$I$6:$I$505,"&gt;"&amp;I377))</f>
        <v/>
      </c>
    </row>
    <row r="378">
      <c r="A378" s="1" t="n"/>
      <c r="B378" s="29" t="n"/>
      <c r="C378" s="24" t="n"/>
      <c r="D378" s="25" t="n"/>
      <c r="E378" s="25" t="n"/>
      <c r="F378" s="28" t="n"/>
      <c r="G378" s="34" t="n"/>
      <c r="H378" s="1" t="n"/>
      <c r="I378">
        <f>IF(OR(C378="",N(F378)=0),"",F378+ROW()/10000000)</f>
        <v/>
      </c>
      <c r="J378">
        <f>IF(I378="","",COUNTIFS(Costs!$C$6:$C$505,C378,Costs!$I$6:$I$505,"&gt;"&amp;I378))</f>
        <v/>
      </c>
    </row>
    <row r="379">
      <c r="A379" s="1" t="n"/>
      <c r="B379" s="29" t="n"/>
      <c r="C379" s="24" t="n"/>
      <c r="D379" s="25" t="n"/>
      <c r="E379" s="25" t="n"/>
      <c r="F379" s="28" t="n"/>
      <c r="G379" s="34" t="n"/>
      <c r="H379" s="1" t="n"/>
      <c r="I379">
        <f>IF(OR(C379="",N(F379)=0),"",F379+ROW()/10000000)</f>
        <v/>
      </c>
      <c r="J379">
        <f>IF(I379="","",COUNTIFS(Costs!$C$6:$C$505,C379,Costs!$I$6:$I$505,"&gt;"&amp;I379))</f>
        <v/>
      </c>
    </row>
    <row r="380">
      <c r="A380" s="1" t="n"/>
      <c r="B380" s="29" t="n"/>
      <c r="C380" s="24" t="n"/>
      <c r="D380" s="25" t="n"/>
      <c r="E380" s="25" t="n"/>
      <c r="F380" s="28" t="n"/>
      <c r="G380" s="34" t="n"/>
      <c r="H380" s="1" t="n"/>
      <c r="I380">
        <f>IF(OR(C380="",N(F380)=0),"",F380+ROW()/10000000)</f>
        <v/>
      </c>
      <c r="J380">
        <f>IF(I380="","",COUNTIFS(Costs!$C$6:$C$505,C380,Costs!$I$6:$I$505,"&gt;"&amp;I380))</f>
        <v/>
      </c>
    </row>
    <row r="381">
      <c r="A381" s="1" t="n"/>
      <c r="B381" s="29" t="n"/>
      <c r="C381" s="24" t="n"/>
      <c r="D381" s="25" t="n"/>
      <c r="E381" s="25" t="n"/>
      <c r="F381" s="28" t="n"/>
      <c r="G381" s="34" t="n"/>
      <c r="H381" s="1" t="n"/>
      <c r="I381">
        <f>IF(OR(C381="",N(F381)=0),"",F381+ROW()/10000000)</f>
        <v/>
      </c>
      <c r="J381">
        <f>IF(I381="","",COUNTIFS(Costs!$C$6:$C$505,C381,Costs!$I$6:$I$505,"&gt;"&amp;I381))</f>
        <v/>
      </c>
    </row>
    <row r="382">
      <c r="A382" s="1" t="n"/>
      <c r="B382" s="29" t="n"/>
      <c r="C382" s="24" t="n"/>
      <c r="D382" s="25" t="n"/>
      <c r="E382" s="25" t="n"/>
      <c r="F382" s="28" t="n"/>
      <c r="G382" s="34" t="n"/>
      <c r="H382" s="1" t="n"/>
      <c r="I382">
        <f>IF(OR(C382="",N(F382)=0),"",F382+ROW()/10000000)</f>
        <v/>
      </c>
      <c r="J382">
        <f>IF(I382="","",COUNTIFS(Costs!$C$6:$C$505,C382,Costs!$I$6:$I$505,"&gt;"&amp;I382))</f>
        <v/>
      </c>
    </row>
    <row r="383">
      <c r="A383" s="1" t="n"/>
      <c r="B383" s="29" t="n"/>
      <c r="C383" s="24" t="n"/>
      <c r="D383" s="25" t="n"/>
      <c r="E383" s="25" t="n"/>
      <c r="F383" s="28" t="n"/>
      <c r="G383" s="34" t="n"/>
      <c r="H383" s="1" t="n"/>
      <c r="I383">
        <f>IF(OR(C383="",N(F383)=0),"",F383+ROW()/10000000)</f>
        <v/>
      </c>
      <c r="J383">
        <f>IF(I383="","",COUNTIFS(Costs!$C$6:$C$505,C383,Costs!$I$6:$I$505,"&gt;"&amp;I383))</f>
        <v/>
      </c>
    </row>
    <row r="384">
      <c r="A384" s="1" t="n"/>
      <c r="B384" s="29" t="n"/>
      <c r="C384" s="24" t="n"/>
      <c r="D384" s="25" t="n"/>
      <c r="E384" s="25" t="n"/>
      <c r="F384" s="28" t="n"/>
      <c r="G384" s="34" t="n"/>
      <c r="H384" s="1" t="n"/>
      <c r="I384">
        <f>IF(OR(C384="",N(F384)=0),"",F384+ROW()/10000000)</f>
        <v/>
      </c>
      <c r="J384">
        <f>IF(I384="","",COUNTIFS(Costs!$C$6:$C$505,C384,Costs!$I$6:$I$505,"&gt;"&amp;I384))</f>
        <v/>
      </c>
    </row>
    <row r="385">
      <c r="A385" s="1" t="n"/>
      <c r="B385" s="29" t="n"/>
      <c r="C385" s="24" t="n"/>
      <c r="D385" s="25" t="n"/>
      <c r="E385" s="25" t="n"/>
      <c r="F385" s="28" t="n"/>
      <c r="G385" s="34" t="n"/>
      <c r="H385" s="1" t="n"/>
      <c r="I385">
        <f>IF(OR(C385="",N(F385)=0),"",F385+ROW()/10000000)</f>
        <v/>
      </c>
      <c r="J385">
        <f>IF(I385="","",COUNTIFS(Costs!$C$6:$C$505,C385,Costs!$I$6:$I$505,"&gt;"&amp;I385))</f>
        <v/>
      </c>
    </row>
    <row r="386">
      <c r="A386" s="1" t="n"/>
      <c r="B386" s="29" t="n"/>
      <c r="C386" s="24" t="n"/>
      <c r="D386" s="25" t="n"/>
      <c r="E386" s="25" t="n"/>
      <c r="F386" s="28" t="n"/>
      <c r="G386" s="34" t="n"/>
      <c r="H386" s="1" t="n"/>
      <c r="I386">
        <f>IF(OR(C386="",N(F386)=0),"",F386+ROW()/10000000)</f>
        <v/>
      </c>
      <c r="J386">
        <f>IF(I386="","",COUNTIFS(Costs!$C$6:$C$505,C386,Costs!$I$6:$I$505,"&gt;"&amp;I386))</f>
        <v/>
      </c>
    </row>
    <row r="387">
      <c r="A387" s="1" t="n"/>
      <c r="B387" s="29" t="n"/>
      <c r="C387" s="24" t="n"/>
      <c r="D387" s="25" t="n"/>
      <c r="E387" s="25" t="n"/>
      <c r="F387" s="28" t="n"/>
      <c r="G387" s="34" t="n"/>
      <c r="H387" s="1" t="n"/>
      <c r="I387">
        <f>IF(OR(C387="",N(F387)=0),"",F387+ROW()/10000000)</f>
        <v/>
      </c>
      <c r="J387">
        <f>IF(I387="","",COUNTIFS(Costs!$C$6:$C$505,C387,Costs!$I$6:$I$505,"&gt;"&amp;I387))</f>
        <v/>
      </c>
    </row>
    <row r="388">
      <c r="A388" s="1" t="n"/>
      <c r="B388" s="29" t="n"/>
      <c r="C388" s="24" t="n"/>
      <c r="D388" s="25" t="n"/>
      <c r="E388" s="25" t="n"/>
      <c r="F388" s="28" t="n"/>
      <c r="G388" s="34" t="n"/>
      <c r="H388" s="1" t="n"/>
      <c r="I388">
        <f>IF(OR(C388="",N(F388)=0),"",F388+ROW()/10000000)</f>
        <v/>
      </c>
      <c r="J388">
        <f>IF(I388="","",COUNTIFS(Costs!$C$6:$C$505,C388,Costs!$I$6:$I$505,"&gt;"&amp;I388))</f>
        <v/>
      </c>
    </row>
    <row r="389">
      <c r="A389" s="1" t="n"/>
      <c r="B389" s="29" t="n"/>
      <c r="C389" s="24" t="n"/>
      <c r="D389" s="25" t="n"/>
      <c r="E389" s="25" t="n"/>
      <c r="F389" s="28" t="n"/>
      <c r="G389" s="34" t="n"/>
      <c r="H389" s="1" t="n"/>
      <c r="I389">
        <f>IF(OR(C389="",N(F389)=0),"",F389+ROW()/10000000)</f>
        <v/>
      </c>
      <c r="J389">
        <f>IF(I389="","",COUNTIFS(Costs!$C$6:$C$505,C389,Costs!$I$6:$I$505,"&gt;"&amp;I389))</f>
        <v/>
      </c>
    </row>
    <row r="390">
      <c r="A390" s="1" t="n"/>
      <c r="B390" s="29" t="n"/>
      <c r="C390" s="24" t="n"/>
      <c r="D390" s="25" t="n"/>
      <c r="E390" s="25" t="n"/>
      <c r="F390" s="28" t="n"/>
      <c r="G390" s="34" t="n"/>
      <c r="H390" s="1" t="n"/>
      <c r="I390">
        <f>IF(OR(C390="",N(F390)=0),"",F390+ROW()/10000000)</f>
        <v/>
      </c>
      <c r="J390">
        <f>IF(I390="","",COUNTIFS(Costs!$C$6:$C$505,C390,Costs!$I$6:$I$505,"&gt;"&amp;I390))</f>
        <v/>
      </c>
    </row>
    <row r="391">
      <c r="A391" s="1" t="n"/>
      <c r="B391" s="29" t="n"/>
      <c r="C391" s="24" t="n"/>
      <c r="D391" s="25" t="n"/>
      <c r="E391" s="25" t="n"/>
      <c r="F391" s="28" t="n"/>
      <c r="G391" s="34" t="n"/>
      <c r="H391" s="1" t="n"/>
      <c r="I391">
        <f>IF(OR(C391="",N(F391)=0),"",F391+ROW()/10000000)</f>
        <v/>
      </c>
      <c r="J391">
        <f>IF(I391="","",COUNTIFS(Costs!$C$6:$C$505,C391,Costs!$I$6:$I$505,"&gt;"&amp;I391))</f>
        <v/>
      </c>
    </row>
    <row r="392">
      <c r="A392" s="1" t="n"/>
      <c r="B392" s="29" t="n"/>
      <c r="C392" s="24" t="n"/>
      <c r="D392" s="25" t="n"/>
      <c r="E392" s="25" t="n"/>
      <c r="F392" s="28" t="n"/>
      <c r="G392" s="34" t="n"/>
      <c r="H392" s="1" t="n"/>
      <c r="I392">
        <f>IF(OR(C392="",N(F392)=0),"",F392+ROW()/10000000)</f>
        <v/>
      </c>
      <c r="J392">
        <f>IF(I392="","",COUNTIFS(Costs!$C$6:$C$505,C392,Costs!$I$6:$I$505,"&gt;"&amp;I392))</f>
        <v/>
      </c>
    </row>
    <row r="393">
      <c r="A393" s="1" t="n"/>
      <c r="B393" s="29" t="n"/>
      <c r="C393" s="24" t="n"/>
      <c r="D393" s="25" t="n"/>
      <c r="E393" s="25" t="n"/>
      <c r="F393" s="28" t="n"/>
      <c r="G393" s="34" t="n"/>
      <c r="H393" s="1" t="n"/>
      <c r="I393">
        <f>IF(OR(C393="",N(F393)=0),"",F393+ROW()/10000000)</f>
        <v/>
      </c>
      <c r="J393">
        <f>IF(I393="","",COUNTIFS(Costs!$C$6:$C$505,C393,Costs!$I$6:$I$505,"&gt;"&amp;I393))</f>
        <v/>
      </c>
    </row>
    <row r="394">
      <c r="A394" s="1" t="n"/>
      <c r="B394" s="29" t="n"/>
      <c r="C394" s="24" t="n"/>
      <c r="D394" s="25" t="n"/>
      <c r="E394" s="25" t="n"/>
      <c r="F394" s="28" t="n"/>
      <c r="G394" s="34" t="n"/>
      <c r="H394" s="1" t="n"/>
      <c r="I394">
        <f>IF(OR(C394="",N(F394)=0),"",F394+ROW()/10000000)</f>
        <v/>
      </c>
      <c r="J394">
        <f>IF(I394="","",COUNTIFS(Costs!$C$6:$C$505,C394,Costs!$I$6:$I$505,"&gt;"&amp;I394))</f>
        <v/>
      </c>
    </row>
    <row r="395">
      <c r="A395" s="1" t="n"/>
      <c r="B395" s="29" t="n"/>
      <c r="C395" s="24" t="n"/>
      <c r="D395" s="25" t="n"/>
      <c r="E395" s="25" t="n"/>
      <c r="F395" s="28" t="n"/>
      <c r="G395" s="34" t="n"/>
      <c r="H395" s="1" t="n"/>
      <c r="I395">
        <f>IF(OR(C395="",N(F395)=0),"",F395+ROW()/10000000)</f>
        <v/>
      </c>
      <c r="J395">
        <f>IF(I395="","",COUNTIFS(Costs!$C$6:$C$505,C395,Costs!$I$6:$I$505,"&gt;"&amp;I395))</f>
        <v/>
      </c>
    </row>
    <row r="396">
      <c r="A396" s="1" t="n"/>
      <c r="B396" s="29" t="n"/>
      <c r="C396" s="24" t="n"/>
      <c r="D396" s="25" t="n"/>
      <c r="E396" s="25" t="n"/>
      <c r="F396" s="28" t="n"/>
      <c r="G396" s="34" t="n"/>
      <c r="H396" s="1" t="n"/>
      <c r="I396">
        <f>IF(OR(C396="",N(F396)=0),"",F396+ROW()/10000000)</f>
        <v/>
      </c>
      <c r="J396">
        <f>IF(I396="","",COUNTIFS(Costs!$C$6:$C$505,C396,Costs!$I$6:$I$505,"&gt;"&amp;I396))</f>
        <v/>
      </c>
    </row>
    <row r="397">
      <c r="A397" s="1" t="n"/>
      <c r="B397" s="29" t="n"/>
      <c r="C397" s="24" t="n"/>
      <c r="D397" s="25" t="n"/>
      <c r="E397" s="25" t="n"/>
      <c r="F397" s="28" t="n"/>
      <c r="G397" s="34" t="n"/>
      <c r="H397" s="1" t="n"/>
      <c r="I397">
        <f>IF(OR(C397="",N(F397)=0),"",F397+ROW()/10000000)</f>
        <v/>
      </c>
      <c r="J397">
        <f>IF(I397="","",COUNTIFS(Costs!$C$6:$C$505,C397,Costs!$I$6:$I$505,"&gt;"&amp;I397))</f>
        <v/>
      </c>
    </row>
    <row r="398">
      <c r="A398" s="1" t="n"/>
      <c r="B398" s="29" t="n"/>
      <c r="C398" s="24" t="n"/>
      <c r="D398" s="25" t="n"/>
      <c r="E398" s="25" t="n"/>
      <c r="F398" s="28" t="n"/>
      <c r="G398" s="34" t="n"/>
      <c r="H398" s="1" t="n"/>
      <c r="I398">
        <f>IF(OR(C398="",N(F398)=0),"",F398+ROW()/10000000)</f>
        <v/>
      </c>
      <c r="J398">
        <f>IF(I398="","",COUNTIFS(Costs!$C$6:$C$505,C398,Costs!$I$6:$I$505,"&gt;"&amp;I398))</f>
        <v/>
      </c>
    </row>
    <row r="399">
      <c r="A399" s="1" t="n"/>
      <c r="B399" s="29" t="n"/>
      <c r="C399" s="24" t="n"/>
      <c r="D399" s="25" t="n"/>
      <c r="E399" s="25" t="n"/>
      <c r="F399" s="28" t="n"/>
      <c r="G399" s="34" t="n"/>
      <c r="H399" s="1" t="n"/>
      <c r="I399">
        <f>IF(OR(C399="",N(F399)=0),"",F399+ROW()/10000000)</f>
        <v/>
      </c>
      <c r="J399">
        <f>IF(I399="","",COUNTIFS(Costs!$C$6:$C$505,C399,Costs!$I$6:$I$505,"&gt;"&amp;I399))</f>
        <v/>
      </c>
    </row>
    <row r="400">
      <c r="A400" s="1" t="n"/>
      <c r="B400" s="29" t="n"/>
      <c r="C400" s="24" t="n"/>
      <c r="D400" s="25" t="n"/>
      <c r="E400" s="25" t="n"/>
      <c r="F400" s="28" t="n"/>
      <c r="G400" s="34" t="n"/>
      <c r="H400" s="1" t="n"/>
      <c r="I400">
        <f>IF(OR(C400="",N(F400)=0),"",F400+ROW()/10000000)</f>
        <v/>
      </c>
      <c r="J400">
        <f>IF(I400="","",COUNTIFS(Costs!$C$6:$C$505,C400,Costs!$I$6:$I$505,"&gt;"&amp;I400))</f>
        <v/>
      </c>
    </row>
    <row r="401">
      <c r="A401" s="1" t="n"/>
      <c r="B401" s="29" t="n"/>
      <c r="C401" s="24" t="n"/>
      <c r="D401" s="25" t="n"/>
      <c r="E401" s="25" t="n"/>
      <c r="F401" s="28" t="n"/>
      <c r="G401" s="34" t="n"/>
      <c r="H401" s="1" t="n"/>
      <c r="I401">
        <f>IF(OR(C401="",N(F401)=0),"",F401+ROW()/10000000)</f>
        <v/>
      </c>
      <c r="J401">
        <f>IF(I401="","",COUNTIFS(Costs!$C$6:$C$505,C401,Costs!$I$6:$I$505,"&gt;"&amp;I401))</f>
        <v/>
      </c>
    </row>
    <row r="402">
      <c r="A402" s="1" t="n"/>
      <c r="B402" s="29" t="n"/>
      <c r="C402" s="24" t="n"/>
      <c r="D402" s="25" t="n"/>
      <c r="E402" s="25" t="n"/>
      <c r="F402" s="28" t="n"/>
      <c r="G402" s="34" t="n"/>
      <c r="H402" s="1" t="n"/>
      <c r="I402">
        <f>IF(OR(C402="",N(F402)=0),"",F402+ROW()/10000000)</f>
        <v/>
      </c>
      <c r="J402">
        <f>IF(I402="","",COUNTIFS(Costs!$C$6:$C$505,C402,Costs!$I$6:$I$505,"&gt;"&amp;I402))</f>
        <v/>
      </c>
    </row>
    <row r="403">
      <c r="A403" s="1" t="n"/>
      <c r="B403" s="29" t="n"/>
      <c r="C403" s="24" t="n"/>
      <c r="D403" s="25" t="n"/>
      <c r="E403" s="25" t="n"/>
      <c r="F403" s="28" t="n"/>
      <c r="G403" s="34" t="n"/>
      <c r="H403" s="1" t="n"/>
      <c r="I403">
        <f>IF(OR(C403="",N(F403)=0),"",F403+ROW()/10000000)</f>
        <v/>
      </c>
      <c r="J403">
        <f>IF(I403="","",COUNTIFS(Costs!$C$6:$C$505,C403,Costs!$I$6:$I$505,"&gt;"&amp;I403))</f>
        <v/>
      </c>
    </row>
    <row r="404">
      <c r="A404" s="1" t="n"/>
      <c r="B404" s="29" t="n"/>
      <c r="C404" s="24" t="n"/>
      <c r="D404" s="25" t="n"/>
      <c r="E404" s="25" t="n"/>
      <c r="F404" s="28" t="n"/>
      <c r="G404" s="34" t="n"/>
      <c r="H404" s="1" t="n"/>
      <c r="I404">
        <f>IF(OR(C404="",N(F404)=0),"",F404+ROW()/10000000)</f>
        <v/>
      </c>
      <c r="J404">
        <f>IF(I404="","",COUNTIFS(Costs!$C$6:$C$505,C404,Costs!$I$6:$I$505,"&gt;"&amp;I404))</f>
        <v/>
      </c>
    </row>
    <row r="405">
      <c r="A405" s="1" t="n"/>
      <c r="B405" s="29" t="n"/>
      <c r="C405" s="24" t="n"/>
      <c r="D405" s="25" t="n"/>
      <c r="E405" s="25" t="n"/>
      <c r="F405" s="28" t="n"/>
      <c r="G405" s="34" t="n"/>
      <c r="H405" s="1" t="n"/>
      <c r="I405">
        <f>IF(OR(C405="",N(F405)=0),"",F405+ROW()/10000000)</f>
        <v/>
      </c>
      <c r="J405">
        <f>IF(I405="","",COUNTIFS(Costs!$C$6:$C$505,C405,Costs!$I$6:$I$505,"&gt;"&amp;I405))</f>
        <v/>
      </c>
    </row>
    <row r="406">
      <c r="A406" s="1" t="n"/>
      <c r="B406" s="29" t="n"/>
      <c r="C406" s="24" t="n"/>
      <c r="D406" s="25" t="n"/>
      <c r="E406" s="25" t="n"/>
      <c r="F406" s="28" t="n"/>
      <c r="G406" s="34" t="n"/>
      <c r="H406" s="1" t="n"/>
      <c r="I406">
        <f>IF(OR(C406="",N(F406)=0),"",F406+ROW()/10000000)</f>
        <v/>
      </c>
      <c r="J406">
        <f>IF(I406="","",COUNTIFS(Costs!$C$6:$C$505,C406,Costs!$I$6:$I$505,"&gt;"&amp;I406))</f>
        <v/>
      </c>
    </row>
    <row r="407">
      <c r="A407" s="1" t="n"/>
      <c r="B407" s="29" t="n"/>
      <c r="C407" s="24" t="n"/>
      <c r="D407" s="25" t="n"/>
      <c r="E407" s="25" t="n"/>
      <c r="F407" s="28" t="n"/>
      <c r="G407" s="34" t="n"/>
      <c r="H407" s="1" t="n"/>
      <c r="I407">
        <f>IF(OR(C407="",N(F407)=0),"",F407+ROW()/10000000)</f>
        <v/>
      </c>
      <c r="J407">
        <f>IF(I407="","",COUNTIFS(Costs!$C$6:$C$505,C407,Costs!$I$6:$I$505,"&gt;"&amp;I407))</f>
        <v/>
      </c>
    </row>
    <row r="408">
      <c r="A408" s="1" t="n"/>
      <c r="B408" s="29" t="n"/>
      <c r="C408" s="24" t="n"/>
      <c r="D408" s="25" t="n"/>
      <c r="E408" s="25" t="n"/>
      <c r="F408" s="28" t="n"/>
      <c r="G408" s="34" t="n"/>
      <c r="H408" s="1" t="n"/>
      <c r="I408">
        <f>IF(OR(C408="",N(F408)=0),"",F408+ROW()/10000000)</f>
        <v/>
      </c>
      <c r="J408">
        <f>IF(I408="","",COUNTIFS(Costs!$C$6:$C$505,C408,Costs!$I$6:$I$505,"&gt;"&amp;I408))</f>
        <v/>
      </c>
    </row>
    <row r="409">
      <c r="A409" s="1" t="n"/>
      <c r="B409" s="29" t="n"/>
      <c r="C409" s="24" t="n"/>
      <c r="D409" s="25" t="n"/>
      <c r="E409" s="25" t="n"/>
      <c r="F409" s="28" t="n"/>
      <c r="G409" s="34" t="n"/>
      <c r="H409" s="1" t="n"/>
      <c r="I409">
        <f>IF(OR(C409="",N(F409)=0),"",F409+ROW()/10000000)</f>
        <v/>
      </c>
      <c r="J409">
        <f>IF(I409="","",COUNTIFS(Costs!$C$6:$C$505,C409,Costs!$I$6:$I$505,"&gt;"&amp;I409))</f>
        <v/>
      </c>
    </row>
    <row r="410">
      <c r="A410" s="1" t="n"/>
      <c r="B410" s="29" t="n"/>
      <c r="C410" s="24" t="n"/>
      <c r="D410" s="25" t="n"/>
      <c r="E410" s="25" t="n"/>
      <c r="F410" s="28" t="n"/>
      <c r="G410" s="34" t="n"/>
      <c r="H410" s="1" t="n"/>
      <c r="I410">
        <f>IF(OR(C410="",N(F410)=0),"",F410+ROW()/10000000)</f>
        <v/>
      </c>
      <c r="J410">
        <f>IF(I410="","",COUNTIFS(Costs!$C$6:$C$505,C410,Costs!$I$6:$I$505,"&gt;"&amp;I410))</f>
        <v/>
      </c>
    </row>
    <row r="411">
      <c r="A411" s="1" t="n"/>
      <c r="B411" s="29" t="n"/>
      <c r="C411" s="24" t="n"/>
      <c r="D411" s="25" t="n"/>
      <c r="E411" s="25" t="n"/>
      <c r="F411" s="28" t="n"/>
      <c r="G411" s="34" t="n"/>
      <c r="H411" s="1" t="n"/>
      <c r="I411">
        <f>IF(OR(C411="",N(F411)=0),"",F411+ROW()/10000000)</f>
        <v/>
      </c>
      <c r="J411">
        <f>IF(I411="","",COUNTIFS(Costs!$C$6:$C$505,C411,Costs!$I$6:$I$505,"&gt;"&amp;I411))</f>
        <v/>
      </c>
    </row>
    <row r="412">
      <c r="A412" s="1" t="n"/>
      <c r="B412" s="29" t="n"/>
      <c r="C412" s="24" t="n"/>
      <c r="D412" s="25" t="n"/>
      <c r="E412" s="25" t="n"/>
      <c r="F412" s="28" t="n"/>
      <c r="G412" s="34" t="n"/>
      <c r="H412" s="1" t="n"/>
      <c r="I412">
        <f>IF(OR(C412="",N(F412)=0),"",F412+ROW()/10000000)</f>
        <v/>
      </c>
      <c r="J412">
        <f>IF(I412="","",COUNTIFS(Costs!$C$6:$C$505,C412,Costs!$I$6:$I$505,"&gt;"&amp;I412))</f>
        <v/>
      </c>
    </row>
    <row r="413">
      <c r="A413" s="1" t="n"/>
      <c r="B413" s="29" t="n"/>
      <c r="C413" s="24" t="n"/>
      <c r="D413" s="25" t="n"/>
      <c r="E413" s="25" t="n"/>
      <c r="F413" s="28" t="n"/>
      <c r="G413" s="34" t="n"/>
      <c r="H413" s="1" t="n"/>
      <c r="I413">
        <f>IF(OR(C413="",N(F413)=0),"",F413+ROW()/10000000)</f>
        <v/>
      </c>
      <c r="J413">
        <f>IF(I413="","",COUNTIFS(Costs!$C$6:$C$505,C413,Costs!$I$6:$I$505,"&gt;"&amp;I413))</f>
        <v/>
      </c>
    </row>
    <row r="414">
      <c r="A414" s="1" t="n"/>
      <c r="B414" s="29" t="n"/>
      <c r="C414" s="24" t="n"/>
      <c r="D414" s="25" t="n"/>
      <c r="E414" s="25" t="n"/>
      <c r="F414" s="28" t="n"/>
      <c r="G414" s="34" t="n"/>
      <c r="H414" s="1" t="n"/>
      <c r="I414">
        <f>IF(OR(C414="",N(F414)=0),"",F414+ROW()/10000000)</f>
        <v/>
      </c>
      <c r="J414">
        <f>IF(I414="","",COUNTIFS(Costs!$C$6:$C$505,C414,Costs!$I$6:$I$505,"&gt;"&amp;I414))</f>
        <v/>
      </c>
    </row>
    <row r="415">
      <c r="A415" s="1" t="n"/>
      <c r="B415" s="29" t="n"/>
      <c r="C415" s="24" t="n"/>
      <c r="D415" s="25" t="n"/>
      <c r="E415" s="25" t="n"/>
      <c r="F415" s="28" t="n"/>
      <c r="G415" s="34" t="n"/>
      <c r="H415" s="1" t="n"/>
      <c r="I415">
        <f>IF(OR(C415="",N(F415)=0),"",F415+ROW()/10000000)</f>
        <v/>
      </c>
      <c r="J415">
        <f>IF(I415="","",COUNTIFS(Costs!$C$6:$C$505,C415,Costs!$I$6:$I$505,"&gt;"&amp;I415))</f>
        <v/>
      </c>
    </row>
    <row r="416">
      <c r="A416" s="1" t="n"/>
      <c r="B416" s="29" t="n"/>
      <c r="C416" s="24" t="n"/>
      <c r="D416" s="25" t="n"/>
      <c r="E416" s="25" t="n"/>
      <c r="F416" s="28" t="n"/>
      <c r="G416" s="34" t="n"/>
      <c r="H416" s="1" t="n"/>
      <c r="I416">
        <f>IF(OR(C416="",N(F416)=0),"",F416+ROW()/10000000)</f>
        <v/>
      </c>
      <c r="J416">
        <f>IF(I416="","",COUNTIFS(Costs!$C$6:$C$505,C416,Costs!$I$6:$I$505,"&gt;"&amp;I416))</f>
        <v/>
      </c>
    </row>
    <row r="417">
      <c r="A417" s="1" t="n"/>
      <c r="B417" s="29" t="n"/>
      <c r="C417" s="24" t="n"/>
      <c r="D417" s="25" t="n"/>
      <c r="E417" s="25" t="n"/>
      <c r="F417" s="28" t="n"/>
      <c r="G417" s="34" t="n"/>
      <c r="H417" s="1" t="n"/>
      <c r="I417">
        <f>IF(OR(C417="",N(F417)=0),"",F417+ROW()/10000000)</f>
        <v/>
      </c>
      <c r="J417">
        <f>IF(I417="","",COUNTIFS(Costs!$C$6:$C$505,C417,Costs!$I$6:$I$505,"&gt;"&amp;I417))</f>
        <v/>
      </c>
    </row>
    <row r="418">
      <c r="A418" s="1" t="n"/>
      <c r="B418" s="29" t="n"/>
      <c r="C418" s="24" t="n"/>
      <c r="D418" s="25" t="n"/>
      <c r="E418" s="25" t="n"/>
      <c r="F418" s="28" t="n"/>
      <c r="G418" s="34" t="n"/>
      <c r="H418" s="1" t="n"/>
      <c r="I418">
        <f>IF(OR(C418="",N(F418)=0),"",F418+ROW()/10000000)</f>
        <v/>
      </c>
      <c r="J418">
        <f>IF(I418="","",COUNTIFS(Costs!$C$6:$C$505,C418,Costs!$I$6:$I$505,"&gt;"&amp;I418))</f>
        <v/>
      </c>
    </row>
    <row r="419">
      <c r="A419" s="1" t="n"/>
      <c r="B419" s="29" t="n"/>
      <c r="C419" s="24" t="n"/>
      <c r="D419" s="25" t="n"/>
      <c r="E419" s="25" t="n"/>
      <c r="F419" s="28" t="n"/>
      <c r="G419" s="34" t="n"/>
      <c r="H419" s="1" t="n"/>
      <c r="I419">
        <f>IF(OR(C419="",N(F419)=0),"",F419+ROW()/10000000)</f>
        <v/>
      </c>
      <c r="J419">
        <f>IF(I419="","",COUNTIFS(Costs!$C$6:$C$505,C419,Costs!$I$6:$I$505,"&gt;"&amp;I419))</f>
        <v/>
      </c>
    </row>
    <row r="420">
      <c r="A420" s="1" t="n"/>
      <c r="B420" s="29" t="n"/>
      <c r="C420" s="24" t="n"/>
      <c r="D420" s="25" t="n"/>
      <c r="E420" s="25" t="n"/>
      <c r="F420" s="28" t="n"/>
      <c r="G420" s="34" t="n"/>
      <c r="H420" s="1" t="n"/>
      <c r="I420">
        <f>IF(OR(C420="",N(F420)=0),"",F420+ROW()/10000000)</f>
        <v/>
      </c>
      <c r="J420">
        <f>IF(I420="","",COUNTIFS(Costs!$C$6:$C$505,C420,Costs!$I$6:$I$505,"&gt;"&amp;I420))</f>
        <v/>
      </c>
    </row>
    <row r="421">
      <c r="A421" s="1" t="n"/>
      <c r="B421" s="29" t="n"/>
      <c r="C421" s="24" t="n"/>
      <c r="D421" s="25" t="n"/>
      <c r="E421" s="25" t="n"/>
      <c r="F421" s="28" t="n"/>
      <c r="G421" s="34" t="n"/>
      <c r="H421" s="1" t="n"/>
      <c r="I421">
        <f>IF(OR(C421="",N(F421)=0),"",F421+ROW()/10000000)</f>
        <v/>
      </c>
      <c r="J421">
        <f>IF(I421="","",COUNTIFS(Costs!$C$6:$C$505,C421,Costs!$I$6:$I$505,"&gt;"&amp;I421))</f>
        <v/>
      </c>
    </row>
    <row r="422">
      <c r="A422" s="1" t="n"/>
      <c r="B422" s="29" t="n"/>
      <c r="C422" s="24" t="n"/>
      <c r="D422" s="25" t="n"/>
      <c r="E422" s="25" t="n"/>
      <c r="F422" s="28" t="n"/>
      <c r="G422" s="34" t="n"/>
      <c r="H422" s="1" t="n"/>
      <c r="I422">
        <f>IF(OR(C422="",N(F422)=0),"",F422+ROW()/10000000)</f>
        <v/>
      </c>
      <c r="J422">
        <f>IF(I422="","",COUNTIFS(Costs!$C$6:$C$505,C422,Costs!$I$6:$I$505,"&gt;"&amp;I422))</f>
        <v/>
      </c>
    </row>
    <row r="423">
      <c r="A423" s="1" t="n"/>
      <c r="B423" s="29" t="n"/>
      <c r="C423" s="24" t="n"/>
      <c r="D423" s="25" t="n"/>
      <c r="E423" s="25" t="n"/>
      <c r="F423" s="28" t="n"/>
      <c r="G423" s="34" t="n"/>
      <c r="H423" s="1" t="n"/>
      <c r="I423">
        <f>IF(OR(C423="",N(F423)=0),"",F423+ROW()/10000000)</f>
        <v/>
      </c>
      <c r="J423">
        <f>IF(I423="","",COUNTIFS(Costs!$C$6:$C$505,C423,Costs!$I$6:$I$505,"&gt;"&amp;I423))</f>
        <v/>
      </c>
    </row>
    <row r="424">
      <c r="A424" s="1" t="n"/>
      <c r="B424" s="29" t="n"/>
      <c r="C424" s="24" t="n"/>
      <c r="D424" s="25" t="n"/>
      <c r="E424" s="25" t="n"/>
      <c r="F424" s="28" t="n"/>
      <c r="G424" s="34" t="n"/>
      <c r="H424" s="1" t="n"/>
      <c r="I424">
        <f>IF(OR(C424="",N(F424)=0),"",F424+ROW()/10000000)</f>
        <v/>
      </c>
      <c r="J424">
        <f>IF(I424="","",COUNTIFS(Costs!$C$6:$C$505,C424,Costs!$I$6:$I$505,"&gt;"&amp;I424))</f>
        <v/>
      </c>
    </row>
    <row r="425">
      <c r="A425" s="1" t="n"/>
      <c r="B425" s="29" t="n"/>
      <c r="C425" s="24" t="n"/>
      <c r="D425" s="25" t="n"/>
      <c r="E425" s="25" t="n"/>
      <c r="F425" s="28" t="n"/>
      <c r="G425" s="34" t="n"/>
      <c r="H425" s="1" t="n"/>
      <c r="I425">
        <f>IF(OR(C425="",N(F425)=0),"",F425+ROW()/10000000)</f>
        <v/>
      </c>
      <c r="J425">
        <f>IF(I425="","",COUNTIFS(Costs!$C$6:$C$505,C425,Costs!$I$6:$I$505,"&gt;"&amp;I425))</f>
        <v/>
      </c>
    </row>
    <row r="426">
      <c r="A426" s="1" t="n"/>
      <c r="B426" s="29" t="n"/>
      <c r="C426" s="24" t="n"/>
      <c r="D426" s="25" t="n"/>
      <c r="E426" s="25" t="n"/>
      <c r="F426" s="28" t="n"/>
      <c r="G426" s="34" t="n"/>
      <c r="H426" s="1" t="n"/>
      <c r="I426">
        <f>IF(OR(C426="",N(F426)=0),"",F426+ROW()/10000000)</f>
        <v/>
      </c>
      <c r="J426">
        <f>IF(I426="","",COUNTIFS(Costs!$C$6:$C$505,C426,Costs!$I$6:$I$505,"&gt;"&amp;I426))</f>
        <v/>
      </c>
    </row>
    <row r="427">
      <c r="A427" s="1" t="n"/>
      <c r="B427" s="29" t="n"/>
      <c r="C427" s="24" t="n"/>
      <c r="D427" s="25" t="n"/>
      <c r="E427" s="25" t="n"/>
      <c r="F427" s="28" t="n"/>
      <c r="G427" s="34" t="n"/>
      <c r="H427" s="1" t="n"/>
      <c r="I427">
        <f>IF(OR(C427="",N(F427)=0),"",F427+ROW()/10000000)</f>
        <v/>
      </c>
      <c r="J427">
        <f>IF(I427="","",COUNTIFS(Costs!$C$6:$C$505,C427,Costs!$I$6:$I$505,"&gt;"&amp;I427))</f>
        <v/>
      </c>
    </row>
    <row r="428">
      <c r="A428" s="1" t="n"/>
      <c r="B428" s="29" t="n"/>
      <c r="C428" s="24" t="n"/>
      <c r="D428" s="25" t="n"/>
      <c r="E428" s="25" t="n"/>
      <c r="F428" s="28" t="n"/>
      <c r="G428" s="34" t="n"/>
      <c r="H428" s="1" t="n"/>
      <c r="I428">
        <f>IF(OR(C428="",N(F428)=0),"",F428+ROW()/10000000)</f>
        <v/>
      </c>
      <c r="J428">
        <f>IF(I428="","",COUNTIFS(Costs!$C$6:$C$505,C428,Costs!$I$6:$I$505,"&gt;"&amp;I428))</f>
        <v/>
      </c>
    </row>
    <row r="429">
      <c r="A429" s="1" t="n"/>
      <c r="B429" s="29" t="n"/>
      <c r="C429" s="24" t="n"/>
      <c r="D429" s="25" t="n"/>
      <c r="E429" s="25" t="n"/>
      <c r="F429" s="28" t="n"/>
      <c r="G429" s="34" t="n"/>
      <c r="H429" s="1" t="n"/>
      <c r="I429">
        <f>IF(OR(C429="",N(F429)=0),"",F429+ROW()/10000000)</f>
        <v/>
      </c>
      <c r="J429">
        <f>IF(I429="","",COUNTIFS(Costs!$C$6:$C$505,C429,Costs!$I$6:$I$505,"&gt;"&amp;I429))</f>
        <v/>
      </c>
    </row>
    <row r="430">
      <c r="A430" s="1" t="n"/>
      <c r="B430" s="29" t="n"/>
      <c r="C430" s="24" t="n"/>
      <c r="D430" s="25" t="n"/>
      <c r="E430" s="25" t="n"/>
      <c r="F430" s="28" t="n"/>
      <c r="G430" s="34" t="n"/>
      <c r="H430" s="1" t="n"/>
      <c r="I430">
        <f>IF(OR(C430="",N(F430)=0),"",F430+ROW()/10000000)</f>
        <v/>
      </c>
      <c r="J430">
        <f>IF(I430="","",COUNTIFS(Costs!$C$6:$C$505,C430,Costs!$I$6:$I$505,"&gt;"&amp;I430))</f>
        <v/>
      </c>
    </row>
    <row r="431">
      <c r="A431" s="1" t="n"/>
      <c r="B431" s="29" t="n"/>
      <c r="C431" s="24" t="n"/>
      <c r="D431" s="25" t="n"/>
      <c r="E431" s="25" t="n"/>
      <c r="F431" s="28" t="n"/>
      <c r="G431" s="34" t="n"/>
      <c r="H431" s="1" t="n"/>
      <c r="I431">
        <f>IF(OR(C431="",N(F431)=0),"",F431+ROW()/10000000)</f>
        <v/>
      </c>
      <c r="J431">
        <f>IF(I431="","",COUNTIFS(Costs!$C$6:$C$505,C431,Costs!$I$6:$I$505,"&gt;"&amp;I431))</f>
        <v/>
      </c>
    </row>
    <row r="432">
      <c r="A432" s="1" t="n"/>
      <c r="B432" s="29" t="n"/>
      <c r="C432" s="24" t="n"/>
      <c r="D432" s="25" t="n"/>
      <c r="E432" s="25" t="n"/>
      <c r="F432" s="28" t="n"/>
      <c r="G432" s="34" t="n"/>
      <c r="H432" s="1" t="n"/>
      <c r="I432">
        <f>IF(OR(C432="",N(F432)=0),"",F432+ROW()/10000000)</f>
        <v/>
      </c>
      <c r="J432">
        <f>IF(I432="","",COUNTIFS(Costs!$C$6:$C$505,C432,Costs!$I$6:$I$505,"&gt;"&amp;I432))</f>
        <v/>
      </c>
    </row>
    <row r="433">
      <c r="A433" s="1" t="n"/>
      <c r="B433" s="29" t="n"/>
      <c r="C433" s="24" t="n"/>
      <c r="D433" s="25" t="n"/>
      <c r="E433" s="25" t="n"/>
      <c r="F433" s="28" t="n"/>
      <c r="G433" s="34" t="n"/>
      <c r="H433" s="1" t="n"/>
      <c r="I433">
        <f>IF(OR(C433="",N(F433)=0),"",F433+ROW()/10000000)</f>
        <v/>
      </c>
      <c r="J433">
        <f>IF(I433="","",COUNTIFS(Costs!$C$6:$C$505,C433,Costs!$I$6:$I$505,"&gt;"&amp;I433))</f>
        <v/>
      </c>
    </row>
    <row r="434">
      <c r="A434" s="1" t="n"/>
      <c r="B434" s="29" t="n"/>
      <c r="C434" s="24" t="n"/>
      <c r="D434" s="25" t="n"/>
      <c r="E434" s="25" t="n"/>
      <c r="F434" s="28" t="n"/>
      <c r="G434" s="34" t="n"/>
      <c r="H434" s="1" t="n"/>
      <c r="I434">
        <f>IF(OR(C434="",N(F434)=0),"",F434+ROW()/10000000)</f>
        <v/>
      </c>
      <c r="J434">
        <f>IF(I434="","",COUNTIFS(Costs!$C$6:$C$505,C434,Costs!$I$6:$I$505,"&gt;"&amp;I434))</f>
        <v/>
      </c>
    </row>
    <row r="435">
      <c r="A435" s="1" t="n"/>
      <c r="B435" s="29" t="n"/>
      <c r="C435" s="24" t="n"/>
      <c r="D435" s="25" t="n"/>
      <c r="E435" s="25" t="n"/>
      <c r="F435" s="28" t="n"/>
      <c r="G435" s="34" t="n"/>
      <c r="H435" s="1" t="n"/>
      <c r="I435">
        <f>IF(OR(C435="",N(F435)=0),"",F435+ROW()/10000000)</f>
        <v/>
      </c>
      <c r="J435">
        <f>IF(I435="","",COUNTIFS(Costs!$C$6:$C$505,C435,Costs!$I$6:$I$505,"&gt;"&amp;I435))</f>
        <v/>
      </c>
    </row>
    <row r="436">
      <c r="A436" s="1" t="n"/>
      <c r="B436" s="29" t="n"/>
      <c r="C436" s="24" t="n"/>
      <c r="D436" s="25" t="n"/>
      <c r="E436" s="25" t="n"/>
      <c r="F436" s="28" t="n"/>
      <c r="G436" s="34" t="n"/>
      <c r="H436" s="1" t="n"/>
      <c r="I436">
        <f>IF(OR(C436="",N(F436)=0),"",F436+ROW()/10000000)</f>
        <v/>
      </c>
      <c r="J436">
        <f>IF(I436="","",COUNTIFS(Costs!$C$6:$C$505,C436,Costs!$I$6:$I$505,"&gt;"&amp;I436))</f>
        <v/>
      </c>
    </row>
    <row r="437">
      <c r="A437" s="1" t="n"/>
      <c r="B437" s="29" t="n"/>
      <c r="C437" s="24" t="n"/>
      <c r="D437" s="25" t="n"/>
      <c r="E437" s="25" t="n"/>
      <c r="F437" s="28" t="n"/>
      <c r="G437" s="34" t="n"/>
      <c r="H437" s="1" t="n"/>
      <c r="I437">
        <f>IF(OR(C437="",N(F437)=0),"",F437+ROW()/10000000)</f>
        <v/>
      </c>
      <c r="J437">
        <f>IF(I437="","",COUNTIFS(Costs!$C$6:$C$505,C437,Costs!$I$6:$I$505,"&gt;"&amp;I437))</f>
        <v/>
      </c>
    </row>
    <row r="438">
      <c r="A438" s="1" t="n"/>
      <c r="B438" s="29" t="n"/>
      <c r="C438" s="24" t="n"/>
      <c r="D438" s="25" t="n"/>
      <c r="E438" s="25" t="n"/>
      <c r="F438" s="28" t="n"/>
      <c r="G438" s="34" t="n"/>
      <c r="H438" s="1" t="n"/>
      <c r="I438">
        <f>IF(OR(C438="",N(F438)=0),"",F438+ROW()/10000000)</f>
        <v/>
      </c>
      <c r="J438">
        <f>IF(I438="","",COUNTIFS(Costs!$C$6:$C$505,C438,Costs!$I$6:$I$505,"&gt;"&amp;I438))</f>
        <v/>
      </c>
    </row>
    <row r="439">
      <c r="A439" s="1" t="n"/>
      <c r="B439" s="29" t="n"/>
      <c r="C439" s="24" t="n"/>
      <c r="D439" s="25" t="n"/>
      <c r="E439" s="25" t="n"/>
      <c r="F439" s="28" t="n"/>
      <c r="G439" s="34" t="n"/>
      <c r="H439" s="1" t="n"/>
      <c r="I439">
        <f>IF(OR(C439="",N(F439)=0),"",F439+ROW()/10000000)</f>
        <v/>
      </c>
      <c r="J439">
        <f>IF(I439="","",COUNTIFS(Costs!$C$6:$C$505,C439,Costs!$I$6:$I$505,"&gt;"&amp;I439))</f>
        <v/>
      </c>
    </row>
    <row r="440">
      <c r="A440" s="1" t="n"/>
      <c r="B440" s="29" t="n"/>
      <c r="C440" s="24" t="n"/>
      <c r="D440" s="25" t="n"/>
      <c r="E440" s="25" t="n"/>
      <c r="F440" s="28" t="n"/>
      <c r="G440" s="34" t="n"/>
      <c r="H440" s="1" t="n"/>
      <c r="I440">
        <f>IF(OR(C440="",N(F440)=0),"",F440+ROW()/10000000)</f>
        <v/>
      </c>
      <c r="J440">
        <f>IF(I440="","",COUNTIFS(Costs!$C$6:$C$505,C440,Costs!$I$6:$I$505,"&gt;"&amp;I440))</f>
        <v/>
      </c>
    </row>
    <row r="441">
      <c r="A441" s="1" t="n"/>
      <c r="B441" s="29" t="n"/>
      <c r="C441" s="24" t="n"/>
      <c r="D441" s="25" t="n"/>
      <c r="E441" s="25" t="n"/>
      <c r="F441" s="28" t="n"/>
      <c r="G441" s="34" t="n"/>
      <c r="H441" s="1" t="n"/>
      <c r="I441">
        <f>IF(OR(C441="",N(F441)=0),"",F441+ROW()/10000000)</f>
        <v/>
      </c>
      <c r="J441">
        <f>IF(I441="","",COUNTIFS(Costs!$C$6:$C$505,C441,Costs!$I$6:$I$505,"&gt;"&amp;I441))</f>
        <v/>
      </c>
    </row>
    <row r="442">
      <c r="A442" s="1" t="n"/>
      <c r="B442" s="29" t="n"/>
      <c r="C442" s="24" t="n"/>
      <c r="D442" s="25" t="n"/>
      <c r="E442" s="25" t="n"/>
      <c r="F442" s="28" t="n"/>
      <c r="G442" s="34" t="n"/>
      <c r="H442" s="1" t="n"/>
      <c r="I442">
        <f>IF(OR(C442="",N(F442)=0),"",F442+ROW()/10000000)</f>
        <v/>
      </c>
      <c r="J442">
        <f>IF(I442="","",COUNTIFS(Costs!$C$6:$C$505,C442,Costs!$I$6:$I$505,"&gt;"&amp;I442))</f>
        <v/>
      </c>
    </row>
    <row r="443">
      <c r="A443" s="1" t="n"/>
      <c r="B443" s="29" t="n"/>
      <c r="C443" s="24" t="n"/>
      <c r="D443" s="25" t="n"/>
      <c r="E443" s="25" t="n"/>
      <c r="F443" s="28" t="n"/>
      <c r="G443" s="34" t="n"/>
      <c r="H443" s="1" t="n"/>
      <c r="I443">
        <f>IF(OR(C443="",N(F443)=0),"",F443+ROW()/10000000)</f>
        <v/>
      </c>
      <c r="J443">
        <f>IF(I443="","",COUNTIFS(Costs!$C$6:$C$505,C443,Costs!$I$6:$I$505,"&gt;"&amp;I443))</f>
        <v/>
      </c>
    </row>
    <row r="444">
      <c r="A444" s="1" t="n"/>
      <c r="B444" s="29" t="n"/>
      <c r="C444" s="24" t="n"/>
      <c r="D444" s="25" t="n"/>
      <c r="E444" s="25" t="n"/>
      <c r="F444" s="28" t="n"/>
      <c r="G444" s="34" t="n"/>
      <c r="H444" s="1" t="n"/>
      <c r="I444">
        <f>IF(OR(C444="",N(F444)=0),"",F444+ROW()/10000000)</f>
        <v/>
      </c>
      <c r="J444">
        <f>IF(I444="","",COUNTIFS(Costs!$C$6:$C$505,C444,Costs!$I$6:$I$505,"&gt;"&amp;I444))</f>
        <v/>
      </c>
    </row>
    <row r="445">
      <c r="A445" s="1" t="n"/>
      <c r="B445" s="29" t="n"/>
      <c r="C445" s="24" t="n"/>
      <c r="D445" s="25" t="n"/>
      <c r="E445" s="25" t="n"/>
      <c r="F445" s="28" t="n"/>
      <c r="G445" s="34" t="n"/>
      <c r="H445" s="1" t="n"/>
      <c r="I445">
        <f>IF(OR(C445="",N(F445)=0),"",F445+ROW()/10000000)</f>
        <v/>
      </c>
      <c r="J445">
        <f>IF(I445="","",COUNTIFS(Costs!$C$6:$C$505,C445,Costs!$I$6:$I$505,"&gt;"&amp;I445))</f>
        <v/>
      </c>
    </row>
    <row r="446">
      <c r="A446" s="1" t="n"/>
      <c r="B446" s="29" t="n"/>
      <c r="C446" s="24" t="n"/>
      <c r="D446" s="25" t="n"/>
      <c r="E446" s="25" t="n"/>
      <c r="F446" s="28" t="n"/>
      <c r="G446" s="34" t="n"/>
      <c r="H446" s="1" t="n"/>
      <c r="I446">
        <f>IF(OR(C446="",N(F446)=0),"",F446+ROW()/10000000)</f>
        <v/>
      </c>
      <c r="J446">
        <f>IF(I446="","",COUNTIFS(Costs!$C$6:$C$505,C446,Costs!$I$6:$I$505,"&gt;"&amp;I446))</f>
        <v/>
      </c>
    </row>
    <row r="447">
      <c r="A447" s="1" t="n"/>
      <c r="B447" s="29" t="n"/>
      <c r="C447" s="24" t="n"/>
      <c r="D447" s="25" t="n"/>
      <c r="E447" s="25" t="n"/>
      <c r="F447" s="28" t="n"/>
      <c r="G447" s="34" t="n"/>
      <c r="H447" s="1" t="n"/>
      <c r="I447">
        <f>IF(OR(C447="",N(F447)=0),"",F447+ROW()/10000000)</f>
        <v/>
      </c>
      <c r="J447">
        <f>IF(I447="","",COUNTIFS(Costs!$C$6:$C$505,C447,Costs!$I$6:$I$505,"&gt;"&amp;I447))</f>
        <v/>
      </c>
    </row>
    <row r="448">
      <c r="A448" s="1" t="n"/>
      <c r="B448" s="29" t="n"/>
      <c r="C448" s="24" t="n"/>
      <c r="D448" s="25" t="n"/>
      <c r="E448" s="25" t="n"/>
      <c r="F448" s="28" t="n"/>
      <c r="G448" s="34" t="n"/>
      <c r="H448" s="1" t="n"/>
      <c r="I448">
        <f>IF(OR(C448="",N(F448)=0),"",F448+ROW()/10000000)</f>
        <v/>
      </c>
      <c r="J448">
        <f>IF(I448="","",COUNTIFS(Costs!$C$6:$C$505,C448,Costs!$I$6:$I$505,"&gt;"&amp;I448))</f>
        <v/>
      </c>
    </row>
    <row r="449">
      <c r="A449" s="1" t="n"/>
      <c r="B449" s="29" t="n"/>
      <c r="C449" s="24" t="n"/>
      <c r="D449" s="25" t="n"/>
      <c r="E449" s="25" t="n"/>
      <c r="F449" s="28" t="n"/>
      <c r="G449" s="34" t="n"/>
      <c r="H449" s="1" t="n"/>
      <c r="I449">
        <f>IF(OR(C449="",N(F449)=0),"",F449+ROW()/10000000)</f>
        <v/>
      </c>
      <c r="J449">
        <f>IF(I449="","",COUNTIFS(Costs!$C$6:$C$505,C449,Costs!$I$6:$I$505,"&gt;"&amp;I449))</f>
        <v/>
      </c>
    </row>
    <row r="450">
      <c r="A450" s="1" t="n"/>
      <c r="B450" s="29" t="n"/>
      <c r="C450" s="24" t="n"/>
      <c r="D450" s="25" t="n"/>
      <c r="E450" s="25" t="n"/>
      <c r="F450" s="28" t="n"/>
      <c r="G450" s="34" t="n"/>
      <c r="H450" s="1" t="n"/>
      <c r="I450">
        <f>IF(OR(C450="",N(F450)=0),"",F450+ROW()/10000000)</f>
        <v/>
      </c>
      <c r="J450">
        <f>IF(I450="","",COUNTIFS(Costs!$C$6:$C$505,C450,Costs!$I$6:$I$505,"&gt;"&amp;I450))</f>
        <v/>
      </c>
    </row>
    <row r="451">
      <c r="A451" s="1" t="n"/>
      <c r="B451" s="29" t="n"/>
      <c r="C451" s="24" t="n"/>
      <c r="D451" s="25" t="n"/>
      <c r="E451" s="25" t="n"/>
      <c r="F451" s="28" t="n"/>
      <c r="G451" s="34" t="n"/>
      <c r="H451" s="1" t="n"/>
      <c r="I451">
        <f>IF(OR(C451="",N(F451)=0),"",F451+ROW()/10000000)</f>
        <v/>
      </c>
      <c r="J451">
        <f>IF(I451="","",COUNTIFS(Costs!$C$6:$C$505,C451,Costs!$I$6:$I$505,"&gt;"&amp;I451))</f>
        <v/>
      </c>
    </row>
    <row r="452">
      <c r="A452" s="1" t="n"/>
      <c r="B452" s="29" t="n"/>
      <c r="C452" s="24" t="n"/>
      <c r="D452" s="25" t="n"/>
      <c r="E452" s="25" t="n"/>
      <c r="F452" s="28" t="n"/>
      <c r="G452" s="34" t="n"/>
      <c r="H452" s="1" t="n"/>
      <c r="I452">
        <f>IF(OR(C452="",N(F452)=0),"",F452+ROW()/10000000)</f>
        <v/>
      </c>
      <c r="J452">
        <f>IF(I452="","",COUNTIFS(Costs!$C$6:$C$505,C452,Costs!$I$6:$I$505,"&gt;"&amp;I452))</f>
        <v/>
      </c>
    </row>
    <row r="453">
      <c r="A453" s="1" t="n"/>
      <c r="B453" s="29" t="n"/>
      <c r="C453" s="24" t="n"/>
      <c r="D453" s="25" t="n"/>
      <c r="E453" s="25" t="n"/>
      <c r="F453" s="28" t="n"/>
      <c r="G453" s="34" t="n"/>
      <c r="H453" s="1" t="n"/>
      <c r="I453">
        <f>IF(OR(C453="",N(F453)=0),"",F453+ROW()/10000000)</f>
        <v/>
      </c>
      <c r="J453">
        <f>IF(I453="","",COUNTIFS(Costs!$C$6:$C$505,C453,Costs!$I$6:$I$505,"&gt;"&amp;I453))</f>
        <v/>
      </c>
    </row>
    <row r="454">
      <c r="A454" s="1" t="n"/>
      <c r="B454" s="29" t="n"/>
      <c r="C454" s="24" t="n"/>
      <c r="D454" s="25" t="n"/>
      <c r="E454" s="25" t="n"/>
      <c r="F454" s="28" t="n"/>
      <c r="G454" s="34" t="n"/>
      <c r="H454" s="1" t="n"/>
      <c r="I454">
        <f>IF(OR(C454="",N(F454)=0),"",F454+ROW()/10000000)</f>
        <v/>
      </c>
      <c r="J454">
        <f>IF(I454="","",COUNTIFS(Costs!$C$6:$C$505,C454,Costs!$I$6:$I$505,"&gt;"&amp;I454))</f>
        <v/>
      </c>
    </row>
    <row r="455">
      <c r="A455" s="1" t="n"/>
      <c r="B455" s="29" t="n"/>
      <c r="C455" s="24" t="n"/>
      <c r="D455" s="25" t="n"/>
      <c r="E455" s="25" t="n"/>
      <c r="F455" s="28" t="n"/>
      <c r="G455" s="34" t="n"/>
      <c r="H455" s="1" t="n"/>
      <c r="I455">
        <f>IF(OR(C455="",N(F455)=0),"",F455+ROW()/10000000)</f>
        <v/>
      </c>
      <c r="J455">
        <f>IF(I455="","",COUNTIFS(Costs!$C$6:$C$505,C455,Costs!$I$6:$I$505,"&gt;"&amp;I455))</f>
        <v/>
      </c>
    </row>
    <row r="456">
      <c r="A456" s="1" t="n"/>
      <c r="B456" s="29" t="n"/>
      <c r="C456" s="24" t="n"/>
      <c r="D456" s="25" t="n"/>
      <c r="E456" s="25" t="n"/>
      <c r="F456" s="28" t="n"/>
      <c r="G456" s="34" t="n"/>
      <c r="H456" s="1" t="n"/>
      <c r="I456">
        <f>IF(OR(C456="",N(F456)=0),"",F456+ROW()/10000000)</f>
        <v/>
      </c>
      <c r="J456">
        <f>IF(I456="","",COUNTIFS(Costs!$C$6:$C$505,C456,Costs!$I$6:$I$505,"&gt;"&amp;I456))</f>
        <v/>
      </c>
    </row>
    <row r="457">
      <c r="A457" s="1" t="n"/>
      <c r="B457" s="29" t="n"/>
      <c r="C457" s="24" t="n"/>
      <c r="D457" s="25" t="n"/>
      <c r="E457" s="25" t="n"/>
      <c r="F457" s="28" t="n"/>
      <c r="G457" s="34" t="n"/>
      <c r="H457" s="1" t="n"/>
      <c r="I457">
        <f>IF(OR(C457="",N(F457)=0),"",F457+ROW()/10000000)</f>
        <v/>
      </c>
      <c r="J457">
        <f>IF(I457="","",COUNTIFS(Costs!$C$6:$C$505,C457,Costs!$I$6:$I$505,"&gt;"&amp;I457))</f>
        <v/>
      </c>
    </row>
    <row r="458">
      <c r="A458" s="1" t="n"/>
      <c r="B458" s="29" t="n"/>
      <c r="C458" s="24" t="n"/>
      <c r="D458" s="25" t="n"/>
      <c r="E458" s="25" t="n"/>
      <c r="F458" s="28" t="n"/>
      <c r="G458" s="34" t="n"/>
      <c r="H458" s="1" t="n"/>
      <c r="I458">
        <f>IF(OR(C458="",N(F458)=0),"",F458+ROW()/10000000)</f>
        <v/>
      </c>
      <c r="J458">
        <f>IF(I458="","",COUNTIFS(Costs!$C$6:$C$505,C458,Costs!$I$6:$I$505,"&gt;"&amp;I458))</f>
        <v/>
      </c>
    </row>
    <row r="459">
      <c r="A459" s="1" t="n"/>
      <c r="B459" s="29" t="n"/>
      <c r="C459" s="24" t="n"/>
      <c r="D459" s="25" t="n"/>
      <c r="E459" s="25" t="n"/>
      <c r="F459" s="28" t="n"/>
      <c r="G459" s="34" t="n"/>
      <c r="H459" s="1" t="n"/>
      <c r="I459">
        <f>IF(OR(C459="",N(F459)=0),"",F459+ROW()/10000000)</f>
        <v/>
      </c>
      <c r="J459">
        <f>IF(I459="","",COUNTIFS(Costs!$C$6:$C$505,C459,Costs!$I$6:$I$505,"&gt;"&amp;I459))</f>
        <v/>
      </c>
    </row>
    <row r="460">
      <c r="A460" s="1" t="n"/>
      <c r="B460" s="29" t="n"/>
      <c r="C460" s="24" t="n"/>
      <c r="D460" s="25" t="n"/>
      <c r="E460" s="25" t="n"/>
      <c r="F460" s="28" t="n"/>
      <c r="G460" s="34" t="n"/>
      <c r="H460" s="1" t="n"/>
      <c r="I460">
        <f>IF(OR(C460="",N(F460)=0),"",F460+ROW()/10000000)</f>
        <v/>
      </c>
      <c r="J460">
        <f>IF(I460="","",COUNTIFS(Costs!$C$6:$C$505,C460,Costs!$I$6:$I$505,"&gt;"&amp;I460))</f>
        <v/>
      </c>
    </row>
    <row r="461">
      <c r="A461" s="1" t="n"/>
      <c r="B461" s="29" t="n"/>
      <c r="C461" s="24" t="n"/>
      <c r="D461" s="25" t="n"/>
      <c r="E461" s="25" t="n"/>
      <c r="F461" s="28" t="n"/>
      <c r="G461" s="34" t="n"/>
      <c r="H461" s="1" t="n"/>
      <c r="I461">
        <f>IF(OR(C461="",N(F461)=0),"",F461+ROW()/10000000)</f>
        <v/>
      </c>
      <c r="J461">
        <f>IF(I461="","",COUNTIFS(Costs!$C$6:$C$505,C461,Costs!$I$6:$I$505,"&gt;"&amp;I461))</f>
        <v/>
      </c>
    </row>
    <row r="462">
      <c r="A462" s="1" t="n"/>
      <c r="B462" s="29" t="n"/>
      <c r="C462" s="24" t="n"/>
      <c r="D462" s="25" t="n"/>
      <c r="E462" s="25" t="n"/>
      <c r="F462" s="28" t="n"/>
      <c r="G462" s="34" t="n"/>
      <c r="H462" s="1" t="n"/>
      <c r="I462">
        <f>IF(OR(C462="",N(F462)=0),"",F462+ROW()/10000000)</f>
        <v/>
      </c>
      <c r="J462">
        <f>IF(I462="","",COUNTIFS(Costs!$C$6:$C$505,C462,Costs!$I$6:$I$505,"&gt;"&amp;I462))</f>
        <v/>
      </c>
    </row>
    <row r="463">
      <c r="A463" s="1" t="n"/>
      <c r="B463" s="29" t="n"/>
      <c r="C463" s="24" t="n"/>
      <c r="D463" s="25" t="n"/>
      <c r="E463" s="25" t="n"/>
      <c r="F463" s="28" t="n"/>
      <c r="G463" s="34" t="n"/>
      <c r="H463" s="1" t="n"/>
      <c r="I463">
        <f>IF(OR(C463="",N(F463)=0),"",F463+ROW()/10000000)</f>
        <v/>
      </c>
      <c r="J463">
        <f>IF(I463="","",COUNTIFS(Costs!$C$6:$C$505,C463,Costs!$I$6:$I$505,"&gt;"&amp;I463))</f>
        <v/>
      </c>
    </row>
    <row r="464">
      <c r="A464" s="1" t="n"/>
      <c r="B464" s="29" t="n"/>
      <c r="C464" s="24" t="n"/>
      <c r="D464" s="25" t="n"/>
      <c r="E464" s="25" t="n"/>
      <c r="F464" s="28" t="n"/>
      <c r="G464" s="34" t="n"/>
      <c r="H464" s="1" t="n"/>
      <c r="I464">
        <f>IF(OR(C464="",N(F464)=0),"",F464+ROW()/10000000)</f>
        <v/>
      </c>
      <c r="J464">
        <f>IF(I464="","",COUNTIFS(Costs!$C$6:$C$505,C464,Costs!$I$6:$I$505,"&gt;"&amp;I464))</f>
        <v/>
      </c>
    </row>
    <row r="465">
      <c r="A465" s="1" t="n"/>
      <c r="B465" s="29" t="n"/>
      <c r="C465" s="24" t="n"/>
      <c r="D465" s="25" t="n"/>
      <c r="E465" s="25" t="n"/>
      <c r="F465" s="28" t="n"/>
      <c r="G465" s="34" t="n"/>
      <c r="H465" s="1" t="n"/>
      <c r="I465">
        <f>IF(OR(C465="",N(F465)=0),"",F465+ROW()/10000000)</f>
        <v/>
      </c>
      <c r="J465">
        <f>IF(I465="","",COUNTIFS(Costs!$C$6:$C$505,C465,Costs!$I$6:$I$505,"&gt;"&amp;I465))</f>
        <v/>
      </c>
    </row>
    <row r="466">
      <c r="A466" s="1" t="n"/>
      <c r="B466" s="29" t="n"/>
      <c r="C466" s="24" t="n"/>
      <c r="D466" s="25" t="n"/>
      <c r="E466" s="25" t="n"/>
      <c r="F466" s="28" t="n"/>
      <c r="G466" s="34" t="n"/>
      <c r="H466" s="1" t="n"/>
      <c r="I466">
        <f>IF(OR(C466="",N(F466)=0),"",F466+ROW()/10000000)</f>
        <v/>
      </c>
      <c r="J466">
        <f>IF(I466="","",COUNTIFS(Costs!$C$6:$C$505,C466,Costs!$I$6:$I$505,"&gt;"&amp;I466))</f>
        <v/>
      </c>
    </row>
    <row r="467">
      <c r="A467" s="1" t="n"/>
      <c r="B467" s="29" t="n"/>
      <c r="C467" s="24" t="n"/>
      <c r="D467" s="25" t="n"/>
      <c r="E467" s="25" t="n"/>
      <c r="F467" s="28" t="n"/>
      <c r="G467" s="34" t="n"/>
      <c r="H467" s="1" t="n"/>
      <c r="I467">
        <f>IF(OR(C467="",N(F467)=0),"",F467+ROW()/10000000)</f>
        <v/>
      </c>
      <c r="J467">
        <f>IF(I467="","",COUNTIFS(Costs!$C$6:$C$505,C467,Costs!$I$6:$I$505,"&gt;"&amp;I467))</f>
        <v/>
      </c>
    </row>
    <row r="468">
      <c r="A468" s="1" t="n"/>
      <c r="B468" s="29" t="n"/>
      <c r="C468" s="24" t="n"/>
      <c r="D468" s="25" t="n"/>
      <c r="E468" s="25" t="n"/>
      <c r="F468" s="28" t="n"/>
      <c r="G468" s="34" t="n"/>
      <c r="H468" s="1" t="n"/>
      <c r="I468">
        <f>IF(OR(C468="",N(F468)=0),"",F468+ROW()/10000000)</f>
        <v/>
      </c>
      <c r="J468">
        <f>IF(I468="","",COUNTIFS(Costs!$C$6:$C$505,C468,Costs!$I$6:$I$505,"&gt;"&amp;I468))</f>
        <v/>
      </c>
    </row>
    <row r="469">
      <c r="A469" s="1" t="n"/>
      <c r="B469" s="29" t="n"/>
      <c r="C469" s="24" t="n"/>
      <c r="D469" s="25" t="n"/>
      <c r="E469" s="25" t="n"/>
      <c r="F469" s="28" t="n"/>
      <c r="G469" s="34" t="n"/>
      <c r="H469" s="1" t="n"/>
      <c r="I469">
        <f>IF(OR(C469="",N(F469)=0),"",F469+ROW()/10000000)</f>
        <v/>
      </c>
      <c r="J469">
        <f>IF(I469="","",COUNTIFS(Costs!$C$6:$C$505,C469,Costs!$I$6:$I$505,"&gt;"&amp;I469))</f>
        <v/>
      </c>
    </row>
    <row r="470">
      <c r="A470" s="1" t="n"/>
      <c r="B470" s="29" t="n"/>
      <c r="C470" s="24" t="n"/>
      <c r="D470" s="25" t="n"/>
      <c r="E470" s="25" t="n"/>
      <c r="F470" s="28" t="n"/>
      <c r="G470" s="34" t="n"/>
      <c r="H470" s="1" t="n"/>
      <c r="I470">
        <f>IF(OR(C470="",N(F470)=0),"",F470+ROW()/10000000)</f>
        <v/>
      </c>
      <c r="J470">
        <f>IF(I470="","",COUNTIFS(Costs!$C$6:$C$505,C470,Costs!$I$6:$I$505,"&gt;"&amp;I470))</f>
        <v/>
      </c>
    </row>
    <row r="471">
      <c r="A471" s="1" t="n"/>
      <c r="B471" s="29" t="n"/>
      <c r="C471" s="24" t="n"/>
      <c r="D471" s="25" t="n"/>
      <c r="E471" s="25" t="n"/>
      <c r="F471" s="28" t="n"/>
      <c r="G471" s="34" t="n"/>
      <c r="H471" s="1" t="n"/>
      <c r="I471">
        <f>IF(OR(C471="",N(F471)=0),"",F471+ROW()/10000000)</f>
        <v/>
      </c>
      <c r="J471">
        <f>IF(I471="","",COUNTIFS(Costs!$C$6:$C$505,C471,Costs!$I$6:$I$505,"&gt;"&amp;I471))</f>
        <v/>
      </c>
    </row>
    <row r="472">
      <c r="A472" s="1" t="n"/>
      <c r="B472" s="29" t="n"/>
      <c r="C472" s="24" t="n"/>
      <c r="D472" s="25" t="n"/>
      <c r="E472" s="25" t="n"/>
      <c r="F472" s="28" t="n"/>
      <c r="G472" s="34" t="n"/>
      <c r="H472" s="1" t="n"/>
      <c r="I472">
        <f>IF(OR(C472="",N(F472)=0),"",F472+ROW()/10000000)</f>
        <v/>
      </c>
      <c r="J472">
        <f>IF(I472="","",COUNTIFS(Costs!$C$6:$C$505,C472,Costs!$I$6:$I$505,"&gt;"&amp;I472))</f>
        <v/>
      </c>
    </row>
    <row r="473">
      <c r="A473" s="1" t="n"/>
      <c r="B473" s="29" t="n"/>
      <c r="C473" s="24" t="n"/>
      <c r="D473" s="25" t="n"/>
      <c r="E473" s="25" t="n"/>
      <c r="F473" s="28" t="n"/>
      <c r="G473" s="34" t="n"/>
      <c r="H473" s="1" t="n"/>
      <c r="I473">
        <f>IF(OR(C473="",N(F473)=0),"",F473+ROW()/10000000)</f>
        <v/>
      </c>
      <c r="J473">
        <f>IF(I473="","",COUNTIFS(Costs!$C$6:$C$505,C473,Costs!$I$6:$I$505,"&gt;"&amp;I473))</f>
        <v/>
      </c>
    </row>
    <row r="474">
      <c r="A474" s="1" t="n"/>
      <c r="B474" s="29" t="n"/>
      <c r="C474" s="24" t="n"/>
      <c r="D474" s="25" t="n"/>
      <c r="E474" s="25" t="n"/>
      <c r="F474" s="28" t="n"/>
      <c r="G474" s="34" t="n"/>
      <c r="H474" s="1" t="n"/>
      <c r="I474">
        <f>IF(OR(C474="",N(F474)=0),"",F474+ROW()/10000000)</f>
        <v/>
      </c>
      <c r="J474">
        <f>IF(I474="","",COUNTIFS(Costs!$C$6:$C$505,C474,Costs!$I$6:$I$505,"&gt;"&amp;I474))</f>
        <v/>
      </c>
    </row>
    <row r="475">
      <c r="A475" s="1" t="n"/>
      <c r="B475" s="29" t="n"/>
      <c r="C475" s="24" t="n"/>
      <c r="D475" s="25" t="n"/>
      <c r="E475" s="25" t="n"/>
      <c r="F475" s="28" t="n"/>
      <c r="G475" s="34" t="n"/>
      <c r="H475" s="1" t="n"/>
      <c r="I475">
        <f>IF(OR(C475="",N(F475)=0),"",F475+ROW()/10000000)</f>
        <v/>
      </c>
      <c r="J475">
        <f>IF(I475="","",COUNTIFS(Costs!$C$6:$C$505,C475,Costs!$I$6:$I$505,"&gt;"&amp;I475))</f>
        <v/>
      </c>
    </row>
    <row r="476">
      <c r="A476" s="1" t="n"/>
      <c r="B476" s="29" t="n"/>
      <c r="C476" s="24" t="n"/>
      <c r="D476" s="25" t="n"/>
      <c r="E476" s="25" t="n"/>
      <c r="F476" s="28" t="n"/>
      <c r="G476" s="34" t="n"/>
      <c r="H476" s="1" t="n"/>
      <c r="I476">
        <f>IF(OR(C476="",N(F476)=0),"",F476+ROW()/10000000)</f>
        <v/>
      </c>
      <c r="J476">
        <f>IF(I476="","",COUNTIFS(Costs!$C$6:$C$505,C476,Costs!$I$6:$I$505,"&gt;"&amp;I476))</f>
        <v/>
      </c>
    </row>
    <row r="477">
      <c r="A477" s="1" t="n"/>
      <c r="B477" s="29" t="n"/>
      <c r="C477" s="24" t="n"/>
      <c r="D477" s="25" t="n"/>
      <c r="E477" s="25" t="n"/>
      <c r="F477" s="28" t="n"/>
      <c r="G477" s="34" t="n"/>
      <c r="H477" s="1" t="n"/>
      <c r="I477">
        <f>IF(OR(C477="",N(F477)=0),"",F477+ROW()/10000000)</f>
        <v/>
      </c>
      <c r="J477">
        <f>IF(I477="","",COUNTIFS(Costs!$C$6:$C$505,C477,Costs!$I$6:$I$505,"&gt;"&amp;I477))</f>
        <v/>
      </c>
    </row>
    <row r="478">
      <c r="A478" s="1" t="n"/>
      <c r="B478" s="29" t="n"/>
      <c r="C478" s="24" t="n"/>
      <c r="D478" s="25" t="n"/>
      <c r="E478" s="25" t="n"/>
      <c r="F478" s="28" t="n"/>
      <c r="G478" s="34" t="n"/>
      <c r="H478" s="1" t="n"/>
      <c r="I478">
        <f>IF(OR(C478="",N(F478)=0),"",F478+ROW()/10000000)</f>
        <v/>
      </c>
      <c r="J478">
        <f>IF(I478="","",COUNTIFS(Costs!$C$6:$C$505,C478,Costs!$I$6:$I$505,"&gt;"&amp;I478))</f>
        <v/>
      </c>
    </row>
    <row r="479">
      <c r="A479" s="1" t="n"/>
      <c r="B479" s="29" t="n"/>
      <c r="C479" s="24" t="n"/>
      <c r="D479" s="25" t="n"/>
      <c r="E479" s="25" t="n"/>
      <c r="F479" s="28" t="n"/>
      <c r="G479" s="34" t="n"/>
      <c r="H479" s="1" t="n"/>
      <c r="I479">
        <f>IF(OR(C479="",N(F479)=0),"",F479+ROW()/10000000)</f>
        <v/>
      </c>
      <c r="J479">
        <f>IF(I479="","",COUNTIFS(Costs!$C$6:$C$505,C479,Costs!$I$6:$I$505,"&gt;"&amp;I479))</f>
        <v/>
      </c>
    </row>
    <row r="480">
      <c r="A480" s="1" t="n"/>
      <c r="B480" s="29" t="n"/>
      <c r="C480" s="24" t="n"/>
      <c r="D480" s="25" t="n"/>
      <c r="E480" s="25" t="n"/>
      <c r="F480" s="28" t="n"/>
      <c r="G480" s="34" t="n"/>
      <c r="H480" s="1" t="n"/>
      <c r="I480">
        <f>IF(OR(C480="",N(F480)=0),"",F480+ROW()/10000000)</f>
        <v/>
      </c>
      <c r="J480">
        <f>IF(I480="","",COUNTIFS(Costs!$C$6:$C$505,C480,Costs!$I$6:$I$505,"&gt;"&amp;I480))</f>
        <v/>
      </c>
    </row>
    <row r="481">
      <c r="A481" s="1" t="n"/>
      <c r="B481" s="29" t="n"/>
      <c r="C481" s="24" t="n"/>
      <c r="D481" s="25" t="n"/>
      <c r="E481" s="25" t="n"/>
      <c r="F481" s="28" t="n"/>
      <c r="G481" s="34" t="n"/>
      <c r="H481" s="1" t="n"/>
      <c r="I481">
        <f>IF(OR(C481="",N(F481)=0),"",F481+ROW()/10000000)</f>
        <v/>
      </c>
      <c r="J481">
        <f>IF(I481="","",COUNTIFS(Costs!$C$6:$C$505,C481,Costs!$I$6:$I$505,"&gt;"&amp;I481))</f>
        <v/>
      </c>
    </row>
    <row r="482">
      <c r="A482" s="1" t="n"/>
      <c r="B482" s="29" t="n"/>
      <c r="C482" s="24" t="n"/>
      <c r="D482" s="25" t="n"/>
      <c r="E482" s="25" t="n"/>
      <c r="F482" s="28" t="n"/>
      <c r="G482" s="34" t="n"/>
      <c r="H482" s="1" t="n"/>
      <c r="I482">
        <f>IF(OR(C482="",N(F482)=0),"",F482+ROW()/10000000)</f>
        <v/>
      </c>
      <c r="J482">
        <f>IF(I482="","",COUNTIFS(Costs!$C$6:$C$505,C482,Costs!$I$6:$I$505,"&gt;"&amp;I482))</f>
        <v/>
      </c>
    </row>
    <row r="483">
      <c r="A483" s="1" t="n"/>
      <c r="B483" s="29" t="n"/>
      <c r="C483" s="24" t="n"/>
      <c r="D483" s="25" t="n"/>
      <c r="E483" s="25" t="n"/>
      <c r="F483" s="28" t="n"/>
      <c r="G483" s="34" t="n"/>
      <c r="H483" s="1" t="n"/>
      <c r="I483">
        <f>IF(OR(C483="",N(F483)=0),"",F483+ROW()/10000000)</f>
        <v/>
      </c>
      <c r="J483">
        <f>IF(I483="","",COUNTIFS(Costs!$C$6:$C$505,C483,Costs!$I$6:$I$505,"&gt;"&amp;I483))</f>
        <v/>
      </c>
    </row>
    <row r="484">
      <c r="A484" s="1" t="n"/>
      <c r="B484" s="29" t="n"/>
      <c r="C484" s="24" t="n"/>
      <c r="D484" s="25" t="n"/>
      <c r="E484" s="25" t="n"/>
      <c r="F484" s="28" t="n"/>
      <c r="G484" s="34" t="n"/>
      <c r="H484" s="1" t="n"/>
      <c r="I484">
        <f>IF(OR(C484="",N(F484)=0),"",F484+ROW()/10000000)</f>
        <v/>
      </c>
      <c r="J484">
        <f>IF(I484="","",COUNTIFS(Costs!$C$6:$C$505,C484,Costs!$I$6:$I$505,"&gt;"&amp;I484))</f>
        <v/>
      </c>
    </row>
    <row r="485">
      <c r="A485" s="1" t="n"/>
      <c r="B485" s="29" t="n"/>
      <c r="C485" s="24" t="n"/>
      <c r="D485" s="25" t="n"/>
      <c r="E485" s="25" t="n"/>
      <c r="F485" s="28" t="n"/>
      <c r="G485" s="34" t="n"/>
      <c r="H485" s="1" t="n"/>
      <c r="I485">
        <f>IF(OR(C485="",N(F485)=0),"",F485+ROW()/10000000)</f>
        <v/>
      </c>
      <c r="J485">
        <f>IF(I485="","",COUNTIFS(Costs!$C$6:$C$505,C485,Costs!$I$6:$I$505,"&gt;"&amp;I485))</f>
        <v/>
      </c>
    </row>
    <row r="486">
      <c r="A486" s="1" t="n"/>
      <c r="B486" s="29" t="n"/>
      <c r="C486" s="24" t="n"/>
      <c r="D486" s="25" t="n"/>
      <c r="E486" s="25" t="n"/>
      <c r="F486" s="28" t="n"/>
      <c r="G486" s="34" t="n"/>
      <c r="H486" s="1" t="n"/>
      <c r="I486">
        <f>IF(OR(C486="",N(F486)=0),"",F486+ROW()/10000000)</f>
        <v/>
      </c>
      <c r="J486">
        <f>IF(I486="","",COUNTIFS(Costs!$C$6:$C$505,C486,Costs!$I$6:$I$505,"&gt;"&amp;I486))</f>
        <v/>
      </c>
    </row>
    <row r="487">
      <c r="A487" s="1" t="n"/>
      <c r="B487" s="29" t="n"/>
      <c r="C487" s="24" t="n"/>
      <c r="D487" s="25" t="n"/>
      <c r="E487" s="25" t="n"/>
      <c r="F487" s="28" t="n"/>
      <c r="G487" s="34" t="n"/>
      <c r="H487" s="1" t="n"/>
      <c r="I487">
        <f>IF(OR(C487="",N(F487)=0),"",F487+ROW()/10000000)</f>
        <v/>
      </c>
      <c r="J487">
        <f>IF(I487="","",COUNTIFS(Costs!$C$6:$C$505,C487,Costs!$I$6:$I$505,"&gt;"&amp;I487))</f>
        <v/>
      </c>
    </row>
    <row r="488">
      <c r="A488" s="1" t="n"/>
      <c r="B488" s="29" t="n"/>
      <c r="C488" s="24" t="n"/>
      <c r="D488" s="25" t="n"/>
      <c r="E488" s="25" t="n"/>
      <c r="F488" s="28" t="n"/>
      <c r="G488" s="34" t="n"/>
      <c r="H488" s="1" t="n"/>
      <c r="I488">
        <f>IF(OR(C488="",N(F488)=0),"",F488+ROW()/10000000)</f>
        <v/>
      </c>
      <c r="J488">
        <f>IF(I488="","",COUNTIFS(Costs!$C$6:$C$505,C488,Costs!$I$6:$I$505,"&gt;"&amp;I488))</f>
        <v/>
      </c>
    </row>
    <row r="489">
      <c r="A489" s="1" t="n"/>
      <c r="B489" s="29" t="n"/>
      <c r="C489" s="24" t="n"/>
      <c r="D489" s="25" t="n"/>
      <c r="E489" s="25" t="n"/>
      <c r="F489" s="28" t="n"/>
      <c r="G489" s="34" t="n"/>
      <c r="H489" s="1" t="n"/>
      <c r="I489">
        <f>IF(OR(C489="",N(F489)=0),"",F489+ROW()/10000000)</f>
        <v/>
      </c>
      <c r="J489">
        <f>IF(I489="","",COUNTIFS(Costs!$C$6:$C$505,C489,Costs!$I$6:$I$505,"&gt;"&amp;I489))</f>
        <v/>
      </c>
    </row>
    <row r="490">
      <c r="A490" s="1" t="n"/>
      <c r="B490" s="29" t="n"/>
      <c r="C490" s="24" t="n"/>
      <c r="D490" s="25" t="n"/>
      <c r="E490" s="25" t="n"/>
      <c r="F490" s="28" t="n"/>
      <c r="G490" s="34" t="n"/>
      <c r="H490" s="1" t="n"/>
      <c r="I490">
        <f>IF(OR(C490="",N(F490)=0),"",F490+ROW()/10000000)</f>
        <v/>
      </c>
      <c r="J490">
        <f>IF(I490="","",COUNTIFS(Costs!$C$6:$C$505,C490,Costs!$I$6:$I$505,"&gt;"&amp;I490))</f>
        <v/>
      </c>
    </row>
    <row r="491">
      <c r="A491" s="1" t="n"/>
      <c r="B491" s="29" t="n"/>
      <c r="C491" s="24" t="n"/>
      <c r="D491" s="25" t="n"/>
      <c r="E491" s="25" t="n"/>
      <c r="F491" s="28" t="n"/>
      <c r="G491" s="34" t="n"/>
      <c r="H491" s="1" t="n"/>
      <c r="I491">
        <f>IF(OR(C491="",N(F491)=0),"",F491+ROW()/10000000)</f>
        <v/>
      </c>
      <c r="J491">
        <f>IF(I491="","",COUNTIFS(Costs!$C$6:$C$505,C491,Costs!$I$6:$I$505,"&gt;"&amp;I491))</f>
        <v/>
      </c>
    </row>
    <row r="492">
      <c r="A492" s="1" t="n"/>
      <c r="B492" s="29" t="n"/>
      <c r="C492" s="24" t="n"/>
      <c r="D492" s="25" t="n"/>
      <c r="E492" s="25" t="n"/>
      <c r="F492" s="28" t="n"/>
      <c r="G492" s="34" t="n"/>
      <c r="H492" s="1" t="n"/>
      <c r="I492">
        <f>IF(OR(C492="",N(F492)=0),"",F492+ROW()/10000000)</f>
        <v/>
      </c>
      <c r="J492">
        <f>IF(I492="","",COUNTIFS(Costs!$C$6:$C$505,C492,Costs!$I$6:$I$505,"&gt;"&amp;I492))</f>
        <v/>
      </c>
    </row>
    <row r="493">
      <c r="A493" s="1" t="n"/>
      <c r="B493" s="29" t="n"/>
      <c r="C493" s="24" t="n"/>
      <c r="D493" s="25" t="n"/>
      <c r="E493" s="25" t="n"/>
      <c r="F493" s="28" t="n"/>
      <c r="G493" s="34" t="n"/>
      <c r="H493" s="1" t="n"/>
      <c r="I493">
        <f>IF(OR(C493="",N(F493)=0),"",F493+ROW()/10000000)</f>
        <v/>
      </c>
      <c r="J493">
        <f>IF(I493="","",COUNTIFS(Costs!$C$6:$C$505,C493,Costs!$I$6:$I$505,"&gt;"&amp;I493))</f>
        <v/>
      </c>
    </row>
    <row r="494">
      <c r="A494" s="1" t="n"/>
      <c r="B494" s="29" t="n"/>
      <c r="C494" s="24" t="n"/>
      <c r="D494" s="25" t="n"/>
      <c r="E494" s="25" t="n"/>
      <c r="F494" s="28" t="n"/>
      <c r="G494" s="34" t="n"/>
      <c r="H494" s="1" t="n"/>
      <c r="I494">
        <f>IF(OR(C494="",N(F494)=0),"",F494+ROW()/10000000)</f>
        <v/>
      </c>
      <c r="J494">
        <f>IF(I494="","",COUNTIFS(Costs!$C$6:$C$505,C494,Costs!$I$6:$I$505,"&gt;"&amp;I494))</f>
        <v/>
      </c>
    </row>
    <row r="495">
      <c r="A495" s="1" t="n"/>
      <c r="B495" s="29" t="n"/>
      <c r="C495" s="24" t="n"/>
      <c r="D495" s="25" t="n"/>
      <c r="E495" s="25" t="n"/>
      <c r="F495" s="28" t="n"/>
      <c r="G495" s="34" t="n"/>
      <c r="H495" s="1" t="n"/>
      <c r="I495">
        <f>IF(OR(C495="",N(F495)=0),"",F495+ROW()/10000000)</f>
        <v/>
      </c>
      <c r="J495">
        <f>IF(I495="","",COUNTIFS(Costs!$C$6:$C$505,C495,Costs!$I$6:$I$505,"&gt;"&amp;I495))</f>
        <v/>
      </c>
    </row>
    <row r="496">
      <c r="A496" s="1" t="n"/>
      <c r="B496" s="29" t="n"/>
      <c r="C496" s="24" t="n"/>
      <c r="D496" s="25" t="n"/>
      <c r="E496" s="25" t="n"/>
      <c r="F496" s="28" t="n"/>
      <c r="G496" s="34" t="n"/>
      <c r="H496" s="1" t="n"/>
      <c r="I496">
        <f>IF(OR(C496="",N(F496)=0),"",F496+ROW()/10000000)</f>
        <v/>
      </c>
      <c r="J496">
        <f>IF(I496="","",COUNTIFS(Costs!$C$6:$C$505,C496,Costs!$I$6:$I$505,"&gt;"&amp;I496))</f>
        <v/>
      </c>
    </row>
    <row r="497">
      <c r="A497" s="1" t="n"/>
      <c r="B497" s="29" t="n"/>
      <c r="C497" s="24" t="n"/>
      <c r="D497" s="25" t="n"/>
      <c r="E497" s="25" t="n"/>
      <c r="F497" s="28" t="n"/>
      <c r="G497" s="34" t="n"/>
      <c r="H497" s="1" t="n"/>
      <c r="I497">
        <f>IF(OR(C497="",N(F497)=0),"",F497+ROW()/10000000)</f>
        <v/>
      </c>
      <c r="J497">
        <f>IF(I497="","",COUNTIFS(Costs!$C$6:$C$505,C497,Costs!$I$6:$I$505,"&gt;"&amp;I497))</f>
        <v/>
      </c>
    </row>
    <row r="498">
      <c r="A498" s="1" t="n"/>
      <c r="B498" s="29" t="n"/>
      <c r="C498" s="24" t="n"/>
      <c r="D498" s="25" t="n"/>
      <c r="E498" s="25" t="n"/>
      <c r="F498" s="28" t="n"/>
      <c r="G498" s="34" t="n"/>
      <c r="H498" s="1" t="n"/>
      <c r="I498">
        <f>IF(OR(C498="",N(F498)=0),"",F498+ROW()/10000000)</f>
        <v/>
      </c>
      <c r="J498">
        <f>IF(I498="","",COUNTIFS(Costs!$C$6:$C$505,C498,Costs!$I$6:$I$505,"&gt;"&amp;I498))</f>
        <v/>
      </c>
    </row>
    <row r="499">
      <c r="A499" s="1" t="n"/>
      <c r="B499" s="29" t="n"/>
      <c r="C499" s="24" t="n"/>
      <c r="D499" s="25" t="n"/>
      <c r="E499" s="25" t="n"/>
      <c r="F499" s="28" t="n"/>
      <c r="G499" s="34" t="n"/>
      <c r="H499" s="1" t="n"/>
      <c r="I499">
        <f>IF(OR(C499="",N(F499)=0),"",F499+ROW()/10000000)</f>
        <v/>
      </c>
      <c r="J499">
        <f>IF(I499="","",COUNTIFS(Costs!$C$6:$C$505,C499,Costs!$I$6:$I$505,"&gt;"&amp;I499))</f>
        <v/>
      </c>
    </row>
    <row r="500">
      <c r="A500" s="1" t="n"/>
      <c r="B500" s="29" t="n"/>
      <c r="C500" s="24" t="n"/>
      <c r="D500" s="25" t="n"/>
      <c r="E500" s="25" t="n"/>
      <c r="F500" s="28" t="n"/>
      <c r="G500" s="34" t="n"/>
      <c r="H500" s="1" t="n"/>
      <c r="I500">
        <f>IF(OR(C500="",N(F500)=0),"",F500+ROW()/10000000)</f>
        <v/>
      </c>
      <c r="J500">
        <f>IF(I500="","",COUNTIFS(Costs!$C$6:$C$505,C500,Costs!$I$6:$I$505,"&gt;"&amp;I500))</f>
        <v/>
      </c>
    </row>
    <row r="501">
      <c r="A501" s="1" t="n"/>
      <c r="B501" s="29" t="n"/>
      <c r="C501" s="24" t="n"/>
      <c r="D501" s="25" t="n"/>
      <c r="E501" s="25" t="n"/>
      <c r="F501" s="28" t="n"/>
      <c r="G501" s="34" t="n"/>
      <c r="H501" s="1" t="n"/>
      <c r="I501">
        <f>IF(OR(C501="",N(F501)=0),"",F501+ROW()/10000000)</f>
        <v/>
      </c>
      <c r="J501">
        <f>IF(I501="","",COUNTIFS(Costs!$C$6:$C$505,C501,Costs!$I$6:$I$505,"&gt;"&amp;I501))</f>
        <v/>
      </c>
    </row>
    <row r="502">
      <c r="A502" s="1" t="n"/>
      <c r="B502" s="29" t="n"/>
      <c r="C502" s="24" t="n"/>
      <c r="D502" s="25" t="n"/>
      <c r="E502" s="25" t="n"/>
      <c r="F502" s="28" t="n"/>
      <c r="G502" s="34" t="n"/>
      <c r="H502" s="1" t="n"/>
      <c r="I502">
        <f>IF(OR(C502="",N(F502)=0),"",F502+ROW()/10000000)</f>
        <v/>
      </c>
      <c r="J502">
        <f>IF(I502="","",COUNTIFS(Costs!$C$6:$C$505,C502,Costs!$I$6:$I$505,"&gt;"&amp;I502))</f>
        <v/>
      </c>
    </row>
    <row r="503">
      <c r="A503" s="1" t="n"/>
      <c r="B503" s="29" t="n"/>
      <c r="C503" s="24" t="n"/>
      <c r="D503" s="25" t="n"/>
      <c r="E503" s="25" t="n"/>
      <c r="F503" s="28" t="n"/>
      <c r="G503" s="34" t="n"/>
      <c r="H503" s="1" t="n"/>
      <c r="I503">
        <f>IF(OR(C503="",N(F503)=0),"",F503+ROW()/10000000)</f>
        <v/>
      </c>
      <c r="J503">
        <f>IF(I503="","",COUNTIFS(Costs!$C$6:$C$505,C503,Costs!$I$6:$I$505,"&gt;"&amp;I503))</f>
        <v/>
      </c>
    </row>
    <row r="504">
      <c r="A504" s="1" t="n"/>
      <c r="B504" s="29" t="n"/>
      <c r="C504" s="24" t="n"/>
      <c r="D504" s="25" t="n"/>
      <c r="E504" s="25" t="n"/>
      <c r="F504" s="28" t="n"/>
      <c r="G504" s="34" t="n"/>
      <c r="H504" s="1" t="n"/>
      <c r="I504">
        <f>IF(OR(C504="",N(F504)=0),"",F504+ROW()/10000000)</f>
        <v/>
      </c>
      <c r="J504">
        <f>IF(I504="","",COUNTIFS(Costs!$C$6:$C$505,C504,Costs!$I$6:$I$505,"&gt;"&amp;I504))</f>
        <v/>
      </c>
    </row>
    <row r="505">
      <c r="A505" s="1" t="n"/>
      <c r="B505" s="29" t="n"/>
      <c r="C505" s="24" t="n"/>
      <c r="D505" s="25" t="n"/>
      <c r="E505" s="25" t="n"/>
      <c r="F505" s="28" t="n"/>
      <c r="G505" s="34" t="n"/>
      <c r="H505" s="1" t="n"/>
      <c r="I505">
        <f>IF(OR(C505="",N(F505)=0),"",F505+ROW()/10000000)</f>
        <v/>
      </c>
      <c r="J505">
        <f>IF(I505="","",COUNTIFS(Costs!$C$6:$C$505,C505,Costs!$I$6:$I$505,"&gt;"&amp;I505))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</row>
  </sheetData>
  <dataValidations count="2">
    <dataValidation sqref="C6:C505" showDropDown="0" showInputMessage="0" showErrorMessage="1" allowBlank="1" type="list">
      <formula1>=Cars!$B$6:$B$10</formula1>
    </dataValidation>
    <dataValidation sqref="D6:D505" showDropDown="0" showInputMessage="0" showErrorMessage="0" allowBlank="1" type="list">
      <formula1>"Service,Repair,Tyres,Insurance,Tax,Parking,Tolls,Cleaning,Parts,Other"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3" customWidth="1" min="4" max="4"/>
    <col width="22" customWidth="1" min="5" max="5"/>
    <col width="11" customWidth="1" min="6" max="6"/>
    <col width="16" customWidth="1" min="7" max="7"/>
    <col width="26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Documents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Insurance, tax, inspection and the rest, with the day each one ends.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9" t="inlineStr">
        <is>
          <t>Car</t>
        </is>
      </c>
      <c r="C5" s="9" t="inlineStr">
        <is>
          <t>Document</t>
        </is>
      </c>
      <c r="D5" s="9" t="inlineStr">
        <is>
          <t>Ends</t>
        </is>
      </c>
      <c r="E5" s="9" t="inlineStr">
        <is>
          <t>Reference</t>
        </is>
      </c>
      <c r="F5" s="9" t="inlineStr">
        <is>
          <t>Cost</t>
        </is>
      </c>
      <c r="G5" s="9" t="inlineStr">
        <is>
          <t>Status</t>
        </is>
      </c>
      <c r="H5" s="9" t="inlineStr">
        <is>
          <t>Notes</t>
        </is>
      </c>
      <c r="I5" s="1" t="n"/>
    </row>
    <row r="6">
      <c r="A6" s="1" t="n"/>
      <c r="B6" s="24" t="inlineStr">
        <is>
          <t>Blue hatchback</t>
        </is>
      </c>
      <c r="C6" s="25" t="inlineStr">
        <is>
          <t>Insurance</t>
        </is>
      </c>
      <c r="D6" s="29" t="n">
        <v>46328</v>
      </c>
      <c r="E6" s="25" t="inlineStr">
        <is>
          <t>Policy 55-9021</t>
        </is>
      </c>
      <c r="F6" s="34" t="n">
        <v>486</v>
      </c>
      <c r="G6" s="20">
        <f>IF(D6="","",IF(D6&lt;TODAY(),"Ended",IF(D6-TODAY()&lt;=N(Settings!$C$7),"Ends in "&amp;(D6-TODAY())&amp;IF(D6-TODAY()=1," day"," days"),"OK")))</f>
        <v/>
      </c>
      <c r="H6" s="25" t="n"/>
      <c r="I6" s="1" t="n"/>
      <c r="J6">
        <f>IF(OR(G6="",G6="OK"),"",D6+ROW()/10000000)</f>
        <v/>
      </c>
    </row>
    <row r="7">
      <c r="A7" s="1" t="n"/>
      <c r="B7" s="24" t="inlineStr">
        <is>
          <t>Blue hatchback</t>
        </is>
      </c>
      <c r="C7" s="25" t="inlineStr">
        <is>
          <t>Road tax</t>
        </is>
      </c>
      <c r="D7" s="29" t="n">
        <v>46458</v>
      </c>
      <c r="E7" s="25" t="n"/>
      <c r="F7" s="34" t="n">
        <v>180</v>
      </c>
      <c r="G7" s="20">
        <f>IF(D7="","",IF(D7&lt;TODAY(),"Ended",IF(D7-TODAY()&lt;=N(Settings!$C$7),"Ends in "&amp;(D7-TODAY())&amp;IF(D7-TODAY()=1," day"," days"),"OK")))</f>
        <v/>
      </c>
      <c r="H7" s="25" t="n"/>
      <c r="I7" s="1" t="n"/>
      <c r="J7">
        <f>IF(OR(G7="",G7="OK"),"",D7+ROW()/10000000)</f>
        <v/>
      </c>
    </row>
    <row r="8">
      <c r="A8" s="1" t="n"/>
      <c r="B8" s="24" t="inlineStr">
        <is>
          <t>Blue hatchback</t>
        </is>
      </c>
      <c r="C8" s="25" t="inlineStr">
        <is>
          <t>Inspection</t>
        </is>
      </c>
      <c r="D8" s="29" t="n">
        <v>46443</v>
      </c>
      <c r="E8" s="25" t="n"/>
      <c r="F8" s="34" t="n">
        <v>55</v>
      </c>
      <c r="G8" s="20">
        <f>IF(D8="","",IF(D8&lt;TODAY(),"Ended",IF(D8-TODAY()&lt;=N(Settings!$C$7),"Ends in "&amp;(D8-TODAY())&amp;IF(D8-TODAY()=1," day"," days"),"OK")))</f>
        <v/>
      </c>
      <c r="H8" s="25" t="n"/>
      <c r="I8" s="1" t="n"/>
      <c r="J8">
        <f>IF(OR(G8="",G8="OK"),"",D8+ROW()/10000000)</f>
        <v/>
      </c>
    </row>
    <row r="9">
      <c r="A9" s="1" t="n"/>
      <c r="B9" s="24" t="inlineStr">
        <is>
          <t>Grey van</t>
        </is>
      </c>
      <c r="C9" s="25" t="inlineStr">
        <is>
          <t>Insurance</t>
        </is>
      </c>
      <c r="D9" s="29" t="n">
        <v>46378</v>
      </c>
      <c r="E9" s="25" t="inlineStr">
        <is>
          <t>Policy 71-3310</t>
        </is>
      </c>
      <c r="F9" s="34" t="n">
        <v>612</v>
      </c>
      <c r="G9" s="20">
        <f>IF(D9="","",IF(D9&lt;TODAY(),"Ended",IF(D9-TODAY()&lt;=N(Settings!$C$7),"Ends in "&amp;(D9-TODAY())&amp;IF(D9-TODAY()=1," day"," days"),"OK")))</f>
        <v/>
      </c>
      <c r="H9" s="25" t="n"/>
      <c r="I9" s="1" t="n"/>
      <c r="J9">
        <f>IF(OR(G9="",G9="OK"),"",D9+ROW()/10000000)</f>
        <v/>
      </c>
    </row>
    <row r="10">
      <c r="A10" s="1" t="n"/>
      <c r="B10" s="24" t="inlineStr">
        <is>
          <t>Grey van</t>
        </is>
      </c>
      <c r="C10" s="25" t="inlineStr">
        <is>
          <t>Inspection</t>
        </is>
      </c>
      <c r="D10" s="29" t="n">
        <v>46281</v>
      </c>
      <c r="E10" s="25" t="n"/>
      <c r="F10" s="34" t="n">
        <v>55</v>
      </c>
      <c r="G10" s="20">
        <f>IF(D10="","",IF(D10&lt;TODAY(),"Ended",IF(D10-TODAY()&lt;=N(Settings!$C$7),"Ends in "&amp;(D10-TODAY())&amp;IF(D10-TODAY()=1," day"," days"),"OK")))</f>
        <v/>
      </c>
      <c r="H10" s="25" t="n"/>
      <c r="I10" s="1" t="n"/>
      <c r="J10">
        <f>IF(OR(G10="",G10="OK"),"",D10+ROW()/10000000)</f>
        <v/>
      </c>
    </row>
    <row r="11">
      <c r="A11" s="1" t="n"/>
      <c r="B11" s="24" t="inlineStr">
        <is>
          <t>Grey van</t>
        </is>
      </c>
      <c r="C11" s="25" t="inlineStr">
        <is>
          <t>Breakdown cover</t>
        </is>
      </c>
      <c r="D11" s="29" t="n">
        <v>46314</v>
      </c>
      <c r="E11" s="25" t="inlineStr">
        <is>
          <t>Member 88213</t>
        </is>
      </c>
      <c r="F11" s="34" t="n">
        <v>96</v>
      </c>
      <c r="G11" s="20">
        <f>IF(D11="","",IF(D11&lt;TODAY(),"Ended",IF(D11-TODAY()&lt;=N(Settings!$C$7),"Ends in "&amp;(D11-TODAY())&amp;IF(D11-TODAY()=1," day"," days"),"OK")))</f>
        <v/>
      </c>
      <c r="H11" s="25" t="n"/>
      <c r="I11" s="1" t="n"/>
      <c r="J11">
        <f>IF(OR(G11="",G11="OK"),"",D11+ROW()/10000000)</f>
        <v/>
      </c>
    </row>
    <row r="12">
      <c r="A12" s="1" t="n"/>
      <c r="B12" s="24" t="n"/>
      <c r="C12" s="25" t="n"/>
      <c r="D12" s="29" t="n"/>
      <c r="E12" s="25" t="n"/>
      <c r="F12" s="34" t="n"/>
      <c r="G12" s="20">
        <f>IF(D12="","",IF(D12&lt;TODAY(),"Ended",IF(D12-TODAY()&lt;=N(Settings!$C$7),"Ends in "&amp;(D12-TODAY())&amp;IF(D12-TODAY()=1," day"," days"),"OK")))</f>
        <v/>
      </c>
      <c r="H12" s="25" t="n"/>
      <c r="I12" s="1" t="n"/>
      <c r="J12">
        <f>IF(OR(G12="",G12="OK"),"",D12+ROW()/10000000)</f>
        <v/>
      </c>
    </row>
    <row r="13">
      <c r="A13" s="1" t="n"/>
      <c r="B13" s="24" t="n"/>
      <c r="C13" s="25" t="n"/>
      <c r="D13" s="29" t="n"/>
      <c r="E13" s="25" t="n"/>
      <c r="F13" s="34" t="n"/>
      <c r="G13" s="20">
        <f>IF(D13="","",IF(D13&lt;TODAY(),"Ended",IF(D13-TODAY()&lt;=N(Settings!$C$7),"Ends in "&amp;(D13-TODAY())&amp;IF(D13-TODAY()=1," day"," days"),"OK")))</f>
        <v/>
      </c>
      <c r="H13" s="25" t="n"/>
      <c r="I13" s="1" t="n"/>
      <c r="J13">
        <f>IF(OR(G13="",G13="OK"),"",D13+ROW()/10000000)</f>
        <v/>
      </c>
    </row>
    <row r="14">
      <c r="A14" s="1" t="n"/>
      <c r="B14" s="24" t="n"/>
      <c r="C14" s="25" t="n"/>
      <c r="D14" s="29" t="n"/>
      <c r="E14" s="25" t="n"/>
      <c r="F14" s="34" t="n"/>
      <c r="G14" s="20">
        <f>IF(D14="","",IF(D14&lt;TODAY(),"Ended",IF(D14-TODAY()&lt;=N(Settings!$C$7),"Ends in "&amp;(D14-TODAY())&amp;IF(D14-TODAY()=1," day"," days"),"OK")))</f>
        <v/>
      </c>
      <c r="H14" s="25" t="n"/>
      <c r="I14" s="1" t="n"/>
      <c r="J14">
        <f>IF(OR(G14="",G14="OK"),"",D14+ROW()/10000000)</f>
        <v/>
      </c>
    </row>
    <row r="15">
      <c r="A15" s="1" t="n"/>
      <c r="B15" s="24" t="n"/>
      <c r="C15" s="25" t="n"/>
      <c r="D15" s="29" t="n"/>
      <c r="E15" s="25" t="n"/>
      <c r="F15" s="34" t="n"/>
      <c r="G15" s="20">
        <f>IF(D15="","",IF(D15&lt;TODAY(),"Ended",IF(D15-TODAY()&lt;=N(Settings!$C$7),"Ends in "&amp;(D15-TODAY())&amp;IF(D15-TODAY()=1," day"," days"),"OK")))</f>
        <v/>
      </c>
      <c r="H15" s="25" t="n"/>
      <c r="I15" s="1" t="n"/>
      <c r="J15">
        <f>IF(OR(G15="",G15="OK"),"",D15+ROW()/10000000)</f>
        <v/>
      </c>
    </row>
    <row r="16">
      <c r="A16" s="1" t="n"/>
      <c r="B16" s="24" t="n"/>
      <c r="C16" s="25" t="n"/>
      <c r="D16" s="29" t="n"/>
      <c r="E16" s="25" t="n"/>
      <c r="F16" s="34" t="n"/>
      <c r="G16" s="20">
        <f>IF(D16="","",IF(D16&lt;TODAY(),"Ended",IF(D16-TODAY()&lt;=N(Settings!$C$7),"Ends in "&amp;(D16-TODAY())&amp;IF(D16-TODAY()=1," day"," days"),"OK")))</f>
        <v/>
      </c>
      <c r="H16" s="25" t="n"/>
      <c r="I16" s="1" t="n"/>
      <c r="J16">
        <f>IF(OR(G16="",G16="OK"),"",D16+ROW()/10000000)</f>
        <v/>
      </c>
    </row>
    <row r="17">
      <c r="A17" s="1" t="n"/>
      <c r="B17" s="24" t="n"/>
      <c r="C17" s="25" t="n"/>
      <c r="D17" s="29" t="n"/>
      <c r="E17" s="25" t="n"/>
      <c r="F17" s="34" t="n"/>
      <c r="G17" s="20">
        <f>IF(D17="","",IF(D17&lt;TODAY(),"Ended",IF(D17-TODAY()&lt;=N(Settings!$C$7),"Ends in "&amp;(D17-TODAY())&amp;IF(D17-TODAY()=1," day"," days"),"OK")))</f>
        <v/>
      </c>
      <c r="H17" s="25" t="n"/>
      <c r="I17" s="1" t="n"/>
      <c r="J17">
        <f>IF(OR(G17="",G17="OK"),"",D17+ROW()/10000000)</f>
        <v/>
      </c>
    </row>
    <row r="18">
      <c r="A18" s="1" t="n"/>
      <c r="B18" s="24" t="n"/>
      <c r="C18" s="25" t="n"/>
      <c r="D18" s="29" t="n"/>
      <c r="E18" s="25" t="n"/>
      <c r="F18" s="34" t="n"/>
      <c r="G18" s="20">
        <f>IF(D18="","",IF(D18&lt;TODAY(),"Ended",IF(D18-TODAY()&lt;=N(Settings!$C$7),"Ends in "&amp;(D18-TODAY())&amp;IF(D18-TODAY()=1," day"," days"),"OK")))</f>
        <v/>
      </c>
      <c r="H18" s="25" t="n"/>
      <c r="I18" s="1" t="n"/>
      <c r="J18">
        <f>IF(OR(G18="",G18="OK"),"",D18+ROW()/10000000)</f>
        <v/>
      </c>
    </row>
    <row r="19">
      <c r="A19" s="1" t="n"/>
      <c r="B19" s="24" t="n"/>
      <c r="C19" s="25" t="n"/>
      <c r="D19" s="29" t="n"/>
      <c r="E19" s="25" t="n"/>
      <c r="F19" s="34" t="n"/>
      <c r="G19" s="20">
        <f>IF(D19="","",IF(D19&lt;TODAY(),"Ended",IF(D19-TODAY()&lt;=N(Settings!$C$7),"Ends in "&amp;(D19-TODAY())&amp;IF(D19-TODAY()=1," day"," days"),"OK")))</f>
        <v/>
      </c>
      <c r="H19" s="25" t="n"/>
      <c r="I19" s="1" t="n"/>
      <c r="J19">
        <f>IF(OR(G19="",G19="OK"),"",D19+ROW()/10000000)</f>
        <v/>
      </c>
    </row>
    <row r="20">
      <c r="A20" s="1" t="n"/>
      <c r="B20" s="24" t="n"/>
      <c r="C20" s="25" t="n"/>
      <c r="D20" s="29" t="n"/>
      <c r="E20" s="25" t="n"/>
      <c r="F20" s="34" t="n"/>
      <c r="G20" s="20">
        <f>IF(D20="","",IF(D20&lt;TODAY(),"Ended",IF(D20-TODAY()&lt;=N(Settings!$C$7),"Ends in "&amp;(D20-TODAY())&amp;IF(D20-TODAY()=1," day"," days"),"OK")))</f>
        <v/>
      </c>
      <c r="H20" s="25" t="n"/>
      <c r="I20" s="1" t="n"/>
      <c r="J20">
        <f>IF(OR(G20="",G20="OK"),"",D20+ROW()/10000000)</f>
        <v/>
      </c>
    </row>
    <row r="21">
      <c r="A21" s="1" t="n"/>
      <c r="B21" s="24" t="n"/>
      <c r="C21" s="25" t="n"/>
      <c r="D21" s="29" t="n"/>
      <c r="E21" s="25" t="n"/>
      <c r="F21" s="34" t="n"/>
      <c r="G21" s="20">
        <f>IF(D21="","",IF(D21&lt;TODAY(),"Ended",IF(D21-TODAY()&lt;=N(Settings!$C$7),"Ends in "&amp;(D21-TODAY())&amp;IF(D21-TODAY()=1," day"," days"),"OK")))</f>
        <v/>
      </c>
      <c r="H21" s="25" t="n"/>
      <c r="I21" s="1" t="n"/>
      <c r="J21">
        <f>IF(OR(G21="",G21="OK"),"",D21+ROW()/10000000)</f>
        <v/>
      </c>
    </row>
    <row r="22">
      <c r="A22" s="1" t="n"/>
      <c r="B22" s="24" t="n"/>
      <c r="C22" s="25" t="n"/>
      <c r="D22" s="29" t="n"/>
      <c r="E22" s="25" t="n"/>
      <c r="F22" s="34" t="n"/>
      <c r="G22" s="20">
        <f>IF(D22="","",IF(D22&lt;TODAY(),"Ended",IF(D22-TODAY()&lt;=N(Settings!$C$7),"Ends in "&amp;(D22-TODAY())&amp;IF(D22-TODAY()=1," day"," days"),"OK")))</f>
        <v/>
      </c>
      <c r="H22" s="25" t="n"/>
      <c r="I22" s="1" t="n"/>
      <c r="J22">
        <f>IF(OR(G22="",G22="OK"),"",D22+ROW()/10000000)</f>
        <v/>
      </c>
    </row>
    <row r="23">
      <c r="A23" s="1" t="n"/>
      <c r="B23" s="24" t="n"/>
      <c r="C23" s="25" t="n"/>
      <c r="D23" s="29" t="n"/>
      <c r="E23" s="25" t="n"/>
      <c r="F23" s="34" t="n"/>
      <c r="G23" s="20">
        <f>IF(D23="","",IF(D23&lt;TODAY(),"Ended",IF(D23-TODAY()&lt;=N(Settings!$C$7),"Ends in "&amp;(D23-TODAY())&amp;IF(D23-TODAY()=1," day"," days"),"OK")))</f>
        <v/>
      </c>
      <c r="H23" s="25" t="n"/>
      <c r="I23" s="1" t="n"/>
      <c r="J23">
        <f>IF(OR(G23="",G23="OK"),"",D23+ROW()/10000000)</f>
        <v/>
      </c>
    </row>
    <row r="24">
      <c r="A24" s="1" t="n"/>
      <c r="B24" s="24" t="n"/>
      <c r="C24" s="25" t="n"/>
      <c r="D24" s="29" t="n"/>
      <c r="E24" s="25" t="n"/>
      <c r="F24" s="34" t="n"/>
      <c r="G24" s="20">
        <f>IF(D24="","",IF(D24&lt;TODAY(),"Ended",IF(D24-TODAY()&lt;=N(Settings!$C$7),"Ends in "&amp;(D24-TODAY())&amp;IF(D24-TODAY()=1," day"," days"),"OK")))</f>
        <v/>
      </c>
      <c r="H24" s="25" t="n"/>
      <c r="I24" s="1" t="n"/>
      <c r="J24">
        <f>IF(OR(G24="",G24="OK"),"",D24+ROW()/10000000)</f>
        <v/>
      </c>
    </row>
    <row r="25">
      <c r="A25" s="1" t="n"/>
      <c r="B25" s="24" t="n"/>
      <c r="C25" s="25" t="n"/>
      <c r="D25" s="29" t="n"/>
      <c r="E25" s="25" t="n"/>
      <c r="F25" s="34" t="n"/>
      <c r="G25" s="20">
        <f>IF(D25="","",IF(D25&lt;TODAY(),"Ended",IF(D25-TODAY()&lt;=N(Settings!$C$7),"Ends in "&amp;(D25-TODAY())&amp;IF(D25-TODAY()=1," day"," days"),"OK")))</f>
        <v/>
      </c>
      <c r="H25" s="25" t="n"/>
      <c r="I25" s="1" t="n"/>
      <c r="J25">
        <f>IF(OR(G25="",G25="OK"),"",D25+ROW()/10000000)</f>
        <v/>
      </c>
    </row>
    <row r="26">
      <c r="A26" s="1" t="n"/>
      <c r="B26" s="24" t="n"/>
      <c r="C26" s="25" t="n"/>
      <c r="D26" s="29" t="n"/>
      <c r="E26" s="25" t="n"/>
      <c r="F26" s="34" t="n"/>
      <c r="G26" s="20">
        <f>IF(D26="","",IF(D26&lt;TODAY(),"Ended",IF(D26-TODAY()&lt;=N(Settings!$C$7),"Ends in "&amp;(D26-TODAY())&amp;IF(D26-TODAY()=1," day"," days"),"OK")))</f>
        <v/>
      </c>
      <c r="H26" s="25" t="n"/>
      <c r="I26" s="1" t="n"/>
      <c r="J26">
        <f>IF(OR(G26="",G26="OK"),"",D26+ROW()/10000000)</f>
        <v/>
      </c>
    </row>
    <row r="27">
      <c r="A27" s="1" t="n"/>
      <c r="B27" s="24" t="n"/>
      <c r="C27" s="25" t="n"/>
      <c r="D27" s="29" t="n"/>
      <c r="E27" s="25" t="n"/>
      <c r="F27" s="34" t="n"/>
      <c r="G27" s="20">
        <f>IF(D27="","",IF(D27&lt;TODAY(),"Ended",IF(D27-TODAY()&lt;=N(Settings!$C$7),"Ends in "&amp;(D27-TODAY())&amp;IF(D27-TODAY()=1," day"," days"),"OK")))</f>
        <v/>
      </c>
      <c r="H27" s="25" t="n"/>
      <c r="I27" s="1" t="n"/>
      <c r="J27">
        <f>IF(OR(G27="",G27="OK"),"",D27+ROW()/10000000)</f>
        <v/>
      </c>
    </row>
    <row r="28">
      <c r="A28" s="1" t="n"/>
      <c r="B28" s="24" t="n"/>
      <c r="C28" s="25" t="n"/>
      <c r="D28" s="29" t="n"/>
      <c r="E28" s="25" t="n"/>
      <c r="F28" s="34" t="n"/>
      <c r="G28" s="20">
        <f>IF(D28="","",IF(D28&lt;TODAY(),"Ended",IF(D28-TODAY()&lt;=N(Settings!$C$7),"Ends in "&amp;(D28-TODAY())&amp;IF(D28-TODAY()=1," day"," days"),"OK")))</f>
        <v/>
      </c>
      <c r="H28" s="25" t="n"/>
      <c r="I28" s="1" t="n"/>
      <c r="J28">
        <f>IF(OR(G28="",G28="OK"),"",D28+ROW()/10000000)</f>
        <v/>
      </c>
    </row>
    <row r="29">
      <c r="A29" s="1" t="n"/>
      <c r="B29" s="24" t="n"/>
      <c r="C29" s="25" t="n"/>
      <c r="D29" s="29" t="n"/>
      <c r="E29" s="25" t="n"/>
      <c r="F29" s="34" t="n"/>
      <c r="G29" s="20">
        <f>IF(D29="","",IF(D29&lt;TODAY(),"Ended",IF(D29-TODAY()&lt;=N(Settings!$C$7),"Ends in "&amp;(D29-TODAY())&amp;IF(D29-TODAY()=1," day"," days"),"OK")))</f>
        <v/>
      </c>
      <c r="H29" s="25" t="n"/>
      <c r="I29" s="1" t="n"/>
      <c r="J29">
        <f>IF(OR(G29="",G29="OK"),"",D29+ROW()/10000000)</f>
        <v/>
      </c>
    </row>
    <row r="30">
      <c r="A30" s="1" t="n"/>
      <c r="B30" s="24" t="n"/>
      <c r="C30" s="25" t="n"/>
      <c r="D30" s="29" t="n"/>
      <c r="E30" s="25" t="n"/>
      <c r="F30" s="34" t="n"/>
      <c r="G30" s="20">
        <f>IF(D30="","",IF(D30&lt;TODAY(),"Ended",IF(D30-TODAY()&lt;=N(Settings!$C$7),"Ends in "&amp;(D30-TODAY())&amp;IF(D30-TODAY()=1," day"," days"),"OK")))</f>
        <v/>
      </c>
      <c r="H30" s="25" t="n"/>
      <c r="I30" s="1" t="n"/>
      <c r="J30">
        <f>IF(OR(G30="",G30="OK"),"",D30+ROW()/10000000)</f>
        <v/>
      </c>
    </row>
    <row r="31">
      <c r="A31" s="1" t="n"/>
      <c r="B31" s="24" t="n"/>
      <c r="C31" s="25" t="n"/>
      <c r="D31" s="29" t="n"/>
      <c r="E31" s="25" t="n"/>
      <c r="F31" s="34" t="n"/>
      <c r="G31" s="20">
        <f>IF(D31="","",IF(D31&lt;TODAY(),"Ended",IF(D31-TODAY()&lt;=N(Settings!$C$7),"Ends in "&amp;(D31-TODAY())&amp;IF(D31-TODAY()=1," day"," days"),"OK")))</f>
        <v/>
      </c>
      <c r="H31" s="25" t="n"/>
      <c r="I31" s="1" t="n"/>
      <c r="J31">
        <f>IF(OR(G31="",G31="OK"),"",D31+ROW()/10000000)</f>
        <v/>
      </c>
    </row>
    <row r="32">
      <c r="A32" s="1" t="n"/>
      <c r="B32" s="24" t="n"/>
      <c r="C32" s="25" t="n"/>
      <c r="D32" s="29" t="n"/>
      <c r="E32" s="25" t="n"/>
      <c r="F32" s="34" t="n"/>
      <c r="G32" s="20">
        <f>IF(D32="","",IF(D32&lt;TODAY(),"Ended",IF(D32-TODAY()&lt;=N(Settings!$C$7),"Ends in "&amp;(D32-TODAY())&amp;IF(D32-TODAY()=1," day"," days"),"OK")))</f>
        <v/>
      </c>
      <c r="H32" s="25" t="n"/>
      <c r="I32" s="1" t="n"/>
      <c r="J32">
        <f>IF(OR(G32="",G32="OK"),"",D32+ROW()/10000000)</f>
        <v/>
      </c>
    </row>
    <row r="33">
      <c r="A33" s="1" t="n"/>
      <c r="B33" s="24" t="n"/>
      <c r="C33" s="25" t="n"/>
      <c r="D33" s="29" t="n"/>
      <c r="E33" s="25" t="n"/>
      <c r="F33" s="34" t="n"/>
      <c r="G33" s="20">
        <f>IF(D33="","",IF(D33&lt;TODAY(),"Ended",IF(D33-TODAY()&lt;=N(Settings!$C$7),"Ends in "&amp;(D33-TODAY())&amp;IF(D33-TODAY()=1," day"," days"),"OK")))</f>
        <v/>
      </c>
      <c r="H33" s="25" t="n"/>
      <c r="I33" s="1" t="n"/>
      <c r="J33">
        <f>IF(OR(G33="",G33="OK"),"",D33+ROW()/10000000)</f>
        <v/>
      </c>
    </row>
    <row r="34">
      <c r="A34" s="1" t="n"/>
      <c r="B34" s="24" t="n"/>
      <c r="C34" s="25" t="n"/>
      <c r="D34" s="29" t="n"/>
      <c r="E34" s="25" t="n"/>
      <c r="F34" s="34" t="n"/>
      <c r="G34" s="20">
        <f>IF(D34="","",IF(D34&lt;TODAY(),"Ended",IF(D34-TODAY()&lt;=N(Settings!$C$7),"Ends in "&amp;(D34-TODAY())&amp;IF(D34-TODAY()=1," day"," days"),"OK")))</f>
        <v/>
      </c>
      <c r="H34" s="25" t="n"/>
      <c r="I34" s="1" t="n"/>
      <c r="J34">
        <f>IF(OR(G34="",G34="OK"),"",D34+ROW()/10000000)</f>
        <v/>
      </c>
    </row>
    <row r="35">
      <c r="A35" s="1" t="n"/>
      <c r="B35" s="24" t="n"/>
      <c r="C35" s="25" t="n"/>
      <c r="D35" s="29" t="n"/>
      <c r="E35" s="25" t="n"/>
      <c r="F35" s="34" t="n"/>
      <c r="G35" s="20">
        <f>IF(D35="","",IF(D35&lt;TODAY(),"Ended",IF(D35-TODAY()&lt;=N(Settings!$C$7),"Ends in "&amp;(D35-TODAY())&amp;IF(D35-TODAY()=1," day"," days"),"OK")))</f>
        <v/>
      </c>
      <c r="H35" s="25" t="n"/>
      <c r="I35" s="1" t="n"/>
      <c r="J35">
        <f>IF(OR(G35="",G35="OK"),"",D35+ROW()/10000000)</f>
        <v/>
      </c>
    </row>
    <row r="36">
      <c r="A36" s="1" t="n"/>
      <c r="B36" s="24" t="n"/>
      <c r="C36" s="25" t="n"/>
      <c r="D36" s="29" t="n"/>
      <c r="E36" s="25" t="n"/>
      <c r="F36" s="34" t="n"/>
      <c r="G36" s="20">
        <f>IF(D36="","",IF(D36&lt;TODAY(),"Ended",IF(D36-TODAY()&lt;=N(Settings!$C$7),"Ends in "&amp;(D36-TODAY())&amp;IF(D36-TODAY()=1," day"," days"),"OK")))</f>
        <v/>
      </c>
      <c r="H36" s="25" t="n"/>
      <c r="I36" s="1" t="n"/>
      <c r="J36">
        <f>IF(OR(G36="",G36="OK"),"",D36+ROW()/10000000)</f>
        <v/>
      </c>
    </row>
    <row r="37">
      <c r="A37" s="1" t="n"/>
      <c r="B37" s="24" t="n"/>
      <c r="C37" s="25" t="n"/>
      <c r="D37" s="29" t="n"/>
      <c r="E37" s="25" t="n"/>
      <c r="F37" s="34" t="n"/>
      <c r="G37" s="20">
        <f>IF(D37="","",IF(D37&lt;TODAY(),"Ended",IF(D37-TODAY()&lt;=N(Settings!$C$7),"Ends in "&amp;(D37-TODAY())&amp;IF(D37-TODAY()=1," day"," days"),"OK")))</f>
        <v/>
      </c>
      <c r="H37" s="25" t="n"/>
      <c r="I37" s="1" t="n"/>
      <c r="J37">
        <f>IF(OR(G37="",G37="OK"),"",D37+ROW()/10000000)</f>
        <v/>
      </c>
    </row>
    <row r="38">
      <c r="A38" s="1" t="n"/>
      <c r="B38" s="24" t="n"/>
      <c r="C38" s="25" t="n"/>
      <c r="D38" s="29" t="n"/>
      <c r="E38" s="25" t="n"/>
      <c r="F38" s="34" t="n"/>
      <c r="G38" s="20">
        <f>IF(D38="","",IF(D38&lt;TODAY(),"Ended",IF(D38-TODAY()&lt;=N(Settings!$C$7),"Ends in "&amp;(D38-TODAY())&amp;IF(D38-TODAY()=1," day"," days"),"OK")))</f>
        <v/>
      </c>
      <c r="H38" s="25" t="n"/>
      <c r="I38" s="1" t="n"/>
      <c r="J38">
        <f>IF(OR(G38="",G38="OK"),"",D38+ROW()/10000000)</f>
        <v/>
      </c>
    </row>
    <row r="39">
      <c r="A39" s="1" t="n"/>
      <c r="B39" s="24" t="n"/>
      <c r="C39" s="25" t="n"/>
      <c r="D39" s="29" t="n"/>
      <c r="E39" s="25" t="n"/>
      <c r="F39" s="34" t="n"/>
      <c r="G39" s="20">
        <f>IF(D39="","",IF(D39&lt;TODAY(),"Ended",IF(D39-TODAY()&lt;=N(Settings!$C$7),"Ends in "&amp;(D39-TODAY())&amp;IF(D39-TODAY()=1," day"," days"),"OK")))</f>
        <v/>
      </c>
      <c r="H39" s="25" t="n"/>
      <c r="I39" s="1" t="n"/>
      <c r="J39">
        <f>IF(OR(G39="",G39="OK"),"",D39+ROW()/10000000)</f>
        <v/>
      </c>
    </row>
    <row r="40">
      <c r="A40" s="1" t="n"/>
      <c r="B40" s="24" t="n"/>
      <c r="C40" s="25" t="n"/>
      <c r="D40" s="29" t="n"/>
      <c r="E40" s="25" t="n"/>
      <c r="F40" s="34" t="n"/>
      <c r="G40" s="20">
        <f>IF(D40="","",IF(D40&lt;TODAY(),"Ended",IF(D40-TODAY()&lt;=N(Settings!$C$7),"Ends in "&amp;(D40-TODAY())&amp;IF(D40-TODAY()=1," day"," days"),"OK")))</f>
        <v/>
      </c>
      <c r="H40" s="25" t="n"/>
      <c r="I40" s="1" t="n"/>
      <c r="J40">
        <f>IF(OR(G40="",G40="OK"),"",D40+ROW()/10000000)</f>
        <v/>
      </c>
    </row>
    <row r="41">
      <c r="A41" s="1" t="n"/>
      <c r="B41" s="24" t="n"/>
      <c r="C41" s="25" t="n"/>
      <c r="D41" s="29" t="n"/>
      <c r="E41" s="25" t="n"/>
      <c r="F41" s="34" t="n"/>
      <c r="G41" s="20">
        <f>IF(D41="","",IF(D41&lt;TODAY(),"Ended",IF(D41-TODAY()&lt;=N(Settings!$C$7),"Ends in "&amp;(D41-TODAY())&amp;IF(D41-TODAY()=1," day"," days"),"OK")))</f>
        <v/>
      </c>
      <c r="H41" s="25" t="n"/>
      <c r="I41" s="1" t="n"/>
      <c r="J41">
        <f>IF(OR(G41="",G41="OK"),"",D41+ROW()/10000000)</f>
        <v/>
      </c>
    </row>
    <row r="42">
      <c r="A42" s="1" t="n"/>
      <c r="B42" s="24" t="n"/>
      <c r="C42" s="25" t="n"/>
      <c r="D42" s="29" t="n"/>
      <c r="E42" s="25" t="n"/>
      <c r="F42" s="34" t="n"/>
      <c r="G42" s="20">
        <f>IF(D42="","",IF(D42&lt;TODAY(),"Ended",IF(D42-TODAY()&lt;=N(Settings!$C$7),"Ends in "&amp;(D42-TODAY())&amp;IF(D42-TODAY()=1," day"," days"),"OK")))</f>
        <v/>
      </c>
      <c r="H42" s="25" t="n"/>
      <c r="I42" s="1" t="n"/>
      <c r="J42">
        <f>IF(OR(G42="",G42="OK"),"",D42+ROW()/10000000)</f>
        <v/>
      </c>
    </row>
    <row r="43">
      <c r="A43" s="1" t="n"/>
      <c r="B43" s="24" t="n"/>
      <c r="C43" s="25" t="n"/>
      <c r="D43" s="29" t="n"/>
      <c r="E43" s="25" t="n"/>
      <c r="F43" s="34" t="n"/>
      <c r="G43" s="20">
        <f>IF(D43="","",IF(D43&lt;TODAY(),"Ended",IF(D43-TODAY()&lt;=N(Settings!$C$7),"Ends in "&amp;(D43-TODAY())&amp;IF(D43-TODAY()=1," day"," days"),"OK")))</f>
        <v/>
      </c>
      <c r="H43" s="25" t="n"/>
      <c r="I43" s="1" t="n"/>
      <c r="J43">
        <f>IF(OR(G43="",G43="OK"),"",D43+ROW()/10000000)</f>
        <v/>
      </c>
    </row>
    <row r="44">
      <c r="A44" s="1" t="n"/>
      <c r="B44" s="24" t="n"/>
      <c r="C44" s="25" t="n"/>
      <c r="D44" s="29" t="n"/>
      <c r="E44" s="25" t="n"/>
      <c r="F44" s="34" t="n"/>
      <c r="G44" s="20">
        <f>IF(D44="","",IF(D44&lt;TODAY(),"Ended",IF(D44-TODAY()&lt;=N(Settings!$C$7),"Ends in "&amp;(D44-TODAY())&amp;IF(D44-TODAY()=1," day"," days"),"OK")))</f>
        <v/>
      </c>
      <c r="H44" s="25" t="n"/>
      <c r="I44" s="1" t="n"/>
      <c r="J44">
        <f>IF(OR(G44="",G44="OK"),"",D44+ROW()/10000000)</f>
        <v/>
      </c>
    </row>
    <row r="45">
      <c r="A45" s="1" t="n"/>
      <c r="B45" s="24" t="n"/>
      <c r="C45" s="25" t="n"/>
      <c r="D45" s="29" t="n"/>
      <c r="E45" s="25" t="n"/>
      <c r="F45" s="34" t="n"/>
      <c r="G45" s="20">
        <f>IF(D45="","",IF(D45&lt;TODAY(),"Ended",IF(D45-TODAY()&lt;=N(Settings!$C$7),"Ends in "&amp;(D45-TODAY())&amp;IF(D45-TODAY()=1," day"," days"),"OK")))</f>
        <v/>
      </c>
      <c r="H45" s="25" t="n"/>
      <c r="I45" s="1" t="n"/>
      <c r="J45">
        <f>IF(OR(G45="",G45="OK"),"",D45+ROW()/10000000)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</sheetData>
  <conditionalFormatting sqref="G6:G45">
    <cfRule type="expression" priority="1" dxfId="0">
      <formula>G6="Ended"</formula>
    </cfRule>
    <cfRule type="expression" priority="2" dxfId="1">
      <formula>LEFT(G6,4)="Ends"</formula>
    </cfRule>
    <cfRule type="expression" priority="3" dxfId="2">
      <formula>G6="OK"</formula>
    </cfRule>
  </conditionalFormatting>
  <dataValidations count="2">
    <dataValidation sqref="B6:B45" showDropDown="0" showInputMessage="0" showErrorMessage="1" allowBlank="1" type="list">
      <formula1>=Cars!$B$6:$B$10</formula1>
    </dataValidation>
    <dataValidation sqref="C6:C45" showDropDown="0" showInputMessage="0" showErrorMessage="0" allowBlank="1" type="list">
      <formula1>"Insurance,Road tax,Inspection,Registration,Breakdown cover,Warranty,Other"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Units, and how early you want to hear that something is due.</t>
        </is>
      </c>
      <c r="C3" s="1" t="n"/>
      <c r="D3" s="1" t="n"/>
      <c r="E3" s="1" t="n"/>
      <c r="F3" s="1" t="n"/>
    </row>
    <row r="4">
      <c r="A4" s="1" t="n"/>
      <c r="B4" s="37" t="inlineStr">
        <is>
          <t>Distance</t>
        </is>
      </c>
      <c r="C4" s="38" t="inlineStr">
        <is>
          <t>km</t>
        </is>
      </c>
      <c r="D4" s="1" t="n"/>
      <c r="E4" s="39" t="inlineStr">
        <is>
          <t>Miles and gallons work too: the consumption then reads in miles per gallon.</t>
        </is>
      </c>
      <c r="F4" s="1" t="n"/>
    </row>
    <row r="5">
      <c r="A5" s="1" t="n"/>
      <c r="B5" s="37" t="inlineStr">
        <is>
          <t>Fuel</t>
        </is>
      </c>
      <c r="C5" s="38" t="inlineStr">
        <is>
          <t>L</t>
        </is>
      </c>
      <c r="D5" s="1" t="n"/>
      <c r="E5" s="39" t="inlineStr">
        <is>
          <t>Services and documents turn orange this distance or this many days before they are due.</t>
        </is>
      </c>
      <c r="F5" s="1" t="n"/>
    </row>
    <row r="6">
      <c r="A6" s="1" t="n"/>
      <c r="B6" s="37" t="inlineStr">
        <is>
          <t>Warn this distance before</t>
        </is>
      </c>
      <c r="C6" s="40" t="n">
        <v>1000</v>
      </c>
      <c r="D6" s="1" t="n"/>
      <c r="E6" s="1" t="n"/>
      <c r="F6" s="1" t="n"/>
    </row>
    <row r="7">
      <c r="A7" s="1" t="n"/>
      <c r="B7" s="37" t="inlineStr">
        <is>
          <t>Warn this many days before</t>
        </is>
      </c>
      <c r="C7" s="41" t="n">
        <v>30</v>
      </c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dataValidations count="2">
    <dataValidation sqref="C4" showDropDown="0" showInputMessage="0" showErrorMessage="1" allowBlank="1" type="list">
      <formula1>"km,mi"</formula1>
    </dataValidation>
    <dataValidation sqref="C5" showDropDown="0" showInputMessage="0" showErrorMessage="1" allowBlank="1" type="list">
      <formula1>"L,gal"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2" t="inlineStr">
        <is>
          <t>1</t>
        </is>
      </c>
      <c r="C5" s="43" t="inlineStr">
        <is>
          <t>Settings: km or miles, litres or gallons, and how early you want a warning.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2" t="inlineStr">
        <is>
          <t>2</t>
        </is>
      </c>
      <c r="C7" s="43" t="inlineStr">
        <is>
          <t>Cars: each car, with the odometer on the day you start and that date.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2" t="inlineStr">
        <is>
          <t>3</t>
        </is>
      </c>
      <c r="C9" s="43" t="inlineStr">
        <is>
          <t>Services: what each car needs, every so far or every so many months, and when it was last done.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2" t="inlineStr">
        <is>
          <t>4</t>
        </is>
      </c>
      <c r="C11" s="43" t="inlineStr">
        <is>
          <t>Fuel and Costs: one line per fill-up, with an x when you fill the tank, and one line per other cost.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2" t="inlineStr">
        <is>
          <t>5</t>
        </is>
      </c>
      <c r="C13" s="43" t="inlineStr">
        <is>
          <t>Documents and Dashboard: the end dates of insurance, tax and inspection, and everything that is due.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Service intervals differ from car to car: the handbook or the garage has yours.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cars and their numbers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2026-09-28T16:47:51Z</dcterms:created>
  <dcterms:modified xsi:type="dcterms:W3CDTF">2026-09-28T16:47:53Z</dcterms:modified>
</cp:coreProperties>
</file>