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art Here" sheetId="2" state="visible" r:id="rId2"/>
    <sheet name="Budget" sheetId="3" state="visible" r:id="rId3"/>
    <sheet name="Log" sheetId="4" state="visible" r:id="rId4"/>
    <sheet name="Bills" sheetId="5" state="visible" r:id="rId5"/>
    <sheet name="Impulse List" sheetId="6" state="visible" r:id="rId6"/>
    <sheet name="Go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6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F6F78"/>
      <sz val="18"/>
    </font>
    <font>
      <name val="Arial"/>
      <color rgb="001E2A2F"/>
      <sz val="14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15525A"/>
      <sz val="12"/>
    </font>
    <font>
      <name val="Arial"/>
      <b val="1"/>
      <color rgb="001F6F78"/>
      <sz val="20"/>
    </font>
    <font>
      <name val="Arial"/>
      <color rgb="001F6F78"/>
      <sz val="11"/>
    </font>
    <font>
      <name val="Arial"/>
      <b val="1"/>
      <color rgb="006B7B80"/>
      <sz val="10"/>
    </font>
    <font>
      <name val="Arial"/>
      <b val="1"/>
      <color rgb="00B4541F"/>
      <sz val="18"/>
    </font>
    <font>
      <name val="Arial"/>
      <b val="1"/>
      <color rgb="00FFFFFF"/>
      <sz val="26"/>
    </font>
    <font>
      <name val="Arial"/>
      <color rgb="006B7B80"/>
      <sz val="10"/>
    </font>
  </fonts>
  <fills count="11">
    <fill>
      <patternFill/>
    </fill>
    <fill>
      <patternFill patternType="gray125"/>
    </fill>
    <fill>
      <patternFill patternType="solid">
        <fgColor rgb="00F6F4EF"/>
        <bgColor rgb="00F6F4E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FFFFFF"/>
        <bgColor rgb="00FFFFFF"/>
      </patternFill>
    </fill>
    <fill>
      <patternFill patternType="solid">
        <fgColor rgb="0015525A"/>
        <bgColor rgb="0015525A"/>
      </patternFill>
    </fill>
    <fill>
      <patternFill patternType="solid">
        <fgColor rgb="00FFE2B8"/>
        <bgColor rgb="00FFE2B8"/>
      </patternFill>
    </fill>
    <fill>
      <patternFill patternType="solid">
        <fgColor rgb="00F9C9C4"/>
        <bgColor rgb="00F9C9C4"/>
      </patternFill>
    </fill>
    <fill>
      <patternFill patternType="solid">
        <fgColor rgb="00E3E8FF"/>
        <bgColor rgb="00E3E8FF"/>
      </patternFill>
    </fill>
    <fill>
      <patternFill patternType="solid">
        <fgColor rgb="00D8F0DC"/>
        <bgColor rgb="00D8F0DC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7" fillId="2" borderId="0" pivotButton="0" quotePrefix="0" xfId="0"/>
    <xf numFmtId="0" fontId="7" fillId="4" borderId="1" pivotButton="0" quotePrefix="0" xfId="0"/>
    <xf numFmtId="0" fontId="7" fillId="2" borderId="0" applyAlignment="1" pivotButton="0" quotePrefix="0" xfId="0">
      <alignment horizontal="right"/>
    </xf>
    <xf numFmtId="1" fontId="7" fillId="4" borderId="1" pivotButton="0" quotePrefix="0" xfId="0"/>
    <xf numFmtId="0" fontId="12" fillId="5" borderId="1" pivotButton="0" quotePrefix="0" xfId="0"/>
    <xf numFmtId="0" fontId="5" fillId="6" borderId="0" applyAlignment="1" pivotButton="0" quotePrefix="0" xfId="0">
      <alignment horizontal="center"/>
    </xf>
    <xf numFmtId="4" fontId="3" fillId="5" borderId="1" pivotButton="0" quotePrefix="0" xfId="0"/>
    <xf numFmtId="4" fontId="13" fillId="5" borderId="1" pivotButton="0" quotePrefix="0" xfId="0"/>
    <xf numFmtId="4" fontId="14" fillId="6" borderId="0" applyAlignment="1" pivotButton="0" quotePrefix="0" xfId="0">
      <alignment horizontal="center" vertical="center"/>
    </xf>
    <xf numFmtId="0" fontId="8" fillId="2" borderId="0" pivotButton="0" quotePrefix="0" xfId="0"/>
    <xf numFmtId="4" fontId="15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0" pivotButton="0" quotePrefix="0" xfId="0"/>
    <xf numFmtId="0" fontId="7" fillId="5" borderId="1" pivotButton="0" quotePrefix="0" xfId="0"/>
    <xf numFmtId="4" fontId="6" fillId="5" borderId="1" pivotButton="0" quotePrefix="0" xfId="0"/>
    <xf numFmtId="4" fontId="7" fillId="5" borderId="1" pivotButton="0" quotePrefix="0" xfId="0"/>
    <xf numFmtId="0" fontId="11" fillId="5" borderId="1" pivotButton="0" quotePrefix="0" xfId="0"/>
    <xf numFmtId="0" fontId="6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3" fillId="2" borderId="0" pivotButton="0" quotePrefix="0" xfId="0"/>
    <xf numFmtId="0" fontId="4" fillId="2" borderId="0" pivotButton="0" quotePrefix="0" xfId="0"/>
    <xf numFmtId="0" fontId="6" fillId="4" borderId="1" pivotButton="0" quotePrefix="0" xfId="0"/>
    <xf numFmtId="4" fontId="6" fillId="4" borderId="1" pivotButton="0" quotePrefix="0" xfId="0"/>
    <xf numFmtId="165" fontId="6" fillId="4" borderId="1" pivotButton="0" quotePrefix="0" xfId="0"/>
    <xf numFmtId="1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5" borderId="1" pivotButton="0" quotePrefix="0" xfId="0"/>
    <xf numFmtId="4" fontId="10" fillId="0" borderId="0" pivotButton="0" quotePrefix="0" xfId="0"/>
    <xf numFmtId="9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ont>
        <name val="Arial"/>
        <color rgb="00B4541F"/>
      </font>
    </dxf>
    <dxf>
      <font>
        <name val="Arial"/>
        <color rgb="00C98A0B"/>
      </font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3E8FF"/>
          <bgColor rgb="00E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15" customWidth="1" min="5" max="5"/>
    <col width="30" customWidth="1" min="6" max="6"/>
    <col width="3" customWidth="1" min="7" max="7"/>
    <col width="44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>
        <f>MATCH(C5,{"January","February","March","April","May","June","July","August","September","October","November","December"},0)</f>
        <v/>
      </c>
    </row>
    <row r="2" ht="32" customHeight="1">
      <c r="A2" s="1" t="n"/>
      <c r="B2" s="2" t="inlineStr">
        <is>
          <t>Money at a glance</t>
        </is>
      </c>
      <c r="C2" s="1" t="n"/>
      <c r="D2" s="1" t="n"/>
      <c r="E2" s="1" t="n"/>
      <c r="F2" s="1" t="n"/>
      <c r="G2" s="1" t="n"/>
      <c r="H2" s="1" t="n"/>
      <c r="I2" s="1" t="n"/>
      <c r="J2">
        <f>DATE(E5,J1,1)</f>
        <v/>
      </c>
    </row>
    <row r="3">
      <c r="A3" s="1" t="n"/>
      <c r="B3" s="3" t="inlineStr">
        <is>
          <t>Pick a month. Everything below updates.</t>
        </is>
      </c>
      <c r="C3" s="1" t="n"/>
      <c r="D3" s="1" t="n"/>
      <c r="E3" s="1" t="n"/>
      <c r="F3" s="1" t="n"/>
      <c r="G3" s="1" t="n"/>
      <c r="H3" s="1" t="n"/>
      <c r="I3" s="1" t="n"/>
      <c r="J3">
        <f>EOMONTH(J2,0)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Month</t>
        </is>
      </c>
      <c r="C5" s="5" t="inlineStr">
        <is>
          <t>September</t>
        </is>
      </c>
      <c r="D5" s="6" t="inlineStr">
        <is>
          <t>Year</t>
        </is>
      </c>
      <c r="E5" s="7" t="n">
        <v>2026</v>
      </c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8" t="inlineStr">
        <is>
          <t>Money in</t>
        </is>
      </c>
      <c r="C7" s="8" t="inlineStr">
        <is>
          <t>Spent</t>
        </is>
      </c>
      <c r="D7" s="8" t="inlineStr">
        <is>
          <t>Bills not paid yet</t>
        </is>
      </c>
      <c r="E7" s="8" t="inlineStr">
        <is>
          <t>Left for the month</t>
        </is>
      </c>
      <c r="F7" s="9" t="inlineStr">
        <is>
          <t>Safe to spend per day</t>
        </is>
      </c>
      <c r="G7" s="1" t="n"/>
      <c r="H7" s="1" t="n"/>
      <c r="I7" s="1" t="n"/>
    </row>
    <row r="8" ht="44" customHeight="1">
      <c r="A8" s="1" t="n"/>
      <c r="B8" s="10">
        <f>SUMIFS(Log!$C$6:$C$1000,Log!$D$6:$D$1000,"Income",Log!$B$6:$B$1000,"&gt;="&amp;$J$2,Log!$B$6:$B$1000,"&lt;="&amp;$J$3)</f>
        <v/>
      </c>
      <c r="C8" s="11">
        <f>SUMIFS(Log!$C$6:$C$1000,Log!$D$6:$D$1000,"Expense",Log!$B$6:$B$1000,"&gt;="&amp;$J$2,Log!$B$6:$B$1000,"&lt;="&amp;$J$3)</f>
        <v/>
      </c>
      <c r="D8" s="11">
        <f>SUM(Bills!$C$6:$C$30)-SUMIFS(Bills!$C$6:$C$30,Bills!$E$6:$E$30,TRUE)</f>
        <v/>
      </c>
      <c r="E8" s="10">
        <f>B8-C8-D8-Budget!$E$8</f>
        <v/>
      </c>
      <c r="F8" s="12">
        <f>IF(AND(MONTH(TODAY())=$J$1,YEAR(TODAY())=$E$5),MAX(0,E8)/(J3-TODAY()+1),IF($J$3&lt;TODAY(),"month closed","month not started"))</f>
        <v/>
      </c>
      <c r="G8" s="1" t="n"/>
      <c r="H8" s="1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3" t="inlineStr">
        <is>
          <t>Savings set aside this month (Budget tab):</t>
        </is>
      </c>
      <c r="C10" s="1" t="n"/>
      <c r="D10" s="1" t="n"/>
      <c r="E10" s="14">
        <f>Budget!$E$8</f>
        <v/>
      </c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2" customHeight="1">
      <c r="A12" s="1" t="n"/>
      <c r="B12" s="15" t="inlineStr">
        <is>
          <t>Category</t>
        </is>
      </c>
      <c r="C12" s="15" t="inlineStr">
        <is>
          <t>Budget</t>
        </is>
      </c>
      <c r="D12" s="15" t="inlineStr">
        <is>
          <t>Spent</t>
        </is>
      </c>
      <c r="E12" s="15" t="inlineStr">
        <is>
          <t>Left</t>
        </is>
      </c>
      <c r="F12" s="15" t="inlineStr">
        <is>
          <t>Used</t>
        </is>
      </c>
      <c r="G12" s="1" t="n"/>
      <c r="H12" s="16" t="inlineStr">
        <is>
          <t>Heads-up</t>
        </is>
      </c>
      <c r="I12" s="1" t="n"/>
    </row>
    <row r="13" ht="24" customHeight="1">
      <c r="A13" s="1" t="n"/>
      <c r="B13" s="17">
        <f>Budget!B6</f>
        <v/>
      </c>
      <c r="C13" s="18">
        <f>Budget!C6</f>
        <v/>
      </c>
      <c r="D13" s="18">
        <f>SUMIFS(Log!$C$6:$C$1000,Log!$E$6:$E$1000,B13,Log!$D$6:$D$1000,"Expense",Log!$B$6:$B$1000,"&gt;="&amp;$J$2,Log!$B$6:$B$1000,"&lt;="&amp;$J$3)</f>
        <v/>
      </c>
      <c r="E13" s="19">
        <f>C13-D13</f>
        <v/>
      </c>
      <c r="F13" s="20">
        <f>IF(C13=0,"",REPT("█",MIN(20,ROUND(D13/C13*20,0)))&amp;REPT("░",MAX(0,20-ROUND(D13/C13*20,0)))&amp;"  "&amp;TEXT(D13/C13,"0%"))</f>
        <v/>
      </c>
      <c r="G13" s="1" t="n"/>
      <c r="H13" s="21">
        <f>COUNTIFS(Bills!$F$6:$F$30,"Due in*")&amp;" bill(s) due in the next 3 days"</f>
        <v/>
      </c>
      <c r="I13" s="1" t="n"/>
    </row>
    <row r="14" ht="24" customHeight="1">
      <c r="A14" s="1" t="n"/>
      <c r="B14" s="17">
        <f>Budget!B7</f>
        <v/>
      </c>
      <c r="C14" s="18">
        <f>Budget!C7</f>
        <v/>
      </c>
      <c r="D14" s="18">
        <f>SUMIFS(Log!$C$6:$C$1000,Log!$E$6:$E$1000,B14,Log!$D$6:$D$1000,"Expense",Log!$B$6:$B$1000,"&gt;="&amp;$J$2,Log!$B$6:$B$1000,"&lt;="&amp;$J$3)</f>
        <v/>
      </c>
      <c r="E14" s="19">
        <f>C14-D14</f>
        <v/>
      </c>
      <c r="F14" s="20">
        <f>IF(C14=0,"",REPT("█",MIN(20,ROUND(D14/C14*20,0)))&amp;REPT("░",MAX(0,20-ROUND(D14/C14*20,0)))&amp;"  "&amp;TEXT(D14/C14,"0%"))</f>
        <v/>
      </c>
      <c r="G14" s="1" t="n"/>
      <c r="H14" s="1" t="n"/>
      <c r="I14" s="1" t="n"/>
    </row>
    <row r="15" ht="24" customHeight="1">
      <c r="A15" s="1" t="n"/>
      <c r="B15" s="17">
        <f>Budget!B8</f>
        <v/>
      </c>
      <c r="C15" s="18">
        <f>Budget!C8</f>
        <v/>
      </c>
      <c r="D15" s="18">
        <f>SUMIFS(Log!$C$6:$C$1000,Log!$E$6:$E$1000,B15,Log!$D$6:$D$1000,"Expense",Log!$B$6:$B$1000,"&gt;="&amp;$J$2,Log!$B$6:$B$1000,"&lt;="&amp;$J$3)</f>
        <v/>
      </c>
      <c r="E15" s="19">
        <f>C15-D15</f>
        <v/>
      </c>
      <c r="F15" s="20">
        <f>IF(C15=0,"",REPT("█",MIN(20,ROUND(D15/C15*20,0)))&amp;REPT("░",MAX(0,20-ROUND(D15/C15*20,0)))&amp;"  "&amp;TEXT(D15/C15,"0%"))</f>
        <v/>
      </c>
      <c r="G15" s="1" t="n"/>
      <c r="H15" s="22">
        <f>COUNTIFS(Bills!$F$6:$F$30,"⚠*")&amp;" bill(s) overdue"</f>
        <v/>
      </c>
      <c r="I15" s="1" t="n"/>
    </row>
    <row r="16" ht="24" customHeight="1">
      <c r="A16" s="1" t="n"/>
      <c r="B16" s="17">
        <f>Budget!B9</f>
        <v/>
      </c>
      <c r="C16" s="18">
        <f>Budget!C9</f>
        <v/>
      </c>
      <c r="D16" s="18">
        <f>SUMIFS(Log!$C$6:$C$1000,Log!$E$6:$E$1000,B16,Log!$D$6:$D$1000,"Expense",Log!$B$6:$B$1000,"&gt;="&amp;$J$2,Log!$B$6:$B$1000,"&lt;="&amp;$J$3)</f>
        <v/>
      </c>
      <c r="E16" s="19">
        <f>C16-D16</f>
        <v/>
      </c>
      <c r="F16" s="20">
        <f>IF(C16=0,"",REPT("█",MIN(20,ROUND(D16/C16*20,0)))&amp;REPT("░",MAX(0,20-ROUND(D16/C16*20,0)))&amp;"  "&amp;TEXT(D16/C16,"0%"))</f>
        <v/>
      </c>
      <c r="G16" s="1" t="n"/>
      <c r="H16" s="1" t="n"/>
      <c r="I16" s="1" t="n"/>
    </row>
    <row r="17" ht="24" customHeight="1">
      <c r="A17" s="1" t="n"/>
      <c r="B17" s="17">
        <f>Budget!B10</f>
        <v/>
      </c>
      <c r="C17" s="18">
        <f>Budget!C10</f>
        <v/>
      </c>
      <c r="D17" s="18">
        <f>SUMIFS(Log!$C$6:$C$1000,Log!$E$6:$E$1000,B17,Log!$D$6:$D$1000,"Expense",Log!$B$6:$B$1000,"&gt;="&amp;$J$2,Log!$B$6:$B$1000,"&lt;="&amp;$J$3)</f>
        <v/>
      </c>
      <c r="E17" s="19">
        <f>C17-D17</f>
        <v/>
      </c>
      <c r="F17" s="20">
        <f>IF(C17=0,"",REPT("█",MIN(20,ROUND(D17/C17*20,0)))&amp;REPT("░",MAX(0,20-ROUND(D17/C17*20,0)))&amp;"  "&amp;TEXT(D17/C17,"0%"))</f>
        <v/>
      </c>
      <c r="G17" s="1" t="n"/>
      <c r="H17" s="23">
        <f>COUNTIFS('Impulse List'!$E$6:$E$30,"⏳*")&amp;" item(s) cooling off on your Impulse List"</f>
        <v/>
      </c>
      <c r="I17" s="1" t="n"/>
    </row>
    <row r="18" ht="24" customHeight="1">
      <c r="A18" s="1" t="n"/>
      <c r="B18" s="17">
        <f>Budget!B11</f>
        <v/>
      </c>
      <c r="C18" s="18">
        <f>Budget!C11</f>
        <v/>
      </c>
      <c r="D18" s="18">
        <f>SUMIFS(Log!$C$6:$C$1000,Log!$E$6:$E$1000,B18,Log!$D$6:$D$1000,"Expense",Log!$B$6:$B$1000,"&gt;="&amp;$J$2,Log!$B$6:$B$1000,"&lt;="&amp;$J$3)</f>
        <v/>
      </c>
      <c r="E18" s="19">
        <f>C18-D18</f>
        <v/>
      </c>
      <c r="F18" s="20">
        <f>IF(C18=0,"",REPT("█",MIN(20,ROUND(D18/C18*20,0)))&amp;REPT("░",MAX(0,20-ROUND(D18/C18*20,0)))&amp;"  "&amp;TEXT(D18/C18,"0%"))</f>
        <v/>
      </c>
      <c r="G18" s="1" t="n"/>
      <c r="H18" s="1" t="n"/>
      <c r="I18" s="1" t="n"/>
    </row>
    <row r="19" ht="24" customHeight="1">
      <c r="A19" s="1" t="n"/>
      <c r="B19" s="17">
        <f>Budget!B12</f>
        <v/>
      </c>
      <c r="C19" s="18">
        <f>Budget!C12</f>
        <v/>
      </c>
      <c r="D19" s="18">
        <f>SUMIFS(Log!$C$6:$C$1000,Log!$E$6:$E$1000,B19,Log!$D$6:$D$1000,"Expense",Log!$B$6:$B$1000,"&gt;="&amp;$J$2,Log!$B$6:$B$1000,"&lt;="&amp;$J$3)</f>
        <v/>
      </c>
      <c r="E19" s="19">
        <f>C19-D19</f>
        <v/>
      </c>
      <c r="F19" s="20">
        <f>IF(C19=0,"",REPT("█",MIN(20,ROUND(D19/C19*20,0)))&amp;REPT("░",MAX(0,20-ROUND(D19/C19*20,0)))&amp;"  "&amp;TEXT(D19/C19,"0%"))</f>
        <v/>
      </c>
      <c r="G19" s="1" t="n"/>
      <c r="H19" s="24">
        <f>"Kept by skipping impulse buys: "&amp;FIXED('Impulse List'!$H$6,2)</f>
        <v/>
      </c>
      <c r="I19" s="1" t="n"/>
    </row>
    <row r="20" ht="24" customHeight="1">
      <c r="A20" s="1" t="n"/>
      <c r="B20" s="17">
        <f>Budget!B13</f>
        <v/>
      </c>
      <c r="C20" s="18">
        <f>Budget!C13</f>
        <v/>
      </c>
      <c r="D20" s="18">
        <f>SUMIFS(Log!$C$6:$C$1000,Log!$E$6:$E$1000,B20,Log!$D$6:$D$1000,"Expense",Log!$B$6:$B$1000,"&gt;="&amp;$J$2,Log!$B$6:$B$1000,"&lt;="&amp;$J$3)</f>
        <v/>
      </c>
      <c r="E20" s="19">
        <f>C20-D20</f>
        <v/>
      </c>
      <c r="F20" s="20">
        <f>IF(C20=0,"",REPT("█",MIN(20,ROUND(D20/C20*20,0)))&amp;REPT("░",MAX(0,20-ROUND(D20/C20*20,0)))&amp;"  "&amp;TEXT(D20/C20,"0%"))</f>
        <v/>
      </c>
      <c r="G20" s="1" t="n"/>
      <c r="H20" s="1" t="n"/>
      <c r="I20" s="1" t="n"/>
    </row>
    <row r="21" ht="24" customHeight="1">
      <c r="A21" s="1" t="n"/>
      <c r="B21" s="17">
        <f>Budget!B14</f>
        <v/>
      </c>
      <c r="C21" s="18">
        <f>Budget!C14</f>
        <v/>
      </c>
      <c r="D21" s="18">
        <f>SUMIFS(Log!$C$6:$C$1000,Log!$E$6:$E$1000,B21,Log!$D$6:$D$1000,"Expense",Log!$B$6:$B$1000,"&gt;="&amp;$J$2,Log!$B$6:$B$1000,"&lt;="&amp;$J$3)</f>
        <v/>
      </c>
      <c r="E21" s="19">
        <f>C21-D21</f>
        <v/>
      </c>
      <c r="F21" s="20">
        <f>IF(C21=0,"",REPT("█",MIN(20,ROUND(D21/C21*20,0)))&amp;REPT("░",MAX(0,20-ROUND(D21/C21*20,0)))&amp;"  "&amp;TEXT(D21/C21,"0%"))</f>
        <v/>
      </c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conditionalFormatting sqref="E13:E21">
    <cfRule type="expression" priority="1" dxfId="0">
      <formula>$E13&lt;0</formula>
    </cfRule>
  </conditionalFormatting>
  <conditionalFormatting sqref="F13:F21">
    <cfRule type="expression" priority="2" dxfId="1">
      <formula>AND($C13&gt;0,$D13/$C13&gt;1)</formula>
    </cfRule>
    <cfRule type="expression" priority="3" dxfId="2">
      <formula>AND($C13&gt;0,$D13/$C13&gt;0.8,$D13/$C13&lt;=1)</formula>
    </cfRule>
  </conditionalFormatting>
  <dataValidations count="1">
    <dataValidation sqref="C5" showDropDown="0" showInputMessage="0" showErrorMessage="0" allowBlank="0" type="list">
      <formula1>"January,February,March,April,May,June,July,August,September,October,November,December"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here: 3 steps, 5 minutes</t>
        </is>
      </c>
      <c r="C2" s="1" t="n"/>
      <c r="D2" s="1" t="n"/>
    </row>
    <row r="3">
      <c r="A3" s="1" t="n"/>
      <c r="B3" s="3" t="inlineStr">
        <is>
          <t>Only type in YELLOW cells. Everything else fills itself in.</t>
        </is>
      </c>
      <c r="C3" s="1" t="n"/>
      <c r="D3" s="1" t="n"/>
    </row>
    <row r="4">
      <c r="A4" s="1" t="n"/>
      <c r="B4" s="1" t="n"/>
      <c r="C4" s="1" t="n"/>
      <c r="D4" s="1" t="n"/>
    </row>
    <row r="5" ht="26" customHeight="1">
      <c r="A5" s="1" t="n"/>
      <c r="B5" s="25" t="inlineStr">
        <is>
          <t>1</t>
        </is>
      </c>
      <c r="C5" s="26" t="inlineStr">
        <is>
          <t>Budget tab: type how much you want to spend per category each month.</t>
        </is>
      </c>
      <c r="D5" s="1" t="n"/>
    </row>
    <row r="6">
      <c r="A6" s="1" t="n"/>
      <c r="B6" s="1" t="n"/>
      <c r="C6" s="1" t="n"/>
      <c r="D6" s="1" t="n"/>
    </row>
    <row r="7" ht="26" customHeight="1">
      <c r="A7" s="1" t="n"/>
      <c r="B7" s="25" t="inlineStr">
        <is>
          <t>2</t>
        </is>
      </c>
      <c r="C7" s="26" t="inlineStr">
        <is>
          <t>Bills tab: list your bills once (amount + day of the month they are due).</t>
        </is>
      </c>
      <c r="D7" s="1" t="n"/>
    </row>
    <row r="8">
      <c r="A8" s="1" t="n"/>
      <c r="B8" s="1" t="n"/>
      <c r="C8" s="1" t="n"/>
      <c r="D8" s="1" t="n"/>
    </row>
    <row r="9" ht="26" customHeight="1">
      <c r="A9" s="1" t="n"/>
      <c r="B9" s="25" t="inlineStr">
        <is>
          <t>3</t>
        </is>
      </c>
      <c r="C9" s="26" t="inlineStr">
        <is>
          <t>Log tab: every time you spend or get paid, add ONE line: date, amount, category.</t>
        </is>
      </c>
      <c r="D9" s="1" t="n"/>
    </row>
    <row r="10">
      <c r="A10" s="1" t="n"/>
      <c r="B10" s="1" t="n"/>
      <c r="C10" s="1" t="n"/>
      <c r="D10" s="1" t="n"/>
    </row>
    <row r="11" ht="26" customHeight="1">
      <c r="A11" s="1" t="n"/>
      <c r="B11" s="25" t="inlineStr"/>
      <c r="C11" s="26" t="inlineStr"/>
      <c r="D11" s="1" t="n"/>
    </row>
    <row r="12">
      <c r="A12" s="1" t="n"/>
      <c r="B12" s="1" t="n"/>
      <c r="C12" s="1" t="n"/>
      <c r="D12" s="1" t="n"/>
    </row>
    <row r="13" ht="26" customHeight="1">
      <c r="A13" s="1" t="n"/>
      <c r="B13" s="25" t="inlineStr">
        <is>
          <t>★</t>
        </is>
      </c>
      <c r="C13" s="26" t="inlineStr">
        <is>
          <t>Dashboard: pick the month. The big number is what you can safely spend per day.</t>
        </is>
      </c>
      <c r="D13" s="1" t="n"/>
    </row>
    <row r="14">
      <c r="A14" s="1" t="n"/>
      <c r="B14" s="1" t="n"/>
      <c r="C14" s="1" t="n"/>
      <c r="D14" s="1" t="n"/>
    </row>
    <row r="15" ht="26" customHeight="1">
      <c r="A15" s="1" t="n"/>
      <c r="B15" s="25" t="inlineStr">
        <is>
          <t>⏳</t>
        </is>
      </c>
      <c r="C15" s="26" t="inlineStr">
        <is>
          <t>Impulse List: want to buy something? Park it here for 48 hours first.</t>
        </is>
      </c>
      <c r="D15" s="1" t="n"/>
    </row>
    <row r="16">
      <c r="A16" s="1" t="n"/>
      <c r="B16" s="1" t="n"/>
      <c r="C16" s="1" t="n"/>
      <c r="D16" s="1" t="n"/>
    </row>
    <row r="17" ht="26" customHeight="1">
      <c r="A17" s="1" t="n"/>
      <c r="B17" s="25" t="inlineStr">
        <is>
          <t>🎯</t>
        </is>
      </c>
      <c r="C17" s="26" t="inlineStr">
        <is>
          <t>Goals: watch your savings bars fill up.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3" t="inlineStr">
        <is>
          <t>Tip: the example lines in Log, Bills and Goals are there to show how it works. Delete them and add yours.</t>
        </is>
      </c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3" t="inlineStr">
        <is>
          <t>Works in Google Sheets (File → Import, or open the file in Drive) and in Microsoft Excel.</t>
        </is>
      </c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5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Monthly budget</t>
        </is>
      </c>
      <c r="C2" s="1" t="n"/>
      <c r="D2" s="1" t="n"/>
      <c r="E2" s="1" t="n"/>
      <c r="F2" s="1" t="n"/>
    </row>
    <row r="3">
      <c r="A3" s="1" t="n"/>
      <c r="B3" s="3" t="inlineStr">
        <is>
          <t>How much you plan to spend per category, every month.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22" customHeight="1">
      <c r="A5" s="1" t="n"/>
      <c r="B5" s="15" t="inlineStr">
        <is>
          <t>Category</t>
        </is>
      </c>
      <c r="C5" s="15" t="inlineStr">
        <is>
          <t>Monthly budget</t>
        </is>
      </c>
      <c r="D5" s="1" t="n"/>
      <c r="E5" s="1" t="n"/>
      <c r="F5" s="1" t="n"/>
    </row>
    <row r="6">
      <c r="A6" s="1" t="n"/>
      <c r="B6" s="27" t="inlineStr">
        <is>
          <t>Rent / Housing</t>
        </is>
      </c>
      <c r="C6" s="28" t="n">
        <v>900</v>
      </c>
      <c r="D6" s="1" t="n"/>
      <c r="E6" s="13" t="inlineStr">
        <is>
          <t>Rename or add categories here: the Log dropdown and the Dashboard follow.</t>
        </is>
      </c>
      <c r="F6" s="1" t="n"/>
    </row>
    <row r="7">
      <c r="A7" s="1" t="n"/>
      <c r="B7" s="27" t="inlineStr">
        <is>
          <t>Groceries</t>
        </is>
      </c>
      <c r="C7" s="28" t="n">
        <v>350</v>
      </c>
      <c r="D7" s="1" t="n"/>
      <c r="E7" s="4" t="inlineStr">
        <is>
          <t>Monthly savings you want to set aside:</t>
        </is>
      </c>
      <c r="F7" s="1" t="n"/>
    </row>
    <row r="8">
      <c r="A8" s="1" t="n"/>
      <c r="B8" s="27" t="inlineStr">
        <is>
          <t>Eating out</t>
        </is>
      </c>
      <c r="C8" s="28" t="n">
        <v>120</v>
      </c>
      <c r="D8" s="1" t="n"/>
      <c r="E8" s="28" t="n">
        <v>150</v>
      </c>
      <c r="F8" s="1" t="n"/>
    </row>
    <row r="9">
      <c r="A9" s="1" t="n"/>
      <c r="B9" s="27" t="inlineStr">
        <is>
          <t>Transport</t>
        </is>
      </c>
      <c r="C9" s="28" t="n">
        <v>110</v>
      </c>
      <c r="D9" s="1" t="n"/>
      <c r="E9" s="1" t="n"/>
      <c r="F9" s="1" t="n"/>
    </row>
    <row r="10">
      <c r="A10" s="1" t="n"/>
      <c r="B10" s="27" t="inlineStr">
        <is>
          <t>Subscriptions</t>
        </is>
      </c>
      <c r="C10" s="28" t="n">
        <v>45</v>
      </c>
      <c r="D10" s="1" t="n"/>
      <c r="E10" s="1" t="n"/>
      <c r="F10" s="1" t="n"/>
    </row>
    <row r="11">
      <c r="A11" s="1" t="n"/>
      <c r="B11" s="27" t="inlineStr">
        <is>
          <t>Health</t>
        </is>
      </c>
      <c r="C11" s="28" t="n">
        <v>60</v>
      </c>
      <c r="D11" s="1" t="n"/>
      <c r="E11" s="1" t="n"/>
      <c r="F11" s="1" t="n"/>
    </row>
    <row r="12">
      <c r="A12" s="1" t="n"/>
      <c r="B12" s="27" t="inlineStr">
        <is>
          <t>Fun</t>
        </is>
      </c>
      <c r="C12" s="28" t="n">
        <v>90</v>
      </c>
      <c r="D12" s="1" t="n"/>
      <c r="E12" s="1" t="n"/>
      <c r="F12" s="1" t="n"/>
    </row>
    <row r="13">
      <c r="A13" s="1" t="n"/>
      <c r="B13" s="27" t="inlineStr">
        <is>
          <t>Shopping</t>
        </is>
      </c>
      <c r="C13" s="28" t="n">
        <v>80</v>
      </c>
      <c r="D13" s="1" t="n"/>
      <c r="E13" s="1" t="n"/>
      <c r="F13" s="1" t="n"/>
    </row>
    <row r="14">
      <c r="A14" s="1" t="n"/>
      <c r="B14" s="27" t="inlineStr">
        <is>
          <t>Other</t>
        </is>
      </c>
      <c r="C14" s="28" t="n">
        <v>60</v>
      </c>
      <c r="D14" s="1" t="n"/>
      <c r="E14" s="1" t="n"/>
      <c r="F14" s="1" t="n"/>
    </row>
    <row r="15">
      <c r="A15" s="1" t="n"/>
      <c r="B15" s="4" t="inlineStr">
        <is>
          <t>Total</t>
        </is>
      </c>
      <c r="C15" s="19">
        <f>SUM(C6:C14)</f>
        <v/>
      </c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11" customWidth="1" min="4" max="4"/>
    <col width="22" customWidth="1" min="5" max="5"/>
    <col width="3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Log: one line per money moment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Date · Amount · Type · Category · Note. That's it.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15" t="inlineStr">
        <is>
          <t>Date</t>
        </is>
      </c>
      <c r="C5" s="15" t="inlineStr">
        <is>
          <t>Amount</t>
        </is>
      </c>
      <c r="D5" s="15" t="inlineStr">
        <is>
          <t>Type</t>
        </is>
      </c>
      <c r="E5" s="15" t="inlineStr">
        <is>
          <t>Category</t>
        </is>
      </c>
      <c r="F5" s="15" t="inlineStr">
        <is>
          <t>Note</t>
        </is>
      </c>
      <c r="G5" s="1" t="n"/>
    </row>
    <row r="6">
      <c r="A6" s="1" t="n"/>
      <c r="B6" s="29" t="n">
        <v>46266</v>
      </c>
      <c r="C6" s="28" t="n">
        <v>2100</v>
      </c>
      <c r="D6" s="27" t="inlineStr">
        <is>
          <t>Income</t>
        </is>
      </c>
      <c r="E6" s="27" t="inlineStr"/>
      <c r="F6" s="27" t="inlineStr">
        <is>
          <t>Salary</t>
        </is>
      </c>
      <c r="G6" s="1" t="n"/>
    </row>
    <row r="7">
      <c r="A7" s="1" t="n"/>
      <c r="B7" s="29" t="n">
        <v>46266</v>
      </c>
      <c r="C7" s="28" t="n">
        <v>900</v>
      </c>
      <c r="D7" s="27" t="inlineStr">
        <is>
          <t>Expense</t>
        </is>
      </c>
      <c r="E7" s="27" t="inlineStr">
        <is>
          <t>Rent / Housing</t>
        </is>
      </c>
      <c r="F7" s="27" t="inlineStr">
        <is>
          <t>Rent</t>
        </is>
      </c>
      <c r="G7" s="1" t="n"/>
    </row>
    <row r="8">
      <c r="A8" s="1" t="n"/>
      <c r="B8" s="29" t="n">
        <v>46267</v>
      </c>
      <c r="C8" s="28" t="n">
        <v>64.3</v>
      </c>
      <c r="D8" s="27" t="inlineStr">
        <is>
          <t>Expense</t>
        </is>
      </c>
      <c r="E8" s="27" t="inlineStr">
        <is>
          <t>Groceries</t>
        </is>
      </c>
      <c r="F8" s="27" t="inlineStr">
        <is>
          <t>Supermarket</t>
        </is>
      </c>
      <c r="G8" s="1" t="n"/>
    </row>
    <row r="9">
      <c r="A9" s="1" t="n"/>
      <c r="B9" s="29" t="n">
        <v>46268</v>
      </c>
      <c r="C9" s="28" t="n">
        <v>12.5</v>
      </c>
      <c r="D9" s="27" t="inlineStr">
        <is>
          <t>Expense</t>
        </is>
      </c>
      <c r="E9" s="27" t="inlineStr">
        <is>
          <t>Eating out</t>
        </is>
      </c>
      <c r="F9" s="27" t="inlineStr">
        <is>
          <t>Lunch</t>
        </is>
      </c>
      <c r="G9" s="1" t="n"/>
    </row>
    <row r="10">
      <c r="A10" s="1" t="n"/>
      <c r="B10" s="29" t="n">
        <v>46269</v>
      </c>
      <c r="C10" s="28" t="n">
        <v>9.99</v>
      </c>
      <c r="D10" s="27" t="inlineStr">
        <is>
          <t>Expense</t>
        </is>
      </c>
      <c r="E10" s="27" t="inlineStr">
        <is>
          <t>Subscriptions</t>
        </is>
      </c>
      <c r="F10" s="27" t="inlineStr">
        <is>
          <t>Music</t>
        </is>
      </c>
      <c r="G10" s="1" t="n"/>
    </row>
    <row r="11">
      <c r="A11" s="1" t="n"/>
      <c r="B11" s="29" t="n">
        <v>46270</v>
      </c>
      <c r="C11" s="28" t="n">
        <v>38</v>
      </c>
      <c r="D11" s="27" t="inlineStr">
        <is>
          <t>Expense</t>
        </is>
      </c>
      <c r="E11" s="27" t="inlineStr">
        <is>
          <t>Transport</t>
        </is>
      </c>
      <c r="F11" s="27" t="inlineStr">
        <is>
          <t>Monthly pass</t>
        </is>
      </c>
      <c r="G11" s="1" t="n"/>
    </row>
    <row r="12">
      <c r="A12" s="1" t="n"/>
      <c r="B12" s="29" t="n">
        <v>46271</v>
      </c>
      <c r="C12" s="28" t="n">
        <v>23.9</v>
      </c>
      <c r="D12" s="27" t="inlineStr">
        <is>
          <t>Expense</t>
        </is>
      </c>
      <c r="E12" s="27" t="inlineStr">
        <is>
          <t>Fun</t>
        </is>
      </c>
      <c r="F12" s="27" t="inlineStr">
        <is>
          <t>Cinema + snacks</t>
        </is>
      </c>
      <c r="G12" s="1" t="n"/>
    </row>
    <row r="13">
      <c r="A13" s="1" t="n"/>
      <c r="B13" s="29" t="n">
        <v>46273</v>
      </c>
      <c r="C13" s="28" t="n">
        <v>71.2</v>
      </c>
      <c r="D13" s="27" t="inlineStr">
        <is>
          <t>Expense</t>
        </is>
      </c>
      <c r="E13" s="27" t="inlineStr">
        <is>
          <t>Groceries</t>
        </is>
      </c>
      <c r="F13" s="27" t="inlineStr">
        <is>
          <t>Weekly shop</t>
        </is>
      </c>
      <c r="G13" s="1" t="n"/>
    </row>
    <row r="14">
      <c r="A14" s="1" t="n"/>
      <c r="B14" s="29" t="n">
        <v>46274</v>
      </c>
      <c r="C14" s="28" t="n">
        <v>18</v>
      </c>
      <c r="D14" s="27" t="inlineStr">
        <is>
          <t>Expense</t>
        </is>
      </c>
      <c r="E14" s="27" t="inlineStr">
        <is>
          <t>Eating out</t>
        </is>
      </c>
      <c r="F14" s="27" t="inlineStr">
        <is>
          <t>Pizza</t>
        </is>
      </c>
      <c r="G14" s="1" t="n"/>
    </row>
    <row r="15">
      <c r="A15" s="1" t="n"/>
      <c r="B15" s="29" t="n">
        <v>46275</v>
      </c>
      <c r="C15" s="28" t="n">
        <v>45</v>
      </c>
      <c r="D15" s="27" t="inlineStr">
        <is>
          <t>Expense</t>
        </is>
      </c>
      <c r="E15" s="27" t="inlineStr">
        <is>
          <t>Shopping</t>
        </is>
      </c>
      <c r="F15" s="27" t="inlineStr">
        <is>
          <t>Shoes (was on the Impulse List!)</t>
        </is>
      </c>
      <c r="G15" s="1" t="n"/>
    </row>
    <row r="16">
      <c r="A16" s="1" t="n"/>
      <c r="B16" s="29" t="n">
        <v>46277</v>
      </c>
      <c r="C16" s="28" t="n">
        <v>15.49</v>
      </c>
      <c r="D16" s="27" t="inlineStr">
        <is>
          <t>Expense</t>
        </is>
      </c>
      <c r="E16" s="27" t="inlineStr">
        <is>
          <t>Subscriptions</t>
        </is>
      </c>
      <c r="F16" s="27" t="inlineStr">
        <is>
          <t>Streaming</t>
        </is>
      </c>
      <c r="G16" s="1" t="n"/>
    </row>
    <row r="17">
      <c r="A17" s="1" t="n"/>
      <c r="B17" s="29" t="n">
        <v>46278</v>
      </c>
      <c r="C17" s="28" t="n">
        <v>30</v>
      </c>
      <c r="D17" s="27" t="inlineStr">
        <is>
          <t>Expense</t>
        </is>
      </c>
      <c r="E17" s="27" t="inlineStr">
        <is>
          <t>Health</t>
        </is>
      </c>
      <c r="F17" s="27" t="inlineStr">
        <is>
          <t>Pharmacy</t>
        </is>
      </c>
      <c r="G17" s="1" t="n"/>
    </row>
    <row r="18">
      <c r="A18" s="1" t="n"/>
      <c r="B18" s="29" t="n"/>
      <c r="C18" s="28" t="n"/>
      <c r="D18" s="27" t="n"/>
      <c r="E18" s="27" t="n"/>
      <c r="F18" s="27" t="n"/>
      <c r="G18" s="1" t="n"/>
    </row>
    <row r="19">
      <c r="A19" s="1" t="n"/>
      <c r="B19" s="29" t="n"/>
      <c r="C19" s="28" t="n"/>
      <c r="D19" s="27" t="n"/>
      <c r="E19" s="27" t="n"/>
      <c r="F19" s="27" t="n"/>
      <c r="G19" s="1" t="n"/>
    </row>
    <row r="20">
      <c r="A20" s="1" t="n"/>
      <c r="B20" s="29" t="n"/>
      <c r="C20" s="28" t="n"/>
      <c r="D20" s="27" t="n"/>
      <c r="E20" s="27" t="n"/>
      <c r="F20" s="27" t="n"/>
      <c r="G20" s="1" t="n"/>
    </row>
    <row r="21">
      <c r="A21" s="1" t="n"/>
      <c r="B21" s="29" t="n"/>
      <c r="C21" s="28" t="n"/>
      <c r="D21" s="27" t="n"/>
      <c r="E21" s="27" t="n"/>
      <c r="F21" s="27" t="n"/>
      <c r="G21" s="1" t="n"/>
    </row>
    <row r="22">
      <c r="A22" s="1" t="n"/>
      <c r="B22" s="29" t="n"/>
      <c r="C22" s="28" t="n"/>
      <c r="D22" s="27" t="n"/>
      <c r="E22" s="27" t="n"/>
      <c r="F22" s="27" t="n"/>
      <c r="G22" s="1" t="n"/>
    </row>
    <row r="23">
      <c r="A23" s="1" t="n"/>
      <c r="B23" s="29" t="n"/>
      <c r="C23" s="28" t="n"/>
      <c r="D23" s="27" t="n"/>
      <c r="E23" s="27" t="n"/>
      <c r="F23" s="27" t="n"/>
      <c r="G23" s="1" t="n"/>
    </row>
    <row r="24">
      <c r="A24" s="1" t="n"/>
      <c r="B24" s="29" t="n"/>
      <c r="C24" s="28" t="n"/>
      <c r="D24" s="27" t="n"/>
      <c r="E24" s="27" t="n"/>
      <c r="F24" s="27" t="n"/>
      <c r="G24" s="1" t="n"/>
    </row>
    <row r="25">
      <c r="A25" s="1" t="n"/>
      <c r="B25" s="29" t="n"/>
      <c r="C25" s="28" t="n"/>
      <c r="D25" s="27" t="n"/>
      <c r="E25" s="27" t="n"/>
      <c r="F25" s="27" t="n"/>
      <c r="G25" s="1" t="n"/>
    </row>
    <row r="26">
      <c r="A26" s="1" t="n"/>
      <c r="B26" s="29" t="n"/>
      <c r="C26" s="28" t="n"/>
      <c r="D26" s="27" t="n"/>
      <c r="E26" s="27" t="n"/>
      <c r="F26" s="27" t="n"/>
      <c r="G26" s="1" t="n"/>
    </row>
    <row r="27">
      <c r="A27" s="1" t="n"/>
      <c r="B27" s="29" t="n"/>
      <c r="C27" s="28" t="n"/>
      <c r="D27" s="27" t="n"/>
      <c r="E27" s="27" t="n"/>
      <c r="F27" s="27" t="n"/>
      <c r="G27" s="1" t="n"/>
    </row>
    <row r="28">
      <c r="A28" s="1" t="n"/>
      <c r="B28" s="29" t="n"/>
      <c r="C28" s="28" t="n"/>
      <c r="D28" s="27" t="n"/>
      <c r="E28" s="27" t="n"/>
      <c r="F28" s="27" t="n"/>
      <c r="G28" s="1" t="n"/>
    </row>
    <row r="29">
      <c r="A29" s="1" t="n"/>
      <c r="B29" s="29" t="n"/>
      <c r="C29" s="28" t="n"/>
      <c r="D29" s="27" t="n"/>
      <c r="E29" s="27" t="n"/>
      <c r="F29" s="27" t="n"/>
      <c r="G29" s="1" t="n"/>
    </row>
    <row r="30">
      <c r="A30" s="1" t="n"/>
      <c r="B30" s="29" t="n"/>
      <c r="C30" s="28" t="n"/>
      <c r="D30" s="27" t="n"/>
      <c r="E30" s="27" t="n"/>
      <c r="F30" s="27" t="n"/>
      <c r="G30" s="1" t="n"/>
    </row>
    <row r="31">
      <c r="A31" s="1" t="n"/>
      <c r="B31" s="29" t="n"/>
      <c r="C31" s="28" t="n"/>
      <c r="D31" s="27" t="n"/>
      <c r="E31" s="27" t="n"/>
      <c r="F31" s="27" t="n"/>
      <c r="G31" s="1" t="n"/>
    </row>
    <row r="32">
      <c r="A32" s="1" t="n"/>
      <c r="B32" s="29" t="n"/>
      <c r="C32" s="28" t="n"/>
      <c r="D32" s="27" t="n"/>
      <c r="E32" s="27" t="n"/>
      <c r="F32" s="27" t="n"/>
      <c r="G32" s="1" t="n"/>
    </row>
    <row r="33">
      <c r="A33" s="1" t="n"/>
      <c r="B33" s="29" t="n"/>
      <c r="C33" s="28" t="n"/>
      <c r="D33" s="27" t="n"/>
      <c r="E33" s="27" t="n"/>
      <c r="F33" s="27" t="n"/>
      <c r="G33" s="1" t="n"/>
    </row>
    <row r="34">
      <c r="A34" s="1" t="n"/>
      <c r="B34" s="29" t="n"/>
      <c r="C34" s="28" t="n"/>
      <c r="D34" s="27" t="n"/>
      <c r="E34" s="27" t="n"/>
      <c r="F34" s="27" t="n"/>
      <c r="G34" s="1" t="n"/>
    </row>
    <row r="35">
      <c r="A35" s="1" t="n"/>
      <c r="B35" s="29" t="n"/>
      <c r="C35" s="28" t="n"/>
      <c r="D35" s="27" t="n"/>
      <c r="E35" s="27" t="n"/>
      <c r="F35" s="27" t="n"/>
      <c r="G35" s="1" t="n"/>
    </row>
    <row r="36">
      <c r="A36" s="1" t="n"/>
      <c r="B36" s="29" t="n"/>
      <c r="C36" s="28" t="n"/>
      <c r="D36" s="27" t="n"/>
      <c r="E36" s="27" t="n"/>
      <c r="F36" s="27" t="n"/>
      <c r="G36" s="1" t="n"/>
    </row>
    <row r="37">
      <c r="A37" s="1" t="n"/>
      <c r="B37" s="29" t="n"/>
      <c r="C37" s="28" t="n"/>
      <c r="D37" s="27" t="n"/>
      <c r="E37" s="27" t="n"/>
      <c r="F37" s="27" t="n"/>
      <c r="G37" s="1" t="n"/>
    </row>
    <row r="38">
      <c r="A38" s="1" t="n"/>
      <c r="B38" s="29" t="n"/>
      <c r="C38" s="28" t="n"/>
      <c r="D38" s="27" t="n"/>
      <c r="E38" s="27" t="n"/>
      <c r="F38" s="27" t="n"/>
      <c r="G38" s="1" t="n"/>
    </row>
    <row r="39">
      <c r="A39" s="1" t="n"/>
      <c r="B39" s="29" t="n"/>
      <c r="C39" s="28" t="n"/>
      <c r="D39" s="27" t="n"/>
      <c r="E39" s="27" t="n"/>
      <c r="F39" s="27" t="n"/>
      <c r="G39" s="1" t="n"/>
    </row>
    <row r="40">
      <c r="A40" s="1" t="n"/>
      <c r="B40" s="29" t="n"/>
      <c r="C40" s="28" t="n"/>
      <c r="D40" s="27" t="n"/>
      <c r="E40" s="27" t="n"/>
      <c r="F40" s="27" t="n"/>
      <c r="G40" s="1" t="n"/>
    </row>
    <row r="41">
      <c r="A41" s="1" t="n"/>
      <c r="B41" s="29" t="n"/>
      <c r="C41" s="28" t="n"/>
      <c r="D41" s="27" t="n"/>
      <c r="E41" s="27" t="n"/>
      <c r="F41" s="27" t="n"/>
      <c r="G41" s="1" t="n"/>
    </row>
    <row r="42">
      <c r="A42" s="1" t="n"/>
      <c r="B42" s="29" t="n"/>
      <c r="C42" s="28" t="n"/>
      <c r="D42" s="27" t="n"/>
      <c r="E42" s="27" t="n"/>
      <c r="F42" s="27" t="n"/>
      <c r="G42" s="1" t="n"/>
    </row>
    <row r="43">
      <c r="A43" s="1" t="n"/>
      <c r="B43" s="29" t="n"/>
      <c r="C43" s="28" t="n"/>
      <c r="D43" s="27" t="n"/>
      <c r="E43" s="27" t="n"/>
      <c r="F43" s="27" t="n"/>
      <c r="G43" s="1" t="n"/>
    </row>
    <row r="44">
      <c r="A44" s="1" t="n"/>
      <c r="B44" s="29" t="n"/>
      <c r="C44" s="28" t="n"/>
      <c r="D44" s="27" t="n"/>
      <c r="E44" s="27" t="n"/>
      <c r="F44" s="27" t="n"/>
      <c r="G44" s="1" t="n"/>
    </row>
    <row r="45">
      <c r="A45" s="1" t="n"/>
      <c r="B45" s="29" t="n"/>
      <c r="C45" s="28" t="n"/>
      <c r="D45" s="27" t="n"/>
      <c r="E45" s="27" t="n"/>
      <c r="F45" s="27" t="n"/>
      <c r="G45" s="1" t="n"/>
    </row>
    <row r="46">
      <c r="A46" s="1" t="n"/>
      <c r="B46" s="29" t="n"/>
      <c r="C46" s="28" t="n"/>
      <c r="D46" s="27" t="n"/>
      <c r="E46" s="27" t="n"/>
      <c r="F46" s="27" t="n"/>
      <c r="G46" s="1" t="n"/>
    </row>
    <row r="47">
      <c r="A47" s="1" t="n"/>
      <c r="B47" s="29" t="n"/>
      <c r="C47" s="28" t="n"/>
      <c r="D47" s="27" t="n"/>
      <c r="E47" s="27" t="n"/>
      <c r="F47" s="27" t="n"/>
      <c r="G47" s="1" t="n"/>
    </row>
    <row r="48">
      <c r="A48" s="1" t="n"/>
      <c r="B48" s="29" t="n"/>
      <c r="C48" s="28" t="n"/>
      <c r="D48" s="27" t="n"/>
      <c r="E48" s="27" t="n"/>
      <c r="F48" s="27" t="n"/>
      <c r="G48" s="1" t="n"/>
    </row>
    <row r="49">
      <c r="A49" s="1" t="n"/>
      <c r="B49" s="29" t="n"/>
      <c r="C49" s="28" t="n"/>
      <c r="D49" s="27" t="n"/>
      <c r="E49" s="27" t="n"/>
      <c r="F49" s="27" t="n"/>
      <c r="G49" s="1" t="n"/>
    </row>
    <row r="50">
      <c r="A50" s="1" t="n"/>
      <c r="B50" s="29" t="n"/>
      <c r="C50" s="28" t="n"/>
      <c r="D50" s="27" t="n"/>
      <c r="E50" s="27" t="n"/>
      <c r="F50" s="27" t="n"/>
      <c r="G50" s="1" t="n"/>
    </row>
    <row r="51">
      <c r="A51" s="1" t="n"/>
      <c r="B51" s="29" t="n"/>
      <c r="C51" s="28" t="n"/>
      <c r="D51" s="27" t="n"/>
      <c r="E51" s="27" t="n"/>
      <c r="F51" s="27" t="n"/>
      <c r="G51" s="1" t="n"/>
    </row>
    <row r="52">
      <c r="A52" s="1" t="n"/>
      <c r="B52" s="29" t="n"/>
      <c r="C52" s="28" t="n"/>
      <c r="D52" s="27" t="n"/>
      <c r="E52" s="27" t="n"/>
      <c r="F52" s="27" t="n"/>
      <c r="G52" s="1" t="n"/>
    </row>
    <row r="53">
      <c r="A53" s="1" t="n"/>
      <c r="B53" s="29" t="n"/>
      <c r="C53" s="28" t="n"/>
      <c r="D53" s="27" t="n"/>
      <c r="E53" s="27" t="n"/>
      <c r="F53" s="27" t="n"/>
      <c r="G53" s="1" t="n"/>
    </row>
    <row r="54">
      <c r="A54" s="1" t="n"/>
      <c r="B54" s="29" t="n"/>
      <c r="C54" s="28" t="n"/>
      <c r="D54" s="27" t="n"/>
      <c r="E54" s="27" t="n"/>
      <c r="F54" s="27" t="n"/>
      <c r="G54" s="1" t="n"/>
    </row>
    <row r="55">
      <c r="A55" s="1" t="n"/>
      <c r="B55" s="29" t="n"/>
      <c r="C55" s="28" t="n"/>
      <c r="D55" s="27" t="n"/>
      <c r="E55" s="27" t="n"/>
      <c r="F55" s="27" t="n"/>
      <c r="G55" s="1" t="n"/>
    </row>
    <row r="56">
      <c r="A56" s="1" t="n"/>
      <c r="B56" s="29" t="n"/>
      <c r="C56" s="28" t="n"/>
      <c r="D56" s="27" t="n"/>
      <c r="E56" s="27" t="n"/>
      <c r="F56" s="27" t="n"/>
      <c r="G56" s="1" t="n"/>
    </row>
    <row r="57">
      <c r="A57" s="1" t="n"/>
      <c r="B57" s="29" t="n"/>
      <c r="C57" s="28" t="n"/>
      <c r="D57" s="27" t="n"/>
      <c r="E57" s="27" t="n"/>
      <c r="F57" s="27" t="n"/>
      <c r="G57" s="1" t="n"/>
    </row>
    <row r="58">
      <c r="A58" s="1" t="n"/>
      <c r="B58" s="29" t="n"/>
      <c r="C58" s="28" t="n"/>
      <c r="D58" s="27" t="n"/>
      <c r="E58" s="27" t="n"/>
      <c r="F58" s="27" t="n"/>
      <c r="G58" s="1" t="n"/>
    </row>
    <row r="59">
      <c r="A59" s="1" t="n"/>
      <c r="B59" s="29" t="n"/>
      <c r="C59" s="28" t="n"/>
      <c r="D59" s="27" t="n"/>
      <c r="E59" s="27" t="n"/>
      <c r="F59" s="27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dataValidations count="2">
    <dataValidation sqref="D6:D1000" showDropDown="0" showInputMessage="0" showErrorMessage="0" allowBlank="1" type="list">
      <formula1>"Expense,Income"</formula1>
    </dataValidation>
    <dataValidation sqref="E6:E1000" showDropDown="0" showInputMessage="0" showErrorMessage="0" allowBlank="1" type="list">
      <formula1>=Budget!$B$6:$B$14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1" customWidth="1" min="4" max="4"/>
    <col width="10" customWidth="1" min="5" max="5"/>
    <col width="26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Bills: list them once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Tick 'Paid' each month. Colours warn you before the due date.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15" t="inlineStr">
        <is>
          <t>Bill</t>
        </is>
      </c>
      <c r="C5" s="15" t="inlineStr">
        <is>
          <t>Amount</t>
        </is>
      </c>
      <c r="D5" s="15" t="inlineStr">
        <is>
          <t>Due day</t>
        </is>
      </c>
      <c r="E5" s="15" t="inlineStr">
        <is>
          <t>Paid?</t>
        </is>
      </c>
      <c r="F5" s="15" t="inlineStr">
        <is>
          <t>Status</t>
        </is>
      </c>
      <c r="G5" s="1" t="n"/>
    </row>
    <row r="6">
      <c r="A6" s="1" t="n"/>
      <c r="B6" s="27" t="inlineStr">
        <is>
          <t>Rent</t>
        </is>
      </c>
      <c r="C6" s="28" t="n">
        <v>900</v>
      </c>
      <c r="D6" s="30" t="n">
        <v>1</v>
      </c>
      <c r="E6" s="31" t="b">
        <v>1</v>
      </c>
      <c r="F6" s="32">
        <f>IF(B6="","",IF(E6=TRUE,"✓ Paid",IF(D6&lt;DAY(TODAY()),"⚠ OVERDUE",IF(D6-DAY(TODAY())&lt;=3,"Due in "&amp;(D6-DAY(TODAY()))&amp;" day(s)","Due on the "&amp;D6))))</f>
        <v/>
      </c>
      <c r="G6" s="1" t="n"/>
    </row>
    <row r="7">
      <c r="A7" s="1" t="n"/>
      <c r="B7" s="27" t="inlineStr">
        <is>
          <t>Phone</t>
        </is>
      </c>
      <c r="C7" s="28" t="n">
        <v>19.99</v>
      </c>
      <c r="D7" s="30" t="n">
        <v>29</v>
      </c>
      <c r="E7" s="31" t="b">
        <v>0</v>
      </c>
      <c r="F7" s="32">
        <f>IF(B7="","",IF(E7=TRUE,"✓ Paid",IF(D7&lt;DAY(TODAY()),"⚠ OVERDUE",IF(D7-DAY(TODAY())&lt;=3,"Due in "&amp;(D7-DAY(TODAY()))&amp;" day(s)","Due on the "&amp;D7))))</f>
        <v/>
      </c>
      <c r="G7" s="1" t="n"/>
    </row>
    <row r="8">
      <c r="A8" s="1" t="n"/>
      <c r="B8" s="27" t="inlineStr">
        <is>
          <t>Internet</t>
        </is>
      </c>
      <c r="C8" s="28" t="n">
        <v>29.99</v>
      </c>
      <c r="D8" s="30" t="n">
        <v>15</v>
      </c>
      <c r="E8" s="31" t="b">
        <v>1</v>
      </c>
      <c r="F8" s="32">
        <f>IF(B8="","",IF(E8=TRUE,"✓ Paid",IF(D8&lt;DAY(TODAY()),"⚠ OVERDUE",IF(D8-DAY(TODAY())&lt;=3,"Due in "&amp;(D8-DAY(TODAY()))&amp;" day(s)","Due on the "&amp;D8))))</f>
        <v/>
      </c>
      <c r="G8" s="1" t="n"/>
    </row>
    <row r="9">
      <c r="A9" s="1" t="n"/>
      <c r="B9" s="27" t="inlineStr">
        <is>
          <t>Electricity</t>
        </is>
      </c>
      <c r="C9" s="28" t="n">
        <v>54</v>
      </c>
      <c r="D9" s="30" t="n">
        <v>30</v>
      </c>
      <c r="E9" s="31" t="b">
        <v>0</v>
      </c>
      <c r="F9" s="32">
        <f>IF(B9="","",IF(E9=TRUE,"✓ Paid",IF(D9&lt;DAY(TODAY()),"⚠ OVERDUE",IF(D9-DAY(TODAY())&lt;=3,"Due in "&amp;(D9-DAY(TODAY()))&amp;" day(s)","Due on the "&amp;D9))))</f>
        <v/>
      </c>
      <c r="G9" s="1" t="n"/>
    </row>
    <row r="10">
      <c r="A10" s="1" t="n"/>
      <c r="B10" s="27" t="inlineStr">
        <is>
          <t>Gym</t>
        </is>
      </c>
      <c r="C10" s="28" t="n">
        <v>24.9</v>
      </c>
      <c r="D10" s="30" t="n">
        <v>24</v>
      </c>
      <c r="E10" s="31" t="b">
        <v>0</v>
      </c>
      <c r="F10" s="32">
        <f>IF(B10="","",IF(E10=TRUE,"✓ Paid",IF(D10&lt;DAY(TODAY()),"⚠ OVERDUE",IF(D10-DAY(TODAY())&lt;=3,"Due in "&amp;(D10-DAY(TODAY()))&amp;" day(s)","Due on the "&amp;D10))))</f>
        <v/>
      </c>
      <c r="G10" s="1" t="n"/>
    </row>
    <row r="11">
      <c r="A11" s="1" t="n"/>
      <c r="B11" s="27" t="inlineStr">
        <is>
          <t>Insurance</t>
        </is>
      </c>
      <c r="C11" s="28" t="n">
        <v>32.5</v>
      </c>
      <c r="D11" s="30" t="n">
        <v>5</v>
      </c>
      <c r="E11" s="31" t="b">
        <v>1</v>
      </c>
      <c r="F11" s="32">
        <f>IF(B11="","",IF(E11=TRUE,"✓ Paid",IF(D11&lt;DAY(TODAY()),"⚠ OVERDUE",IF(D11-DAY(TODAY())&lt;=3,"Due in "&amp;(D11-DAY(TODAY()))&amp;" day(s)","Due on the "&amp;D11))))</f>
        <v/>
      </c>
      <c r="G11" s="1" t="n"/>
    </row>
    <row r="12">
      <c r="A12" s="1" t="n"/>
      <c r="B12" s="27" t="n"/>
      <c r="C12" s="28" t="n"/>
      <c r="D12" s="30" t="n"/>
      <c r="E12" s="31" t="n"/>
      <c r="F12" s="32">
        <f>IF(B12="","",IF(E12=TRUE,"✓ Paid",IF(D12&lt;DAY(TODAY()),"⚠ OVERDUE",IF(D12-DAY(TODAY())&lt;=3,"Due in "&amp;(D12-DAY(TODAY()))&amp;" day(s)","Due on the "&amp;D12))))</f>
        <v/>
      </c>
      <c r="G12" s="1" t="n"/>
    </row>
    <row r="13">
      <c r="A13" s="1" t="n"/>
      <c r="B13" s="27" t="n"/>
      <c r="C13" s="28" t="n"/>
      <c r="D13" s="30" t="n"/>
      <c r="E13" s="31" t="n"/>
      <c r="F13" s="32">
        <f>IF(B13="","",IF(E13=TRUE,"✓ Paid",IF(D13&lt;DAY(TODAY()),"⚠ OVERDUE",IF(D13-DAY(TODAY())&lt;=3,"Due in "&amp;(D13-DAY(TODAY()))&amp;" day(s)","Due on the "&amp;D13))))</f>
        <v/>
      </c>
      <c r="G13" s="1" t="n"/>
    </row>
    <row r="14">
      <c r="A14" s="1" t="n"/>
      <c r="B14" s="27" t="n"/>
      <c r="C14" s="28" t="n"/>
      <c r="D14" s="30" t="n"/>
      <c r="E14" s="31" t="n"/>
      <c r="F14" s="32">
        <f>IF(B14="","",IF(E14=TRUE,"✓ Paid",IF(D14&lt;DAY(TODAY()),"⚠ OVERDUE",IF(D14-DAY(TODAY())&lt;=3,"Due in "&amp;(D14-DAY(TODAY()))&amp;" day(s)","Due on the "&amp;D14))))</f>
        <v/>
      </c>
      <c r="G14" s="1" t="n"/>
    </row>
    <row r="15">
      <c r="A15" s="1" t="n"/>
      <c r="B15" s="27" t="n"/>
      <c r="C15" s="28" t="n"/>
      <c r="D15" s="30" t="n"/>
      <c r="E15" s="31" t="n"/>
      <c r="F15" s="32">
        <f>IF(B15="","",IF(E15=TRUE,"✓ Paid",IF(D15&lt;DAY(TODAY()),"⚠ OVERDUE",IF(D15-DAY(TODAY())&lt;=3,"Due in "&amp;(D15-DAY(TODAY()))&amp;" day(s)","Due on the "&amp;D15))))</f>
        <v/>
      </c>
      <c r="G15" s="1" t="n"/>
    </row>
    <row r="16">
      <c r="A16" s="1" t="n"/>
      <c r="B16" s="27" t="n"/>
      <c r="C16" s="28" t="n"/>
      <c r="D16" s="30" t="n"/>
      <c r="E16" s="31" t="n"/>
      <c r="F16" s="32">
        <f>IF(B16="","",IF(E16=TRUE,"✓ Paid",IF(D16&lt;DAY(TODAY()),"⚠ OVERDUE",IF(D16-DAY(TODAY())&lt;=3,"Due in "&amp;(D16-DAY(TODAY()))&amp;" day(s)","Due on the "&amp;D16))))</f>
        <v/>
      </c>
      <c r="G16" s="1" t="n"/>
    </row>
    <row r="17">
      <c r="A17" s="1" t="n"/>
      <c r="B17" s="27" t="n"/>
      <c r="C17" s="28" t="n"/>
      <c r="D17" s="30" t="n"/>
      <c r="E17" s="31" t="n"/>
      <c r="F17" s="32">
        <f>IF(B17="","",IF(E17=TRUE,"✓ Paid",IF(D17&lt;DAY(TODAY()),"⚠ OVERDUE",IF(D17-DAY(TODAY())&lt;=3,"Due in "&amp;(D17-DAY(TODAY()))&amp;" day(s)","Due on the "&amp;D17))))</f>
        <v/>
      </c>
      <c r="G17" s="1" t="n"/>
    </row>
    <row r="18">
      <c r="A18" s="1" t="n"/>
      <c r="B18" s="27" t="n"/>
      <c r="C18" s="28" t="n"/>
      <c r="D18" s="30" t="n"/>
      <c r="E18" s="31" t="n"/>
      <c r="F18" s="32">
        <f>IF(B18="","",IF(E18=TRUE,"✓ Paid",IF(D18&lt;DAY(TODAY()),"⚠ OVERDUE",IF(D18-DAY(TODAY())&lt;=3,"Due in "&amp;(D18-DAY(TODAY()))&amp;" day(s)","Due on the "&amp;D18))))</f>
        <v/>
      </c>
      <c r="G18" s="1" t="n"/>
    </row>
    <row r="19">
      <c r="A19" s="1" t="n"/>
      <c r="B19" s="27" t="n"/>
      <c r="C19" s="28" t="n"/>
      <c r="D19" s="30" t="n"/>
      <c r="E19" s="31" t="n"/>
      <c r="F19" s="32">
        <f>IF(B19="","",IF(E19=TRUE,"✓ Paid",IF(D19&lt;DAY(TODAY()),"⚠ OVERDUE",IF(D19-DAY(TODAY())&lt;=3,"Due in "&amp;(D19-DAY(TODAY()))&amp;" day(s)","Due on the "&amp;D19))))</f>
        <v/>
      </c>
      <c r="G19" s="1" t="n"/>
    </row>
    <row r="20">
      <c r="A20" s="1" t="n"/>
      <c r="B20" s="27" t="n"/>
      <c r="C20" s="28" t="n"/>
      <c r="D20" s="30" t="n"/>
      <c r="E20" s="31" t="n"/>
      <c r="F20" s="32">
        <f>IF(B20="","",IF(E20=TRUE,"✓ Paid",IF(D20&lt;DAY(TODAY()),"⚠ OVERDUE",IF(D20-DAY(TODAY())&lt;=3,"Due in "&amp;(D20-DAY(TODAY()))&amp;" day(s)","Due on the "&amp;D20))))</f>
        <v/>
      </c>
      <c r="G20" s="1" t="n"/>
    </row>
    <row r="21">
      <c r="A21" s="1" t="n"/>
      <c r="B21" s="27" t="n"/>
      <c r="C21" s="28" t="n"/>
      <c r="D21" s="30" t="n"/>
      <c r="E21" s="31" t="n"/>
      <c r="F21" s="32">
        <f>IF(B21="","",IF(E21=TRUE,"✓ Paid",IF(D21&lt;DAY(TODAY()),"⚠ OVERDUE",IF(D21-DAY(TODAY())&lt;=3,"Due in "&amp;(D21-DAY(TODAY()))&amp;" day(s)","Due on the "&amp;D21))))</f>
        <v/>
      </c>
      <c r="G21" s="1" t="n"/>
    </row>
    <row r="22">
      <c r="A22" s="1" t="n"/>
      <c r="B22" s="27" t="n"/>
      <c r="C22" s="28" t="n"/>
      <c r="D22" s="30" t="n"/>
      <c r="E22" s="31" t="n"/>
      <c r="F22" s="32">
        <f>IF(B22="","",IF(E22=TRUE,"✓ Paid",IF(D22&lt;DAY(TODAY()),"⚠ OVERDUE",IF(D22-DAY(TODAY())&lt;=3,"Due in "&amp;(D22-DAY(TODAY()))&amp;" day(s)","Due on the "&amp;D22))))</f>
        <v/>
      </c>
      <c r="G22" s="1" t="n"/>
    </row>
    <row r="23">
      <c r="A23" s="1" t="n"/>
      <c r="B23" s="27" t="n"/>
      <c r="C23" s="28" t="n"/>
      <c r="D23" s="30" t="n"/>
      <c r="E23" s="31" t="n"/>
      <c r="F23" s="32">
        <f>IF(B23="","",IF(E23=TRUE,"✓ Paid",IF(D23&lt;DAY(TODAY()),"⚠ OVERDUE",IF(D23-DAY(TODAY())&lt;=3,"Due in "&amp;(D23-DAY(TODAY()))&amp;" day(s)","Due on the "&amp;D23))))</f>
        <v/>
      </c>
      <c r="G23" s="1" t="n"/>
    </row>
    <row r="24">
      <c r="A24" s="1" t="n"/>
      <c r="B24" s="27" t="n"/>
      <c r="C24" s="28" t="n"/>
      <c r="D24" s="30" t="n"/>
      <c r="E24" s="31" t="n"/>
      <c r="F24" s="32">
        <f>IF(B24="","",IF(E24=TRUE,"✓ Paid",IF(D24&lt;DAY(TODAY()),"⚠ OVERDUE",IF(D24-DAY(TODAY())&lt;=3,"Due in "&amp;(D24-DAY(TODAY()))&amp;" day(s)","Due on the "&amp;D24))))</f>
        <v/>
      </c>
      <c r="G24" s="1" t="n"/>
    </row>
    <row r="25">
      <c r="A25" s="1" t="n"/>
      <c r="B25" s="27" t="n"/>
      <c r="C25" s="28" t="n"/>
      <c r="D25" s="30" t="n"/>
      <c r="E25" s="31" t="n"/>
      <c r="F25" s="32">
        <f>IF(B25="","",IF(E25=TRUE,"✓ Paid",IF(D25&lt;DAY(TODAY()),"⚠ OVERDUE",IF(D25-DAY(TODAY())&lt;=3,"Due in "&amp;(D25-DAY(TODAY()))&amp;" day(s)","Due on the "&amp;D25))))</f>
        <v/>
      </c>
      <c r="G25" s="1" t="n"/>
    </row>
    <row r="26">
      <c r="A26" s="1" t="n"/>
      <c r="B26" s="27" t="n"/>
      <c r="C26" s="28" t="n"/>
      <c r="D26" s="30" t="n"/>
      <c r="E26" s="31" t="n"/>
      <c r="F26" s="32">
        <f>IF(B26="","",IF(E26=TRUE,"✓ Paid",IF(D26&lt;DAY(TODAY()),"⚠ OVERDUE",IF(D26-DAY(TODAY())&lt;=3,"Due in "&amp;(D26-DAY(TODAY()))&amp;" day(s)","Due on the "&amp;D26))))</f>
        <v/>
      </c>
      <c r="G26" s="1" t="n"/>
    </row>
    <row r="27">
      <c r="A27" s="1" t="n"/>
      <c r="B27" s="27" t="n"/>
      <c r="C27" s="28" t="n"/>
      <c r="D27" s="30" t="n"/>
      <c r="E27" s="31" t="n"/>
      <c r="F27" s="32">
        <f>IF(B27="","",IF(E27=TRUE,"✓ Paid",IF(D27&lt;DAY(TODAY()),"⚠ OVERDUE",IF(D27-DAY(TODAY())&lt;=3,"Due in "&amp;(D27-DAY(TODAY()))&amp;" day(s)","Due on the "&amp;D27))))</f>
        <v/>
      </c>
      <c r="G27" s="1" t="n"/>
    </row>
    <row r="28">
      <c r="A28" s="1" t="n"/>
      <c r="B28" s="27" t="n"/>
      <c r="C28" s="28" t="n"/>
      <c r="D28" s="30" t="n"/>
      <c r="E28" s="31" t="n"/>
      <c r="F28" s="32">
        <f>IF(B28="","",IF(E28=TRUE,"✓ Paid",IF(D28&lt;DAY(TODAY()),"⚠ OVERDUE",IF(D28-DAY(TODAY())&lt;=3,"Due in "&amp;(D28-DAY(TODAY()))&amp;" day(s)","Due on the "&amp;D28))))</f>
        <v/>
      </c>
      <c r="G28" s="1" t="n"/>
    </row>
    <row r="29">
      <c r="A29" s="1" t="n"/>
      <c r="B29" s="27" t="n"/>
      <c r="C29" s="28" t="n"/>
      <c r="D29" s="30" t="n"/>
      <c r="E29" s="31" t="n"/>
      <c r="F29" s="32">
        <f>IF(B29="","",IF(E29=TRUE,"✓ Paid",IF(D29&lt;DAY(TODAY()),"⚠ OVERDUE",IF(D29-DAY(TODAY())&lt;=3,"Due in "&amp;(D29-DAY(TODAY()))&amp;" day(s)","Due on the "&amp;D29))))</f>
        <v/>
      </c>
      <c r="G29" s="1" t="n"/>
    </row>
    <row r="30">
      <c r="A30" s="1" t="n"/>
      <c r="B30" s="27" t="n"/>
      <c r="C30" s="28" t="n"/>
      <c r="D30" s="30" t="n"/>
      <c r="E30" s="31" t="n"/>
      <c r="F30" s="32">
        <f>IF(B30="","",IF(E30=TRUE,"✓ Paid",IF(D30&lt;DAY(TODAY()),"⚠ OVERDUE",IF(D30-DAY(TODAY())&lt;=3,"Due in "&amp;(D30-DAY(TODAY()))&amp;" day(s)","Due on the "&amp;D30))))</f>
        <v/>
      </c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conditionalFormatting sqref="F6:F30">
    <cfRule type="expression" priority="1" dxfId="3">
      <formula>LEFT($F6,1)="✓"</formula>
    </cfRule>
    <cfRule type="expression" priority="2" dxfId="0">
      <formula>LEFT($F6,1)="⚠"</formula>
    </cfRule>
    <cfRule type="expression" priority="3" dxfId="4">
      <formula>AND(LEFT($F6,6)="Due in",($D6-DAY(TODAY()))&lt;=3)</formula>
    </cfRule>
  </conditionalFormatting>
  <dataValidations count="1">
    <dataValidation sqref="E6:E30" showDropDown="0" showInputMessage="0" showErrorMessage="0" allowBlank="0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4" customWidth="1" min="4" max="4"/>
    <col width="34" customWidth="1" min="5" max="5"/>
    <col width="14" customWidth="1" min="6" max="6"/>
    <col width="3" customWidth="1" min="7" max="7"/>
    <col width="2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Impulse List: the 48-hour rule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Want it? Park it here. If you still want it in 48 hours, go ahead.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15" t="inlineStr">
        <is>
          <t>Item</t>
        </is>
      </c>
      <c r="C5" s="15" t="inlineStr">
        <is>
          <t>Price</t>
        </is>
      </c>
      <c r="D5" s="15" t="inlineStr">
        <is>
          <t>Added on</t>
        </is>
      </c>
      <c r="E5" s="15" t="inlineStr">
        <is>
          <t>Verdict</t>
        </is>
      </c>
      <c r="F5" s="15" t="inlineStr">
        <is>
          <t>I decided</t>
        </is>
      </c>
      <c r="G5" s="1" t="n"/>
      <c r="H5" s="33" t="inlineStr">
        <is>
          <t>Money kept by skipping:</t>
        </is>
      </c>
    </row>
    <row r="6">
      <c r="A6" s="1" t="n"/>
      <c r="B6" s="27" t="inlineStr">
        <is>
          <t>Wireless earbuds</t>
        </is>
      </c>
      <c r="C6" s="28" t="n">
        <v>79</v>
      </c>
      <c r="D6" s="29" t="n">
        <v>46290</v>
      </c>
      <c r="E6" s="34">
        <f>IF(B6="","",IF(F6&lt;&gt;"",F6,IF(TODAY()-D6&gt;=2,"✓ 48h passed: buy only if you still want it","⏳ Wait "&amp;(2-(TODAY()-D6))&amp;" more day(s)")))</f>
        <v/>
      </c>
      <c r="F6" s="31" t="inlineStr"/>
      <c r="G6" s="1" t="n"/>
      <c r="H6" s="35">
        <f>SUMIFS(C6:C30,F6:F30,"Skipped")</f>
        <v/>
      </c>
    </row>
    <row r="7">
      <c r="A7" s="1" t="n"/>
      <c r="B7" s="27" t="inlineStr">
        <is>
          <t>Standing desk</t>
        </is>
      </c>
      <c r="C7" s="28" t="n">
        <v>249</v>
      </c>
      <c r="D7" s="29" t="n">
        <v>46292</v>
      </c>
      <c r="E7" s="34">
        <f>IF(B7="","",IF(F7&lt;&gt;"",F7,IF(TODAY()-D7&gt;=2,"✓ 48h passed: buy only if you still want it","⏳ Wait "&amp;(2-(TODAY()-D7))&amp;" more day(s)")))</f>
        <v/>
      </c>
      <c r="F7" s="31" t="inlineStr"/>
      <c r="G7" s="1" t="n"/>
    </row>
    <row r="8">
      <c r="A8" s="1" t="n"/>
      <c r="B8" s="27" t="inlineStr">
        <is>
          <t>Shoes</t>
        </is>
      </c>
      <c r="C8" s="28" t="n">
        <v>45</v>
      </c>
      <c r="D8" s="29" t="n">
        <v>46287</v>
      </c>
      <c r="E8" s="34">
        <f>IF(B8="","",IF(F8&lt;&gt;"",F8,IF(TODAY()-D8&gt;=2,"✓ 48h passed: buy only if you still want it","⏳ Wait "&amp;(2-(TODAY()-D8))&amp;" more day(s)")))</f>
        <v/>
      </c>
      <c r="F8" s="31" t="inlineStr">
        <is>
          <t>Bought</t>
        </is>
      </c>
      <c r="G8" s="1" t="n"/>
    </row>
    <row r="9">
      <c r="A9" s="1" t="n"/>
      <c r="B9" s="27" t="inlineStr">
        <is>
          <t>Smart watch</t>
        </is>
      </c>
      <c r="C9" s="28" t="n">
        <v>199</v>
      </c>
      <c r="D9" s="29" t="n">
        <v>46284</v>
      </c>
      <c r="E9" s="34">
        <f>IF(B9="","",IF(F9&lt;&gt;"",F9,IF(TODAY()-D9&gt;=2,"✓ 48h passed: buy only if you still want it","⏳ Wait "&amp;(2-(TODAY()-D9))&amp;" more day(s)")))</f>
        <v/>
      </c>
      <c r="F9" s="31" t="inlineStr">
        <is>
          <t>Skipped</t>
        </is>
      </c>
      <c r="G9" s="1" t="n"/>
    </row>
    <row r="10">
      <c r="A10" s="1" t="n"/>
      <c r="B10" s="27" t="inlineStr">
        <is>
          <t>Board game</t>
        </is>
      </c>
      <c r="C10" s="28" t="n">
        <v>39</v>
      </c>
      <c r="D10" s="29" t="n">
        <v>46293</v>
      </c>
      <c r="E10" s="34">
        <f>IF(B10="","",IF(F10&lt;&gt;"",F10,IF(TODAY()-D10&gt;=2,"✓ 48h passed: buy only if you still want it","⏳ Wait "&amp;(2-(TODAY()-D10))&amp;" more day(s)")))</f>
        <v/>
      </c>
      <c r="F10" s="31" t="inlineStr"/>
      <c r="G10" s="1" t="n"/>
    </row>
    <row r="11">
      <c r="A11" s="1" t="n"/>
      <c r="B11" s="27" t="n"/>
      <c r="C11" s="28" t="n"/>
      <c r="D11" s="29" t="n"/>
      <c r="E11" s="34">
        <f>IF(B11="","",IF(F11&lt;&gt;"",F11,IF(TODAY()-D11&gt;=2,"✓ 48h passed: buy only if you still want it","⏳ Wait "&amp;(2-(TODAY()-D11))&amp;" more day(s)")))</f>
        <v/>
      </c>
      <c r="F11" s="31" t="n"/>
      <c r="G11" s="1" t="n"/>
    </row>
    <row r="12">
      <c r="A12" s="1" t="n"/>
      <c r="B12" s="27" t="n"/>
      <c r="C12" s="28" t="n"/>
      <c r="D12" s="29" t="n"/>
      <c r="E12" s="34">
        <f>IF(B12="","",IF(F12&lt;&gt;"",F12,IF(TODAY()-D12&gt;=2,"✓ 48h passed: buy only if you still want it","⏳ Wait "&amp;(2-(TODAY()-D12))&amp;" more day(s)")))</f>
        <v/>
      </c>
      <c r="F12" s="31" t="n"/>
      <c r="G12" s="1" t="n"/>
    </row>
    <row r="13">
      <c r="A13" s="1" t="n"/>
      <c r="B13" s="27" t="n"/>
      <c r="C13" s="28" t="n"/>
      <c r="D13" s="29" t="n"/>
      <c r="E13" s="34">
        <f>IF(B13="","",IF(F13&lt;&gt;"",F13,IF(TODAY()-D13&gt;=2,"✓ 48h passed: buy only if you still want it","⏳ Wait "&amp;(2-(TODAY()-D13))&amp;" more day(s)")))</f>
        <v/>
      </c>
      <c r="F13" s="31" t="n"/>
      <c r="G13" s="1" t="n"/>
    </row>
    <row r="14">
      <c r="A14" s="1" t="n"/>
      <c r="B14" s="27" t="n"/>
      <c r="C14" s="28" t="n"/>
      <c r="D14" s="29" t="n"/>
      <c r="E14" s="34">
        <f>IF(B14="","",IF(F14&lt;&gt;"",F14,IF(TODAY()-D14&gt;=2,"✓ 48h passed: buy only if you still want it","⏳ Wait "&amp;(2-(TODAY()-D14))&amp;" more day(s)")))</f>
        <v/>
      </c>
      <c r="F14" s="31" t="n"/>
      <c r="G14" s="1" t="n"/>
    </row>
    <row r="15">
      <c r="A15" s="1" t="n"/>
      <c r="B15" s="27" t="n"/>
      <c r="C15" s="28" t="n"/>
      <c r="D15" s="29" t="n"/>
      <c r="E15" s="34">
        <f>IF(B15="","",IF(F15&lt;&gt;"",F15,IF(TODAY()-D15&gt;=2,"✓ 48h passed: buy only if you still want it","⏳ Wait "&amp;(2-(TODAY()-D15))&amp;" more day(s)")))</f>
        <v/>
      </c>
      <c r="F15" s="31" t="n"/>
      <c r="G15" s="1" t="n"/>
    </row>
    <row r="16">
      <c r="A16" s="1" t="n"/>
      <c r="B16" s="27" t="n"/>
      <c r="C16" s="28" t="n"/>
      <c r="D16" s="29" t="n"/>
      <c r="E16" s="34">
        <f>IF(B16="","",IF(F16&lt;&gt;"",F16,IF(TODAY()-D16&gt;=2,"✓ 48h passed: buy only if you still want it","⏳ Wait "&amp;(2-(TODAY()-D16))&amp;" more day(s)")))</f>
        <v/>
      </c>
      <c r="F16" s="31" t="n"/>
      <c r="G16" s="1" t="n"/>
    </row>
    <row r="17">
      <c r="A17" s="1" t="n"/>
      <c r="B17" s="27" t="n"/>
      <c r="C17" s="28" t="n"/>
      <c r="D17" s="29" t="n"/>
      <c r="E17" s="34">
        <f>IF(B17="","",IF(F17&lt;&gt;"",F17,IF(TODAY()-D17&gt;=2,"✓ 48h passed: buy only if you still want it","⏳ Wait "&amp;(2-(TODAY()-D17))&amp;" more day(s)")))</f>
        <v/>
      </c>
      <c r="F17" s="31" t="n"/>
      <c r="G17" s="1" t="n"/>
    </row>
    <row r="18">
      <c r="A18" s="1" t="n"/>
      <c r="B18" s="27" t="n"/>
      <c r="C18" s="28" t="n"/>
      <c r="D18" s="29" t="n"/>
      <c r="E18" s="34">
        <f>IF(B18="","",IF(F18&lt;&gt;"",F18,IF(TODAY()-D18&gt;=2,"✓ 48h passed: buy only if you still want it","⏳ Wait "&amp;(2-(TODAY()-D18))&amp;" more day(s)")))</f>
        <v/>
      </c>
      <c r="F18" s="31" t="n"/>
      <c r="G18" s="1" t="n"/>
    </row>
    <row r="19">
      <c r="A19" s="1" t="n"/>
      <c r="B19" s="27" t="n"/>
      <c r="C19" s="28" t="n"/>
      <c r="D19" s="29" t="n"/>
      <c r="E19" s="34">
        <f>IF(B19="","",IF(F19&lt;&gt;"",F19,IF(TODAY()-D19&gt;=2,"✓ 48h passed: buy only if you still want it","⏳ Wait "&amp;(2-(TODAY()-D19))&amp;" more day(s)")))</f>
        <v/>
      </c>
      <c r="F19" s="31" t="n"/>
      <c r="G19" s="1" t="n"/>
    </row>
    <row r="20">
      <c r="A20" s="1" t="n"/>
      <c r="B20" s="27" t="n"/>
      <c r="C20" s="28" t="n"/>
      <c r="D20" s="29" t="n"/>
      <c r="E20" s="34">
        <f>IF(B20="","",IF(F20&lt;&gt;"",F20,IF(TODAY()-D20&gt;=2,"✓ 48h passed: buy only if you still want it","⏳ Wait "&amp;(2-(TODAY()-D20))&amp;" more day(s)")))</f>
        <v/>
      </c>
      <c r="F20" s="31" t="n"/>
      <c r="G20" s="1" t="n"/>
    </row>
    <row r="21">
      <c r="A21" s="1" t="n"/>
      <c r="B21" s="27" t="n"/>
      <c r="C21" s="28" t="n"/>
      <c r="D21" s="29" t="n"/>
      <c r="E21" s="34">
        <f>IF(B21="","",IF(F21&lt;&gt;"",F21,IF(TODAY()-D21&gt;=2,"✓ 48h passed: buy only if you still want it","⏳ Wait "&amp;(2-(TODAY()-D21))&amp;" more day(s)")))</f>
        <v/>
      </c>
      <c r="F21" s="31" t="n"/>
      <c r="G21" s="1" t="n"/>
    </row>
    <row r="22">
      <c r="A22" s="1" t="n"/>
      <c r="B22" s="27" t="n"/>
      <c r="C22" s="28" t="n"/>
      <c r="D22" s="29" t="n"/>
      <c r="E22" s="34">
        <f>IF(B22="","",IF(F22&lt;&gt;"",F22,IF(TODAY()-D22&gt;=2,"✓ 48h passed: buy only if you still want it","⏳ Wait "&amp;(2-(TODAY()-D22))&amp;" more day(s)")))</f>
        <v/>
      </c>
      <c r="F22" s="31" t="n"/>
      <c r="G22" s="1" t="n"/>
    </row>
    <row r="23">
      <c r="A23" s="1" t="n"/>
      <c r="B23" s="27" t="n"/>
      <c r="C23" s="28" t="n"/>
      <c r="D23" s="29" t="n"/>
      <c r="E23" s="34">
        <f>IF(B23="","",IF(F23&lt;&gt;"",F23,IF(TODAY()-D23&gt;=2,"✓ 48h passed: buy only if you still want it","⏳ Wait "&amp;(2-(TODAY()-D23))&amp;" more day(s)")))</f>
        <v/>
      </c>
      <c r="F23" s="31" t="n"/>
      <c r="G23" s="1" t="n"/>
    </row>
    <row r="24">
      <c r="A24" s="1" t="n"/>
      <c r="B24" s="27" t="n"/>
      <c r="C24" s="28" t="n"/>
      <c r="D24" s="29" t="n"/>
      <c r="E24" s="34">
        <f>IF(B24="","",IF(F24&lt;&gt;"",F24,IF(TODAY()-D24&gt;=2,"✓ 48h passed: buy only if you still want it","⏳ Wait "&amp;(2-(TODAY()-D24))&amp;" more day(s)")))</f>
        <v/>
      </c>
      <c r="F24" s="31" t="n"/>
      <c r="G24" s="1" t="n"/>
    </row>
    <row r="25">
      <c r="A25" s="1" t="n"/>
      <c r="B25" s="27" t="n"/>
      <c r="C25" s="28" t="n"/>
      <c r="D25" s="29" t="n"/>
      <c r="E25" s="34">
        <f>IF(B25="","",IF(F25&lt;&gt;"",F25,IF(TODAY()-D25&gt;=2,"✓ 48h passed: buy only if you still want it","⏳ Wait "&amp;(2-(TODAY()-D25))&amp;" more day(s)")))</f>
        <v/>
      </c>
      <c r="F25" s="31" t="n"/>
      <c r="G25" s="1" t="n"/>
    </row>
    <row r="26">
      <c r="A26" s="1" t="n"/>
      <c r="B26" s="27" t="n"/>
      <c r="C26" s="28" t="n"/>
      <c r="D26" s="29" t="n"/>
      <c r="E26" s="34">
        <f>IF(B26="","",IF(F26&lt;&gt;"",F26,IF(TODAY()-D26&gt;=2,"✓ 48h passed: buy only if you still want it","⏳ Wait "&amp;(2-(TODAY()-D26))&amp;" more day(s)")))</f>
        <v/>
      </c>
      <c r="F26" s="31" t="n"/>
      <c r="G26" s="1" t="n"/>
    </row>
    <row r="27">
      <c r="A27" s="1" t="n"/>
      <c r="B27" s="27" t="n"/>
      <c r="C27" s="28" t="n"/>
      <c r="D27" s="29" t="n"/>
      <c r="E27" s="34">
        <f>IF(B27="","",IF(F27&lt;&gt;"",F27,IF(TODAY()-D27&gt;=2,"✓ 48h passed: buy only if you still want it","⏳ Wait "&amp;(2-(TODAY()-D27))&amp;" more day(s)")))</f>
        <v/>
      </c>
      <c r="F27" s="31" t="n"/>
      <c r="G27" s="1" t="n"/>
    </row>
    <row r="28">
      <c r="A28" s="1" t="n"/>
      <c r="B28" s="27" t="n"/>
      <c r="C28" s="28" t="n"/>
      <c r="D28" s="29" t="n"/>
      <c r="E28" s="34">
        <f>IF(B28="","",IF(F28&lt;&gt;"",F28,IF(TODAY()-D28&gt;=2,"✓ 48h passed: buy only if you still want it","⏳ Wait "&amp;(2-(TODAY()-D28))&amp;" more day(s)")))</f>
        <v/>
      </c>
      <c r="F28" s="31" t="n"/>
      <c r="G28" s="1" t="n"/>
    </row>
    <row r="29">
      <c r="A29" s="1" t="n"/>
      <c r="B29" s="27" t="n"/>
      <c r="C29" s="28" t="n"/>
      <c r="D29" s="29" t="n"/>
      <c r="E29" s="34">
        <f>IF(B29="","",IF(F29&lt;&gt;"",F29,IF(TODAY()-D29&gt;=2,"✓ 48h passed: buy only if you still want it","⏳ Wait "&amp;(2-(TODAY()-D29))&amp;" more day(s)")))</f>
        <v/>
      </c>
      <c r="F29" s="31" t="n"/>
      <c r="G29" s="1" t="n"/>
    </row>
    <row r="30">
      <c r="A30" s="1" t="n"/>
      <c r="B30" s="27" t="n"/>
      <c r="C30" s="28" t="n"/>
      <c r="D30" s="29" t="n"/>
      <c r="E30" s="34">
        <f>IF(B30="","",IF(F30&lt;&gt;"",F30,IF(TODAY()-D30&gt;=2,"✓ 48h passed: buy only if you still want it","⏳ Wait "&amp;(2-(TODAY()-D30))&amp;" more day(s)")))</f>
        <v/>
      </c>
      <c r="F30" s="3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conditionalFormatting sqref="E6:E30">
    <cfRule type="expression" priority="1" dxfId="4">
      <formula>LEFT($E6,1)="⏳"</formula>
    </cfRule>
    <cfRule type="expression" priority="2" dxfId="3">
      <formula>LEFT($E6,1)="✓"</formula>
    </cfRule>
    <cfRule type="expression" priority="3" dxfId="5">
      <formula>$E6="Skipped"</formula>
    </cfRule>
  </conditionalFormatting>
  <dataValidations count="1">
    <dataValidation sqref="F6:F30" showDropDown="0" showInputMessage="0" showErrorMessage="0" allowBlank="1" type="list">
      <formula1>"Bought,Skipped"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Savings goals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Update 'Saved so far' whenever you put money aside.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15" t="inlineStr">
        <is>
          <t>Goal</t>
        </is>
      </c>
      <c r="C5" s="15" t="inlineStr">
        <is>
          <t>Target</t>
        </is>
      </c>
      <c r="D5" s="15" t="inlineStr">
        <is>
          <t>Saved so far</t>
        </is>
      </c>
      <c r="E5" s="15" t="inlineStr">
        <is>
          <t>Done</t>
        </is>
      </c>
      <c r="F5" s="15" t="inlineStr">
        <is>
          <t>Progress</t>
        </is>
      </c>
      <c r="G5" s="1" t="n"/>
    </row>
    <row r="6">
      <c r="A6" s="1" t="n"/>
      <c r="B6" s="27" t="inlineStr">
        <is>
          <t>Emergency fund</t>
        </is>
      </c>
      <c r="C6" s="28" t="n">
        <v>3000</v>
      </c>
      <c r="D6" s="28" t="n">
        <v>1250</v>
      </c>
      <c r="E6" s="36">
        <f>IF(C6="","",MIN(1,D6/C6))</f>
        <v/>
      </c>
      <c r="F6" s="20">
        <f>IF(C6="","",REPT("█",ROUND(E6*20,0))&amp;REPT("░",20-ROUND(E6*20,0)))</f>
        <v/>
      </c>
      <c r="G6" s="1" t="n"/>
    </row>
    <row r="7">
      <c r="A7" s="1" t="n"/>
      <c r="B7" s="27" t="inlineStr">
        <is>
          <t>Trip</t>
        </is>
      </c>
      <c r="C7" s="28" t="n">
        <v>1200</v>
      </c>
      <c r="D7" s="28" t="n">
        <v>400</v>
      </c>
      <c r="E7" s="36">
        <f>IF(C7="","",MIN(1,D7/C7))</f>
        <v/>
      </c>
      <c r="F7" s="20">
        <f>IF(C7="","",REPT("█",ROUND(E7*20,0))&amp;REPT("░",20-ROUND(E7*20,0)))</f>
        <v/>
      </c>
      <c r="G7" s="1" t="n"/>
    </row>
    <row r="8">
      <c r="A8" s="1" t="n"/>
      <c r="B8" s="27" t="inlineStr">
        <is>
          <t>New laptop</t>
        </is>
      </c>
      <c r="C8" s="28" t="n">
        <v>900</v>
      </c>
      <c r="D8" s="28" t="n">
        <v>810</v>
      </c>
      <c r="E8" s="36">
        <f>IF(C8="","",MIN(1,D8/C8))</f>
        <v/>
      </c>
      <c r="F8" s="20">
        <f>IF(C8="","",REPT("█",ROUND(E8*20,0))&amp;REPT("░",20-ROUND(E8*20,0)))</f>
        <v/>
      </c>
      <c r="G8" s="1" t="n"/>
    </row>
    <row r="9">
      <c r="A9" s="1" t="n"/>
      <c r="B9" s="27" t="n"/>
      <c r="C9" s="28" t="n"/>
      <c r="D9" s="28" t="n"/>
      <c r="E9" s="36">
        <f>IF(C9="","",MIN(1,D9/C9))</f>
        <v/>
      </c>
      <c r="F9" s="20">
        <f>IF(C9="","",REPT("█",ROUND(E9*20,0))&amp;REPT("░",20-ROUND(E9*20,0)))</f>
        <v/>
      </c>
      <c r="G9" s="1" t="n"/>
    </row>
    <row r="10">
      <c r="A10" s="1" t="n"/>
      <c r="B10" s="27" t="n"/>
      <c r="C10" s="28" t="n"/>
      <c r="D10" s="28" t="n"/>
      <c r="E10" s="36">
        <f>IF(C10="","",MIN(1,D10/C10))</f>
        <v/>
      </c>
      <c r="F10" s="20">
        <f>IF(C10="","",REPT("█",ROUND(E10*20,0))&amp;REPT("░",20-ROUND(E10*20,0)))</f>
        <v/>
      </c>
      <c r="G10" s="1" t="n"/>
    </row>
    <row r="11">
      <c r="A11" s="1" t="n"/>
      <c r="B11" s="27" t="n"/>
      <c r="C11" s="28" t="n"/>
      <c r="D11" s="28" t="n"/>
      <c r="E11" s="36">
        <f>IF(C11="","",MIN(1,D11/C11))</f>
        <v/>
      </c>
      <c r="F11" s="20">
        <f>IF(C11="","",REPT("█",ROUND(E11*20,0))&amp;REPT("░",20-ROUND(E11*20,0)))</f>
        <v/>
      </c>
      <c r="G11" s="1" t="n"/>
    </row>
    <row r="12">
      <c r="A12" s="1" t="n"/>
      <c r="B12" s="27" t="n"/>
      <c r="C12" s="28" t="n"/>
      <c r="D12" s="28" t="n"/>
      <c r="E12" s="36">
        <f>IF(C12="","",MIN(1,D12/C12))</f>
        <v/>
      </c>
      <c r="F12" s="20">
        <f>IF(C12="","",REPT("█",ROUND(E12*20,0))&amp;REPT("░",20-ROUND(E12*20,0)))</f>
        <v/>
      </c>
      <c r="G12" s="1" t="n"/>
    </row>
    <row r="13">
      <c r="A13" s="1" t="n"/>
      <c r="B13" s="27" t="n"/>
      <c r="C13" s="28" t="n"/>
      <c r="D13" s="28" t="n"/>
      <c r="E13" s="36">
        <f>IF(C13="","",MIN(1,D13/C13))</f>
        <v/>
      </c>
      <c r="F13" s="20">
        <f>IF(C13="","",REPT("█",ROUND(E13*20,0))&amp;REPT("░",20-ROUND(E13*20,0)))</f>
        <v/>
      </c>
      <c r="G13" s="1" t="n"/>
    </row>
    <row r="14">
      <c r="A14" s="1" t="n"/>
      <c r="B14" s="27" t="n"/>
      <c r="C14" s="28" t="n"/>
      <c r="D14" s="28" t="n"/>
      <c r="E14" s="36">
        <f>IF(C14="","",MIN(1,D14/C14))</f>
        <v/>
      </c>
      <c r="F14" s="20">
        <f>IF(C14="","",REPT("█",ROUND(E14*20,0))&amp;REPT("░",20-ROUND(E14*20,0)))</f>
        <v/>
      </c>
      <c r="G14" s="1" t="n"/>
    </row>
    <row r="15">
      <c r="A15" s="1" t="n"/>
      <c r="B15" s="27" t="n"/>
      <c r="C15" s="28" t="n"/>
      <c r="D15" s="28" t="n"/>
      <c r="E15" s="36">
        <f>IF(C15="","",MIN(1,D15/C15))</f>
        <v/>
      </c>
      <c r="F15" s="20">
        <f>IF(C15="","",REPT("█",ROUND(E15*20,0))&amp;REPT("░",20-ROUND(E15*20,0)))</f>
        <v/>
      </c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2026-09-28T04:02:06Z</dcterms:created>
  <dcterms:modified xsi:type="dcterms:W3CDTF">2026-09-28T04:02:06Z</dcterms:modified>
</cp:coreProperties>
</file>