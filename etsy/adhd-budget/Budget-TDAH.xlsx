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ommencer ici" sheetId="2" state="visible" r:id="rId2"/>
    <sheet name="Budget" sheetId="3" state="visible" r:id="rId3"/>
    <sheet name="Journal" sheetId="4" state="visible" r:id="rId4"/>
    <sheet name="Factures" sheetId="5" state="visible" r:id="rId5"/>
    <sheet name="Envies" sheetId="6" state="visible" r:id="rId6"/>
    <sheet name="Objectif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16">
    <font>
      <name val="Calibri"/>
      <family val="2"/>
      <color theme="1"/>
      <sz val="11"/>
      <scheme val="minor"/>
    </font>
    <font>
      <name val="Arial"/>
      <b val="1"/>
      <color rgb="0015525A"/>
      <sz val="22"/>
    </font>
    <font>
      <name val="Arial"/>
      <i val="1"/>
      <color rgb="006B7B80"/>
      <sz val="11"/>
    </font>
    <font>
      <name val="Arial"/>
      <b val="1"/>
      <color rgb="001F6F78"/>
      <sz val="18"/>
    </font>
    <font>
      <name val="Arial"/>
      <color rgb="001E2A2F"/>
      <sz val="14"/>
    </font>
    <font>
      <name val="Arial"/>
      <b val="1"/>
      <color rgb="00FFFFFF"/>
      <sz val="11"/>
    </font>
    <font>
      <name val="Arial"/>
      <color rgb="001E2A2F"/>
      <sz val="11"/>
    </font>
    <font>
      <name val="Arial"/>
      <b val="1"/>
      <color rgb="001E2A2F"/>
      <sz val="11"/>
    </font>
    <font>
      <name val="Arial"/>
      <i val="1"/>
      <color rgb="006B7B80"/>
      <sz val="10"/>
    </font>
    <font>
      <name val="Arial"/>
      <b val="1"/>
      <color rgb="0015525A"/>
      <sz val="12"/>
    </font>
    <font>
      <name val="Arial"/>
      <b val="1"/>
      <color rgb="001F6F78"/>
      <sz val="20"/>
    </font>
    <font>
      <name val="Arial"/>
      <color rgb="001F6F78"/>
      <sz val="11"/>
    </font>
    <font>
      <name val="Arial"/>
      <b val="1"/>
      <color rgb="006B7B80"/>
      <sz val="10"/>
    </font>
    <font>
      <name val="Arial"/>
      <b val="1"/>
      <color rgb="00B4541F"/>
      <sz val="18"/>
    </font>
    <font>
      <name val="Arial"/>
      <b val="1"/>
      <color rgb="00FFFFFF"/>
      <sz val="26"/>
    </font>
    <font>
      <name val="Arial"/>
      <color rgb="006B7B80"/>
      <sz val="10"/>
    </font>
  </fonts>
  <fills count="10">
    <fill>
      <patternFill/>
    </fill>
    <fill>
      <patternFill patternType="gray125"/>
    </fill>
    <fill>
      <patternFill patternType="solid">
        <fgColor rgb="00FFFFFF"/>
        <bgColor rgb="00FFFFFF"/>
      </patternFill>
    </fill>
    <fill>
      <patternFill patternType="solid">
        <fgColor rgb="001F6F78"/>
        <bgColor rgb="001F6F78"/>
      </patternFill>
    </fill>
    <fill>
      <patternFill patternType="solid">
        <fgColor rgb="00FFF4C2"/>
        <bgColor rgb="00FFF4C2"/>
      </patternFill>
    </fill>
    <fill>
      <patternFill patternType="solid">
        <fgColor rgb="0015525A"/>
        <bgColor rgb="0015525A"/>
      </patternFill>
    </fill>
    <fill>
      <patternFill patternType="solid">
        <fgColor rgb="00FFE2B8"/>
        <bgColor rgb="00FFE2B8"/>
      </patternFill>
    </fill>
    <fill>
      <patternFill patternType="solid">
        <fgColor rgb="00F9C9C4"/>
        <bgColor rgb="00F9C9C4"/>
      </patternFill>
    </fill>
    <fill>
      <patternFill patternType="solid">
        <fgColor rgb="00E3E8FF"/>
        <bgColor rgb="00E3E8FF"/>
      </patternFill>
    </fill>
    <fill>
      <patternFill patternType="solid">
        <fgColor rgb="00D8F0DC"/>
        <bgColor rgb="00D8F0DC"/>
      </patternFill>
    </fill>
  </fills>
  <borders count="2">
    <border>
      <left/>
      <right/>
      <top/>
      <bottom/>
      <diagonal/>
    </border>
    <border>
      <left style="thin">
        <color rgb="00D5DBDB"/>
      </left>
      <right style="thin">
        <color rgb="00D5DBDB"/>
      </right>
      <top style="thin">
        <color rgb="00D5DBDB"/>
      </top>
      <bottom style="thin">
        <color rgb="00D5DBDB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7" fillId="2" borderId="0" pivotButton="0" quotePrefix="0" xfId="0"/>
    <xf numFmtId="0" fontId="7" fillId="4" borderId="1" pivotButton="0" quotePrefix="0" xfId="0"/>
    <xf numFmtId="0" fontId="7" fillId="2" borderId="0" applyAlignment="1" pivotButton="0" quotePrefix="0" xfId="0">
      <alignment horizontal="right"/>
    </xf>
    <xf numFmtId="1" fontId="7" fillId="4" borderId="1" pivotButton="0" quotePrefix="0" xfId="0"/>
    <xf numFmtId="0" fontId="12" fillId="2" borderId="1" pivotButton="0" quotePrefix="0" xfId="0"/>
    <xf numFmtId="0" fontId="5" fillId="5" borderId="0" applyAlignment="1" pivotButton="0" quotePrefix="0" xfId="0">
      <alignment horizontal="center"/>
    </xf>
    <xf numFmtId="4" fontId="3" fillId="2" borderId="1" pivotButton="0" quotePrefix="0" xfId="0"/>
    <xf numFmtId="4" fontId="13" fillId="2" borderId="1" pivotButton="0" quotePrefix="0" xfId="0"/>
    <xf numFmtId="4" fontId="14" fillId="5" borderId="0" applyAlignment="1" pivotButton="0" quotePrefix="0" xfId="0">
      <alignment horizontal="center" vertical="center"/>
    </xf>
    <xf numFmtId="0" fontId="8" fillId="2" borderId="0" pivotButton="0" quotePrefix="0" xfId="0"/>
    <xf numFmtId="4" fontId="15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5" fillId="3" borderId="0" applyAlignment="1" pivotButton="0" quotePrefix="0" xfId="0">
      <alignment vertical="center"/>
    </xf>
    <xf numFmtId="0" fontId="7" fillId="2" borderId="1" pivotButton="0" quotePrefix="0" xfId="0"/>
    <xf numFmtId="4" fontId="6" fillId="2" borderId="1" pivotButton="0" quotePrefix="0" xfId="0"/>
    <xf numFmtId="4" fontId="7" fillId="2" borderId="1" pivotButton="0" quotePrefix="0" xfId="0"/>
    <xf numFmtId="0" fontId="11" fillId="2" borderId="1" pivotButton="0" quotePrefix="0" xfId="0"/>
    <xf numFmtId="0" fontId="6" fillId="6" borderId="1" applyAlignment="1" pivotButton="0" quotePrefix="0" xfId="0">
      <alignment vertical="center"/>
    </xf>
    <xf numFmtId="0" fontId="6" fillId="7" borderId="1" applyAlignment="1" pivotButton="0" quotePrefix="0" xfId="0">
      <alignment vertical="center"/>
    </xf>
    <xf numFmtId="0" fontId="6" fillId="8" borderId="1" applyAlignment="1" pivotButton="0" quotePrefix="0" xfId="0">
      <alignment vertical="center"/>
    </xf>
    <xf numFmtId="0" fontId="6" fillId="9" borderId="1" applyAlignment="1" pivotButton="0" quotePrefix="0" xfId="0">
      <alignment vertical="center"/>
    </xf>
    <xf numFmtId="0" fontId="3" fillId="2" borderId="0" pivotButton="0" quotePrefix="0" xfId="0"/>
    <xf numFmtId="0" fontId="4" fillId="2" borderId="0" pivotButton="0" quotePrefix="0" xfId="0"/>
    <xf numFmtId="0" fontId="6" fillId="4" borderId="1" pivotButton="0" quotePrefix="0" xfId="0"/>
    <xf numFmtId="4" fontId="6" fillId="4" borderId="1" pivotButton="0" quotePrefix="0" xfId="0"/>
    <xf numFmtId="165" fontId="6" fillId="4" borderId="1" pivotButton="0" quotePrefix="0" xfId="0"/>
    <xf numFmtId="1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9" fillId="0" borderId="0" pivotButton="0" quotePrefix="0" xfId="0"/>
    <xf numFmtId="0" fontId="6" fillId="2" borderId="1" pivotButton="0" quotePrefix="0" xfId="0"/>
    <xf numFmtId="4" fontId="10" fillId="0" borderId="0" pivotButton="0" quotePrefix="0" xfId="0"/>
    <xf numFmtId="9" fontId="6" fillId="2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name val="Arial"/>
        <b val="1"/>
        <color rgb="009B1C1C"/>
      </font>
      <fill>
        <patternFill patternType="solid">
          <fgColor rgb="00F9C9C4"/>
          <bgColor rgb="00F9C9C4"/>
        </patternFill>
      </fill>
    </dxf>
    <dxf>
      <font>
        <name val="Arial"/>
        <color rgb="00B4541F"/>
      </font>
    </dxf>
    <dxf>
      <font>
        <name val="Arial"/>
        <color rgb="00C98A0B"/>
      </font>
    </dxf>
    <dxf>
      <fill>
        <patternFill patternType="solid">
          <fgColor rgb="00D8F0DC"/>
          <bgColor rgb="00D8F0DC"/>
        </patternFill>
      </fill>
    </dxf>
    <dxf>
      <fill>
        <patternFill patternType="solid">
          <fgColor rgb="00FFE2B8"/>
          <bgColor rgb="00FFE2B8"/>
        </patternFill>
      </fill>
    </dxf>
    <dxf>
      <fill>
        <patternFill patternType="solid">
          <fgColor rgb="00E3E8FF"/>
          <bgColor rgb="00E3E8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5" customWidth="1" min="3" max="3"/>
    <col width="15" customWidth="1" min="4" max="4"/>
    <col width="15" customWidth="1" min="5" max="5"/>
    <col width="30" customWidth="1" min="6" max="6"/>
    <col width="3" customWidth="1" min="7" max="7"/>
    <col width="44" customWidth="1" min="8" max="8"/>
    <col hidden="1" width="13" customWidth="1" min="10" max="10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>
        <f>MATCH(C5,{"Janvier","Février","Mars","Avril","Mai","Juin","Juillet","Août","Septembre","Octobre","Novembre","Décembre"},0)</f>
        <v/>
      </c>
    </row>
    <row r="2" ht="32" customHeight="1">
      <c r="A2" s="1" t="n"/>
      <c r="B2" s="2" t="inlineStr">
        <is>
          <t>Vue d'ensemble</t>
        </is>
      </c>
      <c r="C2" s="1" t="n"/>
      <c r="D2" s="1" t="n"/>
      <c r="E2" s="1" t="n"/>
      <c r="F2" s="1" t="n"/>
      <c r="G2" s="1" t="n"/>
      <c r="H2" s="1" t="n"/>
      <c r="I2" s="1" t="n"/>
      <c r="J2">
        <f>DATE(E5,J1,1)</f>
        <v/>
      </c>
    </row>
    <row r="3">
      <c r="A3" s="1" t="n"/>
      <c r="B3" s="3" t="inlineStr">
        <is>
          <t>Choisissez un mois. Tout se met à jour.</t>
        </is>
      </c>
      <c r="C3" s="1" t="n"/>
      <c r="D3" s="1" t="n"/>
      <c r="E3" s="1" t="n"/>
      <c r="F3" s="1" t="n"/>
      <c r="G3" s="1" t="n"/>
      <c r="H3" s="1" t="n"/>
      <c r="I3" s="1" t="n"/>
      <c r="J3">
        <f>EOMONTH(J2,0)</f>
        <v/>
      </c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4" t="inlineStr">
        <is>
          <t>Mois</t>
        </is>
      </c>
      <c r="C5" s="5" t="inlineStr">
        <is>
          <t>Septembre</t>
        </is>
      </c>
      <c r="D5" s="6" t="inlineStr">
        <is>
          <t>Année</t>
        </is>
      </c>
      <c r="E5" s="7" t="n">
        <v>2026</v>
      </c>
      <c r="F5" s="1" t="n"/>
      <c r="G5" s="1" t="n"/>
      <c r="H5" s="1" t="n"/>
      <c r="I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</row>
    <row r="7">
      <c r="A7" s="1" t="n"/>
      <c r="B7" s="8" t="inlineStr">
        <is>
          <t>Rentrées</t>
        </is>
      </c>
      <c r="C7" s="8" t="inlineStr">
        <is>
          <t>Dépensé</t>
        </is>
      </c>
      <c r="D7" s="8" t="inlineStr">
        <is>
          <t>Factures à payer</t>
        </is>
      </c>
      <c r="E7" s="8" t="inlineStr">
        <is>
          <t>Reste du mois</t>
        </is>
      </c>
      <c r="F7" s="9" t="inlineStr">
        <is>
          <t>À dépenser par jour</t>
        </is>
      </c>
      <c r="G7" s="1" t="n"/>
      <c r="H7" s="1" t="n"/>
      <c r="I7" s="1" t="n"/>
    </row>
    <row r="8" ht="44" customHeight="1">
      <c r="A8" s="1" t="n"/>
      <c r="B8" s="10">
        <f>SUMIFS(Journal!$C$6:$C$1000,Journal!$D$6:$D$1000,"Revenu",Journal!$B$6:$B$1000,"&gt;="&amp;$J$2,Journal!$B$6:$B$1000,"&lt;="&amp;$J$3)</f>
        <v/>
      </c>
      <c r="C8" s="11">
        <f>SUMIFS(Journal!$C$6:$C$1000,Journal!$D$6:$D$1000,"Dépense",Journal!$B$6:$B$1000,"&gt;="&amp;$J$2,Journal!$B$6:$B$1000,"&lt;="&amp;$J$3)</f>
        <v/>
      </c>
      <c r="D8" s="11">
        <f>SUM(Factures!$C$6:$C$30)-SUMIFS(Factures!$C$6:$C$30,Factures!$E$6:$E$30,"Oui")</f>
        <v/>
      </c>
      <c r="E8" s="10">
        <f>B8-C8-D8-Budget!$E$8</f>
        <v/>
      </c>
      <c r="F8" s="12">
        <f>IF(AND(MONTH(TODAY())=$J$1,YEAR(TODAY())=$E$5),MAX(0,E8)/(J3-TODAY()+1),IF($J$3&lt;TODAY(),"mois terminé","mois pas commencé"))</f>
        <v/>
      </c>
      <c r="G8" s="1" t="n"/>
      <c r="H8" s="1" t="n"/>
      <c r="I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</row>
    <row r="10">
      <c r="A10" s="1" t="n"/>
      <c r="B10" s="13" t="inlineStr">
        <is>
          <t>Épargne mise de côté ce mois-ci (onglet Budget) :</t>
        </is>
      </c>
      <c r="C10" s="1" t="n"/>
      <c r="D10" s="1" t="n"/>
      <c r="E10" s="14">
        <f>Budget!$E$8</f>
        <v/>
      </c>
      <c r="F10" s="1" t="n"/>
      <c r="G10" s="1" t="n"/>
      <c r="H10" s="1" t="n"/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 ht="22" customHeight="1">
      <c r="A12" s="1" t="n"/>
      <c r="B12" s="15" t="inlineStr">
        <is>
          <t>Catégorie</t>
        </is>
      </c>
      <c r="C12" s="15" t="inlineStr">
        <is>
          <t>Budget</t>
        </is>
      </c>
      <c r="D12" s="15" t="inlineStr">
        <is>
          <t>Dépensé</t>
        </is>
      </c>
      <c r="E12" s="15" t="inlineStr">
        <is>
          <t>Reste</t>
        </is>
      </c>
      <c r="F12" s="15" t="inlineStr">
        <is>
          <t>Utilisé</t>
        </is>
      </c>
      <c r="G12" s="1" t="n"/>
      <c r="H12" s="16" t="inlineStr">
        <is>
          <t>À surveiller</t>
        </is>
      </c>
      <c r="I12" s="1" t="n"/>
    </row>
    <row r="13" ht="24" customHeight="1">
      <c r="A13" s="1" t="n"/>
      <c r="B13" s="17">
        <f>Budget!B6</f>
        <v/>
      </c>
      <c r="C13" s="18">
        <f>Budget!C6</f>
        <v/>
      </c>
      <c r="D13" s="18">
        <f>SUMIFS(Journal!$C$6:$C$1000,Journal!$E$6:$E$1000,B13,Journal!$D$6:$D$1000,"Dépense",Journal!$B$6:$B$1000,"&gt;="&amp;$J$2,Journal!$B$6:$B$1000,"&lt;="&amp;$J$3)</f>
        <v/>
      </c>
      <c r="E13" s="19">
        <f>C13-D13</f>
        <v/>
      </c>
      <c r="F13" s="20">
        <f>IF(C13=0,"",REPT("█",MIN(20,ROUND(D13/C13*20,0)))&amp;REPT("░",MAX(0,20-ROUND(D13/C13*20,0)))&amp;"  "&amp;TEXT(D13/C13,"0%"))</f>
        <v/>
      </c>
      <c r="G13" s="1" t="n"/>
      <c r="H13" s="21">
        <f>IF((COUNTIFS(Factures!$F$6:$F$30,"Dans*")+COUNTIFS(Factures!$F$6:$F$30,"Aujourd'hui"))=0,"Aucune facture à payer dans les 3 jours",IF((COUNTIFS(Factures!$F$6:$F$30,"Dans*")+COUNTIFS(Factures!$F$6:$F$30,"Aujourd'hui"))=1,"1 facture",(COUNTIFS(Factures!$F$6:$F$30,"Dans*")+COUNTIFS(Factures!$F$6:$F$30,"Aujourd'hui"))&amp;" factures")&amp;" à payer dans les 3 jours")</f>
        <v/>
      </c>
      <c r="I13" s="1" t="n"/>
    </row>
    <row r="14" ht="24" customHeight="1">
      <c r="A14" s="1" t="n"/>
      <c r="B14" s="17">
        <f>Budget!B7</f>
        <v/>
      </c>
      <c r="C14" s="18">
        <f>Budget!C7</f>
        <v/>
      </c>
      <c r="D14" s="18">
        <f>SUMIFS(Journal!$C$6:$C$1000,Journal!$E$6:$E$1000,B14,Journal!$D$6:$D$1000,"Dépense",Journal!$B$6:$B$1000,"&gt;="&amp;$J$2,Journal!$B$6:$B$1000,"&lt;="&amp;$J$3)</f>
        <v/>
      </c>
      <c r="E14" s="19">
        <f>C14-D14</f>
        <v/>
      </c>
      <c r="F14" s="20">
        <f>IF(C14=0,"",REPT("█",MIN(20,ROUND(D14/C14*20,0)))&amp;REPT("░",MAX(0,20-ROUND(D14/C14*20,0)))&amp;"  "&amp;TEXT(D14/C14,"0%"))</f>
        <v/>
      </c>
      <c r="G14" s="1" t="n"/>
      <c r="H14" s="1" t="n"/>
      <c r="I14" s="1" t="n"/>
    </row>
    <row r="15" ht="24" customHeight="1">
      <c r="A15" s="1" t="n"/>
      <c r="B15" s="17">
        <f>Budget!B8</f>
        <v/>
      </c>
      <c r="C15" s="18">
        <f>Budget!C8</f>
        <v/>
      </c>
      <c r="D15" s="18">
        <f>SUMIFS(Journal!$C$6:$C$1000,Journal!$E$6:$E$1000,B15,Journal!$D$6:$D$1000,"Dépense",Journal!$B$6:$B$1000,"&gt;="&amp;$J$2,Journal!$B$6:$B$1000,"&lt;="&amp;$J$3)</f>
        <v/>
      </c>
      <c r="E15" s="19">
        <f>C15-D15</f>
        <v/>
      </c>
      <c r="F15" s="20">
        <f>IF(C15=0,"",REPT("█",MIN(20,ROUND(D15/C15*20,0)))&amp;REPT("░",MAX(0,20-ROUND(D15/C15*20,0)))&amp;"  "&amp;TEXT(D15/C15,"0%"))</f>
        <v/>
      </c>
      <c r="G15" s="1" t="n"/>
      <c r="H15" s="22">
        <f>IF(COUNTIFS(Factures!$F$6:$F$30,"En retard")=0,"Aucune facture en retard",IF(COUNTIFS(Factures!$F$6:$F$30,"En retard")=1,"1 facture en retard",COUNTIFS(Factures!$F$6:$F$30,"En retard")&amp;" factures en retard"))</f>
        <v/>
      </c>
      <c r="I15" s="1" t="n"/>
    </row>
    <row r="16" ht="24" customHeight="1">
      <c r="A16" s="1" t="n"/>
      <c r="B16" s="17">
        <f>Budget!B9</f>
        <v/>
      </c>
      <c r="C16" s="18">
        <f>Budget!C9</f>
        <v/>
      </c>
      <c r="D16" s="18">
        <f>SUMIFS(Journal!$C$6:$C$1000,Journal!$E$6:$E$1000,B16,Journal!$D$6:$D$1000,"Dépense",Journal!$B$6:$B$1000,"&gt;="&amp;$J$2,Journal!$B$6:$B$1000,"&lt;="&amp;$J$3)</f>
        <v/>
      </c>
      <c r="E16" s="19">
        <f>C16-D16</f>
        <v/>
      </c>
      <c r="F16" s="20">
        <f>IF(C16=0,"",REPT("█",MIN(20,ROUND(D16/C16*20,0)))&amp;REPT("░",MAX(0,20-ROUND(D16/C16*20,0)))&amp;"  "&amp;TEXT(D16/C16,"0%"))</f>
        <v/>
      </c>
      <c r="G16" s="1" t="n"/>
      <c r="H16" s="1" t="n"/>
      <c r="I16" s="1" t="n"/>
    </row>
    <row r="17" ht="24" customHeight="1">
      <c r="A17" s="1" t="n"/>
      <c r="B17" s="17">
        <f>Budget!B10</f>
        <v/>
      </c>
      <c r="C17" s="18">
        <f>Budget!C10</f>
        <v/>
      </c>
      <c r="D17" s="18">
        <f>SUMIFS(Journal!$C$6:$C$1000,Journal!$E$6:$E$1000,B17,Journal!$D$6:$D$1000,"Dépense",Journal!$B$6:$B$1000,"&gt;="&amp;$J$2,Journal!$B$6:$B$1000,"&lt;="&amp;$J$3)</f>
        <v/>
      </c>
      <c r="E17" s="19">
        <f>C17-D17</f>
        <v/>
      </c>
      <c r="F17" s="20">
        <f>IF(C17=0,"",REPT("█",MIN(20,ROUND(D17/C17*20,0)))&amp;REPT("░",MAX(0,20-ROUND(D17/C17*20,0)))&amp;"  "&amp;TEXT(D17/C17,"0%"))</f>
        <v/>
      </c>
      <c r="G17" s="1" t="n"/>
      <c r="H17" s="23">
        <f>IF(COUNTIFS(Envies!$E$6:$E$30,"Encore*")=0,"Aucune envie en attente",IF(COUNTIFS(Envies!$E$6:$E$30,"Encore*")=1,"1 envie",COUNTIFS(Envies!$E$6:$E$30,"Encore*")&amp;" envies")&amp;" en attente sur votre liste")</f>
        <v/>
      </c>
      <c r="I17" s="1" t="n"/>
    </row>
    <row r="18" ht="24" customHeight="1">
      <c r="A18" s="1" t="n"/>
      <c r="B18" s="17">
        <f>Budget!B11</f>
        <v/>
      </c>
      <c r="C18" s="18">
        <f>Budget!C11</f>
        <v/>
      </c>
      <c r="D18" s="18">
        <f>SUMIFS(Journal!$C$6:$C$1000,Journal!$E$6:$E$1000,B18,Journal!$D$6:$D$1000,"Dépense",Journal!$B$6:$B$1000,"&gt;="&amp;$J$2,Journal!$B$6:$B$1000,"&lt;="&amp;$J$3)</f>
        <v/>
      </c>
      <c r="E18" s="19">
        <f>C18-D18</f>
        <v/>
      </c>
      <c r="F18" s="20">
        <f>IF(C18=0,"",REPT("█",MIN(20,ROUND(D18/C18*20,0)))&amp;REPT("░",MAX(0,20-ROUND(D18/C18*20,0)))&amp;"  "&amp;TEXT(D18/C18,"0%"))</f>
        <v/>
      </c>
      <c r="G18" s="1" t="n"/>
      <c r="H18" s="1" t="n"/>
      <c r="I18" s="1" t="n"/>
    </row>
    <row r="19" ht="24" customHeight="1">
      <c r="A19" s="1" t="n"/>
      <c r="B19" s="17">
        <f>Budget!B12</f>
        <v/>
      </c>
      <c r="C19" s="18">
        <f>Budget!C12</f>
        <v/>
      </c>
      <c r="D19" s="18">
        <f>SUMIFS(Journal!$C$6:$C$1000,Journal!$E$6:$E$1000,B19,Journal!$D$6:$D$1000,"Dépense",Journal!$B$6:$B$1000,"&gt;="&amp;$J$2,Journal!$B$6:$B$1000,"&lt;="&amp;$J$3)</f>
        <v/>
      </c>
      <c r="E19" s="19">
        <f>C19-D19</f>
        <v/>
      </c>
      <c r="F19" s="20">
        <f>IF(C19=0,"",REPT("█",MIN(20,ROUND(D19/C19*20,0)))&amp;REPT("░",MAX(0,20-ROUND(D19/C19*20,0)))&amp;"  "&amp;TEXT(D19/C19,"0%"))</f>
        <v/>
      </c>
      <c r="G19" s="1" t="n"/>
      <c r="H19" s="24">
        <f>"Gardé en renonçant aux achats impulsifs : "&amp;FIXED(Envies!$H$6,2)</f>
        <v/>
      </c>
      <c r="I19" s="1" t="n"/>
    </row>
    <row r="20" ht="24" customHeight="1">
      <c r="A20" s="1" t="n"/>
      <c r="B20" s="17">
        <f>Budget!B13</f>
        <v/>
      </c>
      <c r="C20" s="18">
        <f>Budget!C13</f>
        <v/>
      </c>
      <c r="D20" s="18">
        <f>SUMIFS(Journal!$C$6:$C$1000,Journal!$E$6:$E$1000,B20,Journal!$D$6:$D$1000,"Dépense",Journal!$B$6:$B$1000,"&gt;="&amp;$J$2,Journal!$B$6:$B$1000,"&lt;="&amp;$J$3)</f>
        <v/>
      </c>
      <c r="E20" s="19">
        <f>C20-D20</f>
        <v/>
      </c>
      <c r="F20" s="20">
        <f>IF(C20=0,"",REPT("█",MIN(20,ROUND(D20/C20*20,0)))&amp;REPT("░",MAX(0,20-ROUND(D20/C20*20,0)))&amp;"  "&amp;TEXT(D20/C20,"0%"))</f>
        <v/>
      </c>
      <c r="G20" s="1" t="n"/>
      <c r="H20" s="1" t="n"/>
      <c r="I20" s="1" t="n"/>
    </row>
    <row r="21" ht="24" customHeight="1">
      <c r="A21" s="1" t="n"/>
      <c r="B21" s="17">
        <f>Budget!B14</f>
        <v/>
      </c>
      <c r="C21" s="18">
        <f>Budget!C14</f>
        <v/>
      </c>
      <c r="D21" s="18">
        <f>SUMIFS(Journal!$C$6:$C$1000,Journal!$E$6:$E$1000,B21,Journal!$D$6:$D$1000,"Dépense",Journal!$B$6:$B$1000,"&gt;="&amp;$J$2,Journal!$B$6:$B$1000,"&lt;="&amp;$J$3)</f>
        <v/>
      </c>
      <c r="E21" s="19">
        <f>C21-D21</f>
        <v/>
      </c>
      <c r="F21" s="20">
        <f>IF(C21=0,"",REPT("█",MIN(20,ROUND(D21/C21*20,0)))&amp;REPT("░",MAX(0,20-ROUND(D21/C21*20,0)))&amp;"  "&amp;TEXT(D21/C21,"0%"))</f>
        <v/>
      </c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</row>
  </sheetData>
  <conditionalFormatting sqref="E13:E21">
    <cfRule type="expression" priority="1" dxfId="0">
      <formula>$E13&lt;0</formula>
    </cfRule>
  </conditionalFormatting>
  <conditionalFormatting sqref="F13:F21">
    <cfRule type="expression" priority="2" dxfId="1">
      <formula>AND($C13&gt;0,$D13/$C13&gt;1)</formula>
    </cfRule>
    <cfRule type="expression" priority="3" dxfId="2">
      <formula>AND($C13&gt;0,$D13/$C13&gt;0.8,$D13/$C13&lt;=1)</formula>
    </cfRule>
  </conditionalFormatting>
  <conditionalFormatting sqref="H13">
    <cfRule type="expression" priority="4" dxfId="3">
      <formula>LEFT(H13,6)="Aucune"</formula>
    </cfRule>
  </conditionalFormatting>
  <conditionalFormatting sqref="H15">
    <cfRule type="expression" priority="5" dxfId="3">
      <formula>LEFT(H15,6)="Aucune"</formula>
    </cfRule>
  </conditionalFormatting>
  <conditionalFormatting sqref="H17">
    <cfRule type="expression" priority="6" dxfId="3">
      <formula>LEFT(H17,6)="Aucune"</formula>
    </cfRule>
  </conditionalFormatting>
  <dataValidations count="1">
    <dataValidation sqref="C5" showDropDown="0" showInputMessage="0" showErrorMessage="0" allowBlank="0" type="list">
      <formula1>"Janvier,Février,Mars,Avril,Mai,Juin,Juillet,Août,Septembre,Octobre,Novembre,Décembre"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90" customWidth="1" min="3" max="3"/>
  </cols>
  <sheetData>
    <row r="1">
      <c r="A1" s="1" t="n"/>
      <c r="B1" s="1" t="n"/>
      <c r="C1" s="1" t="n"/>
      <c r="D1" s="1" t="n"/>
    </row>
    <row r="2" ht="32" customHeight="1">
      <c r="A2" s="1" t="n"/>
      <c r="B2" s="2" t="inlineStr">
        <is>
          <t>Commencer ici</t>
        </is>
      </c>
      <c r="C2" s="1" t="n"/>
      <c r="D2" s="1" t="n"/>
    </row>
    <row r="3">
      <c r="A3" s="1" t="n"/>
      <c r="B3" s="3" t="inlineStr">
        <is>
          <t>Tapez uniquement dans les cases jaunes. Tout le reste est calculé.</t>
        </is>
      </c>
      <c r="C3" s="1" t="n"/>
      <c r="D3" s="1" t="n"/>
    </row>
    <row r="4">
      <c r="A4" s="1" t="n"/>
      <c r="B4" s="1" t="n"/>
      <c r="C4" s="1" t="n"/>
      <c r="D4" s="1" t="n"/>
    </row>
    <row r="5" ht="26" customHeight="1">
      <c r="A5" s="1" t="n"/>
      <c r="B5" s="25" t="inlineStr">
        <is>
          <t>1</t>
        </is>
      </c>
      <c r="C5" s="26" t="inlineStr">
        <is>
          <t>Onglet Budget : combien vous voulez dépenser par catégorie chaque mois.</t>
        </is>
      </c>
      <c r="D5" s="1" t="n"/>
    </row>
    <row r="6">
      <c r="A6" s="1" t="n"/>
      <c r="B6" s="1" t="n"/>
      <c r="C6" s="1" t="n"/>
      <c r="D6" s="1" t="n"/>
    </row>
    <row r="7" ht="26" customHeight="1">
      <c r="A7" s="1" t="n"/>
      <c r="B7" s="25" t="inlineStr">
        <is>
          <t>2</t>
        </is>
      </c>
      <c r="C7" s="26" t="inlineStr">
        <is>
          <t>Onglet Factures : listez vos factures une seule fois, avec le montant et le jour d'échéance.</t>
        </is>
      </c>
      <c r="D7" s="1" t="n"/>
    </row>
    <row r="8">
      <c r="A8" s="1" t="n"/>
      <c r="B8" s="1" t="n"/>
      <c r="C8" s="1" t="n"/>
      <c r="D8" s="1" t="n"/>
    </row>
    <row r="9" ht="26" customHeight="1">
      <c r="A9" s="1" t="n"/>
      <c r="B9" s="25" t="inlineStr">
        <is>
          <t>3</t>
        </is>
      </c>
      <c r="C9" s="26" t="inlineStr">
        <is>
          <t>Onglet Journal : à chaque dépense ou rentrée d'argent, ajoutez une ligne avec la date, le montant et la catégorie.</t>
        </is>
      </c>
      <c r="D9" s="1" t="n"/>
    </row>
    <row r="10">
      <c r="A10" s="1" t="n"/>
      <c r="B10" s="1" t="n"/>
      <c r="C10" s="1" t="n"/>
      <c r="D10" s="1" t="n"/>
    </row>
    <row r="11" ht="26" customHeight="1">
      <c r="A11" s="1" t="n"/>
      <c r="B11" s="25" t="inlineStr"/>
      <c r="C11" s="26" t="inlineStr"/>
      <c r="D11" s="1" t="n"/>
    </row>
    <row r="12">
      <c r="A12" s="1" t="n"/>
      <c r="B12" s="1" t="n"/>
      <c r="C12" s="1" t="n"/>
      <c r="D12" s="1" t="n"/>
    </row>
    <row r="13" ht="26" customHeight="1">
      <c r="A13" s="1" t="n"/>
      <c r="B13" s="25" t="inlineStr">
        <is>
          <t>4</t>
        </is>
      </c>
      <c r="C13" s="26" t="inlineStr">
        <is>
          <t>Tableau de bord : choisissez le mois. Le grand chiffre indique ce que vous pouvez dépenser par jour jusqu'à la fin du mois.</t>
        </is>
      </c>
      <c r="D13" s="1" t="n"/>
    </row>
    <row r="14">
      <c r="A14" s="1" t="n"/>
      <c r="B14" s="1" t="n"/>
      <c r="C14" s="1" t="n"/>
      <c r="D14" s="1" t="n"/>
    </row>
    <row r="15" ht="26" customHeight="1">
      <c r="A15" s="1" t="n"/>
      <c r="B15" s="25" t="inlineStr">
        <is>
          <t>5</t>
        </is>
      </c>
      <c r="C15" s="26" t="inlineStr">
        <is>
          <t>Envies : quand vous voulez acheter quelque chose, notez-le ici et attendez 48 heures.</t>
        </is>
      </c>
      <c r="D15" s="1" t="n"/>
    </row>
    <row r="16">
      <c r="A16" s="1" t="n"/>
      <c r="B16" s="1" t="n"/>
      <c r="C16" s="1" t="n"/>
      <c r="D16" s="1" t="n"/>
    </row>
    <row r="17" ht="26" customHeight="1">
      <c r="A17" s="1" t="n"/>
      <c r="B17" s="25" t="inlineStr">
        <is>
          <t>6</t>
        </is>
      </c>
      <c r="C17" s="26" t="inlineStr">
        <is>
          <t>Objectifs : mettez à jour ce que vous avez épargné et les barres se remplissent.</t>
        </is>
      </c>
      <c r="D17" s="1" t="n"/>
    </row>
    <row r="18">
      <c r="A18" s="1" t="n"/>
      <c r="B18" s="1" t="n"/>
      <c r="C18" s="1" t="n"/>
      <c r="D18" s="1" t="n"/>
    </row>
    <row r="19">
      <c r="A19" s="1" t="n"/>
      <c r="B19" s="1" t="n"/>
      <c r="C19" s="1" t="n"/>
      <c r="D19" s="1" t="n"/>
    </row>
    <row r="20">
      <c r="A20" s="1" t="n"/>
      <c r="B20" s="1" t="n"/>
      <c r="C20" s="1" t="n"/>
      <c r="D20" s="1" t="n"/>
    </row>
    <row r="21">
      <c r="A21" s="1" t="n"/>
      <c r="B21" s="1" t="n"/>
      <c r="C21" s="3" t="inlineStr">
        <is>
          <t>Les lignes d'exemple du Journal, des Factures et des Objectifs montrent comment ça marche. Supprimez-les et ajoutez les vôtres.</t>
        </is>
      </c>
      <c r="D21" s="1" t="n"/>
    </row>
    <row r="22">
      <c r="A22" s="1" t="n"/>
      <c r="B22" s="1" t="n"/>
      <c r="C22" s="1" t="n"/>
      <c r="D22" s="1" t="n"/>
    </row>
    <row r="23">
      <c r="A23" s="1" t="n"/>
      <c r="B23" s="1" t="n"/>
      <c r="C23" s="3" t="inlineStr">
        <is>
          <t>Fonctionne dans Google Sheets (Fichier &gt; Importer, ou ouvrez le fichier depuis Drive) et dans Microsoft Excel.</t>
        </is>
      </c>
      <c r="D23" s="1" t="n"/>
    </row>
    <row r="24">
      <c r="A24" s="1" t="n"/>
      <c r="B24" s="1" t="n"/>
      <c r="C24" s="1" t="n"/>
      <c r="D24" s="1" t="n"/>
    </row>
    <row r="25">
      <c r="A25" s="1" t="n"/>
      <c r="B25" s="1" t="n"/>
      <c r="C25" s="1" t="n"/>
      <c r="D25" s="1" t="n"/>
    </row>
    <row r="26">
      <c r="A26" s="1" t="n"/>
      <c r="B26" s="1" t="n"/>
      <c r="C26" s="1" t="n"/>
      <c r="D26" s="1" t="n"/>
    </row>
    <row r="27">
      <c r="A27" s="1" t="n"/>
      <c r="B27" s="1" t="n"/>
      <c r="C27" s="1" t="n"/>
      <c r="D27" s="1" t="n"/>
    </row>
    <row r="28">
      <c r="A28" s="1" t="n"/>
      <c r="B28" s="1" t="n"/>
      <c r="C28" s="1" t="n"/>
      <c r="D28" s="1" t="n"/>
    </row>
    <row r="29">
      <c r="A29" s="1" t="n"/>
      <c r="B29" s="1" t="n"/>
      <c r="C29" s="1" t="n"/>
      <c r="D29" s="1" t="n"/>
    </row>
    <row r="30">
      <c r="A30" s="1" t="n"/>
      <c r="B30" s="1" t="n"/>
      <c r="C30" s="1" t="n"/>
      <c r="D30" s="1" t="n"/>
    </row>
    <row r="31">
      <c r="A31" s="1" t="n"/>
      <c r="B31" s="1" t="n"/>
      <c r="C31" s="1" t="n"/>
      <c r="D31" s="1" t="n"/>
    </row>
    <row r="32">
      <c r="A32" s="1" t="n"/>
      <c r="B32" s="1" t="n"/>
      <c r="C32" s="1" t="n"/>
      <c r="D32" s="1" t="n"/>
    </row>
    <row r="33">
      <c r="A33" s="1" t="n"/>
      <c r="B33" s="1" t="n"/>
      <c r="C33" s="1" t="n"/>
      <c r="D33" s="1" t="n"/>
    </row>
    <row r="34">
      <c r="A34" s="1" t="n"/>
      <c r="B34" s="1" t="n"/>
      <c r="C34" s="1" t="n"/>
      <c r="D34" s="1" t="n"/>
    </row>
    <row r="35">
      <c r="A35" s="1" t="n"/>
      <c r="B35" s="1" t="n"/>
      <c r="C35" s="1" t="n"/>
      <c r="D35" s="1" t="n"/>
    </row>
    <row r="36">
      <c r="A36" s="1" t="n"/>
      <c r="B36" s="1" t="n"/>
      <c r="C36" s="1" t="n"/>
      <c r="D36" s="1" t="n"/>
    </row>
    <row r="37">
      <c r="A37" s="1" t="n"/>
      <c r="B37" s="1" t="n"/>
      <c r="C37" s="1" t="n"/>
      <c r="D37" s="1" t="n"/>
    </row>
    <row r="38">
      <c r="A38" s="1" t="n"/>
      <c r="B38" s="1" t="n"/>
      <c r="C38" s="1" t="n"/>
      <c r="D38" s="1" t="n"/>
    </row>
    <row r="39">
      <c r="A39" s="1" t="n"/>
      <c r="B39" s="1" t="n"/>
      <c r="C39" s="1" t="n"/>
      <c r="D39" s="1" t="n"/>
    </row>
    <row r="40">
      <c r="A40" s="1" t="n"/>
      <c r="B40" s="1" t="n"/>
      <c r="C40" s="1" t="n"/>
      <c r="D40" s="1" t="n"/>
    </row>
    <row r="41">
      <c r="A41" s="1" t="n"/>
      <c r="B41" s="1" t="n"/>
      <c r="C41" s="1" t="n"/>
      <c r="D41" s="1" t="n"/>
    </row>
    <row r="42">
      <c r="A42" s="1" t="n"/>
      <c r="B42" s="1" t="n"/>
      <c r="C42" s="1" t="n"/>
      <c r="D42" s="1" t="n"/>
    </row>
    <row r="43">
      <c r="A43" s="1" t="n"/>
      <c r="B43" s="1" t="n"/>
      <c r="C43" s="1" t="n"/>
      <c r="D43" s="1" t="n"/>
    </row>
    <row r="44">
      <c r="A44" s="1" t="n"/>
      <c r="B44" s="1" t="n"/>
      <c r="C44" s="1" t="n"/>
      <c r="D44" s="1" t="n"/>
    </row>
    <row r="45">
      <c r="A45" s="1" t="n"/>
      <c r="B45" s="1" t="n"/>
      <c r="C45" s="1" t="n"/>
      <c r="D45" s="1" t="n"/>
    </row>
    <row r="46">
      <c r="A46" s="1" t="n"/>
      <c r="B46" s="1" t="n"/>
      <c r="C46" s="1" t="n"/>
      <c r="D46" s="1" t="n"/>
    </row>
    <row r="47">
      <c r="A47" s="1" t="n"/>
      <c r="B47" s="1" t="n"/>
      <c r="C47" s="1" t="n"/>
      <c r="D47" s="1" t="n"/>
    </row>
    <row r="48">
      <c r="A48" s="1" t="n"/>
      <c r="B48" s="1" t="n"/>
      <c r="C48" s="1" t="n"/>
      <c r="D48" s="1" t="n"/>
    </row>
    <row r="49">
      <c r="A49" s="1" t="n"/>
      <c r="B49" s="1" t="n"/>
      <c r="C49" s="1" t="n"/>
      <c r="D49" s="1" t="n"/>
    </row>
    <row r="50">
      <c r="A50" s="1" t="n"/>
      <c r="B50" s="1" t="n"/>
      <c r="C50" s="1" t="n"/>
      <c r="D50" s="1" t="n"/>
    </row>
    <row r="51">
      <c r="A51" s="1" t="n"/>
      <c r="B51" s="1" t="n"/>
      <c r="C51" s="1" t="n"/>
      <c r="D51" s="1" t="n"/>
    </row>
    <row r="52">
      <c r="A52" s="1" t="n"/>
      <c r="B52" s="1" t="n"/>
      <c r="C52" s="1" t="n"/>
      <c r="D52" s="1" t="n"/>
    </row>
    <row r="53">
      <c r="A53" s="1" t="n"/>
      <c r="B53" s="1" t="n"/>
      <c r="C53" s="1" t="n"/>
      <c r="D53" s="1" t="n"/>
    </row>
    <row r="54">
      <c r="A54" s="1" t="n"/>
      <c r="B54" s="1" t="n"/>
      <c r="C54" s="1" t="n"/>
      <c r="D54" s="1" t="n"/>
    </row>
    <row r="55">
      <c r="A55" s="1" t="n"/>
      <c r="B55" s="1" t="n"/>
      <c r="C55" s="1" t="n"/>
      <c r="D55" s="1" t="n"/>
    </row>
    <row r="56">
      <c r="A56" s="1" t="n"/>
      <c r="B56" s="1" t="n"/>
      <c r="C56" s="1" t="n"/>
      <c r="D56" s="1" t="n"/>
    </row>
    <row r="57">
      <c r="A57" s="1" t="n"/>
      <c r="B57" s="1" t="n"/>
      <c r="C57" s="1" t="n"/>
      <c r="D57" s="1" t="n"/>
    </row>
    <row r="58">
      <c r="A58" s="1" t="n"/>
      <c r="B58" s="1" t="n"/>
      <c r="C58" s="1" t="n"/>
      <c r="D58" s="1" t="n"/>
    </row>
    <row r="59">
      <c r="A59" s="1" t="n"/>
      <c r="B59" s="1" t="n"/>
      <c r="C59" s="1" t="n"/>
      <c r="D59" s="1" t="n"/>
    </row>
    <row r="60">
      <c r="A60" s="1" t="n"/>
      <c r="B60" s="1" t="n"/>
      <c r="C60" s="1" t="n"/>
      <c r="D60" s="1" t="n"/>
    </row>
    <row r="61">
      <c r="A61" s="1" t="n"/>
      <c r="B61" s="1" t="n"/>
      <c r="C61" s="1" t="n"/>
      <c r="D61" s="1" t="n"/>
    </row>
    <row r="62">
      <c r="A62" s="1" t="n"/>
      <c r="B62" s="1" t="n"/>
      <c r="C62" s="1" t="n"/>
      <c r="D62" s="1" t="n"/>
    </row>
    <row r="63">
      <c r="A63" s="1" t="n"/>
      <c r="B63" s="1" t="n"/>
      <c r="C63" s="1" t="n"/>
      <c r="D63" s="1" t="n"/>
    </row>
    <row r="64">
      <c r="A64" s="1" t="n"/>
      <c r="B64" s="1" t="n"/>
      <c r="C64" s="1" t="n"/>
      <c r="D64" s="1" t="n"/>
    </row>
    <row r="65">
      <c r="A65" s="1" t="n"/>
      <c r="B65" s="1" t="n"/>
      <c r="C65" s="1" t="n"/>
      <c r="D65" s="1" t="n"/>
    </row>
    <row r="66">
      <c r="A66" s="1" t="n"/>
      <c r="B66" s="1" t="n"/>
      <c r="C66" s="1" t="n"/>
      <c r="D66" s="1" t="n"/>
    </row>
    <row r="67">
      <c r="A67" s="1" t="n"/>
      <c r="B67" s="1" t="n"/>
      <c r="C67" s="1" t="n"/>
      <c r="D67" s="1" t="n"/>
    </row>
    <row r="68">
      <c r="A68" s="1" t="n"/>
      <c r="B68" s="1" t="n"/>
      <c r="C68" s="1" t="n"/>
      <c r="D68" s="1" t="n"/>
    </row>
    <row r="69">
      <c r="A69" s="1" t="n"/>
      <c r="B69" s="1" t="n"/>
      <c r="C69" s="1" t="n"/>
      <c r="D69" s="1" t="n"/>
    </row>
    <row r="70">
      <c r="A70" s="1" t="n"/>
      <c r="B70" s="1" t="n"/>
      <c r="C70" s="1" t="n"/>
      <c r="D70" s="1" t="n"/>
    </row>
    <row r="71">
      <c r="A71" s="1" t="n"/>
      <c r="B71" s="1" t="n"/>
      <c r="C71" s="1" t="n"/>
      <c r="D71" s="1" t="n"/>
    </row>
    <row r="72">
      <c r="A72" s="1" t="n"/>
      <c r="B72" s="1" t="n"/>
      <c r="C72" s="1" t="n"/>
      <c r="D72" s="1" t="n"/>
    </row>
    <row r="73">
      <c r="A73" s="1" t="n"/>
      <c r="B73" s="1" t="n"/>
      <c r="C73" s="1" t="n"/>
      <c r="D73" s="1" t="n"/>
    </row>
    <row r="74">
      <c r="A74" s="1" t="n"/>
      <c r="B74" s="1" t="n"/>
      <c r="C74" s="1" t="n"/>
      <c r="D74" s="1" t="n"/>
    </row>
    <row r="75">
      <c r="A75" s="1" t="n"/>
      <c r="B75" s="1" t="n"/>
      <c r="C75" s="1" t="n"/>
      <c r="D75" s="1" t="n"/>
    </row>
    <row r="76">
      <c r="A76" s="1" t="n"/>
      <c r="B76" s="1" t="n"/>
      <c r="C76" s="1" t="n"/>
      <c r="D76" s="1" t="n"/>
    </row>
    <row r="77">
      <c r="A77" s="1" t="n"/>
      <c r="B77" s="1" t="n"/>
      <c r="C77" s="1" t="n"/>
      <c r="D77" s="1" t="n"/>
    </row>
    <row r="78">
      <c r="A78" s="1" t="n"/>
      <c r="B78" s="1" t="n"/>
      <c r="C78" s="1" t="n"/>
      <c r="D78" s="1" t="n"/>
    </row>
    <row r="79">
      <c r="A79" s="1" t="n"/>
      <c r="B79" s="1" t="n"/>
      <c r="C79" s="1" t="n"/>
      <c r="D79" s="1" t="n"/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6" customWidth="1" min="3" max="3"/>
    <col width="4" customWidth="1" min="4" max="4"/>
    <col width="50" customWidth="1" min="5" max="5"/>
  </cols>
  <sheetData>
    <row r="1">
      <c r="A1" s="1" t="n"/>
      <c r="B1" s="1" t="n"/>
      <c r="C1" s="1" t="n"/>
      <c r="D1" s="1" t="n"/>
      <c r="E1" s="1" t="n"/>
      <c r="F1" s="1" t="n"/>
    </row>
    <row r="2" ht="32" customHeight="1">
      <c r="A2" s="1" t="n"/>
      <c r="B2" s="2" t="inlineStr">
        <is>
          <t>Budget mensuel</t>
        </is>
      </c>
      <c r="C2" s="1" t="n"/>
      <c r="D2" s="1" t="n"/>
      <c r="E2" s="1" t="n"/>
      <c r="F2" s="1" t="n"/>
    </row>
    <row r="3">
      <c r="A3" s="1" t="n"/>
      <c r="B3" s="3" t="inlineStr">
        <is>
          <t>Combien vous prévoyez de dépenser par catégorie, chaque mois.</t>
        </is>
      </c>
      <c r="C3" s="1" t="n"/>
      <c r="D3" s="1" t="n"/>
      <c r="E3" s="1" t="n"/>
      <c r="F3" s="1" t="n"/>
    </row>
    <row r="4">
      <c r="A4" s="1" t="n"/>
      <c r="B4" s="1" t="n"/>
      <c r="C4" s="1" t="n"/>
      <c r="D4" s="1" t="n"/>
      <c r="E4" s="1" t="n"/>
      <c r="F4" s="1" t="n"/>
    </row>
    <row r="5" ht="22" customHeight="1">
      <c r="A5" s="1" t="n"/>
      <c r="B5" s="15" t="inlineStr">
        <is>
          <t>Catégorie</t>
        </is>
      </c>
      <c r="C5" s="15" t="inlineStr">
        <is>
          <t>Budget mensuel</t>
        </is>
      </c>
      <c r="D5" s="1" t="n"/>
      <c r="E5" s="1" t="n"/>
      <c r="F5" s="1" t="n"/>
    </row>
    <row r="6">
      <c r="A6" s="1" t="n"/>
      <c r="B6" s="27" t="inlineStr">
        <is>
          <t>Loyer / Logement</t>
        </is>
      </c>
      <c r="C6" s="28" t="n">
        <v>900</v>
      </c>
      <c r="D6" s="1" t="n"/>
      <c r="E6" s="13" t="inlineStr">
        <is>
          <t>Renommez ou ajoutez des catégories ici : la liste du Journal et le Tableau de bord suivent.</t>
        </is>
      </c>
      <c r="F6" s="1" t="n"/>
    </row>
    <row r="7">
      <c r="A7" s="1" t="n"/>
      <c r="B7" s="27" t="inlineStr">
        <is>
          <t>Courses</t>
        </is>
      </c>
      <c r="C7" s="28" t="n">
        <v>350</v>
      </c>
      <c r="D7" s="1" t="n"/>
      <c r="E7" s="4" t="inlineStr">
        <is>
          <t>Épargne à mettre de côté chaque mois :</t>
        </is>
      </c>
      <c r="F7" s="1" t="n"/>
    </row>
    <row r="8">
      <c r="A8" s="1" t="n"/>
      <c r="B8" s="27" t="inlineStr">
        <is>
          <t>Restaurants</t>
        </is>
      </c>
      <c r="C8" s="28" t="n">
        <v>120</v>
      </c>
      <c r="D8" s="1" t="n"/>
      <c r="E8" s="28" t="n">
        <v>150</v>
      </c>
      <c r="F8" s="1" t="n"/>
    </row>
    <row r="9">
      <c r="A9" s="1" t="n"/>
      <c r="B9" s="27" t="inlineStr">
        <is>
          <t>Transports</t>
        </is>
      </c>
      <c r="C9" s="28" t="n">
        <v>110</v>
      </c>
      <c r="D9" s="1" t="n"/>
      <c r="E9" s="1" t="n"/>
      <c r="F9" s="1" t="n"/>
    </row>
    <row r="10">
      <c r="A10" s="1" t="n"/>
      <c r="B10" s="27" t="inlineStr">
        <is>
          <t>Abonnements</t>
        </is>
      </c>
      <c r="C10" s="28" t="n">
        <v>45</v>
      </c>
      <c r="D10" s="1" t="n"/>
      <c r="E10" s="1" t="n"/>
      <c r="F10" s="1" t="n"/>
    </row>
    <row r="11">
      <c r="A11" s="1" t="n"/>
      <c r="B11" s="27" t="inlineStr">
        <is>
          <t>Santé</t>
        </is>
      </c>
      <c r="C11" s="28" t="n">
        <v>60</v>
      </c>
      <c r="D11" s="1" t="n"/>
      <c r="E11" s="1" t="n"/>
      <c r="F11" s="1" t="n"/>
    </row>
    <row r="12">
      <c r="A12" s="1" t="n"/>
      <c r="B12" s="27" t="inlineStr">
        <is>
          <t>Loisirs</t>
        </is>
      </c>
      <c r="C12" s="28" t="n">
        <v>90</v>
      </c>
      <c r="D12" s="1" t="n"/>
      <c r="E12" s="1" t="n"/>
      <c r="F12" s="1" t="n"/>
    </row>
    <row r="13">
      <c r="A13" s="1" t="n"/>
      <c r="B13" s="27" t="inlineStr">
        <is>
          <t>Shopping</t>
        </is>
      </c>
      <c r="C13" s="28" t="n">
        <v>80</v>
      </c>
      <c r="D13" s="1" t="n"/>
      <c r="E13" s="1" t="n"/>
      <c r="F13" s="1" t="n"/>
    </row>
    <row r="14">
      <c r="A14" s="1" t="n"/>
      <c r="B14" s="27" t="inlineStr">
        <is>
          <t>Autre</t>
        </is>
      </c>
      <c r="C14" s="28" t="n">
        <v>60</v>
      </c>
      <c r="D14" s="1" t="n"/>
      <c r="E14" s="1" t="n"/>
      <c r="F14" s="1" t="n"/>
    </row>
    <row r="15">
      <c r="A15" s="1" t="n"/>
      <c r="B15" s="4" t="inlineStr">
        <is>
          <t>Total</t>
        </is>
      </c>
      <c r="C15" s="19">
        <f>SUM(C6:C14)</f>
        <v/>
      </c>
      <c r="D15" s="1" t="n"/>
      <c r="E15" s="1" t="n"/>
      <c r="F15" s="1" t="n"/>
    </row>
    <row r="16">
      <c r="A16" s="1" t="n"/>
      <c r="B16" s="1" t="n"/>
      <c r="C16" s="1" t="n"/>
      <c r="D16" s="1" t="n"/>
      <c r="E16" s="1" t="n"/>
      <c r="F16" s="1" t="n"/>
    </row>
    <row r="17">
      <c r="A17" s="1" t="n"/>
      <c r="B17" s="1" t="n"/>
      <c r="C17" s="1" t="n"/>
      <c r="D17" s="1" t="n"/>
      <c r="E17" s="1" t="n"/>
      <c r="F17" s="1" t="n"/>
    </row>
    <row r="18">
      <c r="A18" s="1" t="n"/>
      <c r="B18" s="1" t="n"/>
      <c r="C18" s="1" t="n"/>
      <c r="D18" s="1" t="n"/>
      <c r="E18" s="1" t="n"/>
      <c r="F18" s="1" t="n"/>
    </row>
    <row r="19">
      <c r="A19" s="1" t="n"/>
      <c r="B19" s="1" t="n"/>
      <c r="C19" s="1" t="n"/>
      <c r="D19" s="1" t="n"/>
      <c r="E19" s="1" t="n"/>
      <c r="F19" s="1" t="n"/>
    </row>
    <row r="20">
      <c r="A20" s="1" t="n"/>
      <c r="B20" s="1" t="n"/>
      <c r="C20" s="1" t="n"/>
      <c r="D20" s="1" t="n"/>
      <c r="E20" s="1" t="n"/>
      <c r="F20" s="1" t="n"/>
    </row>
    <row r="21">
      <c r="A21" s="1" t="n"/>
      <c r="B21" s="1" t="n"/>
      <c r="C21" s="1" t="n"/>
      <c r="D21" s="1" t="n"/>
      <c r="E21" s="1" t="n"/>
      <c r="F21" s="1" t="n"/>
    </row>
    <row r="22">
      <c r="A22" s="1" t="n"/>
      <c r="B22" s="1" t="n"/>
      <c r="C22" s="1" t="n"/>
      <c r="D22" s="1" t="n"/>
      <c r="E22" s="1" t="n"/>
      <c r="F22" s="1" t="n"/>
    </row>
    <row r="23">
      <c r="A23" s="1" t="n"/>
      <c r="B23" s="1" t="n"/>
      <c r="C23" s="1" t="n"/>
      <c r="D23" s="1" t="n"/>
      <c r="E23" s="1" t="n"/>
      <c r="F23" s="1" t="n"/>
    </row>
    <row r="24">
      <c r="A24" s="1" t="n"/>
      <c r="B24" s="1" t="n"/>
      <c r="C24" s="1" t="n"/>
      <c r="D24" s="1" t="n"/>
      <c r="E24" s="1" t="n"/>
      <c r="F24" s="1" t="n"/>
    </row>
    <row r="25">
      <c r="A25" s="1" t="n"/>
      <c r="B25" s="1" t="n"/>
      <c r="C25" s="1" t="n"/>
      <c r="D25" s="1" t="n"/>
      <c r="E25" s="1" t="n"/>
      <c r="F25" s="1" t="n"/>
    </row>
    <row r="26">
      <c r="A26" s="1" t="n"/>
      <c r="B26" s="1" t="n"/>
      <c r="C26" s="1" t="n"/>
      <c r="D26" s="1" t="n"/>
      <c r="E26" s="1" t="n"/>
      <c r="F26" s="1" t="n"/>
    </row>
    <row r="27">
      <c r="A27" s="1" t="n"/>
      <c r="B27" s="1" t="n"/>
      <c r="C27" s="1" t="n"/>
      <c r="D27" s="1" t="n"/>
      <c r="E27" s="1" t="n"/>
      <c r="F27" s="1" t="n"/>
    </row>
    <row r="28">
      <c r="A28" s="1" t="n"/>
      <c r="B28" s="1" t="n"/>
      <c r="C28" s="1" t="n"/>
      <c r="D28" s="1" t="n"/>
      <c r="E28" s="1" t="n"/>
      <c r="F28" s="1" t="n"/>
    </row>
    <row r="29">
      <c r="A29" s="1" t="n"/>
      <c r="B29" s="1" t="n"/>
      <c r="C29" s="1" t="n"/>
      <c r="D29" s="1" t="n"/>
      <c r="E29" s="1" t="n"/>
      <c r="F29" s="1" t="n"/>
    </row>
    <row r="30">
      <c r="A30" s="1" t="n"/>
      <c r="B30" s="1" t="n"/>
      <c r="C30" s="1" t="n"/>
      <c r="D30" s="1" t="n"/>
      <c r="E30" s="1" t="n"/>
      <c r="F30" s="1" t="n"/>
    </row>
    <row r="31">
      <c r="A31" s="1" t="n"/>
      <c r="B31" s="1" t="n"/>
      <c r="C31" s="1" t="n"/>
      <c r="D31" s="1" t="n"/>
      <c r="E31" s="1" t="n"/>
      <c r="F31" s="1" t="n"/>
    </row>
    <row r="32">
      <c r="A32" s="1" t="n"/>
      <c r="B32" s="1" t="n"/>
      <c r="C32" s="1" t="n"/>
      <c r="D32" s="1" t="n"/>
      <c r="E32" s="1" t="n"/>
      <c r="F32" s="1" t="n"/>
    </row>
    <row r="33">
      <c r="A33" s="1" t="n"/>
      <c r="B33" s="1" t="n"/>
      <c r="C33" s="1" t="n"/>
      <c r="D33" s="1" t="n"/>
      <c r="E33" s="1" t="n"/>
      <c r="F33" s="1" t="n"/>
    </row>
    <row r="34">
      <c r="A34" s="1" t="n"/>
      <c r="B34" s="1" t="n"/>
      <c r="C34" s="1" t="n"/>
      <c r="D34" s="1" t="n"/>
      <c r="E34" s="1" t="n"/>
      <c r="F34" s="1" t="n"/>
    </row>
    <row r="35">
      <c r="A35" s="1" t="n"/>
      <c r="B35" s="1" t="n"/>
      <c r="C35" s="1" t="n"/>
      <c r="D35" s="1" t="n"/>
      <c r="E35" s="1" t="n"/>
      <c r="F35" s="1" t="n"/>
    </row>
    <row r="36">
      <c r="A36" s="1" t="n"/>
      <c r="B36" s="1" t="n"/>
      <c r="C36" s="1" t="n"/>
      <c r="D36" s="1" t="n"/>
      <c r="E36" s="1" t="n"/>
      <c r="F36" s="1" t="n"/>
    </row>
    <row r="37">
      <c r="A37" s="1" t="n"/>
      <c r="B37" s="1" t="n"/>
      <c r="C37" s="1" t="n"/>
      <c r="D37" s="1" t="n"/>
      <c r="E37" s="1" t="n"/>
      <c r="F37" s="1" t="n"/>
    </row>
    <row r="38">
      <c r="A38" s="1" t="n"/>
      <c r="B38" s="1" t="n"/>
      <c r="C38" s="1" t="n"/>
      <c r="D38" s="1" t="n"/>
      <c r="E38" s="1" t="n"/>
      <c r="F38" s="1" t="n"/>
    </row>
    <row r="39">
      <c r="A39" s="1" t="n"/>
      <c r="B39" s="1" t="n"/>
      <c r="C39" s="1" t="n"/>
      <c r="D39" s="1" t="n"/>
      <c r="E39" s="1" t="n"/>
      <c r="F39" s="1" t="n"/>
    </row>
    <row r="40">
      <c r="A40" s="1" t="n"/>
      <c r="B40" s="1" t="n"/>
      <c r="C40" s="1" t="n"/>
      <c r="D40" s="1" t="n"/>
      <c r="E40" s="1" t="n"/>
      <c r="F40" s="1" t="n"/>
    </row>
    <row r="41">
      <c r="A41" s="1" t="n"/>
      <c r="B41" s="1" t="n"/>
      <c r="C41" s="1" t="n"/>
      <c r="D41" s="1" t="n"/>
      <c r="E41" s="1" t="n"/>
      <c r="F41" s="1" t="n"/>
    </row>
    <row r="42">
      <c r="A42" s="1" t="n"/>
      <c r="B42" s="1" t="n"/>
      <c r="C42" s="1" t="n"/>
      <c r="D42" s="1" t="n"/>
      <c r="E42" s="1" t="n"/>
      <c r="F42" s="1" t="n"/>
    </row>
    <row r="43">
      <c r="A43" s="1" t="n"/>
      <c r="B43" s="1" t="n"/>
      <c r="C43" s="1" t="n"/>
      <c r="D43" s="1" t="n"/>
      <c r="E43" s="1" t="n"/>
      <c r="F43" s="1" t="n"/>
    </row>
    <row r="44">
      <c r="A44" s="1" t="n"/>
      <c r="B44" s="1" t="n"/>
      <c r="C44" s="1" t="n"/>
      <c r="D44" s="1" t="n"/>
      <c r="E44" s="1" t="n"/>
      <c r="F44" s="1" t="n"/>
    </row>
    <row r="45">
      <c r="A45" s="1" t="n"/>
      <c r="B45" s="1" t="n"/>
      <c r="C45" s="1" t="n"/>
      <c r="D45" s="1" t="n"/>
      <c r="E45" s="1" t="n"/>
      <c r="F45" s="1" t="n"/>
    </row>
    <row r="46">
      <c r="A46" s="1" t="n"/>
      <c r="B46" s="1" t="n"/>
      <c r="C46" s="1" t="n"/>
      <c r="D46" s="1" t="n"/>
      <c r="E46" s="1" t="n"/>
      <c r="F46" s="1" t="n"/>
    </row>
    <row r="47">
      <c r="A47" s="1" t="n"/>
      <c r="B47" s="1" t="n"/>
      <c r="C47" s="1" t="n"/>
      <c r="D47" s="1" t="n"/>
      <c r="E47" s="1" t="n"/>
      <c r="F47" s="1" t="n"/>
    </row>
    <row r="48">
      <c r="A48" s="1" t="n"/>
      <c r="B48" s="1" t="n"/>
      <c r="C48" s="1" t="n"/>
      <c r="D48" s="1" t="n"/>
      <c r="E48" s="1" t="n"/>
      <c r="F48" s="1" t="n"/>
    </row>
    <row r="49">
      <c r="A49" s="1" t="n"/>
      <c r="B49" s="1" t="n"/>
      <c r="C49" s="1" t="n"/>
      <c r="D49" s="1" t="n"/>
      <c r="E49" s="1" t="n"/>
      <c r="F49" s="1" t="n"/>
    </row>
    <row r="50">
      <c r="A50" s="1" t="n"/>
      <c r="B50" s="1" t="n"/>
      <c r="C50" s="1" t="n"/>
      <c r="D50" s="1" t="n"/>
      <c r="E50" s="1" t="n"/>
      <c r="F50" s="1" t="n"/>
    </row>
    <row r="51">
      <c r="A51" s="1" t="n"/>
      <c r="B51" s="1" t="n"/>
      <c r="C51" s="1" t="n"/>
      <c r="D51" s="1" t="n"/>
      <c r="E51" s="1" t="n"/>
      <c r="F51" s="1" t="n"/>
    </row>
    <row r="52">
      <c r="A52" s="1" t="n"/>
      <c r="B52" s="1" t="n"/>
      <c r="C52" s="1" t="n"/>
      <c r="D52" s="1" t="n"/>
      <c r="E52" s="1" t="n"/>
      <c r="F52" s="1" t="n"/>
    </row>
    <row r="53">
      <c r="A53" s="1" t="n"/>
      <c r="B53" s="1" t="n"/>
      <c r="C53" s="1" t="n"/>
      <c r="D53" s="1" t="n"/>
      <c r="E53" s="1" t="n"/>
      <c r="F53" s="1" t="n"/>
    </row>
    <row r="54">
      <c r="A54" s="1" t="n"/>
      <c r="B54" s="1" t="n"/>
      <c r="C54" s="1" t="n"/>
      <c r="D54" s="1" t="n"/>
      <c r="E54" s="1" t="n"/>
      <c r="F54" s="1" t="n"/>
    </row>
    <row r="55">
      <c r="A55" s="1" t="n"/>
      <c r="B55" s="1" t="n"/>
      <c r="C55" s="1" t="n"/>
      <c r="D55" s="1" t="n"/>
      <c r="E55" s="1" t="n"/>
      <c r="F55" s="1" t="n"/>
    </row>
    <row r="56">
      <c r="A56" s="1" t="n"/>
      <c r="B56" s="1" t="n"/>
      <c r="C56" s="1" t="n"/>
      <c r="D56" s="1" t="n"/>
      <c r="E56" s="1" t="n"/>
      <c r="F56" s="1" t="n"/>
    </row>
    <row r="57">
      <c r="A57" s="1" t="n"/>
      <c r="B57" s="1" t="n"/>
      <c r="C57" s="1" t="n"/>
      <c r="D57" s="1" t="n"/>
      <c r="E57" s="1" t="n"/>
      <c r="F57" s="1" t="n"/>
    </row>
    <row r="58">
      <c r="A58" s="1" t="n"/>
      <c r="B58" s="1" t="n"/>
      <c r="C58" s="1" t="n"/>
      <c r="D58" s="1" t="n"/>
      <c r="E58" s="1" t="n"/>
      <c r="F58" s="1" t="n"/>
    </row>
    <row r="59">
      <c r="A59" s="1" t="n"/>
      <c r="B59" s="1" t="n"/>
      <c r="C59" s="1" t="n"/>
      <c r="D59" s="1" t="n"/>
      <c r="E59" s="1" t="n"/>
      <c r="F59" s="1" t="n"/>
    </row>
    <row r="60">
      <c r="A60" s="1" t="n"/>
      <c r="B60" s="1" t="n"/>
      <c r="C60" s="1" t="n"/>
      <c r="D60" s="1" t="n"/>
      <c r="E60" s="1" t="n"/>
      <c r="F60" s="1" t="n"/>
    </row>
    <row r="61">
      <c r="A61" s="1" t="n"/>
      <c r="B61" s="1" t="n"/>
      <c r="C61" s="1" t="n"/>
      <c r="D61" s="1" t="n"/>
      <c r="E61" s="1" t="n"/>
      <c r="F61" s="1" t="n"/>
    </row>
    <row r="62">
      <c r="A62" s="1" t="n"/>
      <c r="B62" s="1" t="n"/>
      <c r="C62" s="1" t="n"/>
      <c r="D62" s="1" t="n"/>
      <c r="E62" s="1" t="n"/>
      <c r="F62" s="1" t="n"/>
    </row>
    <row r="63">
      <c r="A63" s="1" t="n"/>
      <c r="B63" s="1" t="n"/>
      <c r="C63" s="1" t="n"/>
      <c r="D63" s="1" t="n"/>
      <c r="E63" s="1" t="n"/>
      <c r="F63" s="1" t="n"/>
    </row>
    <row r="64">
      <c r="A64" s="1" t="n"/>
      <c r="B64" s="1" t="n"/>
      <c r="C64" s="1" t="n"/>
      <c r="D64" s="1" t="n"/>
      <c r="E64" s="1" t="n"/>
      <c r="F64" s="1" t="n"/>
    </row>
    <row r="65">
      <c r="A65" s="1" t="n"/>
      <c r="B65" s="1" t="n"/>
      <c r="C65" s="1" t="n"/>
      <c r="D65" s="1" t="n"/>
      <c r="E65" s="1" t="n"/>
      <c r="F65" s="1" t="n"/>
    </row>
    <row r="66">
      <c r="A66" s="1" t="n"/>
      <c r="B66" s="1" t="n"/>
      <c r="C66" s="1" t="n"/>
      <c r="D66" s="1" t="n"/>
      <c r="E66" s="1" t="n"/>
      <c r="F66" s="1" t="n"/>
    </row>
    <row r="67">
      <c r="A67" s="1" t="n"/>
      <c r="B67" s="1" t="n"/>
      <c r="C67" s="1" t="n"/>
      <c r="D67" s="1" t="n"/>
      <c r="E67" s="1" t="n"/>
      <c r="F67" s="1" t="n"/>
    </row>
    <row r="68">
      <c r="A68" s="1" t="n"/>
      <c r="B68" s="1" t="n"/>
      <c r="C68" s="1" t="n"/>
      <c r="D68" s="1" t="n"/>
      <c r="E68" s="1" t="n"/>
      <c r="F68" s="1" t="n"/>
    </row>
    <row r="69">
      <c r="A69" s="1" t="n"/>
      <c r="B69" s="1" t="n"/>
      <c r="C69" s="1" t="n"/>
      <c r="D69" s="1" t="n"/>
      <c r="E69" s="1" t="n"/>
      <c r="F69" s="1" t="n"/>
    </row>
    <row r="70">
      <c r="A70" s="1" t="n"/>
      <c r="B70" s="1" t="n"/>
      <c r="C70" s="1" t="n"/>
      <c r="D70" s="1" t="n"/>
      <c r="E70" s="1" t="n"/>
      <c r="F70" s="1" t="n"/>
    </row>
    <row r="71">
      <c r="A71" s="1" t="n"/>
      <c r="B71" s="1" t="n"/>
      <c r="C71" s="1" t="n"/>
      <c r="D71" s="1" t="n"/>
      <c r="E71" s="1" t="n"/>
      <c r="F71" s="1" t="n"/>
    </row>
    <row r="72">
      <c r="A72" s="1" t="n"/>
      <c r="B72" s="1" t="n"/>
      <c r="C72" s="1" t="n"/>
      <c r="D72" s="1" t="n"/>
      <c r="E72" s="1" t="n"/>
      <c r="F72" s="1" t="n"/>
    </row>
    <row r="73">
      <c r="A73" s="1" t="n"/>
      <c r="B73" s="1" t="n"/>
      <c r="C73" s="1" t="n"/>
      <c r="D73" s="1" t="n"/>
      <c r="E73" s="1" t="n"/>
      <c r="F73" s="1" t="n"/>
    </row>
    <row r="74">
      <c r="A74" s="1" t="n"/>
      <c r="B74" s="1" t="n"/>
      <c r="C74" s="1" t="n"/>
      <c r="D74" s="1" t="n"/>
      <c r="E74" s="1" t="n"/>
      <c r="F74" s="1" t="n"/>
    </row>
    <row r="75">
      <c r="A75" s="1" t="n"/>
      <c r="B75" s="1" t="n"/>
      <c r="C75" s="1" t="n"/>
      <c r="D75" s="1" t="n"/>
      <c r="E75" s="1" t="n"/>
      <c r="F75" s="1" t="n"/>
    </row>
    <row r="76">
      <c r="A76" s="1" t="n"/>
      <c r="B76" s="1" t="n"/>
      <c r="C76" s="1" t="n"/>
      <c r="D76" s="1" t="n"/>
      <c r="E76" s="1" t="n"/>
      <c r="F76" s="1" t="n"/>
    </row>
    <row r="77">
      <c r="A77" s="1" t="n"/>
      <c r="B77" s="1" t="n"/>
      <c r="C77" s="1" t="n"/>
      <c r="D77" s="1" t="n"/>
      <c r="E77" s="1" t="n"/>
      <c r="F77" s="1" t="n"/>
    </row>
    <row r="78">
      <c r="A78" s="1" t="n"/>
      <c r="B78" s="1" t="n"/>
      <c r="C78" s="1" t="n"/>
      <c r="D78" s="1" t="n"/>
      <c r="E78" s="1" t="n"/>
      <c r="F78" s="1" t="n"/>
    </row>
    <row r="79">
      <c r="A79" s="1" t="n"/>
      <c r="B79" s="1" t="n"/>
      <c r="C79" s="1" t="n"/>
      <c r="D79" s="1" t="n"/>
      <c r="E79" s="1" t="n"/>
      <c r="F79" s="1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13" customWidth="1" min="3" max="3"/>
    <col width="11" customWidth="1" min="4" max="4"/>
    <col width="22" customWidth="1" min="5" max="5"/>
    <col width="34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Journal : une ligne par achat ou rentrée d'argent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Date, montant, type, catégorie, et une note si vous voulez.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22" customHeight="1">
      <c r="A5" s="1" t="n"/>
      <c r="B5" s="15" t="inlineStr">
        <is>
          <t>Date</t>
        </is>
      </c>
      <c r="C5" s="15" t="inlineStr">
        <is>
          <t>Montant</t>
        </is>
      </c>
      <c r="D5" s="15" t="inlineStr">
        <is>
          <t>Type</t>
        </is>
      </c>
      <c r="E5" s="15" t="inlineStr">
        <is>
          <t>Catégorie</t>
        </is>
      </c>
      <c r="F5" s="15" t="inlineStr">
        <is>
          <t>Note</t>
        </is>
      </c>
      <c r="G5" s="1" t="n"/>
    </row>
    <row r="6">
      <c r="A6" s="1" t="n"/>
      <c r="B6" s="29" t="n">
        <v>46266</v>
      </c>
      <c r="C6" s="28" t="n">
        <v>2100</v>
      </c>
      <c r="D6" s="27" t="inlineStr">
        <is>
          <t>Revenu</t>
        </is>
      </c>
      <c r="E6" s="27" t="inlineStr"/>
      <c r="F6" s="27" t="inlineStr">
        <is>
          <t>Salaire</t>
        </is>
      </c>
      <c r="G6" s="1" t="n"/>
    </row>
    <row r="7">
      <c r="A7" s="1" t="n"/>
      <c r="B7" s="29" t="n">
        <v>46266</v>
      </c>
      <c r="C7" s="28" t="n">
        <v>900</v>
      </c>
      <c r="D7" s="27" t="inlineStr">
        <is>
          <t>Dépense</t>
        </is>
      </c>
      <c r="E7" s="27" t="inlineStr">
        <is>
          <t>Loyer / Logement</t>
        </is>
      </c>
      <c r="F7" s="27" t="inlineStr">
        <is>
          <t>Loyer</t>
        </is>
      </c>
      <c r="G7" s="1" t="n"/>
    </row>
    <row r="8">
      <c r="A8" s="1" t="n"/>
      <c r="B8" s="29" t="n">
        <v>46267</v>
      </c>
      <c r="C8" s="28" t="n">
        <v>64.3</v>
      </c>
      <c r="D8" s="27" t="inlineStr">
        <is>
          <t>Dépense</t>
        </is>
      </c>
      <c r="E8" s="27" t="inlineStr">
        <is>
          <t>Courses</t>
        </is>
      </c>
      <c r="F8" s="27" t="inlineStr">
        <is>
          <t>Supermarché</t>
        </is>
      </c>
      <c r="G8" s="1" t="n"/>
    </row>
    <row r="9">
      <c r="A9" s="1" t="n"/>
      <c r="B9" s="29" t="n">
        <v>46268</v>
      </c>
      <c r="C9" s="28" t="n">
        <v>12.5</v>
      </c>
      <c r="D9" s="27" t="inlineStr">
        <is>
          <t>Dépense</t>
        </is>
      </c>
      <c r="E9" s="27" t="inlineStr">
        <is>
          <t>Restaurants</t>
        </is>
      </c>
      <c r="F9" s="27" t="inlineStr">
        <is>
          <t>Déjeuner</t>
        </is>
      </c>
      <c r="G9" s="1" t="n"/>
    </row>
    <row r="10">
      <c r="A10" s="1" t="n"/>
      <c r="B10" s="29" t="n">
        <v>46269</v>
      </c>
      <c r="C10" s="28" t="n">
        <v>9.99</v>
      </c>
      <c r="D10" s="27" t="inlineStr">
        <is>
          <t>Dépense</t>
        </is>
      </c>
      <c r="E10" s="27" t="inlineStr">
        <is>
          <t>Abonnements</t>
        </is>
      </c>
      <c r="F10" s="27" t="inlineStr">
        <is>
          <t>Musique</t>
        </is>
      </c>
      <c r="G10" s="1" t="n"/>
    </row>
    <row r="11">
      <c r="A11" s="1" t="n"/>
      <c r="B11" s="29" t="n">
        <v>46270</v>
      </c>
      <c r="C11" s="28" t="n">
        <v>38</v>
      </c>
      <c r="D11" s="27" t="inlineStr">
        <is>
          <t>Dépense</t>
        </is>
      </c>
      <c r="E11" s="27" t="inlineStr">
        <is>
          <t>Transports</t>
        </is>
      </c>
      <c r="F11" s="27" t="inlineStr">
        <is>
          <t>Pass mensuel</t>
        </is>
      </c>
      <c r="G11" s="1" t="n"/>
    </row>
    <row r="12">
      <c r="A12" s="1" t="n"/>
      <c r="B12" s="29" t="n">
        <v>46271</v>
      </c>
      <c r="C12" s="28" t="n">
        <v>23.9</v>
      </c>
      <c r="D12" s="27" t="inlineStr">
        <is>
          <t>Dépense</t>
        </is>
      </c>
      <c r="E12" s="27" t="inlineStr">
        <is>
          <t>Loisirs</t>
        </is>
      </c>
      <c r="F12" s="27" t="inlineStr">
        <is>
          <t>Cinéma + snacks</t>
        </is>
      </c>
      <c r="G12" s="1" t="n"/>
    </row>
    <row r="13">
      <c r="A13" s="1" t="n"/>
      <c r="B13" s="29" t="n">
        <v>46273</v>
      </c>
      <c r="C13" s="28" t="n">
        <v>71.2</v>
      </c>
      <c r="D13" s="27" t="inlineStr">
        <is>
          <t>Dépense</t>
        </is>
      </c>
      <c r="E13" s="27" t="inlineStr">
        <is>
          <t>Courses</t>
        </is>
      </c>
      <c r="F13" s="27" t="inlineStr">
        <is>
          <t>Courses de la semaine</t>
        </is>
      </c>
      <c r="G13" s="1" t="n"/>
    </row>
    <row r="14">
      <c r="A14" s="1" t="n"/>
      <c r="B14" s="29" t="n">
        <v>46274</v>
      </c>
      <c r="C14" s="28" t="n">
        <v>18</v>
      </c>
      <c r="D14" s="27" t="inlineStr">
        <is>
          <t>Dépense</t>
        </is>
      </c>
      <c r="E14" s="27" t="inlineStr">
        <is>
          <t>Restaurants</t>
        </is>
      </c>
      <c r="F14" s="27" t="inlineStr">
        <is>
          <t>Pizza</t>
        </is>
      </c>
      <c r="G14" s="1" t="n"/>
    </row>
    <row r="15">
      <c r="A15" s="1" t="n"/>
      <c r="B15" s="29" t="n">
        <v>46275</v>
      </c>
      <c r="C15" s="28" t="n">
        <v>45</v>
      </c>
      <c r="D15" s="27" t="inlineStr">
        <is>
          <t>Dépense</t>
        </is>
      </c>
      <c r="E15" s="27" t="inlineStr">
        <is>
          <t>Shopping</t>
        </is>
      </c>
      <c r="F15" s="27" t="inlineStr">
        <is>
          <t>Chaussures, passées par la liste Envies</t>
        </is>
      </c>
      <c r="G15" s="1" t="n"/>
    </row>
    <row r="16">
      <c r="A16" s="1" t="n"/>
      <c r="B16" s="29" t="n">
        <v>46277</v>
      </c>
      <c r="C16" s="28" t="n">
        <v>15.49</v>
      </c>
      <c r="D16" s="27" t="inlineStr">
        <is>
          <t>Dépense</t>
        </is>
      </c>
      <c r="E16" s="27" t="inlineStr">
        <is>
          <t>Abonnements</t>
        </is>
      </c>
      <c r="F16" s="27" t="inlineStr">
        <is>
          <t>Streaming</t>
        </is>
      </c>
      <c r="G16" s="1" t="n"/>
    </row>
    <row r="17">
      <c r="A17" s="1" t="n"/>
      <c r="B17" s="29" t="n">
        <v>46278</v>
      </c>
      <c r="C17" s="28" t="n">
        <v>30</v>
      </c>
      <c r="D17" s="27" t="inlineStr">
        <is>
          <t>Dépense</t>
        </is>
      </c>
      <c r="E17" s="27" t="inlineStr">
        <is>
          <t>Santé</t>
        </is>
      </c>
      <c r="F17" s="27" t="inlineStr">
        <is>
          <t>Pharmacie</t>
        </is>
      </c>
      <c r="G17" s="1" t="n"/>
    </row>
    <row r="18">
      <c r="A18" s="1" t="n"/>
      <c r="B18" s="29" t="n"/>
      <c r="C18" s="28" t="n"/>
      <c r="D18" s="27" t="n"/>
      <c r="E18" s="27" t="n"/>
      <c r="F18" s="27" t="n"/>
      <c r="G18" s="1" t="n"/>
    </row>
    <row r="19">
      <c r="A19" s="1" t="n"/>
      <c r="B19" s="29" t="n"/>
      <c r="C19" s="28" t="n"/>
      <c r="D19" s="27" t="n"/>
      <c r="E19" s="27" t="n"/>
      <c r="F19" s="27" t="n"/>
      <c r="G19" s="1" t="n"/>
    </row>
    <row r="20">
      <c r="A20" s="1" t="n"/>
      <c r="B20" s="29" t="n"/>
      <c r="C20" s="28" t="n"/>
      <c r="D20" s="27" t="n"/>
      <c r="E20" s="27" t="n"/>
      <c r="F20" s="27" t="n"/>
      <c r="G20" s="1" t="n"/>
    </row>
    <row r="21">
      <c r="A21" s="1" t="n"/>
      <c r="B21" s="29" t="n"/>
      <c r="C21" s="28" t="n"/>
      <c r="D21" s="27" t="n"/>
      <c r="E21" s="27" t="n"/>
      <c r="F21" s="27" t="n"/>
      <c r="G21" s="1" t="n"/>
    </row>
    <row r="22">
      <c r="A22" s="1" t="n"/>
      <c r="B22" s="29" t="n"/>
      <c r="C22" s="28" t="n"/>
      <c r="D22" s="27" t="n"/>
      <c r="E22" s="27" t="n"/>
      <c r="F22" s="27" t="n"/>
      <c r="G22" s="1" t="n"/>
    </row>
    <row r="23">
      <c r="A23" s="1" t="n"/>
      <c r="B23" s="29" t="n"/>
      <c r="C23" s="28" t="n"/>
      <c r="D23" s="27" t="n"/>
      <c r="E23" s="27" t="n"/>
      <c r="F23" s="27" t="n"/>
      <c r="G23" s="1" t="n"/>
    </row>
    <row r="24">
      <c r="A24" s="1" t="n"/>
      <c r="B24" s="29" t="n"/>
      <c r="C24" s="28" t="n"/>
      <c r="D24" s="27" t="n"/>
      <c r="E24" s="27" t="n"/>
      <c r="F24" s="27" t="n"/>
      <c r="G24" s="1" t="n"/>
    </row>
    <row r="25">
      <c r="A25" s="1" t="n"/>
      <c r="B25" s="29" t="n"/>
      <c r="C25" s="28" t="n"/>
      <c r="D25" s="27" t="n"/>
      <c r="E25" s="27" t="n"/>
      <c r="F25" s="27" t="n"/>
      <c r="G25" s="1" t="n"/>
    </row>
    <row r="26">
      <c r="A26" s="1" t="n"/>
      <c r="B26" s="29" t="n"/>
      <c r="C26" s="28" t="n"/>
      <c r="D26" s="27" t="n"/>
      <c r="E26" s="27" t="n"/>
      <c r="F26" s="27" t="n"/>
      <c r="G26" s="1" t="n"/>
    </row>
    <row r="27">
      <c r="A27" s="1" t="n"/>
      <c r="B27" s="29" t="n"/>
      <c r="C27" s="28" t="n"/>
      <c r="D27" s="27" t="n"/>
      <c r="E27" s="27" t="n"/>
      <c r="F27" s="27" t="n"/>
      <c r="G27" s="1" t="n"/>
    </row>
    <row r="28">
      <c r="A28" s="1" t="n"/>
      <c r="B28" s="29" t="n"/>
      <c r="C28" s="28" t="n"/>
      <c r="D28" s="27" t="n"/>
      <c r="E28" s="27" t="n"/>
      <c r="F28" s="27" t="n"/>
      <c r="G28" s="1" t="n"/>
    </row>
    <row r="29">
      <c r="A29" s="1" t="n"/>
      <c r="B29" s="29" t="n"/>
      <c r="C29" s="28" t="n"/>
      <c r="D29" s="27" t="n"/>
      <c r="E29" s="27" t="n"/>
      <c r="F29" s="27" t="n"/>
      <c r="G29" s="1" t="n"/>
    </row>
    <row r="30">
      <c r="A30" s="1" t="n"/>
      <c r="B30" s="29" t="n"/>
      <c r="C30" s="28" t="n"/>
      <c r="D30" s="27" t="n"/>
      <c r="E30" s="27" t="n"/>
      <c r="F30" s="27" t="n"/>
      <c r="G30" s="1" t="n"/>
    </row>
    <row r="31">
      <c r="A31" s="1" t="n"/>
      <c r="B31" s="29" t="n"/>
      <c r="C31" s="28" t="n"/>
      <c r="D31" s="27" t="n"/>
      <c r="E31" s="27" t="n"/>
      <c r="F31" s="27" t="n"/>
      <c r="G31" s="1" t="n"/>
    </row>
    <row r="32">
      <c r="A32" s="1" t="n"/>
      <c r="B32" s="29" t="n"/>
      <c r="C32" s="28" t="n"/>
      <c r="D32" s="27" t="n"/>
      <c r="E32" s="27" t="n"/>
      <c r="F32" s="27" t="n"/>
      <c r="G32" s="1" t="n"/>
    </row>
    <row r="33">
      <c r="A33" s="1" t="n"/>
      <c r="B33" s="29" t="n"/>
      <c r="C33" s="28" t="n"/>
      <c r="D33" s="27" t="n"/>
      <c r="E33" s="27" t="n"/>
      <c r="F33" s="27" t="n"/>
      <c r="G33" s="1" t="n"/>
    </row>
    <row r="34">
      <c r="A34" s="1" t="n"/>
      <c r="B34" s="29" t="n"/>
      <c r="C34" s="28" t="n"/>
      <c r="D34" s="27" t="n"/>
      <c r="E34" s="27" t="n"/>
      <c r="F34" s="27" t="n"/>
      <c r="G34" s="1" t="n"/>
    </row>
    <row r="35">
      <c r="A35" s="1" t="n"/>
      <c r="B35" s="29" t="n"/>
      <c r="C35" s="28" t="n"/>
      <c r="D35" s="27" t="n"/>
      <c r="E35" s="27" t="n"/>
      <c r="F35" s="27" t="n"/>
      <c r="G35" s="1" t="n"/>
    </row>
    <row r="36">
      <c r="A36" s="1" t="n"/>
      <c r="B36" s="29" t="n"/>
      <c r="C36" s="28" t="n"/>
      <c r="D36" s="27" t="n"/>
      <c r="E36" s="27" t="n"/>
      <c r="F36" s="27" t="n"/>
      <c r="G36" s="1" t="n"/>
    </row>
    <row r="37">
      <c r="A37" s="1" t="n"/>
      <c r="B37" s="29" t="n"/>
      <c r="C37" s="28" t="n"/>
      <c r="D37" s="27" t="n"/>
      <c r="E37" s="27" t="n"/>
      <c r="F37" s="27" t="n"/>
      <c r="G37" s="1" t="n"/>
    </row>
    <row r="38">
      <c r="A38" s="1" t="n"/>
      <c r="B38" s="29" t="n"/>
      <c r="C38" s="28" t="n"/>
      <c r="D38" s="27" t="n"/>
      <c r="E38" s="27" t="n"/>
      <c r="F38" s="27" t="n"/>
      <c r="G38" s="1" t="n"/>
    </row>
    <row r="39">
      <c r="A39" s="1" t="n"/>
      <c r="B39" s="29" t="n"/>
      <c r="C39" s="28" t="n"/>
      <c r="D39" s="27" t="n"/>
      <c r="E39" s="27" t="n"/>
      <c r="F39" s="27" t="n"/>
      <c r="G39" s="1" t="n"/>
    </row>
    <row r="40">
      <c r="A40" s="1" t="n"/>
      <c r="B40" s="29" t="n"/>
      <c r="C40" s="28" t="n"/>
      <c r="D40" s="27" t="n"/>
      <c r="E40" s="27" t="n"/>
      <c r="F40" s="27" t="n"/>
      <c r="G40" s="1" t="n"/>
    </row>
    <row r="41">
      <c r="A41" s="1" t="n"/>
      <c r="B41" s="29" t="n"/>
      <c r="C41" s="28" t="n"/>
      <c r="D41" s="27" t="n"/>
      <c r="E41" s="27" t="n"/>
      <c r="F41" s="27" t="n"/>
      <c r="G41" s="1" t="n"/>
    </row>
    <row r="42">
      <c r="A42" s="1" t="n"/>
      <c r="B42" s="29" t="n"/>
      <c r="C42" s="28" t="n"/>
      <c r="D42" s="27" t="n"/>
      <c r="E42" s="27" t="n"/>
      <c r="F42" s="27" t="n"/>
      <c r="G42" s="1" t="n"/>
    </row>
    <row r="43">
      <c r="A43" s="1" t="n"/>
      <c r="B43" s="29" t="n"/>
      <c r="C43" s="28" t="n"/>
      <c r="D43" s="27" t="n"/>
      <c r="E43" s="27" t="n"/>
      <c r="F43" s="27" t="n"/>
      <c r="G43" s="1" t="n"/>
    </row>
    <row r="44">
      <c r="A44" s="1" t="n"/>
      <c r="B44" s="29" t="n"/>
      <c r="C44" s="28" t="n"/>
      <c r="D44" s="27" t="n"/>
      <c r="E44" s="27" t="n"/>
      <c r="F44" s="27" t="n"/>
      <c r="G44" s="1" t="n"/>
    </row>
    <row r="45">
      <c r="A45" s="1" t="n"/>
      <c r="B45" s="29" t="n"/>
      <c r="C45" s="28" t="n"/>
      <c r="D45" s="27" t="n"/>
      <c r="E45" s="27" t="n"/>
      <c r="F45" s="27" t="n"/>
      <c r="G45" s="1" t="n"/>
    </row>
    <row r="46">
      <c r="A46" s="1" t="n"/>
      <c r="B46" s="29" t="n"/>
      <c r="C46" s="28" t="n"/>
      <c r="D46" s="27" t="n"/>
      <c r="E46" s="27" t="n"/>
      <c r="F46" s="27" t="n"/>
      <c r="G46" s="1" t="n"/>
    </row>
    <row r="47">
      <c r="A47" s="1" t="n"/>
      <c r="B47" s="29" t="n"/>
      <c r="C47" s="28" t="n"/>
      <c r="D47" s="27" t="n"/>
      <c r="E47" s="27" t="n"/>
      <c r="F47" s="27" t="n"/>
      <c r="G47" s="1" t="n"/>
    </row>
    <row r="48">
      <c r="A48" s="1" t="n"/>
      <c r="B48" s="29" t="n"/>
      <c r="C48" s="28" t="n"/>
      <c r="D48" s="27" t="n"/>
      <c r="E48" s="27" t="n"/>
      <c r="F48" s="27" t="n"/>
      <c r="G48" s="1" t="n"/>
    </row>
    <row r="49">
      <c r="A49" s="1" t="n"/>
      <c r="B49" s="29" t="n"/>
      <c r="C49" s="28" t="n"/>
      <c r="D49" s="27" t="n"/>
      <c r="E49" s="27" t="n"/>
      <c r="F49" s="27" t="n"/>
      <c r="G49" s="1" t="n"/>
    </row>
    <row r="50">
      <c r="A50" s="1" t="n"/>
      <c r="B50" s="29" t="n"/>
      <c r="C50" s="28" t="n"/>
      <c r="D50" s="27" t="n"/>
      <c r="E50" s="27" t="n"/>
      <c r="F50" s="27" t="n"/>
      <c r="G50" s="1" t="n"/>
    </row>
    <row r="51">
      <c r="A51" s="1" t="n"/>
      <c r="B51" s="29" t="n"/>
      <c r="C51" s="28" t="n"/>
      <c r="D51" s="27" t="n"/>
      <c r="E51" s="27" t="n"/>
      <c r="F51" s="27" t="n"/>
      <c r="G51" s="1" t="n"/>
    </row>
    <row r="52">
      <c r="A52" s="1" t="n"/>
      <c r="B52" s="29" t="n"/>
      <c r="C52" s="28" t="n"/>
      <c r="D52" s="27" t="n"/>
      <c r="E52" s="27" t="n"/>
      <c r="F52" s="27" t="n"/>
      <c r="G52" s="1" t="n"/>
    </row>
    <row r="53">
      <c r="A53" s="1" t="n"/>
      <c r="B53" s="29" t="n"/>
      <c r="C53" s="28" t="n"/>
      <c r="D53" s="27" t="n"/>
      <c r="E53" s="27" t="n"/>
      <c r="F53" s="27" t="n"/>
      <c r="G53" s="1" t="n"/>
    </row>
    <row r="54">
      <c r="A54" s="1" t="n"/>
      <c r="B54" s="29" t="n"/>
      <c r="C54" s="28" t="n"/>
      <c r="D54" s="27" t="n"/>
      <c r="E54" s="27" t="n"/>
      <c r="F54" s="27" t="n"/>
      <c r="G54" s="1" t="n"/>
    </row>
    <row r="55">
      <c r="A55" s="1" t="n"/>
      <c r="B55" s="29" t="n"/>
      <c r="C55" s="28" t="n"/>
      <c r="D55" s="27" t="n"/>
      <c r="E55" s="27" t="n"/>
      <c r="F55" s="27" t="n"/>
      <c r="G55" s="1" t="n"/>
    </row>
    <row r="56">
      <c r="A56" s="1" t="n"/>
      <c r="B56" s="29" t="n"/>
      <c r="C56" s="28" t="n"/>
      <c r="D56" s="27" t="n"/>
      <c r="E56" s="27" t="n"/>
      <c r="F56" s="27" t="n"/>
      <c r="G56" s="1" t="n"/>
    </row>
    <row r="57">
      <c r="A57" s="1" t="n"/>
      <c r="B57" s="29" t="n"/>
      <c r="C57" s="28" t="n"/>
      <c r="D57" s="27" t="n"/>
      <c r="E57" s="27" t="n"/>
      <c r="F57" s="27" t="n"/>
      <c r="G57" s="1" t="n"/>
    </row>
    <row r="58">
      <c r="A58" s="1" t="n"/>
      <c r="B58" s="29" t="n"/>
      <c r="C58" s="28" t="n"/>
      <c r="D58" s="27" t="n"/>
      <c r="E58" s="27" t="n"/>
      <c r="F58" s="27" t="n"/>
      <c r="G58" s="1" t="n"/>
    </row>
    <row r="59">
      <c r="A59" s="1" t="n"/>
      <c r="B59" s="29" t="n"/>
      <c r="C59" s="28" t="n"/>
      <c r="D59" s="27" t="n"/>
      <c r="E59" s="27" t="n"/>
      <c r="F59" s="27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</sheetData>
  <dataValidations count="2">
    <dataValidation sqref="D6:D1000" showDropDown="0" showInputMessage="0" showErrorMessage="0" allowBlank="1" type="list">
      <formula1>"Dépense,Revenu"</formula1>
    </dataValidation>
    <dataValidation sqref="E6:E1000" showDropDown="0" showInputMessage="0" showErrorMessage="0" allowBlank="1" type="list">
      <formula1>=Budget!$B$6:$B$14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3" customWidth="1" min="3" max="3"/>
    <col width="11" customWidth="1" min="4" max="4"/>
    <col width="10" customWidth="1" min="5" max="5"/>
    <col width="26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Factures : à lister une seule fois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Chaque mois, choisissez Oui quand une facture est payée. Les couleurs préviennent avant l'échéance.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22" customHeight="1">
      <c r="A5" s="1" t="n"/>
      <c r="B5" s="15" t="inlineStr">
        <is>
          <t>Facture</t>
        </is>
      </c>
      <c r="C5" s="15" t="inlineStr">
        <is>
          <t>Montant</t>
        </is>
      </c>
      <c r="D5" s="15" t="inlineStr">
        <is>
          <t>Jour d'échéance</t>
        </is>
      </c>
      <c r="E5" s="15" t="inlineStr">
        <is>
          <t>Payée ?</t>
        </is>
      </c>
      <c r="F5" s="15" t="inlineStr">
        <is>
          <t>Statut</t>
        </is>
      </c>
      <c r="G5" s="1" t="n"/>
    </row>
    <row r="6">
      <c r="A6" s="1" t="n"/>
      <c r="B6" s="27" t="inlineStr">
        <is>
          <t>Loyer</t>
        </is>
      </c>
      <c r="C6" s="28" t="n">
        <v>900</v>
      </c>
      <c r="D6" s="30" t="n">
        <v>1</v>
      </c>
      <c r="E6" s="31" t="inlineStr">
        <is>
          <t>Oui</t>
        </is>
      </c>
      <c r="F6" s="32">
        <f>IF(B6="","",IF(E6="Oui","Payée",IF(D6&lt;DAY(TODAY()),"En retard",IF((D6-DAY(TODAY()))=0,"Aujourd'hui",IF((D6-DAY(TODAY()))&lt;=3,"Dans "&amp;(D6-DAY(TODAY()))&amp;IF((D6-DAY(TODAY()))&lt;=1," jour"," jours"),"Le "&amp;D6)))))</f>
        <v/>
      </c>
      <c r="G6" s="1" t="n"/>
    </row>
    <row r="7">
      <c r="A7" s="1" t="n"/>
      <c r="B7" s="27" t="inlineStr">
        <is>
          <t>Téléphone</t>
        </is>
      </c>
      <c r="C7" s="28" t="n">
        <v>19.99</v>
      </c>
      <c r="D7" s="30" t="n">
        <v>29</v>
      </c>
      <c r="E7" s="31" t="inlineStr">
        <is>
          <t>Non</t>
        </is>
      </c>
      <c r="F7" s="32">
        <f>IF(B7="","",IF(E7="Oui","Payée",IF(D7&lt;DAY(TODAY()),"En retard",IF((D7-DAY(TODAY()))=0,"Aujourd'hui",IF((D7-DAY(TODAY()))&lt;=3,"Dans "&amp;(D7-DAY(TODAY()))&amp;IF((D7-DAY(TODAY()))&lt;=1," jour"," jours"),"Le "&amp;D7)))))</f>
        <v/>
      </c>
      <c r="G7" s="1" t="n"/>
    </row>
    <row r="8">
      <c r="A8" s="1" t="n"/>
      <c r="B8" s="27" t="inlineStr">
        <is>
          <t>Internet</t>
        </is>
      </c>
      <c r="C8" s="28" t="n">
        <v>29.99</v>
      </c>
      <c r="D8" s="30" t="n">
        <v>15</v>
      </c>
      <c r="E8" s="31" t="inlineStr">
        <is>
          <t>Oui</t>
        </is>
      </c>
      <c r="F8" s="32">
        <f>IF(B8="","",IF(E8="Oui","Payée",IF(D8&lt;DAY(TODAY()),"En retard",IF((D8-DAY(TODAY()))=0,"Aujourd'hui",IF((D8-DAY(TODAY()))&lt;=3,"Dans "&amp;(D8-DAY(TODAY()))&amp;IF((D8-DAY(TODAY()))&lt;=1," jour"," jours"),"Le "&amp;D8)))))</f>
        <v/>
      </c>
      <c r="G8" s="1" t="n"/>
    </row>
    <row r="9">
      <c r="A9" s="1" t="n"/>
      <c r="B9" s="27" t="inlineStr">
        <is>
          <t>Électricité</t>
        </is>
      </c>
      <c r="C9" s="28" t="n">
        <v>54</v>
      </c>
      <c r="D9" s="30" t="n">
        <v>30</v>
      </c>
      <c r="E9" s="31" t="inlineStr">
        <is>
          <t>Non</t>
        </is>
      </c>
      <c r="F9" s="32">
        <f>IF(B9="","",IF(E9="Oui","Payée",IF(D9&lt;DAY(TODAY()),"En retard",IF((D9-DAY(TODAY()))=0,"Aujourd'hui",IF((D9-DAY(TODAY()))&lt;=3,"Dans "&amp;(D9-DAY(TODAY()))&amp;IF((D9-DAY(TODAY()))&lt;=1," jour"," jours"),"Le "&amp;D9)))))</f>
        <v/>
      </c>
      <c r="G9" s="1" t="n"/>
    </row>
    <row r="10">
      <c r="A10" s="1" t="n"/>
      <c r="B10" s="27" t="inlineStr">
        <is>
          <t>Salle de sport</t>
        </is>
      </c>
      <c r="C10" s="28" t="n">
        <v>24.9</v>
      </c>
      <c r="D10" s="30" t="n">
        <v>24</v>
      </c>
      <c r="E10" s="31" t="inlineStr">
        <is>
          <t>Non</t>
        </is>
      </c>
      <c r="F10" s="32">
        <f>IF(B10="","",IF(E10="Oui","Payée",IF(D10&lt;DAY(TODAY()),"En retard",IF((D10-DAY(TODAY()))=0,"Aujourd'hui",IF((D10-DAY(TODAY()))&lt;=3,"Dans "&amp;(D10-DAY(TODAY()))&amp;IF((D10-DAY(TODAY()))&lt;=1," jour"," jours"),"Le "&amp;D10)))))</f>
        <v/>
      </c>
      <c r="G10" s="1" t="n"/>
    </row>
    <row r="11">
      <c r="A11" s="1" t="n"/>
      <c r="B11" s="27" t="inlineStr">
        <is>
          <t>Assurance</t>
        </is>
      </c>
      <c r="C11" s="28" t="n">
        <v>32.5</v>
      </c>
      <c r="D11" s="30" t="n">
        <v>5</v>
      </c>
      <c r="E11" s="31" t="inlineStr">
        <is>
          <t>Oui</t>
        </is>
      </c>
      <c r="F11" s="32">
        <f>IF(B11="","",IF(E11="Oui","Payée",IF(D11&lt;DAY(TODAY()),"En retard",IF((D11-DAY(TODAY()))=0,"Aujourd'hui",IF((D11-DAY(TODAY()))&lt;=3,"Dans "&amp;(D11-DAY(TODAY()))&amp;IF((D11-DAY(TODAY()))&lt;=1," jour"," jours"),"Le "&amp;D11)))))</f>
        <v/>
      </c>
      <c r="G11" s="1" t="n"/>
    </row>
    <row r="12">
      <c r="A12" s="1" t="n"/>
      <c r="B12" s="27" t="n"/>
      <c r="C12" s="28" t="n"/>
      <c r="D12" s="30" t="n"/>
      <c r="E12" s="31" t="n"/>
      <c r="F12" s="32">
        <f>IF(B12="","",IF(E12="Oui","Payée",IF(D12&lt;DAY(TODAY()),"En retard",IF((D12-DAY(TODAY()))=0,"Aujourd'hui",IF((D12-DAY(TODAY()))&lt;=3,"Dans "&amp;(D12-DAY(TODAY()))&amp;IF((D12-DAY(TODAY()))&lt;=1," jour"," jours"),"Le "&amp;D12)))))</f>
        <v/>
      </c>
      <c r="G12" s="1" t="n"/>
    </row>
    <row r="13">
      <c r="A13" s="1" t="n"/>
      <c r="B13" s="27" t="n"/>
      <c r="C13" s="28" t="n"/>
      <c r="D13" s="30" t="n"/>
      <c r="E13" s="31" t="n"/>
      <c r="F13" s="32">
        <f>IF(B13="","",IF(E13="Oui","Payée",IF(D13&lt;DAY(TODAY()),"En retard",IF((D13-DAY(TODAY()))=0,"Aujourd'hui",IF((D13-DAY(TODAY()))&lt;=3,"Dans "&amp;(D13-DAY(TODAY()))&amp;IF((D13-DAY(TODAY()))&lt;=1," jour"," jours"),"Le "&amp;D13)))))</f>
        <v/>
      </c>
      <c r="G13" s="1" t="n"/>
    </row>
    <row r="14">
      <c r="A14" s="1" t="n"/>
      <c r="B14" s="27" t="n"/>
      <c r="C14" s="28" t="n"/>
      <c r="D14" s="30" t="n"/>
      <c r="E14" s="31" t="n"/>
      <c r="F14" s="32">
        <f>IF(B14="","",IF(E14="Oui","Payée",IF(D14&lt;DAY(TODAY()),"En retard",IF((D14-DAY(TODAY()))=0,"Aujourd'hui",IF((D14-DAY(TODAY()))&lt;=3,"Dans "&amp;(D14-DAY(TODAY()))&amp;IF((D14-DAY(TODAY()))&lt;=1," jour"," jours"),"Le "&amp;D14)))))</f>
        <v/>
      </c>
      <c r="G14" s="1" t="n"/>
    </row>
    <row r="15">
      <c r="A15" s="1" t="n"/>
      <c r="B15" s="27" t="n"/>
      <c r="C15" s="28" t="n"/>
      <c r="D15" s="30" t="n"/>
      <c r="E15" s="31" t="n"/>
      <c r="F15" s="32">
        <f>IF(B15="","",IF(E15="Oui","Payée",IF(D15&lt;DAY(TODAY()),"En retard",IF((D15-DAY(TODAY()))=0,"Aujourd'hui",IF((D15-DAY(TODAY()))&lt;=3,"Dans "&amp;(D15-DAY(TODAY()))&amp;IF((D15-DAY(TODAY()))&lt;=1," jour"," jours"),"Le "&amp;D15)))))</f>
        <v/>
      </c>
      <c r="G15" s="1" t="n"/>
    </row>
    <row r="16">
      <c r="A16" s="1" t="n"/>
      <c r="B16" s="27" t="n"/>
      <c r="C16" s="28" t="n"/>
      <c r="D16" s="30" t="n"/>
      <c r="E16" s="31" t="n"/>
      <c r="F16" s="32">
        <f>IF(B16="","",IF(E16="Oui","Payée",IF(D16&lt;DAY(TODAY()),"En retard",IF((D16-DAY(TODAY()))=0,"Aujourd'hui",IF((D16-DAY(TODAY()))&lt;=3,"Dans "&amp;(D16-DAY(TODAY()))&amp;IF((D16-DAY(TODAY()))&lt;=1," jour"," jours"),"Le "&amp;D16)))))</f>
        <v/>
      </c>
      <c r="G16" s="1" t="n"/>
    </row>
    <row r="17">
      <c r="A17" s="1" t="n"/>
      <c r="B17" s="27" t="n"/>
      <c r="C17" s="28" t="n"/>
      <c r="D17" s="30" t="n"/>
      <c r="E17" s="31" t="n"/>
      <c r="F17" s="32">
        <f>IF(B17="","",IF(E17="Oui","Payée",IF(D17&lt;DAY(TODAY()),"En retard",IF((D17-DAY(TODAY()))=0,"Aujourd'hui",IF((D17-DAY(TODAY()))&lt;=3,"Dans "&amp;(D17-DAY(TODAY()))&amp;IF((D17-DAY(TODAY()))&lt;=1," jour"," jours"),"Le "&amp;D17)))))</f>
        <v/>
      </c>
      <c r="G17" s="1" t="n"/>
    </row>
    <row r="18">
      <c r="A18" s="1" t="n"/>
      <c r="B18" s="27" t="n"/>
      <c r="C18" s="28" t="n"/>
      <c r="D18" s="30" t="n"/>
      <c r="E18" s="31" t="n"/>
      <c r="F18" s="32">
        <f>IF(B18="","",IF(E18="Oui","Payée",IF(D18&lt;DAY(TODAY()),"En retard",IF((D18-DAY(TODAY()))=0,"Aujourd'hui",IF((D18-DAY(TODAY()))&lt;=3,"Dans "&amp;(D18-DAY(TODAY()))&amp;IF((D18-DAY(TODAY()))&lt;=1," jour"," jours"),"Le "&amp;D18)))))</f>
        <v/>
      </c>
      <c r="G18" s="1" t="n"/>
    </row>
    <row r="19">
      <c r="A19" s="1" t="n"/>
      <c r="B19" s="27" t="n"/>
      <c r="C19" s="28" t="n"/>
      <c r="D19" s="30" t="n"/>
      <c r="E19" s="31" t="n"/>
      <c r="F19" s="32">
        <f>IF(B19="","",IF(E19="Oui","Payée",IF(D19&lt;DAY(TODAY()),"En retard",IF((D19-DAY(TODAY()))=0,"Aujourd'hui",IF((D19-DAY(TODAY()))&lt;=3,"Dans "&amp;(D19-DAY(TODAY()))&amp;IF((D19-DAY(TODAY()))&lt;=1," jour"," jours"),"Le "&amp;D19)))))</f>
        <v/>
      </c>
      <c r="G19" s="1" t="n"/>
    </row>
    <row r="20">
      <c r="A20" s="1" t="n"/>
      <c r="B20" s="27" t="n"/>
      <c r="C20" s="28" t="n"/>
      <c r="D20" s="30" t="n"/>
      <c r="E20" s="31" t="n"/>
      <c r="F20" s="32">
        <f>IF(B20="","",IF(E20="Oui","Payée",IF(D20&lt;DAY(TODAY()),"En retard",IF((D20-DAY(TODAY()))=0,"Aujourd'hui",IF((D20-DAY(TODAY()))&lt;=3,"Dans "&amp;(D20-DAY(TODAY()))&amp;IF((D20-DAY(TODAY()))&lt;=1," jour"," jours"),"Le "&amp;D20)))))</f>
        <v/>
      </c>
      <c r="G20" s="1" t="n"/>
    </row>
    <row r="21">
      <c r="A21" s="1" t="n"/>
      <c r="B21" s="27" t="n"/>
      <c r="C21" s="28" t="n"/>
      <c r="D21" s="30" t="n"/>
      <c r="E21" s="31" t="n"/>
      <c r="F21" s="32">
        <f>IF(B21="","",IF(E21="Oui","Payée",IF(D21&lt;DAY(TODAY()),"En retard",IF((D21-DAY(TODAY()))=0,"Aujourd'hui",IF((D21-DAY(TODAY()))&lt;=3,"Dans "&amp;(D21-DAY(TODAY()))&amp;IF((D21-DAY(TODAY()))&lt;=1," jour"," jours"),"Le "&amp;D21)))))</f>
        <v/>
      </c>
      <c r="G21" s="1" t="n"/>
    </row>
    <row r="22">
      <c r="A22" s="1" t="n"/>
      <c r="B22" s="27" t="n"/>
      <c r="C22" s="28" t="n"/>
      <c r="D22" s="30" t="n"/>
      <c r="E22" s="31" t="n"/>
      <c r="F22" s="32">
        <f>IF(B22="","",IF(E22="Oui","Payée",IF(D22&lt;DAY(TODAY()),"En retard",IF((D22-DAY(TODAY()))=0,"Aujourd'hui",IF((D22-DAY(TODAY()))&lt;=3,"Dans "&amp;(D22-DAY(TODAY()))&amp;IF((D22-DAY(TODAY()))&lt;=1," jour"," jours"),"Le "&amp;D22)))))</f>
        <v/>
      </c>
      <c r="G22" s="1" t="n"/>
    </row>
    <row r="23">
      <c r="A23" s="1" t="n"/>
      <c r="B23" s="27" t="n"/>
      <c r="C23" s="28" t="n"/>
      <c r="D23" s="30" t="n"/>
      <c r="E23" s="31" t="n"/>
      <c r="F23" s="32">
        <f>IF(B23="","",IF(E23="Oui","Payée",IF(D23&lt;DAY(TODAY()),"En retard",IF((D23-DAY(TODAY()))=0,"Aujourd'hui",IF((D23-DAY(TODAY()))&lt;=3,"Dans "&amp;(D23-DAY(TODAY()))&amp;IF((D23-DAY(TODAY()))&lt;=1," jour"," jours"),"Le "&amp;D23)))))</f>
        <v/>
      </c>
      <c r="G23" s="1" t="n"/>
    </row>
    <row r="24">
      <c r="A24" s="1" t="n"/>
      <c r="B24" s="27" t="n"/>
      <c r="C24" s="28" t="n"/>
      <c r="D24" s="30" t="n"/>
      <c r="E24" s="31" t="n"/>
      <c r="F24" s="32">
        <f>IF(B24="","",IF(E24="Oui","Payée",IF(D24&lt;DAY(TODAY()),"En retard",IF((D24-DAY(TODAY()))=0,"Aujourd'hui",IF((D24-DAY(TODAY()))&lt;=3,"Dans "&amp;(D24-DAY(TODAY()))&amp;IF((D24-DAY(TODAY()))&lt;=1," jour"," jours"),"Le "&amp;D24)))))</f>
        <v/>
      </c>
      <c r="G24" s="1" t="n"/>
    </row>
    <row r="25">
      <c r="A25" s="1" t="n"/>
      <c r="B25" s="27" t="n"/>
      <c r="C25" s="28" t="n"/>
      <c r="D25" s="30" t="n"/>
      <c r="E25" s="31" t="n"/>
      <c r="F25" s="32">
        <f>IF(B25="","",IF(E25="Oui","Payée",IF(D25&lt;DAY(TODAY()),"En retard",IF((D25-DAY(TODAY()))=0,"Aujourd'hui",IF((D25-DAY(TODAY()))&lt;=3,"Dans "&amp;(D25-DAY(TODAY()))&amp;IF((D25-DAY(TODAY()))&lt;=1," jour"," jours"),"Le "&amp;D25)))))</f>
        <v/>
      </c>
      <c r="G25" s="1" t="n"/>
    </row>
    <row r="26">
      <c r="A26" s="1" t="n"/>
      <c r="B26" s="27" t="n"/>
      <c r="C26" s="28" t="n"/>
      <c r="D26" s="30" t="n"/>
      <c r="E26" s="31" t="n"/>
      <c r="F26" s="32">
        <f>IF(B26="","",IF(E26="Oui","Payée",IF(D26&lt;DAY(TODAY()),"En retard",IF((D26-DAY(TODAY()))=0,"Aujourd'hui",IF((D26-DAY(TODAY()))&lt;=3,"Dans "&amp;(D26-DAY(TODAY()))&amp;IF((D26-DAY(TODAY()))&lt;=1," jour"," jours"),"Le "&amp;D26)))))</f>
        <v/>
      </c>
      <c r="G26" s="1" t="n"/>
    </row>
    <row r="27">
      <c r="A27" s="1" t="n"/>
      <c r="B27" s="27" t="n"/>
      <c r="C27" s="28" t="n"/>
      <c r="D27" s="30" t="n"/>
      <c r="E27" s="31" t="n"/>
      <c r="F27" s="32">
        <f>IF(B27="","",IF(E27="Oui","Payée",IF(D27&lt;DAY(TODAY()),"En retard",IF((D27-DAY(TODAY()))=0,"Aujourd'hui",IF((D27-DAY(TODAY()))&lt;=3,"Dans "&amp;(D27-DAY(TODAY()))&amp;IF((D27-DAY(TODAY()))&lt;=1," jour"," jours"),"Le "&amp;D27)))))</f>
        <v/>
      </c>
      <c r="G27" s="1" t="n"/>
    </row>
    <row r="28">
      <c r="A28" s="1" t="n"/>
      <c r="B28" s="27" t="n"/>
      <c r="C28" s="28" t="n"/>
      <c r="D28" s="30" t="n"/>
      <c r="E28" s="31" t="n"/>
      <c r="F28" s="32">
        <f>IF(B28="","",IF(E28="Oui","Payée",IF(D28&lt;DAY(TODAY()),"En retard",IF((D28-DAY(TODAY()))=0,"Aujourd'hui",IF((D28-DAY(TODAY()))&lt;=3,"Dans "&amp;(D28-DAY(TODAY()))&amp;IF((D28-DAY(TODAY()))&lt;=1," jour"," jours"),"Le "&amp;D28)))))</f>
        <v/>
      </c>
      <c r="G28" s="1" t="n"/>
    </row>
    <row r="29">
      <c r="A29" s="1" t="n"/>
      <c r="B29" s="27" t="n"/>
      <c r="C29" s="28" t="n"/>
      <c r="D29" s="30" t="n"/>
      <c r="E29" s="31" t="n"/>
      <c r="F29" s="32">
        <f>IF(B29="","",IF(E29="Oui","Payée",IF(D29&lt;DAY(TODAY()),"En retard",IF((D29-DAY(TODAY()))=0,"Aujourd'hui",IF((D29-DAY(TODAY()))&lt;=3,"Dans "&amp;(D29-DAY(TODAY()))&amp;IF((D29-DAY(TODAY()))&lt;=1," jour"," jours"),"Le "&amp;D29)))))</f>
        <v/>
      </c>
      <c r="G29" s="1" t="n"/>
    </row>
    <row r="30">
      <c r="A30" s="1" t="n"/>
      <c r="B30" s="27" t="n"/>
      <c r="C30" s="28" t="n"/>
      <c r="D30" s="30" t="n"/>
      <c r="E30" s="31" t="n"/>
      <c r="F30" s="32">
        <f>IF(B30="","",IF(E30="Oui","Payée",IF(D30&lt;DAY(TODAY()),"En retard",IF((D30-DAY(TODAY()))=0,"Aujourd'hui",IF((D30-DAY(TODAY()))&lt;=3,"Dans "&amp;(D30-DAY(TODAY()))&amp;IF((D30-DAY(TODAY()))&lt;=1," jour"," jours"),"Le "&amp;D30)))))</f>
        <v/>
      </c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</sheetData>
  <conditionalFormatting sqref="F6:F30">
    <cfRule type="expression" priority="1" dxfId="3">
      <formula>$F6="Payée"</formula>
    </cfRule>
    <cfRule type="expression" priority="2" dxfId="0">
      <formula>$F6="En retard"</formula>
    </cfRule>
    <cfRule type="expression" priority="3" dxfId="4">
      <formula>OR(LEFT($F6,4)="Dans",$F6="Aujourd'hui")</formula>
    </cfRule>
  </conditionalFormatting>
  <dataValidations count="1">
    <dataValidation sqref="E6:E30" showDropDown="0" showInputMessage="0" showErrorMessage="0" allowBlank="0" type="list">
      <formula1>"Oui,Non"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4" customWidth="1" min="4" max="4"/>
    <col width="34" customWidth="1" min="5" max="5"/>
    <col width="14" customWidth="1" min="6" max="6"/>
    <col width="3" customWidth="1" min="7" max="7"/>
    <col width="26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Envies : la règle des 48 heures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Notez ce que vous voulez acheter. Si l'envie est toujours là 48 heures plus tard, allez-y.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22" customHeight="1">
      <c r="A5" s="1" t="n"/>
      <c r="B5" s="15" t="inlineStr">
        <is>
          <t>Article</t>
        </is>
      </c>
      <c r="C5" s="15" t="inlineStr">
        <is>
          <t>Prix</t>
        </is>
      </c>
      <c r="D5" s="15" t="inlineStr">
        <is>
          <t>Ajouté le</t>
        </is>
      </c>
      <c r="E5" s="15" t="inlineStr">
        <is>
          <t>Verdict</t>
        </is>
      </c>
      <c r="F5" s="15" t="inlineStr">
        <is>
          <t>Ma décision</t>
        </is>
      </c>
      <c r="G5" s="1" t="n"/>
      <c r="H5" s="33" t="inlineStr">
        <is>
          <t>Argent gardé en renonçant :</t>
        </is>
      </c>
    </row>
    <row r="6">
      <c r="A6" s="1" t="n"/>
      <c r="B6" s="27" t="inlineStr">
        <is>
          <t>Écouteurs sans fil</t>
        </is>
      </c>
      <c r="C6" s="28" t="n">
        <v>79</v>
      </c>
      <c r="D6" s="29" t="n">
        <v>46290</v>
      </c>
      <c r="E6" s="34">
        <f>IF(B6="","",IF(F6&lt;&gt;"",F6,IF(TODAY()-D6&gt;=2,"48 heures passées : achetez si l'envie est toujours là","Encore "&amp;(2-(TODAY()-D6))&amp;IF((2-(TODAY()-D6))&lt;=1," jour"," jours")&amp;" à attendre")))</f>
        <v/>
      </c>
      <c r="F6" s="31" t="inlineStr"/>
      <c r="G6" s="1" t="n"/>
      <c r="H6" s="35">
        <f>SUMIFS(C6:C30,F6:F30,"Renoncé")</f>
        <v/>
      </c>
    </row>
    <row r="7">
      <c r="A7" s="1" t="n"/>
      <c r="B7" s="27" t="inlineStr">
        <is>
          <t>Bureau debout</t>
        </is>
      </c>
      <c r="C7" s="28" t="n">
        <v>249</v>
      </c>
      <c r="D7" s="29" t="n">
        <v>46292</v>
      </c>
      <c r="E7" s="34">
        <f>IF(B7="","",IF(F7&lt;&gt;"",F7,IF(TODAY()-D7&gt;=2,"48 heures passées : achetez si l'envie est toujours là","Encore "&amp;(2-(TODAY()-D7))&amp;IF((2-(TODAY()-D7))&lt;=1," jour"," jours")&amp;" à attendre")))</f>
        <v/>
      </c>
      <c r="F7" s="31" t="inlineStr"/>
      <c r="G7" s="1" t="n"/>
    </row>
    <row r="8">
      <c r="A8" s="1" t="n"/>
      <c r="B8" s="27" t="inlineStr">
        <is>
          <t>Chaussures</t>
        </is>
      </c>
      <c r="C8" s="28" t="n">
        <v>45</v>
      </c>
      <c r="D8" s="29" t="n">
        <v>46287</v>
      </c>
      <c r="E8" s="34">
        <f>IF(B8="","",IF(F8&lt;&gt;"",F8,IF(TODAY()-D8&gt;=2,"48 heures passées : achetez si l'envie est toujours là","Encore "&amp;(2-(TODAY()-D8))&amp;IF((2-(TODAY()-D8))&lt;=1," jour"," jours")&amp;" à attendre")))</f>
        <v/>
      </c>
      <c r="F8" s="31" t="inlineStr">
        <is>
          <t>Acheté</t>
        </is>
      </c>
      <c r="G8" s="1" t="n"/>
    </row>
    <row r="9">
      <c r="A9" s="1" t="n"/>
      <c r="B9" s="27" t="inlineStr">
        <is>
          <t>Montre connectée</t>
        </is>
      </c>
      <c r="C9" s="28" t="n">
        <v>199</v>
      </c>
      <c r="D9" s="29" t="n">
        <v>46284</v>
      </c>
      <c r="E9" s="34">
        <f>IF(B9="","",IF(F9&lt;&gt;"",F9,IF(TODAY()-D9&gt;=2,"48 heures passées : achetez si l'envie est toujours là","Encore "&amp;(2-(TODAY()-D9))&amp;IF((2-(TODAY()-D9))&lt;=1," jour"," jours")&amp;" à attendre")))</f>
        <v/>
      </c>
      <c r="F9" s="31" t="inlineStr">
        <is>
          <t>Renoncé</t>
        </is>
      </c>
      <c r="G9" s="1" t="n"/>
    </row>
    <row r="10">
      <c r="A10" s="1" t="n"/>
      <c r="B10" s="27" t="inlineStr">
        <is>
          <t>Jeu de société</t>
        </is>
      </c>
      <c r="C10" s="28" t="n">
        <v>39</v>
      </c>
      <c r="D10" s="29" t="n">
        <v>46293</v>
      </c>
      <c r="E10" s="34">
        <f>IF(B10="","",IF(F10&lt;&gt;"",F10,IF(TODAY()-D10&gt;=2,"48 heures passées : achetez si l'envie est toujours là","Encore "&amp;(2-(TODAY()-D10))&amp;IF((2-(TODAY()-D10))&lt;=1," jour"," jours")&amp;" à attendre")))</f>
        <v/>
      </c>
      <c r="F10" s="31" t="inlineStr"/>
      <c r="G10" s="1" t="n"/>
    </row>
    <row r="11">
      <c r="A11" s="1" t="n"/>
      <c r="B11" s="27" t="n"/>
      <c r="C11" s="28" t="n"/>
      <c r="D11" s="29" t="n"/>
      <c r="E11" s="34">
        <f>IF(B11="","",IF(F11&lt;&gt;"",F11,IF(TODAY()-D11&gt;=2,"48 heures passées : achetez si l'envie est toujours là","Encore "&amp;(2-(TODAY()-D11))&amp;IF((2-(TODAY()-D11))&lt;=1," jour"," jours")&amp;" à attendre")))</f>
        <v/>
      </c>
      <c r="F11" s="31" t="n"/>
      <c r="G11" s="1" t="n"/>
    </row>
    <row r="12">
      <c r="A12" s="1" t="n"/>
      <c r="B12" s="27" t="n"/>
      <c r="C12" s="28" t="n"/>
      <c r="D12" s="29" t="n"/>
      <c r="E12" s="34">
        <f>IF(B12="","",IF(F12&lt;&gt;"",F12,IF(TODAY()-D12&gt;=2,"48 heures passées : achetez si l'envie est toujours là","Encore "&amp;(2-(TODAY()-D12))&amp;IF((2-(TODAY()-D12))&lt;=1," jour"," jours")&amp;" à attendre")))</f>
        <v/>
      </c>
      <c r="F12" s="31" t="n"/>
      <c r="G12" s="1" t="n"/>
    </row>
    <row r="13">
      <c r="A13" s="1" t="n"/>
      <c r="B13" s="27" t="n"/>
      <c r="C13" s="28" t="n"/>
      <c r="D13" s="29" t="n"/>
      <c r="E13" s="34">
        <f>IF(B13="","",IF(F13&lt;&gt;"",F13,IF(TODAY()-D13&gt;=2,"48 heures passées : achetez si l'envie est toujours là","Encore "&amp;(2-(TODAY()-D13))&amp;IF((2-(TODAY()-D13))&lt;=1," jour"," jours")&amp;" à attendre")))</f>
        <v/>
      </c>
      <c r="F13" s="31" t="n"/>
      <c r="G13" s="1" t="n"/>
    </row>
    <row r="14">
      <c r="A14" s="1" t="n"/>
      <c r="B14" s="27" t="n"/>
      <c r="C14" s="28" t="n"/>
      <c r="D14" s="29" t="n"/>
      <c r="E14" s="34">
        <f>IF(B14="","",IF(F14&lt;&gt;"",F14,IF(TODAY()-D14&gt;=2,"48 heures passées : achetez si l'envie est toujours là","Encore "&amp;(2-(TODAY()-D14))&amp;IF((2-(TODAY()-D14))&lt;=1," jour"," jours")&amp;" à attendre")))</f>
        <v/>
      </c>
      <c r="F14" s="31" t="n"/>
      <c r="G14" s="1" t="n"/>
    </row>
    <row r="15">
      <c r="A15" s="1" t="n"/>
      <c r="B15" s="27" t="n"/>
      <c r="C15" s="28" t="n"/>
      <c r="D15" s="29" t="n"/>
      <c r="E15" s="34">
        <f>IF(B15="","",IF(F15&lt;&gt;"",F15,IF(TODAY()-D15&gt;=2,"48 heures passées : achetez si l'envie est toujours là","Encore "&amp;(2-(TODAY()-D15))&amp;IF((2-(TODAY()-D15))&lt;=1," jour"," jours")&amp;" à attendre")))</f>
        <v/>
      </c>
      <c r="F15" s="31" t="n"/>
      <c r="G15" s="1" t="n"/>
    </row>
    <row r="16">
      <c r="A16" s="1" t="n"/>
      <c r="B16" s="27" t="n"/>
      <c r="C16" s="28" t="n"/>
      <c r="D16" s="29" t="n"/>
      <c r="E16" s="34">
        <f>IF(B16="","",IF(F16&lt;&gt;"",F16,IF(TODAY()-D16&gt;=2,"48 heures passées : achetez si l'envie est toujours là","Encore "&amp;(2-(TODAY()-D16))&amp;IF((2-(TODAY()-D16))&lt;=1," jour"," jours")&amp;" à attendre")))</f>
        <v/>
      </c>
      <c r="F16" s="31" t="n"/>
      <c r="G16" s="1" t="n"/>
    </row>
    <row r="17">
      <c r="A17" s="1" t="n"/>
      <c r="B17" s="27" t="n"/>
      <c r="C17" s="28" t="n"/>
      <c r="D17" s="29" t="n"/>
      <c r="E17" s="34">
        <f>IF(B17="","",IF(F17&lt;&gt;"",F17,IF(TODAY()-D17&gt;=2,"48 heures passées : achetez si l'envie est toujours là","Encore "&amp;(2-(TODAY()-D17))&amp;IF((2-(TODAY()-D17))&lt;=1," jour"," jours")&amp;" à attendre")))</f>
        <v/>
      </c>
      <c r="F17" s="31" t="n"/>
      <c r="G17" s="1" t="n"/>
    </row>
    <row r="18">
      <c r="A18" s="1" t="n"/>
      <c r="B18" s="27" t="n"/>
      <c r="C18" s="28" t="n"/>
      <c r="D18" s="29" t="n"/>
      <c r="E18" s="34">
        <f>IF(B18="","",IF(F18&lt;&gt;"",F18,IF(TODAY()-D18&gt;=2,"48 heures passées : achetez si l'envie est toujours là","Encore "&amp;(2-(TODAY()-D18))&amp;IF((2-(TODAY()-D18))&lt;=1," jour"," jours")&amp;" à attendre")))</f>
        <v/>
      </c>
      <c r="F18" s="31" t="n"/>
      <c r="G18" s="1" t="n"/>
    </row>
    <row r="19">
      <c r="A19" s="1" t="n"/>
      <c r="B19" s="27" t="n"/>
      <c r="C19" s="28" t="n"/>
      <c r="D19" s="29" t="n"/>
      <c r="E19" s="34">
        <f>IF(B19="","",IF(F19&lt;&gt;"",F19,IF(TODAY()-D19&gt;=2,"48 heures passées : achetez si l'envie est toujours là","Encore "&amp;(2-(TODAY()-D19))&amp;IF((2-(TODAY()-D19))&lt;=1," jour"," jours")&amp;" à attendre")))</f>
        <v/>
      </c>
      <c r="F19" s="31" t="n"/>
      <c r="G19" s="1" t="n"/>
    </row>
    <row r="20">
      <c r="A20" s="1" t="n"/>
      <c r="B20" s="27" t="n"/>
      <c r="C20" s="28" t="n"/>
      <c r="D20" s="29" t="n"/>
      <c r="E20" s="34">
        <f>IF(B20="","",IF(F20&lt;&gt;"",F20,IF(TODAY()-D20&gt;=2,"48 heures passées : achetez si l'envie est toujours là","Encore "&amp;(2-(TODAY()-D20))&amp;IF((2-(TODAY()-D20))&lt;=1," jour"," jours")&amp;" à attendre")))</f>
        <v/>
      </c>
      <c r="F20" s="31" t="n"/>
      <c r="G20" s="1" t="n"/>
    </row>
    <row r="21">
      <c r="A21" s="1" t="n"/>
      <c r="B21" s="27" t="n"/>
      <c r="C21" s="28" t="n"/>
      <c r="D21" s="29" t="n"/>
      <c r="E21" s="34">
        <f>IF(B21="","",IF(F21&lt;&gt;"",F21,IF(TODAY()-D21&gt;=2,"48 heures passées : achetez si l'envie est toujours là","Encore "&amp;(2-(TODAY()-D21))&amp;IF((2-(TODAY()-D21))&lt;=1," jour"," jours")&amp;" à attendre")))</f>
        <v/>
      </c>
      <c r="F21" s="31" t="n"/>
      <c r="G21" s="1" t="n"/>
    </row>
    <row r="22">
      <c r="A22" s="1" t="n"/>
      <c r="B22" s="27" t="n"/>
      <c r="C22" s="28" t="n"/>
      <c r="D22" s="29" t="n"/>
      <c r="E22" s="34">
        <f>IF(B22="","",IF(F22&lt;&gt;"",F22,IF(TODAY()-D22&gt;=2,"48 heures passées : achetez si l'envie est toujours là","Encore "&amp;(2-(TODAY()-D22))&amp;IF((2-(TODAY()-D22))&lt;=1," jour"," jours")&amp;" à attendre")))</f>
        <v/>
      </c>
      <c r="F22" s="31" t="n"/>
      <c r="G22" s="1" t="n"/>
    </row>
    <row r="23">
      <c r="A23" s="1" t="n"/>
      <c r="B23" s="27" t="n"/>
      <c r="C23" s="28" t="n"/>
      <c r="D23" s="29" t="n"/>
      <c r="E23" s="34">
        <f>IF(B23="","",IF(F23&lt;&gt;"",F23,IF(TODAY()-D23&gt;=2,"48 heures passées : achetez si l'envie est toujours là","Encore "&amp;(2-(TODAY()-D23))&amp;IF((2-(TODAY()-D23))&lt;=1," jour"," jours")&amp;" à attendre")))</f>
        <v/>
      </c>
      <c r="F23" s="31" t="n"/>
      <c r="G23" s="1" t="n"/>
    </row>
    <row r="24">
      <c r="A24" s="1" t="n"/>
      <c r="B24" s="27" t="n"/>
      <c r="C24" s="28" t="n"/>
      <c r="D24" s="29" t="n"/>
      <c r="E24" s="34">
        <f>IF(B24="","",IF(F24&lt;&gt;"",F24,IF(TODAY()-D24&gt;=2,"48 heures passées : achetez si l'envie est toujours là","Encore "&amp;(2-(TODAY()-D24))&amp;IF((2-(TODAY()-D24))&lt;=1," jour"," jours")&amp;" à attendre")))</f>
        <v/>
      </c>
      <c r="F24" s="31" t="n"/>
      <c r="G24" s="1" t="n"/>
    </row>
    <row r="25">
      <c r="A25" s="1" t="n"/>
      <c r="B25" s="27" t="n"/>
      <c r="C25" s="28" t="n"/>
      <c r="D25" s="29" t="n"/>
      <c r="E25" s="34">
        <f>IF(B25="","",IF(F25&lt;&gt;"",F25,IF(TODAY()-D25&gt;=2,"48 heures passées : achetez si l'envie est toujours là","Encore "&amp;(2-(TODAY()-D25))&amp;IF((2-(TODAY()-D25))&lt;=1," jour"," jours")&amp;" à attendre")))</f>
        <v/>
      </c>
      <c r="F25" s="31" t="n"/>
      <c r="G25" s="1" t="n"/>
    </row>
    <row r="26">
      <c r="A26" s="1" t="n"/>
      <c r="B26" s="27" t="n"/>
      <c r="C26" s="28" t="n"/>
      <c r="D26" s="29" t="n"/>
      <c r="E26" s="34">
        <f>IF(B26="","",IF(F26&lt;&gt;"",F26,IF(TODAY()-D26&gt;=2,"48 heures passées : achetez si l'envie est toujours là","Encore "&amp;(2-(TODAY()-D26))&amp;IF((2-(TODAY()-D26))&lt;=1," jour"," jours")&amp;" à attendre")))</f>
        <v/>
      </c>
      <c r="F26" s="31" t="n"/>
      <c r="G26" s="1" t="n"/>
    </row>
    <row r="27">
      <c r="A27" s="1" t="n"/>
      <c r="B27" s="27" t="n"/>
      <c r="C27" s="28" t="n"/>
      <c r="D27" s="29" t="n"/>
      <c r="E27" s="34">
        <f>IF(B27="","",IF(F27&lt;&gt;"",F27,IF(TODAY()-D27&gt;=2,"48 heures passées : achetez si l'envie est toujours là","Encore "&amp;(2-(TODAY()-D27))&amp;IF((2-(TODAY()-D27))&lt;=1," jour"," jours")&amp;" à attendre")))</f>
        <v/>
      </c>
      <c r="F27" s="31" t="n"/>
      <c r="G27" s="1" t="n"/>
    </row>
    <row r="28">
      <c r="A28" s="1" t="n"/>
      <c r="B28" s="27" t="n"/>
      <c r="C28" s="28" t="n"/>
      <c r="D28" s="29" t="n"/>
      <c r="E28" s="34">
        <f>IF(B28="","",IF(F28&lt;&gt;"",F28,IF(TODAY()-D28&gt;=2,"48 heures passées : achetez si l'envie est toujours là","Encore "&amp;(2-(TODAY()-D28))&amp;IF((2-(TODAY()-D28))&lt;=1," jour"," jours")&amp;" à attendre")))</f>
        <v/>
      </c>
      <c r="F28" s="31" t="n"/>
      <c r="G28" s="1" t="n"/>
    </row>
    <row r="29">
      <c r="A29" s="1" t="n"/>
      <c r="B29" s="27" t="n"/>
      <c r="C29" s="28" t="n"/>
      <c r="D29" s="29" t="n"/>
      <c r="E29" s="34">
        <f>IF(B29="","",IF(F29&lt;&gt;"",F29,IF(TODAY()-D29&gt;=2,"48 heures passées : achetez si l'envie est toujours là","Encore "&amp;(2-(TODAY()-D29))&amp;IF((2-(TODAY()-D29))&lt;=1," jour"," jours")&amp;" à attendre")))</f>
        <v/>
      </c>
      <c r="F29" s="31" t="n"/>
      <c r="G29" s="1" t="n"/>
    </row>
    <row r="30">
      <c r="A30" s="1" t="n"/>
      <c r="B30" s="27" t="n"/>
      <c r="C30" s="28" t="n"/>
      <c r="D30" s="29" t="n"/>
      <c r="E30" s="34">
        <f>IF(B30="","",IF(F30&lt;&gt;"",F30,IF(TODAY()-D30&gt;=2,"48 heures passées : achetez si l'envie est toujours là","Encore "&amp;(2-(TODAY()-D30))&amp;IF((2-(TODAY()-D30))&lt;=1," jour"," jours")&amp;" à attendre")))</f>
        <v/>
      </c>
      <c r="F30" s="3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</sheetData>
  <conditionalFormatting sqref="E6:E30">
    <cfRule type="expression" priority="1" dxfId="4">
      <formula>LEFT($E6,6)="Encore"</formula>
    </cfRule>
    <cfRule type="expression" priority="2" dxfId="3">
      <formula>LEFT($E6,9)="48 heures"</formula>
    </cfRule>
    <cfRule type="expression" priority="3" dxfId="5">
      <formula>$E6="Renoncé"</formula>
    </cfRule>
  </conditionalFormatting>
  <dataValidations count="1">
    <dataValidation sqref="F6:F30" showDropDown="0" showInputMessage="0" showErrorMessage="0" allowBlank="1" type="list">
      <formula1>"Acheté,Renoncé"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7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14" customWidth="1" min="4" max="4"/>
    <col width="10" customWidth="1" min="5" max="5"/>
    <col width="34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</row>
    <row r="2" ht="32" customHeight="1">
      <c r="A2" s="1" t="n"/>
      <c r="B2" s="2" t="inlineStr">
        <is>
          <t>Objectifs d'épargne</t>
        </is>
      </c>
      <c r="C2" s="1" t="n"/>
      <c r="D2" s="1" t="n"/>
      <c r="E2" s="1" t="n"/>
      <c r="F2" s="1" t="n"/>
      <c r="G2" s="1" t="n"/>
    </row>
    <row r="3">
      <c r="A3" s="1" t="n"/>
      <c r="B3" s="3" t="inlineStr">
        <is>
          <t>Mettez à jour la colonne Déjà épargné dès que vous mettez de l'argent de côté.</t>
        </is>
      </c>
      <c r="C3" s="1" t="n"/>
      <c r="D3" s="1" t="n"/>
      <c r="E3" s="1" t="n"/>
      <c r="F3" s="1" t="n"/>
      <c r="G3" s="1" t="n"/>
    </row>
    <row r="4">
      <c r="A4" s="1" t="n"/>
      <c r="B4" s="1" t="n"/>
      <c r="C4" s="1" t="n"/>
      <c r="D4" s="1" t="n"/>
      <c r="E4" s="1" t="n"/>
      <c r="F4" s="1" t="n"/>
      <c r="G4" s="1" t="n"/>
    </row>
    <row r="5" ht="22" customHeight="1">
      <c r="A5" s="1" t="n"/>
      <c r="B5" s="15" t="inlineStr">
        <is>
          <t>Objectif</t>
        </is>
      </c>
      <c r="C5" s="15" t="inlineStr">
        <is>
          <t>Cible</t>
        </is>
      </c>
      <c r="D5" s="15" t="inlineStr">
        <is>
          <t>Déjà épargné</t>
        </is>
      </c>
      <c r="E5" s="15" t="inlineStr">
        <is>
          <t>Fait</t>
        </is>
      </c>
      <c r="F5" s="15" t="inlineStr">
        <is>
          <t>Progression</t>
        </is>
      </c>
      <c r="G5" s="1" t="n"/>
    </row>
    <row r="6">
      <c r="A6" s="1" t="n"/>
      <c r="B6" s="27" t="inlineStr">
        <is>
          <t>Fonds d'urgence</t>
        </is>
      </c>
      <c r="C6" s="28" t="n">
        <v>3000</v>
      </c>
      <c r="D6" s="28" t="n">
        <v>1250</v>
      </c>
      <c r="E6" s="36">
        <f>IF(C6="","",MIN(1,D6/C6))</f>
        <v/>
      </c>
      <c r="F6" s="20">
        <f>IF(C6="","",REPT("█",ROUND(E6*20,0))&amp;REPT("░",20-ROUND(E6*20,0)))</f>
        <v/>
      </c>
      <c r="G6" s="1" t="n"/>
    </row>
    <row r="7">
      <c r="A7" s="1" t="n"/>
      <c r="B7" s="27" t="inlineStr">
        <is>
          <t>Voyage</t>
        </is>
      </c>
      <c r="C7" s="28" t="n">
        <v>1200</v>
      </c>
      <c r="D7" s="28" t="n">
        <v>400</v>
      </c>
      <c r="E7" s="36">
        <f>IF(C7="","",MIN(1,D7/C7))</f>
        <v/>
      </c>
      <c r="F7" s="20">
        <f>IF(C7="","",REPT("█",ROUND(E7*20,0))&amp;REPT("░",20-ROUND(E7*20,0)))</f>
        <v/>
      </c>
      <c r="G7" s="1" t="n"/>
    </row>
    <row r="8">
      <c r="A8" s="1" t="n"/>
      <c r="B8" s="27" t="inlineStr">
        <is>
          <t>Nouvel ordinateur</t>
        </is>
      </c>
      <c r="C8" s="28" t="n">
        <v>900</v>
      </c>
      <c r="D8" s="28" t="n">
        <v>810</v>
      </c>
      <c r="E8" s="36">
        <f>IF(C8="","",MIN(1,D8/C8))</f>
        <v/>
      </c>
      <c r="F8" s="20">
        <f>IF(C8="","",REPT("█",ROUND(E8*20,0))&amp;REPT("░",20-ROUND(E8*20,0)))</f>
        <v/>
      </c>
      <c r="G8" s="1" t="n"/>
    </row>
    <row r="9">
      <c r="A9" s="1" t="n"/>
      <c r="B9" s="27" t="n"/>
      <c r="C9" s="28" t="n"/>
      <c r="D9" s="28" t="n"/>
      <c r="E9" s="36">
        <f>IF(C9="","",MIN(1,D9/C9))</f>
        <v/>
      </c>
      <c r="F9" s="20">
        <f>IF(C9="","",REPT("█",ROUND(E9*20,0))&amp;REPT("░",20-ROUND(E9*20,0)))</f>
        <v/>
      </c>
      <c r="G9" s="1" t="n"/>
    </row>
    <row r="10">
      <c r="A10" s="1" t="n"/>
      <c r="B10" s="27" t="n"/>
      <c r="C10" s="28" t="n"/>
      <c r="D10" s="28" t="n"/>
      <c r="E10" s="36">
        <f>IF(C10="","",MIN(1,D10/C10))</f>
        <v/>
      </c>
      <c r="F10" s="20">
        <f>IF(C10="","",REPT("█",ROUND(E10*20,0))&amp;REPT("░",20-ROUND(E10*20,0)))</f>
        <v/>
      </c>
      <c r="G10" s="1" t="n"/>
    </row>
    <row r="11">
      <c r="A11" s="1" t="n"/>
      <c r="B11" s="27" t="n"/>
      <c r="C11" s="28" t="n"/>
      <c r="D11" s="28" t="n"/>
      <c r="E11" s="36">
        <f>IF(C11="","",MIN(1,D11/C11))</f>
        <v/>
      </c>
      <c r="F11" s="20">
        <f>IF(C11="","",REPT("█",ROUND(E11*20,0))&amp;REPT("░",20-ROUND(E11*20,0)))</f>
        <v/>
      </c>
      <c r="G11" s="1" t="n"/>
    </row>
    <row r="12">
      <c r="A12" s="1" t="n"/>
      <c r="B12" s="27" t="n"/>
      <c r="C12" s="28" t="n"/>
      <c r="D12" s="28" t="n"/>
      <c r="E12" s="36">
        <f>IF(C12="","",MIN(1,D12/C12))</f>
        <v/>
      </c>
      <c r="F12" s="20">
        <f>IF(C12="","",REPT("█",ROUND(E12*20,0))&amp;REPT("░",20-ROUND(E12*20,0)))</f>
        <v/>
      </c>
      <c r="G12" s="1" t="n"/>
    </row>
    <row r="13">
      <c r="A13" s="1" t="n"/>
      <c r="B13" s="27" t="n"/>
      <c r="C13" s="28" t="n"/>
      <c r="D13" s="28" t="n"/>
      <c r="E13" s="36">
        <f>IF(C13="","",MIN(1,D13/C13))</f>
        <v/>
      </c>
      <c r="F13" s="20">
        <f>IF(C13="","",REPT("█",ROUND(E13*20,0))&amp;REPT("░",20-ROUND(E13*20,0)))</f>
        <v/>
      </c>
      <c r="G13" s="1" t="n"/>
    </row>
    <row r="14">
      <c r="A14" s="1" t="n"/>
      <c r="B14" s="27" t="n"/>
      <c r="C14" s="28" t="n"/>
      <c r="D14" s="28" t="n"/>
      <c r="E14" s="36">
        <f>IF(C14="","",MIN(1,D14/C14))</f>
        <v/>
      </c>
      <c r="F14" s="20">
        <f>IF(C14="","",REPT("█",ROUND(E14*20,0))&amp;REPT("░",20-ROUND(E14*20,0)))</f>
        <v/>
      </c>
      <c r="G14" s="1" t="n"/>
    </row>
    <row r="15">
      <c r="A15" s="1" t="n"/>
      <c r="B15" s="27" t="n"/>
      <c r="C15" s="28" t="n"/>
      <c r="D15" s="28" t="n"/>
      <c r="E15" s="36">
        <f>IF(C15="","",MIN(1,D15/C15))</f>
        <v/>
      </c>
      <c r="F15" s="20">
        <f>IF(C15="","",REPT("█",ROUND(E15*20,0))&amp;REPT("░",20-ROUND(E15*20,0)))</f>
        <v/>
      </c>
      <c r="G15" s="1" t="n"/>
    </row>
    <row r="16">
      <c r="A16" s="1" t="n"/>
      <c r="B16" s="1" t="n"/>
      <c r="C16" s="1" t="n"/>
      <c r="D16" s="1" t="n"/>
      <c r="E16" s="1" t="n"/>
      <c r="F16" s="1" t="n"/>
      <c r="G16" s="1" t="n"/>
    </row>
    <row r="17">
      <c r="A17" s="1" t="n"/>
      <c r="B17" s="1" t="n"/>
      <c r="C17" s="1" t="n"/>
      <c r="D17" s="1" t="n"/>
      <c r="E17" s="1" t="n"/>
      <c r="F17" s="1" t="n"/>
      <c r="G17" s="1" t="n"/>
    </row>
    <row r="18">
      <c r="A18" s="1" t="n"/>
      <c r="B18" s="1" t="n"/>
      <c r="C18" s="1" t="n"/>
      <c r="D18" s="1" t="n"/>
      <c r="E18" s="1" t="n"/>
      <c r="F18" s="1" t="n"/>
      <c r="G18" s="1" t="n"/>
    </row>
    <row r="19">
      <c r="A19" s="1" t="n"/>
      <c r="B19" s="1" t="n"/>
      <c r="C19" s="1" t="n"/>
      <c r="D19" s="1" t="n"/>
      <c r="E19" s="1" t="n"/>
      <c r="F19" s="1" t="n"/>
      <c r="G19" s="1" t="n"/>
    </row>
    <row r="20">
      <c r="A20" s="1" t="n"/>
      <c r="B20" s="1" t="n"/>
      <c r="C20" s="1" t="n"/>
      <c r="D20" s="1" t="n"/>
      <c r="E20" s="1" t="n"/>
      <c r="F20" s="1" t="n"/>
      <c r="G20" s="1" t="n"/>
    </row>
    <row r="21">
      <c r="A21" s="1" t="n"/>
      <c r="B21" s="1" t="n"/>
      <c r="C21" s="1" t="n"/>
      <c r="D21" s="1" t="n"/>
      <c r="E21" s="1" t="n"/>
      <c r="F21" s="1" t="n"/>
      <c r="G21" s="1" t="n"/>
    </row>
    <row r="22">
      <c r="A22" s="1" t="n"/>
      <c r="B22" s="1" t="n"/>
      <c r="C22" s="1" t="n"/>
      <c r="D22" s="1" t="n"/>
      <c r="E22" s="1" t="n"/>
      <c r="F22" s="1" t="n"/>
      <c r="G22" s="1" t="n"/>
    </row>
    <row r="23">
      <c r="A23" s="1" t="n"/>
      <c r="B23" s="1" t="n"/>
      <c r="C23" s="1" t="n"/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  <row r="71">
      <c r="A71" s="1" t="n"/>
      <c r="B71" s="1" t="n"/>
      <c r="C71" s="1" t="n"/>
      <c r="D71" s="1" t="n"/>
      <c r="E71" s="1" t="n"/>
      <c r="F71" s="1" t="n"/>
      <c r="G71" s="1" t="n"/>
    </row>
    <row r="72">
      <c r="A72" s="1" t="n"/>
      <c r="B72" s="1" t="n"/>
      <c r="C72" s="1" t="n"/>
      <c r="D72" s="1" t="n"/>
      <c r="E72" s="1" t="n"/>
      <c r="F72" s="1" t="n"/>
      <c r="G72" s="1" t="n"/>
    </row>
    <row r="73">
      <c r="A73" s="1" t="n"/>
      <c r="B73" s="1" t="n"/>
      <c r="C73" s="1" t="n"/>
      <c r="D73" s="1" t="n"/>
      <c r="E73" s="1" t="n"/>
      <c r="F73" s="1" t="n"/>
      <c r="G73" s="1" t="n"/>
    </row>
    <row r="74">
      <c r="A74" s="1" t="n"/>
      <c r="B74" s="1" t="n"/>
      <c r="C74" s="1" t="n"/>
      <c r="D74" s="1" t="n"/>
      <c r="E74" s="1" t="n"/>
      <c r="F74" s="1" t="n"/>
      <c r="G74" s="1" t="n"/>
    </row>
    <row r="75">
      <c r="A75" s="1" t="n"/>
      <c r="B75" s="1" t="n"/>
      <c r="C75" s="1" t="n"/>
      <c r="D75" s="1" t="n"/>
      <c r="E75" s="1" t="n"/>
      <c r="F75" s="1" t="n"/>
      <c r="G75" s="1" t="n"/>
    </row>
    <row r="76">
      <c r="A76" s="1" t="n"/>
      <c r="B76" s="1" t="n"/>
      <c r="C76" s="1" t="n"/>
      <c r="D76" s="1" t="n"/>
      <c r="E76" s="1" t="n"/>
      <c r="F76" s="1" t="n"/>
      <c r="G76" s="1" t="n"/>
    </row>
    <row r="77">
      <c r="A77" s="1" t="n"/>
      <c r="B77" s="1" t="n"/>
      <c r="C77" s="1" t="n"/>
      <c r="D77" s="1" t="n"/>
      <c r="E77" s="1" t="n"/>
      <c r="F77" s="1" t="n"/>
      <c r="G77" s="1" t="n"/>
    </row>
    <row r="78">
      <c r="A78" s="1" t="n"/>
      <c r="B78" s="1" t="n"/>
      <c r="C78" s="1" t="n"/>
      <c r="D78" s="1" t="n"/>
      <c r="E78" s="1" t="n"/>
      <c r="F78" s="1" t="n"/>
      <c r="G78" s="1" t="n"/>
    </row>
    <row r="79">
      <c r="A79" s="1" t="n"/>
      <c r="B79" s="1" t="n"/>
      <c r="C79" s="1" t="n"/>
      <c r="D79" s="1" t="n"/>
      <c r="E79" s="1" t="n"/>
      <c r="F79" s="1" t="n"/>
      <c r="G79" s="1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2026-09-28T10:49:15Z</dcterms:created>
  <dcterms:modified xsi:type="dcterms:W3CDTF">2026-09-28T10:49:16Z</dcterms:modified>
</cp:coreProperties>
</file>