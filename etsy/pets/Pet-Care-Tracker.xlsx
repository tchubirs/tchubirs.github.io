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ts" sheetId="2" state="visible" r:id="rId2"/>
    <sheet name="Health" sheetId="3" state="visible" r:id="rId3"/>
    <sheet name="Vet visits" sheetId="4" state="visible" r:id="rId4"/>
    <sheet name="Weight" sheetId="5" state="visible" r:id="rId5"/>
    <sheet name="Food" sheetId="6" state="visible" r:id="rId6"/>
    <sheet name="Spending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 MMM YYYY"/>
    <numFmt numFmtId="166" formatCode="0.0#"/>
    <numFmt numFmtId="167" formatCode="+0.0#;-0.0#;0"/>
    <numFmt numFmtId="168" formatCode="#,##0.#"/>
    <numFmt numFmtId="169" formatCode="ddd d mmm"/>
    <numFmt numFmtId="170" formatCode="0&quot; days ahead&quot;"/>
    <numFmt numFmtId="171" formatCode="0&quot; days before&quot;"/>
    <numFmt numFmtId="172" formatCode="#,##0.00;;"/>
  </numFmts>
  <fonts count="13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B07A00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70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/>
    </xf>
    <xf numFmtId="171" fontId="4" fillId="4" borderId="1" applyAlignment="1" pivotButton="0" quotePrefix="0" xfId="0">
      <alignment horizontal="center" vertical="center"/>
    </xf>
    <xf numFmtId="0" fontId="7" fillId="2" borderId="1" pivotButton="0" quotePrefix="0" xfId="0"/>
    <xf numFmtId="1" fontId="8" fillId="2" borderId="1" applyAlignment="1" pivotButton="0" quotePrefix="0" xfId="0">
      <alignment horizontal="right"/>
    </xf>
    <xf numFmtId="1" fontId="9" fillId="2" borderId="1" applyAlignment="1" pivotButton="0" quotePrefix="0" xfId="0">
      <alignment horizontal="right"/>
    </xf>
    <xf numFmtId="1" fontId="10" fillId="2" borderId="1" applyAlignment="1" pivotButton="0" quotePrefix="0" xfId="0">
      <alignment horizontal="right"/>
    </xf>
    <xf numFmtId="4" fontId="8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pivotButton="0" quotePrefix="0" xfId="0"/>
    <xf numFmtId="0" fontId="5" fillId="2" borderId="1" pivotButton="0" quotePrefix="0" xfId="0"/>
    <xf numFmtId="16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72" fontId="5" fillId="2" borderId="1" pivotButton="0" quotePrefix="0" xfId="0"/>
    <xf numFmtId="4" fontId="5" fillId="2" borderId="1" pivotButton="0" quotePrefix="0" xfId="0"/>
    <xf numFmtId="0" fontId="4" fillId="4" borderId="1" pivotButton="0" quotePrefix="0" xfId="0"/>
    <xf numFmtId="0" fontId="5" fillId="4" borderId="1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49" fontId="5" fillId="4" borderId="1" pivotButton="0" quotePrefix="0" xfId="0"/>
    <xf numFmtId="166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2" borderId="0" pivotButton="0" quotePrefix="0" xfId="0"/>
    <xf numFmtId="4" fontId="5" fillId="4" borderId="1" pivotButton="0" quotePrefix="0" xfId="0"/>
    <xf numFmtId="166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3E8FF"/>
          <bgColor rgb="00E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3" customWidth="1" min="4" max="4"/>
    <col width="18" customWidth="1" min="5" max="5"/>
    <col width="3" customWidth="1" min="6" max="6"/>
    <col width="14" customWidth="1" min="7" max="7"/>
    <col width="20" customWidth="1" min="8" max="8"/>
    <col width="11" customWidth="1" min="9" max="9"/>
    <col width="12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Pet care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What is due for your pets, the food to buy, the next vet visits and what they cost.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Remind me</t>
        </is>
      </c>
      <c r="C4" s="5" t="n">
        <v>30</v>
      </c>
      <c r="D4" s="1" t="n"/>
      <c r="E4" s="6" t="inlineStr">
        <is>
          <t>Buy food</t>
        </is>
      </c>
      <c r="F4" s="1" t="n"/>
      <c r="G4" s="7" t="n">
        <v>5</v>
      </c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8" t="inlineStr">
        <is>
          <t>Pets</t>
        </is>
      </c>
      <c r="C6" s="8" t="inlineStr">
        <is>
          <t>Overdue</t>
        </is>
      </c>
      <c r="D6" s="8" t="inlineStr">
        <is>
          <t>Due soon</t>
        </is>
      </c>
      <c r="E6" s="8" t="inlineStr">
        <is>
          <t>Food to buy</t>
        </is>
      </c>
      <c r="F6" s="1" t="n"/>
      <c r="G6" s="8" t="inlineStr">
        <is>
          <t>Spent this year</t>
        </is>
      </c>
      <c r="H6" s="8" t="inlineStr">
        <is>
          <t>This month</t>
        </is>
      </c>
      <c r="I6" s="1" t="n"/>
      <c r="J6" s="1" t="n"/>
      <c r="K6" s="1" t="n"/>
      <c r="L6" s="1" t="n"/>
    </row>
    <row r="7" ht="34" customHeight="1">
      <c r="A7" s="1" t="n"/>
      <c r="B7" s="9">
        <f>COUNTIF(Pets!$B$6:$B$25,"?*")</f>
        <v/>
      </c>
      <c r="C7" s="10">
        <f>COUNTIF(Health!$G$6:$G$65,"Overdue*")</f>
        <v/>
      </c>
      <c r="D7" s="11">
        <f>COUNTIF(Health!$G$6:$G$65,"Due*")</f>
        <v/>
      </c>
      <c r="E7" s="10">
        <f>COUNTIF(Food!$K$6:$K$25,"Now")</f>
        <v/>
      </c>
      <c r="F7" s="1" t="n"/>
      <c r="G7" s="12">
        <f>SUMIFS(Spending!$F$6:$F$1005,Spending!$B$6:$B$1005,"&gt;="&amp;DATE(YEAR(TODAY()),1,1))+SUMIFS('Vet visits'!$G$6:$G$305,'Vet visits'!$B$6:$B$305,"&gt;="&amp;DATE(YEAR(TODAY()),1,1),'Vet visits'!$B$6:$B$305,"&lt;="&amp;TODAY())</f>
        <v/>
      </c>
      <c r="H7" s="12">
        <f>SUMIFS(Spending!$F$6:$F$1005,Spending!$B$6:$B$1005,"&gt;="&amp;DATE(YEAR(TODAY()),MONTH(TODAY()),1))+SUMIFS('Vet visits'!$G$6:$G$305,'Vet visits'!$B$6:$B$305,"&gt;="&amp;DATE(YEAR(TODAY()),MONTH(TODAY()),1),'Vet visits'!$B$6:$B$305,"&lt;="&amp;TODAY())</f>
        <v/>
      </c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1" t="n"/>
      <c r="B9" s="13" t="inlineStr">
        <is>
          <t>Health</t>
        </is>
      </c>
      <c r="C9" s="14" t="n"/>
      <c r="D9" s="13" t="inlineStr">
        <is>
          <t>Due</t>
        </is>
      </c>
      <c r="E9" s="13" t="inlineStr">
        <is>
          <t>Status</t>
        </is>
      </c>
      <c r="F9" s="1" t="n"/>
      <c r="G9" s="13" t="inlineStr">
        <is>
          <t>Food</t>
        </is>
      </c>
      <c r="H9" s="14" t="n"/>
      <c r="I9" s="13" t="inlineStr">
        <is>
          <t>Days left</t>
        </is>
      </c>
      <c r="J9" s="13" t="inlineStr">
        <is>
          <t>Buy by</t>
        </is>
      </c>
      <c r="K9" s="1" t="n"/>
      <c r="L9" s="1" t="n"/>
    </row>
    <row r="10">
      <c r="A10" s="1" t="n"/>
      <c r="B10" s="15">
        <f>IF(M10="","Nothing due soon",INDEX(Health!$B$6:$B$65,MATCH(M10,Health!$J$6:$J$65,0)))</f>
        <v/>
      </c>
      <c r="C10" s="16">
        <f>IF(M10="","",INDEX(Health!$C$6:$C$65,MATCH(M10,Health!$J$6:$J$65,0)))</f>
        <v/>
      </c>
      <c r="D10" s="17">
        <f>IF(M10="","",INT(M10))</f>
        <v/>
      </c>
      <c r="E10" s="18">
        <f>IF(M10="","",INDEX(Health!$G$6:$G$65,MATCH(M10,Health!$J$6:$J$65,0)))</f>
        <v/>
      </c>
      <c r="F10" s="1" t="n"/>
      <c r="G10" s="15">
        <f>IF(N10="","",INDEX(Food!$B$6:$B$25,MATCH(N10,Food!$O$6:$O$25,0)))</f>
        <v/>
      </c>
      <c r="H10" s="16">
        <f>IF(N10="","",INDEX(Food!$C$6:$C$25,MATCH(N10,Food!$O$6:$O$25,0)))</f>
        <v/>
      </c>
      <c r="I10" s="19">
        <f>IF(N10="","",INDEX(Food!$J$6:$J$25,MATCH(N10,Food!$O$6:$O$25,0)))</f>
        <v/>
      </c>
      <c r="J10" s="17">
        <f>IF(N10="","",INDEX(Food!$K$6:$K$25,MATCH(N10,Food!$O$6:$O$25,0)))</f>
        <v/>
      </c>
      <c r="K10" s="1" t="n"/>
      <c r="L10" s="1" t="n"/>
      <c r="M10">
        <f>IFERROR(SMALL(Health!$J$6:$J$65,1),"")</f>
        <v/>
      </c>
      <c r="N10">
        <f>IFERROR(SMALL(Food!$O$6:$O$25,1),"")</f>
        <v/>
      </c>
    </row>
    <row r="11">
      <c r="A11" s="1" t="n"/>
      <c r="B11" s="15">
        <f>IF(M11="","",INDEX(Health!$B$6:$B$65,MATCH(M11,Health!$J$6:$J$65,0)))</f>
        <v/>
      </c>
      <c r="C11" s="16">
        <f>IF(M11="","",INDEX(Health!$C$6:$C$65,MATCH(M11,Health!$J$6:$J$65,0)))</f>
        <v/>
      </c>
      <c r="D11" s="17">
        <f>IF(M11="","",INT(M11))</f>
        <v/>
      </c>
      <c r="E11" s="18">
        <f>IF(M11="","",INDEX(Health!$G$6:$G$65,MATCH(M11,Health!$J$6:$J$65,0)))</f>
        <v/>
      </c>
      <c r="F11" s="1" t="n"/>
      <c r="G11" s="15">
        <f>IF(N11="","",INDEX(Food!$B$6:$B$25,MATCH(N11,Food!$O$6:$O$25,0)))</f>
        <v/>
      </c>
      <c r="H11" s="16">
        <f>IF(N11="","",INDEX(Food!$C$6:$C$25,MATCH(N11,Food!$O$6:$O$25,0)))</f>
        <v/>
      </c>
      <c r="I11" s="19">
        <f>IF(N11="","",INDEX(Food!$J$6:$J$25,MATCH(N11,Food!$O$6:$O$25,0)))</f>
        <v/>
      </c>
      <c r="J11" s="17">
        <f>IF(N11="","",INDEX(Food!$K$6:$K$25,MATCH(N11,Food!$O$6:$O$25,0)))</f>
        <v/>
      </c>
      <c r="K11" s="1" t="n"/>
      <c r="L11" s="1" t="n"/>
      <c r="M11">
        <f>IFERROR(SMALL(Health!$J$6:$J$65,2),"")</f>
        <v/>
      </c>
      <c r="N11">
        <f>IFERROR(SMALL(Food!$O$6:$O$25,2),"")</f>
        <v/>
      </c>
    </row>
    <row r="12">
      <c r="A12" s="1" t="n"/>
      <c r="B12" s="15">
        <f>IF(M12="","",INDEX(Health!$B$6:$B$65,MATCH(M12,Health!$J$6:$J$65,0)))</f>
        <v/>
      </c>
      <c r="C12" s="16">
        <f>IF(M12="","",INDEX(Health!$C$6:$C$65,MATCH(M12,Health!$J$6:$J$65,0)))</f>
        <v/>
      </c>
      <c r="D12" s="17">
        <f>IF(M12="","",INT(M12))</f>
        <v/>
      </c>
      <c r="E12" s="18">
        <f>IF(M12="","",INDEX(Health!$G$6:$G$65,MATCH(M12,Health!$J$6:$J$65,0)))</f>
        <v/>
      </c>
      <c r="F12" s="1" t="n"/>
      <c r="G12" s="15">
        <f>IF(N12="","",INDEX(Food!$B$6:$B$25,MATCH(N12,Food!$O$6:$O$25,0)))</f>
        <v/>
      </c>
      <c r="H12" s="16">
        <f>IF(N12="","",INDEX(Food!$C$6:$C$25,MATCH(N12,Food!$O$6:$O$25,0)))</f>
        <v/>
      </c>
      <c r="I12" s="19">
        <f>IF(N12="","",INDEX(Food!$J$6:$J$25,MATCH(N12,Food!$O$6:$O$25,0)))</f>
        <v/>
      </c>
      <c r="J12" s="17">
        <f>IF(N12="","",INDEX(Food!$K$6:$K$25,MATCH(N12,Food!$O$6:$O$25,0)))</f>
        <v/>
      </c>
      <c r="K12" s="1" t="n"/>
      <c r="L12" s="1" t="n"/>
      <c r="M12">
        <f>IFERROR(SMALL(Health!$J$6:$J$65,3),"")</f>
        <v/>
      </c>
      <c r="N12">
        <f>IFERROR(SMALL(Food!$O$6:$O$25,3),"")</f>
        <v/>
      </c>
    </row>
    <row r="13">
      <c r="A13" s="1" t="n"/>
      <c r="B13" s="15">
        <f>IF(M13="","",INDEX(Health!$B$6:$B$65,MATCH(M13,Health!$J$6:$J$65,0)))</f>
        <v/>
      </c>
      <c r="C13" s="16">
        <f>IF(M13="","",INDEX(Health!$C$6:$C$65,MATCH(M13,Health!$J$6:$J$65,0)))</f>
        <v/>
      </c>
      <c r="D13" s="17">
        <f>IF(M13="","",INT(M13))</f>
        <v/>
      </c>
      <c r="E13" s="18">
        <f>IF(M13="","",INDEX(Health!$G$6:$G$65,MATCH(M13,Health!$J$6:$J$65,0)))</f>
        <v/>
      </c>
      <c r="F13" s="1" t="n"/>
      <c r="G13" s="15">
        <f>IF(N13="","",INDEX(Food!$B$6:$B$25,MATCH(N13,Food!$O$6:$O$25,0)))</f>
        <v/>
      </c>
      <c r="H13" s="16">
        <f>IF(N13="","",INDEX(Food!$C$6:$C$25,MATCH(N13,Food!$O$6:$O$25,0)))</f>
        <v/>
      </c>
      <c r="I13" s="19">
        <f>IF(N13="","",INDEX(Food!$J$6:$J$25,MATCH(N13,Food!$O$6:$O$25,0)))</f>
        <v/>
      </c>
      <c r="J13" s="17">
        <f>IF(N13="","",INDEX(Food!$K$6:$K$25,MATCH(N13,Food!$O$6:$O$25,0)))</f>
        <v/>
      </c>
      <c r="K13" s="1" t="n"/>
      <c r="L13" s="1" t="n"/>
      <c r="M13">
        <f>IFERROR(SMALL(Health!$J$6:$J$65,4),"")</f>
        <v/>
      </c>
      <c r="N13">
        <f>IFERROR(SMALL(Food!$O$6:$O$25,4),"")</f>
        <v/>
      </c>
    </row>
    <row r="14">
      <c r="A14" s="1" t="n"/>
      <c r="B14" s="15">
        <f>IF(M14="","",INDEX(Health!$B$6:$B$65,MATCH(M14,Health!$J$6:$J$65,0)))</f>
        <v/>
      </c>
      <c r="C14" s="16">
        <f>IF(M14="","",INDEX(Health!$C$6:$C$65,MATCH(M14,Health!$J$6:$J$65,0)))</f>
        <v/>
      </c>
      <c r="D14" s="17">
        <f>IF(M14="","",INT(M14))</f>
        <v/>
      </c>
      <c r="E14" s="18">
        <f>IF(M14="","",INDEX(Health!$G$6:$G$65,MATCH(M14,Health!$J$6:$J$65,0)))</f>
        <v/>
      </c>
      <c r="F14" s="1" t="n"/>
      <c r="G14" s="15">
        <f>IF(N14="","",INDEX(Food!$B$6:$B$25,MATCH(N14,Food!$O$6:$O$25,0)))</f>
        <v/>
      </c>
      <c r="H14" s="16">
        <f>IF(N14="","",INDEX(Food!$C$6:$C$25,MATCH(N14,Food!$O$6:$O$25,0)))</f>
        <v/>
      </c>
      <c r="I14" s="19">
        <f>IF(N14="","",INDEX(Food!$J$6:$J$25,MATCH(N14,Food!$O$6:$O$25,0)))</f>
        <v/>
      </c>
      <c r="J14" s="17">
        <f>IF(N14="","",INDEX(Food!$K$6:$K$25,MATCH(N14,Food!$O$6:$O$25,0)))</f>
        <v/>
      </c>
      <c r="K14" s="1" t="n"/>
      <c r="L14" s="1" t="n"/>
      <c r="M14">
        <f>IFERROR(SMALL(Health!$J$6:$J$65,5),"")</f>
        <v/>
      </c>
      <c r="N14">
        <f>IFERROR(SMALL(Food!$O$6:$O$25,5),"")</f>
        <v/>
      </c>
    </row>
    <row r="15">
      <c r="A15" s="1" t="n"/>
      <c r="B15" s="15">
        <f>IF(M15="","",INDEX(Health!$B$6:$B$65,MATCH(M15,Health!$J$6:$J$65,0)))</f>
        <v/>
      </c>
      <c r="C15" s="16">
        <f>IF(M15="","",INDEX(Health!$C$6:$C$65,MATCH(M15,Health!$J$6:$J$65,0)))</f>
        <v/>
      </c>
      <c r="D15" s="17">
        <f>IF(M15="","",INT(M15))</f>
        <v/>
      </c>
      <c r="E15" s="18">
        <f>IF(M15="","",INDEX(Health!$G$6:$G$65,MATCH(M15,Health!$J$6:$J$65,0)))</f>
        <v/>
      </c>
      <c r="F15" s="1" t="n"/>
      <c r="G15" s="15">
        <f>IF(N15="","",INDEX(Food!$B$6:$B$25,MATCH(N15,Food!$O$6:$O$25,0)))</f>
        <v/>
      </c>
      <c r="H15" s="16">
        <f>IF(N15="","",INDEX(Food!$C$6:$C$25,MATCH(N15,Food!$O$6:$O$25,0)))</f>
        <v/>
      </c>
      <c r="I15" s="19">
        <f>IF(N15="","",INDEX(Food!$J$6:$J$25,MATCH(N15,Food!$O$6:$O$25,0)))</f>
        <v/>
      </c>
      <c r="J15" s="17">
        <f>IF(N15="","",INDEX(Food!$K$6:$K$25,MATCH(N15,Food!$O$6:$O$25,0)))</f>
        <v/>
      </c>
      <c r="K15" s="1" t="n"/>
      <c r="L15" s="1" t="n"/>
      <c r="M15">
        <f>IFERROR(SMALL(Health!$J$6:$J$65,6),"")</f>
        <v/>
      </c>
      <c r="N15">
        <f>IFERROR(SMALL(Food!$O$6:$O$25,6),"")</f>
        <v/>
      </c>
    </row>
    <row r="16">
      <c r="A16" s="1" t="n"/>
      <c r="B16" s="15">
        <f>IF(M16="","",INDEX(Health!$B$6:$B$65,MATCH(M16,Health!$J$6:$J$65,0)))</f>
        <v/>
      </c>
      <c r="C16" s="16">
        <f>IF(M16="","",INDEX(Health!$C$6:$C$65,MATCH(M16,Health!$J$6:$J$65,0)))</f>
        <v/>
      </c>
      <c r="D16" s="17">
        <f>IF(M16="","",INT(M16))</f>
        <v/>
      </c>
      <c r="E16" s="18">
        <f>IF(M16="","",INDEX(Health!$G$6:$G$65,MATCH(M16,Health!$J$6:$J$65,0)))</f>
        <v/>
      </c>
      <c r="F16" s="1" t="n"/>
      <c r="G16" s="15">
        <f>IF(N16="","",INDEX(Food!$B$6:$B$25,MATCH(N16,Food!$O$6:$O$25,0)))</f>
        <v/>
      </c>
      <c r="H16" s="16">
        <f>IF(N16="","",INDEX(Food!$C$6:$C$25,MATCH(N16,Food!$O$6:$O$25,0)))</f>
        <v/>
      </c>
      <c r="I16" s="19">
        <f>IF(N16="","",INDEX(Food!$J$6:$J$25,MATCH(N16,Food!$O$6:$O$25,0)))</f>
        <v/>
      </c>
      <c r="J16" s="17">
        <f>IF(N16="","",INDEX(Food!$K$6:$K$25,MATCH(N16,Food!$O$6:$O$25,0)))</f>
        <v/>
      </c>
      <c r="K16" s="1" t="n"/>
      <c r="L16" s="1" t="n"/>
      <c r="M16">
        <f>IFERROR(SMALL(Health!$J$6:$J$65,7),"")</f>
        <v/>
      </c>
      <c r="N16">
        <f>IFERROR(SMALL(Food!$O$6:$O$25,7),"")</f>
        <v/>
      </c>
    </row>
    <row r="17">
      <c r="A17" s="1" t="n"/>
      <c r="B17" s="15">
        <f>IF(M17="","",INDEX(Health!$B$6:$B$65,MATCH(M17,Health!$J$6:$J$65,0)))</f>
        <v/>
      </c>
      <c r="C17" s="16">
        <f>IF(M17="","",INDEX(Health!$C$6:$C$65,MATCH(M17,Health!$J$6:$J$65,0)))</f>
        <v/>
      </c>
      <c r="D17" s="17">
        <f>IF(M17="","",INT(M17))</f>
        <v/>
      </c>
      <c r="E17" s="18">
        <f>IF(M17="","",INDEX(Health!$G$6:$G$65,MATCH(M17,Health!$J$6:$J$65,0)))</f>
        <v/>
      </c>
      <c r="F17" s="1" t="n"/>
      <c r="G17" s="15">
        <f>IF(N17="","",INDEX(Food!$B$6:$B$25,MATCH(N17,Food!$O$6:$O$25,0)))</f>
        <v/>
      </c>
      <c r="H17" s="16">
        <f>IF(N17="","",INDEX(Food!$C$6:$C$25,MATCH(N17,Food!$O$6:$O$25,0)))</f>
        <v/>
      </c>
      <c r="I17" s="19">
        <f>IF(N17="","",INDEX(Food!$J$6:$J$25,MATCH(N17,Food!$O$6:$O$25,0)))</f>
        <v/>
      </c>
      <c r="J17" s="17">
        <f>IF(N17="","",INDEX(Food!$K$6:$K$25,MATCH(N17,Food!$O$6:$O$25,0)))</f>
        <v/>
      </c>
      <c r="K17" s="1" t="n"/>
      <c r="L17" s="1" t="n"/>
      <c r="M17">
        <f>IFERROR(SMALL(Health!$J$6:$J$65,8),"")</f>
        <v/>
      </c>
      <c r="N17">
        <f>IFERROR(SMALL(Food!$O$6:$O$25,8),"")</f>
        <v/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30" customHeight="1">
      <c r="A20" s="1" t="n"/>
      <c r="B20" s="13" t="inlineStr">
        <is>
          <t>Vet visits booked</t>
        </is>
      </c>
      <c r="C20" s="14" t="n"/>
      <c r="D20" s="13" t="inlineStr">
        <is>
          <t>Date</t>
        </is>
      </c>
      <c r="E20" s="13" t="inlineStr">
        <is>
          <t>Why</t>
        </is>
      </c>
      <c r="F20" s="1" t="n"/>
      <c r="G20" s="13" t="inlineStr">
        <is>
          <t>This year</t>
        </is>
      </c>
      <c r="H20" s="14" t="n"/>
      <c r="I20" s="13" t="inlineStr">
        <is>
          <t>Spent</t>
        </is>
      </c>
      <c r="J20" s="1" t="n"/>
      <c r="K20" s="1" t="n"/>
      <c r="L20" s="1" t="n"/>
    </row>
    <row r="21">
      <c r="A21" s="1" t="n"/>
      <c r="B21" s="15">
        <f>IF(O21="","No visit booked",INDEX('Vet visits'!$C$6:$C$305,MATCH(O21,'Vet visits'!$I$6:$I$305,0)))</f>
        <v/>
      </c>
      <c r="C21" s="16">
        <f>IF(O21="","",INDEX('Vet visits'!$E$6:$E$305,MATCH(O21,'Vet visits'!$I$6:$I$305,0)))</f>
        <v/>
      </c>
      <c r="D21" s="17">
        <f>IF(O21="","",INT(O21))</f>
        <v/>
      </c>
      <c r="E21" s="16">
        <f>IF(O21="","",INDEX('Vet visits'!$D$6:$D$305,MATCH(O21,'Vet visits'!$I$6:$I$305,0)))</f>
        <v/>
      </c>
      <c r="F21" s="1" t="n"/>
      <c r="G21" s="15" t="inlineStr">
        <is>
          <t>Food</t>
        </is>
      </c>
      <c r="H21" s="14" t="n"/>
      <c r="I21" s="20">
        <f>SUMIFS(Spending!$F$6:$F$1005,Spending!$D$6:$D$1005,G21,Spending!$B$6:$B$1005,"&gt;="&amp;DATE(YEAR(TODAY()),1,1))</f>
        <v/>
      </c>
      <c r="J21" s="1" t="n"/>
      <c r="K21" s="1" t="n"/>
      <c r="L21" s="1" t="n"/>
      <c r="O21">
        <f>IFERROR(SMALL('Vet visits'!$I$6:$I$305,1),"")</f>
        <v/>
      </c>
    </row>
    <row r="22">
      <c r="A22" s="1" t="n"/>
      <c r="B22" s="15">
        <f>IF(O22="","",INDEX('Vet visits'!$C$6:$C$305,MATCH(O22,'Vet visits'!$I$6:$I$305,0)))</f>
        <v/>
      </c>
      <c r="C22" s="16">
        <f>IF(O22="","",INDEX('Vet visits'!$E$6:$E$305,MATCH(O22,'Vet visits'!$I$6:$I$305,0)))</f>
        <v/>
      </c>
      <c r="D22" s="17">
        <f>IF(O22="","",INT(O22))</f>
        <v/>
      </c>
      <c r="E22" s="16">
        <f>IF(O22="","",INDEX('Vet visits'!$D$6:$D$305,MATCH(O22,'Vet visits'!$I$6:$I$305,0)))</f>
        <v/>
      </c>
      <c r="F22" s="1" t="n"/>
      <c r="G22" s="15" t="inlineStr">
        <is>
          <t>Vet</t>
        </is>
      </c>
      <c r="H22" s="14" t="n"/>
      <c r="I22" s="20">
        <f>SUMIFS(Spending!$F$6:$F$1005,Spending!$D$6:$D$1005,G22,Spending!$B$6:$B$1005,"&gt;="&amp;DATE(YEAR(TODAY()),1,1))+SUMIFS('Vet visits'!$G$6:$G$305,'Vet visits'!$B$6:$B$305,"&gt;="&amp;DATE(YEAR(TODAY()),1,1),'Vet visits'!$B$6:$B$305,"&lt;="&amp;TODAY())</f>
        <v/>
      </c>
      <c r="J22" s="1" t="n"/>
      <c r="K22" s="1" t="n"/>
      <c r="L22" s="1" t="n"/>
      <c r="O22">
        <f>IFERROR(SMALL('Vet visits'!$I$6:$I$305,2),"")</f>
        <v/>
      </c>
    </row>
    <row r="23">
      <c r="A23" s="1" t="n"/>
      <c r="B23" s="15">
        <f>IF(O23="","",INDEX('Vet visits'!$C$6:$C$305,MATCH(O23,'Vet visits'!$I$6:$I$305,0)))</f>
        <v/>
      </c>
      <c r="C23" s="16">
        <f>IF(O23="","",INDEX('Vet visits'!$E$6:$E$305,MATCH(O23,'Vet visits'!$I$6:$I$305,0)))</f>
        <v/>
      </c>
      <c r="D23" s="17">
        <f>IF(O23="","",INT(O23))</f>
        <v/>
      </c>
      <c r="E23" s="16">
        <f>IF(O23="","",INDEX('Vet visits'!$D$6:$D$305,MATCH(O23,'Vet visits'!$I$6:$I$305,0)))</f>
        <v/>
      </c>
      <c r="F23" s="1" t="n"/>
      <c r="G23" s="15" t="inlineStr">
        <is>
          <t>Medicine</t>
        </is>
      </c>
      <c r="H23" s="14" t="n"/>
      <c r="I23" s="20">
        <f>SUMIFS(Spending!$F$6:$F$1005,Spending!$D$6:$D$1005,G23,Spending!$B$6:$B$1005,"&gt;="&amp;DATE(YEAR(TODAY()),1,1))</f>
        <v/>
      </c>
      <c r="J23" s="1" t="n"/>
      <c r="K23" s="1" t="n"/>
      <c r="L23" s="1" t="n"/>
      <c r="O23">
        <f>IFERROR(SMALL('Vet visits'!$I$6:$I$305,3),"")</f>
        <v/>
      </c>
    </row>
    <row r="24">
      <c r="A24" s="1" t="n"/>
      <c r="B24" s="15">
        <f>IF(O24="","",INDEX('Vet visits'!$C$6:$C$305,MATCH(O24,'Vet visits'!$I$6:$I$305,0)))</f>
        <v/>
      </c>
      <c r="C24" s="16">
        <f>IF(O24="","",INDEX('Vet visits'!$E$6:$E$305,MATCH(O24,'Vet visits'!$I$6:$I$305,0)))</f>
        <v/>
      </c>
      <c r="D24" s="17">
        <f>IF(O24="","",INT(O24))</f>
        <v/>
      </c>
      <c r="E24" s="16">
        <f>IF(O24="","",INDEX('Vet visits'!$D$6:$D$305,MATCH(O24,'Vet visits'!$I$6:$I$305,0)))</f>
        <v/>
      </c>
      <c r="F24" s="1" t="n"/>
      <c r="G24" s="15" t="inlineStr">
        <is>
          <t>Insurance</t>
        </is>
      </c>
      <c r="H24" s="14" t="n"/>
      <c r="I24" s="20">
        <f>SUMIFS(Spending!$F$6:$F$1005,Spending!$D$6:$D$1005,G24,Spending!$B$6:$B$1005,"&gt;="&amp;DATE(YEAR(TODAY()),1,1))</f>
        <v/>
      </c>
      <c r="J24" s="1" t="n"/>
      <c r="K24" s="1" t="n"/>
      <c r="L24" s="1" t="n"/>
      <c r="O24">
        <f>IFERROR(SMALL('Vet visits'!$I$6:$I$305,4),"")</f>
        <v/>
      </c>
    </row>
    <row r="25">
      <c r="A25" s="1" t="n"/>
      <c r="B25" s="15">
        <f>IF(O25="","",INDEX('Vet visits'!$C$6:$C$305,MATCH(O25,'Vet visits'!$I$6:$I$305,0)))</f>
        <v/>
      </c>
      <c r="C25" s="16">
        <f>IF(O25="","",INDEX('Vet visits'!$E$6:$E$305,MATCH(O25,'Vet visits'!$I$6:$I$305,0)))</f>
        <v/>
      </c>
      <c r="D25" s="17">
        <f>IF(O25="","",INT(O25))</f>
        <v/>
      </c>
      <c r="E25" s="16">
        <f>IF(O25="","",INDEX('Vet visits'!$D$6:$D$305,MATCH(O25,'Vet visits'!$I$6:$I$305,0)))</f>
        <v/>
      </c>
      <c r="F25" s="1" t="n"/>
      <c r="G25" s="15" t="inlineStr">
        <is>
          <t>Grooming</t>
        </is>
      </c>
      <c r="H25" s="14" t="n"/>
      <c r="I25" s="20">
        <f>SUMIFS(Spending!$F$6:$F$1005,Spending!$D$6:$D$1005,G25,Spending!$B$6:$B$1005,"&gt;="&amp;DATE(YEAR(TODAY()),1,1))</f>
        <v/>
      </c>
      <c r="J25" s="1" t="n"/>
      <c r="K25" s="1" t="n"/>
      <c r="L25" s="1" t="n"/>
      <c r="O25">
        <f>IFERROR(SMALL('Vet visits'!$I$6:$I$305,5),"")</f>
        <v/>
      </c>
    </row>
    <row r="26">
      <c r="A26" s="1" t="n"/>
      <c r="B26" s="1" t="n"/>
      <c r="C26" s="1" t="n"/>
      <c r="D26" s="1" t="n"/>
      <c r="E26" s="1" t="n"/>
      <c r="F26" s="1" t="n"/>
      <c r="G26" s="15" t="inlineStr">
        <is>
          <t>Toys</t>
        </is>
      </c>
      <c r="H26" s="14" t="n"/>
      <c r="I26" s="20">
        <f>SUMIFS(Spending!$F$6:$F$1005,Spending!$D$6:$D$1005,G26,Spending!$B$6:$B$1005,"&gt;="&amp;DATE(YEAR(TODAY()),1,1))</f>
        <v/>
      </c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5" t="inlineStr">
        <is>
          <t>Supplies</t>
        </is>
      </c>
      <c r="H27" s="14" t="n"/>
      <c r="I27" s="20">
        <f>SUMIFS(Spending!$F$6:$F$1005,Spending!$D$6:$D$1005,G27,Spending!$B$6:$B$1005,"&gt;="&amp;DATE(YEAR(TODAY()),1,1))</f>
        <v/>
      </c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5" t="inlineStr">
        <is>
          <t>Boarding</t>
        </is>
      </c>
      <c r="H28" s="14" t="n"/>
      <c r="I28" s="20">
        <f>SUMIFS(Spending!$F$6:$F$1005,Spending!$D$6:$D$1005,G28,Spending!$B$6:$B$1005,"&gt;="&amp;DATE(YEAR(TODAY()),1,1))</f>
        <v/>
      </c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5" t="inlineStr">
        <is>
          <t>Other</t>
        </is>
      </c>
      <c r="H29" s="14" t="n"/>
      <c r="I29" s="20">
        <f>SUMIFS(Spending!$F$6:$F$1005,Spending!$D$6:$D$1005,G29,Spending!$B$6:$B$1005,"&gt;="&amp;DATE(YEAR(TODAY()),1,1))</f>
        <v/>
      </c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30" customHeight="1">
      <c r="A31" s="1" t="n"/>
      <c r="B31" s="13" t="inlineStr">
        <is>
          <t>Each pet this year</t>
        </is>
      </c>
      <c r="C31" s="14" t="n"/>
      <c r="D31" s="13" t="inlineStr">
        <is>
          <t>Spent</t>
        </is>
      </c>
      <c r="E31" s="13" t="inlineStr">
        <is>
          <t>Of which vet</t>
        </is>
      </c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5">
        <f>IF(Pets!B6="","",Pets!B6)</f>
        <v/>
      </c>
      <c r="C32" s="14" t="n"/>
      <c r="D32" s="21">
        <f>IF(B32="","",SUMIFS(Spending!$F$6:$F$1005,Spending!$C$6:$C$1005,B32,Spending!$B$6:$B$1005,"&gt;="&amp;DATE(YEAR(TODAY()),1,1))+SUMIFS('Vet visits'!$G$6:$G$305,'Vet visits'!$C$6:$C$305,B32,'Vet visits'!$B$6:$B$305,"&gt;="&amp;DATE(YEAR(TODAY()),1,1),'Vet visits'!$B$6:$B$305,"&lt;="&amp;TODAY()))</f>
        <v/>
      </c>
      <c r="E32" s="20">
        <f>IF(B32="","",SUMIFS('Vet visits'!$G$6:$G$305,'Vet visits'!$C$6:$C$305,B32,'Vet visits'!$B$6:$B$305,"&gt;="&amp;DATE(YEAR(TODAY()),1,1),'Vet visits'!$B$6:$B$305,"&lt;="&amp;TODAY()))</f>
        <v/>
      </c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5">
        <f>IF(Pets!B7="","",Pets!B7)</f>
        <v/>
      </c>
      <c r="C33" s="14" t="n"/>
      <c r="D33" s="21">
        <f>IF(B33="","",SUMIFS(Spending!$F$6:$F$1005,Spending!$C$6:$C$1005,B33,Spending!$B$6:$B$1005,"&gt;="&amp;DATE(YEAR(TODAY()),1,1))+SUMIFS('Vet visits'!$G$6:$G$305,'Vet visits'!$C$6:$C$305,B33,'Vet visits'!$B$6:$B$305,"&gt;="&amp;DATE(YEAR(TODAY()),1,1),'Vet visits'!$B$6:$B$305,"&lt;="&amp;TODAY()))</f>
        <v/>
      </c>
      <c r="E33" s="20">
        <f>IF(B33="","",SUMIFS('Vet visits'!$G$6:$G$305,'Vet visits'!$C$6:$C$305,B33,'Vet visits'!$B$6:$B$305,"&gt;="&amp;DATE(YEAR(TODAY()),1,1),'Vet visits'!$B$6:$B$305,"&lt;="&amp;TODAY()))</f>
        <v/>
      </c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5">
        <f>IF(Pets!B8="","",Pets!B8)</f>
        <v/>
      </c>
      <c r="C34" s="14" t="n"/>
      <c r="D34" s="21">
        <f>IF(B34="","",SUMIFS(Spending!$F$6:$F$1005,Spending!$C$6:$C$1005,B34,Spending!$B$6:$B$1005,"&gt;="&amp;DATE(YEAR(TODAY()),1,1))+SUMIFS('Vet visits'!$G$6:$G$305,'Vet visits'!$C$6:$C$305,B34,'Vet visits'!$B$6:$B$305,"&gt;="&amp;DATE(YEAR(TODAY()),1,1),'Vet visits'!$B$6:$B$305,"&lt;="&amp;TODAY()))</f>
        <v/>
      </c>
      <c r="E34" s="20">
        <f>IF(B34="","",SUMIFS('Vet visits'!$G$6:$G$305,'Vet visits'!$C$6:$C$305,B34,'Vet visits'!$B$6:$B$305,"&gt;="&amp;DATE(YEAR(TODAY()),1,1),'Vet visits'!$B$6:$B$305,"&lt;="&amp;TODAY()))</f>
        <v/>
      </c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5">
        <f>IF(Pets!B9="","",Pets!B9)</f>
        <v/>
      </c>
      <c r="C35" s="14" t="n"/>
      <c r="D35" s="21">
        <f>IF(B35="","",SUMIFS(Spending!$F$6:$F$1005,Spending!$C$6:$C$1005,B35,Spending!$B$6:$B$1005,"&gt;="&amp;DATE(YEAR(TODAY()),1,1))+SUMIFS('Vet visits'!$G$6:$G$305,'Vet visits'!$C$6:$C$305,B35,'Vet visits'!$B$6:$B$305,"&gt;="&amp;DATE(YEAR(TODAY()),1,1),'Vet visits'!$B$6:$B$305,"&lt;="&amp;TODAY()))</f>
        <v/>
      </c>
      <c r="E35" s="20">
        <f>IF(B35="","",SUMIFS('Vet visits'!$G$6:$G$305,'Vet visits'!$C$6:$C$305,B35,'Vet visits'!$B$6:$B$305,"&gt;="&amp;DATE(YEAR(TODAY()),1,1),'Vet visits'!$B$6:$B$305,"&lt;="&amp;TODAY()))</f>
        <v/>
      </c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5">
        <f>IF(Pets!B10="","",Pets!B10)</f>
        <v/>
      </c>
      <c r="C36" s="14" t="n"/>
      <c r="D36" s="21">
        <f>IF(B36="","",SUMIFS(Spending!$F$6:$F$1005,Spending!$C$6:$C$1005,B36,Spending!$B$6:$B$1005,"&gt;="&amp;DATE(YEAR(TODAY()),1,1))+SUMIFS('Vet visits'!$G$6:$G$305,'Vet visits'!$C$6:$C$305,B36,'Vet visits'!$B$6:$B$305,"&gt;="&amp;DATE(YEAR(TODAY()),1,1),'Vet visits'!$B$6:$B$305,"&lt;="&amp;TODAY()))</f>
        <v/>
      </c>
      <c r="E36" s="20">
        <f>IF(B36="","",SUMIFS('Vet visits'!$G$6:$G$305,'Vet visits'!$C$6:$C$305,B36,'Vet visits'!$B$6:$B$305,"&gt;="&amp;DATE(YEAR(TODAY()),1,1),'Vet visits'!$B$6:$B$305,"&lt;="&amp;TODAY()))</f>
        <v/>
      </c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5">
        <f>IF(Pets!B11="","",Pets!B11)</f>
        <v/>
      </c>
      <c r="C37" s="14" t="n"/>
      <c r="D37" s="21">
        <f>IF(B37="","",SUMIFS(Spending!$F$6:$F$1005,Spending!$C$6:$C$1005,B37,Spending!$B$6:$B$1005,"&gt;="&amp;DATE(YEAR(TODAY()),1,1))+SUMIFS('Vet visits'!$G$6:$G$305,'Vet visits'!$C$6:$C$305,B37,'Vet visits'!$B$6:$B$305,"&gt;="&amp;DATE(YEAR(TODAY()),1,1),'Vet visits'!$B$6:$B$305,"&lt;="&amp;TODAY()))</f>
        <v/>
      </c>
      <c r="E37" s="20">
        <f>IF(B37="","",SUMIFS('Vet visits'!$G$6:$G$305,'Vet visits'!$C$6:$C$305,B37,'Vet visits'!$B$6:$B$305,"&gt;="&amp;DATE(YEAR(TODAY()),1,1),'Vet visits'!$B$6:$B$305,"&lt;="&amp;TODAY()))</f>
        <v/>
      </c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5">
        <f>IF(Pets!B12="","",Pets!B12)</f>
        <v/>
      </c>
      <c r="C38" s="14" t="n"/>
      <c r="D38" s="21">
        <f>IF(B38="","",SUMIFS(Spending!$F$6:$F$1005,Spending!$C$6:$C$1005,B38,Spending!$B$6:$B$1005,"&gt;="&amp;DATE(YEAR(TODAY()),1,1))+SUMIFS('Vet visits'!$G$6:$G$305,'Vet visits'!$C$6:$C$305,B38,'Vet visits'!$B$6:$B$305,"&gt;="&amp;DATE(YEAR(TODAY()),1,1),'Vet visits'!$B$6:$B$305,"&lt;="&amp;TODAY()))</f>
        <v/>
      </c>
      <c r="E38" s="20">
        <f>IF(B38="","",SUMIFS('Vet visits'!$G$6:$G$305,'Vet visits'!$C$6:$C$305,B38,'Vet visits'!$B$6:$B$305,"&gt;="&amp;DATE(YEAR(TODAY()),1,1),'Vet visits'!$B$6:$B$305,"&lt;="&amp;TODAY()))</f>
        <v/>
      </c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5">
        <f>IF(Pets!B13="","",Pets!B13)</f>
        <v/>
      </c>
      <c r="C39" s="14" t="n"/>
      <c r="D39" s="21">
        <f>IF(B39="","",SUMIFS(Spending!$F$6:$F$1005,Spending!$C$6:$C$1005,B39,Spending!$B$6:$B$1005,"&gt;="&amp;DATE(YEAR(TODAY()),1,1))+SUMIFS('Vet visits'!$G$6:$G$305,'Vet visits'!$C$6:$C$305,B39,'Vet visits'!$B$6:$B$305,"&gt;="&amp;DATE(YEAR(TODAY()),1,1),'Vet visits'!$B$6:$B$305,"&lt;="&amp;TODAY()))</f>
        <v/>
      </c>
      <c r="E39" s="20">
        <f>IF(B39="","",SUMIFS('Vet visits'!$G$6:$G$305,'Vet visits'!$C$6:$C$305,B39,'Vet visits'!$B$6:$B$305,"&gt;="&amp;DATE(YEAR(TODAY()),1,1),'Vet visits'!$B$6:$B$305,"&lt;="&amp;TODAY()))</f>
        <v/>
      </c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5" t="inlineStr">
        <is>
          <t>Shared (All)</t>
        </is>
      </c>
      <c r="C40" s="14" t="n"/>
      <c r="D40" s="21">
        <f>SUMIFS(Spending!$F$6:$F$1005,Spending!$C$6:$C$1005,"All",Spending!$B$6:$B$1005,"&gt;="&amp;DATE(YEAR(TODAY()),1,1))</f>
        <v/>
      </c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</sheetData>
  <mergeCells count="23">
    <mergeCell ref="G21:H21"/>
    <mergeCell ref="G27:H27"/>
    <mergeCell ref="G23:H23"/>
    <mergeCell ref="B31:C31"/>
    <mergeCell ref="B39:C39"/>
    <mergeCell ref="G28:H28"/>
    <mergeCell ref="B38:C38"/>
    <mergeCell ref="G24:H24"/>
    <mergeCell ref="B34:C34"/>
    <mergeCell ref="B37:C37"/>
    <mergeCell ref="B40:C40"/>
    <mergeCell ref="B9:C9"/>
    <mergeCell ref="G26:H26"/>
    <mergeCell ref="G29:H29"/>
    <mergeCell ref="G20:H20"/>
    <mergeCell ref="B33:C33"/>
    <mergeCell ref="B20:C20"/>
    <mergeCell ref="G25:H25"/>
    <mergeCell ref="B36:C36"/>
    <mergeCell ref="B32:C32"/>
    <mergeCell ref="G22:H22"/>
    <mergeCell ref="G9:H9"/>
    <mergeCell ref="B35:C35"/>
  </mergeCells>
  <conditionalFormatting sqref="E10:E17">
    <cfRule type="expression" priority="1" dxfId="0">
      <formula>LEFT(E10,7)="Overdue"</formula>
    </cfRule>
    <cfRule type="expression" priority="2" dxfId="1">
      <formula>LEFT(E10,3)="Due"</formula>
    </cfRule>
  </conditionalFormatting>
  <conditionalFormatting sqref="J10:J17">
    <cfRule type="expression" priority="3" dxfId="0">
      <formula>J10="Now"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14" customWidth="1" min="4" max="4"/>
    <col width="13" customWidth="1" min="5" max="5"/>
    <col width="14" customWidth="1" min="6" max="6"/>
    <col width="9" customWidth="1" min="7" max="7"/>
    <col width="10" customWidth="1" min="8" max="8"/>
    <col width="18" customWidth="1" min="9" max="9"/>
    <col width="26" customWidth="1" min="10" max="10"/>
    <col width="20" customWidth="1" min="11" max="11"/>
    <col width="11" customWidth="1" min="12" max="12"/>
    <col width="11" customWidth="1" min="13" max="13"/>
    <col width="30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Pets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Each pet once, with its papers. Age and the latest weight fill in by themselves.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3" t="inlineStr">
        <is>
          <t>Name</t>
        </is>
      </c>
      <c r="C5" s="13" t="inlineStr">
        <is>
          <t>Species</t>
        </is>
      </c>
      <c r="D5" s="13" t="inlineStr">
        <is>
          <t>Breed</t>
        </is>
      </c>
      <c r="E5" s="13" t="inlineStr">
        <is>
          <t>Birthday</t>
        </is>
      </c>
      <c r="F5" s="13" t="inlineStr">
        <is>
          <t>Age</t>
        </is>
      </c>
      <c r="G5" s="13" t="inlineStr">
        <is>
          <t>Sex</t>
        </is>
      </c>
      <c r="H5" s="13" t="inlineStr">
        <is>
          <t>Neutered</t>
        </is>
      </c>
      <c r="I5" s="13" t="inlineStr">
        <is>
          <t>Microchip</t>
        </is>
      </c>
      <c r="J5" s="13" t="inlineStr">
        <is>
          <t>Insurance</t>
        </is>
      </c>
      <c r="K5" s="13" t="inlineStr">
        <is>
          <t>Vet</t>
        </is>
      </c>
      <c r="L5" s="13" t="inlineStr">
        <is>
          <t>Weight</t>
        </is>
      </c>
      <c r="M5" s="13" t="inlineStr">
        <is>
          <t>Change</t>
        </is>
      </c>
      <c r="N5" s="13" t="inlineStr">
        <is>
          <t>Notes</t>
        </is>
      </c>
      <c r="O5" s="1" t="n"/>
    </row>
    <row r="6">
      <c r="A6" s="1" t="n"/>
      <c r="B6" s="22" t="inlineStr">
        <is>
          <t>Biscuit</t>
        </is>
      </c>
      <c r="C6" s="23" t="inlineStr">
        <is>
          <t>Dog</t>
        </is>
      </c>
      <c r="D6" s="23" t="inlineStr">
        <is>
          <t>Labrador</t>
        </is>
      </c>
      <c r="E6" s="24" t="n">
        <v>44731</v>
      </c>
      <c r="F6" s="18">
        <f>IF(E6="","",IF(DATEDIF(E6,TODAY(),"y")=0,"",DATEDIF(E6,TODAY(),"y")&amp;"y ")&amp;DATEDIF(E6,TODAY(),"ym")&amp;"m")</f>
        <v/>
      </c>
      <c r="G6" s="25" t="inlineStr">
        <is>
          <t>Male</t>
        </is>
      </c>
      <c r="H6" s="25" t="inlineStr">
        <is>
          <t>Yes</t>
        </is>
      </c>
      <c r="I6" s="26" t="inlineStr">
        <is>
          <t>981000000000101</t>
        </is>
      </c>
      <c r="J6" s="23" t="inlineStr">
        <is>
          <t>PetShield, policy 44-1021</t>
        </is>
      </c>
      <c r="K6" s="23" t="inlineStr">
        <is>
          <t>Riverside Vets</t>
        </is>
      </c>
      <c r="L6" s="27">
        <f>IF(OR(B6="",COUNTIFS(Weight!$C$6:$C$505,$B6,Weight!$F$6:$F$505,0)=0),"",SUMIFS(Weight!$D$6:$D$505,Weight!$C$6:$C$505,$B6,Weight!$F$6:$F$505,0))</f>
        <v/>
      </c>
      <c r="M6" s="28">
        <f>IF(OR(L6="",COUNTIFS(Weight!$C$6:$C$505,$B6,Weight!$F$6:$F$505,1)=0),"",L6-SUMIFS(Weight!$D$6:$D$505,Weight!$C$6:$C$505,$B6,Weight!$F$6:$F$505,1))</f>
        <v/>
      </c>
      <c r="N6" s="23" t="inlineStr">
        <is>
          <t>Loves the lake, hates the hoover</t>
        </is>
      </c>
      <c r="O6" s="1" t="n"/>
    </row>
    <row r="7">
      <c r="A7" s="1" t="n"/>
      <c r="B7" s="22" t="inlineStr">
        <is>
          <t>Miso</t>
        </is>
      </c>
      <c r="C7" s="23" t="inlineStr">
        <is>
          <t>Cat</t>
        </is>
      </c>
      <c r="D7" s="23" t="inlineStr">
        <is>
          <t>Tabby</t>
        </is>
      </c>
      <c r="E7" s="24" t="n">
        <v>43685</v>
      </c>
      <c r="F7" s="18">
        <f>IF(E7="","",IF(DATEDIF(E7,TODAY(),"y")=0,"",DATEDIF(E7,TODAY(),"y")&amp;"y ")&amp;DATEDIF(E7,TODAY(),"ym")&amp;"m")</f>
        <v/>
      </c>
      <c r="G7" s="25" t="inlineStr">
        <is>
          <t>Female</t>
        </is>
      </c>
      <c r="H7" s="25" t="inlineStr">
        <is>
          <t>Yes</t>
        </is>
      </c>
      <c r="I7" s="26" t="inlineStr">
        <is>
          <t>981000000000102</t>
        </is>
      </c>
      <c r="J7" s="23" t="n"/>
      <c r="K7" s="23" t="inlineStr">
        <is>
          <t>Riverside Vets</t>
        </is>
      </c>
      <c r="L7" s="27">
        <f>IF(OR(B7="",COUNTIFS(Weight!$C$6:$C$505,$B7,Weight!$F$6:$F$505,0)=0),"",SUMIFS(Weight!$D$6:$D$505,Weight!$C$6:$C$505,$B7,Weight!$F$6:$F$505,0))</f>
        <v/>
      </c>
      <c r="M7" s="28">
        <f>IF(OR(L7="",COUNTIFS(Weight!$C$6:$C$505,$B7,Weight!$F$6:$F$505,1)=0),"",L7-SUMIFS(Weight!$D$6:$D$505,Weight!$C$6:$C$505,$B7,Weight!$F$6:$F$505,1))</f>
        <v/>
      </c>
      <c r="N7" s="23" t="inlineStr">
        <is>
          <t>Indoor cat</t>
        </is>
      </c>
      <c r="O7" s="1" t="n"/>
    </row>
    <row r="8">
      <c r="A8" s="1" t="n"/>
      <c r="B8" s="22" t="inlineStr">
        <is>
          <t>Clover</t>
        </is>
      </c>
      <c r="C8" s="23" t="inlineStr">
        <is>
          <t>Rabbit</t>
        </is>
      </c>
      <c r="D8" s="23" t="inlineStr">
        <is>
          <t>Mini lop</t>
        </is>
      </c>
      <c r="E8" s="24" t="n">
        <v>45408</v>
      </c>
      <c r="F8" s="18">
        <f>IF(E8="","",IF(DATEDIF(E8,TODAY(),"y")=0,"",DATEDIF(E8,TODAY(),"y")&amp;"y ")&amp;DATEDIF(E8,TODAY(),"ym")&amp;"m")</f>
        <v/>
      </c>
      <c r="G8" s="25" t="inlineStr">
        <is>
          <t>Female</t>
        </is>
      </c>
      <c r="H8" s="25" t="inlineStr">
        <is>
          <t>Yes</t>
        </is>
      </c>
      <c r="I8" s="26" t="n"/>
      <c r="J8" s="23" t="n"/>
      <c r="K8" s="23" t="inlineStr">
        <is>
          <t>Burrow Exotic Vets</t>
        </is>
      </c>
      <c r="L8" s="27">
        <f>IF(OR(B8="",COUNTIFS(Weight!$C$6:$C$505,$B8,Weight!$F$6:$F$505,0)=0),"",SUMIFS(Weight!$D$6:$D$505,Weight!$C$6:$C$505,$B8,Weight!$F$6:$F$505,0))</f>
        <v/>
      </c>
      <c r="M8" s="28">
        <f>IF(OR(L8="",COUNTIFS(Weight!$C$6:$C$505,$B8,Weight!$F$6:$F$505,1)=0),"",L8-SUMIFS(Weight!$D$6:$D$505,Weight!$C$6:$C$505,$B8,Weight!$F$6:$F$505,1))</f>
        <v/>
      </c>
      <c r="N8" s="23" t="inlineStr">
        <is>
          <t>Free roam in the kitchen</t>
        </is>
      </c>
      <c r="O8" s="1" t="n"/>
    </row>
    <row r="9">
      <c r="A9" s="1" t="n"/>
      <c r="B9" s="22" t="n"/>
      <c r="C9" s="23" t="n"/>
      <c r="D9" s="23" t="n"/>
      <c r="E9" s="24" t="n"/>
      <c r="F9" s="18">
        <f>IF(E9="","",IF(DATEDIF(E9,TODAY(),"y")=0,"",DATEDIF(E9,TODAY(),"y")&amp;"y ")&amp;DATEDIF(E9,TODAY(),"ym")&amp;"m")</f>
        <v/>
      </c>
      <c r="G9" s="25" t="n"/>
      <c r="H9" s="25" t="n"/>
      <c r="I9" s="26" t="n"/>
      <c r="J9" s="23" t="n"/>
      <c r="K9" s="23" t="n"/>
      <c r="L9" s="27">
        <f>IF(OR(B9="",COUNTIFS(Weight!$C$6:$C$505,$B9,Weight!$F$6:$F$505,0)=0),"",SUMIFS(Weight!$D$6:$D$505,Weight!$C$6:$C$505,$B9,Weight!$F$6:$F$505,0))</f>
        <v/>
      </c>
      <c r="M9" s="28">
        <f>IF(OR(L9="",COUNTIFS(Weight!$C$6:$C$505,$B9,Weight!$F$6:$F$505,1)=0),"",L9-SUMIFS(Weight!$D$6:$D$505,Weight!$C$6:$C$505,$B9,Weight!$F$6:$F$505,1))</f>
        <v/>
      </c>
      <c r="N9" s="23" t="n"/>
      <c r="O9" s="1" t="n"/>
    </row>
    <row r="10">
      <c r="A10" s="1" t="n"/>
      <c r="B10" s="22" t="n"/>
      <c r="C10" s="23" t="n"/>
      <c r="D10" s="23" t="n"/>
      <c r="E10" s="24" t="n"/>
      <c r="F10" s="18">
        <f>IF(E10="","",IF(DATEDIF(E10,TODAY(),"y")=0,"",DATEDIF(E10,TODAY(),"y")&amp;"y ")&amp;DATEDIF(E10,TODAY(),"ym")&amp;"m")</f>
        <v/>
      </c>
      <c r="G10" s="25" t="n"/>
      <c r="H10" s="25" t="n"/>
      <c r="I10" s="26" t="n"/>
      <c r="J10" s="23" t="n"/>
      <c r="K10" s="23" t="n"/>
      <c r="L10" s="27">
        <f>IF(OR(B10="",COUNTIFS(Weight!$C$6:$C$505,$B10,Weight!$F$6:$F$505,0)=0),"",SUMIFS(Weight!$D$6:$D$505,Weight!$C$6:$C$505,$B10,Weight!$F$6:$F$505,0))</f>
        <v/>
      </c>
      <c r="M10" s="28">
        <f>IF(OR(L10="",COUNTIFS(Weight!$C$6:$C$505,$B10,Weight!$F$6:$F$505,1)=0),"",L10-SUMIFS(Weight!$D$6:$D$505,Weight!$C$6:$C$505,$B10,Weight!$F$6:$F$505,1))</f>
        <v/>
      </c>
      <c r="N10" s="23" t="n"/>
      <c r="O10" s="1" t="n"/>
    </row>
    <row r="11">
      <c r="A11" s="1" t="n"/>
      <c r="B11" s="22" t="n"/>
      <c r="C11" s="23" t="n"/>
      <c r="D11" s="23" t="n"/>
      <c r="E11" s="24" t="n"/>
      <c r="F11" s="18">
        <f>IF(E11="","",IF(DATEDIF(E11,TODAY(),"y")=0,"",DATEDIF(E11,TODAY(),"y")&amp;"y ")&amp;DATEDIF(E11,TODAY(),"ym")&amp;"m")</f>
        <v/>
      </c>
      <c r="G11" s="25" t="n"/>
      <c r="H11" s="25" t="n"/>
      <c r="I11" s="26" t="n"/>
      <c r="J11" s="23" t="n"/>
      <c r="K11" s="23" t="n"/>
      <c r="L11" s="27">
        <f>IF(OR(B11="",COUNTIFS(Weight!$C$6:$C$505,$B11,Weight!$F$6:$F$505,0)=0),"",SUMIFS(Weight!$D$6:$D$505,Weight!$C$6:$C$505,$B11,Weight!$F$6:$F$505,0))</f>
        <v/>
      </c>
      <c r="M11" s="28">
        <f>IF(OR(L11="",COUNTIFS(Weight!$C$6:$C$505,$B11,Weight!$F$6:$F$505,1)=0),"",L11-SUMIFS(Weight!$D$6:$D$505,Weight!$C$6:$C$505,$B11,Weight!$F$6:$F$505,1))</f>
        <v/>
      </c>
      <c r="N11" s="23" t="n"/>
      <c r="O11" s="1" t="n"/>
    </row>
    <row r="12">
      <c r="A12" s="1" t="n"/>
      <c r="B12" s="22" t="n"/>
      <c r="C12" s="23" t="n"/>
      <c r="D12" s="23" t="n"/>
      <c r="E12" s="24" t="n"/>
      <c r="F12" s="18">
        <f>IF(E12="","",IF(DATEDIF(E12,TODAY(),"y")=0,"",DATEDIF(E12,TODAY(),"y")&amp;"y ")&amp;DATEDIF(E12,TODAY(),"ym")&amp;"m")</f>
        <v/>
      </c>
      <c r="G12" s="25" t="n"/>
      <c r="H12" s="25" t="n"/>
      <c r="I12" s="26" t="n"/>
      <c r="J12" s="23" t="n"/>
      <c r="K12" s="23" t="n"/>
      <c r="L12" s="27">
        <f>IF(OR(B12="",COUNTIFS(Weight!$C$6:$C$505,$B12,Weight!$F$6:$F$505,0)=0),"",SUMIFS(Weight!$D$6:$D$505,Weight!$C$6:$C$505,$B12,Weight!$F$6:$F$505,0))</f>
        <v/>
      </c>
      <c r="M12" s="28">
        <f>IF(OR(L12="",COUNTIFS(Weight!$C$6:$C$505,$B12,Weight!$F$6:$F$505,1)=0),"",L12-SUMIFS(Weight!$D$6:$D$505,Weight!$C$6:$C$505,$B12,Weight!$F$6:$F$505,1))</f>
        <v/>
      </c>
      <c r="N12" s="23" t="n"/>
      <c r="O12" s="1" t="n"/>
    </row>
    <row r="13">
      <c r="A13" s="1" t="n"/>
      <c r="B13" s="22" t="n"/>
      <c r="C13" s="23" t="n"/>
      <c r="D13" s="23" t="n"/>
      <c r="E13" s="24" t="n"/>
      <c r="F13" s="18">
        <f>IF(E13="","",IF(DATEDIF(E13,TODAY(),"y")=0,"",DATEDIF(E13,TODAY(),"y")&amp;"y ")&amp;DATEDIF(E13,TODAY(),"ym")&amp;"m")</f>
        <v/>
      </c>
      <c r="G13" s="25" t="n"/>
      <c r="H13" s="25" t="n"/>
      <c r="I13" s="26" t="n"/>
      <c r="J13" s="23" t="n"/>
      <c r="K13" s="23" t="n"/>
      <c r="L13" s="27">
        <f>IF(OR(B13="",COUNTIFS(Weight!$C$6:$C$505,$B13,Weight!$F$6:$F$505,0)=0),"",SUMIFS(Weight!$D$6:$D$505,Weight!$C$6:$C$505,$B13,Weight!$F$6:$F$505,0))</f>
        <v/>
      </c>
      <c r="M13" s="28">
        <f>IF(OR(L13="",COUNTIFS(Weight!$C$6:$C$505,$B13,Weight!$F$6:$F$505,1)=0),"",L13-SUMIFS(Weight!$D$6:$D$505,Weight!$C$6:$C$505,$B13,Weight!$F$6:$F$505,1))</f>
        <v/>
      </c>
      <c r="N13" s="23" t="n"/>
      <c r="O13" s="1" t="n"/>
    </row>
    <row r="14">
      <c r="A14" s="1" t="n"/>
      <c r="B14" s="22" t="n"/>
      <c r="C14" s="23" t="n"/>
      <c r="D14" s="23" t="n"/>
      <c r="E14" s="24" t="n"/>
      <c r="F14" s="18">
        <f>IF(E14="","",IF(DATEDIF(E14,TODAY(),"y")=0,"",DATEDIF(E14,TODAY(),"y")&amp;"y ")&amp;DATEDIF(E14,TODAY(),"ym")&amp;"m")</f>
        <v/>
      </c>
      <c r="G14" s="25" t="n"/>
      <c r="H14" s="25" t="n"/>
      <c r="I14" s="26" t="n"/>
      <c r="J14" s="23" t="n"/>
      <c r="K14" s="23" t="n"/>
      <c r="L14" s="27">
        <f>IF(OR(B14="",COUNTIFS(Weight!$C$6:$C$505,$B14,Weight!$F$6:$F$505,0)=0),"",SUMIFS(Weight!$D$6:$D$505,Weight!$C$6:$C$505,$B14,Weight!$F$6:$F$505,0))</f>
        <v/>
      </c>
      <c r="M14" s="28">
        <f>IF(OR(L14="",COUNTIFS(Weight!$C$6:$C$505,$B14,Weight!$F$6:$F$505,1)=0),"",L14-SUMIFS(Weight!$D$6:$D$505,Weight!$C$6:$C$505,$B14,Weight!$F$6:$F$505,1))</f>
        <v/>
      </c>
      <c r="N14" s="23" t="n"/>
      <c r="O14" s="1" t="n"/>
    </row>
    <row r="15">
      <c r="A15" s="1" t="n"/>
      <c r="B15" s="22" t="n"/>
      <c r="C15" s="23" t="n"/>
      <c r="D15" s="23" t="n"/>
      <c r="E15" s="24" t="n"/>
      <c r="F15" s="18">
        <f>IF(E15="","",IF(DATEDIF(E15,TODAY(),"y")=0,"",DATEDIF(E15,TODAY(),"y")&amp;"y ")&amp;DATEDIF(E15,TODAY(),"ym")&amp;"m")</f>
        <v/>
      </c>
      <c r="G15" s="25" t="n"/>
      <c r="H15" s="25" t="n"/>
      <c r="I15" s="26" t="n"/>
      <c r="J15" s="23" t="n"/>
      <c r="K15" s="23" t="n"/>
      <c r="L15" s="27">
        <f>IF(OR(B15="",COUNTIFS(Weight!$C$6:$C$505,$B15,Weight!$F$6:$F$505,0)=0),"",SUMIFS(Weight!$D$6:$D$505,Weight!$C$6:$C$505,$B15,Weight!$F$6:$F$505,0))</f>
        <v/>
      </c>
      <c r="M15" s="28">
        <f>IF(OR(L15="",COUNTIFS(Weight!$C$6:$C$505,$B15,Weight!$F$6:$F$505,1)=0),"",L15-SUMIFS(Weight!$D$6:$D$505,Weight!$C$6:$C$505,$B15,Weight!$F$6:$F$505,1))</f>
        <v/>
      </c>
      <c r="N15" s="23" t="n"/>
      <c r="O15" s="1" t="n"/>
    </row>
    <row r="16">
      <c r="A16" s="1" t="n"/>
      <c r="B16" s="22" t="n"/>
      <c r="C16" s="23" t="n"/>
      <c r="D16" s="23" t="n"/>
      <c r="E16" s="24" t="n"/>
      <c r="F16" s="18">
        <f>IF(E16="","",IF(DATEDIF(E16,TODAY(),"y")=0,"",DATEDIF(E16,TODAY(),"y")&amp;"y ")&amp;DATEDIF(E16,TODAY(),"ym")&amp;"m")</f>
        <v/>
      </c>
      <c r="G16" s="25" t="n"/>
      <c r="H16" s="25" t="n"/>
      <c r="I16" s="26" t="n"/>
      <c r="J16" s="23" t="n"/>
      <c r="K16" s="23" t="n"/>
      <c r="L16" s="27">
        <f>IF(OR(B16="",COUNTIFS(Weight!$C$6:$C$505,$B16,Weight!$F$6:$F$505,0)=0),"",SUMIFS(Weight!$D$6:$D$505,Weight!$C$6:$C$505,$B16,Weight!$F$6:$F$505,0))</f>
        <v/>
      </c>
      <c r="M16" s="28">
        <f>IF(OR(L16="",COUNTIFS(Weight!$C$6:$C$505,$B16,Weight!$F$6:$F$505,1)=0),"",L16-SUMIFS(Weight!$D$6:$D$505,Weight!$C$6:$C$505,$B16,Weight!$F$6:$F$505,1))</f>
        <v/>
      </c>
      <c r="N16" s="23" t="n"/>
      <c r="O16" s="1" t="n"/>
    </row>
    <row r="17">
      <c r="A17" s="1" t="n"/>
      <c r="B17" s="22" t="n"/>
      <c r="C17" s="23" t="n"/>
      <c r="D17" s="23" t="n"/>
      <c r="E17" s="24" t="n"/>
      <c r="F17" s="18">
        <f>IF(E17="","",IF(DATEDIF(E17,TODAY(),"y")=0,"",DATEDIF(E17,TODAY(),"y")&amp;"y ")&amp;DATEDIF(E17,TODAY(),"ym")&amp;"m")</f>
        <v/>
      </c>
      <c r="G17" s="25" t="n"/>
      <c r="H17" s="25" t="n"/>
      <c r="I17" s="26" t="n"/>
      <c r="J17" s="23" t="n"/>
      <c r="K17" s="23" t="n"/>
      <c r="L17" s="27">
        <f>IF(OR(B17="",COUNTIFS(Weight!$C$6:$C$505,$B17,Weight!$F$6:$F$505,0)=0),"",SUMIFS(Weight!$D$6:$D$505,Weight!$C$6:$C$505,$B17,Weight!$F$6:$F$505,0))</f>
        <v/>
      </c>
      <c r="M17" s="28">
        <f>IF(OR(L17="",COUNTIFS(Weight!$C$6:$C$505,$B17,Weight!$F$6:$F$505,1)=0),"",L17-SUMIFS(Weight!$D$6:$D$505,Weight!$C$6:$C$505,$B17,Weight!$F$6:$F$505,1))</f>
        <v/>
      </c>
      <c r="N17" s="23" t="n"/>
      <c r="O17" s="1" t="n"/>
    </row>
    <row r="18">
      <c r="A18" s="1" t="n"/>
      <c r="B18" s="22" t="n"/>
      <c r="C18" s="23" t="n"/>
      <c r="D18" s="23" t="n"/>
      <c r="E18" s="24" t="n"/>
      <c r="F18" s="18">
        <f>IF(E18="","",IF(DATEDIF(E18,TODAY(),"y")=0,"",DATEDIF(E18,TODAY(),"y")&amp;"y ")&amp;DATEDIF(E18,TODAY(),"ym")&amp;"m")</f>
        <v/>
      </c>
      <c r="G18" s="25" t="n"/>
      <c r="H18" s="25" t="n"/>
      <c r="I18" s="26" t="n"/>
      <c r="J18" s="23" t="n"/>
      <c r="K18" s="23" t="n"/>
      <c r="L18" s="27">
        <f>IF(OR(B18="",COUNTIFS(Weight!$C$6:$C$505,$B18,Weight!$F$6:$F$505,0)=0),"",SUMIFS(Weight!$D$6:$D$505,Weight!$C$6:$C$505,$B18,Weight!$F$6:$F$505,0))</f>
        <v/>
      </c>
      <c r="M18" s="28">
        <f>IF(OR(L18="",COUNTIFS(Weight!$C$6:$C$505,$B18,Weight!$F$6:$F$505,1)=0),"",L18-SUMIFS(Weight!$D$6:$D$505,Weight!$C$6:$C$505,$B18,Weight!$F$6:$F$505,1))</f>
        <v/>
      </c>
      <c r="N18" s="23" t="n"/>
      <c r="O18" s="1" t="n"/>
    </row>
    <row r="19">
      <c r="A19" s="1" t="n"/>
      <c r="B19" s="22" t="n"/>
      <c r="C19" s="23" t="n"/>
      <c r="D19" s="23" t="n"/>
      <c r="E19" s="24" t="n"/>
      <c r="F19" s="18">
        <f>IF(E19="","",IF(DATEDIF(E19,TODAY(),"y")=0,"",DATEDIF(E19,TODAY(),"y")&amp;"y ")&amp;DATEDIF(E19,TODAY(),"ym")&amp;"m")</f>
        <v/>
      </c>
      <c r="G19" s="25" t="n"/>
      <c r="H19" s="25" t="n"/>
      <c r="I19" s="26" t="n"/>
      <c r="J19" s="23" t="n"/>
      <c r="K19" s="23" t="n"/>
      <c r="L19" s="27">
        <f>IF(OR(B19="",COUNTIFS(Weight!$C$6:$C$505,$B19,Weight!$F$6:$F$505,0)=0),"",SUMIFS(Weight!$D$6:$D$505,Weight!$C$6:$C$505,$B19,Weight!$F$6:$F$505,0))</f>
        <v/>
      </c>
      <c r="M19" s="28">
        <f>IF(OR(L19="",COUNTIFS(Weight!$C$6:$C$505,$B19,Weight!$F$6:$F$505,1)=0),"",L19-SUMIFS(Weight!$D$6:$D$505,Weight!$C$6:$C$505,$B19,Weight!$F$6:$F$505,1))</f>
        <v/>
      </c>
      <c r="N19" s="23" t="n"/>
      <c r="O19" s="1" t="n"/>
    </row>
    <row r="20">
      <c r="A20" s="1" t="n"/>
      <c r="B20" s="22" t="n"/>
      <c r="C20" s="23" t="n"/>
      <c r="D20" s="23" t="n"/>
      <c r="E20" s="24" t="n"/>
      <c r="F20" s="18">
        <f>IF(E20="","",IF(DATEDIF(E20,TODAY(),"y")=0,"",DATEDIF(E20,TODAY(),"y")&amp;"y ")&amp;DATEDIF(E20,TODAY(),"ym")&amp;"m")</f>
        <v/>
      </c>
      <c r="G20" s="25" t="n"/>
      <c r="H20" s="25" t="n"/>
      <c r="I20" s="26" t="n"/>
      <c r="J20" s="23" t="n"/>
      <c r="K20" s="23" t="n"/>
      <c r="L20" s="27">
        <f>IF(OR(B20="",COUNTIFS(Weight!$C$6:$C$505,$B20,Weight!$F$6:$F$505,0)=0),"",SUMIFS(Weight!$D$6:$D$505,Weight!$C$6:$C$505,$B20,Weight!$F$6:$F$505,0))</f>
        <v/>
      </c>
      <c r="M20" s="28">
        <f>IF(OR(L20="",COUNTIFS(Weight!$C$6:$C$505,$B20,Weight!$F$6:$F$505,1)=0),"",L20-SUMIFS(Weight!$D$6:$D$505,Weight!$C$6:$C$505,$B20,Weight!$F$6:$F$505,1))</f>
        <v/>
      </c>
      <c r="N20" s="23" t="n"/>
      <c r="O20" s="1" t="n"/>
    </row>
    <row r="21">
      <c r="A21" s="1" t="n"/>
      <c r="B21" s="22" t="n"/>
      <c r="C21" s="23" t="n"/>
      <c r="D21" s="23" t="n"/>
      <c r="E21" s="24" t="n"/>
      <c r="F21" s="18">
        <f>IF(E21="","",IF(DATEDIF(E21,TODAY(),"y")=0,"",DATEDIF(E21,TODAY(),"y")&amp;"y ")&amp;DATEDIF(E21,TODAY(),"ym")&amp;"m")</f>
        <v/>
      </c>
      <c r="G21" s="25" t="n"/>
      <c r="H21" s="25" t="n"/>
      <c r="I21" s="26" t="n"/>
      <c r="J21" s="23" t="n"/>
      <c r="K21" s="23" t="n"/>
      <c r="L21" s="27">
        <f>IF(OR(B21="",COUNTIFS(Weight!$C$6:$C$505,$B21,Weight!$F$6:$F$505,0)=0),"",SUMIFS(Weight!$D$6:$D$505,Weight!$C$6:$C$505,$B21,Weight!$F$6:$F$505,0))</f>
        <v/>
      </c>
      <c r="M21" s="28">
        <f>IF(OR(L21="",COUNTIFS(Weight!$C$6:$C$505,$B21,Weight!$F$6:$F$505,1)=0),"",L21-SUMIFS(Weight!$D$6:$D$505,Weight!$C$6:$C$505,$B21,Weight!$F$6:$F$505,1))</f>
        <v/>
      </c>
      <c r="N21" s="23" t="n"/>
      <c r="O21" s="1" t="n"/>
    </row>
    <row r="22">
      <c r="A22" s="1" t="n"/>
      <c r="B22" s="22" t="n"/>
      <c r="C22" s="23" t="n"/>
      <c r="D22" s="23" t="n"/>
      <c r="E22" s="24" t="n"/>
      <c r="F22" s="18">
        <f>IF(E22="","",IF(DATEDIF(E22,TODAY(),"y")=0,"",DATEDIF(E22,TODAY(),"y")&amp;"y ")&amp;DATEDIF(E22,TODAY(),"ym")&amp;"m")</f>
        <v/>
      </c>
      <c r="G22" s="25" t="n"/>
      <c r="H22" s="25" t="n"/>
      <c r="I22" s="26" t="n"/>
      <c r="J22" s="23" t="n"/>
      <c r="K22" s="23" t="n"/>
      <c r="L22" s="27">
        <f>IF(OR(B22="",COUNTIFS(Weight!$C$6:$C$505,$B22,Weight!$F$6:$F$505,0)=0),"",SUMIFS(Weight!$D$6:$D$505,Weight!$C$6:$C$505,$B22,Weight!$F$6:$F$505,0))</f>
        <v/>
      </c>
      <c r="M22" s="28">
        <f>IF(OR(L22="",COUNTIFS(Weight!$C$6:$C$505,$B22,Weight!$F$6:$F$505,1)=0),"",L22-SUMIFS(Weight!$D$6:$D$505,Weight!$C$6:$C$505,$B22,Weight!$F$6:$F$505,1))</f>
        <v/>
      </c>
      <c r="N22" s="23" t="n"/>
      <c r="O22" s="1" t="n"/>
    </row>
    <row r="23">
      <c r="A23" s="1" t="n"/>
      <c r="B23" s="22" t="n"/>
      <c r="C23" s="23" t="n"/>
      <c r="D23" s="23" t="n"/>
      <c r="E23" s="24" t="n"/>
      <c r="F23" s="18">
        <f>IF(E23="","",IF(DATEDIF(E23,TODAY(),"y")=0,"",DATEDIF(E23,TODAY(),"y")&amp;"y ")&amp;DATEDIF(E23,TODAY(),"ym")&amp;"m")</f>
        <v/>
      </c>
      <c r="G23" s="25" t="n"/>
      <c r="H23" s="25" t="n"/>
      <c r="I23" s="26" t="n"/>
      <c r="J23" s="23" t="n"/>
      <c r="K23" s="23" t="n"/>
      <c r="L23" s="27">
        <f>IF(OR(B23="",COUNTIFS(Weight!$C$6:$C$505,$B23,Weight!$F$6:$F$505,0)=0),"",SUMIFS(Weight!$D$6:$D$505,Weight!$C$6:$C$505,$B23,Weight!$F$6:$F$505,0))</f>
        <v/>
      </c>
      <c r="M23" s="28">
        <f>IF(OR(L23="",COUNTIFS(Weight!$C$6:$C$505,$B23,Weight!$F$6:$F$505,1)=0),"",L23-SUMIFS(Weight!$D$6:$D$505,Weight!$C$6:$C$505,$B23,Weight!$F$6:$F$505,1))</f>
        <v/>
      </c>
      <c r="N23" s="23" t="n"/>
      <c r="O23" s="1" t="n"/>
    </row>
    <row r="24">
      <c r="A24" s="1" t="n"/>
      <c r="B24" s="22" t="n"/>
      <c r="C24" s="23" t="n"/>
      <c r="D24" s="23" t="n"/>
      <c r="E24" s="24" t="n"/>
      <c r="F24" s="18">
        <f>IF(E24="","",IF(DATEDIF(E24,TODAY(),"y")=0,"",DATEDIF(E24,TODAY(),"y")&amp;"y ")&amp;DATEDIF(E24,TODAY(),"ym")&amp;"m")</f>
        <v/>
      </c>
      <c r="G24" s="25" t="n"/>
      <c r="H24" s="25" t="n"/>
      <c r="I24" s="26" t="n"/>
      <c r="J24" s="23" t="n"/>
      <c r="K24" s="23" t="n"/>
      <c r="L24" s="27">
        <f>IF(OR(B24="",COUNTIFS(Weight!$C$6:$C$505,$B24,Weight!$F$6:$F$505,0)=0),"",SUMIFS(Weight!$D$6:$D$505,Weight!$C$6:$C$505,$B24,Weight!$F$6:$F$505,0))</f>
        <v/>
      </c>
      <c r="M24" s="28">
        <f>IF(OR(L24="",COUNTIFS(Weight!$C$6:$C$505,$B24,Weight!$F$6:$F$505,1)=0),"",L24-SUMIFS(Weight!$D$6:$D$505,Weight!$C$6:$C$505,$B24,Weight!$F$6:$F$505,1))</f>
        <v/>
      </c>
      <c r="N24" s="23" t="n"/>
      <c r="O24" s="1" t="n"/>
    </row>
    <row r="25">
      <c r="A25" s="1" t="n"/>
      <c r="B25" s="22" t="n"/>
      <c r="C25" s="23" t="n"/>
      <c r="D25" s="23" t="n"/>
      <c r="E25" s="24" t="n"/>
      <c r="F25" s="18">
        <f>IF(E25="","",IF(DATEDIF(E25,TODAY(),"y")=0,"",DATEDIF(E25,TODAY(),"y")&amp;"y ")&amp;DATEDIF(E25,TODAY(),"ym")&amp;"m")</f>
        <v/>
      </c>
      <c r="G25" s="25" t="n"/>
      <c r="H25" s="25" t="n"/>
      <c r="I25" s="26" t="n"/>
      <c r="J25" s="23" t="n"/>
      <c r="K25" s="23" t="n"/>
      <c r="L25" s="27">
        <f>IF(OR(B25="",COUNTIFS(Weight!$C$6:$C$505,$B25,Weight!$F$6:$F$505,0)=0),"",SUMIFS(Weight!$D$6:$D$505,Weight!$C$6:$C$505,$B25,Weight!$F$6:$F$505,0))</f>
        <v/>
      </c>
      <c r="M25" s="28">
        <f>IF(OR(L25="",COUNTIFS(Weight!$C$6:$C$505,$B25,Weight!$F$6:$F$505,1)=0),"",L25-SUMIFS(Weight!$D$6:$D$505,Weight!$C$6:$C$505,$B25,Weight!$F$6:$F$505,1))</f>
        <v/>
      </c>
      <c r="N25" s="23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</sheetData>
  <dataValidations count="3">
    <dataValidation sqref="C6:C25" showDropDown="0" showInputMessage="0" showErrorMessage="0" allowBlank="1" type="list">
      <formula1>"Dog,Cat,Rabbit,Guinea pig,Bird,Fish,Reptile,Horse,Other"</formula1>
    </dataValidation>
    <dataValidation sqref="G6:G25" showDropDown="0" showInputMessage="0" showErrorMessage="0" allowBlank="1" type="list">
      <formula1>"Male,Female"</formula1>
    </dataValidation>
    <dataValidation sqref="H6:H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6" customWidth="1" min="3" max="3"/>
    <col width="11" customWidth="1" min="4" max="4"/>
    <col width="14" customWidth="1" min="5" max="5"/>
    <col width="14" customWidth="1" min="6" max="6"/>
    <col width="16" customWidth="1" min="7" max="7"/>
    <col width="30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Health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Vaccines, flea and worm treatments, check-ups: how often, and when it was last done. The next date and the reminder follow.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3" t="inlineStr">
        <is>
          <t>Pet</t>
        </is>
      </c>
      <c r="C5" s="13" t="inlineStr">
        <is>
          <t>What</t>
        </is>
      </c>
      <c r="D5" s="13" t="inlineStr">
        <is>
          <t>Every (months)</t>
        </is>
      </c>
      <c r="E5" s="13" t="inlineStr">
        <is>
          <t>Last done</t>
        </is>
      </c>
      <c r="F5" s="13" t="inlineStr">
        <is>
          <t>Next due</t>
        </is>
      </c>
      <c r="G5" s="13" t="inlineStr">
        <is>
          <t>Status</t>
        </is>
      </c>
      <c r="H5" s="13" t="inlineStr">
        <is>
          <t>Notes</t>
        </is>
      </c>
      <c r="I5" s="1" t="n"/>
    </row>
    <row r="6">
      <c r="A6" s="1" t="n"/>
      <c r="B6" s="22" t="inlineStr">
        <is>
          <t>Biscuit</t>
        </is>
      </c>
      <c r="C6" s="23" t="inlineStr">
        <is>
          <t>Yearly vaccine</t>
        </is>
      </c>
      <c r="D6" s="29" t="n">
        <v>12</v>
      </c>
      <c r="E6" s="24" t="n">
        <v>45978</v>
      </c>
      <c r="F6" s="30">
        <f>IF(OR(C6="",E6="",N(D6)=0),"",EDATE(E6,D6))</f>
        <v/>
      </c>
      <c r="G6" s="18">
        <f>IF(F6="","",IF(F6&lt;TODAY(),"Overdue "&amp;(TODAY()-F6)&amp;IF((TODAY()-F6)=1," day"," days"),IF(F6=TODAY(),"Due today",IF(F6-TODAY()&lt;=N(Dashboard!$C$4),"Due in "&amp;(F6-TODAY())&amp;IF((F6-TODAY())=1," day"," days"),"OK"))))</f>
        <v/>
      </c>
      <c r="H6" s="23" t="n"/>
      <c r="I6" s="1" t="n"/>
      <c r="J6">
        <f>IF(G6="","",IF(G6="OK","",F6+ROW()/10000000))</f>
        <v/>
      </c>
    </row>
    <row r="7">
      <c r="A7" s="1" t="n"/>
      <c r="B7" s="22" t="inlineStr">
        <is>
          <t>Biscuit</t>
        </is>
      </c>
      <c r="C7" s="23" t="inlineStr">
        <is>
          <t>Rabies vaccine</t>
        </is>
      </c>
      <c r="D7" s="29" t="n">
        <v>36</v>
      </c>
      <c r="E7" s="24" t="n">
        <v>45866</v>
      </c>
      <c r="F7" s="30">
        <f>IF(OR(C7="",E7="",N(D7)=0),"",EDATE(E7,D7))</f>
        <v/>
      </c>
      <c r="G7" s="18">
        <f>IF(F7="","",IF(F7&lt;TODAY(),"Overdue "&amp;(TODAY()-F7)&amp;IF((TODAY()-F7)=1," day"," days"),IF(F7=TODAY(),"Due today",IF(F7-TODAY()&lt;=N(Dashboard!$C$4),"Due in "&amp;(F7-TODAY())&amp;IF((F7-TODAY())=1," day"," days"),"OK"))))</f>
        <v/>
      </c>
      <c r="H7" s="23" t="n"/>
      <c r="I7" s="1" t="n"/>
      <c r="J7">
        <f>IF(G7="","",IF(G7="OK","",F7+ROW()/10000000))</f>
        <v/>
      </c>
    </row>
    <row r="8">
      <c r="A8" s="1" t="n"/>
      <c r="B8" s="22" t="inlineStr">
        <is>
          <t>Biscuit</t>
        </is>
      </c>
      <c r="C8" s="23" t="inlineStr">
        <is>
          <t>Flea and tick</t>
        </is>
      </c>
      <c r="D8" s="29" t="n">
        <v>1</v>
      </c>
      <c r="E8" s="24" t="n">
        <v>46256</v>
      </c>
      <c r="F8" s="30">
        <f>IF(OR(C8="",E8="",N(D8)=0),"",EDATE(E8,D8))</f>
        <v/>
      </c>
      <c r="G8" s="18">
        <f>IF(F8="","",IF(F8&lt;TODAY(),"Overdue "&amp;(TODAY()-F8)&amp;IF((TODAY()-F8)=1," day"," days"),IF(F8=TODAY(),"Due today",IF(F8-TODAY()&lt;=N(Dashboard!$C$4),"Due in "&amp;(F8-TODAY())&amp;IF((F8-TODAY())=1," day"," days"),"OK"))))</f>
        <v/>
      </c>
      <c r="H8" s="23" t="n"/>
      <c r="I8" s="1" t="n"/>
      <c r="J8">
        <f>IF(G8="","",IF(G8="OK","",F8+ROW()/10000000))</f>
        <v/>
      </c>
    </row>
    <row r="9">
      <c r="A9" s="1" t="n"/>
      <c r="B9" s="22" t="inlineStr">
        <is>
          <t>Biscuit</t>
        </is>
      </c>
      <c r="C9" s="23" t="inlineStr">
        <is>
          <t>Worming</t>
        </is>
      </c>
      <c r="D9" s="29" t="n">
        <v>3</v>
      </c>
      <c r="E9" s="24" t="n">
        <v>46217</v>
      </c>
      <c r="F9" s="30">
        <f>IF(OR(C9="",E9="",N(D9)=0),"",EDATE(E9,D9))</f>
        <v/>
      </c>
      <c r="G9" s="18">
        <f>IF(F9="","",IF(F9&lt;TODAY(),"Overdue "&amp;(TODAY()-F9)&amp;IF((TODAY()-F9)=1," day"," days"),IF(F9=TODAY(),"Due today",IF(F9-TODAY()&lt;=N(Dashboard!$C$4),"Due in "&amp;(F9-TODAY())&amp;IF((F9-TODAY())=1," day"," days"),"OK"))))</f>
        <v/>
      </c>
      <c r="H9" s="23" t="n"/>
      <c r="I9" s="1" t="n"/>
      <c r="J9">
        <f>IF(G9="","",IF(G9="OK","",F9+ROW()/10000000))</f>
        <v/>
      </c>
    </row>
    <row r="10">
      <c r="A10" s="1" t="n"/>
      <c r="B10" s="22" t="inlineStr">
        <is>
          <t>Biscuit</t>
        </is>
      </c>
      <c r="C10" s="23" t="inlineStr">
        <is>
          <t>Teeth check</t>
        </is>
      </c>
      <c r="D10" s="29" t="n">
        <v>12</v>
      </c>
      <c r="E10" s="24" t="n">
        <v>46140</v>
      </c>
      <c r="F10" s="30">
        <f>IF(OR(C10="",E10="",N(D10)=0),"",EDATE(E10,D10))</f>
        <v/>
      </c>
      <c r="G10" s="18">
        <f>IF(F10="","",IF(F10&lt;TODAY(),"Overdue "&amp;(TODAY()-F10)&amp;IF((TODAY()-F10)=1," day"," days"),IF(F10=TODAY(),"Due today",IF(F10-TODAY()&lt;=N(Dashboard!$C$4),"Due in "&amp;(F10-TODAY())&amp;IF((F10-TODAY())=1," day"," days"),"OK"))))</f>
        <v/>
      </c>
      <c r="H10" s="23" t="n"/>
      <c r="I10" s="1" t="n"/>
      <c r="J10">
        <f>IF(G10="","",IF(G10="OK","",F10+ROW()/10000000))</f>
        <v/>
      </c>
    </row>
    <row r="11">
      <c r="A11" s="1" t="n"/>
      <c r="B11" s="22" t="inlineStr">
        <is>
          <t>Miso</t>
        </is>
      </c>
      <c r="C11" s="23" t="inlineStr">
        <is>
          <t>Cat flu vaccine</t>
        </is>
      </c>
      <c r="D11" s="29" t="n">
        <v>12</v>
      </c>
      <c r="E11" s="24" t="n">
        <v>45918</v>
      </c>
      <c r="F11" s="30">
        <f>IF(OR(C11="",E11="",N(D11)=0),"",EDATE(E11,D11))</f>
        <v/>
      </c>
      <c r="G11" s="18">
        <f>IF(F11="","",IF(F11&lt;TODAY(),"Overdue "&amp;(TODAY()-F11)&amp;IF((TODAY()-F11)=1," day"," days"),IF(F11=TODAY(),"Due today",IF(F11-TODAY()&lt;=N(Dashboard!$C$4),"Due in "&amp;(F11-TODAY())&amp;IF((F11-TODAY())=1," day"," days"),"OK"))))</f>
        <v/>
      </c>
      <c r="H11" s="23" t="n"/>
      <c r="I11" s="1" t="n"/>
      <c r="J11">
        <f>IF(G11="","",IF(G11="OK","",F11+ROW()/10000000))</f>
        <v/>
      </c>
    </row>
    <row r="12">
      <c r="A12" s="1" t="n"/>
      <c r="B12" s="22" t="inlineStr">
        <is>
          <t>Miso</t>
        </is>
      </c>
      <c r="C12" s="23" t="inlineStr">
        <is>
          <t>Flea treatment</t>
        </is>
      </c>
      <c r="D12" s="29" t="n">
        <v>1</v>
      </c>
      <c r="E12" s="24" t="n">
        <v>46273</v>
      </c>
      <c r="F12" s="30">
        <f>IF(OR(C12="",E12="",N(D12)=0),"",EDATE(E12,D12))</f>
        <v/>
      </c>
      <c r="G12" s="18">
        <f>IF(F12="","",IF(F12&lt;TODAY(),"Overdue "&amp;(TODAY()-F12)&amp;IF((TODAY()-F12)=1," day"," days"),IF(F12=TODAY(),"Due today",IF(F12-TODAY()&lt;=N(Dashboard!$C$4),"Due in "&amp;(F12-TODAY())&amp;IF((F12-TODAY())=1," day"," days"),"OK"))))</f>
        <v/>
      </c>
      <c r="H12" s="23" t="n"/>
      <c r="I12" s="1" t="n"/>
      <c r="J12">
        <f>IF(G12="","",IF(G12="OK","",F12+ROW()/10000000))</f>
        <v/>
      </c>
    </row>
    <row r="13">
      <c r="A13" s="1" t="n"/>
      <c r="B13" s="22" t="inlineStr">
        <is>
          <t>Miso</t>
        </is>
      </c>
      <c r="C13" s="23" t="inlineStr">
        <is>
          <t>Worming</t>
        </is>
      </c>
      <c r="D13" s="29" t="n">
        <v>3</v>
      </c>
      <c r="E13" s="24" t="n">
        <v>46259</v>
      </c>
      <c r="F13" s="30">
        <f>IF(OR(C13="",E13="",N(D13)=0),"",EDATE(E13,D13))</f>
        <v/>
      </c>
      <c r="G13" s="18">
        <f>IF(F13="","",IF(F13&lt;TODAY(),"Overdue "&amp;(TODAY()-F13)&amp;IF((TODAY()-F13)=1," day"," days"),IF(F13=TODAY(),"Due today",IF(F13-TODAY()&lt;=N(Dashboard!$C$4),"Due in "&amp;(F13-TODAY())&amp;IF((F13-TODAY())=1," day"," days"),"OK"))))</f>
        <v/>
      </c>
      <c r="H13" s="23" t="n"/>
      <c r="I13" s="1" t="n"/>
      <c r="J13">
        <f>IF(G13="","",IF(G13="OK","",F13+ROW()/10000000))</f>
        <v/>
      </c>
    </row>
    <row r="14">
      <c r="A14" s="1" t="n"/>
      <c r="B14" s="22" t="inlineStr">
        <is>
          <t>Clover</t>
        </is>
      </c>
      <c r="C14" s="23" t="inlineStr">
        <is>
          <t>Myxo and RHD vaccine</t>
        </is>
      </c>
      <c r="D14" s="29" t="n">
        <v>12</v>
      </c>
      <c r="E14" s="24" t="n">
        <v>45974</v>
      </c>
      <c r="F14" s="30">
        <f>IF(OR(C14="",E14="",N(D14)=0),"",EDATE(E14,D14))</f>
        <v/>
      </c>
      <c r="G14" s="18">
        <f>IF(F14="","",IF(F14&lt;TODAY(),"Overdue "&amp;(TODAY()-F14)&amp;IF((TODAY()-F14)=1," day"," days"),IF(F14=TODAY(),"Due today",IF(F14-TODAY()&lt;=N(Dashboard!$C$4),"Due in "&amp;(F14-TODAY())&amp;IF((F14-TODAY())=1," day"," days"),"OK"))))</f>
        <v/>
      </c>
      <c r="H14" s="23" t="n"/>
      <c r="I14" s="1" t="n"/>
      <c r="J14">
        <f>IF(G14="","",IF(G14="OK","",F14+ROW()/10000000))</f>
        <v/>
      </c>
    </row>
    <row r="15">
      <c r="A15" s="1" t="n"/>
      <c r="B15" s="22" t="inlineStr">
        <is>
          <t>Clover</t>
        </is>
      </c>
      <c r="C15" s="23" t="inlineStr">
        <is>
          <t>Nail trim</t>
        </is>
      </c>
      <c r="D15" s="29" t="n">
        <v>2</v>
      </c>
      <c r="E15" s="24" t="n">
        <v>46235</v>
      </c>
      <c r="F15" s="30">
        <f>IF(OR(C15="",E15="",N(D15)=0),"",EDATE(E15,D15))</f>
        <v/>
      </c>
      <c r="G15" s="18">
        <f>IF(F15="","",IF(F15&lt;TODAY(),"Overdue "&amp;(TODAY()-F15)&amp;IF((TODAY()-F15)=1," day"," days"),IF(F15=TODAY(),"Due today",IF(F15-TODAY()&lt;=N(Dashboard!$C$4),"Due in "&amp;(F15-TODAY())&amp;IF((F15-TODAY())=1," day"," days"),"OK"))))</f>
        <v/>
      </c>
      <c r="H15" s="23" t="n"/>
      <c r="I15" s="1" t="n"/>
      <c r="J15">
        <f>IF(G15="","",IF(G15="OK","",F15+ROW()/10000000))</f>
        <v/>
      </c>
    </row>
    <row r="16">
      <c r="A16" s="1" t="n"/>
      <c r="B16" s="22" t="n"/>
      <c r="C16" s="23" t="n"/>
      <c r="D16" s="29" t="n"/>
      <c r="E16" s="24" t="n"/>
      <c r="F16" s="30">
        <f>IF(OR(C16="",E16="",N(D16)=0),"",EDATE(E16,D16))</f>
        <v/>
      </c>
      <c r="G16" s="18">
        <f>IF(F16="","",IF(F16&lt;TODAY(),"Overdue "&amp;(TODAY()-F16)&amp;IF((TODAY()-F16)=1," day"," days"),IF(F16=TODAY(),"Due today",IF(F16-TODAY()&lt;=N(Dashboard!$C$4),"Due in "&amp;(F16-TODAY())&amp;IF((F16-TODAY())=1," day"," days"),"OK"))))</f>
        <v/>
      </c>
      <c r="H16" s="23" t="n"/>
      <c r="I16" s="1" t="n"/>
      <c r="J16">
        <f>IF(G16="","",IF(G16="OK","",F16+ROW()/10000000))</f>
        <v/>
      </c>
    </row>
    <row r="17">
      <c r="A17" s="1" t="n"/>
      <c r="B17" s="22" t="n"/>
      <c r="C17" s="23" t="n"/>
      <c r="D17" s="29" t="n"/>
      <c r="E17" s="24" t="n"/>
      <c r="F17" s="30">
        <f>IF(OR(C17="",E17="",N(D17)=0),"",EDATE(E17,D17))</f>
        <v/>
      </c>
      <c r="G17" s="18">
        <f>IF(F17="","",IF(F17&lt;TODAY(),"Overdue "&amp;(TODAY()-F17)&amp;IF((TODAY()-F17)=1," day"," days"),IF(F17=TODAY(),"Due today",IF(F17-TODAY()&lt;=N(Dashboard!$C$4),"Due in "&amp;(F17-TODAY())&amp;IF((F17-TODAY())=1," day"," days"),"OK"))))</f>
        <v/>
      </c>
      <c r="H17" s="23" t="n"/>
      <c r="I17" s="1" t="n"/>
      <c r="J17">
        <f>IF(G17="","",IF(G17="OK","",F17+ROW()/10000000))</f>
        <v/>
      </c>
    </row>
    <row r="18">
      <c r="A18" s="1" t="n"/>
      <c r="B18" s="22" t="n"/>
      <c r="C18" s="23" t="n"/>
      <c r="D18" s="29" t="n"/>
      <c r="E18" s="24" t="n"/>
      <c r="F18" s="30">
        <f>IF(OR(C18="",E18="",N(D18)=0),"",EDATE(E18,D18))</f>
        <v/>
      </c>
      <c r="G18" s="18">
        <f>IF(F18="","",IF(F18&lt;TODAY(),"Overdue "&amp;(TODAY()-F18)&amp;IF((TODAY()-F18)=1," day"," days"),IF(F18=TODAY(),"Due today",IF(F18-TODAY()&lt;=N(Dashboard!$C$4),"Due in "&amp;(F18-TODAY())&amp;IF((F18-TODAY())=1," day"," days"),"OK"))))</f>
        <v/>
      </c>
      <c r="H18" s="23" t="n"/>
      <c r="I18" s="1" t="n"/>
      <c r="J18">
        <f>IF(G18="","",IF(G18="OK","",F18+ROW()/10000000))</f>
        <v/>
      </c>
    </row>
    <row r="19">
      <c r="A19" s="1" t="n"/>
      <c r="B19" s="22" t="n"/>
      <c r="C19" s="23" t="n"/>
      <c r="D19" s="29" t="n"/>
      <c r="E19" s="24" t="n"/>
      <c r="F19" s="30">
        <f>IF(OR(C19="",E19="",N(D19)=0),"",EDATE(E19,D19))</f>
        <v/>
      </c>
      <c r="G19" s="18">
        <f>IF(F19="","",IF(F19&lt;TODAY(),"Overdue "&amp;(TODAY()-F19)&amp;IF((TODAY()-F19)=1," day"," days"),IF(F19=TODAY(),"Due today",IF(F19-TODAY()&lt;=N(Dashboard!$C$4),"Due in "&amp;(F19-TODAY())&amp;IF((F19-TODAY())=1," day"," days"),"OK"))))</f>
        <v/>
      </c>
      <c r="H19" s="23" t="n"/>
      <c r="I19" s="1" t="n"/>
      <c r="J19">
        <f>IF(G19="","",IF(G19="OK","",F19+ROW()/10000000))</f>
        <v/>
      </c>
    </row>
    <row r="20">
      <c r="A20" s="1" t="n"/>
      <c r="B20" s="22" t="n"/>
      <c r="C20" s="23" t="n"/>
      <c r="D20" s="29" t="n"/>
      <c r="E20" s="24" t="n"/>
      <c r="F20" s="30">
        <f>IF(OR(C20="",E20="",N(D20)=0),"",EDATE(E20,D20))</f>
        <v/>
      </c>
      <c r="G20" s="18">
        <f>IF(F20="","",IF(F20&lt;TODAY(),"Overdue "&amp;(TODAY()-F20)&amp;IF((TODAY()-F20)=1," day"," days"),IF(F20=TODAY(),"Due today",IF(F20-TODAY()&lt;=N(Dashboard!$C$4),"Due in "&amp;(F20-TODAY())&amp;IF((F20-TODAY())=1," day"," days"),"OK"))))</f>
        <v/>
      </c>
      <c r="H20" s="23" t="n"/>
      <c r="I20" s="1" t="n"/>
      <c r="J20">
        <f>IF(G20="","",IF(G20="OK","",F20+ROW()/10000000))</f>
        <v/>
      </c>
    </row>
    <row r="21">
      <c r="A21" s="1" t="n"/>
      <c r="B21" s="22" t="n"/>
      <c r="C21" s="23" t="n"/>
      <c r="D21" s="29" t="n"/>
      <c r="E21" s="24" t="n"/>
      <c r="F21" s="30">
        <f>IF(OR(C21="",E21="",N(D21)=0),"",EDATE(E21,D21))</f>
        <v/>
      </c>
      <c r="G21" s="18">
        <f>IF(F21="","",IF(F21&lt;TODAY(),"Overdue "&amp;(TODAY()-F21)&amp;IF((TODAY()-F21)=1," day"," days"),IF(F21=TODAY(),"Due today",IF(F21-TODAY()&lt;=N(Dashboard!$C$4),"Due in "&amp;(F21-TODAY())&amp;IF((F21-TODAY())=1," day"," days"),"OK"))))</f>
        <v/>
      </c>
      <c r="H21" s="23" t="n"/>
      <c r="I21" s="1" t="n"/>
      <c r="J21">
        <f>IF(G21="","",IF(G21="OK","",F21+ROW()/10000000))</f>
        <v/>
      </c>
    </row>
    <row r="22">
      <c r="A22" s="1" t="n"/>
      <c r="B22" s="22" t="n"/>
      <c r="C22" s="23" t="n"/>
      <c r="D22" s="29" t="n"/>
      <c r="E22" s="24" t="n"/>
      <c r="F22" s="30">
        <f>IF(OR(C22="",E22="",N(D22)=0),"",EDATE(E22,D22))</f>
        <v/>
      </c>
      <c r="G22" s="18">
        <f>IF(F22="","",IF(F22&lt;TODAY(),"Overdue "&amp;(TODAY()-F22)&amp;IF((TODAY()-F22)=1," day"," days"),IF(F22=TODAY(),"Due today",IF(F22-TODAY()&lt;=N(Dashboard!$C$4),"Due in "&amp;(F22-TODAY())&amp;IF((F22-TODAY())=1," day"," days"),"OK"))))</f>
        <v/>
      </c>
      <c r="H22" s="23" t="n"/>
      <c r="I22" s="1" t="n"/>
      <c r="J22">
        <f>IF(G22="","",IF(G22="OK","",F22+ROW()/10000000))</f>
        <v/>
      </c>
    </row>
    <row r="23">
      <c r="A23" s="1" t="n"/>
      <c r="B23" s="22" t="n"/>
      <c r="C23" s="23" t="n"/>
      <c r="D23" s="29" t="n"/>
      <c r="E23" s="24" t="n"/>
      <c r="F23" s="30">
        <f>IF(OR(C23="",E23="",N(D23)=0),"",EDATE(E23,D23))</f>
        <v/>
      </c>
      <c r="G23" s="18">
        <f>IF(F23="","",IF(F23&lt;TODAY(),"Overdue "&amp;(TODAY()-F23)&amp;IF((TODAY()-F23)=1," day"," days"),IF(F23=TODAY(),"Due today",IF(F23-TODAY()&lt;=N(Dashboard!$C$4),"Due in "&amp;(F23-TODAY())&amp;IF((F23-TODAY())=1," day"," days"),"OK"))))</f>
        <v/>
      </c>
      <c r="H23" s="23" t="n"/>
      <c r="I23" s="1" t="n"/>
      <c r="J23">
        <f>IF(G23="","",IF(G23="OK","",F23+ROW()/10000000))</f>
        <v/>
      </c>
    </row>
    <row r="24">
      <c r="A24" s="1" t="n"/>
      <c r="B24" s="22" t="n"/>
      <c r="C24" s="23" t="n"/>
      <c r="D24" s="29" t="n"/>
      <c r="E24" s="24" t="n"/>
      <c r="F24" s="30">
        <f>IF(OR(C24="",E24="",N(D24)=0),"",EDATE(E24,D24))</f>
        <v/>
      </c>
      <c r="G24" s="18">
        <f>IF(F24="","",IF(F24&lt;TODAY(),"Overdue "&amp;(TODAY()-F24)&amp;IF((TODAY()-F24)=1," day"," days"),IF(F24=TODAY(),"Due today",IF(F24-TODAY()&lt;=N(Dashboard!$C$4),"Due in "&amp;(F24-TODAY())&amp;IF((F24-TODAY())=1," day"," days"),"OK"))))</f>
        <v/>
      </c>
      <c r="H24" s="23" t="n"/>
      <c r="I24" s="1" t="n"/>
      <c r="J24">
        <f>IF(G24="","",IF(G24="OK","",F24+ROW()/10000000))</f>
        <v/>
      </c>
    </row>
    <row r="25">
      <c r="A25" s="1" t="n"/>
      <c r="B25" s="22" t="n"/>
      <c r="C25" s="23" t="n"/>
      <c r="D25" s="29" t="n"/>
      <c r="E25" s="24" t="n"/>
      <c r="F25" s="30">
        <f>IF(OR(C25="",E25="",N(D25)=0),"",EDATE(E25,D25))</f>
        <v/>
      </c>
      <c r="G25" s="18">
        <f>IF(F25="","",IF(F25&lt;TODAY(),"Overdue "&amp;(TODAY()-F25)&amp;IF((TODAY()-F25)=1," day"," days"),IF(F25=TODAY(),"Due today",IF(F25-TODAY()&lt;=N(Dashboard!$C$4),"Due in "&amp;(F25-TODAY())&amp;IF((F25-TODAY())=1," day"," days"),"OK"))))</f>
        <v/>
      </c>
      <c r="H25" s="23" t="n"/>
      <c r="I25" s="1" t="n"/>
      <c r="J25">
        <f>IF(G25="","",IF(G25="OK","",F25+ROW()/10000000))</f>
        <v/>
      </c>
    </row>
    <row r="26">
      <c r="A26" s="1" t="n"/>
      <c r="B26" s="22" t="n"/>
      <c r="C26" s="23" t="n"/>
      <c r="D26" s="29" t="n"/>
      <c r="E26" s="24" t="n"/>
      <c r="F26" s="30">
        <f>IF(OR(C26="",E26="",N(D26)=0),"",EDATE(E26,D26))</f>
        <v/>
      </c>
      <c r="G26" s="18">
        <f>IF(F26="","",IF(F26&lt;TODAY(),"Overdue "&amp;(TODAY()-F26)&amp;IF((TODAY()-F26)=1," day"," days"),IF(F26=TODAY(),"Due today",IF(F26-TODAY()&lt;=N(Dashboard!$C$4),"Due in "&amp;(F26-TODAY())&amp;IF((F26-TODAY())=1," day"," days"),"OK"))))</f>
        <v/>
      </c>
      <c r="H26" s="23" t="n"/>
      <c r="I26" s="1" t="n"/>
      <c r="J26">
        <f>IF(G26="","",IF(G26="OK","",F26+ROW()/10000000))</f>
        <v/>
      </c>
    </row>
    <row r="27">
      <c r="A27" s="1" t="n"/>
      <c r="B27" s="22" t="n"/>
      <c r="C27" s="23" t="n"/>
      <c r="D27" s="29" t="n"/>
      <c r="E27" s="24" t="n"/>
      <c r="F27" s="30">
        <f>IF(OR(C27="",E27="",N(D27)=0),"",EDATE(E27,D27))</f>
        <v/>
      </c>
      <c r="G27" s="18">
        <f>IF(F27="","",IF(F27&lt;TODAY(),"Overdue "&amp;(TODAY()-F27)&amp;IF((TODAY()-F27)=1," day"," days"),IF(F27=TODAY(),"Due today",IF(F27-TODAY()&lt;=N(Dashboard!$C$4),"Due in "&amp;(F27-TODAY())&amp;IF((F27-TODAY())=1," day"," days"),"OK"))))</f>
        <v/>
      </c>
      <c r="H27" s="23" t="n"/>
      <c r="I27" s="1" t="n"/>
      <c r="J27">
        <f>IF(G27="","",IF(G27="OK","",F27+ROW()/10000000))</f>
        <v/>
      </c>
    </row>
    <row r="28">
      <c r="A28" s="1" t="n"/>
      <c r="B28" s="22" t="n"/>
      <c r="C28" s="23" t="n"/>
      <c r="D28" s="29" t="n"/>
      <c r="E28" s="24" t="n"/>
      <c r="F28" s="30">
        <f>IF(OR(C28="",E28="",N(D28)=0),"",EDATE(E28,D28))</f>
        <v/>
      </c>
      <c r="G28" s="18">
        <f>IF(F28="","",IF(F28&lt;TODAY(),"Overdue "&amp;(TODAY()-F28)&amp;IF((TODAY()-F28)=1," day"," days"),IF(F28=TODAY(),"Due today",IF(F28-TODAY()&lt;=N(Dashboard!$C$4),"Due in "&amp;(F28-TODAY())&amp;IF((F28-TODAY())=1," day"," days"),"OK"))))</f>
        <v/>
      </c>
      <c r="H28" s="23" t="n"/>
      <c r="I28" s="1" t="n"/>
      <c r="J28">
        <f>IF(G28="","",IF(G28="OK","",F28+ROW()/10000000))</f>
        <v/>
      </c>
    </row>
    <row r="29">
      <c r="A29" s="1" t="n"/>
      <c r="B29" s="22" t="n"/>
      <c r="C29" s="23" t="n"/>
      <c r="D29" s="29" t="n"/>
      <c r="E29" s="24" t="n"/>
      <c r="F29" s="30">
        <f>IF(OR(C29="",E29="",N(D29)=0),"",EDATE(E29,D29))</f>
        <v/>
      </c>
      <c r="G29" s="18">
        <f>IF(F29="","",IF(F29&lt;TODAY(),"Overdue "&amp;(TODAY()-F29)&amp;IF((TODAY()-F29)=1," day"," days"),IF(F29=TODAY(),"Due today",IF(F29-TODAY()&lt;=N(Dashboard!$C$4),"Due in "&amp;(F29-TODAY())&amp;IF((F29-TODAY())=1," day"," days"),"OK"))))</f>
        <v/>
      </c>
      <c r="H29" s="23" t="n"/>
      <c r="I29" s="1" t="n"/>
      <c r="J29">
        <f>IF(G29="","",IF(G29="OK","",F29+ROW()/10000000))</f>
        <v/>
      </c>
    </row>
    <row r="30">
      <c r="A30" s="1" t="n"/>
      <c r="B30" s="22" t="n"/>
      <c r="C30" s="23" t="n"/>
      <c r="D30" s="29" t="n"/>
      <c r="E30" s="24" t="n"/>
      <c r="F30" s="30">
        <f>IF(OR(C30="",E30="",N(D30)=0),"",EDATE(E30,D30))</f>
        <v/>
      </c>
      <c r="G30" s="18">
        <f>IF(F30="","",IF(F30&lt;TODAY(),"Overdue "&amp;(TODAY()-F30)&amp;IF((TODAY()-F30)=1," day"," days"),IF(F30=TODAY(),"Due today",IF(F30-TODAY()&lt;=N(Dashboard!$C$4),"Due in "&amp;(F30-TODAY())&amp;IF((F30-TODAY())=1," day"," days"),"OK"))))</f>
        <v/>
      </c>
      <c r="H30" s="23" t="n"/>
      <c r="I30" s="1" t="n"/>
      <c r="J30">
        <f>IF(G30="","",IF(G30="OK","",F30+ROW()/10000000))</f>
        <v/>
      </c>
    </row>
    <row r="31">
      <c r="A31" s="1" t="n"/>
      <c r="B31" s="22" t="n"/>
      <c r="C31" s="23" t="n"/>
      <c r="D31" s="29" t="n"/>
      <c r="E31" s="24" t="n"/>
      <c r="F31" s="30">
        <f>IF(OR(C31="",E31="",N(D31)=0),"",EDATE(E31,D31))</f>
        <v/>
      </c>
      <c r="G31" s="18">
        <f>IF(F31="","",IF(F31&lt;TODAY(),"Overdue "&amp;(TODAY()-F31)&amp;IF((TODAY()-F31)=1," day"," days"),IF(F31=TODAY(),"Due today",IF(F31-TODAY()&lt;=N(Dashboard!$C$4),"Due in "&amp;(F31-TODAY())&amp;IF((F31-TODAY())=1," day"," days"),"OK"))))</f>
        <v/>
      </c>
      <c r="H31" s="23" t="n"/>
      <c r="I31" s="1" t="n"/>
      <c r="J31">
        <f>IF(G31="","",IF(G31="OK","",F31+ROW()/10000000))</f>
        <v/>
      </c>
    </row>
    <row r="32">
      <c r="A32" s="1" t="n"/>
      <c r="B32" s="22" t="n"/>
      <c r="C32" s="23" t="n"/>
      <c r="D32" s="29" t="n"/>
      <c r="E32" s="24" t="n"/>
      <c r="F32" s="30">
        <f>IF(OR(C32="",E32="",N(D32)=0),"",EDATE(E32,D32))</f>
        <v/>
      </c>
      <c r="G32" s="18">
        <f>IF(F32="","",IF(F32&lt;TODAY(),"Overdue "&amp;(TODAY()-F32)&amp;IF((TODAY()-F32)=1," day"," days"),IF(F32=TODAY(),"Due today",IF(F32-TODAY()&lt;=N(Dashboard!$C$4),"Due in "&amp;(F32-TODAY())&amp;IF((F32-TODAY())=1," day"," days"),"OK"))))</f>
        <v/>
      </c>
      <c r="H32" s="23" t="n"/>
      <c r="I32" s="1" t="n"/>
      <c r="J32">
        <f>IF(G32="","",IF(G32="OK","",F32+ROW()/10000000))</f>
        <v/>
      </c>
    </row>
    <row r="33">
      <c r="A33" s="1" t="n"/>
      <c r="B33" s="22" t="n"/>
      <c r="C33" s="23" t="n"/>
      <c r="D33" s="29" t="n"/>
      <c r="E33" s="24" t="n"/>
      <c r="F33" s="30">
        <f>IF(OR(C33="",E33="",N(D33)=0),"",EDATE(E33,D33))</f>
        <v/>
      </c>
      <c r="G33" s="18">
        <f>IF(F33="","",IF(F33&lt;TODAY(),"Overdue "&amp;(TODAY()-F33)&amp;IF((TODAY()-F33)=1," day"," days"),IF(F33=TODAY(),"Due today",IF(F33-TODAY()&lt;=N(Dashboard!$C$4),"Due in "&amp;(F33-TODAY())&amp;IF((F33-TODAY())=1," day"," days"),"OK"))))</f>
        <v/>
      </c>
      <c r="H33" s="23" t="n"/>
      <c r="I33" s="1" t="n"/>
      <c r="J33">
        <f>IF(G33="","",IF(G33="OK","",F33+ROW()/10000000))</f>
        <v/>
      </c>
    </row>
    <row r="34">
      <c r="A34" s="1" t="n"/>
      <c r="B34" s="22" t="n"/>
      <c r="C34" s="23" t="n"/>
      <c r="D34" s="29" t="n"/>
      <c r="E34" s="24" t="n"/>
      <c r="F34" s="30">
        <f>IF(OR(C34="",E34="",N(D34)=0),"",EDATE(E34,D34))</f>
        <v/>
      </c>
      <c r="G34" s="18">
        <f>IF(F34="","",IF(F34&lt;TODAY(),"Overdue "&amp;(TODAY()-F34)&amp;IF((TODAY()-F34)=1," day"," days"),IF(F34=TODAY(),"Due today",IF(F34-TODAY()&lt;=N(Dashboard!$C$4),"Due in "&amp;(F34-TODAY())&amp;IF((F34-TODAY())=1," day"," days"),"OK"))))</f>
        <v/>
      </c>
      <c r="H34" s="23" t="n"/>
      <c r="I34" s="1" t="n"/>
      <c r="J34">
        <f>IF(G34="","",IF(G34="OK","",F34+ROW()/10000000))</f>
        <v/>
      </c>
    </row>
    <row r="35">
      <c r="A35" s="1" t="n"/>
      <c r="B35" s="22" t="n"/>
      <c r="C35" s="23" t="n"/>
      <c r="D35" s="29" t="n"/>
      <c r="E35" s="24" t="n"/>
      <c r="F35" s="30">
        <f>IF(OR(C35="",E35="",N(D35)=0),"",EDATE(E35,D35))</f>
        <v/>
      </c>
      <c r="G35" s="18">
        <f>IF(F35="","",IF(F35&lt;TODAY(),"Overdue "&amp;(TODAY()-F35)&amp;IF((TODAY()-F35)=1," day"," days"),IF(F35=TODAY(),"Due today",IF(F35-TODAY()&lt;=N(Dashboard!$C$4),"Due in "&amp;(F35-TODAY())&amp;IF((F35-TODAY())=1," day"," days"),"OK"))))</f>
        <v/>
      </c>
      <c r="H35" s="23" t="n"/>
      <c r="I35" s="1" t="n"/>
      <c r="J35">
        <f>IF(G35="","",IF(G35="OK","",F35+ROW()/10000000))</f>
        <v/>
      </c>
    </row>
    <row r="36">
      <c r="A36" s="1" t="n"/>
      <c r="B36" s="22" t="n"/>
      <c r="C36" s="23" t="n"/>
      <c r="D36" s="29" t="n"/>
      <c r="E36" s="24" t="n"/>
      <c r="F36" s="30">
        <f>IF(OR(C36="",E36="",N(D36)=0),"",EDATE(E36,D36))</f>
        <v/>
      </c>
      <c r="G36" s="18">
        <f>IF(F36="","",IF(F36&lt;TODAY(),"Overdue "&amp;(TODAY()-F36)&amp;IF((TODAY()-F36)=1," day"," days"),IF(F36=TODAY(),"Due today",IF(F36-TODAY()&lt;=N(Dashboard!$C$4),"Due in "&amp;(F36-TODAY())&amp;IF((F36-TODAY())=1," day"," days"),"OK"))))</f>
        <v/>
      </c>
      <c r="H36" s="23" t="n"/>
      <c r="I36" s="1" t="n"/>
      <c r="J36">
        <f>IF(G36="","",IF(G36="OK","",F36+ROW()/10000000))</f>
        <v/>
      </c>
    </row>
    <row r="37">
      <c r="A37" s="1" t="n"/>
      <c r="B37" s="22" t="n"/>
      <c r="C37" s="23" t="n"/>
      <c r="D37" s="29" t="n"/>
      <c r="E37" s="24" t="n"/>
      <c r="F37" s="30">
        <f>IF(OR(C37="",E37="",N(D37)=0),"",EDATE(E37,D37))</f>
        <v/>
      </c>
      <c r="G37" s="18">
        <f>IF(F37="","",IF(F37&lt;TODAY(),"Overdue "&amp;(TODAY()-F37)&amp;IF((TODAY()-F37)=1," day"," days"),IF(F37=TODAY(),"Due today",IF(F37-TODAY()&lt;=N(Dashboard!$C$4),"Due in "&amp;(F37-TODAY())&amp;IF((F37-TODAY())=1," day"," days"),"OK"))))</f>
        <v/>
      </c>
      <c r="H37" s="23" t="n"/>
      <c r="I37" s="1" t="n"/>
      <c r="J37">
        <f>IF(G37="","",IF(G37="OK","",F37+ROW()/10000000))</f>
        <v/>
      </c>
    </row>
    <row r="38">
      <c r="A38" s="1" t="n"/>
      <c r="B38" s="22" t="n"/>
      <c r="C38" s="23" t="n"/>
      <c r="D38" s="29" t="n"/>
      <c r="E38" s="24" t="n"/>
      <c r="F38" s="30">
        <f>IF(OR(C38="",E38="",N(D38)=0),"",EDATE(E38,D38))</f>
        <v/>
      </c>
      <c r="G38" s="18">
        <f>IF(F38="","",IF(F38&lt;TODAY(),"Overdue "&amp;(TODAY()-F38)&amp;IF((TODAY()-F38)=1," day"," days"),IF(F38=TODAY(),"Due today",IF(F38-TODAY()&lt;=N(Dashboard!$C$4),"Due in "&amp;(F38-TODAY())&amp;IF((F38-TODAY())=1," day"," days"),"OK"))))</f>
        <v/>
      </c>
      <c r="H38" s="23" t="n"/>
      <c r="I38" s="1" t="n"/>
      <c r="J38">
        <f>IF(G38="","",IF(G38="OK","",F38+ROW()/10000000))</f>
        <v/>
      </c>
    </row>
    <row r="39">
      <c r="A39" s="1" t="n"/>
      <c r="B39" s="22" t="n"/>
      <c r="C39" s="23" t="n"/>
      <c r="D39" s="29" t="n"/>
      <c r="E39" s="24" t="n"/>
      <c r="F39" s="30">
        <f>IF(OR(C39="",E39="",N(D39)=0),"",EDATE(E39,D39))</f>
        <v/>
      </c>
      <c r="G39" s="18">
        <f>IF(F39="","",IF(F39&lt;TODAY(),"Overdue "&amp;(TODAY()-F39)&amp;IF((TODAY()-F39)=1," day"," days"),IF(F39=TODAY(),"Due today",IF(F39-TODAY()&lt;=N(Dashboard!$C$4),"Due in "&amp;(F39-TODAY())&amp;IF((F39-TODAY())=1," day"," days"),"OK"))))</f>
        <v/>
      </c>
      <c r="H39" s="23" t="n"/>
      <c r="I39" s="1" t="n"/>
      <c r="J39">
        <f>IF(G39="","",IF(G39="OK","",F39+ROW()/10000000))</f>
        <v/>
      </c>
    </row>
    <row r="40">
      <c r="A40" s="1" t="n"/>
      <c r="B40" s="22" t="n"/>
      <c r="C40" s="23" t="n"/>
      <c r="D40" s="29" t="n"/>
      <c r="E40" s="24" t="n"/>
      <c r="F40" s="30">
        <f>IF(OR(C40="",E40="",N(D40)=0),"",EDATE(E40,D40))</f>
        <v/>
      </c>
      <c r="G40" s="18">
        <f>IF(F40="","",IF(F40&lt;TODAY(),"Overdue "&amp;(TODAY()-F40)&amp;IF((TODAY()-F40)=1," day"," days"),IF(F40=TODAY(),"Due today",IF(F40-TODAY()&lt;=N(Dashboard!$C$4),"Due in "&amp;(F40-TODAY())&amp;IF((F40-TODAY())=1," day"," days"),"OK"))))</f>
        <v/>
      </c>
      <c r="H40" s="23" t="n"/>
      <c r="I40" s="1" t="n"/>
      <c r="J40">
        <f>IF(G40="","",IF(G40="OK","",F40+ROW()/10000000))</f>
        <v/>
      </c>
    </row>
    <row r="41">
      <c r="A41" s="1" t="n"/>
      <c r="B41" s="22" t="n"/>
      <c r="C41" s="23" t="n"/>
      <c r="D41" s="29" t="n"/>
      <c r="E41" s="24" t="n"/>
      <c r="F41" s="30">
        <f>IF(OR(C41="",E41="",N(D41)=0),"",EDATE(E41,D41))</f>
        <v/>
      </c>
      <c r="G41" s="18">
        <f>IF(F41="","",IF(F41&lt;TODAY(),"Overdue "&amp;(TODAY()-F41)&amp;IF((TODAY()-F41)=1," day"," days"),IF(F41=TODAY(),"Due today",IF(F41-TODAY()&lt;=N(Dashboard!$C$4),"Due in "&amp;(F41-TODAY())&amp;IF((F41-TODAY())=1," day"," days"),"OK"))))</f>
        <v/>
      </c>
      <c r="H41" s="23" t="n"/>
      <c r="I41" s="1" t="n"/>
      <c r="J41">
        <f>IF(G41="","",IF(G41="OK","",F41+ROW()/10000000))</f>
        <v/>
      </c>
    </row>
    <row r="42">
      <c r="A42" s="1" t="n"/>
      <c r="B42" s="22" t="n"/>
      <c r="C42" s="23" t="n"/>
      <c r="D42" s="29" t="n"/>
      <c r="E42" s="24" t="n"/>
      <c r="F42" s="30">
        <f>IF(OR(C42="",E42="",N(D42)=0),"",EDATE(E42,D42))</f>
        <v/>
      </c>
      <c r="G42" s="18">
        <f>IF(F42="","",IF(F42&lt;TODAY(),"Overdue "&amp;(TODAY()-F42)&amp;IF((TODAY()-F42)=1," day"," days"),IF(F42=TODAY(),"Due today",IF(F42-TODAY()&lt;=N(Dashboard!$C$4),"Due in "&amp;(F42-TODAY())&amp;IF((F42-TODAY())=1," day"," days"),"OK"))))</f>
        <v/>
      </c>
      <c r="H42" s="23" t="n"/>
      <c r="I42" s="1" t="n"/>
      <c r="J42">
        <f>IF(G42="","",IF(G42="OK","",F42+ROW()/10000000))</f>
        <v/>
      </c>
    </row>
    <row r="43">
      <c r="A43" s="1" t="n"/>
      <c r="B43" s="22" t="n"/>
      <c r="C43" s="23" t="n"/>
      <c r="D43" s="29" t="n"/>
      <c r="E43" s="24" t="n"/>
      <c r="F43" s="30">
        <f>IF(OR(C43="",E43="",N(D43)=0),"",EDATE(E43,D43))</f>
        <v/>
      </c>
      <c r="G43" s="18">
        <f>IF(F43="","",IF(F43&lt;TODAY(),"Overdue "&amp;(TODAY()-F43)&amp;IF((TODAY()-F43)=1," day"," days"),IF(F43=TODAY(),"Due today",IF(F43-TODAY()&lt;=N(Dashboard!$C$4),"Due in "&amp;(F43-TODAY())&amp;IF((F43-TODAY())=1," day"," days"),"OK"))))</f>
        <v/>
      </c>
      <c r="H43" s="23" t="n"/>
      <c r="I43" s="1" t="n"/>
      <c r="J43">
        <f>IF(G43="","",IF(G43="OK","",F43+ROW()/10000000))</f>
        <v/>
      </c>
    </row>
    <row r="44">
      <c r="A44" s="1" t="n"/>
      <c r="B44" s="22" t="n"/>
      <c r="C44" s="23" t="n"/>
      <c r="D44" s="29" t="n"/>
      <c r="E44" s="24" t="n"/>
      <c r="F44" s="30">
        <f>IF(OR(C44="",E44="",N(D44)=0),"",EDATE(E44,D44))</f>
        <v/>
      </c>
      <c r="G44" s="18">
        <f>IF(F44="","",IF(F44&lt;TODAY(),"Overdue "&amp;(TODAY()-F44)&amp;IF((TODAY()-F44)=1," day"," days"),IF(F44=TODAY(),"Due today",IF(F44-TODAY()&lt;=N(Dashboard!$C$4),"Due in "&amp;(F44-TODAY())&amp;IF((F44-TODAY())=1," day"," days"),"OK"))))</f>
        <v/>
      </c>
      <c r="H44" s="23" t="n"/>
      <c r="I44" s="1" t="n"/>
      <c r="J44">
        <f>IF(G44="","",IF(G44="OK","",F44+ROW()/10000000))</f>
        <v/>
      </c>
    </row>
    <row r="45">
      <c r="A45" s="1" t="n"/>
      <c r="B45" s="22" t="n"/>
      <c r="C45" s="23" t="n"/>
      <c r="D45" s="29" t="n"/>
      <c r="E45" s="24" t="n"/>
      <c r="F45" s="30">
        <f>IF(OR(C45="",E45="",N(D45)=0),"",EDATE(E45,D45))</f>
        <v/>
      </c>
      <c r="G45" s="18">
        <f>IF(F45="","",IF(F45&lt;TODAY(),"Overdue "&amp;(TODAY()-F45)&amp;IF((TODAY()-F45)=1," day"," days"),IF(F45=TODAY(),"Due today",IF(F45-TODAY()&lt;=N(Dashboard!$C$4),"Due in "&amp;(F45-TODAY())&amp;IF((F45-TODAY())=1," day"," days"),"OK"))))</f>
        <v/>
      </c>
      <c r="H45" s="23" t="n"/>
      <c r="I45" s="1" t="n"/>
      <c r="J45">
        <f>IF(G45="","",IF(G45="OK","",F45+ROW()/10000000))</f>
        <v/>
      </c>
    </row>
    <row r="46">
      <c r="A46" s="1" t="n"/>
      <c r="B46" s="22" t="n"/>
      <c r="C46" s="23" t="n"/>
      <c r="D46" s="29" t="n"/>
      <c r="E46" s="24" t="n"/>
      <c r="F46" s="30">
        <f>IF(OR(C46="",E46="",N(D46)=0),"",EDATE(E46,D46))</f>
        <v/>
      </c>
      <c r="G46" s="18">
        <f>IF(F46="","",IF(F46&lt;TODAY(),"Overdue "&amp;(TODAY()-F46)&amp;IF((TODAY()-F46)=1," day"," days"),IF(F46=TODAY(),"Due today",IF(F46-TODAY()&lt;=N(Dashboard!$C$4),"Due in "&amp;(F46-TODAY())&amp;IF((F46-TODAY())=1," day"," days"),"OK"))))</f>
        <v/>
      </c>
      <c r="H46" s="23" t="n"/>
      <c r="I46" s="1" t="n"/>
      <c r="J46">
        <f>IF(G46="","",IF(G46="OK","",F46+ROW()/10000000))</f>
        <v/>
      </c>
    </row>
    <row r="47">
      <c r="A47" s="1" t="n"/>
      <c r="B47" s="22" t="n"/>
      <c r="C47" s="23" t="n"/>
      <c r="D47" s="29" t="n"/>
      <c r="E47" s="24" t="n"/>
      <c r="F47" s="30">
        <f>IF(OR(C47="",E47="",N(D47)=0),"",EDATE(E47,D47))</f>
        <v/>
      </c>
      <c r="G47" s="18">
        <f>IF(F47="","",IF(F47&lt;TODAY(),"Overdue "&amp;(TODAY()-F47)&amp;IF((TODAY()-F47)=1," day"," days"),IF(F47=TODAY(),"Due today",IF(F47-TODAY()&lt;=N(Dashboard!$C$4),"Due in "&amp;(F47-TODAY())&amp;IF((F47-TODAY())=1," day"," days"),"OK"))))</f>
        <v/>
      </c>
      <c r="H47" s="23" t="n"/>
      <c r="I47" s="1" t="n"/>
      <c r="J47">
        <f>IF(G47="","",IF(G47="OK","",F47+ROW()/10000000))</f>
        <v/>
      </c>
    </row>
    <row r="48">
      <c r="A48" s="1" t="n"/>
      <c r="B48" s="22" t="n"/>
      <c r="C48" s="23" t="n"/>
      <c r="D48" s="29" t="n"/>
      <c r="E48" s="24" t="n"/>
      <c r="F48" s="30">
        <f>IF(OR(C48="",E48="",N(D48)=0),"",EDATE(E48,D48))</f>
        <v/>
      </c>
      <c r="G48" s="18">
        <f>IF(F48="","",IF(F48&lt;TODAY(),"Overdue "&amp;(TODAY()-F48)&amp;IF((TODAY()-F48)=1," day"," days"),IF(F48=TODAY(),"Due today",IF(F48-TODAY()&lt;=N(Dashboard!$C$4),"Due in "&amp;(F48-TODAY())&amp;IF((F48-TODAY())=1," day"," days"),"OK"))))</f>
        <v/>
      </c>
      <c r="H48" s="23" t="n"/>
      <c r="I48" s="1" t="n"/>
      <c r="J48">
        <f>IF(G48="","",IF(G48="OK","",F48+ROW()/10000000))</f>
        <v/>
      </c>
    </row>
    <row r="49">
      <c r="A49" s="1" t="n"/>
      <c r="B49" s="22" t="n"/>
      <c r="C49" s="23" t="n"/>
      <c r="D49" s="29" t="n"/>
      <c r="E49" s="24" t="n"/>
      <c r="F49" s="30">
        <f>IF(OR(C49="",E49="",N(D49)=0),"",EDATE(E49,D49))</f>
        <v/>
      </c>
      <c r="G49" s="18">
        <f>IF(F49="","",IF(F49&lt;TODAY(),"Overdue "&amp;(TODAY()-F49)&amp;IF((TODAY()-F49)=1," day"," days"),IF(F49=TODAY(),"Due today",IF(F49-TODAY()&lt;=N(Dashboard!$C$4),"Due in "&amp;(F49-TODAY())&amp;IF((F49-TODAY())=1," day"," days"),"OK"))))</f>
        <v/>
      </c>
      <c r="H49" s="23" t="n"/>
      <c r="I49" s="1" t="n"/>
      <c r="J49">
        <f>IF(G49="","",IF(G49="OK","",F49+ROW()/10000000))</f>
        <v/>
      </c>
    </row>
    <row r="50">
      <c r="A50" s="1" t="n"/>
      <c r="B50" s="22" t="n"/>
      <c r="C50" s="23" t="n"/>
      <c r="D50" s="29" t="n"/>
      <c r="E50" s="24" t="n"/>
      <c r="F50" s="30">
        <f>IF(OR(C50="",E50="",N(D50)=0),"",EDATE(E50,D50))</f>
        <v/>
      </c>
      <c r="G50" s="18">
        <f>IF(F50="","",IF(F50&lt;TODAY(),"Overdue "&amp;(TODAY()-F50)&amp;IF((TODAY()-F50)=1," day"," days"),IF(F50=TODAY(),"Due today",IF(F50-TODAY()&lt;=N(Dashboard!$C$4),"Due in "&amp;(F50-TODAY())&amp;IF((F50-TODAY())=1," day"," days"),"OK"))))</f>
        <v/>
      </c>
      <c r="H50" s="23" t="n"/>
      <c r="I50" s="1" t="n"/>
      <c r="J50">
        <f>IF(G50="","",IF(G50="OK","",F50+ROW()/10000000))</f>
        <v/>
      </c>
    </row>
    <row r="51">
      <c r="A51" s="1" t="n"/>
      <c r="B51" s="22" t="n"/>
      <c r="C51" s="23" t="n"/>
      <c r="D51" s="29" t="n"/>
      <c r="E51" s="24" t="n"/>
      <c r="F51" s="30">
        <f>IF(OR(C51="",E51="",N(D51)=0),"",EDATE(E51,D51))</f>
        <v/>
      </c>
      <c r="G51" s="18">
        <f>IF(F51="","",IF(F51&lt;TODAY(),"Overdue "&amp;(TODAY()-F51)&amp;IF((TODAY()-F51)=1," day"," days"),IF(F51=TODAY(),"Due today",IF(F51-TODAY()&lt;=N(Dashboard!$C$4),"Due in "&amp;(F51-TODAY())&amp;IF((F51-TODAY())=1," day"," days"),"OK"))))</f>
        <v/>
      </c>
      <c r="H51" s="23" t="n"/>
      <c r="I51" s="1" t="n"/>
      <c r="J51">
        <f>IF(G51="","",IF(G51="OK","",F51+ROW()/10000000))</f>
        <v/>
      </c>
    </row>
    <row r="52">
      <c r="A52" s="1" t="n"/>
      <c r="B52" s="22" t="n"/>
      <c r="C52" s="23" t="n"/>
      <c r="D52" s="29" t="n"/>
      <c r="E52" s="24" t="n"/>
      <c r="F52" s="30">
        <f>IF(OR(C52="",E52="",N(D52)=0),"",EDATE(E52,D52))</f>
        <v/>
      </c>
      <c r="G52" s="18">
        <f>IF(F52="","",IF(F52&lt;TODAY(),"Overdue "&amp;(TODAY()-F52)&amp;IF((TODAY()-F52)=1," day"," days"),IF(F52=TODAY(),"Due today",IF(F52-TODAY()&lt;=N(Dashboard!$C$4),"Due in "&amp;(F52-TODAY())&amp;IF((F52-TODAY())=1," day"," days"),"OK"))))</f>
        <v/>
      </c>
      <c r="H52" s="23" t="n"/>
      <c r="I52" s="1" t="n"/>
      <c r="J52">
        <f>IF(G52="","",IF(G52="OK","",F52+ROW()/10000000))</f>
        <v/>
      </c>
    </row>
    <row r="53">
      <c r="A53" s="1" t="n"/>
      <c r="B53" s="22" t="n"/>
      <c r="C53" s="23" t="n"/>
      <c r="D53" s="29" t="n"/>
      <c r="E53" s="24" t="n"/>
      <c r="F53" s="30">
        <f>IF(OR(C53="",E53="",N(D53)=0),"",EDATE(E53,D53))</f>
        <v/>
      </c>
      <c r="G53" s="18">
        <f>IF(F53="","",IF(F53&lt;TODAY(),"Overdue "&amp;(TODAY()-F53)&amp;IF((TODAY()-F53)=1," day"," days"),IF(F53=TODAY(),"Due today",IF(F53-TODAY()&lt;=N(Dashboard!$C$4),"Due in "&amp;(F53-TODAY())&amp;IF((F53-TODAY())=1," day"," days"),"OK"))))</f>
        <v/>
      </c>
      <c r="H53" s="23" t="n"/>
      <c r="I53" s="1" t="n"/>
      <c r="J53">
        <f>IF(G53="","",IF(G53="OK","",F53+ROW()/10000000))</f>
        <v/>
      </c>
    </row>
    <row r="54">
      <c r="A54" s="1" t="n"/>
      <c r="B54" s="22" t="n"/>
      <c r="C54" s="23" t="n"/>
      <c r="D54" s="29" t="n"/>
      <c r="E54" s="24" t="n"/>
      <c r="F54" s="30">
        <f>IF(OR(C54="",E54="",N(D54)=0),"",EDATE(E54,D54))</f>
        <v/>
      </c>
      <c r="G54" s="18">
        <f>IF(F54="","",IF(F54&lt;TODAY(),"Overdue "&amp;(TODAY()-F54)&amp;IF((TODAY()-F54)=1," day"," days"),IF(F54=TODAY(),"Due today",IF(F54-TODAY()&lt;=N(Dashboard!$C$4),"Due in "&amp;(F54-TODAY())&amp;IF((F54-TODAY())=1," day"," days"),"OK"))))</f>
        <v/>
      </c>
      <c r="H54" s="23" t="n"/>
      <c r="I54" s="1" t="n"/>
      <c r="J54">
        <f>IF(G54="","",IF(G54="OK","",F54+ROW()/10000000))</f>
        <v/>
      </c>
    </row>
    <row r="55">
      <c r="A55" s="1" t="n"/>
      <c r="B55" s="22" t="n"/>
      <c r="C55" s="23" t="n"/>
      <c r="D55" s="29" t="n"/>
      <c r="E55" s="24" t="n"/>
      <c r="F55" s="30">
        <f>IF(OR(C55="",E55="",N(D55)=0),"",EDATE(E55,D55))</f>
        <v/>
      </c>
      <c r="G55" s="18">
        <f>IF(F55="","",IF(F55&lt;TODAY(),"Overdue "&amp;(TODAY()-F55)&amp;IF((TODAY()-F55)=1," day"," days"),IF(F55=TODAY(),"Due today",IF(F55-TODAY()&lt;=N(Dashboard!$C$4),"Due in "&amp;(F55-TODAY())&amp;IF((F55-TODAY())=1," day"," days"),"OK"))))</f>
        <v/>
      </c>
      <c r="H55" s="23" t="n"/>
      <c r="I55" s="1" t="n"/>
      <c r="J55">
        <f>IF(G55="","",IF(G55="OK","",F55+ROW()/10000000))</f>
        <v/>
      </c>
    </row>
    <row r="56">
      <c r="A56" s="1" t="n"/>
      <c r="B56" s="22" t="n"/>
      <c r="C56" s="23" t="n"/>
      <c r="D56" s="29" t="n"/>
      <c r="E56" s="24" t="n"/>
      <c r="F56" s="30">
        <f>IF(OR(C56="",E56="",N(D56)=0),"",EDATE(E56,D56))</f>
        <v/>
      </c>
      <c r="G56" s="18">
        <f>IF(F56="","",IF(F56&lt;TODAY(),"Overdue "&amp;(TODAY()-F56)&amp;IF((TODAY()-F56)=1," day"," days"),IF(F56=TODAY(),"Due today",IF(F56-TODAY()&lt;=N(Dashboard!$C$4),"Due in "&amp;(F56-TODAY())&amp;IF((F56-TODAY())=1," day"," days"),"OK"))))</f>
        <v/>
      </c>
      <c r="H56" s="23" t="n"/>
      <c r="I56" s="1" t="n"/>
      <c r="J56">
        <f>IF(G56="","",IF(G56="OK","",F56+ROW()/10000000))</f>
        <v/>
      </c>
    </row>
    <row r="57">
      <c r="A57" s="1" t="n"/>
      <c r="B57" s="22" t="n"/>
      <c r="C57" s="23" t="n"/>
      <c r="D57" s="29" t="n"/>
      <c r="E57" s="24" t="n"/>
      <c r="F57" s="30">
        <f>IF(OR(C57="",E57="",N(D57)=0),"",EDATE(E57,D57))</f>
        <v/>
      </c>
      <c r="G57" s="18">
        <f>IF(F57="","",IF(F57&lt;TODAY(),"Overdue "&amp;(TODAY()-F57)&amp;IF((TODAY()-F57)=1," day"," days"),IF(F57=TODAY(),"Due today",IF(F57-TODAY()&lt;=N(Dashboard!$C$4),"Due in "&amp;(F57-TODAY())&amp;IF((F57-TODAY())=1," day"," days"),"OK"))))</f>
        <v/>
      </c>
      <c r="H57" s="23" t="n"/>
      <c r="I57" s="1" t="n"/>
      <c r="J57">
        <f>IF(G57="","",IF(G57="OK","",F57+ROW()/10000000))</f>
        <v/>
      </c>
    </row>
    <row r="58">
      <c r="A58" s="1" t="n"/>
      <c r="B58" s="22" t="n"/>
      <c r="C58" s="23" t="n"/>
      <c r="D58" s="29" t="n"/>
      <c r="E58" s="24" t="n"/>
      <c r="F58" s="30">
        <f>IF(OR(C58="",E58="",N(D58)=0),"",EDATE(E58,D58))</f>
        <v/>
      </c>
      <c r="G58" s="18">
        <f>IF(F58="","",IF(F58&lt;TODAY(),"Overdue "&amp;(TODAY()-F58)&amp;IF((TODAY()-F58)=1," day"," days"),IF(F58=TODAY(),"Due today",IF(F58-TODAY()&lt;=N(Dashboard!$C$4),"Due in "&amp;(F58-TODAY())&amp;IF((F58-TODAY())=1," day"," days"),"OK"))))</f>
        <v/>
      </c>
      <c r="H58" s="23" t="n"/>
      <c r="I58" s="1" t="n"/>
      <c r="J58">
        <f>IF(G58="","",IF(G58="OK","",F58+ROW()/10000000))</f>
        <v/>
      </c>
    </row>
    <row r="59">
      <c r="A59" s="1" t="n"/>
      <c r="B59" s="22" t="n"/>
      <c r="C59" s="23" t="n"/>
      <c r="D59" s="29" t="n"/>
      <c r="E59" s="24" t="n"/>
      <c r="F59" s="30">
        <f>IF(OR(C59="",E59="",N(D59)=0),"",EDATE(E59,D59))</f>
        <v/>
      </c>
      <c r="G59" s="18">
        <f>IF(F59="","",IF(F59&lt;TODAY(),"Overdue "&amp;(TODAY()-F59)&amp;IF((TODAY()-F59)=1," day"," days"),IF(F59=TODAY(),"Due today",IF(F59-TODAY()&lt;=N(Dashboard!$C$4),"Due in "&amp;(F59-TODAY())&amp;IF((F59-TODAY())=1," day"," days"),"OK"))))</f>
        <v/>
      </c>
      <c r="H59" s="23" t="n"/>
      <c r="I59" s="1" t="n"/>
      <c r="J59">
        <f>IF(G59="","",IF(G59="OK","",F59+ROW()/10000000))</f>
        <v/>
      </c>
    </row>
    <row r="60">
      <c r="A60" s="1" t="n"/>
      <c r="B60" s="22" t="n"/>
      <c r="C60" s="23" t="n"/>
      <c r="D60" s="29" t="n"/>
      <c r="E60" s="24" t="n"/>
      <c r="F60" s="30">
        <f>IF(OR(C60="",E60="",N(D60)=0),"",EDATE(E60,D60))</f>
        <v/>
      </c>
      <c r="G60" s="18">
        <f>IF(F60="","",IF(F60&lt;TODAY(),"Overdue "&amp;(TODAY()-F60)&amp;IF((TODAY()-F60)=1," day"," days"),IF(F60=TODAY(),"Due today",IF(F60-TODAY()&lt;=N(Dashboard!$C$4),"Due in "&amp;(F60-TODAY())&amp;IF((F60-TODAY())=1," day"," days"),"OK"))))</f>
        <v/>
      </c>
      <c r="H60" s="23" t="n"/>
      <c r="I60" s="1" t="n"/>
      <c r="J60">
        <f>IF(G60="","",IF(G60="OK","",F60+ROW()/10000000))</f>
        <v/>
      </c>
    </row>
    <row r="61">
      <c r="A61" s="1" t="n"/>
      <c r="B61" s="22" t="n"/>
      <c r="C61" s="23" t="n"/>
      <c r="D61" s="29" t="n"/>
      <c r="E61" s="24" t="n"/>
      <c r="F61" s="30">
        <f>IF(OR(C61="",E61="",N(D61)=0),"",EDATE(E61,D61))</f>
        <v/>
      </c>
      <c r="G61" s="18">
        <f>IF(F61="","",IF(F61&lt;TODAY(),"Overdue "&amp;(TODAY()-F61)&amp;IF((TODAY()-F61)=1," day"," days"),IF(F61=TODAY(),"Due today",IF(F61-TODAY()&lt;=N(Dashboard!$C$4),"Due in "&amp;(F61-TODAY())&amp;IF((F61-TODAY())=1," day"," days"),"OK"))))</f>
        <v/>
      </c>
      <c r="H61" s="23" t="n"/>
      <c r="I61" s="1" t="n"/>
      <c r="J61">
        <f>IF(G61="","",IF(G61="OK","",F61+ROW()/10000000))</f>
        <v/>
      </c>
    </row>
    <row r="62">
      <c r="A62" s="1" t="n"/>
      <c r="B62" s="22" t="n"/>
      <c r="C62" s="23" t="n"/>
      <c r="D62" s="29" t="n"/>
      <c r="E62" s="24" t="n"/>
      <c r="F62" s="30">
        <f>IF(OR(C62="",E62="",N(D62)=0),"",EDATE(E62,D62))</f>
        <v/>
      </c>
      <c r="G62" s="18">
        <f>IF(F62="","",IF(F62&lt;TODAY(),"Overdue "&amp;(TODAY()-F62)&amp;IF((TODAY()-F62)=1," day"," days"),IF(F62=TODAY(),"Due today",IF(F62-TODAY()&lt;=N(Dashboard!$C$4),"Due in "&amp;(F62-TODAY())&amp;IF((F62-TODAY())=1," day"," days"),"OK"))))</f>
        <v/>
      </c>
      <c r="H62" s="23" t="n"/>
      <c r="I62" s="1" t="n"/>
      <c r="J62">
        <f>IF(G62="","",IF(G62="OK","",F62+ROW()/10000000))</f>
        <v/>
      </c>
    </row>
    <row r="63">
      <c r="A63" s="1" t="n"/>
      <c r="B63" s="22" t="n"/>
      <c r="C63" s="23" t="n"/>
      <c r="D63" s="29" t="n"/>
      <c r="E63" s="24" t="n"/>
      <c r="F63" s="30">
        <f>IF(OR(C63="",E63="",N(D63)=0),"",EDATE(E63,D63))</f>
        <v/>
      </c>
      <c r="G63" s="18">
        <f>IF(F63="","",IF(F63&lt;TODAY(),"Overdue "&amp;(TODAY()-F63)&amp;IF((TODAY()-F63)=1," day"," days"),IF(F63=TODAY(),"Due today",IF(F63-TODAY()&lt;=N(Dashboard!$C$4),"Due in "&amp;(F63-TODAY())&amp;IF((F63-TODAY())=1," day"," days"),"OK"))))</f>
        <v/>
      </c>
      <c r="H63" s="23" t="n"/>
      <c r="I63" s="1" t="n"/>
      <c r="J63">
        <f>IF(G63="","",IF(G63="OK","",F63+ROW()/10000000))</f>
        <v/>
      </c>
    </row>
    <row r="64">
      <c r="A64" s="1" t="n"/>
      <c r="B64" s="22" t="n"/>
      <c r="C64" s="23" t="n"/>
      <c r="D64" s="29" t="n"/>
      <c r="E64" s="24" t="n"/>
      <c r="F64" s="30">
        <f>IF(OR(C64="",E64="",N(D64)=0),"",EDATE(E64,D64))</f>
        <v/>
      </c>
      <c r="G64" s="18">
        <f>IF(F64="","",IF(F64&lt;TODAY(),"Overdue "&amp;(TODAY()-F64)&amp;IF((TODAY()-F64)=1," day"," days"),IF(F64=TODAY(),"Due today",IF(F64-TODAY()&lt;=N(Dashboard!$C$4),"Due in "&amp;(F64-TODAY())&amp;IF((F64-TODAY())=1," day"," days"),"OK"))))</f>
        <v/>
      </c>
      <c r="H64" s="23" t="n"/>
      <c r="I64" s="1" t="n"/>
      <c r="J64">
        <f>IF(G64="","",IF(G64="OK","",F64+ROW()/10000000))</f>
        <v/>
      </c>
    </row>
    <row r="65">
      <c r="A65" s="1" t="n"/>
      <c r="B65" s="22" t="n"/>
      <c r="C65" s="23" t="n"/>
      <c r="D65" s="29" t="n"/>
      <c r="E65" s="24" t="n"/>
      <c r="F65" s="30">
        <f>IF(OR(C65="",E65="",N(D65)=0),"",EDATE(E65,D65))</f>
        <v/>
      </c>
      <c r="G65" s="18">
        <f>IF(F65="","",IF(F65&lt;TODAY(),"Overdue "&amp;(TODAY()-F65)&amp;IF((TODAY()-F65)=1," day"," days"),IF(F65=TODAY(),"Due today",IF(F65-TODAY()&lt;=N(Dashboard!$C$4),"Due in "&amp;(F65-TODAY())&amp;IF((F65-TODAY())=1," day"," days"),"OK"))))</f>
        <v/>
      </c>
      <c r="H65" s="23" t="n"/>
      <c r="I65" s="1" t="n"/>
      <c r="J65">
        <f>IF(G65="","",IF(G65="OK","",F65+ROW()/10000000))</f>
        <v/>
      </c>
    </row>
    <row r="66">
      <c r="A66" s="1" t="n"/>
      <c r="B66" s="31" t="inlineStr">
        <is>
          <t>When it is done, change Last done to that day.</t>
        </is>
      </c>
      <c r="C66" s="1" t="n"/>
      <c r="D66" s="1" t="n"/>
      <c r="E66" s="1" t="n"/>
      <c r="F66" s="1" t="n"/>
      <c r="G66" s="1" t="n"/>
      <c r="H66" s="1" t="n"/>
      <c r="I66" s="1" t="n"/>
    </row>
  </sheetData>
  <conditionalFormatting sqref="G6:G65">
    <cfRule type="expression" priority="1" dxfId="0">
      <formula>LEFT(G6,7)="Overdue"</formula>
    </cfRule>
    <cfRule type="expression" priority="2" dxfId="1">
      <formula>LEFT(G6,3)="Due"</formula>
    </cfRule>
    <cfRule type="expression" priority="3" dxfId="2">
      <formula>G6="OK"</formula>
    </cfRule>
  </conditionalFormatting>
  <dataValidations count="1">
    <dataValidation sqref="B6:B65" showDropDown="0" showInputMessage="0" showErrorMessage="1" allowBlank="1" type="list">
      <formula1>=Pets!$B$6:$B$25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30" customWidth="1" min="4" max="4"/>
    <col width="20" customWidth="1" min="5" max="5"/>
    <col width="36" customWidth="1" min="6" max="6"/>
    <col width="11" customWidth="1" min="7" max="7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Vet visits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Every visit, past or booked: why, what the vet said and what it cost. The cost counts under Vet in the spending.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3" t="inlineStr">
        <is>
          <t>Date</t>
        </is>
      </c>
      <c r="C5" s="13" t="inlineStr">
        <is>
          <t>Pet</t>
        </is>
      </c>
      <c r="D5" s="13" t="inlineStr">
        <is>
          <t>Why</t>
        </is>
      </c>
      <c r="E5" s="13" t="inlineStr">
        <is>
          <t>Vet</t>
        </is>
      </c>
      <c r="F5" s="13" t="inlineStr">
        <is>
          <t>What the vet said</t>
        </is>
      </c>
      <c r="G5" s="13" t="inlineStr">
        <is>
          <t>Cost</t>
        </is>
      </c>
      <c r="H5" s="1" t="n"/>
    </row>
    <row r="6">
      <c r="A6" s="1" t="n"/>
      <c r="B6" s="24" t="n">
        <v>46047</v>
      </c>
      <c r="C6" s="22" t="inlineStr">
        <is>
          <t>Miso</t>
        </is>
      </c>
      <c r="D6" s="23" t="inlineStr">
        <is>
          <t>Yearly check and vaccine</t>
        </is>
      </c>
      <c r="E6" s="23" t="inlineStr">
        <is>
          <t>Riverside Vets</t>
        </is>
      </c>
      <c r="F6" s="23" t="inlineStr">
        <is>
          <t>Healthy, a bit overweight</t>
        </is>
      </c>
      <c r="G6" s="32" t="n">
        <v>68</v>
      </c>
      <c r="H6" s="1" t="n"/>
      <c r="I6">
        <f>IF(AND(B6&lt;&gt;"",C6&lt;&gt;"",B6&gt;=TODAY()),B6+ROW()/10000000,"")</f>
        <v/>
      </c>
    </row>
    <row r="7">
      <c r="A7" s="1" t="n"/>
      <c r="B7" s="24" t="n">
        <v>46097</v>
      </c>
      <c r="C7" s="22" t="inlineStr">
        <is>
          <t>Biscuit</t>
        </is>
      </c>
      <c r="D7" s="23" t="inlineStr">
        <is>
          <t>Limping after a walk</t>
        </is>
      </c>
      <c r="E7" s="23" t="inlineStr">
        <is>
          <t>Riverside Vets</t>
        </is>
      </c>
      <c r="F7" s="23" t="inlineStr">
        <is>
          <t>Sprain, rest for a week</t>
        </is>
      </c>
      <c r="G7" s="32" t="n">
        <v>92.5</v>
      </c>
      <c r="H7" s="1" t="n"/>
      <c r="I7">
        <f>IF(AND(B7&lt;&gt;"",C7&lt;&gt;"",B7&gt;=TODAY()),B7+ROW()/10000000,"")</f>
        <v/>
      </c>
    </row>
    <row r="8">
      <c r="A8" s="1" t="n"/>
      <c r="B8" s="24" t="n">
        <v>46140</v>
      </c>
      <c r="C8" s="22" t="inlineStr">
        <is>
          <t>Biscuit</t>
        </is>
      </c>
      <c r="D8" s="23" t="inlineStr">
        <is>
          <t>Teeth check</t>
        </is>
      </c>
      <c r="E8" s="23" t="inlineStr">
        <is>
          <t>Riverside Vets</t>
        </is>
      </c>
      <c r="F8" s="23" t="inlineStr">
        <is>
          <t>Teeth fine</t>
        </is>
      </c>
      <c r="G8" s="32" t="n">
        <v>45</v>
      </c>
      <c r="H8" s="1" t="n"/>
      <c r="I8">
        <f>IF(AND(B8&lt;&gt;"",C8&lt;&gt;"",B8&gt;=TODAY()),B8+ROW()/10000000,"")</f>
        <v/>
      </c>
    </row>
    <row r="9">
      <c r="A9" s="1" t="n"/>
      <c r="B9" s="24" t="n">
        <v>46183</v>
      </c>
      <c r="C9" s="22" t="inlineStr">
        <is>
          <t>Clover</t>
        </is>
      </c>
      <c r="D9" s="23" t="inlineStr">
        <is>
          <t>Not eating</t>
        </is>
      </c>
      <c r="E9" s="23" t="inlineStr">
        <is>
          <t>Burrow Exotic Vets</t>
        </is>
      </c>
      <c r="F9" s="23" t="inlineStr">
        <is>
          <t>Gut slowdown, gave medicine</t>
        </is>
      </c>
      <c r="G9" s="32" t="n">
        <v>118</v>
      </c>
      <c r="H9" s="1" t="n"/>
      <c r="I9">
        <f>IF(AND(B9&lt;&gt;"",C9&lt;&gt;"",B9&gt;=TODAY()),B9+ROW()/10000000,"")</f>
        <v/>
      </c>
    </row>
    <row r="10">
      <c r="A10" s="1" t="n"/>
      <c r="B10" s="24" t="n">
        <v>46257</v>
      </c>
      <c r="C10" s="22" t="inlineStr">
        <is>
          <t>Miso</t>
        </is>
      </c>
      <c r="D10" s="23" t="inlineStr">
        <is>
          <t>Ear scratching</t>
        </is>
      </c>
      <c r="E10" s="23" t="inlineStr">
        <is>
          <t>Riverside Vets</t>
        </is>
      </c>
      <c r="F10" s="23" t="inlineStr">
        <is>
          <t>Ear mites, drops for 2 weeks</t>
        </is>
      </c>
      <c r="G10" s="32" t="n">
        <v>54</v>
      </c>
      <c r="H10" s="1" t="n"/>
      <c r="I10">
        <f>IF(AND(B10&lt;&gt;"",C10&lt;&gt;"",B10&gt;=TODAY()),B10+ROW()/10000000,"")</f>
        <v/>
      </c>
    </row>
    <row r="11">
      <c r="A11" s="1" t="n"/>
      <c r="B11" s="24" t="n">
        <v>46302</v>
      </c>
      <c r="C11" s="22" t="inlineStr">
        <is>
          <t>Biscuit</t>
        </is>
      </c>
      <c r="D11" s="23" t="inlineStr">
        <is>
          <t>Yearly vaccine</t>
        </is>
      </c>
      <c r="E11" s="23" t="inlineStr">
        <is>
          <t>Riverside Vets</t>
        </is>
      </c>
      <c r="F11" s="23" t="inlineStr">
        <is>
          <t>Booked at 10:30</t>
        </is>
      </c>
      <c r="G11" s="32" t="n"/>
      <c r="H11" s="1" t="n"/>
      <c r="I11">
        <f>IF(AND(B11&lt;&gt;"",C11&lt;&gt;"",B11&gt;=TODAY()),B11+ROW()/10000000,"")</f>
        <v/>
      </c>
    </row>
    <row r="12">
      <c r="A12" s="1" t="n"/>
      <c r="B12" s="24" t="n">
        <v>46316</v>
      </c>
      <c r="C12" s="22" t="inlineStr">
        <is>
          <t>Miso</t>
        </is>
      </c>
      <c r="D12" s="23" t="inlineStr">
        <is>
          <t>Yearly check</t>
        </is>
      </c>
      <c r="E12" s="23" t="inlineStr">
        <is>
          <t>Riverside Vets</t>
        </is>
      </c>
      <c r="F12" s="23" t="inlineStr">
        <is>
          <t>Booked at 17:15</t>
        </is>
      </c>
      <c r="G12" s="32" t="n"/>
      <c r="H12" s="1" t="n"/>
      <c r="I12">
        <f>IF(AND(B12&lt;&gt;"",C12&lt;&gt;"",B12&gt;=TODAY()),B12+ROW()/10000000,"")</f>
        <v/>
      </c>
    </row>
    <row r="13">
      <c r="A13" s="1" t="n"/>
      <c r="B13" s="24" t="n"/>
      <c r="C13" s="22" t="n"/>
      <c r="D13" s="23" t="n"/>
      <c r="E13" s="23" t="n"/>
      <c r="F13" s="23" t="n"/>
      <c r="G13" s="32" t="n"/>
      <c r="H13" s="1" t="n"/>
      <c r="I13">
        <f>IF(AND(B13&lt;&gt;"",C13&lt;&gt;"",B13&gt;=TODAY()),B13+ROW()/10000000,"")</f>
        <v/>
      </c>
    </row>
    <row r="14">
      <c r="A14" s="1" t="n"/>
      <c r="B14" s="24" t="n"/>
      <c r="C14" s="22" t="n"/>
      <c r="D14" s="23" t="n"/>
      <c r="E14" s="23" t="n"/>
      <c r="F14" s="23" t="n"/>
      <c r="G14" s="32" t="n"/>
      <c r="H14" s="1" t="n"/>
      <c r="I14">
        <f>IF(AND(B14&lt;&gt;"",C14&lt;&gt;"",B14&gt;=TODAY()),B14+ROW()/10000000,"")</f>
        <v/>
      </c>
    </row>
    <row r="15">
      <c r="A15" s="1" t="n"/>
      <c r="B15" s="24" t="n"/>
      <c r="C15" s="22" t="n"/>
      <c r="D15" s="23" t="n"/>
      <c r="E15" s="23" t="n"/>
      <c r="F15" s="23" t="n"/>
      <c r="G15" s="32" t="n"/>
      <c r="H15" s="1" t="n"/>
      <c r="I15">
        <f>IF(AND(B15&lt;&gt;"",C15&lt;&gt;"",B15&gt;=TODAY()),B15+ROW()/10000000,"")</f>
        <v/>
      </c>
    </row>
    <row r="16">
      <c r="A16" s="1" t="n"/>
      <c r="B16" s="24" t="n"/>
      <c r="C16" s="22" t="n"/>
      <c r="D16" s="23" t="n"/>
      <c r="E16" s="23" t="n"/>
      <c r="F16" s="23" t="n"/>
      <c r="G16" s="32" t="n"/>
      <c r="H16" s="1" t="n"/>
      <c r="I16">
        <f>IF(AND(B16&lt;&gt;"",C16&lt;&gt;"",B16&gt;=TODAY()),B16+ROW()/10000000,"")</f>
        <v/>
      </c>
    </row>
    <row r="17">
      <c r="A17" s="1" t="n"/>
      <c r="B17" s="24" t="n"/>
      <c r="C17" s="22" t="n"/>
      <c r="D17" s="23" t="n"/>
      <c r="E17" s="23" t="n"/>
      <c r="F17" s="23" t="n"/>
      <c r="G17" s="32" t="n"/>
      <c r="H17" s="1" t="n"/>
      <c r="I17">
        <f>IF(AND(B17&lt;&gt;"",C17&lt;&gt;"",B17&gt;=TODAY()),B17+ROW()/10000000,"")</f>
        <v/>
      </c>
    </row>
    <row r="18">
      <c r="A18" s="1" t="n"/>
      <c r="B18" s="24" t="n"/>
      <c r="C18" s="22" t="n"/>
      <c r="D18" s="23" t="n"/>
      <c r="E18" s="23" t="n"/>
      <c r="F18" s="23" t="n"/>
      <c r="G18" s="32" t="n"/>
      <c r="H18" s="1" t="n"/>
      <c r="I18">
        <f>IF(AND(B18&lt;&gt;"",C18&lt;&gt;"",B18&gt;=TODAY()),B18+ROW()/10000000,"")</f>
        <v/>
      </c>
    </row>
    <row r="19">
      <c r="A19" s="1" t="n"/>
      <c r="B19" s="24" t="n"/>
      <c r="C19" s="22" t="n"/>
      <c r="D19" s="23" t="n"/>
      <c r="E19" s="23" t="n"/>
      <c r="F19" s="23" t="n"/>
      <c r="G19" s="32" t="n"/>
      <c r="H19" s="1" t="n"/>
      <c r="I19">
        <f>IF(AND(B19&lt;&gt;"",C19&lt;&gt;"",B19&gt;=TODAY()),B19+ROW()/10000000,"")</f>
        <v/>
      </c>
    </row>
    <row r="20">
      <c r="A20" s="1" t="n"/>
      <c r="B20" s="24" t="n"/>
      <c r="C20" s="22" t="n"/>
      <c r="D20" s="23" t="n"/>
      <c r="E20" s="23" t="n"/>
      <c r="F20" s="23" t="n"/>
      <c r="G20" s="32" t="n"/>
      <c r="H20" s="1" t="n"/>
      <c r="I20">
        <f>IF(AND(B20&lt;&gt;"",C20&lt;&gt;"",B20&gt;=TODAY()),B20+ROW()/10000000,"")</f>
        <v/>
      </c>
    </row>
    <row r="21">
      <c r="A21" s="1" t="n"/>
      <c r="B21" s="24" t="n"/>
      <c r="C21" s="22" t="n"/>
      <c r="D21" s="23" t="n"/>
      <c r="E21" s="23" t="n"/>
      <c r="F21" s="23" t="n"/>
      <c r="G21" s="32" t="n"/>
      <c r="H21" s="1" t="n"/>
      <c r="I21">
        <f>IF(AND(B21&lt;&gt;"",C21&lt;&gt;"",B21&gt;=TODAY()),B21+ROW()/10000000,"")</f>
        <v/>
      </c>
    </row>
    <row r="22">
      <c r="A22" s="1" t="n"/>
      <c r="B22" s="24" t="n"/>
      <c r="C22" s="22" t="n"/>
      <c r="D22" s="23" t="n"/>
      <c r="E22" s="23" t="n"/>
      <c r="F22" s="23" t="n"/>
      <c r="G22" s="32" t="n"/>
      <c r="H22" s="1" t="n"/>
      <c r="I22">
        <f>IF(AND(B22&lt;&gt;"",C22&lt;&gt;"",B22&gt;=TODAY()),B22+ROW()/10000000,"")</f>
        <v/>
      </c>
    </row>
    <row r="23">
      <c r="A23" s="1" t="n"/>
      <c r="B23" s="24" t="n"/>
      <c r="C23" s="22" t="n"/>
      <c r="D23" s="23" t="n"/>
      <c r="E23" s="23" t="n"/>
      <c r="F23" s="23" t="n"/>
      <c r="G23" s="32" t="n"/>
      <c r="H23" s="1" t="n"/>
      <c r="I23">
        <f>IF(AND(B23&lt;&gt;"",C23&lt;&gt;"",B23&gt;=TODAY()),B23+ROW()/10000000,"")</f>
        <v/>
      </c>
    </row>
    <row r="24">
      <c r="A24" s="1" t="n"/>
      <c r="B24" s="24" t="n"/>
      <c r="C24" s="22" t="n"/>
      <c r="D24" s="23" t="n"/>
      <c r="E24" s="23" t="n"/>
      <c r="F24" s="23" t="n"/>
      <c r="G24" s="32" t="n"/>
      <c r="H24" s="1" t="n"/>
      <c r="I24">
        <f>IF(AND(B24&lt;&gt;"",C24&lt;&gt;"",B24&gt;=TODAY()),B24+ROW()/10000000,"")</f>
        <v/>
      </c>
    </row>
    <row r="25">
      <c r="A25" s="1" t="n"/>
      <c r="B25" s="24" t="n"/>
      <c r="C25" s="22" t="n"/>
      <c r="D25" s="23" t="n"/>
      <c r="E25" s="23" t="n"/>
      <c r="F25" s="23" t="n"/>
      <c r="G25" s="32" t="n"/>
      <c r="H25" s="1" t="n"/>
      <c r="I25">
        <f>IF(AND(B25&lt;&gt;"",C25&lt;&gt;"",B25&gt;=TODAY()),B25+ROW()/10000000,"")</f>
        <v/>
      </c>
    </row>
    <row r="26">
      <c r="A26" s="1" t="n"/>
      <c r="B26" s="24" t="n"/>
      <c r="C26" s="22" t="n"/>
      <c r="D26" s="23" t="n"/>
      <c r="E26" s="23" t="n"/>
      <c r="F26" s="23" t="n"/>
      <c r="G26" s="32" t="n"/>
      <c r="H26" s="1" t="n"/>
      <c r="I26">
        <f>IF(AND(B26&lt;&gt;"",C26&lt;&gt;"",B26&gt;=TODAY()),B26+ROW()/10000000,"")</f>
        <v/>
      </c>
    </row>
    <row r="27">
      <c r="A27" s="1" t="n"/>
      <c r="B27" s="24" t="n"/>
      <c r="C27" s="22" t="n"/>
      <c r="D27" s="23" t="n"/>
      <c r="E27" s="23" t="n"/>
      <c r="F27" s="23" t="n"/>
      <c r="G27" s="32" t="n"/>
      <c r="H27" s="1" t="n"/>
      <c r="I27">
        <f>IF(AND(B27&lt;&gt;"",C27&lt;&gt;"",B27&gt;=TODAY()),B27+ROW()/10000000,"")</f>
        <v/>
      </c>
    </row>
    <row r="28">
      <c r="A28" s="1" t="n"/>
      <c r="B28" s="24" t="n"/>
      <c r="C28" s="22" t="n"/>
      <c r="D28" s="23" t="n"/>
      <c r="E28" s="23" t="n"/>
      <c r="F28" s="23" t="n"/>
      <c r="G28" s="32" t="n"/>
      <c r="H28" s="1" t="n"/>
      <c r="I28">
        <f>IF(AND(B28&lt;&gt;"",C28&lt;&gt;"",B28&gt;=TODAY()),B28+ROW()/10000000,"")</f>
        <v/>
      </c>
    </row>
    <row r="29">
      <c r="A29" s="1" t="n"/>
      <c r="B29" s="24" t="n"/>
      <c r="C29" s="22" t="n"/>
      <c r="D29" s="23" t="n"/>
      <c r="E29" s="23" t="n"/>
      <c r="F29" s="23" t="n"/>
      <c r="G29" s="32" t="n"/>
      <c r="H29" s="1" t="n"/>
      <c r="I29">
        <f>IF(AND(B29&lt;&gt;"",C29&lt;&gt;"",B29&gt;=TODAY()),B29+ROW()/10000000,"")</f>
        <v/>
      </c>
    </row>
    <row r="30">
      <c r="A30" s="1" t="n"/>
      <c r="B30" s="24" t="n"/>
      <c r="C30" s="22" t="n"/>
      <c r="D30" s="23" t="n"/>
      <c r="E30" s="23" t="n"/>
      <c r="F30" s="23" t="n"/>
      <c r="G30" s="32" t="n"/>
      <c r="H30" s="1" t="n"/>
      <c r="I30">
        <f>IF(AND(B30&lt;&gt;"",C30&lt;&gt;"",B30&gt;=TODAY()),B30+ROW()/10000000,"")</f>
        <v/>
      </c>
    </row>
    <row r="31">
      <c r="A31" s="1" t="n"/>
      <c r="B31" s="24" t="n"/>
      <c r="C31" s="22" t="n"/>
      <c r="D31" s="23" t="n"/>
      <c r="E31" s="23" t="n"/>
      <c r="F31" s="23" t="n"/>
      <c r="G31" s="32" t="n"/>
      <c r="H31" s="1" t="n"/>
      <c r="I31">
        <f>IF(AND(B31&lt;&gt;"",C31&lt;&gt;"",B31&gt;=TODAY()),B31+ROW()/10000000,"")</f>
        <v/>
      </c>
    </row>
    <row r="32">
      <c r="A32" s="1" t="n"/>
      <c r="B32" s="24" t="n"/>
      <c r="C32" s="22" t="n"/>
      <c r="D32" s="23" t="n"/>
      <c r="E32" s="23" t="n"/>
      <c r="F32" s="23" t="n"/>
      <c r="G32" s="32" t="n"/>
      <c r="H32" s="1" t="n"/>
      <c r="I32">
        <f>IF(AND(B32&lt;&gt;"",C32&lt;&gt;"",B32&gt;=TODAY()),B32+ROW()/10000000,"")</f>
        <v/>
      </c>
    </row>
    <row r="33">
      <c r="A33" s="1" t="n"/>
      <c r="B33" s="24" t="n"/>
      <c r="C33" s="22" t="n"/>
      <c r="D33" s="23" t="n"/>
      <c r="E33" s="23" t="n"/>
      <c r="F33" s="23" t="n"/>
      <c r="G33" s="32" t="n"/>
      <c r="H33" s="1" t="n"/>
      <c r="I33">
        <f>IF(AND(B33&lt;&gt;"",C33&lt;&gt;"",B33&gt;=TODAY()),B33+ROW()/10000000,"")</f>
        <v/>
      </c>
    </row>
    <row r="34">
      <c r="A34" s="1" t="n"/>
      <c r="B34" s="24" t="n"/>
      <c r="C34" s="22" t="n"/>
      <c r="D34" s="23" t="n"/>
      <c r="E34" s="23" t="n"/>
      <c r="F34" s="23" t="n"/>
      <c r="G34" s="32" t="n"/>
      <c r="H34" s="1" t="n"/>
      <c r="I34">
        <f>IF(AND(B34&lt;&gt;"",C34&lt;&gt;"",B34&gt;=TODAY()),B34+ROW()/10000000,"")</f>
        <v/>
      </c>
    </row>
    <row r="35">
      <c r="A35" s="1" t="n"/>
      <c r="B35" s="24" t="n"/>
      <c r="C35" s="22" t="n"/>
      <c r="D35" s="23" t="n"/>
      <c r="E35" s="23" t="n"/>
      <c r="F35" s="23" t="n"/>
      <c r="G35" s="32" t="n"/>
      <c r="H35" s="1" t="n"/>
      <c r="I35">
        <f>IF(AND(B35&lt;&gt;"",C35&lt;&gt;"",B35&gt;=TODAY()),B35+ROW()/10000000,"")</f>
        <v/>
      </c>
    </row>
    <row r="36">
      <c r="A36" s="1" t="n"/>
      <c r="B36" s="24" t="n"/>
      <c r="C36" s="22" t="n"/>
      <c r="D36" s="23" t="n"/>
      <c r="E36" s="23" t="n"/>
      <c r="F36" s="23" t="n"/>
      <c r="G36" s="32" t="n"/>
      <c r="H36" s="1" t="n"/>
      <c r="I36">
        <f>IF(AND(B36&lt;&gt;"",C36&lt;&gt;"",B36&gt;=TODAY()),B36+ROW()/10000000,"")</f>
        <v/>
      </c>
    </row>
    <row r="37">
      <c r="A37" s="1" t="n"/>
      <c r="B37" s="24" t="n"/>
      <c r="C37" s="22" t="n"/>
      <c r="D37" s="23" t="n"/>
      <c r="E37" s="23" t="n"/>
      <c r="F37" s="23" t="n"/>
      <c r="G37" s="32" t="n"/>
      <c r="H37" s="1" t="n"/>
      <c r="I37">
        <f>IF(AND(B37&lt;&gt;"",C37&lt;&gt;"",B37&gt;=TODAY()),B37+ROW()/10000000,"")</f>
        <v/>
      </c>
    </row>
    <row r="38">
      <c r="A38" s="1" t="n"/>
      <c r="B38" s="24" t="n"/>
      <c r="C38" s="22" t="n"/>
      <c r="D38" s="23" t="n"/>
      <c r="E38" s="23" t="n"/>
      <c r="F38" s="23" t="n"/>
      <c r="G38" s="32" t="n"/>
      <c r="H38" s="1" t="n"/>
      <c r="I38">
        <f>IF(AND(B38&lt;&gt;"",C38&lt;&gt;"",B38&gt;=TODAY()),B38+ROW()/10000000,"")</f>
        <v/>
      </c>
    </row>
    <row r="39">
      <c r="A39" s="1" t="n"/>
      <c r="B39" s="24" t="n"/>
      <c r="C39" s="22" t="n"/>
      <c r="D39" s="23" t="n"/>
      <c r="E39" s="23" t="n"/>
      <c r="F39" s="23" t="n"/>
      <c r="G39" s="32" t="n"/>
      <c r="H39" s="1" t="n"/>
      <c r="I39">
        <f>IF(AND(B39&lt;&gt;"",C39&lt;&gt;"",B39&gt;=TODAY()),B39+ROW()/10000000,"")</f>
        <v/>
      </c>
    </row>
    <row r="40">
      <c r="A40" s="1" t="n"/>
      <c r="B40" s="24" t="n"/>
      <c r="C40" s="22" t="n"/>
      <c r="D40" s="23" t="n"/>
      <c r="E40" s="23" t="n"/>
      <c r="F40" s="23" t="n"/>
      <c r="G40" s="32" t="n"/>
      <c r="H40" s="1" t="n"/>
      <c r="I40">
        <f>IF(AND(B40&lt;&gt;"",C40&lt;&gt;"",B40&gt;=TODAY()),B40+ROW()/10000000,"")</f>
        <v/>
      </c>
    </row>
    <row r="41">
      <c r="A41" s="1" t="n"/>
      <c r="B41" s="24" t="n"/>
      <c r="C41" s="22" t="n"/>
      <c r="D41" s="23" t="n"/>
      <c r="E41" s="23" t="n"/>
      <c r="F41" s="23" t="n"/>
      <c r="G41" s="32" t="n"/>
      <c r="H41" s="1" t="n"/>
      <c r="I41">
        <f>IF(AND(B41&lt;&gt;"",C41&lt;&gt;"",B41&gt;=TODAY()),B41+ROW()/10000000,"")</f>
        <v/>
      </c>
    </row>
    <row r="42">
      <c r="A42" s="1" t="n"/>
      <c r="B42" s="24" t="n"/>
      <c r="C42" s="22" t="n"/>
      <c r="D42" s="23" t="n"/>
      <c r="E42" s="23" t="n"/>
      <c r="F42" s="23" t="n"/>
      <c r="G42" s="32" t="n"/>
      <c r="H42" s="1" t="n"/>
      <c r="I42">
        <f>IF(AND(B42&lt;&gt;"",C42&lt;&gt;"",B42&gt;=TODAY()),B42+ROW()/10000000,"")</f>
        <v/>
      </c>
    </row>
    <row r="43">
      <c r="A43" s="1" t="n"/>
      <c r="B43" s="24" t="n"/>
      <c r="C43" s="22" t="n"/>
      <c r="D43" s="23" t="n"/>
      <c r="E43" s="23" t="n"/>
      <c r="F43" s="23" t="n"/>
      <c r="G43" s="32" t="n"/>
      <c r="H43" s="1" t="n"/>
      <c r="I43">
        <f>IF(AND(B43&lt;&gt;"",C43&lt;&gt;"",B43&gt;=TODAY()),B43+ROW()/10000000,"")</f>
        <v/>
      </c>
    </row>
    <row r="44">
      <c r="A44" s="1" t="n"/>
      <c r="B44" s="24" t="n"/>
      <c r="C44" s="22" t="n"/>
      <c r="D44" s="23" t="n"/>
      <c r="E44" s="23" t="n"/>
      <c r="F44" s="23" t="n"/>
      <c r="G44" s="32" t="n"/>
      <c r="H44" s="1" t="n"/>
      <c r="I44">
        <f>IF(AND(B44&lt;&gt;"",C44&lt;&gt;"",B44&gt;=TODAY()),B44+ROW()/10000000,"")</f>
        <v/>
      </c>
    </row>
    <row r="45">
      <c r="A45" s="1" t="n"/>
      <c r="B45" s="24" t="n"/>
      <c r="C45" s="22" t="n"/>
      <c r="D45" s="23" t="n"/>
      <c r="E45" s="23" t="n"/>
      <c r="F45" s="23" t="n"/>
      <c r="G45" s="32" t="n"/>
      <c r="H45" s="1" t="n"/>
      <c r="I45">
        <f>IF(AND(B45&lt;&gt;"",C45&lt;&gt;"",B45&gt;=TODAY()),B45+ROW()/10000000,"")</f>
        <v/>
      </c>
    </row>
    <row r="46">
      <c r="A46" s="1" t="n"/>
      <c r="B46" s="24" t="n"/>
      <c r="C46" s="22" t="n"/>
      <c r="D46" s="23" t="n"/>
      <c r="E46" s="23" t="n"/>
      <c r="F46" s="23" t="n"/>
      <c r="G46" s="32" t="n"/>
      <c r="H46" s="1" t="n"/>
      <c r="I46">
        <f>IF(AND(B46&lt;&gt;"",C46&lt;&gt;"",B46&gt;=TODAY()),B46+ROW()/10000000,"")</f>
        <v/>
      </c>
    </row>
    <row r="47">
      <c r="A47" s="1" t="n"/>
      <c r="B47" s="24" t="n"/>
      <c r="C47" s="22" t="n"/>
      <c r="D47" s="23" t="n"/>
      <c r="E47" s="23" t="n"/>
      <c r="F47" s="23" t="n"/>
      <c r="G47" s="32" t="n"/>
      <c r="H47" s="1" t="n"/>
      <c r="I47">
        <f>IF(AND(B47&lt;&gt;"",C47&lt;&gt;"",B47&gt;=TODAY()),B47+ROW()/10000000,"")</f>
        <v/>
      </c>
    </row>
    <row r="48">
      <c r="A48" s="1" t="n"/>
      <c r="B48" s="24" t="n"/>
      <c r="C48" s="22" t="n"/>
      <c r="D48" s="23" t="n"/>
      <c r="E48" s="23" t="n"/>
      <c r="F48" s="23" t="n"/>
      <c r="G48" s="32" t="n"/>
      <c r="H48" s="1" t="n"/>
      <c r="I48">
        <f>IF(AND(B48&lt;&gt;"",C48&lt;&gt;"",B48&gt;=TODAY()),B48+ROW()/10000000,"")</f>
        <v/>
      </c>
    </row>
    <row r="49">
      <c r="A49" s="1" t="n"/>
      <c r="B49" s="24" t="n"/>
      <c r="C49" s="22" t="n"/>
      <c r="D49" s="23" t="n"/>
      <c r="E49" s="23" t="n"/>
      <c r="F49" s="23" t="n"/>
      <c r="G49" s="32" t="n"/>
      <c r="H49" s="1" t="n"/>
      <c r="I49">
        <f>IF(AND(B49&lt;&gt;"",C49&lt;&gt;"",B49&gt;=TODAY()),B49+ROW()/10000000,"")</f>
        <v/>
      </c>
    </row>
    <row r="50">
      <c r="A50" s="1" t="n"/>
      <c r="B50" s="24" t="n"/>
      <c r="C50" s="22" t="n"/>
      <c r="D50" s="23" t="n"/>
      <c r="E50" s="23" t="n"/>
      <c r="F50" s="23" t="n"/>
      <c r="G50" s="32" t="n"/>
      <c r="H50" s="1" t="n"/>
      <c r="I50">
        <f>IF(AND(B50&lt;&gt;"",C50&lt;&gt;"",B50&gt;=TODAY()),B50+ROW()/10000000,"")</f>
        <v/>
      </c>
    </row>
    <row r="51">
      <c r="A51" s="1" t="n"/>
      <c r="B51" s="24" t="n"/>
      <c r="C51" s="22" t="n"/>
      <c r="D51" s="23" t="n"/>
      <c r="E51" s="23" t="n"/>
      <c r="F51" s="23" t="n"/>
      <c r="G51" s="32" t="n"/>
      <c r="H51" s="1" t="n"/>
      <c r="I51">
        <f>IF(AND(B51&lt;&gt;"",C51&lt;&gt;"",B51&gt;=TODAY()),B51+ROW()/10000000,"")</f>
        <v/>
      </c>
    </row>
    <row r="52">
      <c r="A52" s="1" t="n"/>
      <c r="B52" s="24" t="n"/>
      <c r="C52" s="22" t="n"/>
      <c r="D52" s="23" t="n"/>
      <c r="E52" s="23" t="n"/>
      <c r="F52" s="23" t="n"/>
      <c r="G52" s="32" t="n"/>
      <c r="H52" s="1" t="n"/>
      <c r="I52">
        <f>IF(AND(B52&lt;&gt;"",C52&lt;&gt;"",B52&gt;=TODAY()),B52+ROW()/10000000,"")</f>
        <v/>
      </c>
    </row>
    <row r="53">
      <c r="A53" s="1" t="n"/>
      <c r="B53" s="24" t="n"/>
      <c r="C53" s="22" t="n"/>
      <c r="D53" s="23" t="n"/>
      <c r="E53" s="23" t="n"/>
      <c r="F53" s="23" t="n"/>
      <c r="G53" s="32" t="n"/>
      <c r="H53" s="1" t="n"/>
      <c r="I53">
        <f>IF(AND(B53&lt;&gt;"",C53&lt;&gt;"",B53&gt;=TODAY()),B53+ROW()/10000000,"")</f>
        <v/>
      </c>
    </row>
    <row r="54">
      <c r="A54" s="1" t="n"/>
      <c r="B54" s="24" t="n"/>
      <c r="C54" s="22" t="n"/>
      <c r="D54" s="23" t="n"/>
      <c r="E54" s="23" t="n"/>
      <c r="F54" s="23" t="n"/>
      <c r="G54" s="32" t="n"/>
      <c r="H54" s="1" t="n"/>
      <c r="I54">
        <f>IF(AND(B54&lt;&gt;"",C54&lt;&gt;"",B54&gt;=TODAY()),B54+ROW()/10000000,"")</f>
        <v/>
      </c>
    </row>
    <row r="55">
      <c r="A55" s="1" t="n"/>
      <c r="B55" s="24" t="n"/>
      <c r="C55" s="22" t="n"/>
      <c r="D55" s="23" t="n"/>
      <c r="E55" s="23" t="n"/>
      <c r="F55" s="23" t="n"/>
      <c r="G55" s="32" t="n"/>
      <c r="H55" s="1" t="n"/>
      <c r="I55">
        <f>IF(AND(B55&lt;&gt;"",C55&lt;&gt;"",B55&gt;=TODAY()),B55+ROW()/10000000,"")</f>
        <v/>
      </c>
    </row>
    <row r="56">
      <c r="A56" s="1" t="n"/>
      <c r="B56" s="24" t="n"/>
      <c r="C56" s="22" t="n"/>
      <c r="D56" s="23" t="n"/>
      <c r="E56" s="23" t="n"/>
      <c r="F56" s="23" t="n"/>
      <c r="G56" s="32" t="n"/>
      <c r="H56" s="1" t="n"/>
      <c r="I56">
        <f>IF(AND(B56&lt;&gt;"",C56&lt;&gt;"",B56&gt;=TODAY()),B56+ROW()/10000000,"")</f>
        <v/>
      </c>
    </row>
    <row r="57">
      <c r="A57" s="1" t="n"/>
      <c r="B57" s="24" t="n"/>
      <c r="C57" s="22" t="n"/>
      <c r="D57" s="23" t="n"/>
      <c r="E57" s="23" t="n"/>
      <c r="F57" s="23" t="n"/>
      <c r="G57" s="32" t="n"/>
      <c r="H57" s="1" t="n"/>
      <c r="I57">
        <f>IF(AND(B57&lt;&gt;"",C57&lt;&gt;"",B57&gt;=TODAY()),B57+ROW()/10000000,"")</f>
        <v/>
      </c>
    </row>
    <row r="58">
      <c r="A58" s="1" t="n"/>
      <c r="B58" s="24" t="n"/>
      <c r="C58" s="22" t="n"/>
      <c r="D58" s="23" t="n"/>
      <c r="E58" s="23" t="n"/>
      <c r="F58" s="23" t="n"/>
      <c r="G58" s="32" t="n"/>
      <c r="H58" s="1" t="n"/>
      <c r="I58">
        <f>IF(AND(B58&lt;&gt;"",C58&lt;&gt;"",B58&gt;=TODAY()),B58+ROW()/10000000,"")</f>
        <v/>
      </c>
    </row>
    <row r="59">
      <c r="A59" s="1" t="n"/>
      <c r="B59" s="24" t="n"/>
      <c r="C59" s="22" t="n"/>
      <c r="D59" s="23" t="n"/>
      <c r="E59" s="23" t="n"/>
      <c r="F59" s="23" t="n"/>
      <c r="G59" s="32" t="n"/>
      <c r="H59" s="1" t="n"/>
      <c r="I59">
        <f>IF(AND(B59&lt;&gt;"",C59&lt;&gt;"",B59&gt;=TODAY()),B59+ROW()/10000000,"")</f>
        <v/>
      </c>
    </row>
    <row r="60">
      <c r="A60" s="1" t="n"/>
      <c r="B60" s="24" t="n"/>
      <c r="C60" s="22" t="n"/>
      <c r="D60" s="23" t="n"/>
      <c r="E60" s="23" t="n"/>
      <c r="F60" s="23" t="n"/>
      <c r="G60" s="32" t="n"/>
      <c r="H60" s="1" t="n"/>
      <c r="I60">
        <f>IF(AND(B60&lt;&gt;"",C60&lt;&gt;"",B60&gt;=TODAY()),B60+ROW()/10000000,"")</f>
        <v/>
      </c>
    </row>
    <row r="61">
      <c r="A61" s="1" t="n"/>
      <c r="B61" s="24" t="n"/>
      <c r="C61" s="22" t="n"/>
      <c r="D61" s="23" t="n"/>
      <c r="E61" s="23" t="n"/>
      <c r="F61" s="23" t="n"/>
      <c r="G61" s="32" t="n"/>
      <c r="H61" s="1" t="n"/>
      <c r="I61">
        <f>IF(AND(B61&lt;&gt;"",C61&lt;&gt;"",B61&gt;=TODAY()),B61+ROW()/10000000,"")</f>
        <v/>
      </c>
    </row>
    <row r="62">
      <c r="A62" s="1" t="n"/>
      <c r="B62" s="24" t="n"/>
      <c r="C62" s="22" t="n"/>
      <c r="D62" s="23" t="n"/>
      <c r="E62" s="23" t="n"/>
      <c r="F62" s="23" t="n"/>
      <c r="G62" s="32" t="n"/>
      <c r="H62" s="1" t="n"/>
      <c r="I62">
        <f>IF(AND(B62&lt;&gt;"",C62&lt;&gt;"",B62&gt;=TODAY()),B62+ROW()/10000000,"")</f>
        <v/>
      </c>
    </row>
    <row r="63">
      <c r="A63" s="1" t="n"/>
      <c r="B63" s="24" t="n"/>
      <c r="C63" s="22" t="n"/>
      <c r="D63" s="23" t="n"/>
      <c r="E63" s="23" t="n"/>
      <c r="F63" s="23" t="n"/>
      <c r="G63" s="32" t="n"/>
      <c r="H63" s="1" t="n"/>
      <c r="I63">
        <f>IF(AND(B63&lt;&gt;"",C63&lt;&gt;"",B63&gt;=TODAY()),B63+ROW()/10000000,"")</f>
        <v/>
      </c>
    </row>
    <row r="64">
      <c r="A64" s="1" t="n"/>
      <c r="B64" s="24" t="n"/>
      <c r="C64" s="22" t="n"/>
      <c r="D64" s="23" t="n"/>
      <c r="E64" s="23" t="n"/>
      <c r="F64" s="23" t="n"/>
      <c r="G64" s="32" t="n"/>
      <c r="H64" s="1" t="n"/>
      <c r="I64">
        <f>IF(AND(B64&lt;&gt;"",C64&lt;&gt;"",B64&gt;=TODAY()),B64+ROW()/10000000,"")</f>
        <v/>
      </c>
    </row>
    <row r="65">
      <c r="A65" s="1" t="n"/>
      <c r="B65" s="24" t="n"/>
      <c r="C65" s="22" t="n"/>
      <c r="D65" s="23" t="n"/>
      <c r="E65" s="23" t="n"/>
      <c r="F65" s="23" t="n"/>
      <c r="G65" s="32" t="n"/>
      <c r="H65" s="1" t="n"/>
      <c r="I65">
        <f>IF(AND(B65&lt;&gt;"",C65&lt;&gt;"",B65&gt;=TODAY()),B65+ROW()/10000000,"")</f>
        <v/>
      </c>
    </row>
    <row r="66">
      <c r="A66" s="1" t="n"/>
      <c r="B66" s="24" t="n"/>
      <c r="C66" s="22" t="n"/>
      <c r="D66" s="23" t="n"/>
      <c r="E66" s="23" t="n"/>
      <c r="F66" s="23" t="n"/>
      <c r="G66" s="32" t="n"/>
      <c r="H66" s="1" t="n"/>
      <c r="I66">
        <f>IF(AND(B66&lt;&gt;"",C66&lt;&gt;"",B66&gt;=TODAY()),B66+ROW()/10000000,"")</f>
        <v/>
      </c>
    </row>
    <row r="67">
      <c r="A67" s="1" t="n"/>
      <c r="B67" s="24" t="n"/>
      <c r="C67" s="22" t="n"/>
      <c r="D67" s="23" t="n"/>
      <c r="E67" s="23" t="n"/>
      <c r="F67" s="23" t="n"/>
      <c r="G67" s="32" t="n"/>
      <c r="H67" s="1" t="n"/>
      <c r="I67">
        <f>IF(AND(B67&lt;&gt;"",C67&lt;&gt;"",B67&gt;=TODAY()),B67+ROW()/10000000,"")</f>
        <v/>
      </c>
    </row>
    <row r="68">
      <c r="A68" s="1" t="n"/>
      <c r="B68" s="24" t="n"/>
      <c r="C68" s="22" t="n"/>
      <c r="D68" s="23" t="n"/>
      <c r="E68" s="23" t="n"/>
      <c r="F68" s="23" t="n"/>
      <c r="G68" s="32" t="n"/>
      <c r="H68" s="1" t="n"/>
      <c r="I68">
        <f>IF(AND(B68&lt;&gt;"",C68&lt;&gt;"",B68&gt;=TODAY()),B68+ROW()/10000000,"")</f>
        <v/>
      </c>
    </row>
    <row r="69">
      <c r="A69" s="1" t="n"/>
      <c r="B69" s="24" t="n"/>
      <c r="C69" s="22" t="n"/>
      <c r="D69" s="23" t="n"/>
      <c r="E69" s="23" t="n"/>
      <c r="F69" s="23" t="n"/>
      <c r="G69" s="32" t="n"/>
      <c r="H69" s="1" t="n"/>
      <c r="I69">
        <f>IF(AND(B69&lt;&gt;"",C69&lt;&gt;"",B69&gt;=TODAY()),B69+ROW()/10000000,"")</f>
        <v/>
      </c>
    </row>
    <row r="70">
      <c r="A70" s="1" t="n"/>
      <c r="B70" s="24" t="n"/>
      <c r="C70" s="22" t="n"/>
      <c r="D70" s="23" t="n"/>
      <c r="E70" s="23" t="n"/>
      <c r="F70" s="23" t="n"/>
      <c r="G70" s="32" t="n"/>
      <c r="H70" s="1" t="n"/>
      <c r="I70">
        <f>IF(AND(B70&lt;&gt;"",C70&lt;&gt;"",B70&gt;=TODAY()),B70+ROW()/10000000,"")</f>
        <v/>
      </c>
    </row>
    <row r="71">
      <c r="A71" s="1" t="n"/>
      <c r="B71" s="24" t="n"/>
      <c r="C71" s="22" t="n"/>
      <c r="D71" s="23" t="n"/>
      <c r="E71" s="23" t="n"/>
      <c r="F71" s="23" t="n"/>
      <c r="G71" s="32" t="n"/>
      <c r="H71" s="1" t="n"/>
      <c r="I71">
        <f>IF(AND(B71&lt;&gt;"",C71&lt;&gt;"",B71&gt;=TODAY()),B71+ROW()/10000000,"")</f>
        <v/>
      </c>
    </row>
    <row r="72">
      <c r="A72" s="1" t="n"/>
      <c r="B72" s="24" t="n"/>
      <c r="C72" s="22" t="n"/>
      <c r="D72" s="23" t="n"/>
      <c r="E72" s="23" t="n"/>
      <c r="F72" s="23" t="n"/>
      <c r="G72" s="32" t="n"/>
      <c r="H72" s="1" t="n"/>
      <c r="I72">
        <f>IF(AND(B72&lt;&gt;"",C72&lt;&gt;"",B72&gt;=TODAY()),B72+ROW()/10000000,"")</f>
        <v/>
      </c>
    </row>
    <row r="73">
      <c r="A73" s="1" t="n"/>
      <c r="B73" s="24" t="n"/>
      <c r="C73" s="22" t="n"/>
      <c r="D73" s="23" t="n"/>
      <c r="E73" s="23" t="n"/>
      <c r="F73" s="23" t="n"/>
      <c r="G73" s="32" t="n"/>
      <c r="H73" s="1" t="n"/>
      <c r="I73">
        <f>IF(AND(B73&lt;&gt;"",C73&lt;&gt;"",B73&gt;=TODAY()),B73+ROW()/10000000,"")</f>
        <v/>
      </c>
    </row>
    <row r="74">
      <c r="A74" s="1" t="n"/>
      <c r="B74" s="24" t="n"/>
      <c r="C74" s="22" t="n"/>
      <c r="D74" s="23" t="n"/>
      <c r="E74" s="23" t="n"/>
      <c r="F74" s="23" t="n"/>
      <c r="G74" s="32" t="n"/>
      <c r="H74" s="1" t="n"/>
      <c r="I74">
        <f>IF(AND(B74&lt;&gt;"",C74&lt;&gt;"",B74&gt;=TODAY()),B74+ROW()/10000000,"")</f>
        <v/>
      </c>
    </row>
    <row r="75">
      <c r="A75" s="1" t="n"/>
      <c r="B75" s="24" t="n"/>
      <c r="C75" s="22" t="n"/>
      <c r="D75" s="23" t="n"/>
      <c r="E75" s="23" t="n"/>
      <c r="F75" s="23" t="n"/>
      <c r="G75" s="32" t="n"/>
      <c r="H75" s="1" t="n"/>
      <c r="I75">
        <f>IF(AND(B75&lt;&gt;"",C75&lt;&gt;"",B75&gt;=TODAY()),B75+ROW()/10000000,"")</f>
        <v/>
      </c>
    </row>
    <row r="76">
      <c r="A76" s="1" t="n"/>
      <c r="B76" s="24" t="n"/>
      <c r="C76" s="22" t="n"/>
      <c r="D76" s="23" t="n"/>
      <c r="E76" s="23" t="n"/>
      <c r="F76" s="23" t="n"/>
      <c r="G76" s="32" t="n"/>
      <c r="H76" s="1" t="n"/>
      <c r="I76">
        <f>IF(AND(B76&lt;&gt;"",C76&lt;&gt;"",B76&gt;=TODAY()),B76+ROW()/10000000,"")</f>
        <v/>
      </c>
    </row>
    <row r="77">
      <c r="A77" s="1" t="n"/>
      <c r="B77" s="24" t="n"/>
      <c r="C77" s="22" t="n"/>
      <c r="D77" s="23" t="n"/>
      <c r="E77" s="23" t="n"/>
      <c r="F77" s="23" t="n"/>
      <c r="G77" s="32" t="n"/>
      <c r="H77" s="1" t="n"/>
      <c r="I77">
        <f>IF(AND(B77&lt;&gt;"",C77&lt;&gt;"",B77&gt;=TODAY()),B77+ROW()/10000000,"")</f>
        <v/>
      </c>
    </row>
    <row r="78">
      <c r="A78" s="1" t="n"/>
      <c r="B78" s="24" t="n"/>
      <c r="C78" s="22" t="n"/>
      <c r="D78" s="23" t="n"/>
      <c r="E78" s="23" t="n"/>
      <c r="F78" s="23" t="n"/>
      <c r="G78" s="32" t="n"/>
      <c r="H78" s="1" t="n"/>
      <c r="I78">
        <f>IF(AND(B78&lt;&gt;"",C78&lt;&gt;"",B78&gt;=TODAY()),B78+ROW()/10000000,"")</f>
        <v/>
      </c>
    </row>
    <row r="79">
      <c r="A79" s="1" t="n"/>
      <c r="B79" s="24" t="n"/>
      <c r="C79" s="22" t="n"/>
      <c r="D79" s="23" t="n"/>
      <c r="E79" s="23" t="n"/>
      <c r="F79" s="23" t="n"/>
      <c r="G79" s="32" t="n"/>
      <c r="H79" s="1" t="n"/>
      <c r="I79">
        <f>IF(AND(B79&lt;&gt;"",C79&lt;&gt;"",B79&gt;=TODAY()),B79+ROW()/10000000,"")</f>
        <v/>
      </c>
    </row>
    <row r="80">
      <c r="A80" s="1" t="n"/>
      <c r="B80" s="24" t="n"/>
      <c r="C80" s="22" t="n"/>
      <c r="D80" s="23" t="n"/>
      <c r="E80" s="23" t="n"/>
      <c r="F80" s="23" t="n"/>
      <c r="G80" s="32" t="n"/>
      <c r="H80" s="1" t="n"/>
      <c r="I80">
        <f>IF(AND(B80&lt;&gt;"",C80&lt;&gt;"",B80&gt;=TODAY()),B80+ROW()/10000000,"")</f>
        <v/>
      </c>
    </row>
    <row r="81">
      <c r="A81" s="1" t="n"/>
      <c r="B81" s="24" t="n"/>
      <c r="C81" s="22" t="n"/>
      <c r="D81" s="23" t="n"/>
      <c r="E81" s="23" t="n"/>
      <c r="F81" s="23" t="n"/>
      <c r="G81" s="32" t="n"/>
      <c r="H81" s="1" t="n"/>
      <c r="I81">
        <f>IF(AND(B81&lt;&gt;"",C81&lt;&gt;"",B81&gt;=TODAY()),B81+ROW()/10000000,"")</f>
        <v/>
      </c>
    </row>
    <row r="82">
      <c r="A82" s="1" t="n"/>
      <c r="B82" s="24" t="n"/>
      <c r="C82" s="22" t="n"/>
      <c r="D82" s="23" t="n"/>
      <c r="E82" s="23" t="n"/>
      <c r="F82" s="23" t="n"/>
      <c r="G82" s="32" t="n"/>
      <c r="H82" s="1" t="n"/>
      <c r="I82">
        <f>IF(AND(B82&lt;&gt;"",C82&lt;&gt;"",B82&gt;=TODAY()),B82+ROW()/10000000,"")</f>
        <v/>
      </c>
    </row>
    <row r="83">
      <c r="A83" s="1" t="n"/>
      <c r="B83" s="24" t="n"/>
      <c r="C83" s="22" t="n"/>
      <c r="D83" s="23" t="n"/>
      <c r="E83" s="23" t="n"/>
      <c r="F83" s="23" t="n"/>
      <c r="G83" s="32" t="n"/>
      <c r="H83" s="1" t="n"/>
      <c r="I83">
        <f>IF(AND(B83&lt;&gt;"",C83&lt;&gt;"",B83&gt;=TODAY()),B83+ROW()/10000000,"")</f>
        <v/>
      </c>
    </row>
    <row r="84">
      <c r="A84" s="1" t="n"/>
      <c r="B84" s="24" t="n"/>
      <c r="C84" s="22" t="n"/>
      <c r="D84" s="23" t="n"/>
      <c r="E84" s="23" t="n"/>
      <c r="F84" s="23" t="n"/>
      <c r="G84" s="32" t="n"/>
      <c r="H84" s="1" t="n"/>
      <c r="I84">
        <f>IF(AND(B84&lt;&gt;"",C84&lt;&gt;"",B84&gt;=TODAY()),B84+ROW()/10000000,"")</f>
        <v/>
      </c>
    </row>
    <row r="85">
      <c r="A85" s="1" t="n"/>
      <c r="B85" s="24" t="n"/>
      <c r="C85" s="22" t="n"/>
      <c r="D85" s="23" t="n"/>
      <c r="E85" s="23" t="n"/>
      <c r="F85" s="23" t="n"/>
      <c r="G85" s="32" t="n"/>
      <c r="H85" s="1" t="n"/>
      <c r="I85">
        <f>IF(AND(B85&lt;&gt;"",C85&lt;&gt;"",B85&gt;=TODAY()),B85+ROW()/10000000,"")</f>
        <v/>
      </c>
    </row>
    <row r="86">
      <c r="A86" s="1" t="n"/>
      <c r="B86" s="24" t="n"/>
      <c r="C86" s="22" t="n"/>
      <c r="D86" s="23" t="n"/>
      <c r="E86" s="23" t="n"/>
      <c r="F86" s="23" t="n"/>
      <c r="G86" s="32" t="n"/>
      <c r="H86" s="1" t="n"/>
      <c r="I86">
        <f>IF(AND(B86&lt;&gt;"",C86&lt;&gt;"",B86&gt;=TODAY()),B86+ROW()/10000000,"")</f>
        <v/>
      </c>
    </row>
    <row r="87">
      <c r="A87" s="1" t="n"/>
      <c r="B87" s="24" t="n"/>
      <c r="C87" s="22" t="n"/>
      <c r="D87" s="23" t="n"/>
      <c r="E87" s="23" t="n"/>
      <c r="F87" s="23" t="n"/>
      <c r="G87" s="32" t="n"/>
      <c r="H87" s="1" t="n"/>
      <c r="I87">
        <f>IF(AND(B87&lt;&gt;"",C87&lt;&gt;"",B87&gt;=TODAY()),B87+ROW()/10000000,"")</f>
        <v/>
      </c>
    </row>
    <row r="88">
      <c r="A88" s="1" t="n"/>
      <c r="B88" s="24" t="n"/>
      <c r="C88" s="22" t="n"/>
      <c r="D88" s="23" t="n"/>
      <c r="E88" s="23" t="n"/>
      <c r="F88" s="23" t="n"/>
      <c r="G88" s="32" t="n"/>
      <c r="H88" s="1" t="n"/>
      <c r="I88">
        <f>IF(AND(B88&lt;&gt;"",C88&lt;&gt;"",B88&gt;=TODAY()),B88+ROW()/10000000,"")</f>
        <v/>
      </c>
    </row>
    <row r="89">
      <c r="A89" s="1" t="n"/>
      <c r="B89" s="24" t="n"/>
      <c r="C89" s="22" t="n"/>
      <c r="D89" s="23" t="n"/>
      <c r="E89" s="23" t="n"/>
      <c r="F89" s="23" t="n"/>
      <c r="G89" s="32" t="n"/>
      <c r="H89" s="1" t="n"/>
      <c r="I89">
        <f>IF(AND(B89&lt;&gt;"",C89&lt;&gt;"",B89&gt;=TODAY()),B89+ROW()/10000000,"")</f>
        <v/>
      </c>
    </row>
    <row r="90">
      <c r="A90" s="1" t="n"/>
      <c r="B90" s="24" t="n"/>
      <c r="C90" s="22" t="n"/>
      <c r="D90" s="23" t="n"/>
      <c r="E90" s="23" t="n"/>
      <c r="F90" s="23" t="n"/>
      <c r="G90" s="32" t="n"/>
      <c r="H90" s="1" t="n"/>
      <c r="I90">
        <f>IF(AND(B90&lt;&gt;"",C90&lt;&gt;"",B90&gt;=TODAY()),B90+ROW()/10000000,"")</f>
        <v/>
      </c>
    </row>
    <row r="91">
      <c r="A91" s="1" t="n"/>
      <c r="B91" s="24" t="n"/>
      <c r="C91" s="22" t="n"/>
      <c r="D91" s="23" t="n"/>
      <c r="E91" s="23" t="n"/>
      <c r="F91" s="23" t="n"/>
      <c r="G91" s="32" t="n"/>
      <c r="H91" s="1" t="n"/>
      <c r="I91">
        <f>IF(AND(B91&lt;&gt;"",C91&lt;&gt;"",B91&gt;=TODAY()),B91+ROW()/10000000,"")</f>
        <v/>
      </c>
    </row>
    <row r="92">
      <c r="A92" s="1" t="n"/>
      <c r="B92" s="24" t="n"/>
      <c r="C92" s="22" t="n"/>
      <c r="D92" s="23" t="n"/>
      <c r="E92" s="23" t="n"/>
      <c r="F92" s="23" t="n"/>
      <c r="G92" s="32" t="n"/>
      <c r="H92" s="1" t="n"/>
      <c r="I92">
        <f>IF(AND(B92&lt;&gt;"",C92&lt;&gt;"",B92&gt;=TODAY()),B92+ROW()/10000000,"")</f>
        <v/>
      </c>
    </row>
    <row r="93">
      <c r="A93" s="1" t="n"/>
      <c r="B93" s="24" t="n"/>
      <c r="C93" s="22" t="n"/>
      <c r="D93" s="23" t="n"/>
      <c r="E93" s="23" t="n"/>
      <c r="F93" s="23" t="n"/>
      <c r="G93" s="32" t="n"/>
      <c r="H93" s="1" t="n"/>
      <c r="I93">
        <f>IF(AND(B93&lt;&gt;"",C93&lt;&gt;"",B93&gt;=TODAY()),B93+ROW()/10000000,"")</f>
        <v/>
      </c>
    </row>
    <row r="94">
      <c r="A94" s="1" t="n"/>
      <c r="B94" s="24" t="n"/>
      <c r="C94" s="22" t="n"/>
      <c r="D94" s="23" t="n"/>
      <c r="E94" s="23" t="n"/>
      <c r="F94" s="23" t="n"/>
      <c r="G94" s="32" t="n"/>
      <c r="H94" s="1" t="n"/>
      <c r="I94">
        <f>IF(AND(B94&lt;&gt;"",C94&lt;&gt;"",B94&gt;=TODAY()),B94+ROW()/10000000,"")</f>
        <v/>
      </c>
    </row>
    <row r="95">
      <c r="A95" s="1" t="n"/>
      <c r="B95" s="24" t="n"/>
      <c r="C95" s="22" t="n"/>
      <c r="D95" s="23" t="n"/>
      <c r="E95" s="23" t="n"/>
      <c r="F95" s="23" t="n"/>
      <c r="G95" s="32" t="n"/>
      <c r="H95" s="1" t="n"/>
      <c r="I95">
        <f>IF(AND(B95&lt;&gt;"",C95&lt;&gt;"",B95&gt;=TODAY()),B95+ROW()/10000000,"")</f>
        <v/>
      </c>
    </row>
    <row r="96">
      <c r="A96" s="1" t="n"/>
      <c r="B96" s="24" t="n"/>
      <c r="C96" s="22" t="n"/>
      <c r="D96" s="23" t="n"/>
      <c r="E96" s="23" t="n"/>
      <c r="F96" s="23" t="n"/>
      <c r="G96" s="32" t="n"/>
      <c r="H96" s="1" t="n"/>
      <c r="I96">
        <f>IF(AND(B96&lt;&gt;"",C96&lt;&gt;"",B96&gt;=TODAY()),B96+ROW()/10000000,"")</f>
        <v/>
      </c>
    </row>
    <row r="97">
      <c r="A97" s="1" t="n"/>
      <c r="B97" s="24" t="n"/>
      <c r="C97" s="22" t="n"/>
      <c r="D97" s="23" t="n"/>
      <c r="E97" s="23" t="n"/>
      <c r="F97" s="23" t="n"/>
      <c r="G97" s="32" t="n"/>
      <c r="H97" s="1" t="n"/>
      <c r="I97">
        <f>IF(AND(B97&lt;&gt;"",C97&lt;&gt;"",B97&gt;=TODAY()),B97+ROW()/10000000,"")</f>
        <v/>
      </c>
    </row>
    <row r="98">
      <c r="A98" s="1" t="n"/>
      <c r="B98" s="24" t="n"/>
      <c r="C98" s="22" t="n"/>
      <c r="D98" s="23" t="n"/>
      <c r="E98" s="23" t="n"/>
      <c r="F98" s="23" t="n"/>
      <c r="G98" s="32" t="n"/>
      <c r="H98" s="1" t="n"/>
      <c r="I98">
        <f>IF(AND(B98&lt;&gt;"",C98&lt;&gt;"",B98&gt;=TODAY()),B98+ROW()/10000000,"")</f>
        <v/>
      </c>
    </row>
    <row r="99">
      <c r="A99" s="1" t="n"/>
      <c r="B99" s="24" t="n"/>
      <c r="C99" s="22" t="n"/>
      <c r="D99" s="23" t="n"/>
      <c r="E99" s="23" t="n"/>
      <c r="F99" s="23" t="n"/>
      <c r="G99" s="32" t="n"/>
      <c r="H99" s="1" t="n"/>
      <c r="I99">
        <f>IF(AND(B99&lt;&gt;"",C99&lt;&gt;"",B99&gt;=TODAY()),B99+ROW()/10000000,"")</f>
        <v/>
      </c>
    </row>
    <row r="100">
      <c r="A100" s="1" t="n"/>
      <c r="B100" s="24" t="n"/>
      <c r="C100" s="22" t="n"/>
      <c r="D100" s="23" t="n"/>
      <c r="E100" s="23" t="n"/>
      <c r="F100" s="23" t="n"/>
      <c r="G100" s="32" t="n"/>
      <c r="H100" s="1" t="n"/>
      <c r="I100">
        <f>IF(AND(B100&lt;&gt;"",C100&lt;&gt;"",B100&gt;=TODAY()),B100+ROW()/10000000,"")</f>
        <v/>
      </c>
    </row>
    <row r="101">
      <c r="A101" s="1" t="n"/>
      <c r="B101" s="24" t="n"/>
      <c r="C101" s="22" t="n"/>
      <c r="D101" s="23" t="n"/>
      <c r="E101" s="23" t="n"/>
      <c r="F101" s="23" t="n"/>
      <c r="G101" s="32" t="n"/>
      <c r="H101" s="1" t="n"/>
      <c r="I101">
        <f>IF(AND(B101&lt;&gt;"",C101&lt;&gt;"",B101&gt;=TODAY()),B101+ROW()/10000000,"")</f>
        <v/>
      </c>
    </row>
    <row r="102">
      <c r="A102" s="1" t="n"/>
      <c r="B102" s="24" t="n"/>
      <c r="C102" s="22" t="n"/>
      <c r="D102" s="23" t="n"/>
      <c r="E102" s="23" t="n"/>
      <c r="F102" s="23" t="n"/>
      <c r="G102" s="32" t="n"/>
      <c r="H102" s="1" t="n"/>
      <c r="I102">
        <f>IF(AND(B102&lt;&gt;"",C102&lt;&gt;"",B102&gt;=TODAY()),B102+ROW()/10000000,"")</f>
        <v/>
      </c>
    </row>
    <row r="103">
      <c r="A103" s="1" t="n"/>
      <c r="B103" s="24" t="n"/>
      <c r="C103" s="22" t="n"/>
      <c r="D103" s="23" t="n"/>
      <c r="E103" s="23" t="n"/>
      <c r="F103" s="23" t="n"/>
      <c r="G103" s="32" t="n"/>
      <c r="H103" s="1" t="n"/>
      <c r="I103">
        <f>IF(AND(B103&lt;&gt;"",C103&lt;&gt;"",B103&gt;=TODAY()),B103+ROW()/10000000,"")</f>
        <v/>
      </c>
    </row>
    <row r="104">
      <c r="A104" s="1" t="n"/>
      <c r="B104" s="24" t="n"/>
      <c r="C104" s="22" t="n"/>
      <c r="D104" s="23" t="n"/>
      <c r="E104" s="23" t="n"/>
      <c r="F104" s="23" t="n"/>
      <c r="G104" s="32" t="n"/>
      <c r="H104" s="1" t="n"/>
      <c r="I104">
        <f>IF(AND(B104&lt;&gt;"",C104&lt;&gt;"",B104&gt;=TODAY()),B104+ROW()/10000000,"")</f>
        <v/>
      </c>
    </row>
    <row r="105">
      <c r="A105" s="1" t="n"/>
      <c r="B105" s="24" t="n"/>
      <c r="C105" s="22" t="n"/>
      <c r="D105" s="23" t="n"/>
      <c r="E105" s="23" t="n"/>
      <c r="F105" s="23" t="n"/>
      <c r="G105" s="32" t="n"/>
      <c r="H105" s="1" t="n"/>
      <c r="I105">
        <f>IF(AND(B105&lt;&gt;"",C105&lt;&gt;"",B105&gt;=TODAY()),B105+ROW()/10000000,"")</f>
        <v/>
      </c>
    </row>
    <row r="106">
      <c r="A106" s="1" t="n"/>
      <c r="B106" s="24" t="n"/>
      <c r="C106" s="22" t="n"/>
      <c r="D106" s="23" t="n"/>
      <c r="E106" s="23" t="n"/>
      <c r="F106" s="23" t="n"/>
      <c r="G106" s="32" t="n"/>
      <c r="H106" s="1" t="n"/>
      <c r="I106">
        <f>IF(AND(B106&lt;&gt;"",C106&lt;&gt;"",B106&gt;=TODAY()),B106+ROW()/10000000,"")</f>
        <v/>
      </c>
    </row>
    <row r="107">
      <c r="A107" s="1" t="n"/>
      <c r="B107" s="24" t="n"/>
      <c r="C107" s="22" t="n"/>
      <c r="D107" s="23" t="n"/>
      <c r="E107" s="23" t="n"/>
      <c r="F107" s="23" t="n"/>
      <c r="G107" s="32" t="n"/>
      <c r="H107" s="1" t="n"/>
      <c r="I107">
        <f>IF(AND(B107&lt;&gt;"",C107&lt;&gt;"",B107&gt;=TODAY()),B107+ROW()/10000000,"")</f>
        <v/>
      </c>
    </row>
    <row r="108">
      <c r="A108" s="1" t="n"/>
      <c r="B108" s="24" t="n"/>
      <c r="C108" s="22" t="n"/>
      <c r="D108" s="23" t="n"/>
      <c r="E108" s="23" t="n"/>
      <c r="F108" s="23" t="n"/>
      <c r="G108" s="32" t="n"/>
      <c r="H108" s="1" t="n"/>
      <c r="I108">
        <f>IF(AND(B108&lt;&gt;"",C108&lt;&gt;"",B108&gt;=TODAY()),B108+ROW()/10000000,"")</f>
        <v/>
      </c>
    </row>
    <row r="109">
      <c r="A109" s="1" t="n"/>
      <c r="B109" s="24" t="n"/>
      <c r="C109" s="22" t="n"/>
      <c r="D109" s="23" t="n"/>
      <c r="E109" s="23" t="n"/>
      <c r="F109" s="23" t="n"/>
      <c r="G109" s="32" t="n"/>
      <c r="H109" s="1" t="n"/>
      <c r="I109">
        <f>IF(AND(B109&lt;&gt;"",C109&lt;&gt;"",B109&gt;=TODAY()),B109+ROW()/10000000,"")</f>
        <v/>
      </c>
    </row>
    <row r="110">
      <c r="A110" s="1" t="n"/>
      <c r="B110" s="24" t="n"/>
      <c r="C110" s="22" t="n"/>
      <c r="D110" s="23" t="n"/>
      <c r="E110" s="23" t="n"/>
      <c r="F110" s="23" t="n"/>
      <c r="G110" s="32" t="n"/>
      <c r="H110" s="1" t="n"/>
      <c r="I110">
        <f>IF(AND(B110&lt;&gt;"",C110&lt;&gt;"",B110&gt;=TODAY()),B110+ROW()/10000000,"")</f>
        <v/>
      </c>
    </row>
    <row r="111">
      <c r="A111" s="1" t="n"/>
      <c r="B111" s="24" t="n"/>
      <c r="C111" s="22" t="n"/>
      <c r="D111" s="23" t="n"/>
      <c r="E111" s="23" t="n"/>
      <c r="F111" s="23" t="n"/>
      <c r="G111" s="32" t="n"/>
      <c r="H111" s="1" t="n"/>
      <c r="I111">
        <f>IF(AND(B111&lt;&gt;"",C111&lt;&gt;"",B111&gt;=TODAY()),B111+ROW()/10000000,"")</f>
        <v/>
      </c>
    </row>
    <row r="112">
      <c r="A112" s="1" t="n"/>
      <c r="B112" s="24" t="n"/>
      <c r="C112" s="22" t="n"/>
      <c r="D112" s="23" t="n"/>
      <c r="E112" s="23" t="n"/>
      <c r="F112" s="23" t="n"/>
      <c r="G112" s="32" t="n"/>
      <c r="H112" s="1" t="n"/>
      <c r="I112">
        <f>IF(AND(B112&lt;&gt;"",C112&lt;&gt;"",B112&gt;=TODAY()),B112+ROW()/10000000,"")</f>
        <v/>
      </c>
    </row>
    <row r="113">
      <c r="A113" s="1" t="n"/>
      <c r="B113" s="24" t="n"/>
      <c r="C113" s="22" t="n"/>
      <c r="D113" s="23" t="n"/>
      <c r="E113" s="23" t="n"/>
      <c r="F113" s="23" t="n"/>
      <c r="G113" s="32" t="n"/>
      <c r="H113" s="1" t="n"/>
      <c r="I113">
        <f>IF(AND(B113&lt;&gt;"",C113&lt;&gt;"",B113&gt;=TODAY()),B113+ROW()/10000000,"")</f>
        <v/>
      </c>
    </row>
    <row r="114">
      <c r="A114" s="1" t="n"/>
      <c r="B114" s="24" t="n"/>
      <c r="C114" s="22" t="n"/>
      <c r="D114" s="23" t="n"/>
      <c r="E114" s="23" t="n"/>
      <c r="F114" s="23" t="n"/>
      <c r="G114" s="32" t="n"/>
      <c r="H114" s="1" t="n"/>
      <c r="I114">
        <f>IF(AND(B114&lt;&gt;"",C114&lt;&gt;"",B114&gt;=TODAY()),B114+ROW()/10000000,"")</f>
        <v/>
      </c>
    </row>
    <row r="115">
      <c r="A115" s="1" t="n"/>
      <c r="B115" s="24" t="n"/>
      <c r="C115" s="22" t="n"/>
      <c r="D115" s="23" t="n"/>
      <c r="E115" s="23" t="n"/>
      <c r="F115" s="23" t="n"/>
      <c r="G115" s="32" t="n"/>
      <c r="H115" s="1" t="n"/>
      <c r="I115">
        <f>IF(AND(B115&lt;&gt;"",C115&lt;&gt;"",B115&gt;=TODAY()),B115+ROW()/10000000,"")</f>
        <v/>
      </c>
    </row>
    <row r="116">
      <c r="A116" s="1" t="n"/>
      <c r="B116" s="24" t="n"/>
      <c r="C116" s="22" t="n"/>
      <c r="D116" s="23" t="n"/>
      <c r="E116" s="23" t="n"/>
      <c r="F116" s="23" t="n"/>
      <c r="G116" s="32" t="n"/>
      <c r="H116" s="1" t="n"/>
      <c r="I116">
        <f>IF(AND(B116&lt;&gt;"",C116&lt;&gt;"",B116&gt;=TODAY()),B116+ROW()/10000000,"")</f>
        <v/>
      </c>
    </row>
    <row r="117">
      <c r="A117" s="1" t="n"/>
      <c r="B117" s="24" t="n"/>
      <c r="C117" s="22" t="n"/>
      <c r="D117" s="23" t="n"/>
      <c r="E117" s="23" t="n"/>
      <c r="F117" s="23" t="n"/>
      <c r="G117" s="32" t="n"/>
      <c r="H117" s="1" t="n"/>
      <c r="I117">
        <f>IF(AND(B117&lt;&gt;"",C117&lt;&gt;"",B117&gt;=TODAY()),B117+ROW()/10000000,"")</f>
        <v/>
      </c>
    </row>
    <row r="118">
      <c r="A118" s="1" t="n"/>
      <c r="B118" s="24" t="n"/>
      <c r="C118" s="22" t="n"/>
      <c r="D118" s="23" t="n"/>
      <c r="E118" s="23" t="n"/>
      <c r="F118" s="23" t="n"/>
      <c r="G118" s="32" t="n"/>
      <c r="H118" s="1" t="n"/>
      <c r="I118">
        <f>IF(AND(B118&lt;&gt;"",C118&lt;&gt;"",B118&gt;=TODAY()),B118+ROW()/10000000,"")</f>
        <v/>
      </c>
    </row>
    <row r="119">
      <c r="A119" s="1" t="n"/>
      <c r="B119" s="24" t="n"/>
      <c r="C119" s="22" t="n"/>
      <c r="D119" s="23" t="n"/>
      <c r="E119" s="23" t="n"/>
      <c r="F119" s="23" t="n"/>
      <c r="G119" s="32" t="n"/>
      <c r="H119" s="1" t="n"/>
      <c r="I119">
        <f>IF(AND(B119&lt;&gt;"",C119&lt;&gt;"",B119&gt;=TODAY()),B119+ROW()/10000000,"")</f>
        <v/>
      </c>
    </row>
    <row r="120">
      <c r="A120" s="1" t="n"/>
      <c r="B120" s="24" t="n"/>
      <c r="C120" s="22" t="n"/>
      <c r="D120" s="23" t="n"/>
      <c r="E120" s="23" t="n"/>
      <c r="F120" s="23" t="n"/>
      <c r="G120" s="32" t="n"/>
      <c r="H120" s="1" t="n"/>
      <c r="I120">
        <f>IF(AND(B120&lt;&gt;"",C120&lt;&gt;"",B120&gt;=TODAY()),B120+ROW()/10000000,"")</f>
        <v/>
      </c>
    </row>
    <row r="121">
      <c r="A121" s="1" t="n"/>
      <c r="B121" s="24" t="n"/>
      <c r="C121" s="22" t="n"/>
      <c r="D121" s="23" t="n"/>
      <c r="E121" s="23" t="n"/>
      <c r="F121" s="23" t="n"/>
      <c r="G121" s="32" t="n"/>
      <c r="H121" s="1" t="n"/>
      <c r="I121">
        <f>IF(AND(B121&lt;&gt;"",C121&lt;&gt;"",B121&gt;=TODAY()),B121+ROW()/10000000,"")</f>
        <v/>
      </c>
    </row>
    <row r="122">
      <c r="A122" s="1" t="n"/>
      <c r="B122" s="24" t="n"/>
      <c r="C122" s="22" t="n"/>
      <c r="D122" s="23" t="n"/>
      <c r="E122" s="23" t="n"/>
      <c r="F122" s="23" t="n"/>
      <c r="G122" s="32" t="n"/>
      <c r="H122" s="1" t="n"/>
      <c r="I122">
        <f>IF(AND(B122&lt;&gt;"",C122&lt;&gt;"",B122&gt;=TODAY()),B122+ROW()/10000000,"")</f>
        <v/>
      </c>
    </row>
    <row r="123">
      <c r="A123" s="1" t="n"/>
      <c r="B123" s="24" t="n"/>
      <c r="C123" s="22" t="n"/>
      <c r="D123" s="23" t="n"/>
      <c r="E123" s="23" t="n"/>
      <c r="F123" s="23" t="n"/>
      <c r="G123" s="32" t="n"/>
      <c r="H123" s="1" t="n"/>
      <c r="I123">
        <f>IF(AND(B123&lt;&gt;"",C123&lt;&gt;"",B123&gt;=TODAY()),B123+ROW()/10000000,"")</f>
        <v/>
      </c>
    </row>
    <row r="124">
      <c r="A124" s="1" t="n"/>
      <c r="B124" s="24" t="n"/>
      <c r="C124" s="22" t="n"/>
      <c r="D124" s="23" t="n"/>
      <c r="E124" s="23" t="n"/>
      <c r="F124" s="23" t="n"/>
      <c r="G124" s="32" t="n"/>
      <c r="H124" s="1" t="n"/>
      <c r="I124">
        <f>IF(AND(B124&lt;&gt;"",C124&lt;&gt;"",B124&gt;=TODAY()),B124+ROW()/10000000,"")</f>
        <v/>
      </c>
    </row>
    <row r="125">
      <c r="A125" s="1" t="n"/>
      <c r="B125" s="24" t="n"/>
      <c r="C125" s="22" t="n"/>
      <c r="D125" s="23" t="n"/>
      <c r="E125" s="23" t="n"/>
      <c r="F125" s="23" t="n"/>
      <c r="G125" s="32" t="n"/>
      <c r="H125" s="1" t="n"/>
      <c r="I125">
        <f>IF(AND(B125&lt;&gt;"",C125&lt;&gt;"",B125&gt;=TODAY()),B125+ROW()/10000000,"")</f>
        <v/>
      </c>
    </row>
    <row r="126">
      <c r="A126" s="1" t="n"/>
      <c r="B126" s="24" t="n"/>
      <c r="C126" s="22" t="n"/>
      <c r="D126" s="23" t="n"/>
      <c r="E126" s="23" t="n"/>
      <c r="F126" s="23" t="n"/>
      <c r="G126" s="32" t="n"/>
      <c r="H126" s="1" t="n"/>
      <c r="I126">
        <f>IF(AND(B126&lt;&gt;"",C126&lt;&gt;"",B126&gt;=TODAY()),B126+ROW()/10000000,"")</f>
        <v/>
      </c>
    </row>
    <row r="127">
      <c r="A127" s="1" t="n"/>
      <c r="B127" s="24" t="n"/>
      <c r="C127" s="22" t="n"/>
      <c r="D127" s="23" t="n"/>
      <c r="E127" s="23" t="n"/>
      <c r="F127" s="23" t="n"/>
      <c r="G127" s="32" t="n"/>
      <c r="H127" s="1" t="n"/>
      <c r="I127">
        <f>IF(AND(B127&lt;&gt;"",C127&lt;&gt;"",B127&gt;=TODAY()),B127+ROW()/10000000,"")</f>
        <v/>
      </c>
    </row>
    <row r="128">
      <c r="A128" s="1" t="n"/>
      <c r="B128" s="24" t="n"/>
      <c r="C128" s="22" t="n"/>
      <c r="D128" s="23" t="n"/>
      <c r="E128" s="23" t="n"/>
      <c r="F128" s="23" t="n"/>
      <c r="G128" s="32" t="n"/>
      <c r="H128" s="1" t="n"/>
      <c r="I128">
        <f>IF(AND(B128&lt;&gt;"",C128&lt;&gt;"",B128&gt;=TODAY()),B128+ROW()/10000000,"")</f>
        <v/>
      </c>
    </row>
    <row r="129">
      <c r="A129" s="1" t="n"/>
      <c r="B129" s="24" t="n"/>
      <c r="C129" s="22" t="n"/>
      <c r="D129" s="23" t="n"/>
      <c r="E129" s="23" t="n"/>
      <c r="F129" s="23" t="n"/>
      <c r="G129" s="32" t="n"/>
      <c r="H129" s="1" t="n"/>
      <c r="I129">
        <f>IF(AND(B129&lt;&gt;"",C129&lt;&gt;"",B129&gt;=TODAY()),B129+ROW()/10000000,"")</f>
        <v/>
      </c>
    </row>
    <row r="130">
      <c r="A130" s="1" t="n"/>
      <c r="B130" s="24" t="n"/>
      <c r="C130" s="22" t="n"/>
      <c r="D130" s="23" t="n"/>
      <c r="E130" s="23" t="n"/>
      <c r="F130" s="23" t="n"/>
      <c r="G130" s="32" t="n"/>
      <c r="H130" s="1" t="n"/>
      <c r="I130">
        <f>IF(AND(B130&lt;&gt;"",C130&lt;&gt;"",B130&gt;=TODAY()),B130+ROW()/10000000,"")</f>
        <v/>
      </c>
    </row>
    <row r="131">
      <c r="A131" s="1" t="n"/>
      <c r="B131" s="24" t="n"/>
      <c r="C131" s="22" t="n"/>
      <c r="D131" s="23" t="n"/>
      <c r="E131" s="23" t="n"/>
      <c r="F131" s="23" t="n"/>
      <c r="G131" s="32" t="n"/>
      <c r="H131" s="1" t="n"/>
      <c r="I131">
        <f>IF(AND(B131&lt;&gt;"",C131&lt;&gt;"",B131&gt;=TODAY()),B131+ROW()/10000000,"")</f>
        <v/>
      </c>
    </row>
    <row r="132">
      <c r="A132" s="1" t="n"/>
      <c r="B132" s="24" t="n"/>
      <c r="C132" s="22" t="n"/>
      <c r="D132" s="23" t="n"/>
      <c r="E132" s="23" t="n"/>
      <c r="F132" s="23" t="n"/>
      <c r="G132" s="32" t="n"/>
      <c r="H132" s="1" t="n"/>
      <c r="I132">
        <f>IF(AND(B132&lt;&gt;"",C132&lt;&gt;"",B132&gt;=TODAY()),B132+ROW()/10000000,"")</f>
        <v/>
      </c>
    </row>
    <row r="133">
      <c r="A133" s="1" t="n"/>
      <c r="B133" s="24" t="n"/>
      <c r="C133" s="22" t="n"/>
      <c r="D133" s="23" t="n"/>
      <c r="E133" s="23" t="n"/>
      <c r="F133" s="23" t="n"/>
      <c r="G133" s="32" t="n"/>
      <c r="H133" s="1" t="n"/>
      <c r="I133">
        <f>IF(AND(B133&lt;&gt;"",C133&lt;&gt;"",B133&gt;=TODAY()),B133+ROW()/10000000,"")</f>
        <v/>
      </c>
    </row>
    <row r="134">
      <c r="A134" s="1" t="n"/>
      <c r="B134" s="24" t="n"/>
      <c r="C134" s="22" t="n"/>
      <c r="D134" s="23" t="n"/>
      <c r="E134" s="23" t="n"/>
      <c r="F134" s="23" t="n"/>
      <c r="G134" s="32" t="n"/>
      <c r="H134" s="1" t="n"/>
      <c r="I134">
        <f>IF(AND(B134&lt;&gt;"",C134&lt;&gt;"",B134&gt;=TODAY()),B134+ROW()/10000000,"")</f>
        <v/>
      </c>
    </row>
    <row r="135">
      <c r="A135" s="1" t="n"/>
      <c r="B135" s="24" t="n"/>
      <c r="C135" s="22" t="n"/>
      <c r="D135" s="23" t="n"/>
      <c r="E135" s="23" t="n"/>
      <c r="F135" s="23" t="n"/>
      <c r="G135" s="32" t="n"/>
      <c r="H135" s="1" t="n"/>
      <c r="I135">
        <f>IF(AND(B135&lt;&gt;"",C135&lt;&gt;"",B135&gt;=TODAY()),B135+ROW()/10000000,"")</f>
        <v/>
      </c>
    </row>
    <row r="136">
      <c r="A136" s="1" t="n"/>
      <c r="B136" s="24" t="n"/>
      <c r="C136" s="22" t="n"/>
      <c r="D136" s="23" t="n"/>
      <c r="E136" s="23" t="n"/>
      <c r="F136" s="23" t="n"/>
      <c r="G136" s="32" t="n"/>
      <c r="H136" s="1" t="n"/>
      <c r="I136">
        <f>IF(AND(B136&lt;&gt;"",C136&lt;&gt;"",B136&gt;=TODAY()),B136+ROW()/10000000,"")</f>
        <v/>
      </c>
    </row>
    <row r="137">
      <c r="A137" s="1" t="n"/>
      <c r="B137" s="24" t="n"/>
      <c r="C137" s="22" t="n"/>
      <c r="D137" s="23" t="n"/>
      <c r="E137" s="23" t="n"/>
      <c r="F137" s="23" t="n"/>
      <c r="G137" s="32" t="n"/>
      <c r="H137" s="1" t="n"/>
      <c r="I137">
        <f>IF(AND(B137&lt;&gt;"",C137&lt;&gt;"",B137&gt;=TODAY()),B137+ROW()/10000000,"")</f>
        <v/>
      </c>
    </row>
    <row r="138">
      <c r="A138" s="1" t="n"/>
      <c r="B138" s="24" t="n"/>
      <c r="C138" s="22" t="n"/>
      <c r="D138" s="23" t="n"/>
      <c r="E138" s="23" t="n"/>
      <c r="F138" s="23" t="n"/>
      <c r="G138" s="32" t="n"/>
      <c r="H138" s="1" t="n"/>
      <c r="I138">
        <f>IF(AND(B138&lt;&gt;"",C138&lt;&gt;"",B138&gt;=TODAY()),B138+ROW()/10000000,"")</f>
        <v/>
      </c>
    </row>
    <row r="139">
      <c r="A139" s="1" t="n"/>
      <c r="B139" s="24" t="n"/>
      <c r="C139" s="22" t="n"/>
      <c r="D139" s="23" t="n"/>
      <c r="E139" s="23" t="n"/>
      <c r="F139" s="23" t="n"/>
      <c r="G139" s="32" t="n"/>
      <c r="H139" s="1" t="n"/>
      <c r="I139">
        <f>IF(AND(B139&lt;&gt;"",C139&lt;&gt;"",B139&gt;=TODAY()),B139+ROW()/10000000,"")</f>
        <v/>
      </c>
    </row>
    <row r="140">
      <c r="A140" s="1" t="n"/>
      <c r="B140" s="24" t="n"/>
      <c r="C140" s="22" t="n"/>
      <c r="D140" s="23" t="n"/>
      <c r="E140" s="23" t="n"/>
      <c r="F140" s="23" t="n"/>
      <c r="G140" s="32" t="n"/>
      <c r="H140" s="1" t="n"/>
      <c r="I140">
        <f>IF(AND(B140&lt;&gt;"",C140&lt;&gt;"",B140&gt;=TODAY()),B140+ROW()/10000000,"")</f>
        <v/>
      </c>
    </row>
    <row r="141">
      <c r="A141" s="1" t="n"/>
      <c r="B141" s="24" t="n"/>
      <c r="C141" s="22" t="n"/>
      <c r="D141" s="23" t="n"/>
      <c r="E141" s="23" t="n"/>
      <c r="F141" s="23" t="n"/>
      <c r="G141" s="32" t="n"/>
      <c r="H141" s="1" t="n"/>
      <c r="I141">
        <f>IF(AND(B141&lt;&gt;"",C141&lt;&gt;"",B141&gt;=TODAY()),B141+ROW()/10000000,"")</f>
        <v/>
      </c>
    </row>
    <row r="142">
      <c r="A142" s="1" t="n"/>
      <c r="B142" s="24" t="n"/>
      <c r="C142" s="22" t="n"/>
      <c r="D142" s="23" t="n"/>
      <c r="E142" s="23" t="n"/>
      <c r="F142" s="23" t="n"/>
      <c r="G142" s="32" t="n"/>
      <c r="H142" s="1" t="n"/>
      <c r="I142">
        <f>IF(AND(B142&lt;&gt;"",C142&lt;&gt;"",B142&gt;=TODAY()),B142+ROW()/10000000,"")</f>
        <v/>
      </c>
    </row>
    <row r="143">
      <c r="A143" s="1" t="n"/>
      <c r="B143" s="24" t="n"/>
      <c r="C143" s="22" t="n"/>
      <c r="D143" s="23" t="n"/>
      <c r="E143" s="23" t="n"/>
      <c r="F143" s="23" t="n"/>
      <c r="G143" s="32" t="n"/>
      <c r="H143" s="1" t="n"/>
      <c r="I143">
        <f>IF(AND(B143&lt;&gt;"",C143&lt;&gt;"",B143&gt;=TODAY()),B143+ROW()/10000000,"")</f>
        <v/>
      </c>
    </row>
    <row r="144">
      <c r="A144" s="1" t="n"/>
      <c r="B144" s="24" t="n"/>
      <c r="C144" s="22" t="n"/>
      <c r="D144" s="23" t="n"/>
      <c r="E144" s="23" t="n"/>
      <c r="F144" s="23" t="n"/>
      <c r="G144" s="32" t="n"/>
      <c r="H144" s="1" t="n"/>
      <c r="I144">
        <f>IF(AND(B144&lt;&gt;"",C144&lt;&gt;"",B144&gt;=TODAY()),B144+ROW()/10000000,"")</f>
        <v/>
      </c>
    </row>
    <row r="145">
      <c r="A145" s="1" t="n"/>
      <c r="B145" s="24" t="n"/>
      <c r="C145" s="22" t="n"/>
      <c r="D145" s="23" t="n"/>
      <c r="E145" s="23" t="n"/>
      <c r="F145" s="23" t="n"/>
      <c r="G145" s="32" t="n"/>
      <c r="H145" s="1" t="n"/>
      <c r="I145">
        <f>IF(AND(B145&lt;&gt;"",C145&lt;&gt;"",B145&gt;=TODAY()),B145+ROW()/10000000,"")</f>
        <v/>
      </c>
    </row>
    <row r="146">
      <c r="A146" s="1" t="n"/>
      <c r="B146" s="24" t="n"/>
      <c r="C146" s="22" t="n"/>
      <c r="D146" s="23" t="n"/>
      <c r="E146" s="23" t="n"/>
      <c r="F146" s="23" t="n"/>
      <c r="G146" s="32" t="n"/>
      <c r="H146" s="1" t="n"/>
      <c r="I146">
        <f>IF(AND(B146&lt;&gt;"",C146&lt;&gt;"",B146&gt;=TODAY()),B146+ROW()/10000000,"")</f>
        <v/>
      </c>
    </row>
    <row r="147">
      <c r="A147" s="1" t="n"/>
      <c r="B147" s="24" t="n"/>
      <c r="C147" s="22" t="n"/>
      <c r="D147" s="23" t="n"/>
      <c r="E147" s="23" t="n"/>
      <c r="F147" s="23" t="n"/>
      <c r="G147" s="32" t="n"/>
      <c r="H147" s="1" t="n"/>
      <c r="I147">
        <f>IF(AND(B147&lt;&gt;"",C147&lt;&gt;"",B147&gt;=TODAY()),B147+ROW()/10000000,"")</f>
        <v/>
      </c>
    </row>
    <row r="148">
      <c r="A148" s="1" t="n"/>
      <c r="B148" s="24" t="n"/>
      <c r="C148" s="22" t="n"/>
      <c r="D148" s="23" t="n"/>
      <c r="E148" s="23" t="n"/>
      <c r="F148" s="23" t="n"/>
      <c r="G148" s="32" t="n"/>
      <c r="H148" s="1" t="n"/>
      <c r="I148">
        <f>IF(AND(B148&lt;&gt;"",C148&lt;&gt;"",B148&gt;=TODAY()),B148+ROW()/10000000,"")</f>
        <v/>
      </c>
    </row>
    <row r="149">
      <c r="A149" s="1" t="n"/>
      <c r="B149" s="24" t="n"/>
      <c r="C149" s="22" t="n"/>
      <c r="D149" s="23" t="n"/>
      <c r="E149" s="23" t="n"/>
      <c r="F149" s="23" t="n"/>
      <c r="G149" s="32" t="n"/>
      <c r="H149" s="1" t="n"/>
      <c r="I149">
        <f>IF(AND(B149&lt;&gt;"",C149&lt;&gt;"",B149&gt;=TODAY()),B149+ROW()/10000000,"")</f>
        <v/>
      </c>
    </row>
    <row r="150">
      <c r="A150" s="1" t="n"/>
      <c r="B150" s="24" t="n"/>
      <c r="C150" s="22" t="n"/>
      <c r="D150" s="23" t="n"/>
      <c r="E150" s="23" t="n"/>
      <c r="F150" s="23" t="n"/>
      <c r="G150" s="32" t="n"/>
      <c r="H150" s="1" t="n"/>
      <c r="I150">
        <f>IF(AND(B150&lt;&gt;"",C150&lt;&gt;"",B150&gt;=TODAY()),B150+ROW()/10000000,"")</f>
        <v/>
      </c>
    </row>
    <row r="151">
      <c r="A151" s="1" t="n"/>
      <c r="B151" s="24" t="n"/>
      <c r="C151" s="22" t="n"/>
      <c r="D151" s="23" t="n"/>
      <c r="E151" s="23" t="n"/>
      <c r="F151" s="23" t="n"/>
      <c r="G151" s="32" t="n"/>
      <c r="H151" s="1" t="n"/>
      <c r="I151">
        <f>IF(AND(B151&lt;&gt;"",C151&lt;&gt;"",B151&gt;=TODAY()),B151+ROW()/10000000,"")</f>
        <v/>
      </c>
    </row>
    <row r="152">
      <c r="A152" s="1" t="n"/>
      <c r="B152" s="24" t="n"/>
      <c r="C152" s="22" t="n"/>
      <c r="D152" s="23" t="n"/>
      <c r="E152" s="23" t="n"/>
      <c r="F152" s="23" t="n"/>
      <c r="G152" s="32" t="n"/>
      <c r="H152" s="1" t="n"/>
      <c r="I152">
        <f>IF(AND(B152&lt;&gt;"",C152&lt;&gt;"",B152&gt;=TODAY()),B152+ROW()/10000000,"")</f>
        <v/>
      </c>
    </row>
    <row r="153">
      <c r="A153" s="1" t="n"/>
      <c r="B153" s="24" t="n"/>
      <c r="C153" s="22" t="n"/>
      <c r="D153" s="23" t="n"/>
      <c r="E153" s="23" t="n"/>
      <c r="F153" s="23" t="n"/>
      <c r="G153" s="32" t="n"/>
      <c r="H153" s="1" t="n"/>
      <c r="I153">
        <f>IF(AND(B153&lt;&gt;"",C153&lt;&gt;"",B153&gt;=TODAY()),B153+ROW()/10000000,"")</f>
        <v/>
      </c>
    </row>
    <row r="154">
      <c r="A154" s="1" t="n"/>
      <c r="B154" s="24" t="n"/>
      <c r="C154" s="22" t="n"/>
      <c r="D154" s="23" t="n"/>
      <c r="E154" s="23" t="n"/>
      <c r="F154" s="23" t="n"/>
      <c r="G154" s="32" t="n"/>
      <c r="H154" s="1" t="n"/>
      <c r="I154">
        <f>IF(AND(B154&lt;&gt;"",C154&lt;&gt;"",B154&gt;=TODAY()),B154+ROW()/10000000,"")</f>
        <v/>
      </c>
    </row>
    <row r="155">
      <c r="A155" s="1" t="n"/>
      <c r="B155" s="24" t="n"/>
      <c r="C155" s="22" t="n"/>
      <c r="D155" s="23" t="n"/>
      <c r="E155" s="23" t="n"/>
      <c r="F155" s="23" t="n"/>
      <c r="G155" s="32" t="n"/>
      <c r="H155" s="1" t="n"/>
      <c r="I155">
        <f>IF(AND(B155&lt;&gt;"",C155&lt;&gt;"",B155&gt;=TODAY()),B155+ROW()/10000000,"")</f>
        <v/>
      </c>
    </row>
    <row r="156">
      <c r="A156" s="1" t="n"/>
      <c r="B156" s="24" t="n"/>
      <c r="C156" s="22" t="n"/>
      <c r="D156" s="23" t="n"/>
      <c r="E156" s="23" t="n"/>
      <c r="F156" s="23" t="n"/>
      <c r="G156" s="32" t="n"/>
      <c r="H156" s="1" t="n"/>
      <c r="I156">
        <f>IF(AND(B156&lt;&gt;"",C156&lt;&gt;"",B156&gt;=TODAY()),B156+ROW()/10000000,"")</f>
        <v/>
      </c>
    </row>
    <row r="157">
      <c r="A157" s="1" t="n"/>
      <c r="B157" s="24" t="n"/>
      <c r="C157" s="22" t="n"/>
      <c r="D157" s="23" t="n"/>
      <c r="E157" s="23" t="n"/>
      <c r="F157" s="23" t="n"/>
      <c r="G157" s="32" t="n"/>
      <c r="H157" s="1" t="n"/>
      <c r="I157">
        <f>IF(AND(B157&lt;&gt;"",C157&lt;&gt;"",B157&gt;=TODAY()),B157+ROW()/10000000,"")</f>
        <v/>
      </c>
    </row>
    <row r="158">
      <c r="A158" s="1" t="n"/>
      <c r="B158" s="24" t="n"/>
      <c r="C158" s="22" t="n"/>
      <c r="D158" s="23" t="n"/>
      <c r="E158" s="23" t="n"/>
      <c r="F158" s="23" t="n"/>
      <c r="G158" s="32" t="n"/>
      <c r="H158" s="1" t="n"/>
      <c r="I158">
        <f>IF(AND(B158&lt;&gt;"",C158&lt;&gt;"",B158&gt;=TODAY()),B158+ROW()/10000000,"")</f>
        <v/>
      </c>
    </row>
    <row r="159">
      <c r="A159" s="1" t="n"/>
      <c r="B159" s="24" t="n"/>
      <c r="C159" s="22" t="n"/>
      <c r="D159" s="23" t="n"/>
      <c r="E159" s="23" t="n"/>
      <c r="F159" s="23" t="n"/>
      <c r="G159" s="32" t="n"/>
      <c r="H159" s="1" t="n"/>
      <c r="I159">
        <f>IF(AND(B159&lt;&gt;"",C159&lt;&gt;"",B159&gt;=TODAY()),B159+ROW()/10000000,"")</f>
        <v/>
      </c>
    </row>
    <row r="160">
      <c r="A160" s="1" t="n"/>
      <c r="B160" s="24" t="n"/>
      <c r="C160" s="22" t="n"/>
      <c r="D160" s="23" t="n"/>
      <c r="E160" s="23" t="n"/>
      <c r="F160" s="23" t="n"/>
      <c r="G160" s="32" t="n"/>
      <c r="H160" s="1" t="n"/>
      <c r="I160">
        <f>IF(AND(B160&lt;&gt;"",C160&lt;&gt;"",B160&gt;=TODAY()),B160+ROW()/10000000,"")</f>
        <v/>
      </c>
    </row>
    <row r="161">
      <c r="A161" s="1" t="n"/>
      <c r="B161" s="24" t="n"/>
      <c r="C161" s="22" t="n"/>
      <c r="D161" s="23" t="n"/>
      <c r="E161" s="23" t="n"/>
      <c r="F161" s="23" t="n"/>
      <c r="G161" s="32" t="n"/>
      <c r="H161" s="1" t="n"/>
      <c r="I161">
        <f>IF(AND(B161&lt;&gt;"",C161&lt;&gt;"",B161&gt;=TODAY()),B161+ROW()/10000000,"")</f>
        <v/>
      </c>
    </row>
    <row r="162">
      <c r="A162" s="1" t="n"/>
      <c r="B162" s="24" t="n"/>
      <c r="C162" s="22" t="n"/>
      <c r="D162" s="23" t="n"/>
      <c r="E162" s="23" t="n"/>
      <c r="F162" s="23" t="n"/>
      <c r="G162" s="32" t="n"/>
      <c r="H162" s="1" t="n"/>
      <c r="I162">
        <f>IF(AND(B162&lt;&gt;"",C162&lt;&gt;"",B162&gt;=TODAY()),B162+ROW()/10000000,"")</f>
        <v/>
      </c>
    </row>
    <row r="163">
      <c r="A163" s="1" t="n"/>
      <c r="B163" s="24" t="n"/>
      <c r="C163" s="22" t="n"/>
      <c r="D163" s="23" t="n"/>
      <c r="E163" s="23" t="n"/>
      <c r="F163" s="23" t="n"/>
      <c r="G163" s="32" t="n"/>
      <c r="H163" s="1" t="n"/>
      <c r="I163">
        <f>IF(AND(B163&lt;&gt;"",C163&lt;&gt;"",B163&gt;=TODAY()),B163+ROW()/10000000,"")</f>
        <v/>
      </c>
    </row>
    <row r="164">
      <c r="A164" s="1" t="n"/>
      <c r="B164" s="24" t="n"/>
      <c r="C164" s="22" t="n"/>
      <c r="D164" s="23" t="n"/>
      <c r="E164" s="23" t="n"/>
      <c r="F164" s="23" t="n"/>
      <c r="G164" s="32" t="n"/>
      <c r="H164" s="1" t="n"/>
      <c r="I164">
        <f>IF(AND(B164&lt;&gt;"",C164&lt;&gt;"",B164&gt;=TODAY()),B164+ROW()/10000000,"")</f>
        <v/>
      </c>
    </row>
    <row r="165">
      <c r="A165" s="1" t="n"/>
      <c r="B165" s="24" t="n"/>
      <c r="C165" s="22" t="n"/>
      <c r="D165" s="23" t="n"/>
      <c r="E165" s="23" t="n"/>
      <c r="F165" s="23" t="n"/>
      <c r="G165" s="32" t="n"/>
      <c r="H165" s="1" t="n"/>
      <c r="I165">
        <f>IF(AND(B165&lt;&gt;"",C165&lt;&gt;"",B165&gt;=TODAY()),B165+ROW()/10000000,"")</f>
        <v/>
      </c>
    </row>
    <row r="166">
      <c r="A166" s="1" t="n"/>
      <c r="B166" s="24" t="n"/>
      <c r="C166" s="22" t="n"/>
      <c r="D166" s="23" t="n"/>
      <c r="E166" s="23" t="n"/>
      <c r="F166" s="23" t="n"/>
      <c r="G166" s="32" t="n"/>
      <c r="H166" s="1" t="n"/>
      <c r="I166">
        <f>IF(AND(B166&lt;&gt;"",C166&lt;&gt;"",B166&gt;=TODAY()),B166+ROW()/10000000,"")</f>
        <v/>
      </c>
    </row>
    <row r="167">
      <c r="A167" s="1" t="n"/>
      <c r="B167" s="24" t="n"/>
      <c r="C167" s="22" t="n"/>
      <c r="D167" s="23" t="n"/>
      <c r="E167" s="23" t="n"/>
      <c r="F167" s="23" t="n"/>
      <c r="G167" s="32" t="n"/>
      <c r="H167" s="1" t="n"/>
      <c r="I167">
        <f>IF(AND(B167&lt;&gt;"",C167&lt;&gt;"",B167&gt;=TODAY()),B167+ROW()/10000000,"")</f>
        <v/>
      </c>
    </row>
    <row r="168">
      <c r="A168" s="1" t="n"/>
      <c r="B168" s="24" t="n"/>
      <c r="C168" s="22" t="n"/>
      <c r="D168" s="23" t="n"/>
      <c r="E168" s="23" t="n"/>
      <c r="F168" s="23" t="n"/>
      <c r="G168" s="32" t="n"/>
      <c r="H168" s="1" t="n"/>
      <c r="I168">
        <f>IF(AND(B168&lt;&gt;"",C168&lt;&gt;"",B168&gt;=TODAY()),B168+ROW()/10000000,"")</f>
        <v/>
      </c>
    </row>
    <row r="169">
      <c r="A169" s="1" t="n"/>
      <c r="B169" s="24" t="n"/>
      <c r="C169" s="22" t="n"/>
      <c r="D169" s="23" t="n"/>
      <c r="E169" s="23" t="n"/>
      <c r="F169" s="23" t="n"/>
      <c r="G169" s="32" t="n"/>
      <c r="H169" s="1" t="n"/>
      <c r="I169">
        <f>IF(AND(B169&lt;&gt;"",C169&lt;&gt;"",B169&gt;=TODAY()),B169+ROW()/10000000,"")</f>
        <v/>
      </c>
    </row>
    <row r="170">
      <c r="A170" s="1" t="n"/>
      <c r="B170" s="24" t="n"/>
      <c r="C170" s="22" t="n"/>
      <c r="D170" s="23" t="n"/>
      <c r="E170" s="23" t="n"/>
      <c r="F170" s="23" t="n"/>
      <c r="G170" s="32" t="n"/>
      <c r="H170" s="1" t="n"/>
      <c r="I170">
        <f>IF(AND(B170&lt;&gt;"",C170&lt;&gt;"",B170&gt;=TODAY()),B170+ROW()/10000000,"")</f>
        <v/>
      </c>
    </row>
    <row r="171">
      <c r="A171" s="1" t="n"/>
      <c r="B171" s="24" t="n"/>
      <c r="C171" s="22" t="n"/>
      <c r="D171" s="23" t="n"/>
      <c r="E171" s="23" t="n"/>
      <c r="F171" s="23" t="n"/>
      <c r="G171" s="32" t="n"/>
      <c r="H171" s="1" t="n"/>
      <c r="I171">
        <f>IF(AND(B171&lt;&gt;"",C171&lt;&gt;"",B171&gt;=TODAY()),B171+ROW()/10000000,"")</f>
        <v/>
      </c>
    </row>
    <row r="172">
      <c r="A172" s="1" t="n"/>
      <c r="B172" s="24" t="n"/>
      <c r="C172" s="22" t="n"/>
      <c r="D172" s="23" t="n"/>
      <c r="E172" s="23" t="n"/>
      <c r="F172" s="23" t="n"/>
      <c r="G172" s="32" t="n"/>
      <c r="H172" s="1" t="n"/>
      <c r="I172">
        <f>IF(AND(B172&lt;&gt;"",C172&lt;&gt;"",B172&gt;=TODAY()),B172+ROW()/10000000,"")</f>
        <v/>
      </c>
    </row>
    <row r="173">
      <c r="A173" s="1" t="n"/>
      <c r="B173" s="24" t="n"/>
      <c r="C173" s="22" t="n"/>
      <c r="D173" s="23" t="n"/>
      <c r="E173" s="23" t="n"/>
      <c r="F173" s="23" t="n"/>
      <c r="G173" s="32" t="n"/>
      <c r="H173" s="1" t="n"/>
      <c r="I173">
        <f>IF(AND(B173&lt;&gt;"",C173&lt;&gt;"",B173&gt;=TODAY()),B173+ROW()/10000000,"")</f>
        <v/>
      </c>
    </row>
    <row r="174">
      <c r="A174" s="1" t="n"/>
      <c r="B174" s="24" t="n"/>
      <c r="C174" s="22" t="n"/>
      <c r="D174" s="23" t="n"/>
      <c r="E174" s="23" t="n"/>
      <c r="F174" s="23" t="n"/>
      <c r="G174" s="32" t="n"/>
      <c r="H174" s="1" t="n"/>
      <c r="I174">
        <f>IF(AND(B174&lt;&gt;"",C174&lt;&gt;"",B174&gt;=TODAY()),B174+ROW()/10000000,"")</f>
        <v/>
      </c>
    </row>
    <row r="175">
      <c r="A175" s="1" t="n"/>
      <c r="B175" s="24" t="n"/>
      <c r="C175" s="22" t="n"/>
      <c r="D175" s="23" t="n"/>
      <c r="E175" s="23" t="n"/>
      <c r="F175" s="23" t="n"/>
      <c r="G175" s="32" t="n"/>
      <c r="H175" s="1" t="n"/>
      <c r="I175">
        <f>IF(AND(B175&lt;&gt;"",C175&lt;&gt;"",B175&gt;=TODAY()),B175+ROW()/10000000,"")</f>
        <v/>
      </c>
    </row>
    <row r="176">
      <c r="A176" s="1" t="n"/>
      <c r="B176" s="24" t="n"/>
      <c r="C176" s="22" t="n"/>
      <c r="D176" s="23" t="n"/>
      <c r="E176" s="23" t="n"/>
      <c r="F176" s="23" t="n"/>
      <c r="G176" s="32" t="n"/>
      <c r="H176" s="1" t="n"/>
      <c r="I176">
        <f>IF(AND(B176&lt;&gt;"",C176&lt;&gt;"",B176&gt;=TODAY()),B176+ROW()/10000000,"")</f>
        <v/>
      </c>
    </row>
    <row r="177">
      <c r="A177" s="1" t="n"/>
      <c r="B177" s="24" t="n"/>
      <c r="C177" s="22" t="n"/>
      <c r="D177" s="23" t="n"/>
      <c r="E177" s="23" t="n"/>
      <c r="F177" s="23" t="n"/>
      <c r="G177" s="32" t="n"/>
      <c r="H177" s="1" t="n"/>
      <c r="I177">
        <f>IF(AND(B177&lt;&gt;"",C177&lt;&gt;"",B177&gt;=TODAY()),B177+ROW()/10000000,"")</f>
        <v/>
      </c>
    </row>
    <row r="178">
      <c r="A178" s="1" t="n"/>
      <c r="B178" s="24" t="n"/>
      <c r="C178" s="22" t="n"/>
      <c r="D178" s="23" t="n"/>
      <c r="E178" s="23" t="n"/>
      <c r="F178" s="23" t="n"/>
      <c r="G178" s="32" t="n"/>
      <c r="H178" s="1" t="n"/>
      <c r="I178">
        <f>IF(AND(B178&lt;&gt;"",C178&lt;&gt;"",B178&gt;=TODAY()),B178+ROW()/10000000,"")</f>
        <v/>
      </c>
    </row>
    <row r="179">
      <c r="A179" s="1" t="n"/>
      <c r="B179" s="24" t="n"/>
      <c r="C179" s="22" t="n"/>
      <c r="D179" s="23" t="n"/>
      <c r="E179" s="23" t="n"/>
      <c r="F179" s="23" t="n"/>
      <c r="G179" s="32" t="n"/>
      <c r="H179" s="1" t="n"/>
      <c r="I179">
        <f>IF(AND(B179&lt;&gt;"",C179&lt;&gt;"",B179&gt;=TODAY()),B179+ROW()/10000000,"")</f>
        <v/>
      </c>
    </row>
    <row r="180">
      <c r="A180" s="1" t="n"/>
      <c r="B180" s="24" t="n"/>
      <c r="C180" s="22" t="n"/>
      <c r="D180" s="23" t="n"/>
      <c r="E180" s="23" t="n"/>
      <c r="F180" s="23" t="n"/>
      <c r="G180" s="32" t="n"/>
      <c r="H180" s="1" t="n"/>
      <c r="I180">
        <f>IF(AND(B180&lt;&gt;"",C180&lt;&gt;"",B180&gt;=TODAY()),B180+ROW()/10000000,"")</f>
        <v/>
      </c>
    </row>
    <row r="181">
      <c r="A181" s="1" t="n"/>
      <c r="B181" s="24" t="n"/>
      <c r="C181" s="22" t="n"/>
      <c r="D181" s="23" t="n"/>
      <c r="E181" s="23" t="n"/>
      <c r="F181" s="23" t="n"/>
      <c r="G181" s="32" t="n"/>
      <c r="H181" s="1" t="n"/>
      <c r="I181">
        <f>IF(AND(B181&lt;&gt;"",C181&lt;&gt;"",B181&gt;=TODAY()),B181+ROW()/10000000,"")</f>
        <v/>
      </c>
    </row>
    <row r="182">
      <c r="A182" s="1" t="n"/>
      <c r="B182" s="24" t="n"/>
      <c r="C182" s="22" t="n"/>
      <c r="D182" s="23" t="n"/>
      <c r="E182" s="23" t="n"/>
      <c r="F182" s="23" t="n"/>
      <c r="G182" s="32" t="n"/>
      <c r="H182" s="1" t="n"/>
      <c r="I182">
        <f>IF(AND(B182&lt;&gt;"",C182&lt;&gt;"",B182&gt;=TODAY()),B182+ROW()/10000000,"")</f>
        <v/>
      </c>
    </row>
    <row r="183">
      <c r="A183" s="1" t="n"/>
      <c r="B183" s="24" t="n"/>
      <c r="C183" s="22" t="n"/>
      <c r="D183" s="23" t="n"/>
      <c r="E183" s="23" t="n"/>
      <c r="F183" s="23" t="n"/>
      <c r="G183" s="32" t="n"/>
      <c r="H183" s="1" t="n"/>
      <c r="I183">
        <f>IF(AND(B183&lt;&gt;"",C183&lt;&gt;"",B183&gt;=TODAY()),B183+ROW()/10000000,"")</f>
        <v/>
      </c>
    </row>
    <row r="184">
      <c r="A184" s="1" t="n"/>
      <c r="B184" s="24" t="n"/>
      <c r="C184" s="22" t="n"/>
      <c r="D184" s="23" t="n"/>
      <c r="E184" s="23" t="n"/>
      <c r="F184" s="23" t="n"/>
      <c r="G184" s="32" t="n"/>
      <c r="H184" s="1" t="n"/>
      <c r="I184">
        <f>IF(AND(B184&lt;&gt;"",C184&lt;&gt;"",B184&gt;=TODAY()),B184+ROW()/10000000,"")</f>
        <v/>
      </c>
    </row>
    <row r="185">
      <c r="A185" s="1" t="n"/>
      <c r="B185" s="24" t="n"/>
      <c r="C185" s="22" t="n"/>
      <c r="D185" s="23" t="n"/>
      <c r="E185" s="23" t="n"/>
      <c r="F185" s="23" t="n"/>
      <c r="G185" s="32" t="n"/>
      <c r="H185" s="1" t="n"/>
      <c r="I185">
        <f>IF(AND(B185&lt;&gt;"",C185&lt;&gt;"",B185&gt;=TODAY()),B185+ROW()/10000000,"")</f>
        <v/>
      </c>
    </row>
    <row r="186">
      <c r="A186" s="1" t="n"/>
      <c r="B186" s="24" t="n"/>
      <c r="C186" s="22" t="n"/>
      <c r="D186" s="23" t="n"/>
      <c r="E186" s="23" t="n"/>
      <c r="F186" s="23" t="n"/>
      <c r="G186" s="32" t="n"/>
      <c r="H186" s="1" t="n"/>
      <c r="I186">
        <f>IF(AND(B186&lt;&gt;"",C186&lt;&gt;"",B186&gt;=TODAY()),B186+ROW()/10000000,"")</f>
        <v/>
      </c>
    </row>
    <row r="187">
      <c r="A187" s="1" t="n"/>
      <c r="B187" s="24" t="n"/>
      <c r="C187" s="22" t="n"/>
      <c r="D187" s="23" t="n"/>
      <c r="E187" s="23" t="n"/>
      <c r="F187" s="23" t="n"/>
      <c r="G187" s="32" t="n"/>
      <c r="H187" s="1" t="n"/>
      <c r="I187">
        <f>IF(AND(B187&lt;&gt;"",C187&lt;&gt;"",B187&gt;=TODAY()),B187+ROW()/10000000,"")</f>
        <v/>
      </c>
    </row>
    <row r="188">
      <c r="A188" s="1" t="n"/>
      <c r="B188" s="24" t="n"/>
      <c r="C188" s="22" t="n"/>
      <c r="D188" s="23" t="n"/>
      <c r="E188" s="23" t="n"/>
      <c r="F188" s="23" t="n"/>
      <c r="G188" s="32" t="n"/>
      <c r="H188" s="1" t="n"/>
      <c r="I188">
        <f>IF(AND(B188&lt;&gt;"",C188&lt;&gt;"",B188&gt;=TODAY()),B188+ROW()/10000000,"")</f>
        <v/>
      </c>
    </row>
    <row r="189">
      <c r="A189" s="1" t="n"/>
      <c r="B189" s="24" t="n"/>
      <c r="C189" s="22" t="n"/>
      <c r="D189" s="23" t="n"/>
      <c r="E189" s="23" t="n"/>
      <c r="F189" s="23" t="n"/>
      <c r="G189" s="32" t="n"/>
      <c r="H189" s="1" t="n"/>
      <c r="I189">
        <f>IF(AND(B189&lt;&gt;"",C189&lt;&gt;"",B189&gt;=TODAY()),B189+ROW()/10000000,"")</f>
        <v/>
      </c>
    </row>
    <row r="190">
      <c r="A190" s="1" t="n"/>
      <c r="B190" s="24" t="n"/>
      <c r="C190" s="22" t="n"/>
      <c r="D190" s="23" t="n"/>
      <c r="E190" s="23" t="n"/>
      <c r="F190" s="23" t="n"/>
      <c r="G190" s="32" t="n"/>
      <c r="H190" s="1" t="n"/>
      <c r="I190">
        <f>IF(AND(B190&lt;&gt;"",C190&lt;&gt;"",B190&gt;=TODAY()),B190+ROW()/10000000,"")</f>
        <v/>
      </c>
    </row>
    <row r="191">
      <c r="A191" s="1" t="n"/>
      <c r="B191" s="24" t="n"/>
      <c r="C191" s="22" t="n"/>
      <c r="D191" s="23" t="n"/>
      <c r="E191" s="23" t="n"/>
      <c r="F191" s="23" t="n"/>
      <c r="G191" s="32" t="n"/>
      <c r="H191" s="1" t="n"/>
      <c r="I191">
        <f>IF(AND(B191&lt;&gt;"",C191&lt;&gt;"",B191&gt;=TODAY()),B191+ROW()/10000000,"")</f>
        <v/>
      </c>
    </row>
    <row r="192">
      <c r="A192" s="1" t="n"/>
      <c r="B192" s="24" t="n"/>
      <c r="C192" s="22" t="n"/>
      <c r="D192" s="23" t="n"/>
      <c r="E192" s="23" t="n"/>
      <c r="F192" s="23" t="n"/>
      <c r="G192" s="32" t="n"/>
      <c r="H192" s="1" t="n"/>
      <c r="I192">
        <f>IF(AND(B192&lt;&gt;"",C192&lt;&gt;"",B192&gt;=TODAY()),B192+ROW()/10000000,"")</f>
        <v/>
      </c>
    </row>
    <row r="193">
      <c r="A193" s="1" t="n"/>
      <c r="B193" s="24" t="n"/>
      <c r="C193" s="22" t="n"/>
      <c r="D193" s="23" t="n"/>
      <c r="E193" s="23" t="n"/>
      <c r="F193" s="23" t="n"/>
      <c r="G193" s="32" t="n"/>
      <c r="H193" s="1" t="n"/>
      <c r="I193">
        <f>IF(AND(B193&lt;&gt;"",C193&lt;&gt;"",B193&gt;=TODAY()),B193+ROW()/10000000,"")</f>
        <v/>
      </c>
    </row>
    <row r="194">
      <c r="A194" s="1" t="n"/>
      <c r="B194" s="24" t="n"/>
      <c r="C194" s="22" t="n"/>
      <c r="D194" s="23" t="n"/>
      <c r="E194" s="23" t="n"/>
      <c r="F194" s="23" t="n"/>
      <c r="G194" s="32" t="n"/>
      <c r="H194" s="1" t="n"/>
      <c r="I194">
        <f>IF(AND(B194&lt;&gt;"",C194&lt;&gt;"",B194&gt;=TODAY()),B194+ROW()/10000000,"")</f>
        <v/>
      </c>
    </row>
    <row r="195">
      <c r="A195" s="1" t="n"/>
      <c r="B195" s="24" t="n"/>
      <c r="C195" s="22" t="n"/>
      <c r="D195" s="23" t="n"/>
      <c r="E195" s="23" t="n"/>
      <c r="F195" s="23" t="n"/>
      <c r="G195" s="32" t="n"/>
      <c r="H195" s="1" t="n"/>
      <c r="I195">
        <f>IF(AND(B195&lt;&gt;"",C195&lt;&gt;"",B195&gt;=TODAY()),B195+ROW()/10000000,"")</f>
        <v/>
      </c>
    </row>
    <row r="196">
      <c r="A196" s="1" t="n"/>
      <c r="B196" s="24" t="n"/>
      <c r="C196" s="22" t="n"/>
      <c r="D196" s="23" t="n"/>
      <c r="E196" s="23" t="n"/>
      <c r="F196" s="23" t="n"/>
      <c r="G196" s="32" t="n"/>
      <c r="H196" s="1" t="n"/>
      <c r="I196">
        <f>IF(AND(B196&lt;&gt;"",C196&lt;&gt;"",B196&gt;=TODAY()),B196+ROW()/10000000,"")</f>
        <v/>
      </c>
    </row>
    <row r="197">
      <c r="A197" s="1" t="n"/>
      <c r="B197" s="24" t="n"/>
      <c r="C197" s="22" t="n"/>
      <c r="D197" s="23" t="n"/>
      <c r="E197" s="23" t="n"/>
      <c r="F197" s="23" t="n"/>
      <c r="G197" s="32" t="n"/>
      <c r="H197" s="1" t="n"/>
      <c r="I197">
        <f>IF(AND(B197&lt;&gt;"",C197&lt;&gt;"",B197&gt;=TODAY()),B197+ROW()/10000000,"")</f>
        <v/>
      </c>
    </row>
    <row r="198">
      <c r="A198" s="1" t="n"/>
      <c r="B198" s="24" t="n"/>
      <c r="C198" s="22" t="n"/>
      <c r="D198" s="23" t="n"/>
      <c r="E198" s="23" t="n"/>
      <c r="F198" s="23" t="n"/>
      <c r="G198" s="32" t="n"/>
      <c r="H198" s="1" t="n"/>
      <c r="I198">
        <f>IF(AND(B198&lt;&gt;"",C198&lt;&gt;"",B198&gt;=TODAY()),B198+ROW()/10000000,"")</f>
        <v/>
      </c>
    </row>
    <row r="199">
      <c r="A199" s="1" t="n"/>
      <c r="B199" s="24" t="n"/>
      <c r="C199" s="22" t="n"/>
      <c r="D199" s="23" t="n"/>
      <c r="E199" s="23" t="n"/>
      <c r="F199" s="23" t="n"/>
      <c r="G199" s="32" t="n"/>
      <c r="H199" s="1" t="n"/>
      <c r="I199">
        <f>IF(AND(B199&lt;&gt;"",C199&lt;&gt;"",B199&gt;=TODAY()),B199+ROW()/10000000,"")</f>
        <v/>
      </c>
    </row>
    <row r="200">
      <c r="A200" s="1" t="n"/>
      <c r="B200" s="24" t="n"/>
      <c r="C200" s="22" t="n"/>
      <c r="D200" s="23" t="n"/>
      <c r="E200" s="23" t="n"/>
      <c r="F200" s="23" t="n"/>
      <c r="G200" s="32" t="n"/>
      <c r="H200" s="1" t="n"/>
      <c r="I200">
        <f>IF(AND(B200&lt;&gt;"",C200&lt;&gt;"",B200&gt;=TODAY()),B200+ROW()/10000000,"")</f>
        <v/>
      </c>
    </row>
    <row r="201">
      <c r="A201" s="1" t="n"/>
      <c r="B201" s="24" t="n"/>
      <c r="C201" s="22" t="n"/>
      <c r="D201" s="23" t="n"/>
      <c r="E201" s="23" t="n"/>
      <c r="F201" s="23" t="n"/>
      <c r="G201" s="32" t="n"/>
      <c r="H201" s="1" t="n"/>
      <c r="I201">
        <f>IF(AND(B201&lt;&gt;"",C201&lt;&gt;"",B201&gt;=TODAY()),B201+ROW()/10000000,"")</f>
        <v/>
      </c>
    </row>
    <row r="202">
      <c r="A202" s="1" t="n"/>
      <c r="B202" s="24" t="n"/>
      <c r="C202" s="22" t="n"/>
      <c r="D202" s="23" t="n"/>
      <c r="E202" s="23" t="n"/>
      <c r="F202" s="23" t="n"/>
      <c r="G202" s="32" t="n"/>
      <c r="H202" s="1" t="n"/>
      <c r="I202">
        <f>IF(AND(B202&lt;&gt;"",C202&lt;&gt;"",B202&gt;=TODAY()),B202+ROW()/10000000,"")</f>
        <v/>
      </c>
    </row>
    <row r="203">
      <c r="A203" s="1" t="n"/>
      <c r="B203" s="24" t="n"/>
      <c r="C203" s="22" t="n"/>
      <c r="D203" s="23" t="n"/>
      <c r="E203" s="23" t="n"/>
      <c r="F203" s="23" t="n"/>
      <c r="G203" s="32" t="n"/>
      <c r="H203" s="1" t="n"/>
      <c r="I203">
        <f>IF(AND(B203&lt;&gt;"",C203&lt;&gt;"",B203&gt;=TODAY()),B203+ROW()/10000000,"")</f>
        <v/>
      </c>
    </row>
    <row r="204">
      <c r="A204" s="1" t="n"/>
      <c r="B204" s="24" t="n"/>
      <c r="C204" s="22" t="n"/>
      <c r="D204" s="23" t="n"/>
      <c r="E204" s="23" t="n"/>
      <c r="F204" s="23" t="n"/>
      <c r="G204" s="32" t="n"/>
      <c r="H204" s="1" t="n"/>
      <c r="I204">
        <f>IF(AND(B204&lt;&gt;"",C204&lt;&gt;"",B204&gt;=TODAY()),B204+ROW()/10000000,"")</f>
        <v/>
      </c>
    </row>
    <row r="205">
      <c r="A205" s="1" t="n"/>
      <c r="B205" s="24" t="n"/>
      <c r="C205" s="22" t="n"/>
      <c r="D205" s="23" t="n"/>
      <c r="E205" s="23" t="n"/>
      <c r="F205" s="23" t="n"/>
      <c r="G205" s="32" t="n"/>
      <c r="H205" s="1" t="n"/>
      <c r="I205">
        <f>IF(AND(B205&lt;&gt;"",C205&lt;&gt;"",B205&gt;=TODAY()),B205+ROW()/10000000,"")</f>
        <v/>
      </c>
    </row>
    <row r="206">
      <c r="A206" s="1" t="n"/>
      <c r="B206" s="24" t="n"/>
      <c r="C206" s="22" t="n"/>
      <c r="D206" s="23" t="n"/>
      <c r="E206" s="23" t="n"/>
      <c r="F206" s="23" t="n"/>
      <c r="G206" s="32" t="n"/>
      <c r="H206" s="1" t="n"/>
      <c r="I206">
        <f>IF(AND(B206&lt;&gt;"",C206&lt;&gt;"",B206&gt;=TODAY()),B206+ROW()/10000000,"")</f>
        <v/>
      </c>
    </row>
    <row r="207">
      <c r="A207" s="1" t="n"/>
      <c r="B207" s="24" t="n"/>
      <c r="C207" s="22" t="n"/>
      <c r="D207" s="23" t="n"/>
      <c r="E207" s="23" t="n"/>
      <c r="F207" s="23" t="n"/>
      <c r="G207" s="32" t="n"/>
      <c r="H207" s="1" t="n"/>
      <c r="I207">
        <f>IF(AND(B207&lt;&gt;"",C207&lt;&gt;"",B207&gt;=TODAY()),B207+ROW()/10000000,"")</f>
        <v/>
      </c>
    </row>
    <row r="208">
      <c r="A208" s="1" t="n"/>
      <c r="B208" s="24" t="n"/>
      <c r="C208" s="22" t="n"/>
      <c r="D208" s="23" t="n"/>
      <c r="E208" s="23" t="n"/>
      <c r="F208" s="23" t="n"/>
      <c r="G208" s="32" t="n"/>
      <c r="H208" s="1" t="n"/>
      <c r="I208">
        <f>IF(AND(B208&lt;&gt;"",C208&lt;&gt;"",B208&gt;=TODAY()),B208+ROW()/10000000,"")</f>
        <v/>
      </c>
    </row>
    <row r="209">
      <c r="A209" s="1" t="n"/>
      <c r="B209" s="24" t="n"/>
      <c r="C209" s="22" t="n"/>
      <c r="D209" s="23" t="n"/>
      <c r="E209" s="23" t="n"/>
      <c r="F209" s="23" t="n"/>
      <c r="G209" s="32" t="n"/>
      <c r="H209" s="1" t="n"/>
      <c r="I209">
        <f>IF(AND(B209&lt;&gt;"",C209&lt;&gt;"",B209&gt;=TODAY()),B209+ROW()/10000000,"")</f>
        <v/>
      </c>
    </row>
    <row r="210">
      <c r="A210" s="1" t="n"/>
      <c r="B210" s="24" t="n"/>
      <c r="C210" s="22" t="n"/>
      <c r="D210" s="23" t="n"/>
      <c r="E210" s="23" t="n"/>
      <c r="F210" s="23" t="n"/>
      <c r="G210" s="32" t="n"/>
      <c r="H210" s="1" t="n"/>
      <c r="I210">
        <f>IF(AND(B210&lt;&gt;"",C210&lt;&gt;"",B210&gt;=TODAY()),B210+ROW()/10000000,"")</f>
        <v/>
      </c>
    </row>
    <row r="211">
      <c r="A211" s="1" t="n"/>
      <c r="B211" s="24" t="n"/>
      <c r="C211" s="22" t="n"/>
      <c r="D211" s="23" t="n"/>
      <c r="E211" s="23" t="n"/>
      <c r="F211" s="23" t="n"/>
      <c r="G211" s="32" t="n"/>
      <c r="H211" s="1" t="n"/>
      <c r="I211">
        <f>IF(AND(B211&lt;&gt;"",C211&lt;&gt;"",B211&gt;=TODAY()),B211+ROW()/10000000,"")</f>
        <v/>
      </c>
    </row>
    <row r="212">
      <c r="A212" s="1" t="n"/>
      <c r="B212" s="24" t="n"/>
      <c r="C212" s="22" t="n"/>
      <c r="D212" s="23" t="n"/>
      <c r="E212" s="23" t="n"/>
      <c r="F212" s="23" t="n"/>
      <c r="G212" s="32" t="n"/>
      <c r="H212" s="1" t="n"/>
      <c r="I212">
        <f>IF(AND(B212&lt;&gt;"",C212&lt;&gt;"",B212&gt;=TODAY()),B212+ROW()/10000000,"")</f>
        <v/>
      </c>
    </row>
    <row r="213">
      <c r="A213" s="1" t="n"/>
      <c r="B213" s="24" t="n"/>
      <c r="C213" s="22" t="n"/>
      <c r="D213" s="23" t="n"/>
      <c r="E213" s="23" t="n"/>
      <c r="F213" s="23" t="n"/>
      <c r="G213" s="32" t="n"/>
      <c r="H213" s="1" t="n"/>
      <c r="I213">
        <f>IF(AND(B213&lt;&gt;"",C213&lt;&gt;"",B213&gt;=TODAY()),B213+ROW()/10000000,"")</f>
        <v/>
      </c>
    </row>
    <row r="214">
      <c r="A214" s="1" t="n"/>
      <c r="B214" s="24" t="n"/>
      <c r="C214" s="22" t="n"/>
      <c r="D214" s="23" t="n"/>
      <c r="E214" s="23" t="n"/>
      <c r="F214" s="23" t="n"/>
      <c r="G214" s="32" t="n"/>
      <c r="H214" s="1" t="n"/>
      <c r="I214">
        <f>IF(AND(B214&lt;&gt;"",C214&lt;&gt;"",B214&gt;=TODAY()),B214+ROW()/10000000,"")</f>
        <v/>
      </c>
    </row>
    <row r="215">
      <c r="A215" s="1" t="n"/>
      <c r="B215" s="24" t="n"/>
      <c r="C215" s="22" t="n"/>
      <c r="D215" s="23" t="n"/>
      <c r="E215" s="23" t="n"/>
      <c r="F215" s="23" t="n"/>
      <c r="G215" s="32" t="n"/>
      <c r="H215" s="1" t="n"/>
      <c r="I215">
        <f>IF(AND(B215&lt;&gt;"",C215&lt;&gt;"",B215&gt;=TODAY()),B215+ROW()/10000000,"")</f>
        <v/>
      </c>
    </row>
    <row r="216">
      <c r="A216" s="1" t="n"/>
      <c r="B216" s="24" t="n"/>
      <c r="C216" s="22" t="n"/>
      <c r="D216" s="23" t="n"/>
      <c r="E216" s="23" t="n"/>
      <c r="F216" s="23" t="n"/>
      <c r="G216" s="32" t="n"/>
      <c r="H216" s="1" t="n"/>
      <c r="I216">
        <f>IF(AND(B216&lt;&gt;"",C216&lt;&gt;"",B216&gt;=TODAY()),B216+ROW()/10000000,"")</f>
        <v/>
      </c>
    </row>
    <row r="217">
      <c r="A217" s="1" t="n"/>
      <c r="B217" s="24" t="n"/>
      <c r="C217" s="22" t="n"/>
      <c r="D217" s="23" t="n"/>
      <c r="E217" s="23" t="n"/>
      <c r="F217" s="23" t="n"/>
      <c r="G217" s="32" t="n"/>
      <c r="H217" s="1" t="n"/>
      <c r="I217">
        <f>IF(AND(B217&lt;&gt;"",C217&lt;&gt;"",B217&gt;=TODAY()),B217+ROW()/10000000,"")</f>
        <v/>
      </c>
    </row>
    <row r="218">
      <c r="A218" s="1" t="n"/>
      <c r="B218" s="24" t="n"/>
      <c r="C218" s="22" t="n"/>
      <c r="D218" s="23" t="n"/>
      <c r="E218" s="23" t="n"/>
      <c r="F218" s="23" t="n"/>
      <c r="G218" s="32" t="n"/>
      <c r="H218" s="1" t="n"/>
      <c r="I218">
        <f>IF(AND(B218&lt;&gt;"",C218&lt;&gt;"",B218&gt;=TODAY()),B218+ROW()/10000000,"")</f>
        <v/>
      </c>
    </row>
    <row r="219">
      <c r="A219" s="1" t="n"/>
      <c r="B219" s="24" t="n"/>
      <c r="C219" s="22" t="n"/>
      <c r="D219" s="23" t="n"/>
      <c r="E219" s="23" t="n"/>
      <c r="F219" s="23" t="n"/>
      <c r="G219" s="32" t="n"/>
      <c r="H219" s="1" t="n"/>
      <c r="I219">
        <f>IF(AND(B219&lt;&gt;"",C219&lt;&gt;"",B219&gt;=TODAY()),B219+ROW()/10000000,"")</f>
        <v/>
      </c>
    </row>
    <row r="220">
      <c r="A220" s="1" t="n"/>
      <c r="B220" s="24" t="n"/>
      <c r="C220" s="22" t="n"/>
      <c r="D220" s="23" t="n"/>
      <c r="E220" s="23" t="n"/>
      <c r="F220" s="23" t="n"/>
      <c r="G220" s="32" t="n"/>
      <c r="H220" s="1" t="n"/>
      <c r="I220">
        <f>IF(AND(B220&lt;&gt;"",C220&lt;&gt;"",B220&gt;=TODAY()),B220+ROW()/10000000,"")</f>
        <v/>
      </c>
    </row>
    <row r="221">
      <c r="A221" s="1" t="n"/>
      <c r="B221" s="24" t="n"/>
      <c r="C221" s="22" t="n"/>
      <c r="D221" s="23" t="n"/>
      <c r="E221" s="23" t="n"/>
      <c r="F221" s="23" t="n"/>
      <c r="G221" s="32" t="n"/>
      <c r="H221" s="1" t="n"/>
      <c r="I221">
        <f>IF(AND(B221&lt;&gt;"",C221&lt;&gt;"",B221&gt;=TODAY()),B221+ROW()/10000000,"")</f>
        <v/>
      </c>
    </row>
    <row r="222">
      <c r="A222" s="1" t="n"/>
      <c r="B222" s="24" t="n"/>
      <c r="C222" s="22" t="n"/>
      <c r="D222" s="23" t="n"/>
      <c r="E222" s="23" t="n"/>
      <c r="F222" s="23" t="n"/>
      <c r="G222" s="32" t="n"/>
      <c r="H222" s="1" t="n"/>
      <c r="I222">
        <f>IF(AND(B222&lt;&gt;"",C222&lt;&gt;"",B222&gt;=TODAY()),B222+ROW()/10000000,"")</f>
        <v/>
      </c>
    </row>
    <row r="223">
      <c r="A223" s="1" t="n"/>
      <c r="B223" s="24" t="n"/>
      <c r="C223" s="22" t="n"/>
      <c r="D223" s="23" t="n"/>
      <c r="E223" s="23" t="n"/>
      <c r="F223" s="23" t="n"/>
      <c r="G223" s="32" t="n"/>
      <c r="H223" s="1" t="n"/>
      <c r="I223">
        <f>IF(AND(B223&lt;&gt;"",C223&lt;&gt;"",B223&gt;=TODAY()),B223+ROW()/10000000,"")</f>
        <v/>
      </c>
    </row>
    <row r="224">
      <c r="A224" s="1" t="n"/>
      <c r="B224" s="24" t="n"/>
      <c r="C224" s="22" t="n"/>
      <c r="D224" s="23" t="n"/>
      <c r="E224" s="23" t="n"/>
      <c r="F224" s="23" t="n"/>
      <c r="G224" s="32" t="n"/>
      <c r="H224" s="1" t="n"/>
      <c r="I224">
        <f>IF(AND(B224&lt;&gt;"",C224&lt;&gt;"",B224&gt;=TODAY()),B224+ROW()/10000000,"")</f>
        <v/>
      </c>
    </row>
    <row r="225">
      <c r="A225" s="1" t="n"/>
      <c r="B225" s="24" t="n"/>
      <c r="C225" s="22" t="n"/>
      <c r="D225" s="23" t="n"/>
      <c r="E225" s="23" t="n"/>
      <c r="F225" s="23" t="n"/>
      <c r="G225" s="32" t="n"/>
      <c r="H225" s="1" t="n"/>
      <c r="I225">
        <f>IF(AND(B225&lt;&gt;"",C225&lt;&gt;"",B225&gt;=TODAY()),B225+ROW()/10000000,"")</f>
        <v/>
      </c>
    </row>
    <row r="226">
      <c r="A226" s="1" t="n"/>
      <c r="B226" s="24" t="n"/>
      <c r="C226" s="22" t="n"/>
      <c r="D226" s="23" t="n"/>
      <c r="E226" s="23" t="n"/>
      <c r="F226" s="23" t="n"/>
      <c r="G226" s="32" t="n"/>
      <c r="H226" s="1" t="n"/>
      <c r="I226">
        <f>IF(AND(B226&lt;&gt;"",C226&lt;&gt;"",B226&gt;=TODAY()),B226+ROW()/10000000,"")</f>
        <v/>
      </c>
    </row>
    <row r="227">
      <c r="A227" s="1" t="n"/>
      <c r="B227" s="24" t="n"/>
      <c r="C227" s="22" t="n"/>
      <c r="D227" s="23" t="n"/>
      <c r="E227" s="23" t="n"/>
      <c r="F227" s="23" t="n"/>
      <c r="G227" s="32" t="n"/>
      <c r="H227" s="1" t="n"/>
      <c r="I227">
        <f>IF(AND(B227&lt;&gt;"",C227&lt;&gt;"",B227&gt;=TODAY()),B227+ROW()/10000000,"")</f>
        <v/>
      </c>
    </row>
    <row r="228">
      <c r="A228" s="1" t="n"/>
      <c r="B228" s="24" t="n"/>
      <c r="C228" s="22" t="n"/>
      <c r="D228" s="23" t="n"/>
      <c r="E228" s="23" t="n"/>
      <c r="F228" s="23" t="n"/>
      <c r="G228" s="32" t="n"/>
      <c r="H228" s="1" t="n"/>
      <c r="I228">
        <f>IF(AND(B228&lt;&gt;"",C228&lt;&gt;"",B228&gt;=TODAY()),B228+ROW()/10000000,"")</f>
        <v/>
      </c>
    </row>
    <row r="229">
      <c r="A229" s="1" t="n"/>
      <c r="B229" s="24" t="n"/>
      <c r="C229" s="22" t="n"/>
      <c r="D229" s="23" t="n"/>
      <c r="E229" s="23" t="n"/>
      <c r="F229" s="23" t="n"/>
      <c r="G229" s="32" t="n"/>
      <c r="H229" s="1" t="n"/>
      <c r="I229">
        <f>IF(AND(B229&lt;&gt;"",C229&lt;&gt;"",B229&gt;=TODAY()),B229+ROW()/10000000,"")</f>
        <v/>
      </c>
    </row>
    <row r="230">
      <c r="A230" s="1" t="n"/>
      <c r="B230" s="24" t="n"/>
      <c r="C230" s="22" t="n"/>
      <c r="D230" s="23" t="n"/>
      <c r="E230" s="23" t="n"/>
      <c r="F230" s="23" t="n"/>
      <c r="G230" s="32" t="n"/>
      <c r="H230" s="1" t="n"/>
      <c r="I230">
        <f>IF(AND(B230&lt;&gt;"",C230&lt;&gt;"",B230&gt;=TODAY()),B230+ROW()/10000000,"")</f>
        <v/>
      </c>
    </row>
    <row r="231">
      <c r="A231" s="1" t="n"/>
      <c r="B231" s="24" t="n"/>
      <c r="C231" s="22" t="n"/>
      <c r="D231" s="23" t="n"/>
      <c r="E231" s="23" t="n"/>
      <c r="F231" s="23" t="n"/>
      <c r="G231" s="32" t="n"/>
      <c r="H231" s="1" t="n"/>
      <c r="I231">
        <f>IF(AND(B231&lt;&gt;"",C231&lt;&gt;"",B231&gt;=TODAY()),B231+ROW()/10000000,"")</f>
        <v/>
      </c>
    </row>
    <row r="232">
      <c r="A232" s="1" t="n"/>
      <c r="B232" s="24" t="n"/>
      <c r="C232" s="22" t="n"/>
      <c r="D232" s="23" t="n"/>
      <c r="E232" s="23" t="n"/>
      <c r="F232" s="23" t="n"/>
      <c r="G232" s="32" t="n"/>
      <c r="H232" s="1" t="n"/>
      <c r="I232">
        <f>IF(AND(B232&lt;&gt;"",C232&lt;&gt;"",B232&gt;=TODAY()),B232+ROW()/10000000,"")</f>
        <v/>
      </c>
    </row>
    <row r="233">
      <c r="A233" s="1" t="n"/>
      <c r="B233" s="24" t="n"/>
      <c r="C233" s="22" t="n"/>
      <c r="D233" s="23" t="n"/>
      <c r="E233" s="23" t="n"/>
      <c r="F233" s="23" t="n"/>
      <c r="G233" s="32" t="n"/>
      <c r="H233" s="1" t="n"/>
      <c r="I233">
        <f>IF(AND(B233&lt;&gt;"",C233&lt;&gt;"",B233&gt;=TODAY()),B233+ROW()/10000000,"")</f>
        <v/>
      </c>
    </row>
    <row r="234">
      <c r="A234" s="1" t="n"/>
      <c r="B234" s="24" t="n"/>
      <c r="C234" s="22" t="n"/>
      <c r="D234" s="23" t="n"/>
      <c r="E234" s="23" t="n"/>
      <c r="F234" s="23" t="n"/>
      <c r="G234" s="32" t="n"/>
      <c r="H234" s="1" t="n"/>
      <c r="I234">
        <f>IF(AND(B234&lt;&gt;"",C234&lt;&gt;"",B234&gt;=TODAY()),B234+ROW()/10000000,"")</f>
        <v/>
      </c>
    </row>
    <row r="235">
      <c r="A235" s="1" t="n"/>
      <c r="B235" s="24" t="n"/>
      <c r="C235" s="22" t="n"/>
      <c r="D235" s="23" t="n"/>
      <c r="E235" s="23" t="n"/>
      <c r="F235" s="23" t="n"/>
      <c r="G235" s="32" t="n"/>
      <c r="H235" s="1" t="n"/>
      <c r="I235">
        <f>IF(AND(B235&lt;&gt;"",C235&lt;&gt;"",B235&gt;=TODAY()),B235+ROW()/10000000,"")</f>
        <v/>
      </c>
    </row>
    <row r="236">
      <c r="A236" s="1" t="n"/>
      <c r="B236" s="24" t="n"/>
      <c r="C236" s="22" t="n"/>
      <c r="D236" s="23" t="n"/>
      <c r="E236" s="23" t="n"/>
      <c r="F236" s="23" t="n"/>
      <c r="G236" s="32" t="n"/>
      <c r="H236" s="1" t="n"/>
      <c r="I236">
        <f>IF(AND(B236&lt;&gt;"",C236&lt;&gt;"",B236&gt;=TODAY()),B236+ROW()/10000000,"")</f>
        <v/>
      </c>
    </row>
    <row r="237">
      <c r="A237" s="1" t="n"/>
      <c r="B237" s="24" t="n"/>
      <c r="C237" s="22" t="n"/>
      <c r="D237" s="23" t="n"/>
      <c r="E237" s="23" t="n"/>
      <c r="F237" s="23" t="n"/>
      <c r="G237" s="32" t="n"/>
      <c r="H237" s="1" t="n"/>
      <c r="I237">
        <f>IF(AND(B237&lt;&gt;"",C237&lt;&gt;"",B237&gt;=TODAY()),B237+ROW()/10000000,"")</f>
        <v/>
      </c>
    </row>
    <row r="238">
      <c r="A238" s="1" t="n"/>
      <c r="B238" s="24" t="n"/>
      <c r="C238" s="22" t="n"/>
      <c r="D238" s="23" t="n"/>
      <c r="E238" s="23" t="n"/>
      <c r="F238" s="23" t="n"/>
      <c r="G238" s="32" t="n"/>
      <c r="H238" s="1" t="n"/>
      <c r="I238">
        <f>IF(AND(B238&lt;&gt;"",C238&lt;&gt;"",B238&gt;=TODAY()),B238+ROW()/10000000,"")</f>
        <v/>
      </c>
    </row>
    <row r="239">
      <c r="A239" s="1" t="n"/>
      <c r="B239" s="24" t="n"/>
      <c r="C239" s="22" t="n"/>
      <c r="D239" s="23" t="n"/>
      <c r="E239" s="23" t="n"/>
      <c r="F239" s="23" t="n"/>
      <c r="G239" s="32" t="n"/>
      <c r="H239" s="1" t="n"/>
      <c r="I239">
        <f>IF(AND(B239&lt;&gt;"",C239&lt;&gt;"",B239&gt;=TODAY()),B239+ROW()/10000000,"")</f>
        <v/>
      </c>
    </row>
    <row r="240">
      <c r="A240" s="1" t="n"/>
      <c r="B240" s="24" t="n"/>
      <c r="C240" s="22" t="n"/>
      <c r="D240" s="23" t="n"/>
      <c r="E240" s="23" t="n"/>
      <c r="F240" s="23" t="n"/>
      <c r="G240" s="32" t="n"/>
      <c r="H240" s="1" t="n"/>
      <c r="I240">
        <f>IF(AND(B240&lt;&gt;"",C240&lt;&gt;"",B240&gt;=TODAY()),B240+ROW()/10000000,"")</f>
        <v/>
      </c>
    </row>
    <row r="241">
      <c r="A241" s="1" t="n"/>
      <c r="B241" s="24" t="n"/>
      <c r="C241" s="22" t="n"/>
      <c r="D241" s="23" t="n"/>
      <c r="E241" s="23" t="n"/>
      <c r="F241" s="23" t="n"/>
      <c r="G241" s="32" t="n"/>
      <c r="H241" s="1" t="n"/>
      <c r="I241">
        <f>IF(AND(B241&lt;&gt;"",C241&lt;&gt;"",B241&gt;=TODAY()),B241+ROW()/10000000,"")</f>
        <v/>
      </c>
    </row>
    <row r="242">
      <c r="A242" s="1" t="n"/>
      <c r="B242" s="24" t="n"/>
      <c r="C242" s="22" t="n"/>
      <c r="D242" s="23" t="n"/>
      <c r="E242" s="23" t="n"/>
      <c r="F242" s="23" t="n"/>
      <c r="G242" s="32" t="n"/>
      <c r="H242" s="1" t="n"/>
      <c r="I242">
        <f>IF(AND(B242&lt;&gt;"",C242&lt;&gt;"",B242&gt;=TODAY()),B242+ROW()/10000000,"")</f>
        <v/>
      </c>
    </row>
    <row r="243">
      <c r="A243" s="1" t="n"/>
      <c r="B243" s="24" t="n"/>
      <c r="C243" s="22" t="n"/>
      <c r="D243" s="23" t="n"/>
      <c r="E243" s="23" t="n"/>
      <c r="F243" s="23" t="n"/>
      <c r="G243" s="32" t="n"/>
      <c r="H243" s="1" t="n"/>
      <c r="I243">
        <f>IF(AND(B243&lt;&gt;"",C243&lt;&gt;"",B243&gt;=TODAY()),B243+ROW()/10000000,"")</f>
        <v/>
      </c>
    </row>
    <row r="244">
      <c r="A244" s="1" t="n"/>
      <c r="B244" s="24" t="n"/>
      <c r="C244" s="22" t="n"/>
      <c r="D244" s="23" t="n"/>
      <c r="E244" s="23" t="n"/>
      <c r="F244" s="23" t="n"/>
      <c r="G244" s="32" t="n"/>
      <c r="H244" s="1" t="n"/>
      <c r="I244">
        <f>IF(AND(B244&lt;&gt;"",C244&lt;&gt;"",B244&gt;=TODAY()),B244+ROW()/10000000,"")</f>
        <v/>
      </c>
    </row>
    <row r="245">
      <c r="A245" s="1" t="n"/>
      <c r="B245" s="24" t="n"/>
      <c r="C245" s="22" t="n"/>
      <c r="D245" s="23" t="n"/>
      <c r="E245" s="23" t="n"/>
      <c r="F245" s="23" t="n"/>
      <c r="G245" s="32" t="n"/>
      <c r="H245" s="1" t="n"/>
      <c r="I245">
        <f>IF(AND(B245&lt;&gt;"",C245&lt;&gt;"",B245&gt;=TODAY()),B245+ROW()/10000000,"")</f>
        <v/>
      </c>
    </row>
    <row r="246">
      <c r="A246" s="1" t="n"/>
      <c r="B246" s="24" t="n"/>
      <c r="C246" s="22" t="n"/>
      <c r="D246" s="23" t="n"/>
      <c r="E246" s="23" t="n"/>
      <c r="F246" s="23" t="n"/>
      <c r="G246" s="32" t="n"/>
      <c r="H246" s="1" t="n"/>
      <c r="I246">
        <f>IF(AND(B246&lt;&gt;"",C246&lt;&gt;"",B246&gt;=TODAY()),B246+ROW()/10000000,"")</f>
        <v/>
      </c>
    </row>
    <row r="247">
      <c r="A247" s="1" t="n"/>
      <c r="B247" s="24" t="n"/>
      <c r="C247" s="22" t="n"/>
      <c r="D247" s="23" t="n"/>
      <c r="E247" s="23" t="n"/>
      <c r="F247" s="23" t="n"/>
      <c r="G247" s="32" t="n"/>
      <c r="H247" s="1" t="n"/>
      <c r="I247">
        <f>IF(AND(B247&lt;&gt;"",C247&lt;&gt;"",B247&gt;=TODAY()),B247+ROW()/10000000,"")</f>
        <v/>
      </c>
    </row>
    <row r="248">
      <c r="A248" s="1" t="n"/>
      <c r="B248" s="24" t="n"/>
      <c r="C248" s="22" t="n"/>
      <c r="D248" s="23" t="n"/>
      <c r="E248" s="23" t="n"/>
      <c r="F248" s="23" t="n"/>
      <c r="G248" s="32" t="n"/>
      <c r="H248" s="1" t="n"/>
      <c r="I248">
        <f>IF(AND(B248&lt;&gt;"",C248&lt;&gt;"",B248&gt;=TODAY()),B248+ROW()/10000000,"")</f>
        <v/>
      </c>
    </row>
    <row r="249">
      <c r="A249" s="1" t="n"/>
      <c r="B249" s="24" t="n"/>
      <c r="C249" s="22" t="n"/>
      <c r="D249" s="23" t="n"/>
      <c r="E249" s="23" t="n"/>
      <c r="F249" s="23" t="n"/>
      <c r="G249" s="32" t="n"/>
      <c r="H249" s="1" t="n"/>
      <c r="I249">
        <f>IF(AND(B249&lt;&gt;"",C249&lt;&gt;"",B249&gt;=TODAY()),B249+ROW()/10000000,"")</f>
        <v/>
      </c>
    </row>
    <row r="250">
      <c r="A250" s="1" t="n"/>
      <c r="B250" s="24" t="n"/>
      <c r="C250" s="22" t="n"/>
      <c r="D250" s="23" t="n"/>
      <c r="E250" s="23" t="n"/>
      <c r="F250" s="23" t="n"/>
      <c r="G250" s="32" t="n"/>
      <c r="H250" s="1" t="n"/>
      <c r="I250">
        <f>IF(AND(B250&lt;&gt;"",C250&lt;&gt;"",B250&gt;=TODAY()),B250+ROW()/10000000,"")</f>
        <v/>
      </c>
    </row>
    <row r="251">
      <c r="A251" s="1" t="n"/>
      <c r="B251" s="24" t="n"/>
      <c r="C251" s="22" t="n"/>
      <c r="D251" s="23" t="n"/>
      <c r="E251" s="23" t="n"/>
      <c r="F251" s="23" t="n"/>
      <c r="G251" s="32" t="n"/>
      <c r="H251" s="1" t="n"/>
      <c r="I251">
        <f>IF(AND(B251&lt;&gt;"",C251&lt;&gt;"",B251&gt;=TODAY()),B251+ROW()/10000000,"")</f>
        <v/>
      </c>
    </row>
    <row r="252">
      <c r="A252" s="1" t="n"/>
      <c r="B252" s="24" t="n"/>
      <c r="C252" s="22" t="n"/>
      <c r="D252" s="23" t="n"/>
      <c r="E252" s="23" t="n"/>
      <c r="F252" s="23" t="n"/>
      <c r="G252" s="32" t="n"/>
      <c r="H252" s="1" t="n"/>
      <c r="I252">
        <f>IF(AND(B252&lt;&gt;"",C252&lt;&gt;"",B252&gt;=TODAY()),B252+ROW()/10000000,"")</f>
        <v/>
      </c>
    </row>
    <row r="253">
      <c r="A253" s="1" t="n"/>
      <c r="B253" s="24" t="n"/>
      <c r="C253" s="22" t="n"/>
      <c r="D253" s="23" t="n"/>
      <c r="E253" s="23" t="n"/>
      <c r="F253" s="23" t="n"/>
      <c r="G253" s="32" t="n"/>
      <c r="H253" s="1" t="n"/>
      <c r="I253">
        <f>IF(AND(B253&lt;&gt;"",C253&lt;&gt;"",B253&gt;=TODAY()),B253+ROW()/10000000,"")</f>
        <v/>
      </c>
    </row>
    <row r="254">
      <c r="A254" s="1" t="n"/>
      <c r="B254" s="24" t="n"/>
      <c r="C254" s="22" t="n"/>
      <c r="D254" s="23" t="n"/>
      <c r="E254" s="23" t="n"/>
      <c r="F254" s="23" t="n"/>
      <c r="G254" s="32" t="n"/>
      <c r="H254" s="1" t="n"/>
      <c r="I254">
        <f>IF(AND(B254&lt;&gt;"",C254&lt;&gt;"",B254&gt;=TODAY()),B254+ROW()/10000000,"")</f>
        <v/>
      </c>
    </row>
    <row r="255">
      <c r="A255" s="1" t="n"/>
      <c r="B255" s="24" t="n"/>
      <c r="C255" s="22" t="n"/>
      <c r="D255" s="23" t="n"/>
      <c r="E255" s="23" t="n"/>
      <c r="F255" s="23" t="n"/>
      <c r="G255" s="32" t="n"/>
      <c r="H255" s="1" t="n"/>
      <c r="I255">
        <f>IF(AND(B255&lt;&gt;"",C255&lt;&gt;"",B255&gt;=TODAY()),B255+ROW()/10000000,"")</f>
        <v/>
      </c>
    </row>
    <row r="256">
      <c r="A256" s="1" t="n"/>
      <c r="B256" s="24" t="n"/>
      <c r="C256" s="22" t="n"/>
      <c r="D256" s="23" t="n"/>
      <c r="E256" s="23" t="n"/>
      <c r="F256" s="23" t="n"/>
      <c r="G256" s="32" t="n"/>
      <c r="H256" s="1" t="n"/>
      <c r="I256">
        <f>IF(AND(B256&lt;&gt;"",C256&lt;&gt;"",B256&gt;=TODAY()),B256+ROW()/10000000,"")</f>
        <v/>
      </c>
    </row>
    <row r="257">
      <c r="A257" s="1" t="n"/>
      <c r="B257" s="24" t="n"/>
      <c r="C257" s="22" t="n"/>
      <c r="D257" s="23" t="n"/>
      <c r="E257" s="23" t="n"/>
      <c r="F257" s="23" t="n"/>
      <c r="G257" s="32" t="n"/>
      <c r="H257" s="1" t="n"/>
      <c r="I257">
        <f>IF(AND(B257&lt;&gt;"",C257&lt;&gt;"",B257&gt;=TODAY()),B257+ROW()/10000000,"")</f>
        <v/>
      </c>
    </row>
    <row r="258">
      <c r="A258" s="1" t="n"/>
      <c r="B258" s="24" t="n"/>
      <c r="C258" s="22" t="n"/>
      <c r="D258" s="23" t="n"/>
      <c r="E258" s="23" t="n"/>
      <c r="F258" s="23" t="n"/>
      <c r="G258" s="32" t="n"/>
      <c r="H258" s="1" t="n"/>
      <c r="I258">
        <f>IF(AND(B258&lt;&gt;"",C258&lt;&gt;"",B258&gt;=TODAY()),B258+ROW()/10000000,"")</f>
        <v/>
      </c>
    </row>
    <row r="259">
      <c r="A259" s="1" t="n"/>
      <c r="B259" s="24" t="n"/>
      <c r="C259" s="22" t="n"/>
      <c r="D259" s="23" t="n"/>
      <c r="E259" s="23" t="n"/>
      <c r="F259" s="23" t="n"/>
      <c r="G259" s="32" t="n"/>
      <c r="H259" s="1" t="n"/>
      <c r="I259">
        <f>IF(AND(B259&lt;&gt;"",C259&lt;&gt;"",B259&gt;=TODAY()),B259+ROW()/10000000,"")</f>
        <v/>
      </c>
    </row>
    <row r="260">
      <c r="A260" s="1" t="n"/>
      <c r="B260" s="24" t="n"/>
      <c r="C260" s="22" t="n"/>
      <c r="D260" s="23" t="n"/>
      <c r="E260" s="23" t="n"/>
      <c r="F260" s="23" t="n"/>
      <c r="G260" s="32" t="n"/>
      <c r="H260" s="1" t="n"/>
      <c r="I260">
        <f>IF(AND(B260&lt;&gt;"",C260&lt;&gt;"",B260&gt;=TODAY()),B260+ROW()/10000000,"")</f>
        <v/>
      </c>
    </row>
    <row r="261">
      <c r="A261" s="1" t="n"/>
      <c r="B261" s="24" t="n"/>
      <c r="C261" s="22" t="n"/>
      <c r="D261" s="23" t="n"/>
      <c r="E261" s="23" t="n"/>
      <c r="F261" s="23" t="n"/>
      <c r="G261" s="32" t="n"/>
      <c r="H261" s="1" t="n"/>
      <c r="I261">
        <f>IF(AND(B261&lt;&gt;"",C261&lt;&gt;"",B261&gt;=TODAY()),B261+ROW()/10000000,"")</f>
        <v/>
      </c>
    </row>
    <row r="262">
      <c r="A262" s="1" t="n"/>
      <c r="B262" s="24" t="n"/>
      <c r="C262" s="22" t="n"/>
      <c r="D262" s="23" t="n"/>
      <c r="E262" s="23" t="n"/>
      <c r="F262" s="23" t="n"/>
      <c r="G262" s="32" t="n"/>
      <c r="H262" s="1" t="n"/>
      <c r="I262">
        <f>IF(AND(B262&lt;&gt;"",C262&lt;&gt;"",B262&gt;=TODAY()),B262+ROW()/10000000,"")</f>
        <v/>
      </c>
    </row>
    <row r="263">
      <c r="A263" s="1" t="n"/>
      <c r="B263" s="24" t="n"/>
      <c r="C263" s="22" t="n"/>
      <c r="D263" s="23" t="n"/>
      <c r="E263" s="23" t="n"/>
      <c r="F263" s="23" t="n"/>
      <c r="G263" s="32" t="n"/>
      <c r="H263" s="1" t="n"/>
      <c r="I263">
        <f>IF(AND(B263&lt;&gt;"",C263&lt;&gt;"",B263&gt;=TODAY()),B263+ROW()/10000000,"")</f>
        <v/>
      </c>
    </row>
    <row r="264">
      <c r="A264" s="1" t="n"/>
      <c r="B264" s="24" t="n"/>
      <c r="C264" s="22" t="n"/>
      <c r="D264" s="23" t="n"/>
      <c r="E264" s="23" t="n"/>
      <c r="F264" s="23" t="n"/>
      <c r="G264" s="32" t="n"/>
      <c r="H264" s="1" t="n"/>
      <c r="I264">
        <f>IF(AND(B264&lt;&gt;"",C264&lt;&gt;"",B264&gt;=TODAY()),B264+ROW()/10000000,"")</f>
        <v/>
      </c>
    </row>
    <row r="265">
      <c r="A265" s="1" t="n"/>
      <c r="B265" s="24" t="n"/>
      <c r="C265" s="22" t="n"/>
      <c r="D265" s="23" t="n"/>
      <c r="E265" s="23" t="n"/>
      <c r="F265" s="23" t="n"/>
      <c r="G265" s="32" t="n"/>
      <c r="H265" s="1" t="n"/>
      <c r="I265">
        <f>IF(AND(B265&lt;&gt;"",C265&lt;&gt;"",B265&gt;=TODAY()),B265+ROW()/10000000,"")</f>
        <v/>
      </c>
    </row>
    <row r="266">
      <c r="A266" s="1" t="n"/>
      <c r="B266" s="24" t="n"/>
      <c r="C266" s="22" t="n"/>
      <c r="D266" s="23" t="n"/>
      <c r="E266" s="23" t="n"/>
      <c r="F266" s="23" t="n"/>
      <c r="G266" s="32" t="n"/>
      <c r="H266" s="1" t="n"/>
      <c r="I266">
        <f>IF(AND(B266&lt;&gt;"",C266&lt;&gt;"",B266&gt;=TODAY()),B266+ROW()/10000000,"")</f>
        <v/>
      </c>
    </row>
    <row r="267">
      <c r="A267" s="1" t="n"/>
      <c r="B267" s="24" t="n"/>
      <c r="C267" s="22" t="n"/>
      <c r="D267" s="23" t="n"/>
      <c r="E267" s="23" t="n"/>
      <c r="F267" s="23" t="n"/>
      <c r="G267" s="32" t="n"/>
      <c r="H267" s="1" t="n"/>
      <c r="I267">
        <f>IF(AND(B267&lt;&gt;"",C267&lt;&gt;"",B267&gt;=TODAY()),B267+ROW()/10000000,"")</f>
        <v/>
      </c>
    </row>
    <row r="268">
      <c r="A268" s="1" t="n"/>
      <c r="B268" s="24" t="n"/>
      <c r="C268" s="22" t="n"/>
      <c r="D268" s="23" t="n"/>
      <c r="E268" s="23" t="n"/>
      <c r="F268" s="23" t="n"/>
      <c r="G268" s="32" t="n"/>
      <c r="H268" s="1" t="n"/>
      <c r="I268">
        <f>IF(AND(B268&lt;&gt;"",C268&lt;&gt;"",B268&gt;=TODAY()),B268+ROW()/10000000,"")</f>
        <v/>
      </c>
    </row>
    <row r="269">
      <c r="A269" s="1" t="n"/>
      <c r="B269" s="24" t="n"/>
      <c r="C269" s="22" t="n"/>
      <c r="D269" s="23" t="n"/>
      <c r="E269" s="23" t="n"/>
      <c r="F269" s="23" t="n"/>
      <c r="G269" s="32" t="n"/>
      <c r="H269" s="1" t="n"/>
      <c r="I269">
        <f>IF(AND(B269&lt;&gt;"",C269&lt;&gt;"",B269&gt;=TODAY()),B269+ROW()/10000000,"")</f>
        <v/>
      </c>
    </row>
    <row r="270">
      <c r="A270" s="1" t="n"/>
      <c r="B270" s="24" t="n"/>
      <c r="C270" s="22" t="n"/>
      <c r="D270" s="23" t="n"/>
      <c r="E270" s="23" t="n"/>
      <c r="F270" s="23" t="n"/>
      <c r="G270" s="32" t="n"/>
      <c r="H270" s="1" t="n"/>
      <c r="I270">
        <f>IF(AND(B270&lt;&gt;"",C270&lt;&gt;"",B270&gt;=TODAY()),B270+ROW()/10000000,"")</f>
        <v/>
      </c>
    </row>
    <row r="271">
      <c r="A271" s="1" t="n"/>
      <c r="B271" s="24" t="n"/>
      <c r="C271" s="22" t="n"/>
      <c r="D271" s="23" t="n"/>
      <c r="E271" s="23" t="n"/>
      <c r="F271" s="23" t="n"/>
      <c r="G271" s="32" t="n"/>
      <c r="H271" s="1" t="n"/>
      <c r="I271">
        <f>IF(AND(B271&lt;&gt;"",C271&lt;&gt;"",B271&gt;=TODAY()),B271+ROW()/10000000,"")</f>
        <v/>
      </c>
    </row>
    <row r="272">
      <c r="A272" s="1" t="n"/>
      <c r="B272" s="24" t="n"/>
      <c r="C272" s="22" t="n"/>
      <c r="D272" s="23" t="n"/>
      <c r="E272" s="23" t="n"/>
      <c r="F272" s="23" t="n"/>
      <c r="G272" s="32" t="n"/>
      <c r="H272" s="1" t="n"/>
      <c r="I272">
        <f>IF(AND(B272&lt;&gt;"",C272&lt;&gt;"",B272&gt;=TODAY()),B272+ROW()/10000000,"")</f>
        <v/>
      </c>
    </row>
    <row r="273">
      <c r="A273" s="1" t="n"/>
      <c r="B273" s="24" t="n"/>
      <c r="C273" s="22" t="n"/>
      <c r="D273" s="23" t="n"/>
      <c r="E273" s="23" t="n"/>
      <c r="F273" s="23" t="n"/>
      <c r="G273" s="32" t="n"/>
      <c r="H273" s="1" t="n"/>
      <c r="I273">
        <f>IF(AND(B273&lt;&gt;"",C273&lt;&gt;"",B273&gt;=TODAY()),B273+ROW()/10000000,"")</f>
        <v/>
      </c>
    </row>
    <row r="274">
      <c r="A274" s="1" t="n"/>
      <c r="B274" s="24" t="n"/>
      <c r="C274" s="22" t="n"/>
      <c r="D274" s="23" t="n"/>
      <c r="E274" s="23" t="n"/>
      <c r="F274" s="23" t="n"/>
      <c r="G274" s="32" t="n"/>
      <c r="H274" s="1" t="n"/>
      <c r="I274">
        <f>IF(AND(B274&lt;&gt;"",C274&lt;&gt;"",B274&gt;=TODAY()),B274+ROW()/10000000,"")</f>
        <v/>
      </c>
    </row>
    <row r="275">
      <c r="A275" s="1" t="n"/>
      <c r="B275" s="24" t="n"/>
      <c r="C275" s="22" t="n"/>
      <c r="D275" s="23" t="n"/>
      <c r="E275" s="23" t="n"/>
      <c r="F275" s="23" t="n"/>
      <c r="G275" s="32" t="n"/>
      <c r="H275" s="1" t="n"/>
      <c r="I275">
        <f>IF(AND(B275&lt;&gt;"",C275&lt;&gt;"",B275&gt;=TODAY()),B275+ROW()/10000000,"")</f>
        <v/>
      </c>
    </row>
    <row r="276">
      <c r="A276" s="1" t="n"/>
      <c r="B276" s="24" t="n"/>
      <c r="C276" s="22" t="n"/>
      <c r="D276" s="23" t="n"/>
      <c r="E276" s="23" t="n"/>
      <c r="F276" s="23" t="n"/>
      <c r="G276" s="32" t="n"/>
      <c r="H276" s="1" t="n"/>
      <c r="I276">
        <f>IF(AND(B276&lt;&gt;"",C276&lt;&gt;"",B276&gt;=TODAY()),B276+ROW()/10000000,"")</f>
        <v/>
      </c>
    </row>
    <row r="277">
      <c r="A277" s="1" t="n"/>
      <c r="B277" s="24" t="n"/>
      <c r="C277" s="22" t="n"/>
      <c r="D277" s="23" t="n"/>
      <c r="E277" s="23" t="n"/>
      <c r="F277" s="23" t="n"/>
      <c r="G277" s="32" t="n"/>
      <c r="H277" s="1" t="n"/>
      <c r="I277">
        <f>IF(AND(B277&lt;&gt;"",C277&lt;&gt;"",B277&gt;=TODAY()),B277+ROW()/10000000,"")</f>
        <v/>
      </c>
    </row>
    <row r="278">
      <c r="A278" s="1" t="n"/>
      <c r="B278" s="24" t="n"/>
      <c r="C278" s="22" t="n"/>
      <c r="D278" s="23" t="n"/>
      <c r="E278" s="23" t="n"/>
      <c r="F278" s="23" t="n"/>
      <c r="G278" s="32" t="n"/>
      <c r="H278" s="1" t="n"/>
      <c r="I278">
        <f>IF(AND(B278&lt;&gt;"",C278&lt;&gt;"",B278&gt;=TODAY()),B278+ROW()/10000000,"")</f>
        <v/>
      </c>
    </row>
    <row r="279">
      <c r="A279" s="1" t="n"/>
      <c r="B279" s="24" t="n"/>
      <c r="C279" s="22" t="n"/>
      <c r="D279" s="23" t="n"/>
      <c r="E279" s="23" t="n"/>
      <c r="F279" s="23" t="n"/>
      <c r="G279" s="32" t="n"/>
      <c r="H279" s="1" t="n"/>
      <c r="I279">
        <f>IF(AND(B279&lt;&gt;"",C279&lt;&gt;"",B279&gt;=TODAY()),B279+ROW()/10000000,"")</f>
        <v/>
      </c>
    </row>
    <row r="280">
      <c r="A280" s="1" t="n"/>
      <c r="B280" s="24" t="n"/>
      <c r="C280" s="22" t="n"/>
      <c r="D280" s="23" t="n"/>
      <c r="E280" s="23" t="n"/>
      <c r="F280" s="23" t="n"/>
      <c r="G280" s="32" t="n"/>
      <c r="H280" s="1" t="n"/>
      <c r="I280">
        <f>IF(AND(B280&lt;&gt;"",C280&lt;&gt;"",B280&gt;=TODAY()),B280+ROW()/10000000,"")</f>
        <v/>
      </c>
    </row>
    <row r="281">
      <c r="A281" s="1" t="n"/>
      <c r="B281" s="24" t="n"/>
      <c r="C281" s="22" t="n"/>
      <c r="D281" s="23" t="n"/>
      <c r="E281" s="23" t="n"/>
      <c r="F281" s="23" t="n"/>
      <c r="G281" s="32" t="n"/>
      <c r="H281" s="1" t="n"/>
      <c r="I281">
        <f>IF(AND(B281&lt;&gt;"",C281&lt;&gt;"",B281&gt;=TODAY()),B281+ROW()/10000000,"")</f>
        <v/>
      </c>
    </row>
    <row r="282">
      <c r="A282" s="1" t="n"/>
      <c r="B282" s="24" t="n"/>
      <c r="C282" s="22" t="n"/>
      <c r="D282" s="23" t="n"/>
      <c r="E282" s="23" t="n"/>
      <c r="F282" s="23" t="n"/>
      <c r="G282" s="32" t="n"/>
      <c r="H282" s="1" t="n"/>
      <c r="I282">
        <f>IF(AND(B282&lt;&gt;"",C282&lt;&gt;"",B282&gt;=TODAY()),B282+ROW()/10000000,"")</f>
        <v/>
      </c>
    </row>
    <row r="283">
      <c r="A283" s="1" t="n"/>
      <c r="B283" s="24" t="n"/>
      <c r="C283" s="22" t="n"/>
      <c r="D283" s="23" t="n"/>
      <c r="E283" s="23" t="n"/>
      <c r="F283" s="23" t="n"/>
      <c r="G283" s="32" t="n"/>
      <c r="H283" s="1" t="n"/>
      <c r="I283">
        <f>IF(AND(B283&lt;&gt;"",C283&lt;&gt;"",B283&gt;=TODAY()),B283+ROW()/10000000,"")</f>
        <v/>
      </c>
    </row>
    <row r="284">
      <c r="A284" s="1" t="n"/>
      <c r="B284" s="24" t="n"/>
      <c r="C284" s="22" t="n"/>
      <c r="D284" s="23" t="n"/>
      <c r="E284" s="23" t="n"/>
      <c r="F284" s="23" t="n"/>
      <c r="G284" s="32" t="n"/>
      <c r="H284" s="1" t="n"/>
      <c r="I284">
        <f>IF(AND(B284&lt;&gt;"",C284&lt;&gt;"",B284&gt;=TODAY()),B284+ROW()/10000000,"")</f>
        <v/>
      </c>
    </row>
    <row r="285">
      <c r="A285" s="1" t="n"/>
      <c r="B285" s="24" t="n"/>
      <c r="C285" s="22" t="n"/>
      <c r="D285" s="23" t="n"/>
      <c r="E285" s="23" t="n"/>
      <c r="F285" s="23" t="n"/>
      <c r="G285" s="32" t="n"/>
      <c r="H285" s="1" t="n"/>
      <c r="I285">
        <f>IF(AND(B285&lt;&gt;"",C285&lt;&gt;"",B285&gt;=TODAY()),B285+ROW()/10000000,"")</f>
        <v/>
      </c>
    </row>
    <row r="286">
      <c r="A286" s="1" t="n"/>
      <c r="B286" s="24" t="n"/>
      <c r="C286" s="22" t="n"/>
      <c r="D286" s="23" t="n"/>
      <c r="E286" s="23" t="n"/>
      <c r="F286" s="23" t="n"/>
      <c r="G286" s="32" t="n"/>
      <c r="H286" s="1" t="n"/>
      <c r="I286">
        <f>IF(AND(B286&lt;&gt;"",C286&lt;&gt;"",B286&gt;=TODAY()),B286+ROW()/10000000,"")</f>
        <v/>
      </c>
    </row>
    <row r="287">
      <c r="A287" s="1" t="n"/>
      <c r="B287" s="24" t="n"/>
      <c r="C287" s="22" t="n"/>
      <c r="D287" s="23" t="n"/>
      <c r="E287" s="23" t="n"/>
      <c r="F287" s="23" t="n"/>
      <c r="G287" s="32" t="n"/>
      <c r="H287" s="1" t="n"/>
      <c r="I287">
        <f>IF(AND(B287&lt;&gt;"",C287&lt;&gt;"",B287&gt;=TODAY()),B287+ROW()/10000000,"")</f>
        <v/>
      </c>
    </row>
    <row r="288">
      <c r="A288" s="1" t="n"/>
      <c r="B288" s="24" t="n"/>
      <c r="C288" s="22" t="n"/>
      <c r="D288" s="23" t="n"/>
      <c r="E288" s="23" t="n"/>
      <c r="F288" s="23" t="n"/>
      <c r="G288" s="32" t="n"/>
      <c r="H288" s="1" t="n"/>
      <c r="I288">
        <f>IF(AND(B288&lt;&gt;"",C288&lt;&gt;"",B288&gt;=TODAY()),B288+ROW()/10000000,"")</f>
        <v/>
      </c>
    </row>
    <row r="289">
      <c r="A289" s="1" t="n"/>
      <c r="B289" s="24" t="n"/>
      <c r="C289" s="22" t="n"/>
      <c r="D289" s="23" t="n"/>
      <c r="E289" s="23" t="n"/>
      <c r="F289" s="23" t="n"/>
      <c r="G289" s="32" t="n"/>
      <c r="H289" s="1" t="n"/>
      <c r="I289">
        <f>IF(AND(B289&lt;&gt;"",C289&lt;&gt;"",B289&gt;=TODAY()),B289+ROW()/10000000,"")</f>
        <v/>
      </c>
    </row>
    <row r="290">
      <c r="A290" s="1" t="n"/>
      <c r="B290" s="24" t="n"/>
      <c r="C290" s="22" t="n"/>
      <c r="D290" s="23" t="n"/>
      <c r="E290" s="23" t="n"/>
      <c r="F290" s="23" t="n"/>
      <c r="G290" s="32" t="n"/>
      <c r="H290" s="1" t="n"/>
      <c r="I290">
        <f>IF(AND(B290&lt;&gt;"",C290&lt;&gt;"",B290&gt;=TODAY()),B290+ROW()/10000000,"")</f>
        <v/>
      </c>
    </row>
    <row r="291">
      <c r="A291" s="1" t="n"/>
      <c r="B291" s="24" t="n"/>
      <c r="C291" s="22" t="n"/>
      <c r="D291" s="23" t="n"/>
      <c r="E291" s="23" t="n"/>
      <c r="F291" s="23" t="n"/>
      <c r="G291" s="32" t="n"/>
      <c r="H291" s="1" t="n"/>
      <c r="I291">
        <f>IF(AND(B291&lt;&gt;"",C291&lt;&gt;"",B291&gt;=TODAY()),B291+ROW()/10000000,"")</f>
        <v/>
      </c>
    </row>
    <row r="292">
      <c r="A292" s="1" t="n"/>
      <c r="B292" s="24" t="n"/>
      <c r="C292" s="22" t="n"/>
      <c r="D292" s="23" t="n"/>
      <c r="E292" s="23" t="n"/>
      <c r="F292" s="23" t="n"/>
      <c r="G292" s="32" t="n"/>
      <c r="H292" s="1" t="n"/>
      <c r="I292">
        <f>IF(AND(B292&lt;&gt;"",C292&lt;&gt;"",B292&gt;=TODAY()),B292+ROW()/10000000,"")</f>
        <v/>
      </c>
    </row>
    <row r="293">
      <c r="A293" s="1" t="n"/>
      <c r="B293" s="24" t="n"/>
      <c r="C293" s="22" t="n"/>
      <c r="D293" s="23" t="n"/>
      <c r="E293" s="23" t="n"/>
      <c r="F293" s="23" t="n"/>
      <c r="G293" s="32" t="n"/>
      <c r="H293" s="1" t="n"/>
      <c r="I293">
        <f>IF(AND(B293&lt;&gt;"",C293&lt;&gt;"",B293&gt;=TODAY()),B293+ROW()/10000000,"")</f>
        <v/>
      </c>
    </row>
    <row r="294">
      <c r="A294" s="1" t="n"/>
      <c r="B294" s="24" t="n"/>
      <c r="C294" s="22" t="n"/>
      <c r="D294" s="23" t="n"/>
      <c r="E294" s="23" t="n"/>
      <c r="F294" s="23" t="n"/>
      <c r="G294" s="32" t="n"/>
      <c r="H294" s="1" t="n"/>
      <c r="I294">
        <f>IF(AND(B294&lt;&gt;"",C294&lt;&gt;"",B294&gt;=TODAY()),B294+ROW()/10000000,"")</f>
        <v/>
      </c>
    </row>
    <row r="295">
      <c r="A295" s="1" t="n"/>
      <c r="B295" s="24" t="n"/>
      <c r="C295" s="22" t="n"/>
      <c r="D295" s="23" t="n"/>
      <c r="E295" s="23" t="n"/>
      <c r="F295" s="23" t="n"/>
      <c r="G295" s="32" t="n"/>
      <c r="H295" s="1" t="n"/>
      <c r="I295">
        <f>IF(AND(B295&lt;&gt;"",C295&lt;&gt;"",B295&gt;=TODAY()),B295+ROW()/10000000,"")</f>
        <v/>
      </c>
    </row>
    <row r="296">
      <c r="A296" s="1" t="n"/>
      <c r="B296" s="24" t="n"/>
      <c r="C296" s="22" t="n"/>
      <c r="D296" s="23" t="n"/>
      <c r="E296" s="23" t="n"/>
      <c r="F296" s="23" t="n"/>
      <c r="G296" s="32" t="n"/>
      <c r="H296" s="1" t="n"/>
      <c r="I296">
        <f>IF(AND(B296&lt;&gt;"",C296&lt;&gt;"",B296&gt;=TODAY()),B296+ROW()/10000000,"")</f>
        <v/>
      </c>
    </row>
    <row r="297">
      <c r="A297" s="1" t="n"/>
      <c r="B297" s="24" t="n"/>
      <c r="C297" s="22" t="n"/>
      <c r="D297" s="23" t="n"/>
      <c r="E297" s="23" t="n"/>
      <c r="F297" s="23" t="n"/>
      <c r="G297" s="32" t="n"/>
      <c r="H297" s="1" t="n"/>
      <c r="I297">
        <f>IF(AND(B297&lt;&gt;"",C297&lt;&gt;"",B297&gt;=TODAY()),B297+ROW()/10000000,"")</f>
        <v/>
      </c>
    </row>
    <row r="298">
      <c r="A298" s="1" t="n"/>
      <c r="B298" s="24" t="n"/>
      <c r="C298" s="22" t="n"/>
      <c r="D298" s="23" t="n"/>
      <c r="E298" s="23" t="n"/>
      <c r="F298" s="23" t="n"/>
      <c r="G298" s="32" t="n"/>
      <c r="H298" s="1" t="n"/>
      <c r="I298">
        <f>IF(AND(B298&lt;&gt;"",C298&lt;&gt;"",B298&gt;=TODAY()),B298+ROW()/10000000,"")</f>
        <v/>
      </c>
    </row>
    <row r="299">
      <c r="A299" s="1" t="n"/>
      <c r="B299" s="24" t="n"/>
      <c r="C299" s="22" t="n"/>
      <c r="D299" s="23" t="n"/>
      <c r="E299" s="23" t="n"/>
      <c r="F299" s="23" t="n"/>
      <c r="G299" s="32" t="n"/>
      <c r="H299" s="1" t="n"/>
      <c r="I299">
        <f>IF(AND(B299&lt;&gt;"",C299&lt;&gt;"",B299&gt;=TODAY()),B299+ROW()/10000000,"")</f>
        <v/>
      </c>
    </row>
    <row r="300">
      <c r="A300" s="1" t="n"/>
      <c r="B300" s="24" t="n"/>
      <c r="C300" s="22" t="n"/>
      <c r="D300" s="23" t="n"/>
      <c r="E300" s="23" t="n"/>
      <c r="F300" s="23" t="n"/>
      <c r="G300" s="32" t="n"/>
      <c r="H300" s="1" t="n"/>
      <c r="I300">
        <f>IF(AND(B300&lt;&gt;"",C300&lt;&gt;"",B300&gt;=TODAY()),B300+ROW()/10000000,"")</f>
        <v/>
      </c>
    </row>
    <row r="301">
      <c r="A301" s="1" t="n"/>
      <c r="B301" s="24" t="n"/>
      <c r="C301" s="22" t="n"/>
      <c r="D301" s="23" t="n"/>
      <c r="E301" s="23" t="n"/>
      <c r="F301" s="23" t="n"/>
      <c r="G301" s="32" t="n"/>
      <c r="H301" s="1" t="n"/>
      <c r="I301">
        <f>IF(AND(B301&lt;&gt;"",C301&lt;&gt;"",B301&gt;=TODAY()),B301+ROW()/10000000,"")</f>
        <v/>
      </c>
    </row>
    <row r="302">
      <c r="A302" s="1" t="n"/>
      <c r="B302" s="24" t="n"/>
      <c r="C302" s="22" t="n"/>
      <c r="D302" s="23" t="n"/>
      <c r="E302" s="23" t="n"/>
      <c r="F302" s="23" t="n"/>
      <c r="G302" s="32" t="n"/>
      <c r="H302" s="1" t="n"/>
      <c r="I302">
        <f>IF(AND(B302&lt;&gt;"",C302&lt;&gt;"",B302&gt;=TODAY()),B302+ROW()/10000000,"")</f>
        <v/>
      </c>
    </row>
    <row r="303">
      <c r="A303" s="1" t="n"/>
      <c r="B303" s="24" t="n"/>
      <c r="C303" s="22" t="n"/>
      <c r="D303" s="23" t="n"/>
      <c r="E303" s="23" t="n"/>
      <c r="F303" s="23" t="n"/>
      <c r="G303" s="32" t="n"/>
      <c r="H303" s="1" t="n"/>
      <c r="I303">
        <f>IF(AND(B303&lt;&gt;"",C303&lt;&gt;"",B303&gt;=TODAY()),B303+ROW()/10000000,"")</f>
        <v/>
      </c>
    </row>
    <row r="304">
      <c r="A304" s="1" t="n"/>
      <c r="B304" s="24" t="n"/>
      <c r="C304" s="22" t="n"/>
      <c r="D304" s="23" t="n"/>
      <c r="E304" s="23" t="n"/>
      <c r="F304" s="23" t="n"/>
      <c r="G304" s="32" t="n"/>
      <c r="H304" s="1" t="n"/>
      <c r="I304">
        <f>IF(AND(B304&lt;&gt;"",C304&lt;&gt;"",B304&gt;=TODAY()),B304+ROW()/10000000,"")</f>
        <v/>
      </c>
    </row>
    <row r="305">
      <c r="A305" s="1" t="n"/>
      <c r="B305" s="24" t="n"/>
      <c r="C305" s="22" t="n"/>
      <c r="D305" s="23" t="n"/>
      <c r="E305" s="23" t="n"/>
      <c r="F305" s="23" t="n"/>
      <c r="G305" s="32" t="n"/>
      <c r="H305" s="1" t="n"/>
      <c r="I305">
        <f>IF(AND(B305&lt;&gt;"",C305&lt;&gt;"",B305&gt;=TODAY()),B305+ROW()/10000000,"")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</sheetData>
  <conditionalFormatting sqref="B6:G305">
    <cfRule type="expression" priority="1" dxfId="3">
      <formula>AND($B6&lt;&gt;"",$B6&gt;=TODAY())</formula>
    </cfRule>
  </conditionalFormatting>
  <dataValidations count="1">
    <dataValidation sqref="C6:C305" showDropDown="0" showInputMessage="0" showErrorMessage="1" allowBlank="1" type="list">
      <formula1>=Pets!$B$6:$B$25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10" customWidth="1" min="4" max="4"/>
    <col width="30" customWidth="1" min="5" max="5"/>
    <col hidden="1" width="13" customWidth="1" min="6" max="6"/>
    <col hidden="1" width="13" customWidth="1" min="7" max="7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Weight</t>
        </is>
      </c>
      <c r="C2" s="1" t="n"/>
      <c r="D2" s="1" t="n"/>
      <c r="E2" s="1" t="n"/>
      <c r="F2" s="1" t="n"/>
    </row>
    <row r="3">
      <c r="A3" s="1" t="n"/>
      <c r="B3" s="3" t="inlineStr">
        <is>
          <t>Weigh each pet now and then, in the unit you like. The Pets tab shows the latest weight and the change since the time before.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13" t="inlineStr">
        <is>
          <t>Date</t>
        </is>
      </c>
      <c r="C5" s="13" t="inlineStr">
        <is>
          <t>Pet</t>
        </is>
      </c>
      <c r="D5" s="13" t="inlineStr">
        <is>
          <t>Weight</t>
        </is>
      </c>
      <c r="E5" s="13" t="inlineStr">
        <is>
          <t>Notes</t>
        </is>
      </c>
      <c r="F5" s="1" t="n"/>
    </row>
    <row r="6">
      <c r="A6" s="1" t="n"/>
      <c r="B6" s="24" t="n">
        <v>46048</v>
      </c>
      <c r="C6" s="22" t="inlineStr">
        <is>
          <t>Biscuit</t>
        </is>
      </c>
      <c r="D6" s="33" t="n">
        <v>33.2</v>
      </c>
      <c r="E6" s="23" t="n"/>
      <c r="F6" s="1">
        <f>IF(G6="","",COUNTIFS(Weight!$C$6:$C$505,C6,Weight!$G$6:$G$505,"&gt;"&amp;G6))</f>
        <v/>
      </c>
      <c r="G6">
        <f>IF(OR(B6="",C6="",D6=""),"",B6+ROW()/10000000)</f>
        <v/>
      </c>
    </row>
    <row r="7">
      <c r="A7" s="1" t="n"/>
      <c r="B7" s="24" t="n">
        <v>46048</v>
      </c>
      <c r="C7" s="22" t="inlineStr">
        <is>
          <t>Clover</t>
        </is>
      </c>
      <c r="D7" s="33" t="n">
        <v>1.72</v>
      </c>
      <c r="E7" s="23" t="n"/>
      <c r="F7" s="1">
        <f>IF(G7="","",COUNTIFS(Weight!$C$6:$C$505,C7,Weight!$G$6:$G$505,"&gt;"&amp;G7))</f>
        <v/>
      </c>
      <c r="G7">
        <f>IF(OR(B7="",C7="",D7=""),"",B7+ROW()/10000000)</f>
        <v/>
      </c>
    </row>
    <row r="8">
      <c r="A8" s="1" t="n"/>
      <c r="B8" s="24" t="n">
        <v>46048</v>
      </c>
      <c r="C8" s="22" t="inlineStr">
        <is>
          <t>Miso</t>
        </is>
      </c>
      <c r="D8" s="33" t="n">
        <v>5.6</v>
      </c>
      <c r="E8" s="23" t="n"/>
      <c r="F8" s="1">
        <f>IF(G8="","",COUNTIFS(Weight!$C$6:$C$505,C8,Weight!$G$6:$G$505,"&gt;"&amp;G8))</f>
        <v/>
      </c>
      <c r="G8">
        <f>IF(OR(B8="",C8="",D8=""),"",B8+ROW()/10000000)</f>
        <v/>
      </c>
    </row>
    <row r="9">
      <c r="A9" s="1" t="n"/>
      <c r="B9" s="24" t="n">
        <v>46079</v>
      </c>
      <c r="C9" s="22" t="inlineStr">
        <is>
          <t>Biscuit</t>
        </is>
      </c>
      <c r="D9" s="33" t="n">
        <v>33.3</v>
      </c>
      <c r="E9" s="23" t="n"/>
      <c r="F9" s="1">
        <f>IF(G9="","",COUNTIFS(Weight!$C$6:$C$505,C9,Weight!$G$6:$G$505,"&gt;"&amp;G9))</f>
        <v/>
      </c>
      <c r="G9">
        <f>IF(OR(B9="",C9="",D9=""),"",B9+ROW()/10000000)</f>
        <v/>
      </c>
    </row>
    <row r="10">
      <c r="A10" s="1" t="n"/>
      <c r="B10" s="24" t="n">
        <v>46079</v>
      </c>
      <c r="C10" s="22" t="inlineStr">
        <is>
          <t>Clover</t>
        </is>
      </c>
      <c r="D10" s="33" t="n">
        <v>1.73</v>
      </c>
      <c r="E10" s="23" t="n"/>
      <c r="F10" s="1">
        <f>IF(G10="","",COUNTIFS(Weight!$C$6:$C$505,C10,Weight!$G$6:$G$505,"&gt;"&amp;G10))</f>
        <v/>
      </c>
      <c r="G10">
        <f>IF(OR(B10="",C10="",D10=""),"",B10+ROW()/10000000)</f>
        <v/>
      </c>
    </row>
    <row r="11">
      <c r="A11" s="1" t="n"/>
      <c r="B11" s="24" t="n">
        <v>46079</v>
      </c>
      <c r="C11" s="22" t="inlineStr">
        <is>
          <t>Miso</t>
        </is>
      </c>
      <c r="D11" s="33" t="n">
        <v>5.5</v>
      </c>
      <c r="E11" s="23" t="n"/>
      <c r="F11" s="1">
        <f>IF(G11="","",COUNTIFS(Weight!$C$6:$C$505,C11,Weight!$G$6:$G$505,"&gt;"&amp;G11))</f>
        <v/>
      </c>
      <c r="G11">
        <f>IF(OR(B11="",C11="",D11=""),"",B11+ROW()/10000000)</f>
        <v/>
      </c>
    </row>
    <row r="12">
      <c r="A12" s="1" t="n"/>
      <c r="B12" s="24" t="n">
        <v>46107</v>
      </c>
      <c r="C12" s="22" t="inlineStr">
        <is>
          <t>Biscuit</t>
        </is>
      </c>
      <c r="D12" s="33" t="n">
        <v>33.5</v>
      </c>
      <c r="E12" s="23" t="n"/>
      <c r="F12" s="1">
        <f>IF(G12="","",COUNTIFS(Weight!$C$6:$C$505,C12,Weight!$G$6:$G$505,"&gt;"&amp;G12))</f>
        <v/>
      </c>
      <c r="G12">
        <f>IF(OR(B12="",C12="",D12=""),"",B12+ROW()/10000000)</f>
        <v/>
      </c>
    </row>
    <row r="13">
      <c r="A13" s="1" t="n"/>
      <c r="B13" s="24" t="n">
        <v>46107</v>
      </c>
      <c r="C13" s="22" t="inlineStr">
        <is>
          <t>Clover</t>
        </is>
      </c>
      <c r="D13" s="33" t="n">
        <v>1.75</v>
      </c>
      <c r="E13" s="23" t="n"/>
      <c r="F13" s="1">
        <f>IF(G13="","",COUNTIFS(Weight!$C$6:$C$505,C13,Weight!$G$6:$G$505,"&gt;"&amp;G13))</f>
        <v/>
      </c>
      <c r="G13">
        <f>IF(OR(B13="",C13="",D13=""),"",B13+ROW()/10000000)</f>
        <v/>
      </c>
    </row>
    <row r="14">
      <c r="A14" s="1" t="n"/>
      <c r="B14" s="24" t="n">
        <v>46107</v>
      </c>
      <c r="C14" s="22" t="inlineStr">
        <is>
          <t>Miso</t>
        </is>
      </c>
      <c r="D14" s="33" t="n">
        <v>5.5</v>
      </c>
      <c r="E14" s="23" t="n"/>
      <c r="F14" s="1">
        <f>IF(G14="","",COUNTIFS(Weight!$C$6:$C$505,C14,Weight!$G$6:$G$505,"&gt;"&amp;G14))</f>
        <v/>
      </c>
      <c r="G14">
        <f>IF(OR(B14="",C14="",D14=""),"",B14+ROW()/10000000)</f>
        <v/>
      </c>
    </row>
    <row r="15">
      <c r="A15" s="1" t="n"/>
      <c r="B15" s="24" t="n">
        <v>46138</v>
      </c>
      <c r="C15" s="22" t="inlineStr">
        <is>
          <t>Biscuit</t>
        </is>
      </c>
      <c r="D15" s="33" t="n">
        <v>33.7</v>
      </c>
      <c r="E15" s="23" t="n"/>
      <c r="F15" s="1">
        <f>IF(G15="","",COUNTIFS(Weight!$C$6:$C$505,C15,Weight!$G$6:$G$505,"&gt;"&amp;G15))</f>
        <v/>
      </c>
      <c r="G15">
        <f>IF(OR(B15="",C15="",D15=""),"",B15+ROW()/10000000)</f>
        <v/>
      </c>
    </row>
    <row r="16">
      <c r="A16" s="1" t="n"/>
      <c r="B16" s="24" t="n">
        <v>46138</v>
      </c>
      <c r="C16" s="22" t="inlineStr">
        <is>
          <t>Clover</t>
        </is>
      </c>
      <c r="D16" s="33" t="n">
        <v>1.77</v>
      </c>
      <c r="E16" s="23" t="n"/>
      <c r="F16" s="1">
        <f>IF(G16="","",COUNTIFS(Weight!$C$6:$C$505,C16,Weight!$G$6:$G$505,"&gt;"&amp;G16))</f>
        <v/>
      </c>
      <c r="G16">
        <f>IF(OR(B16="",C16="",D16=""),"",B16+ROW()/10000000)</f>
        <v/>
      </c>
    </row>
    <row r="17">
      <c r="A17" s="1" t="n"/>
      <c r="B17" s="24" t="n">
        <v>46138</v>
      </c>
      <c r="C17" s="22" t="inlineStr">
        <is>
          <t>Miso</t>
        </is>
      </c>
      <c r="D17" s="33" t="n">
        <v>5.5</v>
      </c>
      <c r="E17" s="23" t="n"/>
      <c r="F17" s="1">
        <f>IF(G17="","",COUNTIFS(Weight!$C$6:$C$505,C17,Weight!$G$6:$G$505,"&gt;"&amp;G17))</f>
        <v/>
      </c>
      <c r="G17">
        <f>IF(OR(B17="",C17="",D17=""),"",B17+ROW()/10000000)</f>
        <v/>
      </c>
    </row>
    <row r="18">
      <c r="A18" s="1" t="n"/>
      <c r="B18" s="24" t="n">
        <v>46168</v>
      </c>
      <c r="C18" s="22" t="inlineStr">
        <is>
          <t>Biscuit</t>
        </is>
      </c>
      <c r="D18" s="33" t="n">
        <v>33.8</v>
      </c>
      <c r="E18" s="23" t="n"/>
      <c r="F18" s="1">
        <f>IF(G18="","",COUNTIFS(Weight!$C$6:$C$505,C18,Weight!$G$6:$G$505,"&gt;"&amp;G18))</f>
        <v/>
      </c>
      <c r="G18">
        <f>IF(OR(B18="",C18="",D18=""),"",B18+ROW()/10000000)</f>
        <v/>
      </c>
    </row>
    <row r="19">
      <c r="A19" s="1" t="n"/>
      <c r="B19" s="24" t="n">
        <v>46168</v>
      </c>
      <c r="C19" s="22" t="inlineStr">
        <is>
          <t>Clover</t>
        </is>
      </c>
      <c r="D19" s="33" t="n">
        <v>1.77</v>
      </c>
      <c r="E19" s="23" t="n"/>
      <c r="F19" s="1">
        <f>IF(G19="","",COUNTIFS(Weight!$C$6:$C$505,C19,Weight!$G$6:$G$505,"&gt;"&amp;G19))</f>
        <v/>
      </c>
      <c r="G19">
        <f>IF(OR(B19="",C19="",D19=""),"",B19+ROW()/10000000)</f>
        <v/>
      </c>
    </row>
    <row r="20">
      <c r="A20" s="1" t="n"/>
      <c r="B20" s="24" t="n">
        <v>46168</v>
      </c>
      <c r="C20" s="22" t="inlineStr">
        <is>
          <t>Miso</t>
        </is>
      </c>
      <c r="D20" s="33" t="n">
        <v>5.4</v>
      </c>
      <c r="E20" s="23" t="n"/>
      <c r="F20" s="1">
        <f>IF(G20="","",COUNTIFS(Weight!$C$6:$C$505,C20,Weight!$G$6:$G$505,"&gt;"&amp;G20))</f>
        <v/>
      </c>
      <c r="G20">
        <f>IF(OR(B20="",C20="",D20=""),"",B20+ROW()/10000000)</f>
        <v/>
      </c>
    </row>
    <row r="21">
      <c r="A21" s="1" t="n"/>
      <c r="B21" s="24" t="n">
        <v>46199</v>
      </c>
      <c r="C21" s="22" t="inlineStr">
        <is>
          <t>Biscuit</t>
        </is>
      </c>
      <c r="D21" s="33" t="n">
        <v>33.8</v>
      </c>
      <c r="E21" s="23" t="n"/>
      <c r="F21" s="1">
        <f>IF(G21="","",COUNTIFS(Weight!$C$6:$C$505,C21,Weight!$G$6:$G$505,"&gt;"&amp;G21))</f>
        <v/>
      </c>
      <c r="G21">
        <f>IF(OR(B21="",C21="",D21=""),"",B21+ROW()/10000000)</f>
        <v/>
      </c>
    </row>
    <row r="22">
      <c r="A22" s="1" t="n"/>
      <c r="B22" s="24" t="n">
        <v>46199</v>
      </c>
      <c r="C22" s="22" t="inlineStr">
        <is>
          <t>Clover</t>
        </is>
      </c>
      <c r="D22" s="33" t="n">
        <v>1.79</v>
      </c>
      <c r="E22" s="23" t="n"/>
      <c r="F22" s="1">
        <f>IF(G22="","",COUNTIFS(Weight!$C$6:$C$505,C22,Weight!$G$6:$G$505,"&gt;"&amp;G22))</f>
        <v/>
      </c>
      <c r="G22">
        <f>IF(OR(B22="",C22="",D22=""),"",B22+ROW()/10000000)</f>
        <v/>
      </c>
    </row>
    <row r="23">
      <c r="A23" s="1" t="n"/>
      <c r="B23" s="24" t="n">
        <v>46199</v>
      </c>
      <c r="C23" s="22" t="inlineStr">
        <is>
          <t>Miso</t>
        </is>
      </c>
      <c r="D23" s="33" t="n">
        <v>5.4</v>
      </c>
      <c r="E23" s="23" t="n"/>
      <c r="F23" s="1">
        <f>IF(G23="","",COUNTIFS(Weight!$C$6:$C$505,C23,Weight!$G$6:$G$505,"&gt;"&amp;G23))</f>
        <v/>
      </c>
      <c r="G23">
        <f>IF(OR(B23="",C23="",D23=""),"",B23+ROW()/10000000)</f>
        <v/>
      </c>
    </row>
    <row r="24">
      <c r="A24" s="1" t="n"/>
      <c r="B24" s="24" t="n">
        <v>46229</v>
      </c>
      <c r="C24" s="22" t="inlineStr">
        <is>
          <t>Biscuit</t>
        </is>
      </c>
      <c r="D24" s="33" t="n">
        <v>34</v>
      </c>
      <c r="E24" s="23" t="n"/>
      <c r="F24" s="1">
        <f>IF(G24="","",COUNTIFS(Weight!$C$6:$C$505,C24,Weight!$G$6:$G$505,"&gt;"&amp;G24))</f>
        <v/>
      </c>
      <c r="G24">
        <f>IF(OR(B24="",C24="",D24=""),"",B24+ROW()/10000000)</f>
        <v/>
      </c>
    </row>
    <row r="25">
      <c r="A25" s="1" t="n"/>
      <c r="B25" s="24" t="n">
        <v>46229</v>
      </c>
      <c r="C25" s="22" t="inlineStr">
        <is>
          <t>Clover</t>
        </is>
      </c>
      <c r="D25" s="33" t="n">
        <v>1.8</v>
      </c>
      <c r="E25" s="23" t="n"/>
      <c r="F25" s="1">
        <f>IF(G25="","",COUNTIFS(Weight!$C$6:$C$505,C25,Weight!$G$6:$G$505,"&gt;"&amp;G25))</f>
        <v/>
      </c>
      <c r="G25">
        <f>IF(OR(B25="",C25="",D25=""),"",B25+ROW()/10000000)</f>
        <v/>
      </c>
    </row>
    <row r="26">
      <c r="A26" s="1" t="n"/>
      <c r="B26" s="24" t="n">
        <v>46229</v>
      </c>
      <c r="C26" s="22" t="inlineStr">
        <is>
          <t>Miso</t>
        </is>
      </c>
      <c r="D26" s="33" t="n">
        <v>5.4</v>
      </c>
      <c r="E26" s="23" t="n"/>
      <c r="F26" s="1">
        <f>IF(G26="","",COUNTIFS(Weight!$C$6:$C$505,C26,Weight!$G$6:$G$505,"&gt;"&amp;G26))</f>
        <v/>
      </c>
      <c r="G26">
        <f>IF(OR(B26="",C26="",D26=""),"",B26+ROW()/10000000)</f>
        <v/>
      </c>
    </row>
    <row r="27">
      <c r="A27" s="1" t="n"/>
      <c r="B27" s="24" t="n">
        <v>46260</v>
      </c>
      <c r="C27" s="22" t="inlineStr">
        <is>
          <t>Biscuit</t>
        </is>
      </c>
      <c r="D27" s="33" t="n">
        <v>34.1</v>
      </c>
      <c r="E27" s="23" t="n"/>
      <c r="F27" s="1">
        <f>IF(G27="","",COUNTIFS(Weight!$C$6:$C$505,C27,Weight!$G$6:$G$505,"&gt;"&amp;G27))</f>
        <v/>
      </c>
      <c r="G27">
        <f>IF(OR(B27="",C27="",D27=""),"",B27+ROW()/10000000)</f>
        <v/>
      </c>
    </row>
    <row r="28">
      <c r="A28" s="1" t="n"/>
      <c r="B28" s="24" t="n">
        <v>46260</v>
      </c>
      <c r="C28" s="22" t="inlineStr">
        <is>
          <t>Clover</t>
        </is>
      </c>
      <c r="D28" s="33" t="n">
        <v>1.81</v>
      </c>
      <c r="E28" s="23" t="n"/>
      <c r="F28" s="1">
        <f>IF(G28="","",COUNTIFS(Weight!$C$6:$C$505,C28,Weight!$G$6:$G$505,"&gt;"&amp;G28))</f>
        <v/>
      </c>
      <c r="G28">
        <f>IF(OR(B28="",C28="",D28=""),"",B28+ROW()/10000000)</f>
        <v/>
      </c>
    </row>
    <row r="29">
      <c r="A29" s="1" t="n"/>
      <c r="B29" s="24" t="n">
        <v>46260</v>
      </c>
      <c r="C29" s="22" t="inlineStr">
        <is>
          <t>Miso</t>
        </is>
      </c>
      <c r="D29" s="33" t="n">
        <v>5.3</v>
      </c>
      <c r="E29" s="23" t="n"/>
      <c r="F29" s="1">
        <f>IF(G29="","",COUNTIFS(Weight!$C$6:$C$505,C29,Weight!$G$6:$G$505,"&gt;"&amp;G29))</f>
        <v/>
      </c>
      <c r="G29">
        <f>IF(OR(B29="",C29="",D29=""),"",B29+ROW()/10000000)</f>
        <v/>
      </c>
    </row>
    <row r="30">
      <c r="A30" s="1" t="n"/>
      <c r="B30" s="24" t="n">
        <v>46291</v>
      </c>
      <c r="C30" s="22" t="inlineStr">
        <is>
          <t>Biscuit</t>
        </is>
      </c>
      <c r="D30" s="33" t="n">
        <v>34.2</v>
      </c>
      <c r="E30" s="23" t="n"/>
      <c r="F30" s="1">
        <f>IF(G30="","",COUNTIFS(Weight!$C$6:$C$505,C30,Weight!$G$6:$G$505,"&gt;"&amp;G30))</f>
        <v/>
      </c>
      <c r="G30">
        <f>IF(OR(B30="",C30="",D30=""),"",B30+ROW()/10000000)</f>
        <v/>
      </c>
    </row>
    <row r="31">
      <c r="A31" s="1" t="n"/>
      <c r="B31" s="24" t="n">
        <v>46291</v>
      </c>
      <c r="C31" s="22" t="inlineStr">
        <is>
          <t>Clover</t>
        </is>
      </c>
      <c r="D31" s="33" t="n">
        <v>1.82</v>
      </c>
      <c r="E31" s="23" t="n"/>
      <c r="F31" s="1">
        <f>IF(G31="","",COUNTIFS(Weight!$C$6:$C$505,C31,Weight!$G$6:$G$505,"&gt;"&amp;G31))</f>
        <v/>
      </c>
      <c r="G31">
        <f>IF(OR(B31="",C31="",D31=""),"",B31+ROW()/10000000)</f>
        <v/>
      </c>
    </row>
    <row r="32">
      <c r="A32" s="1" t="n"/>
      <c r="B32" s="24" t="n">
        <v>46291</v>
      </c>
      <c r="C32" s="22" t="inlineStr">
        <is>
          <t>Miso</t>
        </is>
      </c>
      <c r="D32" s="33" t="n">
        <v>5.3</v>
      </c>
      <c r="E32" s="23" t="n"/>
      <c r="F32" s="1">
        <f>IF(G32="","",COUNTIFS(Weight!$C$6:$C$505,C32,Weight!$G$6:$G$505,"&gt;"&amp;G32))</f>
        <v/>
      </c>
      <c r="G32">
        <f>IF(OR(B32="",C32="",D32=""),"",B32+ROW()/10000000)</f>
        <v/>
      </c>
    </row>
    <row r="33">
      <c r="A33" s="1" t="n"/>
      <c r="B33" s="24" t="n"/>
      <c r="C33" s="22" t="n"/>
      <c r="D33" s="33" t="n"/>
      <c r="E33" s="23" t="n"/>
      <c r="F33" s="1">
        <f>IF(G33="","",COUNTIFS(Weight!$C$6:$C$505,C33,Weight!$G$6:$G$505,"&gt;"&amp;G33))</f>
        <v/>
      </c>
      <c r="G33">
        <f>IF(OR(B33="",C33="",D33=""),"",B33+ROW()/10000000)</f>
        <v/>
      </c>
    </row>
    <row r="34">
      <c r="A34" s="1" t="n"/>
      <c r="B34" s="24" t="n"/>
      <c r="C34" s="22" t="n"/>
      <c r="D34" s="33" t="n"/>
      <c r="E34" s="23" t="n"/>
      <c r="F34" s="1">
        <f>IF(G34="","",COUNTIFS(Weight!$C$6:$C$505,C34,Weight!$G$6:$G$505,"&gt;"&amp;G34))</f>
        <v/>
      </c>
      <c r="G34">
        <f>IF(OR(B34="",C34="",D34=""),"",B34+ROW()/10000000)</f>
        <v/>
      </c>
    </row>
    <row r="35">
      <c r="A35" s="1" t="n"/>
      <c r="B35" s="24" t="n"/>
      <c r="C35" s="22" t="n"/>
      <c r="D35" s="33" t="n"/>
      <c r="E35" s="23" t="n"/>
      <c r="F35" s="1">
        <f>IF(G35="","",COUNTIFS(Weight!$C$6:$C$505,C35,Weight!$G$6:$G$505,"&gt;"&amp;G35))</f>
        <v/>
      </c>
      <c r="G35">
        <f>IF(OR(B35="",C35="",D35=""),"",B35+ROW()/10000000)</f>
        <v/>
      </c>
    </row>
    <row r="36">
      <c r="A36" s="1" t="n"/>
      <c r="B36" s="24" t="n"/>
      <c r="C36" s="22" t="n"/>
      <c r="D36" s="33" t="n"/>
      <c r="E36" s="23" t="n"/>
      <c r="F36" s="1">
        <f>IF(G36="","",COUNTIFS(Weight!$C$6:$C$505,C36,Weight!$G$6:$G$505,"&gt;"&amp;G36))</f>
        <v/>
      </c>
      <c r="G36">
        <f>IF(OR(B36="",C36="",D36=""),"",B36+ROW()/10000000)</f>
        <v/>
      </c>
    </row>
    <row r="37">
      <c r="A37" s="1" t="n"/>
      <c r="B37" s="24" t="n"/>
      <c r="C37" s="22" t="n"/>
      <c r="D37" s="33" t="n"/>
      <c r="E37" s="23" t="n"/>
      <c r="F37" s="1">
        <f>IF(G37="","",COUNTIFS(Weight!$C$6:$C$505,C37,Weight!$G$6:$G$505,"&gt;"&amp;G37))</f>
        <v/>
      </c>
      <c r="G37">
        <f>IF(OR(B37="",C37="",D37=""),"",B37+ROW()/10000000)</f>
        <v/>
      </c>
    </row>
    <row r="38">
      <c r="A38" s="1" t="n"/>
      <c r="B38" s="24" t="n"/>
      <c r="C38" s="22" t="n"/>
      <c r="D38" s="33" t="n"/>
      <c r="E38" s="23" t="n"/>
      <c r="F38" s="1">
        <f>IF(G38="","",COUNTIFS(Weight!$C$6:$C$505,C38,Weight!$G$6:$G$505,"&gt;"&amp;G38))</f>
        <v/>
      </c>
      <c r="G38">
        <f>IF(OR(B38="",C38="",D38=""),"",B38+ROW()/10000000)</f>
        <v/>
      </c>
    </row>
    <row r="39">
      <c r="A39" s="1" t="n"/>
      <c r="B39" s="24" t="n"/>
      <c r="C39" s="22" t="n"/>
      <c r="D39" s="33" t="n"/>
      <c r="E39" s="23" t="n"/>
      <c r="F39" s="1">
        <f>IF(G39="","",COUNTIFS(Weight!$C$6:$C$505,C39,Weight!$G$6:$G$505,"&gt;"&amp;G39))</f>
        <v/>
      </c>
      <c r="G39">
        <f>IF(OR(B39="",C39="",D39=""),"",B39+ROW()/10000000)</f>
        <v/>
      </c>
    </row>
    <row r="40">
      <c r="A40" s="1" t="n"/>
      <c r="B40" s="24" t="n"/>
      <c r="C40" s="22" t="n"/>
      <c r="D40" s="33" t="n"/>
      <c r="E40" s="23" t="n"/>
      <c r="F40" s="1">
        <f>IF(G40="","",COUNTIFS(Weight!$C$6:$C$505,C40,Weight!$G$6:$G$505,"&gt;"&amp;G40))</f>
        <v/>
      </c>
      <c r="G40">
        <f>IF(OR(B40="",C40="",D40=""),"",B40+ROW()/10000000)</f>
        <v/>
      </c>
    </row>
    <row r="41">
      <c r="A41" s="1" t="n"/>
      <c r="B41" s="24" t="n"/>
      <c r="C41" s="22" t="n"/>
      <c r="D41" s="33" t="n"/>
      <c r="E41" s="23" t="n"/>
      <c r="F41" s="1">
        <f>IF(G41="","",COUNTIFS(Weight!$C$6:$C$505,C41,Weight!$G$6:$G$505,"&gt;"&amp;G41))</f>
        <v/>
      </c>
      <c r="G41">
        <f>IF(OR(B41="",C41="",D41=""),"",B41+ROW()/10000000)</f>
        <v/>
      </c>
    </row>
    <row r="42">
      <c r="A42" s="1" t="n"/>
      <c r="B42" s="24" t="n"/>
      <c r="C42" s="22" t="n"/>
      <c r="D42" s="33" t="n"/>
      <c r="E42" s="23" t="n"/>
      <c r="F42" s="1">
        <f>IF(G42="","",COUNTIFS(Weight!$C$6:$C$505,C42,Weight!$G$6:$G$505,"&gt;"&amp;G42))</f>
        <v/>
      </c>
      <c r="G42">
        <f>IF(OR(B42="",C42="",D42=""),"",B42+ROW()/10000000)</f>
        <v/>
      </c>
    </row>
    <row r="43">
      <c r="A43" s="1" t="n"/>
      <c r="B43" s="24" t="n"/>
      <c r="C43" s="22" t="n"/>
      <c r="D43" s="33" t="n"/>
      <c r="E43" s="23" t="n"/>
      <c r="F43" s="1">
        <f>IF(G43="","",COUNTIFS(Weight!$C$6:$C$505,C43,Weight!$G$6:$G$505,"&gt;"&amp;G43))</f>
        <v/>
      </c>
      <c r="G43">
        <f>IF(OR(B43="",C43="",D43=""),"",B43+ROW()/10000000)</f>
        <v/>
      </c>
    </row>
    <row r="44">
      <c r="A44" s="1" t="n"/>
      <c r="B44" s="24" t="n"/>
      <c r="C44" s="22" t="n"/>
      <c r="D44" s="33" t="n"/>
      <c r="E44" s="23" t="n"/>
      <c r="F44" s="1">
        <f>IF(G44="","",COUNTIFS(Weight!$C$6:$C$505,C44,Weight!$G$6:$G$505,"&gt;"&amp;G44))</f>
        <v/>
      </c>
      <c r="G44">
        <f>IF(OR(B44="",C44="",D44=""),"",B44+ROW()/10000000)</f>
        <v/>
      </c>
    </row>
    <row r="45">
      <c r="A45" s="1" t="n"/>
      <c r="B45" s="24" t="n"/>
      <c r="C45" s="22" t="n"/>
      <c r="D45" s="33" t="n"/>
      <c r="E45" s="23" t="n"/>
      <c r="F45" s="1">
        <f>IF(G45="","",COUNTIFS(Weight!$C$6:$C$505,C45,Weight!$G$6:$G$505,"&gt;"&amp;G45))</f>
        <v/>
      </c>
      <c r="G45">
        <f>IF(OR(B45="",C45="",D45=""),"",B45+ROW()/10000000)</f>
        <v/>
      </c>
    </row>
    <row r="46">
      <c r="A46" s="1" t="n"/>
      <c r="B46" s="24" t="n"/>
      <c r="C46" s="22" t="n"/>
      <c r="D46" s="33" t="n"/>
      <c r="E46" s="23" t="n"/>
      <c r="F46" s="1">
        <f>IF(G46="","",COUNTIFS(Weight!$C$6:$C$505,C46,Weight!$G$6:$G$505,"&gt;"&amp;G46))</f>
        <v/>
      </c>
      <c r="G46">
        <f>IF(OR(B46="",C46="",D46=""),"",B46+ROW()/10000000)</f>
        <v/>
      </c>
    </row>
    <row r="47">
      <c r="A47" s="1" t="n"/>
      <c r="B47" s="24" t="n"/>
      <c r="C47" s="22" t="n"/>
      <c r="D47" s="33" t="n"/>
      <c r="E47" s="23" t="n"/>
      <c r="F47" s="1">
        <f>IF(G47="","",COUNTIFS(Weight!$C$6:$C$505,C47,Weight!$G$6:$G$505,"&gt;"&amp;G47))</f>
        <v/>
      </c>
      <c r="G47">
        <f>IF(OR(B47="",C47="",D47=""),"",B47+ROW()/10000000)</f>
        <v/>
      </c>
    </row>
    <row r="48">
      <c r="A48" s="1" t="n"/>
      <c r="B48" s="24" t="n"/>
      <c r="C48" s="22" t="n"/>
      <c r="D48" s="33" t="n"/>
      <c r="E48" s="23" t="n"/>
      <c r="F48" s="1">
        <f>IF(G48="","",COUNTIFS(Weight!$C$6:$C$505,C48,Weight!$G$6:$G$505,"&gt;"&amp;G48))</f>
        <v/>
      </c>
      <c r="G48">
        <f>IF(OR(B48="",C48="",D48=""),"",B48+ROW()/10000000)</f>
        <v/>
      </c>
    </row>
    <row r="49">
      <c r="A49" s="1" t="n"/>
      <c r="B49" s="24" t="n"/>
      <c r="C49" s="22" t="n"/>
      <c r="D49" s="33" t="n"/>
      <c r="E49" s="23" t="n"/>
      <c r="F49" s="1">
        <f>IF(G49="","",COUNTIFS(Weight!$C$6:$C$505,C49,Weight!$G$6:$G$505,"&gt;"&amp;G49))</f>
        <v/>
      </c>
      <c r="G49">
        <f>IF(OR(B49="",C49="",D49=""),"",B49+ROW()/10000000)</f>
        <v/>
      </c>
    </row>
    <row r="50">
      <c r="A50" s="1" t="n"/>
      <c r="B50" s="24" t="n"/>
      <c r="C50" s="22" t="n"/>
      <c r="D50" s="33" t="n"/>
      <c r="E50" s="23" t="n"/>
      <c r="F50" s="1">
        <f>IF(G50="","",COUNTIFS(Weight!$C$6:$C$505,C50,Weight!$G$6:$G$505,"&gt;"&amp;G50))</f>
        <v/>
      </c>
      <c r="G50">
        <f>IF(OR(B50="",C50="",D50=""),"",B50+ROW()/10000000)</f>
        <v/>
      </c>
    </row>
    <row r="51">
      <c r="A51" s="1" t="n"/>
      <c r="B51" s="24" t="n"/>
      <c r="C51" s="22" t="n"/>
      <c r="D51" s="33" t="n"/>
      <c r="E51" s="23" t="n"/>
      <c r="F51" s="1">
        <f>IF(G51="","",COUNTIFS(Weight!$C$6:$C$505,C51,Weight!$G$6:$G$505,"&gt;"&amp;G51))</f>
        <v/>
      </c>
      <c r="G51">
        <f>IF(OR(B51="",C51="",D51=""),"",B51+ROW()/10000000)</f>
        <v/>
      </c>
    </row>
    <row r="52">
      <c r="A52" s="1" t="n"/>
      <c r="B52" s="24" t="n"/>
      <c r="C52" s="22" t="n"/>
      <c r="D52" s="33" t="n"/>
      <c r="E52" s="23" t="n"/>
      <c r="F52" s="1">
        <f>IF(G52="","",COUNTIFS(Weight!$C$6:$C$505,C52,Weight!$G$6:$G$505,"&gt;"&amp;G52))</f>
        <v/>
      </c>
      <c r="G52">
        <f>IF(OR(B52="",C52="",D52=""),"",B52+ROW()/10000000)</f>
        <v/>
      </c>
    </row>
    <row r="53">
      <c r="A53" s="1" t="n"/>
      <c r="B53" s="24" t="n"/>
      <c r="C53" s="22" t="n"/>
      <c r="D53" s="33" t="n"/>
      <c r="E53" s="23" t="n"/>
      <c r="F53" s="1">
        <f>IF(G53="","",COUNTIFS(Weight!$C$6:$C$505,C53,Weight!$G$6:$G$505,"&gt;"&amp;G53))</f>
        <v/>
      </c>
      <c r="G53">
        <f>IF(OR(B53="",C53="",D53=""),"",B53+ROW()/10000000)</f>
        <v/>
      </c>
    </row>
    <row r="54">
      <c r="A54" s="1" t="n"/>
      <c r="B54" s="24" t="n"/>
      <c r="C54" s="22" t="n"/>
      <c r="D54" s="33" t="n"/>
      <c r="E54" s="23" t="n"/>
      <c r="F54" s="1">
        <f>IF(G54="","",COUNTIFS(Weight!$C$6:$C$505,C54,Weight!$G$6:$G$505,"&gt;"&amp;G54))</f>
        <v/>
      </c>
      <c r="G54">
        <f>IF(OR(B54="",C54="",D54=""),"",B54+ROW()/10000000)</f>
        <v/>
      </c>
    </row>
    <row r="55">
      <c r="A55" s="1" t="n"/>
      <c r="B55" s="24" t="n"/>
      <c r="C55" s="22" t="n"/>
      <c r="D55" s="33" t="n"/>
      <c r="E55" s="23" t="n"/>
      <c r="F55" s="1">
        <f>IF(G55="","",COUNTIFS(Weight!$C$6:$C$505,C55,Weight!$G$6:$G$505,"&gt;"&amp;G55))</f>
        <v/>
      </c>
      <c r="G55">
        <f>IF(OR(B55="",C55="",D55=""),"",B55+ROW()/10000000)</f>
        <v/>
      </c>
    </row>
    <row r="56">
      <c r="A56" s="1" t="n"/>
      <c r="B56" s="24" t="n"/>
      <c r="C56" s="22" t="n"/>
      <c r="D56" s="33" t="n"/>
      <c r="E56" s="23" t="n"/>
      <c r="F56" s="1">
        <f>IF(G56="","",COUNTIFS(Weight!$C$6:$C$505,C56,Weight!$G$6:$G$505,"&gt;"&amp;G56))</f>
        <v/>
      </c>
      <c r="G56">
        <f>IF(OR(B56="",C56="",D56=""),"",B56+ROW()/10000000)</f>
        <v/>
      </c>
    </row>
    <row r="57">
      <c r="A57" s="1" t="n"/>
      <c r="B57" s="24" t="n"/>
      <c r="C57" s="22" t="n"/>
      <c r="D57" s="33" t="n"/>
      <c r="E57" s="23" t="n"/>
      <c r="F57" s="1">
        <f>IF(G57="","",COUNTIFS(Weight!$C$6:$C$505,C57,Weight!$G$6:$G$505,"&gt;"&amp;G57))</f>
        <v/>
      </c>
      <c r="G57">
        <f>IF(OR(B57="",C57="",D57=""),"",B57+ROW()/10000000)</f>
        <v/>
      </c>
    </row>
    <row r="58">
      <c r="A58" s="1" t="n"/>
      <c r="B58" s="24" t="n"/>
      <c r="C58" s="22" t="n"/>
      <c r="D58" s="33" t="n"/>
      <c r="E58" s="23" t="n"/>
      <c r="F58" s="1">
        <f>IF(G58="","",COUNTIFS(Weight!$C$6:$C$505,C58,Weight!$G$6:$G$505,"&gt;"&amp;G58))</f>
        <v/>
      </c>
      <c r="G58">
        <f>IF(OR(B58="",C58="",D58=""),"",B58+ROW()/10000000)</f>
        <v/>
      </c>
    </row>
    <row r="59">
      <c r="A59" s="1" t="n"/>
      <c r="B59" s="24" t="n"/>
      <c r="C59" s="22" t="n"/>
      <c r="D59" s="33" t="n"/>
      <c r="E59" s="23" t="n"/>
      <c r="F59" s="1">
        <f>IF(G59="","",COUNTIFS(Weight!$C$6:$C$505,C59,Weight!$G$6:$G$505,"&gt;"&amp;G59))</f>
        <v/>
      </c>
      <c r="G59">
        <f>IF(OR(B59="",C59="",D59=""),"",B59+ROW()/10000000)</f>
        <v/>
      </c>
    </row>
    <row r="60">
      <c r="A60" s="1" t="n"/>
      <c r="B60" s="24" t="n"/>
      <c r="C60" s="22" t="n"/>
      <c r="D60" s="33" t="n"/>
      <c r="E60" s="23" t="n"/>
      <c r="F60" s="1">
        <f>IF(G60="","",COUNTIFS(Weight!$C$6:$C$505,C60,Weight!$G$6:$G$505,"&gt;"&amp;G60))</f>
        <v/>
      </c>
      <c r="G60">
        <f>IF(OR(B60="",C60="",D60=""),"",B60+ROW()/10000000)</f>
        <v/>
      </c>
    </row>
    <row r="61">
      <c r="A61" s="1" t="n"/>
      <c r="B61" s="24" t="n"/>
      <c r="C61" s="22" t="n"/>
      <c r="D61" s="33" t="n"/>
      <c r="E61" s="23" t="n"/>
      <c r="F61" s="1">
        <f>IF(G61="","",COUNTIFS(Weight!$C$6:$C$505,C61,Weight!$G$6:$G$505,"&gt;"&amp;G61))</f>
        <v/>
      </c>
      <c r="G61">
        <f>IF(OR(B61="",C61="",D61=""),"",B61+ROW()/10000000)</f>
        <v/>
      </c>
    </row>
    <row r="62">
      <c r="A62" s="1" t="n"/>
      <c r="B62" s="24" t="n"/>
      <c r="C62" s="22" t="n"/>
      <c r="D62" s="33" t="n"/>
      <c r="E62" s="23" t="n"/>
      <c r="F62" s="1">
        <f>IF(G62="","",COUNTIFS(Weight!$C$6:$C$505,C62,Weight!$G$6:$G$505,"&gt;"&amp;G62))</f>
        <v/>
      </c>
      <c r="G62">
        <f>IF(OR(B62="",C62="",D62=""),"",B62+ROW()/10000000)</f>
        <v/>
      </c>
    </row>
    <row r="63">
      <c r="A63" s="1" t="n"/>
      <c r="B63" s="24" t="n"/>
      <c r="C63" s="22" t="n"/>
      <c r="D63" s="33" t="n"/>
      <c r="E63" s="23" t="n"/>
      <c r="F63" s="1">
        <f>IF(G63="","",COUNTIFS(Weight!$C$6:$C$505,C63,Weight!$G$6:$G$505,"&gt;"&amp;G63))</f>
        <v/>
      </c>
      <c r="G63">
        <f>IF(OR(B63="",C63="",D63=""),"",B63+ROW()/10000000)</f>
        <v/>
      </c>
    </row>
    <row r="64">
      <c r="A64" s="1" t="n"/>
      <c r="B64" s="24" t="n"/>
      <c r="C64" s="22" t="n"/>
      <c r="D64" s="33" t="n"/>
      <c r="E64" s="23" t="n"/>
      <c r="F64" s="1">
        <f>IF(G64="","",COUNTIFS(Weight!$C$6:$C$505,C64,Weight!$G$6:$G$505,"&gt;"&amp;G64))</f>
        <v/>
      </c>
      <c r="G64">
        <f>IF(OR(B64="",C64="",D64=""),"",B64+ROW()/10000000)</f>
        <v/>
      </c>
    </row>
    <row r="65">
      <c r="A65" s="1" t="n"/>
      <c r="B65" s="24" t="n"/>
      <c r="C65" s="22" t="n"/>
      <c r="D65" s="33" t="n"/>
      <c r="E65" s="23" t="n"/>
      <c r="F65" s="1">
        <f>IF(G65="","",COUNTIFS(Weight!$C$6:$C$505,C65,Weight!$G$6:$G$505,"&gt;"&amp;G65))</f>
        <v/>
      </c>
      <c r="G65">
        <f>IF(OR(B65="",C65="",D65=""),"",B65+ROW()/10000000)</f>
        <v/>
      </c>
    </row>
    <row r="66">
      <c r="A66" s="1" t="n"/>
      <c r="B66" s="24" t="n"/>
      <c r="C66" s="22" t="n"/>
      <c r="D66" s="33" t="n"/>
      <c r="E66" s="23" t="n"/>
      <c r="F66" s="1">
        <f>IF(G66="","",COUNTIFS(Weight!$C$6:$C$505,C66,Weight!$G$6:$G$505,"&gt;"&amp;G66))</f>
        <v/>
      </c>
      <c r="G66">
        <f>IF(OR(B66="",C66="",D66=""),"",B66+ROW()/10000000)</f>
        <v/>
      </c>
    </row>
    <row r="67">
      <c r="A67" s="1" t="n"/>
      <c r="B67" s="24" t="n"/>
      <c r="C67" s="22" t="n"/>
      <c r="D67" s="33" t="n"/>
      <c r="E67" s="23" t="n"/>
      <c r="F67" s="1">
        <f>IF(G67="","",COUNTIFS(Weight!$C$6:$C$505,C67,Weight!$G$6:$G$505,"&gt;"&amp;G67))</f>
        <v/>
      </c>
      <c r="G67">
        <f>IF(OR(B67="",C67="",D67=""),"",B67+ROW()/10000000)</f>
        <v/>
      </c>
    </row>
    <row r="68">
      <c r="A68" s="1" t="n"/>
      <c r="B68" s="24" t="n"/>
      <c r="C68" s="22" t="n"/>
      <c r="D68" s="33" t="n"/>
      <c r="E68" s="23" t="n"/>
      <c r="F68" s="1">
        <f>IF(G68="","",COUNTIFS(Weight!$C$6:$C$505,C68,Weight!$G$6:$G$505,"&gt;"&amp;G68))</f>
        <v/>
      </c>
      <c r="G68">
        <f>IF(OR(B68="",C68="",D68=""),"",B68+ROW()/10000000)</f>
        <v/>
      </c>
    </row>
    <row r="69">
      <c r="A69" s="1" t="n"/>
      <c r="B69" s="24" t="n"/>
      <c r="C69" s="22" t="n"/>
      <c r="D69" s="33" t="n"/>
      <c r="E69" s="23" t="n"/>
      <c r="F69" s="1">
        <f>IF(G69="","",COUNTIFS(Weight!$C$6:$C$505,C69,Weight!$G$6:$G$505,"&gt;"&amp;G69))</f>
        <v/>
      </c>
      <c r="G69">
        <f>IF(OR(B69="",C69="",D69=""),"",B69+ROW()/10000000)</f>
        <v/>
      </c>
    </row>
    <row r="70">
      <c r="A70" s="1" t="n"/>
      <c r="B70" s="24" t="n"/>
      <c r="C70" s="22" t="n"/>
      <c r="D70" s="33" t="n"/>
      <c r="E70" s="23" t="n"/>
      <c r="F70" s="1">
        <f>IF(G70="","",COUNTIFS(Weight!$C$6:$C$505,C70,Weight!$G$6:$G$505,"&gt;"&amp;G70))</f>
        <v/>
      </c>
      <c r="G70">
        <f>IF(OR(B70="",C70="",D70=""),"",B70+ROW()/10000000)</f>
        <v/>
      </c>
    </row>
    <row r="71">
      <c r="A71" s="1" t="n"/>
      <c r="B71" s="24" t="n"/>
      <c r="C71" s="22" t="n"/>
      <c r="D71" s="33" t="n"/>
      <c r="E71" s="23" t="n"/>
      <c r="F71" s="1">
        <f>IF(G71="","",COUNTIFS(Weight!$C$6:$C$505,C71,Weight!$G$6:$G$505,"&gt;"&amp;G71))</f>
        <v/>
      </c>
      <c r="G71">
        <f>IF(OR(B71="",C71="",D71=""),"",B71+ROW()/10000000)</f>
        <v/>
      </c>
    </row>
    <row r="72">
      <c r="A72" s="1" t="n"/>
      <c r="B72" s="24" t="n"/>
      <c r="C72" s="22" t="n"/>
      <c r="D72" s="33" t="n"/>
      <c r="E72" s="23" t="n"/>
      <c r="F72" s="1">
        <f>IF(G72="","",COUNTIFS(Weight!$C$6:$C$505,C72,Weight!$G$6:$G$505,"&gt;"&amp;G72))</f>
        <v/>
      </c>
      <c r="G72">
        <f>IF(OR(B72="",C72="",D72=""),"",B72+ROW()/10000000)</f>
        <v/>
      </c>
    </row>
    <row r="73">
      <c r="A73" s="1" t="n"/>
      <c r="B73" s="24" t="n"/>
      <c r="C73" s="22" t="n"/>
      <c r="D73" s="33" t="n"/>
      <c r="E73" s="23" t="n"/>
      <c r="F73" s="1">
        <f>IF(G73="","",COUNTIFS(Weight!$C$6:$C$505,C73,Weight!$G$6:$G$505,"&gt;"&amp;G73))</f>
        <v/>
      </c>
      <c r="G73">
        <f>IF(OR(B73="",C73="",D73=""),"",B73+ROW()/10000000)</f>
        <v/>
      </c>
    </row>
    <row r="74">
      <c r="A74" s="1" t="n"/>
      <c r="B74" s="24" t="n"/>
      <c r="C74" s="22" t="n"/>
      <c r="D74" s="33" t="n"/>
      <c r="E74" s="23" t="n"/>
      <c r="F74" s="1">
        <f>IF(G74="","",COUNTIFS(Weight!$C$6:$C$505,C74,Weight!$G$6:$G$505,"&gt;"&amp;G74))</f>
        <v/>
      </c>
      <c r="G74">
        <f>IF(OR(B74="",C74="",D74=""),"",B74+ROW()/10000000)</f>
        <v/>
      </c>
    </row>
    <row r="75">
      <c r="A75" s="1" t="n"/>
      <c r="B75" s="24" t="n"/>
      <c r="C75" s="22" t="n"/>
      <c r="D75" s="33" t="n"/>
      <c r="E75" s="23" t="n"/>
      <c r="F75" s="1">
        <f>IF(G75="","",COUNTIFS(Weight!$C$6:$C$505,C75,Weight!$G$6:$G$505,"&gt;"&amp;G75))</f>
        <v/>
      </c>
      <c r="G75">
        <f>IF(OR(B75="",C75="",D75=""),"",B75+ROW()/10000000)</f>
        <v/>
      </c>
    </row>
    <row r="76">
      <c r="A76" s="1" t="n"/>
      <c r="B76" s="24" t="n"/>
      <c r="C76" s="22" t="n"/>
      <c r="D76" s="33" t="n"/>
      <c r="E76" s="23" t="n"/>
      <c r="F76" s="1">
        <f>IF(G76="","",COUNTIFS(Weight!$C$6:$C$505,C76,Weight!$G$6:$G$505,"&gt;"&amp;G76))</f>
        <v/>
      </c>
      <c r="G76">
        <f>IF(OR(B76="",C76="",D76=""),"",B76+ROW()/10000000)</f>
        <v/>
      </c>
    </row>
    <row r="77">
      <c r="A77" s="1" t="n"/>
      <c r="B77" s="24" t="n"/>
      <c r="C77" s="22" t="n"/>
      <c r="D77" s="33" t="n"/>
      <c r="E77" s="23" t="n"/>
      <c r="F77" s="1">
        <f>IF(G77="","",COUNTIFS(Weight!$C$6:$C$505,C77,Weight!$G$6:$G$505,"&gt;"&amp;G77))</f>
        <v/>
      </c>
      <c r="G77">
        <f>IF(OR(B77="",C77="",D77=""),"",B77+ROW()/10000000)</f>
        <v/>
      </c>
    </row>
    <row r="78">
      <c r="A78" s="1" t="n"/>
      <c r="B78" s="24" t="n"/>
      <c r="C78" s="22" t="n"/>
      <c r="D78" s="33" t="n"/>
      <c r="E78" s="23" t="n"/>
      <c r="F78" s="1">
        <f>IF(G78="","",COUNTIFS(Weight!$C$6:$C$505,C78,Weight!$G$6:$G$505,"&gt;"&amp;G78))</f>
        <v/>
      </c>
      <c r="G78">
        <f>IF(OR(B78="",C78="",D78=""),"",B78+ROW()/10000000)</f>
        <v/>
      </c>
    </row>
    <row r="79">
      <c r="A79" s="1" t="n"/>
      <c r="B79" s="24" t="n"/>
      <c r="C79" s="22" t="n"/>
      <c r="D79" s="33" t="n"/>
      <c r="E79" s="23" t="n"/>
      <c r="F79" s="1">
        <f>IF(G79="","",COUNTIFS(Weight!$C$6:$C$505,C79,Weight!$G$6:$G$505,"&gt;"&amp;G79))</f>
        <v/>
      </c>
      <c r="G79">
        <f>IF(OR(B79="",C79="",D79=""),"",B79+ROW()/10000000)</f>
        <v/>
      </c>
    </row>
    <row r="80">
      <c r="A80" s="1" t="n"/>
      <c r="B80" s="24" t="n"/>
      <c r="C80" s="22" t="n"/>
      <c r="D80" s="33" t="n"/>
      <c r="E80" s="23" t="n"/>
      <c r="F80" s="1">
        <f>IF(G80="","",COUNTIFS(Weight!$C$6:$C$505,C80,Weight!$G$6:$G$505,"&gt;"&amp;G80))</f>
        <v/>
      </c>
      <c r="G80">
        <f>IF(OR(B80="",C80="",D80=""),"",B80+ROW()/10000000)</f>
        <v/>
      </c>
    </row>
    <row r="81">
      <c r="A81" s="1" t="n"/>
      <c r="B81" s="24" t="n"/>
      <c r="C81" s="22" t="n"/>
      <c r="D81" s="33" t="n"/>
      <c r="E81" s="23" t="n"/>
      <c r="F81" s="1">
        <f>IF(G81="","",COUNTIFS(Weight!$C$6:$C$505,C81,Weight!$G$6:$G$505,"&gt;"&amp;G81))</f>
        <v/>
      </c>
      <c r="G81">
        <f>IF(OR(B81="",C81="",D81=""),"",B81+ROW()/10000000)</f>
        <v/>
      </c>
    </row>
    <row r="82">
      <c r="A82" s="1" t="n"/>
      <c r="B82" s="24" t="n"/>
      <c r="C82" s="22" t="n"/>
      <c r="D82" s="33" t="n"/>
      <c r="E82" s="23" t="n"/>
      <c r="F82" s="1">
        <f>IF(G82="","",COUNTIFS(Weight!$C$6:$C$505,C82,Weight!$G$6:$G$505,"&gt;"&amp;G82))</f>
        <v/>
      </c>
      <c r="G82">
        <f>IF(OR(B82="",C82="",D82=""),"",B82+ROW()/10000000)</f>
        <v/>
      </c>
    </row>
    <row r="83">
      <c r="A83" s="1" t="n"/>
      <c r="B83" s="24" t="n"/>
      <c r="C83" s="22" t="n"/>
      <c r="D83" s="33" t="n"/>
      <c r="E83" s="23" t="n"/>
      <c r="F83" s="1">
        <f>IF(G83="","",COUNTIFS(Weight!$C$6:$C$505,C83,Weight!$G$6:$G$505,"&gt;"&amp;G83))</f>
        <v/>
      </c>
      <c r="G83">
        <f>IF(OR(B83="",C83="",D83=""),"",B83+ROW()/10000000)</f>
        <v/>
      </c>
    </row>
    <row r="84">
      <c r="A84" s="1" t="n"/>
      <c r="B84" s="24" t="n"/>
      <c r="C84" s="22" t="n"/>
      <c r="D84" s="33" t="n"/>
      <c r="E84" s="23" t="n"/>
      <c r="F84" s="1">
        <f>IF(G84="","",COUNTIFS(Weight!$C$6:$C$505,C84,Weight!$G$6:$G$505,"&gt;"&amp;G84))</f>
        <v/>
      </c>
      <c r="G84">
        <f>IF(OR(B84="",C84="",D84=""),"",B84+ROW()/10000000)</f>
        <v/>
      </c>
    </row>
    <row r="85">
      <c r="A85" s="1" t="n"/>
      <c r="B85" s="24" t="n"/>
      <c r="C85" s="22" t="n"/>
      <c r="D85" s="33" t="n"/>
      <c r="E85" s="23" t="n"/>
      <c r="F85" s="1">
        <f>IF(G85="","",COUNTIFS(Weight!$C$6:$C$505,C85,Weight!$G$6:$G$505,"&gt;"&amp;G85))</f>
        <v/>
      </c>
      <c r="G85">
        <f>IF(OR(B85="",C85="",D85=""),"",B85+ROW()/10000000)</f>
        <v/>
      </c>
    </row>
    <row r="86">
      <c r="A86" s="1" t="n"/>
      <c r="B86" s="24" t="n"/>
      <c r="C86" s="22" t="n"/>
      <c r="D86" s="33" t="n"/>
      <c r="E86" s="23" t="n"/>
      <c r="F86" s="1">
        <f>IF(G86="","",COUNTIFS(Weight!$C$6:$C$505,C86,Weight!$G$6:$G$505,"&gt;"&amp;G86))</f>
        <v/>
      </c>
      <c r="G86">
        <f>IF(OR(B86="",C86="",D86=""),"",B86+ROW()/10000000)</f>
        <v/>
      </c>
    </row>
    <row r="87">
      <c r="A87" s="1" t="n"/>
      <c r="B87" s="24" t="n"/>
      <c r="C87" s="22" t="n"/>
      <c r="D87" s="33" t="n"/>
      <c r="E87" s="23" t="n"/>
      <c r="F87" s="1">
        <f>IF(G87="","",COUNTIFS(Weight!$C$6:$C$505,C87,Weight!$G$6:$G$505,"&gt;"&amp;G87))</f>
        <v/>
      </c>
      <c r="G87">
        <f>IF(OR(B87="",C87="",D87=""),"",B87+ROW()/10000000)</f>
        <v/>
      </c>
    </row>
    <row r="88">
      <c r="A88" s="1" t="n"/>
      <c r="B88" s="24" t="n"/>
      <c r="C88" s="22" t="n"/>
      <c r="D88" s="33" t="n"/>
      <c r="E88" s="23" t="n"/>
      <c r="F88" s="1">
        <f>IF(G88="","",COUNTIFS(Weight!$C$6:$C$505,C88,Weight!$G$6:$G$505,"&gt;"&amp;G88))</f>
        <v/>
      </c>
      <c r="G88">
        <f>IF(OR(B88="",C88="",D88=""),"",B88+ROW()/10000000)</f>
        <v/>
      </c>
    </row>
    <row r="89">
      <c r="A89" s="1" t="n"/>
      <c r="B89" s="24" t="n"/>
      <c r="C89" s="22" t="n"/>
      <c r="D89" s="33" t="n"/>
      <c r="E89" s="23" t="n"/>
      <c r="F89" s="1">
        <f>IF(G89="","",COUNTIFS(Weight!$C$6:$C$505,C89,Weight!$G$6:$G$505,"&gt;"&amp;G89))</f>
        <v/>
      </c>
      <c r="G89">
        <f>IF(OR(B89="",C89="",D89=""),"",B89+ROW()/10000000)</f>
        <v/>
      </c>
    </row>
    <row r="90">
      <c r="A90" s="1" t="n"/>
      <c r="B90" s="24" t="n"/>
      <c r="C90" s="22" t="n"/>
      <c r="D90" s="33" t="n"/>
      <c r="E90" s="23" t="n"/>
      <c r="F90" s="1">
        <f>IF(G90="","",COUNTIFS(Weight!$C$6:$C$505,C90,Weight!$G$6:$G$505,"&gt;"&amp;G90))</f>
        <v/>
      </c>
      <c r="G90">
        <f>IF(OR(B90="",C90="",D90=""),"",B90+ROW()/10000000)</f>
        <v/>
      </c>
    </row>
    <row r="91">
      <c r="A91" s="1" t="n"/>
      <c r="B91" s="24" t="n"/>
      <c r="C91" s="22" t="n"/>
      <c r="D91" s="33" t="n"/>
      <c r="E91" s="23" t="n"/>
      <c r="F91" s="1">
        <f>IF(G91="","",COUNTIFS(Weight!$C$6:$C$505,C91,Weight!$G$6:$G$505,"&gt;"&amp;G91))</f>
        <v/>
      </c>
      <c r="G91">
        <f>IF(OR(B91="",C91="",D91=""),"",B91+ROW()/10000000)</f>
        <v/>
      </c>
    </row>
    <row r="92">
      <c r="A92" s="1" t="n"/>
      <c r="B92" s="24" t="n"/>
      <c r="C92" s="22" t="n"/>
      <c r="D92" s="33" t="n"/>
      <c r="E92" s="23" t="n"/>
      <c r="F92" s="1">
        <f>IF(G92="","",COUNTIFS(Weight!$C$6:$C$505,C92,Weight!$G$6:$G$505,"&gt;"&amp;G92))</f>
        <v/>
      </c>
      <c r="G92">
        <f>IF(OR(B92="",C92="",D92=""),"",B92+ROW()/10000000)</f>
        <v/>
      </c>
    </row>
    <row r="93">
      <c r="A93" s="1" t="n"/>
      <c r="B93" s="24" t="n"/>
      <c r="C93" s="22" t="n"/>
      <c r="D93" s="33" t="n"/>
      <c r="E93" s="23" t="n"/>
      <c r="F93" s="1">
        <f>IF(G93="","",COUNTIFS(Weight!$C$6:$C$505,C93,Weight!$G$6:$G$505,"&gt;"&amp;G93))</f>
        <v/>
      </c>
      <c r="G93">
        <f>IF(OR(B93="",C93="",D93=""),"",B93+ROW()/10000000)</f>
        <v/>
      </c>
    </row>
    <row r="94">
      <c r="A94" s="1" t="n"/>
      <c r="B94" s="24" t="n"/>
      <c r="C94" s="22" t="n"/>
      <c r="D94" s="33" t="n"/>
      <c r="E94" s="23" t="n"/>
      <c r="F94" s="1">
        <f>IF(G94="","",COUNTIFS(Weight!$C$6:$C$505,C94,Weight!$G$6:$G$505,"&gt;"&amp;G94))</f>
        <v/>
      </c>
      <c r="G94">
        <f>IF(OR(B94="",C94="",D94=""),"",B94+ROW()/10000000)</f>
        <v/>
      </c>
    </row>
    <row r="95">
      <c r="A95" s="1" t="n"/>
      <c r="B95" s="24" t="n"/>
      <c r="C95" s="22" t="n"/>
      <c r="D95" s="33" t="n"/>
      <c r="E95" s="23" t="n"/>
      <c r="F95" s="1">
        <f>IF(G95="","",COUNTIFS(Weight!$C$6:$C$505,C95,Weight!$G$6:$G$505,"&gt;"&amp;G95))</f>
        <v/>
      </c>
      <c r="G95">
        <f>IF(OR(B95="",C95="",D95=""),"",B95+ROW()/10000000)</f>
        <v/>
      </c>
    </row>
    <row r="96">
      <c r="A96" s="1" t="n"/>
      <c r="B96" s="24" t="n"/>
      <c r="C96" s="22" t="n"/>
      <c r="D96" s="33" t="n"/>
      <c r="E96" s="23" t="n"/>
      <c r="F96" s="1">
        <f>IF(G96="","",COUNTIFS(Weight!$C$6:$C$505,C96,Weight!$G$6:$G$505,"&gt;"&amp;G96))</f>
        <v/>
      </c>
      <c r="G96">
        <f>IF(OR(B96="",C96="",D96=""),"",B96+ROW()/10000000)</f>
        <v/>
      </c>
    </row>
    <row r="97">
      <c r="A97" s="1" t="n"/>
      <c r="B97" s="24" t="n"/>
      <c r="C97" s="22" t="n"/>
      <c r="D97" s="33" t="n"/>
      <c r="E97" s="23" t="n"/>
      <c r="F97" s="1">
        <f>IF(G97="","",COUNTIFS(Weight!$C$6:$C$505,C97,Weight!$G$6:$G$505,"&gt;"&amp;G97))</f>
        <v/>
      </c>
      <c r="G97">
        <f>IF(OR(B97="",C97="",D97=""),"",B97+ROW()/10000000)</f>
        <v/>
      </c>
    </row>
    <row r="98">
      <c r="A98" s="1" t="n"/>
      <c r="B98" s="24" t="n"/>
      <c r="C98" s="22" t="n"/>
      <c r="D98" s="33" t="n"/>
      <c r="E98" s="23" t="n"/>
      <c r="F98" s="1">
        <f>IF(G98="","",COUNTIFS(Weight!$C$6:$C$505,C98,Weight!$G$6:$G$505,"&gt;"&amp;G98))</f>
        <v/>
      </c>
      <c r="G98">
        <f>IF(OR(B98="",C98="",D98=""),"",B98+ROW()/10000000)</f>
        <v/>
      </c>
    </row>
    <row r="99">
      <c r="A99" s="1" t="n"/>
      <c r="B99" s="24" t="n"/>
      <c r="C99" s="22" t="n"/>
      <c r="D99" s="33" t="n"/>
      <c r="E99" s="23" t="n"/>
      <c r="F99" s="1">
        <f>IF(G99="","",COUNTIFS(Weight!$C$6:$C$505,C99,Weight!$G$6:$G$505,"&gt;"&amp;G99))</f>
        <v/>
      </c>
      <c r="G99">
        <f>IF(OR(B99="",C99="",D99=""),"",B99+ROW()/10000000)</f>
        <v/>
      </c>
    </row>
    <row r="100">
      <c r="A100" s="1" t="n"/>
      <c r="B100" s="24" t="n"/>
      <c r="C100" s="22" t="n"/>
      <c r="D100" s="33" t="n"/>
      <c r="E100" s="23" t="n"/>
      <c r="F100" s="1">
        <f>IF(G100="","",COUNTIFS(Weight!$C$6:$C$505,C100,Weight!$G$6:$G$505,"&gt;"&amp;G100))</f>
        <v/>
      </c>
      <c r="G100">
        <f>IF(OR(B100="",C100="",D100=""),"",B100+ROW()/10000000)</f>
        <v/>
      </c>
    </row>
    <row r="101">
      <c r="A101" s="1" t="n"/>
      <c r="B101" s="24" t="n"/>
      <c r="C101" s="22" t="n"/>
      <c r="D101" s="33" t="n"/>
      <c r="E101" s="23" t="n"/>
      <c r="F101" s="1">
        <f>IF(G101="","",COUNTIFS(Weight!$C$6:$C$505,C101,Weight!$G$6:$G$505,"&gt;"&amp;G101))</f>
        <v/>
      </c>
      <c r="G101">
        <f>IF(OR(B101="",C101="",D101=""),"",B101+ROW()/10000000)</f>
        <v/>
      </c>
    </row>
    <row r="102">
      <c r="A102" s="1" t="n"/>
      <c r="B102" s="24" t="n"/>
      <c r="C102" s="22" t="n"/>
      <c r="D102" s="33" t="n"/>
      <c r="E102" s="23" t="n"/>
      <c r="F102" s="1">
        <f>IF(G102="","",COUNTIFS(Weight!$C$6:$C$505,C102,Weight!$G$6:$G$505,"&gt;"&amp;G102))</f>
        <v/>
      </c>
      <c r="G102">
        <f>IF(OR(B102="",C102="",D102=""),"",B102+ROW()/10000000)</f>
        <v/>
      </c>
    </row>
    <row r="103">
      <c r="A103" s="1" t="n"/>
      <c r="B103" s="24" t="n"/>
      <c r="C103" s="22" t="n"/>
      <c r="D103" s="33" t="n"/>
      <c r="E103" s="23" t="n"/>
      <c r="F103" s="1">
        <f>IF(G103="","",COUNTIFS(Weight!$C$6:$C$505,C103,Weight!$G$6:$G$505,"&gt;"&amp;G103))</f>
        <v/>
      </c>
      <c r="G103">
        <f>IF(OR(B103="",C103="",D103=""),"",B103+ROW()/10000000)</f>
        <v/>
      </c>
    </row>
    <row r="104">
      <c r="A104" s="1" t="n"/>
      <c r="B104" s="24" t="n"/>
      <c r="C104" s="22" t="n"/>
      <c r="D104" s="33" t="n"/>
      <c r="E104" s="23" t="n"/>
      <c r="F104" s="1">
        <f>IF(G104="","",COUNTIFS(Weight!$C$6:$C$505,C104,Weight!$G$6:$G$505,"&gt;"&amp;G104))</f>
        <v/>
      </c>
      <c r="G104">
        <f>IF(OR(B104="",C104="",D104=""),"",B104+ROW()/10000000)</f>
        <v/>
      </c>
    </row>
    <row r="105">
      <c r="A105" s="1" t="n"/>
      <c r="B105" s="24" t="n"/>
      <c r="C105" s="22" t="n"/>
      <c r="D105" s="33" t="n"/>
      <c r="E105" s="23" t="n"/>
      <c r="F105" s="1">
        <f>IF(G105="","",COUNTIFS(Weight!$C$6:$C$505,C105,Weight!$G$6:$G$505,"&gt;"&amp;G105))</f>
        <v/>
      </c>
      <c r="G105">
        <f>IF(OR(B105="",C105="",D105=""),"",B105+ROW()/10000000)</f>
        <v/>
      </c>
    </row>
    <row r="106">
      <c r="A106" s="1" t="n"/>
      <c r="B106" s="24" t="n"/>
      <c r="C106" s="22" t="n"/>
      <c r="D106" s="33" t="n"/>
      <c r="E106" s="23" t="n"/>
      <c r="F106" s="1">
        <f>IF(G106="","",COUNTIFS(Weight!$C$6:$C$505,C106,Weight!$G$6:$G$505,"&gt;"&amp;G106))</f>
        <v/>
      </c>
      <c r="G106">
        <f>IF(OR(B106="",C106="",D106=""),"",B106+ROW()/10000000)</f>
        <v/>
      </c>
    </row>
    <row r="107">
      <c r="A107" s="1" t="n"/>
      <c r="B107" s="24" t="n"/>
      <c r="C107" s="22" t="n"/>
      <c r="D107" s="33" t="n"/>
      <c r="E107" s="23" t="n"/>
      <c r="F107" s="1">
        <f>IF(G107="","",COUNTIFS(Weight!$C$6:$C$505,C107,Weight!$G$6:$G$505,"&gt;"&amp;G107))</f>
        <v/>
      </c>
      <c r="G107">
        <f>IF(OR(B107="",C107="",D107=""),"",B107+ROW()/10000000)</f>
        <v/>
      </c>
    </row>
    <row r="108">
      <c r="A108" s="1" t="n"/>
      <c r="B108" s="24" t="n"/>
      <c r="C108" s="22" t="n"/>
      <c r="D108" s="33" t="n"/>
      <c r="E108" s="23" t="n"/>
      <c r="F108" s="1">
        <f>IF(G108="","",COUNTIFS(Weight!$C$6:$C$505,C108,Weight!$G$6:$G$505,"&gt;"&amp;G108))</f>
        <v/>
      </c>
      <c r="G108">
        <f>IF(OR(B108="",C108="",D108=""),"",B108+ROW()/10000000)</f>
        <v/>
      </c>
    </row>
    <row r="109">
      <c r="A109" s="1" t="n"/>
      <c r="B109" s="24" t="n"/>
      <c r="C109" s="22" t="n"/>
      <c r="D109" s="33" t="n"/>
      <c r="E109" s="23" t="n"/>
      <c r="F109" s="1">
        <f>IF(G109="","",COUNTIFS(Weight!$C$6:$C$505,C109,Weight!$G$6:$G$505,"&gt;"&amp;G109))</f>
        <v/>
      </c>
      <c r="G109">
        <f>IF(OR(B109="",C109="",D109=""),"",B109+ROW()/10000000)</f>
        <v/>
      </c>
    </row>
    <row r="110">
      <c r="A110" s="1" t="n"/>
      <c r="B110" s="24" t="n"/>
      <c r="C110" s="22" t="n"/>
      <c r="D110" s="33" t="n"/>
      <c r="E110" s="23" t="n"/>
      <c r="F110" s="1">
        <f>IF(G110="","",COUNTIFS(Weight!$C$6:$C$505,C110,Weight!$G$6:$G$505,"&gt;"&amp;G110))</f>
        <v/>
      </c>
      <c r="G110">
        <f>IF(OR(B110="",C110="",D110=""),"",B110+ROW()/10000000)</f>
        <v/>
      </c>
    </row>
    <row r="111">
      <c r="A111" s="1" t="n"/>
      <c r="B111" s="24" t="n"/>
      <c r="C111" s="22" t="n"/>
      <c r="D111" s="33" t="n"/>
      <c r="E111" s="23" t="n"/>
      <c r="F111" s="1">
        <f>IF(G111="","",COUNTIFS(Weight!$C$6:$C$505,C111,Weight!$G$6:$G$505,"&gt;"&amp;G111))</f>
        <v/>
      </c>
      <c r="G111">
        <f>IF(OR(B111="",C111="",D111=""),"",B111+ROW()/10000000)</f>
        <v/>
      </c>
    </row>
    <row r="112">
      <c r="A112" s="1" t="n"/>
      <c r="B112" s="24" t="n"/>
      <c r="C112" s="22" t="n"/>
      <c r="D112" s="33" t="n"/>
      <c r="E112" s="23" t="n"/>
      <c r="F112" s="1">
        <f>IF(G112="","",COUNTIFS(Weight!$C$6:$C$505,C112,Weight!$G$6:$G$505,"&gt;"&amp;G112))</f>
        <v/>
      </c>
      <c r="G112">
        <f>IF(OR(B112="",C112="",D112=""),"",B112+ROW()/10000000)</f>
        <v/>
      </c>
    </row>
    <row r="113">
      <c r="A113" s="1" t="n"/>
      <c r="B113" s="24" t="n"/>
      <c r="C113" s="22" t="n"/>
      <c r="D113" s="33" t="n"/>
      <c r="E113" s="23" t="n"/>
      <c r="F113" s="1">
        <f>IF(G113="","",COUNTIFS(Weight!$C$6:$C$505,C113,Weight!$G$6:$G$505,"&gt;"&amp;G113))</f>
        <v/>
      </c>
      <c r="G113">
        <f>IF(OR(B113="",C113="",D113=""),"",B113+ROW()/10000000)</f>
        <v/>
      </c>
    </row>
    <row r="114">
      <c r="A114" s="1" t="n"/>
      <c r="B114" s="24" t="n"/>
      <c r="C114" s="22" t="n"/>
      <c r="D114" s="33" t="n"/>
      <c r="E114" s="23" t="n"/>
      <c r="F114" s="1">
        <f>IF(G114="","",COUNTIFS(Weight!$C$6:$C$505,C114,Weight!$G$6:$G$505,"&gt;"&amp;G114))</f>
        <v/>
      </c>
      <c r="G114">
        <f>IF(OR(B114="",C114="",D114=""),"",B114+ROW()/10000000)</f>
        <v/>
      </c>
    </row>
    <row r="115">
      <c r="A115" s="1" t="n"/>
      <c r="B115" s="24" t="n"/>
      <c r="C115" s="22" t="n"/>
      <c r="D115" s="33" t="n"/>
      <c r="E115" s="23" t="n"/>
      <c r="F115" s="1">
        <f>IF(G115="","",COUNTIFS(Weight!$C$6:$C$505,C115,Weight!$G$6:$G$505,"&gt;"&amp;G115))</f>
        <v/>
      </c>
      <c r="G115">
        <f>IF(OR(B115="",C115="",D115=""),"",B115+ROW()/10000000)</f>
        <v/>
      </c>
    </row>
    <row r="116">
      <c r="A116" s="1" t="n"/>
      <c r="B116" s="24" t="n"/>
      <c r="C116" s="22" t="n"/>
      <c r="D116" s="33" t="n"/>
      <c r="E116" s="23" t="n"/>
      <c r="F116" s="1">
        <f>IF(G116="","",COUNTIFS(Weight!$C$6:$C$505,C116,Weight!$G$6:$G$505,"&gt;"&amp;G116))</f>
        <v/>
      </c>
      <c r="G116">
        <f>IF(OR(B116="",C116="",D116=""),"",B116+ROW()/10000000)</f>
        <v/>
      </c>
    </row>
    <row r="117">
      <c r="A117" s="1" t="n"/>
      <c r="B117" s="24" t="n"/>
      <c r="C117" s="22" t="n"/>
      <c r="D117" s="33" t="n"/>
      <c r="E117" s="23" t="n"/>
      <c r="F117" s="1">
        <f>IF(G117="","",COUNTIFS(Weight!$C$6:$C$505,C117,Weight!$G$6:$G$505,"&gt;"&amp;G117))</f>
        <v/>
      </c>
      <c r="G117">
        <f>IF(OR(B117="",C117="",D117=""),"",B117+ROW()/10000000)</f>
        <v/>
      </c>
    </row>
    <row r="118">
      <c r="A118" s="1" t="n"/>
      <c r="B118" s="24" t="n"/>
      <c r="C118" s="22" t="n"/>
      <c r="D118" s="33" t="n"/>
      <c r="E118" s="23" t="n"/>
      <c r="F118" s="1">
        <f>IF(G118="","",COUNTIFS(Weight!$C$6:$C$505,C118,Weight!$G$6:$G$505,"&gt;"&amp;G118))</f>
        <v/>
      </c>
      <c r="G118">
        <f>IF(OR(B118="",C118="",D118=""),"",B118+ROW()/10000000)</f>
        <v/>
      </c>
    </row>
    <row r="119">
      <c r="A119" s="1" t="n"/>
      <c r="B119" s="24" t="n"/>
      <c r="C119" s="22" t="n"/>
      <c r="D119" s="33" t="n"/>
      <c r="E119" s="23" t="n"/>
      <c r="F119" s="1">
        <f>IF(G119="","",COUNTIFS(Weight!$C$6:$C$505,C119,Weight!$G$6:$G$505,"&gt;"&amp;G119))</f>
        <v/>
      </c>
      <c r="G119">
        <f>IF(OR(B119="",C119="",D119=""),"",B119+ROW()/10000000)</f>
        <v/>
      </c>
    </row>
    <row r="120">
      <c r="A120" s="1" t="n"/>
      <c r="B120" s="24" t="n"/>
      <c r="C120" s="22" t="n"/>
      <c r="D120" s="33" t="n"/>
      <c r="E120" s="23" t="n"/>
      <c r="F120" s="1">
        <f>IF(G120="","",COUNTIFS(Weight!$C$6:$C$505,C120,Weight!$G$6:$G$505,"&gt;"&amp;G120))</f>
        <v/>
      </c>
      <c r="G120">
        <f>IF(OR(B120="",C120="",D120=""),"",B120+ROW()/10000000)</f>
        <v/>
      </c>
    </row>
    <row r="121">
      <c r="A121" s="1" t="n"/>
      <c r="B121" s="24" t="n"/>
      <c r="C121" s="22" t="n"/>
      <c r="D121" s="33" t="n"/>
      <c r="E121" s="23" t="n"/>
      <c r="F121" s="1">
        <f>IF(G121="","",COUNTIFS(Weight!$C$6:$C$505,C121,Weight!$G$6:$G$505,"&gt;"&amp;G121))</f>
        <v/>
      </c>
      <c r="G121">
        <f>IF(OR(B121="",C121="",D121=""),"",B121+ROW()/10000000)</f>
        <v/>
      </c>
    </row>
    <row r="122">
      <c r="A122" s="1" t="n"/>
      <c r="B122" s="24" t="n"/>
      <c r="C122" s="22" t="n"/>
      <c r="D122" s="33" t="n"/>
      <c r="E122" s="23" t="n"/>
      <c r="F122" s="1">
        <f>IF(G122="","",COUNTIFS(Weight!$C$6:$C$505,C122,Weight!$G$6:$G$505,"&gt;"&amp;G122))</f>
        <v/>
      </c>
      <c r="G122">
        <f>IF(OR(B122="",C122="",D122=""),"",B122+ROW()/10000000)</f>
        <v/>
      </c>
    </row>
    <row r="123">
      <c r="A123" s="1" t="n"/>
      <c r="B123" s="24" t="n"/>
      <c r="C123" s="22" t="n"/>
      <c r="D123" s="33" t="n"/>
      <c r="E123" s="23" t="n"/>
      <c r="F123" s="1">
        <f>IF(G123="","",COUNTIFS(Weight!$C$6:$C$505,C123,Weight!$G$6:$G$505,"&gt;"&amp;G123))</f>
        <v/>
      </c>
      <c r="G123">
        <f>IF(OR(B123="",C123="",D123=""),"",B123+ROW()/10000000)</f>
        <v/>
      </c>
    </row>
    <row r="124">
      <c r="A124" s="1" t="n"/>
      <c r="B124" s="24" t="n"/>
      <c r="C124" s="22" t="n"/>
      <c r="D124" s="33" t="n"/>
      <c r="E124" s="23" t="n"/>
      <c r="F124" s="1">
        <f>IF(G124="","",COUNTIFS(Weight!$C$6:$C$505,C124,Weight!$G$6:$G$505,"&gt;"&amp;G124))</f>
        <v/>
      </c>
      <c r="G124">
        <f>IF(OR(B124="",C124="",D124=""),"",B124+ROW()/10000000)</f>
        <v/>
      </c>
    </row>
    <row r="125">
      <c r="A125" s="1" t="n"/>
      <c r="B125" s="24" t="n"/>
      <c r="C125" s="22" t="n"/>
      <c r="D125" s="33" t="n"/>
      <c r="E125" s="23" t="n"/>
      <c r="F125" s="1">
        <f>IF(G125="","",COUNTIFS(Weight!$C$6:$C$505,C125,Weight!$G$6:$G$505,"&gt;"&amp;G125))</f>
        <v/>
      </c>
      <c r="G125">
        <f>IF(OR(B125="",C125="",D125=""),"",B125+ROW()/10000000)</f>
        <v/>
      </c>
    </row>
    <row r="126">
      <c r="A126" s="1" t="n"/>
      <c r="B126" s="24" t="n"/>
      <c r="C126" s="22" t="n"/>
      <c r="D126" s="33" t="n"/>
      <c r="E126" s="23" t="n"/>
      <c r="F126" s="1">
        <f>IF(G126="","",COUNTIFS(Weight!$C$6:$C$505,C126,Weight!$G$6:$G$505,"&gt;"&amp;G126))</f>
        <v/>
      </c>
      <c r="G126">
        <f>IF(OR(B126="",C126="",D126=""),"",B126+ROW()/10000000)</f>
        <v/>
      </c>
    </row>
    <row r="127">
      <c r="A127" s="1" t="n"/>
      <c r="B127" s="24" t="n"/>
      <c r="C127" s="22" t="n"/>
      <c r="D127" s="33" t="n"/>
      <c r="E127" s="23" t="n"/>
      <c r="F127" s="1">
        <f>IF(G127="","",COUNTIFS(Weight!$C$6:$C$505,C127,Weight!$G$6:$G$505,"&gt;"&amp;G127))</f>
        <v/>
      </c>
      <c r="G127">
        <f>IF(OR(B127="",C127="",D127=""),"",B127+ROW()/10000000)</f>
        <v/>
      </c>
    </row>
    <row r="128">
      <c r="A128" s="1" t="n"/>
      <c r="B128" s="24" t="n"/>
      <c r="C128" s="22" t="n"/>
      <c r="D128" s="33" t="n"/>
      <c r="E128" s="23" t="n"/>
      <c r="F128" s="1">
        <f>IF(G128="","",COUNTIFS(Weight!$C$6:$C$505,C128,Weight!$G$6:$G$505,"&gt;"&amp;G128))</f>
        <v/>
      </c>
      <c r="G128">
        <f>IF(OR(B128="",C128="",D128=""),"",B128+ROW()/10000000)</f>
        <v/>
      </c>
    </row>
    <row r="129">
      <c r="A129" s="1" t="n"/>
      <c r="B129" s="24" t="n"/>
      <c r="C129" s="22" t="n"/>
      <c r="D129" s="33" t="n"/>
      <c r="E129" s="23" t="n"/>
      <c r="F129" s="1">
        <f>IF(G129="","",COUNTIFS(Weight!$C$6:$C$505,C129,Weight!$G$6:$G$505,"&gt;"&amp;G129))</f>
        <v/>
      </c>
      <c r="G129">
        <f>IF(OR(B129="",C129="",D129=""),"",B129+ROW()/10000000)</f>
        <v/>
      </c>
    </row>
    <row r="130">
      <c r="A130" s="1" t="n"/>
      <c r="B130" s="24" t="n"/>
      <c r="C130" s="22" t="n"/>
      <c r="D130" s="33" t="n"/>
      <c r="E130" s="23" t="n"/>
      <c r="F130" s="1">
        <f>IF(G130="","",COUNTIFS(Weight!$C$6:$C$505,C130,Weight!$G$6:$G$505,"&gt;"&amp;G130))</f>
        <v/>
      </c>
      <c r="G130">
        <f>IF(OR(B130="",C130="",D130=""),"",B130+ROW()/10000000)</f>
        <v/>
      </c>
    </row>
    <row r="131">
      <c r="A131" s="1" t="n"/>
      <c r="B131" s="24" t="n"/>
      <c r="C131" s="22" t="n"/>
      <c r="D131" s="33" t="n"/>
      <c r="E131" s="23" t="n"/>
      <c r="F131" s="1">
        <f>IF(G131="","",COUNTIFS(Weight!$C$6:$C$505,C131,Weight!$G$6:$G$505,"&gt;"&amp;G131))</f>
        <v/>
      </c>
      <c r="G131">
        <f>IF(OR(B131="",C131="",D131=""),"",B131+ROW()/10000000)</f>
        <v/>
      </c>
    </row>
    <row r="132">
      <c r="A132" s="1" t="n"/>
      <c r="B132" s="24" t="n"/>
      <c r="C132" s="22" t="n"/>
      <c r="D132" s="33" t="n"/>
      <c r="E132" s="23" t="n"/>
      <c r="F132" s="1">
        <f>IF(G132="","",COUNTIFS(Weight!$C$6:$C$505,C132,Weight!$G$6:$G$505,"&gt;"&amp;G132))</f>
        <v/>
      </c>
      <c r="G132">
        <f>IF(OR(B132="",C132="",D132=""),"",B132+ROW()/10000000)</f>
        <v/>
      </c>
    </row>
    <row r="133">
      <c r="A133" s="1" t="n"/>
      <c r="B133" s="24" t="n"/>
      <c r="C133" s="22" t="n"/>
      <c r="D133" s="33" t="n"/>
      <c r="E133" s="23" t="n"/>
      <c r="F133" s="1">
        <f>IF(G133="","",COUNTIFS(Weight!$C$6:$C$505,C133,Weight!$G$6:$G$505,"&gt;"&amp;G133))</f>
        <v/>
      </c>
      <c r="G133">
        <f>IF(OR(B133="",C133="",D133=""),"",B133+ROW()/10000000)</f>
        <v/>
      </c>
    </row>
    <row r="134">
      <c r="A134" s="1" t="n"/>
      <c r="B134" s="24" t="n"/>
      <c r="C134" s="22" t="n"/>
      <c r="D134" s="33" t="n"/>
      <c r="E134" s="23" t="n"/>
      <c r="F134" s="1">
        <f>IF(G134="","",COUNTIFS(Weight!$C$6:$C$505,C134,Weight!$G$6:$G$505,"&gt;"&amp;G134))</f>
        <v/>
      </c>
      <c r="G134">
        <f>IF(OR(B134="",C134="",D134=""),"",B134+ROW()/10000000)</f>
        <v/>
      </c>
    </row>
    <row r="135">
      <c r="A135" s="1" t="n"/>
      <c r="B135" s="24" t="n"/>
      <c r="C135" s="22" t="n"/>
      <c r="D135" s="33" t="n"/>
      <c r="E135" s="23" t="n"/>
      <c r="F135" s="1">
        <f>IF(G135="","",COUNTIFS(Weight!$C$6:$C$505,C135,Weight!$G$6:$G$505,"&gt;"&amp;G135))</f>
        <v/>
      </c>
      <c r="G135">
        <f>IF(OR(B135="",C135="",D135=""),"",B135+ROW()/10000000)</f>
        <v/>
      </c>
    </row>
    <row r="136">
      <c r="A136" s="1" t="n"/>
      <c r="B136" s="24" t="n"/>
      <c r="C136" s="22" t="n"/>
      <c r="D136" s="33" t="n"/>
      <c r="E136" s="23" t="n"/>
      <c r="F136" s="1">
        <f>IF(G136="","",COUNTIFS(Weight!$C$6:$C$505,C136,Weight!$G$6:$G$505,"&gt;"&amp;G136))</f>
        <v/>
      </c>
      <c r="G136">
        <f>IF(OR(B136="",C136="",D136=""),"",B136+ROW()/10000000)</f>
        <v/>
      </c>
    </row>
    <row r="137">
      <c r="A137" s="1" t="n"/>
      <c r="B137" s="24" t="n"/>
      <c r="C137" s="22" t="n"/>
      <c r="D137" s="33" t="n"/>
      <c r="E137" s="23" t="n"/>
      <c r="F137" s="1">
        <f>IF(G137="","",COUNTIFS(Weight!$C$6:$C$505,C137,Weight!$G$6:$G$505,"&gt;"&amp;G137))</f>
        <v/>
      </c>
      <c r="G137">
        <f>IF(OR(B137="",C137="",D137=""),"",B137+ROW()/10000000)</f>
        <v/>
      </c>
    </row>
    <row r="138">
      <c r="A138" s="1" t="n"/>
      <c r="B138" s="24" t="n"/>
      <c r="C138" s="22" t="n"/>
      <c r="D138" s="33" t="n"/>
      <c r="E138" s="23" t="n"/>
      <c r="F138" s="1">
        <f>IF(G138="","",COUNTIFS(Weight!$C$6:$C$505,C138,Weight!$G$6:$G$505,"&gt;"&amp;G138))</f>
        <v/>
      </c>
      <c r="G138">
        <f>IF(OR(B138="",C138="",D138=""),"",B138+ROW()/10000000)</f>
        <v/>
      </c>
    </row>
    <row r="139">
      <c r="A139" s="1" t="n"/>
      <c r="B139" s="24" t="n"/>
      <c r="C139" s="22" t="n"/>
      <c r="D139" s="33" t="n"/>
      <c r="E139" s="23" t="n"/>
      <c r="F139" s="1">
        <f>IF(G139="","",COUNTIFS(Weight!$C$6:$C$505,C139,Weight!$G$6:$G$505,"&gt;"&amp;G139))</f>
        <v/>
      </c>
      <c r="G139">
        <f>IF(OR(B139="",C139="",D139=""),"",B139+ROW()/10000000)</f>
        <v/>
      </c>
    </row>
    <row r="140">
      <c r="A140" s="1" t="n"/>
      <c r="B140" s="24" t="n"/>
      <c r="C140" s="22" t="n"/>
      <c r="D140" s="33" t="n"/>
      <c r="E140" s="23" t="n"/>
      <c r="F140" s="1">
        <f>IF(G140="","",COUNTIFS(Weight!$C$6:$C$505,C140,Weight!$G$6:$G$505,"&gt;"&amp;G140))</f>
        <v/>
      </c>
      <c r="G140">
        <f>IF(OR(B140="",C140="",D140=""),"",B140+ROW()/10000000)</f>
        <v/>
      </c>
    </row>
    <row r="141">
      <c r="A141" s="1" t="n"/>
      <c r="B141" s="24" t="n"/>
      <c r="C141" s="22" t="n"/>
      <c r="D141" s="33" t="n"/>
      <c r="E141" s="23" t="n"/>
      <c r="F141" s="1">
        <f>IF(G141="","",COUNTIFS(Weight!$C$6:$C$505,C141,Weight!$G$6:$G$505,"&gt;"&amp;G141))</f>
        <v/>
      </c>
      <c r="G141">
        <f>IF(OR(B141="",C141="",D141=""),"",B141+ROW()/10000000)</f>
        <v/>
      </c>
    </row>
    <row r="142">
      <c r="A142" s="1" t="n"/>
      <c r="B142" s="24" t="n"/>
      <c r="C142" s="22" t="n"/>
      <c r="D142" s="33" t="n"/>
      <c r="E142" s="23" t="n"/>
      <c r="F142" s="1">
        <f>IF(G142="","",COUNTIFS(Weight!$C$6:$C$505,C142,Weight!$G$6:$G$505,"&gt;"&amp;G142))</f>
        <v/>
      </c>
      <c r="G142">
        <f>IF(OR(B142="",C142="",D142=""),"",B142+ROW()/10000000)</f>
        <v/>
      </c>
    </row>
    <row r="143">
      <c r="A143" s="1" t="n"/>
      <c r="B143" s="24" t="n"/>
      <c r="C143" s="22" t="n"/>
      <c r="D143" s="33" t="n"/>
      <c r="E143" s="23" t="n"/>
      <c r="F143" s="1">
        <f>IF(G143="","",COUNTIFS(Weight!$C$6:$C$505,C143,Weight!$G$6:$G$505,"&gt;"&amp;G143))</f>
        <v/>
      </c>
      <c r="G143">
        <f>IF(OR(B143="",C143="",D143=""),"",B143+ROW()/10000000)</f>
        <v/>
      </c>
    </row>
    <row r="144">
      <c r="A144" s="1" t="n"/>
      <c r="B144" s="24" t="n"/>
      <c r="C144" s="22" t="n"/>
      <c r="D144" s="33" t="n"/>
      <c r="E144" s="23" t="n"/>
      <c r="F144" s="1">
        <f>IF(G144="","",COUNTIFS(Weight!$C$6:$C$505,C144,Weight!$G$6:$G$505,"&gt;"&amp;G144))</f>
        <v/>
      </c>
      <c r="G144">
        <f>IF(OR(B144="",C144="",D144=""),"",B144+ROW()/10000000)</f>
        <v/>
      </c>
    </row>
    <row r="145">
      <c r="A145" s="1" t="n"/>
      <c r="B145" s="24" t="n"/>
      <c r="C145" s="22" t="n"/>
      <c r="D145" s="33" t="n"/>
      <c r="E145" s="23" t="n"/>
      <c r="F145" s="1">
        <f>IF(G145="","",COUNTIFS(Weight!$C$6:$C$505,C145,Weight!$G$6:$G$505,"&gt;"&amp;G145))</f>
        <v/>
      </c>
      <c r="G145">
        <f>IF(OR(B145="",C145="",D145=""),"",B145+ROW()/10000000)</f>
        <v/>
      </c>
    </row>
    <row r="146">
      <c r="A146" s="1" t="n"/>
      <c r="B146" s="24" t="n"/>
      <c r="C146" s="22" t="n"/>
      <c r="D146" s="33" t="n"/>
      <c r="E146" s="23" t="n"/>
      <c r="F146" s="1">
        <f>IF(G146="","",COUNTIFS(Weight!$C$6:$C$505,C146,Weight!$G$6:$G$505,"&gt;"&amp;G146))</f>
        <v/>
      </c>
      <c r="G146">
        <f>IF(OR(B146="",C146="",D146=""),"",B146+ROW()/10000000)</f>
        <v/>
      </c>
    </row>
    <row r="147">
      <c r="A147" s="1" t="n"/>
      <c r="B147" s="24" t="n"/>
      <c r="C147" s="22" t="n"/>
      <c r="D147" s="33" t="n"/>
      <c r="E147" s="23" t="n"/>
      <c r="F147" s="1">
        <f>IF(G147="","",COUNTIFS(Weight!$C$6:$C$505,C147,Weight!$G$6:$G$505,"&gt;"&amp;G147))</f>
        <v/>
      </c>
      <c r="G147">
        <f>IF(OR(B147="",C147="",D147=""),"",B147+ROW()/10000000)</f>
        <v/>
      </c>
    </row>
    <row r="148">
      <c r="A148" s="1" t="n"/>
      <c r="B148" s="24" t="n"/>
      <c r="C148" s="22" t="n"/>
      <c r="D148" s="33" t="n"/>
      <c r="E148" s="23" t="n"/>
      <c r="F148" s="1">
        <f>IF(G148="","",COUNTIFS(Weight!$C$6:$C$505,C148,Weight!$G$6:$G$505,"&gt;"&amp;G148))</f>
        <v/>
      </c>
      <c r="G148">
        <f>IF(OR(B148="",C148="",D148=""),"",B148+ROW()/10000000)</f>
        <v/>
      </c>
    </row>
    <row r="149">
      <c r="A149" s="1" t="n"/>
      <c r="B149" s="24" t="n"/>
      <c r="C149" s="22" t="n"/>
      <c r="D149" s="33" t="n"/>
      <c r="E149" s="23" t="n"/>
      <c r="F149" s="1">
        <f>IF(G149="","",COUNTIFS(Weight!$C$6:$C$505,C149,Weight!$G$6:$G$505,"&gt;"&amp;G149))</f>
        <v/>
      </c>
      <c r="G149">
        <f>IF(OR(B149="",C149="",D149=""),"",B149+ROW()/10000000)</f>
        <v/>
      </c>
    </row>
    <row r="150">
      <c r="A150" s="1" t="n"/>
      <c r="B150" s="24" t="n"/>
      <c r="C150" s="22" t="n"/>
      <c r="D150" s="33" t="n"/>
      <c r="E150" s="23" t="n"/>
      <c r="F150" s="1">
        <f>IF(G150="","",COUNTIFS(Weight!$C$6:$C$505,C150,Weight!$G$6:$G$505,"&gt;"&amp;G150))</f>
        <v/>
      </c>
      <c r="G150">
        <f>IF(OR(B150="",C150="",D150=""),"",B150+ROW()/10000000)</f>
        <v/>
      </c>
    </row>
    <row r="151">
      <c r="A151" s="1" t="n"/>
      <c r="B151" s="24" t="n"/>
      <c r="C151" s="22" t="n"/>
      <c r="D151" s="33" t="n"/>
      <c r="E151" s="23" t="n"/>
      <c r="F151" s="1">
        <f>IF(G151="","",COUNTIFS(Weight!$C$6:$C$505,C151,Weight!$G$6:$G$505,"&gt;"&amp;G151))</f>
        <v/>
      </c>
      <c r="G151">
        <f>IF(OR(B151="",C151="",D151=""),"",B151+ROW()/10000000)</f>
        <v/>
      </c>
    </row>
    <row r="152">
      <c r="A152" s="1" t="n"/>
      <c r="B152" s="24" t="n"/>
      <c r="C152" s="22" t="n"/>
      <c r="D152" s="33" t="n"/>
      <c r="E152" s="23" t="n"/>
      <c r="F152" s="1">
        <f>IF(G152="","",COUNTIFS(Weight!$C$6:$C$505,C152,Weight!$G$6:$G$505,"&gt;"&amp;G152))</f>
        <v/>
      </c>
      <c r="G152">
        <f>IF(OR(B152="",C152="",D152=""),"",B152+ROW()/10000000)</f>
        <v/>
      </c>
    </row>
    <row r="153">
      <c r="A153" s="1" t="n"/>
      <c r="B153" s="24" t="n"/>
      <c r="C153" s="22" t="n"/>
      <c r="D153" s="33" t="n"/>
      <c r="E153" s="23" t="n"/>
      <c r="F153" s="1">
        <f>IF(G153="","",COUNTIFS(Weight!$C$6:$C$505,C153,Weight!$G$6:$G$505,"&gt;"&amp;G153))</f>
        <v/>
      </c>
      <c r="G153">
        <f>IF(OR(B153="",C153="",D153=""),"",B153+ROW()/10000000)</f>
        <v/>
      </c>
    </row>
    <row r="154">
      <c r="A154" s="1" t="n"/>
      <c r="B154" s="24" t="n"/>
      <c r="C154" s="22" t="n"/>
      <c r="D154" s="33" t="n"/>
      <c r="E154" s="23" t="n"/>
      <c r="F154" s="1">
        <f>IF(G154="","",COUNTIFS(Weight!$C$6:$C$505,C154,Weight!$G$6:$G$505,"&gt;"&amp;G154))</f>
        <v/>
      </c>
      <c r="G154">
        <f>IF(OR(B154="",C154="",D154=""),"",B154+ROW()/10000000)</f>
        <v/>
      </c>
    </row>
    <row r="155">
      <c r="A155" s="1" t="n"/>
      <c r="B155" s="24" t="n"/>
      <c r="C155" s="22" t="n"/>
      <c r="D155" s="33" t="n"/>
      <c r="E155" s="23" t="n"/>
      <c r="F155" s="1">
        <f>IF(G155="","",COUNTIFS(Weight!$C$6:$C$505,C155,Weight!$G$6:$G$505,"&gt;"&amp;G155))</f>
        <v/>
      </c>
      <c r="G155">
        <f>IF(OR(B155="",C155="",D155=""),"",B155+ROW()/10000000)</f>
        <v/>
      </c>
    </row>
    <row r="156">
      <c r="A156" s="1" t="n"/>
      <c r="B156" s="24" t="n"/>
      <c r="C156" s="22" t="n"/>
      <c r="D156" s="33" t="n"/>
      <c r="E156" s="23" t="n"/>
      <c r="F156" s="1">
        <f>IF(G156="","",COUNTIFS(Weight!$C$6:$C$505,C156,Weight!$G$6:$G$505,"&gt;"&amp;G156))</f>
        <v/>
      </c>
      <c r="G156">
        <f>IF(OR(B156="",C156="",D156=""),"",B156+ROW()/10000000)</f>
        <v/>
      </c>
    </row>
    <row r="157">
      <c r="A157" s="1" t="n"/>
      <c r="B157" s="24" t="n"/>
      <c r="C157" s="22" t="n"/>
      <c r="D157" s="33" t="n"/>
      <c r="E157" s="23" t="n"/>
      <c r="F157" s="1">
        <f>IF(G157="","",COUNTIFS(Weight!$C$6:$C$505,C157,Weight!$G$6:$G$505,"&gt;"&amp;G157))</f>
        <v/>
      </c>
      <c r="G157">
        <f>IF(OR(B157="",C157="",D157=""),"",B157+ROW()/10000000)</f>
        <v/>
      </c>
    </row>
    <row r="158">
      <c r="A158" s="1" t="n"/>
      <c r="B158" s="24" t="n"/>
      <c r="C158" s="22" t="n"/>
      <c r="D158" s="33" t="n"/>
      <c r="E158" s="23" t="n"/>
      <c r="F158" s="1">
        <f>IF(G158="","",COUNTIFS(Weight!$C$6:$C$505,C158,Weight!$G$6:$G$505,"&gt;"&amp;G158))</f>
        <v/>
      </c>
      <c r="G158">
        <f>IF(OR(B158="",C158="",D158=""),"",B158+ROW()/10000000)</f>
        <v/>
      </c>
    </row>
    <row r="159">
      <c r="A159" s="1" t="n"/>
      <c r="B159" s="24" t="n"/>
      <c r="C159" s="22" t="n"/>
      <c r="D159" s="33" t="n"/>
      <c r="E159" s="23" t="n"/>
      <c r="F159" s="1">
        <f>IF(G159="","",COUNTIFS(Weight!$C$6:$C$505,C159,Weight!$G$6:$G$505,"&gt;"&amp;G159))</f>
        <v/>
      </c>
      <c r="G159">
        <f>IF(OR(B159="",C159="",D159=""),"",B159+ROW()/10000000)</f>
        <v/>
      </c>
    </row>
    <row r="160">
      <c r="A160" s="1" t="n"/>
      <c r="B160" s="24" t="n"/>
      <c r="C160" s="22" t="n"/>
      <c r="D160" s="33" t="n"/>
      <c r="E160" s="23" t="n"/>
      <c r="F160" s="1">
        <f>IF(G160="","",COUNTIFS(Weight!$C$6:$C$505,C160,Weight!$G$6:$G$505,"&gt;"&amp;G160))</f>
        <v/>
      </c>
      <c r="G160">
        <f>IF(OR(B160="",C160="",D160=""),"",B160+ROW()/10000000)</f>
        <v/>
      </c>
    </row>
    <row r="161">
      <c r="A161" s="1" t="n"/>
      <c r="B161" s="24" t="n"/>
      <c r="C161" s="22" t="n"/>
      <c r="D161" s="33" t="n"/>
      <c r="E161" s="23" t="n"/>
      <c r="F161" s="1">
        <f>IF(G161="","",COUNTIFS(Weight!$C$6:$C$505,C161,Weight!$G$6:$G$505,"&gt;"&amp;G161))</f>
        <v/>
      </c>
      <c r="G161">
        <f>IF(OR(B161="",C161="",D161=""),"",B161+ROW()/10000000)</f>
        <v/>
      </c>
    </row>
    <row r="162">
      <c r="A162" s="1" t="n"/>
      <c r="B162" s="24" t="n"/>
      <c r="C162" s="22" t="n"/>
      <c r="D162" s="33" t="n"/>
      <c r="E162" s="23" t="n"/>
      <c r="F162" s="1">
        <f>IF(G162="","",COUNTIFS(Weight!$C$6:$C$505,C162,Weight!$G$6:$G$505,"&gt;"&amp;G162))</f>
        <v/>
      </c>
      <c r="G162">
        <f>IF(OR(B162="",C162="",D162=""),"",B162+ROW()/10000000)</f>
        <v/>
      </c>
    </row>
    <row r="163">
      <c r="A163" s="1" t="n"/>
      <c r="B163" s="24" t="n"/>
      <c r="C163" s="22" t="n"/>
      <c r="D163" s="33" t="n"/>
      <c r="E163" s="23" t="n"/>
      <c r="F163" s="1">
        <f>IF(G163="","",COUNTIFS(Weight!$C$6:$C$505,C163,Weight!$G$6:$G$505,"&gt;"&amp;G163))</f>
        <v/>
      </c>
      <c r="G163">
        <f>IF(OR(B163="",C163="",D163=""),"",B163+ROW()/10000000)</f>
        <v/>
      </c>
    </row>
    <row r="164">
      <c r="A164" s="1" t="n"/>
      <c r="B164" s="24" t="n"/>
      <c r="C164" s="22" t="n"/>
      <c r="D164" s="33" t="n"/>
      <c r="E164" s="23" t="n"/>
      <c r="F164" s="1">
        <f>IF(G164="","",COUNTIFS(Weight!$C$6:$C$505,C164,Weight!$G$6:$G$505,"&gt;"&amp;G164))</f>
        <v/>
      </c>
      <c r="G164">
        <f>IF(OR(B164="",C164="",D164=""),"",B164+ROW()/10000000)</f>
        <v/>
      </c>
    </row>
    <row r="165">
      <c r="A165" s="1" t="n"/>
      <c r="B165" s="24" t="n"/>
      <c r="C165" s="22" t="n"/>
      <c r="D165" s="33" t="n"/>
      <c r="E165" s="23" t="n"/>
      <c r="F165" s="1">
        <f>IF(G165="","",COUNTIFS(Weight!$C$6:$C$505,C165,Weight!$G$6:$G$505,"&gt;"&amp;G165))</f>
        <v/>
      </c>
      <c r="G165">
        <f>IF(OR(B165="",C165="",D165=""),"",B165+ROW()/10000000)</f>
        <v/>
      </c>
    </row>
    <row r="166">
      <c r="A166" s="1" t="n"/>
      <c r="B166" s="24" t="n"/>
      <c r="C166" s="22" t="n"/>
      <c r="D166" s="33" t="n"/>
      <c r="E166" s="23" t="n"/>
      <c r="F166" s="1">
        <f>IF(G166="","",COUNTIFS(Weight!$C$6:$C$505,C166,Weight!$G$6:$G$505,"&gt;"&amp;G166))</f>
        <v/>
      </c>
      <c r="G166">
        <f>IF(OR(B166="",C166="",D166=""),"",B166+ROW()/10000000)</f>
        <v/>
      </c>
    </row>
    <row r="167">
      <c r="A167" s="1" t="n"/>
      <c r="B167" s="24" t="n"/>
      <c r="C167" s="22" t="n"/>
      <c r="D167" s="33" t="n"/>
      <c r="E167" s="23" t="n"/>
      <c r="F167" s="1">
        <f>IF(G167="","",COUNTIFS(Weight!$C$6:$C$505,C167,Weight!$G$6:$G$505,"&gt;"&amp;G167))</f>
        <v/>
      </c>
      <c r="G167">
        <f>IF(OR(B167="",C167="",D167=""),"",B167+ROW()/10000000)</f>
        <v/>
      </c>
    </row>
    <row r="168">
      <c r="A168" s="1" t="n"/>
      <c r="B168" s="24" t="n"/>
      <c r="C168" s="22" t="n"/>
      <c r="D168" s="33" t="n"/>
      <c r="E168" s="23" t="n"/>
      <c r="F168" s="1">
        <f>IF(G168="","",COUNTIFS(Weight!$C$6:$C$505,C168,Weight!$G$6:$G$505,"&gt;"&amp;G168))</f>
        <v/>
      </c>
      <c r="G168">
        <f>IF(OR(B168="",C168="",D168=""),"",B168+ROW()/10000000)</f>
        <v/>
      </c>
    </row>
    <row r="169">
      <c r="A169" s="1" t="n"/>
      <c r="B169" s="24" t="n"/>
      <c r="C169" s="22" t="n"/>
      <c r="D169" s="33" t="n"/>
      <c r="E169" s="23" t="n"/>
      <c r="F169" s="1">
        <f>IF(G169="","",COUNTIFS(Weight!$C$6:$C$505,C169,Weight!$G$6:$G$505,"&gt;"&amp;G169))</f>
        <v/>
      </c>
      <c r="G169">
        <f>IF(OR(B169="",C169="",D169=""),"",B169+ROW()/10000000)</f>
        <v/>
      </c>
    </row>
    <row r="170">
      <c r="A170" s="1" t="n"/>
      <c r="B170" s="24" t="n"/>
      <c r="C170" s="22" t="n"/>
      <c r="D170" s="33" t="n"/>
      <c r="E170" s="23" t="n"/>
      <c r="F170" s="1">
        <f>IF(G170="","",COUNTIFS(Weight!$C$6:$C$505,C170,Weight!$G$6:$G$505,"&gt;"&amp;G170))</f>
        <v/>
      </c>
      <c r="G170">
        <f>IF(OR(B170="",C170="",D170=""),"",B170+ROW()/10000000)</f>
        <v/>
      </c>
    </row>
    <row r="171">
      <c r="A171" s="1" t="n"/>
      <c r="B171" s="24" t="n"/>
      <c r="C171" s="22" t="n"/>
      <c r="D171" s="33" t="n"/>
      <c r="E171" s="23" t="n"/>
      <c r="F171" s="1">
        <f>IF(G171="","",COUNTIFS(Weight!$C$6:$C$505,C171,Weight!$G$6:$G$505,"&gt;"&amp;G171))</f>
        <v/>
      </c>
      <c r="G171">
        <f>IF(OR(B171="",C171="",D171=""),"",B171+ROW()/10000000)</f>
        <v/>
      </c>
    </row>
    <row r="172">
      <c r="A172" s="1" t="n"/>
      <c r="B172" s="24" t="n"/>
      <c r="C172" s="22" t="n"/>
      <c r="D172" s="33" t="n"/>
      <c r="E172" s="23" t="n"/>
      <c r="F172" s="1">
        <f>IF(G172="","",COUNTIFS(Weight!$C$6:$C$505,C172,Weight!$G$6:$G$505,"&gt;"&amp;G172))</f>
        <v/>
      </c>
      <c r="G172">
        <f>IF(OR(B172="",C172="",D172=""),"",B172+ROW()/10000000)</f>
        <v/>
      </c>
    </row>
    <row r="173">
      <c r="A173" s="1" t="n"/>
      <c r="B173" s="24" t="n"/>
      <c r="C173" s="22" t="n"/>
      <c r="D173" s="33" t="n"/>
      <c r="E173" s="23" t="n"/>
      <c r="F173" s="1">
        <f>IF(G173="","",COUNTIFS(Weight!$C$6:$C$505,C173,Weight!$G$6:$G$505,"&gt;"&amp;G173))</f>
        <v/>
      </c>
      <c r="G173">
        <f>IF(OR(B173="",C173="",D173=""),"",B173+ROW()/10000000)</f>
        <v/>
      </c>
    </row>
    <row r="174">
      <c r="A174" s="1" t="n"/>
      <c r="B174" s="24" t="n"/>
      <c r="C174" s="22" t="n"/>
      <c r="D174" s="33" t="n"/>
      <c r="E174" s="23" t="n"/>
      <c r="F174" s="1">
        <f>IF(G174="","",COUNTIFS(Weight!$C$6:$C$505,C174,Weight!$G$6:$G$505,"&gt;"&amp;G174))</f>
        <v/>
      </c>
      <c r="G174">
        <f>IF(OR(B174="",C174="",D174=""),"",B174+ROW()/10000000)</f>
        <v/>
      </c>
    </row>
    <row r="175">
      <c r="A175" s="1" t="n"/>
      <c r="B175" s="24" t="n"/>
      <c r="C175" s="22" t="n"/>
      <c r="D175" s="33" t="n"/>
      <c r="E175" s="23" t="n"/>
      <c r="F175" s="1">
        <f>IF(G175="","",COUNTIFS(Weight!$C$6:$C$505,C175,Weight!$G$6:$G$505,"&gt;"&amp;G175))</f>
        <v/>
      </c>
      <c r="G175">
        <f>IF(OR(B175="",C175="",D175=""),"",B175+ROW()/10000000)</f>
        <v/>
      </c>
    </row>
    <row r="176">
      <c r="A176" s="1" t="n"/>
      <c r="B176" s="24" t="n"/>
      <c r="C176" s="22" t="n"/>
      <c r="D176" s="33" t="n"/>
      <c r="E176" s="23" t="n"/>
      <c r="F176" s="1">
        <f>IF(G176="","",COUNTIFS(Weight!$C$6:$C$505,C176,Weight!$G$6:$G$505,"&gt;"&amp;G176))</f>
        <v/>
      </c>
      <c r="G176">
        <f>IF(OR(B176="",C176="",D176=""),"",B176+ROW()/10000000)</f>
        <v/>
      </c>
    </row>
    <row r="177">
      <c r="A177" s="1" t="n"/>
      <c r="B177" s="24" t="n"/>
      <c r="C177" s="22" t="n"/>
      <c r="D177" s="33" t="n"/>
      <c r="E177" s="23" t="n"/>
      <c r="F177" s="1">
        <f>IF(G177="","",COUNTIFS(Weight!$C$6:$C$505,C177,Weight!$G$6:$G$505,"&gt;"&amp;G177))</f>
        <v/>
      </c>
      <c r="G177">
        <f>IF(OR(B177="",C177="",D177=""),"",B177+ROW()/10000000)</f>
        <v/>
      </c>
    </row>
    <row r="178">
      <c r="A178" s="1" t="n"/>
      <c r="B178" s="24" t="n"/>
      <c r="C178" s="22" t="n"/>
      <c r="D178" s="33" t="n"/>
      <c r="E178" s="23" t="n"/>
      <c r="F178" s="1">
        <f>IF(G178="","",COUNTIFS(Weight!$C$6:$C$505,C178,Weight!$G$6:$G$505,"&gt;"&amp;G178))</f>
        <v/>
      </c>
      <c r="G178">
        <f>IF(OR(B178="",C178="",D178=""),"",B178+ROW()/10000000)</f>
        <v/>
      </c>
    </row>
    <row r="179">
      <c r="A179" s="1" t="n"/>
      <c r="B179" s="24" t="n"/>
      <c r="C179" s="22" t="n"/>
      <c r="D179" s="33" t="n"/>
      <c r="E179" s="23" t="n"/>
      <c r="F179" s="1">
        <f>IF(G179="","",COUNTIFS(Weight!$C$6:$C$505,C179,Weight!$G$6:$G$505,"&gt;"&amp;G179))</f>
        <v/>
      </c>
      <c r="G179">
        <f>IF(OR(B179="",C179="",D179=""),"",B179+ROW()/10000000)</f>
        <v/>
      </c>
    </row>
    <row r="180">
      <c r="A180" s="1" t="n"/>
      <c r="B180" s="24" t="n"/>
      <c r="C180" s="22" t="n"/>
      <c r="D180" s="33" t="n"/>
      <c r="E180" s="23" t="n"/>
      <c r="F180" s="1">
        <f>IF(G180="","",COUNTIFS(Weight!$C$6:$C$505,C180,Weight!$G$6:$G$505,"&gt;"&amp;G180))</f>
        <v/>
      </c>
      <c r="G180">
        <f>IF(OR(B180="",C180="",D180=""),"",B180+ROW()/10000000)</f>
        <v/>
      </c>
    </row>
    <row r="181">
      <c r="A181" s="1" t="n"/>
      <c r="B181" s="24" t="n"/>
      <c r="C181" s="22" t="n"/>
      <c r="D181" s="33" t="n"/>
      <c r="E181" s="23" t="n"/>
      <c r="F181" s="1">
        <f>IF(G181="","",COUNTIFS(Weight!$C$6:$C$505,C181,Weight!$G$6:$G$505,"&gt;"&amp;G181))</f>
        <v/>
      </c>
      <c r="G181">
        <f>IF(OR(B181="",C181="",D181=""),"",B181+ROW()/10000000)</f>
        <v/>
      </c>
    </row>
    <row r="182">
      <c r="A182" s="1" t="n"/>
      <c r="B182" s="24" t="n"/>
      <c r="C182" s="22" t="n"/>
      <c r="D182" s="33" t="n"/>
      <c r="E182" s="23" t="n"/>
      <c r="F182" s="1">
        <f>IF(G182="","",COUNTIFS(Weight!$C$6:$C$505,C182,Weight!$G$6:$G$505,"&gt;"&amp;G182))</f>
        <v/>
      </c>
      <c r="G182">
        <f>IF(OR(B182="",C182="",D182=""),"",B182+ROW()/10000000)</f>
        <v/>
      </c>
    </row>
    <row r="183">
      <c r="A183" s="1" t="n"/>
      <c r="B183" s="24" t="n"/>
      <c r="C183" s="22" t="n"/>
      <c r="D183" s="33" t="n"/>
      <c r="E183" s="23" t="n"/>
      <c r="F183" s="1">
        <f>IF(G183="","",COUNTIFS(Weight!$C$6:$C$505,C183,Weight!$G$6:$G$505,"&gt;"&amp;G183))</f>
        <v/>
      </c>
      <c r="G183">
        <f>IF(OR(B183="",C183="",D183=""),"",B183+ROW()/10000000)</f>
        <v/>
      </c>
    </row>
    <row r="184">
      <c r="A184" s="1" t="n"/>
      <c r="B184" s="24" t="n"/>
      <c r="C184" s="22" t="n"/>
      <c r="D184" s="33" t="n"/>
      <c r="E184" s="23" t="n"/>
      <c r="F184" s="1">
        <f>IF(G184="","",COUNTIFS(Weight!$C$6:$C$505,C184,Weight!$G$6:$G$505,"&gt;"&amp;G184))</f>
        <v/>
      </c>
      <c r="G184">
        <f>IF(OR(B184="",C184="",D184=""),"",B184+ROW()/10000000)</f>
        <v/>
      </c>
    </row>
    <row r="185">
      <c r="A185" s="1" t="n"/>
      <c r="B185" s="24" t="n"/>
      <c r="C185" s="22" t="n"/>
      <c r="D185" s="33" t="n"/>
      <c r="E185" s="23" t="n"/>
      <c r="F185" s="1">
        <f>IF(G185="","",COUNTIFS(Weight!$C$6:$C$505,C185,Weight!$G$6:$G$505,"&gt;"&amp;G185))</f>
        <v/>
      </c>
      <c r="G185">
        <f>IF(OR(B185="",C185="",D185=""),"",B185+ROW()/10000000)</f>
        <v/>
      </c>
    </row>
    <row r="186">
      <c r="A186" s="1" t="n"/>
      <c r="B186" s="24" t="n"/>
      <c r="C186" s="22" t="n"/>
      <c r="D186" s="33" t="n"/>
      <c r="E186" s="23" t="n"/>
      <c r="F186" s="1">
        <f>IF(G186="","",COUNTIFS(Weight!$C$6:$C$505,C186,Weight!$G$6:$G$505,"&gt;"&amp;G186))</f>
        <v/>
      </c>
      <c r="G186">
        <f>IF(OR(B186="",C186="",D186=""),"",B186+ROW()/10000000)</f>
        <v/>
      </c>
    </row>
    <row r="187">
      <c r="A187" s="1" t="n"/>
      <c r="B187" s="24" t="n"/>
      <c r="C187" s="22" t="n"/>
      <c r="D187" s="33" t="n"/>
      <c r="E187" s="23" t="n"/>
      <c r="F187" s="1">
        <f>IF(G187="","",COUNTIFS(Weight!$C$6:$C$505,C187,Weight!$G$6:$G$505,"&gt;"&amp;G187))</f>
        <v/>
      </c>
      <c r="G187">
        <f>IF(OR(B187="",C187="",D187=""),"",B187+ROW()/10000000)</f>
        <v/>
      </c>
    </row>
    <row r="188">
      <c r="A188" s="1" t="n"/>
      <c r="B188" s="24" t="n"/>
      <c r="C188" s="22" t="n"/>
      <c r="D188" s="33" t="n"/>
      <c r="E188" s="23" t="n"/>
      <c r="F188" s="1">
        <f>IF(G188="","",COUNTIFS(Weight!$C$6:$C$505,C188,Weight!$G$6:$G$505,"&gt;"&amp;G188))</f>
        <v/>
      </c>
      <c r="G188">
        <f>IF(OR(B188="",C188="",D188=""),"",B188+ROW()/10000000)</f>
        <v/>
      </c>
    </row>
    <row r="189">
      <c r="A189" s="1" t="n"/>
      <c r="B189" s="24" t="n"/>
      <c r="C189" s="22" t="n"/>
      <c r="D189" s="33" t="n"/>
      <c r="E189" s="23" t="n"/>
      <c r="F189" s="1">
        <f>IF(G189="","",COUNTIFS(Weight!$C$6:$C$505,C189,Weight!$G$6:$G$505,"&gt;"&amp;G189))</f>
        <v/>
      </c>
      <c r="G189">
        <f>IF(OR(B189="",C189="",D189=""),"",B189+ROW()/10000000)</f>
        <v/>
      </c>
    </row>
    <row r="190">
      <c r="A190" s="1" t="n"/>
      <c r="B190" s="24" t="n"/>
      <c r="C190" s="22" t="n"/>
      <c r="D190" s="33" t="n"/>
      <c r="E190" s="23" t="n"/>
      <c r="F190" s="1">
        <f>IF(G190="","",COUNTIFS(Weight!$C$6:$C$505,C190,Weight!$G$6:$G$505,"&gt;"&amp;G190))</f>
        <v/>
      </c>
      <c r="G190">
        <f>IF(OR(B190="",C190="",D190=""),"",B190+ROW()/10000000)</f>
        <v/>
      </c>
    </row>
    <row r="191">
      <c r="A191" s="1" t="n"/>
      <c r="B191" s="24" t="n"/>
      <c r="C191" s="22" t="n"/>
      <c r="D191" s="33" t="n"/>
      <c r="E191" s="23" t="n"/>
      <c r="F191" s="1">
        <f>IF(G191="","",COUNTIFS(Weight!$C$6:$C$505,C191,Weight!$G$6:$G$505,"&gt;"&amp;G191))</f>
        <v/>
      </c>
      <c r="G191">
        <f>IF(OR(B191="",C191="",D191=""),"",B191+ROW()/10000000)</f>
        <v/>
      </c>
    </row>
    <row r="192">
      <c r="A192" s="1" t="n"/>
      <c r="B192" s="24" t="n"/>
      <c r="C192" s="22" t="n"/>
      <c r="D192" s="33" t="n"/>
      <c r="E192" s="23" t="n"/>
      <c r="F192" s="1">
        <f>IF(G192="","",COUNTIFS(Weight!$C$6:$C$505,C192,Weight!$G$6:$G$505,"&gt;"&amp;G192))</f>
        <v/>
      </c>
      <c r="G192">
        <f>IF(OR(B192="",C192="",D192=""),"",B192+ROW()/10000000)</f>
        <v/>
      </c>
    </row>
    <row r="193">
      <c r="A193" s="1" t="n"/>
      <c r="B193" s="24" t="n"/>
      <c r="C193" s="22" t="n"/>
      <c r="D193" s="33" t="n"/>
      <c r="E193" s="23" t="n"/>
      <c r="F193" s="1">
        <f>IF(G193="","",COUNTIFS(Weight!$C$6:$C$505,C193,Weight!$G$6:$G$505,"&gt;"&amp;G193))</f>
        <v/>
      </c>
      <c r="G193">
        <f>IF(OR(B193="",C193="",D193=""),"",B193+ROW()/10000000)</f>
        <v/>
      </c>
    </row>
    <row r="194">
      <c r="A194" s="1" t="n"/>
      <c r="B194" s="24" t="n"/>
      <c r="C194" s="22" t="n"/>
      <c r="D194" s="33" t="n"/>
      <c r="E194" s="23" t="n"/>
      <c r="F194" s="1">
        <f>IF(G194="","",COUNTIFS(Weight!$C$6:$C$505,C194,Weight!$G$6:$G$505,"&gt;"&amp;G194))</f>
        <v/>
      </c>
      <c r="G194">
        <f>IF(OR(B194="",C194="",D194=""),"",B194+ROW()/10000000)</f>
        <v/>
      </c>
    </row>
    <row r="195">
      <c r="A195" s="1" t="n"/>
      <c r="B195" s="24" t="n"/>
      <c r="C195" s="22" t="n"/>
      <c r="D195" s="33" t="n"/>
      <c r="E195" s="23" t="n"/>
      <c r="F195" s="1">
        <f>IF(G195="","",COUNTIFS(Weight!$C$6:$C$505,C195,Weight!$G$6:$G$505,"&gt;"&amp;G195))</f>
        <v/>
      </c>
      <c r="G195">
        <f>IF(OR(B195="",C195="",D195=""),"",B195+ROW()/10000000)</f>
        <v/>
      </c>
    </row>
    <row r="196">
      <c r="A196" s="1" t="n"/>
      <c r="B196" s="24" t="n"/>
      <c r="C196" s="22" t="n"/>
      <c r="D196" s="33" t="n"/>
      <c r="E196" s="23" t="n"/>
      <c r="F196" s="1">
        <f>IF(G196="","",COUNTIFS(Weight!$C$6:$C$505,C196,Weight!$G$6:$G$505,"&gt;"&amp;G196))</f>
        <v/>
      </c>
      <c r="G196">
        <f>IF(OR(B196="",C196="",D196=""),"",B196+ROW()/10000000)</f>
        <v/>
      </c>
    </row>
    <row r="197">
      <c r="A197" s="1" t="n"/>
      <c r="B197" s="24" t="n"/>
      <c r="C197" s="22" t="n"/>
      <c r="D197" s="33" t="n"/>
      <c r="E197" s="23" t="n"/>
      <c r="F197" s="1">
        <f>IF(G197="","",COUNTIFS(Weight!$C$6:$C$505,C197,Weight!$G$6:$G$505,"&gt;"&amp;G197))</f>
        <v/>
      </c>
      <c r="G197">
        <f>IF(OR(B197="",C197="",D197=""),"",B197+ROW()/10000000)</f>
        <v/>
      </c>
    </row>
    <row r="198">
      <c r="A198" s="1" t="n"/>
      <c r="B198" s="24" t="n"/>
      <c r="C198" s="22" t="n"/>
      <c r="D198" s="33" t="n"/>
      <c r="E198" s="23" t="n"/>
      <c r="F198" s="1">
        <f>IF(G198="","",COUNTIFS(Weight!$C$6:$C$505,C198,Weight!$G$6:$G$505,"&gt;"&amp;G198))</f>
        <v/>
      </c>
      <c r="G198">
        <f>IF(OR(B198="",C198="",D198=""),"",B198+ROW()/10000000)</f>
        <v/>
      </c>
    </row>
    <row r="199">
      <c r="A199" s="1" t="n"/>
      <c r="B199" s="24" t="n"/>
      <c r="C199" s="22" t="n"/>
      <c r="D199" s="33" t="n"/>
      <c r="E199" s="23" t="n"/>
      <c r="F199" s="1">
        <f>IF(G199="","",COUNTIFS(Weight!$C$6:$C$505,C199,Weight!$G$6:$G$505,"&gt;"&amp;G199))</f>
        <v/>
      </c>
      <c r="G199">
        <f>IF(OR(B199="",C199="",D199=""),"",B199+ROW()/10000000)</f>
        <v/>
      </c>
    </row>
    <row r="200">
      <c r="A200" s="1" t="n"/>
      <c r="B200" s="24" t="n"/>
      <c r="C200" s="22" t="n"/>
      <c r="D200" s="33" t="n"/>
      <c r="E200" s="23" t="n"/>
      <c r="F200" s="1">
        <f>IF(G200="","",COUNTIFS(Weight!$C$6:$C$505,C200,Weight!$G$6:$G$505,"&gt;"&amp;G200))</f>
        <v/>
      </c>
      <c r="G200">
        <f>IF(OR(B200="",C200="",D200=""),"",B200+ROW()/10000000)</f>
        <v/>
      </c>
    </row>
    <row r="201">
      <c r="A201" s="1" t="n"/>
      <c r="B201" s="24" t="n"/>
      <c r="C201" s="22" t="n"/>
      <c r="D201" s="33" t="n"/>
      <c r="E201" s="23" t="n"/>
      <c r="F201" s="1">
        <f>IF(G201="","",COUNTIFS(Weight!$C$6:$C$505,C201,Weight!$G$6:$G$505,"&gt;"&amp;G201))</f>
        <v/>
      </c>
      <c r="G201">
        <f>IF(OR(B201="",C201="",D201=""),"",B201+ROW()/10000000)</f>
        <v/>
      </c>
    </row>
    <row r="202">
      <c r="A202" s="1" t="n"/>
      <c r="B202" s="24" t="n"/>
      <c r="C202" s="22" t="n"/>
      <c r="D202" s="33" t="n"/>
      <c r="E202" s="23" t="n"/>
      <c r="F202" s="1">
        <f>IF(G202="","",COUNTIFS(Weight!$C$6:$C$505,C202,Weight!$G$6:$G$505,"&gt;"&amp;G202))</f>
        <v/>
      </c>
      <c r="G202">
        <f>IF(OR(B202="",C202="",D202=""),"",B202+ROW()/10000000)</f>
        <v/>
      </c>
    </row>
    <row r="203">
      <c r="A203" s="1" t="n"/>
      <c r="B203" s="24" t="n"/>
      <c r="C203" s="22" t="n"/>
      <c r="D203" s="33" t="n"/>
      <c r="E203" s="23" t="n"/>
      <c r="F203" s="1">
        <f>IF(G203="","",COUNTIFS(Weight!$C$6:$C$505,C203,Weight!$G$6:$G$505,"&gt;"&amp;G203))</f>
        <v/>
      </c>
      <c r="G203">
        <f>IF(OR(B203="",C203="",D203=""),"",B203+ROW()/10000000)</f>
        <v/>
      </c>
    </row>
    <row r="204">
      <c r="A204" s="1" t="n"/>
      <c r="B204" s="24" t="n"/>
      <c r="C204" s="22" t="n"/>
      <c r="D204" s="33" t="n"/>
      <c r="E204" s="23" t="n"/>
      <c r="F204" s="1">
        <f>IF(G204="","",COUNTIFS(Weight!$C$6:$C$505,C204,Weight!$G$6:$G$505,"&gt;"&amp;G204))</f>
        <v/>
      </c>
      <c r="G204">
        <f>IF(OR(B204="",C204="",D204=""),"",B204+ROW()/10000000)</f>
        <v/>
      </c>
    </row>
    <row r="205">
      <c r="A205" s="1" t="n"/>
      <c r="B205" s="24" t="n"/>
      <c r="C205" s="22" t="n"/>
      <c r="D205" s="33" t="n"/>
      <c r="E205" s="23" t="n"/>
      <c r="F205" s="1">
        <f>IF(G205="","",COUNTIFS(Weight!$C$6:$C$505,C205,Weight!$G$6:$G$505,"&gt;"&amp;G205))</f>
        <v/>
      </c>
      <c r="G205">
        <f>IF(OR(B205="",C205="",D205=""),"",B205+ROW()/10000000)</f>
        <v/>
      </c>
    </row>
    <row r="206">
      <c r="A206" s="1" t="n"/>
      <c r="B206" s="24" t="n"/>
      <c r="C206" s="22" t="n"/>
      <c r="D206" s="33" t="n"/>
      <c r="E206" s="23" t="n"/>
      <c r="F206" s="1">
        <f>IF(G206="","",COUNTIFS(Weight!$C$6:$C$505,C206,Weight!$G$6:$G$505,"&gt;"&amp;G206))</f>
        <v/>
      </c>
      <c r="G206">
        <f>IF(OR(B206="",C206="",D206=""),"",B206+ROW()/10000000)</f>
        <v/>
      </c>
    </row>
    <row r="207">
      <c r="A207" s="1" t="n"/>
      <c r="B207" s="24" t="n"/>
      <c r="C207" s="22" t="n"/>
      <c r="D207" s="33" t="n"/>
      <c r="E207" s="23" t="n"/>
      <c r="F207" s="1">
        <f>IF(G207="","",COUNTIFS(Weight!$C$6:$C$505,C207,Weight!$G$6:$G$505,"&gt;"&amp;G207))</f>
        <v/>
      </c>
      <c r="G207">
        <f>IF(OR(B207="",C207="",D207=""),"",B207+ROW()/10000000)</f>
        <v/>
      </c>
    </row>
    <row r="208">
      <c r="A208" s="1" t="n"/>
      <c r="B208" s="24" t="n"/>
      <c r="C208" s="22" t="n"/>
      <c r="D208" s="33" t="n"/>
      <c r="E208" s="23" t="n"/>
      <c r="F208" s="1">
        <f>IF(G208="","",COUNTIFS(Weight!$C$6:$C$505,C208,Weight!$G$6:$G$505,"&gt;"&amp;G208))</f>
        <v/>
      </c>
      <c r="G208">
        <f>IF(OR(B208="",C208="",D208=""),"",B208+ROW()/10000000)</f>
        <v/>
      </c>
    </row>
    <row r="209">
      <c r="A209" s="1" t="n"/>
      <c r="B209" s="24" t="n"/>
      <c r="C209" s="22" t="n"/>
      <c r="D209" s="33" t="n"/>
      <c r="E209" s="23" t="n"/>
      <c r="F209" s="1">
        <f>IF(G209="","",COUNTIFS(Weight!$C$6:$C$505,C209,Weight!$G$6:$G$505,"&gt;"&amp;G209))</f>
        <v/>
      </c>
      <c r="G209">
        <f>IF(OR(B209="",C209="",D209=""),"",B209+ROW()/10000000)</f>
        <v/>
      </c>
    </row>
    <row r="210">
      <c r="A210" s="1" t="n"/>
      <c r="B210" s="24" t="n"/>
      <c r="C210" s="22" t="n"/>
      <c r="D210" s="33" t="n"/>
      <c r="E210" s="23" t="n"/>
      <c r="F210" s="1">
        <f>IF(G210="","",COUNTIFS(Weight!$C$6:$C$505,C210,Weight!$G$6:$G$505,"&gt;"&amp;G210))</f>
        <v/>
      </c>
      <c r="G210">
        <f>IF(OR(B210="",C210="",D210=""),"",B210+ROW()/10000000)</f>
        <v/>
      </c>
    </row>
    <row r="211">
      <c r="A211" s="1" t="n"/>
      <c r="B211" s="24" t="n"/>
      <c r="C211" s="22" t="n"/>
      <c r="D211" s="33" t="n"/>
      <c r="E211" s="23" t="n"/>
      <c r="F211" s="1">
        <f>IF(G211="","",COUNTIFS(Weight!$C$6:$C$505,C211,Weight!$G$6:$G$505,"&gt;"&amp;G211))</f>
        <v/>
      </c>
      <c r="G211">
        <f>IF(OR(B211="",C211="",D211=""),"",B211+ROW()/10000000)</f>
        <v/>
      </c>
    </row>
    <row r="212">
      <c r="A212" s="1" t="n"/>
      <c r="B212" s="24" t="n"/>
      <c r="C212" s="22" t="n"/>
      <c r="D212" s="33" t="n"/>
      <c r="E212" s="23" t="n"/>
      <c r="F212" s="1">
        <f>IF(G212="","",COUNTIFS(Weight!$C$6:$C$505,C212,Weight!$G$6:$G$505,"&gt;"&amp;G212))</f>
        <v/>
      </c>
      <c r="G212">
        <f>IF(OR(B212="",C212="",D212=""),"",B212+ROW()/10000000)</f>
        <v/>
      </c>
    </row>
    <row r="213">
      <c r="A213" s="1" t="n"/>
      <c r="B213" s="24" t="n"/>
      <c r="C213" s="22" t="n"/>
      <c r="D213" s="33" t="n"/>
      <c r="E213" s="23" t="n"/>
      <c r="F213" s="1">
        <f>IF(G213="","",COUNTIFS(Weight!$C$6:$C$505,C213,Weight!$G$6:$G$505,"&gt;"&amp;G213))</f>
        <v/>
      </c>
      <c r="G213">
        <f>IF(OR(B213="",C213="",D213=""),"",B213+ROW()/10000000)</f>
        <v/>
      </c>
    </row>
    <row r="214">
      <c r="A214" s="1" t="n"/>
      <c r="B214" s="24" t="n"/>
      <c r="C214" s="22" t="n"/>
      <c r="D214" s="33" t="n"/>
      <c r="E214" s="23" t="n"/>
      <c r="F214" s="1">
        <f>IF(G214="","",COUNTIFS(Weight!$C$6:$C$505,C214,Weight!$G$6:$G$505,"&gt;"&amp;G214))</f>
        <v/>
      </c>
      <c r="G214">
        <f>IF(OR(B214="",C214="",D214=""),"",B214+ROW()/10000000)</f>
        <v/>
      </c>
    </row>
    <row r="215">
      <c r="A215" s="1" t="n"/>
      <c r="B215" s="24" t="n"/>
      <c r="C215" s="22" t="n"/>
      <c r="D215" s="33" t="n"/>
      <c r="E215" s="23" t="n"/>
      <c r="F215" s="1">
        <f>IF(G215="","",COUNTIFS(Weight!$C$6:$C$505,C215,Weight!$G$6:$G$505,"&gt;"&amp;G215))</f>
        <v/>
      </c>
      <c r="G215">
        <f>IF(OR(B215="",C215="",D215=""),"",B215+ROW()/10000000)</f>
        <v/>
      </c>
    </row>
    <row r="216">
      <c r="A216" s="1" t="n"/>
      <c r="B216" s="24" t="n"/>
      <c r="C216" s="22" t="n"/>
      <c r="D216" s="33" t="n"/>
      <c r="E216" s="23" t="n"/>
      <c r="F216" s="1">
        <f>IF(G216="","",COUNTIFS(Weight!$C$6:$C$505,C216,Weight!$G$6:$G$505,"&gt;"&amp;G216))</f>
        <v/>
      </c>
      <c r="G216">
        <f>IF(OR(B216="",C216="",D216=""),"",B216+ROW()/10000000)</f>
        <v/>
      </c>
    </row>
    <row r="217">
      <c r="A217" s="1" t="n"/>
      <c r="B217" s="24" t="n"/>
      <c r="C217" s="22" t="n"/>
      <c r="D217" s="33" t="n"/>
      <c r="E217" s="23" t="n"/>
      <c r="F217" s="1">
        <f>IF(G217="","",COUNTIFS(Weight!$C$6:$C$505,C217,Weight!$G$6:$G$505,"&gt;"&amp;G217))</f>
        <v/>
      </c>
      <c r="G217">
        <f>IF(OR(B217="",C217="",D217=""),"",B217+ROW()/10000000)</f>
        <v/>
      </c>
    </row>
    <row r="218">
      <c r="A218" s="1" t="n"/>
      <c r="B218" s="24" t="n"/>
      <c r="C218" s="22" t="n"/>
      <c r="D218" s="33" t="n"/>
      <c r="E218" s="23" t="n"/>
      <c r="F218" s="1">
        <f>IF(G218="","",COUNTIFS(Weight!$C$6:$C$505,C218,Weight!$G$6:$G$505,"&gt;"&amp;G218))</f>
        <v/>
      </c>
      <c r="G218">
        <f>IF(OR(B218="",C218="",D218=""),"",B218+ROW()/10000000)</f>
        <v/>
      </c>
    </row>
    <row r="219">
      <c r="A219" s="1" t="n"/>
      <c r="B219" s="24" t="n"/>
      <c r="C219" s="22" t="n"/>
      <c r="D219" s="33" t="n"/>
      <c r="E219" s="23" t="n"/>
      <c r="F219" s="1">
        <f>IF(G219="","",COUNTIFS(Weight!$C$6:$C$505,C219,Weight!$G$6:$G$505,"&gt;"&amp;G219))</f>
        <v/>
      </c>
      <c r="G219">
        <f>IF(OR(B219="",C219="",D219=""),"",B219+ROW()/10000000)</f>
        <v/>
      </c>
    </row>
    <row r="220">
      <c r="A220" s="1" t="n"/>
      <c r="B220" s="24" t="n"/>
      <c r="C220" s="22" t="n"/>
      <c r="D220" s="33" t="n"/>
      <c r="E220" s="23" t="n"/>
      <c r="F220" s="1">
        <f>IF(G220="","",COUNTIFS(Weight!$C$6:$C$505,C220,Weight!$G$6:$G$505,"&gt;"&amp;G220))</f>
        <v/>
      </c>
      <c r="G220">
        <f>IF(OR(B220="",C220="",D220=""),"",B220+ROW()/10000000)</f>
        <v/>
      </c>
    </row>
    <row r="221">
      <c r="A221" s="1" t="n"/>
      <c r="B221" s="24" t="n"/>
      <c r="C221" s="22" t="n"/>
      <c r="D221" s="33" t="n"/>
      <c r="E221" s="23" t="n"/>
      <c r="F221" s="1">
        <f>IF(G221="","",COUNTIFS(Weight!$C$6:$C$505,C221,Weight!$G$6:$G$505,"&gt;"&amp;G221))</f>
        <v/>
      </c>
      <c r="G221">
        <f>IF(OR(B221="",C221="",D221=""),"",B221+ROW()/10000000)</f>
        <v/>
      </c>
    </row>
    <row r="222">
      <c r="A222" s="1" t="n"/>
      <c r="B222" s="24" t="n"/>
      <c r="C222" s="22" t="n"/>
      <c r="D222" s="33" t="n"/>
      <c r="E222" s="23" t="n"/>
      <c r="F222" s="1">
        <f>IF(G222="","",COUNTIFS(Weight!$C$6:$C$505,C222,Weight!$G$6:$G$505,"&gt;"&amp;G222))</f>
        <v/>
      </c>
      <c r="G222">
        <f>IF(OR(B222="",C222="",D222=""),"",B222+ROW()/10000000)</f>
        <v/>
      </c>
    </row>
    <row r="223">
      <c r="A223" s="1" t="n"/>
      <c r="B223" s="24" t="n"/>
      <c r="C223" s="22" t="n"/>
      <c r="D223" s="33" t="n"/>
      <c r="E223" s="23" t="n"/>
      <c r="F223" s="1">
        <f>IF(G223="","",COUNTIFS(Weight!$C$6:$C$505,C223,Weight!$G$6:$G$505,"&gt;"&amp;G223))</f>
        <v/>
      </c>
      <c r="G223">
        <f>IF(OR(B223="",C223="",D223=""),"",B223+ROW()/10000000)</f>
        <v/>
      </c>
    </row>
    <row r="224">
      <c r="A224" s="1" t="n"/>
      <c r="B224" s="24" t="n"/>
      <c r="C224" s="22" t="n"/>
      <c r="D224" s="33" t="n"/>
      <c r="E224" s="23" t="n"/>
      <c r="F224" s="1">
        <f>IF(G224="","",COUNTIFS(Weight!$C$6:$C$505,C224,Weight!$G$6:$G$505,"&gt;"&amp;G224))</f>
        <v/>
      </c>
      <c r="G224">
        <f>IF(OR(B224="",C224="",D224=""),"",B224+ROW()/10000000)</f>
        <v/>
      </c>
    </row>
    <row r="225">
      <c r="A225" s="1" t="n"/>
      <c r="B225" s="24" t="n"/>
      <c r="C225" s="22" t="n"/>
      <c r="D225" s="33" t="n"/>
      <c r="E225" s="23" t="n"/>
      <c r="F225" s="1">
        <f>IF(G225="","",COUNTIFS(Weight!$C$6:$C$505,C225,Weight!$G$6:$G$505,"&gt;"&amp;G225))</f>
        <v/>
      </c>
      <c r="G225">
        <f>IF(OR(B225="",C225="",D225=""),"",B225+ROW()/10000000)</f>
        <v/>
      </c>
    </row>
    <row r="226">
      <c r="A226" s="1" t="n"/>
      <c r="B226" s="24" t="n"/>
      <c r="C226" s="22" t="n"/>
      <c r="D226" s="33" t="n"/>
      <c r="E226" s="23" t="n"/>
      <c r="F226" s="1">
        <f>IF(G226="","",COUNTIFS(Weight!$C$6:$C$505,C226,Weight!$G$6:$G$505,"&gt;"&amp;G226))</f>
        <v/>
      </c>
      <c r="G226">
        <f>IF(OR(B226="",C226="",D226=""),"",B226+ROW()/10000000)</f>
        <v/>
      </c>
    </row>
    <row r="227">
      <c r="A227" s="1" t="n"/>
      <c r="B227" s="24" t="n"/>
      <c r="C227" s="22" t="n"/>
      <c r="D227" s="33" t="n"/>
      <c r="E227" s="23" t="n"/>
      <c r="F227" s="1">
        <f>IF(G227="","",COUNTIFS(Weight!$C$6:$C$505,C227,Weight!$G$6:$G$505,"&gt;"&amp;G227))</f>
        <v/>
      </c>
      <c r="G227">
        <f>IF(OR(B227="",C227="",D227=""),"",B227+ROW()/10000000)</f>
        <v/>
      </c>
    </row>
    <row r="228">
      <c r="A228" s="1" t="n"/>
      <c r="B228" s="24" t="n"/>
      <c r="C228" s="22" t="n"/>
      <c r="D228" s="33" t="n"/>
      <c r="E228" s="23" t="n"/>
      <c r="F228" s="1">
        <f>IF(G228="","",COUNTIFS(Weight!$C$6:$C$505,C228,Weight!$G$6:$G$505,"&gt;"&amp;G228))</f>
        <v/>
      </c>
      <c r="G228">
        <f>IF(OR(B228="",C228="",D228=""),"",B228+ROW()/10000000)</f>
        <v/>
      </c>
    </row>
    <row r="229">
      <c r="A229" s="1" t="n"/>
      <c r="B229" s="24" t="n"/>
      <c r="C229" s="22" t="n"/>
      <c r="D229" s="33" t="n"/>
      <c r="E229" s="23" t="n"/>
      <c r="F229" s="1">
        <f>IF(G229="","",COUNTIFS(Weight!$C$6:$C$505,C229,Weight!$G$6:$G$505,"&gt;"&amp;G229))</f>
        <v/>
      </c>
      <c r="G229">
        <f>IF(OR(B229="",C229="",D229=""),"",B229+ROW()/10000000)</f>
        <v/>
      </c>
    </row>
    <row r="230">
      <c r="A230" s="1" t="n"/>
      <c r="B230" s="24" t="n"/>
      <c r="C230" s="22" t="n"/>
      <c r="D230" s="33" t="n"/>
      <c r="E230" s="23" t="n"/>
      <c r="F230" s="1">
        <f>IF(G230="","",COUNTIFS(Weight!$C$6:$C$505,C230,Weight!$G$6:$G$505,"&gt;"&amp;G230))</f>
        <v/>
      </c>
      <c r="G230">
        <f>IF(OR(B230="",C230="",D230=""),"",B230+ROW()/10000000)</f>
        <v/>
      </c>
    </row>
    <row r="231">
      <c r="A231" s="1" t="n"/>
      <c r="B231" s="24" t="n"/>
      <c r="C231" s="22" t="n"/>
      <c r="D231" s="33" t="n"/>
      <c r="E231" s="23" t="n"/>
      <c r="F231" s="1">
        <f>IF(G231="","",COUNTIFS(Weight!$C$6:$C$505,C231,Weight!$G$6:$G$505,"&gt;"&amp;G231))</f>
        <v/>
      </c>
      <c r="G231">
        <f>IF(OR(B231="",C231="",D231=""),"",B231+ROW()/10000000)</f>
        <v/>
      </c>
    </row>
    <row r="232">
      <c r="A232" s="1" t="n"/>
      <c r="B232" s="24" t="n"/>
      <c r="C232" s="22" t="n"/>
      <c r="D232" s="33" t="n"/>
      <c r="E232" s="23" t="n"/>
      <c r="F232" s="1">
        <f>IF(G232="","",COUNTIFS(Weight!$C$6:$C$505,C232,Weight!$G$6:$G$505,"&gt;"&amp;G232))</f>
        <v/>
      </c>
      <c r="G232">
        <f>IF(OR(B232="",C232="",D232=""),"",B232+ROW()/10000000)</f>
        <v/>
      </c>
    </row>
    <row r="233">
      <c r="A233" s="1" t="n"/>
      <c r="B233" s="24" t="n"/>
      <c r="C233" s="22" t="n"/>
      <c r="D233" s="33" t="n"/>
      <c r="E233" s="23" t="n"/>
      <c r="F233" s="1">
        <f>IF(G233="","",COUNTIFS(Weight!$C$6:$C$505,C233,Weight!$G$6:$G$505,"&gt;"&amp;G233))</f>
        <v/>
      </c>
      <c r="G233">
        <f>IF(OR(B233="",C233="",D233=""),"",B233+ROW()/10000000)</f>
        <v/>
      </c>
    </row>
    <row r="234">
      <c r="A234" s="1" t="n"/>
      <c r="B234" s="24" t="n"/>
      <c r="C234" s="22" t="n"/>
      <c r="D234" s="33" t="n"/>
      <c r="E234" s="23" t="n"/>
      <c r="F234" s="1">
        <f>IF(G234="","",COUNTIFS(Weight!$C$6:$C$505,C234,Weight!$G$6:$G$505,"&gt;"&amp;G234))</f>
        <v/>
      </c>
      <c r="G234">
        <f>IF(OR(B234="",C234="",D234=""),"",B234+ROW()/10000000)</f>
        <v/>
      </c>
    </row>
    <row r="235">
      <c r="A235" s="1" t="n"/>
      <c r="B235" s="24" t="n"/>
      <c r="C235" s="22" t="n"/>
      <c r="D235" s="33" t="n"/>
      <c r="E235" s="23" t="n"/>
      <c r="F235" s="1">
        <f>IF(G235="","",COUNTIFS(Weight!$C$6:$C$505,C235,Weight!$G$6:$G$505,"&gt;"&amp;G235))</f>
        <v/>
      </c>
      <c r="G235">
        <f>IF(OR(B235="",C235="",D235=""),"",B235+ROW()/10000000)</f>
        <v/>
      </c>
    </row>
    <row r="236">
      <c r="A236" s="1" t="n"/>
      <c r="B236" s="24" t="n"/>
      <c r="C236" s="22" t="n"/>
      <c r="D236" s="33" t="n"/>
      <c r="E236" s="23" t="n"/>
      <c r="F236" s="1">
        <f>IF(G236="","",COUNTIFS(Weight!$C$6:$C$505,C236,Weight!$G$6:$G$505,"&gt;"&amp;G236))</f>
        <v/>
      </c>
      <c r="G236">
        <f>IF(OR(B236="",C236="",D236=""),"",B236+ROW()/10000000)</f>
        <v/>
      </c>
    </row>
    <row r="237">
      <c r="A237" s="1" t="n"/>
      <c r="B237" s="24" t="n"/>
      <c r="C237" s="22" t="n"/>
      <c r="D237" s="33" t="n"/>
      <c r="E237" s="23" t="n"/>
      <c r="F237" s="1">
        <f>IF(G237="","",COUNTIFS(Weight!$C$6:$C$505,C237,Weight!$G$6:$G$505,"&gt;"&amp;G237))</f>
        <v/>
      </c>
      <c r="G237">
        <f>IF(OR(B237="",C237="",D237=""),"",B237+ROW()/10000000)</f>
        <v/>
      </c>
    </row>
    <row r="238">
      <c r="A238" s="1" t="n"/>
      <c r="B238" s="24" t="n"/>
      <c r="C238" s="22" t="n"/>
      <c r="D238" s="33" t="n"/>
      <c r="E238" s="23" t="n"/>
      <c r="F238" s="1">
        <f>IF(G238="","",COUNTIFS(Weight!$C$6:$C$505,C238,Weight!$G$6:$G$505,"&gt;"&amp;G238))</f>
        <v/>
      </c>
      <c r="G238">
        <f>IF(OR(B238="",C238="",D238=""),"",B238+ROW()/10000000)</f>
        <v/>
      </c>
    </row>
    <row r="239">
      <c r="A239" s="1" t="n"/>
      <c r="B239" s="24" t="n"/>
      <c r="C239" s="22" t="n"/>
      <c r="D239" s="33" t="n"/>
      <c r="E239" s="23" t="n"/>
      <c r="F239" s="1">
        <f>IF(G239="","",COUNTIFS(Weight!$C$6:$C$505,C239,Weight!$G$6:$G$505,"&gt;"&amp;G239))</f>
        <v/>
      </c>
      <c r="G239">
        <f>IF(OR(B239="",C239="",D239=""),"",B239+ROW()/10000000)</f>
        <v/>
      </c>
    </row>
    <row r="240">
      <c r="A240" s="1" t="n"/>
      <c r="B240" s="24" t="n"/>
      <c r="C240" s="22" t="n"/>
      <c r="D240" s="33" t="n"/>
      <c r="E240" s="23" t="n"/>
      <c r="F240" s="1">
        <f>IF(G240="","",COUNTIFS(Weight!$C$6:$C$505,C240,Weight!$G$6:$G$505,"&gt;"&amp;G240))</f>
        <v/>
      </c>
      <c r="G240">
        <f>IF(OR(B240="",C240="",D240=""),"",B240+ROW()/10000000)</f>
        <v/>
      </c>
    </row>
    <row r="241">
      <c r="A241" s="1" t="n"/>
      <c r="B241" s="24" t="n"/>
      <c r="C241" s="22" t="n"/>
      <c r="D241" s="33" t="n"/>
      <c r="E241" s="23" t="n"/>
      <c r="F241" s="1">
        <f>IF(G241="","",COUNTIFS(Weight!$C$6:$C$505,C241,Weight!$G$6:$G$505,"&gt;"&amp;G241))</f>
        <v/>
      </c>
      <c r="G241">
        <f>IF(OR(B241="",C241="",D241=""),"",B241+ROW()/10000000)</f>
        <v/>
      </c>
    </row>
    <row r="242">
      <c r="A242" s="1" t="n"/>
      <c r="B242" s="24" t="n"/>
      <c r="C242" s="22" t="n"/>
      <c r="D242" s="33" t="n"/>
      <c r="E242" s="23" t="n"/>
      <c r="F242" s="1">
        <f>IF(G242="","",COUNTIFS(Weight!$C$6:$C$505,C242,Weight!$G$6:$G$505,"&gt;"&amp;G242))</f>
        <v/>
      </c>
      <c r="G242">
        <f>IF(OR(B242="",C242="",D242=""),"",B242+ROW()/10000000)</f>
        <v/>
      </c>
    </row>
    <row r="243">
      <c r="A243" s="1" t="n"/>
      <c r="B243" s="24" t="n"/>
      <c r="C243" s="22" t="n"/>
      <c r="D243" s="33" t="n"/>
      <c r="E243" s="23" t="n"/>
      <c r="F243" s="1">
        <f>IF(G243="","",COUNTIFS(Weight!$C$6:$C$505,C243,Weight!$G$6:$G$505,"&gt;"&amp;G243))</f>
        <v/>
      </c>
      <c r="G243">
        <f>IF(OR(B243="",C243="",D243=""),"",B243+ROW()/10000000)</f>
        <v/>
      </c>
    </row>
    <row r="244">
      <c r="A244" s="1" t="n"/>
      <c r="B244" s="24" t="n"/>
      <c r="C244" s="22" t="n"/>
      <c r="D244" s="33" t="n"/>
      <c r="E244" s="23" t="n"/>
      <c r="F244" s="1">
        <f>IF(G244="","",COUNTIFS(Weight!$C$6:$C$505,C244,Weight!$G$6:$G$505,"&gt;"&amp;G244))</f>
        <v/>
      </c>
      <c r="G244">
        <f>IF(OR(B244="",C244="",D244=""),"",B244+ROW()/10000000)</f>
        <v/>
      </c>
    </row>
    <row r="245">
      <c r="A245" s="1" t="n"/>
      <c r="B245" s="24" t="n"/>
      <c r="C245" s="22" t="n"/>
      <c r="D245" s="33" t="n"/>
      <c r="E245" s="23" t="n"/>
      <c r="F245" s="1">
        <f>IF(G245="","",COUNTIFS(Weight!$C$6:$C$505,C245,Weight!$G$6:$G$505,"&gt;"&amp;G245))</f>
        <v/>
      </c>
      <c r="G245">
        <f>IF(OR(B245="",C245="",D245=""),"",B245+ROW()/10000000)</f>
        <v/>
      </c>
    </row>
    <row r="246">
      <c r="A246" s="1" t="n"/>
      <c r="B246" s="24" t="n"/>
      <c r="C246" s="22" t="n"/>
      <c r="D246" s="33" t="n"/>
      <c r="E246" s="23" t="n"/>
      <c r="F246" s="1">
        <f>IF(G246="","",COUNTIFS(Weight!$C$6:$C$505,C246,Weight!$G$6:$G$505,"&gt;"&amp;G246))</f>
        <v/>
      </c>
      <c r="G246">
        <f>IF(OR(B246="",C246="",D246=""),"",B246+ROW()/10000000)</f>
        <v/>
      </c>
    </row>
    <row r="247">
      <c r="A247" s="1" t="n"/>
      <c r="B247" s="24" t="n"/>
      <c r="C247" s="22" t="n"/>
      <c r="D247" s="33" t="n"/>
      <c r="E247" s="23" t="n"/>
      <c r="F247" s="1">
        <f>IF(G247="","",COUNTIFS(Weight!$C$6:$C$505,C247,Weight!$G$6:$G$505,"&gt;"&amp;G247))</f>
        <v/>
      </c>
      <c r="G247">
        <f>IF(OR(B247="",C247="",D247=""),"",B247+ROW()/10000000)</f>
        <v/>
      </c>
    </row>
    <row r="248">
      <c r="A248" s="1" t="n"/>
      <c r="B248" s="24" t="n"/>
      <c r="C248" s="22" t="n"/>
      <c r="D248" s="33" t="n"/>
      <c r="E248" s="23" t="n"/>
      <c r="F248" s="1">
        <f>IF(G248="","",COUNTIFS(Weight!$C$6:$C$505,C248,Weight!$G$6:$G$505,"&gt;"&amp;G248))</f>
        <v/>
      </c>
      <c r="G248">
        <f>IF(OR(B248="",C248="",D248=""),"",B248+ROW()/10000000)</f>
        <v/>
      </c>
    </row>
    <row r="249">
      <c r="A249" s="1" t="n"/>
      <c r="B249" s="24" t="n"/>
      <c r="C249" s="22" t="n"/>
      <c r="D249" s="33" t="n"/>
      <c r="E249" s="23" t="n"/>
      <c r="F249" s="1">
        <f>IF(G249="","",COUNTIFS(Weight!$C$6:$C$505,C249,Weight!$G$6:$G$505,"&gt;"&amp;G249))</f>
        <v/>
      </c>
      <c r="G249">
        <f>IF(OR(B249="",C249="",D249=""),"",B249+ROW()/10000000)</f>
        <v/>
      </c>
    </row>
    <row r="250">
      <c r="A250" s="1" t="n"/>
      <c r="B250" s="24" t="n"/>
      <c r="C250" s="22" t="n"/>
      <c r="D250" s="33" t="n"/>
      <c r="E250" s="23" t="n"/>
      <c r="F250" s="1">
        <f>IF(G250="","",COUNTIFS(Weight!$C$6:$C$505,C250,Weight!$G$6:$G$505,"&gt;"&amp;G250))</f>
        <v/>
      </c>
      <c r="G250">
        <f>IF(OR(B250="",C250="",D250=""),"",B250+ROW()/10000000)</f>
        <v/>
      </c>
    </row>
    <row r="251">
      <c r="A251" s="1" t="n"/>
      <c r="B251" s="24" t="n"/>
      <c r="C251" s="22" t="n"/>
      <c r="D251" s="33" t="n"/>
      <c r="E251" s="23" t="n"/>
      <c r="F251" s="1">
        <f>IF(G251="","",COUNTIFS(Weight!$C$6:$C$505,C251,Weight!$G$6:$G$505,"&gt;"&amp;G251))</f>
        <v/>
      </c>
      <c r="G251">
        <f>IF(OR(B251="",C251="",D251=""),"",B251+ROW()/10000000)</f>
        <v/>
      </c>
    </row>
    <row r="252">
      <c r="A252" s="1" t="n"/>
      <c r="B252" s="24" t="n"/>
      <c r="C252" s="22" t="n"/>
      <c r="D252" s="33" t="n"/>
      <c r="E252" s="23" t="n"/>
      <c r="F252" s="1">
        <f>IF(G252="","",COUNTIFS(Weight!$C$6:$C$505,C252,Weight!$G$6:$G$505,"&gt;"&amp;G252))</f>
        <v/>
      </c>
      <c r="G252">
        <f>IF(OR(B252="",C252="",D252=""),"",B252+ROW()/10000000)</f>
        <v/>
      </c>
    </row>
    <row r="253">
      <c r="A253" s="1" t="n"/>
      <c r="B253" s="24" t="n"/>
      <c r="C253" s="22" t="n"/>
      <c r="D253" s="33" t="n"/>
      <c r="E253" s="23" t="n"/>
      <c r="F253" s="1">
        <f>IF(G253="","",COUNTIFS(Weight!$C$6:$C$505,C253,Weight!$G$6:$G$505,"&gt;"&amp;G253))</f>
        <v/>
      </c>
      <c r="G253">
        <f>IF(OR(B253="",C253="",D253=""),"",B253+ROW()/10000000)</f>
        <v/>
      </c>
    </row>
    <row r="254">
      <c r="A254" s="1" t="n"/>
      <c r="B254" s="24" t="n"/>
      <c r="C254" s="22" t="n"/>
      <c r="D254" s="33" t="n"/>
      <c r="E254" s="23" t="n"/>
      <c r="F254" s="1">
        <f>IF(G254="","",COUNTIFS(Weight!$C$6:$C$505,C254,Weight!$G$6:$G$505,"&gt;"&amp;G254))</f>
        <v/>
      </c>
      <c r="G254">
        <f>IF(OR(B254="",C254="",D254=""),"",B254+ROW()/10000000)</f>
        <v/>
      </c>
    </row>
    <row r="255">
      <c r="A255" s="1" t="n"/>
      <c r="B255" s="24" t="n"/>
      <c r="C255" s="22" t="n"/>
      <c r="D255" s="33" t="n"/>
      <c r="E255" s="23" t="n"/>
      <c r="F255" s="1">
        <f>IF(G255="","",COUNTIFS(Weight!$C$6:$C$505,C255,Weight!$G$6:$G$505,"&gt;"&amp;G255))</f>
        <v/>
      </c>
      <c r="G255">
        <f>IF(OR(B255="",C255="",D255=""),"",B255+ROW()/10000000)</f>
        <v/>
      </c>
    </row>
    <row r="256">
      <c r="A256" s="1" t="n"/>
      <c r="B256" s="24" t="n"/>
      <c r="C256" s="22" t="n"/>
      <c r="D256" s="33" t="n"/>
      <c r="E256" s="23" t="n"/>
      <c r="F256" s="1">
        <f>IF(G256="","",COUNTIFS(Weight!$C$6:$C$505,C256,Weight!$G$6:$G$505,"&gt;"&amp;G256))</f>
        <v/>
      </c>
      <c r="G256">
        <f>IF(OR(B256="",C256="",D256=""),"",B256+ROW()/10000000)</f>
        <v/>
      </c>
    </row>
    <row r="257">
      <c r="A257" s="1" t="n"/>
      <c r="B257" s="24" t="n"/>
      <c r="C257" s="22" t="n"/>
      <c r="D257" s="33" t="n"/>
      <c r="E257" s="23" t="n"/>
      <c r="F257" s="1">
        <f>IF(G257="","",COUNTIFS(Weight!$C$6:$C$505,C257,Weight!$G$6:$G$505,"&gt;"&amp;G257))</f>
        <v/>
      </c>
      <c r="G257">
        <f>IF(OR(B257="",C257="",D257=""),"",B257+ROW()/10000000)</f>
        <v/>
      </c>
    </row>
    <row r="258">
      <c r="A258" s="1" t="n"/>
      <c r="B258" s="24" t="n"/>
      <c r="C258" s="22" t="n"/>
      <c r="D258" s="33" t="n"/>
      <c r="E258" s="23" t="n"/>
      <c r="F258" s="1">
        <f>IF(G258="","",COUNTIFS(Weight!$C$6:$C$505,C258,Weight!$G$6:$G$505,"&gt;"&amp;G258))</f>
        <v/>
      </c>
      <c r="G258">
        <f>IF(OR(B258="",C258="",D258=""),"",B258+ROW()/10000000)</f>
        <v/>
      </c>
    </row>
    <row r="259">
      <c r="A259" s="1" t="n"/>
      <c r="B259" s="24" t="n"/>
      <c r="C259" s="22" t="n"/>
      <c r="D259" s="33" t="n"/>
      <c r="E259" s="23" t="n"/>
      <c r="F259" s="1">
        <f>IF(G259="","",COUNTIFS(Weight!$C$6:$C$505,C259,Weight!$G$6:$G$505,"&gt;"&amp;G259))</f>
        <v/>
      </c>
      <c r="G259">
        <f>IF(OR(B259="",C259="",D259=""),"",B259+ROW()/10000000)</f>
        <v/>
      </c>
    </row>
    <row r="260">
      <c r="A260" s="1" t="n"/>
      <c r="B260" s="24" t="n"/>
      <c r="C260" s="22" t="n"/>
      <c r="D260" s="33" t="n"/>
      <c r="E260" s="23" t="n"/>
      <c r="F260" s="1">
        <f>IF(G260="","",COUNTIFS(Weight!$C$6:$C$505,C260,Weight!$G$6:$G$505,"&gt;"&amp;G260))</f>
        <v/>
      </c>
      <c r="G260">
        <f>IF(OR(B260="",C260="",D260=""),"",B260+ROW()/10000000)</f>
        <v/>
      </c>
    </row>
    <row r="261">
      <c r="A261" s="1" t="n"/>
      <c r="B261" s="24" t="n"/>
      <c r="C261" s="22" t="n"/>
      <c r="D261" s="33" t="n"/>
      <c r="E261" s="23" t="n"/>
      <c r="F261" s="1">
        <f>IF(G261="","",COUNTIFS(Weight!$C$6:$C$505,C261,Weight!$G$6:$G$505,"&gt;"&amp;G261))</f>
        <v/>
      </c>
      <c r="G261">
        <f>IF(OR(B261="",C261="",D261=""),"",B261+ROW()/10000000)</f>
        <v/>
      </c>
    </row>
    <row r="262">
      <c r="A262" s="1" t="n"/>
      <c r="B262" s="24" t="n"/>
      <c r="C262" s="22" t="n"/>
      <c r="D262" s="33" t="n"/>
      <c r="E262" s="23" t="n"/>
      <c r="F262" s="1">
        <f>IF(G262="","",COUNTIFS(Weight!$C$6:$C$505,C262,Weight!$G$6:$G$505,"&gt;"&amp;G262))</f>
        <v/>
      </c>
      <c r="G262">
        <f>IF(OR(B262="",C262="",D262=""),"",B262+ROW()/10000000)</f>
        <v/>
      </c>
    </row>
    <row r="263">
      <c r="A263" s="1" t="n"/>
      <c r="B263" s="24" t="n"/>
      <c r="C263" s="22" t="n"/>
      <c r="D263" s="33" t="n"/>
      <c r="E263" s="23" t="n"/>
      <c r="F263" s="1">
        <f>IF(G263="","",COUNTIFS(Weight!$C$6:$C$505,C263,Weight!$G$6:$G$505,"&gt;"&amp;G263))</f>
        <v/>
      </c>
      <c r="G263">
        <f>IF(OR(B263="",C263="",D263=""),"",B263+ROW()/10000000)</f>
        <v/>
      </c>
    </row>
    <row r="264">
      <c r="A264" s="1" t="n"/>
      <c r="B264" s="24" t="n"/>
      <c r="C264" s="22" t="n"/>
      <c r="D264" s="33" t="n"/>
      <c r="E264" s="23" t="n"/>
      <c r="F264" s="1">
        <f>IF(G264="","",COUNTIFS(Weight!$C$6:$C$505,C264,Weight!$G$6:$G$505,"&gt;"&amp;G264))</f>
        <v/>
      </c>
      <c r="G264">
        <f>IF(OR(B264="",C264="",D264=""),"",B264+ROW()/10000000)</f>
        <v/>
      </c>
    </row>
    <row r="265">
      <c r="A265" s="1" t="n"/>
      <c r="B265" s="24" t="n"/>
      <c r="C265" s="22" t="n"/>
      <c r="D265" s="33" t="n"/>
      <c r="E265" s="23" t="n"/>
      <c r="F265" s="1">
        <f>IF(G265="","",COUNTIFS(Weight!$C$6:$C$505,C265,Weight!$G$6:$G$505,"&gt;"&amp;G265))</f>
        <v/>
      </c>
      <c r="G265">
        <f>IF(OR(B265="",C265="",D265=""),"",B265+ROW()/10000000)</f>
        <v/>
      </c>
    </row>
    <row r="266">
      <c r="A266" s="1" t="n"/>
      <c r="B266" s="24" t="n"/>
      <c r="C266" s="22" t="n"/>
      <c r="D266" s="33" t="n"/>
      <c r="E266" s="23" t="n"/>
      <c r="F266" s="1">
        <f>IF(G266="","",COUNTIFS(Weight!$C$6:$C$505,C266,Weight!$G$6:$G$505,"&gt;"&amp;G266))</f>
        <v/>
      </c>
      <c r="G266">
        <f>IF(OR(B266="",C266="",D266=""),"",B266+ROW()/10000000)</f>
        <v/>
      </c>
    </row>
    <row r="267">
      <c r="A267" s="1" t="n"/>
      <c r="B267" s="24" t="n"/>
      <c r="C267" s="22" t="n"/>
      <c r="D267" s="33" t="n"/>
      <c r="E267" s="23" t="n"/>
      <c r="F267" s="1">
        <f>IF(G267="","",COUNTIFS(Weight!$C$6:$C$505,C267,Weight!$G$6:$G$505,"&gt;"&amp;G267))</f>
        <v/>
      </c>
      <c r="G267">
        <f>IF(OR(B267="",C267="",D267=""),"",B267+ROW()/10000000)</f>
        <v/>
      </c>
    </row>
    <row r="268">
      <c r="A268" s="1" t="n"/>
      <c r="B268" s="24" t="n"/>
      <c r="C268" s="22" t="n"/>
      <c r="D268" s="33" t="n"/>
      <c r="E268" s="23" t="n"/>
      <c r="F268" s="1">
        <f>IF(G268="","",COUNTIFS(Weight!$C$6:$C$505,C268,Weight!$G$6:$G$505,"&gt;"&amp;G268))</f>
        <v/>
      </c>
      <c r="G268">
        <f>IF(OR(B268="",C268="",D268=""),"",B268+ROW()/10000000)</f>
        <v/>
      </c>
    </row>
    <row r="269">
      <c r="A269" s="1" t="n"/>
      <c r="B269" s="24" t="n"/>
      <c r="C269" s="22" t="n"/>
      <c r="D269" s="33" t="n"/>
      <c r="E269" s="23" t="n"/>
      <c r="F269" s="1">
        <f>IF(G269="","",COUNTIFS(Weight!$C$6:$C$505,C269,Weight!$G$6:$G$505,"&gt;"&amp;G269))</f>
        <v/>
      </c>
      <c r="G269">
        <f>IF(OR(B269="",C269="",D269=""),"",B269+ROW()/10000000)</f>
        <v/>
      </c>
    </row>
    <row r="270">
      <c r="A270" s="1" t="n"/>
      <c r="B270" s="24" t="n"/>
      <c r="C270" s="22" t="n"/>
      <c r="D270" s="33" t="n"/>
      <c r="E270" s="23" t="n"/>
      <c r="F270" s="1">
        <f>IF(G270="","",COUNTIFS(Weight!$C$6:$C$505,C270,Weight!$G$6:$G$505,"&gt;"&amp;G270))</f>
        <v/>
      </c>
      <c r="G270">
        <f>IF(OR(B270="",C270="",D270=""),"",B270+ROW()/10000000)</f>
        <v/>
      </c>
    </row>
    <row r="271">
      <c r="A271" s="1" t="n"/>
      <c r="B271" s="24" t="n"/>
      <c r="C271" s="22" t="n"/>
      <c r="D271" s="33" t="n"/>
      <c r="E271" s="23" t="n"/>
      <c r="F271" s="1">
        <f>IF(G271="","",COUNTIFS(Weight!$C$6:$C$505,C271,Weight!$G$6:$G$505,"&gt;"&amp;G271))</f>
        <v/>
      </c>
      <c r="G271">
        <f>IF(OR(B271="",C271="",D271=""),"",B271+ROW()/10000000)</f>
        <v/>
      </c>
    </row>
    <row r="272">
      <c r="A272" s="1" t="n"/>
      <c r="B272" s="24" t="n"/>
      <c r="C272" s="22" t="n"/>
      <c r="D272" s="33" t="n"/>
      <c r="E272" s="23" t="n"/>
      <c r="F272" s="1">
        <f>IF(G272="","",COUNTIFS(Weight!$C$6:$C$505,C272,Weight!$G$6:$G$505,"&gt;"&amp;G272))</f>
        <v/>
      </c>
      <c r="G272">
        <f>IF(OR(B272="",C272="",D272=""),"",B272+ROW()/10000000)</f>
        <v/>
      </c>
    </row>
    <row r="273">
      <c r="A273" s="1" t="n"/>
      <c r="B273" s="24" t="n"/>
      <c r="C273" s="22" t="n"/>
      <c r="D273" s="33" t="n"/>
      <c r="E273" s="23" t="n"/>
      <c r="F273" s="1">
        <f>IF(G273="","",COUNTIFS(Weight!$C$6:$C$505,C273,Weight!$G$6:$G$505,"&gt;"&amp;G273))</f>
        <v/>
      </c>
      <c r="G273">
        <f>IF(OR(B273="",C273="",D273=""),"",B273+ROW()/10000000)</f>
        <v/>
      </c>
    </row>
    <row r="274">
      <c r="A274" s="1" t="n"/>
      <c r="B274" s="24" t="n"/>
      <c r="C274" s="22" t="n"/>
      <c r="D274" s="33" t="n"/>
      <c r="E274" s="23" t="n"/>
      <c r="F274" s="1">
        <f>IF(G274="","",COUNTIFS(Weight!$C$6:$C$505,C274,Weight!$G$6:$G$505,"&gt;"&amp;G274))</f>
        <v/>
      </c>
      <c r="G274">
        <f>IF(OR(B274="",C274="",D274=""),"",B274+ROW()/10000000)</f>
        <v/>
      </c>
    </row>
    <row r="275">
      <c r="A275" s="1" t="n"/>
      <c r="B275" s="24" t="n"/>
      <c r="C275" s="22" t="n"/>
      <c r="D275" s="33" t="n"/>
      <c r="E275" s="23" t="n"/>
      <c r="F275" s="1">
        <f>IF(G275="","",COUNTIFS(Weight!$C$6:$C$505,C275,Weight!$G$6:$G$505,"&gt;"&amp;G275))</f>
        <v/>
      </c>
      <c r="G275">
        <f>IF(OR(B275="",C275="",D275=""),"",B275+ROW()/10000000)</f>
        <v/>
      </c>
    </row>
    <row r="276">
      <c r="A276" s="1" t="n"/>
      <c r="B276" s="24" t="n"/>
      <c r="C276" s="22" t="n"/>
      <c r="D276" s="33" t="n"/>
      <c r="E276" s="23" t="n"/>
      <c r="F276" s="1">
        <f>IF(G276="","",COUNTIFS(Weight!$C$6:$C$505,C276,Weight!$G$6:$G$505,"&gt;"&amp;G276))</f>
        <v/>
      </c>
      <c r="G276">
        <f>IF(OR(B276="",C276="",D276=""),"",B276+ROW()/10000000)</f>
        <v/>
      </c>
    </row>
    <row r="277">
      <c r="A277" s="1" t="n"/>
      <c r="B277" s="24" t="n"/>
      <c r="C277" s="22" t="n"/>
      <c r="D277" s="33" t="n"/>
      <c r="E277" s="23" t="n"/>
      <c r="F277" s="1">
        <f>IF(G277="","",COUNTIFS(Weight!$C$6:$C$505,C277,Weight!$G$6:$G$505,"&gt;"&amp;G277))</f>
        <v/>
      </c>
      <c r="G277">
        <f>IF(OR(B277="",C277="",D277=""),"",B277+ROW()/10000000)</f>
        <v/>
      </c>
    </row>
    <row r="278">
      <c r="A278" s="1" t="n"/>
      <c r="B278" s="24" t="n"/>
      <c r="C278" s="22" t="n"/>
      <c r="D278" s="33" t="n"/>
      <c r="E278" s="23" t="n"/>
      <c r="F278" s="1">
        <f>IF(G278="","",COUNTIFS(Weight!$C$6:$C$505,C278,Weight!$G$6:$G$505,"&gt;"&amp;G278))</f>
        <v/>
      </c>
      <c r="G278">
        <f>IF(OR(B278="",C278="",D278=""),"",B278+ROW()/10000000)</f>
        <v/>
      </c>
    </row>
    <row r="279">
      <c r="A279" s="1" t="n"/>
      <c r="B279" s="24" t="n"/>
      <c r="C279" s="22" t="n"/>
      <c r="D279" s="33" t="n"/>
      <c r="E279" s="23" t="n"/>
      <c r="F279" s="1">
        <f>IF(G279="","",COUNTIFS(Weight!$C$6:$C$505,C279,Weight!$G$6:$G$505,"&gt;"&amp;G279))</f>
        <v/>
      </c>
      <c r="G279">
        <f>IF(OR(B279="",C279="",D279=""),"",B279+ROW()/10000000)</f>
        <v/>
      </c>
    </row>
    <row r="280">
      <c r="A280" s="1" t="n"/>
      <c r="B280" s="24" t="n"/>
      <c r="C280" s="22" t="n"/>
      <c r="D280" s="33" t="n"/>
      <c r="E280" s="23" t="n"/>
      <c r="F280" s="1">
        <f>IF(G280="","",COUNTIFS(Weight!$C$6:$C$505,C280,Weight!$G$6:$G$505,"&gt;"&amp;G280))</f>
        <v/>
      </c>
      <c r="G280">
        <f>IF(OR(B280="",C280="",D280=""),"",B280+ROW()/10000000)</f>
        <v/>
      </c>
    </row>
    <row r="281">
      <c r="A281" s="1" t="n"/>
      <c r="B281" s="24" t="n"/>
      <c r="C281" s="22" t="n"/>
      <c r="D281" s="33" t="n"/>
      <c r="E281" s="23" t="n"/>
      <c r="F281" s="1">
        <f>IF(G281="","",COUNTIFS(Weight!$C$6:$C$505,C281,Weight!$G$6:$G$505,"&gt;"&amp;G281))</f>
        <v/>
      </c>
      <c r="G281">
        <f>IF(OR(B281="",C281="",D281=""),"",B281+ROW()/10000000)</f>
        <v/>
      </c>
    </row>
    <row r="282">
      <c r="A282" s="1" t="n"/>
      <c r="B282" s="24" t="n"/>
      <c r="C282" s="22" t="n"/>
      <c r="D282" s="33" t="n"/>
      <c r="E282" s="23" t="n"/>
      <c r="F282" s="1">
        <f>IF(G282="","",COUNTIFS(Weight!$C$6:$C$505,C282,Weight!$G$6:$G$505,"&gt;"&amp;G282))</f>
        <v/>
      </c>
      <c r="G282">
        <f>IF(OR(B282="",C282="",D282=""),"",B282+ROW()/10000000)</f>
        <v/>
      </c>
    </row>
    <row r="283">
      <c r="A283" s="1" t="n"/>
      <c r="B283" s="24" t="n"/>
      <c r="C283" s="22" t="n"/>
      <c r="D283" s="33" t="n"/>
      <c r="E283" s="23" t="n"/>
      <c r="F283" s="1">
        <f>IF(G283="","",COUNTIFS(Weight!$C$6:$C$505,C283,Weight!$G$6:$G$505,"&gt;"&amp;G283))</f>
        <v/>
      </c>
      <c r="G283">
        <f>IF(OR(B283="",C283="",D283=""),"",B283+ROW()/10000000)</f>
        <v/>
      </c>
    </row>
    <row r="284">
      <c r="A284" s="1" t="n"/>
      <c r="B284" s="24" t="n"/>
      <c r="C284" s="22" t="n"/>
      <c r="D284" s="33" t="n"/>
      <c r="E284" s="23" t="n"/>
      <c r="F284" s="1">
        <f>IF(G284="","",COUNTIFS(Weight!$C$6:$C$505,C284,Weight!$G$6:$G$505,"&gt;"&amp;G284))</f>
        <v/>
      </c>
      <c r="G284">
        <f>IF(OR(B284="",C284="",D284=""),"",B284+ROW()/10000000)</f>
        <v/>
      </c>
    </row>
    <row r="285">
      <c r="A285" s="1" t="n"/>
      <c r="B285" s="24" t="n"/>
      <c r="C285" s="22" t="n"/>
      <c r="D285" s="33" t="n"/>
      <c r="E285" s="23" t="n"/>
      <c r="F285" s="1">
        <f>IF(G285="","",COUNTIFS(Weight!$C$6:$C$505,C285,Weight!$G$6:$G$505,"&gt;"&amp;G285))</f>
        <v/>
      </c>
      <c r="G285">
        <f>IF(OR(B285="",C285="",D285=""),"",B285+ROW()/10000000)</f>
        <v/>
      </c>
    </row>
    <row r="286">
      <c r="A286" s="1" t="n"/>
      <c r="B286" s="24" t="n"/>
      <c r="C286" s="22" t="n"/>
      <c r="D286" s="33" t="n"/>
      <c r="E286" s="23" t="n"/>
      <c r="F286" s="1">
        <f>IF(G286="","",COUNTIFS(Weight!$C$6:$C$505,C286,Weight!$G$6:$G$505,"&gt;"&amp;G286))</f>
        <v/>
      </c>
      <c r="G286">
        <f>IF(OR(B286="",C286="",D286=""),"",B286+ROW()/10000000)</f>
        <v/>
      </c>
    </row>
    <row r="287">
      <c r="A287" s="1" t="n"/>
      <c r="B287" s="24" t="n"/>
      <c r="C287" s="22" t="n"/>
      <c r="D287" s="33" t="n"/>
      <c r="E287" s="23" t="n"/>
      <c r="F287" s="1">
        <f>IF(G287="","",COUNTIFS(Weight!$C$6:$C$505,C287,Weight!$G$6:$G$505,"&gt;"&amp;G287))</f>
        <v/>
      </c>
      <c r="G287">
        <f>IF(OR(B287="",C287="",D287=""),"",B287+ROW()/10000000)</f>
        <v/>
      </c>
    </row>
    <row r="288">
      <c r="A288" s="1" t="n"/>
      <c r="B288" s="24" t="n"/>
      <c r="C288" s="22" t="n"/>
      <c r="D288" s="33" t="n"/>
      <c r="E288" s="23" t="n"/>
      <c r="F288" s="1">
        <f>IF(G288="","",COUNTIFS(Weight!$C$6:$C$505,C288,Weight!$G$6:$G$505,"&gt;"&amp;G288))</f>
        <v/>
      </c>
      <c r="G288">
        <f>IF(OR(B288="",C288="",D288=""),"",B288+ROW()/10000000)</f>
        <v/>
      </c>
    </row>
    <row r="289">
      <c r="A289" s="1" t="n"/>
      <c r="B289" s="24" t="n"/>
      <c r="C289" s="22" t="n"/>
      <c r="D289" s="33" t="n"/>
      <c r="E289" s="23" t="n"/>
      <c r="F289" s="1">
        <f>IF(G289="","",COUNTIFS(Weight!$C$6:$C$505,C289,Weight!$G$6:$G$505,"&gt;"&amp;G289))</f>
        <v/>
      </c>
      <c r="G289">
        <f>IF(OR(B289="",C289="",D289=""),"",B289+ROW()/10000000)</f>
        <v/>
      </c>
    </row>
    <row r="290">
      <c r="A290" s="1" t="n"/>
      <c r="B290" s="24" t="n"/>
      <c r="C290" s="22" t="n"/>
      <c r="D290" s="33" t="n"/>
      <c r="E290" s="23" t="n"/>
      <c r="F290" s="1">
        <f>IF(G290="","",COUNTIFS(Weight!$C$6:$C$505,C290,Weight!$G$6:$G$505,"&gt;"&amp;G290))</f>
        <v/>
      </c>
      <c r="G290">
        <f>IF(OR(B290="",C290="",D290=""),"",B290+ROW()/10000000)</f>
        <v/>
      </c>
    </row>
    <row r="291">
      <c r="A291" s="1" t="n"/>
      <c r="B291" s="24" t="n"/>
      <c r="C291" s="22" t="n"/>
      <c r="D291" s="33" t="n"/>
      <c r="E291" s="23" t="n"/>
      <c r="F291" s="1">
        <f>IF(G291="","",COUNTIFS(Weight!$C$6:$C$505,C291,Weight!$G$6:$G$505,"&gt;"&amp;G291))</f>
        <v/>
      </c>
      <c r="G291">
        <f>IF(OR(B291="",C291="",D291=""),"",B291+ROW()/10000000)</f>
        <v/>
      </c>
    </row>
    <row r="292">
      <c r="A292" s="1" t="n"/>
      <c r="B292" s="24" t="n"/>
      <c r="C292" s="22" t="n"/>
      <c r="D292" s="33" t="n"/>
      <c r="E292" s="23" t="n"/>
      <c r="F292" s="1">
        <f>IF(G292="","",COUNTIFS(Weight!$C$6:$C$505,C292,Weight!$G$6:$G$505,"&gt;"&amp;G292))</f>
        <v/>
      </c>
      <c r="G292">
        <f>IF(OR(B292="",C292="",D292=""),"",B292+ROW()/10000000)</f>
        <v/>
      </c>
    </row>
    <row r="293">
      <c r="A293" s="1" t="n"/>
      <c r="B293" s="24" t="n"/>
      <c r="C293" s="22" t="n"/>
      <c r="D293" s="33" t="n"/>
      <c r="E293" s="23" t="n"/>
      <c r="F293" s="1">
        <f>IF(G293="","",COUNTIFS(Weight!$C$6:$C$505,C293,Weight!$G$6:$G$505,"&gt;"&amp;G293))</f>
        <v/>
      </c>
      <c r="G293">
        <f>IF(OR(B293="",C293="",D293=""),"",B293+ROW()/10000000)</f>
        <v/>
      </c>
    </row>
    <row r="294">
      <c r="A294" s="1" t="n"/>
      <c r="B294" s="24" t="n"/>
      <c r="C294" s="22" t="n"/>
      <c r="D294" s="33" t="n"/>
      <c r="E294" s="23" t="n"/>
      <c r="F294" s="1">
        <f>IF(G294="","",COUNTIFS(Weight!$C$6:$C$505,C294,Weight!$G$6:$G$505,"&gt;"&amp;G294))</f>
        <v/>
      </c>
      <c r="G294">
        <f>IF(OR(B294="",C294="",D294=""),"",B294+ROW()/10000000)</f>
        <v/>
      </c>
    </row>
    <row r="295">
      <c r="A295" s="1" t="n"/>
      <c r="B295" s="24" t="n"/>
      <c r="C295" s="22" t="n"/>
      <c r="D295" s="33" t="n"/>
      <c r="E295" s="23" t="n"/>
      <c r="F295" s="1">
        <f>IF(G295="","",COUNTIFS(Weight!$C$6:$C$505,C295,Weight!$G$6:$G$505,"&gt;"&amp;G295))</f>
        <v/>
      </c>
      <c r="G295">
        <f>IF(OR(B295="",C295="",D295=""),"",B295+ROW()/10000000)</f>
        <v/>
      </c>
    </row>
    <row r="296">
      <c r="A296" s="1" t="n"/>
      <c r="B296" s="24" t="n"/>
      <c r="C296" s="22" t="n"/>
      <c r="D296" s="33" t="n"/>
      <c r="E296" s="23" t="n"/>
      <c r="F296" s="1">
        <f>IF(G296="","",COUNTIFS(Weight!$C$6:$C$505,C296,Weight!$G$6:$G$505,"&gt;"&amp;G296))</f>
        <v/>
      </c>
      <c r="G296">
        <f>IF(OR(B296="",C296="",D296=""),"",B296+ROW()/10000000)</f>
        <v/>
      </c>
    </row>
    <row r="297">
      <c r="A297" s="1" t="n"/>
      <c r="B297" s="24" t="n"/>
      <c r="C297" s="22" t="n"/>
      <c r="D297" s="33" t="n"/>
      <c r="E297" s="23" t="n"/>
      <c r="F297" s="1">
        <f>IF(G297="","",COUNTIFS(Weight!$C$6:$C$505,C297,Weight!$G$6:$G$505,"&gt;"&amp;G297))</f>
        <v/>
      </c>
      <c r="G297">
        <f>IF(OR(B297="",C297="",D297=""),"",B297+ROW()/10000000)</f>
        <v/>
      </c>
    </row>
    <row r="298">
      <c r="A298" s="1" t="n"/>
      <c r="B298" s="24" t="n"/>
      <c r="C298" s="22" t="n"/>
      <c r="D298" s="33" t="n"/>
      <c r="E298" s="23" t="n"/>
      <c r="F298" s="1">
        <f>IF(G298="","",COUNTIFS(Weight!$C$6:$C$505,C298,Weight!$G$6:$G$505,"&gt;"&amp;G298))</f>
        <v/>
      </c>
      <c r="G298">
        <f>IF(OR(B298="",C298="",D298=""),"",B298+ROW()/10000000)</f>
        <v/>
      </c>
    </row>
    <row r="299">
      <c r="A299" s="1" t="n"/>
      <c r="B299" s="24" t="n"/>
      <c r="C299" s="22" t="n"/>
      <c r="D299" s="33" t="n"/>
      <c r="E299" s="23" t="n"/>
      <c r="F299" s="1">
        <f>IF(G299="","",COUNTIFS(Weight!$C$6:$C$505,C299,Weight!$G$6:$G$505,"&gt;"&amp;G299))</f>
        <v/>
      </c>
      <c r="G299">
        <f>IF(OR(B299="",C299="",D299=""),"",B299+ROW()/10000000)</f>
        <v/>
      </c>
    </row>
    <row r="300">
      <c r="A300" s="1" t="n"/>
      <c r="B300" s="24" t="n"/>
      <c r="C300" s="22" t="n"/>
      <c r="D300" s="33" t="n"/>
      <c r="E300" s="23" t="n"/>
      <c r="F300" s="1">
        <f>IF(G300="","",COUNTIFS(Weight!$C$6:$C$505,C300,Weight!$G$6:$G$505,"&gt;"&amp;G300))</f>
        <v/>
      </c>
      <c r="G300">
        <f>IF(OR(B300="",C300="",D300=""),"",B300+ROW()/10000000)</f>
        <v/>
      </c>
    </row>
    <row r="301">
      <c r="A301" s="1" t="n"/>
      <c r="B301" s="24" t="n"/>
      <c r="C301" s="22" t="n"/>
      <c r="D301" s="33" t="n"/>
      <c r="E301" s="23" t="n"/>
      <c r="F301" s="1">
        <f>IF(G301="","",COUNTIFS(Weight!$C$6:$C$505,C301,Weight!$G$6:$G$505,"&gt;"&amp;G301))</f>
        <v/>
      </c>
      <c r="G301">
        <f>IF(OR(B301="",C301="",D301=""),"",B301+ROW()/10000000)</f>
        <v/>
      </c>
    </row>
    <row r="302">
      <c r="A302" s="1" t="n"/>
      <c r="B302" s="24" t="n"/>
      <c r="C302" s="22" t="n"/>
      <c r="D302" s="33" t="n"/>
      <c r="E302" s="23" t="n"/>
      <c r="F302" s="1">
        <f>IF(G302="","",COUNTIFS(Weight!$C$6:$C$505,C302,Weight!$G$6:$G$505,"&gt;"&amp;G302))</f>
        <v/>
      </c>
      <c r="G302">
        <f>IF(OR(B302="",C302="",D302=""),"",B302+ROW()/10000000)</f>
        <v/>
      </c>
    </row>
    <row r="303">
      <c r="A303" s="1" t="n"/>
      <c r="B303" s="24" t="n"/>
      <c r="C303" s="22" t="n"/>
      <c r="D303" s="33" t="n"/>
      <c r="E303" s="23" t="n"/>
      <c r="F303" s="1">
        <f>IF(G303="","",COUNTIFS(Weight!$C$6:$C$505,C303,Weight!$G$6:$G$505,"&gt;"&amp;G303))</f>
        <v/>
      </c>
      <c r="G303">
        <f>IF(OR(B303="",C303="",D303=""),"",B303+ROW()/10000000)</f>
        <v/>
      </c>
    </row>
    <row r="304">
      <c r="A304" s="1" t="n"/>
      <c r="B304" s="24" t="n"/>
      <c r="C304" s="22" t="n"/>
      <c r="D304" s="33" t="n"/>
      <c r="E304" s="23" t="n"/>
      <c r="F304" s="1">
        <f>IF(G304="","",COUNTIFS(Weight!$C$6:$C$505,C304,Weight!$G$6:$G$505,"&gt;"&amp;G304))</f>
        <v/>
      </c>
      <c r="G304">
        <f>IF(OR(B304="",C304="",D304=""),"",B304+ROW()/10000000)</f>
        <v/>
      </c>
    </row>
    <row r="305">
      <c r="A305" s="1" t="n"/>
      <c r="B305" s="24" t="n"/>
      <c r="C305" s="22" t="n"/>
      <c r="D305" s="33" t="n"/>
      <c r="E305" s="23" t="n"/>
      <c r="F305" s="1">
        <f>IF(G305="","",COUNTIFS(Weight!$C$6:$C$505,C305,Weight!$G$6:$G$505,"&gt;"&amp;G305))</f>
        <v/>
      </c>
      <c r="G305">
        <f>IF(OR(B305="",C305="",D305=""),"",B305+ROW()/10000000)</f>
        <v/>
      </c>
    </row>
    <row r="306">
      <c r="A306" s="1" t="n"/>
      <c r="B306" s="24" t="n"/>
      <c r="C306" s="22" t="n"/>
      <c r="D306" s="33" t="n"/>
      <c r="E306" s="23" t="n"/>
      <c r="F306" s="1">
        <f>IF(G306="","",COUNTIFS(Weight!$C$6:$C$505,C306,Weight!$G$6:$G$505,"&gt;"&amp;G306))</f>
        <v/>
      </c>
      <c r="G306">
        <f>IF(OR(B306="",C306="",D306=""),"",B306+ROW()/10000000)</f>
        <v/>
      </c>
    </row>
    <row r="307">
      <c r="A307" s="1" t="n"/>
      <c r="B307" s="24" t="n"/>
      <c r="C307" s="22" t="n"/>
      <c r="D307" s="33" t="n"/>
      <c r="E307" s="23" t="n"/>
      <c r="F307" s="1">
        <f>IF(G307="","",COUNTIFS(Weight!$C$6:$C$505,C307,Weight!$G$6:$G$505,"&gt;"&amp;G307))</f>
        <v/>
      </c>
      <c r="G307">
        <f>IF(OR(B307="",C307="",D307=""),"",B307+ROW()/10000000)</f>
        <v/>
      </c>
    </row>
    <row r="308">
      <c r="A308" s="1" t="n"/>
      <c r="B308" s="24" t="n"/>
      <c r="C308" s="22" t="n"/>
      <c r="D308" s="33" t="n"/>
      <c r="E308" s="23" t="n"/>
      <c r="F308" s="1">
        <f>IF(G308="","",COUNTIFS(Weight!$C$6:$C$505,C308,Weight!$G$6:$G$505,"&gt;"&amp;G308))</f>
        <v/>
      </c>
      <c r="G308">
        <f>IF(OR(B308="",C308="",D308=""),"",B308+ROW()/10000000)</f>
        <v/>
      </c>
    </row>
    <row r="309">
      <c r="A309" s="1" t="n"/>
      <c r="B309" s="24" t="n"/>
      <c r="C309" s="22" t="n"/>
      <c r="D309" s="33" t="n"/>
      <c r="E309" s="23" t="n"/>
      <c r="F309" s="1">
        <f>IF(G309="","",COUNTIFS(Weight!$C$6:$C$505,C309,Weight!$G$6:$G$505,"&gt;"&amp;G309))</f>
        <v/>
      </c>
      <c r="G309">
        <f>IF(OR(B309="",C309="",D309=""),"",B309+ROW()/10000000)</f>
        <v/>
      </c>
    </row>
    <row r="310">
      <c r="A310" s="1" t="n"/>
      <c r="B310" s="24" t="n"/>
      <c r="C310" s="22" t="n"/>
      <c r="D310" s="33" t="n"/>
      <c r="E310" s="23" t="n"/>
      <c r="F310" s="1">
        <f>IF(G310="","",COUNTIFS(Weight!$C$6:$C$505,C310,Weight!$G$6:$G$505,"&gt;"&amp;G310))</f>
        <v/>
      </c>
      <c r="G310">
        <f>IF(OR(B310="",C310="",D310=""),"",B310+ROW()/10000000)</f>
        <v/>
      </c>
    </row>
    <row r="311">
      <c r="A311" s="1" t="n"/>
      <c r="B311" s="24" t="n"/>
      <c r="C311" s="22" t="n"/>
      <c r="D311" s="33" t="n"/>
      <c r="E311" s="23" t="n"/>
      <c r="F311" s="1">
        <f>IF(G311="","",COUNTIFS(Weight!$C$6:$C$505,C311,Weight!$G$6:$G$505,"&gt;"&amp;G311))</f>
        <v/>
      </c>
      <c r="G311">
        <f>IF(OR(B311="",C311="",D311=""),"",B311+ROW()/10000000)</f>
        <v/>
      </c>
    </row>
    <row r="312">
      <c r="A312" s="1" t="n"/>
      <c r="B312" s="24" t="n"/>
      <c r="C312" s="22" t="n"/>
      <c r="D312" s="33" t="n"/>
      <c r="E312" s="23" t="n"/>
      <c r="F312" s="1">
        <f>IF(G312="","",COUNTIFS(Weight!$C$6:$C$505,C312,Weight!$G$6:$G$505,"&gt;"&amp;G312))</f>
        <v/>
      </c>
      <c r="G312">
        <f>IF(OR(B312="",C312="",D312=""),"",B312+ROW()/10000000)</f>
        <v/>
      </c>
    </row>
    <row r="313">
      <c r="A313" s="1" t="n"/>
      <c r="B313" s="24" t="n"/>
      <c r="C313" s="22" t="n"/>
      <c r="D313" s="33" t="n"/>
      <c r="E313" s="23" t="n"/>
      <c r="F313" s="1">
        <f>IF(G313="","",COUNTIFS(Weight!$C$6:$C$505,C313,Weight!$G$6:$G$505,"&gt;"&amp;G313))</f>
        <v/>
      </c>
      <c r="G313">
        <f>IF(OR(B313="",C313="",D313=""),"",B313+ROW()/10000000)</f>
        <v/>
      </c>
    </row>
    <row r="314">
      <c r="A314" s="1" t="n"/>
      <c r="B314" s="24" t="n"/>
      <c r="C314" s="22" t="n"/>
      <c r="D314" s="33" t="n"/>
      <c r="E314" s="23" t="n"/>
      <c r="F314" s="1">
        <f>IF(G314="","",COUNTIFS(Weight!$C$6:$C$505,C314,Weight!$G$6:$G$505,"&gt;"&amp;G314))</f>
        <v/>
      </c>
      <c r="G314">
        <f>IF(OR(B314="",C314="",D314=""),"",B314+ROW()/10000000)</f>
        <v/>
      </c>
    </row>
    <row r="315">
      <c r="A315" s="1" t="n"/>
      <c r="B315" s="24" t="n"/>
      <c r="C315" s="22" t="n"/>
      <c r="D315" s="33" t="n"/>
      <c r="E315" s="23" t="n"/>
      <c r="F315" s="1">
        <f>IF(G315="","",COUNTIFS(Weight!$C$6:$C$505,C315,Weight!$G$6:$G$505,"&gt;"&amp;G315))</f>
        <v/>
      </c>
      <c r="G315">
        <f>IF(OR(B315="",C315="",D315=""),"",B315+ROW()/10000000)</f>
        <v/>
      </c>
    </row>
    <row r="316">
      <c r="A316" s="1" t="n"/>
      <c r="B316" s="24" t="n"/>
      <c r="C316" s="22" t="n"/>
      <c r="D316" s="33" t="n"/>
      <c r="E316" s="23" t="n"/>
      <c r="F316" s="1">
        <f>IF(G316="","",COUNTIFS(Weight!$C$6:$C$505,C316,Weight!$G$6:$G$505,"&gt;"&amp;G316))</f>
        <v/>
      </c>
      <c r="G316">
        <f>IF(OR(B316="",C316="",D316=""),"",B316+ROW()/10000000)</f>
        <v/>
      </c>
    </row>
    <row r="317">
      <c r="A317" s="1" t="n"/>
      <c r="B317" s="24" t="n"/>
      <c r="C317" s="22" t="n"/>
      <c r="D317" s="33" t="n"/>
      <c r="E317" s="23" t="n"/>
      <c r="F317" s="1">
        <f>IF(G317="","",COUNTIFS(Weight!$C$6:$C$505,C317,Weight!$G$6:$G$505,"&gt;"&amp;G317))</f>
        <v/>
      </c>
      <c r="G317">
        <f>IF(OR(B317="",C317="",D317=""),"",B317+ROW()/10000000)</f>
        <v/>
      </c>
    </row>
    <row r="318">
      <c r="A318" s="1" t="n"/>
      <c r="B318" s="24" t="n"/>
      <c r="C318" s="22" t="n"/>
      <c r="D318" s="33" t="n"/>
      <c r="E318" s="23" t="n"/>
      <c r="F318" s="1">
        <f>IF(G318="","",COUNTIFS(Weight!$C$6:$C$505,C318,Weight!$G$6:$G$505,"&gt;"&amp;G318))</f>
        <v/>
      </c>
      <c r="G318">
        <f>IF(OR(B318="",C318="",D318=""),"",B318+ROW()/10000000)</f>
        <v/>
      </c>
    </row>
    <row r="319">
      <c r="A319" s="1" t="n"/>
      <c r="B319" s="24" t="n"/>
      <c r="C319" s="22" t="n"/>
      <c r="D319" s="33" t="n"/>
      <c r="E319" s="23" t="n"/>
      <c r="F319" s="1">
        <f>IF(G319="","",COUNTIFS(Weight!$C$6:$C$505,C319,Weight!$G$6:$G$505,"&gt;"&amp;G319))</f>
        <v/>
      </c>
      <c r="G319">
        <f>IF(OR(B319="",C319="",D319=""),"",B319+ROW()/10000000)</f>
        <v/>
      </c>
    </row>
    <row r="320">
      <c r="A320" s="1" t="n"/>
      <c r="B320" s="24" t="n"/>
      <c r="C320" s="22" t="n"/>
      <c r="D320" s="33" t="n"/>
      <c r="E320" s="23" t="n"/>
      <c r="F320" s="1">
        <f>IF(G320="","",COUNTIFS(Weight!$C$6:$C$505,C320,Weight!$G$6:$G$505,"&gt;"&amp;G320))</f>
        <v/>
      </c>
      <c r="G320">
        <f>IF(OR(B320="",C320="",D320=""),"",B320+ROW()/10000000)</f>
        <v/>
      </c>
    </row>
    <row r="321">
      <c r="A321" s="1" t="n"/>
      <c r="B321" s="24" t="n"/>
      <c r="C321" s="22" t="n"/>
      <c r="D321" s="33" t="n"/>
      <c r="E321" s="23" t="n"/>
      <c r="F321" s="1">
        <f>IF(G321="","",COUNTIFS(Weight!$C$6:$C$505,C321,Weight!$G$6:$G$505,"&gt;"&amp;G321))</f>
        <v/>
      </c>
      <c r="G321">
        <f>IF(OR(B321="",C321="",D321=""),"",B321+ROW()/10000000)</f>
        <v/>
      </c>
    </row>
    <row r="322">
      <c r="A322" s="1" t="n"/>
      <c r="B322" s="24" t="n"/>
      <c r="C322" s="22" t="n"/>
      <c r="D322" s="33" t="n"/>
      <c r="E322" s="23" t="n"/>
      <c r="F322" s="1">
        <f>IF(G322="","",COUNTIFS(Weight!$C$6:$C$505,C322,Weight!$G$6:$G$505,"&gt;"&amp;G322))</f>
        <v/>
      </c>
      <c r="G322">
        <f>IF(OR(B322="",C322="",D322=""),"",B322+ROW()/10000000)</f>
        <v/>
      </c>
    </row>
    <row r="323">
      <c r="A323" s="1" t="n"/>
      <c r="B323" s="24" t="n"/>
      <c r="C323" s="22" t="n"/>
      <c r="D323" s="33" t="n"/>
      <c r="E323" s="23" t="n"/>
      <c r="F323" s="1">
        <f>IF(G323="","",COUNTIFS(Weight!$C$6:$C$505,C323,Weight!$G$6:$G$505,"&gt;"&amp;G323))</f>
        <v/>
      </c>
      <c r="G323">
        <f>IF(OR(B323="",C323="",D323=""),"",B323+ROW()/10000000)</f>
        <v/>
      </c>
    </row>
    <row r="324">
      <c r="A324" s="1" t="n"/>
      <c r="B324" s="24" t="n"/>
      <c r="C324" s="22" t="n"/>
      <c r="D324" s="33" t="n"/>
      <c r="E324" s="23" t="n"/>
      <c r="F324" s="1">
        <f>IF(G324="","",COUNTIFS(Weight!$C$6:$C$505,C324,Weight!$G$6:$G$505,"&gt;"&amp;G324))</f>
        <v/>
      </c>
      <c r="G324">
        <f>IF(OR(B324="",C324="",D324=""),"",B324+ROW()/10000000)</f>
        <v/>
      </c>
    </row>
    <row r="325">
      <c r="A325" s="1" t="n"/>
      <c r="B325" s="24" t="n"/>
      <c r="C325" s="22" t="n"/>
      <c r="D325" s="33" t="n"/>
      <c r="E325" s="23" t="n"/>
      <c r="F325" s="1">
        <f>IF(G325="","",COUNTIFS(Weight!$C$6:$C$505,C325,Weight!$G$6:$G$505,"&gt;"&amp;G325))</f>
        <v/>
      </c>
      <c r="G325">
        <f>IF(OR(B325="",C325="",D325=""),"",B325+ROW()/10000000)</f>
        <v/>
      </c>
    </row>
    <row r="326">
      <c r="A326" s="1" t="n"/>
      <c r="B326" s="24" t="n"/>
      <c r="C326" s="22" t="n"/>
      <c r="D326" s="33" t="n"/>
      <c r="E326" s="23" t="n"/>
      <c r="F326" s="1">
        <f>IF(G326="","",COUNTIFS(Weight!$C$6:$C$505,C326,Weight!$G$6:$G$505,"&gt;"&amp;G326))</f>
        <v/>
      </c>
      <c r="G326">
        <f>IF(OR(B326="",C326="",D326=""),"",B326+ROW()/10000000)</f>
        <v/>
      </c>
    </row>
    <row r="327">
      <c r="A327" s="1" t="n"/>
      <c r="B327" s="24" t="n"/>
      <c r="C327" s="22" t="n"/>
      <c r="D327" s="33" t="n"/>
      <c r="E327" s="23" t="n"/>
      <c r="F327" s="1">
        <f>IF(G327="","",COUNTIFS(Weight!$C$6:$C$505,C327,Weight!$G$6:$G$505,"&gt;"&amp;G327))</f>
        <v/>
      </c>
      <c r="G327">
        <f>IF(OR(B327="",C327="",D327=""),"",B327+ROW()/10000000)</f>
        <v/>
      </c>
    </row>
    <row r="328">
      <c r="A328" s="1" t="n"/>
      <c r="B328" s="24" t="n"/>
      <c r="C328" s="22" t="n"/>
      <c r="D328" s="33" t="n"/>
      <c r="E328" s="23" t="n"/>
      <c r="F328" s="1">
        <f>IF(G328="","",COUNTIFS(Weight!$C$6:$C$505,C328,Weight!$G$6:$G$505,"&gt;"&amp;G328))</f>
        <v/>
      </c>
      <c r="G328">
        <f>IF(OR(B328="",C328="",D328=""),"",B328+ROW()/10000000)</f>
        <v/>
      </c>
    </row>
    <row r="329">
      <c r="A329" s="1" t="n"/>
      <c r="B329" s="24" t="n"/>
      <c r="C329" s="22" t="n"/>
      <c r="D329" s="33" t="n"/>
      <c r="E329" s="23" t="n"/>
      <c r="F329" s="1">
        <f>IF(G329="","",COUNTIFS(Weight!$C$6:$C$505,C329,Weight!$G$6:$G$505,"&gt;"&amp;G329))</f>
        <v/>
      </c>
      <c r="G329">
        <f>IF(OR(B329="",C329="",D329=""),"",B329+ROW()/10000000)</f>
        <v/>
      </c>
    </row>
    <row r="330">
      <c r="A330" s="1" t="n"/>
      <c r="B330" s="24" t="n"/>
      <c r="C330" s="22" t="n"/>
      <c r="D330" s="33" t="n"/>
      <c r="E330" s="23" t="n"/>
      <c r="F330" s="1">
        <f>IF(G330="","",COUNTIFS(Weight!$C$6:$C$505,C330,Weight!$G$6:$G$505,"&gt;"&amp;G330))</f>
        <v/>
      </c>
      <c r="G330">
        <f>IF(OR(B330="",C330="",D330=""),"",B330+ROW()/10000000)</f>
        <v/>
      </c>
    </row>
    <row r="331">
      <c r="A331" s="1" t="n"/>
      <c r="B331" s="24" t="n"/>
      <c r="C331" s="22" t="n"/>
      <c r="D331" s="33" t="n"/>
      <c r="E331" s="23" t="n"/>
      <c r="F331" s="1">
        <f>IF(G331="","",COUNTIFS(Weight!$C$6:$C$505,C331,Weight!$G$6:$G$505,"&gt;"&amp;G331))</f>
        <v/>
      </c>
      <c r="G331">
        <f>IF(OR(B331="",C331="",D331=""),"",B331+ROW()/10000000)</f>
        <v/>
      </c>
    </row>
    <row r="332">
      <c r="A332" s="1" t="n"/>
      <c r="B332" s="24" t="n"/>
      <c r="C332" s="22" t="n"/>
      <c r="D332" s="33" t="n"/>
      <c r="E332" s="23" t="n"/>
      <c r="F332" s="1">
        <f>IF(G332="","",COUNTIFS(Weight!$C$6:$C$505,C332,Weight!$G$6:$G$505,"&gt;"&amp;G332))</f>
        <v/>
      </c>
      <c r="G332">
        <f>IF(OR(B332="",C332="",D332=""),"",B332+ROW()/10000000)</f>
        <v/>
      </c>
    </row>
    <row r="333">
      <c r="A333" s="1" t="n"/>
      <c r="B333" s="24" t="n"/>
      <c r="C333" s="22" t="n"/>
      <c r="D333" s="33" t="n"/>
      <c r="E333" s="23" t="n"/>
      <c r="F333" s="1">
        <f>IF(G333="","",COUNTIFS(Weight!$C$6:$C$505,C333,Weight!$G$6:$G$505,"&gt;"&amp;G333))</f>
        <v/>
      </c>
      <c r="G333">
        <f>IF(OR(B333="",C333="",D333=""),"",B333+ROW()/10000000)</f>
        <v/>
      </c>
    </row>
    <row r="334">
      <c r="A334" s="1" t="n"/>
      <c r="B334" s="24" t="n"/>
      <c r="C334" s="22" t="n"/>
      <c r="D334" s="33" t="n"/>
      <c r="E334" s="23" t="n"/>
      <c r="F334" s="1">
        <f>IF(G334="","",COUNTIFS(Weight!$C$6:$C$505,C334,Weight!$G$6:$G$505,"&gt;"&amp;G334))</f>
        <v/>
      </c>
      <c r="G334">
        <f>IF(OR(B334="",C334="",D334=""),"",B334+ROW()/10000000)</f>
        <v/>
      </c>
    </row>
    <row r="335">
      <c r="A335" s="1" t="n"/>
      <c r="B335" s="24" t="n"/>
      <c r="C335" s="22" t="n"/>
      <c r="D335" s="33" t="n"/>
      <c r="E335" s="23" t="n"/>
      <c r="F335" s="1">
        <f>IF(G335="","",COUNTIFS(Weight!$C$6:$C$505,C335,Weight!$G$6:$G$505,"&gt;"&amp;G335))</f>
        <v/>
      </c>
      <c r="G335">
        <f>IF(OR(B335="",C335="",D335=""),"",B335+ROW()/10000000)</f>
        <v/>
      </c>
    </row>
    <row r="336">
      <c r="A336" s="1" t="n"/>
      <c r="B336" s="24" t="n"/>
      <c r="C336" s="22" t="n"/>
      <c r="D336" s="33" t="n"/>
      <c r="E336" s="23" t="n"/>
      <c r="F336" s="1">
        <f>IF(G336="","",COUNTIFS(Weight!$C$6:$C$505,C336,Weight!$G$6:$G$505,"&gt;"&amp;G336))</f>
        <v/>
      </c>
      <c r="G336">
        <f>IF(OR(B336="",C336="",D336=""),"",B336+ROW()/10000000)</f>
        <v/>
      </c>
    </row>
    <row r="337">
      <c r="A337" s="1" t="n"/>
      <c r="B337" s="24" t="n"/>
      <c r="C337" s="22" t="n"/>
      <c r="D337" s="33" t="n"/>
      <c r="E337" s="23" t="n"/>
      <c r="F337" s="1">
        <f>IF(G337="","",COUNTIFS(Weight!$C$6:$C$505,C337,Weight!$G$6:$G$505,"&gt;"&amp;G337))</f>
        <v/>
      </c>
      <c r="G337">
        <f>IF(OR(B337="",C337="",D337=""),"",B337+ROW()/10000000)</f>
        <v/>
      </c>
    </row>
    <row r="338">
      <c r="A338" s="1" t="n"/>
      <c r="B338" s="24" t="n"/>
      <c r="C338" s="22" t="n"/>
      <c r="D338" s="33" t="n"/>
      <c r="E338" s="23" t="n"/>
      <c r="F338" s="1">
        <f>IF(G338="","",COUNTIFS(Weight!$C$6:$C$505,C338,Weight!$G$6:$G$505,"&gt;"&amp;G338))</f>
        <v/>
      </c>
      <c r="G338">
        <f>IF(OR(B338="",C338="",D338=""),"",B338+ROW()/10000000)</f>
        <v/>
      </c>
    </row>
    <row r="339">
      <c r="A339" s="1" t="n"/>
      <c r="B339" s="24" t="n"/>
      <c r="C339" s="22" t="n"/>
      <c r="D339" s="33" t="n"/>
      <c r="E339" s="23" t="n"/>
      <c r="F339" s="1">
        <f>IF(G339="","",COUNTIFS(Weight!$C$6:$C$505,C339,Weight!$G$6:$G$505,"&gt;"&amp;G339))</f>
        <v/>
      </c>
      <c r="G339">
        <f>IF(OR(B339="",C339="",D339=""),"",B339+ROW()/10000000)</f>
        <v/>
      </c>
    </row>
    <row r="340">
      <c r="A340" s="1" t="n"/>
      <c r="B340" s="24" t="n"/>
      <c r="C340" s="22" t="n"/>
      <c r="D340" s="33" t="n"/>
      <c r="E340" s="23" t="n"/>
      <c r="F340" s="1">
        <f>IF(G340="","",COUNTIFS(Weight!$C$6:$C$505,C340,Weight!$G$6:$G$505,"&gt;"&amp;G340))</f>
        <v/>
      </c>
      <c r="G340">
        <f>IF(OR(B340="",C340="",D340=""),"",B340+ROW()/10000000)</f>
        <v/>
      </c>
    </row>
    <row r="341">
      <c r="A341" s="1" t="n"/>
      <c r="B341" s="24" t="n"/>
      <c r="C341" s="22" t="n"/>
      <c r="D341" s="33" t="n"/>
      <c r="E341" s="23" t="n"/>
      <c r="F341" s="1">
        <f>IF(G341="","",COUNTIFS(Weight!$C$6:$C$505,C341,Weight!$G$6:$G$505,"&gt;"&amp;G341))</f>
        <v/>
      </c>
      <c r="G341">
        <f>IF(OR(B341="",C341="",D341=""),"",B341+ROW()/10000000)</f>
        <v/>
      </c>
    </row>
    <row r="342">
      <c r="A342" s="1" t="n"/>
      <c r="B342" s="24" t="n"/>
      <c r="C342" s="22" t="n"/>
      <c r="D342" s="33" t="n"/>
      <c r="E342" s="23" t="n"/>
      <c r="F342" s="1">
        <f>IF(G342="","",COUNTIFS(Weight!$C$6:$C$505,C342,Weight!$G$6:$G$505,"&gt;"&amp;G342))</f>
        <v/>
      </c>
      <c r="G342">
        <f>IF(OR(B342="",C342="",D342=""),"",B342+ROW()/10000000)</f>
        <v/>
      </c>
    </row>
    <row r="343">
      <c r="A343" s="1" t="n"/>
      <c r="B343" s="24" t="n"/>
      <c r="C343" s="22" t="n"/>
      <c r="D343" s="33" t="n"/>
      <c r="E343" s="23" t="n"/>
      <c r="F343" s="1">
        <f>IF(G343="","",COUNTIFS(Weight!$C$6:$C$505,C343,Weight!$G$6:$G$505,"&gt;"&amp;G343))</f>
        <v/>
      </c>
      <c r="G343">
        <f>IF(OR(B343="",C343="",D343=""),"",B343+ROW()/10000000)</f>
        <v/>
      </c>
    </row>
    <row r="344">
      <c r="A344" s="1" t="n"/>
      <c r="B344" s="24" t="n"/>
      <c r="C344" s="22" t="n"/>
      <c r="D344" s="33" t="n"/>
      <c r="E344" s="23" t="n"/>
      <c r="F344" s="1">
        <f>IF(G344="","",COUNTIFS(Weight!$C$6:$C$505,C344,Weight!$G$6:$G$505,"&gt;"&amp;G344))</f>
        <v/>
      </c>
      <c r="G344">
        <f>IF(OR(B344="",C344="",D344=""),"",B344+ROW()/10000000)</f>
        <v/>
      </c>
    </row>
    <row r="345">
      <c r="A345" s="1" t="n"/>
      <c r="B345" s="24" t="n"/>
      <c r="C345" s="22" t="n"/>
      <c r="D345" s="33" t="n"/>
      <c r="E345" s="23" t="n"/>
      <c r="F345" s="1">
        <f>IF(G345="","",COUNTIFS(Weight!$C$6:$C$505,C345,Weight!$G$6:$G$505,"&gt;"&amp;G345))</f>
        <v/>
      </c>
      <c r="G345">
        <f>IF(OR(B345="",C345="",D345=""),"",B345+ROW()/10000000)</f>
        <v/>
      </c>
    </row>
    <row r="346">
      <c r="A346" s="1" t="n"/>
      <c r="B346" s="24" t="n"/>
      <c r="C346" s="22" t="n"/>
      <c r="D346" s="33" t="n"/>
      <c r="E346" s="23" t="n"/>
      <c r="F346" s="1">
        <f>IF(G346="","",COUNTIFS(Weight!$C$6:$C$505,C346,Weight!$G$6:$G$505,"&gt;"&amp;G346))</f>
        <v/>
      </c>
      <c r="G346">
        <f>IF(OR(B346="",C346="",D346=""),"",B346+ROW()/10000000)</f>
        <v/>
      </c>
    </row>
    <row r="347">
      <c r="A347" s="1" t="n"/>
      <c r="B347" s="24" t="n"/>
      <c r="C347" s="22" t="n"/>
      <c r="D347" s="33" t="n"/>
      <c r="E347" s="23" t="n"/>
      <c r="F347" s="1">
        <f>IF(G347="","",COUNTIFS(Weight!$C$6:$C$505,C347,Weight!$G$6:$G$505,"&gt;"&amp;G347))</f>
        <v/>
      </c>
      <c r="G347">
        <f>IF(OR(B347="",C347="",D347=""),"",B347+ROW()/10000000)</f>
        <v/>
      </c>
    </row>
    <row r="348">
      <c r="A348" s="1" t="n"/>
      <c r="B348" s="24" t="n"/>
      <c r="C348" s="22" t="n"/>
      <c r="D348" s="33" t="n"/>
      <c r="E348" s="23" t="n"/>
      <c r="F348" s="1">
        <f>IF(G348="","",COUNTIFS(Weight!$C$6:$C$505,C348,Weight!$G$6:$G$505,"&gt;"&amp;G348))</f>
        <v/>
      </c>
      <c r="G348">
        <f>IF(OR(B348="",C348="",D348=""),"",B348+ROW()/10000000)</f>
        <v/>
      </c>
    </row>
    <row r="349">
      <c r="A349" s="1" t="n"/>
      <c r="B349" s="24" t="n"/>
      <c r="C349" s="22" t="n"/>
      <c r="D349" s="33" t="n"/>
      <c r="E349" s="23" t="n"/>
      <c r="F349" s="1">
        <f>IF(G349="","",COUNTIFS(Weight!$C$6:$C$505,C349,Weight!$G$6:$G$505,"&gt;"&amp;G349))</f>
        <v/>
      </c>
      <c r="G349">
        <f>IF(OR(B349="",C349="",D349=""),"",B349+ROW()/10000000)</f>
        <v/>
      </c>
    </row>
    <row r="350">
      <c r="A350" s="1" t="n"/>
      <c r="B350" s="24" t="n"/>
      <c r="C350" s="22" t="n"/>
      <c r="D350" s="33" t="n"/>
      <c r="E350" s="23" t="n"/>
      <c r="F350" s="1">
        <f>IF(G350="","",COUNTIFS(Weight!$C$6:$C$505,C350,Weight!$G$6:$G$505,"&gt;"&amp;G350))</f>
        <v/>
      </c>
      <c r="G350">
        <f>IF(OR(B350="",C350="",D350=""),"",B350+ROW()/10000000)</f>
        <v/>
      </c>
    </row>
    <row r="351">
      <c r="A351" s="1" t="n"/>
      <c r="B351" s="24" t="n"/>
      <c r="C351" s="22" t="n"/>
      <c r="D351" s="33" t="n"/>
      <c r="E351" s="23" t="n"/>
      <c r="F351" s="1">
        <f>IF(G351="","",COUNTIFS(Weight!$C$6:$C$505,C351,Weight!$G$6:$G$505,"&gt;"&amp;G351))</f>
        <v/>
      </c>
      <c r="G351">
        <f>IF(OR(B351="",C351="",D351=""),"",B351+ROW()/10000000)</f>
        <v/>
      </c>
    </row>
    <row r="352">
      <c r="A352" s="1" t="n"/>
      <c r="B352" s="24" t="n"/>
      <c r="C352" s="22" t="n"/>
      <c r="D352" s="33" t="n"/>
      <c r="E352" s="23" t="n"/>
      <c r="F352" s="1">
        <f>IF(G352="","",COUNTIFS(Weight!$C$6:$C$505,C352,Weight!$G$6:$G$505,"&gt;"&amp;G352))</f>
        <v/>
      </c>
      <c r="G352">
        <f>IF(OR(B352="",C352="",D352=""),"",B352+ROW()/10000000)</f>
        <v/>
      </c>
    </row>
    <row r="353">
      <c r="A353" s="1" t="n"/>
      <c r="B353" s="24" t="n"/>
      <c r="C353" s="22" t="n"/>
      <c r="D353" s="33" t="n"/>
      <c r="E353" s="23" t="n"/>
      <c r="F353" s="1">
        <f>IF(G353="","",COUNTIFS(Weight!$C$6:$C$505,C353,Weight!$G$6:$G$505,"&gt;"&amp;G353))</f>
        <v/>
      </c>
      <c r="G353">
        <f>IF(OR(B353="",C353="",D353=""),"",B353+ROW()/10000000)</f>
        <v/>
      </c>
    </row>
    <row r="354">
      <c r="A354" s="1" t="n"/>
      <c r="B354" s="24" t="n"/>
      <c r="C354" s="22" t="n"/>
      <c r="D354" s="33" t="n"/>
      <c r="E354" s="23" t="n"/>
      <c r="F354" s="1">
        <f>IF(G354="","",COUNTIFS(Weight!$C$6:$C$505,C354,Weight!$G$6:$G$505,"&gt;"&amp;G354))</f>
        <v/>
      </c>
      <c r="G354">
        <f>IF(OR(B354="",C354="",D354=""),"",B354+ROW()/10000000)</f>
        <v/>
      </c>
    </row>
    <row r="355">
      <c r="A355" s="1" t="n"/>
      <c r="B355" s="24" t="n"/>
      <c r="C355" s="22" t="n"/>
      <c r="D355" s="33" t="n"/>
      <c r="E355" s="23" t="n"/>
      <c r="F355" s="1">
        <f>IF(G355="","",COUNTIFS(Weight!$C$6:$C$505,C355,Weight!$G$6:$G$505,"&gt;"&amp;G355))</f>
        <v/>
      </c>
      <c r="G355">
        <f>IF(OR(B355="",C355="",D355=""),"",B355+ROW()/10000000)</f>
        <v/>
      </c>
    </row>
    <row r="356">
      <c r="A356" s="1" t="n"/>
      <c r="B356" s="24" t="n"/>
      <c r="C356" s="22" t="n"/>
      <c r="D356" s="33" t="n"/>
      <c r="E356" s="23" t="n"/>
      <c r="F356" s="1">
        <f>IF(G356="","",COUNTIFS(Weight!$C$6:$C$505,C356,Weight!$G$6:$G$505,"&gt;"&amp;G356))</f>
        <v/>
      </c>
      <c r="G356">
        <f>IF(OR(B356="",C356="",D356=""),"",B356+ROW()/10000000)</f>
        <v/>
      </c>
    </row>
    <row r="357">
      <c r="A357" s="1" t="n"/>
      <c r="B357" s="24" t="n"/>
      <c r="C357" s="22" t="n"/>
      <c r="D357" s="33" t="n"/>
      <c r="E357" s="23" t="n"/>
      <c r="F357" s="1">
        <f>IF(G357="","",COUNTIFS(Weight!$C$6:$C$505,C357,Weight!$G$6:$G$505,"&gt;"&amp;G357))</f>
        <v/>
      </c>
      <c r="G357">
        <f>IF(OR(B357="",C357="",D357=""),"",B357+ROW()/10000000)</f>
        <v/>
      </c>
    </row>
    <row r="358">
      <c r="A358" s="1" t="n"/>
      <c r="B358" s="24" t="n"/>
      <c r="C358" s="22" t="n"/>
      <c r="D358" s="33" t="n"/>
      <c r="E358" s="23" t="n"/>
      <c r="F358" s="1">
        <f>IF(G358="","",COUNTIFS(Weight!$C$6:$C$505,C358,Weight!$G$6:$G$505,"&gt;"&amp;G358))</f>
        <v/>
      </c>
      <c r="G358">
        <f>IF(OR(B358="",C358="",D358=""),"",B358+ROW()/10000000)</f>
        <v/>
      </c>
    </row>
    <row r="359">
      <c r="A359" s="1" t="n"/>
      <c r="B359" s="24" t="n"/>
      <c r="C359" s="22" t="n"/>
      <c r="D359" s="33" t="n"/>
      <c r="E359" s="23" t="n"/>
      <c r="F359" s="1">
        <f>IF(G359="","",COUNTIFS(Weight!$C$6:$C$505,C359,Weight!$G$6:$G$505,"&gt;"&amp;G359))</f>
        <v/>
      </c>
      <c r="G359">
        <f>IF(OR(B359="",C359="",D359=""),"",B359+ROW()/10000000)</f>
        <v/>
      </c>
    </row>
    <row r="360">
      <c r="A360" s="1" t="n"/>
      <c r="B360" s="24" t="n"/>
      <c r="C360" s="22" t="n"/>
      <c r="D360" s="33" t="n"/>
      <c r="E360" s="23" t="n"/>
      <c r="F360" s="1">
        <f>IF(G360="","",COUNTIFS(Weight!$C$6:$C$505,C360,Weight!$G$6:$G$505,"&gt;"&amp;G360))</f>
        <v/>
      </c>
      <c r="G360">
        <f>IF(OR(B360="",C360="",D360=""),"",B360+ROW()/10000000)</f>
        <v/>
      </c>
    </row>
    <row r="361">
      <c r="A361" s="1" t="n"/>
      <c r="B361" s="24" t="n"/>
      <c r="C361" s="22" t="n"/>
      <c r="D361" s="33" t="n"/>
      <c r="E361" s="23" t="n"/>
      <c r="F361" s="1">
        <f>IF(G361="","",COUNTIFS(Weight!$C$6:$C$505,C361,Weight!$G$6:$G$505,"&gt;"&amp;G361))</f>
        <v/>
      </c>
      <c r="G361">
        <f>IF(OR(B361="",C361="",D361=""),"",B361+ROW()/10000000)</f>
        <v/>
      </c>
    </row>
    <row r="362">
      <c r="A362" s="1" t="n"/>
      <c r="B362" s="24" t="n"/>
      <c r="C362" s="22" t="n"/>
      <c r="D362" s="33" t="n"/>
      <c r="E362" s="23" t="n"/>
      <c r="F362" s="1">
        <f>IF(G362="","",COUNTIFS(Weight!$C$6:$C$505,C362,Weight!$G$6:$G$505,"&gt;"&amp;G362))</f>
        <v/>
      </c>
      <c r="G362">
        <f>IF(OR(B362="",C362="",D362=""),"",B362+ROW()/10000000)</f>
        <v/>
      </c>
    </row>
    <row r="363">
      <c r="A363" s="1" t="n"/>
      <c r="B363" s="24" t="n"/>
      <c r="C363" s="22" t="n"/>
      <c r="D363" s="33" t="n"/>
      <c r="E363" s="23" t="n"/>
      <c r="F363" s="1">
        <f>IF(G363="","",COUNTIFS(Weight!$C$6:$C$505,C363,Weight!$G$6:$G$505,"&gt;"&amp;G363))</f>
        <v/>
      </c>
      <c r="G363">
        <f>IF(OR(B363="",C363="",D363=""),"",B363+ROW()/10000000)</f>
        <v/>
      </c>
    </row>
    <row r="364">
      <c r="A364" s="1" t="n"/>
      <c r="B364" s="24" t="n"/>
      <c r="C364" s="22" t="n"/>
      <c r="D364" s="33" t="n"/>
      <c r="E364" s="23" t="n"/>
      <c r="F364" s="1">
        <f>IF(G364="","",COUNTIFS(Weight!$C$6:$C$505,C364,Weight!$G$6:$G$505,"&gt;"&amp;G364))</f>
        <v/>
      </c>
      <c r="G364">
        <f>IF(OR(B364="",C364="",D364=""),"",B364+ROW()/10000000)</f>
        <v/>
      </c>
    </row>
    <row r="365">
      <c r="A365" s="1" t="n"/>
      <c r="B365" s="24" t="n"/>
      <c r="C365" s="22" t="n"/>
      <c r="D365" s="33" t="n"/>
      <c r="E365" s="23" t="n"/>
      <c r="F365" s="1">
        <f>IF(G365="","",COUNTIFS(Weight!$C$6:$C$505,C365,Weight!$G$6:$G$505,"&gt;"&amp;G365))</f>
        <v/>
      </c>
      <c r="G365">
        <f>IF(OR(B365="",C365="",D365=""),"",B365+ROW()/10000000)</f>
        <v/>
      </c>
    </row>
    <row r="366">
      <c r="A366" s="1" t="n"/>
      <c r="B366" s="24" t="n"/>
      <c r="C366" s="22" t="n"/>
      <c r="D366" s="33" t="n"/>
      <c r="E366" s="23" t="n"/>
      <c r="F366" s="1">
        <f>IF(G366="","",COUNTIFS(Weight!$C$6:$C$505,C366,Weight!$G$6:$G$505,"&gt;"&amp;G366))</f>
        <v/>
      </c>
      <c r="G366">
        <f>IF(OR(B366="",C366="",D366=""),"",B366+ROW()/10000000)</f>
        <v/>
      </c>
    </row>
    <row r="367">
      <c r="A367" s="1" t="n"/>
      <c r="B367" s="24" t="n"/>
      <c r="C367" s="22" t="n"/>
      <c r="D367" s="33" t="n"/>
      <c r="E367" s="23" t="n"/>
      <c r="F367" s="1">
        <f>IF(G367="","",COUNTIFS(Weight!$C$6:$C$505,C367,Weight!$G$6:$G$505,"&gt;"&amp;G367))</f>
        <v/>
      </c>
      <c r="G367">
        <f>IF(OR(B367="",C367="",D367=""),"",B367+ROW()/10000000)</f>
        <v/>
      </c>
    </row>
    <row r="368">
      <c r="A368" s="1" t="n"/>
      <c r="B368" s="24" t="n"/>
      <c r="C368" s="22" t="n"/>
      <c r="D368" s="33" t="n"/>
      <c r="E368" s="23" t="n"/>
      <c r="F368" s="1">
        <f>IF(G368="","",COUNTIFS(Weight!$C$6:$C$505,C368,Weight!$G$6:$G$505,"&gt;"&amp;G368))</f>
        <v/>
      </c>
      <c r="G368">
        <f>IF(OR(B368="",C368="",D368=""),"",B368+ROW()/10000000)</f>
        <v/>
      </c>
    </row>
    <row r="369">
      <c r="A369" s="1" t="n"/>
      <c r="B369" s="24" t="n"/>
      <c r="C369" s="22" t="n"/>
      <c r="D369" s="33" t="n"/>
      <c r="E369" s="23" t="n"/>
      <c r="F369" s="1">
        <f>IF(G369="","",COUNTIFS(Weight!$C$6:$C$505,C369,Weight!$G$6:$G$505,"&gt;"&amp;G369))</f>
        <v/>
      </c>
      <c r="G369">
        <f>IF(OR(B369="",C369="",D369=""),"",B369+ROW()/10000000)</f>
        <v/>
      </c>
    </row>
    <row r="370">
      <c r="A370" s="1" t="n"/>
      <c r="B370" s="24" t="n"/>
      <c r="C370" s="22" t="n"/>
      <c r="D370" s="33" t="n"/>
      <c r="E370" s="23" t="n"/>
      <c r="F370" s="1">
        <f>IF(G370="","",COUNTIFS(Weight!$C$6:$C$505,C370,Weight!$G$6:$G$505,"&gt;"&amp;G370))</f>
        <v/>
      </c>
      <c r="G370">
        <f>IF(OR(B370="",C370="",D370=""),"",B370+ROW()/10000000)</f>
        <v/>
      </c>
    </row>
    <row r="371">
      <c r="A371" s="1" t="n"/>
      <c r="B371" s="24" t="n"/>
      <c r="C371" s="22" t="n"/>
      <c r="D371" s="33" t="n"/>
      <c r="E371" s="23" t="n"/>
      <c r="F371" s="1">
        <f>IF(G371="","",COUNTIFS(Weight!$C$6:$C$505,C371,Weight!$G$6:$G$505,"&gt;"&amp;G371))</f>
        <v/>
      </c>
      <c r="G371">
        <f>IF(OR(B371="",C371="",D371=""),"",B371+ROW()/10000000)</f>
        <v/>
      </c>
    </row>
    <row r="372">
      <c r="A372" s="1" t="n"/>
      <c r="B372" s="24" t="n"/>
      <c r="C372" s="22" t="n"/>
      <c r="D372" s="33" t="n"/>
      <c r="E372" s="23" t="n"/>
      <c r="F372" s="1">
        <f>IF(G372="","",COUNTIFS(Weight!$C$6:$C$505,C372,Weight!$G$6:$G$505,"&gt;"&amp;G372))</f>
        <v/>
      </c>
      <c r="G372">
        <f>IF(OR(B372="",C372="",D372=""),"",B372+ROW()/10000000)</f>
        <v/>
      </c>
    </row>
    <row r="373">
      <c r="A373" s="1" t="n"/>
      <c r="B373" s="24" t="n"/>
      <c r="C373" s="22" t="n"/>
      <c r="D373" s="33" t="n"/>
      <c r="E373" s="23" t="n"/>
      <c r="F373" s="1">
        <f>IF(G373="","",COUNTIFS(Weight!$C$6:$C$505,C373,Weight!$G$6:$G$505,"&gt;"&amp;G373))</f>
        <v/>
      </c>
      <c r="G373">
        <f>IF(OR(B373="",C373="",D373=""),"",B373+ROW()/10000000)</f>
        <v/>
      </c>
    </row>
    <row r="374">
      <c r="A374" s="1" t="n"/>
      <c r="B374" s="24" t="n"/>
      <c r="C374" s="22" t="n"/>
      <c r="D374" s="33" t="n"/>
      <c r="E374" s="23" t="n"/>
      <c r="F374" s="1">
        <f>IF(G374="","",COUNTIFS(Weight!$C$6:$C$505,C374,Weight!$G$6:$G$505,"&gt;"&amp;G374))</f>
        <v/>
      </c>
      <c r="G374">
        <f>IF(OR(B374="",C374="",D374=""),"",B374+ROW()/10000000)</f>
        <v/>
      </c>
    </row>
    <row r="375">
      <c r="A375" s="1" t="n"/>
      <c r="B375" s="24" t="n"/>
      <c r="C375" s="22" t="n"/>
      <c r="D375" s="33" t="n"/>
      <c r="E375" s="23" t="n"/>
      <c r="F375" s="1">
        <f>IF(G375="","",COUNTIFS(Weight!$C$6:$C$505,C375,Weight!$G$6:$G$505,"&gt;"&amp;G375))</f>
        <v/>
      </c>
      <c r="G375">
        <f>IF(OR(B375="",C375="",D375=""),"",B375+ROW()/10000000)</f>
        <v/>
      </c>
    </row>
    <row r="376">
      <c r="A376" s="1" t="n"/>
      <c r="B376" s="24" t="n"/>
      <c r="C376" s="22" t="n"/>
      <c r="D376" s="33" t="n"/>
      <c r="E376" s="23" t="n"/>
      <c r="F376" s="1">
        <f>IF(G376="","",COUNTIFS(Weight!$C$6:$C$505,C376,Weight!$G$6:$G$505,"&gt;"&amp;G376))</f>
        <v/>
      </c>
      <c r="G376">
        <f>IF(OR(B376="",C376="",D376=""),"",B376+ROW()/10000000)</f>
        <v/>
      </c>
    </row>
    <row r="377">
      <c r="A377" s="1" t="n"/>
      <c r="B377" s="24" t="n"/>
      <c r="C377" s="22" t="n"/>
      <c r="D377" s="33" t="n"/>
      <c r="E377" s="23" t="n"/>
      <c r="F377" s="1">
        <f>IF(G377="","",COUNTIFS(Weight!$C$6:$C$505,C377,Weight!$G$6:$G$505,"&gt;"&amp;G377))</f>
        <v/>
      </c>
      <c r="G377">
        <f>IF(OR(B377="",C377="",D377=""),"",B377+ROW()/10000000)</f>
        <v/>
      </c>
    </row>
    <row r="378">
      <c r="A378" s="1" t="n"/>
      <c r="B378" s="24" t="n"/>
      <c r="C378" s="22" t="n"/>
      <c r="D378" s="33" t="n"/>
      <c r="E378" s="23" t="n"/>
      <c r="F378" s="1">
        <f>IF(G378="","",COUNTIFS(Weight!$C$6:$C$505,C378,Weight!$G$6:$G$505,"&gt;"&amp;G378))</f>
        <v/>
      </c>
      <c r="G378">
        <f>IF(OR(B378="",C378="",D378=""),"",B378+ROW()/10000000)</f>
        <v/>
      </c>
    </row>
    <row r="379">
      <c r="A379" s="1" t="n"/>
      <c r="B379" s="24" t="n"/>
      <c r="C379" s="22" t="n"/>
      <c r="D379" s="33" t="n"/>
      <c r="E379" s="23" t="n"/>
      <c r="F379" s="1">
        <f>IF(G379="","",COUNTIFS(Weight!$C$6:$C$505,C379,Weight!$G$6:$G$505,"&gt;"&amp;G379))</f>
        <v/>
      </c>
      <c r="G379">
        <f>IF(OR(B379="",C379="",D379=""),"",B379+ROW()/10000000)</f>
        <v/>
      </c>
    </row>
    <row r="380">
      <c r="A380" s="1" t="n"/>
      <c r="B380" s="24" t="n"/>
      <c r="C380" s="22" t="n"/>
      <c r="D380" s="33" t="n"/>
      <c r="E380" s="23" t="n"/>
      <c r="F380" s="1">
        <f>IF(G380="","",COUNTIFS(Weight!$C$6:$C$505,C380,Weight!$G$6:$G$505,"&gt;"&amp;G380))</f>
        <v/>
      </c>
      <c r="G380">
        <f>IF(OR(B380="",C380="",D380=""),"",B380+ROW()/10000000)</f>
        <v/>
      </c>
    </row>
    <row r="381">
      <c r="A381" s="1" t="n"/>
      <c r="B381" s="24" t="n"/>
      <c r="C381" s="22" t="n"/>
      <c r="D381" s="33" t="n"/>
      <c r="E381" s="23" t="n"/>
      <c r="F381" s="1">
        <f>IF(G381="","",COUNTIFS(Weight!$C$6:$C$505,C381,Weight!$G$6:$G$505,"&gt;"&amp;G381))</f>
        <v/>
      </c>
      <c r="G381">
        <f>IF(OR(B381="",C381="",D381=""),"",B381+ROW()/10000000)</f>
        <v/>
      </c>
    </row>
    <row r="382">
      <c r="A382" s="1" t="n"/>
      <c r="B382" s="24" t="n"/>
      <c r="C382" s="22" t="n"/>
      <c r="D382" s="33" t="n"/>
      <c r="E382" s="23" t="n"/>
      <c r="F382" s="1">
        <f>IF(G382="","",COUNTIFS(Weight!$C$6:$C$505,C382,Weight!$G$6:$G$505,"&gt;"&amp;G382))</f>
        <v/>
      </c>
      <c r="G382">
        <f>IF(OR(B382="",C382="",D382=""),"",B382+ROW()/10000000)</f>
        <v/>
      </c>
    </row>
    <row r="383">
      <c r="A383" s="1" t="n"/>
      <c r="B383" s="24" t="n"/>
      <c r="C383" s="22" t="n"/>
      <c r="D383" s="33" t="n"/>
      <c r="E383" s="23" t="n"/>
      <c r="F383" s="1">
        <f>IF(G383="","",COUNTIFS(Weight!$C$6:$C$505,C383,Weight!$G$6:$G$505,"&gt;"&amp;G383))</f>
        <v/>
      </c>
      <c r="G383">
        <f>IF(OR(B383="",C383="",D383=""),"",B383+ROW()/10000000)</f>
        <v/>
      </c>
    </row>
    <row r="384">
      <c r="A384" s="1" t="n"/>
      <c r="B384" s="24" t="n"/>
      <c r="C384" s="22" t="n"/>
      <c r="D384" s="33" t="n"/>
      <c r="E384" s="23" t="n"/>
      <c r="F384" s="1">
        <f>IF(G384="","",COUNTIFS(Weight!$C$6:$C$505,C384,Weight!$G$6:$G$505,"&gt;"&amp;G384))</f>
        <v/>
      </c>
      <c r="G384">
        <f>IF(OR(B384="",C384="",D384=""),"",B384+ROW()/10000000)</f>
        <v/>
      </c>
    </row>
    <row r="385">
      <c r="A385" s="1" t="n"/>
      <c r="B385" s="24" t="n"/>
      <c r="C385" s="22" t="n"/>
      <c r="D385" s="33" t="n"/>
      <c r="E385" s="23" t="n"/>
      <c r="F385" s="1">
        <f>IF(G385="","",COUNTIFS(Weight!$C$6:$C$505,C385,Weight!$G$6:$G$505,"&gt;"&amp;G385))</f>
        <v/>
      </c>
      <c r="G385">
        <f>IF(OR(B385="",C385="",D385=""),"",B385+ROW()/10000000)</f>
        <v/>
      </c>
    </row>
    <row r="386">
      <c r="A386" s="1" t="n"/>
      <c r="B386" s="24" t="n"/>
      <c r="C386" s="22" t="n"/>
      <c r="D386" s="33" t="n"/>
      <c r="E386" s="23" t="n"/>
      <c r="F386" s="1">
        <f>IF(G386="","",COUNTIFS(Weight!$C$6:$C$505,C386,Weight!$G$6:$G$505,"&gt;"&amp;G386))</f>
        <v/>
      </c>
      <c r="G386">
        <f>IF(OR(B386="",C386="",D386=""),"",B386+ROW()/10000000)</f>
        <v/>
      </c>
    </row>
    <row r="387">
      <c r="A387" s="1" t="n"/>
      <c r="B387" s="24" t="n"/>
      <c r="C387" s="22" t="n"/>
      <c r="D387" s="33" t="n"/>
      <c r="E387" s="23" t="n"/>
      <c r="F387" s="1">
        <f>IF(G387="","",COUNTIFS(Weight!$C$6:$C$505,C387,Weight!$G$6:$G$505,"&gt;"&amp;G387))</f>
        <v/>
      </c>
      <c r="G387">
        <f>IF(OR(B387="",C387="",D387=""),"",B387+ROW()/10000000)</f>
        <v/>
      </c>
    </row>
    <row r="388">
      <c r="A388" s="1" t="n"/>
      <c r="B388" s="24" t="n"/>
      <c r="C388" s="22" t="n"/>
      <c r="D388" s="33" t="n"/>
      <c r="E388" s="23" t="n"/>
      <c r="F388" s="1">
        <f>IF(G388="","",COUNTIFS(Weight!$C$6:$C$505,C388,Weight!$G$6:$G$505,"&gt;"&amp;G388))</f>
        <v/>
      </c>
      <c r="G388">
        <f>IF(OR(B388="",C388="",D388=""),"",B388+ROW()/10000000)</f>
        <v/>
      </c>
    </row>
    <row r="389">
      <c r="A389" s="1" t="n"/>
      <c r="B389" s="24" t="n"/>
      <c r="C389" s="22" t="n"/>
      <c r="D389" s="33" t="n"/>
      <c r="E389" s="23" t="n"/>
      <c r="F389" s="1">
        <f>IF(G389="","",COUNTIFS(Weight!$C$6:$C$505,C389,Weight!$G$6:$G$505,"&gt;"&amp;G389))</f>
        <v/>
      </c>
      <c r="G389">
        <f>IF(OR(B389="",C389="",D389=""),"",B389+ROW()/10000000)</f>
        <v/>
      </c>
    </row>
    <row r="390">
      <c r="A390" s="1" t="n"/>
      <c r="B390" s="24" t="n"/>
      <c r="C390" s="22" t="n"/>
      <c r="D390" s="33" t="n"/>
      <c r="E390" s="23" t="n"/>
      <c r="F390" s="1">
        <f>IF(G390="","",COUNTIFS(Weight!$C$6:$C$505,C390,Weight!$G$6:$G$505,"&gt;"&amp;G390))</f>
        <v/>
      </c>
      <c r="G390">
        <f>IF(OR(B390="",C390="",D390=""),"",B390+ROW()/10000000)</f>
        <v/>
      </c>
    </row>
    <row r="391">
      <c r="A391" s="1" t="n"/>
      <c r="B391" s="24" t="n"/>
      <c r="C391" s="22" t="n"/>
      <c r="D391" s="33" t="n"/>
      <c r="E391" s="23" t="n"/>
      <c r="F391" s="1">
        <f>IF(G391="","",COUNTIFS(Weight!$C$6:$C$505,C391,Weight!$G$6:$G$505,"&gt;"&amp;G391))</f>
        <v/>
      </c>
      <c r="G391">
        <f>IF(OR(B391="",C391="",D391=""),"",B391+ROW()/10000000)</f>
        <v/>
      </c>
    </row>
    <row r="392">
      <c r="A392" s="1" t="n"/>
      <c r="B392" s="24" t="n"/>
      <c r="C392" s="22" t="n"/>
      <c r="D392" s="33" t="n"/>
      <c r="E392" s="23" t="n"/>
      <c r="F392" s="1">
        <f>IF(G392="","",COUNTIFS(Weight!$C$6:$C$505,C392,Weight!$G$6:$G$505,"&gt;"&amp;G392))</f>
        <v/>
      </c>
      <c r="G392">
        <f>IF(OR(B392="",C392="",D392=""),"",B392+ROW()/10000000)</f>
        <v/>
      </c>
    </row>
    <row r="393">
      <c r="A393" s="1" t="n"/>
      <c r="B393" s="24" t="n"/>
      <c r="C393" s="22" t="n"/>
      <c r="D393" s="33" t="n"/>
      <c r="E393" s="23" t="n"/>
      <c r="F393" s="1">
        <f>IF(G393="","",COUNTIFS(Weight!$C$6:$C$505,C393,Weight!$G$6:$G$505,"&gt;"&amp;G393))</f>
        <v/>
      </c>
      <c r="G393">
        <f>IF(OR(B393="",C393="",D393=""),"",B393+ROW()/10000000)</f>
        <v/>
      </c>
    </row>
    <row r="394">
      <c r="A394" s="1" t="n"/>
      <c r="B394" s="24" t="n"/>
      <c r="C394" s="22" t="n"/>
      <c r="D394" s="33" t="n"/>
      <c r="E394" s="23" t="n"/>
      <c r="F394" s="1">
        <f>IF(G394="","",COUNTIFS(Weight!$C$6:$C$505,C394,Weight!$G$6:$G$505,"&gt;"&amp;G394))</f>
        <v/>
      </c>
      <c r="G394">
        <f>IF(OR(B394="",C394="",D394=""),"",B394+ROW()/10000000)</f>
        <v/>
      </c>
    </row>
    <row r="395">
      <c r="A395" s="1" t="n"/>
      <c r="B395" s="24" t="n"/>
      <c r="C395" s="22" t="n"/>
      <c r="D395" s="33" t="n"/>
      <c r="E395" s="23" t="n"/>
      <c r="F395" s="1">
        <f>IF(G395="","",COUNTIFS(Weight!$C$6:$C$505,C395,Weight!$G$6:$G$505,"&gt;"&amp;G395))</f>
        <v/>
      </c>
      <c r="G395">
        <f>IF(OR(B395="",C395="",D395=""),"",B395+ROW()/10000000)</f>
        <v/>
      </c>
    </row>
    <row r="396">
      <c r="A396" s="1" t="n"/>
      <c r="B396" s="24" t="n"/>
      <c r="C396" s="22" t="n"/>
      <c r="D396" s="33" t="n"/>
      <c r="E396" s="23" t="n"/>
      <c r="F396" s="1">
        <f>IF(G396="","",COUNTIFS(Weight!$C$6:$C$505,C396,Weight!$G$6:$G$505,"&gt;"&amp;G396))</f>
        <v/>
      </c>
      <c r="G396">
        <f>IF(OR(B396="",C396="",D396=""),"",B396+ROW()/10000000)</f>
        <v/>
      </c>
    </row>
    <row r="397">
      <c r="A397" s="1" t="n"/>
      <c r="B397" s="24" t="n"/>
      <c r="C397" s="22" t="n"/>
      <c r="D397" s="33" t="n"/>
      <c r="E397" s="23" t="n"/>
      <c r="F397" s="1">
        <f>IF(G397="","",COUNTIFS(Weight!$C$6:$C$505,C397,Weight!$G$6:$G$505,"&gt;"&amp;G397))</f>
        <v/>
      </c>
      <c r="G397">
        <f>IF(OR(B397="",C397="",D397=""),"",B397+ROW()/10000000)</f>
        <v/>
      </c>
    </row>
    <row r="398">
      <c r="A398" s="1" t="n"/>
      <c r="B398" s="24" t="n"/>
      <c r="C398" s="22" t="n"/>
      <c r="D398" s="33" t="n"/>
      <c r="E398" s="23" t="n"/>
      <c r="F398" s="1">
        <f>IF(G398="","",COUNTIFS(Weight!$C$6:$C$505,C398,Weight!$G$6:$G$505,"&gt;"&amp;G398))</f>
        <v/>
      </c>
      <c r="G398">
        <f>IF(OR(B398="",C398="",D398=""),"",B398+ROW()/10000000)</f>
        <v/>
      </c>
    </row>
    <row r="399">
      <c r="A399" s="1" t="n"/>
      <c r="B399" s="24" t="n"/>
      <c r="C399" s="22" t="n"/>
      <c r="D399" s="33" t="n"/>
      <c r="E399" s="23" t="n"/>
      <c r="F399" s="1">
        <f>IF(G399="","",COUNTIFS(Weight!$C$6:$C$505,C399,Weight!$G$6:$G$505,"&gt;"&amp;G399))</f>
        <v/>
      </c>
      <c r="G399">
        <f>IF(OR(B399="",C399="",D399=""),"",B399+ROW()/10000000)</f>
        <v/>
      </c>
    </row>
    <row r="400">
      <c r="A400" s="1" t="n"/>
      <c r="B400" s="24" t="n"/>
      <c r="C400" s="22" t="n"/>
      <c r="D400" s="33" t="n"/>
      <c r="E400" s="23" t="n"/>
      <c r="F400" s="1">
        <f>IF(G400="","",COUNTIFS(Weight!$C$6:$C$505,C400,Weight!$G$6:$G$505,"&gt;"&amp;G400))</f>
        <v/>
      </c>
      <c r="G400">
        <f>IF(OR(B400="",C400="",D400=""),"",B400+ROW()/10000000)</f>
        <v/>
      </c>
    </row>
    <row r="401">
      <c r="A401" s="1" t="n"/>
      <c r="B401" s="24" t="n"/>
      <c r="C401" s="22" t="n"/>
      <c r="D401" s="33" t="n"/>
      <c r="E401" s="23" t="n"/>
      <c r="F401" s="1">
        <f>IF(G401="","",COUNTIFS(Weight!$C$6:$C$505,C401,Weight!$G$6:$G$505,"&gt;"&amp;G401))</f>
        <v/>
      </c>
      <c r="G401">
        <f>IF(OR(B401="",C401="",D401=""),"",B401+ROW()/10000000)</f>
        <v/>
      </c>
    </row>
    <row r="402">
      <c r="A402" s="1" t="n"/>
      <c r="B402" s="24" t="n"/>
      <c r="C402" s="22" t="n"/>
      <c r="D402" s="33" t="n"/>
      <c r="E402" s="23" t="n"/>
      <c r="F402" s="1">
        <f>IF(G402="","",COUNTIFS(Weight!$C$6:$C$505,C402,Weight!$G$6:$G$505,"&gt;"&amp;G402))</f>
        <v/>
      </c>
      <c r="G402">
        <f>IF(OR(B402="",C402="",D402=""),"",B402+ROW()/10000000)</f>
        <v/>
      </c>
    </row>
    <row r="403">
      <c r="A403" s="1" t="n"/>
      <c r="B403" s="24" t="n"/>
      <c r="C403" s="22" t="n"/>
      <c r="D403" s="33" t="n"/>
      <c r="E403" s="23" t="n"/>
      <c r="F403" s="1">
        <f>IF(G403="","",COUNTIFS(Weight!$C$6:$C$505,C403,Weight!$G$6:$G$505,"&gt;"&amp;G403))</f>
        <v/>
      </c>
      <c r="G403">
        <f>IF(OR(B403="",C403="",D403=""),"",B403+ROW()/10000000)</f>
        <v/>
      </c>
    </row>
    <row r="404">
      <c r="A404" s="1" t="n"/>
      <c r="B404" s="24" t="n"/>
      <c r="C404" s="22" t="n"/>
      <c r="D404" s="33" t="n"/>
      <c r="E404" s="23" t="n"/>
      <c r="F404" s="1">
        <f>IF(G404="","",COUNTIFS(Weight!$C$6:$C$505,C404,Weight!$G$6:$G$505,"&gt;"&amp;G404))</f>
        <v/>
      </c>
      <c r="G404">
        <f>IF(OR(B404="",C404="",D404=""),"",B404+ROW()/10000000)</f>
        <v/>
      </c>
    </row>
    <row r="405">
      <c r="A405" s="1" t="n"/>
      <c r="B405" s="24" t="n"/>
      <c r="C405" s="22" t="n"/>
      <c r="D405" s="33" t="n"/>
      <c r="E405" s="23" t="n"/>
      <c r="F405" s="1">
        <f>IF(G405="","",COUNTIFS(Weight!$C$6:$C$505,C405,Weight!$G$6:$G$505,"&gt;"&amp;G405))</f>
        <v/>
      </c>
      <c r="G405">
        <f>IF(OR(B405="",C405="",D405=""),"",B405+ROW()/10000000)</f>
        <v/>
      </c>
    </row>
    <row r="406">
      <c r="A406" s="1" t="n"/>
      <c r="B406" s="24" t="n"/>
      <c r="C406" s="22" t="n"/>
      <c r="D406" s="33" t="n"/>
      <c r="E406" s="23" t="n"/>
      <c r="F406" s="1">
        <f>IF(G406="","",COUNTIFS(Weight!$C$6:$C$505,C406,Weight!$G$6:$G$505,"&gt;"&amp;G406))</f>
        <v/>
      </c>
      <c r="G406">
        <f>IF(OR(B406="",C406="",D406=""),"",B406+ROW()/10000000)</f>
        <v/>
      </c>
    </row>
    <row r="407">
      <c r="A407" s="1" t="n"/>
      <c r="B407" s="24" t="n"/>
      <c r="C407" s="22" t="n"/>
      <c r="D407" s="33" t="n"/>
      <c r="E407" s="23" t="n"/>
      <c r="F407" s="1">
        <f>IF(G407="","",COUNTIFS(Weight!$C$6:$C$505,C407,Weight!$G$6:$G$505,"&gt;"&amp;G407))</f>
        <v/>
      </c>
      <c r="G407">
        <f>IF(OR(B407="",C407="",D407=""),"",B407+ROW()/10000000)</f>
        <v/>
      </c>
    </row>
    <row r="408">
      <c r="A408" s="1" t="n"/>
      <c r="B408" s="24" t="n"/>
      <c r="C408" s="22" t="n"/>
      <c r="D408" s="33" t="n"/>
      <c r="E408" s="23" t="n"/>
      <c r="F408" s="1">
        <f>IF(G408="","",COUNTIFS(Weight!$C$6:$C$505,C408,Weight!$G$6:$G$505,"&gt;"&amp;G408))</f>
        <v/>
      </c>
      <c r="G408">
        <f>IF(OR(B408="",C408="",D408=""),"",B408+ROW()/10000000)</f>
        <v/>
      </c>
    </row>
    <row r="409">
      <c r="A409" s="1" t="n"/>
      <c r="B409" s="24" t="n"/>
      <c r="C409" s="22" t="n"/>
      <c r="D409" s="33" t="n"/>
      <c r="E409" s="23" t="n"/>
      <c r="F409" s="1">
        <f>IF(G409="","",COUNTIFS(Weight!$C$6:$C$505,C409,Weight!$G$6:$G$505,"&gt;"&amp;G409))</f>
        <v/>
      </c>
      <c r="G409">
        <f>IF(OR(B409="",C409="",D409=""),"",B409+ROW()/10000000)</f>
        <v/>
      </c>
    </row>
    <row r="410">
      <c r="A410" s="1" t="n"/>
      <c r="B410" s="24" t="n"/>
      <c r="C410" s="22" t="n"/>
      <c r="D410" s="33" t="n"/>
      <c r="E410" s="23" t="n"/>
      <c r="F410" s="1">
        <f>IF(G410="","",COUNTIFS(Weight!$C$6:$C$505,C410,Weight!$G$6:$G$505,"&gt;"&amp;G410))</f>
        <v/>
      </c>
      <c r="G410">
        <f>IF(OR(B410="",C410="",D410=""),"",B410+ROW()/10000000)</f>
        <v/>
      </c>
    </row>
    <row r="411">
      <c r="A411" s="1" t="n"/>
      <c r="B411" s="24" t="n"/>
      <c r="C411" s="22" t="n"/>
      <c r="D411" s="33" t="n"/>
      <c r="E411" s="23" t="n"/>
      <c r="F411" s="1">
        <f>IF(G411="","",COUNTIFS(Weight!$C$6:$C$505,C411,Weight!$G$6:$G$505,"&gt;"&amp;G411))</f>
        <v/>
      </c>
      <c r="G411">
        <f>IF(OR(B411="",C411="",D411=""),"",B411+ROW()/10000000)</f>
        <v/>
      </c>
    </row>
    <row r="412">
      <c r="A412" s="1" t="n"/>
      <c r="B412" s="24" t="n"/>
      <c r="C412" s="22" t="n"/>
      <c r="D412" s="33" t="n"/>
      <c r="E412" s="23" t="n"/>
      <c r="F412" s="1">
        <f>IF(G412="","",COUNTIFS(Weight!$C$6:$C$505,C412,Weight!$G$6:$G$505,"&gt;"&amp;G412))</f>
        <v/>
      </c>
      <c r="G412">
        <f>IF(OR(B412="",C412="",D412=""),"",B412+ROW()/10000000)</f>
        <v/>
      </c>
    </row>
    <row r="413">
      <c r="A413" s="1" t="n"/>
      <c r="B413" s="24" t="n"/>
      <c r="C413" s="22" t="n"/>
      <c r="D413" s="33" t="n"/>
      <c r="E413" s="23" t="n"/>
      <c r="F413" s="1">
        <f>IF(G413="","",COUNTIFS(Weight!$C$6:$C$505,C413,Weight!$G$6:$G$505,"&gt;"&amp;G413))</f>
        <v/>
      </c>
      <c r="G413">
        <f>IF(OR(B413="",C413="",D413=""),"",B413+ROW()/10000000)</f>
        <v/>
      </c>
    </row>
    <row r="414">
      <c r="A414" s="1" t="n"/>
      <c r="B414" s="24" t="n"/>
      <c r="C414" s="22" t="n"/>
      <c r="D414" s="33" t="n"/>
      <c r="E414" s="23" t="n"/>
      <c r="F414" s="1">
        <f>IF(G414="","",COUNTIFS(Weight!$C$6:$C$505,C414,Weight!$G$6:$G$505,"&gt;"&amp;G414))</f>
        <v/>
      </c>
      <c r="G414">
        <f>IF(OR(B414="",C414="",D414=""),"",B414+ROW()/10000000)</f>
        <v/>
      </c>
    </row>
    <row r="415">
      <c r="A415" s="1" t="n"/>
      <c r="B415" s="24" t="n"/>
      <c r="C415" s="22" t="n"/>
      <c r="D415" s="33" t="n"/>
      <c r="E415" s="23" t="n"/>
      <c r="F415" s="1">
        <f>IF(G415="","",COUNTIFS(Weight!$C$6:$C$505,C415,Weight!$G$6:$G$505,"&gt;"&amp;G415))</f>
        <v/>
      </c>
      <c r="G415">
        <f>IF(OR(B415="",C415="",D415=""),"",B415+ROW()/10000000)</f>
        <v/>
      </c>
    </row>
    <row r="416">
      <c r="A416" s="1" t="n"/>
      <c r="B416" s="24" t="n"/>
      <c r="C416" s="22" t="n"/>
      <c r="D416" s="33" t="n"/>
      <c r="E416" s="23" t="n"/>
      <c r="F416" s="1">
        <f>IF(G416="","",COUNTIFS(Weight!$C$6:$C$505,C416,Weight!$G$6:$G$505,"&gt;"&amp;G416))</f>
        <v/>
      </c>
      <c r="G416">
        <f>IF(OR(B416="",C416="",D416=""),"",B416+ROW()/10000000)</f>
        <v/>
      </c>
    </row>
    <row r="417">
      <c r="A417" s="1" t="n"/>
      <c r="B417" s="24" t="n"/>
      <c r="C417" s="22" t="n"/>
      <c r="D417" s="33" t="n"/>
      <c r="E417" s="23" t="n"/>
      <c r="F417" s="1">
        <f>IF(G417="","",COUNTIFS(Weight!$C$6:$C$505,C417,Weight!$G$6:$G$505,"&gt;"&amp;G417))</f>
        <v/>
      </c>
      <c r="G417">
        <f>IF(OR(B417="",C417="",D417=""),"",B417+ROW()/10000000)</f>
        <v/>
      </c>
    </row>
    <row r="418">
      <c r="A418" s="1" t="n"/>
      <c r="B418" s="24" t="n"/>
      <c r="C418" s="22" t="n"/>
      <c r="D418" s="33" t="n"/>
      <c r="E418" s="23" t="n"/>
      <c r="F418" s="1">
        <f>IF(G418="","",COUNTIFS(Weight!$C$6:$C$505,C418,Weight!$G$6:$G$505,"&gt;"&amp;G418))</f>
        <v/>
      </c>
      <c r="G418">
        <f>IF(OR(B418="",C418="",D418=""),"",B418+ROW()/10000000)</f>
        <v/>
      </c>
    </row>
    <row r="419">
      <c r="A419" s="1" t="n"/>
      <c r="B419" s="24" t="n"/>
      <c r="C419" s="22" t="n"/>
      <c r="D419" s="33" t="n"/>
      <c r="E419" s="23" t="n"/>
      <c r="F419" s="1">
        <f>IF(G419="","",COUNTIFS(Weight!$C$6:$C$505,C419,Weight!$G$6:$G$505,"&gt;"&amp;G419))</f>
        <v/>
      </c>
      <c r="G419">
        <f>IF(OR(B419="",C419="",D419=""),"",B419+ROW()/10000000)</f>
        <v/>
      </c>
    </row>
    <row r="420">
      <c r="A420" s="1" t="n"/>
      <c r="B420" s="24" t="n"/>
      <c r="C420" s="22" t="n"/>
      <c r="D420" s="33" t="n"/>
      <c r="E420" s="23" t="n"/>
      <c r="F420" s="1">
        <f>IF(G420="","",COUNTIFS(Weight!$C$6:$C$505,C420,Weight!$G$6:$G$505,"&gt;"&amp;G420))</f>
        <v/>
      </c>
      <c r="G420">
        <f>IF(OR(B420="",C420="",D420=""),"",B420+ROW()/10000000)</f>
        <v/>
      </c>
    </row>
    <row r="421">
      <c r="A421" s="1" t="n"/>
      <c r="B421" s="24" t="n"/>
      <c r="C421" s="22" t="n"/>
      <c r="D421" s="33" t="n"/>
      <c r="E421" s="23" t="n"/>
      <c r="F421" s="1">
        <f>IF(G421="","",COUNTIFS(Weight!$C$6:$C$505,C421,Weight!$G$6:$G$505,"&gt;"&amp;G421))</f>
        <v/>
      </c>
      <c r="G421">
        <f>IF(OR(B421="",C421="",D421=""),"",B421+ROW()/10000000)</f>
        <v/>
      </c>
    </row>
    <row r="422">
      <c r="A422" s="1" t="n"/>
      <c r="B422" s="24" t="n"/>
      <c r="C422" s="22" t="n"/>
      <c r="D422" s="33" t="n"/>
      <c r="E422" s="23" t="n"/>
      <c r="F422" s="1">
        <f>IF(G422="","",COUNTIFS(Weight!$C$6:$C$505,C422,Weight!$G$6:$G$505,"&gt;"&amp;G422))</f>
        <v/>
      </c>
      <c r="G422">
        <f>IF(OR(B422="",C422="",D422=""),"",B422+ROW()/10000000)</f>
        <v/>
      </c>
    </row>
    <row r="423">
      <c r="A423" s="1" t="n"/>
      <c r="B423" s="24" t="n"/>
      <c r="C423" s="22" t="n"/>
      <c r="D423" s="33" t="n"/>
      <c r="E423" s="23" t="n"/>
      <c r="F423" s="1">
        <f>IF(G423="","",COUNTIFS(Weight!$C$6:$C$505,C423,Weight!$G$6:$G$505,"&gt;"&amp;G423))</f>
        <v/>
      </c>
      <c r="G423">
        <f>IF(OR(B423="",C423="",D423=""),"",B423+ROW()/10000000)</f>
        <v/>
      </c>
    </row>
    <row r="424">
      <c r="A424" s="1" t="n"/>
      <c r="B424" s="24" t="n"/>
      <c r="C424" s="22" t="n"/>
      <c r="D424" s="33" t="n"/>
      <c r="E424" s="23" t="n"/>
      <c r="F424" s="1">
        <f>IF(G424="","",COUNTIFS(Weight!$C$6:$C$505,C424,Weight!$G$6:$G$505,"&gt;"&amp;G424))</f>
        <v/>
      </c>
      <c r="G424">
        <f>IF(OR(B424="",C424="",D424=""),"",B424+ROW()/10000000)</f>
        <v/>
      </c>
    </row>
    <row r="425">
      <c r="A425" s="1" t="n"/>
      <c r="B425" s="24" t="n"/>
      <c r="C425" s="22" t="n"/>
      <c r="D425" s="33" t="n"/>
      <c r="E425" s="23" t="n"/>
      <c r="F425" s="1">
        <f>IF(G425="","",COUNTIFS(Weight!$C$6:$C$505,C425,Weight!$G$6:$G$505,"&gt;"&amp;G425))</f>
        <v/>
      </c>
      <c r="G425">
        <f>IF(OR(B425="",C425="",D425=""),"",B425+ROW()/10000000)</f>
        <v/>
      </c>
    </row>
    <row r="426">
      <c r="A426" s="1" t="n"/>
      <c r="B426" s="24" t="n"/>
      <c r="C426" s="22" t="n"/>
      <c r="D426" s="33" t="n"/>
      <c r="E426" s="23" t="n"/>
      <c r="F426" s="1">
        <f>IF(G426="","",COUNTIFS(Weight!$C$6:$C$505,C426,Weight!$G$6:$G$505,"&gt;"&amp;G426))</f>
        <v/>
      </c>
      <c r="G426">
        <f>IF(OR(B426="",C426="",D426=""),"",B426+ROW()/10000000)</f>
        <v/>
      </c>
    </row>
    <row r="427">
      <c r="A427" s="1" t="n"/>
      <c r="B427" s="24" t="n"/>
      <c r="C427" s="22" t="n"/>
      <c r="D427" s="33" t="n"/>
      <c r="E427" s="23" t="n"/>
      <c r="F427" s="1">
        <f>IF(G427="","",COUNTIFS(Weight!$C$6:$C$505,C427,Weight!$G$6:$G$505,"&gt;"&amp;G427))</f>
        <v/>
      </c>
      <c r="G427">
        <f>IF(OR(B427="",C427="",D427=""),"",B427+ROW()/10000000)</f>
        <v/>
      </c>
    </row>
    <row r="428">
      <c r="A428" s="1" t="n"/>
      <c r="B428" s="24" t="n"/>
      <c r="C428" s="22" t="n"/>
      <c r="D428" s="33" t="n"/>
      <c r="E428" s="23" t="n"/>
      <c r="F428" s="1">
        <f>IF(G428="","",COUNTIFS(Weight!$C$6:$C$505,C428,Weight!$G$6:$G$505,"&gt;"&amp;G428))</f>
        <v/>
      </c>
      <c r="G428">
        <f>IF(OR(B428="",C428="",D428=""),"",B428+ROW()/10000000)</f>
        <v/>
      </c>
    </row>
    <row r="429">
      <c r="A429" s="1" t="n"/>
      <c r="B429" s="24" t="n"/>
      <c r="C429" s="22" t="n"/>
      <c r="D429" s="33" t="n"/>
      <c r="E429" s="23" t="n"/>
      <c r="F429" s="1">
        <f>IF(G429="","",COUNTIFS(Weight!$C$6:$C$505,C429,Weight!$G$6:$G$505,"&gt;"&amp;G429))</f>
        <v/>
      </c>
      <c r="G429">
        <f>IF(OR(B429="",C429="",D429=""),"",B429+ROW()/10000000)</f>
        <v/>
      </c>
    </row>
    <row r="430">
      <c r="A430" s="1" t="n"/>
      <c r="B430" s="24" t="n"/>
      <c r="C430" s="22" t="n"/>
      <c r="D430" s="33" t="n"/>
      <c r="E430" s="23" t="n"/>
      <c r="F430" s="1">
        <f>IF(G430="","",COUNTIFS(Weight!$C$6:$C$505,C430,Weight!$G$6:$G$505,"&gt;"&amp;G430))</f>
        <v/>
      </c>
      <c r="G430">
        <f>IF(OR(B430="",C430="",D430=""),"",B430+ROW()/10000000)</f>
        <v/>
      </c>
    </row>
    <row r="431">
      <c r="A431" s="1" t="n"/>
      <c r="B431" s="24" t="n"/>
      <c r="C431" s="22" t="n"/>
      <c r="D431" s="33" t="n"/>
      <c r="E431" s="23" t="n"/>
      <c r="F431" s="1">
        <f>IF(G431="","",COUNTIFS(Weight!$C$6:$C$505,C431,Weight!$G$6:$G$505,"&gt;"&amp;G431))</f>
        <v/>
      </c>
      <c r="G431">
        <f>IF(OR(B431="",C431="",D431=""),"",B431+ROW()/10000000)</f>
        <v/>
      </c>
    </row>
    <row r="432">
      <c r="A432" s="1" t="n"/>
      <c r="B432" s="24" t="n"/>
      <c r="C432" s="22" t="n"/>
      <c r="D432" s="33" t="n"/>
      <c r="E432" s="23" t="n"/>
      <c r="F432" s="1">
        <f>IF(G432="","",COUNTIFS(Weight!$C$6:$C$505,C432,Weight!$G$6:$G$505,"&gt;"&amp;G432))</f>
        <v/>
      </c>
      <c r="G432">
        <f>IF(OR(B432="",C432="",D432=""),"",B432+ROW()/10000000)</f>
        <v/>
      </c>
    </row>
    <row r="433">
      <c r="A433" s="1" t="n"/>
      <c r="B433" s="24" t="n"/>
      <c r="C433" s="22" t="n"/>
      <c r="D433" s="33" t="n"/>
      <c r="E433" s="23" t="n"/>
      <c r="F433" s="1">
        <f>IF(G433="","",COUNTIFS(Weight!$C$6:$C$505,C433,Weight!$G$6:$G$505,"&gt;"&amp;G433))</f>
        <v/>
      </c>
      <c r="G433">
        <f>IF(OR(B433="",C433="",D433=""),"",B433+ROW()/10000000)</f>
        <v/>
      </c>
    </row>
    <row r="434">
      <c r="A434" s="1" t="n"/>
      <c r="B434" s="24" t="n"/>
      <c r="C434" s="22" t="n"/>
      <c r="D434" s="33" t="n"/>
      <c r="E434" s="23" t="n"/>
      <c r="F434" s="1">
        <f>IF(G434="","",COUNTIFS(Weight!$C$6:$C$505,C434,Weight!$G$6:$G$505,"&gt;"&amp;G434))</f>
        <v/>
      </c>
      <c r="G434">
        <f>IF(OR(B434="",C434="",D434=""),"",B434+ROW()/10000000)</f>
        <v/>
      </c>
    </row>
    <row r="435">
      <c r="A435" s="1" t="n"/>
      <c r="B435" s="24" t="n"/>
      <c r="C435" s="22" t="n"/>
      <c r="D435" s="33" t="n"/>
      <c r="E435" s="23" t="n"/>
      <c r="F435" s="1">
        <f>IF(G435="","",COUNTIFS(Weight!$C$6:$C$505,C435,Weight!$G$6:$G$505,"&gt;"&amp;G435))</f>
        <v/>
      </c>
      <c r="G435">
        <f>IF(OR(B435="",C435="",D435=""),"",B435+ROW()/10000000)</f>
        <v/>
      </c>
    </row>
    <row r="436">
      <c r="A436" s="1" t="n"/>
      <c r="B436" s="24" t="n"/>
      <c r="C436" s="22" t="n"/>
      <c r="D436" s="33" t="n"/>
      <c r="E436" s="23" t="n"/>
      <c r="F436" s="1">
        <f>IF(G436="","",COUNTIFS(Weight!$C$6:$C$505,C436,Weight!$G$6:$G$505,"&gt;"&amp;G436))</f>
        <v/>
      </c>
      <c r="G436">
        <f>IF(OR(B436="",C436="",D436=""),"",B436+ROW()/10000000)</f>
        <v/>
      </c>
    </row>
    <row r="437">
      <c r="A437" s="1" t="n"/>
      <c r="B437" s="24" t="n"/>
      <c r="C437" s="22" t="n"/>
      <c r="D437" s="33" t="n"/>
      <c r="E437" s="23" t="n"/>
      <c r="F437" s="1">
        <f>IF(G437="","",COUNTIFS(Weight!$C$6:$C$505,C437,Weight!$G$6:$G$505,"&gt;"&amp;G437))</f>
        <v/>
      </c>
      <c r="G437">
        <f>IF(OR(B437="",C437="",D437=""),"",B437+ROW()/10000000)</f>
        <v/>
      </c>
    </row>
    <row r="438">
      <c r="A438" s="1" t="n"/>
      <c r="B438" s="24" t="n"/>
      <c r="C438" s="22" t="n"/>
      <c r="D438" s="33" t="n"/>
      <c r="E438" s="23" t="n"/>
      <c r="F438" s="1">
        <f>IF(G438="","",COUNTIFS(Weight!$C$6:$C$505,C438,Weight!$G$6:$G$505,"&gt;"&amp;G438))</f>
        <v/>
      </c>
      <c r="G438">
        <f>IF(OR(B438="",C438="",D438=""),"",B438+ROW()/10000000)</f>
        <v/>
      </c>
    </row>
    <row r="439">
      <c r="A439" s="1" t="n"/>
      <c r="B439" s="24" t="n"/>
      <c r="C439" s="22" t="n"/>
      <c r="D439" s="33" t="n"/>
      <c r="E439" s="23" t="n"/>
      <c r="F439" s="1">
        <f>IF(G439="","",COUNTIFS(Weight!$C$6:$C$505,C439,Weight!$G$6:$G$505,"&gt;"&amp;G439))</f>
        <v/>
      </c>
      <c r="G439">
        <f>IF(OR(B439="",C439="",D439=""),"",B439+ROW()/10000000)</f>
        <v/>
      </c>
    </row>
    <row r="440">
      <c r="A440" s="1" t="n"/>
      <c r="B440" s="24" t="n"/>
      <c r="C440" s="22" t="n"/>
      <c r="D440" s="33" t="n"/>
      <c r="E440" s="23" t="n"/>
      <c r="F440" s="1">
        <f>IF(G440="","",COUNTIFS(Weight!$C$6:$C$505,C440,Weight!$G$6:$G$505,"&gt;"&amp;G440))</f>
        <v/>
      </c>
      <c r="G440">
        <f>IF(OR(B440="",C440="",D440=""),"",B440+ROW()/10000000)</f>
        <v/>
      </c>
    </row>
    <row r="441">
      <c r="A441" s="1" t="n"/>
      <c r="B441" s="24" t="n"/>
      <c r="C441" s="22" t="n"/>
      <c r="D441" s="33" t="n"/>
      <c r="E441" s="23" t="n"/>
      <c r="F441" s="1">
        <f>IF(G441="","",COUNTIFS(Weight!$C$6:$C$505,C441,Weight!$G$6:$G$505,"&gt;"&amp;G441))</f>
        <v/>
      </c>
      <c r="G441">
        <f>IF(OR(B441="",C441="",D441=""),"",B441+ROW()/10000000)</f>
        <v/>
      </c>
    </row>
    <row r="442">
      <c r="A442" s="1" t="n"/>
      <c r="B442" s="24" t="n"/>
      <c r="C442" s="22" t="n"/>
      <c r="D442" s="33" t="n"/>
      <c r="E442" s="23" t="n"/>
      <c r="F442" s="1">
        <f>IF(G442="","",COUNTIFS(Weight!$C$6:$C$505,C442,Weight!$G$6:$G$505,"&gt;"&amp;G442))</f>
        <v/>
      </c>
      <c r="G442">
        <f>IF(OR(B442="",C442="",D442=""),"",B442+ROW()/10000000)</f>
        <v/>
      </c>
    </row>
    <row r="443">
      <c r="A443" s="1" t="n"/>
      <c r="B443" s="24" t="n"/>
      <c r="C443" s="22" t="n"/>
      <c r="D443" s="33" t="n"/>
      <c r="E443" s="23" t="n"/>
      <c r="F443" s="1">
        <f>IF(G443="","",COUNTIFS(Weight!$C$6:$C$505,C443,Weight!$G$6:$G$505,"&gt;"&amp;G443))</f>
        <v/>
      </c>
      <c r="G443">
        <f>IF(OR(B443="",C443="",D443=""),"",B443+ROW()/10000000)</f>
        <v/>
      </c>
    </row>
    <row r="444">
      <c r="A444" s="1" t="n"/>
      <c r="B444" s="24" t="n"/>
      <c r="C444" s="22" t="n"/>
      <c r="D444" s="33" t="n"/>
      <c r="E444" s="23" t="n"/>
      <c r="F444" s="1">
        <f>IF(G444="","",COUNTIFS(Weight!$C$6:$C$505,C444,Weight!$G$6:$G$505,"&gt;"&amp;G444))</f>
        <v/>
      </c>
      <c r="G444">
        <f>IF(OR(B444="",C444="",D444=""),"",B444+ROW()/10000000)</f>
        <v/>
      </c>
    </row>
    <row r="445">
      <c r="A445" s="1" t="n"/>
      <c r="B445" s="24" t="n"/>
      <c r="C445" s="22" t="n"/>
      <c r="D445" s="33" t="n"/>
      <c r="E445" s="23" t="n"/>
      <c r="F445" s="1">
        <f>IF(G445="","",COUNTIFS(Weight!$C$6:$C$505,C445,Weight!$G$6:$G$505,"&gt;"&amp;G445))</f>
        <v/>
      </c>
      <c r="G445">
        <f>IF(OR(B445="",C445="",D445=""),"",B445+ROW()/10000000)</f>
        <v/>
      </c>
    </row>
    <row r="446">
      <c r="A446" s="1" t="n"/>
      <c r="B446" s="24" t="n"/>
      <c r="C446" s="22" t="n"/>
      <c r="D446" s="33" t="n"/>
      <c r="E446" s="23" t="n"/>
      <c r="F446" s="1">
        <f>IF(G446="","",COUNTIFS(Weight!$C$6:$C$505,C446,Weight!$G$6:$G$505,"&gt;"&amp;G446))</f>
        <v/>
      </c>
      <c r="G446">
        <f>IF(OR(B446="",C446="",D446=""),"",B446+ROW()/10000000)</f>
        <v/>
      </c>
    </row>
    <row r="447">
      <c r="A447" s="1" t="n"/>
      <c r="B447" s="24" t="n"/>
      <c r="C447" s="22" t="n"/>
      <c r="D447" s="33" t="n"/>
      <c r="E447" s="23" t="n"/>
      <c r="F447" s="1">
        <f>IF(G447="","",COUNTIFS(Weight!$C$6:$C$505,C447,Weight!$G$6:$G$505,"&gt;"&amp;G447))</f>
        <v/>
      </c>
      <c r="G447">
        <f>IF(OR(B447="",C447="",D447=""),"",B447+ROW()/10000000)</f>
        <v/>
      </c>
    </row>
    <row r="448">
      <c r="A448" s="1" t="n"/>
      <c r="B448" s="24" t="n"/>
      <c r="C448" s="22" t="n"/>
      <c r="D448" s="33" t="n"/>
      <c r="E448" s="23" t="n"/>
      <c r="F448" s="1">
        <f>IF(G448="","",COUNTIFS(Weight!$C$6:$C$505,C448,Weight!$G$6:$G$505,"&gt;"&amp;G448))</f>
        <v/>
      </c>
      <c r="G448">
        <f>IF(OR(B448="",C448="",D448=""),"",B448+ROW()/10000000)</f>
        <v/>
      </c>
    </row>
    <row r="449">
      <c r="A449" s="1" t="n"/>
      <c r="B449" s="24" t="n"/>
      <c r="C449" s="22" t="n"/>
      <c r="D449" s="33" t="n"/>
      <c r="E449" s="23" t="n"/>
      <c r="F449" s="1">
        <f>IF(G449="","",COUNTIFS(Weight!$C$6:$C$505,C449,Weight!$G$6:$G$505,"&gt;"&amp;G449))</f>
        <v/>
      </c>
      <c r="G449">
        <f>IF(OR(B449="",C449="",D449=""),"",B449+ROW()/10000000)</f>
        <v/>
      </c>
    </row>
    <row r="450">
      <c r="A450" s="1" t="n"/>
      <c r="B450" s="24" t="n"/>
      <c r="C450" s="22" t="n"/>
      <c r="D450" s="33" t="n"/>
      <c r="E450" s="23" t="n"/>
      <c r="F450" s="1">
        <f>IF(G450="","",COUNTIFS(Weight!$C$6:$C$505,C450,Weight!$G$6:$G$505,"&gt;"&amp;G450))</f>
        <v/>
      </c>
      <c r="G450">
        <f>IF(OR(B450="",C450="",D450=""),"",B450+ROW()/10000000)</f>
        <v/>
      </c>
    </row>
    <row r="451">
      <c r="A451" s="1" t="n"/>
      <c r="B451" s="24" t="n"/>
      <c r="C451" s="22" t="n"/>
      <c r="D451" s="33" t="n"/>
      <c r="E451" s="23" t="n"/>
      <c r="F451" s="1">
        <f>IF(G451="","",COUNTIFS(Weight!$C$6:$C$505,C451,Weight!$G$6:$G$505,"&gt;"&amp;G451))</f>
        <v/>
      </c>
      <c r="G451">
        <f>IF(OR(B451="",C451="",D451=""),"",B451+ROW()/10000000)</f>
        <v/>
      </c>
    </row>
    <row r="452">
      <c r="A452" s="1" t="n"/>
      <c r="B452" s="24" t="n"/>
      <c r="C452" s="22" t="n"/>
      <c r="D452" s="33" t="n"/>
      <c r="E452" s="23" t="n"/>
      <c r="F452" s="1">
        <f>IF(G452="","",COUNTIFS(Weight!$C$6:$C$505,C452,Weight!$G$6:$G$505,"&gt;"&amp;G452))</f>
        <v/>
      </c>
      <c r="G452">
        <f>IF(OR(B452="",C452="",D452=""),"",B452+ROW()/10000000)</f>
        <v/>
      </c>
    </row>
    <row r="453">
      <c r="A453" s="1" t="n"/>
      <c r="B453" s="24" t="n"/>
      <c r="C453" s="22" t="n"/>
      <c r="D453" s="33" t="n"/>
      <c r="E453" s="23" t="n"/>
      <c r="F453" s="1">
        <f>IF(G453="","",COUNTIFS(Weight!$C$6:$C$505,C453,Weight!$G$6:$G$505,"&gt;"&amp;G453))</f>
        <v/>
      </c>
      <c r="G453">
        <f>IF(OR(B453="",C453="",D453=""),"",B453+ROW()/10000000)</f>
        <v/>
      </c>
    </row>
    <row r="454">
      <c r="A454" s="1" t="n"/>
      <c r="B454" s="24" t="n"/>
      <c r="C454" s="22" t="n"/>
      <c r="D454" s="33" t="n"/>
      <c r="E454" s="23" t="n"/>
      <c r="F454" s="1">
        <f>IF(G454="","",COUNTIFS(Weight!$C$6:$C$505,C454,Weight!$G$6:$G$505,"&gt;"&amp;G454))</f>
        <v/>
      </c>
      <c r="G454">
        <f>IF(OR(B454="",C454="",D454=""),"",B454+ROW()/10000000)</f>
        <v/>
      </c>
    </row>
    <row r="455">
      <c r="A455" s="1" t="n"/>
      <c r="B455" s="24" t="n"/>
      <c r="C455" s="22" t="n"/>
      <c r="D455" s="33" t="n"/>
      <c r="E455" s="23" t="n"/>
      <c r="F455" s="1">
        <f>IF(G455="","",COUNTIFS(Weight!$C$6:$C$505,C455,Weight!$G$6:$G$505,"&gt;"&amp;G455))</f>
        <v/>
      </c>
      <c r="G455">
        <f>IF(OR(B455="",C455="",D455=""),"",B455+ROW()/10000000)</f>
        <v/>
      </c>
    </row>
    <row r="456">
      <c r="A456" s="1" t="n"/>
      <c r="B456" s="24" t="n"/>
      <c r="C456" s="22" t="n"/>
      <c r="D456" s="33" t="n"/>
      <c r="E456" s="23" t="n"/>
      <c r="F456" s="1">
        <f>IF(G456="","",COUNTIFS(Weight!$C$6:$C$505,C456,Weight!$G$6:$G$505,"&gt;"&amp;G456))</f>
        <v/>
      </c>
      <c r="G456">
        <f>IF(OR(B456="",C456="",D456=""),"",B456+ROW()/10000000)</f>
        <v/>
      </c>
    </row>
    <row r="457">
      <c r="A457" s="1" t="n"/>
      <c r="B457" s="24" t="n"/>
      <c r="C457" s="22" t="n"/>
      <c r="D457" s="33" t="n"/>
      <c r="E457" s="23" t="n"/>
      <c r="F457" s="1">
        <f>IF(G457="","",COUNTIFS(Weight!$C$6:$C$505,C457,Weight!$G$6:$G$505,"&gt;"&amp;G457))</f>
        <v/>
      </c>
      <c r="G457">
        <f>IF(OR(B457="",C457="",D457=""),"",B457+ROW()/10000000)</f>
        <v/>
      </c>
    </row>
    <row r="458">
      <c r="A458" s="1" t="n"/>
      <c r="B458" s="24" t="n"/>
      <c r="C458" s="22" t="n"/>
      <c r="D458" s="33" t="n"/>
      <c r="E458" s="23" t="n"/>
      <c r="F458" s="1">
        <f>IF(G458="","",COUNTIFS(Weight!$C$6:$C$505,C458,Weight!$G$6:$G$505,"&gt;"&amp;G458))</f>
        <v/>
      </c>
      <c r="G458">
        <f>IF(OR(B458="",C458="",D458=""),"",B458+ROW()/10000000)</f>
        <v/>
      </c>
    </row>
    <row r="459">
      <c r="A459" s="1" t="n"/>
      <c r="B459" s="24" t="n"/>
      <c r="C459" s="22" t="n"/>
      <c r="D459" s="33" t="n"/>
      <c r="E459" s="23" t="n"/>
      <c r="F459" s="1">
        <f>IF(G459="","",COUNTIFS(Weight!$C$6:$C$505,C459,Weight!$G$6:$G$505,"&gt;"&amp;G459))</f>
        <v/>
      </c>
      <c r="G459">
        <f>IF(OR(B459="",C459="",D459=""),"",B459+ROW()/10000000)</f>
        <v/>
      </c>
    </row>
    <row r="460">
      <c r="A460" s="1" t="n"/>
      <c r="B460" s="24" t="n"/>
      <c r="C460" s="22" t="n"/>
      <c r="D460" s="33" t="n"/>
      <c r="E460" s="23" t="n"/>
      <c r="F460" s="1">
        <f>IF(G460="","",COUNTIFS(Weight!$C$6:$C$505,C460,Weight!$G$6:$G$505,"&gt;"&amp;G460))</f>
        <v/>
      </c>
      <c r="G460">
        <f>IF(OR(B460="",C460="",D460=""),"",B460+ROW()/10000000)</f>
        <v/>
      </c>
    </row>
    <row r="461">
      <c r="A461" s="1" t="n"/>
      <c r="B461" s="24" t="n"/>
      <c r="C461" s="22" t="n"/>
      <c r="D461" s="33" t="n"/>
      <c r="E461" s="23" t="n"/>
      <c r="F461" s="1">
        <f>IF(G461="","",COUNTIFS(Weight!$C$6:$C$505,C461,Weight!$G$6:$G$505,"&gt;"&amp;G461))</f>
        <v/>
      </c>
      <c r="G461">
        <f>IF(OR(B461="",C461="",D461=""),"",B461+ROW()/10000000)</f>
        <v/>
      </c>
    </row>
    <row r="462">
      <c r="A462" s="1" t="n"/>
      <c r="B462" s="24" t="n"/>
      <c r="C462" s="22" t="n"/>
      <c r="D462" s="33" t="n"/>
      <c r="E462" s="23" t="n"/>
      <c r="F462" s="1">
        <f>IF(G462="","",COUNTIFS(Weight!$C$6:$C$505,C462,Weight!$G$6:$G$505,"&gt;"&amp;G462))</f>
        <v/>
      </c>
      <c r="G462">
        <f>IF(OR(B462="",C462="",D462=""),"",B462+ROW()/10000000)</f>
        <v/>
      </c>
    </row>
    <row r="463">
      <c r="A463" s="1" t="n"/>
      <c r="B463" s="24" t="n"/>
      <c r="C463" s="22" t="n"/>
      <c r="D463" s="33" t="n"/>
      <c r="E463" s="23" t="n"/>
      <c r="F463" s="1">
        <f>IF(G463="","",COUNTIFS(Weight!$C$6:$C$505,C463,Weight!$G$6:$G$505,"&gt;"&amp;G463))</f>
        <v/>
      </c>
      <c r="G463">
        <f>IF(OR(B463="",C463="",D463=""),"",B463+ROW()/10000000)</f>
        <v/>
      </c>
    </row>
    <row r="464">
      <c r="A464" s="1" t="n"/>
      <c r="B464" s="24" t="n"/>
      <c r="C464" s="22" t="n"/>
      <c r="D464" s="33" t="n"/>
      <c r="E464" s="23" t="n"/>
      <c r="F464" s="1">
        <f>IF(G464="","",COUNTIFS(Weight!$C$6:$C$505,C464,Weight!$G$6:$G$505,"&gt;"&amp;G464))</f>
        <v/>
      </c>
      <c r="G464">
        <f>IF(OR(B464="",C464="",D464=""),"",B464+ROW()/10000000)</f>
        <v/>
      </c>
    </row>
    <row r="465">
      <c r="A465" s="1" t="n"/>
      <c r="B465" s="24" t="n"/>
      <c r="C465" s="22" t="n"/>
      <c r="D465" s="33" t="n"/>
      <c r="E465" s="23" t="n"/>
      <c r="F465" s="1">
        <f>IF(G465="","",COUNTIFS(Weight!$C$6:$C$505,C465,Weight!$G$6:$G$505,"&gt;"&amp;G465))</f>
        <v/>
      </c>
      <c r="G465">
        <f>IF(OR(B465="",C465="",D465=""),"",B465+ROW()/10000000)</f>
        <v/>
      </c>
    </row>
    <row r="466">
      <c r="A466" s="1" t="n"/>
      <c r="B466" s="24" t="n"/>
      <c r="C466" s="22" t="n"/>
      <c r="D466" s="33" t="n"/>
      <c r="E466" s="23" t="n"/>
      <c r="F466" s="1">
        <f>IF(G466="","",COUNTIFS(Weight!$C$6:$C$505,C466,Weight!$G$6:$G$505,"&gt;"&amp;G466))</f>
        <v/>
      </c>
      <c r="G466">
        <f>IF(OR(B466="",C466="",D466=""),"",B466+ROW()/10000000)</f>
        <v/>
      </c>
    </row>
    <row r="467">
      <c r="A467" s="1" t="n"/>
      <c r="B467" s="24" t="n"/>
      <c r="C467" s="22" t="n"/>
      <c r="D467" s="33" t="n"/>
      <c r="E467" s="23" t="n"/>
      <c r="F467" s="1">
        <f>IF(G467="","",COUNTIFS(Weight!$C$6:$C$505,C467,Weight!$G$6:$G$505,"&gt;"&amp;G467))</f>
        <v/>
      </c>
      <c r="G467">
        <f>IF(OR(B467="",C467="",D467=""),"",B467+ROW()/10000000)</f>
        <v/>
      </c>
    </row>
    <row r="468">
      <c r="A468" s="1" t="n"/>
      <c r="B468" s="24" t="n"/>
      <c r="C468" s="22" t="n"/>
      <c r="D468" s="33" t="n"/>
      <c r="E468" s="23" t="n"/>
      <c r="F468" s="1">
        <f>IF(G468="","",COUNTIFS(Weight!$C$6:$C$505,C468,Weight!$G$6:$G$505,"&gt;"&amp;G468))</f>
        <v/>
      </c>
      <c r="G468">
        <f>IF(OR(B468="",C468="",D468=""),"",B468+ROW()/10000000)</f>
        <v/>
      </c>
    </row>
    <row r="469">
      <c r="A469" s="1" t="n"/>
      <c r="B469" s="24" t="n"/>
      <c r="C469" s="22" t="n"/>
      <c r="D469" s="33" t="n"/>
      <c r="E469" s="23" t="n"/>
      <c r="F469" s="1">
        <f>IF(G469="","",COUNTIFS(Weight!$C$6:$C$505,C469,Weight!$G$6:$G$505,"&gt;"&amp;G469))</f>
        <v/>
      </c>
      <c r="G469">
        <f>IF(OR(B469="",C469="",D469=""),"",B469+ROW()/10000000)</f>
        <v/>
      </c>
    </row>
    <row r="470">
      <c r="A470" s="1" t="n"/>
      <c r="B470" s="24" t="n"/>
      <c r="C470" s="22" t="n"/>
      <c r="D470" s="33" t="n"/>
      <c r="E470" s="23" t="n"/>
      <c r="F470" s="1">
        <f>IF(G470="","",COUNTIFS(Weight!$C$6:$C$505,C470,Weight!$G$6:$G$505,"&gt;"&amp;G470))</f>
        <v/>
      </c>
      <c r="G470">
        <f>IF(OR(B470="",C470="",D470=""),"",B470+ROW()/10000000)</f>
        <v/>
      </c>
    </row>
    <row r="471">
      <c r="A471" s="1" t="n"/>
      <c r="B471" s="24" t="n"/>
      <c r="C471" s="22" t="n"/>
      <c r="D471" s="33" t="n"/>
      <c r="E471" s="23" t="n"/>
      <c r="F471" s="1">
        <f>IF(G471="","",COUNTIFS(Weight!$C$6:$C$505,C471,Weight!$G$6:$G$505,"&gt;"&amp;G471))</f>
        <v/>
      </c>
      <c r="G471">
        <f>IF(OR(B471="",C471="",D471=""),"",B471+ROW()/10000000)</f>
        <v/>
      </c>
    </row>
    <row r="472">
      <c r="A472" s="1" t="n"/>
      <c r="B472" s="24" t="n"/>
      <c r="C472" s="22" t="n"/>
      <c r="D472" s="33" t="n"/>
      <c r="E472" s="23" t="n"/>
      <c r="F472" s="1">
        <f>IF(G472="","",COUNTIFS(Weight!$C$6:$C$505,C472,Weight!$G$6:$G$505,"&gt;"&amp;G472))</f>
        <v/>
      </c>
      <c r="G472">
        <f>IF(OR(B472="",C472="",D472=""),"",B472+ROW()/10000000)</f>
        <v/>
      </c>
    </row>
    <row r="473">
      <c r="A473" s="1" t="n"/>
      <c r="B473" s="24" t="n"/>
      <c r="C473" s="22" t="n"/>
      <c r="D473" s="33" t="n"/>
      <c r="E473" s="23" t="n"/>
      <c r="F473" s="1">
        <f>IF(G473="","",COUNTIFS(Weight!$C$6:$C$505,C473,Weight!$G$6:$G$505,"&gt;"&amp;G473))</f>
        <v/>
      </c>
      <c r="G473">
        <f>IF(OR(B473="",C473="",D473=""),"",B473+ROW()/10000000)</f>
        <v/>
      </c>
    </row>
    <row r="474">
      <c r="A474" s="1" t="n"/>
      <c r="B474" s="24" t="n"/>
      <c r="C474" s="22" t="n"/>
      <c r="D474" s="33" t="n"/>
      <c r="E474" s="23" t="n"/>
      <c r="F474" s="1">
        <f>IF(G474="","",COUNTIFS(Weight!$C$6:$C$505,C474,Weight!$G$6:$G$505,"&gt;"&amp;G474))</f>
        <v/>
      </c>
      <c r="G474">
        <f>IF(OR(B474="",C474="",D474=""),"",B474+ROW()/10000000)</f>
        <v/>
      </c>
    </row>
    <row r="475">
      <c r="A475" s="1" t="n"/>
      <c r="B475" s="24" t="n"/>
      <c r="C475" s="22" t="n"/>
      <c r="D475" s="33" t="n"/>
      <c r="E475" s="23" t="n"/>
      <c r="F475" s="1">
        <f>IF(G475="","",COUNTIFS(Weight!$C$6:$C$505,C475,Weight!$G$6:$G$505,"&gt;"&amp;G475))</f>
        <v/>
      </c>
      <c r="G475">
        <f>IF(OR(B475="",C475="",D475=""),"",B475+ROW()/10000000)</f>
        <v/>
      </c>
    </row>
    <row r="476">
      <c r="A476" s="1" t="n"/>
      <c r="B476" s="24" t="n"/>
      <c r="C476" s="22" t="n"/>
      <c r="D476" s="33" t="n"/>
      <c r="E476" s="23" t="n"/>
      <c r="F476" s="1">
        <f>IF(G476="","",COUNTIFS(Weight!$C$6:$C$505,C476,Weight!$G$6:$G$505,"&gt;"&amp;G476))</f>
        <v/>
      </c>
      <c r="G476">
        <f>IF(OR(B476="",C476="",D476=""),"",B476+ROW()/10000000)</f>
        <v/>
      </c>
    </row>
    <row r="477">
      <c r="A477" s="1" t="n"/>
      <c r="B477" s="24" t="n"/>
      <c r="C477" s="22" t="n"/>
      <c r="D477" s="33" t="n"/>
      <c r="E477" s="23" t="n"/>
      <c r="F477" s="1">
        <f>IF(G477="","",COUNTIFS(Weight!$C$6:$C$505,C477,Weight!$G$6:$G$505,"&gt;"&amp;G477))</f>
        <v/>
      </c>
      <c r="G477">
        <f>IF(OR(B477="",C477="",D477=""),"",B477+ROW()/10000000)</f>
        <v/>
      </c>
    </row>
    <row r="478">
      <c r="A478" s="1" t="n"/>
      <c r="B478" s="24" t="n"/>
      <c r="C478" s="22" t="n"/>
      <c r="D478" s="33" t="n"/>
      <c r="E478" s="23" t="n"/>
      <c r="F478" s="1">
        <f>IF(G478="","",COUNTIFS(Weight!$C$6:$C$505,C478,Weight!$G$6:$G$505,"&gt;"&amp;G478))</f>
        <v/>
      </c>
      <c r="G478">
        <f>IF(OR(B478="",C478="",D478=""),"",B478+ROW()/10000000)</f>
        <v/>
      </c>
    </row>
    <row r="479">
      <c r="A479" s="1" t="n"/>
      <c r="B479" s="24" t="n"/>
      <c r="C479" s="22" t="n"/>
      <c r="D479" s="33" t="n"/>
      <c r="E479" s="23" t="n"/>
      <c r="F479" s="1">
        <f>IF(G479="","",COUNTIFS(Weight!$C$6:$C$505,C479,Weight!$G$6:$G$505,"&gt;"&amp;G479))</f>
        <v/>
      </c>
      <c r="G479">
        <f>IF(OR(B479="",C479="",D479=""),"",B479+ROW()/10000000)</f>
        <v/>
      </c>
    </row>
    <row r="480">
      <c r="A480" s="1" t="n"/>
      <c r="B480" s="24" t="n"/>
      <c r="C480" s="22" t="n"/>
      <c r="D480" s="33" t="n"/>
      <c r="E480" s="23" t="n"/>
      <c r="F480" s="1">
        <f>IF(G480="","",COUNTIFS(Weight!$C$6:$C$505,C480,Weight!$G$6:$G$505,"&gt;"&amp;G480))</f>
        <v/>
      </c>
      <c r="G480">
        <f>IF(OR(B480="",C480="",D480=""),"",B480+ROW()/10000000)</f>
        <v/>
      </c>
    </row>
    <row r="481">
      <c r="A481" s="1" t="n"/>
      <c r="B481" s="24" t="n"/>
      <c r="C481" s="22" t="n"/>
      <c r="D481" s="33" t="n"/>
      <c r="E481" s="23" t="n"/>
      <c r="F481" s="1">
        <f>IF(G481="","",COUNTIFS(Weight!$C$6:$C$505,C481,Weight!$G$6:$G$505,"&gt;"&amp;G481))</f>
        <v/>
      </c>
      <c r="G481">
        <f>IF(OR(B481="",C481="",D481=""),"",B481+ROW()/10000000)</f>
        <v/>
      </c>
    </row>
    <row r="482">
      <c r="A482" s="1" t="n"/>
      <c r="B482" s="24" t="n"/>
      <c r="C482" s="22" t="n"/>
      <c r="D482" s="33" t="n"/>
      <c r="E482" s="23" t="n"/>
      <c r="F482" s="1">
        <f>IF(G482="","",COUNTIFS(Weight!$C$6:$C$505,C482,Weight!$G$6:$G$505,"&gt;"&amp;G482))</f>
        <v/>
      </c>
      <c r="G482">
        <f>IF(OR(B482="",C482="",D482=""),"",B482+ROW()/10000000)</f>
        <v/>
      </c>
    </row>
    <row r="483">
      <c r="A483" s="1" t="n"/>
      <c r="B483" s="24" t="n"/>
      <c r="C483" s="22" t="n"/>
      <c r="D483" s="33" t="n"/>
      <c r="E483" s="23" t="n"/>
      <c r="F483" s="1">
        <f>IF(G483="","",COUNTIFS(Weight!$C$6:$C$505,C483,Weight!$G$6:$G$505,"&gt;"&amp;G483))</f>
        <v/>
      </c>
      <c r="G483">
        <f>IF(OR(B483="",C483="",D483=""),"",B483+ROW()/10000000)</f>
        <v/>
      </c>
    </row>
    <row r="484">
      <c r="A484" s="1" t="n"/>
      <c r="B484" s="24" t="n"/>
      <c r="C484" s="22" t="n"/>
      <c r="D484" s="33" t="n"/>
      <c r="E484" s="23" t="n"/>
      <c r="F484" s="1">
        <f>IF(G484="","",COUNTIFS(Weight!$C$6:$C$505,C484,Weight!$G$6:$G$505,"&gt;"&amp;G484))</f>
        <v/>
      </c>
      <c r="G484">
        <f>IF(OR(B484="",C484="",D484=""),"",B484+ROW()/10000000)</f>
        <v/>
      </c>
    </row>
    <row r="485">
      <c r="A485" s="1" t="n"/>
      <c r="B485" s="24" t="n"/>
      <c r="C485" s="22" t="n"/>
      <c r="D485" s="33" t="n"/>
      <c r="E485" s="23" t="n"/>
      <c r="F485" s="1">
        <f>IF(G485="","",COUNTIFS(Weight!$C$6:$C$505,C485,Weight!$G$6:$G$505,"&gt;"&amp;G485))</f>
        <v/>
      </c>
      <c r="G485">
        <f>IF(OR(B485="",C485="",D485=""),"",B485+ROW()/10000000)</f>
        <v/>
      </c>
    </row>
    <row r="486">
      <c r="A486" s="1" t="n"/>
      <c r="B486" s="24" t="n"/>
      <c r="C486" s="22" t="n"/>
      <c r="D486" s="33" t="n"/>
      <c r="E486" s="23" t="n"/>
      <c r="F486" s="1">
        <f>IF(G486="","",COUNTIFS(Weight!$C$6:$C$505,C486,Weight!$G$6:$G$505,"&gt;"&amp;G486))</f>
        <v/>
      </c>
      <c r="G486">
        <f>IF(OR(B486="",C486="",D486=""),"",B486+ROW()/10000000)</f>
        <v/>
      </c>
    </row>
    <row r="487">
      <c r="A487" s="1" t="n"/>
      <c r="B487" s="24" t="n"/>
      <c r="C487" s="22" t="n"/>
      <c r="D487" s="33" t="n"/>
      <c r="E487" s="23" t="n"/>
      <c r="F487" s="1">
        <f>IF(G487="","",COUNTIFS(Weight!$C$6:$C$505,C487,Weight!$G$6:$G$505,"&gt;"&amp;G487))</f>
        <v/>
      </c>
      <c r="G487">
        <f>IF(OR(B487="",C487="",D487=""),"",B487+ROW()/10000000)</f>
        <v/>
      </c>
    </row>
    <row r="488">
      <c r="A488" s="1" t="n"/>
      <c r="B488" s="24" t="n"/>
      <c r="C488" s="22" t="n"/>
      <c r="D488" s="33" t="n"/>
      <c r="E488" s="23" t="n"/>
      <c r="F488" s="1">
        <f>IF(G488="","",COUNTIFS(Weight!$C$6:$C$505,C488,Weight!$G$6:$G$505,"&gt;"&amp;G488))</f>
        <v/>
      </c>
      <c r="G488">
        <f>IF(OR(B488="",C488="",D488=""),"",B488+ROW()/10000000)</f>
        <v/>
      </c>
    </row>
    <row r="489">
      <c r="A489" s="1" t="n"/>
      <c r="B489" s="24" t="n"/>
      <c r="C489" s="22" t="n"/>
      <c r="D489" s="33" t="n"/>
      <c r="E489" s="23" t="n"/>
      <c r="F489" s="1">
        <f>IF(G489="","",COUNTIFS(Weight!$C$6:$C$505,C489,Weight!$G$6:$G$505,"&gt;"&amp;G489))</f>
        <v/>
      </c>
      <c r="G489">
        <f>IF(OR(B489="",C489="",D489=""),"",B489+ROW()/10000000)</f>
        <v/>
      </c>
    </row>
    <row r="490">
      <c r="A490" s="1" t="n"/>
      <c r="B490" s="24" t="n"/>
      <c r="C490" s="22" t="n"/>
      <c r="D490" s="33" t="n"/>
      <c r="E490" s="23" t="n"/>
      <c r="F490" s="1">
        <f>IF(G490="","",COUNTIFS(Weight!$C$6:$C$505,C490,Weight!$G$6:$G$505,"&gt;"&amp;G490))</f>
        <v/>
      </c>
      <c r="G490">
        <f>IF(OR(B490="",C490="",D490=""),"",B490+ROW()/10000000)</f>
        <v/>
      </c>
    </row>
    <row r="491">
      <c r="A491" s="1" t="n"/>
      <c r="B491" s="24" t="n"/>
      <c r="C491" s="22" t="n"/>
      <c r="D491" s="33" t="n"/>
      <c r="E491" s="23" t="n"/>
      <c r="F491" s="1">
        <f>IF(G491="","",COUNTIFS(Weight!$C$6:$C$505,C491,Weight!$G$6:$G$505,"&gt;"&amp;G491))</f>
        <v/>
      </c>
      <c r="G491">
        <f>IF(OR(B491="",C491="",D491=""),"",B491+ROW()/10000000)</f>
        <v/>
      </c>
    </row>
    <row r="492">
      <c r="A492" s="1" t="n"/>
      <c r="B492" s="24" t="n"/>
      <c r="C492" s="22" t="n"/>
      <c r="D492" s="33" t="n"/>
      <c r="E492" s="23" t="n"/>
      <c r="F492" s="1">
        <f>IF(G492="","",COUNTIFS(Weight!$C$6:$C$505,C492,Weight!$G$6:$G$505,"&gt;"&amp;G492))</f>
        <v/>
      </c>
      <c r="G492">
        <f>IF(OR(B492="",C492="",D492=""),"",B492+ROW()/10000000)</f>
        <v/>
      </c>
    </row>
    <row r="493">
      <c r="A493" s="1" t="n"/>
      <c r="B493" s="24" t="n"/>
      <c r="C493" s="22" t="n"/>
      <c r="D493" s="33" t="n"/>
      <c r="E493" s="23" t="n"/>
      <c r="F493" s="1">
        <f>IF(G493="","",COUNTIFS(Weight!$C$6:$C$505,C493,Weight!$G$6:$G$505,"&gt;"&amp;G493))</f>
        <v/>
      </c>
      <c r="G493">
        <f>IF(OR(B493="",C493="",D493=""),"",B493+ROW()/10000000)</f>
        <v/>
      </c>
    </row>
    <row r="494">
      <c r="A494" s="1" t="n"/>
      <c r="B494" s="24" t="n"/>
      <c r="C494" s="22" t="n"/>
      <c r="D494" s="33" t="n"/>
      <c r="E494" s="23" t="n"/>
      <c r="F494" s="1">
        <f>IF(G494="","",COUNTIFS(Weight!$C$6:$C$505,C494,Weight!$G$6:$G$505,"&gt;"&amp;G494))</f>
        <v/>
      </c>
      <c r="G494">
        <f>IF(OR(B494="",C494="",D494=""),"",B494+ROW()/10000000)</f>
        <v/>
      </c>
    </row>
    <row r="495">
      <c r="A495" s="1" t="n"/>
      <c r="B495" s="24" t="n"/>
      <c r="C495" s="22" t="n"/>
      <c r="D495" s="33" t="n"/>
      <c r="E495" s="23" t="n"/>
      <c r="F495" s="1">
        <f>IF(G495="","",COUNTIFS(Weight!$C$6:$C$505,C495,Weight!$G$6:$G$505,"&gt;"&amp;G495))</f>
        <v/>
      </c>
      <c r="G495">
        <f>IF(OR(B495="",C495="",D495=""),"",B495+ROW()/10000000)</f>
        <v/>
      </c>
    </row>
    <row r="496">
      <c r="A496" s="1" t="n"/>
      <c r="B496" s="24" t="n"/>
      <c r="C496" s="22" t="n"/>
      <c r="D496" s="33" t="n"/>
      <c r="E496" s="23" t="n"/>
      <c r="F496" s="1">
        <f>IF(G496="","",COUNTIFS(Weight!$C$6:$C$505,C496,Weight!$G$6:$G$505,"&gt;"&amp;G496))</f>
        <v/>
      </c>
      <c r="G496">
        <f>IF(OR(B496="",C496="",D496=""),"",B496+ROW()/10000000)</f>
        <v/>
      </c>
    </row>
    <row r="497">
      <c r="A497" s="1" t="n"/>
      <c r="B497" s="24" t="n"/>
      <c r="C497" s="22" t="n"/>
      <c r="D497" s="33" t="n"/>
      <c r="E497" s="23" t="n"/>
      <c r="F497" s="1">
        <f>IF(G497="","",COUNTIFS(Weight!$C$6:$C$505,C497,Weight!$G$6:$G$505,"&gt;"&amp;G497))</f>
        <v/>
      </c>
      <c r="G497">
        <f>IF(OR(B497="",C497="",D497=""),"",B497+ROW()/10000000)</f>
        <v/>
      </c>
    </row>
    <row r="498">
      <c r="A498" s="1" t="n"/>
      <c r="B498" s="24" t="n"/>
      <c r="C498" s="22" t="n"/>
      <c r="D498" s="33" t="n"/>
      <c r="E498" s="23" t="n"/>
      <c r="F498" s="1">
        <f>IF(G498="","",COUNTIFS(Weight!$C$6:$C$505,C498,Weight!$G$6:$G$505,"&gt;"&amp;G498))</f>
        <v/>
      </c>
      <c r="G498">
        <f>IF(OR(B498="",C498="",D498=""),"",B498+ROW()/10000000)</f>
        <v/>
      </c>
    </row>
    <row r="499">
      <c r="A499" s="1" t="n"/>
      <c r="B499" s="24" t="n"/>
      <c r="C499" s="22" t="n"/>
      <c r="D499" s="33" t="n"/>
      <c r="E499" s="23" t="n"/>
      <c r="F499" s="1">
        <f>IF(G499="","",COUNTIFS(Weight!$C$6:$C$505,C499,Weight!$G$6:$G$505,"&gt;"&amp;G499))</f>
        <v/>
      </c>
      <c r="G499">
        <f>IF(OR(B499="",C499="",D499=""),"",B499+ROW()/10000000)</f>
        <v/>
      </c>
    </row>
    <row r="500">
      <c r="A500" s="1" t="n"/>
      <c r="B500" s="24" t="n"/>
      <c r="C500" s="22" t="n"/>
      <c r="D500" s="33" t="n"/>
      <c r="E500" s="23" t="n"/>
      <c r="F500" s="1">
        <f>IF(G500="","",COUNTIFS(Weight!$C$6:$C$505,C500,Weight!$G$6:$G$505,"&gt;"&amp;G500))</f>
        <v/>
      </c>
      <c r="G500">
        <f>IF(OR(B500="",C500="",D500=""),"",B500+ROW()/10000000)</f>
        <v/>
      </c>
    </row>
    <row r="501">
      <c r="A501" s="1" t="n"/>
      <c r="B501" s="24" t="n"/>
      <c r="C501" s="22" t="n"/>
      <c r="D501" s="33" t="n"/>
      <c r="E501" s="23" t="n"/>
      <c r="F501" s="1">
        <f>IF(G501="","",COUNTIFS(Weight!$C$6:$C$505,C501,Weight!$G$6:$G$505,"&gt;"&amp;G501))</f>
        <v/>
      </c>
      <c r="G501">
        <f>IF(OR(B501="",C501="",D501=""),"",B501+ROW()/10000000)</f>
        <v/>
      </c>
    </row>
    <row r="502">
      <c r="A502" s="1" t="n"/>
      <c r="B502" s="24" t="n"/>
      <c r="C502" s="22" t="n"/>
      <c r="D502" s="33" t="n"/>
      <c r="E502" s="23" t="n"/>
      <c r="F502" s="1">
        <f>IF(G502="","",COUNTIFS(Weight!$C$6:$C$505,C502,Weight!$G$6:$G$505,"&gt;"&amp;G502))</f>
        <v/>
      </c>
      <c r="G502">
        <f>IF(OR(B502="",C502="",D502=""),"",B502+ROW()/10000000)</f>
        <v/>
      </c>
    </row>
    <row r="503">
      <c r="A503" s="1" t="n"/>
      <c r="B503" s="24" t="n"/>
      <c r="C503" s="22" t="n"/>
      <c r="D503" s="33" t="n"/>
      <c r="E503" s="23" t="n"/>
      <c r="F503" s="1">
        <f>IF(G503="","",COUNTIFS(Weight!$C$6:$C$505,C503,Weight!$G$6:$G$505,"&gt;"&amp;G503))</f>
        <v/>
      </c>
      <c r="G503">
        <f>IF(OR(B503="",C503="",D503=""),"",B503+ROW()/10000000)</f>
        <v/>
      </c>
    </row>
    <row r="504">
      <c r="A504" s="1" t="n"/>
      <c r="B504" s="24" t="n"/>
      <c r="C504" s="22" t="n"/>
      <c r="D504" s="33" t="n"/>
      <c r="E504" s="23" t="n"/>
      <c r="F504" s="1">
        <f>IF(G504="","",COUNTIFS(Weight!$C$6:$C$505,C504,Weight!$G$6:$G$505,"&gt;"&amp;G504))</f>
        <v/>
      </c>
      <c r="G504">
        <f>IF(OR(B504="",C504="",D504=""),"",B504+ROW()/10000000)</f>
        <v/>
      </c>
    </row>
    <row r="505">
      <c r="A505" s="1" t="n"/>
      <c r="B505" s="24" t="n"/>
      <c r="C505" s="22" t="n"/>
      <c r="D505" s="33" t="n"/>
      <c r="E505" s="23" t="n"/>
      <c r="F505" s="1">
        <f>IF(G505="","",COUNTIFS(Weight!$C$6:$C$505,C505,Weight!$G$6:$G$505,"&gt;"&amp;G505))</f>
        <v/>
      </c>
      <c r="G505">
        <f>IF(OR(B505="",C505="",D505=""),"",B505+ROW()/10000000)</f>
        <v/>
      </c>
    </row>
    <row r="506">
      <c r="A506" s="1" t="n"/>
      <c r="B506" s="1" t="n"/>
      <c r="C506" s="1" t="n"/>
      <c r="D506" s="1" t="n"/>
      <c r="E506" s="1" t="n"/>
      <c r="F506" s="1" t="n"/>
    </row>
  </sheetData>
  <dataValidations count="1">
    <dataValidation sqref="C6:C505" showDropDown="0" showInputMessage="0" showErrorMessage="1" allowBlank="1" type="list">
      <formula1>=Pets!$B$6:$B$25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11" customWidth="1" min="4" max="4"/>
    <col width="10" customWidth="1" min="5" max="5"/>
    <col width="14" customWidth="1" min="6" max="6"/>
    <col width="11" customWidth="1" min="7" max="7"/>
    <col width="10" customWidth="1" min="8" max="8"/>
    <col width="14" customWidth="1" min="9" max="9"/>
    <col width="11" customWidth="1" min="10" max="10"/>
    <col width="14" customWidth="1" min="11" max="11"/>
    <col width="12" customWidth="1" min="12" max="12"/>
    <col width="16" customWidth="1" min="13" max="13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Food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Each bag or box in use: its size, how much the pet eats a day, and the day you opened it. Use the same unit for both, like grams or pouches.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13" t="inlineStr">
        <is>
          <t>Pet</t>
        </is>
      </c>
      <c r="C5" s="13" t="inlineStr">
        <is>
          <t>Food</t>
        </is>
      </c>
      <c r="D5" s="13" t="inlineStr">
        <is>
          <t>Bag size</t>
        </is>
      </c>
      <c r="E5" s="13" t="inlineStr">
        <is>
          <t>A day</t>
        </is>
      </c>
      <c r="F5" s="13" t="inlineStr">
        <is>
          <t>Opened on</t>
        </is>
      </c>
      <c r="G5" s="13" t="inlineStr">
        <is>
          <t>Price</t>
        </is>
      </c>
      <c r="H5" s="13" t="inlineStr">
        <is>
          <t>Lasts (days)</t>
        </is>
      </c>
      <c r="I5" s="13" t="inlineStr">
        <is>
          <t>Runs out</t>
        </is>
      </c>
      <c r="J5" s="13" t="inlineStr">
        <is>
          <t>Days left</t>
        </is>
      </c>
      <c r="K5" s="13" t="inlineStr">
        <is>
          <t>Buy by</t>
        </is>
      </c>
      <c r="L5" s="13" t="inlineStr">
        <is>
          <t>A month</t>
        </is>
      </c>
      <c r="M5" s="13" t="inlineStr">
        <is>
          <t>Where</t>
        </is>
      </c>
      <c r="N5" s="1" t="n"/>
    </row>
    <row r="6">
      <c r="A6" s="1" t="n"/>
      <c r="B6" s="22" t="inlineStr">
        <is>
          <t>Biscuit</t>
        </is>
      </c>
      <c r="C6" s="23" t="inlineStr">
        <is>
          <t>Adult dry food</t>
        </is>
      </c>
      <c r="D6" s="34" t="n">
        <v>12000</v>
      </c>
      <c r="E6" s="35" t="n">
        <v>300</v>
      </c>
      <c r="F6" s="24" t="n">
        <v>46262</v>
      </c>
      <c r="G6" s="32" t="n">
        <v>54.99</v>
      </c>
      <c r="H6" s="19">
        <f>IF(OR(N(D6)=0,N(E6)=0),"",INT(D6/E6))</f>
        <v/>
      </c>
      <c r="I6" s="17">
        <f>IF(OR(H6="",F6=""),"",F6+H6)</f>
        <v/>
      </c>
      <c r="J6" s="36">
        <f>IF(I6="","",I6-TODAY())</f>
        <v/>
      </c>
      <c r="K6" s="17">
        <f>IF(I6="","",IF(I6-N(Dashboard!$G$4)&lt;=TODAY(),"Now",I6-N(Dashboard!$G$4)))</f>
        <v/>
      </c>
      <c r="L6" s="21">
        <f>IF(OR(N(D6)=0,N(E6)=0,G6=""),"",G6/D6*E6*30.4)</f>
        <v/>
      </c>
      <c r="M6" s="23" t="inlineStr">
        <is>
          <t>Pet shop</t>
        </is>
      </c>
      <c r="N6" s="1" t="n"/>
      <c r="O6">
        <f>IF(I6="","",I6+ROW()/10000000)</f>
        <v/>
      </c>
    </row>
    <row r="7">
      <c r="A7" s="1" t="n"/>
      <c r="B7" s="22" t="inlineStr">
        <is>
          <t>Miso</t>
        </is>
      </c>
      <c r="C7" s="23" t="inlineStr">
        <is>
          <t>Indoor cat biscuits</t>
        </is>
      </c>
      <c r="D7" s="34" t="n">
        <v>4000</v>
      </c>
      <c r="E7" s="35" t="n">
        <v>60</v>
      </c>
      <c r="F7" s="24" t="n">
        <v>46241</v>
      </c>
      <c r="G7" s="32" t="n">
        <v>22.5</v>
      </c>
      <c r="H7" s="19">
        <f>IF(OR(N(D7)=0,N(E7)=0),"",INT(D7/E7))</f>
        <v/>
      </c>
      <c r="I7" s="17">
        <f>IF(OR(H7="",F7=""),"",F7+H7)</f>
        <v/>
      </c>
      <c r="J7" s="36">
        <f>IF(I7="","",I7-TODAY())</f>
        <v/>
      </c>
      <c r="K7" s="17">
        <f>IF(I7="","",IF(I7-N(Dashboard!$G$4)&lt;=TODAY(),"Now",I7-N(Dashboard!$G$4)))</f>
        <v/>
      </c>
      <c r="L7" s="21">
        <f>IF(OR(N(D7)=0,N(E7)=0,G7=""),"",G7/D7*E7*30.4)</f>
        <v/>
      </c>
      <c r="M7" s="23" t="inlineStr">
        <is>
          <t>Online</t>
        </is>
      </c>
      <c r="N7" s="1" t="n"/>
      <c r="O7">
        <f>IF(I7="","",I7+ROW()/10000000)</f>
        <v/>
      </c>
    </row>
    <row r="8">
      <c r="A8" s="1" t="n"/>
      <c r="B8" s="22" t="inlineStr">
        <is>
          <t>Miso</t>
        </is>
      </c>
      <c r="C8" s="23" t="inlineStr">
        <is>
          <t>Wet food pouches</t>
        </is>
      </c>
      <c r="D8" s="34" t="n">
        <v>48</v>
      </c>
      <c r="E8" s="35" t="n">
        <v>2</v>
      </c>
      <c r="F8" s="24" t="n">
        <v>46281</v>
      </c>
      <c r="G8" s="32" t="n">
        <v>19.2</v>
      </c>
      <c r="H8" s="19">
        <f>IF(OR(N(D8)=0,N(E8)=0),"",INT(D8/E8))</f>
        <v/>
      </c>
      <c r="I8" s="17">
        <f>IF(OR(H8="",F8=""),"",F8+H8)</f>
        <v/>
      </c>
      <c r="J8" s="36">
        <f>IF(I8="","",I8-TODAY())</f>
        <v/>
      </c>
      <c r="K8" s="17">
        <f>IF(I8="","",IF(I8-N(Dashboard!$G$4)&lt;=TODAY(),"Now",I8-N(Dashboard!$G$4)))</f>
        <v/>
      </c>
      <c r="L8" s="21">
        <f>IF(OR(N(D8)=0,N(E8)=0,G8=""),"",G8/D8*E8*30.4)</f>
        <v/>
      </c>
      <c r="M8" s="23" t="inlineStr">
        <is>
          <t>Supermarket</t>
        </is>
      </c>
      <c r="N8" s="1" t="n"/>
      <c r="O8">
        <f>IF(I8="","",I8+ROW()/10000000)</f>
        <v/>
      </c>
    </row>
    <row r="9">
      <c r="A9" s="1" t="n"/>
      <c r="B9" s="22" t="inlineStr">
        <is>
          <t>Clover</t>
        </is>
      </c>
      <c r="C9" s="23" t="inlineStr">
        <is>
          <t>Hay</t>
        </is>
      </c>
      <c r="D9" s="34" t="n">
        <v>2500</v>
      </c>
      <c r="E9" s="35" t="n">
        <v>120</v>
      </c>
      <c r="F9" s="24" t="n">
        <v>46275</v>
      </c>
      <c r="G9" s="32" t="n">
        <v>9.800000000000001</v>
      </c>
      <c r="H9" s="19">
        <f>IF(OR(N(D9)=0,N(E9)=0),"",INT(D9/E9))</f>
        <v/>
      </c>
      <c r="I9" s="17">
        <f>IF(OR(H9="",F9=""),"",F9+H9)</f>
        <v/>
      </c>
      <c r="J9" s="36">
        <f>IF(I9="","",I9-TODAY())</f>
        <v/>
      </c>
      <c r="K9" s="17">
        <f>IF(I9="","",IF(I9-N(Dashboard!$G$4)&lt;=TODAY(),"Now",I9-N(Dashboard!$G$4)))</f>
        <v/>
      </c>
      <c r="L9" s="21">
        <f>IF(OR(N(D9)=0,N(E9)=0,G9=""),"",G9/D9*E9*30.4)</f>
        <v/>
      </c>
      <c r="M9" s="23" t="inlineStr">
        <is>
          <t>Pet shop</t>
        </is>
      </c>
      <c r="N9" s="1" t="n"/>
      <c r="O9">
        <f>IF(I9="","",I9+ROW()/10000000)</f>
        <v/>
      </c>
    </row>
    <row r="10">
      <c r="A10" s="1" t="n"/>
      <c r="B10" s="22" t="inlineStr">
        <is>
          <t>Clover</t>
        </is>
      </c>
      <c r="C10" s="23" t="inlineStr">
        <is>
          <t>Rabbit pellets</t>
        </is>
      </c>
      <c r="D10" s="34" t="n">
        <v>2000</v>
      </c>
      <c r="E10" s="35" t="n">
        <v>25</v>
      </c>
      <c r="F10" s="24" t="n">
        <v>46253</v>
      </c>
      <c r="G10" s="32" t="n">
        <v>11.5</v>
      </c>
      <c r="H10" s="19">
        <f>IF(OR(N(D10)=0,N(E10)=0),"",INT(D10/E10))</f>
        <v/>
      </c>
      <c r="I10" s="17">
        <f>IF(OR(H10="",F10=""),"",F10+H10)</f>
        <v/>
      </c>
      <c r="J10" s="36">
        <f>IF(I10="","",I10-TODAY())</f>
        <v/>
      </c>
      <c r="K10" s="17">
        <f>IF(I10="","",IF(I10-N(Dashboard!$G$4)&lt;=TODAY(),"Now",I10-N(Dashboard!$G$4)))</f>
        <v/>
      </c>
      <c r="L10" s="21">
        <f>IF(OR(N(D10)=0,N(E10)=0,G10=""),"",G10/D10*E10*30.4)</f>
        <v/>
      </c>
      <c r="M10" s="23" t="inlineStr">
        <is>
          <t>Pet shop</t>
        </is>
      </c>
      <c r="N10" s="1" t="n"/>
      <c r="O10">
        <f>IF(I10="","",I10+ROW()/10000000)</f>
        <v/>
      </c>
    </row>
    <row r="11">
      <c r="A11" s="1" t="n"/>
      <c r="B11" s="22" t="n"/>
      <c r="C11" s="23" t="n"/>
      <c r="D11" s="34" t="n"/>
      <c r="E11" s="35" t="n"/>
      <c r="F11" s="24" t="n"/>
      <c r="G11" s="32" t="n"/>
      <c r="H11" s="19">
        <f>IF(OR(N(D11)=0,N(E11)=0),"",INT(D11/E11))</f>
        <v/>
      </c>
      <c r="I11" s="17">
        <f>IF(OR(H11="",F11=""),"",F11+H11)</f>
        <v/>
      </c>
      <c r="J11" s="36">
        <f>IF(I11="","",I11-TODAY())</f>
        <v/>
      </c>
      <c r="K11" s="17">
        <f>IF(I11="","",IF(I11-N(Dashboard!$G$4)&lt;=TODAY(),"Now",I11-N(Dashboard!$G$4)))</f>
        <v/>
      </c>
      <c r="L11" s="21">
        <f>IF(OR(N(D11)=0,N(E11)=0,G11=""),"",G11/D11*E11*30.4)</f>
        <v/>
      </c>
      <c r="M11" s="23" t="n"/>
      <c r="N11" s="1" t="n"/>
      <c r="O11">
        <f>IF(I11="","",I11+ROW()/10000000)</f>
        <v/>
      </c>
    </row>
    <row r="12">
      <c r="A12" s="1" t="n"/>
      <c r="B12" s="22" t="n"/>
      <c r="C12" s="23" t="n"/>
      <c r="D12" s="34" t="n"/>
      <c r="E12" s="35" t="n"/>
      <c r="F12" s="24" t="n"/>
      <c r="G12" s="32" t="n"/>
      <c r="H12" s="19">
        <f>IF(OR(N(D12)=0,N(E12)=0),"",INT(D12/E12))</f>
        <v/>
      </c>
      <c r="I12" s="17">
        <f>IF(OR(H12="",F12=""),"",F12+H12)</f>
        <v/>
      </c>
      <c r="J12" s="36">
        <f>IF(I12="","",I12-TODAY())</f>
        <v/>
      </c>
      <c r="K12" s="17">
        <f>IF(I12="","",IF(I12-N(Dashboard!$G$4)&lt;=TODAY(),"Now",I12-N(Dashboard!$G$4)))</f>
        <v/>
      </c>
      <c r="L12" s="21">
        <f>IF(OR(N(D12)=0,N(E12)=0,G12=""),"",G12/D12*E12*30.4)</f>
        <v/>
      </c>
      <c r="M12" s="23" t="n"/>
      <c r="N12" s="1" t="n"/>
      <c r="O12">
        <f>IF(I12="","",I12+ROW()/10000000)</f>
        <v/>
      </c>
    </row>
    <row r="13">
      <c r="A13" s="1" t="n"/>
      <c r="B13" s="22" t="n"/>
      <c r="C13" s="23" t="n"/>
      <c r="D13" s="34" t="n"/>
      <c r="E13" s="35" t="n"/>
      <c r="F13" s="24" t="n"/>
      <c r="G13" s="32" t="n"/>
      <c r="H13" s="19">
        <f>IF(OR(N(D13)=0,N(E13)=0),"",INT(D13/E13))</f>
        <v/>
      </c>
      <c r="I13" s="17">
        <f>IF(OR(H13="",F13=""),"",F13+H13)</f>
        <v/>
      </c>
      <c r="J13" s="36">
        <f>IF(I13="","",I13-TODAY())</f>
        <v/>
      </c>
      <c r="K13" s="17">
        <f>IF(I13="","",IF(I13-N(Dashboard!$G$4)&lt;=TODAY(),"Now",I13-N(Dashboard!$G$4)))</f>
        <v/>
      </c>
      <c r="L13" s="21">
        <f>IF(OR(N(D13)=0,N(E13)=0,G13=""),"",G13/D13*E13*30.4)</f>
        <v/>
      </c>
      <c r="M13" s="23" t="n"/>
      <c r="N13" s="1" t="n"/>
      <c r="O13">
        <f>IF(I13="","",I13+ROW()/10000000)</f>
        <v/>
      </c>
    </row>
    <row r="14">
      <c r="A14" s="1" t="n"/>
      <c r="B14" s="22" t="n"/>
      <c r="C14" s="23" t="n"/>
      <c r="D14" s="34" t="n"/>
      <c r="E14" s="35" t="n"/>
      <c r="F14" s="24" t="n"/>
      <c r="G14" s="32" t="n"/>
      <c r="H14" s="19">
        <f>IF(OR(N(D14)=0,N(E14)=0),"",INT(D14/E14))</f>
        <v/>
      </c>
      <c r="I14" s="17">
        <f>IF(OR(H14="",F14=""),"",F14+H14)</f>
        <v/>
      </c>
      <c r="J14" s="36">
        <f>IF(I14="","",I14-TODAY())</f>
        <v/>
      </c>
      <c r="K14" s="17">
        <f>IF(I14="","",IF(I14-N(Dashboard!$G$4)&lt;=TODAY(),"Now",I14-N(Dashboard!$G$4)))</f>
        <v/>
      </c>
      <c r="L14" s="21">
        <f>IF(OR(N(D14)=0,N(E14)=0,G14=""),"",G14/D14*E14*30.4)</f>
        <v/>
      </c>
      <c r="M14" s="23" t="n"/>
      <c r="N14" s="1" t="n"/>
      <c r="O14">
        <f>IF(I14="","",I14+ROW()/10000000)</f>
        <v/>
      </c>
    </row>
    <row r="15">
      <c r="A15" s="1" t="n"/>
      <c r="B15" s="22" t="n"/>
      <c r="C15" s="23" t="n"/>
      <c r="D15" s="34" t="n"/>
      <c r="E15" s="35" t="n"/>
      <c r="F15" s="24" t="n"/>
      <c r="G15" s="32" t="n"/>
      <c r="H15" s="19">
        <f>IF(OR(N(D15)=0,N(E15)=0),"",INT(D15/E15))</f>
        <v/>
      </c>
      <c r="I15" s="17">
        <f>IF(OR(H15="",F15=""),"",F15+H15)</f>
        <v/>
      </c>
      <c r="J15" s="36">
        <f>IF(I15="","",I15-TODAY())</f>
        <v/>
      </c>
      <c r="K15" s="17">
        <f>IF(I15="","",IF(I15-N(Dashboard!$G$4)&lt;=TODAY(),"Now",I15-N(Dashboard!$G$4)))</f>
        <v/>
      </c>
      <c r="L15" s="21">
        <f>IF(OR(N(D15)=0,N(E15)=0,G15=""),"",G15/D15*E15*30.4)</f>
        <v/>
      </c>
      <c r="M15" s="23" t="n"/>
      <c r="N15" s="1" t="n"/>
      <c r="O15">
        <f>IF(I15="","",I15+ROW()/10000000)</f>
        <v/>
      </c>
    </row>
    <row r="16">
      <c r="A16" s="1" t="n"/>
      <c r="B16" s="22" t="n"/>
      <c r="C16" s="23" t="n"/>
      <c r="D16" s="34" t="n"/>
      <c r="E16" s="35" t="n"/>
      <c r="F16" s="24" t="n"/>
      <c r="G16" s="32" t="n"/>
      <c r="H16" s="19">
        <f>IF(OR(N(D16)=0,N(E16)=0),"",INT(D16/E16))</f>
        <v/>
      </c>
      <c r="I16" s="17">
        <f>IF(OR(H16="",F16=""),"",F16+H16)</f>
        <v/>
      </c>
      <c r="J16" s="36">
        <f>IF(I16="","",I16-TODAY())</f>
        <v/>
      </c>
      <c r="K16" s="17">
        <f>IF(I16="","",IF(I16-N(Dashboard!$G$4)&lt;=TODAY(),"Now",I16-N(Dashboard!$G$4)))</f>
        <v/>
      </c>
      <c r="L16" s="21">
        <f>IF(OR(N(D16)=0,N(E16)=0,G16=""),"",G16/D16*E16*30.4)</f>
        <v/>
      </c>
      <c r="M16" s="23" t="n"/>
      <c r="N16" s="1" t="n"/>
      <c r="O16">
        <f>IF(I16="","",I16+ROW()/10000000)</f>
        <v/>
      </c>
    </row>
    <row r="17">
      <c r="A17" s="1" t="n"/>
      <c r="B17" s="22" t="n"/>
      <c r="C17" s="23" t="n"/>
      <c r="D17" s="34" t="n"/>
      <c r="E17" s="35" t="n"/>
      <c r="F17" s="24" t="n"/>
      <c r="G17" s="32" t="n"/>
      <c r="H17" s="19">
        <f>IF(OR(N(D17)=0,N(E17)=0),"",INT(D17/E17))</f>
        <v/>
      </c>
      <c r="I17" s="17">
        <f>IF(OR(H17="",F17=""),"",F17+H17)</f>
        <v/>
      </c>
      <c r="J17" s="36">
        <f>IF(I17="","",I17-TODAY())</f>
        <v/>
      </c>
      <c r="K17" s="17">
        <f>IF(I17="","",IF(I17-N(Dashboard!$G$4)&lt;=TODAY(),"Now",I17-N(Dashboard!$G$4)))</f>
        <v/>
      </c>
      <c r="L17" s="21">
        <f>IF(OR(N(D17)=0,N(E17)=0,G17=""),"",G17/D17*E17*30.4)</f>
        <v/>
      </c>
      <c r="M17" s="23" t="n"/>
      <c r="N17" s="1" t="n"/>
      <c r="O17">
        <f>IF(I17="","",I17+ROW()/10000000)</f>
        <v/>
      </c>
    </row>
    <row r="18">
      <c r="A18" s="1" t="n"/>
      <c r="B18" s="22" t="n"/>
      <c r="C18" s="23" t="n"/>
      <c r="D18" s="34" t="n"/>
      <c r="E18" s="35" t="n"/>
      <c r="F18" s="24" t="n"/>
      <c r="G18" s="32" t="n"/>
      <c r="H18" s="19">
        <f>IF(OR(N(D18)=0,N(E18)=0),"",INT(D18/E18))</f>
        <v/>
      </c>
      <c r="I18" s="17">
        <f>IF(OR(H18="",F18=""),"",F18+H18)</f>
        <v/>
      </c>
      <c r="J18" s="36">
        <f>IF(I18="","",I18-TODAY())</f>
        <v/>
      </c>
      <c r="K18" s="17">
        <f>IF(I18="","",IF(I18-N(Dashboard!$G$4)&lt;=TODAY(),"Now",I18-N(Dashboard!$G$4)))</f>
        <v/>
      </c>
      <c r="L18" s="21">
        <f>IF(OR(N(D18)=0,N(E18)=0,G18=""),"",G18/D18*E18*30.4)</f>
        <v/>
      </c>
      <c r="M18" s="23" t="n"/>
      <c r="N18" s="1" t="n"/>
      <c r="O18">
        <f>IF(I18="","",I18+ROW()/10000000)</f>
        <v/>
      </c>
    </row>
    <row r="19">
      <c r="A19" s="1" t="n"/>
      <c r="B19" s="22" t="n"/>
      <c r="C19" s="23" t="n"/>
      <c r="D19" s="34" t="n"/>
      <c r="E19" s="35" t="n"/>
      <c r="F19" s="24" t="n"/>
      <c r="G19" s="32" t="n"/>
      <c r="H19" s="19">
        <f>IF(OR(N(D19)=0,N(E19)=0),"",INT(D19/E19))</f>
        <v/>
      </c>
      <c r="I19" s="17">
        <f>IF(OR(H19="",F19=""),"",F19+H19)</f>
        <v/>
      </c>
      <c r="J19" s="36">
        <f>IF(I19="","",I19-TODAY())</f>
        <v/>
      </c>
      <c r="K19" s="17">
        <f>IF(I19="","",IF(I19-N(Dashboard!$G$4)&lt;=TODAY(),"Now",I19-N(Dashboard!$G$4)))</f>
        <v/>
      </c>
      <c r="L19" s="21">
        <f>IF(OR(N(D19)=0,N(E19)=0,G19=""),"",G19/D19*E19*30.4)</f>
        <v/>
      </c>
      <c r="M19" s="23" t="n"/>
      <c r="N19" s="1" t="n"/>
      <c r="O19">
        <f>IF(I19="","",I19+ROW()/10000000)</f>
        <v/>
      </c>
    </row>
    <row r="20">
      <c r="A20" s="1" t="n"/>
      <c r="B20" s="22" t="n"/>
      <c r="C20" s="23" t="n"/>
      <c r="D20" s="34" t="n"/>
      <c r="E20" s="35" t="n"/>
      <c r="F20" s="24" t="n"/>
      <c r="G20" s="32" t="n"/>
      <c r="H20" s="19">
        <f>IF(OR(N(D20)=0,N(E20)=0),"",INT(D20/E20))</f>
        <v/>
      </c>
      <c r="I20" s="17">
        <f>IF(OR(H20="",F20=""),"",F20+H20)</f>
        <v/>
      </c>
      <c r="J20" s="36">
        <f>IF(I20="","",I20-TODAY())</f>
        <v/>
      </c>
      <c r="K20" s="17">
        <f>IF(I20="","",IF(I20-N(Dashboard!$G$4)&lt;=TODAY(),"Now",I20-N(Dashboard!$G$4)))</f>
        <v/>
      </c>
      <c r="L20" s="21">
        <f>IF(OR(N(D20)=0,N(E20)=0,G20=""),"",G20/D20*E20*30.4)</f>
        <v/>
      </c>
      <c r="M20" s="23" t="n"/>
      <c r="N20" s="1" t="n"/>
      <c r="O20">
        <f>IF(I20="","",I20+ROW()/10000000)</f>
        <v/>
      </c>
    </row>
    <row r="21">
      <c r="A21" s="1" t="n"/>
      <c r="B21" s="22" t="n"/>
      <c r="C21" s="23" t="n"/>
      <c r="D21" s="34" t="n"/>
      <c r="E21" s="35" t="n"/>
      <c r="F21" s="24" t="n"/>
      <c r="G21" s="32" t="n"/>
      <c r="H21" s="19">
        <f>IF(OR(N(D21)=0,N(E21)=0),"",INT(D21/E21))</f>
        <v/>
      </c>
      <c r="I21" s="17">
        <f>IF(OR(H21="",F21=""),"",F21+H21)</f>
        <v/>
      </c>
      <c r="J21" s="36">
        <f>IF(I21="","",I21-TODAY())</f>
        <v/>
      </c>
      <c r="K21" s="17">
        <f>IF(I21="","",IF(I21-N(Dashboard!$G$4)&lt;=TODAY(),"Now",I21-N(Dashboard!$G$4)))</f>
        <v/>
      </c>
      <c r="L21" s="21">
        <f>IF(OR(N(D21)=0,N(E21)=0,G21=""),"",G21/D21*E21*30.4)</f>
        <v/>
      </c>
      <c r="M21" s="23" t="n"/>
      <c r="N21" s="1" t="n"/>
      <c r="O21">
        <f>IF(I21="","",I21+ROW()/10000000)</f>
        <v/>
      </c>
    </row>
    <row r="22">
      <c r="A22" s="1" t="n"/>
      <c r="B22" s="22" t="n"/>
      <c r="C22" s="23" t="n"/>
      <c r="D22" s="34" t="n"/>
      <c r="E22" s="35" t="n"/>
      <c r="F22" s="24" t="n"/>
      <c r="G22" s="32" t="n"/>
      <c r="H22" s="19">
        <f>IF(OR(N(D22)=0,N(E22)=0),"",INT(D22/E22))</f>
        <v/>
      </c>
      <c r="I22" s="17">
        <f>IF(OR(H22="",F22=""),"",F22+H22)</f>
        <v/>
      </c>
      <c r="J22" s="36">
        <f>IF(I22="","",I22-TODAY())</f>
        <v/>
      </c>
      <c r="K22" s="17">
        <f>IF(I22="","",IF(I22-N(Dashboard!$G$4)&lt;=TODAY(),"Now",I22-N(Dashboard!$G$4)))</f>
        <v/>
      </c>
      <c r="L22" s="21">
        <f>IF(OR(N(D22)=0,N(E22)=0,G22=""),"",G22/D22*E22*30.4)</f>
        <v/>
      </c>
      <c r="M22" s="23" t="n"/>
      <c r="N22" s="1" t="n"/>
      <c r="O22">
        <f>IF(I22="","",I22+ROW()/10000000)</f>
        <v/>
      </c>
    </row>
    <row r="23">
      <c r="A23" s="1" t="n"/>
      <c r="B23" s="22" t="n"/>
      <c r="C23" s="23" t="n"/>
      <c r="D23" s="34" t="n"/>
      <c r="E23" s="35" t="n"/>
      <c r="F23" s="24" t="n"/>
      <c r="G23" s="32" t="n"/>
      <c r="H23" s="19">
        <f>IF(OR(N(D23)=0,N(E23)=0),"",INT(D23/E23))</f>
        <v/>
      </c>
      <c r="I23" s="17">
        <f>IF(OR(H23="",F23=""),"",F23+H23)</f>
        <v/>
      </c>
      <c r="J23" s="36">
        <f>IF(I23="","",I23-TODAY())</f>
        <v/>
      </c>
      <c r="K23" s="17">
        <f>IF(I23="","",IF(I23-N(Dashboard!$G$4)&lt;=TODAY(),"Now",I23-N(Dashboard!$G$4)))</f>
        <v/>
      </c>
      <c r="L23" s="21">
        <f>IF(OR(N(D23)=0,N(E23)=0,G23=""),"",G23/D23*E23*30.4)</f>
        <v/>
      </c>
      <c r="M23" s="23" t="n"/>
      <c r="N23" s="1" t="n"/>
      <c r="O23">
        <f>IF(I23="","",I23+ROW()/10000000)</f>
        <v/>
      </c>
    </row>
    <row r="24">
      <c r="A24" s="1" t="n"/>
      <c r="B24" s="22" t="n"/>
      <c r="C24" s="23" t="n"/>
      <c r="D24" s="34" t="n"/>
      <c r="E24" s="35" t="n"/>
      <c r="F24" s="24" t="n"/>
      <c r="G24" s="32" t="n"/>
      <c r="H24" s="19">
        <f>IF(OR(N(D24)=0,N(E24)=0),"",INT(D24/E24))</f>
        <v/>
      </c>
      <c r="I24" s="17">
        <f>IF(OR(H24="",F24=""),"",F24+H24)</f>
        <v/>
      </c>
      <c r="J24" s="36">
        <f>IF(I24="","",I24-TODAY())</f>
        <v/>
      </c>
      <c r="K24" s="17">
        <f>IF(I24="","",IF(I24-N(Dashboard!$G$4)&lt;=TODAY(),"Now",I24-N(Dashboard!$G$4)))</f>
        <v/>
      </c>
      <c r="L24" s="21">
        <f>IF(OR(N(D24)=0,N(E24)=0,G24=""),"",G24/D24*E24*30.4)</f>
        <v/>
      </c>
      <c r="M24" s="23" t="n"/>
      <c r="N24" s="1" t="n"/>
      <c r="O24">
        <f>IF(I24="","",I24+ROW()/10000000)</f>
        <v/>
      </c>
    </row>
    <row r="25">
      <c r="A25" s="1" t="n"/>
      <c r="B25" s="22" t="n"/>
      <c r="C25" s="23" t="n"/>
      <c r="D25" s="34" t="n"/>
      <c r="E25" s="35" t="n"/>
      <c r="F25" s="24" t="n"/>
      <c r="G25" s="32" t="n"/>
      <c r="H25" s="19">
        <f>IF(OR(N(D25)=0,N(E25)=0),"",INT(D25/E25))</f>
        <v/>
      </c>
      <c r="I25" s="17">
        <f>IF(OR(H25="",F25=""),"",F25+H25)</f>
        <v/>
      </c>
      <c r="J25" s="36">
        <f>IF(I25="","",I25-TODAY())</f>
        <v/>
      </c>
      <c r="K25" s="17">
        <f>IF(I25="","",IF(I25-N(Dashboard!$G$4)&lt;=TODAY(),"Now",I25-N(Dashboard!$G$4)))</f>
        <v/>
      </c>
      <c r="L25" s="21">
        <f>IF(OR(N(D25)=0,N(E25)=0,G25=""),"",G25/D25*E25*30.4)</f>
        <v/>
      </c>
      <c r="M25" s="23" t="n"/>
      <c r="N25" s="1" t="n"/>
      <c r="O25">
        <f>IF(I25="","",I25+ROW()/10000000)</f>
        <v/>
      </c>
    </row>
    <row r="26">
      <c r="A26" s="1" t="n"/>
      <c r="B26" s="31" t="inlineStr">
        <is>
          <t>When you open a new bag, change Opened on to that day.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</sheetData>
  <conditionalFormatting sqref="K6:K25">
    <cfRule type="expression" priority="1" dxfId="0">
      <formula>K6="Now"</formula>
    </cfRule>
  </conditionalFormatting>
  <conditionalFormatting sqref="J6:J25">
    <cfRule type="expression" priority="2" dxfId="1">
      <formula>AND(ISNUMBER(J6),J6&lt;=N(Dashboard!$G$4)+7)</formula>
    </cfRule>
  </conditionalFormatting>
  <dataValidations count="1">
    <dataValidation sqref="B6:B25" showDropDown="0" showInputMessage="0" showErrorMessage="0" allowBlank="1" type="list">
      <formula1>=Pets!$B$6:$B$25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4" customWidth="1" min="4" max="4"/>
    <col width="34" customWidth="1" min="5" max="5"/>
    <col width="11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Spending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Everything you buy for your pets. Vet visits count from their own tab, so leave them out here. Use All for things they share.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3" t="inlineStr">
        <is>
          <t>Date</t>
        </is>
      </c>
      <c r="C5" s="13" t="inlineStr">
        <is>
          <t>Pet</t>
        </is>
      </c>
      <c r="D5" s="13" t="inlineStr">
        <is>
          <t>Category</t>
        </is>
      </c>
      <c r="E5" s="13" t="inlineStr">
        <is>
          <t>What</t>
        </is>
      </c>
      <c r="F5" s="13" t="inlineStr">
        <is>
          <t>Amount</t>
        </is>
      </c>
      <c r="G5" s="1" t="n"/>
    </row>
    <row r="6">
      <c r="A6" s="1" t="n"/>
      <c r="B6" s="24" t="n">
        <v>46025</v>
      </c>
      <c r="C6" s="22" t="inlineStr">
        <is>
          <t>All</t>
        </is>
      </c>
      <c r="D6" s="23" t="inlineStr">
        <is>
          <t>Medicine</t>
        </is>
      </c>
      <c r="E6" s="23" t="inlineStr">
        <is>
          <t>Flea and worming</t>
        </is>
      </c>
      <c r="F6" s="32" t="n">
        <v>18.6</v>
      </c>
      <c r="G6" s="1" t="n"/>
    </row>
    <row r="7">
      <c r="A7" s="1" t="n"/>
      <c r="B7" s="24" t="n">
        <v>46025</v>
      </c>
      <c r="C7" s="22" t="inlineStr">
        <is>
          <t>Biscuit</t>
        </is>
      </c>
      <c r="D7" s="23" t="inlineStr">
        <is>
          <t>Insurance</t>
        </is>
      </c>
      <c r="E7" s="23" t="inlineStr">
        <is>
          <t>Monthly premium</t>
        </is>
      </c>
      <c r="F7" s="32" t="n">
        <v>24.9</v>
      </c>
      <c r="G7" s="1" t="n"/>
    </row>
    <row r="8">
      <c r="A8" s="1" t="n"/>
      <c r="B8" s="24" t="n">
        <v>46030</v>
      </c>
      <c r="C8" s="22" t="inlineStr">
        <is>
          <t>Clover</t>
        </is>
      </c>
      <c r="D8" s="23" t="inlineStr">
        <is>
          <t>Food</t>
        </is>
      </c>
      <c r="E8" s="23" t="inlineStr">
        <is>
          <t>Hay and pellets</t>
        </is>
      </c>
      <c r="F8" s="32" t="n">
        <v>21.3</v>
      </c>
      <c r="G8" s="1" t="n"/>
    </row>
    <row r="9">
      <c r="A9" s="1" t="n"/>
      <c r="B9" s="24" t="n">
        <v>46035</v>
      </c>
      <c r="C9" s="22" t="inlineStr">
        <is>
          <t>Biscuit</t>
        </is>
      </c>
      <c r="D9" s="23" t="inlineStr">
        <is>
          <t>Food</t>
        </is>
      </c>
      <c r="E9" s="23" t="inlineStr">
        <is>
          <t>Adult dry food, 12 kg</t>
        </is>
      </c>
      <c r="F9" s="32" t="n">
        <v>54.99</v>
      </c>
      <c r="G9" s="1" t="n"/>
    </row>
    <row r="10">
      <c r="A10" s="1" t="n"/>
      <c r="B10" s="24" t="n">
        <v>46042</v>
      </c>
      <c r="C10" s="22" t="inlineStr">
        <is>
          <t>Miso</t>
        </is>
      </c>
      <c r="D10" s="23" t="inlineStr">
        <is>
          <t>Food</t>
        </is>
      </c>
      <c r="E10" s="23" t="inlineStr">
        <is>
          <t>Wet food, 48 pouches</t>
        </is>
      </c>
      <c r="F10" s="32" t="n">
        <v>19.2</v>
      </c>
      <c r="G10" s="1" t="n"/>
    </row>
    <row r="11">
      <c r="A11" s="1" t="n"/>
      <c r="B11" s="24" t="n">
        <v>46048</v>
      </c>
      <c r="C11" s="22" t="inlineStr">
        <is>
          <t>Miso</t>
        </is>
      </c>
      <c r="D11" s="23" t="inlineStr">
        <is>
          <t>Food</t>
        </is>
      </c>
      <c r="E11" s="23" t="inlineStr">
        <is>
          <t>Cat biscuits, 4 kg</t>
        </is>
      </c>
      <c r="F11" s="32" t="n">
        <v>22.5</v>
      </c>
      <c r="G11" s="1" t="n"/>
    </row>
    <row r="12">
      <c r="A12" s="1" t="n"/>
      <c r="B12" s="24" t="n">
        <v>46056</v>
      </c>
      <c r="C12" s="22" t="inlineStr">
        <is>
          <t>Biscuit</t>
        </is>
      </c>
      <c r="D12" s="23" t="inlineStr">
        <is>
          <t>Insurance</t>
        </is>
      </c>
      <c r="E12" s="23" t="inlineStr">
        <is>
          <t>Monthly premium</t>
        </is>
      </c>
      <c r="F12" s="32" t="n">
        <v>24.9</v>
      </c>
      <c r="G12" s="1" t="n"/>
    </row>
    <row r="13">
      <c r="A13" s="1" t="n"/>
      <c r="B13" s="24" t="n">
        <v>46058</v>
      </c>
      <c r="C13" s="22" t="inlineStr">
        <is>
          <t>Clover</t>
        </is>
      </c>
      <c r="D13" s="23" t="inlineStr">
        <is>
          <t>Food</t>
        </is>
      </c>
      <c r="E13" s="23" t="inlineStr">
        <is>
          <t>Hay and pellets</t>
        </is>
      </c>
      <c r="F13" s="32" t="n">
        <v>21.3</v>
      </c>
      <c r="G13" s="1" t="n"/>
    </row>
    <row r="14">
      <c r="A14" s="1" t="n"/>
      <c r="B14" s="24" t="n">
        <v>46063</v>
      </c>
      <c r="C14" s="22" t="inlineStr">
        <is>
          <t>All</t>
        </is>
      </c>
      <c r="D14" s="23" t="inlineStr">
        <is>
          <t>Medicine</t>
        </is>
      </c>
      <c r="E14" s="23" t="inlineStr">
        <is>
          <t>Flea and worming</t>
        </is>
      </c>
      <c r="F14" s="32" t="n">
        <v>18.6</v>
      </c>
      <c r="G14" s="1" t="n"/>
    </row>
    <row r="15">
      <c r="A15" s="1" t="n"/>
      <c r="B15" s="24" t="n">
        <v>46066</v>
      </c>
      <c r="C15" s="22" t="inlineStr">
        <is>
          <t>Miso</t>
        </is>
      </c>
      <c r="D15" s="23" t="inlineStr">
        <is>
          <t>Food</t>
        </is>
      </c>
      <c r="E15" s="23" t="inlineStr">
        <is>
          <t>Wet food, 48 pouches</t>
        </is>
      </c>
      <c r="F15" s="32" t="n">
        <v>19.2</v>
      </c>
      <c r="G15" s="1" t="n"/>
    </row>
    <row r="16">
      <c r="A16" s="1" t="n"/>
      <c r="B16" s="24" t="n">
        <v>46071</v>
      </c>
      <c r="C16" s="22" t="inlineStr">
        <is>
          <t>Biscuit</t>
        </is>
      </c>
      <c r="D16" s="23" t="inlineStr">
        <is>
          <t>Food</t>
        </is>
      </c>
      <c r="E16" s="23" t="inlineStr">
        <is>
          <t>Adult dry food, 12 kg</t>
        </is>
      </c>
      <c r="F16" s="32" t="n">
        <v>54.99</v>
      </c>
      <c r="G16" s="1" t="n"/>
    </row>
    <row r="17">
      <c r="A17" s="1" t="n"/>
      <c r="B17" s="24" t="n">
        <v>46084</v>
      </c>
      <c r="C17" s="22" t="inlineStr">
        <is>
          <t>Biscuit</t>
        </is>
      </c>
      <c r="D17" s="23" t="inlineStr">
        <is>
          <t>Insurance</t>
        </is>
      </c>
      <c r="E17" s="23" t="inlineStr">
        <is>
          <t>Monthly premium</t>
        </is>
      </c>
      <c r="F17" s="32" t="n">
        <v>24.9</v>
      </c>
      <c r="G17" s="1" t="n"/>
    </row>
    <row r="18">
      <c r="A18" s="1" t="n"/>
      <c r="B18" s="24" t="n">
        <v>46085</v>
      </c>
      <c r="C18" s="22" t="inlineStr">
        <is>
          <t>All</t>
        </is>
      </c>
      <c r="D18" s="23" t="inlineStr">
        <is>
          <t>Medicine</t>
        </is>
      </c>
      <c r="E18" s="23" t="inlineStr">
        <is>
          <t>Flea and worming</t>
        </is>
      </c>
      <c r="F18" s="32" t="n">
        <v>18.6</v>
      </c>
      <c r="G18" s="1" t="n"/>
    </row>
    <row r="19">
      <c r="A19" s="1" t="n"/>
      <c r="B19" s="24" t="n">
        <v>46089</v>
      </c>
      <c r="C19" s="22" t="inlineStr">
        <is>
          <t>Biscuit</t>
        </is>
      </c>
      <c r="D19" s="23" t="inlineStr">
        <is>
          <t>Food</t>
        </is>
      </c>
      <c r="E19" s="23" t="inlineStr">
        <is>
          <t>Adult dry food, 12 kg</t>
        </is>
      </c>
      <c r="F19" s="32" t="n">
        <v>54.99</v>
      </c>
      <c r="G19" s="1" t="n"/>
    </row>
    <row r="20">
      <c r="A20" s="1" t="n"/>
      <c r="B20" s="24" t="n">
        <v>46090</v>
      </c>
      <c r="C20" s="22" t="inlineStr">
        <is>
          <t>Miso</t>
        </is>
      </c>
      <c r="D20" s="23" t="inlineStr">
        <is>
          <t>Food</t>
        </is>
      </c>
      <c r="E20" s="23" t="inlineStr">
        <is>
          <t>Cat biscuits, 4 kg</t>
        </is>
      </c>
      <c r="F20" s="32" t="n">
        <v>22.5</v>
      </c>
      <c r="G20" s="1" t="n"/>
    </row>
    <row r="21">
      <c r="A21" s="1" t="n"/>
      <c r="B21" s="24" t="n">
        <v>46099</v>
      </c>
      <c r="C21" s="22" t="inlineStr">
        <is>
          <t>Miso</t>
        </is>
      </c>
      <c r="D21" s="23" t="inlineStr">
        <is>
          <t>Food</t>
        </is>
      </c>
      <c r="E21" s="23" t="inlineStr">
        <is>
          <t>Wet food, 48 pouches</t>
        </is>
      </c>
      <c r="F21" s="32" t="n">
        <v>19.2</v>
      </c>
      <c r="G21" s="1" t="n"/>
    </row>
    <row r="22">
      <c r="A22" s="1" t="n"/>
      <c r="B22" s="24" t="n">
        <v>46107</v>
      </c>
      <c r="C22" s="22" t="inlineStr">
        <is>
          <t>Clover</t>
        </is>
      </c>
      <c r="D22" s="23" t="inlineStr">
        <is>
          <t>Food</t>
        </is>
      </c>
      <c r="E22" s="23" t="inlineStr">
        <is>
          <t>Hay and pellets</t>
        </is>
      </c>
      <c r="F22" s="32" t="n">
        <v>21.3</v>
      </c>
      <c r="G22" s="1" t="n"/>
    </row>
    <row r="23">
      <c r="A23" s="1" t="n"/>
      <c r="B23" s="24" t="n">
        <v>46115</v>
      </c>
      <c r="C23" s="22" t="inlineStr">
        <is>
          <t>Biscuit</t>
        </is>
      </c>
      <c r="D23" s="23" t="inlineStr">
        <is>
          <t>Insurance</t>
        </is>
      </c>
      <c r="E23" s="23" t="inlineStr">
        <is>
          <t>Monthly premium</t>
        </is>
      </c>
      <c r="F23" s="32" t="n">
        <v>24.9</v>
      </c>
      <c r="G23" s="1" t="n"/>
    </row>
    <row r="24">
      <c r="A24" s="1" t="n"/>
      <c r="B24" s="24" t="n">
        <v>46116</v>
      </c>
      <c r="C24" s="22" t="inlineStr">
        <is>
          <t>All</t>
        </is>
      </c>
      <c r="D24" s="23" t="inlineStr">
        <is>
          <t>Medicine</t>
        </is>
      </c>
      <c r="E24" s="23" t="inlineStr">
        <is>
          <t>Flea and worming</t>
        </is>
      </c>
      <c r="F24" s="32" t="n">
        <v>18.6</v>
      </c>
      <c r="G24" s="1" t="n"/>
    </row>
    <row r="25">
      <c r="A25" s="1" t="n"/>
      <c r="B25" s="24" t="n">
        <v>46117</v>
      </c>
      <c r="C25" s="22" t="inlineStr">
        <is>
          <t>Clover</t>
        </is>
      </c>
      <c r="D25" s="23" t="inlineStr">
        <is>
          <t>Food</t>
        </is>
      </c>
      <c r="E25" s="23" t="inlineStr">
        <is>
          <t>Hay and pellets</t>
        </is>
      </c>
      <c r="F25" s="32" t="n">
        <v>21.3</v>
      </c>
      <c r="G25" s="1" t="n"/>
    </row>
    <row r="26">
      <c r="A26" s="1" t="n"/>
      <c r="B26" s="24" t="n">
        <v>46126</v>
      </c>
      <c r="C26" s="22" t="inlineStr">
        <is>
          <t>Biscuit</t>
        </is>
      </c>
      <c r="D26" s="23" t="inlineStr">
        <is>
          <t>Food</t>
        </is>
      </c>
      <c r="E26" s="23" t="inlineStr">
        <is>
          <t>Adult dry food, 12 kg</t>
        </is>
      </c>
      <c r="F26" s="32" t="n">
        <v>54.99</v>
      </c>
      <c r="G26" s="1" t="n"/>
    </row>
    <row r="27">
      <c r="A27" s="1" t="n"/>
      <c r="B27" s="24" t="n">
        <v>46129</v>
      </c>
      <c r="C27" s="22" t="inlineStr">
        <is>
          <t>All</t>
        </is>
      </c>
      <c r="D27" s="23" t="inlineStr">
        <is>
          <t>Boarding</t>
        </is>
      </c>
      <c r="E27" s="23" t="inlineStr">
        <is>
          <t>Pet sitter, 4 days</t>
        </is>
      </c>
      <c r="F27" s="32" t="n">
        <v>120</v>
      </c>
      <c r="G27" s="1" t="n"/>
    </row>
    <row r="28">
      <c r="A28" s="1" t="n"/>
      <c r="B28" s="24" t="n">
        <v>46133</v>
      </c>
      <c r="C28" s="22" t="inlineStr">
        <is>
          <t>Miso</t>
        </is>
      </c>
      <c r="D28" s="23" t="inlineStr">
        <is>
          <t>Food</t>
        </is>
      </c>
      <c r="E28" s="23" t="inlineStr">
        <is>
          <t>Wet food, 48 pouches</t>
        </is>
      </c>
      <c r="F28" s="32" t="n">
        <v>19.2</v>
      </c>
      <c r="G28" s="1" t="n"/>
    </row>
    <row r="29">
      <c r="A29" s="1" t="n"/>
      <c r="B29" s="24" t="n">
        <v>46145</v>
      </c>
      <c r="C29" s="22" t="inlineStr">
        <is>
          <t>Biscuit</t>
        </is>
      </c>
      <c r="D29" s="23" t="inlineStr">
        <is>
          <t>Insurance</t>
        </is>
      </c>
      <c r="E29" s="23" t="inlineStr">
        <is>
          <t>Monthly premium</t>
        </is>
      </c>
      <c r="F29" s="32" t="n">
        <v>24.9</v>
      </c>
      <c r="G29" s="1" t="n"/>
    </row>
    <row r="30">
      <c r="A30" s="1" t="n"/>
      <c r="B30" s="24" t="n">
        <v>46148</v>
      </c>
      <c r="C30" s="22" t="inlineStr">
        <is>
          <t>Biscuit</t>
        </is>
      </c>
      <c r="D30" s="23" t="inlineStr">
        <is>
          <t>Food</t>
        </is>
      </c>
      <c r="E30" s="23" t="inlineStr">
        <is>
          <t>Adult dry food, 12 kg</t>
        </is>
      </c>
      <c r="F30" s="32" t="n">
        <v>54.99</v>
      </c>
      <c r="G30" s="1" t="n"/>
    </row>
    <row r="31">
      <c r="A31" s="1" t="n"/>
      <c r="B31" s="24" t="n">
        <v>46150</v>
      </c>
      <c r="C31" s="22" t="inlineStr">
        <is>
          <t>Miso</t>
        </is>
      </c>
      <c r="D31" s="23" t="inlineStr">
        <is>
          <t>Food</t>
        </is>
      </c>
      <c r="E31" s="23" t="inlineStr">
        <is>
          <t>Wet food, 48 pouches</t>
        </is>
      </c>
      <c r="F31" s="32" t="n">
        <v>19.2</v>
      </c>
      <c r="G31" s="1" t="n"/>
    </row>
    <row r="32">
      <c r="A32" s="1" t="n"/>
      <c r="B32" s="24" t="n">
        <v>46153</v>
      </c>
      <c r="C32" s="22" t="inlineStr">
        <is>
          <t>All</t>
        </is>
      </c>
      <c r="D32" s="23" t="inlineStr">
        <is>
          <t>Medicine</t>
        </is>
      </c>
      <c r="E32" s="23" t="inlineStr">
        <is>
          <t>Flea and worming</t>
        </is>
      </c>
      <c r="F32" s="32" t="n">
        <v>18.6</v>
      </c>
      <c r="G32" s="1" t="n"/>
    </row>
    <row r="33">
      <c r="A33" s="1" t="n"/>
      <c r="B33" s="24" t="n">
        <v>46157</v>
      </c>
      <c r="C33" s="22" t="inlineStr">
        <is>
          <t>Clover</t>
        </is>
      </c>
      <c r="D33" s="23" t="inlineStr">
        <is>
          <t>Food</t>
        </is>
      </c>
      <c r="E33" s="23" t="inlineStr">
        <is>
          <t>Hay and pellets</t>
        </is>
      </c>
      <c r="F33" s="32" t="n">
        <v>21.3</v>
      </c>
      <c r="G33" s="1" t="n"/>
    </row>
    <row r="34">
      <c r="A34" s="1" t="n"/>
      <c r="B34" s="24" t="n">
        <v>46160</v>
      </c>
      <c r="C34" s="22" t="inlineStr">
        <is>
          <t>Miso</t>
        </is>
      </c>
      <c r="D34" s="23" t="inlineStr">
        <is>
          <t>Food</t>
        </is>
      </c>
      <c r="E34" s="23" t="inlineStr">
        <is>
          <t>Cat biscuits, 4 kg</t>
        </is>
      </c>
      <c r="F34" s="32" t="n">
        <v>22.5</v>
      </c>
      <c r="G34" s="1" t="n"/>
    </row>
    <row r="35">
      <c r="A35" s="1" t="n"/>
      <c r="B35" s="24" t="n">
        <v>46162</v>
      </c>
      <c r="C35" s="22" t="inlineStr">
        <is>
          <t>Biscuit</t>
        </is>
      </c>
      <c r="D35" s="23" t="inlineStr">
        <is>
          <t>Grooming</t>
        </is>
      </c>
      <c r="E35" s="23" t="inlineStr">
        <is>
          <t>Wash and trim</t>
        </is>
      </c>
      <c r="F35" s="32" t="n">
        <v>45</v>
      </c>
      <c r="G35" s="1" t="n"/>
    </row>
    <row r="36">
      <c r="A36" s="1" t="n"/>
      <c r="B36" s="24" t="n">
        <v>46176</v>
      </c>
      <c r="C36" s="22" t="inlineStr">
        <is>
          <t>Biscuit</t>
        </is>
      </c>
      <c r="D36" s="23" t="inlineStr">
        <is>
          <t>Insurance</t>
        </is>
      </c>
      <c r="E36" s="23" t="inlineStr">
        <is>
          <t>Monthly premium</t>
        </is>
      </c>
      <c r="F36" s="32" t="n">
        <v>24.9</v>
      </c>
      <c r="G36" s="1" t="n"/>
    </row>
    <row r="37">
      <c r="A37" s="1" t="n"/>
      <c r="B37" s="24" t="n">
        <v>46179</v>
      </c>
      <c r="C37" s="22" t="inlineStr">
        <is>
          <t>Miso</t>
        </is>
      </c>
      <c r="D37" s="23" t="inlineStr">
        <is>
          <t>Food</t>
        </is>
      </c>
      <c r="E37" s="23" t="inlineStr">
        <is>
          <t>Wet food, 48 pouches</t>
        </is>
      </c>
      <c r="F37" s="32" t="n">
        <v>19.2</v>
      </c>
      <c r="G37" s="1" t="n"/>
    </row>
    <row r="38">
      <c r="A38" s="1" t="n"/>
      <c r="B38" s="24" t="n">
        <v>46182</v>
      </c>
      <c r="C38" s="22" t="inlineStr">
        <is>
          <t>All</t>
        </is>
      </c>
      <c r="D38" s="23" t="inlineStr">
        <is>
          <t>Medicine</t>
        </is>
      </c>
      <c r="E38" s="23" t="inlineStr">
        <is>
          <t>Flea and worming</t>
        </is>
      </c>
      <c r="F38" s="32" t="n">
        <v>18.6</v>
      </c>
      <c r="G38" s="1" t="n"/>
    </row>
    <row r="39">
      <c r="A39" s="1" t="n"/>
      <c r="B39" s="24" t="n">
        <v>46186</v>
      </c>
      <c r="C39" s="22" t="inlineStr">
        <is>
          <t>Clover</t>
        </is>
      </c>
      <c r="D39" s="23" t="inlineStr">
        <is>
          <t>Food</t>
        </is>
      </c>
      <c r="E39" s="23" t="inlineStr">
        <is>
          <t>Hay and pellets</t>
        </is>
      </c>
      <c r="F39" s="32" t="n">
        <v>21.3</v>
      </c>
      <c r="G39" s="1" t="n"/>
    </row>
    <row r="40">
      <c r="A40" s="1" t="n"/>
      <c r="B40" s="24" t="n">
        <v>46192</v>
      </c>
      <c r="C40" s="22" t="inlineStr">
        <is>
          <t>Biscuit</t>
        </is>
      </c>
      <c r="D40" s="23" t="inlineStr">
        <is>
          <t>Food</t>
        </is>
      </c>
      <c r="E40" s="23" t="inlineStr">
        <is>
          <t>Adult dry food, 12 kg</t>
        </is>
      </c>
      <c r="F40" s="32" t="n">
        <v>54.99</v>
      </c>
      <c r="G40" s="1" t="n"/>
    </row>
    <row r="41">
      <c r="A41" s="1" t="n"/>
      <c r="B41" s="24" t="n">
        <v>46199</v>
      </c>
      <c r="C41" s="22" t="inlineStr">
        <is>
          <t>Miso</t>
        </is>
      </c>
      <c r="D41" s="23" t="inlineStr">
        <is>
          <t>Supplies</t>
        </is>
      </c>
      <c r="E41" s="23" t="inlineStr">
        <is>
          <t>New scratching post</t>
        </is>
      </c>
      <c r="F41" s="32" t="n">
        <v>36</v>
      </c>
      <c r="G41" s="1" t="n"/>
    </row>
    <row r="42">
      <c r="A42" s="1" t="n"/>
      <c r="B42" s="24" t="n">
        <v>46206</v>
      </c>
      <c r="C42" s="22" t="inlineStr">
        <is>
          <t>Biscuit</t>
        </is>
      </c>
      <c r="D42" s="23" t="inlineStr">
        <is>
          <t>Insurance</t>
        </is>
      </c>
      <c r="E42" s="23" t="inlineStr">
        <is>
          <t>Monthly premium</t>
        </is>
      </c>
      <c r="F42" s="32" t="n">
        <v>24.9</v>
      </c>
      <c r="G42" s="1" t="n"/>
    </row>
    <row r="43">
      <c r="A43" s="1" t="n"/>
      <c r="B43" s="24" t="n">
        <v>46207</v>
      </c>
      <c r="C43" s="22" t="inlineStr">
        <is>
          <t>All</t>
        </is>
      </c>
      <c r="D43" s="23" t="inlineStr">
        <is>
          <t>Medicine</t>
        </is>
      </c>
      <c r="E43" s="23" t="inlineStr">
        <is>
          <t>Flea and worming</t>
        </is>
      </c>
      <c r="F43" s="32" t="n">
        <v>18.6</v>
      </c>
      <c r="G43" s="1" t="n"/>
    </row>
    <row r="44">
      <c r="A44" s="1" t="n"/>
      <c r="B44" s="24" t="n">
        <v>46207</v>
      </c>
      <c r="C44" s="22" t="inlineStr">
        <is>
          <t>Miso</t>
        </is>
      </c>
      <c r="D44" s="23" t="inlineStr">
        <is>
          <t>Food</t>
        </is>
      </c>
      <c r="E44" s="23" t="inlineStr">
        <is>
          <t>Wet food, 48 pouches</t>
        </is>
      </c>
      <c r="F44" s="32" t="n">
        <v>19.2</v>
      </c>
      <c r="G44" s="1" t="n"/>
    </row>
    <row r="45">
      <c r="A45" s="1" t="n"/>
      <c r="B45" s="24" t="n">
        <v>46211</v>
      </c>
      <c r="C45" s="22" t="inlineStr">
        <is>
          <t>Biscuit</t>
        </is>
      </c>
      <c r="D45" s="23" t="inlineStr">
        <is>
          <t>Toys</t>
        </is>
      </c>
      <c r="E45" s="23" t="inlineStr">
        <is>
          <t>Rope toy and ball</t>
        </is>
      </c>
      <c r="F45" s="32" t="n">
        <v>12.4</v>
      </c>
      <c r="G45" s="1" t="n"/>
    </row>
    <row r="46">
      <c r="A46" s="1" t="n"/>
      <c r="B46" s="24" t="n">
        <v>46218</v>
      </c>
      <c r="C46" s="22" t="inlineStr">
        <is>
          <t>Clover</t>
        </is>
      </c>
      <c r="D46" s="23" t="inlineStr">
        <is>
          <t>Food</t>
        </is>
      </c>
      <c r="E46" s="23" t="inlineStr">
        <is>
          <t>Hay and pellets</t>
        </is>
      </c>
      <c r="F46" s="32" t="n">
        <v>21.3</v>
      </c>
      <c r="G46" s="1" t="n"/>
    </row>
    <row r="47">
      <c r="A47" s="1" t="n"/>
      <c r="B47" s="24" t="n">
        <v>46218</v>
      </c>
      <c r="C47" s="22" t="inlineStr">
        <is>
          <t>Miso</t>
        </is>
      </c>
      <c r="D47" s="23" t="inlineStr">
        <is>
          <t>Food</t>
        </is>
      </c>
      <c r="E47" s="23" t="inlineStr">
        <is>
          <t>Cat biscuits, 4 kg</t>
        </is>
      </c>
      <c r="F47" s="32" t="n">
        <v>22.5</v>
      </c>
      <c r="G47" s="1" t="n"/>
    </row>
    <row r="48">
      <c r="A48" s="1" t="n"/>
      <c r="B48" s="24" t="n">
        <v>46223</v>
      </c>
      <c r="C48" s="22" t="inlineStr">
        <is>
          <t>Biscuit</t>
        </is>
      </c>
      <c r="D48" s="23" t="inlineStr">
        <is>
          <t>Food</t>
        </is>
      </c>
      <c r="E48" s="23" t="inlineStr">
        <is>
          <t>Adult dry food, 12 kg</t>
        </is>
      </c>
      <c r="F48" s="32" t="n">
        <v>54.99</v>
      </c>
      <c r="G48" s="1" t="n"/>
    </row>
    <row r="49">
      <c r="A49" s="1" t="n"/>
      <c r="B49" s="24" t="n">
        <v>46237</v>
      </c>
      <c r="C49" s="22" t="inlineStr">
        <is>
          <t>Biscuit</t>
        </is>
      </c>
      <c r="D49" s="23" t="inlineStr">
        <is>
          <t>Insurance</t>
        </is>
      </c>
      <c r="E49" s="23" t="inlineStr">
        <is>
          <t>Monthly premium</t>
        </is>
      </c>
      <c r="F49" s="32" t="n">
        <v>24.9</v>
      </c>
      <c r="G49" s="1" t="n"/>
    </row>
    <row r="50">
      <c r="A50" s="1" t="n"/>
      <c r="B50" s="24" t="n">
        <v>46241</v>
      </c>
      <c r="C50" s="22" t="inlineStr">
        <is>
          <t>All</t>
        </is>
      </c>
      <c r="D50" s="23" t="inlineStr">
        <is>
          <t>Medicine</t>
        </is>
      </c>
      <c r="E50" s="23" t="inlineStr">
        <is>
          <t>Flea and worming</t>
        </is>
      </c>
      <c r="F50" s="32" t="n">
        <v>18.6</v>
      </c>
      <c r="G50" s="1" t="n"/>
    </row>
    <row r="51">
      <c r="A51" s="1" t="n"/>
      <c r="B51" s="24" t="n">
        <v>46243</v>
      </c>
      <c r="C51" s="22" t="inlineStr">
        <is>
          <t>Miso</t>
        </is>
      </c>
      <c r="D51" s="23" t="inlineStr">
        <is>
          <t>Food</t>
        </is>
      </c>
      <c r="E51" s="23" t="inlineStr">
        <is>
          <t>Wet food, 48 pouches</t>
        </is>
      </c>
      <c r="F51" s="32" t="n">
        <v>19.2</v>
      </c>
      <c r="G51" s="1" t="n"/>
    </row>
    <row r="52">
      <c r="A52" s="1" t="n"/>
      <c r="B52" s="24" t="n">
        <v>46246</v>
      </c>
      <c r="C52" s="22" t="inlineStr">
        <is>
          <t>Clover</t>
        </is>
      </c>
      <c r="D52" s="23" t="inlineStr">
        <is>
          <t>Supplies</t>
        </is>
      </c>
      <c r="E52" s="23" t="inlineStr">
        <is>
          <t>Litter</t>
        </is>
      </c>
      <c r="F52" s="32" t="n">
        <v>8.75</v>
      </c>
      <c r="G52" s="1" t="n"/>
    </row>
    <row r="53">
      <c r="A53" s="1" t="n"/>
      <c r="B53" s="24" t="n">
        <v>46248</v>
      </c>
      <c r="C53" s="22" t="inlineStr">
        <is>
          <t>Biscuit</t>
        </is>
      </c>
      <c r="D53" s="23" t="inlineStr">
        <is>
          <t>Food</t>
        </is>
      </c>
      <c r="E53" s="23" t="inlineStr">
        <is>
          <t>Adult dry food, 12 kg</t>
        </is>
      </c>
      <c r="F53" s="32" t="n">
        <v>54.99</v>
      </c>
      <c r="G53" s="1" t="n"/>
    </row>
    <row r="54">
      <c r="A54" s="1" t="n"/>
      <c r="B54" s="24" t="n">
        <v>46253</v>
      </c>
      <c r="C54" s="22" t="inlineStr">
        <is>
          <t>Clover</t>
        </is>
      </c>
      <c r="D54" s="23" t="inlineStr">
        <is>
          <t>Food</t>
        </is>
      </c>
      <c r="E54" s="23" t="inlineStr">
        <is>
          <t>Hay and pellets</t>
        </is>
      </c>
      <c r="F54" s="32" t="n">
        <v>21.3</v>
      </c>
      <c r="G54" s="1" t="n"/>
    </row>
    <row r="55">
      <c r="A55" s="1" t="n"/>
      <c r="B55" s="24" t="n">
        <v>46268</v>
      </c>
      <c r="C55" s="22" t="inlineStr">
        <is>
          <t>Biscuit</t>
        </is>
      </c>
      <c r="D55" s="23" t="inlineStr">
        <is>
          <t>Insurance</t>
        </is>
      </c>
      <c r="E55" s="23" t="inlineStr">
        <is>
          <t>Monthly premium</t>
        </is>
      </c>
      <c r="F55" s="32" t="n">
        <v>24.9</v>
      </c>
      <c r="G55" s="1" t="n"/>
    </row>
    <row r="56">
      <c r="A56" s="1" t="n"/>
      <c r="B56" s="24" t="n">
        <v>46270</v>
      </c>
      <c r="C56" s="22" t="inlineStr">
        <is>
          <t>All</t>
        </is>
      </c>
      <c r="D56" s="23" t="inlineStr">
        <is>
          <t>Medicine</t>
        </is>
      </c>
      <c r="E56" s="23" t="inlineStr">
        <is>
          <t>Flea and worming</t>
        </is>
      </c>
      <c r="F56" s="32" t="n">
        <v>18.6</v>
      </c>
      <c r="G56" s="1" t="n"/>
    </row>
    <row r="57">
      <c r="A57" s="1" t="n"/>
      <c r="B57" s="24" t="n">
        <v>46272</v>
      </c>
      <c r="C57" s="22" t="inlineStr">
        <is>
          <t>Biscuit</t>
        </is>
      </c>
      <c r="D57" s="23" t="inlineStr">
        <is>
          <t>Food</t>
        </is>
      </c>
      <c r="E57" s="23" t="inlineStr">
        <is>
          <t>Adult dry food, 12 kg</t>
        </is>
      </c>
      <c r="F57" s="32" t="n">
        <v>54.99</v>
      </c>
      <c r="G57" s="1" t="n"/>
    </row>
    <row r="58">
      <c r="A58" s="1" t="n"/>
      <c r="B58" s="24" t="n">
        <v>46274</v>
      </c>
      <c r="C58" s="22" t="inlineStr">
        <is>
          <t>Clover</t>
        </is>
      </c>
      <c r="D58" s="23" t="inlineStr">
        <is>
          <t>Food</t>
        </is>
      </c>
      <c r="E58" s="23" t="inlineStr">
        <is>
          <t>Hay and pellets</t>
        </is>
      </c>
      <c r="F58" s="32" t="n">
        <v>21.3</v>
      </c>
      <c r="G58" s="1" t="n"/>
    </row>
    <row r="59">
      <c r="A59" s="1" t="n"/>
      <c r="B59" s="24" t="n">
        <v>46276</v>
      </c>
      <c r="C59" s="22" t="inlineStr">
        <is>
          <t>Miso</t>
        </is>
      </c>
      <c r="D59" s="23" t="inlineStr">
        <is>
          <t>Food</t>
        </is>
      </c>
      <c r="E59" s="23" t="inlineStr">
        <is>
          <t>Wet food, 48 pouches</t>
        </is>
      </c>
      <c r="F59" s="32" t="n">
        <v>19.2</v>
      </c>
      <c r="G59" s="1" t="n"/>
    </row>
    <row r="60">
      <c r="A60" s="1" t="n"/>
      <c r="B60" s="24" t="n">
        <v>46285</v>
      </c>
      <c r="C60" s="22" t="inlineStr">
        <is>
          <t>Miso</t>
        </is>
      </c>
      <c r="D60" s="23" t="inlineStr">
        <is>
          <t>Food</t>
        </is>
      </c>
      <c r="E60" s="23" t="inlineStr">
        <is>
          <t>Cat biscuits, 4 kg</t>
        </is>
      </c>
      <c r="F60" s="32" t="n">
        <v>22.5</v>
      </c>
      <c r="G60" s="1" t="n"/>
    </row>
    <row r="61">
      <c r="A61" s="1" t="n"/>
      <c r="B61" s="24" t="n"/>
      <c r="C61" s="22" t="n"/>
      <c r="D61" s="23" t="n"/>
      <c r="E61" s="23" t="n"/>
      <c r="F61" s="32" t="n"/>
      <c r="G61" s="1" t="n"/>
    </row>
    <row r="62">
      <c r="A62" s="1" t="n"/>
      <c r="B62" s="24" t="n"/>
      <c r="C62" s="22" t="n"/>
      <c r="D62" s="23" t="n"/>
      <c r="E62" s="23" t="n"/>
      <c r="F62" s="32" t="n"/>
      <c r="G62" s="1" t="n"/>
    </row>
    <row r="63">
      <c r="A63" s="1" t="n"/>
      <c r="B63" s="24" t="n"/>
      <c r="C63" s="22" t="n"/>
      <c r="D63" s="23" t="n"/>
      <c r="E63" s="23" t="n"/>
      <c r="F63" s="32" t="n"/>
      <c r="G63" s="1" t="n"/>
    </row>
    <row r="64">
      <c r="A64" s="1" t="n"/>
      <c r="B64" s="24" t="n"/>
      <c r="C64" s="22" t="n"/>
      <c r="D64" s="23" t="n"/>
      <c r="E64" s="23" t="n"/>
      <c r="F64" s="32" t="n"/>
      <c r="G64" s="1" t="n"/>
    </row>
    <row r="65">
      <c r="A65" s="1" t="n"/>
      <c r="B65" s="24" t="n"/>
      <c r="C65" s="22" t="n"/>
      <c r="D65" s="23" t="n"/>
      <c r="E65" s="23" t="n"/>
      <c r="F65" s="32" t="n"/>
      <c r="G65" s="1" t="n"/>
    </row>
    <row r="66">
      <c r="A66" s="1" t="n"/>
      <c r="B66" s="24" t="n"/>
      <c r="C66" s="22" t="n"/>
      <c r="D66" s="23" t="n"/>
      <c r="E66" s="23" t="n"/>
      <c r="F66" s="32" t="n"/>
      <c r="G66" s="1" t="n"/>
    </row>
    <row r="67">
      <c r="A67" s="1" t="n"/>
      <c r="B67" s="24" t="n"/>
      <c r="C67" s="22" t="n"/>
      <c r="D67" s="23" t="n"/>
      <c r="E67" s="23" t="n"/>
      <c r="F67" s="32" t="n"/>
      <c r="G67" s="1" t="n"/>
    </row>
    <row r="68">
      <c r="A68" s="1" t="n"/>
      <c r="B68" s="24" t="n"/>
      <c r="C68" s="22" t="n"/>
      <c r="D68" s="23" t="n"/>
      <c r="E68" s="23" t="n"/>
      <c r="F68" s="32" t="n"/>
      <c r="G68" s="1" t="n"/>
    </row>
    <row r="69">
      <c r="A69" s="1" t="n"/>
      <c r="B69" s="24" t="n"/>
      <c r="C69" s="22" t="n"/>
      <c r="D69" s="23" t="n"/>
      <c r="E69" s="23" t="n"/>
      <c r="F69" s="32" t="n"/>
      <c r="G69" s="1" t="n"/>
    </row>
    <row r="70">
      <c r="A70" s="1" t="n"/>
      <c r="B70" s="24" t="n"/>
      <c r="C70" s="22" t="n"/>
      <c r="D70" s="23" t="n"/>
      <c r="E70" s="23" t="n"/>
      <c r="F70" s="32" t="n"/>
      <c r="G70" s="1" t="n"/>
    </row>
    <row r="71">
      <c r="A71" s="1" t="n"/>
      <c r="B71" s="24" t="n"/>
      <c r="C71" s="22" t="n"/>
      <c r="D71" s="23" t="n"/>
      <c r="E71" s="23" t="n"/>
      <c r="F71" s="32" t="n"/>
      <c r="G71" s="1" t="n"/>
    </row>
    <row r="72">
      <c r="A72" s="1" t="n"/>
      <c r="B72" s="24" t="n"/>
      <c r="C72" s="22" t="n"/>
      <c r="D72" s="23" t="n"/>
      <c r="E72" s="23" t="n"/>
      <c r="F72" s="32" t="n"/>
      <c r="G72" s="1" t="n"/>
    </row>
    <row r="73">
      <c r="A73" s="1" t="n"/>
      <c r="B73" s="24" t="n"/>
      <c r="C73" s="22" t="n"/>
      <c r="D73" s="23" t="n"/>
      <c r="E73" s="23" t="n"/>
      <c r="F73" s="32" t="n"/>
      <c r="G73" s="1" t="n"/>
    </row>
    <row r="74">
      <c r="A74" s="1" t="n"/>
      <c r="B74" s="24" t="n"/>
      <c r="C74" s="22" t="n"/>
      <c r="D74" s="23" t="n"/>
      <c r="E74" s="23" t="n"/>
      <c r="F74" s="32" t="n"/>
      <c r="G74" s="1" t="n"/>
    </row>
    <row r="75">
      <c r="A75" s="1" t="n"/>
      <c r="B75" s="24" t="n"/>
      <c r="C75" s="22" t="n"/>
      <c r="D75" s="23" t="n"/>
      <c r="E75" s="23" t="n"/>
      <c r="F75" s="32" t="n"/>
      <c r="G75" s="1" t="n"/>
    </row>
    <row r="76">
      <c r="A76" s="1" t="n"/>
      <c r="B76" s="24" t="n"/>
      <c r="C76" s="22" t="n"/>
      <c r="D76" s="23" t="n"/>
      <c r="E76" s="23" t="n"/>
      <c r="F76" s="32" t="n"/>
      <c r="G76" s="1" t="n"/>
    </row>
    <row r="77">
      <c r="A77" s="1" t="n"/>
      <c r="B77" s="24" t="n"/>
      <c r="C77" s="22" t="n"/>
      <c r="D77" s="23" t="n"/>
      <c r="E77" s="23" t="n"/>
      <c r="F77" s="32" t="n"/>
      <c r="G77" s="1" t="n"/>
    </row>
    <row r="78">
      <c r="A78" s="1" t="n"/>
      <c r="B78" s="24" t="n"/>
      <c r="C78" s="22" t="n"/>
      <c r="D78" s="23" t="n"/>
      <c r="E78" s="23" t="n"/>
      <c r="F78" s="32" t="n"/>
      <c r="G78" s="1" t="n"/>
    </row>
    <row r="79">
      <c r="A79" s="1" t="n"/>
      <c r="B79" s="24" t="n"/>
      <c r="C79" s="22" t="n"/>
      <c r="D79" s="23" t="n"/>
      <c r="E79" s="23" t="n"/>
      <c r="F79" s="32" t="n"/>
      <c r="G79" s="1" t="n"/>
    </row>
    <row r="80">
      <c r="A80" s="1" t="n"/>
      <c r="B80" s="24" t="n"/>
      <c r="C80" s="22" t="n"/>
      <c r="D80" s="23" t="n"/>
      <c r="E80" s="23" t="n"/>
      <c r="F80" s="32" t="n"/>
      <c r="G80" s="1" t="n"/>
    </row>
    <row r="81">
      <c r="A81" s="1" t="n"/>
      <c r="B81" s="24" t="n"/>
      <c r="C81" s="22" t="n"/>
      <c r="D81" s="23" t="n"/>
      <c r="E81" s="23" t="n"/>
      <c r="F81" s="32" t="n"/>
      <c r="G81" s="1" t="n"/>
    </row>
    <row r="82">
      <c r="A82" s="1" t="n"/>
      <c r="B82" s="24" t="n"/>
      <c r="C82" s="22" t="n"/>
      <c r="D82" s="23" t="n"/>
      <c r="E82" s="23" t="n"/>
      <c r="F82" s="32" t="n"/>
      <c r="G82" s="1" t="n"/>
    </row>
    <row r="83">
      <c r="A83" s="1" t="n"/>
      <c r="B83" s="24" t="n"/>
      <c r="C83" s="22" t="n"/>
      <c r="D83" s="23" t="n"/>
      <c r="E83" s="23" t="n"/>
      <c r="F83" s="32" t="n"/>
      <c r="G83" s="1" t="n"/>
    </row>
    <row r="84">
      <c r="A84" s="1" t="n"/>
      <c r="B84" s="24" t="n"/>
      <c r="C84" s="22" t="n"/>
      <c r="D84" s="23" t="n"/>
      <c r="E84" s="23" t="n"/>
      <c r="F84" s="32" t="n"/>
      <c r="G84" s="1" t="n"/>
    </row>
    <row r="85">
      <c r="A85" s="1" t="n"/>
      <c r="B85" s="24" t="n"/>
      <c r="C85" s="22" t="n"/>
      <c r="D85" s="23" t="n"/>
      <c r="E85" s="23" t="n"/>
      <c r="F85" s="32" t="n"/>
      <c r="G85" s="1" t="n"/>
    </row>
    <row r="86">
      <c r="A86" s="1" t="n"/>
      <c r="B86" s="24" t="n"/>
      <c r="C86" s="22" t="n"/>
      <c r="D86" s="23" t="n"/>
      <c r="E86" s="23" t="n"/>
      <c r="F86" s="32" t="n"/>
      <c r="G86" s="1" t="n"/>
    </row>
    <row r="87">
      <c r="A87" s="1" t="n"/>
      <c r="B87" s="24" t="n"/>
      <c r="C87" s="22" t="n"/>
      <c r="D87" s="23" t="n"/>
      <c r="E87" s="23" t="n"/>
      <c r="F87" s="32" t="n"/>
      <c r="G87" s="1" t="n"/>
    </row>
    <row r="88">
      <c r="A88" s="1" t="n"/>
      <c r="B88" s="24" t="n"/>
      <c r="C88" s="22" t="n"/>
      <c r="D88" s="23" t="n"/>
      <c r="E88" s="23" t="n"/>
      <c r="F88" s="32" t="n"/>
      <c r="G88" s="1" t="n"/>
    </row>
    <row r="89">
      <c r="A89" s="1" t="n"/>
      <c r="B89" s="24" t="n"/>
      <c r="C89" s="22" t="n"/>
      <c r="D89" s="23" t="n"/>
      <c r="E89" s="23" t="n"/>
      <c r="F89" s="32" t="n"/>
      <c r="G89" s="1" t="n"/>
    </row>
    <row r="90">
      <c r="A90" s="1" t="n"/>
      <c r="B90" s="24" t="n"/>
      <c r="C90" s="22" t="n"/>
      <c r="D90" s="23" t="n"/>
      <c r="E90" s="23" t="n"/>
      <c r="F90" s="32" t="n"/>
      <c r="G90" s="1" t="n"/>
    </row>
    <row r="91">
      <c r="A91" s="1" t="n"/>
      <c r="B91" s="24" t="n"/>
      <c r="C91" s="22" t="n"/>
      <c r="D91" s="23" t="n"/>
      <c r="E91" s="23" t="n"/>
      <c r="F91" s="32" t="n"/>
      <c r="G91" s="1" t="n"/>
    </row>
    <row r="92">
      <c r="A92" s="1" t="n"/>
      <c r="B92" s="24" t="n"/>
      <c r="C92" s="22" t="n"/>
      <c r="D92" s="23" t="n"/>
      <c r="E92" s="23" t="n"/>
      <c r="F92" s="32" t="n"/>
      <c r="G92" s="1" t="n"/>
    </row>
    <row r="93">
      <c r="A93" s="1" t="n"/>
      <c r="B93" s="24" t="n"/>
      <c r="C93" s="22" t="n"/>
      <c r="D93" s="23" t="n"/>
      <c r="E93" s="23" t="n"/>
      <c r="F93" s="32" t="n"/>
      <c r="G93" s="1" t="n"/>
    </row>
    <row r="94">
      <c r="A94" s="1" t="n"/>
      <c r="B94" s="24" t="n"/>
      <c r="C94" s="22" t="n"/>
      <c r="D94" s="23" t="n"/>
      <c r="E94" s="23" t="n"/>
      <c r="F94" s="32" t="n"/>
      <c r="G94" s="1" t="n"/>
    </row>
    <row r="95">
      <c r="A95" s="1" t="n"/>
      <c r="B95" s="24" t="n"/>
      <c r="C95" s="22" t="n"/>
      <c r="D95" s="23" t="n"/>
      <c r="E95" s="23" t="n"/>
      <c r="F95" s="32" t="n"/>
      <c r="G95" s="1" t="n"/>
    </row>
    <row r="96">
      <c r="A96" s="1" t="n"/>
      <c r="B96" s="24" t="n"/>
      <c r="C96" s="22" t="n"/>
      <c r="D96" s="23" t="n"/>
      <c r="E96" s="23" t="n"/>
      <c r="F96" s="32" t="n"/>
      <c r="G96" s="1" t="n"/>
    </row>
    <row r="97">
      <c r="A97" s="1" t="n"/>
      <c r="B97" s="24" t="n"/>
      <c r="C97" s="22" t="n"/>
      <c r="D97" s="23" t="n"/>
      <c r="E97" s="23" t="n"/>
      <c r="F97" s="32" t="n"/>
      <c r="G97" s="1" t="n"/>
    </row>
    <row r="98">
      <c r="A98" s="1" t="n"/>
      <c r="B98" s="24" t="n"/>
      <c r="C98" s="22" t="n"/>
      <c r="D98" s="23" t="n"/>
      <c r="E98" s="23" t="n"/>
      <c r="F98" s="32" t="n"/>
      <c r="G98" s="1" t="n"/>
    </row>
    <row r="99">
      <c r="A99" s="1" t="n"/>
      <c r="B99" s="24" t="n"/>
      <c r="C99" s="22" t="n"/>
      <c r="D99" s="23" t="n"/>
      <c r="E99" s="23" t="n"/>
      <c r="F99" s="32" t="n"/>
      <c r="G99" s="1" t="n"/>
    </row>
    <row r="100">
      <c r="A100" s="1" t="n"/>
      <c r="B100" s="24" t="n"/>
      <c r="C100" s="22" t="n"/>
      <c r="D100" s="23" t="n"/>
      <c r="E100" s="23" t="n"/>
      <c r="F100" s="32" t="n"/>
      <c r="G100" s="1" t="n"/>
    </row>
    <row r="101">
      <c r="A101" s="1" t="n"/>
      <c r="B101" s="24" t="n"/>
      <c r="C101" s="22" t="n"/>
      <c r="D101" s="23" t="n"/>
      <c r="E101" s="23" t="n"/>
      <c r="F101" s="32" t="n"/>
      <c r="G101" s="1" t="n"/>
    </row>
    <row r="102">
      <c r="A102" s="1" t="n"/>
      <c r="B102" s="24" t="n"/>
      <c r="C102" s="22" t="n"/>
      <c r="D102" s="23" t="n"/>
      <c r="E102" s="23" t="n"/>
      <c r="F102" s="32" t="n"/>
      <c r="G102" s="1" t="n"/>
    </row>
    <row r="103">
      <c r="A103" s="1" t="n"/>
      <c r="B103" s="24" t="n"/>
      <c r="C103" s="22" t="n"/>
      <c r="D103" s="23" t="n"/>
      <c r="E103" s="23" t="n"/>
      <c r="F103" s="32" t="n"/>
      <c r="G103" s="1" t="n"/>
    </row>
    <row r="104">
      <c r="A104" s="1" t="n"/>
      <c r="B104" s="24" t="n"/>
      <c r="C104" s="22" t="n"/>
      <c r="D104" s="23" t="n"/>
      <c r="E104" s="23" t="n"/>
      <c r="F104" s="32" t="n"/>
      <c r="G104" s="1" t="n"/>
    </row>
    <row r="105">
      <c r="A105" s="1" t="n"/>
      <c r="B105" s="24" t="n"/>
      <c r="C105" s="22" t="n"/>
      <c r="D105" s="23" t="n"/>
      <c r="E105" s="23" t="n"/>
      <c r="F105" s="32" t="n"/>
      <c r="G105" s="1" t="n"/>
    </row>
    <row r="106">
      <c r="A106" s="1" t="n"/>
      <c r="B106" s="24" t="n"/>
      <c r="C106" s="22" t="n"/>
      <c r="D106" s="23" t="n"/>
      <c r="E106" s="23" t="n"/>
      <c r="F106" s="32" t="n"/>
      <c r="G106" s="1" t="n"/>
    </row>
    <row r="107">
      <c r="A107" s="1" t="n"/>
      <c r="B107" s="24" t="n"/>
      <c r="C107" s="22" t="n"/>
      <c r="D107" s="23" t="n"/>
      <c r="E107" s="23" t="n"/>
      <c r="F107" s="32" t="n"/>
      <c r="G107" s="1" t="n"/>
    </row>
    <row r="108">
      <c r="A108" s="1" t="n"/>
      <c r="B108" s="24" t="n"/>
      <c r="C108" s="22" t="n"/>
      <c r="D108" s="23" t="n"/>
      <c r="E108" s="23" t="n"/>
      <c r="F108" s="32" t="n"/>
      <c r="G108" s="1" t="n"/>
    </row>
    <row r="109">
      <c r="A109" s="1" t="n"/>
      <c r="B109" s="24" t="n"/>
      <c r="C109" s="22" t="n"/>
      <c r="D109" s="23" t="n"/>
      <c r="E109" s="23" t="n"/>
      <c r="F109" s="32" t="n"/>
      <c r="G109" s="1" t="n"/>
    </row>
    <row r="110">
      <c r="A110" s="1" t="n"/>
      <c r="B110" s="24" t="n"/>
      <c r="C110" s="22" t="n"/>
      <c r="D110" s="23" t="n"/>
      <c r="E110" s="23" t="n"/>
      <c r="F110" s="32" t="n"/>
      <c r="G110" s="1" t="n"/>
    </row>
    <row r="111">
      <c r="A111" s="1" t="n"/>
      <c r="B111" s="24" t="n"/>
      <c r="C111" s="22" t="n"/>
      <c r="D111" s="23" t="n"/>
      <c r="E111" s="23" t="n"/>
      <c r="F111" s="32" t="n"/>
      <c r="G111" s="1" t="n"/>
    </row>
    <row r="112">
      <c r="A112" s="1" t="n"/>
      <c r="B112" s="24" t="n"/>
      <c r="C112" s="22" t="n"/>
      <c r="D112" s="23" t="n"/>
      <c r="E112" s="23" t="n"/>
      <c r="F112" s="32" t="n"/>
      <c r="G112" s="1" t="n"/>
    </row>
    <row r="113">
      <c r="A113" s="1" t="n"/>
      <c r="B113" s="24" t="n"/>
      <c r="C113" s="22" t="n"/>
      <c r="D113" s="23" t="n"/>
      <c r="E113" s="23" t="n"/>
      <c r="F113" s="32" t="n"/>
      <c r="G113" s="1" t="n"/>
    </row>
    <row r="114">
      <c r="A114" s="1" t="n"/>
      <c r="B114" s="24" t="n"/>
      <c r="C114" s="22" t="n"/>
      <c r="D114" s="23" t="n"/>
      <c r="E114" s="23" t="n"/>
      <c r="F114" s="32" t="n"/>
      <c r="G114" s="1" t="n"/>
    </row>
    <row r="115">
      <c r="A115" s="1" t="n"/>
      <c r="B115" s="24" t="n"/>
      <c r="C115" s="22" t="n"/>
      <c r="D115" s="23" t="n"/>
      <c r="E115" s="23" t="n"/>
      <c r="F115" s="32" t="n"/>
      <c r="G115" s="1" t="n"/>
    </row>
    <row r="116">
      <c r="A116" s="1" t="n"/>
      <c r="B116" s="24" t="n"/>
      <c r="C116" s="22" t="n"/>
      <c r="D116" s="23" t="n"/>
      <c r="E116" s="23" t="n"/>
      <c r="F116" s="32" t="n"/>
      <c r="G116" s="1" t="n"/>
    </row>
    <row r="117">
      <c r="A117" s="1" t="n"/>
      <c r="B117" s="24" t="n"/>
      <c r="C117" s="22" t="n"/>
      <c r="D117" s="23" t="n"/>
      <c r="E117" s="23" t="n"/>
      <c r="F117" s="32" t="n"/>
      <c r="G117" s="1" t="n"/>
    </row>
    <row r="118">
      <c r="A118" s="1" t="n"/>
      <c r="B118" s="24" t="n"/>
      <c r="C118" s="22" t="n"/>
      <c r="D118" s="23" t="n"/>
      <c r="E118" s="23" t="n"/>
      <c r="F118" s="32" t="n"/>
      <c r="G118" s="1" t="n"/>
    </row>
    <row r="119">
      <c r="A119" s="1" t="n"/>
      <c r="B119" s="24" t="n"/>
      <c r="C119" s="22" t="n"/>
      <c r="D119" s="23" t="n"/>
      <c r="E119" s="23" t="n"/>
      <c r="F119" s="32" t="n"/>
      <c r="G119" s="1" t="n"/>
    </row>
    <row r="120">
      <c r="A120" s="1" t="n"/>
      <c r="B120" s="24" t="n"/>
      <c r="C120" s="22" t="n"/>
      <c r="D120" s="23" t="n"/>
      <c r="E120" s="23" t="n"/>
      <c r="F120" s="32" t="n"/>
      <c r="G120" s="1" t="n"/>
    </row>
    <row r="121">
      <c r="A121" s="1" t="n"/>
      <c r="B121" s="24" t="n"/>
      <c r="C121" s="22" t="n"/>
      <c r="D121" s="23" t="n"/>
      <c r="E121" s="23" t="n"/>
      <c r="F121" s="32" t="n"/>
      <c r="G121" s="1" t="n"/>
    </row>
    <row r="122">
      <c r="A122" s="1" t="n"/>
      <c r="B122" s="24" t="n"/>
      <c r="C122" s="22" t="n"/>
      <c r="D122" s="23" t="n"/>
      <c r="E122" s="23" t="n"/>
      <c r="F122" s="32" t="n"/>
      <c r="G122" s="1" t="n"/>
    </row>
    <row r="123">
      <c r="A123" s="1" t="n"/>
      <c r="B123" s="24" t="n"/>
      <c r="C123" s="22" t="n"/>
      <c r="D123" s="23" t="n"/>
      <c r="E123" s="23" t="n"/>
      <c r="F123" s="32" t="n"/>
      <c r="G123" s="1" t="n"/>
    </row>
    <row r="124">
      <c r="A124" s="1" t="n"/>
      <c r="B124" s="24" t="n"/>
      <c r="C124" s="22" t="n"/>
      <c r="D124" s="23" t="n"/>
      <c r="E124" s="23" t="n"/>
      <c r="F124" s="32" t="n"/>
      <c r="G124" s="1" t="n"/>
    </row>
    <row r="125">
      <c r="A125" s="1" t="n"/>
      <c r="B125" s="24" t="n"/>
      <c r="C125" s="22" t="n"/>
      <c r="D125" s="23" t="n"/>
      <c r="E125" s="23" t="n"/>
      <c r="F125" s="32" t="n"/>
      <c r="G125" s="1" t="n"/>
    </row>
    <row r="126">
      <c r="A126" s="1" t="n"/>
      <c r="B126" s="24" t="n"/>
      <c r="C126" s="22" t="n"/>
      <c r="D126" s="23" t="n"/>
      <c r="E126" s="23" t="n"/>
      <c r="F126" s="32" t="n"/>
      <c r="G126" s="1" t="n"/>
    </row>
    <row r="127">
      <c r="A127" s="1" t="n"/>
      <c r="B127" s="24" t="n"/>
      <c r="C127" s="22" t="n"/>
      <c r="D127" s="23" t="n"/>
      <c r="E127" s="23" t="n"/>
      <c r="F127" s="32" t="n"/>
      <c r="G127" s="1" t="n"/>
    </row>
    <row r="128">
      <c r="A128" s="1" t="n"/>
      <c r="B128" s="24" t="n"/>
      <c r="C128" s="22" t="n"/>
      <c r="D128" s="23" t="n"/>
      <c r="E128" s="23" t="n"/>
      <c r="F128" s="32" t="n"/>
      <c r="G128" s="1" t="n"/>
    </row>
    <row r="129">
      <c r="A129" s="1" t="n"/>
      <c r="B129" s="24" t="n"/>
      <c r="C129" s="22" t="n"/>
      <c r="D129" s="23" t="n"/>
      <c r="E129" s="23" t="n"/>
      <c r="F129" s="32" t="n"/>
      <c r="G129" s="1" t="n"/>
    </row>
    <row r="130">
      <c r="A130" s="1" t="n"/>
      <c r="B130" s="24" t="n"/>
      <c r="C130" s="22" t="n"/>
      <c r="D130" s="23" t="n"/>
      <c r="E130" s="23" t="n"/>
      <c r="F130" s="32" t="n"/>
      <c r="G130" s="1" t="n"/>
    </row>
    <row r="131">
      <c r="A131" s="1" t="n"/>
      <c r="B131" s="24" t="n"/>
      <c r="C131" s="22" t="n"/>
      <c r="D131" s="23" t="n"/>
      <c r="E131" s="23" t="n"/>
      <c r="F131" s="32" t="n"/>
      <c r="G131" s="1" t="n"/>
    </row>
    <row r="132">
      <c r="A132" s="1" t="n"/>
      <c r="B132" s="24" t="n"/>
      <c r="C132" s="22" t="n"/>
      <c r="D132" s="23" t="n"/>
      <c r="E132" s="23" t="n"/>
      <c r="F132" s="32" t="n"/>
      <c r="G132" s="1" t="n"/>
    </row>
    <row r="133">
      <c r="A133" s="1" t="n"/>
      <c r="B133" s="24" t="n"/>
      <c r="C133" s="22" t="n"/>
      <c r="D133" s="23" t="n"/>
      <c r="E133" s="23" t="n"/>
      <c r="F133" s="32" t="n"/>
      <c r="G133" s="1" t="n"/>
    </row>
    <row r="134">
      <c r="A134" s="1" t="n"/>
      <c r="B134" s="24" t="n"/>
      <c r="C134" s="22" t="n"/>
      <c r="D134" s="23" t="n"/>
      <c r="E134" s="23" t="n"/>
      <c r="F134" s="32" t="n"/>
      <c r="G134" s="1" t="n"/>
    </row>
    <row r="135">
      <c r="A135" s="1" t="n"/>
      <c r="B135" s="24" t="n"/>
      <c r="C135" s="22" t="n"/>
      <c r="D135" s="23" t="n"/>
      <c r="E135" s="23" t="n"/>
      <c r="F135" s="32" t="n"/>
      <c r="G135" s="1" t="n"/>
    </row>
    <row r="136">
      <c r="A136" s="1" t="n"/>
      <c r="B136" s="24" t="n"/>
      <c r="C136" s="22" t="n"/>
      <c r="D136" s="23" t="n"/>
      <c r="E136" s="23" t="n"/>
      <c r="F136" s="32" t="n"/>
      <c r="G136" s="1" t="n"/>
    </row>
    <row r="137">
      <c r="A137" s="1" t="n"/>
      <c r="B137" s="24" t="n"/>
      <c r="C137" s="22" t="n"/>
      <c r="D137" s="23" t="n"/>
      <c r="E137" s="23" t="n"/>
      <c r="F137" s="32" t="n"/>
      <c r="G137" s="1" t="n"/>
    </row>
    <row r="138">
      <c r="A138" s="1" t="n"/>
      <c r="B138" s="24" t="n"/>
      <c r="C138" s="22" t="n"/>
      <c r="D138" s="23" t="n"/>
      <c r="E138" s="23" t="n"/>
      <c r="F138" s="32" t="n"/>
      <c r="G138" s="1" t="n"/>
    </row>
    <row r="139">
      <c r="A139" s="1" t="n"/>
      <c r="B139" s="24" t="n"/>
      <c r="C139" s="22" t="n"/>
      <c r="D139" s="23" t="n"/>
      <c r="E139" s="23" t="n"/>
      <c r="F139" s="32" t="n"/>
      <c r="G139" s="1" t="n"/>
    </row>
    <row r="140">
      <c r="A140" s="1" t="n"/>
      <c r="B140" s="24" t="n"/>
      <c r="C140" s="22" t="n"/>
      <c r="D140" s="23" t="n"/>
      <c r="E140" s="23" t="n"/>
      <c r="F140" s="32" t="n"/>
      <c r="G140" s="1" t="n"/>
    </row>
    <row r="141">
      <c r="A141" s="1" t="n"/>
      <c r="B141" s="24" t="n"/>
      <c r="C141" s="22" t="n"/>
      <c r="D141" s="23" t="n"/>
      <c r="E141" s="23" t="n"/>
      <c r="F141" s="32" t="n"/>
      <c r="G141" s="1" t="n"/>
    </row>
    <row r="142">
      <c r="A142" s="1" t="n"/>
      <c r="B142" s="24" t="n"/>
      <c r="C142" s="22" t="n"/>
      <c r="D142" s="23" t="n"/>
      <c r="E142" s="23" t="n"/>
      <c r="F142" s="32" t="n"/>
      <c r="G142" s="1" t="n"/>
    </row>
    <row r="143">
      <c r="A143" s="1" t="n"/>
      <c r="B143" s="24" t="n"/>
      <c r="C143" s="22" t="n"/>
      <c r="D143" s="23" t="n"/>
      <c r="E143" s="23" t="n"/>
      <c r="F143" s="32" t="n"/>
      <c r="G143" s="1" t="n"/>
    </row>
    <row r="144">
      <c r="A144" s="1" t="n"/>
      <c r="B144" s="24" t="n"/>
      <c r="C144" s="22" t="n"/>
      <c r="D144" s="23" t="n"/>
      <c r="E144" s="23" t="n"/>
      <c r="F144" s="32" t="n"/>
      <c r="G144" s="1" t="n"/>
    </row>
    <row r="145">
      <c r="A145" s="1" t="n"/>
      <c r="B145" s="24" t="n"/>
      <c r="C145" s="22" t="n"/>
      <c r="D145" s="23" t="n"/>
      <c r="E145" s="23" t="n"/>
      <c r="F145" s="32" t="n"/>
      <c r="G145" s="1" t="n"/>
    </row>
    <row r="146">
      <c r="A146" s="1" t="n"/>
      <c r="B146" s="24" t="n"/>
      <c r="C146" s="22" t="n"/>
      <c r="D146" s="23" t="n"/>
      <c r="E146" s="23" t="n"/>
      <c r="F146" s="32" t="n"/>
      <c r="G146" s="1" t="n"/>
    </row>
    <row r="147">
      <c r="A147" s="1" t="n"/>
      <c r="B147" s="24" t="n"/>
      <c r="C147" s="22" t="n"/>
      <c r="D147" s="23" t="n"/>
      <c r="E147" s="23" t="n"/>
      <c r="F147" s="32" t="n"/>
      <c r="G147" s="1" t="n"/>
    </row>
    <row r="148">
      <c r="A148" s="1" t="n"/>
      <c r="B148" s="24" t="n"/>
      <c r="C148" s="22" t="n"/>
      <c r="D148" s="23" t="n"/>
      <c r="E148" s="23" t="n"/>
      <c r="F148" s="32" t="n"/>
      <c r="G148" s="1" t="n"/>
    </row>
    <row r="149">
      <c r="A149" s="1" t="n"/>
      <c r="B149" s="24" t="n"/>
      <c r="C149" s="22" t="n"/>
      <c r="D149" s="23" t="n"/>
      <c r="E149" s="23" t="n"/>
      <c r="F149" s="32" t="n"/>
      <c r="G149" s="1" t="n"/>
    </row>
    <row r="150">
      <c r="A150" s="1" t="n"/>
      <c r="B150" s="24" t="n"/>
      <c r="C150" s="22" t="n"/>
      <c r="D150" s="23" t="n"/>
      <c r="E150" s="23" t="n"/>
      <c r="F150" s="32" t="n"/>
      <c r="G150" s="1" t="n"/>
    </row>
    <row r="151">
      <c r="A151" s="1" t="n"/>
      <c r="B151" s="24" t="n"/>
      <c r="C151" s="22" t="n"/>
      <c r="D151" s="23" t="n"/>
      <c r="E151" s="23" t="n"/>
      <c r="F151" s="32" t="n"/>
      <c r="G151" s="1" t="n"/>
    </row>
    <row r="152">
      <c r="A152" s="1" t="n"/>
      <c r="B152" s="24" t="n"/>
      <c r="C152" s="22" t="n"/>
      <c r="D152" s="23" t="n"/>
      <c r="E152" s="23" t="n"/>
      <c r="F152" s="32" t="n"/>
      <c r="G152" s="1" t="n"/>
    </row>
    <row r="153">
      <c r="A153" s="1" t="n"/>
      <c r="B153" s="24" t="n"/>
      <c r="C153" s="22" t="n"/>
      <c r="D153" s="23" t="n"/>
      <c r="E153" s="23" t="n"/>
      <c r="F153" s="32" t="n"/>
      <c r="G153" s="1" t="n"/>
    </row>
    <row r="154">
      <c r="A154" s="1" t="n"/>
      <c r="B154" s="24" t="n"/>
      <c r="C154" s="22" t="n"/>
      <c r="D154" s="23" t="n"/>
      <c r="E154" s="23" t="n"/>
      <c r="F154" s="32" t="n"/>
      <c r="G154" s="1" t="n"/>
    </row>
    <row r="155">
      <c r="A155" s="1" t="n"/>
      <c r="B155" s="24" t="n"/>
      <c r="C155" s="22" t="n"/>
      <c r="D155" s="23" t="n"/>
      <c r="E155" s="23" t="n"/>
      <c r="F155" s="32" t="n"/>
      <c r="G155" s="1" t="n"/>
    </row>
    <row r="156">
      <c r="A156" s="1" t="n"/>
      <c r="B156" s="24" t="n"/>
      <c r="C156" s="22" t="n"/>
      <c r="D156" s="23" t="n"/>
      <c r="E156" s="23" t="n"/>
      <c r="F156" s="32" t="n"/>
      <c r="G156" s="1" t="n"/>
    </row>
    <row r="157">
      <c r="A157" s="1" t="n"/>
      <c r="B157" s="24" t="n"/>
      <c r="C157" s="22" t="n"/>
      <c r="D157" s="23" t="n"/>
      <c r="E157" s="23" t="n"/>
      <c r="F157" s="32" t="n"/>
      <c r="G157" s="1" t="n"/>
    </row>
    <row r="158">
      <c r="A158" s="1" t="n"/>
      <c r="B158" s="24" t="n"/>
      <c r="C158" s="22" t="n"/>
      <c r="D158" s="23" t="n"/>
      <c r="E158" s="23" t="n"/>
      <c r="F158" s="32" t="n"/>
      <c r="G158" s="1" t="n"/>
    </row>
    <row r="159">
      <c r="A159" s="1" t="n"/>
      <c r="B159" s="24" t="n"/>
      <c r="C159" s="22" t="n"/>
      <c r="D159" s="23" t="n"/>
      <c r="E159" s="23" t="n"/>
      <c r="F159" s="32" t="n"/>
      <c r="G159" s="1" t="n"/>
    </row>
    <row r="160">
      <c r="A160" s="1" t="n"/>
      <c r="B160" s="24" t="n"/>
      <c r="C160" s="22" t="n"/>
      <c r="D160" s="23" t="n"/>
      <c r="E160" s="23" t="n"/>
      <c r="F160" s="32" t="n"/>
      <c r="G160" s="1" t="n"/>
    </row>
    <row r="161">
      <c r="A161" s="1" t="n"/>
      <c r="B161" s="24" t="n"/>
      <c r="C161" s="22" t="n"/>
      <c r="D161" s="23" t="n"/>
      <c r="E161" s="23" t="n"/>
      <c r="F161" s="32" t="n"/>
      <c r="G161" s="1" t="n"/>
    </row>
    <row r="162">
      <c r="A162" s="1" t="n"/>
      <c r="B162" s="24" t="n"/>
      <c r="C162" s="22" t="n"/>
      <c r="D162" s="23" t="n"/>
      <c r="E162" s="23" t="n"/>
      <c r="F162" s="32" t="n"/>
      <c r="G162" s="1" t="n"/>
    </row>
    <row r="163">
      <c r="A163" s="1" t="n"/>
      <c r="B163" s="24" t="n"/>
      <c r="C163" s="22" t="n"/>
      <c r="D163" s="23" t="n"/>
      <c r="E163" s="23" t="n"/>
      <c r="F163" s="32" t="n"/>
      <c r="G163" s="1" t="n"/>
    </row>
    <row r="164">
      <c r="A164" s="1" t="n"/>
      <c r="B164" s="24" t="n"/>
      <c r="C164" s="22" t="n"/>
      <c r="D164" s="23" t="n"/>
      <c r="E164" s="23" t="n"/>
      <c r="F164" s="32" t="n"/>
      <c r="G164" s="1" t="n"/>
    </row>
    <row r="165">
      <c r="A165" s="1" t="n"/>
      <c r="B165" s="24" t="n"/>
      <c r="C165" s="22" t="n"/>
      <c r="D165" s="23" t="n"/>
      <c r="E165" s="23" t="n"/>
      <c r="F165" s="32" t="n"/>
      <c r="G165" s="1" t="n"/>
    </row>
    <row r="166">
      <c r="A166" s="1" t="n"/>
      <c r="B166" s="24" t="n"/>
      <c r="C166" s="22" t="n"/>
      <c r="D166" s="23" t="n"/>
      <c r="E166" s="23" t="n"/>
      <c r="F166" s="32" t="n"/>
      <c r="G166" s="1" t="n"/>
    </row>
    <row r="167">
      <c r="A167" s="1" t="n"/>
      <c r="B167" s="24" t="n"/>
      <c r="C167" s="22" t="n"/>
      <c r="D167" s="23" t="n"/>
      <c r="E167" s="23" t="n"/>
      <c r="F167" s="32" t="n"/>
      <c r="G167" s="1" t="n"/>
    </row>
    <row r="168">
      <c r="A168" s="1" t="n"/>
      <c r="B168" s="24" t="n"/>
      <c r="C168" s="22" t="n"/>
      <c r="D168" s="23" t="n"/>
      <c r="E168" s="23" t="n"/>
      <c r="F168" s="32" t="n"/>
      <c r="G168" s="1" t="n"/>
    </row>
    <row r="169">
      <c r="A169" s="1" t="n"/>
      <c r="B169" s="24" t="n"/>
      <c r="C169" s="22" t="n"/>
      <c r="D169" s="23" t="n"/>
      <c r="E169" s="23" t="n"/>
      <c r="F169" s="32" t="n"/>
      <c r="G169" s="1" t="n"/>
    </row>
    <row r="170">
      <c r="A170" s="1" t="n"/>
      <c r="B170" s="24" t="n"/>
      <c r="C170" s="22" t="n"/>
      <c r="D170" s="23" t="n"/>
      <c r="E170" s="23" t="n"/>
      <c r="F170" s="32" t="n"/>
      <c r="G170" s="1" t="n"/>
    </row>
    <row r="171">
      <c r="A171" s="1" t="n"/>
      <c r="B171" s="24" t="n"/>
      <c r="C171" s="22" t="n"/>
      <c r="D171" s="23" t="n"/>
      <c r="E171" s="23" t="n"/>
      <c r="F171" s="32" t="n"/>
      <c r="G171" s="1" t="n"/>
    </row>
    <row r="172">
      <c r="A172" s="1" t="n"/>
      <c r="B172" s="24" t="n"/>
      <c r="C172" s="22" t="n"/>
      <c r="D172" s="23" t="n"/>
      <c r="E172" s="23" t="n"/>
      <c r="F172" s="32" t="n"/>
      <c r="G172" s="1" t="n"/>
    </row>
    <row r="173">
      <c r="A173" s="1" t="n"/>
      <c r="B173" s="24" t="n"/>
      <c r="C173" s="22" t="n"/>
      <c r="D173" s="23" t="n"/>
      <c r="E173" s="23" t="n"/>
      <c r="F173" s="32" t="n"/>
      <c r="G173" s="1" t="n"/>
    </row>
    <row r="174">
      <c r="A174" s="1" t="n"/>
      <c r="B174" s="24" t="n"/>
      <c r="C174" s="22" t="n"/>
      <c r="D174" s="23" t="n"/>
      <c r="E174" s="23" t="n"/>
      <c r="F174" s="32" t="n"/>
      <c r="G174" s="1" t="n"/>
    </row>
    <row r="175">
      <c r="A175" s="1" t="n"/>
      <c r="B175" s="24" t="n"/>
      <c r="C175" s="22" t="n"/>
      <c r="D175" s="23" t="n"/>
      <c r="E175" s="23" t="n"/>
      <c r="F175" s="32" t="n"/>
      <c r="G175" s="1" t="n"/>
    </row>
    <row r="176">
      <c r="A176" s="1" t="n"/>
      <c r="B176" s="24" t="n"/>
      <c r="C176" s="22" t="n"/>
      <c r="D176" s="23" t="n"/>
      <c r="E176" s="23" t="n"/>
      <c r="F176" s="32" t="n"/>
      <c r="G176" s="1" t="n"/>
    </row>
    <row r="177">
      <c r="A177" s="1" t="n"/>
      <c r="B177" s="24" t="n"/>
      <c r="C177" s="22" t="n"/>
      <c r="D177" s="23" t="n"/>
      <c r="E177" s="23" t="n"/>
      <c r="F177" s="32" t="n"/>
      <c r="G177" s="1" t="n"/>
    </row>
    <row r="178">
      <c r="A178" s="1" t="n"/>
      <c r="B178" s="24" t="n"/>
      <c r="C178" s="22" t="n"/>
      <c r="D178" s="23" t="n"/>
      <c r="E178" s="23" t="n"/>
      <c r="F178" s="32" t="n"/>
      <c r="G178" s="1" t="n"/>
    </row>
    <row r="179">
      <c r="A179" s="1" t="n"/>
      <c r="B179" s="24" t="n"/>
      <c r="C179" s="22" t="n"/>
      <c r="D179" s="23" t="n"/>
      <c r="E179" s="23" t="n"/>
      <c r="F179" s="32" t="n"/>
      <c r="G179" s="1" t="n"/>
    </row>
    <row r="180">
      <c r="A180" s="1" t="n"/>
      <c r="B180" s="24" t="n"/>
      <c r="C180" s="22" t="n"/>
      <c r="D180" s="23" t="n"/>
      <c r="E180" s="23" t="n"/>
      <c r="F180" s="32" t="n"/>
      <c r="G180" s="1" t="n"/>
    </row>
    <row r="181">
      <c r="A181" s="1" t="n"/>
      <c r="B181" s="24" t="n"/>
      <c r="C181" s="22" t="n"/>
      <c r="D181" s="23" t="n"/>
      <c r="E181" s="23" t="n"/>
      <c r="F181" s="32" t="n"/>
      <c r="G181" s="1" t="n"/>
    </row>
    <row r="182">
      <c r="A182" s="1" t="n"/>
      <c r="B182" s="24" t="n"/>
      <c r="C182" s="22" t="n"/>
      <c r="D182" s="23" t="n"/>
      <c r="E182" s="23" t="n"/>
      <c r="F182" s="32" t="n"/>
      <c r="G182" s="1" t="n"/>
    </row>
    <row r="183">
      <c r="A183" s="1" t="n"/>
      <c r="B183" s="24" t="n"/>
      <c r="C183" s="22" t="n"/>
      <c r="D183" s="23" t="n"/>
      <c r="E183" s="23" t="n"/>
      <c r="F183" s="32" t="n"/>
      <c r="G183" s="1" t="n"/>
    </row>
    <row r="184">
      <c r="A184" s="1" t="n"/>
      <c r="B184" s="24" t="n"/>
      <c r="C184" s="22" t="n"/>
      <c r="D184" s="23" t="n"/>
      <c r="E184" s="23" t="n"/>
      <c r="F184" s="32" t="n"/>
      <c r="G184" s="1" t="n"/>
    </row>
    <row r="185">
      <c r="A185" s="1" t="n"/>
      <c r="B185" s="24" t="n"/>
      <c r="C185" s="22" t="n"/>
      <c r="D185" s="23" t="n"/>
      <c r="E185" s="23" t="n"/>
      <c r="F185" s="32" t="n"/>
      <c r="G185" s="1" t="n"/>
    </row>
    <row r="186">
      <c r="A186" s="1" t="n"/>
      <c r="B186" s="24" t="n"/>
      <c r="C186" s="22" t="n"/>
      <c r="D186" s="23" t="n"/>
      <c r="E186" s="23" t="n"/>
      <c r="F186" s="32" t="n"/>
      <c r="G186" s="1" t="n"/>
    </row>
    <row r="187">
      <c r="A187" s="1" t="n"/>
      <c r="B187" s="24" t="n"/>
      <c r="C187" s="22" t="n"/>
      <c r="D187" s="23" t="n"/>
      <c r="E187" s="23" t="n"/>
      <c r="F187" s="32" t="n"/>
      <c r="G187" s="1" t="n"/>
    </row>
    <row r="188">
      <c r="A188" s="1" t="n"/>
      <c r="B188" s="24" t="n"/>
      <c r="C188" s="22" t="n"/>
      <c r="D188" s="23" t="n"/>
      <c r="E188" s="23" t="n"/>
      <c r="F188" s="32" t="n"/>
      <c r="G188" s="1" t="n"/>
    </row>
    <row r="189">
      <c r="A189" s="1" t="n"/>
      <c r="B189" s="24" t="n"/>
      <c r="C189" s="22" t="n"/>
      <c r="D189" s="23" t="n"/>
      <c r="E189" s="23" t="n"/>
      <c r="F189" s="32" t="n"/>
      <c r="G189" s="1" t="n"/>
    </row>
    <row r="190">
      <c r="A190" s="1" t="n"/>
      <c r="B190" s="24" t="n"/>
      <c r="C190" s="22" t="n"/>
      <c r="D190" s="23" t="n"/>
      <c r="E190" s="23" t="n"/>
      <c r="F190" s="32" t="n"/>
      <c r="G190" s="1" t="n"/>
    </row>
    <row r="191">
      <c r="A191" s="1" t="n"/>
      <c r="B191" s="24" t="n"/>
      <c r="C191" s="22" t="n"/>
      <c r="D191" s="23" t="n"/>
      <c r="E191" s="23" t="n"/>
      <c r="F191" s="32" t="n"/>
      <c r="G191" s="1" t="n"/>
    </row>
    <row r="192">
      <c r="A192" s="1" t="n"/>
      <c r="B192" s="24" t="n"/>
      <c r="C192" s="22" t="n"/>
      <c r="D192" s="23" t="n"/>
      <c r="E192" s="23" t="n"/>
      <c r="F192" s="32" t="n"/>
      <c r="G192" s="1" t="n"/>
    </row>
    <row r="193">
      <c r="A193" s="1" t="n"/>
      <c r="B193" s="24" t="n"/>
      <c r="C193" s="22" t="n"/>
      <c r="D193" s="23" t="n"/>
      <c r="E193" s="23" t="n"/>
      <c r="F193" s="32" t="n"/>
      <c r="G193" s="1" t="n"/>
    </row>
    <row r="194">
      <c r="A194" s="1" t="n"/>
      <c r="B194" s="24" t="n"/>
      <c r="C194" s="22" t="n"/>
      <c r="D194" s="23" t="n"/>
      <c r="E194" s="23" t="n"/>
      <c r="F194" s="32" t="n"/>
      <c r="G194" s="1" t="n"/>
    </row>
    <row r="195">
      <c r="A195" s="1" t="n"/>
      <c r="B195" s="24" t="n"/>
      <c r="C195" s="22" t="n"/>
      <c r="D195" s="23" t="n"/>
      <c r="E195" s="23" t="n"/>
      <c r="F195" s="32" t="n"/>
      <c r="G195" s="1" t="n"/>
    </row>
    <row r="196">
      <c r="A196" s="1" t="n"/>
      <c r="B196" s="24" t="n"/>
      <c r="C196" s="22" t="n"/>
      <c r="D196" s="23" t="n"/>
      <c r="E196" s="23" t="n"/>
      <c r="F196" s="32" t="n"/>
      <c r="G196" s="1" t="n"/>
    </row>
    <row r="197">
      <c r="A197" s="1" t="n"/>
      <c r="B197" s="24" t="n"/>
      <c r="C197" s="22" t="n"/>
      <c r="D197" s="23" t="n"/>
      <c r="E197" s="23" t="n"/>
      <c r="F197" s="32" t="n"/>
      <c r="G197" s="1" t="n"/>
    </row>
    <row r="198">
      <c r="A198" s="1" t="n"/>
      <c r="B198" s="24" t="n"/>
      <c r="C198" s="22" t="n"/>
      <c r="D198" s="23" t="n"/>
      <c r="E198" s="23" t="n"/>
      <c r="F198" s="32" t="n"/>
      <c r="G198" s="1" t="n"/>
    </row>
    <row r="199">
      <c r="A199" s="1" t="n"/>
      <c r="B199" s="24" t="n"/>
      <c r="C199" s="22" t="n"/>
      <c r="D199" s="23" t="n"/>
      <c r="E199" s="23" t="n"/>
      <c r="F199" s="32" t="n"/>
      <c r="G199" s="1" t="n"/>
    </row>
    <row r="200">
      <c r="A200" s="1" t="n"/>
      <c r="B200" s="24" t="n"/>
      <c r="C200" s="22" t="n"/>
      <c r="D200" s="23" t="n"/>
      <c r="E200" s="23" t="n"/>
      <c r="F200" s="32" t="n"/>
      <c r="G200" s="1" t="n"/>
    </row>
    <row r="201">
      <c r="A201" s="1" t="n"/>
      <c r="B201" s="24" t="n"/>
      <c r="C201" s="22" t="n"/>
      <c r="D201" s="23" t="n"/>
      <c r="E201" s="23" t="n"/>
      <c r="F201" s="32" t="n"/>
      <c r="G201" s="1" t="n"/>
    </row>
    <row r="202">
      <c r="A202" s="1" t="n"/>
      <c r="B202" s="24" t="n"/>
      <c r="C202" s="22" t="n"/>
      <c r="D202" s="23" t="n"/>
      <c r="E202" s="23" t="n"/>
      <c r="F202" s="32" t="n"/>
      <c r="G202" s="1" t="n"/>
    </row>
    <row r="203">
      <c r="A203" s="1" t="n"/>
      <c r="B203" s="24" t="n"/>
      <c r="C203" s="22" t="n"/>
      <c r="D203" s="23" t="n"/>
      <c r="E203" s="23" t="n"/>
      <c r="F203" s="32" t="n"/>
      <c r="G203" s="1" t="n"/>
    </row>
    <row r="204">
      <c r="A204" s="1" t="n"/>
      <c r="B204" s="24" t="n"/>
      <c r="C204" s="22" t="n"/>
      <c r="D204" s="23" t="n"/>
      <c r="E204" s="23" t="n"/>
      <c r="F204" s="32" t="n"/>
      <c r="G204" s="1" t="n"/>
    </row>
    <row r="205">
      <c r="A205" s="1" t="n"/>
      <c r="B205" s="24" t="n"/>
      <c r="C205" s="22" t="n"/>
      <c r="D205" s="23" t="n"/>
      <c r="E205" s="23" t="n"/>
      <c r="F205" s="32" t="n"/>
      <c r="G205" s="1" t="n"/>
    </row>
    <row r="206">
      <c r="A206" s="1" t="n"/>
      <c r="B206" s="24" t="n"/>
      <c r="C206" s="22" t="n"/>
      <c r="D206" s="23" t="n"/>
      <c r="E206" s="23" t="n"/>
      <c r="F206" s="32" t="n"/>
      <c r="G206" s="1" t="n"/>
    </row>
    <row r="207">
      <c r="A207" s="1" t="n"/>
      <c r="B207" s="24" t="n"/>
      <c r="C207" s="22" t="n"/>
      <c r="D207" s="23" t="n"/>
      <c r="E207" s="23" t="n"/>
      <c r="F207" s="32" t="n"/>
      <c r="G207" s="1" t="n"/>
    </row>
    <row r="208">
      <c r="A208" s="1" t="n"/>
      <c r="B208" s="24" t="n"/>
      <c r="C208" s="22" t="n"/>
      <c r="D208" s="23" t="n"/>
      <c r="E208" s="23" t="n"/>
      <c r="F208" s="32" t="n"/>
      <c r="G208" s="1" t="n"/>
    </row>
    <row r="209">
      <c r="A209" s="1" t="n"/>
      <c r="B209" s="24" t="n"/>
      <c r="C209" s="22" t="n"/>
      <c r="D209" s="23" t="n"/>
      <c r="E209" s="23" t="n"/>
      <c r="F209" s="32" t="n"/>
      <c r="G209" s="1" t="n"/>
    </row>
    <row r="210">
      <c r="A210" s="1" t="n"/>
      <c r="B210" s="24" t="n"/>
      <c r="C210" s="22" t="n"/>
      <c r="D210" s="23" t="n"/>
      <c r="E210" s="23" t="n"/>
      <c r="F210" s="32" t="n"/>
      <c r="G210" s="1" t="n"/>
    </row>
    <row r="211">
      <c r="A211" s="1" t="n"/>
      <c r="B211" s="24" t="n"/>
      <c r="C211" s="22" t="n"/>
      <c r="D211" s="23" t="n"/>
      <c r="E211" s="23" t="n"/>
      <c r="F211" s="32" t="n"/>
      <c r="G211" s="1" t="n"/>
    </row>
    <row r="212">
      <c r="A212" s="1" t="n"/>
      <c r="B212" s="24" t="n"/>
      <c r="C212" s="22" t="n"/>
      <c r="D212" s="23" t="n"/>
      <c r="E212" s="23" t="n"/>
      <c r="F212" s="32" t="n"/>
      <c r="G212" s="1" t="n"/>
    </row>
    <row r="213">
      <c r="A213" s="1" t="n"/>
      <c r="B213" s="24" t="n"/>
      <c r="C213" s="22" t="n"/>
      <c r="D213" s="23" t="n"/>
      <c r="E213" s="23" t="n"/>
      <c r="F213" s="32" t="n"/>
      <c r="G213" s="1" t="n"/>
    </row>
    <row r="214">
      <c r="A214" s="1" t="n"/>
      <c r="B214" s="24" t="n"/>
      <c r="C214" s="22" t="n"/>
      <c r="D214" s="23" t="n"/>
      <c r="E214" s="23" t="n"/>
      <c r="F214" s="32" t="n"/>
      <c r="G214" s="1" t="n"/>
    </row>
    <row r="215">
      <c r="A215" s="1" t="n"/>
      <c r="B215" s="24" t="n"/>
      <c r="C215" s="22" t="n"/>
      <c r="D215" s="23" t="n"/>
      <c r="E215" s="23" t="n"/>
      <c r="F215" s="32" t="n"/>
      <c r="G215" s="1" t="n"/>
    </row>
    <row r="216">
      <c r="A216" s="1" t="n"/>
      <c r="B216" s="24" t="n"/>
      <c r="C216" s="22" t="n"/>
      <c r="D216" s="23" t="n"/>
      <c r="E216" s="23" t="n"/>
      <c r="F216" s="32" t="n"/>
      <c r="G216" s="1" t="n"/>
    </row>
    <row r="217">
      <c r="A217" s="1" t="n"/>
      <c r="B217" s="24" t="n"/>
      <c r="C217" s="22" t="n"/>
      <c r="D217" s="23" t="n"/>
      <c r="E217" s="23" t="n"/>
      <c r="F217" s="32" t="n"/>
      <c r="G217" s="1" t="n"/>
    </row>
    <row r="218">
      <c r="A218" s="1" t="n"/>
      <c r="B218" s="24" t="n"/>
      <c r="C218" s="22" t="n"/>
      <c r="D218" s="23" t="n"/>
      <c r="E218" s="23" t="n"/>
      <c r="F218" s="32" t="n"/>
      <c r="G218" s="1" t="n"/>
    </row>
    <row r="219">
      <c r="A219" s="1" t="n"/>
      <c r="B219" s="24" t="n"/>
      <c r="C219" s="22" t="n"/>
      <c r="D219" s="23" t="n"/>
      <c r="E219" s="23" t="n"/>
      <c r="F219" s="32" t="n"/>
      <c r="G219" s="1" t="n"/>
    </row>
    <row r="220">
      <c r="A220" s="1" t="n"/>
      <c r="B220" s="24" t="n"/>
      <c r="C220" s="22" t="n"/>
      <c r="D220" s="23" t="n"/>
      <c r="E220" s="23" t="n"/>
      <c r="F220" s="32" t="n"/>
      <c r="G220" s="1" t="n"/>
    </row>
    <row r="221">
      <c r="A221" s="1" t="n"/>
      <c r="B221" s="24" t="n"/>
      <c r="C221" s="22" t="n"/>
      <c r="D221" s="23" t="n"/>
      <c r="E221" s="23" t="n"/>
      <c r="F221" s="32" t="n"/>
      <c r="G221" s="1" t="n"/>
    </row>
    <row r="222">
      <c r="A222" s="1" t="n"/>
      <c r="B222" s="24" t="n"/>
      <c r="C222" s="22" t="n"/>
      <c r="D222" s="23" t="n"/>
      <c r="E222" s="23" t="n"/>
      <c r="F222" s="32" t="n"/>
      <c r="G222" s="1" t="n"/>
    </row>
    <row r="223">
      <c r="A223" s="1" t="n"/>
      <c r="B223" s="24" t="n"/>
      <c r="C223" s="22" t="n"/>
      <c r="D223" s="23" t="n"/>
      <c r="E223" s="23" t="n"/>
      <c r="F223" s="32" t="n"/>
      <c r="G223" s="1" t="n"/>
    </row>
    <row r="224">
      <c r="A224" s="1" t="n"/>
      <c r="B224" s="24" t="n"/>
      <c r="C224" s="22" t="n"/>
      <c r="D224" s="23" t="n"/>
      <c r="E224" s="23" t="n"/>
      <c r="F224" s="32" t="n"/>
      <c r="G224" s="1" t="n"/>
    </row>
    <row r="225">
      <c r="A225" s="1" t="n"/>
      <c r="B225" s="24" t="n"/>
      <c r="C225" s="22" t="n"/>
      <c r="D225" s="23" t="n"/>
      <c r="E225" s="23" t="n"/>
      <c r="F225" s="32" t="n"/>
      <c r="G225" s="1" t="n"/>
    </row>
    <row r="226">
      <c r="A226" s="1" t="n"/>
      <c r="B226" s="24" t="n"/>
      <c r="C226" s="22" t="n"/>
      <c r="D226" s="23" t="n"/>
      <c r="E226" s="23" t="n"/>
      <c r="F226" s="32" t="n"/>
      <c r="G226" s="1" t="n"/>
    </row>
    <row r="227">
      <c r="A227" s="1" t="n"/>
      <c r="B227" s="24" t="n"/>
      <c r="C227" s="22" t="n"/>
      <c r="D227" s="23" t="n"/>
      <c r="E227" s="23" t="n"/>
      <c r="F227" s="32" t="n"/>
      <c r="G227" s="1" t="n"/>
    </row>
    <row r="228">
      <c r="A228" s="1" t="n"/>
      <c r="B228" s="24" t="n"/>
      <c r="C228" s="22" t="n"/>
      <c r="D228" s="23" t="n"/>
      <c r="E228" s="23" t="n"/>
      <c r="F228" s="32" t="n"/>
      <c r="G228" s="1" t="n"/>
    </row>
    <row r="229">
      <c r="A229" s="1" t="n"/>
      <c r="B229" s="24" t="n"/>
      <c r="C229" s="22" t="n"/>
      <c r="D229" s="23" t="n"/>
      <c r="E229" s="23" t="n"/>
      <c r="F229" s="32" t="n"/>
      <c r="G229" s="1" t="n"/>
    </row>
    <row r="230">
      <c r="A230" s="1" t="n"/>
      <c r="B230" s="24" t="n"/>
      <c r="C230" s="22" t="n"/>
      <c r="D230" s="23" t="n"/>
      <c r="E230" s="23" t="n"/>
      <c r="F230" s="32" t="n"/>
      <c r="G230" s="1" t="n"/>
    </row>
    <row r="231">
      <c r="A231" s="1" t="n"/>
      <c r="B231" s="24" t="n"/>
      <c r="C231" s="22" t="n"/>
      <c r="D231" s="23" t="n"/>
      <c r="E231" s="23" t="n"/>
      <c r="F231" s="32" t="n"/>
      <c r="G231" s="1" t="n"/>
    </row>
    <row r="232">
      <c r="A232" s="1" t="n"/>
      <c r="B232" s="24" t="n"/>
      <c r="C232" s="22" t="n"/>
      <c r="D232" s="23" t="n"/>
      <c r="E232" s="23" t="n"/>
      <c r="F232" s="32" t="n"/>
      <c r="G232" s="1" t="n"/>
    </row>
    <row r="233">
      <c r="A233" s="1" t="n"/>
      <c r="B233" s="24" t="n"/>
      <c r="C233" s="22" t="n"/>
      <c r="D233" s="23" t="n"/>
      <c r="E233" s="23" t="n"/>
      <c r="F233" s="32" t="n"/>
      <c r="G233" s="1" t="n"/>
    </row>
    <row r="234">
      <c r="A234" s="1" t="n"/>
      <c r="B234" s="24" t="n"/>
      <c r="C234" s="22" t="n"/>
      <c r="D234" s="23" t="n"/>
      <c r="E234" s="23" t="n"/>
      <c r="F234" s="32" t="n"/>
      <c r="G234" s="1" t="n"/>
    </row>
    <row r="235">
      <c r="A235" s="1" t="n"/>
      <c r="B235" s="24" t="n"/>
      <c r="C235" s="22" t="n"/>
      <c r="D235" s="23" t="n"/>
      <c r="E235" s="23" t="n"/>
      <c r="F235" s="32" t="n"/>
      <c r="G235" s="1" t="n"/>
    </row>
    <row r="236">
      <c r="A236" s="1" t="n"/>
      <c r="B236" s="24" t="n"/>
      <c r="C236" s="22" t="n"/>
      <c r="D236" s="23" t="n"/>
      <c r="E236" s="23" t="n"/>
      <c r="F236" s="32" t="n"/>
      <c r="G236" s="1" t="n"/>
    </row>
    <row r="237">
      <c r="A237" s="1" t="n"/>
      <c r="B237" s="24" t="n"/>
      <c r="C237" s="22" t="n"/>
      <c r="D237" s="23" t="n"/>
      <c r="E237" s="23" t="n"/>
      <c r="F237" s="32" t="n"/>
      <c r="G237" s="1" t="n"/>
    </row>
    <row r="238">
      <c r="A238" s="1" t="n"/>
      <c r="B238" s="24" t="n"/>
      <c r="C238" s="22" t="n"/>
      <c r="D238" s="23" t="n"/>
      <c r="E238" s="23" t="n"/>
      <c r="F238" s="32" t="n"/>
      <c r="G238" s="1" t="n"/>
    </row>
    <row r="239">
      <c r="A239" s="1" t="n"/>
      <c r="B239" s="24" t="n"/>
      <c r="C239" s="22" t="n"/>
      <c r="D239" s="23" t="n"/>
      <c r="E239" s="23" t="n"/>
      <c r="F239" s="32" t="n"/>
      <c r="G239" s="1" t="n"/>
    </row>
    <row r="240">
      <c r="A240" s="1" t="n"/>
      <c r="B240" s="24" t="n"/>
      <c r="C240" s="22" t="n"/>
      <c r="D240" s="23" t="n"/>
      <c r="E240" s="23" t="n"/>
      <c r="F240" s="32" t="n"/>
      <c r="G240" s="1" t="n"/>
    </row>
    <row r="241">
      <c r="A241" s="1" t="n"/>
      <c r="B241" s="24" t="n"/>
      <c r="C241" s="22" t="n"/>
      <c r="D241" s="23" t="n"/>
      <c r="E241" s="23" t="n"/>
      <c r="F241" s="32" t="n"/>
      <c r="G241" s="1" t="n"/>
    </row>
    <row r="242">
      <c r="A242" s="1" t="n"/>
      <c r="B242" s="24" t="n"/>
      <c r="C242" s="22" t="n"/>
      <c r="D242" s="23" t="n"/>
      <c r="E242" s="23" t="n"/>
      <c r="F242" s="32" t="n"/>
      <c r="G242" s="1" t="n"/>
    </row>
    <row r="243">
      <c r="A243" s="1" t="n"/>
      <c r="B243" s="24" t="n"/>
      <c r="C243" s="22" t="n"/>
      <c r="D243" s="23" t="n"/>
      <c r="E243" s="23" t="n"/>
      <c r="F243" s="32" t="n"/>
      <c r="G243" s="1" t="n"/>
    </row>
    <row r="244">
      <c r="A244" s="1" t="n"/>
      <c r="B244" s="24" t="n"/>
      <c r="C244" s="22" t="n"/>
      <c r="D244" s="23" t="n"/>
      <c r="E244" s="23" t="n"/>
      <c r="F244" s="32" t="n"/>
      <c r="G244" s="1" t="n"/>
    </row>
    <row r="245">
      <c r="A245" s="1" t="n"/>
      <c r="B245" s="24" t="n"/>
      <c r="C245" s="22" t="n"/>
      <c r="D245" s="23" t="n"/>
      <c r="E245" s="23" t="n"/>
      <c r="F245" s="32" t="n"/>
      <c r="G245" s="1" t="n"/>
    </row>
    <row r="246">
      <c r="A246" s="1" t="n"/>
      <c r="B246" s="24" t="n"/>
      <c r="C246" s="22" t="n"/>
      <c r="D246" s="23" t="n"/>
      <c r="E246" s="23" t="n"/>
      <c r="F246" s="32" t="n"/>
      <c r="G246" s="1" t="n"/>
    </row>
    <row r="247">
      <c r="A247" s="1" t="n"/>
      <c r="B247" s="24" t="n"/>
      <c r="C247" s="22" t="n"/>
      <c r="D247" s="23" t="n"/>
      <c r="E247" s="23" t="n"/>
      <c r="F247" s="32" t="n"/>
      <c r="G247" s="1" t="n"/>
    </row>
    <row r="248">
      <c r="A248" s="1" t="n"/>
      <c r="B248" s="24" t="n"/>
      <c r="C248" s="22" t="n"/>
      <c r="D248" s="23" t="n"/>
      <c r="E248" s="23" t="n"/>
      <c r="F248" s="32" t="n"/>
      <c r="G248" s="1" t="n"/>
    </row>
    <row r="249">
      <c r="A249" s="1" t="n"/>
      <c r="B249" s="24" t="n"/>
      <c r="C249" s="22" t="n"/>
      <c r="D249" s="23" t="n"/>
      <c r="E249" s="23" t="n"/>
      <c r="F249" s="32" t="n"/>
      <c r="G249" s="1" t="n"/>
    </row>
    <row r="250">
      <c r="A250" s="1" t="n"/>
      <c r="B250" s="24" t="n"/>
      <c r="C250" s="22" t="n"/>
      <c r="D250" s="23" t="n"/>
      <c r="E250" s="23" t="n"/>
      <c r="F250" s="32" t="n"/>
      <c r="G250" s="1" t="n"/>
    </row>
    <row r="251">
      <c r="A251" s="1" t="n"/>
      <c r="B251" s="24" t="n"/>
      <c r="C251" s="22" t="n"/>
      <c r="D251" s="23" t="n"/>
      <c r="E251" s="23" t="n"/>
      <c r="F251" s="32" t="n"/>
      <c r="G251" s="1" t="n"/>
    </row>
    <row r="252">
      <c r="A252" s="1" t="n"/>
      <c r="B252" s="24" t="n"/>
      <c r="C252" s="22" t="n"/>
      <c r="D252" s="23" t="n"/>
      <c r="E252" s="23" t="n"/>
      <c r="F252" s="32" t="n"/>
      <c r="G252" s="1" t="n"/>
    </row>
    <row r="253">
      <c r="A253" s="1" t="n"/>
      <c r="B253" s="24" t="n"/>
      <c r="C253" s="22" t="n"/>
      <c r="D253" s="23" t="n"/>
      <c r="E253" s="23" t="n"/>
      <c r="F253" s="32" t="n"/>
      <c r="G253" s="1" t="n"/>
    </row>
    <row r="254">
      <c r="A254" s="1" t="n"/>
      <c r="B254" s="24" t="n"/>
      <c r="C254" s="22" t="n"/>
      <c r="D254" s="23" t="n"/>
      <c r="E254" s="23" t="n"/>
      <c r="F254" s="32" t="n"/>
      <c r="G254" s="1" t="n"/>
    </row>
    <row r="255">
      <c r="A255" s="1" t="n"/>
      <c r="B255" s="24" t="n"/>
      <c r="C255" s="22" t="n"/>
      <c r="D255" s="23" t="n"/>
      <c r="E255" s="23" t="n"/>
      <c r="F255" s="32" t="n"/>
      <c r="G255" s="1" t="n"/>
    </row>
    <row r="256">
      <c r="A256" s="1" t="n"/>
      <c r="B256" s="24" t="n"/>
      <c r="C256" s="22" t="n"/>
      <c r="D256" s="23" t="n"/>
      <c r="E256" s="23" t="n"/>
      <c r="F256" s="32" t="n"/>
      <c r="G256" s="1" t="n"/>
    </row>
    <row r="257">
      <c r="A257" s="1" t="n"/>
      <c r="B257" s="24" t="n"/>
      <c r="C257" s="22" t="n"/>
      <c r="D257" s="23" t="n"/>
      <c r="E257" s="23" t="n"/>
      <c r="F257" s="32" t="n"/>
      <c r="G257" s="1" t="n"/>
    </row>
    <row r="258">
      <c r="A258" s="1" t="n"/>
      <c r="B258" s="24" t="n"/>
      <c r="C258" s="22" t="n"/>
      <c r="D258" s="23" t="n"/>
      <c r="E258" s="23" t="n"/>
      <c r="F258" s="32" t="n"/>
      <c r="G258" s="1" t="n"/>
    </row>
    <row r="259">
      <c r="A259" s="1" t="n"/>
      <c r="B259" s="24" t="n"/>
      <c r="C259" s="22" t="n"/>
      <c r="D259" s="23" t="n"/>
      <c r="E259" s="23" t="n"/>
      <c r="F259" s="32" t="n"/>
      <c r="G259" s="1" t="n"/>
    </row>
    <row r="260">
      <c r="A260" s="1" t="n"/>
      <c r="B260" s="24" t="n"/>
      <c r="C260" s="22" t="n"/>
      <c r="D260" s="23" t="n"/>
      <c r="E260" s="23" t="n"/>
      <c r="F260" s="32" t="n"/>
      <c r="G260" s="1" t="n"/>
    </row>
    <row r="261">
      <c r="A261" s="1" t="n"/>
      <c r="B261" s="24" t="n"/>
      <c r="C261" s="22" t="n"/>
      <c r="D261" s="23" t="n"/>
      <c r="E261" s="23" t="n"/>
      <c r="F261" s="32" t="n"/>
      <c r="G261" s="1" t="n"/>
    </row>
    <row r="262">
      <c r="A262" s="1" t="n"/>
      <c r="B262" s="24" t="n"/>
      <c r="C262" s="22" t="n"/>
      <c r="D262" s="23" t="n"/>
      <c r="E262" s="23" t="n"/>
      <c r="F262" s="32" t="n"/>
      <c r="G262" s="1" t="n"/>
    </row>
    <row r="263">
      <c r="A263" s="1" t="n"/>
      <c r="B263" s="24" t="n"/>
      <c r="C263" s="22" t="n"/>
      <c r="D263" s="23" t="n"/>
      <c r="E263" s="23" t="n"/>
      <c r="F263" s="32" t="n"/>
      <c r="G263" s="1" t="n"/>
    </row>
    <row r="264">
      <c r="A264" s="1" t="n"/>
      <c r="B264" s="24" t="n"/>
      <c r="C264" s="22" t="n"/>
      <c r="D264" s="23" t="n"/>
      <c r="E264" s="23" t="n"/>
      <c r="F264" s="32" t="n"/>
      <c r="G264" s="1" t="n"/>
    </row>
    <row r="265">
      <c r="A265" s="1" t="n"/>
      <c r="B265" s="24" t="n"/>
      <c r="C265" s="22" t="n"/>
      <c r="D265" s="23" t="n"/>
      <c r="E265" s="23" t="n"/>
      <c r="F265" s="32" t="n"/>
      <c r="G265" s="1" t="n"/>
    </row>
    <row r="266">
      <c r="A266" s="1" t="n"/>
      <c r="B266" s="24" t="n"/>
      <c r="C266" s="22" t="n"/>
      <c r="D266" s="23" t="n"/>
      <c r="E266" s="23" t="n"/>
      <c r="F266" s="32" t="n"/>
      <c r="G266" s="1" t="n"/>
    </row>
    <row r="267">
      <c r="A267" s="1" t="n"/>
      <c r="B267" s="24" t="n"/>
      <c r="C267" s="22" t="n"/>
      <c r="D267" s="23" t="n"/>
      <c r="E267" s="23" t="n"/>
      <c r="F267" s="32" t="n"/>
      <c r="G267" s="1" t="n"/>
    </row>
    <row r="268">
      <c r="A268" s="1" t="n"/>
      <c r="B268" s="24" t="n"/>
      <c r="C268" s="22" t="n"/>
      <c r="D268" s="23" t="n"/>
      <c r="E268" s="23" t="n"/>
      <c r="F268" s="32" t="n"/>
      <c r="G268" s="1" t="n"/>
    </row>
    <row r="269">
      <c r="A269" s="1" t="n"/>
      <c r="B269" s="24" t="n"/>
      <c r="C269" s="22" t="n"/>
      <c r="D269" s="23" t="n"/>
      <c r="E269" s="23" t="n"/>
      <c r="F269" s="32" t="n"/>
      <c r="G269" s="1" t="n"/>
    </row>
    <row r="270">
      <c r="A270" s="1" t="n"/>
      <c r="B270" s="24" t="n"/>
      <c r="C270" s="22" t="n"/>
      <c r="D270" s="23" t="n"/>
      <c r="E270" s="23" t="n"/>
      <c r="F270" s="32" t="n"/>
      <c r="G270" s="1" t="n"/>
    </row>
    <row r="271">
      <c r="A271" s="1" t="n"/>
      <c r="B271" s="24" t="n"/>
      <c r="C271" s="22" t="n"/>
      <c r="D271" s="23" t="n"/>
      <c r="E271" s="23" t="n"/>
      <c r="F271" s="32" t="n"/>
      <c r="G271" s="1" t="n"/>
    </row>
    <row r="272">
      <c r="A272" s="1" t="n"/>
      <c r="B272" s="24" t="n"/>
      <c r="C272" s="22" t="n"/>
      <c r="D272" s="23" t="n"/>
      <c r="E272" s="23" t="n"/>
      <c r="F272" s="32" t="n"/>
      <c r="G272" s="1" t="n"/>
    </row>
    <row r="273">
      <c r="A273" s="1" t="n"/>
      <c r="B273" s="24" t="n"/>
      <c r="C273" s="22" t="n"/>
      <c r="D273" s="23" t="n"/>
      <c r="E273" s="23" t="n"/>
      <c r="F273" s="32" t="n"/>
      <c r="G273" s="1" t="n"/>
    </row>
    <row r="274">
      <c r="A274" s="1" t="n"/>
      <c r="B274" s="24" t="n"/>
      <c r="C274" s="22" t="n"/>
      <c r="D274" s="23" t="n"/>
      <c r="E274" s="23" t="n"/>
      <c r="F274" s="32" t="n"/>
      <c r="G274" s="1" t="n"/>
    </row>
    <row r="275">
      <c r="A275" s="1" t="n"/>
      <c r="B275" s="24" t="n"/>
      <c r="C275" s="22" t="n"/>
      <c r="D275" s="23" t="n"/>
      <c r="E275" s="23" t="n"/>
      <c r="F275" s="32" t="n"/>
      <c r="G275" s="1" t="n"/>
    </row>
    <row r="276">
      <c r="A276" s="1" t="n"/>
      <c r="B276" s="24" t="n"/>
      <c r="C276" s="22" t="n"/>
      <c r="D276" s="23" t="n"/>
      <c r="E276" s="23" t="n"/>
      <c r="F276" s="32" t="n"/>
      <c r="G276" s="1" t="n"/>
    </row>
    <row r="277">
      <c r="A277" s="1" t="n"/>
      <c r="B277" s="24" t="n"/>
      <c r="C277" s="22" t="n"/>
      <c r="D277" s="23" t="n"/>
      <c r="E277" s="23" t="n"/>
      <c r="F277" s="32" t="n"/>
      <c r="G277" s="1" t="n"/>
    </row>
    <row r="278">
      <c r="A278" s="1" t="n"/>
      <c r="B278" s="24" t="n"/>
      <c r="C278" s="22" t="n"/>
      <c r="D278" s="23" t="n"/>
      <c r="E278" s="23" t="n"/>
      <c r="F278" s="32" t="n"/>
      <c r="G278" s="1" t="n"/>
    </row>
    <row r="279">
      <c r="A279" s="1" t="n"/>
      <c r="B279" s="24" t="n"/>
      <c r="C279" s="22" t="n"/>
      <c r="D279" s="23" t="n"/>
      <c r="E279" s="23" t="n"/>
      <c r="F279" s="32" t="n"/>
      <c r="G279" s="1" t="n"/>
    </row>
    <row r="280">
      <c r="A280" s="1" t="n"/>
      <c r="B280" s="24" t="n"/>
      <c r="C280" s="22" t="n"/>
      <c r="D280" s="23" t="n"/>
      <c r="E280" s="23" t="n"/>
      <c r="F280" s="32" t="n"/>
      <c r="G280" s="1" t="n"/>
    </row>
    <row r="281">
      <c r="A281" s="1" t="n"/>
      <c r="B281" s="24" t="n"/>
      <c r="C281" s="22" t="n"/>
      <c r="D281" s="23" t="n"/>
      <c r="E281" s="23" t="n"/>
      <c r="F281" s="32" t="n"/>
      <c r="G281" s="1" t="n"/>
    </row>
    <row r="282">
      <c r="A282" s="1" t="n"/>
      <c r="B282" s="24" t="n"/>
      <c r="C282" s="22" t="n"/>
      <c r="D282" s="23" t="n"/>
      <c r="E282" s="23" t="n"/>
      <c r="F282" s="32" t="n"/>
      <c r="G282" s="1" t="n"/>
    </row>
    <row r="283">
      <c r="A283" s="1" t="n"/>
      <c r="B283" s="24" t="n"/>
      <c r="C283" s="22" t="n"/>
      <c r="D283" s="23" t="n"/>
      <c r="E283" s="23" t="n"/>
      <c r="F283" s="32" t="n"/>
      <c r="G283" s="1" t="n"/>
    </row>
    <row r="284">
      <c r="A284" s="1" t="n"/>
      <c r="B284" s="24" t="n"/>
      <c r="C284" s="22" t="n"/>
      <c r="D284" s="23" t="n"/>
      <c r="E284" s="23" t="n"/>
      <c r="F284" s="32" t="n"/>
      <c r="G284" s="1" t="n"/>
    </row>
    <row r="285">
      <c r="A285" s="1" t="n"/>
      <c r="B285" s="24" t="n"/>
      <c r="C285" s="22" t="n"/>
      <c r="D285" s="23" t="n"/>
      <c r="E285" s="23" t="n"/>
      <c r="F285" s="32" t="n"/>
      <c r="G285" s="1" t="n"/>
    </row>
    <row r="286">
      <c r="A286" s="1" t="n"/>
      <c r="B286" s="24" t="n"/>
      <c r="C286" s="22" t="n"/>
      <c r="D286" s="23" t="n"/>
      <c r="E286" s="23" t="n"/>
      <c r="F286" s="32" t="n"/>
      <c r="G286" s="1" t="n"/>
    </row>
    <row r="287">
      <c r="A287" s="1" t="n"/>
      <c r="B287" s="24" t="n"/>
      <c r="C287" s="22" t="n"/>
      <c r="D287" s="23" t="n"/>
      <c r="E287" s="23" t="n"/>
      <c r="F287" s="32" t="n"/>
      <c r="G287" s="1" t="n"/>
    </row>
    <row r="288">
      <c r="A288" s="1" t="n"/>
      <c r="B288" s="24" t="n"/>
      <c r="C288" s="22" t="n"/>
      <c r="D288" s="23" t="n"/>
      <c r="E288" s="23" t="n"/>
      <c r="F288" s="32" t="n"/>
      <c r="G288" s="1" t="n"/>
    </row>
    <row r="289">
      <c r="A289" s="1" t="n"/>
      <c r="B289" s="24" t="n"/>
      <c r="C289" s="22" t="n"/>
      <c r="D289" s="23" t="n"/>
      <c r="E289" s="23" t="n"/>
      <c r="F289" s="32" t="n"/>
      <c r="G289" s="1" t="n"/>
    </row>
    <row r="290">
      <c r="A290" s="1" t="n"/>
      <c r="B290" s="24" t="n"/>
      <c r="C290" s="22" t="n"/>
      <c r="D290" s="23" t="n"/>
      <c r="E290" s="23" t="n"/>
      <c r="F290" s="32" t="n"/>
      <c r="G290" s="1" t="n"/>
    </row>
    <row r="291">
      <c r="A291" s="1" t="n"/>
      <c r="B291" s="24" t="n"/>
      <c r="C291" s="22" t="n"/>
      <c r="D291" s="23" t="n"/>
      <c r="E291" s="23" t="n"/>
      <c r="F291" s="32" t="n"/>
      <c r="G291" s="1" t="n"/>
    </row>
    <row r="292">
      <c r="A292" s="1" t="n"/>
      <c r="B292" s="24" t="n"/>
      <c r="C292" s="22" t="n"/>
      <c r="D292" s="23" t="n"/>
      <c r="E292" s="23" t="n"/>
      <c r="F292" s="32" t="n"/>
      <c r="G292" s="1" t="n"/>
    </row>
    <row r="293">
      <c r="A293" s="1" t="n"/>
      <c r="B293" s="24" t="n"/>
      <c r="C293" s="22" t="n"/>
      <c r="D293" s="23" t="n"/>
      <c r="E293" s="23" t="n"/>
      <c r="F293" s="32" t="n"/>
      <c r="G293" s="1" t="n"/>
    </row>
    <row r="294">
      <c r="A294" s="1" t="n"/>
      <c r="B294" s="24" t="n"/>
      <c r="C294" s="22" t="n"/>
      <c r="D294" s="23" t="n"/>
      <c r="E294" s="23" t="n"/>
      <c r="F294" s="32" t="n"/>
      <c r="G294" s="1" t="n"/>
    </row>
    <row r="295">
      <c r="A295" s="1" t="n"/>
      <c r="B295" s="24" t="n"/>
      <c r="C295" s="22" t="n"/>
      <c r="D295" s="23" t="n"/>
      <c r="E295" s="23" t="n"/>
      <c r="F295" s="32" t="n"/>
      <c r="G295" s="1" t="n"/>
    </row>
    <row r="296">
      <c r="A296" s="1" t="n"/>
      <c r="B296" s="24" t="n"/>
      <c r="C296" s="22" t="n"/>
      <c r="D296" s="23" t="n"/>
      <c r="E296" s="23" t="n"/>
      <c r="F296" s="32" t="n"/>
      <c r="G296" s="1" t="n"/>
    </row>
    <row r="297">
      <c r="A297" s="1" t="n"/>
      <c r="B297" s="24" t="n"/>
      <c r="C297" s="22" t="n"/>
      <c r="D297" s="23" t="n"/>
      <c r="E297" s="23" t="n"/>
      <c r="F297" s="32" t="n"/>
      <c r="G297" s="1" t="n"/>
    </row>
    <row r="298">
      <c r="A298" s="1" t="n"/>
      <c r="B298" s="24" t="n"/>
      <c r="C298" s="22" t="n"/>
      <c r="D298" s="23" t="n"/>
      <c r="E298" s="23" t="n"/>
      <c r="F298" s="32" t="n"/>
      <c r="G298" s="1" t="n"/>
    </row>
    <row r="299">
      <c r="A299" s="1" t="n"/>
      <c r="B299" s="24" t="n"/>
      <c r="C299" s="22" t="n"/>
      <c r="D299" s="23" t="n"/>
      <c r="E299" s="23" t="n"/>
      <c r="F299" s="32" t="n"/>
      <c r="G299" s="1" t="n"/>
    </row>
    <row r="300">
      <c r="A300" s="1" t="n"/>
      <c r="B300" s="24" t="n"/>
      <c r="C300" s="22" t="n"/>
      <c r="D300" s="23" t="n"/>
      <c r="E300" s="23" t="n"/>
      <c r="F300" s="32" t="n"/>
      <c r="G300" s="1" t="n"/>
    </row>
    <row r="301">
      <c r="A301" s="1" t="n"/>
      <c r="B301" s="24" t="n"/>
      <c r="C301" s="22" t="n"/>
      <c r="D301" s="23" t="n"/>
      <c r="E301" s="23" t="n"/>
      <c r="F301" s="32" t="n"/>
      <c r="G301" s="1" t="n"/>
    </row>
    <row r="302">
      <c r="A302" s="1" t="n"/>
      <c r="B302" s="24" t="n"/>
      <c r="C302" s="22" t="n"/>
      <c r="D302" s="23" t="n"/>
      <c r="E302" s="23" t="n"/>
      <c r="F302" s="32" t="n"/>
      <c r="G302" s="1" t="n"/>
    </row>
    <row r="303">
      <c r="A303" s="1" t="n"/>
      <c r="B303" s="24" t="n"/>
      <c r="C303" s="22" t="n"/>
      <c r="D303" s="23" t="n"/>
      <c r="E303" s="23" t="n"/>
      <c r="F303" s="32" t="n"/>
      <c r="G303" s="1" t="n"/>
    </row>
    <row r="304">
      <c r="A304" s="1" t="n"/>
      <c r="B304" s="24" t="n"/>
      <c r="C304" s="22" t="n"/>
      <c r="D304" s="23" t="n"/>
      <c r="E304" s="23" t="n"/>
      <c r="F304" s="32" t="n"/>
      <c r="G304" s="1" t="n"/>
    </row>
    <row r="305">
      <c r="A305" s="1" t="n"/>
      <c r="B305" s="24" t="n"/>
      <c r="C305" s="22" t="n"/>
      <c r="D305" s="23" t="n"/>
      <c r="E305" s="23" t="n"/>
      <c r="F305" s="32" t="n"/>
      <c r="G305" s="1" t="n"/>
    </row>
    <row r="306">
      <c r="A306" s="1" t="n"/>
      <c r="B306" s="24" t="n"/>
      <c r="C306" s="22" t="n"/>
      <c r="D306" s="23" t="n"/>
      <c r="E306" s="23" t="n"/>
      <c r="F306" s="32" t="n"/>
      <c r="G306" s="1" t="n"/>
    </row>
    <row r="307">
      <c r="A307" s="1" t="n"/>
      <c r="B307" s="24" t="n"/>
      <c r="C307" s="22" t="n"/>
      <c r="D307" s="23" t="n"/>
      <c r="E307" s="23" t="n"/>
      <c r="F307" s="32" t="n"/>
      <c r="G307" s="1" t="n"/>
    </row>
    <row r="308">
      <c r="A308" s="1" t="n"/>
      <c r="B308" s="24" t="n"/>
      <c r="C308" s="22" t="n"/>
      <c r="D308" s="23" t="n"/>
      <c r="E308" s="23" t="n"/>
      <c r="F308" s="32" t="n"/>
      <c r="G308" s="1" t="n"/>
    </row>
    <row r="309">
      <c r="A309" s="1" t="n"/>
      <c r="B309" s="24" t="n"/>
      <c r="C309" s="22" t="n"/>
      <c r="D309" s="23" t="n"/>
      <c r="E309" s="23" t="n"/>
      <c r="F309" s="32" t="n"/>
      <c r="G309" s="1" t="n"/>
    </row>
    <row r="310">
      <c r="A310" s="1" t="n"/>
      <c r="B310" s="24" t="n"/>
      <c r="C310" s="22" t="n"/>
      <c r="D310" s="23" t="n"/>
      <c r="E310" s="23" t="n"/>
      <c r="F310" s="32" t="n"/>
      <c r="G310" s="1" t="n"/>
    </row>
    <row r="311">
      <c r="A311" s="1" t="n"/>
      <c r="B311" s="24" t="n"/>
      <c r="C311" s="22" t="n"/>
      <c r="D311" s="23" t="n"/>
      <c r="E311" s="23" t="n"/>
      <c r="F311" s="32" t="n"/>
      <c r="G311" s="1" t="n"/>
    </row>
    <row r="312">
      <c r="A312" s="1" t="n"/>
      <c r="B312" s="24" t="n"/>
      <c r="C312" s="22" t="n"/>
      <c r="D312" s="23" t="n"/>
      <c r="E312" s="23" t="n"/>
      <c r="F312" s="32" t="n"/>
      <c r="G312" s="1" t="n"/>
    </row>
    <row r="313">
      <c r="A313" s="1" t="n"/>
      <c r="B313" s="24" t="n"/>
      <c r="C313" s="22" t="n"/>
      <c r="D313" s="23" t="n"/>
      <c r="E313" s="23" t="n"/>
      <c r="F313" s="32" t="n"/>
      <c r="G313" s="1" t="n"/>
    </row>
    <row r="314">
      <c r="A314" s="1" t="n"/>
      <c r="B314" s="24" t="n"/>
      <c r="C314" s="22" t="n"/>
      <c r="D314" s="23" t="n"/>
      <c r="E314" s="23" t="n"/>
      <c r="F314" s="32" t="n"/>
      <c r="G314" s="1" t="n"/>
    </row>
    <row r="315">
      <c r="A315" s="1" t="n"/>
      <c r="B315" s="24" t="n"/>
      <c r="C315" s="22" t="n"/>
      <c r="D315" s="23" t="n"/>
      <c r="E315" s="23" t="n"/>
      <c r="F315" s="32" t="n"/>
      <c r="G315" s="1" t="n"/>
    </row>
    <row r="316">
      <c r="A316" s="1" t="n"/>
      <c r="B316" s="24" t="n"/>
      <c r="C316" s="22" t="n"/>
      <c r="D316" s="23" t="n"/>
      <c r="E316" s="23" t="n"/>
      <c r="F316" s="32" t="n"/>
      <c r="G316" s="1" t="n"/>
    </row>
    <row r="317">
      <c r="A317" s="1" t="n"/>
      <c r="B317" s="24" t="n"/>
      <c r="C317" s="22" t="n"/>
      <c r="D317" s="23" t="n"/>
      <c r="E317" s="23" t="n"/>
      <c r="F317" s="32" t="n"/>
      <c r="G317" s="1" t="n"/>
    </row>
    <row r="318">
      <c r="A318" s="1" t="n"/>
      <c r="B318" s="24" t="n"/>
      <c r="C318" s="22" t="n"/>
      <c r="D318" s="23" t="n"/>
      <c r="E318" s="23" t="n"/>
      <c r="F318" s="32" t="n"/>
      <c r="G318" s="1" t="n"/>
    </row>
    <row r="319">
      <c r="A319" s="1" t="n"/>
      <c r="B319" s="24" t="n"/>
      <c r="C319" s="22" t="n"/>
      <c r="D319" s="23" t="n"/>
      <c r="E319" s="23" t="n"/>
      <c r="F319" s="32" t="n"/>
      <c r="G319" s="1" t="n"/>
    </row>
    <row r="320">
      <c r="A320" s="1" t="n"/>
      <c r="B320" s="24" t="n"/>
      <c r="C320" s="22" t="n"/>
      <c r="D320" s="23" t="n"/>
      <c r="E320" s="23" t="n"/>
      <c r="F320" s="32" t="n"/>
      <c r="G320" s="1" t="n"/>
    </row>
    <row r="321">
      <c r="A321" s="1" t="n"/>
      <c r="B321" s="24" t="n"/>
      <c r="C321" s="22" t="n"/>
      <c r="D321" s="23" t="n"/>
      <c r="E321" s="23" t="n"/>
      <c r="F321" s="32" t="n"/>
      <c r="G321" s="1" t="n"/>
    </row>
    <row r="322">
      <c r="A322" s="1" t="n"/>
      <c r="B322" s="24" t="n"/>
      <c r="C322" s="22" t="n"/>
      <c r="D322" s="23" t="n"/>
      <c r="E322" s="23" t="n"/>
      <c r="F322" s="32" t="n"/>
      <c r="G322" s="1" t="n"/>
    </row>
    <row r="323">
      <c r="A323" s="1" t="n"/>
      <c r="B323" s="24" t="n"/>
      <c r="C323" s="22" t="n"/>
      <c r="D323" s="23" t="n"/>
      <c r="E323" s="23" t="n"/>
      <c r="F323" s="32" t="n"/>
      <c r="G323" s="1" t="n"/>
    </row>
    <row r="324">
      <c r="A324" s="1" t="n"/>
      <c r="B324" s="24" t="n"/>
      <c r="C324" s="22" t="n"/>
      <c r="D324" s="23" t="n"/>
      <c r="E324" s="23" t="n"/>
      <c r="F324" s="32" t="n"/>
      <c r="G324" s="1" t="n"/>
    </row>
    <row r="325">
      <c r="A325" s="1" t="n"/>
      <c r="B325" s="24" t="n"/>
      <c r="C325" s="22" t="n"/>
      <c r="D325" s="23" t="n"/>
      <c r="E325" s="23" t="n"/>
      <c r="F325" s="32" t="n"/>
      <c r="G325" s="1" t="n"/>
    </row>
    <row r="326">
      <c r="A326" s="1" t="n"/>
      <c r="B326" s="24" t="n"/>
      <c r="C326" s="22" t="n"/>
      <c r="D326" s="23" t="n"/>
      <c r="E326" s="23" t="n"/>
      <c r="F326" s="32" t="n"/>
      <c r="G326" s="1" t="n"/>
    </row>
    <row r="327">
      <c r="A327" s="1" t="n"/>
      <c r="B327" s="24" t="n"/>
      <c r="C327" s="22" t="n"/>
      <c r="D327" s="23" t="n"/>
      <c r="E327" s="23" t="n"/>
      <c r="F327" s="32" t="n"/>
      <c r="G327" s="1" t="n"/>
    </row>
    <row r="328">
      <c r="A328" s="1" t="n"/>
      <c r="B328" s="24" t="n"/>
      <c r="C328" s="22" t="n"/>
      <c r="D328" s="23" t="n"/>
      <c r="E328" s="23" t="n"/>
      <c r="F328" s="32" t="n"/>
      <c r="G328" s="1" t="n"/>
    </row>
    <row r="329">
      <c r="A329" s="1" t="n"/>
      <c r="B329" s="24" t="n"/>
      <c r="C329" s="22" t="n"/>
      <c r="D329" s="23" t="n"/>
      <c r="E329" s="23" t="n"/>
      <c r="F329" s="32" t="n"/>
      <c r="G329" s="1" t="n"/>
    </row>
    <row r="330">
      <c r="A330" s="1" t="n"/>
      <c r="B330" s="24" t="n"/>
      <c r="C330" s="22" t="n"/>
      <c r="D330" s="23" t="n"/>
      <c r="E330" s="23" t="n"/>
      <c r="F330" s="32" t="n"/>
      <c r="G330" s="1" t="n"/>
    </row>
    <row r="331">
      <c r="A331" s="1" t="n"/>
      <c r="B331" s="24" t="n"/>
      <c r="C331" s="22" t="n"/>
      <c r="D331" s="23" t="n"/>
      <c r="E331" s="23" t="n"/>
      <c r="F331" s="32" t="n"/>
      <c r="G331" s="1" t="n"/>
    </row>
    <row r="332">
      <c r="A332" s="1" t="n"/>
      <c r="B332" s="24" t="n"/>
      <c r="C332" s="22" t="n"/>
      <c r="D332" s="23" t="n"/>
      <c r="E332" s="23" t="n"/>
      <c r="F332" s="32" t="n"/>
      <c r="G332" s="1" t="n"/>
    </row>
    <row r="333">
      <c r="A333" s="1" t="n"/>
      <c r="B333" s="24" t="n"/>
      <c r="C333" s="22" t="n"/>
      <c r="D333" s="23" t="n"/>
      <c r="E333" s="23" t="n"/>
      <c r="F333" s="32" t="n"/>
      <c r="G333" s="1" t="n"/>
    </row>
    <row r="334">
      <c r="A334" s="1" t="n"/>
      <c r="B334" s="24" t="n"/>
      <c r="C334" s="22" t="n"/>
      <c r="D334" s="23" t="n"/>
      <c r="E334" s="23" t="n"/>
      <c r="F334" s="32" t="n"/>
      <c r="G334" s="1" t="n"/>
    </row>
    <row r="335">
      <c r="A335" s="1" t="n"/>
      <c r="B335" s="24" t="n"/>
      <c r="C335" s="22" t="n"/>
      <c r="D335" s="23" t="n"/>
      <c r="E335" s="23" t="n"/>
      <c r="F335" s="32" t="n"/>
      <c r="G335" s="1" t="n"/>
    </row>
    <row r="336">
      <c r="A336" s="1" t="n"/>
      <c r="B336" s="24" t="n"/>
      <c r="C336" s="22" t="n"/>
      <c r="D336" s="23" t="n"/>
      <c r="E336" s="23" t="n"/>
      <c r="F336" s="32" t="n"/>
      <c r="G336" s="1" t="n"/>
    </row>
    <row r="337">
      <c r="A337" s="1" t="n"/>
      <c r="B337" s="24" t="n"/>
      <c r="C337" s="22" t="n"/>
      <c r="D337" s="23" t="n"/>
      <c r="E337" s="23" t="n"/>
      <c r="F337" s="32" t="n"/>
      <c r="G337" s="1" t="n"/>
    </row>
    <row r="338">
      <c r="A338" s="1" t="n"/>
      <c r="B338" s="24" t="n"/>
      <c r="C338" s="22" t="n"/>
      <c r="D338" s="23" t="n"/>
      <c r="E338" s="23" t="n"/>
      <c r="F338" s="32" t="n"/>
      <c r="G338" s="1" t="n"/>
    </row>
    <row r="339">
      <c r="A339" s="1" t="n"/>
      <c r="B339" s="24" t="n"/>
      <c r="C339" s="22" t="n"/>
      <c r="D339" s="23" t="n"/>
      <c r="E339" s="23" t="n"/>
      <c r="F339" s="32" t="n"/>
      <c r="G339" s="1" t="n"/>
    </row>
    <row r="340">
      <c r="A340" s="1" t="n"/>
      <c r="B340" s="24" t="n"/>
      <c r="C340" s="22" t="n"/>
      <c r="D340" s="23" t="n"/>
      <c r="E340" s="23" t="n"/>
      <c r="F340" s="32" t="n"/>
      <c r="G340" s="1" t="n"/>
    </row>
    <row r="341">
      <c r="A341" s="1" t="n"/>
      <c r="B341" s="24" t="n"/>
      <c r="C341" s="22" t="n"/>
      <c r="D341" s="23" t="n"/>
      <c r="E341" s="23" t="n"/>
      <c r="F341" s="32" t="n"/>
      <c r="G341" s="1" t="n"/>
    </row>
    <row r="342">
      <c r="A342" s="1" t="n"/>
      <c r="B342" s="24" t="n"/>
      <c r="C342" s="22" t="n"/>
      <c r="D342" s="23" t="n"/>
      <c r="E342" s="23" t="n"/>
      <c r="F342" s="32" t="n"/>
      <c r="G342" s="1" t="n"/>
    </row>
    <row r="343">
      <c r="A343" s="1" t="n"/>
      <c r="B343" s="24" t="n"/>
      <c r="C343" s="22" t="n"/>
      <c r="D343" s="23" t="n"/>
      <c r="E343" s="23" t="n"/>
      <c r="F343" s="32" t="n"/>
      <c r="G343" s="1" t="n"/>
    </row>
    <row r="344">
      <c r="A344" s="1" t="n"/>
      <c r="B344" s="24" t="n"/>
      <c r="C344" s="22" t="n"/>
      <c r="D344" s="23" t="n"/>
      <c r="E344" s="23" t="n"/>
      <c r="F344" s="32" t="n"/>
      <c r="G344" s="1" t="n"/>
    </row>
    <row r="345">
      <c r="A345" s="1" t="n"/>
      <c r="B345" s="24" t="n"/>
      <c r="C345" s="22" t="n"/>
      <c r="D345" s="23" t="n"/>
      <c r="E345" s="23" t="n"/>
      <c r="F345" s="32" t="n"/>
      <c r="G345" s="1" t="n"/>
    </row>
    <row r="346">
      <c r="A346" s="1" t="n"/>
      <c r="B346" s="24" t="n"/>
      <c r="C346" s="22" t="n"/>
      <c r="D346" s="23" t="n"/>
      <c r="E346" s="23" t="n"/>
      <c r="F346" s="32" t="n"/>
      <c r="G346" s="1" t="n"/>
    </row>
    <row r="347">
      <c r="A347" s="1" t="n"/>
      <c r="B347" s="24" t="n"/>
      <c r="C347" s="22" t="n"/>
      <c r="D347" s="23" t="n"/>
      <c r="E347" s="23" t="n"/>
      <c r="F347" s="32" t="n"/>
      <c r="G347" s="1" t="n"/>
    </row>
    <row r="348">
      <c r="A348" s="1" t="n"/>
      <c r="B348" s="24" t="n"/>
      <c r="C348" s="22" t="n"/>
      <c r="D348" s="23" t="n"/>
      <c r="E348" s="23" t="n"/>
      <c r="F348" s="32" t="n"/>
      <c r="G348" s="1" t="n"/>
    </row>
    <row r="349">
      <c r="A349" s="1" t="n"/>
      <c r="B349" s="24" t="n"/>
      <c r="C349" s="22" t="n"/>
      <c r="D349" s="23" t="n"/>
      <c r="E349" s="23" t="n"/>
      <c r="F349" s="32" t="n"/>
      <c r="G349" s="1" t="n"/>
    </row>
    <row r="350">
      <c r="A350" s="1" t="n"/>
      <c r="B350" s="24" t="n"/>
      <c r="C350" s="22" t="n"/>
      <c r="D350" s="23" t="n"/>
      <c r="E350" s="23" t="n"/>
      <c r="F350" s="32" t="n"/>
      <c r="G350" s="1" t="n"/>
    </row>
    <row r="351">
      <c r="A351" s="1" t="n"/>
      <c r="B351" s="24" t="n"/>
      <c r="C351" s="22" t="n"/>
      <c r="D351" s="23" t="n"/>
      <c r="E351" s="23" t="n"/>
      <c r="F351" s="32" t="n"/>
      <c r="G351" s="1" t="n"/>
    </row>
    <row r="352">
      <c r="A352" s="1" t="n"/>
      <c r="B352" s="24" t="n"/>
      <c r="C352" s="22" t="n"/>
      <c r="D352" s="23" t="n"/>
      <c r="E352" s="23" t="n"/>
      <c r="F352" s="32" t="n"/>
      <c r="G352" s="1" t="n"/>
    </row>
    <row r="353">
      <c r="A353" s="1" t="n"/>
      <c r="B353" s="24" t="n"/>
      <c r="C353" s="22" t="n"/>
      <c r="D353" s="23" t="n"/>
      <c r="E353" s="23" t="n"/>
      <c r="F353" s="32" t="n"/>
      <c r="G353" s="1" t="n"/>
    </row>
    <row r="354">
      <c r="A354" s="1" t="n"/>
      <c r="B354" s="24" t="n"/>
      <c r="C354" s="22" t="n"/>
      <c r="D354" s="23" t="n"/>
      <c r="E354" s="23" t="n"/>
      <c r="F354" s="32" t="n"/>
      <c r="G354" s="1" t="n"/>
    </row>
    <row r="355">
      <c r="A355" s="1" t="n"/>
      <c r="B355" s="24" t="n"/>
      <c r="C355" s="22" t="n"/>
      <c r="D355" s="23" t="n"/>
      <c r="E355" s="23" t="n"/>
      <c r="F355" s="32" t="n"/>
      <c r="G355" s="1" t="n"/>
    </row>
    <row r="356">
      <c r="A356" s="1" t="n"/>
      <c r="B356" s="24" t="n"/>
      <c r="C356" s="22" t="n"/>
      <c r="D356" s="23" t="n"/>
      <c r="E356" s="23" t="n"/>
      <c r="F356" s="32" t="n"/>
      <c r="G356" s="1" t="n"/>
    </row>
    <row r="357">
      <c r="A357" s="1" t="n"/>
      <c r="B357" s="24" t="n"/>
      <c r="C357" s="22" t="n"/>
      <c r="D357" s="23" t="n"/>
      <c r="E357" s="23" t="n"/>
      <c r="F357" s="32" t="n"/>
      <c r="G357" s="1" t="n"/>
    </row>
    <row r="358">
      <c r="A358" s="1" t="n"/>
      <c r="B358" s="24" t="n"/>
      <c r="C358" s="22" t="n"/>
      <c r="D358" s="23" t="n"/>
      <c r="E358" s="23" t="n"/>
      <c r="F358" s="32" t="n"/>
      <c r="G358" s="1" t="n"/>
    </row>
    <row r="359">
      <c r="A359" s="1" t="n"/>
      <c r="B359" s="24" t="n"/>
      <c r="C359" s="22" t="n"/>
      <c r="D359" s="23" t="n"/>
      <c r="E359" s="23" t="n"/>
      <c r="F359" s="32" t="n"/>
      <c r="G359" s="1" t="n"/>
    </row>
    <row r="360">
      <c r="A360" s="1" t="n"/>
      <c r="B360" s="24" t="n"/>
      <c r="C360" s="22" t="n"/>
      <c r="D360" s="23" t="n"/>
      <c r="E360" s="23" t="n"/>
      <c r="F360" s="32" t="n"/>
      <c r="G360" s="1" t="n"/>
    </row>
    <row r="361">
      <c r="A361" s="1" t="n"/>
      <c r="B361" s="24" t="n"/>
      <c r="C361" s="22" t="n"/>
      <c r="D361" s="23" t="n"/>
      <c r="E361" s="23" t="n"/>
      <c r="F361" s="32" t="n"/>
      <c r="G361" s="1" t="n"/>
    </row>
    <row r="362">
      <c r="A362" s="1" t="n"/>
      <c r="B362" s="24" t="n"/>
      <c r="C362" s="22" t="n"/>
      <c r="D362" s="23" t="n"/>
      <c r="E362" s="23" t="n"/>
      <c r="F362" s="32" t="n"/>
      <c r="G362" s="1" t="n"/>
    </row>
    <row r="363">
      <c r="A363" s="1" t="n"/>
      <c r="B363" s="24" t="n"/>
      <c r="C363" s="22" t="n"/>
      <c r="D363" s="23" t="n"/>
      <c r="E363" s="23" t="n"/>
      <c r="F363" s="32" t="n"/>
      <c r="G363" s="1" t="n"/>
    </row>
    <row r="364">
      <c r="A364" s="1" t="n"/>
      <c r="B364" s="24" t="n"/>
      <c r="C364" s="22" t="n"/>
      <c r="D364" s="23" t="n"/>
      <c r="E364" s="23" t="n"/>
      <c r="F364" s="32" t="n"/>
      <c r="G364" s="1" t="n"/>
    </row>
    <row r="365">
      <c r="A365" s="1" t="n"/>
      <c r="B365" s="24" t="n"/>
      <c r="C365" s="22" t="n"/>
      <c r="D365" s="23" t="n"/>
      <c r="E365" s="23" t="n"/>
      <c r="F365" s="32" t="n"/>
      <c r="G365" s="1" t="n"/>
    </row>
    <row r="366">
      <c r="A366" s="1" t="n"/>
      <c r="B366" s="24" t="n"/>
      <c r="C366" s="22" t="n"/>
      <c r="D366" s="23" t="n"/>
      <c r="E366" s="23" t="n"/>
      <c r="F366" s="32" t="n"/>
      <c r="G366" s="1" t="n"/>
    </row>
    <row r="367">
      <c r="A367" s="1" t="n"/>
      <c r="B367" s="24" t="n"/>
      <c r="C367" s="22" t="n"/>
      <c r="D367" s="23" t="n"/>
      <c r="E367" s="23" t="n"/>
      <c r="F367" s="32" t="n"/>
      <c r="G367" s="1" t="n"/>
    </row>
    <row r="368">
      <c r="A368" s="1" t="n"/>
      <c r="B368" s="24" t="n"/>
      <c r="C368" s="22" t="n"/>
      <c r="D368" s="23" t="n"/>
      <c r="E368" s="23" t="n"/>
      <c r="F368" s="32" t="n"/>
      <c r="G368" s="1" t="n"/>
    </row>
    <row r="369">
      <c r="A369" s="1" t="n"/>
      <c r="B369" s="24" t="n"/>
      <c r="C369" s="22" t="n"/>
      <c r="D369" s="23" t="n"/>
      <c r="E369" s="23" t="n"/>
      <c r="F369" s="32" t="n"/>
      <c r="G369" s="1" t="n"/>
    </row>
    <row r="370">
      <c r="A370" s="1" t="n"/>
      <c r="B370" s="24" t="n"/>
      <c r="C370" s="22" t="n"/>
      <c r="D370" s="23" t="n"/>
      <c r="E370" s="23" t="n"/>
      <c r="F370" s="32" t="n"/>
      <c r="G370" s="1" t="n"/>
    </row>
    <row r="371">
      <c r="A371" s="1" t="n"/>
      <c r="B371" s="24" t="n"/>
      <c r="C371" s="22" t="n"/>
      <c r="D371" s="23" t="n"/>
      <c r="E371" s="23" t="n"/>
      <c r="F371" s="32" t="n"/>
      <c r="G371" s="1" t="n"/>
    </row>
    <row r="372">
      <c r="A372" s="1" t="n"/>
      <c r="B372" s="24" t="n"/>
      <c r="C372" s="22" t="n"/>
      <c r="D372" s="23" t="n"/>
      <c r="E372" s="23" t="n"/>
      <c r="F372" s="32" t="n"/>
      <c r="G372" s="1" t="n"/>
    </row>
    <row r="373">
      <c r="A373" s="1" t="n"/>
      <c r="B373" s="24" t="n"/>
      <c r="C373" s="22" t="n"/>
      <c r="D373" s="23" t="n"/>
      <c r="E373" s="23" t="n"/>
      <c r="F373" s="32" t="n"/>
      <c r="G373" s="1" t="n"/>
    </row>
    <row r="374">
      <c r="A374" s="1" t="n"/>
      <c r="B374" s="24" t="n"/>
      <c r="C374" s="22" t="n"/>
      <c r="D374" s="23" t="n"/>
      <c r="E374" s="23" t="n"/>
      <c r="F374" s="32" t="n"/>
      <c r="G374" s="1" t="n"/>
    </row>
    <row r="375">
      <c r="A375" s="1" t="n"/>
      <c r="B375" s="24" t="n"/>
      <c r="C375" s="22" t="n"/>
      <c r="D375" s="23" t="n"/>
      <c r="E375" s="23" t="n"/>
      <c r="F375" s="32" t="n"/>
      <c r="G375" s="1" t="n"/>
    </row>
    <row r="376">
      <c r="A376" s="1" t="n"/>
      <c r="B376" s="24" t="n"/>
      <c r="C376" s="22" t="n"/>
      <c r="D376" s="23" t="n"/>
      <c r="E376" s="23" t="n"/>
      <c r="F376" s="32" t="n"/>
      <c r="G376" s="1" t="n"/>
    </row>
    <row r="377">
      <c r="A377" s="1" t="n"/>
      <c r="B377" s="24" t="n"/>
      <c r="C377" s="22" t="n"/>
      <c r="D377" s="23" t="n"/>
      <c r="E377" s="23" t="n"/>
      <c r="F377" s="32" t="n"/>
      <c r="G377" s="1" t="n"/>
    </row>
    <row r="378">
      <c r="A378" s="1" t="n"/>
      <c r="B378" s="24" t="n"/>
      <c r="C378" s="22" t="n"/>
      <c r="D378" s="23" t="n"/>
      <c r="E378" s="23" t="n"/>
      <c r="F378" s="32" t="n"/>
      <c r="G378" s="1" t="n"/>
    </row>
    <row r="379">
      <c r="A379" s="1" t="n"/>
      <c r="B379" s="24" t="n"/>
      <c r="C379" s="22" t="n"/>
      <c r="D379" s="23" t="n"/>
      <c r="E379" s="23" t="n"/>
      <c r="F379" s="32" t="n"/>
      <c r="G379" s="1" t="n"/>
    </row>
    <row r="380">
      <c r="A380" s="1" t="n"/>
      <c r="B380" s="24" t="n"/>
      <c r="C380" s="22" t="n"/>
      <c r="D380" s="23" t="n"/>
      <c r="E380" s="23" t="n"/>
      <c r="F380" s="32" t="n"/>
      <c r="G380" s="1" t="n"/>
    </row>
    <row r="381">
      <c r="A381" s="1" t="n"/>
      <c r="B381" s="24" t="n"/>
      <c r="C381" s="22" t="n"/>
      <c r="D381" s="23" t="n"/>
      <c r="E381" s="23" t="n"/>
      <c r="F381" s="32" t="n"/>
      <c r="G381" s="1" t="n"/>
    </row>
    <row r="382">
      <c r="A382" s="1" t="n"/>
      <c r="B382" s="24" t="n"/>
      <c r="C382" s="22" t="n"/>
      <c r="D382" s="23" t="n"/>
      <c r="E382" s="23" t="n"/>
      <c r="F382" s="32" t="n"/>
      <c r="G382" s="1" t="n"/>
    </row>
    <row r="383">
      <c r="A383" s="1" t="n"/>
      <c r="B383" s="24" t="n"/>
      <c r="C383" s="22" t="n"/>
      <c r="D383" s="23" t="n"/>
      <c r="E383" s="23" t="n"/>
      <c r="F383" s="32" t="n"/>
      <c r="G383" s="1" t="n"/>
    </row>
    <row r="384">
      <c r="A384" s="1" t="n"/>
      <c r="B384" s="24" t="n"/>
      <c r="C384" s="22" t="n"/>
      <c r="D384" s="23" t="n"/>
      <c r="E384" s="23" t="n"/>
      <c r="F384" s="32" t="n"/>
      <c r="G384" s="1" t="n"/>
    </row>
    <row r="385">
      <c r="A385" s="1" t="n"/>
      <c r="B385" s="24" t="n"/>
      <c r="C385" s="22" t="n"/>
      <c r="D385" s="23" t="n"/>
      <c r="E385" s="23" t="n"/>
      <c r="F385" s="32" t="n"/>
      <c r="G385" s="1" t="n"/>
    </row>
    <row r="386">
      <c r="A386" s="1" t="n"/>
      <c r="B386" s="24" t="n"/>
      <c r="C386" s="22" t="n"/>
      <c r="D386" s="23" t="n"/>
      <c r="E386" s="23" t="n"/>
      <c r="F386" s="32" t="n"/>
      <c r="G386" s="1" t="n"/>
    </row>
    <row r="387">
      <c r="A387" s="1" t="n"/>
      <c r="B387" s="24" t="n"/>
      <c r="C387" s="22" t="n"/>
      <c r="D387" s="23" t="n"/>
      <c r="E387" s="23" t="n"/>
      <c r="F387" s="32" t="n"/>
      <c r="G387" s="1" t="n"/>
    </row>
    <row r="388">
      <c r="A388" s="1" t="n"/>
      <c r="B388" s="24" t="n"/>
      <c r="C388" s="22" t="n"/>
      <c r="D388" s="23" t="n"/>
      <c r="E388" s="23" t="n"/>
      <c r="F388" s="32" t="n"/>
      <c r="G388" s="1" t="n"/>
    </row>
    <row r="389">
      <c r="A389" s="1" t="n"/>
      <c r="B389" s="24" t="n"/>
      <c r="C389" s="22" t="n"/>
      <c r="D389" s="23" t="n"/>
      <c r="E389" s="23" t="n"/>
      <c r="F389" s="32" t="n"/>
      <c r="G389" s="1" t="n"/>
    </row>
    <row r="390">
      <c r="A390" s="1" t="n"/>
      <c r="B390" s="24" t="n"/>
      <c r="C390" s="22" t="n"/>
      <c r="D390" s="23" t="n"/>
      <c r="E390" s="23" t="n"/>
      <c r="F390" s="32" t="n"/>
      <c r="G390" s="1" t="n"/>
    </row>
    <row r="391">
      <c r="A391" s="1" t="n"/>
      <c r="B391" s="24" t="n"/>
      <c r="C391" s="22" t="n"/>
      <c r="D391" s="23" t="n"/>
      <c r="E391" s="23" t="n"/>
      <c r="F391" s="32" t="n"/>
      <c r="G391" s="1" t="n"/>
    </row>
    <row r="392">
      <c r="A392" s="1" t="n"/>
      <c r="B392" s="24" t="n"/>
      <c r="C392" s="22" t="n"/>
      <c r="D392" s="23" t="n"/>
      <c r="E392" s="23" t="n"/>
      <c r="F392" s="32" t="n"/>
      <c r="G392" s="1" t="n"/>
    </row>
    <row r="393">
      <c r="A393" s="1" t="n"/>
      <c r="B393" s="24" t="n"/>
      <c r="C393" s="22" t="n"/>
      <c r="D393" s="23" t="n"/>
      <c r="E393" s="23" t="n"/>
      <c r="F393" s="32" t="n"/>
      <c r="G393" s="1" t="n"/>
    </row>
    <row r="394">
      <c r="A394" s="1" t="n"/>
      <c r="B394" s="24" t="n"/>
      <c r="C394" s="22" t="n"/>
      <c r="D394" s="23" t="n"/>
      <c r="E394" s="23" t="n"/>
      <c r="F394" s="32" t="n"/>
      <c r="G394" s="1" t="n"/>
    </row>
    <row r="395">
      <c r="A395" s="1" t="n"/>
      <c r="B395" s="24" t="n"/>
      <c r="C395" s="22" t="n"/>
      <c r="D395" s="23" t="n"/>
      <c r="E395" s="23" t="n"/>
      <c r="F395" s="32" t="n"/>
      <c r="G395" s="1" t="n"/>
    </row>
    <row r="396">
      <c r="A396" s="1" t="n"/>
      <c r="B396" s="24" t="n"/>
      <c r="C396" s="22" t="n"/>
      <c r="D396" s="23" t="n"/>
      <c r="E396" s="23" t="n"/>
      <c r="F396" s="32" t="n"/>
      <c r="G396" s="1" t="n"/>
    </row>
    <row r="397">
      <c r="A397" s="1" t="n"/>
      <c r="B397" s="24" t="n"/>
      <c r="C397" s="22" t="n"/>
      <c r="D397" s="23" t="n"/>
      <c r="E397" s="23" t="n"/>
      <c r="F397" s="32" t="n"/>
      <c r="G397" s="1" t="n"/>
    </row>
    <row r="398">
      <c r="A398" s="1" t="n"/>
      <c r="B398" s="24" t="n"/>
      <c r="C398" s="22" t="n"/>
      <c r="D398" s="23" t="n"/>
      <c r="E398" s="23" t="n"/>
      <c r="F398" s="32" t="n"/>
      <c r="G398" s="1" t="n"/>
    </row>
    <row r="399">
      <c r="A399" s="1" t="n"/>
      <c r="B399" s="24" t="n"/>
      <c r="C399" s="22" t="n"/>
      <c r="D399" s="23" t="n"/>
      <c r="E399" s="23" t="n"/>
      <c r="F399" s="32" t="n"/>
      <c r="G399" s="1" t="n"/>
    </row>
    <row r="400">
      <c r="A400" s="1" t="n"/>
      <c r="B400" s="24" t="n"/>
      <c r="C400" s="22" t="n"/>
      <c r="D400" s="23" t="n"/>
      <c r="E400" s="23" t="n"/>
      <c r="F400" s="32" t="n"/>
      <c r="G400" s="1" t="n"/>
    </row>
    <row r="401">
      <c r="A401" s="1" t="n"/>
      <c r="B401" s="24" t="n"/>
      <c r="C401" s="22" t="n"/>
      <c r="D401" s="23" t="n"/>
      <c r="E401" s="23" t="n"/>
      <c r="F401" s="32" t="n"/>
      <c r="G401" s="1" t="n"/>
    </row>
    <row r="402">
      <c r="A402" s="1" t="n"/>
      <c r="B402" s="24" t="n"/>
      <c r="C402" s="22" t="n"/>
      <c r="D402" s="23" t="n"/>
      <c r="E402" s="23" t="n"/>
      <c r="F402" s="32" t="n"/>
      <c r="G402" s="1" t="n"/>
    </row>
    <row r="403">
      <c r="A403" s="1" t="n"/>
      <c r="B403" s="24" t="n"/>
      <c r="C403" s="22" t="n"/>
      <c r="D403" s="23" t="n"/>
      <c r="E403" s="23" t="n"/>
      <c r="F403" s="32" t="n"/>
      <c r="G403" s="1" t="n"/>
    </row>
    <row r="404">
      <c r="A404" s="1" t="n"/>
      <c r="B404" s="24" t="n"/>
      <c r="C404" s="22" t="n"/>
      <c r="D404" s="23" t="n"/>
      <c r="E404" s="23" t="n"/>
      <c r="F404" s="32" t="n"/>
      <c r="G404" s="1" t="n"/>
    </row>
    <row r="405">
      <c r="A405" s="1" t="n"/>
      <c r="B405" s="24" t="n"/>
      <c r="C405" s="22" t="n"/>
      <c r="D405" s="23" t="n"/>
      <c r="E405" s="23" t="n"/>
      <c r="F405" s="32" t="n"/>
      <c r="G405" s="1" t="n"/>
    </row>
    <row r="406">
      <c r="A406" s="1" t="n"/>
      <c r="B406" s="24" t="n"/>
      <c r="C406" s="22" t="n"/>
      <c r="D406" s="23" t="n"/>
      <c r="E406" s="23" t="n"/>
      <c r="F406" s="32" t="n"/>
      <c r="G406" s="1" t="n"/>
    </row>
    <row r="407">
      <c r="A407" s="1" t="n"/>
      <c r="B407" s="24" t="n"/>
      <c r="C407" s="22" t="n"/>
      <c r="D407" s="23" t="n"/>
      <c r="E407" s="23" t="n"/>
      <c r="F407" s="32" t="n"/>
      <c r="G407" s="1" t="n"/>
    </row>
    <row r="408">
      <c r="A408" s="1" t="n"/>
      <c r="B408" s="24" t="n"/>
      <c r="C408" s="22" t="n"/>
      <c r="D408" s="23" t="n"/>
      <c r="E408" s="23" t="n"/>
      <c r="F408" s="32" t="n"/>
      <c r="G408" s="1" t="n"/>
    </row>
    <row r="409">
      <c r="A409" s="1" t="n"/>
      <c r="B409" s="24" t="n"/>
      <c r="C409" s="22" t="n"/>
      <c r="D409" s="23" t="n"/>
      <c r="E409" s="23" t="n"/>
      <c r="F409" s="32" t="n"/>
      <c r="G409" s="1" t="n"/>
    </row>
    <row r="410">
      <c r="A410" s="1" t="n"/>
      <c r="B410" s="24" t="n"/>
      <c r="C410" s="22" t="n"/>
      <c r="D410" s="23" t="n"/>
      <c r="E410" s="23" t="n"/>
      <c r="F410" s="32" t="n"/>
      <c r="G410" s="1" t="n"/>
    </row>
    <row r="411">
      <c r="A411" s="1" t="n"/>
      <c r="B411" s="24" t="n"/>
      <c r="C411" s="22" t="n"/>
      <c r="D411" s="23" t="n"/>
      <c r="E411" s="23" t="n"/>
      <c r="F411" s="32" t="n"/>
      <c r="G411" s="1" t="n"/>
    </row>
    <row r="412">
      <c r="A412" s="1" t="n"/>
      <c r="B412" s="24" t="n"/>
      <c r="C412" s="22" t="n"/>
      <c r="D412" s="23" t="n"/>
      <c r="E412" s="23" t="n"/>
      <c r="F412" s="32" t="n"/>
      <c r="G412" s="1" t="n"/>
    </row>
    <row r="413">
      <c r="A413" s="1" t="n"/>
      <c r="B413" s="24" t="n"/>
      <c r="C413" s="22" t="n"/>
      <c r="D413" s="23" t="n"/>
      <c r="E413" s="23" t="n"/>
      <c r="F413" s="32" t="n"/>
      <c r="G413" s="1" t="n"/>
    </row>
    <row r="414">
      <c r="A414" s="1" t="n"/>
      <c r="B414" s="24" t="n"/>
      <c r="C414" s="22" t="n"/>
      <c r="D414" s="23" t="n"/>
      <c r="E414" s="23" t="n"/>
      <c r="F414" s="32" t="n"/>
      <c r="G414" s="1" t="n"/>
    </row>
    <row r="415">
      <c r="A415" s="1" t="n"/>
      <c r="B415" s="24" t="n"/>
      <c r="C415" s="22" t="n"/>
      <c r="D415" s="23" t="n"/>
      <c r="E415" s="23" t="n"/>
      <c r="F415" s="32" t="n"/>
      <c r="G415" s="1" t="n"/>
    </row>
    <row r="416">
      <c r="A416" s="1" t="n"/>
      <c r="B416" s="24" t="n"/>
      <c r="C416" s="22" t="n"/>
      <c r="D416" s="23" t="n"/>
      <c r="E416" s="23" t="n"/>
      <c r="F416" s="32" t="n"/>
      <c r="G416" s="1" t="n"/>
    </row>
    <row r="417">
      <c r="A417" s="1" t="n"/>
      <c r="B417" s="24" t="n"/>
      <c r="C417" s="22" t="n"/>
      <c r="D417" s="23" t="n"/>
      <c r="E417" s="23" t="n"/>
      <c r="F417" s="32" t="n"/>
      <c r="G417" s="1" t="n"/>
    </row>
    <row r="418">
      <c r="A418" s="1" t="n"/>
      <c r="B418" s="24" t="n"/>
      <c r="C418" s="22" t="n"/>
      <c r="D418" s="23" t="n"/>
      <c r="E418" s="23" t="n"/>
      <c r="F418" s="32" t="n"/>
      <c r="G418" s="1" t="n"/>
    </row>
    <row r="419">
      <c r="A419" s="1" t="n"/>
      <c r="B419" s="24" t="n"/>
      <c r="C419" s="22" t="n"/>
      <c r="D419" s="23" t="n"/>
      <c r="E419" s="23" t="n"/>
      <c r="F419" s="32" t="n"/>
      <c r="G419" s="1" t="n"/>
    </row>
    <row r="420">
      <c r="A420" s="1" t="n"/>
      <c r="B420" s="24" t="n"/>
      <c r="C420" s="22" t="n"/>
      <c r="D420" s="23" t="n"/>
      <c r="E420" s="23" t="n"/>
      <c r="F420" s="32" t="n"/>
      <c r="G420" s="1" t="n"/>
    </row>
    <row r="421">
      <c r="A421" s="1" t="n"/>
      <c r="B421" s="24" t="n"/>
      <c r="C421" s="22" t="n"/>
      <c r="D421" s="23" t="n"/>
      <c r="E421" s="23" t="n"/>
      <c r="F421" s="32" t="n"/>
      <c r="G421" s="1" t="n"/>
    </row>
    <row r="422">
      <c r="A422" s="1" t="n"/>
      <c r="B422" s="24" t="n"/>
      <c r="C422" s="22" t="n"/>
      <c r="D422" s="23" t="n"/>
      <c r="E422" s="23" t="n"/>
      <c r="F422" s="32" t="n"/>
      <c r="G422" s="1" t="n"/>
    </row>
    <row r="423">
      <c r="A423" s="1" t="n"/>
      <c r="B423" s="24" t="n"/>
      <c r="C423" s="22" t="n"/>
      <c r="D423" s="23" t="n"/>
      <c r="E423" s="23" t="n"/>
      <c r="F423" s="32" t="n"/>
      <c r="G423" s="1" t="n"/>
    </row>
    <row r="424">
      <c r="A424" s="1" t="n"/>
      <c r="B424" s="24" t="n"/>
      <c r="C424" s="22" t="n"/>
      <c r="D424" s="23" t="n"/>
      <c r="E424" s="23" t="n"/>
      <c r="F424" s="32" t="n"/>
      <c r="G424" s="1" t="n"/>
    </row>
    <row r="425">
      <c r="A425" s="1" t="n"/>
      <c r="B425" s="24" t="n"/>
      <c r="C425" s="22" t="n"/>
      <c r="D425" s="23" t="n"/>
      <c r="E425" s="23" t="n"/>
      <c r="F425" s="32" t="n"/>
      <c r="G425" s="1" t="n"/>
    </row>
    <row r="426">
      <c r="A426" s="1" t="n"/>
      <c r="B426" s="24" t="n"/>
      <c r="C426" s="22" t="n"/>
      <c r="D426" s="23" t="n"/>
      <c r="E426" s="23" t="n"/>
      <c r="F426" s="32" t="n"/>
      <c r="G426" s="1" t="n"/>
    </row>
    <row r="427">
      <c r="A427" s="1" t="n"/>
      <c r="B427" s="24" t="n"/>
      <c r="C427" s="22" t="n"/>
      <c r="D427" s="23" t="n"/>
      <c r="E427" s="23" t="n"/>
      <c r="F427" s="32" t="n"/>
      <c r="G427" s="1" t="n"/>
    </row>
    <row r="428">
      <c r="A428" s="1" t="n"/>
      <c r="B428" s="24" t="n"/>
      <c r="C428" s="22" t="n"/>
      <c r="D428" s="23" t="n"/>
      <c r="E428" s="23" t="n"/>
      <c r="F428" s="32" t="n"/>
      <c r="G428" s="1" t="n"/>
    </row>
    <row r="429">
      <c r="A429" s="1" t="n"/>
      <c r="B429" s="24" t="n"/>
      <c r="C429" s="22" t="n"/>
      <c r="D429" s="23" t="n"/>
      <c r="E429" s="23" t="n"/>
      <c r="F429" s="32" t="n"/>
      <c r="G429" s="1" t="n"/>
    </row>
    <row r="430">
      <c r="A430" s="1" t="n"/>
      <c r="B430" s="24" t="n"/>
      <c r="C430" s="22" t="n"/>
      <c r="D430" s="23" t="n"/>
      <c r="E430" s="23" t="n"/>
      <c r="F430" s="32" t="n"/>
      <c r="G430" s="1" t="n"/>
    </row>
    <row r="431">
      <c r="A431" s="1" t="n"/>
      <c r="B431" s="24" t="n"/>
      <c r="C431" s="22" t="n"/>
      <c r="D431" s="23" t="n"/>
      <c r="E431" s="23" t="n"/>
      <c r="F431" s="32" t="n"/>
      <c r="G431" s="1" t="n"/>
    </row>
    <row r="432">
      <c r="A432" s="1" t="n"/>
      <c r="B432" s="24" t="n"/>
      <c r="C432" s="22" t="n"/>
      <c r="D432" s="23" t="n"/>
      <c r="E432" s="23" t="n"/>
      <c r="F432" s="32" t="n"/>
      <c r="G432" s="1" t="n"/>
    </row>
    <row r="433">
      <c r="A433" s="1" t="n"/>
      <c r="B433" s="24" t="n"/>
      <c r="C433" s="22" t="n"/>
      <c r="D433" s="23" t="n"/>
      <c r="E433" s="23" t="n"/>
      <c r="F433" s="32" t="n"/>
      <c r="G433" s="1" t="n"/>
    </row>
    <row r="434">
      <c r="A434" s="1" t="n"/>
      <c r="B434" s="24" t="n"/>
      <c r="C434" s="22" t="n"/>
      <c r="D434" s="23" t="n"/>
      <c r="E434" s="23" t="n"/>
      <c r="F434" s="32" t="n"/>
      <c r="G434" s="1" t="n"/>
    </row>
    <row r="435">
      <c r="A435" s="1" t="n"/>
      <c r="B435" s="24" t="n"/>
      <c r="C435" s="22" t="n"/>
      <c r="D435" s="23" t="n"/>
      <c r="E435" s="23" t="n"/>
      <c r="F435" s="32" t="n"/>
      <c r="G435" s="1" t="n"/>
    </row>
    <row r="436">
      <c r="A436" s="1" t="n"/>
      <c r="B436" s="24" t="n"/>
      <c r="C436" s="22" t="n"/>
      <c r="D436" s="23" t="n"/>
      <c r="E436" s="23" t="n"/>
      <c r="F436" s="32" t="n"/>
      <c r="G436" s="1" t="n"/>
    </row>
    <row r="437">
      <c r="A437" s="1" t="n"/>
      <c r="B437" s="24" t="n"/>
      <c r="C437" s="22" t="n"/>
      <c r="D437" s="23" t="n"/>
      <c r="E437" s="23" t="n"/>
      <c r="F437" s="32" t="n"/>
      <c r="G437" s="1" t="n"/>
    </row>
    <row r="438">
      <c r="A438" s="1" t="n"/>
      <c r="B438" s="24" t="n"/>
      <c r="C438" s="22" t="n"/>
      <c r="D438" s="23" t="n"/>
      <c r="E438" s="23" t="n"/>
      <c r="F438" s="32" t="n"/>
      <c r="G438" s="1" t="n"/>
    </row>
    <row r="439">
      <c r="A439" s="1" t="n"/>
      <c r="B439" s="24" t="n"/>
      <c r="C439" s="22" t="n"/>
      <c r="D439" s="23" t="n"/>
      <c r="E439" s="23" t="n"/>
      <c r="F439" s="32" t="n"/>
      <c r="G439" s="1" t="n"/>
    </row>
    <row r="440">
      <c r="A440" s="1" t="n"/>
      <c r="B440" s="24" t="n"/>
      <c r="C440" s="22" t="n"/>
      <c r="D440" s="23" t="n"/>
      <c r="E440" s="23" t="n"/>
      <c r="F440" s="32" t="n"/>
      <c r="G440" s="1" t="n"/>
    </row>
    <row r="441">
      <c r="A441" s="1" t="n"/>
      <c r="B441" s="24" t="n"/>
      <c r="C441" s="22" t="n"/>
      <c r="D441" s="23" t="n"/>
      <c r="E441" s="23" t="n"/>
      <c r="F441" s="32" t="n"/>
      <c r="G441" s="1" t="n"/>
    </row>
    <row r="442">
      <c r="A442" s="1" t="n"/>
      <c r="B442" s="24" t="n"/>
      <c r="C442" s="22" t="n"/>
      <c r="D442" s="23" t="n"/>
      <c r="E442" s="23" t="n"/>
      <c r="F442" s="32" t="n"/>
      <c r="G442" s="1" t="n"/>
    </row>
    <row r="443">
      <c r="A443" s="1" t="n"/>
      <c r="B443" s="24" t="n"/>
      <c r="C443" s="22" t="n"/>
      <c r="D443" s="23" t="n"/>
      <c r="E443" s="23" t="n"/>
      <c r="F443" s="32" t="n"/>
      <c r="G443" s="1" t="n"/>
    </row>
    <row r="444">
      <c r="A444" s="1" t="n"/>
      <c r="B444" s="24" t="n"/>
      <c r="C444" s="22" t="n"/>
      <c r="D444" s="23" t="n"/>
      <c r="E444" s="23" t="n"/>
      <c r="F444" s="32" t="n"/>
      <c r="G444" s="1" t="n"/>
    </row>
    <row r="445">
      <c r="A445" s="1" t="n"/>
      <c r="B445" s="24" t="n"/>
      <c r="C445" s="22" t="n"/>
      <c r="D445" s="23" t="n"/>
      <c r="E445" s="23" t="n"/>
      <c r="F445" s="32" t="n"/>
      <c r="G445" s="1" t="n"/>
    </row>
    <row r="446">
      <c r="A446" s="1" t="n"/>
      <c r="B446" s="24" t="n"/>
      <c r="C446" s="22" t="n"/>
      <c r="D446" s="23" t="n"/>
      <c r="E446" s="23" t="n"/>
      <c r="F446" s="32" t="n"/>
      <c r="G446" s="1" t="n"/>
    </row>
    <row r="447">
      <c r="A447" s="1" t="n"/>
      <c r="B447" s="24" t="n"/>
      <c r="C447" s="22" t="n"/>
      <c r="D447" s="23" t="n"/>
      <c r="E447" s="23" t="n"/>
      <c r="F447" s="32" t="n"/>
      <c r="G447" s="1" t="n"/>
    </row>
    <row r="448">
      <c r="A448" s="1" t="n"/>
      <c r="B448" s="24" t="n"/>
      <c r="C448" s="22" t="n"/>
      <c r="D448" s="23" t="n"/>
      <c r="E448" s="23" t="n"/>
      <c r="F448" s="32" t="n"/>
      <c r="G448" s="1" t="n"/>
    </row>
    <row r="449">
      <c r="A449" s="1" t="n"/>
      <c r="B449" s="24" t="n"/>
      <c r="C449" s="22" t="n"/>
      <c r="D449" s="23" t="n"/>
      <c r="E449" s="23" t="n"/>
      <c r="F449" s="32" t="n"/>
      <c r="G449" s="1" t="n"/>
    </row>
    <row r="450">
      <c r="A450" s="1" t="n"/>
      <c r="B450" s="24" t="n"/>
      <c r="C450" s="22" t="n"/>
      <c r="D450" s="23" t="n"/>
      <c r="E450" s="23" t="n"/>
      <c r="F450" s="32" t="n"/>
      <c r="G450" s="1" t="n"/>
    </row>
    <row r="451">
      <c r="A451" s="1" t="n"/>
      <c r="B451" s="24" t="n"/>
      <c r="C451" s="22" t="n"/>
      <c r="D451" s="23" t="n"/>
      <c r="E451" s="23" t="n"/>
      <c r="F451" s="32" t="n"/>
      <c r="G451" s="1" t="n"/>
    </row>
    <row r="452">
      <c r="A452" s="1" t="n"/>
      <c r="B452" s="24" t="n"/>
      <c r="C452" s="22" t="n"/>
      <c r="D452" s="23" t="n"/>
      <c r="E452" s="23" t="n"/>
      <c r="F452" s="32" t="n"/>
      <c r="G452" s="1" t="n"/>
    </row>
    <row r="453">
      <c r="A453" s="1" t="n"/>
      <c r="B453" s="24" t="n"/>
      <c r="C453" s="22" t="n"/>
      <c r="D453" s="23" t="n"/>
      <c r="E453" s="23" t="n"/>
      <c r="F453" s="32" t="n"/>
      <c r="G453" s="1" t="n"/>
    </row>
    <row r="454">
      <c r="A454" s="1" t="n"/>
      <c r="B454" s="24" t="n"/>
      <c r="C454" s="22" t="n"/>
      <c r="D454" s="23" t="n"/>
      <c r="E454" s="23" t="n"/>
      <c r="F454" s="32" t="n"/>
      <c r="G454" s="1" t="n"/>
    </row>
    <row r="455">
      <c r="A455" s="1" t="n"/>
      <c r="B455" s="24" t="n"/>
      <c r="C455" s="22" t="n"/>
      <c r="D455" s="23" t="n"/>
      <c r="E455" s="23" t="n"/>
      <c r="F455" s="32" t="n"/>
      <c r="G455" s="1" t="n"/>
    </row>
    <row r="456">
      <c r="A456" s="1" t="n"/>
      <c r="B456" s="24" t="n"/>
      <c r="C456" s="22" t="n"/>
      <c r="D456" s="23" t="n"/>
      <c r="E456" s="23" t="n"/>
      <c r="F456" s="32" t="n"/>
      <c r="G456" s="1" t="n"/>
    </row>
    <row r="457">
      <c r="A457" s="1" t="n"/>
      <c r="B457" s="24" t="n"/>
      <c r="C457" s="22" t="n"/>
      <c r="D457" s="23" t="n"/>
      <c r="E457" s="23" t="n"/>
      <c r="F457" s="32" t="n"/>
      <c r="G457" s="1" t="n"/>
    </row>
    <row r="458">
      <c r="A458" s="1" t="n"/>
      <c r="B458" s="24" t="n"/>
      <c r="C458" s="22" t="n"/>
      <c r="D458" s="23" t="n"/>
      <c r="E458" s="23" t="n"/>
      <c r="F458" s="32" t="n"/>
      <c r="G458" s="1" t="n"/>
    </row>
    <row r="459">
      <c r="A459" s="1" t="n"/>
      <c r="B459" s="24" t="n"/>
      <c r="C459" s="22" t="n"/>
      <c r="D459" s="23" t="n"/>
      <c r="E459" s="23" t="n"/>
      <c r="F459" s="32" t="n"/>
      <c r="G459" s="1" t="n"/>
    </row>
    <row r="460">
      <c r="A460" s="1" t="n"/>
      <c r="B460" s="24" t="n"/>
      <c r="C460" s="22" t="n"/>
      <c r="D460" s="23" t="n"/>
      <c r="E460" s="23" t="n"/>
      <c r="F460" s="32" t="n"/>
      <c r="G460" s="1" t="n"/>
    </row>
    <row r="461">
      <c r="A461" s="1" t="n"/>
      <c r="B461" s="24" t="n"/>
      <c r="C461" s="22" t="n"/>
      <c r="D461" s="23" t="n"/>
      <c r="E461" s="23" t="n"/>
      <c r="F461" s="32" t="n"/>
      <c r="G461" s="1" t="n"/>
    </row>
    <row r="462">
      <c r="A462" s="1" t="n"/>
      <c r="B462" s="24" t="n"/>
      <c r="C462" s="22" t="n"/>
      <c r="D462" s="23" t="n"/>
      <c r="E462" s="23" t="n"/>
      <c r="F462" s="32" t="n"/>
      <c r="G462" s="1" t="n"/>
    </row>
    <row r="463">
      <c r="A463" s="1" t="n"/>
      <c r="B463" s="24" t="n"/>
      <c r="C463" s="22" t="n"/>
      <c r="D463" s="23" t="n"/>
      <c r="E463" s="23" t="n"/>
      <c r="F463" s="32" t="n"/>
      <c r="G463" s="1" t="n"/>
    </row>
    <row r="464">
      <c r="A464" s="1" t="n"/>
      <c r="B464" s="24" t="n"/>
      <c r="C464" s="22" t="n"/>
      <c r="D464" s="23" t="n"/>
      <c r="E464" s="23" t="n"/>
      <c r="F464" s="32" t="n"/>
      <c r="G464" s="1" t="n"/>
    </row>
    <row r="465">
      <c r="A465" s="1" t="n"/>
      <c r="B465" s="24" t="n"/>
      <c r="C465" s="22" t="n"/>
      <c r="D465" s="23" t="n"/>
      <c r="E465" s="23" t="n"/>
      <c r="F465" s="32" t="n"/>
      <c r="G465" s="1" t="n"/>
    </row>
    <row r="466">
      <c r="A466" s="1" t="n"/>
      <c r="B466" s="24" t="n"/>
      <c r="C466" s="22" t="n"/>
      <c r="D466" s="23" t="n"/>
      <c r="E466" s="23" t="n"/>
      <c r="F466" s="32" t="n"/>
      <c r="G466" s="1" t="n"/>
    </row>
    <row r="467">
      <c r="A467" s="1" t="n"/>
      <c r="B467" s="24" t="n"/>
      <c r="C467" s="22" t="n"/>
      <c r="D467" s="23" t="n"/>
      <c r="E467" s="23" t="n"/>
      <c r="F467" s="32" t="n"/>
      <c r="G467" s="1" t="n"/>
    </row>
    <row r="468">
      <c r="A468" s="1" t="n"/>
      <c r="B468" s="24" t="n"/>
      <c r="C468" s="22" t="n"/>
      <c r="D468" s="23" t="n"/>
      <c r="E468" s="23" t="n"/>
      <c r="F468" s="32" t="n"/>
      <c r="G468" s="1" t="n"/>
    </row>
    <row r="469">
      <c r="A469" s="1" t="n"/>
      <c r="B469" s="24" t="n"/>
      <c r="C469" s="22" t="n"/>
      <c r="D469" s="23" t="n"/>
      <c r="E469" s="23" t="n"/>
      <c r="F469" s="32" t="n"/>
      <c r="G469" s="1" t="n"/>
    </row>
    <row r="470">
      <c r="A470" s="1" t="n"/>
      <c r="B470" s="24" t="n"/>
      <c r="C470" s="22" t="n"/>
      <c r="D470" s="23" t="n"/>
      <c r="E470" s="23" t="n"/>
      <c r="F470" s="32" t="n"/>
      <c r="G470" s="1" t="n"/>
    </row>
    <row r="471">
      <c r="A471" s="1" t="n"/>
      <c r="B471" s="24" t="n"/>
      <c r="C471" s="22" t="n"/>
      <c r="D471" s="23" t="n"/>
      <c r="E471" s="23" t="n"/>
      <c r="F471" s="32" t="n"/>
      <c r="G471" s="1" t="n"/>
    </row>
    <row r="472">
      <c r="A472" s="1" t="n"/>
      <c r="B472" s="24" t="n"/>
      <c r="C472" s="22" t="n"/>
      <c r="D472" s="23" t="n"/>
      <c r="E472" s="23" t="n"/>
      <c r="F472" s="32" t="n"/>
      <c r="G472" s="1" t="n"/>
    </row>
    <row r="473">
      <c r="A473" s="1" t="n"/>
      <c r="B473" s="24" t="n"/>
      <c r="C473" s="22" t="n"/>
      <c r="D473" s="23" t="n"/>
      <c r="E473" s="23" t="n"/>
      <c r="F473" s="32" t="n"/>
      <c r="G473" s="1" t="n"/>
    </row>
    <row r="474">
      <c r="A474" s="1" t="n"/>
      <c r="B474" s="24" t="n"/>
      <c r="C474" s="22" t="n"/>
      <c r="D474" s="23" t="n"/>
      <c r="E474" s="23" t="n"/>
      <c r="F474" s="32" t="n"/>
      <c r="G474" s="1" t="n"/>
    </row>
    <row r="475">
      <c r="A475" s="1" t="n"/>
      <c r="B475" s="24" t="n"/>
      <c r="C475" s="22" t="n"/>
      <c r="D475" s="23" t="n"/>
      <c r="E475" s="23" t="n"/>
      <c r="F475" s="32" t="n"/>
      <c r="G475" s="1" t="n"/>
    </row>
    <row r="476">
      <c r="A476" s="1" t="n"/>
      <c r="B476" s="24" t="n"/>
      <c r="C476" s="22" t="n"/>
      <c r="D476" s="23" t="n"/>
      <c r="E476" s="23" t="n"/>
      <c r="F476" s="32" t="n"/>
      <c r="G476" s="1" t="n"/>
    </row>
    <row r="477">
      <c r="A477" s="1" t="n"/>
      <c r="B477" s="24" t="n"/>
      <c r="C477" s="22" t="n"/>
      <c r="D477" s="23" t="n"/>
      <c r="E477" s="23" t="n"/>
      <c r="F477" s="32" t="n"/>
      <c r="G477" s="1" t="n"/>
    </row>
    <row r="478">
      <c r="A478" s="1" t="n"/>
      <c r="B478" s="24" t="n"/>
      <c r="C478" s="22" t="n"/>
      <c r="D478" s="23" t="n"/>
      <c r="E478" s="23" t="n"/>
      <c r="F478" s="32" t="n"/>
      <c r="G478" s="1" t="n"/>
    </row>
    <row r="479">
      <c r="A479" s="1" t="n"/>
      <c r="B479" s="24" t="n"/>
      <c r="C479" s="22" t="n"/>
      <c r="D479" s="23" t="n"/>
      <c r="E479" s="23" t="n"/>
      <c r="F479" s="32" t="n"/>
      <c r="G479" s="1" t="n"/>
    </row>
    <row r="480">
      <c r="A480" s="1" t="n"/>
      <c r="B480" s="24" t="n"/>
      <c r="C480" s="22" t="n"/>
      <c r="D480" s="23" t="n"/>
      <c r="E480" s="23" t="n"/>
      <c r="F480" s="32" t="n"/>
      <c r="G480" s="1" t="n"/>
    </row>
    <row r="481">
      <c r="A481" s="1" t="n"/>
      <c r="B481" s="24" t="n"/>
      <c r="C481" s="22" t="n"/>
      <c r="D481" s="23" t="n"/>
      <c r="E481" s="23" t="n"/>
      <c r="F481" s="32" t="n"/>
      <c r="G481" s="1" t="n"/>
    </row>
    <row r="482">
      <c r="A482" s="1" t="n"/>
      <c r="B482" s="24" t="n"/>
      <c r="C482" s="22" t="n"/>
      <c r="D482" s="23" t="n"/>
      <c r="E482" s="23" t="n"/>
      <c r="F482" s="32" t="n"/>
      <c r="G482" s="1" t="n"/>
    </row>
    <row r="483">
      <c r="A483" s="1" t="n"/>
      <c r="B483" s="24" t="n"/>
      <c r="C483" s="22" t="n"/>
      <c r="D483" s="23" t="n"/>
      <c r="E483" s="23" t="n"/>
      <c r="F483" s="32" t="n"/>
      <c r="G483" s="1" t="n"/>
    </row>
    <row r="484">
      <c r="A484" s="1" t="n"/>
      <c r="B484" s="24" t="n"/>
      <c r="C484" s="22" t="n"/>
      <c r="D484" s="23" t="n"/>
      <c r="E484" s="23" t="n"/>
      <c r="F484" s="32" t="n"/>
      <c r="G484" s="1" t="n"/>
    </row>
    <row r="485">
      <c r="A485" s="1" t="n"/>
      <c r="B485" s="24" t="n"/>
      <c r="C485" s="22" t="n"/>
      <c r="D485" s="23" t="n"/>
      <c r="E485" s="23" t="n"/>
      <c r="F485" s="32" t="n"/>
      <c r="G485" s="1" t="n"/>
    </row>
    <row r="486">
      <c r="A486" s="1" t="n"/>
      <c r="B486" s="24" t="n"/>
      <c r="C486" s="22" t="n"/>
      <c r="D486" s="23" t="n"/>
      <c r="E486" s="23" t="n"/>
      <c r="F486" s="32" t="n"/>
      <c r="G486" s="1" t="n"/>
    </row>
    <row r="487">
      <c r="A487" s="1" t="n"/>
      <c r="B487" s="24" t="n"/>
      <c r="C487" s="22" t="n"/>
      <c r="D487" s="23" t="n"/>
      <c r="E487" s="23" t="n"/>
      <c r="F487" s="32" t="n"/>
      <c r="G487" s="1" t="n"/>
    </row>
    <row r="488">
      <c r="A488" s="1" t="n"/>
      <c r="B488" s="24" t="n"/>
      <c r="C488" s="22" t="n"/>
      <c r="D488" s="23" t="n"/>
      <c r="E488" s="23" t="n"/>
      <c r="F488" s="32" t="n"/>
      <c r="G488" s="1" t="n"/>
    </row>
    <row r="489">
      <c r="A489" s="1" t="n"/>
      <c r="B489" s="24" t="n"/>
      <c r="C489" s="22" t="n"/>
      <c r="D489" s="23" t="n"/>
      <c r="E489" s="23" t="n"/>
      <c r="F489" s="32" t="n"/>
      <c r="G489" s="1" t="n"/>
    </row>
    <row r="490">
      <c r="A490" s="1" t="n"/>
      <c r="B490" s="24" t="n"/>
      <c r="C490" s="22" t="n"/>
      <c r="D490" s="23" t="n"/>
      <c r="E490" s="23" t="n"/>
      <c r="F490" s="32" t="n"/>
      <c r="G490" s="1" t="n"/>
    </row>
    <row r="491">
      <c r="A491" s="1" t="n"/>
      <c r="B491" s="24" t="n"/>
      <c r="C491" s="22" t="n"/>
      <c r="D491" s="23" t="n"/>
      <c r="E491" s="23" t="n"/>
      <c r="F491" s="32" t="n"/>
      <c r="G491" s="1" t="n"/>
    </row>
    <row r="492">
      <c r="A492" s="1" t="n"/>
      <c r="B492" s="24" t="n"/>
      <c r="C492" s="22" t="n"/>
      <c r="D492" s="23" t="n"/>
      <c r="E492" s="23" t="n"/>
      <c r="F492" s="32" t="n"/>
      <c r="G492" s="1" t="n"/>
    </row>
    <row r="493">
      <c r="A493" s="1" t="n"/>
      <c r="B493" s="24" t="n"/>
      <c r="C493" s="22" t="n"/>
      <c r="D493" s="23" t="n"/>
      <c r="E493" s="23" t="n"/>
      <c r="F493" s="32" t="n"/>
      <c r="G493" s="1" t="n"/>
    </row>
    <row r="494">
      <c r="A494" s="1" t="n"/>
      <c r="B494" s="24" t="n"/>
      <c r="C494" s="22" t="n"/>
      <c r="D494" s="23" t="n"/>
      <c r="E494" s="23" t="n"/>
      <c r="F494" s="32" t="n"/>
      <c r="G494" s="1" t="n"/>
    </row>
    <row r="495">
      <c r="A495" s="1" t="n"/>
      <c r="B495" s="24" t="n"/>
      <c r="C495" s="22" t="n"/>
      <c r="D495" s="23" t="n"/>
      <c r="E495" s="23" t="n"/>
      <c r="F495" s="32" t="n"/>
      <c r="G495" s="1" t="n"/>
    </row>
    <row r="496">
      <c r="A496" s="1" t="n"/>
      <c r="B496" s="24" t="n"/>
      <c r="C496" s="22" t="n"/>
      <c r="D496" s="23" t="n"/>
      <c r="E496" s="23" t="n"/>
      <c r="F496" s="32" t="n"/>
      <c r="G496" s="1" t="n"/>
    </row>
    <row r="497">
      <c r="A497" s="1" t="n"/>
      <c r="B497" s="24" t="n"/>
      <c r="C497" s="22" t="n"/>
      <c r="D497" s="23" t="n"/>
      <c r="E497" s="23" t="n"/>
      <c r="F497" s="32" t="n"/>
      <c r="G497" s="1" t="n"/>
    </row>
    <row r="498">
      <c r="A498" s="1" t="n"/>
      <c r="B498" s="24" t="n"/>
      <c r="C498" s="22" t="n"/>
      <c r="D498" s="23" t="n"/>
      <c r="E498" s="23" t="n"/>
      <c r="F498" s="32" t="n"/>
      <c r="G498" s="1" t="n"/>
    </row>
    <row r="499">
      <c r="A499" s="1" t="n"/>
      <c r="B499" s="24" t="n"/>
      <c r="C499" s="22" t="n"/>
      <c r="D499" s="23" t="n"/>
      <c r="E499" s="23" t="n"/>
      <c r="F499" s="32" t="n"/>
      <c r="G499" s="1" t="n"/>
    </row>
    <row r="500">
      <c r="A500" s="1" t="n"/>
      <c r="B500" s="24" t="n"/>
      <c r="C500" s="22" t="n"/>
      <c r="D500" s="23" t="n"/>
      <c r="E500" s="23" t="n"/>
      <c r="F500" s="32" t="n"/>
      <c r="G500" s="1" t="n"/>
    </row>
    <row r="501">
      <c r="A501" s="1" t="n"/>
      <c r="B501" s="24" t="n"/>
      <c r="C501" s="22" t="n"/>
      <c r="D501" s="23" t="n"/>
      <c r="E501" s="23" t="n"/>
      <c r="F501" s="32" t="n"/>
      <c r="G501" s="1" t="n"/>
    </row>
    <row r="502">
      <c r="A502" s="1" t="n"/>
      <c r="B502" s="24" t="n"/>
      <c r="C502" s="22" t="n"/>
      <c r="D502" s="23" t="n"/>
      <c r="E502" s="23" t="n"/>
      <c r="F502" s="32" t="n"/>
      <c r="G502" s="1" t="n"/>
    </row>
    <row r="503">
      <c r="A503" s="1" t="n"/>
      <c r="B503" s="24" t="n"/>
      <c r="C503" s="22" t="n"/>
      <c r="D503" s="23" t="n"/>
      <c r="E503" s="23" t="n"/>
      <c r="F503" s="32" t="n"/>
      <c r="G503" s="1" t="n"/>
    </row>
    <row r="504">
      <c r="A504" s="1" t="n"/>
      <c r="B504" s="24" t="n"/>
      <c r="C504" s="22" t="n"/>
      <c r="D504" s="23" t="n"/>
      <c r="E504" s="23" t="n"/>
      <c r="F504" s="32" t="n"/>
      <c r="G504" s="1" t="n"/>
    </row>
    <row r="505">
      <c r="A505" s="1" t="n"/>
      <c r="B505" s="24" t="n"/>
      <c r="C505" s="22" t="n"/>
      <c r="D505" s="23" t="n"/>
      <c r="E505" s="23" t="n"/>
      <c r="F505" s="32" t="n"/>
      <c r="G505" s="1" t="n"/>
    </row>
    <row r="506">
      <c r="A506" s="1" t="n"/>
      <c r="B506" s="24" t="n"/>
      <c r="C506" s="22" t="n"/>
      <c r="D506" s="23" t="n"/>
      <c r="E506" s="23" t="n"/>
      <c r="F506" s="32" t="n"/>
      <c r="G506" s="1" t="n"/>
    </row>
    <row r="507">
      <c r="A507" s="1" t="n"/>
      <c r="B507" s="24" t="n"/>
      <c r="C507" s="22" t="n"/>
      <c r="D507" s="23" t="n"/>
      <c r="E507" s="23" t="n"/>
      <c r="F507" s="32" t="n"/>
      <c r="G507" s="1" t="n"/>
    </row>
    <row r="508">
      <c r="A508" s="1" t="n"/>
      <c r="B508" s="24" t="n"/>
      <c r="C508" s="22" t="n"/>
      <c r="D508" s="23" t="n"/>
      <c r="E508" s="23" t="n"/>
      <c r="F508" s="32" t="n"/>
      <c r="G508" s="1" t="n"/>
    </row>
    <row r="509">
      <c r="A509" s="1" t="n"/>
      <c r="B509" s="24" t="n"/>
      <c r="C509" s="22" t="n"/>
      <c r="D509" s="23" t="n"/>
      <c r="E509" s="23" t="n"/>
      <c r="F509" s="32" t="n"/>
      <c r="G509" s="1" t="n"/>
    </row>
    <row r="510">
      <c r="A510" s="1" t="n"/>
      <c r="B510" s="24" t="n"/>
      <c r="C510" s="22" t="n"/>
      <c r="D510" s="23" t="n"/>
      <c r="E510" s="23" t="n"/>
      <c r="F510" s="32" t="n"/>
      <c r="G510" s="1" t="n"/>
    </row>
    <row r="511">
      <c r="A511" s="1" t="n"/>
      <c r="B511" s="24" t="n"/>
      <c r="C511" s="22" t="n"/>
      <c r="D511" s="23" t="n"/>
      <c r="E511" s="23" t="n"/>
      <c r="F511" s="32" t="n"/>
      <c r="G511" s="1" t="n"/>
    </row>
    <row r="512">
      <c r="A512" s="1" t="n"/>
      <c r="B512" s="24" t="n"/>
      <c r="C512" s="22" t="n"/>
      <c r="D512" s="23" t="n"/>
      <c r="E512" s="23" t="n"/>
      <c r="F512" s="32" t="n"/>
      <c r="G512" s="1" t="n"/>
    </row>
    <row r="513">
      <c r="A513" s="1" t="n"/>
      <c r="B513" s="24" t="n"/>
      <c r="C513" s="22" t="n"/>
      <c r="D513" s="23" t="n"/>
      <c r="E513" s="23" t="n"/>
      <c r="F513" s="32" t="n"/>
      <c r="G513" s="1" t="n"/>
    </row>
    <row r="514">
      <c r="A514" s="1" t="n"/>
      <c r="B514" s="24" t="n"/>
      <c r="C514" s="22" t="n"/>
      <c r="D514" s="23" t="n"/>
      <c r="E514" s="23" t="n"/>
      <c r="F514" s="32" t="n"/>
      <c r="G514" s="1" t="n"/>
    </row>
    <row r="515">
      <c r="A515" s="1" t="n"/>
      <c r="B515" s="24" t="n"/>
      <c r="C515" s="22" t="n"/>
      <c r="D515" s="23" t="n"/>
      <c r="E515" s="23" t="n"/>
      <c r="F515" s="32" t="n"/>
      <c r="G515" s="1" t="n"/>
    </row>
    <row r="516">
      <c r="A516" s="1" t="n"/>
      <c r="B516" s="24" t="n"/>
      <c r="C516" s="22" t="n"/>
      <c r="D516" s="23" t="n"/>
      <c r="E516" s="23" t="n"/>
      <c r="F516" s="32" t="n"/>
      <c r="G516" s="1" t="n"/>
    </row>
    <row r="517">
      <c r="A517" s="1" t="n"/>
      <c r="B517" s="24" t="n"/>
      <c r="C517" s="22" t="n"/>
      <c r="D517" s="23" t="n"/>
      <c r="E517" s="23" t="n"/>
      <c r="F517" s="32" t="n"/>
      <c r="G517" s="1" t="n"/>
    </row>
    <row r="518">
      <c r="A518" s="1" t="n"/>
      <c r="B518" s="24" t="n"/>
      <c r="C518" s="22" t="n"/>
      <c r="D518" s="23" t="n"/>
      <c r="E518" s="23" t="n"/>
      <c r="F518" s="32" t="n"/>
      <c r="G518" s="1" t="n"/>
    </row>
    <row r="519">
      <c r="A519" s="1" t="n"/>
      <c r="B519" s="24" t="n"/>
      <c r="C519" s="22" t="n"/>
      <c r="D519" s="23" t="n"/>
      <c r="E519" s="23" t="n"/>
      <c r="F519" s="32" t="n"/>
      <c r="G519" s="1" t="n"/>
    </row>
    <row r="520">
      <c r="A520" s="1" t="n"/>
      <c r="B520" s="24" t="n"/>
      <c r="C520" s="22" t="n"/>
      <c r="D520" s="23" t="n"/>
      <c r="E520" s="23" t="n"/>
      <c r="F520" s="32" t="n"/>
      <c r="G520" s="1" t="n"/>
    </row>
    <row r="521">
      <c r="A521" s="1" t="n"/>
      <c r="B521" s="24" t="n"/>
      <c r="C521" s="22" t="n"/>
      <c r="D521" s="23" t="n"/>
      <c r="E521" s="23" t="n"/>
      <c r="F521" s="32" t="n"/>
      <c r="G521" s="1" t="n"/>
    </row>
    <row r="522">
      <c r="A522" s="1" t="n"/>
      <c r="B522" s="24" t="n"/>
      <c r="C522" s="22" t="n"/>
      <c r="D522" s="23" t="n"/>
      <c r="E522" s="23" t="n"/>
      <c r="F522" s="32" t="n"/>
      <c r="G522" s="1" t="n"/>
    </row>
    <row r="523">
      <c r="A523" s="1" t="n"/>
      <c r="B523" s="24" t="n"/>
      <c r="C523" s="22" t="n"/>
      <c r="D523" s="23" t="n"/>
      <c r="E523" s="23" t="n"/>
      <c r="F523" s="32" t="n"/>
      <c r="G523" s="1" t="n"/>
    </row>
    <row r="524">
      <c r="A524" s="1" t="n"/>
      <c r="B524" s="24" t="n"/>
      <c r="C524" s="22" t="n"/>
      <c r="D524" s="23" t="n"/>
      <c r="E524" s="23" t="n"/>
      <c r="F524" s="32" t="n"/>
      <c r="G524" s="1" t="n"/>
    </row>
    <row r="525">
      <c r="A525" s="1" t="n"/>
      <c r="B525" s="24" t="n"/>
      <c r="C525" s="22" t="n"/>
      <c r="D525" s="23" t="n"/>
      <c r="E525" s="23" t="n"/>
      <c r="F525" s="32" t="n"/>
      <c r="G525" s="1" t="n"/>
    </row>
    <row r="526">
      <c r="A526" s="1" t="n"/>
      <c r="B526" s="24" t="n"/>
      <c r="C526" s="22" t="n"/>
      <c r="D526" s="23" t="n"/>
      <c r="E526" s="23" t="n"/>
      <c r="F526" s="32" t="n"/>
      <c r="G526" s="1" t="n"/>
    </row>
    <row r="527">
      <c r="A527" s="1" t="n"/>
      <c r="B527" s="24" t="n"/>
      <c r="C527" s="22" t="n"/>
      <c r="D527" s="23" t="n"/>
      <c r="E527" s="23" t="n"/>
      <c r="F527" s="32" t="n"/>
      <c r="G527" s="1" t="n"/>
    </row>
    <row r="528">
      <c r="A528" s="1" t="n"/>
      <c r="B528" s="24" t="n"/>
      <c r="C528" s="22" t="n"/>
      <c r="D528" s="23" t="n"/>
      <c r="E528" s="23" t="n"/>
      <c r="F528" s="32" t="n"/>
      <c r="G528" s="1" t="n"/>
    </row>
    <row r="529">
      <c r="A529" s="1" t="n"/>
      <c r="B529" s="24" t="n"/>
      <c r="C529" s="22" t="n"/>
      <c r="D529" s="23" t="n"/>
      <c r="E529" s="23" t="n"/>
      <c r="F529" s="32" t="n"/>
      <c r="G529" s="1" t="n"/>
    </row>
    <row r="530">
      <c r="A530" s="1" t="n"/>
      <c r="B530" s="24" t="n"/>
      <c r="C530" s="22" t="n"/>
      <c r="D530" s="23" t="n"/>
      <c r="E530" s="23" t="n"/>
      <c r="F530" s="32" t="n"/>
      <c r="G530" s="1" t="n"/>
    </row>
    <row r="531">
      <c r="A531" s="1" t="n"/>
      <c r="B531" s="24" t="n"/>
      <c r="C531" s="22" t="n"/>
      <c r="D531" s="23" t="n"/>
      <c r="E531" s="23" t="n"/>
      <c r="F531" s="32" t="n"/>
      <c r="G531" s="1" t="n"/>
    </row>
    <row r="532">
      <c r="A532" s="1" t="n"/>
      <c r="B532" s="24" t="n"/>
      <c r="C532" s="22" t="n"/>
      <c r="D532" s="23" t="n"/>
      <c r="E532" s="23" t="n"/>
      <c r="F532" s="32" t="n"/>
      <c r="G532" s="1" t="n"/>
    </row>
    <row r="533">
      <c r="A533" s="1" t="n"/>
      <c r="B533" s="24" t="n"/>
      <c r="C533" s="22" t="n"/>
      <c r="D533" s="23" t="n"/>
      <c r="E533" s="23" t="n"/>
      <c r="F533" s="32" t="n"/>
      <c r="G533" s="1" t="n"/>
    </row>
    <row r="534">
      <c r="A534" s="1" t="n"/>
      <c r="B534" s="24" t="n"/>
      <c r="C534" s="22" t="n"/>
      <c r="D534" s="23" t="n"/>
      <c r="E534" s="23" t="n"/>
      <c r="F534" s="32" t="n"/>
      <c r="G534" s="1" t="n"/>
    </row>
    <row r="535">
      <c r="A535" s="1" t="n"/>
      <c r="B535" s="24" t="n"/>
      <c r="C535" s="22" t="n"/>
      <c r="D535" s="23" t="n"/>
      <c r="E535" s="23" t="n"/>
      <c r="F535" s="32" t="n"/>
      <c r="G535" s="1" t="n"/>
    </row>
    <row r="536">
      <c r="A536" s="1" t="n"/>
      <c r="B536" s="24" t="n"/>
      <c r="C536" s="22" t="n"/>
      <c r="D536" s="23" t="n"/>
      <c r="E536" s="23" t="n"/>
      <c r="F536" s="32" t="n"/>
      <c r="G536" s="1" t="n"/>
    </row>
    <row r="537">
      <c r="A537" s="1" t="n"/>
      <c r="B537" s="24" t="n"/>
      <c r="C537" s="22" t="n"/>
      <c r="D537" s="23" t="n"/>
      <c r="E537" s="23" t="n"/>
      <c r="F537" s="32" t="n"/>
      <c r="G537" s="1" t="n"/>
    </row>
    <row r="538">
      <c r="A538" s="1" t="n"/>
      <c r="B538" s="24" t="n"/>
      <c r="C538" s="22" t="n"/>
      <c r="D538" s="23" t="n"/>
      <c r="E538" s="23" t="n"/>
      <c r="F538" s="32" t="n"/>
      <c r="G538" s="1" t="n"/>
    </row>
    <row r="539">
      <c r="A539" s="1" t="n"/>
      <c r="B539" s="24" t="n"/>
      <c r="C539" s="22" t="n"/>
      <c r="D539" s="23" t="n"/>
      <c r="E539" s="23" t="n"/>
      <c r="F539" s="32" t="n"/>
      <c r="G539" s="1" t="n"/>
    </row>
    <row r="540">
      <c r="A540" s="1" t="n"/>
      <c r="B540" s="24" t="n"/>
      <c r="C540" s="22" t="n"/>
      <c r="D540" s="23" t="n"/>
      <c r="E540" s="23" t="n"/>
      <c r="F540" s="32" t="n"/>
      <c r="G540" s="1" t="n"/>
    </row>
    <row r="541">
      <c r="A541" s="1" t="n"/>
      <c r="B541" s="24" t="n"/>
      <c r="C541" s="22" t="n"/>
      <c r="D541" s="23" t="n"/>
      <c r="E541" s="23" t="n"/>
      <c r="F541" s="32" t="n"/>
      <c r="G541" s="1" t="n"/>
    </row>
    <row r="542">
      <c r="A542" s="1" t="n"/>
      <c r="B542" s="24" t="n"/>
      <c r="C542" s="22" t="n"/>
      <c r="D542" s="23" t="n"/>
      <c r="E542" s="23" t="n"/>
      <c r="F542" s="32" t="n"/>
      <c r="G542" s="1" t="n"/>
    </row>
    <row r="543">
      <c r="A543" s="1" t="n"/>
      <c r="B543" s="24" t="n"/>
      <c r="C543" s="22" t="n"/>
      <c r="D543" s="23" t="n"/>
      <c r="E543" s="23" t="n"/>
      <c r="F543" s="32" t="n"/>
      <c r="G543" s="1" t="n"/>
    </row>
    <row r="544">
      <c r="A544" s="1" t="n"/>
      <c r="B544" s="24" t="n"/>
      <c r="C544" s="22" t="n"/>
      <c r="D544" s="23" t="n"/>
      <c r="E544" s="23" t="n"/>
      <c r="F544" s="32" t="n"/>
      <c r="G544" s="1" t="n"/>
    </row>
    <row r="545">
      <c r="A545" s="1" t="n"/>
      <c r="B545" s="24" t="n"/>
      <c r="C545" s="22" t="n"/>
      <c r="D545" s="23" t="n"/>
      <c r="E545" s="23" t="n"/>
      <c r="F545" s="32" t="n"/>
      <c r="G545" s="1" t="n"/>
    </row>
    <row r="546">
      <c r="A546" s="1" t="n"/>
      <c r="B546" s="24" t="n"/>
      <c r="C546" s="22" t="n"/>
      <c r="D546" s="23" t="n"/>
      <c r="E546" s="23" t="n"/>
      <c r="F546" s="32" t="n"/>
      <c r="G546" s="1" t="n"/>
    </row>
    <row r="547">
      <c r="A547" s="1" t="n"/>
      <c r="B547" s="24" t="n"/>
      <c r="C547" s="22" t="n"/>
      <c r="D547" s="23" t="n"/>
      <c r="E547" s="23" t="n"/>
      <c r="F547" s="32" t="n"/>
      <c r="G547" s="1" t="n"/>
    </row>
    <row r="548">
      <c r="A548" s="1" t="n"/>
      <c r="B548" s="24" t="n"/>
      <c r="C548" s="22" t="n"/>
      <c r="D548" s="23" t="n"/>
      <c r="E548" s="23" t="n"/>
      <c r="F548" s="32" t="n"/>
      <c r="G548" s="1" t="n"/>
    </row>
    <row r="549">
      <c r="A549" s="1" t="n"/>
      <c r="B549" s="24" t="n"/>
      <c r="C549" s="22" t="n"/>
      <c r="D549" s="23" t="n"/>
      <c r="E549" s="23" t="n"/>
      <c r="F549" s="32" t="n"/>
      <c r="G549" s="1" t="n"/>
    </row>
    <row r="550">
      <c r="A550" s="1" t="n"/>
      <c r="B550" s="24" t="n"/>
      <c r="C550" s="22" t="n"/>
      <c r="D550" s="23" t="n"/>
      <c r="E550" s="23" t="n"/>
      <c r="F550" s="32" t="n"/>
      <c r="G550" s="1" t="n"/>
    </row>
    <row r="551">
      <c r="A551" s="1" t="n"/>
      <c r="B551" s="24" t="n"/>
      <c r="C551" s="22" t="n"/>
      <c r="D551" s="23" t="n"/>
      <c r="E551" s="23" t="n"/>
      <c r="F551" s="32" t="n"/>
      <c r="G551" s="1" t="n"/>
    </row>
    <row r="552">
      <c r="A552" s="1" t="n"/>
      <c r="B552" s="24" t="n"/>
      <c r="C552" s="22" t="n"/>
      <c r="D552" s="23" t="n"/>
      <c r="E552" s="23" t="n"/>
      <c r="F552" s="32" t="n"/>
      <c r="G552" s="1" t="n"/>
    </row>
    <row r="553">
      <c r="A553" s="1" t="n"/>
      <c r="B553" s="24" t="n"/>
      <c r="C553" s="22" t="n"/>
      <c r="D553" s="23" t="n"/>
      <c r="E553" s="23" t="n"/>
      <c r="F553" s="32" t="n"/>
      <c r="G553" s="1" t="n"/>
    </row>
    <row r="554">
      <c r="A554" s="1" t="n"/>
      <c r="B554" s="24" t="n"/>
      <c r="C554" s="22" t="n"/>
      <c r="D554" s="23" t="n"/>
      <c r="E554" s="23" t="n"/>
      <c r="F554" s="32" t="n"/>
      <c r="G554" s="1" t="n"/>
    </row>
    <row r="555">
      <c r="A555" s="1" t="n"/>
      <c r="B555" s="24" t="n"/>
      <c r="C555" s="22" t="n"/>
      <c r="D555" s="23" t="n"/>
      <c r="E555" s="23" t="n"/>
      <c r="F555" s="32" t="n"/>
      <c r="G555" s="1" t="n"/>
    </row>
    <row r="556">
      <c r="A556" s="1" t="n"/>
      <c r="B556" s="24" t="n"/>
      <c r="C556" s="22" t="n"/>
      <c r="D556" s="23" t="n"/>
      <c r="E556" s="23" t="n"/>
      <c r="F556" s="32" t="n"/>
      <c r="G556" s="1" t="n"/>
    </row>
    <row r="557">
      <c r="A557" s="1" t="n"/>
      <c r="B557" s="24" t="n"/>
      <c r="C557" s="22" t="n"/>
      <c r="D557" s="23" t="n"/>
      <c r="E557" s="23" t="n"/>
      <c r="F557" s="32" t="n"/>
      <c r="G557" s="1" t="n"/>
    </row>
    <row r="558">
      <c r="A558" s="1" t="n"/>
      <c r="B558" s="24" t="n"/>
      <c r="C558" s="22" t="n"/>
      <c r="D558" s="23" t="n"/>
      <c r="E558" s="23" t="n"/>
      <c r="F558" s="32" t="n"/>
      <c r="G558" s="1" t="n"/>
    </row>
    <row r="559">
      <c r="A559" s="1" t="n"/>
      <c r="B559" s="24" t="n"/>
      <c r="C559" s="22" t="n"/>
      <c r="D559" s="23" t="n"/>
      <c r="E559" s="23" t="n"/>
      <c r="F559" s="32" t="n"/>
      <c r="G559" s="1" t="n"/>
    </row>
    <row r="560">
      <c r="A560" s="1" t="n"/>
      <c r="B560" s="24" t="n"/>
      <c r="C560" s="22" t="n"/>
      <c r="D560" s="23" t="n"/>
      <c r="E560" s="23" t="n"/>
      <c r="F560" s="32" t="n"/>
      <c r="G560" s="1" t="n"/>
    </row>
    <row r="561">
      <c r="A561" s="1" t="n"/>
      <c r="B561" s="24" t="n"/>
      <c r="C561" s="22" t="n"/>
      <c r="D561" s="23" t="n"/>
      <c r="E561" s="23" t="n"/>
      <c r="F561" s="32" t="n"/>
      <c r="G561" s="1" t="n"/>
    </row>
    <row r="562">
      <c r="A562" s="1" t="n"/>
      <c r="B562" s="24" t="n"/>
      <c r="C562" s="22" t="n"/>
      <c r="D562" s="23" t="n"/>
      <c r="E562" s="23" t="n"/>
      <c r="F562" s="32" t="n"/>
      <c r="G562" s="1" t="n"/>
    </row>
    <row r="563">
      <c r="A563" s="1" t="n"/>
      <c r="B563" s="24" t="n"/>
      <c r="C563" s="22" t="n"/>
      <c r="D563" s="23" t="n"/>
      <c r="E563" s="23" t="n"/>
      <c r="F563" s="32" t="n"/>
      <c r="G563" s="1" t="n"/>
    </row>
    <row r="564">
      <c r="A564" s="1" t="n"/>
      <c r="B564" s="24" t="n"/>
      <c r="C564" s="22" t="n"/>
      <c r="D564" s="23" t="n"/>
      <c r="E564" s="23" t="n"/>
      <c r="F564" s="32" t="n"/>
      <c r="G564" s="1" t="n"/>
    </row>
    <row r="565">
      <c r="A565" s="1" t="n"/>
      <c r="B565" s="24" t="n"/>
      <c r="C565" s="22" t="n"/>
      <c r="D565" s="23" t="n"/>
      <c r="E565" s="23" t="n"/>
      <c r="F565" s="32" t="n"/>
      <c r="G565" s="1" t="n"/>
    </row>
    <row r="566">
      <c r="A566" s="1" t="n"/>
      <c r="B566" s="24" t="n"/>
      <c r="C566" s="22" t="n"/>
      <c r="D566" s="23" t="n"/>
      <c r="E566" s="23" t="n"/>
      <c r="F566" s="32" t="n"/>
      <c r="G566" s="1" t="n"/>
    </row>
    <row r="567">
      <c r="A567" s="1" t="n"/>
      <c r="B567" s="24" t="n"/>
      <c r="C567" s="22" t="n"/>
      <c r="D567" s="23" t="n"/>
      <c r="E567" s="23" t="n"/>
      <c r="F567" s="32" t="n"/>
      <c r="G567" s="1" t="n"/>
    </row>
    <row r="568">
      <c r="A568" s="1" t="n"/>
      <c r="B568" s="24" t="n"/>
      <c r="C568" s="22" t="n"/>
      <c r="D568" s="23" t="n"/>
      <c r="E568" s="23" t="n"/>
      <c r="F568" s="32" t="n"/>
      <c r="G568" s="1" t="n"/>
    </row>
    <row r="569">
      <c r="A569" s="1" t="n"/>
      <c r="B569" s="24" t="n"/>
      <c r="C569" s="22" t="n"/>
      <c r="D569" s="23" t="n"/>
      <c r="E569" s="23" t="n"/>
      <c r="F569" s="32" t="n"/>
      <c r="G569" s="1" t="n"/>
    </row>
    <row r="570">
      <c r="A570" s="1" t="n"/>
      <c r="B570" s="24" t="n"/>
      <c r="C570" s="22" t="n"/>
      <c r="D570" s="23" t="n"/>
      <c r="E570" s="23" t="n"/>
      <c r="F570" s="32" t="n"/>
      <c r="G570" s="1" t="n"/>
    </row>
    <row r="571">
      <c r="A571" s="1" t="n"/>
      <c r="B571" s="24" t="n"/>
      <c r="C571" s="22" t="n"/>
      <c r="D571" s="23" t="n"/>
      <c r="E571" s="23" t="n"/>
      <c r="F571" s="32" t="n"/>
      <c r="G571" s="1" t="n"/>
    </row>
    <row r="572">
      <c r="A572" s="1" t="n"/>
      <c r="B572" s="24" t="n"/>
      <c r="C572" s="22" t="n"/>
      <c r="D572" s="23" t="n"/>
      <c r="E572" s="23" t="n"/>
      <c r="F572" s="32" t="n"/>
      <c r="G572" s="1" t="n"/>
    </row>
    <row r="573">
      <c r="A573" s="1" t="n"/>
      <c r="B573" s="24" t="n"/>
      <c r="C573" s="22" t="n"/>
      <c r="D573" s="23" t="n"/>
      <c r="E573" s="23" t="n"/>
      <c r="F573" s="32" t="n"/>
      <c r="G573" s="1" t="n"/>
    </row>
    <row r="574">
      <c r="A574" s="1" t="n"/>
      <c r="B574" s="24" t="n"/>
      <c r="C574" s="22" t="n"/>
      <c r="D574" s="23" t="n"/>
      <c r="E574" s="23" t="n"/>
      <c r="F574" s="32" t="n"/>
      <c r="G574" s="1" t="n"/>
    </row>
    <row r="575">
      <c r="A575" s="1" t="n"/>
      <c r="B575" s="24" t="n"/>
      <c r="C575" s="22" t="n"/>
      <c r="D575" s="23" t="n"/>
      <c r="E575" s="23" t="n"/>
      <c r="F575" s="32" t="n"/>
      <c r="G575" s="1" t="n"/>
    </row>
    <row r="576">
      <c r="A576" s="1" t="n"/>
      <c r="B576" s="24" t="n"/>
      <c r="C576" s="22" t="n"/>
      <c r="D576" s="23" t="n"/>
      <c r="E576" s="23" t="n"/>
      <c r="F576" s="32" t="n"/>
      <c r="G576" s="1" t="n"/>
    </row>
    <row r="577">
      <c r="A577" s="1" t="n"/>
      <c r="B577" s="24" t="n"/>
      <c r="C577" s="22" t="n"/>
      <c r="D577" s="23" t="n"/>
      <c r="E577" s="23" t="n"/>
      <c r="F577" s="32" t="n"/>
      <c r="G577" s="1" t="n"/>
    </row>
    <row r="578">
      <c r="A578" s="1" t="n"/>
      <c r="B578" s="24" t="n"/>
      <c r="C578" s="22" t="n"/>
      <c r="D578" s="23" t="n"/>
      <c r="E578" s="23" t="n"/>
      <c r="F578" s="32" t="n"/>
      <c r="G578" s="1" t="n"/>
    </row>
    <row r="579">
      <c r="A579" s="1" t="n"/>
      <c r="B579" s="24" t="n"/>
      <c r="C579" s="22" t="n"/>
      <c r="D579" s="23" t="n"/>
      <c r="E579" s="23" t="n"/>
      <c r="F579" s="32" t="n"/>
      <c r="G579" s="1" t="n"/>
    </row>
    <row r="580">
      <c r="A580" s="1" t="n"/>
      <c r="B580" s="24" t="n"/>
      <c r="C580" s="22" t="n"/>
      <c r="D580" s="23" t="n"/>
      <c r="E580" s="23" t="n"/>
      <c r="F580" s="32" t="n"/>
      <c r="G580" s="1" t="n"/>
    </row>
    <row r="581">
      <c r="A581" s="1" t="n"/>
      <c r="B581" s="24" t="n"/>
      <c r="C581" s="22" t="n"/>
      <c r="D581" s="23" t="n"/>
      <c r="E581" s="23" t="n"/>
      <c r="F581" s="32" t="n"/>
      <c r="G581" s="1" t="n"/>
    </row>
    <row r="582">
      <c r="A582" s="1" t="n"/>
      <c r="B582" s="24" t="n"/>
      <c r="C582" s="22" t="n"/>
      <c r="D582" s="23" t="n"/>
      <c r="E582" s="23" t="n"/>
      <c r="F582" s="32" t="n"/>
      <c r="G582" s="1" t="n"/>
    </row>
    <row r="583">
      <c r="A583" s="1" t="n"/>
      <c r="B583" s="24" t="n"/>
      <c r="C583" s="22" t="n"/>
      <c r="D583" s="23" t="n"/>
      <c r="E583" s="23" t="n"/>
      <c r="F583" s="32" t="n"/>
      <c r="G583" s="1" t="n"/>
    </row>
    <row r="584">
      <c r="A584" s="1" t="n"/>
      <c r="B584" s="24" t="n"/>
      <c r="C584" s="22" t="n"/>
      <c r="D584" s="23" t="n"/>
      <c r="E584" s="23" t="n"/>
      <c r="F584" s="32" t="n"/>
      <c r="G584" s="1" t="n"/>
    </row>
    <row r="585">
      <c r="A585" s="1" t="n"/>
      <c r="B585" s="24" t="n"/>
      <c r="C585" s="22" t="n"/>
      <c r="D585" s="23" t="n"/>
      <c r="E585" s="23" t="n"/>
      <c r="F585" s="32" t="n"/>
      <c r="G585" s="1" t="n"/>
    </row>
    <row r="586">
      <c r="A586" s="1" t="n"/>
      <c r="B586" s="24" t="n"/>
      <c r="C586" s="22" t="n"/>
      <c r="D586" s="23" t="n"/>
      <c r="E586" s="23" t="n"/>
      <c r="F586" s="32" t="n"/>
      <c r="G586" s="1" t="n"/>
    </row>
    <row r="587">
      <c r="A587" s="1" t="n"/>
      <c r="B587" s="24" t="n"/>
      <c r="C587" s="22" t="n"/>
      <c r="D587" s="23" t="n"/>
      <c r="E587" s="23" t="n"/>
      <c r="F587" s="32" t="n"/>
      <c r="G587" s="1" t="n"/>
    </row>
    <row r="588">
      <c r="A588" s="1" t="n"/>
      <c r="B588" s="24" t="n"/>
      <c r="C588" s="22" t="n"/>
      <c r="D588" s="23" t="n"/>
      <c r="E588" s="23" t="n"/>
      <c r="F588" s="32" t="n"/>
      <c r="G588" s="1" t="n"/>
    </row>
    <row r="589">
      <c r="A589" s="1" t="n"/>
      <c r="B589" s="24" t="n"/>
      <c r="C589" s="22" t="n"/>
      <c r="D589" s="23" t="n"/>
      <c r="E589" s="23" t="n"/>
      <c r="F589" s="32" t="n"/>
      <c r="G589" s="1" t="n"/>
    </row>
    <row r="590">
      <c r="A590" s="1" t="n"/>
      <c r="B590" s="24" t="n"/>
      <c r="C590" s="22" t="n"/>
      <c r="D590" s="23" t="n"/>
      <c r="E590" s="23" t="n"/>
      <c r="F590" s="32" t="n"/>
      <c r="G590" s="1" t="n"/>
    </row>
    <row r="591">
      <c r="A591" s="1" t="n"/>
      <c r="B591" s="24" t="n"/>
      <c r="C591" s="22" t="n"/>
      <c r="D591" s="23" t="n"/>
      <c r="E591" s="23" t="n"/>
      <c r="F591" s="32" t="n"/>
      <c r="G591" s="1" t="n"/>
    </row>
    <row r="592">
      <c r="A592" s="1" t="n"/>
      <c r="B592" s="24" t="n"/>
      <c r="C592" s="22" t="n"/>
      <c r="D592" s="23" t="n"/>
      <c r="E592" s="23" t="n"/>
      <c r="F592" s="32" t="n"/>
      <c r="G592" s="1" t="n"/>
    </row>
    <row r="593">
      <c r="A593" s="1" t="n"/>
      <c r="B593" s="24" t="n"/>
      <c r="C593" s="22" t="n"/>
      <c r="D593" s="23" t="n"/>
      <c r="E593" s="23" t="n"/>
      <c r="F593" s="32" t="n"/>
      <c r="G593" s="1" t="n"/>
    </row>
    <row r="594">
      <c r="A594" s="1" t="n"/>
      <c r="B594" s="24" t="n"/>
      <c r="C594" s="22" t="n"/>
      <c r="D594" s="23" t="n"/>
      <c r="E594" s="23" t="n"/>
      <c r="F594" s="32" t="n"/>
      <c r="G594" s="1" t="n"/>
    </row>
    <row r="595">
      <c r="A595" s="1" t="n"/>
      <c r="B595" s="24" t="n"/>
      <c r="C595" s="22" t="n"/>
      <c r="D595" s="23" t="n"/>
      <c r="E595" s="23" t="n"/>
      <c r="F595" s="32" t="n"/>
      <c r="G595" s="1" t="n"/>
    </row>
    <row r="596">
      <c r="A596" s="1" t="n"/>
      <c r="B596" s="24" t="n"/>
      <c r="C596" s="22" t="n"/>
      <c r="D596" s="23" t="n"/>
      <c r="E596" s="23" t="n"/>
      <c r="F596" s="32" t="n"/>
      <c r="G596" s="1" t="n"/>
    </row>
    <row r="597">
      <c r="A597" s="1" t="n"/>
      <c r="B597" s="24" t="n"/>
      <c r="C597" s="22" t="n"/>
      <c r="D597" s="23" t="n"/>
      <c r="E597" s="23" t="n"/>
      <c r="F597" s="32" t="n"/>
      <c r="G597" s="1" t="n"/>
    </row>
    <row r="598">
      <c r="A598" s="1" t="n"/>
      <c r="B598" s="24" t="n"/>
      <c r="C598" s="22" t="n"/>
      <c r="D598" s="23" t="n"/>
      <c r="E598" s="23" t="n"/>
      <c r="F598" s="32" t="n"/>
      <c r="G598" s="1" t="n"/>
    </row>
    <row r="599">
      <c r="A599" s="1" t="n"/>
      <c r="B599" s="24" t="n"/>
      <c r="C599" s="22" t="n"/>
      <c r="D599" s="23" t="n"/>
      <c r="E599" s="23" t="n"/>
      <c r="F599" s="32" t="n"/>
      <c r="G599" s="1" t="n"/>
    </row>
    <row r="600">
      <c r="A600" s="1" t="n"/>
      <c r="B600" s="24" t="n"/>
      <c r="C600" s="22" t="n"/>
      <c r="D600" s="23" t="n"/>
      <c r="E600" s="23" t="n"/>
      <c r="F600" s="32" t="n"/>
      <c r="G600" s="1" t="n"/>
    </row>
    <row r="601">
      <c r="A601" s="1" t="n"/>
      <c r="B601" s="24" t="n"/>
      <c r="C601" s="22" t="n"/>
      <c r="D601" s="23" t="n"/>
      <c r="E601" s="23" t="n"/>
      <c r="F601" s="32" t="n"/>
      <c r="G601" s="1" t="n"/>
    </row>
    <row r="602">
      <c r="A602" s="1" t="n"/>
      <c r="B602" s="24" t="n"/>
      <c r="C602" s="22" t="n"/>
      <c r="D602" s="23" t="n"/>
      <c r="E602" s="23" t="n"/>
      <c r="F602" s="32" t="n"/>
      <c r="G602" s="1" t="n"/>
    </row>
    <row r="603">
      <c r="A603" s="1" t="n"/>
      <c r="B603" s="24" t="n"/>
      <c r="C603" s="22" t="n"/>
      <c r="D603" s="23" t="n"/>
      <c r="E603" s="23" t="n"/>
      <c r="F603" s="32" t="n"/>
      <c r="G603" s="1" t="n"/>
    </row>
    <row r="604">
      <c r="A604" s="1" t="n"/>
      <c r="B604" s="24" t="n"/>
      <c r="C604" s="22" t="n"/>
      <c r="D604" s="23" t="n"/>
      <c r="E604" s="23" t="n"/>
      <c r="F604" s="32" t="n"/>
      <c r="G604" s="1" t="n"/>
    </row>
    <row r="605">
      <c r="A605" s="1" t="n"/>
      <c r="B605" s="24" t="n"/>
      <c r="C605" s="22" t="n"/>
      <c r="D605" s="23" t="n"/>
      <c r="E605" s="23" t="n"/>
      <c r="F605" s="32" t="n"/>
      <c r="G605" s="1" t="n"/>
    </row>
    <row r="606">
      <c r="A606" s="1" t="n"/>
      <c r="B606" s="24" t="n"/>
      <c r="C606" s="22" t="n"/>
      <c r="D606" s="23" t="n"/>
      <c r="E606" s="23" t="n"/>
      <c r="F606" s="32" t="n"/>
      <c r="G606" s="1" t="n"/>
    </row>
    <row r="607">
      <c r="A607" s="1" t="n"/>
      <c r="B607" s="24" t="n"/>
      <c r="C607" s="22" t="n"/>
      <c r="D607" s="23" t="n"/>
      <c r="E607" s="23" t="n"/>
      <c r="F607" s="32" t="n"/>
      <c r="G607" s="1" t="n"/>
    </row>
    <row r="608">
      <c r="A608" s="1" t="n"/>
      <c r="B608" s="24" t="n"/>
      <c r="C608" s="22" t="n"/>
      <c r="D608" s="23" t="n"/>
      <c r="E608" s="23" t="n"/>
      <c r="F608" s="32" t="n"/>
      <c r="G608" s="1" t="n"/>
    </row>
    <row r="609">
      <c r="A609" s="1" t="n"/>
      <c r="B609" s="24" t="n"/>
      <c r="C609" s="22" t="n"/>
      <c r="D609" s="23" t="n"/>
      <c r="E609" s="23" t="n"/>
      <c r="F609" s="32" t="n"/>
      <c r="G609" s="1" t="n"/>
    </row>
    <row r="610">
      <c r="A610" s="1" t="n"/>
      <c r="B610" s="24" t="n"/>
      <c r="C610" s="22" t="n"/>
      <c r="D610" s="23" t="n"/>
      <c r="E610" s="23" t="n"/>
      <c r="F610" s="32" t="n"/>
      <c r="G610" s="1" t="n"/>
    </row>
    <row r="611">
      <c r="A611" s="1" t="n"/>
      <c r="B611" s="24" t="n"/>
      <c r="C611" s="22" t="n"/>
      <c r="D611" s="23" t="n"/>
      <c r="E611" s="23" t="n"/>
      <c r="F611" s="32" t="n"/>
      <c r="G611" s="1" t="n"/>
    </row>
    <row r="612">
      <c r="A612" s="1" t="n"/>
      <c r="B612" s="24" t="n"/>
      <c r="C612" s="22" t="n"/>
      <c r="D612" s="23" t="n"/>
      <c r="E612" s="23" t="n"/>
      <c r="F612" s="32" t="n"/>
      <c r="G612" s="1" t="n"/>
    </row>
    <row r="613">
      <c r="A613" s="1" t="n"/>
      <c r="B613" s="24" t="n"/>
      <c r="C613" s="22" t="n"/>
      <c r="D613" s="23" t="n"/>
      <c r="E613" s="23" t="n"/>
      <c r="F613" s="32" t="n"/>
      <c r="G613" s="1" t="n"/>
    </row>
    <row r="614">
      <c r="A614" s="1" t="n"/>
      <c r="B614" s="24" t="n"/>
      <c r="C614" s="22" t="n"/>
      <c r="D614" s="23" t="n"/>
      <c r="E614" s="23" t="n"/>
      <c r="F614" s="32" t="n"/>
      <c r="G614" s="1" t="n"/>
    </row>
    <row r="615">
      <c r="A615" s="1" t="n"/>
      <c r="B615" s="24" t="n"/>
      <c r="C615" s="22" t="n"/>
      <c r="D615" s="23" t="n"/>
      <c r="E615" s="23" t="n"/>
      <c r="F615" s="32" t="n"/>
      <c r="G615" s="1" t="n"/>
    </row>
    <row r="616">
      <c r="A616" s="1" t="n"/>
      <c r="B616" s="24" t="n"/>
      <c r="C616" s="22" t="n"/>
      <c r="D616" s="23" t="n"/>
      <c r="E616" s="23" t="n"/>
      <c r="F616" s="32" t="n"/>
      <c r="G616" s="1" t="n"/>
    </row>
    <row r="617">
      <c r="A617" s="1" t="n"/>
      <c r="B617" s="24" t="n"/>
      <c r="C617" s="22" t="n"/>
      <c r="D617" s="23" t="n"/>
      <c r="E617" s="23" t="n"/>
      <c r="F617" s="32" t="n"/>
      <c r="G617" s="1" t="n"/>
    </row>
    <row r="618">
      <c r="A618" s="1" t="n"/>
      <c r="B618" s="24" t="n"/>
      <c r="C618" s="22" t="n"/>
      <c r="D618" s="23" t="n"/>
      <c r="E618" s="23" t="n"/>
      <c r="F618" s="32" t="n"/>
      <c r="G618" s="1" t="n"/>
    </row>
    <row r="619">
      <c r="A619" s="1" t="n"/>
      <c r="B619" s="24" t="n"/>
      <c r="C619" s="22" t="n"/>
      <c r="D619" s="23" t="n"/>
      <c r="E619" s="23" t="n"/>
      <c r="F619" s="32" t="n"/>
      <c r="G619" s="1" t="n"/>
    </row>
    <row r="620">
      <c r="A620" s="1" t="n"/>
      <c r="B620" s="24" t="n"/>
      <c r="C620" s="22" t="n"/>
      <c r="D620" s="23" t="n"/>
      <c r="E620" s="23" t="n"/>
      <c r="F620" s="32" t="n"/>
      <c r="G620" s="1" t="n"/>
    </row>
    <row r="621">
      <c r="A621" s="1" t="n"/>
      <c r="B621" s="24" t="n"/>
      <c r="C621" s="22" t="n"/>
      <c r="D621" s="23" t="n"/>
      <c r="E621" s="23" t="n"/>
      <c r="F621" s="32" t="n"/>
      <c r="G621" s="1" t="n"/>
    </row>
    <row r="622">
      <c r="A622" s="1" t="n"/>
      <c r="B622" s="24" t="n"/>
      <c r="C622" s="22" t="n"/>
      <c r="D622" s="23" t="n"/>
      <c r="E622" s="23" t="n"/>
      <c r="F622" s="32" t="n"/>
      <c r="G622" s="1" t="n"/>
    </row>
    <row r="623">
      <c r="A623" s="1" t="n"/>
      <c r="B623" s="24" t="n"/>
      <c r="C623" s="22" t="n"/>
      <c r="D623" s="23" t="n"/>
      <c r="E623" s="23" t="n"/>
      <c r="F623" s="32" t="n"/>
      <c r="G623" s="1" t="n"/>
    </row>
    <row r="624">
      <c r="A624" s="1" t="n"/>
      <c r="B624" s="24" t="n"/>
      <c r="C624" s="22" t="n"/>
      <c r="D624" s="23" t="n"/>
      <c r="E624" s="23" t="n"/>
      <c r="F624" s="32" t="n"/>
      <c r="G624" s="1" t="n"/>
    </row>
    <row r="625">
      <c r="A625" s="1" t="n"/>
      <c r="B625" s="24" t="n"/>
      <c r="C625" s="22" t="n"/>
      <c r="D625" s="23" t="n"/>
      <c r="E625" s="23" t="n"/>
      <c r="F625" s="32" t="n"/>
      <c r="G625" s="1" t="n"/>
    </row>
    <row r="626">
      <c r="A626" s="1" t="n"/>
      <c r="B626" s="24" t="n"/>
      <c r="C626" s="22" t="n"/>
      <c r="D626" s="23" t="n"/>
      <c r="E626" s="23" t="n"/>
      <c r="F626" s="32" t="n"/>
      <c r="G626" s="1" t="n"/>
    </row>
    <row r="627">
      <c r="A627" s="1" t="n"/>
      <c r="B627" s="24" t="n"/>
      <c r="C627" s="22" t="n"/>
      <c r="D627" s="23" t="n"/>
      <c r="E627" s="23" t="n"/>
      <c r="F627" s="32" t="n"/>
      <c r="G627" s="1" t="n"/>
    </row>
    <row r="628">
      <c r="A628" s="1" t="n"/>
      <c r="B628" s="24" t="n"/>
      <c r="C628" s="22" t="n"/>
      <c r="D628" s="23" t="n"/>
      <c r="E628" s="23" t="n"/>
      <c r="F628" s="32" t="n"/>
      <c r="G628" s="1" t="n"/>
    </row>
    <row r="629">
      <c r="A629" s="1" t="n"/>
      <c r="B629" s="24" t="n"/>
      <c r="C629" s="22" t="n"/>
      <c r="D629" s="23" t="n"/>
      <c r="E629" s="23" t="n"/>
      <c r="F629" s="32" t="n"/>
      <c r="G629" s="1" t="n"/>
    </row>
    <row r="630">
      <c r="A630" s="1" t="n"/>
      <c r="B630" s="24" t="n"/>
      <c r="C630" s="22" t="n"/>
      <c r="D630" s="23" t="n"/>
      <c r="E630" s="23" t="n"/>
      <c r="F630" s="32" t="n"/>
      <c r="G630" s="1" t="n"/>
    </row>
    <row r="631">
      <c r="A631" s="1" t="n"/>
      <c r="B631" s="24" t="n"/>
      <c r="C631" s="22" t="n"/>
      <c r="D631" s="23" t="n"/>
      <c r="E631" s="23" t="n"/>
      <c r="F631" s="32" t="n"/>
      <c r="G631" s="1" t="n"/>
    </row>
    <row r="632">
      <c r="A632" s="1" t="n"/>
      <c r="B632" s="24" t="n"/>
      <c r="C632" s="22" t="n"/>
      <c r="D632" s="23" t="n"/>
      <c r="E632" s="23" t="n"/>
      <c r="F632" s="32" t="n"/>
      <c r="G632" s="1" t="n"/>
    </row>
    <row r="633">
      <c r="A633" s="1" t="n"/>
      <c r="B633" s="24" t="n"/>
      <c r="C633" s="22" t="n"/>
      <c r="D633" s="23" t="n"/>
      <c r="E633" s="23" t="n"/>
      <c r="F633" s="32" t="n"/>
      <c r="G633" s="1" t="n"/>
    </row>
    <row r="634">
      <c r="A634" s="1" t="n"/>
      <c r="B634" s="24" t="n"/>
      <c r="C634" s="22" t="n"/>
      <c r="D634" s="23" t="n"/>
      <c r="E634" s="23" t="n"/>
      <c r="F634" s="32" t="n"/>
      <c r="G634" s="1" t="n"/>
    </row>
    <row r="635">
      <c r="A635" s="1" t="n"/>
      <c r="B635" s="24" t="n"/>
      <c r="C635" s="22" t="n"/>
      <c r="D635" s="23" t="n"/>
      <c r="E635" s="23" t="n"/>
      <c r="F635" s="32" t="n"/>
      <c r="G635" s="1" t="n"/>
    </row>
    <row r="636">
      <c r="A636" s="1" t="n"/>
      <c r="B636" s="24" t="n"/>
      <c r="C636" s="22" t="n"/>
      <c r="D636" s="23" t="n"/>
      <c r="E636" s="23" t="n"/>
      <c r="F636" s="32" t="n"/>
      <c r="G636" s="1" t="n"/>
    </row>
    <row r="637">
      <c r="A637" s="1" t="n"/>
      <c r="B637" s="24" t="n"/>
      <c r="C637" s="22" t="n"/>
      <c r="D637" s="23" t="n"/>
      <c r="E637" s="23" t="n"/>
      <c r="F637" s="32" t="n"/>
      <c r="G637" s="1" t="n"/>
    </row>
    <row r="638">
      <c r="A638" s="1" t="n"/>
      <c r="B638" s="24" t="n"/>
      <c r="C638" s="22" t="n"/>
      <c r="D638" s="23" t="n"/>
      <c r="E638" s="23" t="n"/>
      <c r="F638" s="32" t="n"/>
      <c r="G638" s="1" t="n"/>
    </row>
    <row r="639">
      <c r="A639" s="1" t="n"/>
      <c r="B639" s="24" t="n"/>
      <c r="C639" s="22" t="n"/>
      <c r="D639" s="23" t="n"/>
      <c r="E639" s="23" t="n"/>
      <c r="F639" s="32" t="n"/>
      <c r="G639" s="1" t="n"/>
    </row>
    <row r="640">
      <c r="A640" s="1" t="n"/>
      <c r="B640" s="24" t="n"/>
      <c r="C640" s="22" t="n"/>
      <c r="D640" s="23" t="n"/>
      <c r="E640" s="23" t="n"/>
      <c r="F640" s="32" t="n"/>
      <c r="G640" s="1" t="n"/>
    </row>
    <row r="641">
      <c r="A641" s="1" t="n"/>
      <c r="B641" s="24" t="n"/>
      <c r="C641" s="22" t="n"/>
      <c r="D641" s="23" t="n"/>
      <c r="E641" s="23" t="n"/>
      <c r="F641" s="32" t="n"/>
      <c r="G641" s="1" t="n"/>
    </row>
    <row r="642">
      <c r="A642" s="1" t="n"/>
      <c r="B642" s="24" t="n"/>
      <c r="C642" s="22" t="n"/>
      <c r="D642" s="23" t="n"/>
      <c r="E642" s="23" t="n"/>
      <c r="F642" s="32" t="n"/>
      <c r="G642" s="1" t="n"/>
    </row>
    <row r="643">
      <c r="A643" s="1" t="n"/>
      <c r="B643" s="24" t="n"/>
      <c r="C643" s="22" t="n"/>
      <c r="D643" s="23" t="n"/>
      <c r="E643" s="23" t="n"/>
      <c r="F643" s="32" t="n"/>
      <c r="G643" s="1" t="n"/>
    </row>
    <row r="644">
      <c r="A644" s="1" t="n"/>
      <c r="B644" s="24" t="n"/>
      <c r="C644" s="22" t="n"/>
      <c r="D644" s="23" t="n"/>
      <c r="E644" s="23" t="n"/>
      <c r="F644" s="32" t="n"/>
      <c r="G644" s="1" t="n"/>
    </row>
    <row r="645">
      <c r="A645" s="1" t="n"/>
      <c r="B645" s="24" t="n"/>
      <c r="C645" s="22" t="n"/>
      <c r="D645" s="23" t="n"/>
      <c r="E645" s="23" t="n"/>
      <c r="F645" s="32" t="n"/>
      <c r="G645" s="1" t="n"/>
    </row>
    <row r="646">
      <c r="A646" s="1" t="n"/>
      <c r="B646" s="24" t="n"/>
      <c r="C646" s="22" t="n"/>
      <c r="D646" s="23" t="n"/>
      <c r="E646" s="23" t="n"/>
      <c r="F646" s="32" t="n"/>
      <c r="G646" s="1" t="n"/>
    </row>
    <row r="647">
      <c r="A647" s="1" t="n"/>
      <c r="B647" s="24" t="n"/>
      <c r="C647" s="22" t="n"/>
      <c r="D647" s="23" t="n"/>
      <c r="E647" s="23" t="n"/>
      <c r="F647" s="32" t="n"/>
      <c r="G647" s="1" t="n"/>
    </row>
    <row r="648">
      <c r="A648" s="1" t="n"/>
      <c r="B648" s="24" t="n"/>
      <c r="C648" s="22" t="n"/>
      <c r="D648" s="23" t="n"/>
      <c r="E648" s="23" t="n"/>
      <c r="F648" s="32" t="n"/>
      <c r="G648" s="1" t="n"/>
    </row>
    <row r="649">
      <c r="A649" s="1" t="n"/>
      <c r="B649" s="24" t="n"/>
      <c r="C649" s="22" t="n"/>
      <c r="D649" s="23" t="n"/>
      <c r="E649" s="23" t="n"/>
      <c r="F649" s="32" t="n"/>
      <c r="G649" s="1" t="n"/>
    </row>
    <row r="650">
      <c r="A650" s="1" t="n"/>
      <c r="B650" s="24" t="n"/>
      <c r="C650" s="22" t="n"/>
      <c r="D650" s="23" t="n"/>
      <c r="E650" s="23" t="n"/>
      <c r="F650" s="32" t="n"/>
      <c r="G650" s="1" t="n"/>
    </row>
    <row r="651">
      <c r="A651" s="1" t="n"/>
      <c r="B651" s="24" t="n"/>
      <c r="C651" s="22" t="n"/>
      <c r="D651" s="23" t="n"/>
      <c r="E651" s="23" t="n"/>
      <c r="F651" s="32" t="n"/>
      <c r="G651" s="1" t="n"/>
    </row>
    <row r="652">
      <c r="A652" s="1" t="n"/>
      <c r="B652" s="24" t="n"/>
      <c r="C652" s="22" t="n"/>
      <c r="D652" s="23" t="n"/>
      <c r="E652" s="23" t="n"/>
      <c r="F652" s="32" t="n"/>
      <c r="G652" s="1" t="n"/>
    </row>
    <row r="653">
      <c r="A653" s="1" t="n"/>
      <c r="B653" s="24" t="n"/>
      <c r="C653" s="22" t="n"/>
      <c r="D653" s="23" t="n"/>
      <c r="E653" s="23" t="n"/>
      <c r="F653" s="32" t="n"/>
      <c r="G653" s="1" t="n"/>
    </row>
    <row r="654">
      <c r="A654" s="1" t="n"/>
      <c r="B654" s="24" t="n"/>
      <c r="C654" s="22" t="n"/>
      <c r="D654" s="23" t="n"/>
      <c r="E654" s="23" t="n"/>
      <c r="F654" s="32" t="n"/>
      <c r="G654" s="1" t="n"/>
    </row>
    <row r="655">
      <c r="A655" s="1" t="n"/>
      <c r="B655" s="24" t="n"/>
      <c r="C655" s="22" t="n"/>
      <c r="D655" s="23" t="n"/>
      <c r="E655" s="23" t="n"/>
      <c r="F655" s="32" t="n"/>
      <c r="G655" s="1" t="n"/>
    </row>
    <row r="656">
      <c r="A656" s="1" t="n"/>
      <c r="B656" s="24" t="n"/>
      <c r="C656" s="22" t="n"/>
      <c r="D656" s="23" t="n"/>
      <c r="E656" s="23" t="n"/>
      <c r="F656" s="32" t="n"/>
      <c r="G656" s="1" t="n"/>
    </row>
    <row r="657">
      <c r="A657" s="1" t="n"/>
      <c r="B657" s="24" t="n"/>
      <c r="C657" s="22" t="n"/>
      <c r="D657" s="23" t="n"/>
      <c r="E657" s="23" t="n"/>
      <c r="F657" s="32" t="n"/>
      <c r="G657" s="1" t="n"/>
    </row>
    <row r="658">
      <c r="A658" s="1" t="n"/>
      <c r="B658" s="24" t="n"/>
      <c r="C658" s="22" t="n"/>
      <c r="D658" s="23" t="n"/>
      <c r="E658" s="23" t="n"/>
      <c r="F658" s="32" t="n"/>
      <c r="G658" s="1" t="n"/>
    </row>
    <row r="659">
      <c r="A659" s="1" t="n"/>
      <c r="B659" s="24" t="n"/>
      <c r="C659" s="22" t="n"/>
      <c r="D659" s="23" t="n"/>
      <c r="E659" s="23" t="n"/>
      <c r="F659" s="32" t="n"/>
      <c r="G659" s="1" t="n"/>
    </row>
    <row r="660">
      <c r="A660" s="1" t="n"/>
      <c r="B660" s="24" t="n"/>
      <c r="C660" s="22" t="n"/>
      <c r="D660" s="23" t="n"/>
      <c r="E660" s="23" t="n"/>
      <c r="F660" s="32" t="n"/>
      <c r="G660" s="1" t="n"/>
    </row>
    <row r="661">
      <c r="A661" s="1" t="n"/>
      <c r="B661" s="24" t="n"/>
      <c r="C661" s="22" t="n"/>
      <c r="D661" s="23" t="n"/>
      <c r="E661" s="23" t="n"/>
      <c r="F661" s="32" t="n"/>
      <c r="G661" s="1" t="n"/>
    </row>
    <row r="662">
      <c r="A662" s="1" t="n"/>
      <c r="B662" s="24" t="n"/>
      <c r="C662" s="22" t="n"/>
      <c r="D662" s="23" t="n"/>
      <c r="E662" s="23" t="n"/>
      <c r="F662" s="32" t="n"/>
      <c r="G662" s="1" t="n"/>
    </row>
    <row r="663">
      <c r="A663" s="1" t="n"/>
      <c r="B663" s="24" t="n"/>
      <c r="C663" s="22" t="n"/>
      <c r="D663" s="23" t="n"/>
      <c r="E663" s="23" t="n"/>
      <c r="F663" s="32" t="n"/>
      <c r="G663" s="1" t="n"/>
    </row>
    <row r="664">
      <c r="A664" s="1" t="n"/>
      <c r="B664" s="24" t="n"/>
      <c r="C664" s="22" t="n"/>
      <c r="D664" s="23" t="n"/>
      <c r="E664" s="23" t="n"/>
      <c r="F664" s="32" t="n"/>
      <c r="G664" s="1" t="n"/>
    </row>
    <row r="665">
      <c r="A665" s="1" t="n"/>
      <c r="B665" s="24" t="n"/>
      <c r="C665" s="22" t="n"/>
      <c r="D665" s="23" t="n"/>
      <c r="E665" s="23" t="n"/>
      <c r="F665" s="32" t="n"/>
      <c r="G665" s="1" t="n"/>
    </row>
    <row r="666">
      <c r="A666" s="1" t="n"/>
      <c r="B666" s="24" t="n"/>
      <c r="C666" s="22" t="n"/>
      <c r="D666" s="23" t="n"/>
      <c r="E666" s="23" t="n"/>
      <c r="F666" s="32" t="n"/>
      <c r="G666" s="1" t="n"/>
    </row>
    <row r="667">
      <c r="A667" s="1" t="n"/>
      <c r="B667" s="24" t="n"/>
      <c r="C667" s="22" t="n"/>
      <c r="D667" s="23" t="n"/>
      <c r="E667" s="23" t="n"/>
      <c r="F667" s="32" t="n"/>
      <c r="G667" s="1" t="n"/>
    </row>
    <row r="668">
      <c r="A668" s="1" t="n"/>
      <c r="B668" s="24" t="n"/>
      <c r="C668" s="22" t="n"/>
      <c r="D668" s="23" t="n"/>
      <c r="E668" s="23" t="n"/>
      <c r="F668" s="32" t="n"/>
      <c r="G668" s="1" t="n"/>
    </row>
    <row r="669">
      <c r="A669" s="1" t="n"/>
      <c r="B669" s="24" t="n"/>
      <c r="C669" s="22" t="n"/>
      <c r="D669" s="23" t="n"/>
      <c r="E669" s="23" t="n"/>
      <c r="F669" s="32" t="n"/>
      <c r="G669" s="1" t="n"/>
    </row>
    <row r="670">
      <c r="A670" s="1" t="n"/>
      <c r="B670" s="24" t="n"/>
      <c r="C670" s="22" t="n"/>
      <c r="D670" s="23" t="n"/>
      <c r="E670" s="23" t="n"/>
      <c r="F670" s="32" t="n"/>
      <c r="G670" s="1" t="n"/>
    </row>
    <row r="671">
      <c r="A671" s="1" t="n"/>
      <c r="B671" s="24" t="n"/>
      <c r="C671" s="22" t="n"/>
      <c r="D671" s="23" t="n"/>
      <c r="E671" s="23" t="n"/>
      <c r="F671" s="32" t="n"/>
      <c r="G671" s="1" t="n"/>
    </row>
    <row r="672">
      <c r="A672" s="1" t="n"/>
      <c r="B672" s="24" t="n"/>
      <c r="C672" s="22" t="n"/>
      <c r="D672" s="23" t="n"/>
      <c r="E672" s="23" t="n"/>
      <c r="F672" s="32" t="n"/>
      <c r="G672" s="1" t="n"/>
    </row>
    <row r="673">
      <c r="A673" s="1" t="n"/>
      <c r="B673" s="24" t="n"/>
      <c r="C673" s="22" t="n"/>
      <c r="D673" s="23" t="n"/>
      <c r="E673" s="23" t="n"/>
      <c r="F673" s="32" t="n"/>
      <c r="G673" s="1" t="n"/>
    </row>
    <row r="674">
      <c r="A674" s="1" t="n"/>
      <c r="B674" s="24" t="n"/>
      <c r="C674" s="22" t="n"/>
      <c r="D674" s="23" t="n"/>
      <c r="E674" s="23" t="n"/>
      <c r="F674" s="32" t="n"/>
      <c r="G674" s="1" t="n"/>
    </row>
    <row r="675">
      <c r="A675" s="1" t="n"/>
      <c r="B675" s="24" t="n"/>
      <c r="C675" s="22" t="n"/>
      <c r="D675" s="23" t="n"/>
      <c r="E675" s="23" t="n"/>
      <c r="F675" s="32" t="n"/>
      <c r="G675" s="1" t="n"/>
    </row>
    <row r="676">
      <c r="A676" s="1" t="n"/>
      <c r="B676" s="24" t="n"/>
      <c r="C676" s="22" t="n"/>
      <c r="D676" s="23" t="n"/>
      <c r="E676" s="23" t="n"/>
      <c r="F676" s="32" t="n"/>
      <c r="G676" s="1" t="n"/>
    </row>
    <row r="677">
      <c r="A677" s="1" t="n"/>
      <c r="B677" s="24" t="n"/>
      <c r="C677" s="22" t="n"/>
      <c r="D677" s="23" t="n"/>
      <c r="E677" s="23" t="n"/>
      <c r="F677" s="32" t="n"/>
      <c r="G677" s="1" t="n"/>
    </row>
    <row r="678">
      <c r="A678" s="1" t="n"/>
      <c r="B678" s="24" t="n"/>
      <c r="C678" s="22" t="n"/>
      <c r="D678" s="23" t="n"/>
      <c r="E678" s="23" t="n"/>
      <c r="F678" s="32" t="n"/>
      <c r="G678" s="1" t="n"/>
    </row>
    <row r="679">
      <c r="A679" s="1" t="n"/>
      <c r="B679" s="24" t="n"/>
      <c r="C679" s="22" t="n"/>
      <c r="D679" s="23" t="n"/>
      <c r="E679" s="23" t="n"/>
      <c r="F679" s="32" t="n"/>
      <c r="G679" s="1" t="n"/>
    </row>
    <row r="680">
      <c r="A680" s="1" t="n"/>
      <c r="B680" s="24" t="n"/>
      <c r="C680" s="22" t="n"/>
      <c r="D680" s="23" t="n"/>
      <c r="E680" s="23" t="n"/>
      <c r="F680" s="32" t="n"/>
      <c r="G680" s="1" t="n"/>
    </row>
    <row r="681">
      <c r="A681" s="1" t="n"/>
      <c r="B681" s="24" t="n"/>
      <c r="C681" s="22" t="n"/>
      <c r="D681" s="23" t="n"/>
      <c r="E681" s="23" t="n"/>
      <c r="F681" s="32" t="n"/>
      <c r="G681" s="1" t="n"/>
    </row>
    <row r="682">
      <c r="A682" s="1" t="n"/>
      <c r="B682" s="24" t="n"/>
      <c r="C682" s="22" t="n"/>
      <c r="D682" s="23" t="n"/>
      <c r="E682" s="23" t="n"/>
      <c r="F682" s="32" t="n"/>
      <c r="G682" s="1" t="n"/>
    </row>
    <row r="683">
      <c r="A683" s="1" t="n"/>
      <c r="B683" s="24" t="n"/>
      <c r="C683" s="22" t="n"/>
      <c r="D683" s="23" t="n"/>
      <c r="E683" s="23" t="n"/>
      <c r="F683" s="32" t="n"/>
      <c r="G683" s="1" t="n"/>
    </row>
    <row r="684">
      <c r="A684" s="1" t="n"/>
      <c r="B684" s="24" t="n"/>
      <c r="C684" s="22" t="n"/>
      <c r="D684" s="23" t="n"/>
      <c r="E684" s="23" t="n"/>
      <c r="F684" s="32" t="n"/>
      <c r="G684" s="1" t="n"/>
    </row>
    <row r="685">
      <c r="A685" s="1" t="n"/>
      <c r="B685" s="24" t="n"/>
      <c r="C685" s="22" t="n"/>
      <c r="D685" s="23" t="n"/>
      <c r="E685" s="23" t="n"/>
      <c r="F685" s="32" t="n"/>
      <c r="G685" s="1" t="n"/>
    </row>
    <row r="686">
      <c r="A686" s="1" t="n"/>
      <c r="B686" s="24" t="n"/>
      <c r="C686" s="22" t="n"/>
      <c r="D686" s="23" t="n"/>
      <c r="E686" s="23" t="n"/>
      <c r="F686" s="32" t="n"/>
      <c r="G686" s="1" t="n"/>
    </row>
    <row r="687">
      <c r="A687" s="1" t="n"/>
      <c r="B687" s="24" t="n"/>
      <c r="C687" s="22" t="n"/>
      <c r="D687" s="23" t="n"/>
      <c r="E687" s="23" t="n"/>
      <c r="F687" s="32" t="n"/>
      <c r="G687" s="1" t="n"/>
    </row>
    <row r="688">
      <c r="A688" s="1" t="n"/>
      <c r="B688" s="24" t="n"/>
      <c r="C688" s="22" t="n"/>
      <c r="D688" s="23" t="n"/>
      <c r="E688" s="23" t="n"/>
      <c r="F688" s="32" t="n"/>
      <c r="G688" s="1" t="n"/>
    </row>
    <row r="689">
      <c r="A689" s="1" t="n"/>
      <c r="B689" s="24" t="n"/>
      <c r="C689" s="22" t="n"/>
      <c r="D689" s="23" t="n"/>
      <c r="E689" s="23" t="n"/>
      <c r="F689" s="32" t="n"/>
      <c r="G689" s="1" t="n"/>
    </row>
    <row r="690">
      <c r="A690" s="1" t="n"/>
      <c r="B690" s="24" t="n"/>
      <c r="C690" s="22" t="n"/>
      <c r="D690" s="23" t="n"/>
      <c r="E690" s="23" t="n"/>
      <c r="F690" s="32" t="n"/>
      <c r="G690" s="1" t="n"/>
    </row>
    <row r="691">
      <c r="A691" s="1" t="n"/>
      <c r="B691" s="24" t="n"/>
      <c r="C691" s="22" t="n"/>
      <c r="D691" s="23" t="n"/>
      <c r="E691" s="23" t="n"/>
      <c r="F691" s="32" t="n"/>
      <c r="G691" s="1" t="n"/>
    </row>
    <row r="692">
      <c r="A692" s="1" t="n"/>
      <c r="B692" s="24" t="n"/>
      <c r="C692" s="22" t="n"/>
      <c r="D692" s="23" t="n"/>
      <c r="E692" s="23" t="n"/>
      <c r="F692" s="32" t="n"/>
      <c r="G692" s="1" t="n"/>
    </row>
    <row r="693">
      <c r="A693" s="1" t="n"/>
      <c r="B693" s="24" t="n"/>
      <c r="C693" s="22" t="n"/>
      <c r="D693" s="23" t="n"/>
      <c r="E693" s="23" t="n"/>
      <c r="F693" s="32" t="n"/>
      <c r="G693" s="1" t="n"/>
    </row>
    <row r="694">
      <c r="A694" s="1" t="n"/>
      <c r="B694" s="24" t="n"/>
      <c r="C694" s="22" t="n"/>
      <c r="D694" s="23" t="n"/>
      <c r="E694" s="23" t="n"/>
      <c r="F694" s="32" t="n"/>
      <c r="G694" s="1" t="n"/>
    </row>
    <row r="695">
      <c r="A695" s="1" t="n"/>
      <c r="B695" s="24" t="n"/>
      <c r="C695" s="22" t="n"/>
      <c r="D695" s="23" t="n"/>
      <c r="E695" s="23" t="n"/>
      <c r="F695" s="32" t="n"/>
      <c r="G695" s="1" t="n"/>
    </row>
    <row r="696">
      <c r="A696" s="1" t="n"/>
      <c r="B696" s="24" t="n"/>
      <c r="C696" s="22" t="n"/>
      <c r="D696" s="23" t="n"/>
      <c r="E696" s="23" t="n"/>
      <c r="F696" s="32" t="n"/>
      <c r="G696" s="1" t="n"/>
    </row>
    <row r="697">
      <c r="A697" s="1" t="n"/>
      <c r="B697" s="24" t="n"/>
      <c r="C697" s="22" t="n"/>
      <c r="D697" s="23" t="n"/>
      <c r="E697" s="23" t="n"/>
      <c r="F697" s="32" t="n"/>
      <c r="G697" s="1" t="n"/>
    </row>
    <row r="698">
      <c r="A698" s="1" t="n"/>
      <c r="B698" s="24" t="n"/>
      <c r="C698" s="22" t="n"/>
      <c r="D698" s="23" t="n"/>
      <c r="E698" s="23" t="n"/>
      <c r="F698" s="32" t="n"/>
      <c r="G698" s="1" t="n"/>
    </row>
    <row r="699">
      <c r="A699" s="1" t="n"/>
      <c r="B699" s="24" t="n"/>
      <c r="C699" s="22" t="n"/>
      <c r="D699" s="23" t="n"/>
      <c r="E699" s="23" t="n"/>
      <c r="F699" s="32" t="n"/>
      <c r="G699" s="1" t="n"/>
    </row>
    <row r="700">
      <c r="A700" s="1" t="n"/>
      <c r="B700" s="24" t="n"/>
      <c r="C700" s="22" t="n"/>
      <c r="D700" s="23" t="n"/>
      <c r="E700" s="23" t="n"/>
      <c r="F700" s="32" t="n"/>
      <c r="G700" s="1" t="n"/>
    </row>
    <row r="701">
      <c r="A701" s="1" t="n"/>
      <c r="B701" s="24" t="n"/>
      <c r="C701" s="22" t="n"/>
      <c r="D701" s="23" t="n"/>
      <c r="E701" s="23" t="n"/>
      <c r="F701" s="32" t="n"/>
      <c r="G701" s="1" t="n"/>
    </row>
    <row r="702">
      <c r="A702" s="1" t="n"/>
      <c r="B702" s="24" t="n"/>
      <c r="C702" s="22" t="n"/>
      <c r="D702" s="23" t="n"/>
      <c r="E702" s="23" t="n"/>
      <c r="F702" s="32" t="n"/>
      <c r="G702" s="1" t="n"/>
    </row>
    <row r="703">
      <c r="A703" s="1" t="n"/>
      <c r="B703" s="24" t="n"/>
      <c r="C703" s="22" t="n"/>
      <c r="D703" s="23" t="n"/>
      <c r="E703" s="23" t="n"/>
      <c r="F703" s="32" t="n"/>
      <c r="G703" s="1" t="n"/>
    </row>
    <row r="704">
      <c r="A704" s="1" t="n"/>
      <c r="B704" s="24" t="n"/>
      <c r="C704" s="22" t="n"/>
      <c r="D704" s="23" t="n"/>
      <c r="E704" s="23" t="n"/>
      <c r="F704" s="32" t="n"/>
      <c r="G704" s="1" t="n"/>
    </row>
    <row r="705">
      <c r="A705" s="1" t="n"/>
      <c r="B705" s="24" t="n"/>
      <c r="C705" s="22" t="n"/>
      <c r="D705" s="23" t="n"/>
      <c r="E705" s="23" t="n"/>
      <c r="F705" s="32" t="n"/>
      <c r="G705" s="1" t="n"/>
    </row>
    <row r="706">
      <c r="A706" s="1" t="n"/>
      <c r="B706" s="24" t="n"/>
      <c r="C706" s="22" t="n"/>
      <c r="D706" s="23" t="n"/>
      <c r="E706" s="23" t="n"/>
      <c r="F706" s="32" t="n"/>
      <c r="G706" s="1" t="n"/>
    </row>
    <row r="707">
      <c r="A707" s="1" t="n"/>
      <c r="B707" s="24" t="n"/>
      <c r="C707" s="22" t="n"/>
      <c r="D707" s="23" t="n"/>
      <c r="E707" s="23" t="n"/>
      <c r="F707" s="32" t="n"/>
      <c r="G707" s="1" t="n"/>
    </row>
    <row r="708">
      <c r="A708" s="1" t="n"/>
      <c r="B708" s="24" t="n"/>
      <c r="C708" s="22" t="n"/>
      <c r="D708" s="23" t="n"/>
      <c r="E708" s="23" t="n"/>
      <c r="F708" s="32" t="n"/>
      <c r="G708" s="1" t="n"/>
    </row>
    <row r="709">
      <c r="A709" s="1" t="n"/>
      <c r="B709" s="24" t="n"/>
      <c r="C709" s="22" t="n"/>
      <c r="D709" s="23" t="n"/>
      <c r="E709" s="23" t="n"/>
      <c r="F709" s="32" t="n"/>
      <c r="G709" s="1" t="n"/>
    </row>
    <row r="710">
      <c r="A710" s="1" t="n"/>
      <c r="B710" s="24" t="n"/>
      <c r="C710" s="22" t="n"/>
      <c r="D710" s="23" t="n"/>
      <c r="E710" s="23" t="n"/>
      <c r="F710" s="32" t="n"/>
      <c r="G710" s="1" t="n"/>
    </row>
    <row r="711">
      <c r="A711" s="1" t="n"/>
      <c r="B711" s="24" t="n"/>
      <c r="C711" s="22" t="n"/>
      <c r="D711" s="23" t="n"/>
      <c r="E711" s="23" t="n"/>
      <c r="F711" s="32" t="n"/>
      <c r="G711" s="1" t="n"/>
    </row>
    <row r="712">
      <c r="A712" s="1" t="n"/>
      <c r="B712" s="24" t="n"/>
      <c r="C712" s="22" t="n"/>
      <c r="D712" s="23" t="n"/>
      <c r="E712" s="23" t="n"/>
      <c r="F712" s="32" t="n"/>
      <c r="G712" s="1" t="n"/>
    </row>
    <row r="713">
      <c r="A713" s="1" t="n"/>
      <c r="B713" s="24" t="n"/>
      <c r="C713" s="22" t="n"/>
      <c r="D713" s="23" t="n"/>
      <c r="E713" s="23" t="n"/>
      <c r="F713" s="32" t="n"/>
      <c r="G713" s="1" t="n"/>
    </row>
    <row r="714">
      <c r="A714" s="1" t="n"/>
      <c r="B714" s="24" t="n"/>
      <c r="C714" s="22" t="n"/>
      <c r="D714" s="23" t="n"/>
      <c r="E714" s="23" t="n"/>
      <c r="F714" s="32" t="n"/>
      <c r="G714" s="1" t="n"/>
    </row>
    <row r="715">
      <c r="A715" s="1" t="n"/>
      <c r="B715" s="24" t="n"/>
      <c r="C715" s="22" t="n"/>
      <c r="D715" s="23" t="n"/>
      <c r="E715" s="23" t="n"/>
      <c r="F715" s="32" t="n"/>
      <c r="G715" s="1" t="n"/>
    </row>
    <row r="716">
      <c r="A716" s="1" t="n"/>
      <c r="B716" s="24" t="n"/>
      <c r="C716" s="22" t="n"/>
      <c r="D716" s="23" t="n"/>
      <c r="E716" s="23" t="n"/>
      <c r="F716" s="32" t="n"/>
      <c r="G716" s="1" t="n"/>
    </row>
    <row r="717">
      <c r="A717" s="1" t="n"/>
      <c r="B717" s="24" t="n"/>
      <c r="C717" s="22" t="n"/>
      <c r="D717" s="23" t="n"/>
      <c r="E717" s="23" t="n"/>
      <c r="F717" s="32" t="n"/>
      <c r="G717" s="1" t="n"/>
    </row>
    <row r="718">
      <c r="A718" s="1" t="n"/>
      <c r="B718" s="24" t="n"/>
      <c r="C718" s="22" t="n"/>
      <c r="D718" s="23" t="n"/>
      <c r="E718" s="23" t="n"/>
      <c r="F718" s="32" t="n"/>
      <c r="G718" s="1" t="n"/>
    </row>
    <row r="719">
      <c r="A719" s="1" t="n"/>
      <c r="B719" s="24" t="n"/>
      <c r="C719" s="22" t="n"/>
      <c r="D719" s="23" t="n"/>
      <c r="E719" s="23" t="n"/>
      <c r="F719" s="32" t="n"/>
      <c r="G719" s="1" t="n"/>
    </row>
    <row r="720">
      <c r="A720" s="1" t="n"/>
      <c r="B720" s="24" t="n"/>
      <c r="C720" s="22" t="n"/>
      <c r="D720" s="23" t="n"/>
      <c r="E720" s="23" t="n"/>
      <c r="F720" s="32" t="n"/>
      <c r="G720" s="1" t="n"/>
    </row>
    <row r="721">
      <c r="A721" s="1" t="n"/>
      <c r="B721" s="24" t="n"/>
      <c r="C721" s="22" t="n"/>
      <c r="D721" s="23" t="n"/>
      <c r="E721" s="23" t="n"/>
      <c r="F721" s="32" t="n"/>
      <c r="G721" s="1" t="n"/>
    </row>
    <row r="722">
      <c r="A722" s="1" t="n"/>
      <c r="B722" s="24" t="n"/>
      <c r="C722" s="22" t="n"/>
      <c r="D722" s="23" t="n"/>
      <c r="E722" s="23" t="n"/>
      <c r="F722" s="32" t="n"/>
      <c r="G722" s="1" t="n"/>
    </row>
    <row r="723">
      <c r="A723" s="1" t="n"/>
      <c r="B723" s="24" t="n"/>
      <c r="C723" s="22" t="n"/>
      <c r="D723" s="23" t="n"/>
      <c r="E723" s="23" t="n"/>
      <c r="F723" s="32" t="n"/>
      <c r="G723" s="1" t="n"/>
    </row>
    <row r="724">
      <c r="A724" s="1" t="n"/>
      <c r="B724" s="24" t="n"/>
      <c r="C724" s="22" t="n"/>
      <c r="D724" s="23" t="n"/>
      <c r="E724" s="23" t="n"/>
      <c r="F724" s="32" t="n"/>
      <c r="G724" s="1" t="n"/>
    </row>
    <row r="725">
      <c r="A725" s="1" t="n"/>
      <c r="B725" s="24" t="n"/>
      <c r="C725" s="22" t="n"/>
      <c r="D725" s="23" t="n"/>
      <c r="E725" s="23" t="n"/>
      <c r="F725" s="32" t="n"/>
      <c r="G725" s="1" t="n"/>
    </row>
    <row r="726">
      <c r="A726" s="1" t="n"/>
      <c r="B726" s="24" t="n"/>
      <c r="C726" s="22" t="n"/>
      <c r="D726" s="23" t="n"/>
      <c r="E726" s="23" t="n"/>
      <c r="F726" s="32" t="n"/>
      <c r="G726" s="1" t="n"/>
    </row>
    <row r="727">
      <c r="A727" s="1" t="n"/>
      <c r="B727" s="24" t="n"/>
      <c r="C727" s="22" t="n"/>
      <c r="D727" s="23" t="n"/>
      <c r="E727" s="23" t="n"/>
      <c r="F727" s="32" t="n"/>
      <c r="G727" s="1" t="n"/>
    </row>
    <row r="728">
      <c r="A728" s="1" t="n"/>
      <c r="B728" s="24" t="n"/>
      <c r="C728" s="22" t="n"/>
      <c r="D728" s="23" t="n"/>
      <c r="E728" s="23" t="n"/>
      <c r="F728" s="32" t="n"/>
      <c r="G728" s="1" t="n"/>
    </row>
    <row r="729">
      <c r="A729" s="1" t="n"/>
      <c r="B729" s="24" t="n"/>
      <c r="C729" s="22" t="n"/>
      <c r="D729" s="23" t="n"/>
      <c r="E729" s="23" t="n"/>
      <c r="F729" s="32" t="n"/>
      <c r="G729" s="1" t="n"/>
    </row>
    <row r="730">
      <c r="A730" s="1" t="n"/>
      <c r="B730" s="24" t="n"/>
      <c r="C730" s="22" t="n"/>
      <c r="D730" s="23" t="n"/>
      <c r="E730" s="23" t="n"/>
      <c r="F730" s="32" t="n"/>
      <c r="G730" s="1" t="n"/>
    </row>
    <row r="731">
      <c r="A731" s="1" t="n"/>
      <c r="B731" s="24" t="n"/>
      <c r="C731" s="22" t="n"/>
      <c r="D731" s="23" t="n"/>
      <c r="E731" s="23" t="n"/>
      <c r="F731" s="32" t="n"/>
      <c r="G731" s="1" t="n"/>
    </row>
    <row r="732">
      <c r="A732" s="1" t="n"/>
      <c r="B732" s="24" t="n"/>
      <c r="C732" s="22" t="n"/>
      <c r="D732" s="23" t="n"/>
      <c r="E732" s="23" t="n"/>
      <c r="F732" s="32" t="n"/>
      <c r="G732" s="1" t="n"/>
    </row>
    <row r="733">
      <c r="A733" s="1" t="n"/>
      <c r="B733" s="24" t="n"/>
      <c r="C733" s="22" t="n"/>
      <c r="D733" s="23" t="n"/>
      <c r="E733" s="23" t="n"/>
      <c r="F733" s="32" t="n"/>
      <c r="G733" s="1" t="n"/>
    </row>
    <row r="734">
      <c r="A734" s="1" t="n"/>
      <c r="B734" s="24" t="n"/>
      <c r="C734" s="22" t="n"/>
      <c r="D734" s="23" t="n"/>
      <c r="E734" s="23" t="n"/>
      <c r="F734" s="32" t="n"/>
      <c r="G734" s="1" t="n"/>
    </row>
    <row r="735">
      <c r="A735" s="1" t="n"/>
      <c r="B735" s="24" t="n"/>
      <c r="C735" s="22" t="n"/>
      <c r="D735" s="23" t="n"/>
      <c r="E735" s="23" t="n"/>
      <c r="F735" s="32" t="n"/>
      <c r="G735" s="1" t="n"/>
    </row>
    <row r="736">
      <c r="A736" s="1" t="n"/>
      <c r="B736" s="24" t="n"/>
      <c r="C736" s="22" t="n"/>
      <c r="D736" s="23" t="n"/>
      <c r="E736" s="23" t="n"/>
      <c r="F736" s="32" t="n"/>
      <c r="G736" s="1" t="n"/>
    </row>
    <row r="737">
      <c r="A737" s="1" t="n"/>
      <c r="B737" s="24" t="n"/>
      <c r="C737" s="22" t="n"/>
      <c r="D737" s="23" t="n"/>
      <c r="E737" s="23" t="n"/>
      <c r="F737" s="32" t="n"/>
      <c r="G737" s="1" t="n"/>
    </row>
    <row r="738">
      <c r="A738" s="1" t="n"/>
      <c r="B738" s="24" t="n"/>
      <c r="C738" s="22" t="n"/>
      <c r="D738" s="23" t="n"/>
      <c r="E738" s="23" t="n"/>
      <c r="F738" s="32" t="n"/>
      <c r="G738" s="1" t="n"/>
    </row>
    <row r="739">
      <c r="A739" s="1" t="n"/>
      <c r="B739" s="24" t="n"/>
      <c r="C739" s="22" t="n"/>
      <c r="D739" s="23" t="n"/>
      <c r="E739" s="23" t="n"/>
      <c r="F739" s="32" t="n"/>
      <c r="G739" s="1" t="n"/>
    </row>
    <row r="740">
      <c r="A740" s="1" t="n"/>
      <c r="B740" s="24" t="n"/>
      <c r="C740" s="22" t="n"/>
      <c r="D740" s="23" t="n"/>
      <c r="E740" s="23" t="n"/>
      <c r="F740" s="32" t="n"/>
      <c r="G740" s="1" t="n"/>
    </row>
    <row r="741">
      <c r="A741" s="1" t="n"/>
      <c r="B741" s="24" t="n"/>
      <c r="C741" s="22" t="n"/>
      <c r="D741" s="23" t="n"/>
      <c r="E741" s="23" t="n"/>
      <c r="F741" s="32" t="n"/>
      <c r="G741" s="1" t="n"/>
    </row>
    <row r="742">
      <c r="A742" s="1" t="n"/>
      <c r="B742" s="24" t="n"/>
      <c r="C742" s="22" t="n"/>
      <c r="D742" s="23" t="n"/>
      <c r="E742" s="23" t="n"/>
      <c r="F742" s="32" t="n"/>
      <c r="G742" s="1" t="n"/>
    </row>
    <row r="743">
      <c r="A743" s="1" t="n"/>
      <c r="B743" s="24" t="n"/>
      <c r="C743" s="22" t="n"/>
      <c r="D743" s="23" t="n"/>
      <c r="E743" s="23" t="n"/>
      <c r="F743" s="32" t="n"/>
      <c r="G743" s="1" t="n"/>
    </row>
    <row r="744">
      <c r="A744" s="1" t="n"/>
      <c r="B744" s="24" t="n"/>
      <c r="C744" s="22" t="n"/>
      <c r="D744" s="23" t="n"/>
      <c r="E744" s="23" t="n"/>
      <c r="F744" s="32" t="n"/>
      <c r="G744" s="1" t="n"/>
    </row>
    <row r="745">
      <c r="A745" s="1" t="n"/>
      <c r="B745" s="24" t="n"/>
      <c r="C745" s="22" t="n"/>
      <c r="D745" s="23" t="n"/>
      <c r="E745" s="23" t="n"/>
      <c r="F745" s="32" t="n"/>
      <c r="G745" s="1" t="n"/>
    </row>
    <row r="746">
      <c r="A746" s="1" t="n"/>
      <c r="B746" s="24" t="n"/>
      <c r="C746" s="22" t="n"/>
      <c r="D746" s="23" t="n"/>
      <c r="E746" s="23" t="n"/>
      <c r="F746" s="32" t="n"/>
      <c r="G746" s="1" t="n"/>
    </row>
    <row r="747">
      <c r="A747" s="1" t="n"/>
      <c r="B747" s="24" t="n"/>
      <c r="C747" s="22" t="n"/>
      <c r="D747" s="23" t="n"/>
      <c r="E747" s="23" t="n"/>
      <c r="F747" s="32" t="n"/>
      <c r="G747" s="1" t="n"/>
    </row>
    <row r="748">
      <c r="A748" s="1" t="n"/>
      <c r="B748" s="24" t="n"/>
      <c r="C748" s="22" t="n"/>
      <c r="D748" s="23" t="n"/>
      <c r="E748" s="23" t="n"/>
      <c r="F748" s="32" t="n"/>
      <c r="G748" s="1" t="n"/>
    </row>
    <row r="749">
      <c r="A749" s="1" t="n"/>
      <c r="B749" s="24" t="n"/>
      <c r="C749" s="22" t="n"/>
      <c r="D749" s="23" t="n"/>
      <c r="E749" s="23" t="n"/>
      <c r="F749" s="32" t="n"/>
      <c r="G749" s="1" t="n"/>
    </row>
    <row r="750">
      <c r="A750" s="1" t="n"/>
      <c r="B750" s="24" t="n"/>
      <c r="C750" s="22" t="n"/>
      <c r="D750" s="23" t="n"/>
      <c r="E750" s="23" t="n"/>
      <c r="F750" s="32" t="n"/>
      <c r="G750" s="1" t="n"/>
    </row>
    <row r="751">
      <c r="A751" s="1" t="n"/>
      <c r="B751" s="24" t="n"/>
      <c r="C751" s="22" t="n"/>
      <c r="D751" s="23" t="n"/>
      <c r="E751" s="23" t="n"/>
      <c r="F751" s="32" t="n"/>
      <c r="G751" s="1" t="n"/>
    </row>
    <row r="752">
      <c r="A752" s="1" t="n"/>
      <c r="B752" s="24" t="n"/>
      <c r="C752" s="22" t="n"/>
      <c r="D752" s="23" t="n"/>
      <c r="E752" s="23" t="n"/>
      <c r="F752" s="32" t="n"/>
      <c r="G752" s="1" t="n"/>
    </row>
    <row r="753">
      <c r="A753" s="1" t="n"/>
      <c r="B753" s="24" t="n"/>
      <c r="C753" s="22" t="n"/>
      <c r="D753" s="23" t="n"/>
      <c r="E753" s="23" t="n"/>
      <c r="F753" s="32" t="n"/>
      <c r="G753" s="1" t="n"/>
    </row>
    <row r="754">
      <c r="A754" s="1" t="n"/>
      <c r="B754" s="24" t="n"/>
      <c r="C754" s="22" t="n"/>
      <c r="D754" s="23" t="n"/>
      <c r="E754" s="23" t="n"/>
      <c r="F754" s="32" t="n"/>
      <c r="G754" s="1" t="n"/>
    </row>
    <row r="755">
      <c r="A755" s="1" t="n"/>
      <c r="B755" s="24" t="n"/>
      <c r="C755" s="22" t="n"/>
      <c r="D755" s="23" t="n"/>
      <c r="E755" s="23" t="n"/>
      <c r="F755" s="32" t="n"/>
      <c r="G755" s="1" t="n"/>
    </row>
    <row r="756">
      <c r="A756" s="1" t="n"/>
      <c r="B756" s="24" t="n"/>
      <c r="C756" s="22" t="n"/>
      <c r="D756" s="23" t="n"/>
      <c r="E756" s="23" t="n"/>
      <c r="F756" s="32" t="n"/>
      <c r="G756" s="1" t="n"/>
    </row>
    <row r="757">
      <c r="A757" s="1" t="n"/>
      <c r="B757" s="24" t="n"/>
      <c r="C757" s="22" t="n"/>
      <c r="D757" s="23" t="n"/>
      <c r="E757" s="23" t="n"/>
      <c r="F757" s="32" t="n"/>
      <c r="G757" s="1" t="n"/>
    </row>
    <row r="758">
      <c r="A758" s="1" t="n"/>
      <c r="B758" s="24" t="n"/>
      <c r="C758" s="22" t="n"/>
      <c r="D758" s="23" t="n"/>
      <c r="E758" s="23" t="n"/>
      <c r="F758" s="32" t="n"/>
      <c r="G758" s="1" t="n"/>
    </row>
    <row r="759">
      <c r="A759" s="1" t="n"/>
      <c r="B759" s="24" t="n"/>
      <c r="C759" s="22" t="n"/>
      <c r="D759" s="23" t="n"/>
      <c r="E759" s="23" t="n"/>
      <c r="F759" s="32" t="n"/>
      <c r="G759" s="1" t="n"/>
    </row>
    <row r="760">
      <c r="A760" s="1" t="n"/>
      <c r="B760" s="24" t="n"/>
      <c r="C760" s="22" t="n"/>
      <c r="D760" s="23" t="n"/>
      <c r="E760" s="23" t="n"/>
      <c r="F760" s="32" t="n"/>
      <c r="G760" s="1" t="n"/>
    </row>
    <row r="761">
      <c r="A761" s="1" t="n"/>
      <c r="B761" s="24" t="n"/>
      <c r="C761" s="22" t="n"/>
      <c r="D761" s="23" t="n"/>
      <c r="E761" s="23" t="n"/>
      <c r="F761" s="32" t="n"/>
      <c r="G761" s="1" t="n"/>
    </row>
    <row r="762">
      <c r="A762" s="1" t="n"/>
      <c r="B762" s="24" t="n"/>
      <c r="C762" s="22" t="n"/>
      <c r="D762" s="23" t="n"/>
      <c r="E762" s="23" t="n"/>
      <c r="F762" s="32" t="n"/>
      <c r="G762" s="1" t="n"/>
    </row>
    <row r="763">
      <c r="A763" s="1" t="n"/>
      <c r="B763" s="24" t="n"/>
      <c r="C763" s="22" t="n"/>
      <c r="D763" s="23" t="n"/>
      <c r="E763" s="23" t="n"/>
      <c r="F763" s="32" t="n"/>
      <c r="G763" s="1" t="n"/>
    </row>
    <row r="764">
      <c r="A764" s="1" t="n"/>
      <c r="B764" s="24" t="n"/>
      <c r="C764" s="22" t="n"/>
      <c r="D764" s="23" t="n"/>
      <c r="E764" s="23" t="n"/>
      <c r="F764" s="32" t="n"/>
      <c r="G764" s="1" t="n"/>
    </row>
    <row r="765">
      <c r="A765" s="1" t="n"/>
      <c r="B765" s="24" t="n"/>
      <c r="C765" s="22" t="n"/>
      <c r="D765" s="23" t="n"/>
      <c r="E765" s="23" t="n"/>
      <c r="F765" s="32" t="n"/>
      <c r="G765" s="1" t="n"/>
    </row>
    <row r="766">
      <c r="A766" s="1" t="n"/>
      <c r="B766" s="24" t="n"/>
      <c r="C766" s="22" t="n"/>
      <c r="D766" s="23" t="n"/>
      <c r="E766" s="23" t="n"/>
      <c r="F766" s="32" t="n"/>
      <c r="G766" s="1" t="n"/>
    </row>
    <row r="767">
      <c r="A767" s="1" t="n"/>
      <c r="B767" s="24" t="n"/>
      <c r="C767" s="22" t="n"/>
      <c r="D767" s="23" t="n"/>
      <c r="E767" s="23" t="n"/>
      <c r="F767" s="32" t="n"/>
      <c r="G767" s="1" t="n"/>
    </row>
    <row r="768">
      <c r="A768" s="1" t="n"/>
      <c r="B768" s="24" t="n"/>
      <c r="C768" s="22" t="n"/>
      <c r="D768" s="23" t="n"/>
      <c r="E768" s="23" t="n"/>
      <c r="F768" s="32" t="n"/>
      <c r="G768" s="1" t="n"/>
    </row>
    <row r="769">
      <c r="A769" s="1" t="n"/>
      <c r="B769" s="24" t="n"/>
      <c r="C769" s="22" t="n"/>
      <c r="D769" s="23" t="n"/>
      <c r="E769" s="23" t="n"/>
      <c r="F769" s="32" t="n"/>
      <c r="G769" s="1" t="n"/>
    </row>
    <row r="770">
      <c r="A770" s="1" t="n"/>
      <c r="B770" s="24" t="n"/>
      <c r="C770" s="22" t="n"/>
      <c r="D770" s="23" t="n"/>
      <c r="E770" s="23" t="n"/>
      <c r="F770" s="32" t="n"/>
      <c r="G770" s="1" t="n"/>
    </row>
    <row r="771">
      <c r="A771" s="1" t="n"/>
      <c r="B771" s="24" t="n"/>
      <c r="C771" s="22" t="n"/>
      <c r="D771" s="23" t="n"/>
      <c r="E771" s="23" t="n"/>
      <c r="F771" s="32" t="n"/>
      <c r="G771" s="1" t="n"/>
    </row>
    <row r="772">
      <c r="A772" s="1" t="n"/>
      <c r="B772" s="24" t="n"/>
      <c r="C772" s="22" t="n"/>
      <c r="D772" s="23" t="n"/>
      <c r="E772" s="23" t="n"/>
      <c r="F772" s="32" t="n"/>
      <c r="G772" s="1" t="n"/>
    </row>
    <row r="773">
      <c r="A773" s="1" t="n"/>
      <c r="B773" s="24" t="n"/>
      <c r="C773" s="22" t="n"/>
      <c r="D773" s="23" t="n"/>
      <c r="E773" s="23" t="n"/>
      <c r="F773" s="32" t="n"/>
      <c r="G773" s="1" t="n"/>
    </row>
    <row r="774">
      <c r="A774" s="1" t="n"/>
      <c r="B774" s="24" t="n"/>
      <c r="C774" s="22" t="n"/>
      <c r="D774" s="23" t="n"/>
      <c r="E774" s="23" t="n"/>
      <c r="F774" s="32" t="n"/>
      <c r="G774" s="1" t="n"/>
    </row>
    <row r="775">
      <c r="A775" s="1" t="n"/>
      <c r="B775" s="24" t="n"/>
      <c r="C775" s="22" t="n"/>
      <c r="D775" s="23" t="n"/>
      <c r="E775" s="23" t="n"/>
      <c r="F775" s="32" t="n"/>
      <c r="G775" s="1" t="n"/>
    </row>
    <row r="776">
      <c r="A776" s="1" t="n"/>
      <c r="B776" s="24" t="n"/>
      <c r="C776" s="22" t="n"/>
      <c r="D776" s="23" t="n"/>
      <c r="E776" s="23" t="n"/>
      <c r="F776" s="32" t="n"/>
      <c r="G776" s="1" t="n"/>
    </row>
    <row r="777">
      <c r="A777" s="1" t="n"/>
      <c r="B777" s="24" t="n"/>
      <c r="C777" s="22" t="n"/>
      <c r="D777" s="23" t="n"/>
      <c r="E777" s="23" t="n"/>
      <c r="F777" s="32" t="n"/>
      <c r="G777" s="1" t="n"/>
    </row>
    <row r="778">
      <c r="A778" s="1" t="n"/>
      <c r="B778" s="24" t="n"/>
      <c r="C778" s="22" t="n"/>
      <c r="D778" s="23" t="n"/>
      <c r="E778" s="23" t="n"/>
      <c r="F778" s="32" t="n"/>
      <c r="G778" s="1" t="n"/>
    </row>
    <row r="779">
      <c r="A779" s="1" t="n"/>
      <c r="B779" s="24" t="n"/>
      <c r="C779" s="22" t="n"/>
      <c r="D779" s="23" t="n"/>
      <c r="E779" s="23" t="n"/>
      <c r="F779" s="32" t="n"/>
      <c r="G779" s="1" t="n"/>
    </row>
    <row r="780">
      <c r="A780" s="1" t="n"/>
      <c r="B780" s="24" t="n"/>
      <c r="C780" s="22" t="n"/>
      <c r="D780" s="23" t="n"/>
      <c r="E780" s="23" t="n"/>
      <c r="F780" s="32" t="n"/>
      <c r="G780" s="1" t="n"/>
    </row>
    <row r="781">
      <c r="A781" s="1" t="n"/>
      <c r="B781" s="24" t="n"/>
      <c r="C781" s="22" t="n"/>
      <c r="D781" s="23" t="n"/>
      <c r="E781" s="23" t="n"/>
      <c r="F781" s="32" t="n"/>
      <c r="G781" s="1" t="n"/>
    </row>
    <row r="782">
      <c r="A782" s="1" t="n"/>
      <c r="B782" s="24" t="n"/>
      <c r="C782" s="22" t="n"/>
      <c r="D782" s="23" t="n"/>
      <c r="E782" s="23" t="n"/>
      <c r="F782" s="32" t="n"/>
      <c r="G782" s="1" t="n"/>
    </row>
    <row r="783">
      <c r="A783" s="1" t="n"/>
      <c r="B783" s="24" t="n"/>
      <c r="C783" s="22" t="n"/>
      <c r="D783" s="23" t="n"/>
      <c r="E783" s="23" t="n"/>
      <c r="F783" s="32" t="n"/>
      <c r="G783" s="1" t="n"/>
    </row>
    <row r="784">
      <c r="A784" s="1" t="n"/>
      <c r="B784" s="24" t="n"/>
      <c r="C784" s="22" t="n"/>
      <c r="D784" s="23" t="n"/>
      <c r="E784" s="23" t="n"/>
      <c r="F784" s="32" t="n"/>
      <c r="G784" s="1" t="n"/>
    </row>
    <row r="785">
      <c r="A785" s="1" t="n"/>
      <c r="B785" s="24" t="n"/>
      <c r="C785" s="22" t="n"/>
      <c r="D785" s="23" t="n"/>
      <c r="E785" s="23" t="n"/>
      <c r="F785" s="32" t="n"/>
      <c r="G785" s="1" t="n"/>
    </row>
    <row r="786">
      <c r="A786" s="1" t="n"/>
      <c r="B786" s="24" t="n"/>
      <c r="C786" s="22" t="n"/>
      <c r="D786" s="23" t="n"/>
      <c r="E786" s="23" t="n"/>
      <c r="F786" s="32" t="n"/>
      <c r="G786" s="1" t="n"/>
    </row>
    <row r="787">
      <c r="A787" s="1" t="n"/>
      <c r="B787" s="24" t="n"/>
      <c r="C787" s="22" t="n"/>
      <c r="D787" s="23" t="n"/>
      <c r="E787" s="23" t="n"/>
      <c r="F787" s="32" t="n"/>
      <c r="G787" s="1" t="n"/>
    </row>
    <row r="788">
      <c r="A788" s="1" t="n"/>
      <c r="B788" s="24" t="n"/>
      <c r="C788" s="22" t="n"/>
      <c r="D788" s="23" t="n"/>
      <c r="E788" s="23" t="n"/>
      <c r="F788" s="32" t="n"/>
      <c r="G788" s="1" t="n"/>
    </row>
    <row r="789">
      <c r="A789" s="1" t="n"/>
      <c r="B789" s="24" t="n"/>
      <c r="C789" s="22" t="n"/>
      <c r="D789" s="23" t="n"/>
      <c r="E789" s="23" t="n"/>
      <c r="F789" s="32" t="n"/>
      <c r="G789" s="1" t="n"/>
    </row>
    <row r="790">
      <c r="A790" s="1" t="n"/>
      <c r="B790" s="24" t="n"/>
      <c r="C790" s="22" t="n"/>
      <c r="D790" s="23" t="n"/>
      <c r="E790" s="23" t="n"/>
      <c r="F790" s="32" t="n"/>
      <c r="G790" s="1" t="n"/>
    </row>
    <row r="791">
      <c r="A791" s="1" t="n"/>
      <c r="B791" s="24" t="n"/>
      <c r="C791" s="22" t="n"/>
      <c r="D791" s="23" t="n"/>
      <c r="E791" s="23" t="n"/>
      <c r="F791" s="32" t="n"/>
      <c r="G791" s="1" t="n"/>
    </row>
    <row r="792">
      <c r="A792" s="1" t="n"/>
      <c r="B792" s="24" t="n"/>
      <c r="C792" s="22" t="n"/>
      <c r="D792" s="23" t="n"/>
      <c r="E792" s="23" t="n"/>
      <c r="F792" s="32" t="n"/>
      <c r="G792" s="1" t="n"/>
    </row>
    <row r="793">
      <c r="A793" s="1" t="n"/>
      <c r="B793" s="24" t="n"/>
      <c r="C793" s="22" t="n"/>
      <c r="D793" s="23" t="n"/>
      <c r="E793" s="23" t="n"/>
      <c r="F793" s="32" t="n"/>
      <c r="G793" s="1" t="n"/>
    </row>
    <row r="794">
      <c r="A794" s="1" t="n"/>
      <c r="B794" s="24" t="n"/>
      <c r="C794" s="22" t="n"/>
      <c r="D794" s="23" t="n"/>
      <c r="E794" s="23" t="n"/>
      <c r="F794" s="32" t="n"/>
      <c r="G794" s="1" t="n"/>
    </row>
    <row r="795">
      <c r="A795" s="1" t="n"/>
      <c r="B795" s="24" t="n"/>
      <c r="C795" s="22" t="n"/>
      <c r="D795" s="23" t="n"/>
      <c r="E795" s="23" t="n"/>
      <c r="F795" s="32" t="n"/>
      <c r="G795" s="1" t="n"/>
    </row>
    <row r="796">
      <c r="A796" s="1" t="n"/>
      <c r="B796" s="24" t="n"/>
      <c r="C796" s="22" t="n"/>
      <c r="D796" s="23" t="n"/>
      <c r="E796" s="23" t="n"/>
      <c r="F796" s="32" t="n"/>
      <c r="G796" s="1" t="n"/>
    </row>
    <row r="797">
      <c r="A797" s="1" t="n"/>
      <c r="B797" s="24" t="n"/>
      <c r="C797" s="22" t="n"/>
      <c r="D797" s="23" t="n"/>
      <c r="E797" s="23" t="n"/>
      <c r="F797" s="32" t="n"/>
      <c r="G797" s="1" t="n"/>
    </row>
    <row r="798">
      <c r="A798" s="1" t="n"/>
      <c r="B798" s="24" t="n"/>
      <c r="C798" s="22" t="n"/>
      <c r="D798" s="23" t="n"/>
      <c r="E798" s="23" t="n"/>
      <c r="F798" s="32" t="n"/>
      <c r="G798" s="1" t="n"/>
    </row>
    <row r="799">
      <c r="A799" s="1" t="n"/>
      <c r="B799" s="24" t="n"/>
      <c r="C799" s="22" t="n"/>
      <c r="D799" s="23" t="n"/>
      <c r="E799" s="23" t="n"/>
      <c r="F799" s="32" t="n"/>
      <c r="G799" s="1" t="n"/>
    </row>
    <row r="800">
      <c r="A800" s="1" t="n"/>
      <c r="B800" s="24" t="n"/>
      <c r="C800" s="22" t="n"/>
      <c r="D800" s="23" t="n"/>
      <c r="E800" s="23" t="n"/>
      <c r="F800" s="32" t="n"/>
      <c r="G800" s="1" t="n"/>
    </row>
    <row r="801">
      <c r="A801" s="1" t="n"/>
      <c r="B801" s="24" t="n"/>
      <c r="C801" s="22" t="n"/>
      <c r="D801" s="23" t="n"/>
      <c r="E801" s="23" t="n"/>
      <c r="F801" s="32" t="n"/>
      <c r="G801" s="1" t="n"/>
    </row>
    <row r="802">
      <c r="A802" s="1" t="n"/>
      <c r="B802" s="24" t="n"/>
      <c r="C802" s="22" t="n"/>
      <c r="D802" s="23" t="n"/>
      <c r="E802" s="23" t="n"/>
      <c r="F802" s="32" t="n"/>
      <c r="G802" s="1" t="n"/>
    </row>
    <row r="803">
      <c r="A803" s="1" t="n"/>
      <c r="B803" s="24" t="n"/>
      <c r="C803" s="22" t="n"/>
      <c r="D803" s="23" t="n"/>
      <c r="E803" s="23" t="n"/>
      <c r="F803" s="32" t="n"/>
      <c r="G803" s="1" t="n"/>
    </row>
    <row r="804">
      <c r="A804" s="1" t="n"/>
      <c r="B804" s="24" t="n"/>
      <c r="C804" s="22" t="n"/>
      <c r="D804" s="23" t="n"/>
      <c r="E804" s="23" t="n"/>
      <c r="F804" s="32" t="n"/>
      <c r="G804" s="1" t="n"/>
    </row>
    <row r="805">
      <c r="A805" s="1" t="n"/>
      <c r="B805" s="24" t="n"/>
      <c r="C805" s="22" t="n"/>
      <c r="D805" s="23" t="n"/>
      <c r="E805" s="23" t="n"/>
      <c r="F805" s="32" t="n"/>
      <c r="G805" s="1" t="n"/>
    </row>
    <row r="806">
      <c r="A806" s="1" t="n"/>
      <c r="B806" s="24" t="n"/>
      <c r="C806" s="22" t="n"/>
      <c r="D806" s="23" t="n"/>
      <c r="E806" s="23" t="n"/>
      <c r="F806" s="32" t="n"/>
      <c r="G806" s="1" t="n"/>
    </row>
    <row r="807">
      <c r="A807" s="1" t="n"/>
      <c r="B807" s="24" t="n"/>
      <c r="C807" s="22" t="n"/>
      <c r="D807" s="23" t="n"/>
      <c r="E807" s="23" t="n"/>
      <c r="F807" s="32" t="n"/>
      <c r="G807" s="1" t="n"/>
    </row>
    <row r="808">
      <c r="A808" s="1" t="n"/>
      <c r="B808" s="24" t="n"/>
      <c r="C808" s="22" t="n"/>
      <c r="D808" s="23" t="n"/>
      <c r="E808" s="23" t="n"/>
      <c r="F808" s="32" t="n"/>
      <c r="G808" s="1" t="n"/>
    </row>
    <row r="809">
      <c r="A809" s="1" t="n"/>
      <c r="B809" s="24" t="n"/>
      <c r="C809" s="22" t="n"/>
      <c r="D809" s="23" t="n"/>
      <c r="E809" s="23" t="n"/>
      <c r="F809" s="32" t="n"/>
      <c r="G809" s="1" t="n"/>
    </row>
    <row r="810">
      <c r="A810" s="1" t="n"/>
      <c r="B810" s="24" t="n"/>
      <c r="C810" s="22" t="n"/>
      <c r="D810" s="23" t="n"/>
      <c r="E810" s="23" t="n"/>
      <c r="F810" s="32" t="n"/>
      <c r="G810" s="1" t="n"/>
    </row>
    <row r="811">
      <c r="A811" s="1" t="n"/>
      <c r="B811" s="24" t="n"/>
      <c r="C811" s="22" t="n"/>
      <c r="D811" s="23" t="n"/>
      <c r="E811" s="23" t="n"/>
      <c r="F811" s="32" t="n"/>
      <c r="G811" s="1" t="n"/>
    </row>
    <row r="812">
      <c r="A812" s="1" t="n"/>
      <c r="B812" s="24" t="n"/>
      <c r="C812" s="22" t="n"/>
      <c r="D812" s="23" t="n"/>
      <c r="E812" s="23" t="n"/>
      <c r="F812" s="32" t="n"/>
      <c r="G812" s="1" t="n"/>
    </row>
    <row r="813">
      <c r="A813" s="1" t="n"/>
      <c r="B813" s="24" t="n"/>
      <c r="C813" s="22" t="n"/>
      <c r="D813" s="23" t="n"/>
      <c r="E813" s="23" t="n"/>
      <c r="F813" s="32" t="n"/>
      <c r="G813" s="1" t="n"/>
    </row>
    <row r="814">
      <c r="A814" s="1" t="n"/>
      <c r="B814" s="24" t="n"/>
      <c r="C814" s="22" t="n"/>
      <c r="D814" s="23" t="n"/>
      <c r="E814" s="23" t="n"/>
      <c r="F814" s="32" t="n"/>
      <c r="G814" s="1" t="n"/>
    </row>
    <row r="815">
      <c r="A815" s="1" t="n"/>
      <c r="B815" s="24" t="n"/>
      <c r="C815" s="22" t="n"/>
      <c r="D815" s="23" t="n"/>
      <c r="E815" s="23" t="n"/>
      <c r="F815" s="32" t="n"/>
      <c r="G815" s="1" t="n"/>
    </row>
    <row r="816">
      <c r="A816" s="1" t="n"/>
      <c r="B816" s="24" t="n"/>
      <c r="C816" s="22" t="n"/>
      <c r="D816" s="23" t="n"/>
      <c r="E816" s="23" t="n"/>
      <c r="F816" s="32" t="n"/>
      <c r="G816" s="1" t="n"/>
    </row>
    <row r="817">
      <c r="A817" s="1" t="n"/>
      <c r="B817" s="24" t="n"/>
      <c r="C817" s="22" t="n"/>
      <c r="D817" s="23" t="n"/>
      <c r="E817" s="23" t="n"/>
      <c r="F817" s="32" t="n"/>
      <c r="G817" s="1" t="n"/>
    </row>
    <row r="818">
      <c r="A818" s="1" t="n"/>
      <c r="B818" s="24" t="n"/>
      <c r="C818" s="22" t="n"/>
      <c r="D818" s="23" t="n"/>
      <c r="E818" s="23" t="n"/>
      <c r="F818" s="32" t="n"/>
      <c r="G818" s="1" t="n"/>
    </row>
    <row r="819">
      <c r="A819" s="1" t="n"/>
      <c r="B819" s="24" t="n"/>
      <c r="C819" s="22" t="n"/>
      <c r="D819" s="23" t="n"/>
      <c r="E819" s="23" t="n"/>
      <c r="F819" s="32" t="n"/>
      <c r="G819" s="1" t="n"/>
    </row>
    <row r="820">
      <c r="A820" s="1" t="n"/>
      <c r="B820" s="24" t="n"/>
      <c r="C820" s="22" t="n"/>
      <c r="D820" s="23" t="n"/>
      <c r="E820" s="23" t="n"/>
      <c r="F820" s="32" t="n"/>
      <c r="G820" s="1" t="n"/>
    </row>
    <row r="821">
      <c r="A821" s="1" t="n"/>
      <c r="B821" s="24" t="n"/>
      <c r="C821" s="22" t="n"/>
      <c r="D821" s="23" t="n"/>
      <c r="E821" s="23" t="n"/>
      <c r="F821" s="32" t="n"/>
      <c r="G821" s="1" t="n"/>
    </row>
    <row r="822">
      <c r="A822" s="1" t="n"/>
      <c r="B822" s="24" t="n"/>
      <c r="C822" s="22" t="n"/>
      <c r="D822" s="23" t="n"/>
      <c r="E822" s="23" t="n"/>
      <c r="F822" s="32" t="n"/>
      <c r="G822" s="1" t="n"/>
    </row>
    <row r="823">
      <c r="A823" s="1" t="n"/>
      <c r="B823" s="24" t="n"/>
      <c r="C823" s="22" t="n"/>
      <c r="D823" s="23" t="n"/>
      <c r="E823" s="23" t="n"/>
      <c r="F823" s="32" t="n"/>
      <c r="G823" s="1" t="n"/>
    </row>
    <row r="824">
      <c r="A824" s="1" t="n"/>
      <c r="B824" s="24" t="n"/>
      <c r="C824" s="22" t="n"/>
      <c r="D824" s="23" t="n"/>
      <c r="E824" s="23" t="n"/>
      <c r="F824" s="32" t="n"/>
      <c r="G824" s="1" t="n"/>
    </row>
    <row r="825">
      <c r="A825" s="1" t="n"/>
      <c r="B825" s="24" t="n"/>
      <c r="C825" s="22" t="n"/>
      <c r="D825" s="23" t="n"/>
      <c r="E825" s="23" t="n"/>
      <c r="F825" s="32" t="n"/>
      <c r="G825" s="1" t="n"/>
    </row>
    <row r="826">
      <c r="A826" s="1" t="n"/>
      <c r="B826" s="24" t="n"/>
      <c r="C826" s="22" t="n"/>
      <c r="D826" s="23" t="n"/>
      <c r="E826" s="23" t="n"/>
      <c r="F826" s="32" t="n"/>
      <c r="G826" s="1" t="n"/>
    </row>
    <row r="827">
      <c r="A827" s="1" t="n"/>
      <c r="B827" s="24" t="n"/>
      <c r="C827" s="22" t="n"/>
      <c r="D827" s="23" t="n"/>
      <c r="E827" s="23" t="n"/>
      <c r="F827" s="32" t="n"/>
      <c r="G827" s="1" t="n"/>
    </row>
    <row r="828">
      <c r="A828" s="1" t="n"/>
      <c r="B828" s="24" t="n"/>
      <c r="C828" s="22" t="n"/>
      <c r="D828" s="23" t="n"/>
      <c r="E828" s="23" t="n"/>
      <c r="F828" s="32" t="n"/>
      <c r="G828" s="1" t="n"/>
    </row>
    <row r="829">
      <c r="A829" s="1" t="n"/>
      <c r="B829" s="24" t="n"/>
      <c r="C829" s="22" t="n"/>
      <c r="D829" s="23" t="n"/>
      <c r="E829" s="23" t="n"/>
      <c r="F829" s="32" t="n"/>
      <c r="G829" s="1" t="n"/>
    </row>
    <row r="830">
      <c r="A830" s="1" t="n"/>
      <c r="B830" s="24" t="n"/>
      <c r="C830" s="22" t="n"/>
      <c r="D830" s="23" t="n"/>
      <c r="E830" s="23" t="n"/>
      <c r="F830" s="32" t="n"/>
      <c r="G830" s="1" t="n"/>
    </row>
    <row r="831">
      <c r="A831" s="1" t="n"/>
      <c r="B831" s="24" t="n"/>
      <c r="C831" s="22" t="n"/>
      <c r="D831" s="23" t="n"/>
      <c r="E831" s="23" t="n"/>
      <c r="F831" s="32" t="n"/>
      <c r="G831" s="1" t="n"/>
    </row>
    <row r="832">
      <c r="A832" s="1" t="n"/>
      <c r="B832" s="24" t="n"/>
      <c r="C832" s="22" t="n"/>
      <c r="D832" s="23" t="n"/>
      <c r="E832" s="23" t="n"/>
      <c r="F832" s="32" t="n"/>
      <c r="G832" s="1" t="n"/>
    </row>
    <row r="833">
      <c r="A833" s="1" t="n"/>
      <c r="B833" s="24" t="n"/>
      <c r="C833" s="22" t="n"/>
      <c r="D833" s="23" t="n"/>
      <c r="E833" s="23" t="n"/>
      <c r="F833" s="32" t="n"/>
      <c r="G833" s="1" t="n"/>
    </row>
    <row r="834">
      <c r="A834" s="1" t="n"/>
      <c r="B834" s="24" t="n"/>
      <c r="C834" s="22" t="n"/>
      <c r="D834" s="23" t="n"/>
      <c r="E834" s="23" t="n"/>
      <c r="F834" s="32" t="n"/>
      <c r="G834" s="1" t="n"/>
    </row>
    <row r="835">
      <c r="A835" s="1" t="n"/>
      <c r="B835" s="24" t="n"/>
      <c r="C835" s="22" t="n"/>
      <c r="D835" s="23" t="n"/>
      <c r="E835" s="23" t="n"/>
      <c r="F835" s="32" t="n"/>
      <c r="G835" s="1" t="n"/>
    </row>
    <row r="836">
      <c r="A836" s="1" t="n"/>
      <c r="B836" s="24" t="n"/>
      <c r="C836" s="22" t="n"/>
      <c r="D836" s="23" t="n"/>
      <c r="E836" s="23" t="n"/>
      <c r="F836" s="32" t="n"/>
      <c r="G836" s="1" t="n"/>
    </row>
    <row r="837">
      <c r="A837" s="1" t="n"/>
      <c r="B837" s="24" t="n"/>
      <c r="C837" s="22" t="n"/>
      <c r="D837" s="23" t="n"/>
      <c r="E837" s="23" t="n"/>
      <c r="F837" s="32" t="n"/>
      <c r="G837" s="1" t="n"/>
    </row>
    <row r="838">
      <c r="A838" s="1" t="n"/>
      <c r="B838" s="24" t="n"/>
      <c r="C838" s="22" t="n"/>
      <c r="D838" s="23" t="n"/>
      <c r="E838" s="23" t="n"/>
      <c r="F838" s="32" t="n"/>
      <c r="G838" s="1" t="n"/>
    </row>
    <row r="839">
      <c r="A839" s="1" t="n"/>
      <c r="B839" s="24" t="n"/>
      <c r="C839" s="22" t="n"/>
      <c r="D839" s="23" t="n"/>
      <c r="E839" s="23" t="n"/>
      <c r="F839" s="32" t="n"/>
      <c r="G839" s="1" t="n"/>
    </row>
    <row r="840">
      <c r="A840" s="1" t="n"/>
      <c r="B840" s="24" t="n"/>
      <c r="C840" s="22" t="n"/>
      <c r="D840" s="23" t="n"/>
      <c r="E840" s="23" t="n"/>
      <c r="F840" s="32" t="n"/>
      <c r="G840" s="1" t="n"/>
    </row>
    <row r="841">
      <c r="A841" s="1" t="n"/>
      <c r="B841" s="24" t="n"/>
      <c r="C841" s="22" t="n"/>
      <c r="D841" s="23" t="n"/>
      <c r="E841" s="23" t="n"/>
      <c r="F841" s="32" t="n"/>
      <c r="G841" s="1" t="n"/>
    </row>
    <row r="842">
      <c r="A842" s="1" t="n"/>
      <c r="B842" s="24" t="n"/>
      <c r="C842" s="22" t="n"/>
      <c r="D842" s="23" t="n"/>
      <c r="E842" s="23" t="n"/>
      <c r="F842" s="32" t="n"/>
      <c r="G842" s="1" t="n"/>
    </row>
    <row r="843">
      <c r="A843" s="1" t="n"/>
      <c r="B843" s="24" t="n"/>
      <c r="C843" s="22" t="n"/>
      <c r="D843" s="23" t="n"/>
      <c r="E843" s="23" t="n"/>
      <c r="F843" s="32" t="n"/>
      <c r="G843" s="1" t="n"/>
    </row>
    <row r="844">
      <c r="A844" s="1" t="n"/>
      <c r="B844" s="24" t="n"/>
      <c r="C844" s="22" t="n"/>
      <c r="D844" s="23" t="n"/>
      <c r="E844" s="23" t="n"/>
      <c r="F844" s="32" t="n"/>
      <c r="G844" s="1" t="n"/>
    </row>
    <row r="845">
      <c r="A845" s="1" t="n"/>
      <c r="B845" s="24" t="n"/>
      <c r="C845" s="22" t="n"/>
      <c r="D845" s="23" t="n"/>
      <c r="E845" s="23" t="n"/>
      <c r="F845" s="32" t="n"/>
      <c r="G845" s="1" t="n"/>
    </row>
    <row r="846">
      <c r="A846" s="1" t="n"/>
      <c r="B846" s="24" t="n"/>
      <c r="C846" s="22" t="n"/>
      <c r="D846" s="23" t="n"/>
      <c r="E846" s="23" t="n"/>
      <c r="F846" s="32" t="n"/>
      <c r="G846" s="1" t="n"/>
    </row>
    <row r="847">
      <c r="A847" s="1" t="n"/>
      <c r="B847" s="24" t="n"/>
      <c r="C847" s="22" t="n"/>
      <c r="D847" s="23" t="n"/>
      <c r="E847" s="23" t="n"/>
      <c r="F847" s="32" t="n"/>
      <c r="G847" s="1" t="n"/>
    </row>
    <row r="848">
      <c r="A848" s="1" t="n"/>
      <c r="B848" s="24" t="n"/>
      <c r="C848" s="22" t="n"/>
      <c r="D848" s="23" t="n"/>
      <c r="E848" s="23" t="n"/>
      <c r="F848" s="32" t="n"/>
      <c r="G848" s="1" t="n"/>
    </row>
    <row r="849">
      <c r="A849" s="1" t="n"/>
      <c r="B849" s="24" t="n"/>
      <c r="C849" s="22" t="n"/>
      <c r="D849" s="23" t="n"/>
      <c r="E849" s="23" t="n"/>
      <c r="F849" s="32" t="n"/>
      <c r="G849" s="1" t="n"/>
    </row>
    <row r="850">
      <c r="A850" s="1" t="n"/>
      <c r="B850" s="24" t="n"/>
      <c r="C850" s="22" t="n"/>
      <c r="D850" s="23" t="n"/>
      <c r="E850" s="23" t="n"/>
      <c r="F850" s="32" t="n"/>
      <c r="G850" s="1" t="n"/>
    </row>
    <row r="851">
      <c r="A851" s="1" t="n"/>
      <c r="B851" s="24" t="n"/>
      <c r="C851" s="22" t="n"/>
      <c r="D851" s="23" t="n"/>
      <c r="E851" s="23" t="n"/>
      <c r="F851" s="32" t="n"/>
      <c r="G851" s="1" t="n"/>
    </row>
    <row r="852">
      <c r="A852" s="1" t="n"/>
      <c r="B852" s="24" t="n"/>
      <c r="C852" s="22" t="n"/>
      <c r="D852" s="23" t="n"/>
      <c r="E852" s="23" t="n"/>
      <c r="F852" s="32" t="n"/>
      <c r="G852" s="1" t="n"/>
    </row>
    <row r="853">
      <c r="A853" s="1" t="n"/>
      <c r="B853" s="24" t="n"/>
      <c r="C853" s="22" t="n"/>
      <c r="D853" s="23" t="n"/>
      <c r="E853" s="23" t="n"/>
      <c r="F853" s="32" t="n"/>
      <c r="G853" s="1" t="n"/>
    </row>
    <row r="854">
      <c r="A854" s="1" t="n"/>
      <c r="B854" s="24" t="n"/>
      <c r="C854" s="22" t="n"/>
      <c r="D854" s="23" t="n"/>
      <c r="E854" s="23" t="n"/>
      <c r="F854" s="32" t="n"/>
      <c r="G854" s="1" t="n"/>
    </row>
    <row r="855">
      <c r="A855" s="1" t="n"/>
      <c r="B855" s="24" t="n"/>
      <c r="C855" s="22" t="n"/>
      <c r="D855" s="23" t="n"/>
      <c r="E855" s="23" t="n"/>
      <c r="F855" s="32" t="n"/>
      <c r="G855" s="1" t="n"/>
    </row>
    <row r="856">
      <c r="A856" s="1" t="n"/>
      <c r="B856" s="24" t="n"/>
      <c r="C856" s="22" t="n"/>
      <c r="D856" s="23" t="n"/>
      <c r="E856" s="23" t="n"/>
      <c r="F856" s="32" t="n"/>
      <c r="G856" s="1" t="n"/>
    </row>
    <row r="857">
      <c r="A857" s="1" t="n"/>
      <c r="B857" s="24" t="n"/>
      <c r="C857" s="22" t="n"/>
      <c r="D857" s="23" t="n"/>
      <c r="E857" s="23" t="n"/>
      <c r="F857" s="32" t="n"/>
      <c r="G857" s="1" t="n"/>
    </row>
    <row r="858">
      <c r="A858" s="1" t="n"/>
      <c r="B858" s="24" t="n"/>
      <c r="C858" s="22" t="n"/>
      <c r="D858" s="23" t="n"/>
      <c r="E858" s="23" t="n"/>
      <c r="F858" s="32" t="n"/>
      <c r="G858" s="1" t="n"/>
    </row>
    <row r="859">
      <c r="A859" s="1" t="n"/>
      <c r="B859" s="24" t="n"/>
      <c r="C859" s="22" t="n"/>
      <c r="D859" s="23" t="n"/>
      <c r="E859" s="23" t="n"/>
      <c r="F859" s="32" t="n"/>
      <c r="G859" s="1" t="n"/>
    </row>
    <row r="860">
      <c r="A860" s="1" t="n"/>
      <c r="B860" s="24" t="n"/>
      <c r="C860" s="22" t="n"/>
      <c r="D860" s="23" t="n"/>
      <c r="E860" s="23" t="n"/>
      <c r="F860" s="32" t="n"/>
      <c r="G860" s="1" t="n"/>
    </row>
    <row r="861">
      <c r="A861" s="1" t="n"/>
      <c r="B861" s="24" t="n"/>
      <c r="C861" s="22" t="n"/>
      <c r="D861" s="23" t="n"/>
      <c r="E861" s="23" t="n"/>
      <c r="F861" s="32" t="n"/>
      <c r="G861" s="1" t="n"/>
    </row>
    <row r="862">
      <c r="A862" s="1" t="n"/>
      <c r="B862" s="24" t="n"/>
      <c r="C862" s="22" t="n"/>
      <c r="D862" s="23" t="n"/>
      <c r="E862" s="23" t="n"/>
      <c r="F862" s="32" t="n"/>
      <c r="G862" s="1" t="n"/>
    </row>
    <row r="863">
      <c r="A863" s="1" t="n"/>
      <c r="B863" s="24" t="n"/>
      <c r="C863" s="22" t="n"/>
      <c r="D863" s="23" t="n"/>
      <c r="E863" s="23" t="n"/>
      <c r="F863" s="32" t="n"/>
      <c r="G863" s="1" t="n"/>
    </row>
    <row r="864">
      <c r="A864" s="1" t="n"/>
      <c r="B864" s="24" t="n"/>
      <c r="C864" s="22" t="n"/>
      <c r="D864" s="23" t="n"/>
      <c r="E864" s="23" t="n"/>
      <c r="F864" s="32" t="n"/>
      <c r="G864" s="1" t="n"/>
    </row>
    <row r="865">
      <c r="A865" s="1" t="n"/>
      <c r="B865" s="24" t="n"/>
      <c r="C865" s="22" t="n"/>
      <c r="D865" s="23" t="n"/>
      <c r="E865" s="23" t="n"/>
      <c r="F865" s="32" t="n"/>
      <c r="G865" s="1" t="n"/>
    </row>
    <row r="866">
      <c r="A866" s="1" t="n"/>
      <c r="B866" s="24" t="n"/>
      <c r="C866" s="22" t="n"/>
      <c r="D866" s="23" t="n"/>
      <c r="E866" s="23" t="n"/>
      <c r="F866" s="32" t="n"/>
      <c r="G866" s="1" t="n"/>
    </row>
    <row r="867">
      <c r="A867" s="1" t="n"/>
      <c r="B867" s="24" t="n"/>
      <c r="C867" s="22" t="n"/>
      <c r="D867" s="23" t="n"/>
      <c r="E867" s="23" t="n"/>
      <c r="F867" s="32" t="n"/>
      <c r="G867" s="1" t="n"/>
    </row>
    <row r="868">
      <c r="A868" s="1" t="n"/>
      <c r="B868" s="24" t="n"/>
      <c r="C868" s="22" t="n"/>
      <c r="D868" s="23" t="n"/>
      <c r="E868" s="23" t="n"/>
      <c r="F868" s="32" t="n"/>
      <c r="G868" s="1" t="n"/>
    </row>
    <row r="869">
      <c r="A869" s="1" t="n"/>
      <c r="B869" s="24" t="n"/>
      <c r="C869" s="22" t="n"/>
      <c r="D869" s="23" t="n"/>
      <c r="E869" s="23" t="n"/>
      <c r="F869" s="32" t="n"/>
      <c r="G869" s="1" t="n"/>
    </row>
    <row r="870">
      <c r="A870" s="1" t="n"/>
      <c r="B870" s="24" t="n"/>
      <c r="C870" s="22" t="n"/>
      <c r="D870" s="23" t="n"/>
      <c r="E870" s="23" t="n"/>
      <c r="F870" s="32" t="n"/>
      <c r="G870" s="1" t="n"/>
    </row>
    <row r="871">
      <c r="A871" s="1" t="n"/>
      <c r="B871" s="24" t="n"/>
      <c r="C871" s="22" t="n"/>
      <c r="D871" s="23" t="n"/>
      <c r="E871" s="23" t="n"/>
      <c r="F871" s="32" t="n"/>
      <c r="G871" s="1" t="n"/>
    </row>
    <row r="872">
      <c r="A872" s="1" t="n"/>
      <c r="B872" s="24" t="n"/>
      <c r="C872" s="22" t="n"/>
      <c r="D872" s="23" t="n"/>
      <c r="E872" s="23" t="n"/>
      <c r="F872" s="32" t="n"/>
      <c r="G872" s="1" t="n"/>
    </row>
    <row r="873">
      <c r="A873" s="1" t="n"/>
      <c r="B873" s="24" t="n"/>
      <c r="C873" s="22" t="n"/>
      <c r="D873" s="23" t="n"/>
      <c r="E873" s="23" t="n"/>
      <c r="F873" s="32" t="n"/>
      <c r="G873" s="1" t="n"/>
    </row>
    <row r="874">
      <c r="A874" s="1" t="n"/>
      <c r="B874" s="24" t="n"/>
      <c r="C874" s="22" t="n"/>
      <c r="D874" s="23" t="n"/>
      <c r="E874" s="23" t="n"/>
      <c r="F874" s="32" t="n"/>
      <c r="G874" s="1" t="n"/>
    </row>
    <row r="875">
      <c r="A875" s="1" t="n"/>
      <c r="B875" s="24" t="n"/>
      <c r="C875" s="22" t="n"/>
      <c r="D875" s="23" t="n"/>
      <c r="E875" s="23" t="n"/>
      <c r="F875" s="32" t="n"/>
      <c r="G875" s="1" t="n"/>
    </row>
    <row r="876">
      <c r="A876" s="1" t="n"/>
      <c r="B876" s="24" t="n"/>
      <c r="C876" s="22" t="n"/>
      <c r="D876" s="23" t="n"/>
      <c r="E876" s="23" t="n"/>
      <c r="F876" s="32" t="n"/>
      <c r="G876" s="1" t="n"/>
    </row>
    <row r="877">
      <c r="A877" s="1" t="n"/>
      <c r="B877" s="24" t="n"/>
      <c r="C877" s="22" t="n"/>
      <c r="D877" s="23" t="n"/>
      <c r="E877" s="23" t="n"/>
      <c r="F877" s="32" t="n"/>
      <c r="G877" s="1" t="n"/>
    </row>
    <row r="878">
      <c r="A878" s="1" t="n"/>
      <c r="B878" s="24" t="n"/>
      <c r="C878" s="22" t="n"/>
      <c r="D878" s="23" t="n"/>
      <c r="E878" s="23" t="n"/>
      <c r="F878" s="32" t="n"/>
      <c r="G878" s="1" t="n"/>
    </row>
    <row r="879">
      <c r="A879" s="1" t="n"/>
      <c r="B879" s="24" t="n"/>
      <c r="C879" s="22" t="n"/>
      <c r="D879" s="23" t="n"/>
      <c r="E879" s="23" t="n"/>
      <c r="F879" s="32" t="n"/>
      <c r="G879" s="1" t="n"/>
    </row>
    <row r="880">
      <c r="A880" s="1" t="n"/>
      <c r="B880" s="24" t="n"/>
      <c r="C880" s="22" t="n"/>
      <c r="D880" s="23" t="n"/>
      <c r="E880" s="23" t="n"/>
      <c r="F880" s="32" t="n"/>
      <c r="G880" s="1" t="n"/>
    </row>
    <row r="881">
      <c r="A881" s="1" t="n"/>
      <c r="B881" s="24" t="n"/>
      <c r="C881" s="22" t="n"/>
      <c r="D881" s="23" t="n"/>
      <c r="E881" s="23" t="n"/>
      <c r="F881" s="32" t="n"/>
      <c r="G881" s="1" t="n"/>
    </row>
    <row r="882">
      <c r="A882" s="1" t="n"/>
      <c r="B882" s="24" t="n"/>
      <c r="C882" s="22" t="n"/>
      <c r="D882" s="23" t="n"/>
      <c r="E882" s="23" t="n"/>
      <c r="F882" s="32" t="n"/>
      <c r="G882" s="1" t="n"/>
    </row>
    <row r="883">
      <c r="A883" s="1" t="n"/>
      <c r="B883" s="24" t="n"/>
      <c r="C883" s="22" t="n"/>
      <c r="D883" s="23" t="n"/>
      <c r="E883" s="23" t="n"/>
      <c r="F883" s="32" t="n"/>
      <c r="G883" s="1" t="n"/>
    </row>
    <row r="884">
      <c r="A884" s="1" t="n"/>
      <c r="B884" s="24" t="n"/>
      <c r="C884" s="22" t="n"/>
      <c r="D884" s="23" t="n"/>
      <c r="E884" s="23" t="n"/>
      <c r="F884" s="32" t="n"/>
      <c r="G884" s="1" t="n"/>
    </row>
    <row r="885">
      <c r="A885" s="1" t="n"/>
      <c r="B885" s="24" t="n"/>
      <c r="C885" s="22" t="n"/>
      <c r="D885" s="23" t="n"/>
      <c r="E885" s="23" t="n"/>
      <c r="F885" s="32" t="n"/>
      <c r="G885" s="1" t="n"/>
    </row>
    <row r="886">
      <c r="A886" s="1" t="n"/>
      <c r="B886" s="24" t="n"/>
      <c r="C886" s="22" t="n"/>
      <c r="D886" s="23" t="n"/>
      <c r="E886" s="23" t="n"/>
      <c r="F886" s="32" t="n"/>
      <c r="G886" s="1" t="n"/>
    </row>
    <row r="887">
      <c r="A887" s="1" t="n"/>
      <c r="B887" s="24" t="n"/>
      <c r="C887" s="22" t="n"/>
      <c r="D887" s="23" t="n"/>
      <c r="E887" s="23" t="n"/>
      <c r="F887" s="32" t="n"/>
      <c r="G887" s="1" t="n"/>
    </row>
    <row r="888">
      <c r="A888" s="1" t="n"/>
      <c r="B888" s="24" t="n"/>
      <c r="C888" s="22" t="n"/>
      <c r="D888" s="23" t="n"/>
      <c r="E888" s="23" t="n"/>
      <c r="F888" s="32" t="n"/>
      <c r="G888" s="1" t="n"/>
    </row>
    <row r="889">
      <c r="A889" s="1" t="n"/>
      <c r="B889" s="24" t="n"/>
      <c r="C889" s="22" t="n"/>
      <c r="D889" s="23" t="n"/>
      <c r="E889" s="23" t="n"/>
      <c r="F889" s="32" t="n"/>
      <c r="G889" s="1" t="n"/>
    </row>
    <row r="890">
      <c r="A890" s="1" t="n"/>
      <c r="B890" s="24" t="n"/>
      <c r="C890" s="22" t="n"/>
      <c r="D890" s="23" t="n"/>
      <c r="E890" s="23" t="n"/>
      <c r="F890" s="32" t="n"/>
      <c r="G890" s="1" t="n"/>
    </row>
    <row r="891">
      <c r="A891" s="1" t="n"/>
      <c r="B891" s="24" t="n"/>
      <c r="C891" s="22" t="n"/>
      <c r="D891" s="23" t="n"/>
      <c r="E891" s="23" t="n"/>
      <c r="F891" s="32" t="n"/>
      <c r="G891" s="1" t="n"/>
    </row>
    <row r="892">
      <c r="A892" s="1" t="n"/>
      <c r="B892" s="24" t="n"/>
      <c r="C892" s="22" t="n"/>
      <c r="D892" s="23" t="n"/>
      <c r="E892" s="23" t="n"/>
      <c r="F892" s="32" t="n"/>
      <c r="G892" s="1" t="n"/>
    </row>
    <row r="893">
      <c r="A893" s="1" t="n"/>
      <c r="B893" s="24" t="n"/>
      <c r="C893" s="22" t="n"/>
      <c r="D893" s="23" t="n"/>
      <c r="E893" s="23" t="n"/>
      <c r="F893" s="32" t="n"/>
      <c r="G893" s="1" t="n"/>
    </row>
    <row r="894">
      <c r="A894" s="1" t="n"/>
      <c r="B894" s="24" t="n"/>
      <c r="C894" s="22" t="n"/>
      <c r="D894" s="23" t="n"/>
      <c r="E894" s="23" t="n"/>
      <c r="F894" s="32" t="n"/>
      <c r="G894" s="1" t="n"/>
    </row>
    <row r="895">
      <c r="A895" s="1" t="n"/>
      <c r="B895" s="24" t="n"/>
      <c r="C895" s="22" t="n"/>
      <c r="D895" s="23" t="n"/>
      <c r="E895" s="23" t="n"/>
      <c r="F895" s="32" t="n"/>
      <c r="G895" s="1" t="n"/>
    </row>
    <row r="896">
      <c r="A896" s="1" t="n"/>
      <c r="B896" s="24" t="n"/>
      <c r="C896" s="22" t="n"/>
      <c r="D896" s="23" t="n"/>
      <c r="E896" s="23" t="n"/>
      <c r="F896" s="32" t="n"/>
      <c r="G896" s="1" t="n"/>
    </row>
    <row r="897">
      <c r="A897" s="1" t="n"/>
      <c r="B897" s="24" t="n"/>
      <c r="C897" s="22" t="n"/>
      <c r="D897" s="23" t="n"/>
      <c r="E897" s="23" t="n"/>
      <c r="F897" s="32" t="n"/>
      <c r="G897" s="1" t="n"/>
    </row>
    <row r="898">
      <c r="A898" s="1" t="n"/>
      <c r="B898" s="24" t="n"/>
      <c r="C898" s="22" t="n"/>
      <c r="D898" s="23" t="n"/>
      <c r="E898" s="23" t="n"/>
      <c r="F898" s="32" t="n"/>
      <c r="G898" s="1" t="n"/>
    </row>
    <row r="899">
      <c r="A899" s="1" t="n"/>
      <c r="B899" s="24" t="n"/>
      <c r="C899" s="22" t="n"/>
      <c r="D899" s="23" t="n"/>
      <c r="E899" s="23" t="n"/>
      <c r="F899" s="32" t="n"/>
      <c r="G899" s="1" t="n"/>
    </row>
    <row r="900">
      <c r="A900" s="1" t="n"/>
      <c r="B900" s="24" t="n"/>
      <c r="C900" s="22" t="n"/>
      <c r="D900" s="23" t="n"/>
      <c r="E900" s="23" t="n"/>
      <c r="F900" s="32" t="n"/>
      <c r="G900" s="1" t="n"/>
    </row>
    <row r="901">
      <c r="A901" s="1" t="n"/>
      <c r="B901" s="24" t="n"/>
      <c r="C901" s="22" t="n"/>
      <c r="D901" s="23" t="n"/>
      <c r="E901" s="23" t="n"/>
      <c r="F901" s="32" t="n"/>
      <c r="G901" s="1" t="n"/>
    </row>
    <row r="902">
      <c r="A902" s="1" t="n"/>
      <c r="B902" s="24" t="n"/>
      <c r="C902" s="22" t="n"/>
      <c r="D902" s="23" t="n"/>
      <c r="E902" s="23" t="n"/>
      <c r="F902" s="32" t="n"/>
      <c r="G902" s="1" t="n"/>
    </row>
    <row r="903">
      <c r="A903" s="1" t="n"/>
      <c r="B903" s="24" t="n"/>
      <c r="C903" s="22" t="n"/>
      <c r="D903" s="23" t="n"/>
      <c r="E903" s="23" t="n"/>
      <c r="F903" s="32" t="n"/>
      <c r="G903" s="1" t="n"/>
    </row>
    <row r="904">
      <c r="A904" s="1" t="n"/>
      <c r="B904" s="24" t="n"/>
      <c r="C904" s="22" t="n"/>
      <c r="D904" s="23" t="n"/>
      <c r="E904" s="23" t="n"/>
      <c r="F904" s="32" t="n"/>
      <c r="G904" s="1" t="n"/>
    </row>
    <row r="905">
      <c r="A905" s="1" t="n"/>
      <c r="B905" s="24" t="n"/>
      <c r="C905" s="22" t="n"/>
      <c r="D905" s="23" t="n"/>
      <c r="E905" s="23" t="n"/>
      <c r="F905" s="32" t="n"/>
      <c r="G905" s="1" t="n"/>
    </row>
    <row r="906">
      <c r="A906" s="1" t="n"/>
      <c r="B906" s="24" t="n"/>
      <c r="C906" s="22" t="n"/>
      <c r="D906" s="23" t="n"/>
      <c r="E906" s="23" t="n"/>
      <c r="F906" s="32" t="n"/>
      <c r="G906" s="1" t="n"/>
    </row>
    <row r="907">
      <c r="A907" s="1" t="n"/>
      <c r="B907" s="24" t="n"/>
      <c r="C907" s="22" t="n"/>
      <c r="D907" s="23" t="n"/>
      <c r="E907" s="23" t="n"/>
      <c r="F907" s="32" t="n"/>
      <c r="G907" s="1" t="n"/>
    </row>
    <row r="908">
      <c r="A908" s="1" t="n"/>
      <c r="B908" s="24" t="n"/>
      <c r="C908" s="22" t="n"/>
      <c r="D908" s="23" t="n"/>
      <c r="E908" s="23" t="n"/>
      <c r="F908" s="32" t="n"/>
      <c r="G908" s="1" t="n"/>
    </row>
    <row r="909">
      <c r="A909" s="1" t="n"/>
      <c r="B909" s="24" t="n"/>
      <c r="C909" s="22" t="n"/>
      <c r="D909" s="23" t="n"/>
      <c r="E909" s="23" t="n"/>
      <c r="F909" s="32" t="n"/>
      <c r="G909" s="1" t="n"/>
    </row>
    <row r="910">
      <c r="A910" s="1" t="n"/>
      <c r="B910" s="24" t="n"/>
      <c r="C910" s="22" t="n"/>
      <c r="D910" s="23" t="n"/>
      <c r="E910" s="23" t="n"/>
      <c r="F910" s="32" t="n"/>
      <c r="G910" s="1" t="n"/>
    </row>
    <row r="911">
      <c r="A911" s="1" t="n"/>
      <c r="B911" s="24" t="n"/>
      <c r="C911" s="22" t="n"/>
      <c r="D911" s="23" t="n"/>
      <c r="E911" s="23" t="n"/>
      <c r="F911" s="32" t="n"/>
      <c r="G911" s="1" t="n"/>
    </row>
    <row r="912">
      <c r="A912" s="1" t="n"/>
      <c r="B912" s="24" t="n"/>
      <c r="C912" s="22" t="n"/>
      <c r="D912" s="23" t="n"/>
      <c r="E912" s="23" t="n"/>
      <c r="F912" s="32" t="n"/>
      <c r="G912" s="1" t="n"/>
    </row>
    <row r="913">
      <c r="A913" s="1" t="n"/>
      <c r="B913" s="24" t="n"/>
      <c r="C913" s="22" t="n"/>
      <c r="D913" s="23" t="n"/>
      <c r="E913" s="23" t="n"/>
      <c r="F913" s="32" t="n"/>
      <c r="G913" s="1" t="n"/>
    </row>
    <row r="914">
      <c r="A914" s="1" t="n"/>
      <c r="B914" s="24" t="n"/>
      <c r="C914" s="22" t="n"/>
      <c r="D914" s="23" t="n"/>
      <c r="E914" s="23" t="n"/>
      <c r="F914" s="32" t="n"/>
      <c r="G914" s="1" t="n"/>
    </row>
    <row r="915">
      <c r="A915" s="1" t="n"/>
      <c r="B915" s="24" t="n"/>
      <c r="C915" s="22" t="n"/>
      <c r="D915" s="23" t="n"/>
      <c r="E915" s="23" t="n"/>
      <c r="F915" s="32" t="n"/>
      <c r="G915" s="1" t="n"/>
    </row>
    <row r="916">
      <c r="A916" s="1" t="n"/>
      <c r="B916" s="24" t="n"/>
      <c r="C916" s="22" t="n"/>
      <c r="D916" s="23" t="n"/>
      <c r="E916" s="23" t="n"/>
      <c r="F916" s="32" t="n"/>
      <c r="G916" s="1" t="n"/>
    </row>
    <row r="917">
      <c r="A917" s="1" t="n"/>
      <c r="B917" s="24" t="n"/>
      <c r="C917" s="22" t="n"/>
      <c r="D917" s="23" t="n"/>
      <c r="E917" s="23" t="n"/>
      <c r="F917" s="32" t="n"/>
      <c r="G917" s="1" t="n"/>
    </row>
    <row r="918">
      <c r="A918" s="1" t="n"/>
      <c r="B918" s="24" t="n"/>
      <c r="C918" s="22" t="n"/>
      <c r="D918" s="23" t="n"/>
      <c r="E918" s="23" t="n"/>
      <c r="F918" s="32" t="n"/>
      <c r="G918" s="1" t="n"/>
    </row>
    <row r="919">
      <c r="A919" s="1" t="n"/>
      <c r="B919" s="24" t="n"/>
      <c r="C919" s="22" t="n"/>
      <c r="D919" s="23" t="n"/>
      <c r="E919" s="23" t="n"/>
      <c r="F919" s="32" t="n"/>
      <c r="G919" s="1" t="n"/>
    </row>
    <row r="920">
      <c r="A920" s="1" t="n"/>
      <c r="B920" s="24" t="n"/>
      <c r="C920" s="22" t="n"/>
      <c r="D920" s="23" t="n"/>
      <c r="E920" s="23" t="n"/>
      <c r="F920" s="32" t="n"/>
      <c r="G920" s="1" t="n"/>
    </row>
    <row r="921">
      <c r="A921" s="1" t="n"/>
      <c r="B921" s="24" t="n"/>
      <c r="C921" s="22" t="n"/>
      <c r="D921" s="23" t="n"/>
      <c r="E921" s="23" t="n"/>
      <c r="F921" s="32" t="n"/>
      <c r="G921" s="1" t="n"/>
    </row>
    <row r="922">
      <c r="A922" s="1" t="n"/>
      <c r="B922" s="24" t="n"/>
      <c r="C922" s="22" t="n"/>
      <c r="D922" s="23" t="n"/>
      <c r="E922" s="23" t="n"/>
      <c r="F922" s="32" t="n"/>
      <c r="G922" s="1" t="n"/>
    </row>
    <row r="923">
      <c r="A923" s="1" t="n"/>
      <c r="B923" s="24" t="n"/>
      <c r="C923" s="22" t="n"/>
      <c r="D923" s="23" t="n"/>
      <c r="E923" s="23" t="n"/>
      <c r="F923" s="32" t="n"/>
      <c r="G923" s="1" t="n"/>
    </row>
    <row r="924">
      <c r="A924" s="1" t="n"/>
      <c r="B924" s="24" t="n"/>
      <c r="C924" s="22" t="n"/>
      <c r="D924" s="23" t="n"/>
      <c r="E924" s="23" t="n"/>
      <c r="F924" s="32" t="n"/>
      <c r="G924" s="1" t="n"/>
    </row>
    <row r="925">
      <c r="A925" s="1" t="n"/>
      <c r="B925" s="24" t="n"/>
      <c r="C925" s="22" t="n"/>
      <c r="D925" s="23" t="n"/>
      <c r="E925" s="23" t="n"/>
      <c r="F925" s="32" t="n"/>
      <c r="G925" s="1" t="n"/>
    </row>
    <row r="926">
      <c r="A926" s="1" t="n"/>
      <c r="B926" s="24" t="n"/>
      <c r="C926" s="22" t="n"/>
      <c r="D926" s="23" t="n"/>
      <c r="E926" s="23" t="n"/>
      <c r="F926" s="32" t="n"/>
      <c r="G926" s="1" t="n"/>
    </row>
    <row r="927">
      <c r="A927" s="1" t="n"/>
      <c r="B927" s="24" t="n"/>
      <c r="C927" s="22" t="n"/>
      <c r="D927" s="23" t="n"/>
      <c r="E927" s="23" t="n"/>
      <c r="F927" s="32" t="n"/>
      <c r="G927" s="1" t="n"/>
    </row>
    <row r="928">
      <c r="A928" s="1" t="n"/>
      <c r="B928" s="24" t="n"/>
      <c r="C928" s="22" t="n"/>
      <c r="D928" s="23" t="n"/>
      <c r="E928" s="23" t="n"/>
      <c r="F928" s="32" t="n"/>
      <c r="G928" s="1" t="n"/>
    </row>
    <row r="929">
      <c r="A929" s="1" t="n"/>
      <c r="B929" s="24" t="n"/>
      <c r="C929" s="22" t="n"/>
      <c r="D929" s="23" t="n"/>
      <c r="E929" s="23" t="n"/>
      <c r="F929" s="32" t="n"/>
      <c r="G929" s="1" t="n"/>
    </row>
    <row r="930">
      <c r="A930" s="1" t="n"/>
      <c r="B930" s="24" t="n"/>
      <c r="C930" s="22" t="n"/>
      <c r="D930" s="23" t="n"/>
      <c r="E930" s="23" t="n"/>
      <c r="F930" s="32" t="n"/>
      <c r="G930" s="1" t="n"/>
    </row>
    <row r="931">
      <c r="A931" s="1" t="n"/>
      <c r="B931" s="24" t="n"/>
      <c r="C931" s="22" t="n"/>
      <c r="D931" s="23" t="n"/>
      <c r="E931" s="23" t="n"/>
      <c r="F931" s="32" t="n"/>
      <c r="G931" s="1" t="n"/>
    </row>
    <row r="932">
      <c r="A932" s="1" t="n"/>
      <c r="B932" s="24" t="n"/>
      <c r="C932" s="22" t="n"/>
      <c r="D932" s="23" t="n"/>
      <c r="E932" s="23" t="n"/>
      <c r="F932" s="32" t="n"/>
      <c r="G932" s="1" t="n"/>
    </row>
    <row r="933">
      <c r="A933" s="1" t="n"/>
      <c r="B933" s="24" t="n"/>
      <c r="C933" s="22" t="n"/>
      <c r="D933" s="23" t="n"/>
      <c r="E933" s="23" t="n"/>
      <c r="F933" s="32" t="n"/>
      <c r="G933" s="1" t="n"/>
    </row>
    <row r="934">
      <c r="A934" s="1" t="n"/>
      <c r="B934" s="24" t="n"/>
      <c r="C934" s="22" t="n"/>
      <c r="D934" s="23" t="n"/>
      <c r="E934" s="23" t="n"/>
      <c r="F934" s="32" t="n"/>
      <c r="G934" s="1" t="n"/>
    </row>
    <row r="935">
      <c r="A935" s="1" t="n"/>
      <c r="B935" s="24" t="n"/>
      <c r="C935" s="22" t="n"/>
      <c r="D935" s="23" t="n"/>
      <c r="E935" s="23" t="n"/>
      <c r="F935" s="32" t="n"/>
      <c r="G935" s="1" t="n"/>
    </row>
    <row r="936">
      <c r="A936" s="1" t="n"/>
      <c r="B936" s="24" t="n"/>
      <c r="C936" s="22" t="n"/>
      <c r="D936" s="23" t="n"/>
      <c r="E936" s="23" t="n"/>
      <c r="F936" s="32" t="n"/>
      <c r="G936" s="1" t="n"/>
    </row>
    <row r="937">
      <c r="A937" s="1" t="n"/>
      <c r="B937" s="24" t="n"/>
      <c r="C937" s="22" t="n"/>
      <c r="D937" s="23" t="n"/>
      <c r="E937" s="23" t="n"/>
      <c r="F937" s="32" t="n"/>
      <c r="G937" s="1" t="n"/>
    </row>
    <row r="938">
      <c r="A938" s="1" t="n"/>
      <c r="B938" s="24" t="n"/>
      <c r="C938" s="22" t="n"/>
      <c r="D938" s="23" t="n"/>
      <c r="E938" s="23" t="n"/>
      <c r="F938" s="32" t="n"/>
      <c r="G938" s="1" t="n"/>
    </row>
    <row r="939">
      <c r="A939" s="1" t="n"/>
      <c r="B939" s="24" t="n"/>
      <c r="C939" s="22" t="n"/>
      <c r="D939" s="23" t="n"/>
      <c r="E939" s="23" t="n"/>
      <c r="F939" s="32" t="n"/>
      <c r="G939" s="1" t="n"/>
    </row>
    <row r="940">
      <c r="A940" s="1" t="n"/>
      <c r="B940" s="24" t="n"/>
      <c r="C940" s="22" t="n"/>
      <c r="D940" s="23" t="n"/>
      <c r="E940" s="23" t="n"/>
      <c r="F940" s="32" t="n"/>
      <c r="G940" s="1" t="n"/>
    </row>
    <row r="941">
      <c r="A941" s="1" t="n"/>
      <c r="B941" s="24" t="n"/>
      <c r="C941" s="22" t="n"/>
      <c r="D941" s="23" t="n"/>
      <c r="E941" s="23" t="n"/>
      <c r="F941" s="32" t="n"/>
      <c r="G941" s="1" t="n"/>
    </row>
    <row r="942">
      <c r="A942" s="1" t="n"/>
      <c r="B942" s="24" t="n"/>
      <c r="C942" s="22" t="n"/>
      <c r="D942" s="23" t="n"/>
      <c r="E942" s="23" t="n"/>
      <c r="F942" s="32" t="n"/>
      <c r="G942" s="1" t="n"/>
    </row>
    <row r="943">
      <c r="A943" s="1" t="n"/>
      <c r="B943" s="24" t="n"/>
      <c r="C943" s="22" t="n"/>
      <c r="D943" s="23" t="n"/>
      <c r="E943" s="23" t="n"/>
      <c r="F943" s="32" t="n"/>
      <c r="G943" s="1" t="n"/>
    </row>
    <row r="944">
      <c r="A944" s="1" t="n"/>
      <c r="B944" s="24" t="n"/>
      <c r="C944" s="22" t="n"/>
      <c r="D944" s="23" t="n"/>
      <c r="E944" s="23" t="n"/>
      <c r="F944" s="32" t="n"/>
      <c r="G944" s="1" t="n"/>
    </row>
    <row r="945">
      <c r="A945" s="1" t="n"/>
      <c r="B945" s="24" t="n"/>
      <c r="C945" s="22" t="n"/>
      <c r="D945" s="23" t="n"/>
      <c r="E945" s="23" t="n"/>
      <c r="F945" s="32" t="n"/>
      <c r="G945" s="1" t="n"/>
    </row>
    <row r="946">
      <c r="A946" s="1" t="n"/>
      <c r="B946" s="24" t="n"/>
      <c r="C946" s="22" t="n"/>
      <c r="D946" s="23" t="n"/>
      <c r="E946" s="23" t="n"/>
      <c r="F946" s="32" t="n"/>
      <c r="G946" s="1" t="n"/>
    </row>
    <row r="947">
      <c r="A947" s="1" t="n"/>
      <c r="B947" s="24" t="n"/>
      <c r="C947" s="22" t="n"/>
      <c r="D947" s="23" t="n"/>
      <c r="E947" s="23" t="n"/>
      <c r="F947" s="32" t="n"/>
      <c r="G947" s="1" t="n"/>
    </row>
    <row r="948">
      <c r="A948" s="1" t="n"/>
      <c r="B948" s="24" t="n"/>
      <c r="C948" s="22" t="n"/>
      <c r="D948" s="23" t="n"/>
      <c r="E948" s="23" t="n"/>
      <c r="F948" s="32" t="n"/>
      <c r="G948" s="1" t="n"/>
    </row>
    <row r="949">
      <c r="A949" s="1" t="n"/>
      <c r="B949" s="24" t="n"/>
      <c r="C949" s="22" t="n"/>
      <c r="D949" s="23" t="n"/>
      <c r="E949" s="23" t="n"/>
      <c r="F949" s="32" t="n"/>
      <c r="G949" s="1" t="n"/>
    </row>
    <row r="950">
      <c r="A950" s="1" t="n"/>
      <c r="B950" s="24" t="n"/>
      <c r="C950" s="22" t="n"/>
      <c r="D950" s="23" t="n"/>
      <c r="E950" s="23" t="n"/>
      <c r="F950" s="32" t="n"/>
      <c r="G950" s="1" t="n"/>
    </row>
    <row r="951">
      <c r="A951" s="1" t="n"/>
      <c r="B951" s="24" t="n"/>
      <c r="C951" s="22" t="n"/>
      <c r="D951" s="23" t="n"/>
      <c r="E951" s="23" t="n"/>
      <c r="F951" s="32" t="n"/>
      <c r="G951" s="1" t="n"/>
    </row>
    <row r="952">
      <c r="A952" s="1" t="n"/>
      <c r="B952" s="24" t="n"/>
      <c r="C952" s="22" t="n"/>
      <c r="D952" s="23" t="n"/>
      <c r="E952" s="23" t="n"/>
      <c r="F952" s="32" t="n"/>
      <c r="G952" s="1" t="n"/>
    </row>
    <row r="953">
      <c r="A953" s="1" t="n"/>
      <c r="B953" s="24" t="n"/>
      <c r="C953" s="22" t="n"/>
      <c r="D953" s="23" t="n"/>
      <c r="E953" s="23" t="n"/>
      <c r="F953" s="32" t="n"/>
      <c r="G953" s="1" t="n"/>
    </row>
    <row r="954">
      <c r="A954" s="1" t="n"/>
      <c r="B954" s="24" t="n"/>
      <c r="C954" s="22" t="n"/>
      <c r="D954" s="23" t="n"/>
      <c r="E954" s="23" t="n"/>
      <c r="F954" s="32" t="n"/>
      <c r="G954" s="1" t="n"/>
    </row>
    <row r="955">
      <c r="A955" s="1" t="n"/>
      <c r="B955" s="24" t="n"/>
      <c r="C955" s="22" t="n"/>
      <c r="D955" s="23" t="n"/>
      <c r="E955" s="23" t="n"/>
      <c r="F955" s="32" t="n"/>
      <c r="G955" s="1" t="n"/>
    </row>
    <row r="956">
      <c r="A956" s="1" t="n"/>
      <c r="B956" s="24" t="n"/>
      <c r="C956" s="22" t="n"/>
      <c r="D956" s="23" t="n"/>
      <c r="E956" s="23" t="n"/>
      <c r="F956" s="32" t="n"/>
      <c r="G956" s="1" t="n"/>
    </row>
    <row r="957">
      <c r="A957" s="1" t="n"/>
      <c r="B957" s="24" t="n"/>
      <c r="C957" s="22" t="n"/>
      <c r="D957" s="23" t="n"/>
      <c r="E957" s="23" t="n"/>
      <c r="F957" s="32" t="n"/>
      <c r="G957" s="1" t="n"/>
    </row>
    <row r="958">
      <c r="A958" s="1" t="n"/>
      <c r="B958" s="24" t="n"/>
      <c r="C958" s="22" t="n"/>
      <c r="D958" s="23" t="n"/>
      <c r="E958" s="23" t="n"/>
      <c r="F958" s="32" t="n"/>
      <c r="G958" s="1" t="n"/>
    </row>
    <row r="959">
      <c r="A959" s="1" t="n"/>
      <c r="B959" s="24" t="n"/>
      <c r="C959" s="22" t="n"/>
      <c r="D959" s="23" t="n"/>
      <c r="E959" s="23" t="n"/>
      <c r="F959" s="32" t="n"/>
      <c r="G959" s="1" t="n"/>
    </row>
    <row r="960">
      <c r="A960" s="1" t="n"/>
      <c r="B960" s="24" t="n"/>
      <c r="C960" s="22" t="n"/>
      <c r="D960" s="23" t="n"/>
      <c r="E960" s="23" t="n"/>
      <c r="F960" s="32" t="n"/>
      <c r="G960" s="1" t="n"/>
    </row>
    <row r="961">
      <c r="A961" s="1" t="n"/>
      <c r="B961" s="24" t="n"/>
      <c r="C961" s="22" t="n"/>
      <c r="D961" s="23" t="n"/>
      <c r="E961" s="23" t="n"/>
      <c r="F961" s="32" t="n"/>
      <c r="G961" s="1" t="n"/>
    </row>
    <row r="962">
      <c r="A962" s="1" t="n"/>
      <c r="B962" s="24" t="n"/>
      <c r="C962" s="22" t="n"/>
      <c r="D962" s="23" t="n"/>
      <c r="E962" s="23" t="n"/>
      <c r="F962" s="32" t="n"/>
      <c r="G962" s="1" t="n"/>
    </row>
    <row r="963">
      <c r="A963" s="1" t="n"/>
      <c r="B963" s="24" t="n"/>
      <c r="C963" s="22" t="n"/>
      <c r="D963" s="23" t="n"/>
      <c r="E963" s="23" t="n"/>
      <c r="F963" s="32" t="n"/>
      <c r="G963" s="1" t="n"/>
    </row>
    <row r="964">
      <c r="A964" s="1" t="n"/>
      <c r="B964" s="24" t="n"/>
      <c r="C964" s="22" t="n"/>
      <c r="D964" s="23" t="n"/>
      <c r="E964" s="23" t="n"/>
      <c r="F964" s="32" t="n"/>
      <c r="G964" s="1" t="n"/>
    </row>
    <row r="965">
      <c r="A965" s="1" t="n"/>
      <c r="B965" s="24" t="n"/>
      <c r="C965" s="22" t="n"/>
      <c r="D965" s="23" t="n"/>
      <c r="E965" s="23" t="n"/>
      <c r="F965" s="32" t="n"/>
      <c r="G965" s="1" t="n"/>
    </row>
    <row r="966">
      <c r="A966" s="1" t="n"/>
      <c r="B966" s="24" t="n"/>
      <c r="C966" s="22" t="n"/>
      <c r="D966" s="23" t="n"/>
      <c r="E966" s="23" t="n"/>
      <c r="F966" s="32" t="n"/>
      <c r="G966" s="1" t="n"/>
    </row>
    <row r="967">
      <c r="A967" s="1" t="n"/>
      <c r="B967" s="24" t="n"/>
      <c r="C967" s="22" t="n"/>
      <c r="D967" s="23" t="n"/>
      <c r="E967" s="23" t="n"/>
      <c r="F967" s="32" t="n"/>
      <c r="G967" s="1" t="n"/>
    </row>
    <row r="968">
      <c r="A968" s="1" t="n"/>
      <c r="B968" s="24" t="n"/>
      <c r="C968" s="22" t="n"/>
      <c r="D968" s="23" t="n"/>
      <c r="E968" s="23" t="n"/>
      <c r="F968" s="32" t="n"/>
      <c r="G968" s="1" t="n"/>
    </row>
    <row r="969">
      <c r="A969" s="1" t="n"/>
      <c r="B969" s="24" t="n"/>
      <c r="C969" s="22" t="n"/>
      <c r="D969" s="23" t="n"/>
      <c r="E969" s="23" t="n"/>
      <c r="F969" s="32" t="n"/>
      <c r="G969" s="1" t="n"/>
    </row>
    <row r="970">
      <c r="A970" s="1" t="n"/>
      <c r="B970" s="24" t="n"/>
      <c r="C970" s="22" t="n"/>
      <c r="D970" s="23" t="n"/>
      <c r="E970" s="23" t="n"/>
      <c r="F970" s="32" t="n"/>
      <c r="G970" s="1" t="n"/>
    </row>
    <row r="971">
      <c r="A971" s="1" t="n"/>
      <c r="B971" s="24" t="n"/>
      <c r="C971" s="22" t="n"/>
      <c r="D971" s="23" t="n"/>
      <c r="E971" s="23" t="n"/>
      <c r="F971" s="32" t="n"/>
      <c r="G971" s="1" t="n"/>
    </row>
    <row r="972">
      <c r="A972" s="1" t="n"/>
      <c r="B972" s="24" t="n"/>
      <c r="C972" s="22" t="n"/>
      <c r="D972" s="23" t="n"/>
      <c r="E972" s="23" t="n"/>
      <c r="F972" s="32" t="n"/>
      <c r="G972" s="1" t="n"/>
    </row>
    <row r="973">
      <c r="A973" s="1" t="n"/>
      <c r="B973" s="24" t="n"/>
      <c r="C973" s="22" t="n"/>
      <c r="D973" s="23" t="n"/>
      <c r="E973" s="23" t="n"/>
      <c r="F973" s="32" t="n"/>
      <c r="G973" s="1" t="n"/>
    </row>
    <row r="974">
      <c r="A974" s="1" t="n"/>
      <c r="B974" s="24" t="n"/>
      <c r="C974" s="22" t="n"/>
      <c r="D974" s="23" t="n"/>
      <c r="E974" s="23" t="n"/>
      <c r="F974" s="32" t="n"/>
      <c r="G974" s="1" t="n"/>
    </row>
    <row r="975">
      <c r="A975" s="1" t="n"/>
      <c r="B975" s="24" t="n"/>
      <c r="C975" s="22" t="n"/>
      <c r="D975" s="23" t="n"/>
      <c r="E975" s="23" t="n"/>
      <c r="F975" s="32" t="n"/>
      <c r="G975" s="1" t="n"/>
    </row>
    <row r="976">
      <c r="A976" s="1" t="n"/>
      <c r="B976" s="24" t="n"/>
      <c r="C976" s="22" t="n"/>
      <c r="D976" s="23" t="n"/>
      <c r="E976" s="23" t="n"/>
      <c r="F976" s="32" t="n"/>
      <c r="G976" s="1" t="n"/>
    </row>
    <row r="977">
      <c r="A977" s="1" t="n"/>
      <c r="B977" s="24" t="n"/>
      <c r="C977" s="22" t="n"/>
      <c r="D977" s="23" t="n"/>
      <c r="E977" s="23" t="n"/>
      <c r="F977" s="32" t="n"/>
      <c r="G977" s="1" t="n"/>
    </row>
    <row r="978">
      <c r="A978" s="1" t="n"/>
      <c r="B978" s="24" t="n"/>
      <c r="C978" s="22" t="n"/>
      <c r="D978" s="23" t="n"/>
      <c r="E978" s="23" t="n"/>
      <c r="F978" s="32" t="n"/>
      <c r="G978" s="1" t="n"/>
    </row>
    <row r="979">
      <c r="A979" s="1" t="n"/>
      <c r="B979" s="24" t="n"/>
      <c r="C979" s="22" t="n"/>
      <c r="D979" s="23" t="n"/>
      <c r="E979" s="23" t="n"/>
      <c r="F979" s="32" t="n"/>
      <c r="G979" s="1" t="n"/>
    </row>
    <row r="980">
      <c r="A980" s="1" t="n"/>
      <c r="B980" s="24" t="n"/>
      <c r="C980" s="22" t="n"/>
      <c r="D980" s="23" t="n"/>
      <c r="E980" s="23" t="n"/>
      <c r="F980" s="32" t="n"/>
      <c r="G980" s="1" t="n"/>
    </row>
    <row r="981">
      <c r="A981" s="1" t="n"/>
      <c r="B981" s="24" t="n"/>
      <c r="C981" s="22" t="n"/>
      <c r="D981" s="23" t="n"/>
      <c r="E981" s="23" t="n"/>
      <c r="F981" s="32" t="n"/>
      <c r="G981" s="1" t="n"/>
    </row>
    <row r="982">
      <c r="A982" s="1" t="n"/>
      <c r="B982" s="24" t="n"/>
      <c r="C982" s="22" t="n"/>
      <c r="D982" s="23" t="n"/>
      <c r="E982" s="23" t="n"/>
      <c r="F982" s="32" t="n"/>
      <c r="G982" s="1" t="n"/>
    </row>
    <row r="983">
      <c r="A983" s="1" t="n"/>
      <c r="B983" s="24" t="n"/>
      <c r="C983" s="22" t="n"/>
      <c r="D983" s="23" t="n"/>
      <c r="E983" s="23" t="n"/>
      <c r="F983" s="32" t="n"/>
      <c r="G983" s="1" t="n"/>
    </row>
    <row r="984">
      <c r="A984" s="1" t="n"/>
      <c r="B984" s="24" t="n"/>
      <c r="C984" s="22" t="n"/>
      <c r="D984" s="23" t="n"/>
      <c r="E984" s="23" t="n"/>
      <c r="F984" s="32" t="n"/>
      <c r="G984" s="1" t="n"/>
    </row>
    <row r="985">
      <c r="A985" s="1" t="n"/>
      <c r="B985" s="24" t="n"/>
      <c r="C985" s="22" t="n"/>
      <c r="D985" s="23" t="n"/>
      <c r="E985" s="23" t="n"/>
      <c r="F985" s="32" t="n"/>
      <c r="G985" s="1" t="n"/>
    </row>
    <row r="986">
      <c r="A986" s="1" t="n"/>
      <c r="B986" s="24" t="n"/>
      <c r="C986" s="22" t="n"/>
      <c r="D986" s="23" t="n"/>
      <c r="E986" s="23" t="n"/>
      <c r="F986" s="32" t="n"/>
      <c r="G986" s="1" t="n"/>
    </row>
    <row r="987">
      <c r="A987" s="1" t="n"/>
      <c r="B987" s="24" t="n"/>
      <c r="C987" s="22" t="n"/>
      <c r="D987" s="23" t="n"/>
      <c r="E987" s="23" t="n"/>
      <c r="F987" s="32" t="n"/>
      <c r="G987" s="1" t="n"/>
    </row>
    <row r="988">
      <c r="A988" s="1" t="n"/>
      <c r="B988" s="24" t="n"/>
      <c r="C988" s="22" t="n"/>
      <c r="D988" s="23" t="n"/>
      <c r="E988" s="23" t="n"/>
      <c r="F988" s="32" t="n"/>
      <c r="G988" s="1" t="n"/>
    </row>
    <row r="989">
      <c r="A989" s="1" t="n"/>
      <c r="B989" s="24" t="n"/>
      <c r="C989" s="22" t="n"/>
      <c r="D989" s="23" t="n"/>
      <c r="E989" s="23" t="n"/>
      <c r="F989" s="32" t="n"/>
      <c r="G989" s="1" t="n"/>
    </row>
    <row r="990">
      <c r="A990" s="1" t="n"/>
      <c r="B990" s="24" t="n"/>
      <c r="C990" s="22" t="n"/>
      <c r="D990" s="23" t="n"/>
      <c r="E990" s="23" t="n"/>
      <c r="F990" s="32" t="n"/>
      <c r="G990" s="1" t="n"/>
    </row>
    <row r="991">
      <c r="A991" s="1" t="n"/>
      <c r="B991" s="24" t="n"/>
      <c r="C991" s="22" t="n"/>
      <c r="D991" s="23" t="n"/>
      <c r="E991" s="23" t="n"/>
      <c r="F991" s="32" t="n"/>
      <c r="G991" s="1" t="n"/>
    </row>
    <row r="992">
      <c r="A992" s="1" t="n"/>
      <c r="B992" s="24" t="n"/>
      <c r="C992" s="22" t="n"/>
      <c r="D992" s="23" t="n"/>
      <c r="E992" s="23" t="n"/>
      <c r="F992" s="32" t="n"/>
      <c r="G992" s="1" t="n"/>
    </row>
    <row r="993">
      <c r="A993" s="1" t="n"/>
      <c r="B993" s="24" t="n"/>
      <c r="C993" s="22" t="n"/>
      <c r="D993" s="23" t="n"/>
      <c r="E993" s="23" t="n"/>
      <c r="F993" s="32" t="n"/>
      <c r="G993" s="1" t="n"/>
    </row>
    <row r="994">
      <c r="A994" s="1" t="n"/>
      <c r="B994" s="24" t="n"/>
      <c r="C994" s="22" t="n"/>
      <c r="D994" s="23" t="n"/>
      <c r="E994" s="23" t="n"/>
      <c r="F994" s="32" t="n"/>
      <c r="G994" s="1" t="n"/>
    </row>
    <row r="995">
      <c r="A995" s="1" t="n"/>
      <c r="B995" s="24" t="n"/>
      <c r="C995" s="22" t="n"/>
      <c r="D995" s="23" t="n"/>
      <c r="E995" s="23" t="n"/>
      <c r="F995" s="32" t="n"/>
      <c r="G995" s="1" t="n"/>
    </row>
    <row r="996">
      <c r="A996" s="1" t="n"/>
      <c r="B996" s="24" t="n"/>
      <c r="C996" s="22" t="n"/>
      <c r="D996" s="23" t="n"/>
      <c r="E996" s="23" t="n"/>
      <c r="F996" s="32" t="n"/>
      <c r="G996" s="1" t="n"/>
    </row>
    <row r="997">
      <c r="A997" s="1" t="n"/>
      <c r="B997" s="24" t="n"/>
      <c r="C997" s="22" t="n"/>
      <c r="D997" s="23" t="n"/>
      <c r="E997" s="23" t="n"/>
      <c r="F997" s="32" t="n"/>
      <c r="G997" s="1" t="n"/>
    </row>
    <row r="998">
      <c r="A998" s="1" t="n"/>
      <c r="B998" s="24" t="n"/>
      <c r="C998" s="22" t="n"/>
      <c r="D998" s="23" t="n"/>
      <c r="E998" s="23" t="n"/>
      <c r="F998" s="32" t="n"/>
      <c r="G998" s="1" t="n"/>
    </row>
    <row r="999">
      <c r="A999" s="1" t="n"/>
      <c r="B999" s="24" t="n"/>
      <c r="C999" s="22" t="n"/>
      <c r="D999" s="23" t="n"/>
      <c r="E999" s="23" t="n"/>
      <c r="F999" s="32" t="n"/>
      <c r="G999" s="1" t="n"/>
    </row>
    <row r="1000">
      <c r="A1000" s="1" t="n"/>
      <c r="B1000" s="24" t="n"/>
      <c r="C1000" s="22" t="n"/>
      <c r="D1000" s="23" t="n"/>
      <c r="E1000" s="23" t="n"/>
      <c r="F1000" s="32" t="n"/>
      <c r="G1000" s="1" t="n"/>
    </row>
    <row r="1001">
      <c r="A1001" s="1" t="n"/>
      <c r="B1001" s="24" t="n"/>
      <c r="C1001" s="22" t="n"/>
      <c r="D1001" s="23" t="n"/>
      <c r="E1001" s="23" t="n"/>
      <c r="F1001" s="32" t="n"/>
      <c r="G1001" s="1" t="n"/>
    </row>
    <row r="1002">
      <c r="A1002" s="1" t="n"/>
      <c r="B1002" s="24" t="n"/>
      <c r="C1002" s="22" t="n"/>
      <c r="D1002" s="23" t="n"/>
      <c r="E1002" s="23" t="n"/>
      <c r="F1002" s="32" t="n"/>
      <c r="G1002" s="1" t="n"/>
    </row>
    <row r="1003">
      <c r="A1003" s="1" t="n"/>
      <c r="B1003" s="24" t="n"/>
      <c r="C1003" s="22" t="n"/>
      <c r="D1003" s="23" t="n"/>
      <c r="E1003" s="23" t="n"/>
      <c r="F1003" s="32" t="n"/>
      <c r="G1003" s="1" t="n"/>
    </row>
    <row r="1004">
      <c r="A1004" s="1" t="n"/>
      <c r="B1004" s="24" t="n"/>
      <c r="C1004" s="22" t="n"/>
      <c r="D1004" s="23" t="n"/>
      <c r="E1004" s="23" t="n"/>
      <c r="F1004" s="32" t="n"/>
      <c r="G1004" s="1" t="n"/>
    </row>
    <row r="1005">
      <c r="A1005" s="1" t="n"/>
      <c r="B1005" s="24" t="n"/>
      <c r="C1005" s="22" t="n"/>
      <c r="D1005" s="23" t="n"/>
      <c r="E1005" s="23" t="n"/>
      <c r="F1005" s="32" t="n"/>
      <c r="G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</row>
  </sheetData>
  <dataValidations count="1">
    <dataValidation sqref="D6:D1005" showDropDown="0" showInputMessage="0" showErrorMessage="0" allowBlank="1" type="list">
      <formula1>"Food,Vet,Medicine,Insurance,Grooming,Toys,Supplies,Boarding,Other"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7" t="inlineStr">
        <is>
          <t>1</t>
        </is>
      </c>
      <c r="C5" s="38" t="inlineStr">
        <is>
          <t>Pets: each pet once, with its birthday, chip, insurance and vet.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7" t="inlineStr">
        <is>
          <t>2</t>
        </is>
      </c>
      <c r="C7" s="38" t="inlineStr">
        <is>
          <t>Health: vaccines and treatments, how many months apart, and when each was last done.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7" t="inlineStr">
        <is>
          <t>3</t>
        </is>
      </c>
      <c r="C9" s="38" t="inlineStr">
        <is>
          <t>Vet visits and Weight: a line for each visit, booked or past, and each time you weigh a pet.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7" t="inlineStr">
        <is>
          <t>4</t>
        </is>
      </c>
      <c r="C11" s="38" t="inlineStr">
        <is>
          <t>Food: each bag in use, how much a day, and the day you opened it. It says when to buy the next one.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7" t="inlineStr">
        <is>
          <t>5</t>
        </is>
      </c>
      <c r="C13" s="38" t="inlineStr">
        <is>
          <t>Spending: what you buy for them. The Dashboard shows what is due, the food to buy and the costs.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How often a vaccine or treatment is needed depends on your pet and your country: ask your vet.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example pets, vets and shops are made up. Delete them and add your own.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 and any unit.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2026-09-28T16:40:15Z</dcterms:created>
  <dcterms:modified xsi:type="dcterms:W3CDTF">2026-09-28T16:40:16Z</dcterms:modified>
</cp:coreProperties>
</file>