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yments" sheetId="2" state="visible" r:id="rId2"/>
    <sheet name="Bills" sheetId="3" state="visible" r:id="rId3"/>
    <sheet name="Chores" sheetId="4" state="visible" r:id="rId4"/>
    <sheet name="Year" sheetId="5" state="visible" r:id="rId5"/>
    <sheet name="Housemates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 MMM YYYY"/>
    <numFmt numFmtId="165" formatCode="yyyy-mm-dd"/>
    <numFmt numFmtId="166" formatCode="0.##"/>
    <numFmt numFmtId="167" formatCode="#,##0.00;[Red]-#,##0.00"/>
    <numFmt numFmtId="168" formatCode="ddd d mmm"/>
    <numFmt numFmtId="169" formatCode="#,##0.00;;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FFFFFF"/>
      <sz val="10"/>
    </font>
    <font>
      <name val="Arial"/>
      <i val="1"/>
      <color rgb="006B7B80"/>
      <sz val="9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1F6F78"/>
      <sz val="14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5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/>
    </xf>
    <xf numFmtId="1" fontId="3" fillId="3" borderId="1" applyAlignment="1" pivotButton="0" quotePrefix="0" xfId="0">
      <alignment horizontal="center" vertical="center"/>
    </xf>
    <xf numFmtId="0" fontId="9" fillId="2" borderId="1" pivotButton="0" quotePrefix="0" xfId="0"/>
    <xf numFmtId="0" fontId="0" fillId="0" borderId="1" pivotButton="0" quotePrefix="0" xfId="0"/>
    <xf numFmtId="4" fontId="10" fillId="2" borderId="1" applyAlignment="1" pivotButton="0" quotePrefix="0" xfId="0">
      <alignment horizontal="right"/>
    </xf>
    <xf numFmtId="4" fontId="11" fillId="2" borderId="1" applyAlignment="1" pivotButton="0" quotePrefix="0" xfId="0">
      <alignment horizontal="right"/>
    </xf>
    <xf numFmtId="1" fontId="11" fillId="2" borderId="1" applyAlignment="1" pivotButton="0" quotePrefix="0" xfId="0">
      <alignment horizontal="right"/>
    </xf>
    <xf numFmtId="49" fontId="12" fillId="2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4" fontId="5" fillId="2" borderId="1" pivotButton="0" quotePrefix="0" xfId="0"/>
    <xf numFmtId="167" fontId="3" fillId="2" borderId="1" pivotButton="0" quotePrefix="0" xfId="0"/>
    <xf numFmtId="0" fontId="5" fillId="2" borderId="1" pivotButton="0" quotePrefix="0" xfId="0"/>
    <xf numFmtId="0" fontId="8" fillId="2" borderId="0" pivotButton="0" quotePrefix="0" xfId="0"/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164" fontId="5" fillId="3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3" fillId="3" borderId="1" pivotButton="0" quotePrefix="0" xfId="0"/>
    <xf numFmtId="166" fontId="5" fillId="3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3" fillId="2" borderId="1" applyAlignment="1" pivotButton="0" quotePrefix="0" xfId="0">
      <alignment horizontal="center" vertical="center"/>
    </xf>
    <xf numFmtId="169" fontId="5" fillId="2" borderId="1" pivotButton="0" quotePrefix="0" xfId="0"/>
    <xf numFmtId="4" fontId="3" fillId="2" borderId="1" pivotButton="0" quotePrefix="0" xfId="0"/>
    <xf numFmtId="0" fontId="0" fillId="0" borderId="4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EF1F1"/>
          <bgColor rgb="00EEF1F1"/>
        </patternFill>
      </fill>
    </dxf>
    <dxf>
      <fill>
        <patternFill patternType="solid">
          <fgColor rgb="00F9C9C4"/>
          <bgColor rgb="00F9C9C4"/>
        </patternFill>
      </fill>
    </dxf>
    <dxf>
      <font>
        <name val="Arial"/>
        <i val="1"/>
        <color rgb="006B7B80"/>
      </font>
    </dxf>
    <dxf>
      <font>
        <name val="Arial"/>
        <b val="1"/>
        <color rgb="0015525A"/>
      </font>
      <fill>
        <patternFill patternType="solid">
          <fgColor rgb="00CFE8E4"/>
          <bgColor rgb="00CFE8E4"/>
        </patternFill>
      </fill>
    </dxf>
    <dxf>
      <font>
        <name val="Arial"/>
        <color rgb="009AA7A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Spent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'Year'!L6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'Year'!$B$7:$B$18</f>
            </numRef>
          </cat>
          <val>
            <numRef>
              <f>'Year'!$L$7:$L$18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7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22" customWidth="1" min="6" max="6"/>
    <col width="3" customWidth="1" min="7" max="7"/>
    <col width="26" customWidth="1" min="8" max="8"/>
    <col width="13" customWidth="1" min="9" max="9"/>
    <col width="3" customWidth="1" min="10" max="10"/>
    <col width="3" customWidth="1" min="11" max="11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AK1">
        <f>MATCH(C4,{"January","February","March","April","May","June","July","August","September","October","November","December"},0)</f>
        <v/>
      </c>
    </row>
    <row r="2" ht="32" customHeight="1">
      <c r="A2" s="1" t="n"/>
      <c r="B2" s="2">
        <f>IF(Housemates!$C$4="","House bills","House bills: "&amp;Housemates!$C$4)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AK2">
        <f>DATE(E4,AK1,1)</f>
        <v/>
      </c>
    </row>
    <row r="3">
      <c r="A3" s="1" t="n"/>
      <c r="B3" s="3" t="inlineStr">
        <is>
          <t>Pick a month: what everyone paid and shared, who owes whom, and the bills due.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AK3">
        <f>EOMONTH(AK2,0)</f>
        <v/>
      </c>
    </row>
    <row r="4">
      <c r="A4" s="1" t="n"/>
      <c r="B4" s="4" t="inlineStr">
        <is>
          <t>Month</t>
        </is>
      </c>
      <c r="C4" s="5" t="inlineStr">
        <is>
          <t>September</t>
        </is>
      </c>
      <c r="D4" s="6" t="inlineStr">
        <is>
          <t>Year</t>
        </is>
      </c>
      <c r="E4" s="7" t="n">
        <v>2026</v>
      </c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8" t="inlineStr">
        <is>
          <t>Spent this month</t>
        </is>
      </c>
      <c r="C6" s="8" t="inlineStr">
        <is>
          <t>Still to pay</t>
        </is>
      </c>
      <c r="D6" s="8" t="inlineStr">
        <is>
          <t>Late bills</t>
        </is>
      </c>
      <c r="E6" s="8" t="inlineStr">
        <is>
          <t>Next bill</t>
        </is>
      </c>
      <c r="F6" s="9" t="n"/>
      <c r="G6" s="1" t="n"/>
      <c r="H6" s="1" t="n"/>
      <c r="I6" s="1" t="n"/>
      <c r="J6" s="1" t="n"/>
      <c r="K6" s="1" t="n"/>
      <c r="L6" s="1" t="n"/>
    </row>
    <row r="7" ht="34" customHeight="1">
      <c r="A7" s="1" t="n"/>
      <c r="B7" s="10">
        <f>SUMIFS(Payments!$D$6:$D$605,Payments!$B$6:$B$605,"&gt;="&amp;$AK$2,Payments!$B$6:$B$605,"&lt;="&amp;$AK$3,Payments!$C$6:$C$605,"&lt;&gt;Paying back")</f>
        <v/>
      </c>
      <c r="C7" s="11">
        <f>SUMIFS(Bills!$D$6:$D$25,Bills!$U$6:$U$25,1,Bills!$W$6:$W$25,0)</f>
        <v/>
      </c>
      <c r="D7" s="12">
        <f>COUNTIFS(Bills!$U$6:$U$25,1,Bills!$W$6:$W$25,0,Bills!$V$6:$V$25,"&lt;"&amp;TODAY())</f>
        <v/>
      </c>
      <c r="E7" s="13">
        <f>IFERROR(INDEX(Bills!$B$6:$B$25,MATCH(MIN(Bills!$AI$6:$AI$25),Bills!$AI$6:$AI$25,0))&amp;", "&amp;DAY(INT(MIN(Bills!$AI$6:$AI$25)))&amp;" "&amp;CHOOSE(MONTH(INT(MIN(Bills!$AI$6:$AI$25))),"Jan","Feb","Mar","Apr","May","Jun","Jul","Aug","Sep","Oct","Nov","Dec"),"None")</f>
        <v/>
      </c>
      <c r="F7" s="9" t="n"/>
      <c r="G7" s="1" t="n"/>
      <c r="H7" s="1" t="n"/>
      <c r="I7" s="1" t="n"/>
      <c r="J7" s="1" t="n"/>
      <c r="K7" s="1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30" customHeight="1">
      <c r="A9" s="1" t="n"/>
      <c r="B9" s="14" t="inlineStr">
        <is>
          <t>Housemate</t>
        </is>
      </c>
      <c r="C9" s="14" t="inlineStr">
        <is>
          <t>Paid this month</t>
        </is>
      </c>
      <c r="D9" s="14" t="inlineStr">
        <is>
          <t>Share this month</t>
        </is>
      </c>
      <c r="E9" s="14" t="inlineStr">
        <is>
          <t>Balance</t>
        </is>
      </c>
      <c r="F9" s="14" t="inlineStr">
        <is>
          <t>Status</t>
        </is>
      </c>
      <c r="G9" s="1" t="n"/>
      <c r="H9" s="14" t="inlineStr">
        <is>
          <t>Settle up</t>
        </is>
      </c>
      <c r="I9" s="14" t="inlineStr">
        <is>
          <t>Amount</t>
        </is>
      </c>
      <c r="J9" s="1" t="n"/>
      <c r="K9" s="1" t="n"/>
      <c r="L9" s="1" t="n"/>
    </row>
    <row r="10">
      <c r="A10" s="1" t="n"/>
      <c r="B10" s="15">
        <f>IF(Housemates!B8="","",Housemates!B8)</f>
        <v/>
      </c>
      <c r="C10" s="16">
        <f>IF(B10="","",SUMIFS(Payments!$D$6:$D$605,Payments!$E$6:$E$605,B10,Payments!$B$6:$B$605,"&gt;="&amp;$AK$2,Payments!$B$6:$B$605,"&lt;="&amp;$AK$3,Payments!$C$6:$C$605,"&lt;&gt;Paying back"))</f>
        <v/>
      </c>
      <c r="D10" s="16">
        <f>IF(B10="","",SUMIFS(Payments!$AB$6:$AB$605,Payments!$B$6:$B$605,"&gt;="&amp;$AK$2,Payments!$B$6:$B$605,"&lt;="&amp;$AK$3,Payments!$C$6:$C$605,"&lt;&gt;Paying back"))</f>
        <v/>
      </c>
      <c r="E10" s="17">
        <f>IF(B10="","",ROUND(SUMIFS(Payments!$D$6:$D$605,Payments!$E$6:$E$605,B10,Payments!$B$6:$B$605,"&lt;="&amp;$AK$3)-SUMIFS(Payments!$AB$6:$AB$605,Payments!$B$6:$B$605,"&lt;="&amp;$AK$3),2))</f>
        <v/>
      </c>
      <c r="F10" s="18">
        <f>IF(B10="","",IF(ABS(E10)&lt;0.005,"Settled",IF(E10&gt;0,"Gets back "&amp;FIXED(E10,2),"Owes "&amp;FIXED(-E10,2))))</f>
        <v/>
      </c>
      <c r="G10" s="1" t="n"/>
      <c r="H10" s="15">
        <f>IF(N(AA71)&lt;0.01,"Everyone is settled",INDEX($B$10:$B$17,AA73)&amp;" pays "&amp;INDEX($B$10:$B$17,AA72))</f>
        <v/>
      </c>
      <c r="I10" s="16">
        <f>IF(N(AA71)&lt;0.01,"",AA71)</f>
        <v/>
      </c>
      <c r="J10" s="1" t="n"/>
      <c r="K10" s="1" t="n"/>
      <c r="L10" s="1" t="n"/>
    </row>
    <row r="11">
      <c r="A11" s="1" t="n"/>
      <c r="B11" s="15">
        <f>IF(Housemates!B9="","",Housemates!B9)</f>
        <v/>
      </c>
      <c r="C11" s="16">
        <f>IF(B11="","",SUMIFS(Payments!$D$6:$D$605,Payments!$E$6:$E$605,B11,Payments!$B$6:$B$605,"&gt;="&amp;$AK$2,Payments!$B$6:$B$605,"&lt;="&amp;$AK$3,Payments!$C$6:$C$605,"&lt;&gt;Paying back"))</f>
        <v/>
      </c>
      <c r="D11" s="16">
        <f>IF(B11="","",SUMIFS(Payments!$AC$6:$AC$605,Payments!$B$6:$B$605,"&gt;="&amp;$AK$2,Payments!$B$6:$B$605,"&lt;="&amp;$AK$3,Payments!$C$6:$C$605,"&lt;&gt;Paying back"))</f>
        <v/>
      </c>
      <c r="E11" s="17">
        <f>IF(B11="","",ROUND(SUMIFS(Payments!$D$6:$D$605,Payments!$E$6:$E$605,B11,Payments!$B$6:$B$605,"&lt;="&amp;$AK$3)-SUMIFS(Payments!$AC$6:$AC$605,Payments!$B$6:$B$605,"&lt;="&amp;$AK$3),2))</f>
        <v/>
      </c>
      <c r="F11" s="18">
        <f>IF(B11="","",IF(ABS(E11)&lt;0.005,"Settled",IF(E11&gt;0,"Gets back "&amp;FIXED(E11,2),"Owes "&amp;FIXED(-E11,2))))</f>
        <v/>
      </c>
      <c r="G11" s="1" t="n"/>
      <c r="H11" s="15">
        <f>IF(N(AB71)&lt;0.01,"",INDEX($B$10:$B$17,AB73)&amp;" pays "&amp;INDEX($B$10:$B$17,AB72))</f>
        <v/>
      </c>
      <c r="I11" s="16">
        <f>IF(N(AB71)&lt;0.01,"",AB71)</f>
        <v/>
      </c>
      <c r="J11" s="1" t="n"/>
      <c r="K11" s="1" t="n"/>
      <c r="L11" s="1" t="n"/>
    </row>
    <row r="12">
      <c r="A12" s="1" t="n"/>
      <c r="B12" s="15">
        <f>IF(Housemates!B10="","",Housemates!B10)</f>
        <v/>
      </c>
      <c r="C12" s="16">
        <f>IF(B12="","",SUMIFS(Payments!$D$6:$D$605,Payments!$E$6:$E$605,B12,Payments!$B$6:$B$605,"&gt;="&amp;$AK$2,Payments!$B$6:$B$605,"&lt;="&amp;$AK$3,Payments!$C$6:$C$605,"&lt;&gt;Paying back"))</f>
        <v/>
      </c>
      <c r="D12" s="16">
        <f>IF(B12="","",SUMIFS(Payments!$AD$6:$AD$605,Payments!$B$6:$B$605,"&gt;="&amp;$AK$2,Payments!$B$6:$B$605,"&lt;="&amp;$AK$3,Payments!$C$6:$C$605,"&lt;&gt;Paying back"))</f>
        <v/>
      </c>
      <c r="E12" s="17">
        <f>IF(B12="","",ROUND(SUMIFS(Payments!$D$6:$D$605,Payments!$E$6:$E$605,B12,Payments!$B$6:$B$605,"&lt;="&amp;$AK$3)-SUMIFS(Payments!$AD$6:$AD$605,Payments!$B$6:$B$605,"&lt;="&amp;$AK$3),2))</f>
        <v/>
      </c>
      <c r="F12" s="18">
        <f>IF(B12="","",IF(ABS(E12)&lt;0.005,"Settled",IF(E12&gt;0,"Gets back "&amp;FIXED(E12,2),"Owes "&amp;FIXED(-E12,2))))</f>
        <v/>
      </c>
      <c r="G12" s="1" t="n"/>
      <c r="H12" s="15">
        <f>IF(N(AC71)&lt;0.01,"",INDEX($B$10:$B$17,AC73)&amp;" pays "&amp;INDEX($B$10:$B$17,AC72))</f>
        <v/>
      </c>
      <c r="I12" s="16">
        <f>IF(N(AC71)&lt;0.01,"",AC71)</f>
        <v/>
      </c>
      <c r="J12" s="1" t="n"/>
      <c r="K12" s="1" t="n"/>
      <c r="L12" s="1" t="n"/>
    </row>
    <row r="13">
      <c r="A13" s="1" t="n"/>
      <c r="B13" s="15">
        <f>IF(Housemates!B11="","",Housemates!B11)</f>
        <v/>
      </c>
      <c r="C13" s="16">
        <f>IF(B13="","",SUMIFS(Payments!$D$6:$D$605,Payments!$E$6:$E$605,B13,Payments!$B$6:$B$605,"&gt;="&amp;$AK$2,Payments!$B$6:$B$605,"&lt;="&amp;$AK$3,Payments!$C$6:$C$605,"&lt;&gt;Paying back"))</f>
        <v/>
      </c>
      <c r="D13" s="16">
        <f>IF(B13="","",SUMIFS(Payments!$AE$6:$AE$605,Payments!$B$6:$B$605,"&gt;="&amp;$AK$2,Payments!$B$6:$B$605,"&lt;="&amp;$AK$3,Payments!$C$6:$C$605,"&lt;&gt;Paying back"))</f>
        <v/>
      </c>
      <c r="E13" s="17">
        <f>IF(B13="","",ROUND(SUMIFS(Payments!$D$6:$D$605,Payments!$E$6:$E$605,B13,Payments!$B$6:$B$605,"&lt;="&amp;$AK$3)-SUMIFS(Payments!$AE$6:$AE$605,Payments!$B$6:$B$605,"&lt;="&amp;$AK$3),2))</f>
        <v/>
      </c>
      <c r="F13" s="18">
        <f>IF(B13="","",IF(ABS(E13)&lt;0.005,"Settled",IF(E13&gt;0,"Gets back "&amp;FIXED(E13,2),"Owes "&amp;FIXED(-E13,2))))</f>
        <v/>
      </c>
      <c r="G13" s="1" t="n"/>
      <c r="H13" s="15">
        <f>IF(N(AD71)&lt;0.01,"",INDEX($B$10:$B$17,AD73)&amp;" pays "&amp;INDEX($B$10:$B$17,AD72))</f>
        <v/>
      </c>
      <c r="I13" s="16">
        <f>IF(N(AD71)&lt;0.01,"",AD71)</f>
        <v/>
      </c>
      <c r="J13" s="1" t="n"/>
      <c r="K13" s="1" t="n"/>
      <c r="L13" s="1" t="n"/>
    </row>
    <row r="14">
      <c r="A14" s="1" t="n"/>
      <c r="B14" s="15">
        <f>IF(Housemates!B12="","",Housemates!B12)</f>
        <v/>
      </c>
      <c r="C14" s="16">
        <f>IF(B14="","",SUMIFS(Payments!$D$6:$D$605,Payments!$E$6:$E$605,B14,Payments!$B$6:$B$605,"&gt;="&amp;$AK$2,Payments!$B$6:$B$605,"&lt;="&amp;$AK$3,Payments!$C$6:$C$605,"&lt;&gt;Paying back"))</f>
        <v/>
      </c>
      <c r="D14" s="16">
        <f>IF(B14="","",SUMIFS(Payments!$AF$6:$AF$605,Payments!$B$6:$B$605,"&gt;="&amp;$AK$2,Payments!$B$6:$B$605,"&lt;="&amp;$AK$3,Payments!$C$6:$C$605,"&lt;&gt;Paying back"))</f>
        <v/>
      </c>
      <c r="E14" s="17">
        <f>IF(B14="","",ROUND(SUMIFS(Payments!$D$6:$D$605,Payments!$E$6:$E$605,B14,Payments!$B$6:$B$605,"&lt;="&amp;$AK$3)-SUMIFS(Payments!$AF$6:$AF$605,Payments!$B$6:$B$605,"&lt;="&amp;$AK$3),2))</f>
        <v/>
      </c>
      <c r="F14" s="18">
        <f>IF(B14="","",IF(ABS(E14)&lt;0.005,"Settled",IF(E14&gt;0,"Gets back "&amp;FIXED(E14,2),"Owes "&amp;FIXED(-E14,2))))</f>
        <v/>
      </c>
      <c r="G14" s="1" t="n"/>
      <c r="H14" s="15">
        <f>IF(N(AE71)&lt;0.01,"",INDEX($B$10:$B$17,AE73)&amp;" pays "&amp;INDEX($B$10:$B$17,AE72))</f>
        <v/>
      </c>
      <c r="I14" s="16">
        <f>IF(N(AE71)&lt;0.01,"",AE71)</f>
        <v/>
      </c>
      <c r="J14" s="1" t="n"/>
      <c r="K14" s="1" t="n"/>
      <c r="L14" s="1" t="n"/>
    </row>
    <row r="15">
      <c r="A15" s="1" t="n"/>
      <c r="B15" s="15">
        <f>IF(Housemates!B13="","",Housemates!B13)</f>
        <v/>
      </c>
      <c r="C15" s="16">
        <f>IF(B15="","",SUMIFS(Payments!$D$6:$D$605,Payments!$E$6:$E$605,B15,Payments!$B$6:$B$605,"&gt;="&amp;$AK$2,Payments!$B$6:$B$605,"&lt;="&amp;$AK$3,Payments!$C$6:$C$605,"&lt;&gt;Paying back"))</f>
        <v/>
      </c>
      <c r="D15" s="16">
        <f>IF(B15="","",SUMIFS(Payments!$AG$6:$AG$605,Payments!$B$6:$B$605,"&gt;="&amp;$AK$2,Payments!$B$6:$B$605,"&lt;="&amp;$AK$3,Payments!$C$6:$C$605,"&lt;&gt;Paying back"))</f>
        <v/>
      </c>
      <c r="E15" s="17">
        <f>IF(B15="","",ROUND(SUMIFS(Payments!$D$6:$D$605,Payments!$E$6:$E$605,B15,Payments!$B$6:$B$605,"&lt;="&amp;$AK$3)-SUMIFS(Payments!$AG$6:$AG$605,Payments!$B$6:$B$605,"&lt;="&amp;$AK$3),2))</f>
        <v/>
      </c>
      <c r="F15" s="18">
        <f>IF(B15="","",IF(ABS(E15)&lt;0.005,"Settled",IF(E15&gt;0,"Gets back "&amp;FIXED(E15,2),"Owes "&amp;FIXED(-E15,2))))</f>
        <v/>
      </c>
      <c r="G15" s="1" t="n"/>
      <c r="H15" s="15">
        <f>IF(N(AF71)&lt;0.01,"",INDEX($B$10:$B$17,AF73)&amp;" pays "&amp;INDEX($B$10:$B$17,AF72))</f>
        <v/>
      </c>
      <c r="I15" s="16">
        <f>IF(N(AF71)&lt;0.01,"",AF71)</f>
        <v/>
      </c>
      <c r="J15" s="1" t="n"/>
      <c r="K15" s="1" t="n"/>
      <c r="L15" s="1" t="n"/>
    </row>
    <row r="16">
      <c r="A16" s="1" t="n"/>
      <c r="B16" s="15">
        <f>IF(Housemates!B14="","",Housemates!B14)</f>
        <v/>
      </c>
      <c r="C16" s="16">
        <f>IF(B16="","",SUMIFS(Payments!$D$6:$D$605,Payments!$E$6:$E$605,B16,Payments!$B$6:$B$605,"&gt;="&amp;$AK$2,Payments!$B$6:$B$605,"&lt;="&amp;$AK$3,Payments!$C$6:$C$605,"&lt;&gt;Paying back"))</f>
        <v/>
      </c>
      <c r="D16" s="16">
        <f>IF(B16="","",SUMIFS(Payments!$AH$6:$AH$605,Payments!$B$6:$B$605,"&gt;="&amp;$AK$2,Payments!$B$6:$B$605,"&lt;="&amp;$AK$3,Payments!$C$6:$C$605,"&lt;&gt;Paying back"))</f>
        <v/>
      </c>
      <c r="E16" s="17">
        <f>IF(B16="","",ROUND(SUMIFS(Payments!$D$6:$D$605,Payments!$E$6:$E$605,B16,Payments!$B$6:$B$605,"&lt;="&amp;$AK$3)-SUMIFS(Payments!$AH$6:$AH$605,Payments!$B$6:$B$605,"&lt;="&amp;$AK$3),2))</f>
        <v/>
      </c>
      <c r="F16" s="18">
        <f>IF(B16="","",IF(ABS(E16)&lt;0.005,"Settled",IF(E16&gt;0,"Gets back "&amp;FIXED(E16,2),"Owes "&amp;FIXED(-E16,2))))</f>
        <v/>
      </c>
      <c r="G16" s="1" t="n"/>
      <c r="H16" s="15">
        <f>IF(N(AG71)&lt;0.01,"",INDEX($B$10:$B$17,AG73)&amp;" pays "&amp;INDEX($B$10:$B$17,AG72))</f>
        <v/>
      </c>
      <c r="I16" s="16">
        <f>IF(N(AG71)&lt;0.01,"",AG71)</f>
        <v/>
      </c>
      <c r="J16" s="1" t="n"/>
      <c r="K16" s="1" t="n"/>
      <c r="L16" s="1" t="n"/>
    </row>
    <row r="17">
      <c r="A17" s="1" t="n"/>
      <c r="B17" s="15">
        <f>IF(Housemates!B15="","",Housemates!B15)</f>
        <v/>
      </c>
      <c r="C17" s="16">
        <f>IF(B17="","",SUMIFS(Payments!$D$6:$D$605,Payments!$E$6:$E$605,B17,Payments!$B$6:$B$605,"&gt;="&amp;$AK$2,Payments!$B$6:$B$605,"&lt;="&amp;$AK$3,Payments!$C$6:$C$605,"&lt;&gt;Paying back"))</f>
        <v/>
      </c>
      <c r="D17" s="16">
        <f>IF(B17="","",SUMIFS(Payments!$AI$6:$AI$605,Payments!$B$6:$B$605,"&gt;="&amp;$AK$2,Payments!$B$6:$B$605,"&lt;="&amp;$AK$3,Payments!$C$6:$C$605,"&lt;&gt;Paying back"))</f>
        <v/>
      </c>
      <c r="E17" s="17">
        <f>IF(B17="","",ROUND(SUMIFS(Payments!$D$6:$D$605,Payments!$E$6:$E$605,B17,Payments!$B$6:$B$605,"&lt;="&amp;$AK$3)-SUMIFS(Payments!$AI$6:$AI$605,Payments!$B$6:$B$605,"&lt;="&amp;$AK$3),2))</f>
        <v/>
      </c>
      <c r="F17" s="18">
        <f>IF(B17="","",IF(ABS(E17)&lt;0.005,"Settled",IF(E17&gt;0,"Gets back "&amp;FIXED(E17,2),"Owes "&amp;FIXED(-E17,2))))</f>
        <v/>
      </c>
      <c r="G17" s="1" t="n"/>
      <c r="H17" s="1" t="n"/>
      <c r="I17" s="1" t="n"/>
      <c r="J17" s="1" t="n"/>
      <c r="K17" s="1" t="n"/>
      <c r="L17" s="1" t="n"/>
    </row>
    <row r="18">
      <c r="A18" s="1" t="n"/>
      <c r="B18" s="19" t="inlineStr">
        <is>
          <t>Balance counts everything up to the end of the month, money paid back included.</t>
        </is>
      </c>
      <c r="C18" s="1" t="n"/>
      <c r="D18" s="1" t="n"/>
      <c r="E18" s="1" t="n"/>
      <c r="F18" s="1" t="n"/>
      <c r="G18" s="1" t="n"/>
      <c r="H18" s="19" t="inlineStr">
        <is>
          <t>The fewest payments that bring every balance to zero.</t>
        </is>
      </c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30" customHeight="1">
      <c r="A20" s="1" t="n"/>
      <c r="B20" s="14" t="inlineStr">
        <is>
          <t>Due</t>
        </is>
      </c>
      <c r="C20" s="14" t="inlineStr">
        <is>
          <t>Bill</t>
        </is>
      </c>
      <c r="D20" s="14" t="inlineStr">
        <is>
          <t>Amount</t>
        </is>
      </c>
      <c r="E20" s="14" t="inlineStr">
        <is>
          <t>Paid by</t>
        </is>
      </c>
      <c r="F20" s="14" t="inlineStr">
        <is>
          <t>Status</t>
        </is>
      </c>
      <c r="G20" s="1" t="n"/>
      <c r="H20" s="14" t="inlineStr">
        <is>
          <t>Category</t>
        </is>
      </c>
      <c r="I20" s="14" t="inlineStr">
        <is>
          <t>This month</t>
        </is>
      </c>
      <c r="J20" s="1" t="n"/>
      <c r="K20" s="1" t="n"/>
      <c r="L20" s="1" t="n"/>
    </row>
    <row r="21">
      <c r="A21" s="1" t="n"/>
      <c r="B21" s="20">
        <f>IF(AL21="","",INT(AL21))</f>
        <v/>
      </c>
      <c r="C21" s="15">
        <f>IF(AL21="","No bills due this month",INDEX(Bills!$B$6:$B$25,MATCH(AL21,Bills!$X$6:$X$25,0)))</f>
        <v/>
      </c>
      <c r="D21" s="16">
        <f>IF(AL21="","",IF(INDEX(Bills!$W$6:$W$25,MATCH(AL21,Bills!$X$6:$X$25,0))&gt;0,INDEX(Bills!$W$6:$W$25,MATCH(AL21,Bills!$X$6:$X$25,0)),INDEX(Bills!$D$6:$D$25,MATCH(AL21,Bills!$X$6:$X$25,0))))</f>
        <v/>
      </c>
      <c r="E21" s="18">
        <f>IF(AL21="","",IF(INDEX(Bills!$W$6:$W$25,MATCH(AL21,Bills!$X$6:$X$25,0))&gt;0,IFERROR(INDEX(Payments!$E$6:$E$605,MATCH(C21&amp;"|"&amp;(YEAR($AK$2)*100+MONTH($AK$2)),Payments!$AJ$6:$AJ$605,0)),""),INDEX(Bills!$G$6:$G$25,MATCH(AL21,Bills!$X$6:$X$25,0))))</f>
        <v/>
      </c>
      <c r="F21" s="21">
        <f>IF(AL21="","",IF(INDEX(Bills!$W$6:$W$25,MATCH(AL21,Bills!$X$6:$X$25,0))&gt;0,"Paid",IF(B21&lt;TODAY(),"Late",IF(B21=TODAY(),"Due today",IF(B21-TODAY()&lt;=3,"Due in "&amp;(B21-TODAY())&amp;IF(B21-TODAY()=1," day"," days"),"Coming")))))</f>
        <v/>
      </c>
      <c r="G21" s="1" t="n"/>
      <c r="H21" s="15" t="inlineStr">
        <is>
          <t>Rent</t>
        </is>
      </c>
      <c r="I21" s="16">
        <f>SUMIFS(Payments!$D$6:$D$605,Payments!$O$6:$O$605,H21,Payments!$B$6:$B$605,"&gt;="&amp;$AK$2,Payments!$B$6:$B$605,"&lt;="&amp;$AK$3)</f>
        <v/>
      </c>
      <c r="J21" s="1" t="n"/>
      <c r="K21" s="1" t="n"/>
      <c r="L21" s="1" t="n"/>
      <c r="AL21">
        <f>IFERROR(SMALL(Bills!$X$6:$X$25,1),"")</f>
        <v/>
      </c>
    </row>
    <row r="22">
      <c r="A22" s="1" t="n"/>
      <c r="B22" s="20">
        <f>IF(AL22="","",INT(AL22))</f>
        <v/>
      </c>
      <c r="C22" s="15">
        <f>IF(AL22="","",INDEX(Bills!$B$6:$B$25,MATCH(AL22,Bills!$X$6:$X$25,0)))</f>
        <v/>
      </c>
      <c r="D22" s="16">
        <f>IF(AL22="","",IF(INDEX(Bills!$W$6:$W$25,MATCH(AL22,Bills!$X$6:$X$25,0))&gt;0,INDEX(Bills!$W$6:$W$25,MATCH(AL22,Bills!$X$6:$X$25,0)),INDEX(Bills!$D$6:$D$25,MATCH(AL22,Bills!$X$6:$X$25,0))))</f>
        <v/>
      </c>
      <c r="E22" s="18">
        <f>IF(AL22="","",IF(INDEX(Bills!$W$6:$W$25,MATCH(AL22,Bills!$X$6:$X$25,0))&gt;0,IFERROR(INDEX(Payments!$E$6:$E$605,MATCH(C22&amp;"|"&amp;(YEAR($AK$2)*100+MONTH($AK$2)),Payments!$AJ$6:$AJ$605,0)),""),INDEX(Bills!$G$6:$G$25,MATCH(AL22,Bills!$X$6:$X$25,0))))</f>
        <v/>
      </c>
      <c r="F22" s="21">
        <f>IF(AL22="","",IF(INDEX(Bills!$W$6:$W$25,MATCH(AL22,Bills!$X$6:$X$25,0))&gt;0,"Paid",IF(B22&lt;TODAY(),"Late",IF(B22=TODAY(),"Due today",IF(B22-TODAY()&lt;=3,"Due in "&amp;(B22-TODAY())&amp;IF(B22-TODAY()=1," day"," days"),"Coming")))))</f>
        <v/>
      </c>
      <c r="G22" s="1" t="n"/>
      <c r="H22" s="15" t="inlineStr">
        <is>
          <t>Energy</t>
        </is>
      </c>
      <c r="I22" s="16">
        <f>SUMIFS(Payments!$D$6:$D$605,Payments!$O$6:$O$605,H22,Payments!$B$6:$B$605,"&gt;="&amp;$AK$2,Payments!$B$6:$B$605,"&lt;="&amp;$AK$3)</f>
        <v/>
      </c>
      <c r="J22" s="1" t="n"/>
      <c r="K22" s="1" t="n"/>
      <c r="L22" s="1" t="n"/>
      <c r="AL22">
        <f>IFERROR(SMALL(Bills!$X$6:$X$25,2),"")</f>
        <v/>
      </c>
    </row>
    <row r="23">
      <c r="A23" s="1" t="n"/>
      <c r="B23" s="20">
        <f>IF(AL23="","",INT(AL23))</f>
        <v/>
      </c>
      <c r="C23" s="15">
        <f>IF(AL23="","",INDEX(Bills!$B$6:$B$25,MATCH(AL23,Bills!$X$6:$X$25,0)))</f>
        <v/>
      </c>
      <c r="D23" s="16">
        <f>IF(AL23="","",IF(INDEX(Bills!$W$6:$W$25,MATCH(AL23,Bills!$X$6:$X$25,0))&gt;0,INDEX(Bills!$W$6:$W$25,MATCH(AL23,Bills!$X$6:$X$25,0)),INDEX(Bills!$D$6:$D$25,MATCH(AL23,Bills!$X$6:$X$25,0))))</f>
        <v/>
      </c>
      <c r="E23" s="18">
        <f>IF(AL23="","",IF(INDEX(Bills!$W$6:$W$25,MATCH(AL23,Bills!$X$6:$X$25,0))&gt;0,IFERROR(INDEX(Payments!$E$6:$E$605,MATCH(C23&amp;"|"&amp;(YEAR($AK$2)*100+MONTH($AK$2)),Payments!$AJ$6:$AJ$605,0)),""),INDEX(Bills!$G$6:$G$25,MATCH(AL23,Bills!$X$6:$X$25,0))))</f>
        <v/>
      </c>
      <c r="F23" s="21">
        <f>IF(AL23="","",IF(INDEX(Bills!$W$6:$W$25,MATCH(AL23,Bills!$X$6:$X$25,0))&gt;0,"Paid",IF(B23&lt;TODAY(),"Late",IF(B23=TODAY(),"Due today",IF(B23-TODAY()&lt;=3,"Due in "&amp;(B23-TODAY())&amp;IF(B23-TODAY()=1," day"," days"),"Coming")))))</f>
        <v/>
      </c>
      <c r="G23" s="1" t="n"/>
      <c r="H23" s="15" t="inlineStr">
        <is>
          <t>Water</t>
        </is>
      </c>
      <c r="I23" s="16">
        <f>SUMIFS(Payments!$D$6:$D$605,Payments!$O$6:$O$605,H23,Payments!$B$6:$B$605,"&gt;="&amp;$AK$2,Payments!$B$6:$B$605,"&lt;="&amp;$AK$3)</f>
        <v/>
      </c>
      <c r="J23" s="1" t="n"/>
      <c r="K23" s="1" t="n"/>
      <c r="L23" s="1" t="n"/>
      <c r="AL23">
        <f>IFERROR(SMALL(Bills!$X$6:$X$25,3),"")</f>
        <v/>
      </c>
    </row>
    <row r="24">
      <c r="A24" s="1" t="n"/>
      <c r="B24" s="20">
        <f>IF(AL24="","",INT(AL24))</f>
        <v/>
      </c>
      <c r="C24" s="15">
        <f>IF(AL24="","",INDEX(Bills!$B$6:$B$25,MATCH(AL24,Bills!$X$6:$X$25,0)))</f>
        <v/>
      </c>
      <c r="D24" s="16">
        <f>IF(AL24="","",IF(INDEX(Bills!$W$6:$W$25,MATCH(AL24,Bills!$X$6:$X$25,0))&gt;0,INDEX(Bills!$W$6:$W$25,MATCH(AL24,Bills!$X$6:$X$25,0)),INDEX(Bills!$D$6:$D$25,MATCH(AL24,Bills!$X$6:$X$25,0))))</f>
        <v/>
      </c>
      <c r="E24" s="18">
        <f>IF(AL24="","",IF(INDEX(Bills!$W$6:$W$25,MATCH(AL24,Bills!$X$6:$X$25,0))&gt;0,IFERROR(INDEX(Payments!$E$6:$E$605,MATCH(C24&amp;"|"&amp;(YEAR($AK$2)*100+MONTH($AK$2)),Payments!$AJ$6:$AJ$605,0)),""),INDEX(Bills!$G$6:$G$25,MATCH(AL24,Bills!$X$6:$X$25,0))))</f>
        <v/>
      </c>
      <c r="F24" s="21">
        <f>IF(AL24="","",IF(INDEX(Bills!$W$6:$W$25,MATCH(AL24,Bills!$X$6:$X$25,0))&gt;0,"Paid",IF(B24&lt;TODAY(),"Late",IF(B24=TODAY(),"Due today",IF(B24-TODAY()&lt;=3,"Due in "&amp;(B24-TODAY())&amp;IF(B24-TODAY()=1," day"," days"),"Coming")))))</f>
        <v/>
      </c>
      <c r="G24" s="1" t="n"/>
      <c r="H24" s="15" t="inlineStr">
        <is>
          <t>Internet</t>
        </is>
      </c>
      <c r="I24" s="16">
        <f>SUMIFS(Payments!$D$6:$D$605,Payments!$O$6:$O$605,H24,Payments!$B$6:$B$605,"&gt;="&amp;$AK$2,Payments!$B$6:$B$605,"&lt;="&amp;$AK$3)</f>
        <v/>
      </c>
      <c r="J24" s="1" t="n"/>
      <c r="K24" s="1" t="n"/>
      <c r="L24" s="1" t="n"/>
      <c r="AL24">
        <f>IFERROR(SMALL(Bills!$X$6:$X$25,4),"")</f>
        <v/>
      </c>
    </row>
    <row r="25">
      <c r="A25" s="1" t="n"/>
      <c r="B25" s="20">
        <f>IF(AL25="","",INT(AL25))</f>
        <v/>
      </c>
      <c r="C25" s="15">
        <f>IF(AL25="","",INDEX(Bills!$B$6:$B$25,MATCH(AL25,Bills!$X$6:$X$25,0)))</f>
        <v/>
      </c>
      <c r="D25" s="16">
        <f>IF(AL25="","",IF(INDEX(Bills!$W$6:$W$25,MATCH(AL25,Bills!$X$6:$X$25,0))&gt;0,INDEX(Bills!$W$6:$W$25,MATCH(AL25,Bills!$X$6:$X$25,0)),INDEX(Bills!$D$6:$D$25,MATCH(AL25,Bills!$X$6:$X$25,0))))</f>
        <v/>
      </c>
      <c r="E25" s="18">
        <f>IF(AL25="","",IF(INDEX(Bills!$W$6:$W$25,MATCH(AL25,Bills!$X$6:$X$25,0))&gt;0,IFERROR(INDEX(Payments!$E$6:$E$605,MATCH(C25&amp;"|"&amp;(YEAR($AK$2)*100+MONTH($AK$2)),Payments!$AJ$6:$AJ$605,0)),""),INDEX(Bills!$G$6:$G$25,MATCH(AL25,Bills!$X$6:$X$25,0))))</f>
        <v/>
      </c>
      <c r="F25" s="21">
        <f>IF(AL25="","",IF(INDEX(Bills!$W$6:$W$25,MATCH(AL25,Bills!$X$6:$X$25,0))&gt;0,"Paid",IF(B25&lt;TODAY(),"Late",IF(B25=TODAY(),"Due today",IF(B25-TODAY()&lt;=3,"Due in "&amp;(B25-TODAY())&amp;IF(B25-TODAY()=1," day"," days"),"Coming")))))</f>
        <v/>
      </c>
      <c r="G25" s="1" t="n"/>
      <c r="H25" s="15" t="inlineStr">
        <is>
          <t>Subscriptions</t>
        </is>
      </c>
      <c r="I25" s="16">
        <f>SUMIFS(Payments!$D$6:$D$605,Payments!$O$6:$O$605,H25,Payments!$B$6:$B$605,"&gt;="&amp;$AK$2,Payments!$B$6:$B$605,"&lt;="&amp;$AK$3)</f>
        <v/>
      </c>
      <c r="J25" s="1" t="n"/>
      <c r="K25" s="1" t="n"/>
      <c r="L25" s="1" t="n"/>
      <c r="AL25">
        <f>IFERROR(SMALL(Bills!$X$6:$X$25,5),"")</f>
        <v/>
      </c>
    </row>
    <row r="26">
      <c r="A26" s="1" t="n"/>
      <c r="B26" s="20">
        <f>IF(AL26="","",INT(AL26))</f>
        <v/>
      </c>
      <c r="C26" s="15">
        <f>IF(AL26="","",INDEX(Bills!$B$6:$B$25,MATCH(AL26,Bills!$X$6:$X$25,0)))</f>
        <v/>
      </c>
      <c r="D26" s="16">
        <f>IF(AL26="","",IF(INDEX(Bills!$W$6:$W$25,MATCH(AL26,Bills!$X$6:$X$25,0))&gt;0,INDEX(Bills!$W$6:$W$25,MATCH(AL26,Bills!$X$6:$X$25,0)),INDEX(Bills!$D$6:$D$25,MATCH(AL26,Bills!$X$6:$X$25,0))))</f>
        <v/>
      </c>
      <c r="E26" s="18">
        <f>IF(AL26="","",IF(INDEX(Bills!$W$6:$W$25,MATCH(AL26,Bills!$X$6:$X$25,0))&gt;0,IFERROR(INDEX(Payments!$E$6:$E$605,MATCH(C26&amp;"|"&amp;(YEAR($AK$2)*100+MONTH($AK$2)),Payments!$AJ$6:$AJ$605,0)),""),INDEX(Bills!$G$6:$G$25,MATCH(AL26,Bills!$X$6:$X$25,0))))</f>
        <v/>
      </c>
      <c r="F26" s="21">
        <f>IF(AL26="","",IF(INDEX(Bills!$W$6:$W$25,MATCH(AL26,Bills!$X$6:$X$25,0))&gt;0,"Paid",IF(B26&lt;TODAY(),"Late",IF(B26=TODAY(),"Due today",IF(B26-TODAY()&lt;=3,"Due in "&amp;(B26-TODAY())&amp;IF(B26-TODAY()=1," day"," days"),"Coming")))))</f>
        <v/>
      </c>
      <c r="G26" s="1" t="n"/>
      <c r="H26" s="15" t="inlineStr">
        <is>
          <t>Insurance</t>
        </is>
      </c>
      <c r="I26" s="16">
        <f>SUMIFS(Payments!$D$6:$D$605,Payments!$O$6:$O$605,H26,Payments!$B$6:$B$605,"&gt;="&amp;$AK$2,Payments!$B$6:$B$605,"&lt;="&amp;$AK$3)</f>
        <v/>
      </c>
      <c r="J26" s="1" t="n"/>
      <c r="K26" s="1" t="n"/>
      <c r="L26" s="1" t="n"/>
      <c r="AL26">
        <f>IFERROR(SMALL(Bills!$X$6:$X$25,6),"")</f>
        <v/>
      </c>
    </row>
    <row r="27">
      <c r="A27" s="1" t="n"/>
      <c r="B27" s="20">
        <f>IF(AL27="","",INT(AL27))</f>
        <v/>
      </c>
      <c r="C27" s="15">
        <f>IF(AL27="","",INDEX(Bills!$B$6:$B$25,MATCH(AL27,Bills!$X$6:$X$25,0)))</f>
        <v/>
      </c>
      <c r="D27" s="16">
        <f>IF(AL27="","",IF(INDEX(Bills!$W$6:$W$25,MATCH(AL27,Bills!$X$6:$X$25,0))&gt;0,INDEX(Bills!$W$6:$W$25,MATCH(AL27,Bills!$X$6:$X$25,0)),INDEX(Bills!$D$6:$D$25,MATCH(AL27,Bills!$X$6:$X$25,0))))</f>
        <v/>
      </c>
      <c r="E27" s="18">
        <f>IF(AL27="","",IF(INDEX(Bills!$W$6:$W$25,MATCH(AL27,Bills!$X$6:$X$25,0))&gt;0,IFERROR(INDEX(Payments!$E$6:$E$605,MATCH(C27&amp;"|"&amp;(YEAR($AK$2)*100+MONTH($AK$2)),Payments!$AJ$6:$AJ$605,0)),""),INDEX(Bills!$G$6:$G$25,MATCH(AL27,Bills!$X$6:$X$25,0))))</f>
        <v/>
      </c>
      <c r="F27" s="21">
        <f>IF(AL27="","",IF(INDEX(Bills!$W$6:$W$25,MATCH(AL27,Bills!$X$6:$X$25,0))&gt;0,"Paid",IF(B27&lt;TODAY(),"Late",IF(B27=TODAY(),"Due today",IF(B27-TODAY()&lt;=3,"Due in "&amp;(B27-TODAY())&amp;IF(B27-TODAY()=1," day"," days"),"Coming")))))</f>
        <v/>
      </c>
      <c r="G27" s="1" t="n"/>
      <c r="H27" s="15" t="inlineStr">
        <is>
          <t>Groceries</t>
        </is>
      </c>
      <c r="I27" s="16">
        <f>SUMIFS(Payments!$D$6:$D$605,Payments!$O$6:$O$605,H27,Payments!$B$6:$B$605,"&gt;="&amp;$AK$2,Payments!$B$6:$B$605,"&lt;="&amp;$AK$3)</f>
        <v/>
      </c>
      <c r="J27" s="1" t="n"/>
      <c r="K27" s="1" t="n"/>
      <c r="L27" s="1" t="n"/>
      <c r="AL27">
        <f>IFERROR(SMALL(Bills!$X$6:$X$25,7),"")</f>
        <v/>
      </c>
    </row>
    <row r="28">
      <c r="A28" s="1" t="n"/>
      <c r="B28" s="20">
        <f>IF(AL28="","",INT(AL28))</f>
        <v/>
      </c>
      <c r="C28" s="15">
        <f>IF(AL28="","",INDEX(Bills!$B$6:$B$25,MATCH(AL28,Bills!$X$6:$X$25,0)))</f>
        <v/>
      </c>
      <c r="D28" s="16">
        <f>IF(AL28="","",IF(INDEX(Bills!$W$6:$W$25,MATCH(AL28,Bills!$X$6:$X$25,0))&gt;0,INDEX(Bills!$W$6:$W$25,MATCH(AL28,Bills!$X$6:$X$25,0)),INDEX(Bills!$D$6:$D$25,MATCH(AL28,Bills!$X$6:$X$25,0))))</f>
        <v/>
      </c>
      <c r="E28" s="18">
        <f>IF(AL28="","",IF(INDEX(Bills!$W$6:$W$25,MATCH(AL28,Bills!$X$6:$X$25,0))&gt;0,IFERROR(INDEX(Payments!$E$6:$E$605,MATCH(C28&amp;"|"&amp;(YEAR($AK$2)*100+MONTH($AK$2)),Payments!$AJ$6:$AJ$605,0)),""),INDEX(Bills!$G$6:$G$25,MATCH(AL28,Bills!$X$6:$X$25,0))))</f>
        <v/>
      </c>
      <c r="F28" s="21">
        <f>IF(AL28="","",IF(INDEX(Bills!$W$6:$W$25,MATCH(AL28,Bills!$X$6:$X$25,0))&gt;0,"Paid",IF(B28&lt;TODAY(),"Late",IF(B28=TODAY(),"Due today",IF(B28-TODAY()&lt;=3,"Due in "&amp;(B28-TODAY())&amp;IF(B28-TODAY()=1," day"," days"),"Coming")))))</f>
        <v/>
      </c>
      <c r="G28" s="1" t="n"/>
      <c r="H28" s="15" t="inlineStr">
        <is>
          <t>Household</t>
        </is>
      </c>
      <c r="I28" s="16">
        <f>SUMIFS(Payments!$D$6:$D$605,Payments!$O$6:$O$605,H28,Payments!$B$6:$B$605,"&gt;="&amp;$AK$2,Payments!$B$6:$B$605,"&lt;="&amp;$AK$3)</f>
        <v/>
      </c>
      <c r="J28" s="1" t="n"/>
      <c r="K28" s="1" t="n"/>
      <c r="L28" s="1" t="n"/>
      <c r="AL28">
        <f>IFERROR(SMALL(Bills!$X$6:$X$25,8),"")</f>
        <v/>
      </c>
    </row>
    <row r="29">
      <c r="A29" s="1" t="n"/>
      <c r="B29" s="20">
        <f>IF(AL29="","",INT(AL29))</f>
        <v/>
      </c>
      <c r="C29" s="15">
        <f>IF(AL29="","",INDEX(Bills!$B$6:$B$25,MATCH(AL29,Bills!$X$6:$X$25,0)))</f>
        <v/>
      </c>
      <c r="D29" s="16">
        <f>IF(AL29="","",IF(INDEX(Bills!$W$6:$W$25,MATCH(AL29,Bills!$X$6:$X$25,0))&gt;0,INDEX(Bills!$W$6:$W$25,MATCH(AL29,Bills!$X$6:$X$25,0)),INDEX(Bills!$D$6:$D$25,MATCH(AL29,Bills!$X$6:$X$25,0))))</f>
        <v/>
      </c>
      <c r="E29" s="18">
        <f>IF(AL29="","",IF(INDEX(Bills!$W$6:$W$25,MATCH(AL29,Bills!$X$6:$X$25,0))&gt;0,IFERROR(INDEX(Payments!$E$6:$E$605,MATCH(C29&amp;"|"&amp;(YEAR($AK$2)*100+MONTH($AK$2)),Payments!$AJ$6:$AJ$605,0)),""),INDEX(Bills!$G$6:$G$25,MATCH(AL29,Bills!$X$6:$X$25,0))))</f>
        <v/>
      </c>
      <c r="F29" s="21">
        <f>IF(AL29="","",IF(INDEX(Bills!$W$6:$W$25,MATCH(AL29,Bills!$X$6:$X$25,0))&gt;0,"Paid",IF(B29&lt;TODAY(),"Late",IF(B29=TODAY(),"Due today",IF(B29-TODAY()&lt;=3,"Due in "&amp;(B29-TODAY())&amp;IF(B29-TODAY()=1," day"," days"),"Coming")))))</f>
        <v/>
      </c>
      <c r="G29" s="1" t="n"/>
      <c r="H29" s="15" t="inlineStr">
        <is>
          <t>Other</t>
        </is>
      </c>
      <c r="I29" s="16">
        <f>SUMIFS(Payments!$D$6:$D$605,Payments!$O$6:$O$605,H29,Payments!$B$6:$B$605,"&gt;="&amp;$AK$2,Payments!$B$6:$B$605,"&lt;="&amp;$AK$3)</f>
        <v/>
      </c>
      <c r="J29" s="1" t="n"/>
      <c r="K29" s="1" t="n"/>
      <c r="L29" s="1" t="n"/>
      <c r="AL29">
        <f>IFERROR(SMALL(Bills!$X$6:$X$25,9),"")</f>
        <v/>
      </c>
    </row>
    <row r="30">
      <c r="A30" s="1" t="n"/>
      <c r="B30" s="20">
        <f>IF(AL30="","",INT(AL30))</f>
        <v/>
      </c>
      <c r="C30" s="15">
        <f>IF(AL30="","",INDEX(Bills!$B$6:$B$25,MATCH(AL30,Bills!$X$6:$X$25,0)))</f>
        <v/>
      </c>
      <c r="D30" s="16">
        <f>IF(AL30="","",IF(INDEX(Bills!$W$6:$W$25,MATCH(AL30,Bills!$X$6:$X$25,0))&gt;0,INDEX(Bills!$W$6:$W$25,MATCH(AL30,Bills!$X$6:$X$25,0)),INDEX(Bills!$D$6:$D$25,MATCH(AL30,Bills!$X$6:$X$25,0))))</f>
        <v/>
      </c>
      <c r="E30" s="18">
        <f>IF(AL30="","",IF(INDEX(Bills!$W$6:$W$25,MATCH(AL30,Bills!$X$6:$X$25,0))&gt;0,IFERROR(INDEX(Payments!$E$6:$E$605,MATCH(C30&amp;"|"&amp;(YEAR($AK$2)*100+MONTH($AK$2)),Payments!$AJ$6:$AJ$605,0)),""),INDEX(Bills!$G$6:$G$25,MATCH(AL30,Bills!$X$6:$X$25,0))))</f>
        <v/>
      </c>
      <c r="F30" s="21">
        <f>IF(AL30="","",IF(INDEX(Bills!$W$6:$W$25,MATCH(AL30,Bills!$X$6:$X$25,0))&gt;0,"Paid",IF(B30&lt;TODAY(),"Late",IF(B30=TODAY(),"Due today",IF(B30-TODAY()&lt;=3,"Due in "&amp;(B30-TODAY())&amp;IF(B30-TODAY()=1," day"," days"),"Coming")))))</f>
        <v/>
      </c>
      <c r="G30" s="1" t="n"/>
      <c r="H30" s="1" t="n"/>
      <c r="I30" s="1" t="n"/>
      <c r="J30" s="1" t="n"/>
      <c r="K30" s="1" t="n"/>
      <c r="L30" s="1" t="n"/>
      <c r="AL30">
        <f>IFERROR(SMALL(Bills!$X$6:$X$25,10),"")</f>
        <v/>
      </c>
    </row>
    <row r="31">
      <c r="A31" s="1" t="n"/>
      <c r="B31" s="20">
        <f>IF(AL31="","",INT(AL31))</f>
        <v/>
      </c>
      <c r="C31" s="15">
        <f>IF(AL31="","",INDEX(Bills!$B$6:$B$25,MATCH(AL31,Bills!$X$6:$X$25,0)))</f>
        <v/>
      </c>
      <c r="D31" s="16">
        <f>IF(AL31="","",IF(INDEX(Bills!$W$6:$W$25,MATCH(AL31,Bills!$X$6:$X$25,0))&gt;0,INDEX(Bills!$W$6:$W$25,MATCH(AL31,Bills!$X$6:$X$25,0)),INDEX(Bills!$D$6:$D$25,MATCH(AL31,Bills!$X$6:$X$25,0))))</f>
        <v/>
      </c>
      <c r="E31" s="18">
        <f>IF(AL31="","",IF(INDEX(Bills!$W$6:$W$25,MATCH(AL31,Bills!$X$6:$X$25,0))&gt;0,IFERROR(INDEX(Payments!$E$6:$E$605,MATCH(C31&amp;"|"&amp;(YEAR($AK$2)*100+MONTH($AK$2)),Payments!$AJ$6:$AJ$605,0)),""),INDEX(Bills!$G$6:$G$25,MATCH(AL31,Bills!$X$6:$X$25,0))))</f>
        <v/>
      </c>
      <c r="F31" s="21">
        <f>IF(AL31="","",IF(INDEX(Bills!$W$6:$W$25,MATCH(AL31,Bills!$X$6:$X$25,0))&gt;0,"Paid",IF(B31&lt;TODAY(),"Late",IF(B31=TODAY(),"Due today",IF(B31-TODAY()&lt;=3,"Due in "&amp;(B31-TODAY())&amp;IF(B31-TODAY()=1," day"," days"),"Coming")))))</f>
        <v/>
      </c>
      <c r="G31" s="1" t="n"/>
      <c r="H31" s="19" t="inlineStr">
        <is>
          <t>Paid by: who paid it, or in grey who usually pays it.</t>
        </is>
      </c>
      <c r="I31" s="1" t="n"/>
      <c r="J31" s="1" t="n"/>
      <c r="K31" s="1" t="n"/>
      <c r="L31" s="1" t="n"/>
      <c r="AL31">
        <f>IFERROR(SMALL(Bills!$X$6:$X$25,11),"")</f>
        <v/>
      </c>
    </row>
    <row r="32">
      <c r="A32" s="1" t="n"/>
      <c r="B32" s="20">
        <f>IF(AL32="","",INT(AL32))</f>
        <v/>
      </c>
      <c r="C32" s="15">
        <f>IF(AL32="","",INDEX(Bills!$B$6:$B$25,MATCH(AL32,Bills!$X$6:$X$25,0)))</f>
        <v/>
      </c>
      <c r="D32" s="16">
        <f>IF(AL32="","",IF(INDEX(Bills!$W$6:$W$25,MATCH(AL32,Bills!$X$6:$X$25,0))&gt;0,INDEX(Bills!$W$6:$W$25,MATCH(AL32,Bills!$X$6:$X$25,0)),INDEX(Bills!$D$6:$D$25,MATCH(AL32,Bills!$X$6:$X$25,0))))</f>
        <v/>
      </c>
      <c r="E32" s="18">
        <f>IF(AL32="","",IF(INDEX(Bills!$W$6:$W$25,MATCH(AL32,Bills!$X$6:$X$25,0))&gt;0,IFERROR(INDEX(Payments!$E$6:$E$605,MATCH(C32&amp;"|"&amp;(YEAR($AK$2)*100+MONTH($AK$2)),Payments!$AJ$6:$AJ$605,0)),""),INDEX(Bills!$G$6:$G$25,MATCH(AL32,Bills!$X$6:$X$25,0))))</f>
        <v/>
      </c>
      <c r="F32" s="21">
        <f>IF(AL32="","",IF(INDEX(Bills!$W$6:$W$25,MATCH(AL32,Bills!$X$6:$X$25,0))&gt;0,"Paid",IF(B32&lt;TODAY(),"Late",IF(B32=TODAY(),"Due today",IF(B32-TODAY()&lt;=3,"Due in "&amp;(B32-TODAY())&amp;IF(B32-TODAY()=1," day"," days"),"Coming")))))</f>
        <v/>
      </c>
      <c r="G32" s="1" t="n"/>
      <c r="H32" s="1" t="n"/>
      <c r="I32" s="1" t="n"/>
      <c r="J32" s="1" t="n"/>
      <c r="K32" s="1" t="n"/>
      <c r="L32" s="1" t="n"/>
      <c r="AL32">
        <f>IFERROR(SMALL(Bills!$X$6:$X$25,12),"")</f>
        <v/>
      </c>
    </row>
    <row r="33">
      <c r="A33" s="1" t="n"/>
      <c r="B33" s="19">
        <f>IF(COUNT(Bills!$X$6:$X$25)&gt;12,"And "&amp;(COUNT(Bills!$X$6:$X$25)-12)&amp;" more due this month, on the Bills tab.","")</f>
        <v/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60" hidden="1">
      <c r="AA60">
        <f>IF(B10="",0,E10)</f>
        <v/>
      </c>
      <c r="AB60">
        <f>ROUND(AA60-IF(1=AA$72,AA$71,0)+IF(1=AA$73,AA$71,0),2)</f>
        <v/>
      </c>
      <c r="AC60">
        <f>ROUND(AB60-IF(1=AB$72,AB$71,0)+IF(1=AB$73,AB$71,0),2)</f>
        <v/>
      </c>
      <c r="AD60">
        <f>ROUND(AC60-IF(1=AC$72,AC$71,0)+IF(1=AC$73,AC$71,0),2)</f>
        <v/>
      </c>
      <c r="AE60">
        <f>ROUND(AD60-IF(1=AD$72,AD$71,0)+IF(1=AD$73,AD$71,0),2)</f>
        <v/>
      </c>
      <c r="AF60">
        <f>ROUND(AE60-IF(1=AE$72,AE$71,0)+IF(1=AE$73,AE$71,0),2)</f>
        <v/>
      </c>
      <c r="AG60">
        <f>ROUND(AF60-IF(1=AF$72,AF$71,0)+IF(1=AF$73,AF$71,0),2)</f>
        <v/>
      </c>
      <c r="AH60">
        <f>ROUND(AG60-IF(1=AG$72,AG$71,0)+IF(1=AG$73,AG$71,0),2)</f>
        <v/>
      </c>
    </row>
    <row r="61" hidden="1">
      <c r="AA61">
        <f>IF(B11="",0,E11)</f>
        <v/>
      </c>
      <c r="AB61">
        <f>ROUND(AA61-IF(2=AA$72,AA$71,0)+IF(2=AA$73,AA$71,0),2)</f>
        <v/>
      </c>
      <c r="AC61">
        <f>ROUND(AB61-IF(2=AB$72,AB$71,0)+IF(2=AB$73,AB$71,0),2)</f>
        <v/>
      </c>
      <c r="AD61">
        <f>ROUND(AC61-IF(2=AC$72,AC$71,0)+IF(2=AC$73,AC$71,0),2)</f>
        <v/>
      </c>
      <c r="AE61">
        <f>ROUND(AD61-IF(2=AD$72,AD$71,0)+IF(2=AD$73,AD$71,0),2)</f>
        <v/>
      </c>
      <c r="AF61">
        <f>ROUND(AE61-IF(2=AE$72,AE$71,0)+IF(2=AE$73,AE$71,0),2)</f>
        <v/>
      </c>
      <c r="AG61">
        <f>ROUND(AF61-IF(2=AF$72,AF$71,0)+IF(2=AF$73,AF$71,0),2)</f>
        <v/>
      </c>
      <c r="AH61">
        <f>ROUND(AG61-IF(2=AG$72,AG$71,0)+IF(2=AG$73,AG$71,0),2)</f>
        <v/>
      </c>
    </row>
    <row r="62" hidden="1">
      <c r="AA62">
        <f>IF(B12="",0,E12)</f>
        <v/>
      </c>
      <c r="AB62">
        <f>ROUND(AA62-IF(3=AA$72,AA$71,0)+IF(3=AA$73,AA$71,0),2)</f>
        <v/>
      </c>
      <c r="AC62">
        <f>ROUND(AB62-IF(3=AB$72,AB$71,0)+IF(3=AB$73,AB$71,0),2)</f>
        <v/>
      </c>
      <c r="AD62">
        <f>ROUND(AC62-IF(3=AC$72,AC$71,0)+IF(3=AC$73,AC$71,0),2)</f>
        <v/>
      </c>
      <c r="AE62">
        <f>ROUND(AD62-IF(3=AD$72,AD$71,0)+IF(3=AD$73,AD$71,0),2)</f>
        <v/>
      </c>
      <c r="AF62">
        <f>ROUND(AE62-IF(3=AE$72,AE$71,0)+IF(3=AE$73,AE$71,0),2)</f>
        <v/>
      </c>
      <c r="AG62">
        <f>ROUND(AF62-IF(3=AF$72,AF$71,0)+IF(3=AF$73,AF$71,0),2)</f>
        <v/>
      </c>
      <c r="AH62">
        <f>ROUND(AG62-IF(3=AG$72,AG$71,0)+IF(3=AG$73,AG$71,0),2)</f>
        <v/>
      </c>
    </row>
    <row r="63" hidden="1">
      <c r="AA63">
        <f>IF(B13="",0,E13)</f>
        <v/>
      </c>
      <c r="AB63">
        <f>ROUND(AA63-IF(4=AA$72,AA$71,0)+IF(4=AA$73,AA$71,0),2)</f>
        <v/>
      </c>
      <c r="AC63">
        <f>ROUND(AB63-IF(4=AB$72,AB$71,0)+IF(4=AB$73,AB$71,0),2)</f>
        <v/>
      </c>
      <c r="AD63">
        <f>ROUND(AC63-IF(4=AC$72,AC$71,0)+IF(4=AC$73,AC$71,0),2)</f>
        <v/>
      </c>
      <c r="AE63">
        <f>ROUND(AD63-IF(4=AD$72,AD$71,0)+IF(4=AD$73,AD$71,0),2)</f>
        <v/>
      </c>
      <c r="AF63">
        <f>ROUND(AE63-IF(4=AE$72,AE$71,0)+IF(4=AE$73,AE$71,0),2)</f>
        <v/>
      </c>
      <c r="AG63">
        <f>ROUND(AF63-IF(4=AF$72,AF$71,0)+IF(4=AF$73,AF$71,0),2)</f>
        <v/>
      </c>
      <c r="AH63">
        <f>ROUND(AG63-IF(4=AG$72,AG$71,0)+IF(4=AG$73,AG$71,0),2)</f>
        <v/>
      </c>
    </row>
    <row r="64" hidden="1">
      <c r="AA64">
        <f>IF(B14="",0,E14)</f>
        <v/>
      </c>
      <c r="AB64">
        <f>ROUND(AA64-IF(5=AA$72,AA$71,0)+IF(5=AA$73,AA$71,0),2)</f>
        <v/>
      </c>
      <c r="AC64">
        <f>ROUND(AB64-IF(5=AB$72,AB$71,0)+IF(5=AB$73,AB$71,0),2)</f>
        <v/>
      </c>
      <c r="AD64">
        <f>ROUND(AC64-IF(5=AC$72,AC$71,0)+IF(5=AC$73,AC$71,0),2)</f>
        <v/>
      </c>
      <c r="AE64">
        <f>ROUND(AD64-IF(5=AD$72,AD$71,0)+IF(5=AD$73,AD$71,0),2)</f>
        <v/>
      </c>
      <c r="AF64">
        <f>ROUND(AE64-IF(5=AE$72,AE$71,0)+IF(5=AE$73,AE$71,0),2)</f>
        <v/>
      </c>
      <c r="AG64">
        <f>ROUND(AF64-IF(5=AF$72,AF$71,0)+IF(5=AF$73,AF$71,0),2)</f>
        <v/>
      </c>
      <c r="AH64">
        <f>ROUND(AG64-IF(5=AG$72,AG$71,0)+IF(5=AG$73,AG$71,0),2)</f>
        <v/>
      </c>
    </row>
    <row r="65" hidden="1">
      <c r="AA65">
        <f>IF(B15="",0,E15)</f>
        <v/>
      </c>
      <c r="AB65">
        <f>ROUND(AA65-IF(6=AA$72,AA$71,0)+IF(6=AA$73,AA$71,0),2)</f>
        <v/>
      </c>
      <c r="AC65">
        <f>ROUND(AB65-IF(6=AB$72,AB$71,0)+IF(6=AB$73,AB$71,0),2)</f>
        <v/>
      </c>
      <c r="AD65">
        <f>ROUND(AC65-IF(6=AC$72,AC$71,0)+IF(6=AC$73,AC$71,0),2)</f>
        <v/>
      </c>
      <c r="AE65">
        <f>ROUND(AD65-IF(6=AD$72,AD$71,0)+IF(6=AD$73,AD$71,0),2)</f>
        <v/>
      </c>
      <c r="AF65">
        <f>ROUND(AE65-IF(6=AE$72,AE$71,0)+IF(6=AE$73,AE$71,0),2)</f>
        <v/>
      </c>
      <c r="AG65">
        <f>ROUND(AF65-IF(6=AF$72,AF$71,0)+IF(6=AF$73,AF$71,0),2)</f>
        <v/>
      </c>
      <c r="AH65">
        <f>ROUND(AG65-IF(6=AG$72,AG$71,0)+IF(6=AG$73,AG$71,0),2)</f>
        <v/>
      </c>
    </row>
    <row r="66" hidden="1">
      <c r="AA66">
        <f>IF(B16="",0,E16)</f>
        <v/>
      </c>
      <c r="AB66">
        <f>ROUND(AA66-IF(7=AA$72,AA$71,0)+IF(7=AA$73,AA$71,0),2)</f>
        <v/>
      </c>
      <c r="AC66">
        <f>ROUND(AB66-IF(7=AB$72,AB$71,0)+IF(7=AB$73,AB$71,0),2)</f>
        <v/>
      </c>
      <c r="AD66">
        <f>ROUND(AC66-IF(7=AC$72,AC$71,0)+IF(7=AC$73,AC$71,0),2)</f>
        <v/>
      </c>
      <c r="AE66">
        <f>ROUND(AD66-IF(7=AD$72,AD$71,0)+IF(7=AD$73,AD$71,0),2)</f>
        <v/>
      </c>
      <c r="AF66">
        <f>ROUND(AE66-IF(7=AE$72,AE$71,0)+IF(7=AE$73,AE$71,0),2)</f>
        <v/>
      </c>
      <c r="AG66">
        <f>ROUND(AF66-IF(7=AF$72,AF$71,0)+IF(7=AF$73,AF$71,0),2)</f>
        <v/>
      </c>
      <c r="AH66">
        <f>ROUND(AG66-IF(7=AG$72,AG$71,0)+IF(7=AG$73,AG$71,0),2)</f>
        <v/>
      </c>
    </row>
    <row r="67" hidden="1">
      <c r="AA67">
        <f>IF(B17="",0,E17)</f>
        <v/>
      </c>
      <c r="AB67">
        <f>ROUND(AA67-IF(8=AA$72,AA$71,0)+IF(8=AA$73,AA$71,0),2)</f>
        <v/>
      </c>
      <c r="AC67">
        <f>ROUND(AB67-IF(8=AB$72,AB$71,0)+IF(8=AB$73,AB$71,0),2)</f>
        <v/>
      </c>
      <c r="AD67">
        <f>ROUND(AC67-IF(8=AC$72,AC$71,0)+IF(8=AC$73,AC$71,0),2)</f>
        <v/>
      </c>
      <c r="AE67">
        <f>ROUND(AD67-IF(8=AD$72,AD$71,0)+IF(8=AD$73,AD$71,0),2)</f>
        <v/>
      </c>
      <c r="AF67">
        <f>ROUND(AE67-IF(8=AE$72,AE$71,0)+IF(8=AE$73,AE$71,0),2)</f>
        <v/>
      </c>
      <c r="AG67">
        <f>ROUND(AF67-IF(8=AF$72,AF$71,0)+IF(8=AF$73,AF$71,0),2)</f>
        <v/>
      </c>
      <c r="AH67">
        <f>ROUND(AG67-IF(8=AG$72,AG$71,0)+IF(8=AG$73,AG$71,0),2)</f>
        <v/>
      </c>
    </row>
    <row r="69" hidden="1">
      <c r="AA69">
        <f>MAX(AA$60:AA$67)</f>
        <v/>
      </c>
      <c r="AB69">
        <f>MAX(AB$60:AB$67)</f>
        <v/>
      </c>
      <c r="AC69">
        <f>MAX(AC$60:AC$67)</f>
        <v/>
      </c>
      <c r="AD69">
        <f>MAX(AD$60:AD$67)</f>
        <v/>
      </c>
      <c r="AE69">
        <f>MAX(AE$60:AE$67)</f>
        <v/>
      </c>
      <c r="AF69">
        <f>MAX(AF$60:AF$67)</f>
        <v/>
      </c>
      <c r="AG69">
        <f>MAX(AG$60:AG$67)</f>
        <v/>
      </c>
    </row>
    <row r="70" hidden="1">
      <c r="AA70">
        <f>MIN(AA$60:AA$67)</f>
        <v/>
      </c>
      <c r="AB70">
        <f>MIN(AB$60:AB$67)</f>
        <v/>
      </c>
      <c r="AC70">
        <f>MIN(AC$60:AC$67)</f>
        <v/>
      </c>
      <c r="AD70">
        <f>MIN(AD$60:AD$67)</f>
        <v/>
      </c>
      <c r="AE70">
        <f>MIN(AE$60:AE$67)</f>
        <v/>
      </c>
      <c r="AF70">
        <f>MIN(AF$60:AF$67)</f>
        <v/>
      </c>
      <c r="AG70">
        <f>MIN(AG$60:AG$67)</f>
        <v/>
      </c>
    </row>
    <row r="71" hidden="1">
      <c r="AA71">
        <f>ROUND(MIN(AA69,-AA70),2)</f>
        <v/>
      </c>
      <c r="AB71">
        <f>ROUND(MIN(AB69,-AB70),2)</f>
        <v/>
      </c>
      <c r="AC71">
        <f>ROUND(MIN(AC69,-AC70),2)</f>
        <v/>
      </c>
      <c r="AD71">
        <f>ROUND(MIN(AD69,-AD70),2)</f>
        <v/>
      </c>
      <c r="AE71">
        <f>ROUND(MIN(AE69,-AE70),2)</f>
        <v/>
      </c>
      <c r="AF71">
        <f>ROUND(MIN(AF69,-AF70),2)</f>
        <v/>
      </c>
      <c r="AG71">
        <f>ROUND(MIN(AG69,-AG70),2)</f>
        <v/>
      </c>
    </row>
    <row r="72" hidden="1">
      <c r="AA72">
        <f>MATCH(AA69,AA$60:AA$67,0)</f>
        <v/>
      </c>
      <c r="AB72">
        <f>MATCH(AB69,AB$60:AB$67,0)</f>
        <v/>
      </c>
      <c r="AC72">
        <f>MATCH(AC69,AC$60:AC$67,0)</f>
        <v/>
      </c>
      <c r="AD72">
        <f>MATCH(AD69,AD$60:AD$67,0)</f>
        <v/>
      </c>
      <c r="AE72">
        <f>MATCH(AE69,AE$60:AE$67,0)</f>
        <v/>
      </c>
      <c r="AF72">
        <f>MATCH(AF69,AF$60:AF$67,0)</f>
        <v/>
      </c>
      <c r="AG72">
        <f>MATCH(AG69,AG$60:AG$67,0)</f>
        <v/>
      </c>
    </row>
    <row r="73" hidden="1">
      <c r="AA73">
        <f>MATCH(AA70,AA$60:AA$67,0)</f>
        <v/>
      </c>
      <c r="AB73">
        <f>MATCH(AB70,AB$60:AB$67,0)</f>
        <v/>
      </c>
      <c r="AC73">
        <f>MATCH(AC70,AC$60:AC$67,0)</f>
        <v/>
      </c>
      <c r="AD73">
        <f>MATCH(AD70,AD$60:AD$67,0)</f>
        <v/>
      </c>
      <c r="AE73">
        <f>MATCH(AE70,AE$60:AE$67,0)</f>
        <v/>
      </c>
      <c r="AF73">
        <f>MATCH(AF70,AF$60:AF$67,0)</f>
        <v/>
      </c>
      <c r="AG73">
        <f>MATCH(AG70,AG$60:AG$67,0)</f>
        <v/>
      </c>
    </row>
  </sheetData>
  <mergeCells count="2">
    <mergeCell ref="E7:F7"/>
    <mergeCell ref="E6:F6"/>
  </mergeCells>
  <conditionalFormatting sqref="F10:F17">
    <cfRule type="expression" priority="1" dxfId="0">
      <formula>LEFT(F10,4)="Gets"</formula>
    </cfRule>
    <cfRule type="expression" priority="2" dxfId="1">
      <formula>LEFT(F10,4)="Owes"</formula>
    </cfRule>
    <cfRule type="expression" priority="3" dxfId="2">
      <formula>F10="Settled"</formula>
    </cfRule>
  </conditionalFormatting>
  <conditionalFormatting sqref="F21:F32">
    <cfRule type="expression" priority="4" dxfId="0">
      <formula>F21="Paid"</formula>
    </cfRule>
    <cfRule type="expression" priority="5" dxfId="3">
      <formula>F21="Late"</formula>
    </cfRule>
    <cfRule type="expression" priority="6" dxfId="1">
      <formula>LEFT(F21,3)="Due"</formula>
    </cfRule>
  </conditionalFormatting>
  <conditionalFormatting sqref="E21:E32">
    <cfRule type="expression" priority="7" dxfId="4">
      <formula>AND(E21&lt;&gt;"",F21&lt;&gt;"Paid")</formula>
    </cfRule>
  </conditionalFormatting>
  <dataValidations count="1">
    <dataValidation sqref="C4" showDropDown="0" showInputMessage="0" showErrorMessage="1" allowBlank="1" type="list">
      <formula1>"January,February,March,April,May,June,July,August,September,October,November,December"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6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11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  <col width="14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2" customHeight="1">
      <c r="A2" s="1" t="n"/>
      <c r="B2" s="2" t="inlineStr">
        <is>
          <t>Payments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One line per bill paid or shared buy. Leave the shares empty to use the bill's split. Put an x under the people who share it, or a number for more or less than one share.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1" t="n"/>
      <c r="B5" s="14" t="inlineStr">
        <is>
          <t>Date</t>
        </is>
      </c>
      <c r="C5" s="14" t="inlineStr">
        <is>
          <t>Bill or what</t>
        </is>
      </c>
      <c r="D5" s="14" t="inlineStr">
        <is>
          <t>Amount</t>
        </is>
      </c>
      <c r="E5" s="14" t="inlineStr">
        <is>
          <t>Paid by</t>
        </is>
      </c>
      <c r="F5" s="22">
        <f>IF(Housemates!$B$8="","",Housemates!$B$8)</f>
        <v/>
      </c>
      <c r="G5" s="22">
        <f>IF(Housemates!$B$9="","",Housemates!$B$9)</f>
        <v/>
      </c>
      <c r="H5" s="22">
        <f>IF(Housemates!$B$10="","",Housemates!$B$10)</f>
        <v/>
      </c>
      <c r="I5" s="22">
        <f>IF(Housemates!$B$11="","",Housemates!$B$11)</f>
        <v/>
      </c>
      <c r="J5" s="22">
        <f>IF(Housemates!$B$12="","",Housemates!$B$12)</f>
        <v/>
      </c>
      <c r="K5" s="22">
        <f>IF(Housemates!$B$13="","",Housemates!$B$13)</f>
        <v/>
      </c>
      <c r="L5" s="22">
        <f>IF(Housemates!$B$14="","",Housemates!$B$14)</f>
        <v/>
      </c>
      <c r="M5" s="22">
        <f>IF(Housemates!$B$15="","",Housemates!$B$15)</f>
        <v/>
      </c>
      <c r="N5" s="14" t="inlineStr">
        <is>
          <t>Split</t>
        </is>
      </c>
      <c r="O5" s="14" t="inlineStr">
        <is>
          <t>Category</t>
        </is>
      </c>
      <c r="P5" s="1" t="n"/>
    </row>
    <row r="6">
      <c r="A6" s="1" t="n"/>
      <c r="B6" s="23" t="n">
        <v>46023</v>
      </c>
      <c r="C6" s="24" t="inlineStr">
        <is>
          <t>Rent</t>
        </is>
      </c>
      <c r="D6" s="25" t="n">
        <v>2400</v>
      </c>
      <c r="E6" s="26" t="inlineStr">
        <is>
          <t>Maya</t>
        </is>
      </c>
      <c r="F6" s="27" t="n"/>
      <c r="G6" s="27" t="n"/>
      <c r="H6" s="27" t="n"/>
      <c r="I6" s="27" t="n"/>
      <c r="J6" s="27" t="n"/>
      <c r="K6" s="27" t="n"/>
      <c r="L6" s="27" t="n"/>
      <c r="M6" s="27" t="n"/>
      <c r="N6" s="21">
        <f>IF(D6="","",IF(B6="","No date",IF(AND(C6="Paying back",R6=0),"To whom?",IF(AA6=0,"Nobody",IF(C6="Paying back","To "&amp;INDEX(Housemates!$B$8:$B$15,MATCH(MAX(S6:Z6),S6:Z6,0)),IF(R6&gt;0,IF(COUNTIF(S6:Z6,"&gt;0")=1,"1 person",COUNTIF(S6:Z6,"&gt;0")&amp;" people"),IF(Q6=0,"Everyone",INDEX(Bills!$Q$6:$Q$25,Q6))))))))</f>
        <v/>
      </c>
      <c r="O6" s="18">
        <f>IF(D6="","",IF(C6="Paying back","Paying back",IF(Q6=0,"Other",IF(INDEX(Bills!$C$6:$C$25,Q6)="","Other",INDEX(Bills!$C$6:$C$25,Q6)))))</f>
        <v/>
      </c>
      <c r="P6" s="1" t="n"/>
      <c r="Q6">
        <f>IF(C6="",0,IFERROR(MATCH(C6,Bills!$B$6:$B$25,0),0))</f>
        <v/>
      </c>
      <c r="R6">
        <f>COUNTA(F6:M6)</f>
        <v/>
      </c>
      <c r="S6">
        <f>IF(OR($D6="",$B6="",Housemates!$B$8=""),0,IF($R6&gt;0,IF(F6="",0,IF(ISNUMBER(F6),F6,1)),IF($C6="Paying back",0,IF(AND(OR(Housemates!$C$8="",Housemates!$C$8&lt;=$B6),OR(Housemates!$D$8="",Housemates!$D$8&gt;=$B6)),IF($Q6=0,1,INDEX(Bills!$AA$6:$AA$25,$Q6)),0))))</f>
        <v/>
      </c>
      <c r="T6">
        <f>IF(OR($D6="",$B6="",Housemates!$B$9=""),0,IF($R6&gt;0,IF(G6="",0,IF(ISNUMBER(G6),G6,1)),IF($C6="Paying back",0,IF(AND(OR(Housemates!$C$9="",Housemates!$C$9&lt;=$B6),OR(Housemates!$D$9="",Housemates!$D$9&gt;=$B6)),IF($Q6=0,1,INDEX(Bills!$AB$6:$AB$25,$Q6)),0))))</f>
        <v/>
      </c>
      <c r="U6">
        <f>IF(OR($D6="",$B6="",Housemates!$B$10=""),0,IF($R6&gt;0,IF(H6="",0,IF(ISNUMBER(H6),H6,1)),IF($C6="Paying back",0,IF(AND(OR(Housemates!$C$10="",Housemates!$C$10&lt;=$B6),OR(Housemates!$D$10="",Housemates!$D$10&gt;=$B6)),IF($Q6=0,1,INDEX(Bills!$AC$6:$AC$25,$Q6)),0))))</f>
        <v/>
      </c>
      <c r="V6">
        <f>IF(OR($D6="",$B6="",Housemates!$B$11=""),0,IF($R6&gt;0,IF(I6="",0,IF(ISNUMBER(I6),I6,1)),IF($C6="Paying back",0,IF(AND(OR(Housemates!$C$11="",Housemates!$C$11&lt;=$B6),OR(Housemates!$D$11="",Housemates!$D$11&gt;=$B6)),IF($Q6=0,1,INDEX(Bills!$AD$6:$AD$25,$Q6)),0))))</f>
        <v/>
      </c>
      <c r="W6">
        <f>IF(OR($D6="",$B6="",Housemates!$B$12=""),0,IF($R6&gt;0,IF(J6="",0,IF(ISNUMBER(J6),J6,1)),IF($C6="Paying back",0,IF(AND(OR(Housemates!$C$12="",Housemates!$C$12&lt;=$B6),OR(Housemates!$D$12="",Housemates!$D$12&gt;=$B6)),IF($Q6=0,1,INDEX(Bills!$AE$6:$AE$25,$Q6)),0))))</f>
        <v/>
      </c>
      <c r="X6">
        <f>IF(OR($D6="",$B6="",Housemates!$B$13=""),0,IF($R6&gt;0,IF(K6="",0,IF(ISNUMBER(K6),K6,1)),IF($C6="Paying back",0,IF(AND(OR(Housemates!$C$13="",Housemates!$C$13&lt;=$B6),OR(Housemates!$D$13="",Housemates!$D$13&gt;=$B6)),IF($Q6=0,1,INDEX(Bills!$AF$6:$AF$25,$Q6)),0))))</f>
        <v/>
      </c>
      <c r="Y6">
        <f>IF(OR($D6="",$B6="",Housemates!$B$14=""),0,IF($R6&gt;0,IF(L6="",0,IF(ISNUMBER(L6),L6,1)),IF($C6="Paying back",0,IF(AND(OR(Housemates!$C$14="",Housemates!$C$14&lt;=$B6),OR(Housemates!$D$14="",Housemates!$D$14&gt;=$B6)),IF($Q6=0,1,INDEX(Bills!$AG$6:$AG$25,$Q6)),0))))</f>
        <v/>
      </c>
      <c r="Z6">
        <f>IF(OR($D6="",$B6="",Housemates!$B$15=""),0,IF($R6&gt;0,IF(M6="",0,IF(ISNUMBER(M6),M6,1)),IF($C6="Paying back",0,IF(AND(OR(Housemates!$C$15="",Housemates!$C$15&lt;=$B6),OR(Housemates!$D$15="",Housemates!$D$15&gt;=$B6)),IF($Q6=0,1,INDEX(Bills!$AH$6:$AH$25,$Q6)),0))))</f>
        <v/>
      </c>
      <c r="AA6">
        <f>SUM(S6:Z6)</f>
        <v/>
      </c>
      <c r="AB6">
        <f>IF(AA6=0,0,D6*S6/AA6)</f>
        <v/>
      </c>
      <c r="AC6">
        <f>IF(AA6=0,0,D6*T6/AA6)</f>
        <v/>
      </c>
      <c r="AD6">
        <f>IF(AA6=0,0,D6*U6/AA6)</f>
        <v/>
      </c>
      <c r="AE6">
        <f>IF(AA6=0,0,D6*V6/AA6)</f>
        <v/>
      </c>
      <c r="AF6">
        <f>IF(AA6=0,0,D6*W6/AA6)</f>
        <v/>
      </c>
      <c r="AG6">
        <f>IF(AA6=0,0,D6*X6/AA6)</f>
        <v/>
      </c>
      <c r="AH6">
        <f>IF(AA6=0,0,D6*Y6/AA6)</f>
        <v/>
      </c>
      <c r="AI6">
        <f>IF(AA6=0,0,D6*Z6/AA6)</f>
        <v/>
      </c>
      <c r="AJ6">
        <f>IF(OR(C6="",B6=""),"",C6&amp;"|"&amp;(YEAR(B6)*100+MONTH(B6)))</f>
        <v/>
      </c>
    </row>
    <row r="7">
      <c r="A7" s="1" t="n"/>
      <c r="B7" s="23" t="n">
        <v>46023</v>
      </c>
      <c r="C7" s="24" t="inlineStr">
        <is>
          <t>Groceries</t>
        </is>
      </c>
      <c r="D7" s="25" t="n">
        <v>50.88</v>
      </c>
      <c r="E7" s="26" t="inlineStr">
        <is>
          <t>Tom</t>
        </is>
      </c>
      <c r="F7" s="27" t="n"/>
      <c r="G7" s="27" t="n"/>
      <c r="H7" s="27" t="n"/>
      <c r="I7" s="27" t="n"/>
      <c r="J7" s="27" t="n"/>
      <c r="K7" s="27" t="n"/>
      <c r="L7" s="27" t="n"/>
      <c r="M7" s="27" t="n"/>
      <c r="N7" s="21">
        <f>IF(D7="","",IF(B7="","No date",IF(AND(C7="Paying back",R7=0),"To whom?",IF(AA7=0,"Nobody",IF(C7="Paying back","To "&amp;INDEX(Housemates!$B$8:$B$15,MATCH(MAX(S7:Z7),S7:Z7,0)),IF(R7&gt;0,IF(COUNTIF(S7:Z7,"&gt;0")=1,"1 person",COUNTIF(S7:Z7,"&gt;0")&amp;" people"),IF(Q7=0,"Everyone",INDEX(Bills!$Q$6:$Q$25,Q7))))))))</f>
        <v/>
      </c>
      <c r="O7" s="18">
        <f>IF(D7="","",IF(C7="Paying back","Paying back",IF(Q7=0,"Other",IF(INDEX(Bills!$C$6:$C$25,Q7)="","Other",INDEX(Bills!$C$6:$C$25,Q7)))))</f>
        <v/>
      </c>
      <c r="P7" s="1" t="n"/>
      <c r="Q7">
        <f>IF(C7="",0,IFERROR(MATCH(C7,Bills!$B$6:$B$25,0),0))</f>
        <v/>
      </c>
      <c r="R7">
        <f>COUNTA(F7:M7)</f>
        <v/>
      </c>
      <c r="S7">
        <f>IF(OR($D7="",$B7="",Housemates!$B$8=""),0,IF($R7&gt;0,IF(F7="",0,IF(ISNUMBER(F7),F7,1)),IF($C7="Paying back",0,IF(AND(OR(Housemates!$C$8="",Housemates!$C$8&lt;=$B7),OR(Housemates!$D$8="",Housemates!$D$8&gt;=$B7)),IF($Q7=0,1,INDEX(Bills!$AA$6:$AA$25,$Q7)),0))))</f>
        <v/>
      </c>
      <c r="T7">
        <f>IF(OR($D7="",$B7="",Housemates!$B$9=""),0,IF($R7&gt;0,IF(G7="",0,IF(ISNUMBER(G7),G7,1)),IF($C7="Paying back",0,IF(AND(OR(Housemates!$C$9="",Housemates!$C$9&lt;=$B7),OR(Housemates!$D$9="",Housemates!$D$9&gt;=$B7)),IF($Q7=0,1,INDEX(Bills!$AB$6:$AB$25,$Q7)),0))))</f>
        <v/>
      </c>
      <c r="U7">
        <f>IF(OR($D7="",$B7="",Housemates!$B$10=""),0,IF($R7&gt;0,IF(H7="",0,IF(ISNUMBER(H7),H7,1)),IF($C7="Paying back",0,IF(AND(OR(Housemates!$C$10="",Housemates!$C$10&lt;=$B7),OR(Housemates!$D$10="",Housemates!$D$10&gt;=$B7)),IF($Q7=0,1,INDEX(Bills!$AC$6:$AC$25,$Q7)),0))))</f>
        <v/>
      </c>
      <c r="V7">
        <f>IF(OR($D7="",$B7="",Housemates!$B$11=""),0,IF($R7&gt;0,IF(I7="",0,IF(ISNUMBER(I7),I7,1)),IF($C7="Paying back",0,IF(AND(OR(Housemates!$C$11="",Housemates!$C$11&lt;=$B7),OR(Housemates!$D$11="",Housemates!$D$11&gt;=$B7)),IF($Q7=0,1,INDEX(Bills!$AD$6:$AD$25,$Q7)),0))))</f>
        <v/>
      </c>
      <c r="W7">
        <f>IF(OR($D7="",$B7="",Housemates!$B$12=""),0,IF($R7&gt;0,IF(J7="",0,IF(ISNUMBER(J7),J7,1)),IF($C7="Paying back",0,IF(AND(OR(Housemates!$C$12="",Housemates!$C$12&lt;=$B7),OR(Housemates!$D$12="",Housemates!$D$12&gt;=$B7)),IF($Q7=0,1,INDEX(Bills!$AE$6:$AE$25,$Q7)),0))))</f>
        <v/>
      </c>
      <c r="X7">
        <f>IF(OR($D7="",$B7="",Housemates!$B$13=""),0,IF($R7&gt;0,IF(K7="",0,IF(ISNUMBER(K7),K7,1)),IF($C7="Paying back",0,IF(AND(OR(Housemates!$C$13="",Housemates!$C$13&lt;=$B7),OR(Housemates!$D$13="",Housemates!$D$13&gt;=$B7)),IF($Q7=0,1,INDEX(Bills!$AF$6:$AF$25,$Q7)),0))))</f>
        <v/>
      </c>
      <c r="Y7">
        <f>IF(OR($D7="",$B7="",Housemates!$B$14=""),0,IF($R7&gt;0,IF(L7="",0,IF(ISNUMBER(L7),L7,1)),IF($C7="Paying back",0,IF(AND(OR(Housemates!$C$14="",Housemates!$C$14&lt;=$B7),OR(Housemates!$D$14="",Housemates!$D$14&gt;=$B7)),IF($Q7=0,1,INDEX(Bills!$AG$6:$AG$25,$Q7)),0))))</f>
        <v/>
      </c>
      <c r="Z7">
        <f>IF(OR($D7="",$B7="",Housemates!$B$15=""),0,IF($R7&gt;0,IF(M7="",0,IF(ISNUMBER(M7),M7,1)),IF($C7="Paying back",0,IF(AND(OR(Housemates!$C$15="",Housemates!$C$15&lt;=$B7),OR(Housemates!$D$15="",Housemates!$D$15&gt;=$B7)),IF($Q7=0,1,INDEX(Bills!$AH$6:$AH$25,$Q7)),0))))</f>
        <v/>
      </c>
      <c r="AA7">
        <f>SUM(S7:Z7)</f>
        <v/>
      </c>
      <c r="AB7">
        <f>IF(AA7=0,0,D7*S7/AA7)</f>
        <v/>
      </c>
      <c r="AC7">
        <f>IF(AA7=0,0,D7*T7/AA7)</f>
        <v/>
      </c>
      <c r="AD7">
        <f>IF(AA7=0,0,D7*U7/AA7)</f>
        <v/>
      </c>
      <c r="AE7">
        <f>IF(AA7=0,0,D7*V7/AA7)</f>
        <v/>
      </c>
      <c r="AF7">
        <f>IF(AA7=0,0,D7*W7/AA7)</f>
        <v/>
      </c>
      <c r="AG7">
        <f>IF(AA7=0,0,D7*X7/AA7)</f>
        <v/>
      </c>
      <c r="AH7">
        <f>IF(AA7=0,0,D7*Y7/AA7)</f>
        <v/>
      </c>
      <c r="AI7">
        <f>IF(AA7=0,0,D7*Z7/AA7)</f>
        <v/>
      </c>
      <c r="AJ7">
        <f>IF(OR(C7="",B7=""),"",C7&amp;"|"&amp;(YEAR(B7)*100+MONTH(B7)))</f>
        <v/>
      </c>
    </row>
    <row r="8">
      <c r="A8" s="1" t="n"/>
      <c r="B8" s="23" t="n">
        <v>46025</v>
      </c>
      <c r="C8" s="24" t="inlineStr">
        <is>
          <t>Internet</t>
        </is>
      </c>
      <c r="D8" s="25" t="n">
        <v>45</v>
      </c>
      <c r="E8" s="26" t="inlineStr">
        <is>
          <t>Leo</t>
        </is>
      </c>
      <c r="F8" s="27" t="n"/>
      <c r="G8" s="27" t="n"/>
      <c r="H8" s="27" t="n"/>
      <c r="I8" s="27" t="n"/>
      <c r="J8" s="27" t="n"/>
      <c r="K8" s="27" t="n"/>
      <c r="L8" s="27" t="n"/>
      <c r="M8" s="27" t="n"/>
      <c r="N8" s="21">
        <f>IF(D8="","",IF(B8="","No date",IF(AND(C8="Paying back",R8=0),"To whom?",IF(AA8=0,"Nobody",IF(C8="Paying back","To "&amp;INDEX(Housemates!$B$8:$B$15,MATCH(MAX(S8:Z8),S8:Z8,0)),IF(R8&gt;0,IF(COUNTIF(S8:Z8,"&gt;0")=1,"1 person",COUNTIF(S8:Z8,"&gt;0")&amp;" people"),IF(Q8=0,"Everyone",INDEX(Bills!$Q$6:$Q$25,Q8))))))))</f>
        <v/>
      </c>
      <c r="O8" s="18">
        <f>IF(D8="","",IF(C8="Paying back","Paying back",IF(Q8=0,"Other",IF(INDEX(Bills!$C$6:$C$25,Q8)="","Other",INDEX(Bills!$C$6:$C$25,Q8)))))</f>
        <v/>
      </c>
      <c r="P8" s="1" t="n"/>
      <c r="Q8">
        <f>IF(C8="",0,IFERROR(MATCH(C8,Bills!$B$6:$B$25,0),0))</f>
        <v/>
      </c>
      <c r="R8">
        <f>COUNTA(F8:M8)</f>
        <v/>
      </c>
      <c r="S8">
        <f>IF(OR($D8="",$B8="",Housemates!$B$8=""),0,IF($R8&gt;0,IF(F8="",0,IF(ISNUMBER(F8),F8,1)),IF($C8="Paying back",0,IF(AND(OR(Housemates!$C$8="",Housemates!$C$8&lt;=$B8),OR(Housemates!$D$8="",Housemates!$D$8&gt;=$B8)),IF($Q8=0,1,INDEX(Bills!$AA$6:$AA$25,$Q8)),0))))</f>
        <v/>
      </c>
      <c r="T8">
        <f>IF(OR($D8="",$B8="",Housemates!$B$9=""),0,IF($R8&gt;0,IF(G8="",0,IF(ISNUMBER(G8),G8,1)),IF($C8="Paying back",0,IF(AND(OR(Housemates!$C$9="",Housemates!$C$9&lt;=$B8),OR(Housemates!$D$9="",Housemates!$D$9&gt;=$B8)),IF($Q8=0,1,INDEX(Bills!$AB$6:$AB$25,$Q8)),0))))</f>
        <v/>
      </c>
      <c r="U8">
        <f>IF(OR($D8="",$B8="",Housemates!$B$10=""),0,IF($R8&gt;0,IF(H8="",0,IF(ISNUMBER(H8),H8,1)),IF($C8="Paying back",0,IF(AND(OR(Housemates!$C$10="",Housemates!$C$10&lt;=$B8),OR(Housemates!$D$10="",Housemates!$D$10&gt;=$B8)),IF($Q8=0,1,INDEX(Bills!$AC$6:$AC$25,$Q8)),0))))</f>
        <v/>
      </c>
      <c r="V8">
        <f>IF(OR($D8="",$B8="",Housemates!$B$11=""),0,IF($R8&gt;0,IF(I8="",0,IF(ISNUMBER(I8),I8,1)),IF($C8="Paying back",0,IF(AND(OR(Housemates!$C$11="",Housemates!$C$11&lt;=$B8),OR(Housemates!$D$11="",Housemates!$D$11&gt;=$B8)),IF($Q8=0,1,INDEX(Bills!$AD$6:$AD$25,$Q8)),0))))</f>
        <v/>
      </c>
      <c r="W8">
        <f>IF(OR($D8="",$B8="",Housemates!$B$12=""),0,IF($R8&gt;0,IF(J8="",0,IF(ISNUMBER(J8),J8,1)),IF($C8="Paying back",0,IF(AND(OR(Housemates!$C$12="",Housemates!$C$12&lt;=$B8),OR(Housemates!$D$12="",Housemates!$D$12&gt;=$B8)),IF($Q8=0,1,INDEX(Bills!$AE$6:$AE$25,$Q8)),0))))</f>
        <v/>
      </c>
      <c r="X8">
        <f>IF(OR($D8="",$B8="",Housemates!$B$13=""),0,IF($R8&gt;0,IF(K8="",0,IF(ISNUMBER(K8),K8,1)),IF($C8="Paying back",0,IF(AND(OR(Housemates!$C$13="",Housemates!$C$13&lt;=$B8),OR(Housemates!$D$13="",Housemates!$D$13&gt;=$B8)),IF($Q8=0,1,INDEX(Bills!$AF$6:$AF$25,$Q8)),0))))</f>
        <v/>
      </c>
      <c r="Y8">
        <f>IF(OR($D8="",$B8="",Housemates!$B$14=""),0,IF($R8&gt;0,IF(L8="",0,IF(ISNUMBER(L8),L8,1)),IF($C8="Paying back",0,IF(AND(OR(Housemates!$C$14="",Housemates!$C$14&lt;=$B8),OR(Housemates!$D$14="",Housemates!$D$14&gt;=$B8)),IF($Q8=0,1,INDEX(Bills!$AG$6:$AG$25,$Q8)),0))))</f>
        <v/>
      </c>
      <c r="Z8">
        <f>IF(OR($D8="",$B8="",Housemates!$B$15=""),0,IF($R8&gt;0,IF(M8="",0,IF(ISNUMBER(M8),M8,1)),IF($C8="Paying back",0,IF(AND(OR(Housemates!$C$15="",Housemates!$C$15&lt;=$B8),OR(Housemates!$D$15="",Housemates!$D$15&gt;=$B8)),IF($Q8=0,1,INDEX(Bills!$AH$6:$AH$25,$Q8)),0))))</f>
        <v/>
      </c>
      <c r="AA8">
        <f>SUM(S8:Z8)</f>
        <v/>
      </c>
      <c r="AB8">
        <f>IF(AA8=0,0,D8*S8/AA8)</f>
        <v/>
      </c>
      <c r="AC8">
        <f>IF(AA8=0,0,D8*T8/AA8)</f>
        <v/>
      </c>
      <c r="AD8">
        <f>IF(AA8=0,0,D8*U8/AA8)</f>
        <v/>
      </c>
      <c r="AE8">
        <f>IF(AA8=0,0,D8*V8/AA8)</f>
        <v/>
      </c>
      <c r="AF8">
        <f>IF(AA8=0,0,D8*W8/AA8)</f>
        <v/>
      </c>
      <c r="AG8">
        <f>IF(AA8=0,0,D8*X8/AA8)</f>
        <v/>
      </c>
      <c r="AH8">
        <f>IF(AA8=0,0,D8*Y8/AA8)</f>
        <v/>
      </c>
      <c r="AI8">
        <f>IF(AA8=0,0,D8*Z8/AA8)</f>
        <v/>
      </c>
      <c r="AJ8">
        <f>IF(OR(C8="",B8=""),"",C8&amp;"|"&amp;(YEAR(B8)*100+MONTH(B8)))</f>
        <v/>
      </c>
    </row>
    <row r="9">
      <c r="A9" s="1" t="n"/>
      <c r="B9" s="23" t="n">
        <v>46030</v>
      </c>
      <c r="C9" s="24" t="inlineStr">
        <is>
          <t>Water</t>
        </is>
      </c>
      <c r="D9" s="25" t="n">
        <v>74.52</v>
      </c>
      <c r="E9" s="26" t="inlineStr">
        <is>
          <t>Maya</t>
        </is>
      </c>
      <c r="F9" s="27" t="n"/>
      <c r="G9" s="27" t="n"/>
      <c r="H9" s="27" t="n"/>
      <c r="I9" s="27" t="n"/>
      <c r="J9" s="27" t="n"/>
      <c r="K9" s="27" t="n"/>
      <c r="L9" s="27" t="n"/>
      <c r="M9" s="27" t="n"/>
      <c r="N9" s="21">
        <f>IF(D9="","",IF(B9="","No date",IF(AND(C9="Paying back",R9=0),"To whom?",IF(AA9=0,"Nobody",IF(C9="Paying back","To "&amp;INDEX(Housemates!$B$8:$B$15,MATCH(MAX(S9:Z9),S9:Z9,0)),IF(R9&gt;0,IF(COUNTIF(S9:Z9,"&gt;0")=1,"1 person",COUNTIF(S9:Z9,"&gt;0")&amp;" people"),IF(Q9=0,"Everyone",INDEX(Bills!$Q$6:$Q$25,Q9))))))))</f>
        <v/>
      </c>
      <c r="O9" s="18">
        <f>IF(D9="","",IF(C9="Paying back","Paying back",IF(Q9=0,"Other",IF(INDEX(Bills!$C$6:$C$25,Q9)="","Other",INDEX(Bills!$C$6:$C$25,Q9)))))</f>
        <v/>
      </c>
      <c r="P9" s="1" t="n"/>
      <c r="Q9">
        <f>IF(C9="",0,IFERROR(MATCH(C9,Bills!$B$6:$B$25,0),0))</f>
        <v/>
      </c>
      <c r="R9">
        <f>COUNTA(F9:M9)</f>
        <v/>
      </c>
      <c r="S9">
        <f>IF(OR($D9="",$B9="",Housemates!$B$8=""),0,IF($R9&gt;0,IF(F9="",0,IF(ISNUMBER(F9),F9,1)),IF($C9="Paying back",0,IF(AND(OR(Housemates!$C$8="",Housemates!$C$8&lt;=$B9),OR(Housemates!$D$8="",Housemates!$D$8&gt;=$B9)),IF($Q9=0,1,INDEX(Bills!$AA$6:$AA$25,$Q9)),0))))</f>
        <v/>
      </c>
      <c r="T9">
        <f>IF(OR($D9="",$B9="",Housemates!$B$9=""),0,IF($R9&gt;0,IF(G9="",0,IF(ISNUMBER(G9),G9,1)),IF($C9="Paying back",0,IF(AND(OR(Housemates!$C$9="",Housemates!$C$9&lt;=$B9),OR(Housemates!$D$9="",Housemates!$D$9&gt;=$B9)),IF($Q9=0,1,INDEX(Bills!$AB$6:$AB$25,$Q9)),0))))</f>
        <v/>
      </c>
      <c r="U9">
        <f>IF(OR($D9="",$B9="",Housemates!$B$10=""),0,IF($R9&gt;0,IF(H9="",0,IF(ISNUMBER(H9),H9,1)),IF($C9="Paying back",0,IF(AND(OR(Housemates!$C$10="",Housemates!$C$10&lt;=$B9),OR(Housemates!$D$10="",Housemates!$D$10&gt;=$B9)),IF($Q9=0,1,INDEX(Bills!$AC$6:$AC$25,$Q9)),0))))</f>
        <v/>
      </c>
      <c r="V9">
        <f>IF(OR($D9="",$B9="",Housemates!$B$11=""),0,IF($R9&gt;0,IF(I9="",0,IF(ISNUMBER(I9),I9,1)),IF($C9="Paying back",0,IF(AND(OR(Housemates!$C$11="",Housemates!$C$11&lt;=$B9),OR(Housemates!$D$11="",Housemates!$D$11&gt;=$B9)),IF($Q9=0,1,INDEX(Bills!$AD$6:$AD$25,$Q9)),0))))</f>
        <v/>
      </c>
      <c r="W9">
        <f>IF(OR($D9="",$B9="",Housemates!$B$12=""),0,IF($R9&gt;0,IF(J9="",0,IF(ISNUMBER(J9),J9,1)),IF($C9="Paying back",0,IF(AND(OR(Housemates!$C$12="",Housemates!$C$12&lt;=$B9),OR(Housemates!$D$12="",Housemates!$D$12&gt;=$B9)),IF($Q9=0,1,INDEX(Bills!$AE$6:$AE$25,$Q9)),0))))</f>
        <v/>
      </c>
      <c r="X9">
        <f>IF(OR($D9="",$B9="",Housemates!$B$13=""),0,IF($R9&gt;0,IF(K9="",0,IF(ISNUMBER(K9),K9,1)),IF($C9="Paying back",0,IF(AND(OR(Housemates!$C$13="",Housemates!$C$13&lt;=$B9),OR(Housemates!$D$13="",Housemates!$D$13&gt;=$B9)),IF($Q9=0,1,INDEX(Bills!$AF$6:$AF$25,$Q9)),0))))</f>
        <v/>
      </c>
      <c r="Y9">
        <f>IF(OR($D9="",$B9="",Housemates!$B$14=""),0,IF($R9&gt;0,IF(L9="",0,IF(ISNUMBER(L9),L9,1)),IF($C9="Paying back",0,IF(AND(OR(Housemates!$C$14="",Housemates!$C$14&lt;=$B9),OR(Housemates!$D$14="",Housemates!$D$14&gt;=$B9)),IF($Q9=0,1,INDEX(Bills!$AG$6:$AG$25,$Q9)),0))))</f>
        <v/>
      </c>
      <c r="Z9">
        <f>IF(OR($D9="",$B9="",Housemates!$B$15=""),0,IF($R9&gt;0,IF(M9="",0,IF(ISNUMBER(M9),M9,1)),IF($C9="Paying back",0,IF(AND(OR(Housemates!$C$15="",Housemates!$C$15&lt;=$B9),OR(Housemates!$D$15="",Housemates!$D$15&gt;=$B9)),IF($Q9=0,1,INDEX(Bills!$AH$6:$AH$25,$Q9)),0))))</f>
        <v/>
      </c>
      <c r="AA9">
        <f>SUM(S9:Z9)</f>
        <v/>
      </c>
      <c r="AB9">
        <f>IF(AA9=0,0,D9*S9/AA9)</f>
        <v/>
      </c>
      <c r="AC9">
        <f>IF(AA9=0,0,D9*T9/AA9)</f>
        <v/>
      </c>
      <c r="AD9">
        <f>IF(AA9=0,0,D9*U9/AA9)</f>
        <v/>
      </c>
      <c r="AE9">
        <f>IF(AA9=0,0,D9*V9/AA9)</f>
        <v/>
      </c>
      <c r="AF9">
        <f>IF(AA9=0,0,D9*W9/AA9)</f>
        <v/>
      </c>
      <c r="AG9">
        <f>IF(AA9=0,0,D9*X9/AA9)</f>
        <v/>
      </c>
      <c r="AH9">
        <f>IF(AA9=0,0,D9*Y9/AA9)</f>
        <v/>
      </c>
      <c r="AI9">
        <f>IF(AA9=0,0,D9*Z9/AA9)</f>
        <v/>
      </c>
      <c r="AJ9">
        <f>IF(OR(C9="",B9=""),"",C9&amp;"|"&amp;(YEAR(B9)*100+MONTH(B9)))</f>
        <v/>
      </c>
    </row>
    <row r="10">
      <c r="A10" s="1" t="n"/>
      <c r="B10" s="23" t="n">
        <v>46037</v>
      </c>
      <c r="C10" s="24" t="inlineStr">
        <is>
          <t>Electricity</t>
        </is>
      </c>
      <c r="D10" s="25" t="n">
        <v>137.04</v>
      </c>
      <c r="E10" s="26" t="inlineStr">
        <is>
          <t>Leo</t>
        </is>
      </c>
      <c r="F10" s="27" t="n"/>
      <c r="G10" s="27" t="n"/>
      <c r="H10" s="27" t="n"/>
      <c r="I10" s="27" t="n"/>
      <c r="J10" s="27" t="n"/>
      <c r="K10" s="27" t="n"/>
      <c r="L10" s="27" t="n"/>
      <c r="M10" s="27" t="n"/>
      <c r="N10" s="21">
        <f>IF(D10="","",IF(B10="","No date",IF(AND(C10="Paying back",R10=0),"To whom?",IF(AA10=0,"Nobody",IF(C10="Paying back","To "&amp;INDEX(Housemates!$B$8:$B$15,MATCH(MAX(S10:Z10),S10:Z10,0)),IF(R10&gt;0,IF(COUNTIF(S10:Z10,"&gt;0")=1,"1 person",COUNTIF(S10:Z10,"&gt;0")&amp;" people"),IF(Q10=0,"Everyone",INDEX(Bills!$Q$6:$Q$25,Q10))))))))</f>
        <v/>
      </c>
      <c r="O10" s="18">
        <f>IF(D10="","",IF(C10="Paying back","Paying back",IF(Q10=0,"Other",IF(INDEX(Bills!$C$6:$C$25,Q10)="","Other",INDEX(Bills!$C$6:$C$25,Q10)))))</f>
        <v/>
      </c>
      <c r="P10" s="1" t="n"/>
      <c r="Q10">
        <f>IF(C10="",0,IFERROR(MATCH(C10,Bills!$B$6:$B$25,0),0))</f>
        <v/>
      </c>
      <c r="R10">
        <f>COUNTA(F10:M10)</f>
        <v/>
      </c>
      <c r="S10">
        <f>IF(OR($D10="",$B10="",Housemates!$B$8=""),0,IF($R10&gt;0,IF(F10="",0,IF(ISNUMBER(F10),F10,1)),IF($C10="Paying back",0,IF(AND(OR(Housemates!$C$8="",Housemates!$C$8&lt;=$B10),OR(Housemates!$D$8="",Housemates!$D$8&gt;=$B10)),IF($Q10=0,1,INDEX(Bills!$AA$6:$AA$25,$Q10)),0))))</f>
        <v/>
      </c>
      <c r="T10">
        <f>IF(OR($D10="",$B10="",Housemates!$B$9=""),0,IF($R10&gt;0,IF(G10="",0,IF(ISNUMBER(G10),G10,1)),IF($C10="Paying back",0,IF(AND(OR(Housemates!$C$9="",Housemates!$C$9&lt;=$B10),OR(Housemates!$D$9="",Housemates!$D$9&gt;=$B10)),IF($Q10=0,1,INDEX(Bills!$AB$6:$AB$25,$Q10)),0))))</f>
        <v/>
      </c>
      <c r="U10">
        <f>IF(OR($D10="",$B10="",Housemates!$B$10=""),0,IF($R10&gt;0,IF(H10="",0,IF(ISNUMBER(H10),H10,1)),IF($C10="Paying back",0,IF(AND(OR(Housemates!$C$10="",Housemates!$C$10&lt;=$B10),OR(Housemates!$D$10="",Housemates!$D$10&gt;=$B10)),IF($Q10=0,1,INDEX(Bills!$AC$6:$AC$25,$Q10)),0))))</f>
        <v/>
      </c>
      <c r="V10">
        <f>IF(OR($D10="",$B10="",Housemates!$B$11=""),0,IF($R10&gt;0,IF(I10="",0,IF(ISNUMBER(I10),I10,1)),IF($C10="Paying back",0,IF(AND(OR(Housemates!$C$11="",Housemates!$C$11&lt;=$B10),OR(Housemates!$D$11="",Housemates!$D$11&gt;=$B10)),IF($Q10=0,1,INDEX(Bills!$AD$6:$AD$25,$Q10)),0))))</f>
        <v/>
      </c>
      <c r="W10">
        <f>IF(OR($D10="",$B10="",Housemates!$B$12=""),0,IF($R10&gt;0,IF(J10="",0,IF(ISNUMBER(J10),J10,1)),IF($C10="Paying back",0,IF(AND(OR(Housemates!$C$12="",Housemates!$C$12&lt;=$B10),OR(Housemates!$D$12="",Housemates!$D$12&gt;=$B10)),IF($Q10=0,1,INDEX(Bills!$AE$6:$AE$25,$Q10)),0))))</f>
        <v/>
      </c>
      <c r="X10">
        <f>IF(OR($D10="",$B10="",Housemates!$B$13=""),0,IF($R10&gt;0,IF(K10="",0,IF(ISNUMBER(K10),K10,1)),IF($C10="Paying back",0,IF(AND(OR(Housemates!$C$13="",Housemates!$C$13&lt;=$B10),OR(Housemates!$D$13="",Housemates!$D$13&gt;=$B10)),IF($Q10=0,1,INDEX(Bills!$AF$6:$AF$25,$Q10)),0))))</f>
        <v/>
      </c>
      <c r="Y10">
        <f>IF(OR($D10="",$B10="",Housemates!$B$14=""),0,IF($R10&gt;0,IF(L10="",0,IF(ISNUMBER(L10),L10,1)),IF($C10="Paying back",0,IF(AND(OR(Housemates!$C$14="",Housemates!$C$14&lt;=$B10),OR(Housemates!$D$14="",Housemates!$D$14&gt;=$B10)),IF($Q10=0,1,INDEX(Bills!$AG$6:$AG$25,$Q10)),0))))</f>
        <v/>
      </c>
      <c r="Z10">
        <f>IF(OR($D10="",$B10="",Housemates!$B$15=""),0,IF($R10&gt;0,IF(M10="",0,IF(ISNUMBER(M10),M10,1)),IF($C10="Paying back",0,IF(AND(OR(Housemates!$C$15="",Housemates!$C$15&lt;=$B10),OR(Housemates!$D$15="",Housemates!$D$15&gt;=$B10)),IF($Q10=0,1,INDEX(Bills!$AH$6:$AH$25,$Q10)),0))))</f>
        <v/>
      </c>
      <c r="AA10">
        <f>SUM(S10:Z10)</f>
        <v/>
      </c>
      <c r="AB10">
        <f>IF(AA10=0,0,D10*S10/AA10)</f>
        <v/>
      </c>
      <c r="AC10">
        <f>IF(AA10=0,0,D10*T10/AA10)</f>
        <v/>
      </c>
      <c r="AD10">
        <f>IF(AA10=0,0,D10*U10/AA10)</f>
        <v/>
      </c>
      <c r="AE10">
        <f>IF(AA10=0,0,D10*V10/AA10)</f>
        <v/>
      </c>
      <c r="AF10">
        <f>IF(AA10=0,0,D10*W10/AA10)</f>
        <v/>
      </c>
      <c r="AG10">
        <f>IF(AA10=0,0,D10*X10/AA10)</f>
        <v/>
      </c>
      <c r="AH10">
        <f>IF(AA10=0,0,D10*Y10/AA10)</f>
        <v/>
      </c>
      <c r="AI10">
        <f>IF(AA10=0,0,D10*Z10/AA10)</f>
        <v/>
      </c>
      <c r="AJ10">
        <f>IF(OR(C10="",B10=""),"",C10&amp;"|"&amp;(YEAR(B10)*100+MONTH(B10)))</f>
        <v/>
      </c>
    </row>
    <row r="11">
      <c r="A11" s="1" t="n"/>
      <c r="B11" s="23" t="n">
        <v>46043</v>
      </c>
      <c r="C11" s="24" t="inlineStr">
        <is>
          <t>Streaming</t>
        </is>
      </c>
      <c r="D11" s="25" t="n">
        <v>15.96</v>
      </c>
      <c r="E11" s="26" t="inlineStr">
        <is>
          <t>Priya</t>
        </is>
      </c>
      <c r="F11" s="27" t="n"/>
      <c r="G11" s="27" t="n"/>
      <c r="H11" s="27" t="n"/>
      <c r="I11" s="27" t="n"/>
      <c r="J11" s="27" t="n"/>
      <c r="K11" s="27" t="n"/>
      <c r="L11" s="27" t="n"/>
      <c r="M11" s="27" t="n"/>
      <c r="N11" s="21">
        <f>IF(D11="","",IF(B11="","No date",IF(AND(C11="Paying back",R11=0),"To whom?",IF(AA11=0,"Nobody",IF(C11="Paying back","To "&amp;INDEX(Housemates!$B$8:$B$15,MATCH(MAX(S11:Z11),S11:Z11,0)),IF(R11&gt;0,IF(COUNTIF(S11:Z11,"&gt;0")=1,"1 person",COUNTIF(S11:Z11,"&gt;0")&amp;" people"),IF(Q11=0,"Everyone",INDEX(Bills!$Q$6:$Q$25,Q11))))))))</f>
        <v/>
      </c>
      <c r="O11" s="18">
        <f>IF(D11="","",IF(C11="Paying back","Paying back",IF(Q11=0,"Other",IF(INDEX(Bills!$C$6:$C$25,Q11)="","Other",INDEX(Bills!$C$6:$C$25,Q11)))))</f>
        <v/>
      </c>
      <c r="P11" s="1" t="n"/>
      <c r="Q11">
        <f>IF(C11="",0,IFERROR(MATCH(C11,Bills!$B$6:$B$25,0),0))</f>
        <v/>
      </c>
      <c r="R11">
        <f>COUNTA(F11:M11)</f>
        <v/>
      </c>
      <c r="S11">
        <f>IF(OR($D11="",$B11="",Housemates!$B$8=""),0,IF($R11&gt;0,IF(F11="",0,IF(ISNUMBER(F11),F11,1)),IF($C11="Paying back",0,IF(AND(OR(Housemates!$C$8="",Housemates!$C$8&lt;=$B11),OR(Housemates!$D$8="",Housemates!$D$8&gt;=$B11)),IF($Q11=0,1,INDEX(Bills!$AA$6:$AA$25,$Q11)),0))))</f>
        <v/>
      </c>
      <c r="T11">
        <f>IF(OR($D11="",$B11="",Housemates!$B$9=""),0,IF($R11&gt;0,IF(G11="",0,IF(ISNUMBER(G11),G11,1)),IF($C11="Paying back",0,IF(AND(OR(Housemates!$C$9="",Housemates!$C$9&lt;=$B11),OR(Housemates!$D$9="",Housemates!$D$9&gt;=$B11)),IF($Q11=0,1,INDEX(Bills!$AB$6:$AB$25,$Q11)),0))))</f>
        <v/>
      </c>
      <c r="U11">
        <f>IF(OR($D11="",$B11="",Housemates!$B$10=""),0,IF($R11&gt;0,IF(H11="",0,IF(ISNUMBER(H11),H11,1)),IF($C11="Paying back",0,IF(AND(OR(Housemates!$C$10="",Housemates!$C$10&lt;=$B11),OR(Housemates!$D$10="",Housemates!$D$10&gt;=$B11)),IF($Q11=0,1,INDEX(Bills!$AC$6:$AC$25,$Q11)),0))))</f>
        <v/>
      </c>
      <c r="V11">
        <f>IF(OR($D11="",$B11="",Housemates!$B$11=""),0,IF($R11&gt;0,IF(I11="",0,IF(ISNUMBER(I11),I11,1)),IF($C11="Paying back",0,IF(AND(OR(Housemates!$C$11="",Housemates!$C$11&lt;=$B11),OR(Housemates!$D$11="",Housemates!$D$11&gt;=$B11)),IF($Q11=0,1,INDEX(Bills!$AD$6:$AD$25,$Q11)),0))))</f>
        <v/>
      </c>
      <c r="W11">
        <f>IF(OR($D11="",$B11="",Housemates!$B$12=""),0,IF($R11&gt;0,IF(J11="",0,IF(ISNUMBER(J11),J11,1)),IF($C11="Paying back",0,IF(AND(OR(Housemates!$C$12="",Housemates!$C$12&lt;=$B11),OR(Housemates!$D$12="",Housemates!$D$12&gt;=$B11)),IF($Q11=0,1,INDEX(Bills!$AE$6:$AE$25,$Q11)),0))))</f>
        <v/>
      </c>
      <c r="X11">
        <f>IF(OR($D11="",$B11="",Housemates!$B$13=""),0,IF($R11&gt;0,IF(K11="",0,IF(ISNUMBER(K11),K11,1)),IF($C11="Paying back",0,IF(AND(OR(Housemates!$C$13="",Housemates!$C$13&lt;=$B11),OR(Housemates!$D$13="",Housemates!$D$13&gt;=$B11)),IF($Q11=0,1,INDEX(Bills!$AF$6:$AF$25,$Q11)),0))))</f>
        <v/>
      </c>
      <c r="Y11">
        <f>IF(OR($D11="",$B11="",Housemates!$B$14=""),0,IF($R11&gt;0,IF(L11="",0,IF(ISNUMBER(L11),L11,1)),IF($C11="Paying back",0,IF(AND(OR(Housemates!$C$14="",Housemates!$C$14&lt;=$B11),OR(Housemates!$D$14="",Housemates!$D$14&gt;=$B11)),IF($Q11=0,1,INDEX(Bills!$AG$6:$AG$25,$Q11)),0))))</f>
        <v/>
      </c>
      <c r="Z11">
        <f>IF(OR($D11="",$B11="",Housemates!$B$15=""),0,IF($R11&gt;0,IF(M11="",0,IF(ISNUMBER(M11),M11,1)),IF($C11="Paying back",0,IF(AND(OR(Housemates!$C$15="",Housemates!$C$15&lt;=$B11),OR(Housemates!$D$15="",Housemates!$D$15&gt;=$B11)),IF($Q11=0,1,INDEX(Bills!$AH$6:$AH$25,$Q11)),0))))</f>
        <v/>
      </c>
      <c r="AA11">
        <f>SUM(S11:Z11)</f>
        <v/>
      </c>
      <c r="AB11">
        <f>IF(AA11=0,0,D11*S11/AA11)</f>
        <v/>
      </c>
      <c r="AC11">
        <f>IF(AA11=0,0,D11*T11/AA11)</f>
        <v/>
      </c>
      <c r="AD11">
        <f>IF(AA11=0,0,D11*U11/AA11)</f>
        <v/>
      </c>
      <c r="AE11">
        <f>IF(AA11=0,0,D11*V11/AA11)</f>
        <v/>
      </c>
      <c r="AF11">
        <f>IF(AA11=0,0,D11*W11/AA11)</f>
        <v/>
      </c>
      <c r="AG11">
        <f>IF(AA11=0,0,D11*X11/AA11)</f>
        <v/>
      </c>
      <c r="AH11">
        <f>IF(AA11=0,0,D11*Y11/AA11)</f>
        <v/>
      </c>
      <c r="AI11">
        <f>IF(AA11=0,0,D11*Z11/AA11)</f>
        <v/>
      </c>
      <c r="AJ11">
        <f>IF(OR(C11="",B11=""),"",C11&amp;"|"&amp;(YEAR(B11)*100+MONTH(B11)))</f>
        <v/>
      </c>
    </row>
    <row r="12">
      <c r="A12" s="1" t="n"/>
      <c r="B12" s="23" t="n">
        <v>46045</v>
      </c>
      <c r="C12" s="24" t="inlineStr">
        <is>
          <t>Cleaning and household</t>
        </is>
      </c>
      <c r="D12" s="25" t="n">
        <v>23.4</v>
      </c>
      <c r="E12" s="26" t="inlineStr">
        <is>
          <t>Maya</t>
        </is>
      </c>
      <c r="F12" s="27" t="n"/>
      <c r="G12" s="27" t="n"/>
      <c r="H12" s="27" t="n"/>
      <c r="I12" s="27" t="n"/>
      <c r="J12" s="27" t="n"/>
      <c r="K12" s="27" t="n"/>
      <c r="L12" s="27" t="n"/>
      <c r="M12" s="27" t="n"/>
      <c r="N12" s="21">
        <f>IF(D12="","",IF(B12="","No date",IF(AND(C12="Paying back",R12=0),"To whom?",IF(AA12=0,"Nobody",IF(C12="Paying back","To "&amp;INDEX(Housemates!$B$8:$B$15,MATCH(MAX(S12:Z12),S12:Z12,0)),IF(R12&gt;0,IF(COUNTIF(S12:Z12,"&gt;0")=1,"1 person",COUNTIF(S12:Z12,"&gt;0")&amp;" people"),IF(Q12=0,"Everyone",INDEX(Bills!$Q$6:$Q$25,Q12))))))))</f>
        <v/>
      </c>
      <c r="O12" s="18">
        <f>IF(D12="","",IF(C12="Paying back","Paying back",IF(Q12=0,"Other",IF(INDEX(Bills!$C$6:$C$25,Q12)="","Other",INDEX(Bills!$C$6:$C$25,Q12)))))</f>
        <v/>
      </c>
      <c r="P12" s="1" t="n"/>
      <c r="Q12">
        <f>IF(C12="",0,IFERROR(MATCH(C12,Bills!$B$6:$B$25,0),0))</f>
        <v/>
      </c>
      <c r="R12">
        <f>COUNTA(F12:M12)</f>
        <v/>
      </c>
      <c r="S12">
        <f>IF(OR($D12="",$B12="",Housemates!$B$8=""),0,IF($R12&gt;0,IF(F12="",0,IF(ISNUMBER(F12),F12,1)),IF($C12="Paying back",0,IF(AND(OR(Housemates!$C$8="",Housemates!$C$8&lt;=$B12),OR(Housemates!$D$8="",Housemates!$D$8&gt;=$B12)),IF($Q12=0,1,INDEX(Bills!$AA$6:$AA$25,$Q12)),0))))</f>
        <v/>
      </c>
      <c r="T12">
        <f>IF(OR($D12="",$B12="",Housemates!$B$9=""),0,IF($R12&gt;0,IF(G12="",0,IF(ISNUMBER(G12),G12,1)),IF($C12="Paying back",0,IF(AND(OR(Housemates!$C$9="",Housemates!$C$9&lt;=$B12),OR(Housemates!$D$9="",Housemates!$D$9&gt;=$B12)),IF($Q12=0,1,INDEX(Bills!$AB$6:$AB$25,$Q12)),0))))</f>
        <v/>
      </c>
      <c r="U12">
        <f>IF(OR($D12="",$B12="",Housemates!$B$10=""),0,IF($R12&gt;0,IF(H12="",0,IF(ISNUMBER(H12),H12,1)),IF($C12="Paying back",0,IF(AND(OR(Housemates!$C$10="",Housemates!$C$10&lt;=$B12),OR(Housemates!$D$10="",Housemates!$D$10&gt;=$B12)),IF($Q12=0,1,INDEX(Bills!$AC$6:$AC$25,$Q12)),0))))</f>
        <v/>
      </c>
      <c r="V12">
        <f>IF(OR($D12="",$B12="",Housemates!$B$11=""),0,IF($R12&gt;0,IF(I12="",0,IF(ISNUMBER(I12),I12,1)),IF($C12="Paying back",0,IF(AND(OR(Housemates!$C$11="",Housemates!$C$11&lt;=$B12),OR(Housemates!$D$11="",Housemates!$D$11&gt;=$B12)),IF($Q12=0,1,INDEX(Bills!$AD$6:$AD$25,$Q12)),0))))</f>
        <v/>
      </c>
      <c r="W12">
        <f>IF(OR($D12="",$B12="",Housemates!$B$12=""),0,IF($R12&gt;0,IF(J12="",0,IF(ISNUMBER(J12),J12,1)),IF($C12="Paying back",0,IF(AND(OR(Housemates!$C$12="",Housemates!$C$12&lt;=$B12),OR(Housemates!$D$12="",Housemates!$D$12&gt;=$B12)),IF($Q12=0,1,INDEX(Bills!$AE$6:$AE$25,$Q12)),0))))</f>
        <v/>
      </c>
      <c r="X12">
        <f>IF(OR($D12="",$B12="",Housemates!$B$13=""),0,IF($R12&gt;0,IF(K12="",0,IF(ISNUMBER(K12),K12,1)),IF($C12="Paying back",0,IF(AND(OR(Housemates!$C$13="",Housemates!$C$13&lt;=$B12),OR(Housemates!$D$13="",Housemates!$D$13&gt;=$B12)),IF($Q12=0,1,INDEX(Bills!$AF$6:$AF$25,$Q12)),0))))</f>
        <v/>
      </c>
      <c r="Y12">
        <f>IF(OR($D12="",$B12="",Housemates!$B$14=""),0,IF($R12&gt;0,IF(L12="",0,IF(ISNUMBER(L12),L12,1)),IF($C12="Paying back",0,IF(AND(OR(Housemates!$C$14="",Housemates!$C$14&lt;=$B12),OR(Housemates!$D$14="",Housemates!$D$14&gt;=$B12)),IF($Q12=0,1,INDEX(Bills!$AG$6:$AG$25,$Q12)),0))))</f>
        <v/>
      </c>
      <c r="Z12">
        <f>IF(OR($D12="",$B12="",Housemates!$B$15=""),0,IF($R12&gt;0,IF(M12="",0,IF(ISNUMBER(M12),M12,1)),IF($C12="Paying back",0,IF(AND(OR(Housemates!$C$15="",Housemates!$C$15&lt;=$B12),OR(Housemates!$D$15="",Housemates!$D$15&gt;=$B12)),IF($Q12=0,1,INDEX(Bills!$AH$6:$AH$25,$Q12)),0))))</f>
        <v/>
      </c>
      <c r="AA12">
        <f>SUM(S12:Z12)</f>
        <v/>
      </c>
      <c r="AB12">
        <f>IF(AA12=0,0,D12*S12/AA12)</f>
        <v/>
      </c>
      <c r="AC12">
        <f>IF(AA12=0,0,D12*T12/AA12)</f>
        <v/>
      </c>
      <c r="AD12">
        <f>IF(AA12=0,0,D12*U12/AA12)</f>
        <v/>
      </c>
      <c r="AE12">
        <f>IF(AA12=0,0,D12*V12/AA12)</f>
        <v/>
      </c>
      <c r="AF12">
        <f>IF(AA12=0,0,D12*W12/AA12)</f>
        <v/>
      </c>
      <c r="AG12">
        <f>IF(AA12=0,0,D12*X12/AA12)</f>
        <v/>
      </c>
      <c r="AH12">
        <f>IF(AA12=0,0,D12*Y12/AA12)</f>
        <v/>
      </c>
      <c r="AI12">
        <f>IF(AA12=0,0,D12*Z12/AA12)</f>
        <v/>
      </c>
      <c r="AJ12">
        <f>IF(OR(C12="",B12=""),"",C12&amp;"|"&amp;(YEAR(B12)*100+MONTH(B12)))</f>
        <v/>
      </c>
    </row>
    <row r="13">
      <c r="A13" s="1" t="n"/>
      <c r="B13" s="23" t="n">
        <v>46046</v>
      </c>
      <c r="C13" s="24" t="inlineStr">
        <is>
          <t>Groceries</t>
        </is>
      </c>
      <c r="D13" s="25" t="n">
        <v>49.08</v>
      </c>
      <c r="E13" s="26" t="inlineStr">
        <is>
          <t>Tom</t>
        </is>
      </c>
      <c r="F13" s="27" t="n"/>
      <c r="G13" s="27" t="n"/>
      <c r="H13" s="27" t="n"/>
      <c r="I13" s="27" t="n"/>
      <c r="J13" s="27" t="n"/>
      <c r="K13" s="27" t="n"/>
      <c r="L13" s="27" t="n"/>
      <c r="M13" s="27" t="n"/>
      <c r="N13" s="21">
        <f>IF(D13="","",IF(B13="","No date",IF(AND(C13="Paying back",R13=0),"To whom?",IF(AA13=0,"Nobody",IF(C13="Paying back","To "&amp;INDEX(Housemates!$B$8:$B$15,MATCH(MAX(S13:Z13),S13:Z13,0)),IF(R13&gt;0,IF(COUNTIF(S13:Z13,"&gt;0")=1,"1 person",COUNTIF(S13:Z13,"&gt;0")&amp;" people"),IF(Q13=0,"Everyone",INDEX(Bills!$Q$6:$Q$25,Q13))))))))</f>
        <v/>
      </c>
      <c r="O13" s="18">
        <f>IF(D13="","",IF(C13="Paying back","Paying back",IF(Q13=0,"Other",IF(INDEX(Bills!$C$6:$C$25,Q13)="","Other",INDEX(Bills!$C$6:$C$25,Q13)))))</f>
        <v/>
      </c>
      <c r="P13" s="1" t="n"/>
      <c r="Q13">
        <f>IF(C13="",0,IFERROR(MATCH(C13,Bills!$B$6:$B$25,0),0))</f>
        <v/>
      </c>
      <c r="R13">
        <f>COUNTA(F13:M13)</f>
        <v/>
      </c>
      <c r="S13">
        <f>IF(OR($D13="",$B13="",Housemates!$B$8=""),0,IF($R13&gt;0,IF(F13="",0,IF(ISNUMBER(F13),F13,1)),IF($C13="Paying back",0,IF(AND(OR(Housemates!$C$8="",Housemates!$C$8&lt;=$B13),OR(Housemates!$D$8="",Housemates!$D$8&gt;=$B13)),IF($Q13=0,1,INDEX(Bills!$AA$6:$AA$25,$Q13)),0))))</f>
        <v/>
      </c>
      <c r="T13">
        <f>IF(OR($D13="",$B13="",Housemates!$B$9=""),0,IF($R13&gt;0,IF(G13="",0,IF(ISNUMBER(G13),G13,1)),IF($C13="Paying back",0,IF(AND(OR(Housemates!$C$9="",Housemates!$C$9&lt;=$B13),OR(Housemates!$D$9="",Housemates!$D$9&gt;=$B13)),IF($Q13=0,1,INDEX(Bills!$AB$6:$AB$25,$Q13)),0))))</f>
        <v/>
      </c>
      <c r="U13">
        <f>IF(OR($D13="",$B13="",Housemates!$B$10=""),0,IF($R13&gt;0,IF(H13="",0,IF(ISNUMBER(H13),H13,1)),IF($C13="Paying back",0,IF(AND(OR(Housemates!$C$10="",Housemates!$C$10&lt;=$B13),OR(Housemates!$D$10="",Housemates!$D$10&gt;=$B13)),IF($Q13=0,1,INDEX(Bills!$AC$6:$AC$25,$Q13)),0))))</f>
        <v/>
      </c>
      <c r="V13">
        <f>IF(OR($D13="",$B13="",Housemates!$B$11=""),0,IF($R13&gt;0,IF(I13="",0,IF(ISNUMBER(I13),I13,1)),IF($C13="Paying back",0,IF(AND(OR(Housemates!$C$11="",Housemates!$C$11&lt;=$B13),OR(Housemates!$D$11="",Housemates!$D$11&gt;=$B13)),IF($Q13=0,1,INDEX(Bills!$AD$6:$AD$25,$Q13)),0))))</f>
        <v/>
      </c>
      <c r="W13">
        <f>IF(OR($D13="",$B13="",Housemates!$B$12=""),0,IF($R13&gt;0,IF(J13="",0,IF(ISNUMBER(J13),J13,1)),IF($C13="Paying back",0,IF(AND(OR(Housemates!$C$12="",Housemates!$C$12&lt;=$B13),OR(Housemates!$D$12="",Housemates!$D$12&gt;=$B13)),IF($Q13=0,1,INDEX(Bills!$AE$6:$AE$25,$Q13)),0))))</f>
        <v/>
      </c>
      <c r="X13">
        <f>IF(OR($D13="",$B13="",Housemates!$B$13=""),0,IF($R13&gt;0,IF(K13="",0,IF(ISNUMBER(K13),K13,1)),IF($C13="Paying back",0,IF(AND(OR(Housemates!$C$13="",Housemates!$C$13&lt;=$B13),OR(Housemates!$D$13="",Housemates!$D$13&gt;=$B13)),IF($Q13=0,1,INDEX(Bills!$AF$6:$AF$25,$Q13)),0))))</f>
        <v/>
      </c>
      <c r="Y13">
        <f>IF(OR($D13="",$B13="",Housemates!$B$14=""),0,IF($R13&gt;0,IF(L13="",0,IF(ISNUMBER(L13),L13,1)),IF($C13="Paying back",0,IF(AND(OR(Housemates!$C$14="",Housemates!$C$14&lt;=$B13),OR(Housemates!$D$14="",Housemates!$D$14&gt;=$B13)),IF($Q13=0,1,INDEX(Bills!$AG$6:$AG$25,$Q13)),0))))</f>
        <v/>
      </c>
      <c r="Z13">
        <f>IF(OR($D13="",$B13="",Housemates!$B$15=""),0,IF($R13&gt;0,IF(M13="",0,IF(ISNUMBER(M13),M13,1)),IF($C13="Paying back",0,IF(AND(OR(Housemates!$C$15="",Housemates!$C$15&lt;=$B13),OR(Housemates!$D$15="",Housemates!$D$15&gt;=$B13)),IF($Q13=0,1,INDEX(Bills!$AH$6:$AH$25,$Q13)),0))))</f>
        <v/>
      </c>
      <c r="AA13">
        <f>SUM(S13:Z13)</f>
        <v/>
      </c>
      <c r="AB13">
        <f>IF(AA13=0,0,D13*S13/AA13)</f>
        <v/>
      </c>
      <c r="AC13">
        <f>IF(AA13=0,0,D13*T13/AA13)</f>
        <v/>
      </c>
      <c r="AD13">
        <f>IF(AA13=0,0,D13*U13/AA13)</f>
        <v/>
      </c>
      <c r="AE13">
        <f>IF(AA13=0,0,D13*V13/AA13)</f>
        <v/>
      </c>
      <c r="AF13">
        <f>IF(AA13=0,0,D13*W13/AA13)</f>
        <v/>
      </c>
      <c r="AG13">
        <f>IF(AA13=0,0,D13*X13/AA13)</f>
        <v/>
      </c>
      <c r="AH13">
        <f>IF(AA13=0,0,D13*Y13/AA13)</f>
        <v/>
      </c>
      <c r="AI13">
        <f>IF(AA13=0,0,D13*Z13/AA13)</f>
        <v/>
      </c>
      <c r="AJ13">
        <f>IF(OR(C13="",B13=""),"",C13&amp;"|"&amp;(YEAR(B13)*100+MONTH(B13)))</f>
        <v/>
      </c>
    </row>
    <row r="14">
      <c r="A14" s="1" t="n"/>
      <c r="B14" s="23" t="n">
        <v>46051</v>
      </c>
      <c r="C14" s="24" t="inlineStr">
        <is>
          <t>Groceries</t>
        </is>
      </c>
      <c r="D14" s="25" t="n">
        <v>39.48</v>
      </c>
      <c r="E14" s="26" t="inlineStr">
        <is>
          <t>Maya</t>
        </is>
      </c>
      <c r="F14" s="27" t="n"/>
      <c r="G14" s="27" t="n"/>
      <c r="H14" s="27" t="n"/>
      <c r="I14" s="27" t="n"/>
      <c r="J14" s="27" t="n"/>
      <c r="K14" s="27" t="n"/>
      <c r="L14" s="27" t="n"/>
      <c r="M14" s="27" t="n"/>
      <c r="N14" s="21">
        <f>IF(D14="","",IF(B14="","No date",IF(AND(C14="Paying back",R14=0),"To whom?",IF(AA14=0,"Nobody",IF(C14="Paying back","To "&amp;INDEX(Housemates!$B$8:$B$15,MATCH(MAX(S14:Z14),S14:Z14,0)),IF(R14&gt;0,IF(COUNTIF(S14:Z14,"&gt;0")=1,"1 person",COUNTIF(S14:Z14,"&gt;0")&amp;" people"),IF(Q14=0,"Everyone",INDEX(Bills!$Q$6:$Q$25,Q14))))))))</f>
        <v/>
      </c>
      <c r="O14" s="18">
        <f>IF(D14="","",IF(C14="Paying back","Paying back",IF(Q14=0,"Other",IF(INDEX(Bills!$C$6:$C$25,Q14)="","Other",INDEX(Bills!$C$6:$C$25,Q14)))))</f>
        <v/>
      </c>
      <c r="P14" s="1" t="n"/>
      <c r="Q14">
        <f>IF(C14="",0,IFERROR(MATCH(C14,Bills!$B$6:$B$25,0),0))</f>
        <v/>
      </c>
      <c r="R14">
        <f>COUNTA(F14:M14)</f>
        <v/>
      </c>
      <c r="S14">
        <f>IF(OR($D14="",$B14="",Housemates!$B$8=""),0,IF($R14&gt;0,IF(F14="",0,IF(ISNUMBER(F14),F14,1)),IF($C14="Paying back",0,IF(AND(OR(Housemates!$C$8="",Housemates!$C$8&lt;=$B14),OR(Housemates!$D$8="",Housemates!$D$8&gt;=$B14)),IF($Q14=0,1,INDEX(Bills!$AA$6:$AA$25,$Q14)),0))))</f>
        <v/>
      </c>
      <c r="T14">
        <f>IF(OR($D14="",$B14="",Housemates!$B$9=""),0,IF($R14&gt;0,IF(G14="",0,IF(ISNUMBER(G14),G14,1)),IF($C14="Paying back",0,IF(AND(OR(Housemates!$C$9="",Housemates!$C$9&lt;=$B14),OR(Housemates!$D$9="",Housemates!$D$9&gt;=$B14)),IF($Q14=0,1,INDEX(Bills!$AB$6:$AB$25,$Q14)),0))))</f>
        <v/>
      </c>
      <c r="U14">
        <f>IF(OR($D14="",$B14="",Housemates!$B$10=""),0,IF($R14&gt;0,IF(H14="",0,IF(ISNUMBER(H14),H14,1)),IF($C14="Paying back",0,IF(AND(OR(Housemates!$C$10="",Housemates!$C$10&lt;=$B14),OR(Housemates!$D$10="",Housemates!$D$10&gt;=$B14)),IF($Q14=0,1,INDEX(Bills!$AC$6:$AC$25,$Q14)),0))))</f>
        <v/>
      </c>
      <c r="V14">
        <f>IF(OR($D14="",$B14="",Housemates!$B$11=""),0,IF($R14&gt;0,IF(I14="",0,IF(ISNUMBER(I14),I14,1)),IF($C14="Paying back",0,IF(AND(OR(Housemates!$C$11="",Housemates!$C$11&lt;=$B14),OR(Housemates!$D$11="",Housemates!$D$11&gt;=$B14)),IF($Q14=0,1,INDEX(Bills!$AD$6:$AD$25,$Q14)),0))))</f>
        <v/>
      </c>
      <c r="W14">
        <f>IF(OR($D14="",$B14="",Housemates!$B$12=""),0,IF($R14&gt;0,IF(J14="",0,IF(ISNUMBER(J14),J14,1)),IF($C14="Paying back",0,IF(AND(OR(Housemates!$C$12="",Housemates!$C$12&lt;=$B14),OR(Housemates!$D$12="",Housemates!$D$12&gt;=$B14)),IF($Q14=0,1,INDEX(Bills!$AE$6:$AE$25,$Q14)),0))))</f>
        <v/>
      </c>
      <c r="X14">
        <f>IF(OR($D14="",$B14="",Housemates!$B$13=""),0,IF($R14&gt;0,IF(K14="",0,IF(ISNUMBER(K14),K14,1)),IF($C14="Paying back",0,IF(AND(OR(Housemates!$C$13="",Housemates!$C$13&lt;=$B14),OR(Housemates!$D$13="",Housemates!$D$13&gt;=$B14)),IF($Q14=0,1,INDEX(Bills!$AF$6:$AF$25,$Q14)),0))))</f>
        <v/>
      </c>
      <c r="Y14">
        <f>IF(OR($D14="",$B14="",Housemates!$B$14=""),0,IF($R14&gt;0,IF(L14="",0,IF(ISNUMBER(L14),L14,1)),IF($C14="Paying back",0,IF(AND(OR(Housemates!$C$14="",Housemates!$C$14&lt;=$B14),OR(Housemates!$D$14="",Housemates!$D$14&gt;=$B14)),IF($Q14=0,1,INDEX(Bills!$AG$6:$AG$25,$Q14)),0))))</f>
        <v/>
      </c>
      <c r="Z14">
        <f>IF(OR($D14="",$B14="",Housemates!$B$15=""),0,IF($R14&gt;0,IF(M14="",0,IF(ISNUMBER(M14),M14,1)),IF($C14="Paying back",0,IF(AND(OR(Housemates!$C$15="",Housemates!$C$15&lt;=$B14),OR(Housemates!$D$15="",Housemates!$D$15&gt;=$B14)),IF($Q14=0,1,INDEX(Bills!$AH$6:$AH$25,$Q14)),0))))</f>
        <v/>
      </c>
      <c r="AA14">
        <f>SUM(S14:Z14)</f>
        <v/>
      </c>
      <c r="AB14">
        <f>IF(AA14=0,0,D14*S14/AA14)</f>
        <v/>
      </c>
      <c r="AC14">
        <f>IF(AA14=0,0,D14*T14/AA14)</f>
        <v/>
      </c>
      <c r="AD14">
        <f>IF(AA14=0,0,D14*U14/AA14)</f>
        <v/>
      </c>
      <c r="AE14">
        <f>IF(AA14=0,0,D14*V14/AA14)</f>
        <v/>
      </c>
      <c r="AF14">
        <f>IF(AA14=0,0,D14*W14/AA14)</f>
        <v/>
      </c>
      <c r="AG14">
        <f>IF(AA14=0,0,D14*X14/AA14)</f>
        <v/>
      </c>
      <c r="AH14">
        <f>IF(AA14=0,0,D14*Y14/AA14)</f>
        <v/>
      </c>
      <c r="AI14">
        <f>IF(AA14=0,0,D14*Z14/AA14)</f>
        <v/>
      </c>
      <c r="AJ14">
        <f>IF(OR(C14="",B14=""),"",C14&amp;"|"&amp;(YEAR(B14)*100+MONTH(B14)))</f>
        <v/>
      </c>
    </row>
    <row r="15">
      <c r="A15" s="1" t="n"/>
      <c r="B15" s="23" t="n">
        <v>46054</v>
      </c>
      <c r="C15" s="24" t="inlineStr">
        <is>
          <t>Rent</t>
        </is>
      </c>
      <c r="D15" s="25" t="n">
        <v>2400</v>
      </c>
      <c r="E15" s="26" t="inlineStr">
        <is>
          <t>Maya</t>
        </is>
      </c>
      <c r="F15" s="27" t="n"/>
      <c r="G15" s="27" t="n"/>
      <c r="H15" s="27" t="n"/>
      <c r="I15" s="27" t="n"/>
      <c r="J15" s="27" t="n"/>
      <c r="K15" s="27" t="n"/>
      <c r="L15" s="27" t="n"/>
      <c r="M15" s="27" t="n"/>
      <c r="N15" s="21">
        <f>IF(D15="","",IF(B15="","No date",IF(AND(C15="Paying back",R15=0),"To whom?",IF(AA15=0,"Nobody",IF(C15="Paying back","To "&amp;INDEX(Housemates!$B$8:$B$15,MATCH(MAX(S15:Z15),S15:Z15,0)),IF(R15&gt;0,IF(COUNTIF(S15:Z15,"&gt;0")=1,"1 person",COUNTIF(S15:Z15,"&gt;0")&amp;" people"),IF(Q15=0,"Everyone",INDEX(Bills!$Q$6:$Q$25,Q15))))))))</f>
        <v/>
      </c>
      <c r="O15" s="18">
        <f>IF(D15="","",IF(C15="Paying back","Paying back",IF(Q15=0,"Other",IF(INDEX(Bills!$C$6:$C$25,Q15)="","Other",INDEX(Bills!$C$6:$C$25,Q15)))))</f>
        <v/>
      </c>
      <c r="P15" s="1" t="n"/>
      <c r="Q15">
        <f>IF(C15="",0,IFERROR(MATCH(C15,Bills!$B$6:$B$25,0),0))</f>
        <v/>
      </c>
      <c r="R15">
        <f>COUNTA(F15:M15)</f>
        <v/>
      </c>
      <c r="S15">
        <f>IF(OR($D15="",$B15="",Housemates!$B$8=""),0,IF($R15&gt;0,IF(F15="",0,IF(ISNUMBER(F15),F15,1)),IF($C15="Paying back",0,IF(AND(OR(Housemates!$C$8="",Housemates!$C$8&lt;=$B15),OR(Housemates!$D$8="",Housemates!$D$8&gt;=$B15)),IF($Q15=0,1,INDEX(Bills!$AA$6:$AA$25,$Q15)),0))))</f>
        <v/>
      </c>
      <c r="T15">
        <f>IF(OR($D15="",$B15="",Housemates!$B$9=""),0,IF($R15&gt;0,IF(G15="",0,IF(ISNUMBER(G15),G15,1)),IF($C15="Paying back",0,IF(AND(OR(Housemates!$C$9="",Housemates!$C$9&lt;=$B15),OR(Housemates!$D$9="",Housemates!$D$9&gt;=$B15)),IF($Q15=0,1,INDEX(Bills!$AB$6:$AB$25,$Q15)),0))))</f>
        <v/>
      </c>
      <c r="U15">
        <f>IF(OR($D15="",$B15="",Housemates!$B$10=""),0,IF($R15&gt;0,IF(H15="",0,IF(ISNUMBER(H15),H15,1)),IF($C15="Paying back",0,IF(AND(OR(Housemates!$C$10="",Housemates!$C$10&lt;=$B15),OR(Housemates!$D$10="",Housemates!$D$10&gt;=$B15)),IF($Q15=0,1,INDEX(Bills!$AC$6:$AC$25,$Q15)),0))))</f>
        <v/>
      </c>
      <c r="V15">
        <f>IF(OR($D15="",$B15="",Housemates!$B$11=""),0,IF($R15&gt;0,IF(I15="",0,IF(ISNUMBER(I15),I15,1)),IF($C15="Paying back",0,IF(AND(OR(Housemates!$C$11="",Housemates!$C$11&lt;=$B15),OR(Housemates!$D$11="",Housemates!$D$11&gt;=$B15)),IF($Q15=0,1,INDEX(Bills!$AD$6:$AD$25,$Q15)),0))))</f>
        <v/>
      </c>
      <c r="W15">
        <f>IF(OR($D15="",$B15="",Housemates!$B$12=""),0,IF($R15&gt;0,IF(J15="",0,IF(ISNUMBER(J15),J15,1)),IF($C15="Paying back",0,IF(AND(OR(Housemates!$C$12="",Housemates!$C$12&lt;=$B15),OR(Housemates!$D$12="",Housemates!$D$12&gt;=$B15)),IF($Q15=0,1,INDEX(Bills!$AE$6:$AE$25,$Q15)),0))))</f>
        <v/>
      </c>
      <c r="X15">
        <f>IF(OR($D15="",$B15="",Housemates!$B$13=""),0,IF($R15&gt;0,IF(K15="",0,IF(ISNUMBER(K15),K15,1)),IF($C15="Paying back",0,IF(AND(OR(Housemates!$C$13="",Housemates!$C$13&lt;=$B15),OR(Housemates!$D$13="",Housemates!$D$13&gt;=$B15)),IF($Q15=0,1,INDEX(Bills!$AF$6:$AF$25,$Q15)),0))))</f>
        <v/>
      </c>
      <c r="Y15">
        <f>IF(OR($D15="",$B15="",Housemates!$B$14=""),0,IF($R15&gt;0,IF(L15="",0,IF(ISNUMBER(L15),L15,1)),IF($C15="Paying back",0,IF(AND(OR(Housemates!$C$14="",Housemates!$C$14&lt;=$B15),OR(Housemates!$D$14="",Housemates!$D$14&gt;=$B15)),IF($Q15=0,1,INDEX(Bills!$AG$6:$AG$25,$Q15)),0))))</f>
        <v/>
      </c>
      <c r="Z15">
        <f>IF(OR($D15="",$B15="",Housemates!$B$15=""),0,IF($R15&gt;0,IF(M15="",0,IF(ISNUMBER(M15),M15,1)),IF($C15="Paying back",0,IF(AND(OR(Housemates!$C$15="",Housemates!$C$15&lt;=$B15),OR(Housemates!$D$15="",Housemates!$D$15&gt;=$B15)),IF($Q15=0,1,INDEX(Bills!$AH$6:$AH$25,$Q15)),0))))</f>
        <v/>
      </c>
      <c r="AA15">
        <f>SUM(S15:Z15)</f>
        <v/>
      </c>
      <c r="AB15">
        <f>IF(AA15=0,0,D15*S15/AA15)</f>
        <v/>
      </c>
      <c r="AC15">
        <f>IF(AA15=0,0,D15*T15/AA15)</f>
        <v/>
      </c>
      <c r="AD15">
        <f>IF(AA15=0,0,D15*U15/AA15)</f>
        <v/>
      </c>
      <c r="AE15">
        <f>IF(AA15=0,0,D15*V15/AA15)</f>
        <v/>
      </c>
      <c r="AF15">
        <f>IF(AA15=0,0,D15*W15/AA15)</f>
        <v/>
      </c>
      <c r="AG15">
        <f>IF(AA15=0,0,D15*X15/AA15)</f>
        <v/>
      </c>
      <c r="AH15">
        <f>IF(AA15=0,0,D15*Y15/AA15)</f>
        <v/>
      </c>
      <c r="AI15">
        <f>IF(AA15=0,0,D15*Z15/AA15)</f>
        <v/>
      </c>
      <c r="AJ15">
        <f>IF(OR(C15="",B15=""),"",C15&amp;"|"&amp;(YEAR(B15)*100+MONTH(B15)))</f>
        <v/>
      </c>
    </row>
    <row r="16">
      <c r="A16" s="1" t="n"/>
      <c r="B16" s="23" t="n">
        <v>46056</v>
      </c>
      <c r="C16" s="24" t="inlineStr">
        <is>
          <t>Internet</t>
        </is>
      </c>
      <c r="D16" s="25" t="n">
        <v>45</v>
      </c>
      <c r="E16" s="26" t="inlineStr">
        <is>
          <t>Leo</t>
        </is>
      </c>
      <c r="F16" s="27" t="n"/>
      <c r="G16" s="27" t="n"/>
      <c r="H16" s="27" t="n"/>
      <c r="I16" s="27" t="n"/>
      <c r="J16" s="27" t="n"/>
      <c r="K16" s="27" t="n"/>
      <c r="L16" s="27" t="n"/>
      <c r="M16" s="27" t="n"/>
      <c r="N16" s="21">
        <f>IF(D16="","",IF(B16="","No date",IF(AND(C16="Paying back",R16=0),"To whom?",IF(AA16=0,"Nobody",IF(C16="Paying back","To "&amp;INDEX(Housemates!$B$8:$B$15,MATCH(MAX(S16:Z16),S16:Z16,0)),IF(R16&gt;0,IF(COUNTIF(S16:Z16,"&gt;0")=1,"1 person",COUNTIF(S16:Z16,"&gt;0")&amp;" people"),IF(Q16=0,"Everyone",INDEX(Bills!$Q$6:$Q$25,Q16))))))))</f>
        <v/>
      </c>
      <c r="O16" s="18">
        <f>IF(D16="","",IF(C16="Paying back","Paying back",IF(Q16=0,"Other",IF(INDEX(Bills!$C$6:$C$25,Q16)="","Other",INDEX(Bills!$C$6:$C$25,Q16)))))</f>
        <v/>
      </c>
      <c r="P16" s="1" t="n"/>
      <c r="Q16">
        <f>IF(C16="",0,IFERROR(MATCH(C16,Bills!$B$6:$B$25,0),0))</f>
        <v/>
      </c>
      <c r="R16">
        <f>COUNTA(F16:M16)</f>
        <v/>
      </c>
      <c r="S16">
        <f>IF(OR($D16="",$B16="",Housemates!$B$8=""),0,IF($R16&gt;0,IF(F16="",0,IF(ISNUMBER(F16),F16,1)),IF($C16="Paying back",0,IF(AND(OR(Housemates!$C$8="",Housemates!$C$8&lt;=$B16),OR(Housemates!$D$8="",Housemates!$D$8&gt;=$B16)),IF($Q16=0,1,INDEX(Bills!$AA$6:$AA$25,$Q16)),0))))</f>
        <v/>
      </c>
      <c r="T16">
        <f>IF(OR($D16="",$B16="",Housemates!$B$9=""),0,IF($R16&gt;0,IF(G16="",0,IF(ISNUMBER(G16),G16,1)),IF($C16="Paying back",0,IF(AND(OR(Housemates!$C$9="",Housemates!$C$9&lt;=$B16),OR(Housemates!$D$9="",Housemates!$D$9&gt;=$B16)),IF($Q16=0,1,INDEX(Bills!$AB$6:$AB$25,$Q16)),0))))</f>
        <v/>
      </c>
      <c r="U16">
        <f>IF(OR($D16="",$B16="",Housemates!$B$10=""),0,IF($R16&gt;0,IF(H16="",0,IF(ISNUMBER(H16),H16,1)),IF($C16="Paying back",0,IF(AND(OR(Housemates!$C$10="",Housemates!$C$10&lt;=$B16),OR(Housemates!$D$10="",Housemates!$D$10&gt;=$B16)),IF($Q16=0,1,INDEX(Bills!$AC$6:$AC$25,$Q16)),0))))</f>
        <v/>
      </c>
      <c r="V16">
        <f>IF(OR($D16="",$B16="",Housemates!$B$11=""),0,IF($R16&gt;0,IF(I16="",0,IF(ISNUMBER(I16),I16,1)),IF($C16="Paying back",0,IF(AND(OR(Housemates!$C$11="",Housemates!$C$11&lt;=$B16),OR(Housemates!$D$11="",Housemates!$D$11&gt;=$B16)),IF($Q16=0,1,INDEX(Bills!$AD$6:$AD$25,$Q16)),0))))</f>
        <v/>
      </c>
      <c r="W16">
        <f>IF(OR($D16="",$B16="",Housemates!$B$12=""),0,IF($R16&gt;0,IF(J16="",0,IF(ISNUMBER(J16),J16,1)),IF($C16="Paying back",0,IF(AND(OR(Housemates!$C$12="",Housemates!$C$12&lt;=$B16),OR(Housemates!$D$12="",Housemates!$D$12&gt;=$B16)),IF($Q16=0,1,INDEX(Bills!$AE$6:$AE$25,$Q16)),0))))</f>
        <v/>
      </c>
      <c r="X16">
        <f>IF(OR($D16="",$B16="",Housemates!$B$13=""),0,IF($R16&gt;0,IF(K16="",0,IF(ISNUMBER(K16),K16,1)),IF($C16="Paying back",0,IF(AND(OR(Housemates!$C$13="",Housemates!$C$13&lt;=$B16),OR(Housemates!$D$13="",Housemates!$D$13&gt;=$B16)),IF($Q16=0,1,INDEX(Bills!$AF$6:$AF$25,$Q16)),0))))</f>
        <v/>
      </c>
      <c r="Y16">
        <f>IF(OR($D16="",$B16="",Housemates!$B$14=""),0,IF($R16&gt;0,IF(L16="",0,IF(ISNUMBER(L16),L16,1)),IF($C16="Paying back",0,IF(AND(OR(Housemates!$C$14="",Housemates!$C$14&lt;=$B16),OR(Housemates!$D$14="",Housemates!$D$14&gt;=$B16)),IF($Q16=0,1,INDEX(Bills!$AG$6:$AG$25,$Q16)),0))))</f>
        <v/>
      </c>
      <c r="Z16">
        <f>IF(OR($D16="",$B16="",Housemates!$B$15=""),0,IF($R16&gt;0,IF(M16="",0,IF(ISNUMBER(M16),M16,1)),IF($C16="Paying back",0,IF(AND(OR(Housemates!$C$15="",Housemates!$C$15&lt;=$B16),OR(Housemates!$D$15="",Housemates!$D$15&gt;=$B16)),IF($Q16=0,1,INDEX(Bills!$AH$6:$AH$25,$Q16)),0))))</f>
        <v/>
      </c>
      <c r="AA16">
        <f>SUM(S16:Z16)</f>
        <v/>
      </c>
      <c r="AB16">
        <f>IF(AA16=0,0,D16*S16/AA16)</f>
        <v/>
      </c>
      <c r="AC16">
        <f>IF(AA16=0,0,D16*T16/AA16)</f>
        <v/>
      </c>
      <c r="AD16">
        <f>IF(AA16=0,0,D16*U16/AA16)</f>
        <v/>
      </c>
      <c r="AE16">
        <f>IF(AA16=0,0,D16*V16/AA16)</f>
        <v/>
      </c>
      <c r="AF16">
        <f>IF(AA16=0,0,D16*W16/AA16)</f>
        <v/>
      </c>
      <c r="AG16">
        <f>IF(AA16=0,0,D16*X16/AA16)</f>
        <v/>
      </c>
      <c r="AH16">
        <f>IF(AA16=0,0,D16*Y16/AA16)</f>
        <v/>
      </c>
      <c r="AI16">
        <f>IF(AA16=0,0,D16*Z16/AA16)</f>
        <v/>
      </c>
      <c r="AJ16">
        <f>IF(OR(C16="",B16=""),"",C16&amp;"|"&amp;(YEAR(B16)*100+MONTH(B16)))</f>
        <v/>
      </c>
    </row>
    <row r="17">
      <c r="A17" s="1" t="n"/>
      <c r="B17" s="23" t="n">
        <v>46066</v>
      </c>
      <c r="C17" s="24" t="inlineStr">
        <is>
          <t>Electricity</t>
        </is>
      </c>
      <c r="D17" s="25" t="n">
        <v>149.16</v>
      </c>
      <c r="E17" s="26" t="inlineStr">
        <is>
          <t>Leo</t>
        </is>
      </c>
      <c r="F17" s="27" t="n"/>
      <c r="G17" s="27" t="n"/>
      <c r="H17" s="27" t="n"/>
      <c r="I17" s="27" t="n"/>
      <c r="J17" s="27" t="n"/>
      <c r="K17" s="27" t="n"/>
      <c r="L17" s="27" t="n"/>
      <c r="M17" s="27" t="n"/>
      <c r="N17" s="21">
        <f>IF(D17="","",IF(B17="","No date",IF(AND(C17="Paying back",R17=0),"To whom?",IF(AA17=0,"Nobody",IF(C17="Paying back","To "&amp;INDEX(Housemates!$B$8:$B$15,MATCH(MAX(S17:Z17),S17:Z17,0)),IF(R17&gt;0,IF(COUNTIF(S17:Z17,"&gt;0")=1,"1 person",COUNTIF(S17:Z17,"&gt;0")&amp;" people"),IF(Q17=0,"Everyone",INDEX(Bills!$Q$6:$Q$25,Q17))))))))</f>
        <v/>
      </c>
      <c r="O17" s="18">
        <f>IF(D17="","",IF(C17="Paying back","Paying back",IF(Q17=0,"Other",IF(INDEX(Bills!$C$6:$C$25,Q17)="","Other",INDEX(Bills!$C$6:$C$25,Q17)))))</f>
        <v/>
      </c>
      <c r="P17" s="1" t="n"/>
      <c r="Q17">
        <f>IF(C17="",0,IFERROR(MATCH(C17,Bills!$B$6:$B$25,0),0))</f>
        <v/>
      </c>
      <c r="R17">
        <f>COUNTA(F17:M17)</f>
        <v/>
      </c>
      <c r="S17">
        <f>IF(OR($D17="",$B17="",Housemates!$B$8=""),0,IF($R17&gt;0,IF(F17="",0,IF(ISNUMBER(F17),F17,1)),IF($C17="Paying back",0,IF(AND(OR(Housemates!$C$8="",Housemates!$C$8&lt;=$B17),OR(Housemates!$D$8="",Housemates!$D$8&gt;=$B17)),IF($Q17=0,1,INDEX(Bills!$AA$6:$AA$25,$Q17)),0))))</f>
        <v/>
      </c>
      <c r="T17">
        <f>IF(OR($D17="",$B17="",Housemates!$B$9=""),0,IF($R17&gt;0,IF(G17="",0,IF(ISNUMBER(G17),G17,1)),IF($C17="Paying back",0,IF(AND(OR(Housemates!$C$9="",Housemates!$C$9&lt;=$B17),OR(Housemates!$D$9="",Housemates!$D$9&gt;=$B17)),IF($Q17=0,1,INDEX(Bills!$AB$6:$AB$25,$Q17)),0))))</f>
        <v/>
      </c>
      <c r="U17">
        <f>IF(OR($D17="",$B17="",Housemates!$B$10=""),0,IF($R17&gt;0,IF(H17="",0,IF(ISNUMBER(H17),H17,1)),IF($C17="Paying back",0,IF(AND(OR(Housemates!$C$10="",Housemates!$C$10&lt;=$B17),OR(Housemates!$D$10="",Housemates!$D$10&gt;=$B17)),IF($Q17=0,1,INDEX(Bills!$AC$6:$AC$25,$Q17)),0))))</f>
        <v/>
      </c>
      <c r="V17">
        <f>IF(OR($D17="",$B17="",Housemates!$B$11=""),0,IF($R17&gt;0,IF(I17="",0,IF(ISNUMBER(I17),I17,1)),IF($C17="Paying back",0,IF(AND(OR(Housemates!$C$11="",Housemates!$C$11&lt;=$B17),OR(Housemates!$D$11="",Housemates!$D$11&gt;=$B17)),IF($Q17=0,1,INDEX(Bills!$AD$6:$AD$25,$Q17)),0))))</f>
        <v/>
      </c>
      <c r="W17">
        <f>IF(OR($D17="",$B17="",Housemates!$B$12=""),0,IF($R17&gt;0,IF(J17="",0,IF(ISNUMBER(J17),J17,1)),IF($C17="Paying back",0,IF(AND(OR(Housemates!$C$12="",Housemates!$C$12&lt;=$B17),OR(Housemates!$D$12="",Housemates!$D$12&gt;=$B17)),IF($Q17=0,1,INDEX(Bills!$AE$6:$AE$25,$Q17)),0))))</f>
        <v/>
      </c>
      <c r="X17">
        <f>IF(OR($D17="",$B17="",Housemates!$B$13=""),0,IF($R17&gt;0,IF(K17="",0,IF(ISNUMBER(K17),K17,1)),IF($C17="Paying back",0,IF(AND(OR(Housemates!$C$13="",Housemates!$C$13&lt;=$B17),OR(Housemates!$D$13="",Housemates!$D$13&gt;=$B17)),IF($Q17=0,1,INDEX(Bills!$AF$6:$AF$25,$Q17)),0))))</f>
        <v/>
      </c>
      <c r="Y17">
        <f>IF(OR($D17="",$B17="",Housemates!$B$14=""),0,IF($R17&gt;0,IF(L17="",0,IF(ISNUMBER(L17),L17,1)),IF($C17="Paying back",0,IF(AND(OR(Housemates!$C$14="",Housemates!$C$14&lt;=$B17),OR(Housemates!$D$14="",Housemates!$D$14&gt;=$B17)),IF($Q17=0,1,INDEX(Bills!$AG$6:$AG$25,$Q17)),0))))</f>
        <v/>
      </c>
      <c r="Z17">
        <f>IF(OR($D17="",$B17="",Housemates!$B$15=""),0,IF($R17&gt;0,IF(M17="",0,IF(ISNUMBER(M17),M17,1)),IF($C17="Paying back",0,IF(AND(OR(Housemates!$C$15="",Housemates!$C$15&lt;=$B17),OR(Housemates!$D$15="",Housemates!$D$15&gt;=$B17)),IF($Q17=0,1,INDEX(Bills!$AH$6:$AH$25,$Q17)),0))))</f>
        <v/>
      </c>
      <c r="AA17">
        <f>SUM(S17:Z17)</f>
        <v/>
      </c>
      <c r="AB17">
        <f>IF(AA17=0,0,D17*S17/AA17)</f>
        <v/>
      </c>
      <c r="AC17">
        <f>IF(AA17=0,0,D17*T17/AA17)</f>
        <v/>
      </c>
      <c r="AD17">
        <f>IF(AA17=0,0,D17*U17/AA17)</f>
        <v/>
      </c>
      <c r="AE17">
        <f>IF(AA17=0,0,D17*V17/AA17)</f>
        <v/>
      </c>
      <c r="AF17">
        <f>IF(AA17=0,0,D17*W17/AA17)</f>
        <v/>
      </c>
      <c r="AG17">
        <f>IF(AA17=0,0,D17*X17/AA17)</f>
        <v/>
      </c>
      <c r="AH17">
        <f>IF(AA17=0,0,D17*Y17/AA17)</f>
        <v/>
      </c>
      <c r="AI17">
        <f>IF(AA17=0,0,D17*Z17/AA17)</f>
        <v/>
      </c>
      <c r="AJ17">
        <f>IF(OR(C17="",B17=""),"",C17&amp;"|"&amp;(YEAR(B17)*100+MONTH(B17)))</f>
        <v/>
      </c>
    </row>
    <row r="18">
      <c r="A18" s="1" t="n"/>
      <c r="B18" s="23" t="n">
        <v>46072</v>
      </c>
      <c r="C18" s="24" t="inlineStr">
        <is>
          <t>Gas</t>
        </is>
      </c>
      <c r="D18" s="25" t="n">
        <v>258.24</v>
      </c>
      <c r="E18" s="26" t="inlineStr">
        <is>
          <t>Priya</t>
        </is>
      </c>
      <c r="F18" s="27" t="n"/>
      <c r="G18" s="27" t="n"/>
      <c r="H18" s="27" t="n"/>
      <c r="I18" s="27" t="n"/>
      <c r="J18" s="27" t="n"/>
      <c r="K18" s="27" t="n"/>
      <c r="L18" s="27" t="n"/>
      <c r="M18" s="27" t="n"/>
      <c r="N18" s="21">
        <f>IF(D18="","",IF(B18="","No date",IF(AND(C18="Paying back",R18=0),"To whom?",IF(AA18=0,"Nobody",IF(C18="Paying back","To "&amp;INDEX(Housemates!$B$8:$B$15,MATCH(MAX(S18:Z18),S18:Z18,0)),IF(R18&gt;0,IF(COUNTIF(S18:Z18,"&gt;0")=1,"1 person",COUNTIF(S18:Z18,"&gt;0")&amp;" people"),IF(Q18=0,"Everyone",INDEX(Bills!$Q$6:$Q$25,Q18))))))))</f>
        <v/>
      </c>
      <c r="O18" s="18">
        <f>IF(D18="","",IF(C18="Paying back","Paying back",IF(Q18=0,"Other",IF(INDEX(Bills!$C$6:$C$25,Q18)="","Other",INDEX(Bills!$C$6:$C$25,Q18)))))</f>
        <v/>
      </c>
      <c r="P18" s="1" t="n"/>
      <c r="Q18">
        <f>IF(C18="",0,IFERROR(MATCH(C18,Bills!$B$6:$B$25,0),0))</f>
        <v/>
      </c>
      <c r="R18">
        <f>COUNTA(F18:M18)</f>
        <v/>
      </c>
      <c r="S18">
        <f>IF(OR($D18="",$B18="",Housemates!$B$8=""),0,IF($R18&gt;0,IF(F18="",0,IF(ISNUMBER(F18),F18,1)),IF($C18="Paying back",0,IF(AND(OR(Housemates!$C$8="",Housemates!$C$8&lt;=$B18),OR(Housemates!$D$8="",Housemates!$D$8&gt;=$B18)),IF($Q18=0,1,INDEX(Bills!$AA$6:$AA$25,$Q18)),0))))</f>
        <v/>
      </c>
      <c r="T18">
        <f>IF(OR($D18="",$B18="",Housemates!$B$9=""),0,IF($R18&gt;0,IF(G18="",0,IF(ISNUMBER(G18),G18,1)),IF($C18="Paying back",0,IF(AND(OR(Housemates!$C$9="",Housemates!$C$9&lt;=$B18),OR(Housemates!$D$9="",Housemates!$D$9&gt;=$B18)),IF($Q18=0,1,INDEX(Bills!$AB$6:$AB$25,$Q18)),0))))</f>
        <v/>
      </c>
      <c r="U18">
        <f>IF(OR($D18="",$B18="",Housemates!$B$10=""),0,IF($R18&gt;0,IF(H18="",0,IF(ISNUMBER(H18),H18,1)),IF($C18="Paying back",0,IF(AND(OR(Housemates!$C$10="",Housemates!$C$10&lt;=$B18),OR(Housemates!$D$10="",Housemates!$D$10&gt;=$B18)),IF($Q18=0,1,INDEX(Bills!$AC$6:$AC$25,$Q18)),0))))</f>
        <v/>
      </c>
      <c r="V18">
        <f>IF(OR($D18="",$B18="",Housemates!$B$11=""),0,IF($R18&gt;0,IF(I18="",0,IF(ISNUMBER(I18),I18,1)),IF($C18="Paying back",0,IF(AND(OR(Housemates!$C$11="",Housemates!$C$11&lt;=$B18),OR(Housemates!$D$11="",Housemates!$D$11&gt;=$B18)),IF($Q18=0,1,INDEX(Bills!$AD$6:$AD$25,$Q18)),0))))</f>
        <v/>
      </c>
      <c r="W18">
        <f>IF(OR($D18="",$B18="",Housemates!$B$12=""),0,IF($R18&gt;0,IF(J18="",0,IF(ISNUMBER(J18),J18,1)),IF($C18="Paying back",0,IF(AND(OR(Housemates!$C$12="",Housemates!$C$12&lt;=$B18),OR(Housemates!$D$12="",Housemates!$D$12&gt;=$B18)),IF($Q18=0,1,INDEX(Bills!$AE$6:$AE$25,$Q18)),0))))</f>
        <v/>
      </c>
      <c r="X18">
        <f>IF(OR($D18="",$B18="",Housemates!$B$13=""),0,IF($R18&gt;0,IF(K18="",0,IF(ISNUMBER(K18),K18,1)),IF($C18="Paying back",0,IF(AND(OR(Housemates!$C$13="",Housemates!$C$13&lt;=$B18),OR(Housemates!$D$13="",Housemates!$D$13&gt;=$B18)),IF($Q18=0,1,INDEX(Bills!$AF$6:$AF$25,$Q18)),0))))</f>
        <v/>
      </c>
      <c r="Y18">
        <f>IF(OR($D18="",$B18="",Housemates!$B$14=""),0,IF($R18&gt;0,IF(L18="",0,IF(ISNUMBER(L18),L18,1)),IF($C18="Paying back",0,IF(AND(OR(Housemates!$C$14="",Housemates!$C$14&lt;=$B18),OR(Housemates!$D$14="",Housemates!$D$14&gt;=$B18)),IF($Q18=0,1,INDEX(Bills!$AG$6:$AG$25,$Q18)),0))))</f>
        <v/>
      </c>
      <c r="Z18">
        <f>IF(OR($D18="",$B18="",Housemates!$B$15=""),0,IF($R18&gt;0,IF(M18="",0,IF(ISNUMBER(M18),M18,1)),IF($C18="Paying back",0,IF(AND(OR(Housemates!$C$15="",Housemates!$C$15&lt;=$B18),OR(Housemates!$D$15="",Housemates!$D$15&gt;=$B18)),IF($Q18=0,1,INDEX(Bills!$AH$6:$AH$25,$Q18)),0))))</f>
        <v/>
      </c>
      <c r="AA18">
        <f>SUM(S18:Z18)</f>
        <v/>
      </c>
      <c r="AB18">
        <f>IF(AA18=0,0,D18*S18/AA18)</f>
        <v/>
      </c>
      <c r="AC18">
        <f>IF(AA18=0,0,D18*T18/AA18)</f>
        <v/>
      </c>
      <c r="AD18">
        <f>IF(AA18=0,0,D18*U18/AA18)</f>
        <v/>
      </c>
      <c r="AE18">
        <f>IF(AA18=0,0,D18*V18/AA18)</f>
        <v/>
      </c>
      <c r="AF18">
        <f>IF(AA18=0,0,D18*W18/AA18)</f>
        <v/>
      </c>
      <c r="AG18">
        <f>IF(AA18=0,0,D18*X18/AA18)</f>
        <v/>
      </c>
      <c r="AH18">
        <f>IF(AA18=0,0,D18*Y18/AA18)</f>
        <v/>
      </c>
      <c r="AI18">
        <f>IF(AA18=0,0,D18*Z18/AA18)</f>
        <v/>
      </c>
      <c r="AJ18">
        <f>IF(OR(C18="",B18=""),"",C18&amp;"|"&amp;(YEAR(B18)*100+MONTH(B18)))</f>
        <v/>
      </c>
    </row>
    <row r="19">
      <c r="A19" s="1" t="n"/>
      <c r="B19" s="23" t="n">
        <v>46072</v>
      </c>
      <c r="C19" s="24" t="inlineStr">
        <is>
          <t>Groceries</t>
        </is>
      </c>
      <c r="D19" s="25" t="n">
        <v>82.08</v>
      </c>
      <c r="E19" s="26" t="inlineStr">
        <is>
          <t>Priya</t>
        </is>
      </c>
      <c r="F19" s="27" t="n"/>
      <c r="G19" s="27" t="n"/>
      <c r="H19" s="27" t="n"/>
      <c r="I19" s="27" t="n"/>
      <c r="J19" s="27" t="n"/>
      <c r="K19" s="27" t="n"/>
      <c r="L19" s="27" t="n"/>
      <c r="M19" s="27" t="n"/>
      <c r="N19" s="21">
        <f>IF(D19="","",IF(B19="","No date",IF(AND(C19="Paying back",R19=0),"To whom?",IF(AA19=0,"Nobody",IF(C19="Paying back","To "&amp;INDEX(Housemates!$B$8:$B$15,MATCH(MAX(S19:Z19),S19:Z19,0)),IF(R19&gt;0,IF(COUNTIF(S19:Z19,"&gt;0")=1,"1 person",COUNTIF(S19:Z19,"&gt;0")&amp;" people"),IF(Q19=0,"Everyone",INDEX(Bills!$Q$6:$Q$25,Q19))))))))</f>
        <v/>
      </c>
      <c r="O19" s="18">
        <f>IF(D19="","",IF(C19="Paying back","Paying back",IF(Q19=0,"Other",IF(INDEX(Bills!$C$6:$C$25,Q19)="","Other",INDEX(Bills!$C$6:$C$25,Q19)))))</f>
        <v/>
      </c>
      <c r="P19" s="1" t="n"/>
      <c r="Q19">
        <f>IF(C19="",0,IFERROR(MATCH(C19,Bills!$B$6:$B$25,0),0))</f>
        <v/>
      </c>
      <c r="R19">
        <f>COUNTA(F19:M19)</f>
        <v/>
      </c>
      <c r="S19">
        <f>IF(OR($D19="",$B19="",Housemates!$B$8=""),0,IF($R19&gt;0,IF(F19="",0,IF(ISNUMBER(F19),F19,1)),IF($C19="Paying back",0,IF(AND(OR(Housemates!$C$8="",Housemates!$C$8&lt;=$B19),OR(Housemates!$D$8="",Housemates!$D$8&gt;=$B19)),IF($Q19=0,1,INDEX(Bills!$AA$6:$AA$25,$Q19)),0))))</f>
        <v/>
      </c>
      <c r="T19">
        <f>IF(OR($D19="",$B19="",Housemates!$B$9=""),0,IF($R19&gt;0,IF(G19="",0,IF(ISNUMBER(G19),G19,1)),IF($C19="Paying back",0,IF(AND(OR(Housemates!$C$9="",Housemates!$C$9&lt;=$B19),OR(Housemates!$D$9="",Housemates!$D$9&gt;=$B19)),IF($Q19=0,1,INDEX(Bills!$AB$6:$AB$25,$Q19)),0))))</f>
        <v/>
      </c>
      <c r="U19">
        <f>IF(OR($D19="",$B19="",Housemates!$B$10=""),0,IF($R19&gt;0,IF(H19="",0,IF(ISNUMBER(H19),H19,1)),IF($C19="Paying back",0,IF(AND(OR(Housemates!$C$10="",Housemates!$C$10&lt;=$B19),OR(Housemates!$D$10="",Housemates!$D$10&gt;=$B19)),IF($Q19=0,1,INDEX(Bills!$AC$6:$AC$25,$Q19)),0))))</f>
        <v/>
      </c>
      <c r="V19">
        <f>IF(OR($D19="",$B19="",Housemates!$B$11=""),0,IF($R19&gt;0,IF(I19="",0,IF(ISNUMBER(I19),I19,1)),IF($C19="Paying back",0,IF(AND(OR(Housemates!$C$11="",Housemates!$C$11&lt;=$B19),OR(Housemates!$D$11="",Housemates!$D$11&gt;=$B19)),IF($Q19=0,1,INDEX(Bills!$AD$6:$AD$25,$Q19)),0))))</f>
        <v/>
      </c>
      <c r="W19">
        <f>IF(OR($D19="",$B19="",Housemates!$B$12=""),0,IF($R19&gt;0,IF(J19="",0,IF(ISNUMBER(J19),J19,1)),IF($C19="Paying back",0,IF(AND(OR(Housemates!$C$12="",Housemates!$C$12&lt;=$B19),OR(Housemates!$D$12="",Housemates!$D$12&gt;=$B19)),IF($Q19=0,1,INDEX(Bills!$AE$6:$AE$25,$Q19)),0))))</f>
        <v/>
      </c>
      <c r="X19">
        <f>IF(OR($D19="",$B19="",Housemates!$B$13=""),0,IF($R19&gt;0,IF(K19="",0,IF(ISNUMBER(K19),K19,1)),IF($C19="Paying back",0,IF(AND(OR(Housemates!$C$13="",Housemates!$C$13&lt;=$B19),OR(Housemates!$D$13="",Housemates!$D$13&gt;=$B19)),IF($Q19=0,1,INDEX(Bills!$AF$6:$AF$25,$Q19)),0))))</f>
        <v/>
      </c>
      <c r="Y19">
        <f>IF(OR($D19="",$B19="",Housemates!$B$14=""),0,IF($R19&gt;0,IF(L19="",0,IF(ISNUMBER(L19),L19,1)),IF($C19="Paying back",0,IF(AND(OR(Housemates!$C$14="",Housemates!$C$14&lt;=$B19),OR(Housemates!$D$14="",Housemates!$D$14&gt;=$B19)),IF($Q19=0,1,INDEX(Bills!$AG$6:$AG$25,$Q19)),0))))</f>
        <v/>
      </c>
      <c r="Z19">
        <f>IF(OR($D19="",$B19="",Housemates!$B$15=""),0,IF($R19&gt;0,IF(M19="",0,IF(ISNUMBER(M19),M19,1)),IF($C19="Paying back",0,IF(AND(OR(Housemates!$C$15="",Housemates!$C$15&lt;=$B19),OR(Housemates!$D$15="",Housemates!$D$15&gt;=$B19)),IF($Q19=0,1,INDEX(Bills!$AH$6:$AH$25,$Q19)),0))))</f>
        <v/>
      </c>
      <c r="AA19">
        <f>SUM(S19:Z19)</f>
        <v/>
      </c>
      <c r="AB19">
        <f>IF(AA19=0,0,D19*S19/AA19)</f>
        <v/>
      </c>
      <c r="AC19">
        <f>IF(AA19=0,0,D19*T19/AA19)</f>
        <v/>
      </c>
      <c r="AD19">
        <f>IF(AA19=0,0,D19*U19/AA19)</f>
        <v/>
      </c>
      <c r="AE19">
        <f>IF(AA19=0,0,D19*V19/AA19)</f>
        <v/>
      </c>
      <c r="AF19">
        <f>IF(AA19=0,0,D19*W19/AA19)</f>
        <v/>
      </c>
      <c r="AG19">
        <f>IF(AA19=0,0,D19*X19/AA19)</f>
        <v/>
      </c>
      <c r="AH19">
        <f>IF(AA19=0,0,D19*Y19/AA19)</f>
        <v/>
      </c>
      <c r="AI19">
        <f>IF(AA19=0,0,D19*Z19/AA19)</f>
        <v/>
      </c>
      <c r="AJ19">
        <f>IF(OR(C19="",B19=""),"",C19&amp;"|"&amp;(YEAR(B19)*100+MONTH(B19)))</f>
        <v/>
      </c>
    </row>
    <row r="20">
      <c r="A20" s="1" t="n"/>
      <c r="B20" s="23" t="n">
        <v>46072</v>
      </c>
      <c r="C20" s="24" t="inlineStr">
        <is>
          <t>Groceries</t>
        </is>
      </c>
      <c r="D20" s="25" t="n">
        <v>54.36</v>
      </c>
      <c r="E20" s="26" t="inlineStr">
        <is>
          <t>Priya</t>
        </is>
      </c>
      <c r="F20" s="27" t="n"/>
      <c r="G20" s="27" t="n"/>
      <c r="H20" s="27" t="n"/>
      <c r="I20" s="27" t="n"/>
      <c r="J20" s="27" t="n"/>
      <c r="K20" s="27" t="n"/>
      <c r="L20" s="27" t="n"/>
      <c r="M20" s="27" t="n"/>
      <c r="N20" s="21">
        <f>IF(D20="","",IF(B20="","No date",IF(AND(C20="Paying back",R20=0),"To whom?",IF(AA20=0,"Nobody",IF(C20="Paying back","To "&amp;INDEX(Housemates!$B$8:$B$15,MATCH(MAX(S20:Z20),S20:Z20,0)),IF(R20&gt;0,IF(COUNTIF(S20:Z20,"&gt;0")=1,"1 person",COUNTIF(S20:Z20,"&gt;0")&amp;" people"),IF(Q20=0,"Everyone",INDEX(Bills!$Q$6:$Q$25,Q20))))))))</f>
        <v/>
      </c>
      <c r="O20" s="18">
        <f>IF(D20="","",IF(C20="Paying back","Paying back",IF(Q20=0,"Other",IF(INDEX(Bills!$C$6:$C$25,Q20)="","Other",INDEX(Bills!$C$6:$C$25,Q20)))))</f>
        <v/>
      </c>
      <c r="P20" s="1" t="n"/>
      <c r="Q20">
        <f>IF(C20="",0,IFERROR(MATCH(C20,Bills!$B$6:$B$25,0),0))</f>
        <v/>
      </c>
      <c r="R20">
        <f>COUNTA(F20:M20)</f>
        <v/>
      </c>
      <c r="S20">
        <f>IF(OR($D20="",$B20="",Housemates!$B$8=""),0,IF($R20&gt;0,IF(F20="",0,IF(ISNUMBER(F20),F20,1)),IF($C20="Paying back",0,IF(AND(OR(Housemates!$C$8="",Housemates!$C$8&lt;=$B20),OR(Housemates!$D$8="",Housemates!$D$8&gt;=$B20)),IF($Q20=0,1,INDEX(Bills!$AA$6:$AA$25,$Q20)),0))))</f>
        <v/>
      </c>
      <c r="T20">
        <f>IF(OR($D20="",$B20="",Housemates!$B$9=""),0,IF($R20&gt;0,IF(G20="",0,IF(ISNUMBER(G20),G20,1)),IF($C20="Paying back",0,IF(AND(OR(Housemates!$C$9="",Housemates!$C$9&lt;=$B20),OR(Housemates!$D$9="",Housemates!$D$9&gt;=$B20)),IF($Q20=0,1,INDEX(Bills!$AB$6:$AB$25,$Q20)),0))))</f>
        <v/>
      </c>
      <c r="U20">
        <f>IF(OR($D20="",$B20="",Housemates!$B$10=""),0,IF($R20&gt;0,IF(H20="",0,IF(ISNUMBER(H20),H20,1)),IF($C20="Paying back",0,IF(AND(OR(Housemates!$C$10="",Housemates!$C$10&lt;=$B20),OR(Housemates!$D$10="",Housemates!$D$10&gt;=$B20)),IF($Q20=0,1,INDEX(Bills!$AC$6:$AC$25,$Q20)),0))))</f>
        <v/>
      </c>
      <c r="V20">
        <f>IF(OR($D20="",$B20="",Housemates!$B$11=""),0,IF($R20&gt;0,IF(I20="",0,IF(ISNUMBER(I20),I20,1)),IF($C20="Paying back",0,IF(AND(OR(Housemates!$C$11="",Housemates!$C$11&lt;=$B20),OR(Housemates!$D$11="",Housemates!$D$11&gt;=$B20)),IF($Q20=0,1,INDEX(Bills!$AD$6:$AD$25,$Q20)),0))))</f>
        <v/>
      </c>
      <c r="W20">
        <f>IF(OR($D20="",$B20="",Housemates!$B$12=""),0,IF($R20&gt;0,IF(J20="",0,IF(ISNUMBER(J20),J20,1)),IF($C20="Paying back",0,IF(AND(OR(Housemates!$C$12="",Housemates!$C$12&lt;=$B20),OR(Housemates!$D$12="",Housemates!$D$12&gt;=$B20)),IF($Q20=0,1,INDEX(Bills!$AE$6:$AE$25,$Q20)),0))))</f>
        <v/>
      </c>
      <c r="X20">
        <f>IF(OR($D20="",$B20="",Housemates!$B$13=""),0,IF($R20&gt;0,IF(K20="",0,IF(ISNUMBER(K20),K20,1)),IF($C20="Paying back",0,IF(AND(OR(Housemates!$C$13="",Housemates!$C$13&lt;=$B20),OR(Housemates!$D$13="",Housemates!$D$13&gt;=$B20)),IF($Q20=0,1,INDEX(Bills!$AF$6:$AF$25,$Q20)),0))))</f>
        <v/>
      </c>
      <c r="Y20">
        <f>IF(OR($D20="",$B20="",Housemates!$B$14=""),0,IF($R20&gt;0,IF(L20="",0,IF(ISNUMBER(L20),L20,1)),IF($C20="Paying back",0,IF(AND(OR(Housemates!$C$14="",Housemates!$C$14&lt;=$B20),OR(Housemates!$D$14="",Housemates!$D$14&gt;=$B20)),IF($Q20=0,1,INDEX(Bills!$AG$6:$AG$25,$Q20)),0))))</f>
        <v/>
      </c>
      <c r="Z20">
        <f>IF(OR($D20="",$B20="",Housemates!$B$15=""),0,IF($R20&gt;0,IF(M20="",0,IF(ISNUMBER(M20),M20,1)),IF($C20="Paying back",0,IF(AND(OR(Housemates!$C$15="",Housemates!$C$15&lt;=$B20),OR(Housemates!$D$15="",Housemates!$D$15&gt;=$B20)),IF($Q20=0,1,INDEX(Bills!$AH$6:$AH$25,$Q20)),0))))</f>
        <v/>
      </c>
      <c r="AA20">
        <f>SUM(S20:Z20)</f>
        <v/>
      </c>
      <c r="AB20">
        <f>IF(AA20=0,0,D20*S20/AA20)</f>
        <v/>
      </c>
      <c r="AC20">
        <f>IF(AA20=0,0,D20*T20/AA20)</f>
        <v/>
      </c>
      <c r="AD20">
        <f>IF(AA20=0,0,D20*U20/AA20)</f>
        <v/>
      </c>
      <c r="AE20">
        <f>IF(AA20=0,0,D20*V20/AA20)</f>
        <v/>
      </c>
      <c r="AF20">
        <f>IF(AA20=0,0,D20*W20/AA20)</f>
        <v/>
      </c>
      <c r="AG20">
        <f>IF(AA20=0,0,D20*X20/AA20)</f>
        <v/>
      </c>
      <c r="AH20">
        <f>IF(AA20=0,0,D20*Y20/AA20)</f>
        <v/>
      </c>
      <c r="AI20">
        <f>IF(AA20=0,0,D20*Z20/AA20)</f>
        <v/>
      </c>
      <c r="AJ20">
        <f>IF(OR(C20="",B20=""),"",C20&amp;"|"&amp;(YEAR(B20)*100+MONTH(B20)))</f>
        <v/>
      </c>
    </row>
    <row r="21">
      <c r="A21" s="1" t="n"/>
      <c r="B21" s="23" t="n">
        <v>46072</v>
      </c>
      <c r="C21" s="24" t="inlineStr">
        <is>
          <t>Cleaning and household</t>
        </is>
      </c>
      <c r="D21" s="25" t="n">
        <v>13.92</v>
      </c>
      <c r="E21" s="26" t="inlineStr">
        <is>
          <t>Tom</t>
        </is>
      </c>
      <c r="F21" s="27" t="n"/>
      <c r="G21" s="27" t="n"/>
      <c r="H21" s="27" t="n"/>
      <c r="I21" s="27" t="n"/>
      <c r="J21" s="27" t="n"/>
      <c r="K21" s="27" t="n"/>
      <c r="L21" s="27" t="n"/>
      <c r="M21" s="27" t="n"/>
      <c r="N21" s="21">
        <f>IF(D21="","",IF(B21="","No date",IF(AND(C21="Paying back",R21=0),"To whom?",IF(AA21=0,"Nobody",IF(C21="Paying back","To "&amp;INDEX(Housemates!$B$8:$B$15,MATCH(MAX(S21:Z21),S21:Z21,0)),IF(R21&gt;0,IF(COUNTIF(S21:Z21,"&gt;0")=1,"1 person",COUNTIF(S21:Z21,"&gt;0")&amp;" people"),IF(Q21=0,"Everyone",INDEX(Bills!$Q$6:$Q$25,Q21))))))))</f>
        <v/>
      </c>
      <c r="O21" s="18">
        <f>IF(D21="","",IF(C21="Paying back","Paying back",IF(Q21=0,"Other",IF(INDEX(Bills!$C$6:$C$25,Q21)="","Other",INDEX(Bills!$C$6:$C$25,Q21)))))</f>
        <v/>
      </c>
      <c r="P21" s="1" t="n"/>
      <c r="Q21">
        <f>IF(C21="",0,IFERROR(MATCH(C21,Bills!$B$6:$B$25,0),0))</f>
        <v/>
      </c>
      <c r="R21">
        <f>COUNTA(F21:M21)</f>
        <v/>
      </c>
      <c r="S21">
        <f>IF(OR($D21="",$B21="",Housemates!$B$8=""),0,IF($R21&gt;0,IF(F21="",0,IF(ISNUMBER(F21),F21,1)),IF($C21="Paying back",0,IF(AND(OR(Housemates!$C$8="",Housemates!$C$8&lt;=$B21),OR(Housemates!$D$8="",Housemates!$D$8&gt;=$B21)),IF($Q21=0,1,INDEX(Bills!$AA$6:$AA$25,$Q21)),0))))</f>
        <v/>
      </c>
      <c r="T21">
        <f>IF(OR($D21="",$B21="",Housemates!$B$9=""),0,IF($R21&gt;0,IF(G21="",0,IF(ISNUMBER(G21),G21,1)),IF($C21="Paying back",0,IF(AND(OR(Housemates!$C$9="",Housemates!$C$9&lt;=$B21),OR(Housemates!$D$9="",Housemates!$D$9&gt;=$B21)),IF($Q21=0,1,INDEX(Bills!$AB$6:$AB$25,$Q21)),0))))</f>
        <v/>
      </c>
      <c r="U21">
        <f>IF(OR($D21="",$B21="",Housemates!$B$10=""),0,IF($R21&gt;0,IF(H21="",0,IF(ISNUMBER(H21),H21,1)),IF($C21="Paying back",0,IF(AND(OR(Housemates!$C$10="",Housemates!$C$10&lt;=$B21),OR(Housemates!$D$10="",Housemates!$D$10&gt;=$B21)),IF($Q21=0,1,INDEX(Bills!$AC$6:$AC$25,$Q21)),0))))</f>
        <v/>
      </c>
      <c r="V21">
        <f>IF(OR($D21="",$B21="",Housemates!$B$11=""),0,IF($R21&gt;0,IF(I21="",0,IF(ISNUMBER(I21),I21,1)),IF($C21="Paying back",0,IF(AND(OR(Housemates!$C$11="",Housemates!$C$11&lt;=$B21),OR(Housemates!$D$11="",Housemates!$D$11&gt;=$B21)),IF($Q21=0,1,INDEX(Bills!$AD$6:$AD$25,$Q21)),0))))</f>
        <v/>
      </c>
      <c r="W21">
        <f>IF(OR($D21="",$B21="",Housemates!$B$12=""),0,IF($R21&gt;0,IF(J21="",0,IF(ISNUMBER(J21),J21,1)),IF($C21="Paying back",0,IF(AND(OR(Housemates!$C$12="",Housemates!$C$12&lt;=$B21),OR(Housemates!$D$12="",Housemates!$D$12&gt;=$B21)),IF($Q21=0,1,INDEX(Bills!$AE$6:$AE$25,$Q21)),0))))</f>
        <v/>
      </c>
      <c r="X21">
        <f>IF(OR($D21="",$B21="",Housemates!$B$13=""),0,IF($R21&gt;0,IF(K21="",0,IF(ISNUMBER(K21),K21,1)),IF($C21="Paying back",0,IF(AND(OR(Housemates!$C$13="",Housemates!$C$13&lt;=$B21),OR(Housemates!$D$13="",Housemates!$D$13&gt;=$B21)),IF($Q21=0,1,INDEX(Bills!$AF$6:$AF$25,$Q21)),0))))</f>
        <v/>
      </c>
      <c r="Y21">
        <f>IF(OR($D21="",$B21="",Housemates!$B$14=""),0,IF($R21&gt;0,IF(L21="",0,IF(ISNUMBER(L21),L21,1)),IF($C21="Paying back",0,IF(AND(OR(Housemates!$C$14="",Housemates!$C$14&lt;=$B21),OR(Housemates!$D$14="",Housemates!$D$14&gt;=$B21)),IF($Q21=0,1,INDEX(Bills!$AG$6:$AG$25,$Q21)),0))))</f>
        <v/>
      </c>
      <c r="Z21">
        <f>IF(OR($D21="",$B21="",Housemates!$B$15=""),0,IF($R21&gt;0,IF(M21="",0,IF(ISNUMBER(M21),M21,1)),IF($C21="Paying back",0,IF(AND(OR(Housemates!$C$15="",Housemates!$C$15&lt;=$B21),OR(Housemates!$D$15="",Housemates!$D$15&gt;=$B21)),IF($Q21=0,1,INDEX(Bills!$AH$6:$AH$25,$Q21)),0))))</f>
        <v/>
      </c>
      <c r="AA21">
        <f>SUM(S21:Z21)</f>
        <v/>
      </c>
      <c r="AB21">
        <f>IF(AA21=0,0,D21*S21/AA21)</f>
        <v/>
      </c>
      <c r="AC21">
        <f>IF(AA21=0,0,D21*T21/AA21)</f>
        <v/>
      </c>
      <c r="AD21">
        <f>IF(AA21=0,0,D21*U21/AA21)</f>
        <v/>
      </c>
      <c r="AE21">
        <f>IF(AA21=0,0,D21*V21/AA21)</f>
        <v/>
      </c>
      <c r="AF21">
        <f>IF(AA21=0,0,D21*W21/AA21)</f>
        <v/>
      </c>
      <c r="AG21">
        <f>IF(AA21=0,0,D21*X21/AA21)</f>
        <v/>
      </c>
      <c r="AH21">
        <f>IF(AA21=0,0,D21*Y21/AA21)</f>
        <v/>
      </c>
      <c r="AI21">
        <f>IF(AA21=0,0,D21*Z21/AA21)</f>
        <v/>
      </c>
      <c r="AJ21">
        <f>IF(OR(C21="",B21=""),"",C21&amp;"|"&amp;(YEAR(B21)*100+MONTH(B21)))</f>
        <v/>
      </c>
    </row>
    <row r="22">
      <c r="A22" s="1" t="n"/>
      <c r="B22" s="23" t="n">
        <v>46073</v>
      </c>
      <c r="C22" s="24" t="inlineStr">
        <is>
          <t>Groceries</t>
        </is>
      </c>
      <c r="D22" s="25" t="n">
        <v>50.52</v>
      </c>
      <c r="E22" s="26" t="inlineStr">
        <is>
          <t>Priya</t>
        </is>
      </c>
      <c r="F22" s="27" t="n"/>
      <c r="G22" s="27" t="n"/>
      <c r="H22" s="27" t="n"/>
      <c r="I22" s="27" t="n"/>
      <c r="J22" s="27" t="n"/>
      <c r="K22" s="27" t="n"/>
      <c r="L22" s="27" t="n"/>
      <c r="M22" s="27" t="n"/>
      <c r="N22" s="21">
        <f>IF(D22="","",IF(B22="","No date",IF(AND(C22="Paying back",R22=0),"To whom?",IF(AA22=0,"Nobody",IF(C22="Paying back","To "&amp;INDEX(Housemates!$B$8:$B$15,MATCH(MAX(S22:Z22),S22:Z22,0)),IF(R22&gt;0,IF(COUNTIF(S22:Z22,"&gt;0")=1,"1 person",COUNTIF(S22:Z22,"&gt;0")&amp;" people"),IF(Q22=0,"Everyone",INDEX(Bills!$Q$6:$Q$25,Q22))))))))</f>
        <v/>
      </c>
      <c r="O22" s="18">
        <f>IF(D22="","",IF(C22="Paying back","Paying back",IF(Q22=0,"Other",IF(INDEX(Bills!$C$6:$C$25,Q22)="","Other",INDEX(Bills!$C$6:$C$25,Q22)))))</f>
        <v/>
      </c>
      <c r="P22" s="1" t="n"/>
      <c r="Q22">
        <f>IF(C22="",0,IFERROR(MATCH(C22,Bills!$B$6:$B$25,0),0))</f>
        <v/>
      </c>
      <c r="R22">
        <f>COUNTA(F22:M22)</f>
        <v/>
      </c>
      <c r="S22">
        <f>IF(OR($D22="",$B22="",Housemates!$B$8=""),0,IF($R22&gt;0,IF(F22="",0,IF(ISNUMBER(F22),F22,1)),IF($C22="Paying back",0,IF(AND(OR(Housemates!$C$8="",Housemates!$C$8&lt;=$B22),OR(Housemates!$D$8="",Housemates!$D$8&gt;=$B22)),IF($Q22=0,1,INDEX(Bills!$AA$6:$AA$25,$Q22)),0))))</f>
        <v/>
      </c>
      <c r="T22">
        <f>IF(OR($D22="",$B22="",Housemates!$B$9=""),0,IF($R22&gt;0,IF(G22="",0,IF(ISNUMBER(G22),G22,1)),IF($C22="Paying back",0,IF(AND(OR(Housemates!$C$9="",Housemates!$C$9&lt;=$B22),OR(Housemates!$D$9="",Housemates!$D$9&gt;=$B22)),IF($Q22=0,1,INDEX(Bills!$AB$6:$AB$25,$Q22)),0))))</f>
        <v/>
      </c>
      <c r="U22">
        <f>IF(OR($D22="",$B22="",Housemates!$B$10=""),0,IF($R22&gt;0,IF(H22="",0,IF(ISNUMBER(H22),H22,1)),IF($C22="Paying back",0,IF(AND(OR(Housemates!$C$10="",Housemates!$C$10&lt;=$B22),OR(Housemates!$D$10="",Housemates!$D$10&gt;=$B22)),IF($Q22=0,1,INDEX(Bills!$AC$6:$AC$25,$Q22)),0))))</f>
        <v/>
      </c>
      <c r="V22">
        <f>IF(OR($D22="",$B22="",Housemates!$B$11=""),0,IF($R22&gt;0,IF(I22="",0,IF(ISNUMBER(I22),I22,1)),IF($C22="Paying back",0,IF(AND(OR(Housemates!$C$11="",Housemates!$C$11&lt;=$B22),OR(Housemates!$D$11="",Housemates!$D$11&gt;=$B22)),IF($Q22=0,1,INDEX(Bills!$AD$6:$AD$25,$Q22)),0))))</f>
        <v/>
      </c>
      <c r="W22">
        <f>IF(OR($D22="",$B22="",Housemates!$B$12=""),0,IF($R22&gt;0,IF(J22="",0,IF(ISNUMBER(J22),J22,1)),IF($C22="Paying back",0,IF(AND(OR(Housemates!$C$12="",Housemates!$C$12&lt;=$B22),OR(Housemates!$D$12="",Housemates!$D$12&gt;=$B22)),IF($Q22=0,1,INDEX(Bills!$AE$6:$AE$25,$Q22)),0))))</f>
        <v/>
      </c>
      <c r="X22">
        <f>IF(OR($D22="",$B22="",Housemates!$B$13=""),0,IF($R22&gt;0,IF(K22="",0,IF(ISNUMBER(K22),K22,1)),IF($C22="Paying back",0,IF(AND(OR(Housemates!$C$13="",Housemates!$C$13&lt;=$B22),OR(Housemates!$D$13="",Housemates!$D$13&gt;=$B22)),IF($Q22=0,1,INDEX(Bills!$AF$6:$AF$25,$Q22)),0))))</f>
        <v/>
      </c>
      <c r="Y22">
        <f>IF(OR($D22="",$B22="",Housemates!$B$14=""),0,IF($R22&gt;0,IF(L22="",0,IF(ISNUMBER(L22),L22,1)),IF($C22="Paying back",0,IF(AND(OR(Housemates!$C$14="",Housemates!$C$14&lt;=$B22),OR(Housemates!$D$14="",Housemates!$D$14&gt;=$B22)),IF($Q22=0,1,INDEX(Bills!$AG$6:$AG$25,$Q22)),0))))</f>
        <v/>
      </c>
      <c r="Z22">
        <f>IF(OR($D22="",$B22="",Housemates!$B$15=""),0,IF($R22&gt;0,IF(M22="",0,IF(ISNUMBER(M22),M22,1)),IF($C22="Paying back",0,IF(AND(OR(Housemates!$C$15="",Housemates!$C$15&lt;=$B22),OR(Housemates!$D$15="",Housemates!$D$15&gt;=$B22)),IF($Q22=0,1,INDEX(Bills!$AH$6:$AH$25,$Q22)),0))))</f>
        <v/>
      </c>
      <c r="AA22">
        <f>SUM(S22:Z22)</f>
        <v/>
      </c>
      <c r="AB22">
        <f>IF(AA22=0,0,D22*S22/AA22)</f>
        <v/>
      </c>
      <c r="AC22">
        <f>IF(AA22=0,0,D22*T22/AA22)</f>
        <v/>
      </c>
      <c r="AD22">
        <f>IF(AA22=0,0,D22*U22/AA22)</f>
        <v/>
      </c>
      <c r="AE22">
        <f>IF(AA22=0,0,D22*V22/AA22)</f>
        <v/>
      </c>
      <c r="AF22">
        <f>IF(AA22=0,0,D22*W22/AA22)</f>
        <v/>
      </c>
      <c r="AG22">
        <f>IF(AA22=0,0,D22*X22/AA22)</f>
        <v/>
      </c>
      <c r="AH22">
        <f>IF(AA22=0,0,D22*Y22/AA22)</f>
        <v/>
      </c>
      <c r="AI22">
        <f>IF(AA22=0,0,D22*Z22/AA22)</f>
        <v/>
      </c>
      <c r="AJ22">
        <f>IF(OR(C22="",B22=""),"",C22&amp;"|"&amp;(YEAR(B22)*100+MONTH(B22)))</f>
        <v/>
      </c>
    </row>
    <row r="23">
      <c r="A23" s="1" t="n"/>
      <c r="B23" s="23" t="n">
        <v>46074</v>
      </c>
      <c r="C23" s="24" t="inlineStr">
        <is>
          <t>Streaming</t>
        </is>
      </c>
      <c r="D23" s="25" t="n">
        <v>15.96</v>
      </c>
      <c r="E23" s="26" t="inlineStr">
        <is>
          <t>Priya</t>
        </is>
      </c>
      <c r="F23" s="27" t="n"/>
      <c r="G23" s="27" t="n"/>
      <c r="H23" s="27" t="n"/>
      <c r="I23" s="27" t="n"/>
      <c r="J23" s="27" t="n"/>
      <c r="K23" s="27" t="n"/>
      <c r="L23" s="27" t="n"/>
      <c r="M23" s="27" t="n"/>
      <c r="N23" s="21">
        <f>IF(D23="","",IF(B23="","No date",IF(AND(C23="Paying back",R23=0),"To whom?",IF(AA23=0,"Nobody",IF(C23="Paying back","To "&amp;INDEX(Housemates!$B$8:$B$15,MATCH(MAX(S23:Z23),S23:Z23,0)),IF(R23&gt;0,IF(COUNTIF(S23:Z23,"&gt;0")=1,"1 person",COUNTIF(S23:Z23,"&gt;0")&amp;" people"),IF(Q23=0,"Everyone",INDEX(Bills!$Q$6:$Q$25,Q23))))))))</f>
        <v/>
      </c>
      <c r="O23" s="18">
        <f>IF(D23="","",IF(C23="Paying back","Paying back",IF(Q23=0,"Other",IF(INDEX(Bills!$C$6:$C$25,Q23)="","Other",INDEX(Bills!$C$6:$C$25,Q23)))))</f>
        <v/>
      </c>
      <c r="P23" s="1" t="n"/>
      <c r="Q23">
        <f>IF(C23="",0,IFERROR(MATCH(C23,Bills!$B$6:$B$25,0),0))</f>
        <v/>
      </c>
      <c r="R23">
        <f>COUNTA(F23:M23)</f>
        <v/>
      </c>
      <c r="S23">
        <f>IF(OR($D23="",$B23="",Housemates!$B$8=""),0,IF($R23&gt;0,IF(F23="",0,IF(ISNUMBER(F23),F23,1)),IF($C23="Paying back",0,IF(AND(OR(Housemates!$C$8="",Housemates!$C$8&lt;=$B23),OR(Housemates!$D$8="",Housemates!$D$8&gt;=$B23)),IF($Q23=0,1,INDEX(Bills!$AA$6:$AA$25,$Q23)),0))))</f>
        <v/>
      </c>
      <c r="T23">
        <f>IF(OR($D23="",$B23="",Housemates!$B$9=""),0,IF($R23&gt;0,IF(G23="",0,IF(ISNUMBER(G23),G23,1)),IF($C23="Paying back",0,IF(AND(OR(Housemates!$C$9="",Housemates!$C$9&lt;=$B23),OR(Housemates!$D$9="",Housemates!$D$9&gt;=$B23)),IF($Q23=0,1,INDEX(Bills!$AB$6:$AB$25,$Q23)),0))))</f>
        <v/>
      </c>
      <c r="U23">
        <f>IF(OR($D23="",$B23="",Housemates!$B$10=""),0,IF($R23&gt;0,IF(H23="",0,IF(ISNUMBER(H23),H23,1)),IF($C23="Paying back",0,IF(AND(OR(Housemates!$C$10="",Housemates!$C$10&lt;=$B23),OR(Housemates!$D$10="",Housemates!$D$10&gt;=$B23)),IF($Q23=0,1,INDEX(Bills!$AC$6:$AC$25,$Q23)),0))))</f>
        <v/>
      </c>
      <c r="V23">
        <f>IF(OR($D23="",$B23="",Housemates!$B$11=""),0,IF($R23&gt;0,IF(I23="",0,IF(ISNUMBER(I23),I23,1)),IF($C23="Paying back",0,IF(AND(OR(Housemates!$C$11="",Housemates!$C$11&lt;=$B23),OR(Housemates!$D$11="",Housemates!$D$11&gt;=$B23)),IF($Q23=0,1,INDEX(Bills!$AD$6:$AD$25,$Q23)),0))))</f>
        <v/>
      </c>
      <c r="W23">
        <f>IF(OR($D23="",$B23="",Housemates!$B$12=""),0,IF($R23&gt;0,IF(J23="",0,IF(ISNUMBER(J23),J23,1)),IF($C23="Paying back",0,IF(AND(OR(Housemates!$C$12="",Housemates!$C$12&lt;=$B23),OR(Housemates!$D$12="",Housemates!$D$12&gt;=$B23)),IF($Q23=0,1,INDEX(Bills!$AE$6:$AE$25,$Q23)),0))))</f>
        <v/>
      </c>
      <c r="X23">
        <f>IF(OR($D23="",$B23="",Housemates!$B$13=""),0,IF($R23&gt;0,IF(K23="",0,IF(ISNUMBER(K23),K23,1)),IF($C23="Paying back",0,IF(AND(OR(Housemates!$C$13="",Housemates!$C$13&lt;=$B23),OR(Housemates!$D$13="",Housemates!$D$13&gt;=$B23)),IF($Q23=0,1,INDEX(Bills!$AF$6:$AF$25,$Q23)),0))))</f>
        <v/>
      </c>
      <c r="Y23">
        <f>IF(OR($D23="",$B23="",Housemates!$B$14=""),0,IF($R23&gt;0,IF(L23="",0,IF(ISNUMBER(L23),L23,1)),IF($C23="Paying back",0,IF(AND(OR(Housemates!$C$14="",Housemates!$C$14&lt;=$B23),OR(Housemates!$D$14="",Housemates!$D$14&gt;=$B23)),IF($Q23=0,1,INDEX(Bills!$AG$6:$AG$25,$Q23)),0))))</f>
        <v/>
      </c>
      <c r="Z23">
        <f>IF(OR($D23="",$B23="",Housemates!$B$15=""),0,IF($R23&gt;0,IF(M23="",0,IF(ISNUMBER(M23),M23,1)),IF($C23="Paying back",0,IF(AND(OR(Housemates!$C$15="",Housemates!$C$15&lt;=$B23),OR(Housemates!$D$15="",Housemates!$D$15&gt;=$B23)),IF($Q23=0,1,INDEX(Bills!$AH$6:$AH$25,$Q23)),0))))</f>
        <v/>
      </c>
      <c r="AA23">
        <f>SUM(S23:Z23)</f>
        <v/>
      </c>
      <c r="AB23">
        <f>IF(AA23=0,0,D23*S23/AA23)</f>
        <v/>
      </c>
      <c r="AC23">
        <f>IF(AA23=0,0,D23*T23/AA23)</f>
        <v/>
      </c>
      <c r="AD23">
        <f>IF(AA23=0,0,D23*U23/AA23)</f>
        <v/>
      </c>
      <c r="AE23">
        <f>IF(AA23=0,0,D23*V23/AA23)</f>
        <v/>
      </c>
      <c r="AF23">
        <f>IF(AA23=0,0,D23*W23/AA23)</f>
        <v/>
      </c>
      <c r="AG23">
        <f>IF(AA23=0,0,D23*X23/AA23)</f>
        <v/>
      </c>
      <c r="AH23">
        <f>IF(AA23=0,0,D23*Y23/AA23)</f>
        <v/>
      </c>
      <c r="AI23">
        <f>IF(AA23=0,0,D23*Z23/AA23)</f>
        <v/>
      </c>
      <c r="AJ23">
        <f>IF(OR(C23="",B23=""),"",C23&amp;"|"&amp;(YEAR(B23)*100+MONTH(B23)))</f>
        <v/>
      </c>
    </row>
    <row r="24">
      <c r="A24" s="1" t="n"/>
      <c r="B24" s="23" t="n">
        <v>46082</v>
      </c>
      <c r="C24" s="24" t="inlineStr">
        <is>
          <t>Rent</t>
        </is>
      </c>
      <c r="D24" s="25" t="n">
        <v>2400</v>
      </c>
      <c r="E24" s="26" t="inlineStr">
        <is>
          <t>Maya</t>
        </is>
      </c>
      <c r="F24" s="27" t="n"/>
      <c r="G24" s="27" t="n"/>
      <c r="H24" s="27" t="n"/>
      <c r="I24" s="27" t="n"/>
      <c r="J24" s="27" t="n"/>
      <c r="K24" s="27" t="n"/>
      <c r="L24" s="27" t="n"/>
      <c r="M24" s="27" t="n"/>
      <c r="N24" s="21">
        <f>IF(D24="","",IF(B24="","No date",IF(AND(C24="Paying back",R24=0),"To whom?",IF(AA24=0,"Nobody",IF(C24="Paying back","To "&amp;INDEX(Housemates!$B$8:$B$15,MATCH(MAX(S24:Z24),S24:Z24,0)),IF(R24&gt;0,IF(COUNTIF(S24:Z24,"&gt;0")=1,"1 person",COUNTIF(S24:Z24,"&gt;0")&amp;" people"),IF(Q24=0,"Everyone",INDEX(Bills!$Q$6:$Q$25,Q24))))))))</f>
        <v/>
      </c>
      <c r="O24" s="18">
        <f>IF(D24="","",IF(C24="Paying back","Paying back",IF(Q24=0,"Other",IF(INDEX(Bills!$C$6:$C$25,Q24)="","Other",INDEX(Bills!$C$6:$C$25,Q24)))))</f>
        <v/>
      </c>
      <c r="P24" s="1" t="n"/>
      <c r="Q24">
        <f>IF(C24="",0,IFERROR(MATCH(C24,Bills!$B$6:$B$25,0),0))</f>
        <v/>
      </c>
      <c r="R24">
        <f>COUNTA(F24:M24)</f>
        <v/>
      </c>
      <c r="S24">
        <f>IF(OR($D24="",$B24="",Housemates!$B$8=""),0,IF($R24&gt;0,IF(F24="",0,IF(ISNUMBER(F24),F24,1)),IF($C24="Paying back",0,IF(AND(OR(Housemates!$C$8="",Housemates!$C$8&lt;=$B24),OR(Housemates!$D$8="",Housemates!$D$8&gt;=$B24)),IF($Q24=0,1,INDEX(Bills!$AA$6:$AA$25,$Q24)),0))))</f>
        <v/>
      </c>
      <c r="T24">
        <f>IF(OR($D24="",$B24="",Housemates!$B$9=""),0,IF($R24&gt;0,IF(G24="",0,IF(ISNUMBER(G24),G24,1)),IF($C24="Paying back",0,IF(AND(OR(Housemates!$C$9="",Housemates!$C$9&lt;=$B24),OR(Housemates!$D$9="",Housemates!$D$9&gt;=$B24)),IF($Q24=0,1,INDEX(Bills!$AB$6:$AB$25,$Q24)),0))))</f>
        <v/>
      </c>
      <c r="U24">
        <f>IF(OR($D24="",$B24="",Housemates!$B$10=""),0,IF($R24&gt;0,IF(H24="",0,IF(ISNUMBER(H24),H24,1)),IF($C24="Paying back",0,IF(AND(OR(Housemates!$C$10="",Housemates!$C$10&lt;=$B24),OR(Housemates!$D$10="",Housemates!$D$10&gt;=$B24)),IF($Q24=0,1,INDEX(Bills!$AC$6:$AC$25,$Q24)),0))))</f>
        <v/>
      </c>
      <c r="V24">
        <f>IF(OR($D24="",$B24="",Housemates!$B$11=""),0,IF($R24&gt;0,IF(I24="",0,IF(ISNUMBER(I24),I24,1)),IF($C24="Paying back",0,IF(AND(OR(Housemates!$C$11="",Housemates!$C$11&lt;=$B24),OR(Housemates!$D$11="",Housemates!$D$11&gt;=$B24)),IF($Q24=0,1,INDEX(Bills!$AD$6:$AD$25,$Q24)),0))))</f>
        <v/>
      </c>
      <c r="W24">
        <f>IF(OR($D24="",$B24="",Housemates!$B$12=""),0,IF($R24&gt;0,IF(J24="",0,IF(ISNUMBER(J24),J24,1)),IF($C24="Paying back",0,IF(AND(OR(Housemates!$C$12="",Housemates!$C$12&lt;=$B24),OR(Housemates!$D$12="",Housemates!$D$12&gt;=$B24)),IF($Q24=0,1,INDEX(Bills!$AE$6:$AE$25,$Q24)),0))))</f>
        <v/>
      </c>
      <c r="X24">
        <f>IF(OR($D24="",$B24="",Housemates!$B$13=""),0,IF($R24&gt;0,IF(K24="",0,IF(ISNUMBER(K24),K24,1)),IF($C24="Paying back",0,IF(AND(OR(Housemates!$C$13="",Housemates!$C$13&lt;=$B24),OR(Housemates!$D$13="",Housemates!$D$13&gt;=$B24)),IF($Q24=0,1,INDEX(Bills!$AF$6:$AF$25,$Q24)),0))))</f>
        <v/>
      </c>
      <c r="Y24">
        <f>IF(OR($D24="",$B24="",Housemates!$B$14=""),0,IF($R24&gt;0,IF(L24="",0,IF(ISNUMBER(L24),L24,1)),IF($C24="Paying back",0,IF(AND(OR(Housemates!$C$14="",Housemates!$C$14&lt;=$B24),OR(Housemates!$D$14="",Housemates!$D$14&gt;=$B24)),IF($Q24=0,1,INDEX(Bills!$AG$6:$AG$25,$Q24)),0))))</f>
        <v/>
      </c>
      <c r="Z24">
        <f>IF(OR($D24="",$B24="",Housemates!$B$15=""),0,IF($R24&gt;0,IF(M24="",0,IF(ISNUMBER(M24),M24,1)),IF($C24="Paying back",0,IF(AND(OR(Housemates!$C$15="",Housemates!$C$15&lt;=$B24),OR(Housemates!$D$15="",Housemates!$D$15&gt;=$B24)),IF($Q24=0,1,INDEX(Bills!$AH$6:$AH$25,$Q24)),0))))</f>
        <v/>
      </c>
      <c r="AA24">
        <f>SUM(S24:Z24)</f>
        <v/>
      </c>
      <c r="AB24">
        <f>IF(AA24=0,0,D24*S24/AA24)</f>
        <v/>
      </c>
      <c r="AC24">
        <f>IF(AA24=0,0,D24*T24/AA24)</f>
        <v/>
      </c>
      <c r="AD24">
        <f>IF(AA24=0,0,D24*U24/AA24)</f>
        <v/>
      </c>
      <c r="AE24">
        <f>IF(AA24=0,0,D24*V24/AA24)</f>
        <v/>
      </c>
      <c r="AF24">
        <f>IF(AA24=0,0,D24*W24/AA24)</f>
        <v/>
      </c>
      <c r="AG24">
        <f>IF(AA24=0,0,D24*X24/AA24)</f>
        <v/>
      </c>
      <c r="AH24">
        <f>IF(AA24=0,0,D24*Y24/AA24)</f>
        <v/>
      </c>
      <c r="AI24">
        <f>IF(AA24=0,0,D24*Z24/AA24)</f>
        <v/>
      </c>
      <c r="AJ24">
        <f>IF(OR(C24="",B24=""),"",C24&amp;"|"&amp;(YEAR(B24)*100+MONTH(B24)))</f>
        <v/>
      </c>
    </row>
    <row r="25">
      <c r="A25" s="1" t="n"/>
      <c r="B25" s="23" t="n">
        <v>46083</v>
      </c>
      <c r="C25" s="24" t="inlineStr">
        <is>
          <t>Home insurance</t>
        </is>
      </c>
      <c r="D25" s="25" t="n">
        <v>264</v>
      </c>
      <c r="E25" s="26" t="inlineStr">
        <is>
          <t>Maya</t>
        </is>
      </c>
      <c r="F25" s="27" t="n"/>
      <c r="G25" s="27" t="n"/>
      <c r="H25" s="27" t="n"/>
      <c r="I25" s="27" t="n"/>
      <c r="J25" s="27" t="n"/>
      <c r="K25" s="27" t="n"/>
      <c r="L25" s="27" t="n"/>
      <c r="M25" s="27" t="n"/>
      <c r="N25" s="21">
        <f>IF(D25="","",IF(B25="","No date",IF(AND(C25="Paying back",R25=0),"To whom?",IF(AA25=0,"Nobody",IF(C25="Paying back","To "&amp;INDEX(Housemates!$B$8:$B$15,MATCH(MAX(S25:Z25),S25:Z25,0)),IF(R25&gt;0,IF(COUNTIF(S25:Z25,"&gt;0")=1,"1 person",COUNTIF(S25:Z25,"&gt;0")&amp;" people"),IF(Q25=0,"Everyone",INDEX(Bills!$Q$6:$Q$25,Q25))))))))</f>
        <v/>
      </c>
      <c r="O25" s="18">
        <f>IF(D25="","",IF(C25="Paying back","Paying back",IF(Q25=0,"Other",IF(INDEX(Bills!$C$6:$C$25,Q25)="","Other",INDEX(Bills!$C$6:$C$25,Q25)))))</f>
        <v/>
      </c>
      <c r="P25" s="1" t="n"/>
      <c r="Q25">
        <f>IF(C25="",0,IFERROR(MATCH(C25,Bills!$B$6:$B$25,0),0))</f>
        <v/>
      </c>
      <c r="R25">
        <f>COUNTA(F25:M25)</f>
        <v/>
      </c>
      <c r="S25">
        <f>IF(OR($D25="",$B25="",Housemates!$B$8=""),0,IF($R25&gt;0,IF(F25="",0,IF(ISNUMBER(F25),F25,1)),IF($C25="Paying back",0,IF(AND(OR(Housemates!$C$8="",Housemates!$C$8&lt;=$B25),OR(Housemates!$D$8="",Housemates!$D$8&gt;=$B25)),IF($Q25=0,1,INDEX(Bills!$AA$6:$AA$25,$Q25)),0))))</f>
        <v/>
      </c>
      <c r="T25">
        <f>IF(OR($D25="",$B25="",Housemates!$B$9=""),0,IF($R25&gt;0,IF(G25="",0,IF(ISNUMBER(G25),G25,1)),IF($C25="Paying back",0,IF(AND(OR(Housemates!$C$9="",Housemates!$C$9&lt;=$B25),OR(Housemates!$D$9="",Housemates!$D$9&gt;=$B25)),IF($Q25=0,1,INDEX(Bills!$AB$6:$AB$25,$Q25)),0))))</f>
        <v/>
      </c>
      <c r="U25">
        <f>IF(OR($D25="",$B25="",Housemates!$B$10=""),0,IF($R25&gt;0,IF(H25="",0,IF(ISNUMBER(H25),H25,1)),IF($C25="Paying back",0,IF(AND(OR(Housemates!$C$10="",Housemates!$C$10&lt;=$B25),OR(Housemates!$D$10="",Housemates!$D$10&gt;=$B25)),IF($Q25=0,1,INDEX(Bills!$AC$6:$AC$25,$Q25)),0))))</f>
        <v/>
      </c>
      <c r="V25">
        <f>IF(OR($D25="",$B25="",Housemates!$B$11=""),0,IF($R25&gt;0,IF(I25="",0,IF(ISNUMBER(I25),I25,1)),IF($C25="Paying back",0,IF(AND(OR(Housemates!$C$11="",Housemates!$C$11&lt;=$B25),OR(Housemates!$D$11="",Housemates!$D$11&gt;=$B25)),IF($Q25=0,1,INDEX(Bills!$AD$6:$AD$25,$Q25)),0))))</f>
        <v/>
      </c>
      <c r="W25">
        <f>IF(OR($D25="",$B25="",Housemates!$B$12=""),0,IF($R25&gt;0,IF(J25="",0,IF(ISNUMBER(J25),J25,1)),IF($C25="Paying back",0,IF(AND(OR(Housemates!$C$12="",Housemates!$C$12&lt;=$B25),OR(Housemates!$D$12="",Housemates!$D$12&gt;=$B25)),IF($Q25=0,1,INDEX(Bills!$AE$6:$AE$25,$Q25)),0))))</f>
        <v/>
      </c>
      <c r="X25">
        <f>IF(OR($D25="",$B25="",Housemates!$B$13=""),0,IF($R25&gt;0,IF(K25="",0,IF(ISNUMBER(K25),K25,1)),IF($C25="Paying back",0,IF(AND(OR(Housemates!$C$13="",Housemates!$C$13&lt;=$B25),OR(Housemates!$D$13="",Housemates!$D$13&gt;=$B25)),IF($Q25=0,1,INDEX(Bills!$AF$6:$AF$25,$Q25)),0))))</f>
        <v/>
      </c>
      <c r="Y25">
        <f>IF(OR($D25="",$B25="",Housemates!$B$14=""),0,IF($R25&gt;0,IF(L25="",0,IF(ISNUMBER(L25),L25,1)),IF($C25="Paying back",0,IF(AND(OR(Housemates!$C$14="",Housemates!$C$14&lt;=$B25),OR(Housemates!$D$14="",Housemates!$D$14&gt;=$B25)),IF($Q25=0,1,INDEX(Bills!$AG$6:$AG$25,$Q25)),0))))</f>
        <v/>
      </c>
      <c r="Z25">
        <f>IF(OR($D25="",$B25="",Housemates!$B$15=""),0,IF($R25&gt;0,IF(M25="",0,IF(ISNUMBER(M25),M25,1)),IF($C25="Paying back",0,IF(AND(OR(Housemates!$C$15="",Housemates!$C$15&lt;=$B25),OR(Housemates!$D$15="",Housemates!$D$15&gt;=$B25)),IF($Q25=0,1,INDEX(Bills!$AH$6:$AH$25,$Q25)),0))))</f>
        <v/>
      </c>
      <c r="AA25">
        <f>SUM(S25:Z25)</f>
        <v/>
      </c>
      <c r="AB25">
        <f>IF(AA25=0,0,D25*S25/AA25)</f>
        <v/>
      </c>
      <c r="AC25">
        <f>IF(AA25=0,0,D25*T25/AA25)</f>
        <v/>
      </c>
      <c r="AD25">
        <f>IF(AA25=0,0,D25*U25/AA25)</f>
        <v/>
      </c>
      <c r="AE25">
        <f>IF(AA25=0,0,D25*V25/AA25)</f>
        <v/>
      </c>
      <c r="AF25">
        <f>IF(AA25=0,0,D25*W25/AA25)</f>
        <v/>
      </c>
      <c r="AG25">
        <f>IF(AA25=0,0,D25*X25/AA25)</f>
        <v/>
      </c>
      <c r="AH25">
        <f>IF(AA25=0,0,D25*Y25/AA25)</f>
        <v/>
      </c>
      <c r="AI25">
        <f>IF(AA25=0,0,D25*Z25/AA25)</f>
        <v/>
      </c>
      <c r="AJ25">
        <f>IF(OR(C25="",B25=""),"",C25&amp;"|"&amp;(YEAR(B25)*100+MONTH(B25)))</f>
        <v/>
      </c>
    </row>
    <row r="26">
      <c r="A26" s="1" t="n"/>
      <c r="B26" s="23" t="n">
        <v>46085</v>
      </c>
      <c r="C26" s="24" t="inlineStr">
        <is>
          <t>Internet</t>
        </is>
      </c>
      <c r="D26" s="25" t="n">
        <v>45</v>
      </c>
      <c r="E26" s="26" t="inlineStr">
        <is>
          <t>Leo</t>
        </is>
      </c>
      <c r="F26" s="27" t="n"/>
      <c r="G26" s="27" t="n"/>
      <c r="H26" s="27" t="n"/>
      <c r="I26" s="27" t="n"/>
      <c r="J26" s="27" t="n"/>
      <c r="K26" s="27" t="n"/>
      <c r="L26" s="27" t="n"/>
      <c r="M26" s="27" t="n"/>
      <c r="N26" s="21">
        <f>IF(D26="","",IF(B26="","No date",IF(AND(C26="Paying back",R26=0),"To whom?",IF(AA26=0,"Nobody",IF(C26="Paying back","To "&amp;INDEX(Housemates!$B$8:$B$15,MATCH(MAX(S26:Z26),S26:Z26,0)),IF(R26&gt;0,IF(COUNTIF(S26:Z26,"&gt;0")=1,"1 person",COUNTIF(S26:Z26,"&gt;0")&amp;" people"),IF(Q26=0,"Everyone",INDEX(Bills!$Q$6:$Q$25,Q26))))))))</f>
        <v/>
      </c>
      <c r="O26" s="18">
        <f>IF(D26="","",IF(C26="Paying back","Paying back",IF(Q26=0,"Other",IF(INDEX(Bills!$C$6:$C$25,Q26)="","Other",INDEX(Bills!$C$6:$C$25,Q26)))))</f>
        <v/>
      </c>
      <c r="P26" s="1" t="n"/>
      <c r="Q26">
        <f>IF(C26="",0,IFERROR(MATCH(C26,Bills!$B$6:$B$25,0),0))</f>
        <v/>
      </c>
      <c r="R26">
        <f>COUNTA(F26:M26)</f>
        <v/>
      </c>
      <c r="S26">
        <f>IF(OR($D26="",$B26="",Housemates!$B$8=""),0,IF($R26&gt;0,IF(F26="",0,IF(ISNUMBER(F26),F26,1)),IF($C26="Paying back",0,IF(AND(OR(Housemates!$C$8="",Housemates!$C$8&lt;=$B26),OR(Housemates!$D$8="",Housemates!$D$8&gt;=$B26)),IF($Q26=0,1,INDEX(Bills!$AA$6:$AA$25,$Q26)),0))))</f>
        <v/>
      </c>
      <c r="T26">
        <f>IF(OR($D26="",$B26="",Housemates!$B$9=""),0,IF($R26&gt;0,IF(G26="",0,IF(ISNUMBER(G26),G26,1)),IF($C26="Paying back",0,IF(AND(OR(Housemates!$C$9="",Housemates!$C$9&lt;=$B26),OR(Housemates!$D$9="",Housemates!$D$9&gt;=$B26)),IF($Q26=0,1,INDEX(Bills!$AB$6:$AB$25,$Q26)),0))))</f>
        <v/>
      </c>
      <c r="U26">
        <f>IF(OR($D26="",$B26="",Housemates!$B$10=""),0,IF($R26&gt;0,IF(H26="",0,IF(ISNUMBER(H26),H26,1)),IF($C26="Paying back",0,IF(AND(OR(Housemates!$C$10="",Housemates!$C$10&lt;=$B26),OR(Housemates!$D$10="",Housemates!$D$10&gt;=$B26)),IF($Q26=0,1,INDEX(Bills!$AC$6:$AC$25,$Q26)),0))))</f>
        <v/>
      </c>
      <c r="V26">
        <f>IF(OR($D26="",$B26="",Housemates!$B$11=""),0,IF($R26&gt;0,IF(I26="",0,IF(ISNUMBER(I26),I26,1)),IF($C26="Paying back",0,IF(AND(OR(Housemates!$C$11="",Housemates!$C$11&lt;=$B26),OR(Housemates!$D$11="",Housemates!$D$11&gt;=$B26)),IF($Q26=0,1,INDEX(Bills!$AD$6:$AD$25,$Q26)),0))))</f>
        <v/>
      </c>
      <c r="W26">
        <f>IF(OR($D26="",$B26="",Housemates!$B$12=""),0,IF($R26&gt;0,IF(J26="",0,IF(ISNUMBER(J26),J26,1)),IF($C26="Paying back",0,IF(AND(OR(Housemates!$C$12="",Housemates!$C$12&lt;=$B26),OR(Housemates!$D$12="",Housemates!$D$12&gt;=$B26)),IF($Q26=0,1,INDEX(Bills!$AE$6:$AE$25,$Q26)),0))))</f>
        <v/>
      </c>
      <c r="X26">
        <f>IF(OR($D26="",$B26="",Housemates!$B$13=""),0,IF($R26&gt;0,IF(K26="",0,IF(ISNUMBER(K26),K26,1)),IF($C26="Paying back",0,IF(AND(OR(Housemates!$C$13="",Housemates!$C$13&lt;=$B26),OR(Housemates!$D$13="",Housemates!$D$13&gt;=$B26)),IF($Q26=0,1,INDEX(Bills!$AF$6:$AF$25,$Q26)),0))))</f>
        <v/>
      </c>
      <c r="Y26">
        <f>IF(OR($D26="",$B26="",Housemates!$B$14=""),0,IF($R26&gt;0,IF(L26="",0,IF(ISNUMBER(L26),L26,1)),IF($C26="Paying back",0,IF(AND(OR(Housemates!$C$14="",Housemates!$C$14&lt;=$B26),OR(Housemates!$D$14="",Housemates!$D$14&gt;=$B26)),IF($Q26=0,1,INDEX(Bills!$AG$6:$AG$25,$Q26)),0))))</f>
        <v/>
      </c>
      <c r="Z26">
        <f>IF(OR($D26="",$B26="",Housemates!$B$15=""),0,IF($R26&gt;0,IF(M26="",0,IF(ISNUMBER(M26),M26,1)),IF($C26="Paying back",0,IF(AND(OR(Housemates!$C$15="",Housemates!$C$15&lt;=$B26),OR(Housemates!$D$15="",Housemates!$D$15&gt;=$B26)),IF($Q26=0,1,INDEX(Bills!$AH$6:$AH$25,$Q26)),0))))</f>
        <v/>
      </c>
      <c r="AA26">
        <f>SUM(S26:Z26)</f>
        <v/>
      </c>
      <c r="AB26">
        <f>IF(AA26=0,0,D26*S26/AA26)</f>
        <v/>
      </c>
      <c r="AC26">
        <f>IF(AA26=0,0,D26*T26/AA26)</f>
        <v/>
      </c>
      <c r="AD26">
        <f>IF(AA26=0,0,D26*U26/AA26)</f>
        <v/>
      </c>
      <c r="AE26">
        <f>IF(AA26=0,0,D26*V26/AA26)</f>
        <v/>
      </c>
      <c r="AF26">
        <f>IF(AA26=0,0,D26*W26/AA26)</f>
        <v/>
      </c>
      <c r="AG26">
        <f>IF(AA26=0,0,D26*X26/AA26)</f>
        <v/>
      </c>
      <c r="AH26">
        <f>IF(AA26=0,0,D26*Y26/AA26)</f>
        <v/>
      </c>
      <c r="AI26">
        <f>IF(AA26=0,0,D26*Z26/AA26)</f>
        <v/>
      </c>
      <c r="AJ26">
        <f>IF(OR(C26="",B26=""),"",C26&amp;"|"&amp;(YEAR(B26)*100+MONTH(B26)))</f>
        <v/>
      </c>
    </row>
    <row r="27">
      <c r="A27" s="1" t="n"/>
      <c r="B27" s="23" t="n">
        <v>46088</v>
      </c>
      <c r="C27" s="24" t="inlineStr">
        <is>
          <t>Water</t>
        </is>
      </c>
      <c r="D27" s="25" t="n">
        <v>78.59999999999999</v>
      </c>
      <c r="E27" s="26" t="inlineStr">
        <is>
          <t>Maya</t>
        </is>
      </c>
      <c r="F27" s="27" t="n"/>
      <c r="G27" s="27" t="n"/>
      <c r="H27" s="27" t="n"/>
      <c r="I27" s="27" t="n"/>
      <c r="J27" s="27" t="n"/>
      <c r="K27" s="27" t="n"/>
      <c r="L27" s="27" t="n"/>
      <c r="M27" s="27" t="n"/>
      <c r="N27" s="21">
        <f>IF(D27="","",IF(B27="","No date",IF(AND(C27="Paying back",R27=0),"To whom?",IF(AA27=0,"Nobody",IF(C27="Paying back","To "&amp;INDEX(Housemates!$B$8:$B$15,MATCH(MAX(S27:Z27),S27:Z27,0)),IF(R27&gt;0,IF(COUNTIF(S27:Z27,"&gt;0")=1,"1 person",COUNTIF(S27:Z27,"&gt;0")&amp;" people"),IF(Q27=0,"Everyone",INDEX(Bills!$Q$6:$Q$25,Q27))))))))</f>
        <v/>
      </c>
      <c r="O27" s="18">
        <f>IF(D27="","",IF(C27="Paying back","Paying back",IF(Q27=0,"Other",IF(INDEX(Bills!$C$6:$C$25,Q27)="","Other",INDEX(Bills!$C$6:$C$25,Q27)))))</f>
        <v/>
      </c>
      <c r="P27" s="1" t="n"/>
      <c r="Q27">
        <f>IF(C27="",0,IFERROR(MATCH(C27,Bills!$B$6:$B$25,0),0))</f>
        <v/>
      </c>
      <c r="R27">
        <f>COUNTA(F27:M27)</f>
        <v/>
      </c>
      <c r="S27">
        <f>IF(OR($D27="",$B27="",Housemates!$B$8=""),0,IF($R27&gt;0,IF(F27="",0,IF(ISNUMBER(F27),F27,1)),IF($C27="Paying back",0,IF(AND(OR(Housemates!$C$8="",Housemates!$C$8&lt;=$B27),OR(Housemates!$D$8="",Housemates!$D$8&gt;=$B27)),IF($Q27=0,1,INDEX(Bills!$AA$6:$AA$25,$Q27)),0))))</f>
        <v/>
      </c>
      <c r="T27">
        <f>IF(OR($D27="",$B27="",Housemates!$B$9=""),0,IF($R27&gt;0,IF(G27="",0,IF(ISNUMBER(G27),G27,1)),IF($C27="Paying back",0,IF(AND(OR(Housemates!$C$9="",Housemates!$C$9&lt;=$B27),OR(Housemates!$D$9="",Housemates!$D$9&gt;=$B27)),IF($Q27=0,1,INDEX(Bills!$AB$6:$AB$25,$Q27)),0))))</f>
        <v/>
      </c>
      <c r="U27">
        <f>IF(OR($D27="",$B27="",Housemates!$B$10=""),0,IF($R27&gt;0,IF(H27="",0,IF(ISNUMBER(H27),H27,1)),IF($C27="Paying back",0,IF(AND(OR(Housemates!$C$10="",Housemates!$C$10&lt;=$B27),OR(Housemates!$D$10="",Housemates!$D$10&gt;=$B27)),IF($Q27=0,1,INDEX(Bills!$AC$6:$AC$25,$Q27)),0))))</f>
        <v/>
      </c>
      <c r="V27">
        <f>IF(OR($D27="",$B27="",Housemates!$B$11=""),0,IF($R27&gt;0,IF(I27="",0,IF(ISNUMBER(I27),I27,1)),IF($C27="Paying back",0,IF(AND(OR(Housemates!$C$11="",Housemates!$C$11&lt;=$B27),OR(Housemates!$D$11="",Housemates!$D$11&gt;=$B27)),IF($Q27=0,1,INDEX(Bills!$AD$6:$AD$25,$Q27)),0))))</f>
        <v/>
      </c>
      <c r="W27">
        <f>IF(OR($D27="",$B27="",Housemates!$B$12=""),0,IF($R27&gt;0,IF(J27="",0,IF(ISNUMBER(J27),J27,1)),IF($C27="Paying back",0,IF(AND(OR(Housemates!$C$12="",Housemates!$C$12&lt;=$B27),OR(Housemates!$D$12="",Housemates!$D$12&gt;=$B27)),IF($Q27=0,1,INDEX(Bills!$AE$6:$AE$25,$Q27)),0))))</f>
        <v/>
      </c>
      <c r="X27">
        <f>IF(OR($D27="",$B27="",Housemates!$B$13=""),0,IF($R27&gt;0,IF(K27="",0,IF(ISNUMBER(K27),K27,1)),IF($C27="Paying back",0,IF(AND(OR(Housemates!$C$13="",Housemates!$C$13&lt;=$B27),OR(Housemates!$D$13="",Housemates!$D$13&gt;=$B27)),IF($Q27=0,1,INDEX(Bills!$AF$6:$AF$25,$Q27)),0))))</f>
        <v/>
      </c>
      <c r="Y27">
        <f>IF(OR($D27="",$B27="",Housemates!$B$14=""),0,IF($R27&gt;0,IF(L27="",0,IF(ISNUMBER(L27),L27,1)),IF($C27="Paying back",0,IF(AND(OR(Housemates!$C$14="",Housemates!$C$14&lt;=$B27),OR(Housemates!$D$14="",Housemates!$D$14&gt;=$B27)),IF($Q27=0,1,INDEX(Bills!$AG$6:$AG$25,$Q27)),0))))</f>
        <v/>
      </c>
      <c r="Z27">
        <f>IF(OR($D27="",$B27="",Housemates!$B$15=""),0,IF($R27&gt;0,IF(M27="",0,IF(ISNUMBER(M27),M27,1)),IF($C27="Paying back",0,IF(AND(OR(Housemates!$C$15="",Housemates!$C$15&lt;=$B27),OR(Housemates!$D$15="",Housemates!$D$15&gt;=$B27)),IF($Q27=0,1,INDEX(Bills!$AH$6:$AH$25,$Q27)),0))))</f>
        <v/>
      </c>
      <c r="AA27">
        <f>SUM(S27:Z27)</f>
        <v/>
      </c>
      <c r="AB27">
        <f>IF(AA27=0,0,D27*S27/AA27)</f>
        <v/>
      </c>
      <c r="AC27">
        <f>IF(AA27=0,0,D27*T27/AA27)</f>
        <v/>
      </c>
      <c r="AD27">
        <f>IF(AA27=0,0,D27*U27/AA27)</f>
        <v/>
      </c>
      <c r="AE27">
        <f>IF(AA27=0,0,D27*V27/AA27)</f>
        <v/>
      </c>
      <c r="AF27">
        <f>IF(AA27=0,0,D27*W27/AA27)</f>
        <v/>
      </c>
      <c r="AG27">
        <f>IF(AA27=0,0,D27*X27/AA27)</f>
        <v/>
      </c>
      <c r="AH27">
        <f>IF(AA27=0,0,D27*Y27/AA27)</f>
        <v/>
      </c>
      <c r="AI27">
        <f>IF(AA27=0,0,D27*Z27/AA27)</f>
        <v/>
      </c>
      <c r="AJ27">
        <f>IF(OR(C27="",B27=""),"",C27&amp;"|"&amp;(YEAR(B27)*100+MONTH(B27)))</f>
        <v/>
      </c>
    </row>
    <row r="28">
      <c r="A28" s="1" t="n"/>
      <c r="B28" s="23" t="n">
        <v>46093</v>
      </c>
      <c r="C28" s="24" t="inlineStr">
        <is>
          <t>Electricity</t>
        </is>
      </c>
      <c r="D28" s="25" t="n">
        <v>128.28</v>
      </c>
      <c r="E28" s="26" t="inlineStr">
        <is>
          <t>Leo</t>
        </is>
      </c>
      <c r="F28" s="27" t="n"/>
      <c r="G28" s="27" t="n"/>
      <c r="H28" s="27" t="n"/>
      <c r="I28" s="27" t="n"/>
      <c r="J28" s="27" t="n"/>
      <c r="K28" s="27" t="n"/>
      <c r="L28" s="27" t="n"/>
      <c r="M28" s="27" t="n"/>
      <c r="N28" s="21">
        <f>IF(D28="","",IF(B28="","No date",IF(AND(C28="Paying back",R28=0),"To whom?",IF(AA28=0,"Nobody",IF(C28="Paying back","To "&amp;INDEX(Housemates!$B$8:$B$15,MATCH(MAX(S28:Z28),S28:Z28,0)),IF(R28&gt;0,IF(COUNTIF(S28:Z28,"&gt;0")=1,"1 person",COUNTIF(S28:Z28,"&gt;0")&amp;" people"),IF(Q28=0,"Everyone",INDEX(Bills!$Q$6:$Q$25,Q28))))))))</f>
        <v/>
      </c>
      <c r="O28" s="18">
        <f>IF(D28="","",IF(C28="Paying back","Paying back",IF(Q28=0,"Other",IF(INDEX(Bills!$C$6:$C$25,Q28)="","Other",INDEX(Bills!$C$6:$C$25,Q28)))))</f>
        <v/>
      </c>
      <c r="P28" s="1" t="n"/>
      <c r="Q28">
        <f>IF(C28="",0,IFERROR(MATCH(C28,Bills!$B$6:$B$25,0),0))</f>
        <v/>
      </c>
      <c r="R28">
        <f>COUNTA(F28:M28)</f>
        <v/>
      </c>
      <c r="S28">
        <f>IF(OR($D28="",$B28="",Housemates!$B$8=""),0,IF($R28&gt;0,IF(F28="",0,IF(ISNUMBER(F28),F28,1)),IF($C28="Paying back",0,IF(AND(OR(Housemates!$C$8="",Housemates!$C$8&lt;=$B28),OR(Housemates!$D$8="",Housemates!$D$8&gt;=$B28)),IF($Q28=0,1,INDEX(Bills!$AA$6:$AA$25,$Q28)),0))))</f>
        <v/>
      </c>
      <c r="T28">
        <f>IF(OR($D28="",$B28="",Housemates!$B$9=""),0,IF($R28&gt;0,IF(G28="",0,IF(ISNUMBER(G28),G28,1)),IF($C28="Paying back",0,IF(AND(OR(Housemates!$C$9="",Housemates!$C$9&lt;=$B28),OR(Housemates!$D$9="",Housemates!$D$9&gt;=$B28)),IF($Q28=0,1,INDEX(Bills!$AB$6:$AB$25,$Q28)),0))))</f>
        <v/>
      </c>
      <c r="U28">
        <f>IF(OR($D28="",$B28="",Housemates!$B$10=""),0,IF($R28&gt;0,IF(H28="",0,IF(ISNUMBER(H28),H28,1)),IF($C28="Paying back",0,IF(AND(OR(Housemates!$C$10="",Housemates!$C$10&lt;=$B28),OR(Housemates!$D$10="",Housemates!$D$10&gt;=$B28)),IF($Q28=0,1,INDEX(Bills!$AC$6:$AC$25,$Q28)),0))))</f>
        <v/>
      </c>
      <c r="V28">
        <f>IF(OR($D28="",$B28="",Housemates!$B$11=""),0,IF($R28&gt;0,IF(I28="",0,IF(ISNUMBER(I28),I28,1)),IF($C28="Paying back",0,IF(AND(OR(Housemates!$C$11="",Housemates!$C$11&lt;=$B28),OR(Housemates!$D$11="",Housemates!$D$11&gt;=$B28)),IF($Q28=0,1,INDEX(Bills!$AD$6:$AD$25,$Q28)),0))))</f>
        <v/>
      </c>
      <c r="W28">
        <f>IF(OR($D28="",$B28="",Housemates!$B$12=""),0,IF($R28&gt;0,IF(J28="",0,IF(ISNUMBER(J28),J28,1)),IF($C28="Paying back",0,IF(AND(OR(Housemates!$C$12="",Housemates!$C$12&lt;=$B28),OR(Housemates!$D$12="",Housemates!$D$12&gt;=$B28)),IF($Q28=0,1,INDEX(Bills!$AE$6:$AE$25,$Q28)),0))))</f>
        <v/>
      </c>
      <c r="X28">
        <f>IF(OR($D28="",$B28="",Housemates!$B$13=""),0,IF($R28&gt;0,IF(K28="",0,IF(ISNUMBER(K28),K28,1)),IF($C28="Paying back",0,IF(AND(OR(Housemates!$C$13="",Housemates!$C$13&lt;=$B28),OR(Housemates!$D$13="",Housemates!$D$13&gt;=$B28)),IF($Q28=0,1,INDEX(Bills!$AF$6:$AF$25,$Q28)),0))))</f>
        <v/>
      </c>
      <c r="Y28">
        <f>IF(OR($D28="",$B28="",Housemates!$B$14=""),0,IF($R28&gt;0,IF(L28="",0,IF(ISNUMBER(L28),L28,1)),IF($C28="Paying back",0,IF(AND(OR(Housemates!$C$14="",Housemates!$C$14&lt;=$B28),OR(Housemates!$D$14="",Housemates!$D$14&gt;=$B28)),IF($Q28=0,1,INDEX(Bills!$AG$6:$AG$25,$Q28)),0))))</f>
        <v/>
      </c>
      <c r="Z28">
        <f>IF(OR($D28="",$B28="",Housemates!$B$15=""),0,IF($R28&gt;0,IF(M28="",0,IF(ISNUMBER(M28),M28,1)),IF($C28="Paying back",0,IF(AND(OR(Housemates!$C$15="",Housemates!$C$15&lt;=$B28),OR(Housemates!$D$15="",Housemates!$D$15&gt;=$B28)),IF($Q28=0,1,INDEX(Bills!$AH$6:$AH$25,$Q28)),0))))</f>
        <v/>
      </c>
      <c r="AA28">
        <f>SUM(S28:Z28)</f>
        <v/>
      </c>
      <c r="AB28">
        <f>IF(AA28=0,0,D28*S28/AA28)</f>
        <v/>
      </c>
      <c r="AC28">
        <f>IF(AA28=0,0,D28*T28/AA28)</f>
        <v/>
      </c>
      <c r="AD28">
        <f>IF(AA28=0,0,D28*U28/AA28)</f>
        <v/>
      </c>
      <c r="AE28">
        <f>IF(AA28=0,0,D28*V28/AA28)</f>
        <v/>
      </c>
      <c r="AF28">
        <f>IF(AA28=0,0,D28*W28/AA28)</f>
        <v/>
      </c>
      <c r="AG28">
        <f>IF(AA28=0,0,D28*X28/AA28)</f>
        <v/>
      </c>
      <c r="AH28">
        <f>IF(AA28=0,0,D28*Y28/AA28)</f>
        <v/>
      </c>
      <c r="AI28">
        <f>IF(AA28=0,0,D28*Z28/AA28)</f>
        <v/>
      </c>
      <c r="AJ28">
        <f>IF(OR(C28="",B28=""),"",C28&amp;"|"&amp;(YEAR(B28)*100+MONTH(B28)))</f>
        <v/>
      </c>
    </row>
    <row r="29">
      <c r="A29" s="1" t="n"/>
      <c r="B29" s="23" t="n">
        <v>46095</v>
      </c>
      <c r="C29" s="24" t="inlineStr">
        <is>
          <t>Groceries</t>
        </is>
      </c>
      <c r="D29" s="25" t="n">
        <v>40.2</v>
      </c>
      <c r="E29" s="26" t="inlineStr">
        <is>
          <t>Priya</t>
        </is>
      </c>
      <c r="F29" s="27" t="n"/>
      <c r="G29" s="27" t="n"/>
      <c r="H29" s="27" t="n"/>
      <c r="I29" s="27" t="n"/>
      <c r="J29" s="27" t="n"/>
      <c r="K29" s="27" t="n"/>
      <c r="L29" s="27" t="n"/>
      <c r="M29" s="27" t="n"/>
      <c r="N29" s="21">
        <f>IF(D29="","",IF(B29="","No date",IF(AND(C29="Paying back",R29=0),"To whom?",IF(AA29=0,"Nobody",IF(C29="Paying back","To "&amp;INDEX(Housemates!$B$8:$B$15,MATCH(MAX(S29:Z29),S29:Z29,0)),IF(R29&gt;0,IF(COUNTIF(S29:Z29,"&gt;0")=1,"1 person",COUNTIF(S29:Z29,"&gt;0")&amp;" people"),IF(Q29=0,"Everyone",INDEX(Bills!$Q$6:$Q$25,Q29))))))))</f>
        <v/>
      </c>
      <c r="O29" s="18">
        <f>IF(D29="","",IF(C29="Paying back","Paying back",IF(Q29=0,"Other",IF(INDEX(Bills!$C$6:$C$25,Q29)="","Other",INDEX(Bills!$C$6:$C$25,Q29)))))</f>
        <v/>
      </c>
      <c r="P29" s="1" t="n"/>
      <c r="Q29">
        <f>IF(C29="",0,IFERROR(MATCH(C29,Bills!$B$6:$B$25,0),0))</f>
        <v/>
      </c>
      <c r="R29">
        <f>COUNTA(F29:M29)</f>
        <v/>
      </c>
      <c r="S29">
        <f>IF(OR($D29="",$B29="",Housemates!$B$8=""),0,IF($R29&gt;0,IF(F29="",0,IF(ISNUMBER(F29),F29,1)),IF($C29="Paying back",0,IF(AND(OR(Housemates!$C$8="",Housemates!$C$8&lt;=$B29),OR(Housemates!$D$8="",Housemates!$D$8&gt;=$B29)),IF($Q29=0,1,INDEX(Bills!$AA$6:$AA$25,$Q29)),0))))</f>
        <v/>
      </c>
      <c r="T29">
        <f>IF(OR($D29="",$B29="",Housemates!$B$9=""),0,IF($R29&gt;0,IF(G29="",0,IF(ISNUMBER(G29),G29,1)),IF($C29="Paying back",0,IF(AND(OR(Housemates!$C$9="",Housemates!$C$9&lt;=$B29),OR(Housemates!$D$9="",Housemates!$D$9&gt;=$B29)),IF($Q29=0,1,INDEX(Bills!$AB$6:$AB$25,$Q29)),0))))</f>
        <v/>
      </c>
      <c r="U29">
        <f>IF(OR($D29="",$B29="",Housemates!$B$10=""),0,IF($R29&gt;0,IF(H29="",0,IF(ISNUMBER(H29),H29,1)),IF($C29="Paying back",0,IF(AND(OR(Housemates!$C$10="",Housemates!$C$10&lt;=$B29),OR(Housemates!$D$10="",Housemates!$D$10&gt;=$B29)),IF($Q29=0,1,INDEX(Bills!$AC$6:$AC$25,$Q29)),0))))</f>
        <v/>
      </c>
      <c r="V29">
        <f>IF(OR($D29="",$B29="",Housemates!$B$11=""),0,IF($R29&gt;0,IF(I29="",0,IF(ISNUMBER(I29),I29,1)),IF($C29="Paying back",0,IF(AND(OR(Housemates!$C$11="",Housemates!$C$11&lt;=$B29),OR(Housemates!$D$11="",Housemates!$D$11&gt;=$B29)),IF($Q29=0,1,INDEX(Bills!$AD$6:$AD$25,$Q29)),0))))</f>
        <v/>
      </c>
      <c r="W29">
        <f>IF(OR($D29="",$B29="",Housemates!$B$12=""),0,IF($R29&gt;0,IF(J29="",0,IF(ISNUMBER(J29),J29,1)),IF($C29="Paying back",0,IF(AND(OR(Housemates!$C$12="",Housemates!$C$12&lt;=$B29),OR(Housemates!$D$12="",Housemates!$D$12&gt;=$B29)),IF($Q29=0,1,INDEX(Bills!$AE$6:$AE$25,$Q29)),0))))</f>
        <v/>
      </c>
      <c r="X29">
        <f>IF(OR($D29="",$B29="",Housemates!$B$13=""),0,IF($R29&gt;0,IF(K29="",0,IF(ISNUMBER(K29),K29,1)),IF($C29="Paying back",0,IF(AND(OR(Housemates!$C$13="",Housemates!$C$13&lt;=$B29),OR(Housemates!$D$13="",Housemates!$D$13&gt;=$B29)),IF($Q29=0,1,INDEX(Bills!$AF$6:$AF$25,$Q29)),0))))</f>
        <v/>
      </c>
      <c r="Y29">
        <f>IF(OR($D29="",$B29="",Housemates!$B$14=""),0,IF($R29&gt;0,IF(L29="",0,IF(ISNUMBER(L29),L29,1)),IF($C29="Paying back",0,IF(AND(OR(Housemates!$C$14="",Housemates!$C$14&lt;=$B29),OR(Housemates!$D$14="",Housemates!$D$14&gt;=$B29)),IF($Q29=0,1,INDEX(Bills!$AG$6:$AG$25,$Q29)),0))))</f>
        <v/>
      </c>
      <c r="Z29">
        <f>IF(OR($D29="",$B29="",Housemates!$B$15=""),0,IF($R29&gt;0,IF(M29="",0,IF(ISNUMBER(M29),M29,1)),IF($C29="Paying back",0,IF(AND(OR(Housemates!$C$15="",Housemates!$C$15&lt;=$B29),OR(Housemates!$D$15="",Housemates!$D$15&gt;=$B29)),IF($Q29=0,1,INDEX(Bills!$AH$6:$AH$25,$Q29)),0))))</f>
        <v/>
      </c>
      <c r="AA29">
        <f>SUM(S29:Z29)</f>
        <v/>
      </c>
      <c r="AB29">
        <f>IF(AA29=0,0,D29*S29/AA29)</f>
        <v/>
      </c>
      <c r="AC29">
        <f>IF(AA29=0,0,D29*T29/AA29)</f>
        <v/>
      </c>
      <c r="AD29">
        <f>IF(AA29=0,0,D29*U29/AA29)</f>
        <v/>
      </c>
      <c r="AE29">
        <f>IF(AA29=0,0,D29*V29/AA29)</f>
        <v/>
      </c>
      <c r="AF29">
        <f>IF(AA29=0,0,D29*W29/AA29)</f>
        <v/>
      </c>
      <c r="AG29">
        <f>IF(AA29=0,0,D29*X29/AA29)</f>
        <v/>
      </c>
      <c r="AH29">
        <f>IF(AA29=0,0,D29*Y29/AA29)</f>
        <v/>
      </c>
      <c r="AI29">
        <f>IF(AA29=0,0,D29*Z29/AA29)</f>
        <v/>
      </c>
      <c r="AJ29">
        <f>IF(OR(C29="",B29=""),"",C29&amp;"|"&amp;(YEAR(B29)*100+MONTH(B29)))</f>
        <v/>
      </c>
    </row>
    <row r="30">
      <c r="A30" s="1" t="n"/>
      <c r="B30" s="23" t="n">
        <v>46099</v>
      </c>
      <c r="C30" s="24" t="inlineStr">
        <is>
          <t>Groceries</t>
        </is>
      </c>
      <c r="D30" s="25" t="n">
        <v>56.76</v>
      </c>
      <c r="E30" s="26" t="inlineStr">
        <is>
          <t>Leo</t>
        </is>
      </c>
      <c r="F30" s="27" t="n"/>
      <c r="G30" s="27" t="n"/>
      <c r="H30" s="27" t="n"/>
      <c r="I30" s="27" t="n"/>
      <c r="J30" s="27" t="n"/>
      <c r="K30" s="27" t="n"/>
      <c r="L30" s="27" t="n"/>
      <c r="M30" s="27" t="n"/>
      <c r="N30" s="21">
        <f>IF(D30="","",IF(B30="","No date",IF(AND(C30="Paying back",R30=0),"To whom?",IF(AA30=0,"Nobody",IF(C30="Paying back","To "&amp;INDEX(Housemates!$B$8:$B$15,MATCH(MAX(S30:Z30),S30:Z30,0)),IF(R30&gt;0,IF(COUNTIF(S30:Z30,"&gt;0")=1,"1 person",COUNTIF(S30:Z30,"&gt;0")&amp;" people"),IF(Q30=0,"Everyone",INDEX(Bills!$Q$6:$Q$25,Q30))))))))</f>
        <v/>
      </c>
      <c r="O30" s="18">
        <f>IF(D30="","",IF(C30="Paying back","Paying back",IF(Q30=0,"Other",IF(INDEX(Bills!$C$6:$C$25,Q30)="","Other",INDEX(Bills!$C$6:$C$25,Q30)))))</f>
        <v/>
      </c>
      <c r="P30" s="1" t="n"/>
      <c r="Q30">
        <f>IF(C30="",0,IFERROR(MATCH(C30,Bills!$B$6:$B$25,0),0))</f>
        <v/>
      </c>
      <c r="R30">
        <f>COUNTA(F30:M30)</f>
        <v/>
      </c>
      <c r="S30">
        <f>IF(OR($D30="",$B30="",Housemates!$B$8=""),0,IF($R30&gt;0,IF(F30="",0,IF(ISNUMBER(F30),F30,1)),IF($C30="Paying back",0,IF(AND(OR(Housemates!$C$8="",Housemates!$C$8&lt;=$B30),OR(Housemates!$D$8="",Housemates!$D$8&gt;=$B30)),IF($Q30=0,1,INDEX(Bills!$AA$6:$AA$25,$Q30)),0))))</f>
        <v/>
      </c>
      <c r="T30">
        <f>IF(OR($D30="",$B30="",Housemates!$B$9=""),0,IF($R30&gt;0,IF(G30="",0,IF(ISNUMBER(G30),G30,1)),IF($C30="Paying back",0,IF(AND(OR(Housemates!$C$9="",Housemates!$C$9&lt;=$B30),OR(Housemates!$D$9="",Housemates!$D$9&gt;=$B30)),IF($Q30=0,1,INDEX(Bills!$AB$6:$AB$25,$Q30)),0))))</f>
        <v/>
      </c>
      <c r="U30">
        <f>IF(OR($D30="",$B30="",Housemates!$B$10=""),0,IF($R30&gt;0,IF(H30="",0,IF(ISNUMBER(H30),H30,1)),IF($C30="Paying back",0,IF(AND(OR(Housemates!$C$10="",Housemates!$C$10&lt;=$B30),OR(Housemates!$D$10="",Housemates!$D$10&gt;=$B30)),IF($Q30=0,1,INDEX(Bills!$AC$6:$AC$25,$Q30)),0))))</f>
        <v/>
      </c>
      <c r="V30">
        <f>IF(OR($D30="",$B30="",Housemates!$B$11=""),0,IF($R30&gt;0,IF(I30="",0,IF(ISNUMBER(I30),I30,1)),IF($C30="Paying back",0,IF(AND(OR(Housemates!$C$11="",Housemates!$C$11&lt;=$B30),OR(Housemates!$D$11="",Housemates!$D$11&gt;=$B30)),IF($Q30=0,1,INDEX(Bills!$AD$6:$AD$25,$Q30)),0))))</f>
        <v/>
      </c>
      <c r="W30">
        <f>IF(OR($D30="",$B30="",Housemates!$B$12=""),0,IF($R30&gt;0,IF(J30="",0,IF(ISNUMBER(J30),J30,1)),IF($C30="Paying back",0,IF(AND(OR(Housemates!$C$12="",Housemates!$C$12&lt;=$B30),OR(Housemates!$D$12="",Housemates!$D$12&gt;=$B30)),IF($Q30=0,1,INDEX(Bills!$AE$6:$AE$25,$Q30)),0))))</f>
        <v/>
      </c>
      <c r="X30">
        <f>IF(OR($D30="",$B30="",Housemates!$B$13=""),0,IF($R30&gt;0,IF(K30="",0,IF(ISNUMBER(K30),K30,1)),IF($C30="Paying back",0,IF(AND(OR(Housemates!$C$13="",Housemates!$C$13&lt;=$B30),OR(Housemates!$D$13="",Housemates!$D$13&gt;=$B30)),IF($Q30=0,1,INDEX(Bills!$AF$6:$AF$25,$Q30)),0))))</f>
        <v/>
      </c>
      <c r="Y30">
        <f>IF(OR($D30="",$B30="",Housemates!$B$14=""),0,IF($R30&gt;0,IF(L30="",0,IF(ISNUMBER(L30),L30,1)),IF($C30="Paying back",0,IF(AND(OR(Housemates!$C$14="",Housemates!$C$14&lt;=$B30),OR(Housemates!$D$14="",Housemates!$D$14&gt;=$B30)),IF($Q30=0,1,INDEX(Bills!$AG$6:$AG$25,$Q30)),0))))</f>
        <v/>
      </c>
      <c r="Z30">
        <f>IF(OR($D30="",$B30="",Housemates!$B$15=""),0,IF($R30&gt;0,IF(M30="",0,IF(ISNUMBER(M30),M30,1)),IF($C30="Paying back",0,IF(AND(OR(Housemates!$C$15="",Housemates!$C$15&lt;=$B30),OR(Housemates!$D$15="",Housemates!$D$15&gt;=$B30)),IF($Q30=0,1,INDEX(Bills!$AH$6:$AH$25,$Q30)),0))))</f>
        <v/>
      </c>
      <c r="AA30">
        <f>SUM(S30:Z30)</f>
        <v/>
      </c>
      <c r="AB30">
        <f>IF(AA30=0,0,D30*S30/AA30)</f>
        <v/>
      </c>
      <c r="AC30">
        <f>IF(AA30=0,0,D30*T30/AA30)</f>
        <v/>
      </c>
      <c r="AD30">
        <f>IF(AA30=0,0,D30*U30/AA30)</f>
        <v/>
      </c>
      <c r="AE30">
        <f>IF(AA30=0,0,D30*V30/AA30)</f>
        <v/>
      </c>
      <c r="AF30">
        <f>IF(AA30=0,0,D30*W30/AA30)</f>
        <v/>
      </c>
      <c r="AG30">
        <f>IF(AA30=0,0,D30*X30/AA30)</f>
        <v/>
      </c>
      <c r="AH30">
        <f>IF(AA30=0,0,D30*Y30/AA30)</f>
        <v/>
      </c>
      <c r="AI30">
        <f>IF(AA30=0,0,D30*Z30/AA30)</f>
        <v/>
      </c>
      <c r="AJ30">
        <f>IF(OR(C30="",B30=""),"",C30&amp;"|"&amp;(YEAR(B30)*100+MONTH(B30)))</f>
        <v/>
      </c>
    </row>
    <row r="31">
      <c r="A31" s="1" t="n"/>
      <c r="B31" s="23" t="n">
        <v>46100</v>
      </c>
      <c r="C31" s="24" t="inlineStr">
        <is>
          <t>Groceries</t>
        </is>
      </c>
      <c r="D31" s="25" t="n">
        <v>44.64</v>
      </c>
      <c r="E31" s="26" t="inlineStr">
        <is>
          <t>Maya</t>
        </is>
      </c>
      <c r="F31" s="27" t="n"/>
      <c r="G31" s="27" t="n"/>
      <c r="H31" s="27" t="n"/>
      <c r="I31" s="27" t="n"/>
      <c r="J31" s="27" t="n"/>
      <c r="K31" s="27" t="n"/>
      <c r="L31" s="27" t="n"/>
      <c r="M31" s="27" t="n"/>
      <c r="N31" s="21">
        <f>IF(D31="","",IF(B31="","No date",IF(AND(C31="Paying back",R31=0),"To whom?",IF(AA31=0,"Nobody",IF(C31="Paying back","To "&amp;INDEX(Housemates!$B$8:$B$15,MATCH(MAX(S31:Z31),S31:Z31,0)),IF(R31&gt;0,IF(COUNTIF(S31:Z31,"&gt;0")=1,"1 person",COUNTIF(S31:Z31,"&gt;0")&amp;" people"),IF(Q31=0,"Everyone",INDEX(Bills!$Q$6:$Q$25,Q31))))))))</f>
        <v/>
      </c>
      <c r="O31" s="18">
        <f>IF(D31="","",IF(C31="Paying back","Paying back",IF(Q31=0,"Other",IF(INDEX(Bills!$C$6:$C$25,Q31)="","Other",INDEX(Bills!$C$6:$C$25,Q31)))))</f>
        <v/>
      </c>
      <c r="P31" s="1" t="n"/>
      <c r="Q31">
        <f>IF(C31="",0,IFERROR(MATCH(C31,Bills!$B$6:$B$25,0),0))</f>
        <v/>
      </c>
      <c r="R31">
        <f>COUNTA(F31:M31)</f>
        <v/>
      </c>
      <c r="S31">
        <f>IF(OR($D31="",$B31="",Housemates!$B$8=""),0,IF($R31&gt;0,IF(F31="",0,IF(ISNUMBER(F31),F31,1)),IF($C31="Paying back",0,IF(AND(OR(Housemates!$C$8="",Housemates!$C$8&lt;=$B31),OR(Housemates!$D$8="",Housemates!$D$8&gt;=$B31)),IF($Q31=0,1,INDEX(Bills!$AA$6:$AA$25,$Q31)),0))))</f>
        <v/>
      </c>
      <c r="T31">
        <f>IF(OR($D31="",$B31="",Housemates!$B$9=""),0,IF($R31&gt;0,IF(G31="",0,IF(ISNUMBER(G31),G31,1)),IF($C31="Paying back",0,IF(AND(OR(Housemates!$C$9="",Housemates!$C$9&lt;=$B31),OR(Housemates!$D$9="",Housemates!$D$9&gt;=$B31)),IF($Q31=0,1,INDEX(Bills!$AB$6:$AB$25,$Q31)),0))))</f>
        <v/>
      </c>
      <c r="U31">
        <f>IF(OR($D31="",$B31="",Housemates!$B$10=""),0,IF($R31&gt;0,IF(H31="",0,IF(ISNUMBER(H31),H31,1)),IF($C31="Paying back",0,IF(AND(OR(Housemates!$C$10="",Housemates!$C$10&lt;=$B31),OR(Housemates!$D$10="",Housemates!$D$10&gt;=$B31)),IF($Q31=0,1,INDEX(Bills!$AC$6:$AC$25,$Q31)),0))))</f>
        <v/>
      </c>
      <c r="V31">
        <f>IF(OR($D31="",$B31="",Housemates!$B$11=""),0,IF($R31&gt;0,IF(I31="",0,IF(ISNUMBER(I31),I31,1)),IF($C31="Paying back",0,IF(AND(OR(Housemates!$C$11="",Housemates!$C$11&lt;=$B31),OR(Housemates!$D$11="",Housemates!$D$11&gt;=$B31)),IF($Q31=0,1,INDEX(Bills!$AD$6:$AD$25,$Q31)),0))))</f>
        <v/>
      </c>
      <c r="W31">
        <f>IF(OR($D31="",$B31="",Housemates!$B$12=""),0,IF($R31&gt;0,IF(J31="",0,IF(ISNUMBER(J31),J31,1)),IF($C31="Paying back",0,IF(AND(OR(Housemates!$C$12="",Housemates!$C$12&lt;=$B31),OR(Housemates!$D$12="",Housemates!$D$12&gt;=$B31)),IF($Q31=0,1,INDEX(Bills!$AE$6:$AE$25,$Q31)),0))))</f>
        <v/>
      </c>
      <c r="X31">
        <f>IF(OR($D31="",$B31="",Housemates!$B$13=""),0,IF($R31&gt;0,IF(K31="",0,IF(ISNUMBER(K31),K31,1)),IF($C31="Paying back",0,IF(AND(OR(Housemates!$C$13="",Housemates!$C$13&lt;=$B31),OR(Housemates!$D$13="",Housemates!$D$13&gt;=$B31)),IF($Q31=0,1,INDEX(Bills!$AF$6:$AF$25,$Q31)),0))))</f>
        <v/>
      </c>
      <c r="Y31">
        <f>IF(OR($D31="",$B31="",Housemates!$B$14=""),0,IF($R31&gt;0,IF(L31="",0,IF(ISNUMBER(L31),L31,1)),IF($C31="Paying back",0,IF(AND(OR(Housemates!$C$14="",Housemates!$C$14&lt;=$B31),OR(Housemates!$D$14="",Housemates!$D$14&gt;=$B31)),IF($Q31=0,1,INDEX(Bills!$AG$6:$AG$25,$Q31)),0))))</f>
        <v/>
      </c>
      <c r="Z31">
        <f>IF(OR($D31="",$B31="",Housemates!$B$15=""),0,IF($R31&gt;0,IF(M31="",0,IF(ISNUMBER(M31),M31,1)),IF($C31="Paying back",0,IF(AND(OR(Housemates!$C$15="",Housemates!$C$15&lt;=$B31),OR(Housemates!$D$15="",Housemates!$D$15&gt;=$B31)),IF($Q31=0,1,INDEX(Bills!$AH$6:$AH$25,$Q31)),0))))</f>
        <v/>
      </c>
      <c r="AA31">
        <f>SUM(S31:Z31)</f>
        <v/>
      </c>
      <c r="AB31">
        <f>IF(AA31=0,0,D31*S31/AA31)</f>
        <v/>
      </c>
      <c r="AC31">
        <f>IF(AA31=0,0,D31*T31/AA31)</f>
        <v/>
      </c>
      <c r="AD31">
        <f>IF(AA31=0,0,D31*U31/AA31)</f>
        <v/>
      </c>
      <c r="AE31">
        <f>IF(AA31=0,0,D31*V31/AA31)</f>
        <v/>
      </c>
      <c r="AF31">
        <f>IF(AA31=0,0,D31*W31/AA31)</f>
        <v/>
      </c>
      <c r="AG31">
        <f>IF(AA31=0,0,D31*X31/AA31)</f>
        <v/>
      </c>
      <c r="AH31">
        <f>IF(AA31=0,0,D31*Y31/AA31)</f>
        <v/>
      </c>
      <c r="AI31">
        <f>IF(AA31=0,0,D31*Z31/AA31)</f>
        <v/>
      </c>
      <c r="AJ31">
        <f>IF(OR(C31="",B31=""),"",C31&amp;"|"&amp;(YEAR(B31)*100+MONTH(B31)))</f>
        <v/>
      </c>
    </row>
    <row r="32">
      <c r="A32" s="1" t="n"/>
      <c r="B32" s="23" t="n">
        <v>46102</v>
      </c>
      <c r="C32" s="24" t="inlineStr">
        <is>
          <t>Streaming</t>
        </is>
      </c>
      <c r="D32" s="25" t="n">
        <v>15.96</v>
      </c>
      <c r="E32" s="26" t="inlineStr">
        <is>
          <t>Priya</t>
        </is>
      </c>
      <c r="F32" s="27" t="n"/>
      <c r="G32" s="27" t="n"/>
      <c r="H32" s="27" t="n"/>
      <c r="I32" s="27" t="n"/>
      <c r="J32" s="27" t="n"/>
      <c r="K32" s="27" t="n"/>
      <c r="L32" s="27" t="n"/>
      <c r="M32" s="27" t="n"/>
      <c r="N32" s="21">
        <f>IF(D32="","",IF(B32="","No date",IF(AND(C32="Paying back",R32=0),"To whom?",IF(AA32=0,"Nobody",IF(C32="Paying back","To "&amp;INDEX(Housemates!$B$8:$B$15,MATCH(MAX(S32:Z32),S32:Z32,0)),IF(R32&gt;0,IF(COUNTIF(S32:Z32,"&gt;0")=1,"1 person",COUNTIF(S32:Z32,"&gt;0")&amp;" people"),IF(Q32=0,"Everyone",INDEX(Bills!$Q$6:$Q$25,Q32))))))))</f>
        <v/>
      </c>
      <c r="O32" s="18">
        <f>IF(D32="","",IF(C32="Paying back","Paying back",IF(Q32=0,"Other",IF(INDEX(Bills!$C$6:$C$25,Q32)="","Other",INDEX(Bills!$C$6:$C$25,Q32)))))</f>
        <v/>
      </c>
      <c r="P32" s="1" t="n"/>
      <c r="Q32">
        <f>IF(C32="",0,IFERROR(MATCH(C32,Bills!$B$6:$B$25,0),0))</f>
        <v/>
      </c>
      <c r="R32">
        <f>COUNTA(F32:M32)</f>
        <v/>
      </c>
      <c r="S32">
        <f>IF(OR($D32="",$B32="",Housemates!$B$8=""),0,IF($R32&gt;0,IF(F32="",0,IF(ISNUMBER(F32),F32,1)),IF($C32="Paying back",0,IF(AND(OR(Housemates!$C$8="",Housemates!$C$8&lt;=$B32),OR(Housemates!$D$8="",Housemates!$D$8&gt;=$B32)),IF($Q32=0,1,INDEX(Bills!$AA$6:$AA$25,$Q32)),0))))</f>
        <v/>
      </c>
      <c r="T32">
        <f>IF(OR($D32="",$B32="",Housemates!$B$9=""),0,IF($R32&gt;0,IF(G32="",0,IF(ISNUMBER(G32),G32,1)),IF($C32="Paying back",0,IF(AND(OR(Housemates!$C$9="",Housemates!$C$9&lt;=$B32),OR(Housemates!$D$9="",Housemates!$D$9&gt;=$B32)),IF($Q32=0,1,INDEX(Bills!$AB$6:$AB$25,$Q32)),0))))</f>
        <v/>
      </c>
      <c r="U32">
        <f>IF(OR($D32="",$B32="",Housemates!$B$10=""),0,IF($R32&gt;0,IF(H32="",0,IF(ISNUMBER(H32),H32,1)),IF($C32="Paying back",0,IF(AND(OR(Housemates!$C$10="",Housemates!$C$10&lt;=$B32),OR(Housemates!$D$10="",Housemates!$D$10&gt;=$B32)),IF($Q32=0,1,INDEX(Bills!$AC$6:$AC$25,$Q32)),0))))</f>
        <v/>
      </c>
      <c r="V32">
        <f>IF(OR($D32="",$B32="",Housemates!$B$11=""),0,IF($R32&gt;0,IF(I32="",0,IF(ISNUMBER(I32),I32,1)),IF($C32="Paying back",0,IF(AND(OR(Housemates!$C$11="",Housemates!$C$11&lt;=$B32),OR(Housemates!$D$11="",Housemates!$D$11&gt;=$B32)),IF($Q32=0,1,INDEX(Bills!$AD$6:$AD$25,$Q32)),0))))</f>
        <v/>
      </c>
      <c r="W32">
        <f>IF(OR($D32="",$B32="",Housemates!$B$12=""),0,IF($R32&gt;0,IF(J32="",0,IF(ISNUMBER(J32),J32,1)),IF($C32="Paying back",0,IF(AND(OR(Housemates!$C$12="",Housemates!$C$12&lt;=$B32),OR(Housemates!$D$12="",Housemates!$D$12&gt;=$B32)),IF($Q32=0,1,INDEX(Bills!$AE$6:$AE$25,$Q32)),0))))</f>
        <v/>
      </c>
      <c r="X32">
        <f>IF(OR($D32="",$B32="",Housemates!$B$13=""),0,IF($R32&gt;0,IF(K32="",0,IF(ISNUMBER(K32),K32,1)),IF($C32="Paying back",0,IF(AND(OR(Housemates!$C$13="",Housemates!$C$13&lt;=$B32),OR(Housemates!$D$13="",Housemates!$D$13&gt;=$B32)),IF($Q32=0,1,INDEX(Bills!$AF$6:$AF$25,$Q32)),0))))</f>
        <v/>
      </c>
      <c r="Y32">
        <f>IF(OR($D32="",$B32="",Housemates!$B$14=""),0,IF($R32&gt;0,IF(L32="",0,IF(ISNUMBER(L32),L32,1)),IF($C32="Paying back",0,IF(AND(OR(Housemates!$C$14="",Housemates!$C$14&lt;=$B32),OR(Housemates!$D$14="",Housemates!$D$14&gt;=$B32)),IF($Q32=0,1,INDEX(Bills!$AG$6:$AG$25,$Q32)),0))))</f>
        <v/>
      </c>
      <c r="Z32">
        <f>IF(OR($D32="",$B32="",Housemates!$B$15=""),0,IF($R32&gt;0,IF(M32="",0,IF(ISNUMBER(M32),M32,1)),IF($C32="Paying back",0,IF(AND(OR(Housemates!$C$15="",Housemates!$C$15&lt;=$B32),OR(Housemates!$D$15="",Housemates!$D$15&gt;=$B32)),IF($Q32=0,1,INDEX(Bills!$AH$6:$AH$25,$Q32)),0))))</f>
        <v/>
      </c>
      <c r="AA32">
        <f>SUM(S32:Z32)</f>
        <v/>
      </c>
      <c r="AB32">
        <f>IF(AA32=0,0,D32*S32/AA32)</f>
        <v/>
      </c>
      <c r="AC32">
        <f>IF(AA32=0,0,D32*T32/AA32)</f>
        <v/>
      </c>
      <c r="AD32">
        <f>IF(AA32=0,0,D32*U32/AA32)</f>
        <v/>
      </c>
      <c r="AE32">
        <f>IF(AA32=0,0,D32*V32/AA32)</f>
        <v/>
      </c>
      <c r="AF32">
        <f>IF(AA32=0,0,D32*W32/AA32)</f>
        <v/>
      </c>
      <c r="AG32">
        <f>IF(AA32=0,0,D32*X32/AA32)</f>
        <v/>
      </c>
      <c r="AH32">
        <f>IF(AA32=0,0,D32*Y32/AA32)</f>
        <v/>
      </c>
      <c r="AI32">
        <f>IF(AA32=0,0,D32*Z32/AA32)</f>
        <v/>
      </c>
      <c r="AJ32">
        <f>IF(OR(C32="",B32=""),"",C32&amp;"|"&amp;(YEAR(B32)*100+MONTH(B32)))</f>
        <v/>
      </c>
    </row>
    <row r="33">
      <c r="A33" s="1" t="n"/>
      <c r="B33" s="23" t="n">
        <v>46112</v>
      </c>
      <c r="C33" s="24" t="inlineStr">
        <is>
          <t>Cleaning and household</t>
        </is>
      </c>
      <c r="D33" s="25" t="n">
        <v>25.2</v>
      </c>
      <c r="E33" s="26" t="inlineStr">
        <is>
          <t>Priya</t>
        </is>
      </c>
      <c r="F33" s="27" t="n"/>
      <c r="G33" s="27" t="n"/>
      <c r="H33" s="27" t="n"/>
      <c r="I33" s="27" t="n"/>
      <c r="J33" s="27" t="n"/>
      <c r="K33" s="27" t="n"/>
      <c r="L33" s="27" t="n"/>
      <c r="M33" s="27" t="n"/>
      <c r="N33" s="21">
        <f>IF(D33="","",IF(B33="","No date",IF(AND(C33="Paying back",R33=0),"To whom?",IF(AA33=0,"Nobody",IF(C33="Paying back","To "&amp;INDEX(Housemates!$B$8:$B$15,MATCH(MAX(S33:Z33),S33:Z33,0)),IF(R33&gt;0,IF(COUNTIF(S33:Z33,"&gt;0")=1,"1 person",COUNTIF(S33:Z33,"&gt;0")&amp;" people"),IF(Q33=0,"Everyone",INDEX(Bills!$Q$6:$Q$25,Q33))))))))</f>
        <v/>
      </c>
      <c r="O33" s="18">
        <f>IF(D33="","",IF(C33="Paying back","Paying back",IF(Q33=0,"Other",IF(INDEX(Bills!$C$6:$C$25,Q33)="","Other",INDEX(Bills!$C$6:$C$25,Q33)))))</f>
        <v/>
      </c>
      <c r="P33" s="1" t="n"/>
      <c r="Q33">
        <f>IF(C33="",0,IFERROR(MATCH(C33,Bills!$B$6:$B$25,0),0))</f>
        <v/>
      </c>
      <c r="R33">
        <f>COUNTA(F33:M33)</f>
        <v/>
      </c>
      <c r="S33">
        <f>IF(OR($D33="",$B33="",Housemates!$B$8=""),0,IF($R33&gt;0,IF(F33="",0,IF(ISNUMBER(F33),F33,1)),IF($C33="Paying back",0,IF(AND(OR(Housemates!$C$8="",Housemates!$C$8&lt;=$B33),OR(Housemates!$D$8="",Housemates!$D$8&gt;=$B33)),IF($Q33=0,1,INDEX(Bills!$AA$6:$AA$25,$Q33)),0))))</f>
        <v/>
      </c>
      <c r="T33">
        <f>IF(OR($D33="",$B33="",Housemates!$B$9=""),0,IF($R33&gt;0,IF(G33="",0,IF(ISNUMBER(G33),G33,1)),IF($C33="Paying back",0,IF(AND(OR(Housemates!$C$9="",Housemates!$C$9&lt;=$B33),OR(Housemates!$D$9="",Housemates!$D$9&gt;=$B33)),IF($Q33=0,1,INDEX(Bills!$AB$6:$AB$25,$Q33)),0))))</f>
        <v/>
      </c>
      <c r="U33">
        <f>IF(OR($D33="",$B33="",Housemates!$B$10=""),0,IF($R33&gt;0,IF(H33="",0,IF(ISNUMBER(H33),H33,1)),IF($C33="Paying back",0,IF(AND(OR(Housemates!$C$10="",Housemates!$C$10&lt;=$B33),OR(Housemates!$D$10="",Housemates!$D$10&gt;=$B33)),IF($Q33=0,1,INDEX(Bills!$AC$6:$AC$25,$Q33)),0))))</f>
        <v/>
      </c>
      <c r="V33">
        <f>IF(OR($D33="",$B33="",Housemates!$B$11=""),0,IF($R33&gt;0,IF(I33="",0,IF(ISNUMBER(I33),I33,1)),IF($C33="Paying back",0,IF(AND(OR(Housemates!$C$11="",Housemates!$C$11&lt;=$B33),OR(Housemates!$D$11="",Housemates!$D$11&gt;=$B33)),IF($Q33=0,1,INDEX(Bills!$AD$6:$AD$25,$Q33)),0))))</f>
        <v/>
      </c>
      <c r="W33">
        <f>IF(OR($D33="",$B33="",Housemates!$B$12=""),0,IF($R33&gt;0,IF(J33="",0,IF(ISNUMBER(J33),J33,1)),IF($C33="Paying back",0,IF(AND(OR(Housemates!$C$12="",Housemates!$C$12&lt;=$B33),OR(Housemates!$D$12="",Housemates!$D$12&gt;=$B33)),IF($Q33=0,1,INDEX(Bills!$AE$6:$AE$25,$Q33)),0))))</f>
        <v/>
      </c>
      <c r="X33">
        <f>IF(OR($D33="",$B33="",Housemates!$B$13=""),0,IF($R33&gt;0,IF(K33="",0,IF(ISNUMBER(K33),K33,1)),IF($C33="Paying back",0,IF(AND(OR(Housemates!$C$13="",Housemates!$C$13&lt;=$B33),OR(Housemates!$D$13="",Housemates!$D$13&gt;=$B33)),IF($Q33=0,1,INDEX(Bills!$AF$6:$AF$25,$Q33)),0))))</f>
        <v/>
      </c>
      <c r="Y33">
        <f>IF(OR($D33="",$B33="",Housemates!$B$14=""),0,IF($R33&gt;0,IF(L33="",0,IF(ISNUMBER(L33),L33,1)),IF($C33="Paying back",0,IF(AND(OR(Housemates!$C$14="",Housemates!$C$14&lt;=$B33),OR(Housemates!$D$14="",Housemates!$D$14&gt;=$B33)),IF($Q33=0,1,INDEX(Bills!$AG$6:$AG$25,$Q33)),0))))</f>
        <v/>
      </c>
      <c r="Z33">
        <f>IF(OR($D33="",$B33="",Housemates!$B$15=""),0,IF($R33&gt;0,IF(M33="",0,IF(ISNUMBER(M33),M33,1)),IF($C33="Paying back",0,IF(AND(OR(Housemates!$C$15="",Housemates!$C$15&lt;=$B33),OR(Housemates!$D$15="",Housemates!$D$15&gt;=$B33)),IF($Q33=0,1,INDEX(Bills!$AH$6:$AH$25,$Q33)),0))))</f>
        <v/>
      </c>
      <c r="AA33">
        <f>SUM(S33:Z33)</f>
        <v/>
      </c>
      <c r="AB33">
        <f>IF(AA33=0,0,D33*S33/AA33)</f>
        <v/>
      </c>
      <c r="AC33">
        <f>IF(AA33=0,0,D33*T33/AA33)</f>
        <v/>
      </c>
      <c r="AD33">
        <f>IF(AA33=0,0,D33*U33/AA33)</f>
        <v/>
      </c>
      <c r="AE33">
        <f>IF(AA33=0,0,D33*V33/AA33)</f>
        <v/>
      </c>
      <c r="AF33">
        <f>IF(AA33=0,0,D33*W33/AA33)</f>
        <v/>
      </c>
      <c r="AG33">
        <f>IF(AA33=0,0,D33*X33/AA33)</f>
        <v/>
      </c>
      <c r="AH33">
        <f>IF(AA33=0,0,D33*Y33/AA33)</f>
        <v/>
      </c>
      <c r="AI33">
        <f>IF(AA33=0,0,D33*Z33/AA33)</f>
        <v/>
      </c>
      <c r="AJ33">
        <f>IF(OR(C33="",B33=""),"",C33&amp;"|"&amp;(YEAR(B33)*100+MONTH(B33)))</f>
        <v/>
      </c>
    </row>
    <row r="34">
      <c r="A34" s="1" t="n"/>
      <c r="B34" s="23" t="n">
        <v>46112</v>
      </c>
      <c r="C34" s="24" t="inlineStr">
        <is>
          <t>Paying back</t>
        </is>
      </c>
      <c r="D34" s="25" t="n">
        <v>1780.92</v>
      </c>
      <c r="E34" s="26" t="inlineStr">
        <is>
          <t>Tom</t>
        </is>
      </c>
      <c r="F34" s="27" t="inlineStr">
        <is>
          <t>x</t>
        </is>
      </c>
      <c r="G34" s="27" t="n"/>
      <c r="H34" s="27" t="n"/>
      <c r="I34" s="27" t="n"/>
      <c r="J34" s="27" t="n"/>
      <c r="K34" s="27" t="n"/>
      <c r="L34" s="27" t="n"/>
      <c r="M34" s="27" t="n"/>
      <c r="N34" s="21">
        <f>IF(D34="","",IF(B34="","No date",IF(AND(C34="Paying back",R34=0),"To whom?",IF(AA34=0,"Nobody",IF(C34="Paying back","To "&amp;INDEX(Housemates!$B$8:$B$15,MATCH(MAX(S34:Z34),S34:Z34,0)),IF(R34&gt;0,IF(COUNTIF(S34:Z34,"&gt;0")=1,"1 person",COUNTIF(S34:Z34,"&gt;0")&amp;" people"),IF(Q34=0,"Everyone",INDEX(Bills!$Q$6:$Q$25,Q34))))))))</f>
        <v/>
      </c>
      <c r="O34" s="18">
        <f>IF(D34="","",IF(C34="Paying back","Paying back",IF(Q34=0,"Other",IF(INDEX(Bills!$C$6:$C$25,Q34)="","Other",INDEX(Bills!$C$6:$C$25,Q34)))))</f>
        <v/>
      </c>
      <c r="P34" s="1" t="n"/>
      <c r="Q34">
        <f>IF(C34="",0,IFERROR(MATCH(C34,Bills!$B$6:$B$25,0),0))</f>
        <v/>
      </c>
      <c r="R34">
        <f>COUNTA(F34:M34)</f>
        <v/>
      </c>
      <c r="S34">
        <f>IF(OR($D34="",$B34="",Housemates!$B$8=""),0,IF($R34&gt;0,IF(F34="",0,IF(ISNUMBER(F34),F34,1)),IF($C34="Paying back",0,IF(AND(OR(Housemates!$C$8="",Housemates!$C$8&lt;=$B34),OR(Housemates!$D$8="",Housemates!$D$8&gt;=$B34)),IF($Q34=0,1,INDEX(Bills!$AA$6:$AA$25,$Q34)),0))))</f>
        <v/>
      </c>
      <c r="T34">
        <f>IF(OR($D34="",$B34="",Housemates!$B$9=""),0,IF($R34&gt;0,IF(G34="",0,IF(ISNUMBER(G34),G34,1)),IF($C34="Paying back",0,IF(AND(OR(Housemates!$C$9="",Housemates!$C$9&lt;=$B34),OR(Housemates!$D$9="",Housemates!$D$9&gt;=$B34)),IF($Q34=0,1,INDEX(Bills!$AB$6:$AB$25,$Q34)),0))))</f>
        <v/>
      </c>
      <c r="U34">
        <f>IF(OR($D34="",$B34="",Housemates!$B$10=""),0,IF($R34&gt;0,IF(H34="",0,IF(ISNUMBER(H34),H34,1)),IF($C34="Paying back",0,IF(AND(OR(Housemates!$C$10="",Housemates!$C$10&lt;=$B34),OR(Housemates!$D$10="",Housemates!$D$10&gt;=$B34)),IF($Q34=0,1,INDEX(Bills!$AC$6:$AC$25,$Q34)),0))))</f>
        <v/>
      </c>
      <c r="V34">
        <f>IF(OR($D34="",$B34="",Housemates!$B$11=""),0,IF($R34&gt;0,IF(I34="",0,IF(ISNUMBER(I34),I34,1)),IF($C34="Paying back",0,IF(AND(OR(Housemates!$C$11="",Housemates!$C$11&lt;=$B34),OR(Housemates!$D$11="",Housemates!$D$11&gt;=$B34)),IF($Q34=0,1,INDEX(Bills!$AD$6:$AD$25,$Q34)),0))))</f>
        <v/>
      </c>
      <c r="W34">
        <f>IF(OR($D34="",$B34="",Housemates!$B$12=""),0,IF($R34&gt;0,IF(J34="",0,IF(ISNUMBER(J34),J34,1)),IF($C34="Paying back",0,IF(AND(OR(Housemates!$C$12="",Housemates!$C$12&lt;=$B34),OR(Housemates!$D$12="",Housemates!$D$12&gt;=$B34)),IF($Q34=0,1,INDEX(Bills!$AE$6:$AE$25,$Q34)),0))))</f>
        <v/>
      </c>
      <c r="X34">
        <f>IF(OR($D34="",$B34="",Housemates!$B$13=""),0,IF($R34&gt;0,IF(K34="",0,IF(ISNUMBER(K34),K34,1)),IF($C34="Paying back",0,IF(AND(OR(Housemates!$C$13="",Housemates!$C$13&lt;=$B34),OR(Housemates!$D$13="",Housemates!$D$13&gt;=$B34)),IF($Q34=0,1,INDEX(Bills!$AF$6:$AF$25,$Q34)),0))))</f>
        <v/>
      </c>
      <c r="Y34">
        <f>IF(OR($D34="",$B34="",Housemates!$B$14=""),0,IF($R34&gt;0,IF(L34="",0,IF(ISNUMBER(L34),L34,1)),IF($C34="Paying back",0,IF(AND(OR(Housemates!$C$14="",Housemates!$C$14&lt;=$B34),OR(Housemates!$D$14="",Housemates!$D$14&gt;=$B34)),IF($Q34=0,1,INDEX(Bills!$AG$6:$AG$25,$Q34)),0))))</f>
        <v/>
      </c>
      <c r="Z34">
        <f>IF(OR($D34="",$B34="",Housemates!$B$15=""),0,IF($R34&gt;0,IF(M34="",0,IF(ISNUMBER(M34),M34,1)),IF($C34="Paying back",0,IF(AND(OR(Housemates!$C$15="",Housemates!$C$15&lt;=$B34),OR(Housemates!$D$15="",Housemates!$D$15&gt;=$B34)),IF($Q34=0,1,INDEX(Bills!$AH$6:$AH$25,$Q34)),0))))</f>
        <v/>
      </c>
      <c r="AA34">
        <f>SUM(S34:Z34)</f>
        <v/>
      </c>
      <c r="AB34">
        <f>IF(AA34=0,0,D34*S34/AA34)</f>
        <v/>
      </c>
      <c r="AC34">
        <f>IF(AA34=0,0,D34*T34/AA34)</f>
        <v/>
      </c>
      <c r="AD34">
        <f>IF(AA34=0,0,D34*U34/AA34)</f>
        <v/>
      </c>
      <c r="AE34">
        <f>IF(AA34=0,0,D34*V34/AA34)</f>
        <v/>
      </c>
      <c r="AF34">
        <f>IF(AA34=0,0,D34*W34/AA34)</f>
        <v/>
      </c>
      <c r="AG34">
        <f>IF(AA34=0,0,D34*X34/AA34)</f>
        <v/>
      </c>
      <c r="AH34">
        <f>IF(AA34=0,0,D34*Y34/AA34)</f>
        <v/>
      </c>
      <c r="AI34">
        <f>IF(AA34=0,0,D34*Z34/AA34)</f>
        <v/>
      </c>
      <c r="AJ34">
        <f>IF(OR(C34="",B34=""),"",C34&amp;"|"&amp;(YEAR(B34)*100+MONTH(B34)))</f>
        <v/>
      </c>
    </row>
    <row r="35">
      <c r="A35" s="1" t="n"/>
      <c r="B35" s="23" t="n">
        <v>46112</v>
      </c>
      <c r="C35" s="24" t="inlineStr">
        <is>
          <t>Paying back</t>
        </is>
      </c>
      <c r="D35" s="25" t="n">
        <v>1696.32</v>
      </c>
      <c r="E35" s="26" t="inlineStr">
        <is>
          <t>Priya</t>
        </is>
      </c>
      <c r="F35" s="27" t="inlineStr">
        <is>
          <t>x</t>
        </is>
      </c>
      <c r="G35" s="27" t="n"/>
      <c r="H35" s="27" t="n"/>
      <c r="I35" s="27" t="n"/>
      <c r="J35" s="27" t="n"/>
      <c r="K35" s="27" t="n"/>
      <c r="L35" s="27" t="n"/>
      <c r="M35" s="27" t="n"/>
      <c r="N35" s="21">
        <f>IF(D35="","",IF(B35="","No date",IF(AND(C35="Paying back",R35=0),"To whom?",IF(AA35=0,"Nobody",IF(C35="Paying back","To "&amp;INDEX(Housemates!$B$8:$B$15,MATCH(MAX(S35:Z35),S35:Z35,0)),IF(R35&gt;0,IF(COUNTIF(S35:Z35,"&gt;0")=1,"1 person",COUNTIF(S35:Z35,"&gt;0")&amp;" people"),IF(Q35=0,"Everyone",INDEX(Bills!$Q$6:$Q$25,Q35))))))))</f>
        <v/>
      </c>
      <c r="O35" s="18">
        <f>IF(D35="","",IF(C35="Paying back","Paying back",IF(Q35=0,"Other",IF(INDEX(Bills!$C$6:$C$25,Q35)="","Other",INDEX(Bills!$C$6:$C$25,Q35)))))</f>
        <v/>
      </c>
      <c r="P35" s="1" t="n"/>
      <c r="Q35">
        <f>IF(C35="",0,IFERROR(MATCH(C35,Bills!$B$6:$B$25,0),0))</f>
        <v/>
      </c>
      <c r="R35">
        <f>COUNTA(F35:M35)</f>
        <v/>
      </c>
      <c r="S35">
        <f>IF(OR($D35="",$B35="",Housemates!$B$8=""),0,IF($R35&gt;0,IF(F35="",0,IF(ISNUMBER(F35),F35,1)),IF($C35="Paying back",0,IF(AND(OR(Housemates!$C$8="",Housemates!$C$8&lt;=$B35),OR(Housemates!$D$8="",Housemates!$D$8&gt;=$B35)),IF($Q35=0,1,INDEX(Bills!$AA$6:$AA$25,$Q35)),0))))</f>
        <v/>
      </c>
      <c r="T35">
        <f>IF(OR($D35="",$B35="",Housemates!$B$9=""),0,IF($R35&gt;0,IF(G35="",0,IF(ISNUMBER(G35),G35,1)),IF($C35="Paying back",0,IF(AND(OR(Housemates!$C$9="",Housemates!$C$9&lt;=$B35),OR(Housemates!$D$9="",Housemates!$D$9&gt;=$B35)),IF($Q35=0,1,INDEX(Bills!$AB$6:$AB$25,$Q35)),0))))</f>
        <v/>
      </c>
      <c r="U35">
        <f>IF(OR($D35="",$B35="",Housemates!$B$10=""),0,IF($R35&gt;0,IF(H35="",0,IF(ISNUMBER(H35),H35,1)),IF($C35="Paying back",0,IF(AND(OR(Housemates!$C$10="",Housemates!$C$10&lt;=$B35),OR(Housemates!$D$10="",Housemates!$D$10&gt;=$B35)),IF($Q35=0,1,INDEX(Bills!$AC$6:$AC$25,$Q35)),0))))</f>
        <v/>
      </c>
      <c r="V35">
        <f>IF(OR($D35="",$B35="",Housemates!$B$11=""),0,IF($R35&gt;0,IF(I35="",0,IF(ISNUMBER(I35),I35,1)),IF($C35="Paying back",0,IF(AND(OR(Housemates!$C$11="",Housemates!$C$11&lt;=$B35),OR(Housemates!$D$11="",Housemates!$D$11&gt;=$B35)),IF($Q35=0,1,INDEX(Bills!$AD$6:$AD$25,$Q35)),0))))</f>
        <v/>
      </c>
      <c r="W35">
        <f>IF(OR($D35="",$B35="",Housemates!$B$12=""),0,IF($R35&gt;0,IF(J35="",0,IF(ISNUMBER(J35),J35,1)),IF($C35="Paying back",0,IF(AND(OR(Housemates!$C$12="",Housemates!$C$12&lt;=$B35),OR(Housemates!$D$12="",Housemates!$D$12&gt;=$B35)),IF($Q35=0,1,INDEX(Bills!$AE$6:$AE$25,$Q35)),0))))</f>
        <v/>
      </c>
      <c r="X35">
        <f>IF(OR($D35="",$B35="",Housemates!$B$13=""),0,IF($R35&gt;0,IF(K35="",0,IF(ISNUMBER(K35),K35,1)),IF($C35="Paying back",0,IF(AND(OR(Housemates!$C$13="",Housemates!$C$13&lt;=$B35),OR(Housemates!$D$13="",Housemates!$D$13&gt;=$B35)),IF($Q35=0,1,INDEX(Bills!$AF$6:$AF$25,$Q35)),0))))</f>
        <v/>
      </c>
      <c r="Y35">
        <f>IF(OR($D35="",$B35="",Housemates!$B$14=""),0,IF($R35&gt;0,IF(L35="",0,IF(ISNUMBER(L35),L35,1)),IF($C35="Paying back",0,IF(AND(OR(Housemates!$C$14="",Housemates!$C$14&lt;=$B35),OR(Housemates!$D$14="",Housemates!$D$14&gt;=$B35)),IF($Q35=0,1,INDEX(Bills!$AG$6:$AG$25,$Q35)),0))))</f>
        <v/>
      </c>
      <c r="Z35">
        <f>IF(OR($D35="",$B35="",Housemates!$B$15=""),0,IF($R35&gt;0,IF(M35="",0,IF(ISNUMBER(M35),M35,1)),IF($C35="Paying back",0,IF(AND(OR(Housemates!$C$15="",Housemates!$C$15&lt;=$B35),OR(Housemates!$D$15="",Housemates!$D$15&gt;=$B35)),IF($Q35=0,1,INDEX(Bills!$AH$6:$AH$25,$Q35)),0))))</f>
        <v/>
      </c>
      <c r="AA35">
        <f>SUM(S35:Z35)</f>
        <v/>
      </c>
      <c r="AB35">
        <f>IF(AA35=0,0,D35*S35/AA35)</f>
        <v/>
      </c>
      <c r="AC35">
        <f>IF(AA35=0,0,D35*T35/AA35)</f>
        <v/>
      </c>
      <c r="AD35">
        <f>IF(AA35=0,0,D35*U35/AA35)</f>
        <v/>
      </c>
      <c r="AE35">
        <f>IF(AA35=0,0,D35*V35/AA35)</f>
        <v/>
      </c>
      <c r="AF35">
        <f>IF(AA35=0,0,D35*W35/AA35)</f>
        <v/>
      </c>
      <c r="AG35">
        <f>IF(AA35=0,0,D35*X35/AA35)</f>
        <v/>
      </c>
      <c r="AH35">
        <f>IF(AA35=0,0,D35*Y35/AA35)</f>
        <v/>
      </c>
      <c r="AI35">
        <f>IF(AA35=0,0,D35*Z35/AA35)</f>
        <v/>
      </c>
      <c r="AJ35">
        <f>IF(OR(C35="",B35=""),"",C35&amp;"|"&amp;(YEAR(B35)*100+MONTH(B35)))</f>
        <v/>
      </c>
    </row>
    <row r="36">
      <c r="A36" s="1" t="n"/>
      <c r="B36" s="23" t="n">
        <v>46112</v>
      </c>
      <c r="C36" s="24" t="inlineStr">
        <is>
          <t>Paying back</t>
        </is>
      </c>
      <c r="D36" s="25" t="n">
        <v>1648.56</v>
      </c>
      <c r="E36" s="26" t="inlineStr">
        <is>
          <t>Leo</t>
        </is>
      </c>
      <c r="F36" s="27" t="inlineStr">
        <is>
          <t>x</t>
        </is>
      </c>
      <c r="G36" s="27" t="n"/>
      <c r="H36" s="27" t="n"/>
      <c r="I36" s="27" t="n"/>
      <c r="J36" s="27" t="n"/>
      <c r="K36" s="27" t="n"/>
      <c r="L36" s="27" t="n"/>
      <c r="M36" s="27" t="n"/>
      <c r="N36" s="21">
        <f>IF(D36="","",IF(B36="","No date",IF(AND(C36="Paying back",R36=0),"To whom?",IF(AA36=0,"Nobody",IF(C36="Paying back","To "&amp;INDEX(Housemates!$B$8:$B$15,MATCH(MAX(S36:Z36),S36:Z36,0)),IF(R36&gt;0,IF(COUNTIF(S36:Z36,"&gt;0")=1,"1 person",COUNTIF(S36:Z36,"&gt;0")&amp;" people"),IF(Q36=0,"Everyone",INDEX(Bills!$Q$6:$Q$25,Q36))))))))</f>
        <v/>
      </c>
      <c r="O36" s="18">
        <f>IF(D36="","",IF(C36="Paying back","Paying back",IF(Q36=0,"Other",IF(INDEX(Bills!$C$6:$C$25,Q36)="","Other",INDEX(Bills!$C$6:$C$25,Q36)))))</f>
        <v/>
      </c>
      <c r="P36" s="1" t="n"/>
      <c r="Q36">
        <f>IF(C36="",0,IFERROR(MATCH(C36,Bills!$B$6:$B$25,0),0))</f>
        <v/>
      </c>
      <c r="R36">
        <f>COUNTA(F36:M36)</f>
        <v/>
      </c>
      <c r="S36">
        <f>IF(OR($D36="",$B36="",Housemates!$B$8=""),0,IF($R36&gt;0,IF(F36="",0,IF(ISNUMBER(F36),F36,1)),IF($C36="Paying back",0,IF(AND(OR(Housemates!$C$8="",Housemates!$C$8&lt;=$B36),OR(Housemates!$D$8="",Housemates!$D$8&gt;=$B36)),IF($Q36=0,1,INDEX(Bills!$AA$6:$AA$25,$Q36)),0))))</f>
        <v/>
      </c>
      <c r="T36">
        <f>IF(OR($D36="",$B36="",Housemates!$B$9=""),0,IF($R36&gt;0,IF(G36="",0,IF(ISNUMBER(G36),G36,1)),IF($C36="Paying back",0,IF(AND(OR(Housemates!$C$9="",Housemates!$C$9&lt;=$B36),OR(Housemates!$D$9="",Housemates!$D$9&gt;=$B36)),IF($Q36=0,1,INDEX(Bills!$AB$6:$AB$25,$Q36)),0))))</f>
        <v/>
      </c>
      <c r="U36">
        <f>IF(OR($D36="",$B36="",Housemates!$B$10=""),0,IF($R36&gt;0,IF(H36="",0,IF(ISNUMBER(H36),H36,1)),IF($C36="Paying back",0,IF(AND(OR(Housemates!$C$10="",Housemates!$C$10&lt;=$B36),OR(Housemates!$D$10="",Housemates!$D$10&gt;=$B36)),IF($Q36=0,1,INDEX(Bills!$AC$6:$AC$25,$Q36)),0))))</f>
        <v/>
      </c>
      <c r="V36">
        <f>IF(OR($D36="",$B36="",Housemates!$B$11=""),0,IF($R36&gt;0,IF(I36="",0,IF(ISNUMBER(I36),I36,1)),IF($C36="Paying back",0,IF(AND(OR(Housemates!$C$11="",Housemates!$C$11&lt;=$B36),OR(Housemates!$D$11="",Housemates!$D$11&gt;=$B36)),IF($Q36=0,1,INDEX(Bills!$AD$6:$AD$25,$Q36)),0))))</f>
        <v/>
      </c>
      <c r="W36">
        <f>IF(OR($D36="",$B36="",Housemates!$B$12=""),0,IF($R36&gt;0,IF(J36="",0,IF(ISNUMBER(J36),J36,1)),IF($C36="Paying back",0,IF(AND(OR(Housemates!$C$12="",Housemates!$C$12&lt;=$B36),OR(Housemates!$D$12="",Housemates!$D$12&gt;=$B36)),IF($Q36=0,1,INDEX(Bills!$AE$6:$AE$25,$Q36)),0))))</f>
        <v/>
      </c>
      <c r="X36">
        <f>IF(OR($D36="",$B36="",Housemates!$B$13=""),0,IF($R36&gt;0,IF(K36="",0,IF(ISNUMBER(K36),K36,1)),IF($C36="Paying back",0,IF(AND(OR(Housemates!$C$13="",Housemates!$C$13&lt;=$B36),OR(Housemates!$D$13="",Housemates!$D$13&gt;=$B36)),IF($Q36=0,1,INDEX(Bills!$AF$6:$AF$25,$Q36)),0))))</f>
        <v/>
      </c>
      <c r="Y36">
        <f>IF(OR($D36="",$B36="",Housemates!$B$14=""),0,IF($R36&gt;0,IF(L36="",0,IF(ISNUMBER(L36),L36,1)),IF($C36="Paying back",0,IF(AND(OR(Housemates!$C$14="",Housemates!$C$14&lt;=$B36),OR(Housemates!$D$14="",Housemates!$D$14&gt;=$B36)),IF($Q36=0,1,INDEX(Bills!$AG$6:$AG$25,$Q36)),0))))</f>
        <v/>
      </c>
      <c r="Z36">
        <f>IF(OR($D36="",$B36="",Housemates!$B$15=""),0,IF($R36&gt;0,IF(M36="",0,IF(ISNUMBER(M36),M36,1)),IF($C36="Paying back",0,IF(AND(OR(Housemates!$C$15="",Housemates!$C$15&lt;=$B36),OR(Housemates!$D$15="",Housemates!$D$15&gt;=$B36)),IF($Q36=0,1,INDEX(Bills!$AH$6:$AH$25,$Q36)),0))))</f>
        <v/>
      </c>
      <c r="AA36">
        <f>SUM(S36:Z36)</f>
        <v/>
      </c>
      <c r="AB36">
        <f>IF(AA36=0,0,D36*S36/AA36)</f>
        <v/>
      </c>
      <c r="AC36">
        <f>IF(AA36=0,0,D36*T36/AA36)</f>
        <v/>
      </c>
      <c r="AD36">
        <f>IF(AA36=0,0,D36*U36/AA36)</f>
        <v/>
      </c>
      <c r="AE36">
        <f>IF(AA36=0,0,D36*V36/AA36)</f>
        <v/>
      </c>
      <c r="AF36">
        <f>IF(AA36=0,0,D36*W36/AA36)</f>
        <v/>
      </c>
      <c r="AG36">
        <f>IF(AA36=0,0,D36*X36/AA36)</f>
        <v/>
      </c>
      <c r="AH36">
        <f>IF(AA36=0,0,D36*Y36/AA36)</f>
        <v/>
      </c>
      <c r="AI36">
        <f>IF(AA36=0,0,D36*Z36/AA36)</f>
        <v/>
      </c>
      <c r="AJ36">
        <f>IF(OR(C36="",B36=""),"",C36&amp;"|"&amp;(YEAR(B36)*100+MONTH(B36)))</f>
        <v/>
      </c>
    </row>
    <row r="37">
      <c r="A37" s="1" t="n"/>
      <c r="B37" s="23" t="n">
        <v>46113</v>
      </c>
      <c r="C37" s="24" t="inlineStr">
        <is>
          <t>Rent</t>
        </is>
      </c>
      <c r="D37" s="25" t="n">
        <v>2400</v>
      </c>
      <c r="E37" s="26" t="inlineStr">
        <is>
          <t>Maya</t>
        </is>
      </c>
      <c r="F37" s="27" t="n"/>
      <c r="G37" s="27" t="n"/>
      <c r="H37" s="27" t="n"/>
      <c r="I37" s="27" t="n"/>
      <c r="J37" s="27" t="n"/>
      <c r="K37" s="27" t="n"/>
      <c r="L37" s="27" t="n"/>
      <c r="M37" s="27" t="n"/>
      <c r="N37" s="21">
        <f>IF(D37="","",IF(B37="","No date",IF(AND(C37="Paying back",R37=0),"To whom?",IF(AA37=0,"Nobody",IF(C37="Paying back","To "&amp;INDEX(Housemates!$B$8:$B$15,MATCH(MAX(S37:Z37),S37:Z37,0)),IF(R37&gt;0,IF(COUNTIF(S37:Z37,"&gt;0")=1,"1 person",COUNTIF(S37:Z37,"&gt;0")&amp;" people"),IF(Q37=0,"Everyone",INDEX(Bills!$Q$6:$Q$25,Q37))))))))</f>
        <v/>
      </c>
      <c r="O37" s="18">
        <f>IF(D37="","",IF(C37="Paying back","Paying back",IF(Q37=0,"Other",IF(INDEX(Bills!$C$6:$C$25,Q37)="","Other",INDEX(Bills!$C$6:$C$25,Q37)))))</f>
        <v/>
      </c>
      <c r="P37" s="1" t="n"/>
      <c r="Q37">
        <f>IF(C37="",0,IFERROR(MATCH(C37,Bills!$B$6:$B$25,0),0))</f>
        <v/>
      </c>
      <c r="R37">
        <f>COUNTA(F37:M37)</f>
        <v/>
      </c>
      <c r="S37">
        <f>IF(OR($D37="",$B37="",Housemates!$B$8=""),0,IF($R37&gt;0,IF(F37="",0,IF(ISNUMBER(F37),F37,1)),IF($C37="Paying back",0,IF(AND(OR(Housemates!$C$8="",Housemates!$C$8&lt;=$B37),OR(Housemates!$D$8="",Housemates!$D$8&gt;=$B37)),IF($Q37=0,1,INDEX(Bills!$AA$6:$AA$25,$Q37)),0))))</f>
        <v/>
      </c>
      <c r="T37">
        <f>IF(OR($D37="",$B37="",Housemates!$B$9=""),0,IF($R37&gt;0,IF(G37="",0,IF(ISNUMBER(G37),G37,1)),IF($C37="Paying back",0,IF(AND(OR(Housemates!$C$9="",Housemates!$C$9&lt;=$B37),OR(Housemates!$D$9="",Housemates!$D$9&gt;=$B37)),IF($Q37=0,1,INDEX(Bills!$AB$6:$AB$25,$Q37)),0))))</f>
        <v/>
      </c>
      <c r="U37">
        <f>IF(OR($D37="",$B37="",Housemates!$B$10=""),0,IF($R37&gt;0,IF(H37="",0,IF(ISNUMBER(H37),H37,1)),IF($C37="Paying back",0,IF(AND(OR(Housemates!$C$10="",Housemates!$C$10&lt;=$B37),OR(Housemates!$D$10="",Housemates!$D$10&gt;=$B37)),IF($Q37=0,1,INDEX(Bills!$AC$6:$AC$25,$Q37)),0))))</f>
        <v/>
      </c>
      <c r="V37">
        <f>IF(OR($D37="",$B37="",Housemates!$B$11=""),0,IF($R37&gt;0,IF(I37="",0,IF(ISNUMBER(I37),I37,1)),IF($C37="Paying back",0,IF(AND(OR(Housemates!$C$11="",Housemates!$C$11&lt;=$B37),OR(Housemates!$D$11="",Housemates!$D$11&gt;=$B37)),IF($Q37=0,1,INDEX(Bills!$AD$6:$AD$25,$Q37)),0))))</f>
        <v/>
      </c>
      <c r="W37">
        <f>IF(OR($D37="",$B37="",Housemates!$B$12=""),0,IF($R37&gt;0,IF(J37="",0,IF(ISNUMBER(J37),J37,1)),IF($C37="Paying back",0,IF(AND(OR(Housemates!$C$12="",Housemates!$C$12&lt;=$B37),OR(Housemates!$D$12="",Housemates!$D$12&gt;=$B37)),IF($Q37=0,1,INDEX(Bills!$AE$6:$AE$25,$Q37)),0))))</f>
        <v/>
      </c>
      <c r="X37">
        <f>IF(OR($D37="",$B37="",Housemates!$B$13=""),0,IF($R37&gt;0,IF(K37="",0,IF(ISNUMBER(K37),K37,1)),IF($C37="Paying back",0,IF(AND(OR(Housemates!$C$13="",Housemates!$C$13&lt;=$B37),OR(Housemates!$D$13="",Housemates!$D$13&gt;=$B37)),IF($Q37=0,1,INDEX(Bills!$AF$6:$AF$25,$Q37)),0))))</f>
        <v/>
      </c>
      <c r="Y37">
        <f>IF(OR($D37="",$B37="",Housemates!$B$14=""),0,IF($R37&gt;0,IF(L37="",0,IF(ISNUMBER(L37),L37,1)),IF($C37="Paying back",0,IF(AND(OR(Housemates!$C$14="",Housemates!$C$14&lt;=$B37),OR(Housemates!$D$14="",Housemates!$D$14&gt;=$B37)),IF($Q37=0,1,INDEX(Bills!$AG$6:$AG$25,$Q37)),0))))</f>
        <v/>
      </c>
      <c r="Z37">
        <f>IF(OR($D37="",$B37="",Housemates!$B$15=""),0,IF($R37&gt;0,IF(M37="",0,IF(ISNUMBER(M37),M37,1)),IF($C37="Paying back",0,IF(AND(OR(Housemates!$C$15="",Housemates!$C$15&lt;=$B37),OR(Housemates!$D$15="",Housemates!$D$15&gt;=$B37)),IF($Q37=0,1,INDEX(Bills!$AH$6:$AH$25,$Q37)),0))))</f>
        <v/>
      </c>
      <c r="AA37">
        <f>SUM(S37:Z37)</f>
        <v/>
      </c>
      <c r="AB37">
        <f>IF(AA37=0,0,D37*S37/AA37)</f>
        <v/>
      </c>
      <c r="AC37">
        <f>IF(AA37=0,0,D37*T37/AA37)</f>
        <v/>
      </c>
      <c r="AD37">
        <f>IF(AA37=0,0,D37*U37/AA37)</f>
        <v/>
      </c>
      <c r="AE37">
        <f>IF(AA37=0,0,D37*V37/AA37)</f>
        <v/>
      </c>
      <c r="AF37">
        <f>IF(AA37=0,0,D37*W37/AA37)</f>
        <v/>
      </c>
      <c r="AG37">
        <f>IF(AA37=0,0,D37*X37/AA37)</f>
        <v/>
      </c>
      <c r="AH37">
        <f>IF(AA37=0,0,D37*Y37/AA37)</f>
        <v/>
      </c>
      <c r="AI37">
        <f>IF(AA37=0,0,D37*Z37/AA37)</f>
        <v/>
      </c>
      <c r="AJ37">
        <f>IF(OR(C37="",B37=""),"",C37&amp;"|"&amp;(YEAR(B37)*100+MONTH(B37)))</f>
        <v/>
      </c>
    </row>
    <row r="38">
      <c r="A38" s="1" t="n"/>
      <c r="B38" s="23" t="n">
        <v>46115</v>
      </c>
      <c r="C38" s="24" t="inlineStr">
        <is>
          <t>Internet</t>
        </is>
      </c>
      <c r="D38" s="25" t="n">
        <v>45</v>
      </c>
      <c r="E38" s="26" t="inlineStr">
        <is>
          <t>Leo</t>
        </is>
      </c>
      <c r="F38" s="27" t="n"/>
      <c r="G38" s="27" t="n"/>
      <c r="H38" s="27" t="n"/>
      <c r="I38" s="27" t="n"/>
      <c r="J38" s="27" t="n"/>
      <c r="K38" s="27" t="n"/>
      <c r="L38" s="27" t="n"/>
      <c r="M38" s="27" t="n"/>
      <c r="N38" s="21">
        <f>IF(D38="","",IF(B38="","No date",IF(AND(C38="Paying back",R38=0),"To whom?",IF(AA38=0,"Nobody",IF(C38="Paying back","To "&amp;INDEX(Housemates!$B$8:$B$15,MATCH(MAX(S38:Z38),S38:Z38,0)),IF(R38&gt;0,IF(COUNTIF(S38:Z38,"&gt;0")=1,"1 person",COUNTIF(S38:Z38,"&gt;0")&amp;" people"),IF(Q38=0,"Everyone",INDEX(Bills!$Q$6:$Q$25,Q38))))))))</f>
        <v/>
      </c>
      <c r="O38" s="18">
        <f>IF(D38="","",IF(C38="Paying back","Paying back",IF(Q38=0,"Other",IF(INDEX(Bills!$C$6:$C$25,Q38)="","Other",INDEX(Bills!$C$6:$C$25,Q38)))))</f>
        <v/>
      </c>
      <c r="P38" s="1" t="n"/>
      <c r="Q38">
        <f>IF(C38="",0,IFERROR(MATCH(C38,Bills!$B$6:$B$25,0),0))</f>
        <v/>
      </c>
      <c r="R38">
        <f>COUNTA(F38:M38)</f>
        <v/>
      </c>
      <c r="S38">
        <f>IF(OR($D38="",$B38="",Housemates!$B$8=""),0,IF($R38&gt;0,IF(F38="",0,IF(ISNUMBER(F38),F38,1)),IF($C38="Paying back",0,IF(AND(OR(Housemates!$C$8="",Housemates!$C$8&lt;=$B38),OR(Housemates!$D$8="",Housemates!$D$8&gt;=$B38)),IF($Q38=0,1,INDEX(Bills!$AA$6:$AA$25,$Q38)),0))))</f>
        <v/>
      </c>
      <c r="T38">
        <f>IF(OR($D38="",$B38="",Housemates!$B$9=""),0,IF($R38&gt;0,IF(G38="",0,IF(ISNUMBER(G38),G38,1)),IF($C38="Paying back",0,IF(AND(OR(Housemates!$C$9="",Housemates!$C$9&lt;=$B38),OR(Housemates!$D$9="",Housemates!$D$9&gt;=$B38)),IF($Q38=0,1,INDEX(Bills!$AB$6:$AB$25,$Q38)),0))))</f>
        <v/>
      </c>
      <c r="U38">
        <f>IF(OR($D38="",$B38="",Housemates!$B$10=""),0,IF($R38&gt;0,IF(H38="",0,IF(ISNUMBER(H38),H38,1)),IF($C38="Paying back",0,IF(AND(OR(Housemates!$C$10="",Housemates!$C$10&lt;=$B38),OR(Housemates!$D$10="",Housemates!$D$10&gt;=$B38)),IF($Q38=0,1,INDEX(Bills!$AC$6:$AC$25,$Q38)),0))))</f>
        <v/>
      </c>
      <c r="V38">
        <f>IF(OR($D38="",$B38="",Housemates!$B$11=""),0,IF($R38&gt;0,IF(I38="",0,IF(ISNUMBER(I38),I38,1)),IF($C38="Paying back",0,IF(AND(OR(Housemates!$C$11="",Housemates!$C$11&lt;=$B38),OR(Housemates!$D$11="",Housemates!$D$11&gt;=$B38)),IF($Q38=0,1,INDEX(Bills!$AD$6:$AD$25,$Q38)),0))))</f>
        <v/>
      </c>
      <c r="W38">
        <f>IF(OR($D38="",$B38="",Housemates!$B$12=""),0,IF($R38&gt;0,IF(J38="",0,IF(ISNUMBER(J38),J38,1)),IF($C38="Paying back",0,IF(AND(OR(Housemates!$C$12="",Housemates!$C$12&lt;=$B38),OR(Housemates!$D$12="",Housemates!$D$12&gt;=$B38)),IF($Q38=0,1,INDEX(Bills!$AE$6:$AE$25,$Q38)),0))))</f>
        <v/>
      </c>
      <c r="X38">
        <f>IF(OR($D38="",$B38="",Housemates!$B$13=""),0,IF($R38&gt;0,IF(K38="",0,IF(ISNUMBER(K38),K38,1)),IF($C38="Paying back",0,IF(AND(OR(Housemates!$C$13="",Housemates!$C$13&lt;=$B38),OR(Housemates!$D$13="",Housemates!$D$13&gt;=$B38)),IF($Q38=0,1,INDEX(Bills!$AF$6:$AF$25,$Q38)),0))))</f>
        <v/>
      </c>
      <c r="Y38">
        <f>IF(OR($D38="",$B38="",Housemates!$B$14=""),0,IF($R38&gt;0,IF(L38="",0,IF(ISNUMBER(L38),L38,1)),IF($C38="Paying back",0,IF(AND(OR(Housemates!$C$14="",Housemates!$C$14&lt;=$B38),OR(Housemates!$D$14="",Housemates!$D$14&gt;=$B38)),IF($Q38=0,1,INDEX(Bills!$AG$6:$AG$25,$Q38)),0))))</f>
        <v/>
      </c>
      <c r="Z38">
        <f>IF(OR($D38="",$B38="",Housemates!$B$15=""),0,IF($R38&gt;0,IF(M38="",0,IF(ISNUMBER(M38),M38,1)),IF($C38="Paying back",0,IF(AND(OR(Housemates!$C$15="",Housemates!$C$15&lt;=$B38),OR(Housemates!$D$15="",Housemates!$D$15&gt;=$B38)),IF($Q38=0,1,INDEX(Bills!$AH$6:$AH$25,$Q38)),0))))</f>
        <v/>
      </c>
      <c r="AA38">
        <f>SUM(S38:Z38)</f>
        <v/>
      </c>
      <c r="AB38">
        <f>IF(AA38=0,0,D38*S38/AA38)</f>
        <v/>
      </c>
      <c r="AC38">
        <f>IF(AA38=0,0,D38*T38/AA38)</f>
        <v/>
      </c>
      <c r="AD38">
        <f>IF(AA38=0,0,D38*U38/AA38)</f>
        <v/>
      </c>
      <c r="AE38">
        <f>IF(AA38=0,0,D38*V38/AA38)</f>
        <v/>
      </c>
      <c r="AF38">
        <f>IF(AA38=0,0,D38*W38/AA38)</f>
        <v/>
      </c>
      <c r="AG38">
        <f>IF(AA38=0,0,D38*X38/AA38)</f>
        <v/>
      </c>
      <c r="AH38">
        <f>IF(AA38=0,0,D38*Y38/AA38)</f>
        <v/>
      </c>
      <c r="AI38">
        <f>IF(AA38=0,0,D38*Z38/AA38)</f>
        <v/>
      </c>
      <c r="AJ38">
        <f>IF(OR(C38="",B38=""),"",C38&amp;"|"&amp;(YEAR(B38)*100+MONTH(B38)))</f>
        <v/>
      </c>
    </row>
    <row r="39">
      <c r="A39" s="1" t="n"/>
      <c r="B39" s="23" t="n">
        <v>46116</v>
      </c>
      <c r="C39" s="24" t="inlineStr">
        <is>
          <t>Groceries</t>
        </is>
      </c>
      <c r="D39" s="25" t="n">
        <v>73.92</v>
      </c>
      <c r="E39" s="26" t="inlineStr">
        <is>
          <t>Maya</t>
        </is>
      </c>
      <c r="F39" s="27" t="n"/>
      <c r="G39" s="27" t="n"/>
      <c r="H39" s="27" t="n"/>
      <c r="I39" s="27" t="n"/>
      <c r="J39" s="27" t="n"/>
      <c r="K39" s="27" t="n"/>
      <c r="L39" s="27" t="n"/>
      <c r="M39" s="27" t="n"/>
      <c r="N39" s="21">
        <f>IF(D39="","",IF(B39="","No date",IF(AND(C39="Paying back",R39=0),"To whom?",IF(AA39=0,"Nobody",IF(C39="Paying back","To "&amp;INDEX(Housemates!$B$8:$B$15,MATCH(MAX(S39:Z39),S39:Z39,0)),IF(R39&gt;0,IF(COUNTIF(S39:Z39,"&gt;0")=1,"1 person",COUNTIF(S39:Z39,"&gt;0")&amp;" people"),IF(Q39=0,"Everyone",INDEX(Bills!$Q$6:$Q$25,Q39))))))))</f>
        <v/>
      </c>
      <c r="O39" s="18">
        <f>IF(D39="","",IF(C39="Paying back","Paying back",IF(Q39=0,"Other",IF(INDEX(Bills!$C$6:$C$25,Q39)="","Other",INDEX(Bills!$C$6:$C$25,Q39)))))</f>
        <v/>
      </c>
      <c r="P39" s="1" t="n"/>
      <c r="Q39">
        <f>IF(C39="",0,IFERROR(MATCH(C39,Bills!$B$6:$B$25,0),0))</f>
        <v/>
      </c>
      <c r="R39">
        <f>COUNTA(F39:M39)</f>
        <v/>
      </c>
      <c r="S39">
        <f>IF(OR($D39="",$B39="",Housemates!$B$8=""),0,IF($R39&gt;0,IF(F39="",0,IF(ISNUMBER(F39),F39,1)),IF($C39="Paying back",0,IF(AND(OR(Housemates!$C$8="",Housemates!$C$8&lt;=$B39),OR(Housemates!$D$8="",Housemates!$D$8&gt;=$B39)),IF($Q39=0,1,INDEX(Bills!$AA$6:$AA$25,$Q39)),0))))</f>
        <v/>
      </c>
      <c r="T39">
        <f>IF(OR($D39="",$B39="",Housemates!$B$9=""),0,IF($R39&gt;0,IF(G39="",0,IF(ISNUMBER(G39),G39,1)),IF($C39="Paying back",0,IF(AND(OR(Housemates!$C$9="",Housemates!$C$9&lt;=$B39),OR(Housemates!$D$9="",Housemates!$D$9&gt;=$B39)),IF($Q39=0,1,INDEX(Bills!$AB$6:$AB$25,$Q39)),0))))</f>
        <v/>
      </c>
      <c r="U39">
        <f>IF(OR($D39="",$B39="",Housemates!$B$10=""),0,IF($R39&gt;0,IF(H39="",0,IF(ISNUMBER(H39),H39,1)),IF($C39="Paying back",0,IF(AND(OR(Housemates!$C$10="",Housemates!$C$10&lt;=$B39),OR(Housemates!$D$10="",Housemates!$D$10&gt;=$B39)),IF($Q39=0,1,INDEX(Bills!$AC$6:$AC$25,$Q39)),0))))</f>
        <v/>
      </c>
      <c r="V39">
        <f>IF(OR($D39="",$B39="",Housemates!$B$11=""),0,IF($R39&gt;0,IF(I39="",0,IF(ISNUMBER(I39),I39,1)),IF($C39="Paying back",0,IF(AND(OR(Housemates!$C$11="",Housemates!$C$11&lt;=$B39),OR(Housemates!$D$11="",Housemates!$D$11&gt;=$B39)),IF($Q39=0,1,INDEX(Bills!$AD$6:$AD$25,$Q39)),0))))</f>
        <v/>
      </c>
      <c r="W39">
        <f>IF(OR($D39="",$B39="",Housemates!$B$12=""),0,IF($R39&gt;0,IF(J39="",0,IF(ISNUMBER(J39),J39,1)),IF($C39="Paying back",0,IF(AND(OR(Housemates!$C$12="",Housemates!$C$12&lt;=$B39),OR(Housemates!$D$12="",Housemates!$D$12&gt;=$B39)),IF($Q39=0,1,INDEX(Bills!$AE$6:$AE$25,$Q39)),0))))</f>
        <v/>
      </c>
      <c r="X39">
        <f>IF(OR($D39="",$B39="",Housemates!$B$13=""),0,IF($R39&gt;0,IF(K39="",0,IF(ISNUMBER(K39),K39,1)),IF($C39="Paying back",0,IF(AND(OR(Housemates!$C$13="",Housemates!$C$13&lt;=$B39),OR(Housemates!$D$13="",Housemates!$D$13&gt;=$B39)),IF($Q39=0,1,INDEX(Bills!$AF$6:$AF$25,$Q39)),0))))</f>
        <v/>
      </c>
      <c r="Y39">
        <f>IF(OR($D39="",$B39="",Housemates!$B$14=""),0,IF($R39&gt;0,IF(L39="",0,IF(ISNUMBER(L39),L39,1)),IF($C39="Paying back",0,IF(AND(OR(Housemates!$C$14="",Housemates!$C$14&lt;=$B39),OR(Housemates!$D$14="",Housemates!$D$14&gt;=$B39)),IF($Q39=0,1,INDEX(Bills!$AG$6:$AG$25,$Q39)),0))))</f>
        <v/>
      </c>
      <c r="Z39">
        <f>IF(OR($D39="",$B39="",Housemates!$B$15=""),0,IF($R39&gt;0,IF(M39="",0,IF(ISNUMBER(M39),M39,1)),IF($C39="Paying back",0,IF(AND(OR(Housemates!$C$15="",Housemates!$C$15&lt;=$B39),OR(Housemates!$D$15="",Housemates!$D$15&gt;=$B39)),IF($Q39=0,1,INDEX(Bills!$AH$6:$AH$25,$Q39)),0))))</f>
        <v/>
      </c>
      <c r="AA39">
        <f>SUM(S39:Z39)</f>
        <v/>
      </c>
      <c r="AB39">
        <f>IF(AA39=0,0,D39*S39/AA39)</f>
        <v/>
      </c>
      <c r="AC39">
        <f>IF(AA39=0,0,D39*T39/AA39)</f>
        <v/>
      </c>
      <c r="AD39">
        <f>IF(AA39=0,0,D39*U39/AA39)</f>
        <v/>
      </c>
      <c r="AE39">
        <f>IF(AA39=0,0,D39*V39/AA39)</f>
        <v/>
      </c>
      <c r="AF39">
        <f>IF(AA39=0,0,D39*W39/AA39)</f>
        <v/>
      </c>
      <c r="AG39">
        <f>IF(AA39=0,0,D39*X39/AA39)</f>
        <v/>
      </c>
      <c r="AH39">
        <f>IF(AA39=0,0,D39*Y39/AA39)</f>
        <v/>
      </c>
      <c r="AI39">
        <f>IF(AA39=0,0,D39*Z39/AA39)</f>
        <v/>
      </c>
      <c r="AJ39">
        <f>IF(OR(C39="",B39=""),"",C39&amp;"|"&amp;(YEAR(B39)*100+MONTH(B39)))</f>
        <v/>
      </c>
    </row>
    <row r="40">
      <c r="A40" s="1" t="n"/>
      <c r="B40" s="23" t="n">
        <v>46120</v>
      </c>
      <c r="C40" s="24" t="inlineStr">
        <is>
          <t>Cleaning and household</t>
        </is>
      </c>
      <c r="D40" s="25" t="n">
        <v>19.56</v>
      </c>
      <c r="E40" s="26" t="inlineStr">
        <is>
          <t>Leo</t>
        </is>
      </c>
      <c r="F40" s="27" t="n"/>
      <c r="G40" s="27" t="n"/>
      <c r="H40" s="27" t="n"/>
      <c r="I40" s="27" t="n"/>
      <c r="J40" s="27" t="n"/>
      <c r="K40" s="27" t="n"/>
      <c r="L40" s="27" t="n"/>
      <c r="M40" s="27" t="n"/>
      <c r="N40" s="21">
        <f>IF(D40="","",IF(B40="","No date",IF(AND(C40="Paying back",R40=0),"To whom?",IF(AA40=0,"Nobody",IF(C40="Paying back","To "&amp;INDEX(Housemates!$B$8:$B$15,MATCH(MAX(S40:Z40),S40:Z40,0)),IF(R40&gt;0,IF(COUNTIF(S40:Z40,"&gt;0")=1,"1 person",COUNTIF(S40:Z40,"&gt;0")&amp;" people"),IF(Q40=0,"Everyone",INDEX(Bills!$Q$6:$Q$25,Q40))))))))</f>
        <v/>
      </c>
      <c r="O40" s="18">
        <f>IF(D40="","",IF(C40="Paying back","Paying back",IF(Q40=0,"Other",IF(INDEX(Bills!$C$6:$C$25,Q40)="","Other",INDEX(Bills!$C$6:$C$25,Q40)))))</f>
        <v/>
      </c>
      <c r="P40" s="1" t="n"/>
      <c r="Q40">
        <f>IF(C40="",0,IFERROR(MATCH(C40,Bills!$B$6:$B$25,0),0))</f>
        <v/>
      </c>
      <c r="R40">
        <f>COUNTA(F40:M40)</f>
        <v/>
      </c>
      <c r="S40">
        <f>IF(OR($D40="",$B40="",Housemates!$B$8=""),0,IF($R40&gt;0,IF(F40="",0,IF(ISNUMBER(F40),F40,1)),IF($C40="Paying back",0,IF(AND(OR(Housemates!$C$8="",Housemates!$C$8&lt;=$B40),OR(Housemates!$D$8="",Housemates!$D$8&gt;=$B40)),IF($Q40=0,1,INDEX(Bills!$AA$6:$AA$25,$Q40)),0))))</f>
        <v/>
      </c>
      <c r="T40">
        <f>IF(OR($D40="",$B40="",Housemates!$B$9=""),0,IF($R40&gt;0,IF(G40="",0,IF(ISNUMBER(G40),G40,1)),IF($C40="Paying back",0,IF(AND(OR(Housemates!$C$9="",Housemates!$C$9&lt;=$B40),OR(Housemates!$D$9="",Housemates!$D$9&gt;=$B40)),IF($Q40=0,1,INDEX(Bills!$AB$6:$AB$25,$Q40)),0))))</f>
        <v/>
      </c>
      <c r="U40">
        <f>IF(OR($D40="",$B40="",Housemates!$B$10=""),0,IF($R40&gt;0,IF(H40="",0,IF(ISNUMBER(H40),H40,1)),IF($C40="Paying back",0,IF(AND(OR(Housemates!$C$10="",Housemates!$C$10&lt;=$B40),OR(Housemates!$D$10="",Housemates!$D$10&gt;=$B40)),IF($Q40=0,1,INDEX(Bills!$AC$6:$AC$25,$Q40)),0))))</f>
        <v/>
      </c>
      <c r="V40">
        <f>IF(OR($D40="",$B40="",Housemates!$B$11=""),0,IF($R40&gt;0,IF(I40="",0,IF(ISNUMBER(I40),I40,1)),IF($C40="Paying back",0,IF(AND(OR(Housemates!$C$11="",Housemates!$C$11&lt;=$B40),OR(Housemates!$D$11="",Housemates!$D$11&gt;=$B40)),IF($Q40=0,1,INDEX(Bills!$AD$6:$AD$25,$Q40)),0))))</f>
        <v/>
      </c>
      <c r="W40">
        <f>IF(OR($D40="",$B40="",Housemates!$B$12=""),0,IF($R40&gt;0,IF(J40="",0,IF(ISNUMBER(J40),J40,1)),IF($C40="Paying back",0,IF(AND(OR(Housemates!$C$12="",Housemates!$C$12&lt;=$B40),OR(Housemates!$D$12="",Housemates!$D$12&gt;=$B40)),IF($Q40=0,1,INDEX(Bills!$AE$6:$AE$25,$Q40)),0))))</f>
        <v/>
      </c>
      <c r="X40">
        <f>IF(OR($D40="",$B40="",Housemates!$B$13=""),0,IF($R40&gt;0,IF(K40="",0,IF(ISNUMBER(K40),K40,1)),IF($C40="Paying back",0,IF(AND(OR(Housemates!$C$13="",Housemates!$C$13&lt;=$B40),OR(Housemates!$D$13="",Housemates!$D$13&gt;=$B40)),IF($Q40=0,1,INDEX(Bills!$AF$6:$AF$25,$Q40)),0))))</f>
        <v/>
      </c>
      <c r="Y40">
        <f>IF(OR($D40="",$B40="",Housemates!$B$14=""),0,IF($R40&gt;0,IF(L40="",0,IF(ISNUMBER(L40),L40,1)),IF($C40="Paying back",0,IF(AND(OR(Housemates!$C$14="",Housemates!$C$14&lt;=$B40),OR(Housemates!$D$14="",Housemates!$D$14&gt;=$B40)),IF($Q40=0,1,INDEX(Bills!$AG$6:$AG$25,$Q40)),0))))</f>
        <v/>
      </c>
      <c r="Z40">
        <f>IF(OR($D40="",$B40="",Housemates!$B$15=""),0,IF($R40&gt;0,IF(M40="",0,IF(ISNUMBER(M40),M40,1)),IF($C40="Paying back",0,IF(AND(OR(Housemates!$C$15="",Housemates!$C$15&lt;=$B40),OR(Housemates!$D$15="",Housemates!$D$15&gt;=$B40)),IF($Q40=0,1,INDEX(Bills!$AH$6:$AH$25,$Q40)),0))))</f>
        <v/>
      </c>
      <c r="AA40">
        <f>SUM(S40:Z40)</f>
        <v/>
      </c>
      <c r="AB40">
        <f>IF(AA40=0,0,D40*S40/AA40)</f>
        <v/>
      </c>
      <c r="AC40">
        <f>IF(AA40=0,0,D40*T40/AA40)</f>
        <v/>
      </c>
      <c r="AD40">
        <f>IF(AA40=0,0,D40*U40/AA40)</f>
        <v/>
      </c>
      <c r="AE40">
        <f>IF(AA40=0,0,D40*V40/AA40)</f>
        <v/>
      </c>
      <c r="AF40">
        <f>IF(AA40=0,0,D40*W40/AA40)</f>
        <v/>
      </c>
      <c r="AG40">
        <f>IF(AA40=0,0,D40*X40/AA40)</f>
        <v/>
      </c>
      <c r="AH40">
        <f>IF(AA40=0,0,D40*Y40/AA40)</f>
        <v/>
      </c>
      <c r="AI40">
        <f>IF(AA40=0,0,D40*Z40/AA40)</f>
        <v/>
      </c>
      <c r="AJ40">
        <f>IF(OR(C40="",B40=""),"",C40&amp;"|"&amp;(YEAR(B40)*100+MONTH(B40)))</f>
        <v/>
      </c>
    </row>
    <row r="41">
      <c r="A41" s="1" t="n"/>
      <c r="B41" s="23" t="n">
        <v>46125</v>
      </c>
      <c r="C41" s="24" t="inlineStr">
        <is>
          <t>Electricity</t>
        </is>
      </c>
      <c r="D41" s="25" t="n">
        <v>117</v>
      </c>
      <c r="E41" s="26" t="inlineStr">
        <is>
          <t>Leo</t>
        </is>
      </c>
      <c r="F41" s="27" t="n"/>
      <c r="G41" s="27" t="n"/>
      <c r="H41" s="27" t="n"/>
      <c r="I41" s="27" t="n"/>
      <c r="J41" s="27" t="n"/>
      <c r="K41" s="27" t="n"/>
      <c r="L41" s="27" t="n"/>
      <c r="M41" s="27" t="n"/>
      <c r="N41" s="21">
        <f>IF(D41="","",IF(B41="","No date",IF(AND(C41="Paying back",R41=0),"To whom?",IF(AA41=0,"Nobody",IF(C41="Paying back","To "&amp;INDEX(Housemates!$B$8:$B$15,MATCH(MAX(S41:Z41),S41:Z41,0)),IF(R41&gt;0,IF(COUNTIF(S41:Z41,"&gt;0")=1,"1 person",COUNTIF(S41:Z41,"&gt;0")&amp;" people"),IF(Q41=0,"Everyone",INDEX(Bills!$Q$6:$Q$25,Q41))))))))</f>
        <v/>
      </c>
      <c r="O41" s="18">
        <f>IF(D41="","",IF(C41="Paying back","Paying back",IF(Q41=0,"Other",IF(INDEX(Bills!$C$6:$C$25,Q41)="","Other",INDEX(Bills!$C$6:$C$25,Q41)))))</f>
        <v/>
      </c>
      <c r="P41" s="1" t="n"/>
      <c r="Q41">
        <f>IF(C41="",0,IFERROR(MATCH(C41,Bills!$B$6:$B$25,0),0))</f>
        <v/>
      </c>
      <c r="R41">
        <f>COUNTA(F41:M41)</f>
        <v/>
      </c>
      <c r="S41">
        <f>IF(OR($D41="",$B41="",Housemates!$B$8=""),0,IF($R41&gt;0,IF(F41="",0,IF(ISNUMBER(F41),F41,1)),IF($C41="Paying back",0,IF(AND(OR(Housemates!$C$8="",Housemates!$C$8&lt;=$B41),OR(Housemates!$D$8="",Housemates!$D$8&gt;=$B41)),IF($Q41=0,1,INDEX(Bills!$AA$6:$AA$25,$Q41)),0))))</f>
        <v/>
      </c>
      <c r="T41">
        <f>IF(OR($D41="",$B41="",Housemates!$B$9=""),0,IF($R41&gt;0,IF(G41="",0,IF(ISNUMBER(G41),G41,1)),IF($C41="Paying back",0,IF(AND(OR(Housemates!$C$9="",Housemates!$C$9&lt;=$B41),OR(Housemates!$D$9="",Housemates!$D$9&gt;=$B41)),IF($Q41=0,1,INDEX(Bills!$AB$6:$AB$25,$Q41)),0))))</f>
        <v/>
      </c>
      <c r="U41">
        <f>IF(OR($D41="",$B41="",Housemates!$B$10=""),0,IF($R41&gt;0,IF(H41="",0,IF(ISNUMBER(H41),H41,1)),IF($C41="Paying back",0,IF(AND(OR(Housemates!$C$10="",Housemates!$C$10&lt;=$B41),OR(Housemates!$D$10="",Housemates!$D$10&gt;=$B41)),IF($Q41=0,1,INDEX(Bills!$AC$6:$AC$25,$Q41)),0))))</f>
        <v/>
      </c>
      <c r="V41">
        <f>IF(OR($D41="",$B41="",Housemates!$B$11=""),0,IF($R41&gt;0,IF(I41="",0,IF(ISNUMBER(I41),I41,1)),IF($C41="Paying back",0,IF(AND(OR(Housemates!$C$11="",Housemates!$C$11&lt;=$B41),OR(Housemates!$D$11="",Housemates!$D$11&gt;=$B41)),IF($Q41=0,1,INDEX(Bills!$AD$6:$AD$25,$Q41)),0))))</f>
        <v/>
      </c>
      <c r="W41">
        <f>IF(OR($D41="",$B41="",Housemates!$B$12=""),0,IF($R41&gt;0,IF(J41="",0,IF(ISNUMBER(J41),J41,1)),IF($C41="Paying back",0,IF(AND(OR(Housemates!$C$12="",Housemates!$C$12&lt;=$B41),OR(Housemates!$D$12="",Housemates!$D$12&gt;=$B41)),IF($Q41=0,1,INDEX(Bills!$AE$6:$AE$25,$Q41)),0))))</f>
        <v/>
      </c>
      <c r="X41">
        <f>IF(OR($D41="",$B41="",Housemates!$B$13=""),0,IF($R41&gt;0,IF(K41="",0,IF(ISNUMBER(K41),K41,1)),IF($C41="Paying back",0,IF(AND(OR(Housemates!$C$13="",Housemates!$C$13&lt;=$B41),OR(Housemates!$D$13="",Housemates!$D$13&gt;=$B41)),IF($Q41=0,1,INDEX(Bills!$AF$6:$AF$25,$Q41)),0))))</f>
        <v/>
      </c>
      <c r="Y41">
        <f>IF(OR($D41="",$B41="",Housemates!$B$14=""),0,IF($R41&gt;0,IF(L41="",0,IF(ISNUMBER(L41),L41,1)),IF($C41="Paying back",0,IF(AND(OR(Housemates!$C$14="",Housemates!$C$14&lt;=$B41),OR(Housemates!$D$14="",Housemates!$D$14&gt;=$B41)),IF($Q41=0,1,INDEX(Bills!$AG$6:$AG$25,$Q41)),0))))</f>
        <v/>
      </c>
      <c r="Z41">
        <f>IF(OR($D41="",$B41="",Housemates!$B$15=""),0,IF($R41&gt;0,IF(M41="",0,IF(ISNUMBER(M41),M41,1)),IF($C41="Paying back",0,IF(AND(OR(Housemates!$C$15="",Housemates!$C$15&lt;=$B41),OR(Housemates!$D$15="",Housemates!$D$15&gt;=$B41)),IF($Q41=0,1,INDEX(Bills!$AH$6:$AH$25,$Q41)),0))))</f>
        <v/>
      </c>
      <c r="AA41">
        <f>SUM(S41:Z41)</f>
        <v/>
      </c>
      <c r="AB41">
        <f>IF(AA41=0,0,D41*S41/AA41)</f>
        <v/>
      </c>
      <c r="AC41">
        <f>IF(AA41=0,0,D41*T41/AA41)</f>
        <v/>
      </c>
      <c r="AD41">
        <f>IF(AA41=0,0,D41*U41/AA41)</f>
        <v/>
      </c>
      <c r="AE41">
        <f>IF(AA41=0,0,D41*V41/AA41)</f>
        <v/>
      </c>
      <c r="AF41">
        <f>IF(AA41=0,0,D41*W41/AA41)</f>
        <v/>
      </c>
      <c r="AG41">
        <f>IF(AA41=0,0,D41*X41/AA41)</f>
        <v/>
      </c>
      <c r="AH41">
        <f>IF(AA41=0,0,D41*Y41/AA41)</f>
        <v/>
      </c>
      <c r="AI41">
        <f>IF(AA41=0,0,D41*Z41/AA41)</f>
        <v/>
      </c>
      <c r="AJ41">
        <f>IF(OR(C41="",B41=""),"",C41&amp;"|"&amp;(YEAR(B41)*100+MONTH(B41)))</f>
        <v/>
      </c>
    </row>
    <row r="42">
      <c r="A42" s="1" t="n"/>
      <c r="B42" s="23" t="n">
        <v>46130</v>
      </c>
      <c r="C42" s="24" t="inlineStr">
        <is>
          <t>Groceries</t>
        </is>
      </c>
      <c r="D42" s="25" t="n">
        <v>50.64</v>
      </c>
      <c r="E42" s="26" t="inlineStr">
        <is>
          <t>Leo</t>
        </is>
      </c>
      <c r="F42" s="27" t="n"/>
      <c r="G42" s="27" t="n"/>
      <c r="H42" s="27" t="n"/>
      <c r="I42" s="27" t="n"/>
      <c r="J42" s="27" t="n"/>
      <c r="K42" s="27" t="n"/>
      <c r="L42" s="27" t="n"/>
      <c r="M42" s="27" t="n"/>
      <c r="N42" s="21">
        <f>IF(D42="","",IF(B42="","No date",IF(AND(C42="Paying back",R42=0),"To whom?",IF(AA42=0,"Nobody",IF(C42="Paying back","To "&amp;INDEX(Housemates!$B$8:$B$15,MATCH(MAX(S42:Z42),S42:Z42,0)),IF(R42&gt;0,IF(COUNTIF(S42:Z42,"&gt;0")=1,"1 person",COUNTIF(S42:Z42,"&gt;0")&amp;" people"),IF(Q42=0,"Everyone",INDEX(Bills!$Q$6:$Q$25,Q42))))))))</f>
        <v/>
      </c>
      <c r="O42" s="18">
        <f>IF(D42="","",IF(C42="Paying back","Paying back",IF(Q42=0,"Other",IF(INDEX(Bills!$C$6:$C$25,Q42)="","Other",INDEX(Bills!$C$6:$C$25,Q42)))))</f>
        <v/>
      </c>
      <c r="P42" s="1" t="n"/>
      <c r="Q42">
        <f>IF(C42="",0,IFERROR(MATCH(C42,Bills!$B$6:$B$25,0),0))</f>
        <v/>
      </c>
      <c r="R42">
        <f>COUNTA(F42:M42)</f>
        <v/>
      </c>
      <c r="S42">
        <f>IF(OR($D42="",$B42="",Housemates!$B$8=""),0,IF($R42&gt;0,IF(F42="",0,IF(ISNUMBER(F42),F42,1)),IF($C42="Paying back",0,IF(AND(OR(Housemates!$C$8="",Housemates!$C$8&lt;=$B42),OR(Housemates!$D$8="",Housemates!$D$8&gt;=$B42)),IF($Q42=0,1,INDEX(Bills!$AA$6:$AA$25,$Q42)),0))))</f>
        <v/>
      </c>
      <c r="T42">
        <f>IF(OR($D42="",$B42="",Housemates!$B$9=""),0,IF($R42&gt;0,IF(G42="",0,IF(ISNUMBER(G42),G42,1)),IF($C42="Paying back",0,IF(AND(OR(Housemates!$C$9="",Housemates!$C$9&lt;=$B42),OR(Housemates!$D$9="",Housemates!$D$9&gt;=$B42)),IF($Q42=0,1,INDEX(Bills!$AB$6:$AB$25,$Q42)),0))))</f>
        <v/>
      </c>
      <c r="U42">
        <f>IF(OR($D42="",$B42="",Housemates!$B$10=""),0,IF($R42&gt;0,IF(H42="",0,IF(ISNUMBER(H42),H42,1)),IF($C42="Paying back",0,IF(AND(OR(Housemates!$C$10="",Housemates!$C$10&lt;=$B42),OR(Housemates!$D$10="",Housemates!$D$10&gt;=$B42)),IF($Q42=0,1,INDEX(Bills!$AC$6:$AC$25,$Q42)),0))))</f>
        <v/>
      </c>
      <c r="V42">
        <f>IF(OR($D42="",$B42="",Housemates!$B$11=""),0,IF($R42&gt;0,IF(I42="",0,IF(ISNUMBER(I42),I42,1)),IF($C42="Paying back",0,IF(AND(OR(Housemates!$C$11="",Housemates!$C$11&lt;=$B42),OR(Housemates!$D$11="",Housemates!$D$11&gt;=$B42)),IF($Q42=0,1,INDEX(Bills!$AD$6:$AD$25,$Q42)),0))))</f>
        <v/>
      </c>
      <c r="W42">
        <f>IF(OR($D42="",$B42="",Housemates!$B$12=""),0,IF($R42&gt;0,IF(J42="",0,IF(ISNUMBER(J42),J42,1)),IF($C42="Paying back",0,IF(AND(OR(Housemates!$C$12="",Housemates!$C$12&lt;=$B42),OR(Housemates!$D$12="",Housemates!$D$12&gt;=$B42)),IF($Q42=0,1,INDEX(Bills!$AE$6:$AE$25,$Q42)),0))))</f>
        <v/>
      </c>
      <c r="X42">
        <f>IF(OR($D42="",$B42="",Housemates!$B$13=""),0,IF($R42&gt;0,IF(K42="",0,IF(ISNUMBER(K42),K42,1)),IF($C42="Paying back",0,IF(AND(OR(Housemates!$C$13="",Housemates!$C$13&lt;=$B42),OR(Housemates!$D$13="",Housemates!$D$13&gt;=$B42)),IF($Q42=0,1,INDEX(Bills!$AF$6:$AF$25,$Q42)),0))))</f>
        <v/>
      </c>
      <c r="Y42">
        <f>IF(OR($D42="",$B42="",Housemates!$B$14=""),0,IF($R42&gt;0,IF(L42="",0,IF(ISNUMBER(L42),L42,1)),IF($C42="Paying back",0,IF(AND(OR(Housemates!$C$14="",Housemates!$C$14&lt;=$B42),OR(Housemates!$D$14="",Housemates!$D$14&gt;=$B42)),IF($Q42=0,1,INDEX(Bills!$AG$6:$AG$25,$Q42)),0))))</f>
        <v/>
      </c>
      <c r="Z42">
        <f>IF(OR($D42="",$B42="",Housemates!$B$15=""),0,IF($R42&gt;0,IF(M42="",0,IF(ISNUMBER(M42),M42,1)),IF($C42="Paying back",0,IF(AND(OR(Housemates!$C$15="",Housemates!$C$15&lt;=$B42),OR(Housemates!$D$15="",Housemates!$D$15&gt;=$B42)),IF($Q42=0,1,INDEX(Bills!$AH$6:$AH$25,$Q42)),0))))</f>
        <v/>
      </c>
      <c r="AA42">
        <f>SUM(S42:Z42)</f>
        <v/>
      </c>
      <c r="AB42">
        <f>IF(AA42=0,0,D42*S42/AA42)</f>
        <v/>
      </c>
      <c r="AC42">
        <f>IF(AA42=0,0,D42*T42/AA42)</f>
        <v/>
      </c>
      <c r="AD42">
        <f>IF(AA42=0,0,D42*U42/AA42)</f>
        <v/>
      </c>
      <c r="AE42">
        <f>IF(AA42=0,0,D42*V42/AA42)</f>
        <v/>
      </c>
      <c r="AF42">
        <f>IF(AA42=0,0,D42*W42/AA42)</f>
        <v/>
      </c>
      <c r="AG42">
        <f>IF(AA42=0,0,D42*X42/AA42)</f>
        <v/>
      </c>
      <c r="AH42">
        <f>IF(AA42=0,0,D42*Y42/AA42)</f>
        <v/>
      </c>
      <c r="AI42">
        <f>IF(AA42=0,0,D42*Z42/AA42)</f>
        <v/>
      </c>
      <c r="AJ42">
        <f>IF(OR(C42="",B42=""),"",C42&amp;"|"&amp;(YEAR(B42)*100+MONTH(B42)))</f>
        <v/>
      </c>
    </row>
    <row r="43">
      <c r="A43" s="1" t="n"/>
      <c r="B43" s="23" t="n">
        <v>46131</v>
      </c>
      <c r="C43" s="24" t="inlineStr">
        <is>
          <t>Streaming</t>
        </is>
      </c>
      <c r="D43" s="25" t="n">
        <v>15.96</v>
      </c>
      <c r="E43" s="26" t="inlineStr">
        <is>
          <t>Priya</t>
        </is>
      </c>
      <c r="F43" s="27" t="n"/>
      <c r="G43" s="27" t="n"/>
      <c r="H43" s="27" t="n"/>
      <c r="I43" s="27" t="n"/>
      <c r="J43" s="27" t="n"/>
      <c r="K43" s="27" t="n"/>
      <c r="L43" s="27" t="n"/>
      <c r="M43" s="27" t="n"/>
      <c r="N43" s="21">
        <f>IF(D43="","",IF(B43="","No date",IF(AND(C43="Paying back",R43=0),"To whom?",IF(AA43=0,"Nobody",IF(C43="Paying back","To "&amp;INDEX(Housemates!$B$8:$B$15,MATCH(MAX(S43:Z43),S43:Z43,0)),IF(R43&gt;0,IF(COUNTIF(S43:Z43,"&gt;0")=1,"1 person",COUNTIF(S43:Z43,"&gt;0")&amp;" people"),IF(Q43=0,"Everyone",INDEX(Bills!$Q$6:$Q$25,Q43))))))))</f>
        <v/>
      </c>
      <c r="O43" s="18">
        <f>IF(D43="","",IF(C43="Paying back","Paying back",IF(Q43=0,"Other",IF(INDEX(Bills!$C$6:$C$25,Q43)="","Other",INDEX(Bills!$C$6:$C$25,Q43)))))</f>
        <v/>
      </c>
      <c r="P43" s="1" t="n"/>
      <c r="Q43">
        <f>IF(C43="",0,IFERROR(MATCH(C43,Bills!$B$6:$B$25,0),0))</f>
        <v/>
      </c>
      <c r="R43">
        <f>COUNTA(F43:M43)</f>
        <v/>
      </c>
      <c r="S43">
        <f>IF(OR($D43="",$B43="",Housemates!$B$8=""),0,IF($R43&gt;0,IF(F43="",0,IF(ISNUMBER(F43),F43,1)),IF($C43="Paying back",0,IF(AND(OR(Housemates!$C$8="",Housemates!$C$8&lt;=$B43),OR(Housemates!$D$8="",Housemates!$D$8&gt;=$B43)),IF($Q43=0,1,INDEX(Bills!$AA$6:$AA$25,$Q43)),0))))</f>
        <v/>
      </c>
      <c r="T43">
        <f>IF(OR($D43="",$B43="",Housemates!$B$9=""),0,IF($R43&gt;0,IF(G43="",0,IF(ISNUMBER(G43),G43,1)),IF($C43="Paying back",0,IF(AND(OR(Housemates!$C$9="",Housemates!$C$9&lt;=$B43),OR(Housemates!$D$9="",Housemates!$D$9&gt;=$B43)),IF($Q43=0,1,INDEX(Bills!$AB$6:$AB$25,$Q43)),0))))</f>
        <v/>
      </c>
      <c r="U43">
        <f>IF(OR($D43="",$B43="",Housemates!$B$10=""),0,IF($R43&gt;0,IF(H43="",0,IF(ISNUMBER(H43),H43,1)),IF($C43="Paying back",0,IF(AND(OR(Housemates!$C$10="",Housemates!$C$10&lt;=$B43),OR(Housemates!$D$10="",Housemates!$D$10&gt;=$B43)),IF($Q43=0,1,INDEX(Bills!$AC$6:$AC$25,$Q43)),0))))</f>
        <v/>
      </c>
      <c r="V43">
        <f>IF(OR($D43="",$B43="",Housemates!$B$11=""),0,IF($R43&gt;0,IF(I43="",0,IF(ISNUMBER(I43),I43,1)),IF($C43="Paying back",0,IF(AND(OR(Housemates!$C$11="",Housemates!$C$11&lt;=$B43),OR(Housemates!$D$11="",Housemates!$D$11&gt;=$B43)),IF($Q43=0,1,INDEX(Bills!$AD$6:$AD$25,$Q43)),0))))</f>
        <v/>
      </c>
      <c r="W43">
        <f>IF(OR($D43="",$B43="",Housemates!$B$12=""),0,IF($R43&gt;0,IF(J43="",0,IF(ISNUMBER(J43),J43,1)),IF($C43="Paying back",0,IF(AND(OR(Housemates!$C$12="",Housemates!$C$12&lt;=$B43),OR(Housemates!$D$12="",Housemates!$D$12&gt;=$B43)),IF($Q43=0,1,INDEX(Bills!$AE$6:$AE$25,$Q43)),0))))</f>
        <v/>
      </c>
      <c r="X43">
        <f>IF(OR($D43="",$B43="",Housemates!$B$13=""),0,IF($R43&gt;0,IF(K43="",0,IF(ISNUMBER(K43),K43,1)),IF($C43="Paying back",0,IF(AND(OR(Housemates!$C$13="",Housemates!$C$13&lt;=$B43),OR(Housemates!$D$13="",Housemates!$D$13&gt;=$B43)),IF($Q43=0,1,INDEX(Bills!$AF$6:$AF$25,$Q43)),0))))</f>
        <v/>
      </c>
      <c r="Y43">
        <f>IF(OR($D43="",$B43="",Housemates!$B$14=""),0,IF($R43&gt;0,IF(L43="",0,IF(ISNUMBER(L43),L43,1)),IF($C43="Paying back",0,IF(AND(OR(Housemates!$C$14="",Housemates!$C$14&lt;=$B43),OR(Housemates!$D$14="",Housemates!$D$14&gt;=$B43)),IF($Q43=0,1,INDEX(Bills!$AG$6:$AG$25,$Q43)),0))))</f>
        <v/>
      </c>
      <c r="Z43">
        <f>IF(OR($D43="",$B43="",Housemates!$B$15=""),0,IF($R43&gt;0,IF(M43="",0,IF(ISNUMBER(M43),M43,1)),IF($C43="Paying back",0,IF(AND(OR(Housemates!$C$15="",Housemates!$C$15&lt;=$B43),OR(Housemates!$D$15="",Housemates!$D$15&gt;=$B43)),IF($Q43=0,1,INDEX(Bills!$AH$6:$AH$25,$Q43)),0))))</f>
        <v/>
      </c>
      <c r="AA43">
        <f>SUM(S43:Z43)</f>
        <v/>
      </c>
      <c r="AB43">
        <f>IF(AA43=0,0,D43*S43/AA43)</f>
        <v/>
      </c>
      <c r="AC43">
        <f>IF(AA43=0,0,D43*T43/AA43)</f>
        <v/>
      </c>
      <c r="AD43">
        <f>IF(AA43=0,0,D43*U43/AA43)</f>
        <v/>
      </c>
      <c r="AE43">
        <f>IF(AA43=0,0,D43*V43/AA43)</f>
        <v/>
      </c>
      <c r="AF43">
        <f>IF(AA43=0,0,D43*W43/AA43)</f>
        <v/>
      </c>
      <c r="AG43">
        <f>IF(AA43=0,0,D43*X43/AA43)</f>
        <v/>
      </c>
      <c r="AH43">
        <f>IF(AA43=0,0,D43*Y43/AA43)</f>
        <v/>
      </c>
      <c r="AI43">
        <f>IF(AA43=0,0,D43*Z43/AA43)</f>
        <v/>
      </c>
      <c r="AJ43">
        <f>IF(OR(C43="",B43=""),"",C43&amp;"|"&amp;(YEAR(B43)*100+MONTH(B43)))</f>
        <v/>
      </c>
    </row>
    <row r="44">
      <c r="A44" s="1" t="n"/>
      <c r="B44" s="23" t="n">
        <v>46135</v>
      </c>
      <c r="C44" s="24" t="inlineStr">
        <is>
          <t>Groceries</t>
        </is>
      </c>
      <c r="D44" s="25" t="n">
        <v>84.12</v>
      </c>
      <c r="E44" s="26" t="inlineStr">
        <is>
          <t>Tom</t>
        </is>
      </c>
      <c r="F44" s="27" t="n"/>
      <c r="G44" s="27" t="n"/>
      <c r="H44" s="27" t="n"/>
      <c r="I44" s="27" t="n"/>
      <c r="J44" s="27" t="n"/>
      <c r="K44" s="27" t="n"/>
      <c r="L44" s="27" t="n"/>
      <c r="M44" s="27" t="n"/>
      <c r="N44" s="21">
        <f>IF(D44="","",IF(B44="","No date",IF(AND(C44="Paying back",R44=0),"To whom?",IF(AA44=0,"Nobody",IF(C44="Paying back","To "&amp;INDEX(Housemates!$B$8:$B$15,MATCH(MAX(S44:Z44),S44:Z44,0)),IF(R44&gt;0,IF(COUNTIF(S44:Z44,"&gt;0")=1,"1 person",COUNTIF(S44:Z44,"&gt;0")&amp;" people"),IF(Q44=0,"Everyone",INDEX(Bills!$Q$6:$Q$25,Q44))))))))</f>
        <v/>
      </c>
      <c r="O44" s="18">
        <f>IF(D44="","",IF(C44="Paying back","Paying back",IF(Q44=0,"Other",IF(INDEX(Bills!$C$6:$C$25,Q44)="","Other",INDEX(Bills!$C$6:$C$25,Q44)))))</f>
        <v/>
      </c>
      <c r="P44" s="1" t="n"/>
      <c r="Q44">
        <f>IF(C44="",0,IFERROR(MATCH(C44,Bills!$B$6:$B$25,0),0))</f>
        <v/>
      </c>
      <c r="R44">
        <f>COUNTA(F44:M44)</f>
        <v/>
      </c>
      <c r="S44">
        <f>IF(OR($D44="",$B44="",Housemates!$B$8=""),0,IF($R44&gt;0,IF(F44="",0,IF(ISNUMBER(F44),F44,1)),IF($C44="Paying back",0,IF(AND(OR(Housemates!$C$8="",Housemates!$C$8&lt;=$B44),OR(Housemates!$D$8="",Housemates!$D$8&gt;=$B44)),IF($Q44=0,1,INDEX(Bills!$AA$6:$AA$25,$Q44)),0))))</f>
        <v/>
      </c>
      <c r="T44">
        <f>IF(OR($D44="",$B44="",Housemates!$B$9=""),0,IF($R44&gt;0,IF(G44="",0,IF(ISNUMBER(G44),G44,1)),IF($C44="Paying back",0,IF(AND(OR(Housemates!$C$9="",Housemates!$C$9&lt;=$B44),OR(Housemates!$D$9="",Housemates!$D$9&gt;=$B44)),IF($Q44=0,1,INDEX(Bills!$AB$6:$AB$25,$Q44)),0))))</f>
        <v/>
      </c>
      <c r="U44">
        <f>IF(OR($D44="",$B44="",Housemates!$B$10=""),0,IF($R44&gt;0,IF(H44="",0,IF(ISNUMBER(H44),H44,1)),IF($C44="Paying back",0,IF(AND(OR(Housemates!$C$10="",Housemates!$C$10&lt;=$B44),OR(Housemates!$D$10="",Housemates!$D$10&gt;=$B44)),IF($Q44=0,1,INDEX(Bills!$AC$6:$AC$25,$Q44)),0))))</f>
        <v/>
      </c>
      <c r="V44">
        <f>IF(OR($D44="",$B44="",Housemates!$B$11=""),0,IF($R44&gt;0,IF(I44="",0,IF(ISNUMBER(I44),I44,1)),IF($C44="Paying back",0,IF(AND(OR(Housemates!$C$11="",Housemates!$C$11&lt;=$B44),OR(Housemates!$D$11="",Housemates!$D$11&gt;=$B44)),IF($Q44=0,1,INDEX(Bills!$AD$6:$AD$25,$Q44)),0))))</f>
        <v/>
      </c>
      <c r="W44">
        <f>IF(OR($D44="",$B44="",Housemates!$B$12=""),0,IF($R44&gt;0,IF(J44="",0,IF(ISNUMBER(J44),J44,1)),IF($C44="Paying back",0,IF(AND(OR(Housemates!$C$12="",Housemates!$C$12&lt;=$B44),OR(Housemates!$D$12="",Housemates!$D$12&gt;=$B44)),IF($Q44=0,1,INDEX(Bills!$AE$6:$AE$25,$Q44)),0))))</f>
        <v/>
      </c>
      <c r="X44">
        <f>IF(OR($D44="",$B44="",Housemates!$B$13=""),0,IF($R44&gt;0,IF(K44="",0,IF(ISNUMBER(K44),K44,1)),IF($C44="Paying back",0,IF(AND(OR(Housemates!$C$13="",Housemates!$C$13&lt;=$B44),OR(Housemates!$D$13="",Housemates!$D$13&gt;=$B44)),IF($Q44=0,1,INDEX(Bills!$AF$6:$AF$25,$Q44)),0))))</f>
        <v/>
      </c>
      <c r="Y44">
        <f>IF(OR($D44="",$B44="",Housemates!$B$14=""),0,IF($R44&gt;0,IF(L44="",0,IF(ISNUMBER(L44),L44,1)),IF($C44="Paying back",0,IF(AND(OR(Housemates!$C$14="",Housemates!$C$14&lt;=$B44),OR(Housemates!$D$14="",Housemates!$D$14&gt;=$B44)),IF($Q44=0,1,INDEX(Bills!$AG$6:$AG$25,$Q44)),0))))</f>
        <v/>
      </c>
      <c r="Z44">
        <f>IF(OR($D44="",$B44="",Housemates!$B$15=""),0,IF($R44&gt;0,IF(M44="",0,IF(ISNUMBER(M44),M44,1)),IF($C44="Paying back",0,IF(AND(OR(Housemates!$C$15="",Housemates!$C$15&lt;=$B44),OR(Housemates!$D$15="",Housemates!$D$15&gt;=$B44)),IF($Q44=0,1,INDEX(Bills!$AH$6:$AH$25,$Q44)),0))))</f>
        <v/>
      </c>
      <c r="AA44">
        <f>SUM(S44:Z44)</f>
        <v/>
      </c>
      <c r="AB44">
        <f>IF(AA44=0,0,D44*S44/AA44)</f>
        <v/>
      </c>
      <c r="AC44">
        <f>IF(AA44=0,0,D44*T44/AA44)</f>
        <v/>
      </c>
      <c r="AD44">
        <f>IF(AA44=0,0,D44*U44/AA44)</f>
        <v/>
      </c>
      <c r="AE44">
        <f>IF(AA44=0,0,D44*V44/AA44)</f>
        <v/>
      </c>
      <c r="AF44">
        <f>IF(AA44=0,0,D44*W44/AA44)</f>
        <v/>
      </c>
      <c r="AG44">
        <f>IF(AA44=0,0,D44*X44/AA44)</f>
        <v/>
      </c>
      <c r="AH44">
        <f>IF(AA44=0,0,D44*Y44/AA44)</f>
        <v/>
      </c>
      <c r="AI44">
        <f>IF(AA44=0,0,D44*Z44/AA44)</f>
        <v/>
      </c>
      <c r="AJ44">
        <f>IF(OR(C44="",B44=""),"",C44&amp;"|"&amp;(YEAR(B44)*100+MONTH(B44)))</f>
        <v/>
      </c>
    </row>
    <row r="45">
      <c r="A45" s="1" t="n"/>
      <c r="B45" s="23" t="n">
        <v>46143</v>
      </c>
      <c r="C45" s="24" t="inlineStr">
        <is>
          <t>Rent</t>
        </is>
      </c>
      <c r="D45" s="25" t="n">
        <v>2400</v>
      </c>
      <c r="E45" s="26" t="inlineStr">
        <is>
          <t>Maya</t>
        </is>
      </c>
      <c r="F45" s="27" t="n"/>
      <c r="G45" s="27" t="n"/>
      <c r="H45" s="27" t="n"/>
      <c r="I45" s="27" t="n"/>
      <c r="J45" s="27" t="n"/>
      <c r="K45" s="27" t="n"/>
      <c r="L45" s="27" t="n"/>
      <c r="M45" s="27" t="n"/>
      <c r="N45" s="21">
        <f>IF(D45="","",IF(B45="","No date",IF(AND(C45="Paying back",R45=0),"To whom?",IF(AA45=0,"Nobody",IF(C45="Paying back","To "&amp;INDEX(Housemates!$B$8:$B$15,MATCH(MAX(S45:Z45),S45:Z45,0)),IF(R45&gt;0,IF(COUNTIF(S45:Z45,"&gt;0")=1,"1 person",COUNTIF(S45:Z45,"&gt;0")&amp;" people"),IF(Q45=0,"Everyone",INDEX(Bills!$Q$6:$Q$25,Q45))))))))</f>
        <v/>
      </c>
      <c r="O45" s="18">
        <f>IF(D45="","",IF(C45="Paying back","Paying back",IF(Q45=0,"Other",IF(INDEX(Bills!$C$6:$C$25,Q45)="","Other",INDEX(Bills!$C$6:$C$25,Q45)))))</f>
        <v/>
      </c>
      <c r="P45" s="1" t="n"/>
      <c r="Q45">
        <f>IF(C45="",0,IFERROR(MATCH(C45,Bills!$B$6:$B$25,0),0))</f>
        <v/>
      </c>
      <c r="R45">
        <f>COUNTA(F45:M45)</f>
        <v/>
      </c>
      <c r="S45">
        <f>IF(OR($D45="",$B45="",Housemates!$B$8=""),0,IF($R45&gt;0,IF(F45="",0,IF(ISNUMBER(F45),F45,1)),IF($C45="Paying back",0,IF(AND(OR(Housemates!$C$8="",Housemates!$C$8&lt;=$B45),OR(Housemates!$D$8="",Housemates!$D$8&gt;=$B45)),IF($Q45=0,1,INDEX(Bills!$AA$6:$AA$25,$Q45)),0))))</f>
        <v/>
      </c>
      <c r="T45">
        <f>IF(OR($D45="",$B45="",Housemates!$B$9=""),0,IF($R45&gt;0,IF(G45="",0,IF(ISNUMBER(G45),G45,1)),IF($C45="Paying back",0,IF(AND(OR(Housemates!$C$9="",Housemates!$C$9&lt;=$B45),OR(Housemates!$D$9="",Housemates!$D$9&gt;=$B45)),IF($Q45=0,1,INDEX(Bills!$AB$6:$AB$25,$Q45)),0))))</f>
        <v/>
      </c>
      <c r="U45">
        <f>IF(OR($D45="",$B45="",Housemates!$B$10=""),0,IF($R45&gt;0,IF(H45="",0,IF(ISNUMBER(H45),H45,1)),IF($C45="Paying back",0,IF(AND(OR(Housemates!$C$10="",Housemates!$C$10&lt;=$B45),OR(Housemates!$D$10="",Housemates!$D$10&gt;=$B45)),IF($Q45=0,1,INDEX(Bills!$AC$6:$AC$25,$Q45)),0))))</f>
        <v/>
      </c>
      <c r="V45">
        <f>IF(OR($D45="",$B45="",Housemates!$B$11=""),0,IF($R45&gt;0,IF(I45="",0,IF(ISNUMBER(I45),I45,1)),IF($C45="Paying back",0,IF(AND(OR(Housemates!$C$11="",Housemates!$C$11&lt;=$B45),OR(Housemates!$D$11="",Housemates!$D$11&gt;=$B45)),IF($Q45=0,1,INDEX(Bills!$AD$6:$AD$25,$Q45)),0))))</f>
        <v/>
      </c>
      <c r="W45">
        <f>IF(OR($D45="",$B45="",Housemates!$B$12=""),0,IF($R45&gt;0,IF(J45="",0,IF(ISNUMBER(J45),J45,1)),IF($C45="Paying back",0,IF(AND(OR(Housemates!$C$12="",Housemates!$C$12&lt;=$B45),OR(Housemates!$D$12="",Housemates!$D$12&gt;=$B45)),IF($Q45=0,1,INDEX(Bills!$AE$6:$AE$25,$Q45)),0))))</f>
        <v/>
      </c>
      <c r="X45">
        <f>IF(OR($D45="",$B45="",Housemates!$B$13=""),0,IF($R45&gt;0,IF(K45="",0,IF(ISNUMBER(K45),K45,1)),IF($C45="Paying back",0,IF(AND(OR(Housemates!$C$13="",Housemates!$C$13&lt;=$B45),OR(Housemates!$D$13="",Housemates!$D$13&gt;=$B45)),IF($Q45=0,1,INDEX(Bills!$AF$6:$AF$25,$Q45)),0))))</f>
        <v/>
      </c>
      <c r="Y45">
        <f>IF(OR($D45="",$B45="",Housemates!$B$14=""),0,IF($R45&gt;0,IF(L45="",0,IF(ISNUMBER(L45),L45,1)),IF($C45="Paying back",0,IF(AND(OR(Housemates!$C$14="",Housemates!$C$14&lt;=$B45),OR(Housemates!$D$14="",Housemates!$D$14&gt;=$B45)),IF($Q45=0,1,INDEX(Bills!$AG$6:$AG$25,$Q45)),0))))</f>
        <v/>
      </c>
      <c r="Z45">
        <f>IF(OR($D45="",$B45="",Housemates!$B$15=""),0,IF($R45&gt;0,IF(M45="",0,IF(ISNUMBER(M45),M45,1)),IF($C45="Paying back",0,IF(AND(OR(Housemates!$C$15="",Housemates!$C$15&lt;=$B45),OR(Housemates!$D$15="",Housemates!$D$15&gt;=$B45)),IF($Q45=0,1,INDEX(Bills!$AH$6:$AH$25,$Q45)),0))))</f>
        <v/>
      </c>
      <c r="AA45">
        <f>SUM(S45:Z45)</f>
        <v/>
      </c>
      <c r="AB45">
        <f>IF(AA45=0,0,D45*S45/AA45)</f>
        <v/>
      </c>
      <c r="AC45">
        <f>IF(AA45=0,0,D45*T45/AA45)</f>
        <v/>
      </c>
      <c r="AD45">
        <f>IF(AA45=0,0,D45*U45/AA45)</f>
        <v/>
      </c>
      <c r="AE45">
        <f>IF(AA45=0,0,D45*V45/AA45)</f>
        <v/>
      </c>
      <c r="AF45">
        <f>IF(AA45=0,0,D45*W45/AA45)</f>
        <v/>
      </c>
      <c r="AG45">
        <f>IF(AA45=0,0,D45*X45/AA45)</f>
        <v/>
      </c>
      <c r="AH45">
        <f>IF(AA45=0,0,D45*Y45/AA45)</f>
        <v/>
      </c>
      <c r="AI45">
        <f>IF(AA45=0,0,D45*Z45/AA45)</f>
        <v/>
      </c>
      <c r="AJ45">
        <f>IF(OR(C45="",B45=""),"",C45&amp;"|"&amp;(YEAR(B45)*100+MONTH(B45)))</f>
        <v/>
      </c>
    </row>
    <row r="46">
      <c r="A46" s="1" t="n"/>
      <c r="B46" s="23" t="n">
        <v>46146</v>
      </c>
      <c r="C46" s="24" t="inlineStr">
        <is>
          <t>Internet</t>
        </is>
      </c>
      <c r="D46" s="25" t="n">
        <v>45</v>
      </c>
      <c r="E46" s="26" t="inlineStr">
        <is>
          <t>Leo</t>
        </is>
      </c>
      <c r="F46" s="27" t="n"/>
      <c r="G46" s="27" t="n"/>
      <c r="H46" s="27" t="n"/>
      <c r="I46" s="27" t="n"/>
      <c r="J46" s="27" t="n"/>
      <c r="K46" s="27" t="n"/>
      <c r="L46" s="27" t="n"/>
      <c r="M46" s="27" t="n"/>
      <c r="N46" s="21">
        <f>IF(D46="","",IF(B46="","No date",IF(AND(C46="Paying back",R46=0),"To whom?",IF(AA46=0,"Nobody",IF(C46="Paying back","To "&amp;INDEX(Housemates!$B$8:$B$15,MATCH(MAX(S46:Z46),S46:Z46,0)),IF(R46&gt;0,IF(COUNTIF(S46:Z46,"&gt;0")=1,"1 person",COUNTIF(S46:Z46,"&gt;0")&amp;" people"),IF(Q46=0,"Everyone",INDEX(Bills!$Q$6:$Q$25,Q46))))))))</f>
        <v/>
      </c>
      <c r="O46" s="18">
        <f>IF(D46="","",IF(C46="Paying back","Paying back",IF(Q46=0,"Other",IF(INDEX(Bills!$C$6:$C$25,Q46)="","Other",INDEX(Bills!$C$6:$C$25,Q46)))))</f>
        <v/>
      </c>
      <c r="P46" s="1" t="n"/>
      <c r="Q46">
        <f>IF(C46="",0,IFERROR(MATCH(C46,Bills!$B$6:$B$25,0),0))</f>
        <v/>
      </c>
      <c r="R46">
        <f>COUNTA(F46:M46)</f>
        <v/>
      </c>
      <c r="S46">
        <f>IF(OR($D46="",$B46="",Housemates!$B$8=""),0,IF($R46&gt;0,IF(F46="",0,IF(ISNUMBER(F46),F46,1)),IF($C46="Paying back",0,IF(AND(OR(Housemates!$C$8="",Housemates!$C$8&lt;=$B46),OR(Housemates!$D$8="",Housemates!$D$8&gt;=$B46)),IF($Q46=0,1,INDEX(Bills!$AA$6:$AA$25,$Q46)),0))))</f>
        <v/>
      </c>
      <c r="T46">
        <f>IF(OR($D46="",$B46="",Housemates!$B$9=""),0,IF($R46&gt;0,IF(G46="",0,IF(ISNUMBER(G46),G46,1)),IF($C46="Paying back",0,IF(AND(OR(Housemates!$C$9="",Housemates!$C$9&lt;=$B46),OR(Housemates!$D$9="",Housemates!$D$9&gt;=$B46)),IF($Q46=0,1,INDEX(Bills!$AB$6:$AB$25,$Q46)),0))))</f>
        <v/>
      </c>
      <c r="U46">
        <f>IF(OR($D46="",$B46="",Housemates!$B$10=""),0,IF($R46&gt;0,IF(H46="",0,IF(ISNUMBER(H46),H46,1)),IF($C46="Paying back",0,IF(AND(OR(Housemates!$C$10="",Housemates!$C$10&lt;=$B46),OR(Housemates!$D$10="",Housemates!$D$10&gt;=$B46)),IF($Q46=0,1,INDEX(Bills!$AC$6:$AC$25,$Q46)),0))))</f>
        <v/>
      </c>
      <c r="V46">
        <f>IF(OR($D46="",$B46="",Housemates!$B$11=""),0,IF($R46&gt;0,IF(I46="",0,IF(ISNUMBER(I46),I46,1)),IF($C46="Paying back",0,IF(AND(OR(Housemates!$C$11="",Housemates!$C$11&lt;=$B46),OR(Housemates!$D$11="",Housemates!$D$11&gt;=$B46)),IF($Q46=0,1,INDEX(Bills!$AD$6:$AD$25,$Q46)),0))))</f>
        <v/>
      </c>
      <c r="W46">
        <f>IF(OR($D46="",$B46="",Housemates!$B$12=""),0,IF($R46&gt;0,IF(J46="",0,IF(ISNUMBER(J46),J46,1)),IF($C46="Paying back",0,IF(AND(OR(Housemates!$C$12="",Housemates!$C$12&lt;=$B46),OR(Housemates!$D$12="",Housemates!$D$12&gt;=$B46)),IF($Q46=0,1,INDEX(Bills!$AE$6:$AE$25,$Q46)),0))))</f>
        <v/>
      </c>
      <c r="X46">
        <f>IF(OR($D46="",$B46="",Housemates!$B$13=""),0,IF($R46&gt;0,IF(K46="",0,IF(ISNUMBER(K46),K46,1)),IF($C46="Paying back",0,IF(AND(OR(Housemates!$C$13="",Housemates!$C$13&lt;=$B46),OR(Housemates!$D$13="",Housemates!$D$13&gt;=$B46)),IF($Q46=0,1,INDEX(Bills!$AF$6:$AF$25,$Q46)),0))))</f>
        <v/>
      </c>
      <c r="Y46">
        <f>IF(OR($D46="",$B46="",Housemates!$B$14=""),0,IF($R46&gt;0,IF(L46="",0,IF(ISNUMBER(L46),L46,1)),IF($C46="Paying back",0,IF(AND(OR(Housemates!$C$14="",Housemates!$C$14&lt;=$B46),OR(Housemates!$D$14="",Housemates!$D$14&gt;=$B46)),IF($Q46=0,1,INDEX(Bills!$AG$6:$AG$25,$Q46)),0))))</f>
        <v/>
      </c>
      <c r="Z46">
        <f>IF(OR($D46="",$B46="",Housemates!$B$15=""),0,IF($R46&gt;0,IF(M46="",0,IF(ISNUMBER(M46),M46,1)),IF($C46="Paying back",0,IF(AND(OR(Housemates!$C$15="",Housemates!$C$15&lt;=$B46),OR(Housemates!$D$15="",Housemates!$D$15&gt;=$B46)),IF($Q46=0,1,INDEX(Bills!$AH$6:$AH$25,$Q46)),0))))</f>
        <v/>
      </c>
      <c r="AA46">
        <f>SUM(S46:Z46)</f>
        <v/>
      </c>
      <c r="AB46">
        <f>IF(AA46=0,0,D46*S46/AA46)</f>
        <v/>
      </c>
      <c r="AC46">
        <f>IF(AA46=0,0,D46*T46/AA46)</f>
        <v/>
      </c>
      <c r="AD46">
        <f>IF(AA46=0,0,D46*U46/AA46)</f>
        <v/>
      </c>
      <c r="AE46">
        <f>IF(AA46=0,0,D46*V46/AA46)</f>
        <v/>
      </c>
      <c r="AF46">
        <f>IF(AA46=0,0,D46*W46/AA46)</f>
        <v/>
      </c>
      <c r="AG46">
        <f>IF(AA46=0,0,D46*X46/AA46)</f>
        <v/>
      </c>
      <c r="AH46">
        <f>IF(AA46=0,0,D46*Y46/AA46)</f>
        <v/>
      </c>
      <c r="AI46">
        <f>IF(AA46=0,0,D46*Z46/AA46)</f>
        <v/>
      </c>
      <c r="AJ46">
        <f>IF(OR(C46="",B46=""),"",C46&amp;"|"&amp;(YEAR(B46)*100+MONTH(B46)))</f>
        <v/>
      </c>
    </row>
    <row r="47">
      <c r="A47" s="1" t="n"/>
      <c r="B47" s="23" t="n">
        <v>46149</v>
      </c>
      <c r="C47" s="24" t="inlineStr">
        <is>
          <t>Water</t>
        </is>
      </c>
      <c r="D47" s="25" t="n">
        <v>74.04000000000001</v>
      </c>
      <c r="E47" s="26" t="inlineStr">
        <is>
          <t>Maya</t>
        </is>
      </c>
      <c r="F47" s="27" t="n"/>
      <c r="G47" s="27" t="n"/>
      <c r="H47" s="27" t="n"/>
      <c r="I47" s="27" t="n"/>
      <c r="J47" s="27" t="n"/>
      <c r="K47" s="27" t="n"/>
      <c r="L47" s="27" t="n"/>
      <c r="M47" s="27" t="n"/>
      <c r="N47" s="21">
        <f>IF(D47="","",IF(B47="","No date",IF(AND(C47="Paying back",R47=0),"To whom?",IF(AA47=0,"Nobody",IF(C47="Paying back","To "&amp;INDEX(Housemates!$B$8:$B$15,MATCH(MAX(S47:Z47),S47:Z47,0)),IF(R47&gt;0,IF(COUNTIF(S47:Z47,"&gt;0")=1,"1 person",COUNTIF(S47:Z47,"&gt;0")&amp;" people"),IF(Q47=0,"Everyone",INDEX(Bills!$Q$6:$Q$25,Q47))))))))</f>
        <v/>
      </c>
      <c r="O47" s="18">
        <f>IF(D47="","",IF(C47="Paying back","Paying back",IF(Q47=0,"Other",IF(INDEX(Bills!$C$6:$C$25,Q47)="","Other",INDEX(Bills!$C$6:$C$25,Q47)))))</f>
        <v/>
      </c>
      <c r="P47" s="1" t="n"/>
      <c r="Q47">
        <f>IF(C47="",0,IFERROR(MATCH(C47,Bills!$B$6:$B$25,0),0))</f>
        <v/>
      </c>
      <c r="R47">
        <f>COUNTA(F47:M47)</f>
        <v/>
      </c>
      <c r="S47">
        <f>IF(OR($D47="",$B47="",Housemates!$B$8=""),0,IF($R47&gt;0,IF(F47="",0,IF(ISNUMBER(F47),F47,1)),IF($C47="Paying back",0,IF(AND(OR(Housemates!$C$8="",Housemates!$C$8&lt;=$B47),OR(Housemates!$D$8="",Housemates!$D$8&gt;=$B47)),IF($Q47=0,1,INDEX(Bills!$AA$6:$AA$25,$Q47)),0))))</f>
        <v/>
      </c>
      <c r="T47">
        <f>IF(OR($D47="",$B47="",Housemates!$B$9=""),0,IF($R47&gt;0,IF(G47="",0,IF(ISNUMBER(G47),G47,1)),IF($C47="Paying back",0,IF(AND(OR(Housemates!$C$9="",Housemates!$C$9&lt;=$B47),OR(Housemates!$D$9="",Housemates!$D$9&gt;=$B47)),IF($Q47=0,1,INDEX(Bills!$AB$6:$AB$25,$Q47)),0))))</f>
        <v/>
      </c>
      <c r="U47">
        <f>IF(OR($D47="",$B47="",Housemates!$B$10=""),0,IF($R47&gt;0,IF(H47="",0,IF(ISNUMBER(H47),H47,1)),IF($C47="Paying back",0,IF(AND(OR(Housemates!$C$10="",Housemates!$C$10&lt;=$B47),OR(Housemates!$D$10="",Housemates!$D$10&gt;=$B47)),IF($Q47=0,1,INDEX(Bills!$AC$6:$AC$25,$Q47)),0))))</f>
        <v/>
      </c>
      <c r="V47">
        <f>IF(OR($D47="",$B47="",Housemates!$B$11=""),0,IF($R47&gt;0,IF(I47="",0,IF(ISNUMBER(I47),I47,1)),IF($C47="Paying back",0,IF(AND(OR(Housemates!$C$11="",Housemates!$C$11&lt;=$B47),OR(Housemates!$D$11="",Housemates!$D$11&gt;=$B47)),IF($Q47=0,1,INDEX(Bills!$AD$6:$AD$25,$Q47)),0))))</f>
        <v/>
      </c>
      <c r="W47">
        <f>IF(OR($D47="",$B47="",Housemates!$B$12=""),0,IF($R47&gt;0,IF(J47="",0,IF(ISNUMBER(J47),J47,1)),IF($C47="Paying back",0,IF(AND(OR(Housemates!$C$12="",Housemates!$C$12&lt;=$B47),OR(Housemates!$D$12="",Housemates!$D$12&gt;=$B47)),IF($Q47=0,1,INDEX(Bills!$AE$6:$AE$25,$Q47)),0))))</f>
        <v/>
      </c>
      <c r="X47">
        <f>IF(OR($D47="",$B47="",Housemates!$B$13=""),0,IF($R47&gt;0,IF(K47="",0,IF(ISNUMBER(K47),K47,1)),IF($C47="Paying back",0,IF(AND(OR(Housemates!$C$13="",Housemates!$C$13&lt;=$B47),OR(Housemates!$D$13="",Housemates!$D$13&gt;=$B47)),IF($Q47=0,1,INDEX(Bills!$AF$6:$AF$25,$Q47)),0))))</f>
        <v/>
      </c>
      <c r="Y47">
        <f>IF(OR($D47="",$B47="",Housemates!$B$14=""),0,IF($R47&gt;0,IF(L47="",0,IF(ISNUMBER(L47),L47,1)),IF($C47="Paying back",0,IF(AND(OR(Housemates!$C$14="",Housemates!$C$14&lt;=$B47),OR(Housemates!$D$14="",Housemates!$D$14&gt;=$B47)),IF($Q47=0,1,INDEX(Bills!$AG$6:$AG$25,$Q47)),0))))</f>
        <v/>
      </c>
      <c r="Z47">
        <f>IF(OR($D47="",$B47="",Housemates!$B$15=""),0,IF($R47&gt;0,IF(M47="",0,IF(ISNUMBER(M47),M47,1)),IF($C47="Paying back",0,IF(AND(OR(Housemates!$C$15="",Housemates!$C$15&lt;=$B47),OR(Housemates!$D$15="",Housemates!$D$15&gt;=$B47)),IF($Q47=0,1,INDEX(Bills!$AH$6:$AH$25,$Q47)),0))))</f>
        <v/>
      </c>
      <c r="AA47">
        <f>SUM(S47:Z47)</f>
        <v/>
      </c>
      <c r="AB47">
        <f>IF(AA47=0,0,D47*S47/AA47)</f>
        <v/>
      </c>
      <c r="AC47">
        <f>IF(AA47=0,0,D47*T47/AA47)</f>
        <v/>
      </c>
      <c r="AD47">
        <f>IF(AA47=0,0,D47*U47/AA47)</f>
        <v/>
      </c>
      <c r="AE47">
        <f>IF(AA47=0,0,D47*V47/AA47)</f>
        <v/>
      </c>
      <c r="AF47">
        <f>IF(AA47=0,0,D47*W47/AA47)</f>
        <v/>
      </c>
      <c r="AG47">
        <f>IF(AA47=0,0,D47*X47/AA47)</f>
        <v/>
      </c>
      <c r="AH47">
        <f>IF(AA47=0,0,D47*Y47/AA47)</f>
        <v/>
      </c>
      <c r="AI47">
        <f>IF(AA47=0,0,D47*Z47/AA47)</f>
        <v/>
      </c>
      <c r="AJ47">
        <f>IF(OR(C47="",B47=""),"",C47&amp;"|"&amp;(YEAR(B47)*100+MONTH(B47)))</f>
        <v/>
      </c>
    </row>
    <row r="48">
      <c r="A48" s="1" t="n"/>
      <c r="B48" s="23" t="n">
        <v>46154</v>
      </c>
      <c r="C48" s="24" t="inlineStr">
        <is>
          <t>Electricity</t>
        </is>
      </c>
      <c r="D48" s="25" t="n">
        <v>93.72</v>
      </c>
      <c r="E48" s="26" t="inlineStr">
        <is>
          <t>Leo</t>
        </is>
      </c>
      <c r="F48" s="27" t="n"/>
      <c r="G48" s="27" t="n"/>
      <c r="H48" s="27" t="n"/>
      <c r="I48" s="27" t="n"/>
      <c r="J48" s="27" t="n"/>
      <c r="K48" s="27" t="n"/>
      <c r="L48" s="27" t="n"/>
      <c r="M48" s="27" t="n"/>
      <c r="N48" s="21">
        <f>IF(D48="","",IF(B48="","No date",IF(AND(C48="Paying back",R48=0),"To whom?",IF(AA48=0,"Nobody",IF(C48="Paying back","To "&amp;INDEX(Housemates!$B$8:$B$15,MATCH(MAX(S48:Z48),S48:Z48,0)),IF(R48&gt;0,IF(COUNTIF(S48:Z48,"&gt;0")=1,"1 person",COUNTIF(S48:Z48,"&gt;0")&amp;" people"),IF(Q48=0,"Everyone",INDEX(Bills!$Q$6:$Q$25,Q48))))))))</f>
        <v/>
      </c>
      <c r="O48" s="18">
        <f>IF(D48="","",IF(C48="Paying back","Paying back",IF(Q48=0,"Other",IF(INDEX(Bills!$C$6:$C$25,Q48)="","Other",INDEX(Bills!$C$6:$C$25,Q48)))))</f>
        <v/>
      </c>
      <c r="P48" s="1" t="n"/>
      <c r="Q48">
        <f>IF(C48="",0,IFERROR(MATCH(C48,Bills!$B$6:$B$25,0),0))</f>
        <v/>
      </c>
      <c r="R48">
        <f>COUNTA(F48:M48)</f>
        <v/>
      </c>
      <c r="S48">
        <f>IF(OR($D48="",$B48="",Housemates!$B$8=""),0,IF($R48&gt;0,IF(F48="",0,IF(ISNUMBER(F48),F48,1)),IF($C48="Paying back",0,IF(AND(OR(Housemates!$C$8="",Housemates!$C$8&lt;=$B48),OR(Housemates!$D$8="",Housemates!$D$8&gt;=$B48)),IF($Q48=0,1,INDEX(Bills!$AA$6:$AA$25,$Q48)),0))))</f>
        <v/>
      </c>
      <c r="T48">
        <f>IF(OR($D48="",$B48="",Housemates!$B$9=""),0,IF($R48&gt;0,IF(G48="",0,IF(ISNUMBER(G48),G48,1)),IF($C48="Paying back",0,IF(AND(OR(Housemates!$C$9="",Housemates!$C$9&lt;=$B48),OR(Housemates!$D$9="",Housemates!$D$9&gt;=$B48)),IF($Q48=0,1,INDEX(Bills!$AB$6:$AB$25,$Q48)),0))))</f>
        <v/>
      </c>
      <c r="U48">
        <f>IF(OR($D48="",$B48="",Housemates!$B$10=""),0,IF($R48&gt;0,IF(H48="",0,IF(ISNUMBER(H48),H48,1)),IF($C48="Paying back",0,IF(AND(OR(Housemates!$C$10="",Housemates!$C$10&lt;=$B48),OR(Housemates!$D$10="",Housemates!$D$10&gt;=$B48)),IF($Q48=0,1,INDEX(Bills!$AC$6:$AC$25,$Q48)),0))))</f>
        <v/>
      </c>
      <c r="V48">
        <f>IF(OR($D48="",$B48="",Housemates!$B$11=""),0,IF($R48&gt;0,IF(I48="",0,IF(ISNUMBER(I48),I48,1)),IF($C48="Paying back",0,IF(AND(OR(Housemates!$C$11="",Housemates!$C$11&lt;=$B48),OR(Housemates!$D$11="",Housemates!$D$11&gt;=$B48)),IF($Q48=0,1,INDEX(Bills!$AD$6:$AD$25,$Q48)),0))))</f>
        <v/>
      </c>
      <c r="W48">
        <f>IF(OR($D48="",$B48="",Housemates!$B$12=""),0,IF($R48&gt;0,IF(J48="",0,IF(ISNUMBER(J48),J48,1)),IF($C48="Paying back",0,IF(AND(OR(Housemates!$C$12="",Housemates!$C$12&lt;=$B48),OR(Housemates!$D$12="",Housemates!$D$12&gt;=$B48)),IF($Q48=0,1,INDEX(Bills!$AE$6:$AE$25,$Q48)),0))))</f>
        <v/>
      </c>
      <c r="X48">
        <f>IF(OR($D48="",$B48="",Housemates!$B$13=""),0,IF($R48&gt;0,IF(K48="",0,IF(ISNUMBER(K48),K48,1)),IF($C48="Paying back",0,IF(AND(OR(Housemates!$C$13="",Housemates!$C$13&lt;=$B48),OR(Housemates!$D$13="",Housemates!$D$13&gt;=$B48)),IF($Q48=0,1,INDEX(Bills!$AF$6:$AF$25,$Q48)),0))))</f>
        <v/>
      </c>
      <c r="Y48">
        <f>IF(OR($D48="",$B48="",Housemates!$B$14=""),0,IF($R48&gt;0,IF(L48="",0,IF(ISNUMBER(L48),L48,1)),IF($C48="Paying back",0,IF(AND(OR(Housemates!$C$14="",Housemates!$C$14&lt;=$B48),OR(Housemates!$D$14="",Housemates!$D$14&gt;=$B48)),IF($Q48=0,1,INDEX(Bills!$AG$6:$AG$25,$Q48)),0))))</f>
        <v/>
      </c>
      <c r="Z48">
        <f>IF(OR($D48="",$B48="",Housemates!$B$15=""),0,IF($R48&gt;0,IF(M48="",0,IF(ISNUMBER(M48),M48,1)),IF($C48="Paying back",0,IF(AND(OR(Housemates!$C$15="",Housemates!$C$15&lt;=$B48),OR(Housemates!$D$15="",Housemates!$D$15&gt;=$B48)),IF($Q48=0,1,INDEX(Bills!$AH$6:$AH$25,$Q48)),0))))</f>
        <v/>
      </c>
      <c r="AA48">
        <f>SUM(S48:Z48)</f>
        <v/>
      </c>
      <c r="AB48">
        <f>IF(AA48=0,0,D48*S48/AA48)</f>
        <v/>
      </c>
      <c r="AC48">
        <f>IF(AA48=0,0,D48*T48/AA48)</f>
        <v/>
      </c>
      <c r="AD48">
        <f>IF(AA48=0,0,D48*U48/AA48)</f>
        <v/>
      </c>
      <c r="AE48">
        <f>IF(AA48=0,0,D48*V48/AA48)</f>
        <v/>
      </c>
      <c r="AF48">
        <f>IF(AA48=0,0,D48*W48/AA48)</f>
        <v/>
      </c>
      <c r="AG48">
        <f>IF(AA48=0,0,D48*X48/AA48)</f>
        <v/>
      </c>
      <c r="AH48">
        <f>IF(AA48=0,0,D48*Y48/AA48)</f>
        <v/>
      </c>
      <c r="AI48">
        <f>IF(AA48=0,0,D48*Z48/AA48)</f>
        <v/>
      </c>
      <c r="AJ48">
        <f>IF(OR(C48="",B48=""),"",C48&amp;"|"&amp;(YEAR(B48)*100+MONTH(B48)))</f>
        <v/>
      </c>
    </row>
    <row r="49">
      <c r="A49" s="1" t="n"/>
      <c r="B49" s="23" t="n">
        <v>46160</v>
      </c>
      <c r="C49" s="24" t="inlineStr">
        <is>
          <t>Groceries</t>
        </is>
      </c>
      <c r="D49" s="25" t="n">
        <v>92.76000000000001</v>
      </c>
      <c r="E49" s="26" t="inlineStr">
        <is>
          <t>Tom</t>
        </is>
      </c>
      <c r="F49" s="27" t="n"/>
      <c r="G49" s="27" t="n"/>
      <c r="H49" s="27" t="n"/>
      <c r="I49" s="27" t="n"/>
      <c r="J49" s="27" t="n"/>
      <c r="K49" s="27" t="n"/>
      <c r="L49" s="27" t="n"/>
      <c r="M49" s="27" t="n"/>
      <c r="N49" s="21">
        <f>IF(D49="","",IF(B49="","No date",IF(AND(C49="Paying back",R49=0),"To whom?",IF(AA49=0,"Nobody",IF(C49="Paying back","To "&amp;INDEX(Housemates!$B$8:$B$15,MATCH(MAX(S49:Z49),S49:Z49,0)),IF(R49&gt;0,IF(COUNTIF(S49:Z49,"&gt;0")=1,"1 person",COUNTIF(S49:Z49,"&gt;0")&amp;" people"),IF(Q49=0,"Everyone",INDEX(Bills!$Q$6:$Q$25,Q49))))))))</f>
        <v/>
      </c>
      <c r="O49" s="18">
        <f>IF(D49="","",IF(C49="Paying back","Paying back",IF(Q49=0,"Other",IF(INDEX(Bills!$C$6:$C$25,Q49)="","Other",INDEX(Bills!$C$6:$C$25,Q49)))))</f>
        <v/>
      </c>
      <c r="P49" s="1" t="n"/>
      <c r="Q49">
        <f>IF(C49="",0,IFERROR(MATCH(C49,Bills!$B$6:$B$25,0),0))</f>
        <v/>
      </c>
      <c r="R49">
        <f>COUNTA(F49:M49)</f>
        <v/>
      </c>
      <c r="S49">
        <f>IF(OR($D49="",$B49="",Housemates!$B$8=""),0,IF($R49&gt;0,IF(F49="",0,IF(ISNUMBER(F49),F49,1)),IF($C49="Paying back",0,IF(AND(OR(Housemates!$C$8="",Housemates!$C$8&lt;=$B49),OR(Housemates!$D$8="",Housemates!$D$8&gt;=$B49)),IF($Q49=0,1,INDEX(Bills!$AA$6:$AA$25,$Q49)),0))))</f>
        <v/>
      </c>
      <c r="T49">
        <f>IF(OR($D49="",$B49="",Housemates!$B$9=""),0,IF($R49&gt;0,IF(G49="",0,IF(ISNUMBER(G49),G49,1)),IF($C49="Paying back",0,IF(AND(OR(Housemates!$C$9="",Housemates!$C$9&lt;=$B49),OR(Housemates!$D$9="",Housemates!$D$9&gt;=$B49)),IF($Q49=0,1,INDEX(Bills!$AB$6:$AB$25,$Q49)),0))))</f>
        <v/>
      </c>
      <c r="U49">
        <f>IF(OR($D49="",$B49="",Housemates!$B$10=""),0,IF($R49&gt;0,IF(H49="",0,IF(ISNUMBER(H49),H49,1)),IF($C49="Paying back",0,IF(AND(OR(Housemates!$C$10="",Housemates!$C$10&lt;=$B49),OR(Housemates!$D$10="",Housemates!$D$10&gt;=$B49)),IF($Q49=0,1,INDEX(Bills!$AC$6:$AC$25,$Q49)),0))))</f>
        <v/>
      </c>
      <c r="V49">
        <f>IF(OR($D49="",$B49="",Housemates!$B$11=""),0,IF($R49&gt;0,IF(I49="",0,IF(ISNUMBER(I49),I49,1)),IF($C49="Paying back",0,IF(AND(OR(Housemates!$C$11="",Housemates!$C$11&lt;=$B49),OR(Housemates!$D$11="",Housemates!$D$11&gt;=$B49)),IF($Q49=0,1,INDEX(Bills!$AD$6:$AD$25,$Q49)),0))))</f>
        <v/>
      </c>
      <c r="W49">
        <f>IF(OR($D49="",$B49="",Housemates!$B$12=""),0,IF($R49&gt;0,IF(J49="",0,IF(ISNUMBER(J49),J49,1)),IF($C49="Paying back",0,IF(AND(OR(Housemates!$C$12="",Housemates!$C$12&lt;=$B49),OR(Housemates!$D$12="",Housemates!$D$12&gt;=$B49)),IF($Q49=0,1,INDEX(Bills!$AE$6:$AE$25,$Q49)),0))))</f>
        <v/>
      </c>
      <c r="X49">
        <f>IF(OR($D49="",$B49="",Housemates!$B$13=""),0,IF($R49&gt;0,IF(K49="",0,IF(ISNUMBER(K49),K49,1)),IF($C49="Paying back",0,IF(AND(OR(Housemates!$C$13="",Housemates!$C$13&lt;=$B49),OR(Housemates!$D$13="",Housemates!$D$13&gt;=$B49)),IF($Q49=0,1,INDEX(Bills!$AF$6:$AF$25,$Q49)),0))))</f>
        <v/>
      </c>
      <c r="Y49">
        <f>IF(OR($D49="",$B49="",Housemates!$B$14=""),0,IF($R49&gt;0,IF(L49="",0,IF(ISNUMBER(L49),L49,1)),IF($C49="Paying back",0,IF(AND(OR(Housemates!$C$14="",Housemates!$C$14&lt;=$B49),OR(Housemates!$D$14="",Housemates!$D$14&gt;=$B49)),IF($Q49=0,1,INDEX(Bills!$AG$6:$AG$25,$Q49)),0))))</f>
        <v/>
      </c>
      <c r="Z49">
        <f>IF(OR($D49="",$B49="",Housemates!$B$15=""),0,IF($R49&gt;0,IF(M49="",0,IF(ISNUMBER(M49),M49,1)),IF($C49="Paying back",0,IF(AND(OR(Housemates!$C$15="",Housemates!$C$15&lt;=$B49),OR(Housemates!$D$15="",Housemates!$D$15&gt;=$B49)),IF($Q49=0,1,INDEX(Bills!$AH$6:$AH$25,$Q49)),0))))</f>
        <v/>
      </c>
      <c r="AA49">
        <f>SUM(S49:Z49)</f>
        <v/>
      </c>
      <c r="AB49">
        <f>IF(AA49=0,0,D49*S49/AA49)</f>
        <v/>
      </c>
      <c r="AC49">
        <f>IF(AA49=0,0,D49*T49/AA49)</f>
        <v/>
      </c>
      <c r="AD49">
        <f>IF(AA49=0,0,D49*U49/AA49)</f>
        <v/>
      </c>
      <c r="AE49">
        <f>IF(AA49=0,0,D49*V49/AA49)</f>
        <v/>
      </c>
      <c r="AF49">
        <f>IF(AA49=0,0,D49*W49/AA49)</f>
        <v/>
      </c>
      <c r="AG49">
        <f>IF(AA49=0,0,D49*X49/AA49)</f>
        <v/>
      </c>
      <c r="AH49">
        <f>IF(AA49=0,0,D49*Y49/AA49)</f>
        <v/>
      </c>
      <c r="AI49">
        <f>IF(AA49=0,0,D49*Z49/AA49)</f>
        <v/>
      </c>
      <c r="AJ49">
        <f>IF(OR(C49="",B49=""),"",C49&amp;"|"&amp;(YEAR(B49)*100+MONTH(B49)))</f>
        <v/>
      </c>
    </row>
    <row r="50">
      <c r="A50" s="1" t="n"/>
      <c r="B50" s="23" t="n">
        <v>46162</v>
      </c>
      <c r="C50" s="24" t="inlineStr">
        <is>
          <t>Gas</t>
        </is>
      </c>
      <c r="D50" s="25" t="n">
        <v>158.88</v>
      </c>
      <c r="E50" s="26" t="inlineStr">
        <is>
          <t>Priya</t>
        </is>
      </c>
      <c r="F50" s="27" t="n"/>
      <c r="G50" s="27" t="n"/>
      <c r="H50" s="27" t="n"/>
      <c r="I50" s="27" t="n"/>
      <c r="J50" s="27" t="n"/>
      <c r="K50" s="27" t="n"/>
      <c r="L50" s="27" t="n"/>
      <c r="M50" s="27" t="n"/>
      <c r="N50" s="21">
        <f>IF(D50="","",IF(B50="","No date",IF(AND(C50="Paying back",R50=0),"To whom?",IF(AA50=0,"Nobody",IF(C50="Paying back","To "&amp;INDEX(Housemates!$B$8:$B$15,MATCH(MAX(S50:Z50),S50:Z50,0)),IF(R50&gt;0,IF(COUNTIF(S50:Z50,"&gt;0")=1,"1 person",COUNTIF(S50:Z50,"&gt;0")&amp;" people"),IF(Q50=0,"Everyone",INDEX(Bills!$Q$6:$Q$25,Q50))))))))</f>
        <v/>
      </c>
      <c r="O50" s="18">
        <f>IF(D50="","",IF(C50="Paying back","Paying back",IF(Q50=0,"Other",IF(INDEX(Bills!$C$6:$C$25,Q50)="","Other",INDEX(Bills!$C$6:$C$25,Q50)))))</f>
        <v/>
      </c>
      <c r="P50" s="1" t="n"/>
      <c r="Q50">
        <f>IF(C50="",0,IFERROR(MATCH(C50,Bills!$B$6:$B$25,0),0))</f>
        <v/>
      </c>
      <c r="R50">
        <f>COUNTA(F50:M50)</f>
        <v/>
      </c>
      <c r="S50">
        <f>IF(OR($D50="",$B50="",Housemates!$B$8=""),0,IF($R50&gt;0,IF(F50="",0,IF(ISNUMBER(F50),F50,1)),IF($C50="Paying back",0,IF(AND(OR(Housemates!$C$8="",Housemates!$C$8&lt;=$B50),OR(Housemates!$D$8="",Housemates!$D$8&gt;=$B50)),IF($Q50=0,1,INDEX(Bills!$AA$6:$AA$25,$Q50)),0))))</f>
        <v/>
      </c>
      <c r="T50">
        <f>IF(OR($D50="",$B50="",Housemates!$B$9=""),0,IF($R50&gt;0,IF(G50="",0,IF(ISNUMBER(G50),G50,1)),IF($C50="Paying back",0,IF(AND(OR(Housemates!$C$9="",Housemates!$C$9&lt;=$B50),OR(Housemates!$D$9="",Housemates!$D$9&gt;=$B50)),IF($Q50=0,1,INDEX(Bills!$AB$6:$AB$25,$Q50)),0))))</f>
        <v/>
      </c>
      <c r="U50">
        <f>IF(OR($D50="",$B50="",Housemates!$B$10=""),0,IF($R50&gt;0,IF(H50="",0,IF(ISNUMBER(H50),H50,1)),IF($C50="Paying back",0,IF(AND(OR(Housemates!$C$10="",Housemates!$C$10&lt;=$B50),OR(Housemates!$D$10="",Housemates!$D$10&gt;=$B50)),IF($Q50=0,1,INDEX(Bills!$AC$6:$AC$25,$Q50)),0))))</f>
        <v/>
      </c>
      <c r="V50">
        <f>IF(OR($D50="",$B50="",Housemates!$B$11=""),0,IF($R50&gt;0,IF(I50="",0,IF(ISNUMBER(I50),I50,1)),IF($C50="Paying back",0,IF(AND(OR(Housemates!$C$11="",Housemates!$C$11&lt;=$B50),OR(Housemates!$D$11="",Housemates!$D$11&gt;=$B50)),IF($Q50=0,1,INDEX(Bills!$AD$6:$AD$25,$Q50)),0))))</f>
        <v/>
      </c>
      <c r="W50">
        <f>IF(OR($D50="",$B50="",Housemates!$B$12=""),0,IF($R50&gt;0,IF(J50="",0,IF(ISNUMBER(J50),J50,1)),IF($C50="Paying back",0,IF(AND(OR(Housemates!$C$12="",Housemates!$C$12&lt;=$B50),OR(Housemates!$D$12="",Housemates!$D$12&gt;=$B50)),IF($Q50=0,1,INDEX(Bills!$AE$6:$AE$25,$Q50)),0))))</f>
        <v/>
      </c>
      <c r="X50">
        <f>IF(OR($D50="",$B50="",Housemates!$B$13=""),0,IF($R50&gt;0,IF(K50="",0,IF(ISNUMBER(K50),K50,1)),IF($C50="Paying back",0,IF(AND(OR(Housemates!$C$13="",Housemates!$C$13&lt;=$B50),OR(Housemates!$D$13="",Housemates!$D$13&gt;=$B50)),IF($Q50=0,1,INDEX(Bills!$AF$6:$AF$25,$Q50)),0))))</f>
        <v/>
      </c>
      <c r="Y50">
        <f>IF(OR($D50="",$B50="",Housemates!$B$14=""),0,IF($R50&gt;0,IF(L50="",0,IF(ISNUMBER(L50),L50,1)),IF($C50="Paying back",0,IF(AND(OR(Housemates!$C$14="",Housemates!$C$14&lt;=$B50),OR(Housemates!$D$14="",Housemates!$D$14&gt;=$B50)),IF($Q50=0,1,INDEX(Bills!$AG$6:$AG$25,$Q50)),0))))</f>
        <v/>
      </c>
      <c r="Z50">
        <f>IF(OR($D50="",$B50="",Housemates!$B$15=""),0,IF($R50&gt;0,IF(M50="",0,IF(ISNUMBER(M50),M50,1)),IF($C50="Paying back",0,IF(AND(OR(Housemates!$C$15="",Housemates!$C$15&lt;=$B50),OR(Housemates!$D$15="",Housemates!$D$15&gt;=$B50)),IF($Q50=0,1,INDEX(Bills!$AH$6:$AH$25,$Q50)),0))))</f>
        <v/>
      </c>
      <c r="AA50">
        <f>SUM(S50:Z50)</f>
        <v/>
      </c>
      <c r="AB50">
        <f>IF(AA50=0,0,D50*S50/AA50)</f>
        <v/>
      </c>
      <c r="AC50">
        <f>IF(AA50=0,0,D50*T50/AA50)</f>
        <v/>
      </c>
      <c r="AD50">
        <f>IF(AA50=0,0,D50*U50/AA50)</f>
        <v/>
      </c>
      <c r="AE50">
        <f>IF(AA50=0,0,D50*V50/AA50)</f>
        <v/>
      </c>
      <c r="AF50">
        <f>IF(AA50=0,0,D50*W50/AA50)</f>
        <v/>
      </c>
      <c r="AG50">
        <f>IF(AA50=0,0,D50*X50/AA50)</f>
        <v/>
      </c>
      <c r="AH50">
        <f>IF(AA50=0,0,D50*Y50/AA50)</f>
        <v/>
      </c>
      <c r="AI50">
        <f>IF(AA50=0,0,D50*Z50/AA50)</f>
        <v/>
      </c>
      <c r="AJ50">
        <f>IF(OR(C50="",B50=""),"",C50&amp;"|"&amp;(YEAR(B50)*100+MONTH(B50)))</f>
        <v/>
      </c>
    </row>
    <row r="51">
      <c r="A51" s="1" t="n"/>
      <c r="B51" s="23" t="n">
        <v>46163</v>
      </c>
      <c r="C51" s="24" t="inlineStr">
        <is>
          <t>Streaming</t>
        </is>
      </c>
      <c r="D51" s="25" t="n">
        <v>15.96</v>
      </c>
      <c r="E51" s="26" t="inlineStr">
        <is>
          <t>Priya</t>
        </is>
      </c>
      <c r="F51" s="27" t="n"/>
      <c r="G51" s="27" t="n"/>
      <c r="H51" s="27" t="n"/>
      <c r="I51" s="27" t="n"/>
      <c r="J51" s="27" t="n"/>
      <c r="K51" s="27" t="n"/>
      <c r="L51" s="27" t="n"/>
      <c r="M51" s="27" t="n"/>
      <c r="N51" s="21">
        <f>IF(D51="","",IF(B51="","No date",IF(AND(C51="Paying back",R51=0),"To whom?",IF(AA51=0,"Nobody",IF(C51="Paying back","To "&amp;INDEX(Housemates!$B$8:$B$15,MATCH(MAX(S51:Z51),S51:Z51,0)),IF(R51&gt;0,IF(COUNTIF(S51:Z51,"&gt;0")=1,"1 person",COUNTIF(S51:Z51,"&gt;0")&amp;" people"),IF(Q51=0,"Everyone",INDEX(Bills!$Q$6:$Q$25,Q51))))))))</f>
        <v/>
      </c>
      <c r="O51" s="18">
        <f>IF(D51="","",IF(C51="Paying back","Paying back",IF(Q51=0,"Other",IF(INDEX(Bills!$C$6:$C$25,Q51)="","Other",INDEX(Bills!$C$6:$C$25,Q51)))))</f>
        <v/>
      </c>
      <c r="P51" s="1" t="n"/>
      <c r="Q51">
        <f>IF(C51="",0,IFERROR(MATCH(C51,Bills!$B$6:$B$25,0),0))</f>
        <v/>
      </c>
      <c r="R51">
        <f>COUNTA(F51:M51)</f>
        <v/>
      </c>
      <c r="S51">
        <f>IF(OR($D51="",$B51="",Housemates!$B$8=""),0,IF($R51&gt;0,IF(F51="",0,IF(ISNUMBER(F51),F51,1)),IF($C51="Paying back",0,IF(AND(OR(Housemates!$C$8="",Housemates!$C$8&lt;=$B51),OR(Housemates!$D$8="",Housemates!$D$8&gt;=$B51)),IF($Q51=0,1,INDEX(Bills!$AA$6:$AA$25,$Q51)),0))))</f>
        <v/>
      </c>
      <c r="T51">
        <f>IF(OR($D51="",$B51="",Housemates!$B$9=""),0,IF($R51&gt;0,IF(G51="",0,IF(ISNUMBER(G51),G51,1)),IF($C51="Paying back",0,IF(AND(OR(Housemates!$C$9="",Housemates!$C$9&lt;=$B51),OR(Housemates!$D$9="",Housemates!$D$9&gt;=$B51)),IF($Q51=0,1,INDEX(Bills!$AB$6:$AB$25,$Q51)),0))))</f>
        <v/>
      </c>
      <c r="U51">
        <f>IF(OR($D51="",$B51="",Housemates!$B$10=""),0,IF($R51&gt;0,IF(H51="",0,IF(ISNUMBER(H51),H51,1)),IF($C51="Paying back",0,IF(AND(OR(Housemates!$C$10="",Housemates!$C$10&lt;=$B51),OR(Housemates!$D$10="",Housemates!$D$10&gt;=$B51)),IF($Q51=0,1,INDEX(Bills!$AC$6:$AC$25,$Q51)),0))))</f>
        <v/>
      </c>
      <c r="V51">
        <f>IF(OR($D51="",$B51="",Housemates!$B$11=""),0,IF($R51&gt;0,IF(I51="",0,IF(ISNUMBER(I51),I51,1)),IF($C51="Paying back",0,IF(AND(OR(Housemates!$C$11="",Housemates!$C$11&lt;=$B51),OR(Housemates!$D$11="",Housemates!$D$11&gt;=$B51)),IF($Q51=0,1,INDEX(Bills!$AD$6:$AD$25,$Q51)),0))))</f>
        <v/>
      </c>
      <c r="W51">
        <f>IF(OR($D51="",$B51="",Housemates!$B$12=""),0,IF($R51&gt;0,IF(J51="",0,IF(ISNUMBER(J51),J51,1)),IF($C51="Paying back",0,IF(AND(OR(Housemates!$C$12="",Housemates!$C$12&lt;=$B51),OR(Housemates!$D$12="",Housemates!$D$12&gt;=$B51)),IF($Q51=0,1,INDEX(Bills!$AE$6:$AE$25,$Q51)),0))))</f>
        <v/>
      </c>
      <c r="X51">
        <f>IF(OR($D51="",$B51="",Housemates!$B$13=""),0,IF($R51&gt;0,IF(K51="",0,IF(ISNUMBER(K51),K51,1)),IF($C51="Paying back",0,IF(AND(OR(Housemates!$C$13="",Housemates!$C$13&lt;=$B51),OR(Housemates!$D$13="",Housemates!$D$13&gt;=$B51)),IF($Q51=0,1,INDEX(Bills!$AF$6:$AF$25,$Q51)),0))))</f>
        <v/>
      </c>
      <c r="Y51">
        <f>IF(OR($D51="",$B51="",Housemates!$B$14=""),0,IF($R51&gt;0,IF(L51="",0,IF(ISNUMBER(L51),L51,1)),IF($C51="Paying back",0,IF(AND(OR(Housemates!$C$14="",Housemates!$C$14&lt;=$B51),OR(Housemates!$D$14="",Housemates!$D$14&gt;=$B51)),IF($Q51=0,1,INDEX(Bills!$AG$6:$AG$25,$Q51)),0))))</f>
        <v/>
      </c>
      <c r="Z51">
        <f>IF(OR($D51="",$B51="",Housemates!$B$15=""),0,IF($R51&gt;0,IF(M51="",0,IF(ISNUMBER(M51),M51,1)),IF($C51="Paying back",0,IF(AND(OR(Housemates!$C$15="",Housemates!$C$15&lt;=$B51),OR(Housemates!$D$15="",Housemates!$D$15&gt;=$B51)),IF($Q51=0,1,INDEX(Bills!$AH$6:$AH$25,$Q51)),0))))</f>
        <v/>
      </c>
      <c r="AA51">
        <f>SUM(S51:Z51)</f>
        <v/>
      </c>
      <c r="AB51">
        <f>IF(AA51=0,0,D51*S51/AA51)</f>
        <v/>
      </c>
      <c r="AC51">
        <f>IF(AA51=0,0,D51*T51/AA51)</f>
        <v/>
      </c>
      <c r="AD51">
        <f>IF(AA51=0,0,D51*U51/AA51)</f>
        <v/>
      </c>
      <c r="AE51">
        <f>IF(AA51=0,0,D51*V51/AA51)</f>
        <v/>
      </c>
      <c r="AF51">
        <f>IF(AA51=0,0,D51*W51/AA51)</f>
        <v/>
      </c>
      <c r="AG51">
        <f>IF(AA51=0,0,D51*X51/AA51)</f>
        <v/>
      </c>
      <c r="AH51">
        <f>IF(AA51=0,0,D51*Y51/AA51)</f>
        <v/>
      </c>
      <c r="AI51">
        <f>IF(AA51=0,0,D51*Z51/AA51)</f>
        <v/>
      </c>
      <c r="AJ51">
        <f>IF(OR(C51="",B51=""),"",C51&amp;"|"&amp;(YEAR(B51)*100+MONTH(B51)))</f>
        <v/>
      </c>
    </row>
    <row r="52">
      <c r="A52" s="1" t="n"/>
      <c r="B52" s="23" t="n">
        <v>46164</v>
      </c>
      <c r="C52" s="24" t="inlineStr">
        <is>
          <t>Groceries</t>
        </is>
      </c>
      <c r="D52" s="25" t="n">
        <v>38.76</v>
      </c>
      <c r="E52" s="26" t="inlineStr">
        <is>
          <t>Leo</t>
        </is>
      </c>
      <c r="F52" s="27" t="n"/>
      <c r="G52" s="27" t="n"/>
      <c r="H52" s="27" t="n"/>
      <c r="I52" s="27" t="n"/>
      <c r="J52" s="27" t="n"/>
      <c r="K52" s="27" t="n"/>
      <c r="L52" s="27" t="n"/>
      <c r="M52" s="27" t="n"/>
      <c r="N52" s="21">
        <f>IF(D52="","",IF(B52="","No date",IF(AND(C52="Paying back",R52=0),"To whom?",IF(AA52=0,"Nobody",IF(C52="Paying back","To "&amp;INDEX(Housemates!$B$8:$B$15,MATCH(MAX(S52:Z52),S52:Z52,0)),IF(R52&gt;0,IF(COUNTIF(S52:Z52,"&gt;0")=1,"1 person",COUNTIF(S52:Z52,"&gt;0")&amp;" people"),IF(Q52=0,"Everyone",INDEX(Bills!$Q$6:$Q$25,Q52))))))))</f>
        <v/>
      </c>
      <c r="O52" s="18">
        <f>IF(D52="","",IF(C52="Paying back","Paying back",IF(Q52=0,"Other",IF(INDEX(Bills!$C$6:$C$25,Q52)="","Other",INDEX(Bills!$C$6:$C$25,Q52)))))</f>
        <v/>
      </c>
      <c r="P52" s="1" t="n"/>
      <c r="Q52">
        <f>IF(C52="",0,IFERROR(MATCH(C52,Bills!$B$6:$B$25,0),0))</f>
        <v/>
      </c>
      <c r="R52">
        <f>COUNTA(F52:M52)</f>
        <v/>
      </c>
      <c r="S52">
        <f>IF(OR($D52="",$B52="",Housemates!$B$8=""),0,IF($R52&gt;0,IF(F52="",0,IF(ISNUMBER(F52),F52,1)),IF($C52="Paying back",0,IF(AND(OR(Housemates!$C$8="",Housemates!$C$8&lt;=$B52),OR(Housemates!$D$8="",Housemates!$D$8&gt;=$B52)),IF($Q52=0,1,INDEX(Bills!$AA$6:$AA$25,$Q52)),0))))</f>
        <v/>
      </c>
      <c r="T52">
        <f>IF(OR($D52="",$B52="",Housemates!$B$9=""),0,IF($R52&gt;0,IF(G52="",0,IF(ISNUMBER(G52),G52,1)),IF($C52="Paying back",0,IF(AND(OR(Housemates!$C$9="",Housemates!$C$9&lt;=$B52),OR(Housemates!$D$9="",Housemates!$D$9&gt;=$B52)),IF($Q52=0,1,INDEX(Bills!$AB$6:$AB$25,$Q52)),0))))</f>
        <v/>
      </c>
      <c r="U52">
        <f>IF(OR($D52="",$B52="",Housemates!$B$10=""),0,IF($R52&gt;0,IF(H52="",0,IF(ISNUMBER(H52),H52,1)),IF($C52="Paying back",0,IF(AND(OR(Housemates!$C$10="",Housemates!$C$10&lt;=$B52),OR(Housemates!$D$10="",Housemates!$D$10&gt;=$B52)),IF($Q52=0,1,INDEX(Bills!$AC$6:$AC$25,$Q52)),0))))</f>
        <v/>
      </c>
      <c r="V52">
        <f>IF(OR($D52="",$B52="",Housemates!$B$11=""),0,IF($R52&gt;0,IF(I52="",0,IF(ISNUMBER(I52),I52,1)),IF($C52="Paying back",0,IF(AND(OR(Housemates!$C$11="",Housemates!$C$11&lt;=$B52),OR(Housemates!$D$11="",Housemates!$D$11&gt;=$B52)),IF($Q52=0,1,INDEX(Bills!$AD$6:$AD$25,$Q52)),0))))</f>
        <v/>
      </c>
      <c r="W52">
        <f>IF(OR($D52="",$B52="",Housemates!$B$12=""),0,IF($R52&gt;0,IF(J52="",0,IF(ISNUMBER(J52),J52,1)),IF($C52="Paying back",0,IF(AND(OR(Housemates!$C$12="",Housemates!$C$12&lt;=$B52),OR(Housemates!$D$12="",Housemates!$D$12&gt;=$B52)),IF($Q52=0,1,INDEX(Bills!$AE$6:$AE$25,$Q52)),0))))</f>
        <v/>
      </c>
      <c r="X52">
        <f>IF(OR($D52="",$B52="",Housemates!$B$13=""),0,IF($R52&gt;0,IF(K52="",0,IF(ISNUMBER(K52),K52,1)),IF($C52="Paying back",0,IF(AND(OR(Housemates!$C$13="",Housemates!$C$13&lt;=$B52),OR(Housemates!$D$13="",Housemates!$D$13&gt;=$B52)),IF($Q52=0,1,INDEX(Bills!$AF$6:$AF$25,$Q52)),0))))</f>
        <v/>
      </c>
      <c r="Y52">
        <f>IF(OR($D52="",$B52="",Housemates!$B$14=""),0,IF($R52&gt;0,IF(L52="",0,IF(ISNUMBER(L52),L52,1)),IF($C52="Paying back",0,IF(AND(OR(Housemates!$C$14="",Housemates!$C$14&lt;=$B52),OR(Housemates!$D$14="",Housemates!$D$14&gt;=$B52)),IF($Q52=0,1,INDEX(Bills!$AG$6:$AG$25,$Q52)),0))))</f>
        <v/>
      </c>
      <c r="Z52">
        <f>IF(OR($D52="",$B52="",Housemates!$B$15=""),0,IF($R52&gt;0,IF(M52="",0,IF(ISNUMBER(M52),M52,1)),IF($C52="Paying back",0,IF(AND(OR(Housemates!$C$15="",Housemates!$C$15&lt;=$B52),OR(Housemates!$D$15="",Housemates!$D$15&gt;=$B52)),IF($Q52=0,1,INDEX(Bills!$AH$6:$AH$25,$Q52)),0))))</f>
        <v/>
      </c>
      <c r="AA52">
        <f>SUM(S52:Z52)</f>
        <v/>
      </c>
      <c r="AB52">
        <f>IF(AA52=0,0,D52*S52/AA52)</f>
        <v/>
      </c>
      <c r="AC52">
        <f>IF(AA52=0,0,D52*T52/AA52)</f>
        <v/>
      </c>
      <c r="AD52">
        <f>IF(AA52=0,0,D52*U52/AA52)</f>
        <v/>
      </c>
      <c r="AE52">
        <f>IF(AA52=0,0,D52*V52/AA52)</f>
        <v/>
      </c>
      <c r="AF52">
        <f>IF(AA52=0,0,D52*W52/AA52)</f>
        <v/>
      </c>
      <c r="AG52">
        <f>IF(AA52=0,0,D52*X52/AA52)</f>
        <v/>
      </c>
      <c r="AH52">
        <f>IF(AA52=0,0,D52*Y52/AA52)</f>
        <v/>
      </c>
      <c r="AI52">
        <f>IF(AA52=0,0,D52*Z52/AA52)</f>
        <v/>
      </c>
      <c r="AJ52">
        <f>IF(OR(C52="",B52=""),"",C52&amp;"|"&amp;(YEAR(B52)*100+MONTH(B52)))</f>
        <v/>
      </c>
    </row>
    <row r="53">
      <c r="A53" s="1" t="n"/>
      <c r="B53" s="23" t="n">
        <v>46166</v>
      </c>
      <c r="C53" s="24" t="inlineStr">
        <is>
          <t>Cleaning and household</t>
        </is>
      </c>
      <c r="D53" s="25" t="n">
        <v>14.16</v>
      </c>
      <c r="E53" s="26" t="inlineStr">
        <is>
          <t>Maya</t>
        </is>
      </c>
      <c r="F53" s="27" t="n"/>
      <c r="G53" s="27" t="n"/>
      <c r="H53" s="27" t="n"/>
      <c r="I53" s="27" t="n"/>
      <c r="J53" s="27" t="n"/>
      <c r="K53" s="27" t="n"/>
      <c r="L53" s="27" t="n"/>
      <c r="M53" s="27" t="n"/>
      <c r="N53" s="21">
        <f>IF(D53="","",IF(B53="","No date",IF(AND(C53="Paying back",R53=0),"To whom?",IF(AA53=0,"Nobody",IF(C53="Paying back","To "&amp;INDEX(Housemates!$B$8:$B$15,MATCH(MAX(S53:Z53),S53:Z53,0)),IF(R53&gt;0,IF(COUNTIF(S53:Z53,"&gt;0")=1,"1 person",COUNTIF(S53:Z53,"&gt;0")&amp;" people"),IF(Q53=0,"Everyone",INDEX(Bills!$Q$6:$Q$25,Q53))))))))</f>
        <v/>
      </c>
      <c r="O53" s="18">
        <f>IF(D53="","",IF(C53="Paying back","Paying back",IF(Q53=0,"Other",IF(INDEX(Bills!$C$6:$C$25,Q53)="","Other",INDEX(Bills!$C$6:$C$25,Q53)))))</f>
        <v/>
      </c>
      <c r="P53" s="1" t="n"/>
      <c r="Q53">
        <f>IF(C53="",0,IFERROR(MATCH(C53,Bills!$B$6:$B$25,0),0))</f>
        <v/>
      </c>
      <c r="R53">
        <f>COUNTA(F53:M53)</f>
        <v/>
      </c>
      <c r="S53">
        <f>IF(OR($D53="",$B53="",Housemates!$B$8=""),0,IF($R53&gt;0,IF(F53="",0,IF(ISNUMBER(F53),F53,1)),IF($C53="Paying back",0,IF(AND(OR(Housemates!$C$8="",Housemates!$C$8&lt;=$B53),OR(Housemates!$D$8="",Housemates!$D$8&gt;=$B53)),IF($Q53=0,1,INDEX(Bills!$AA$6:$AA$25,$Q53)),0))))</f>
        <v/>
      </c>
      <c r="T53">
        <f>IF(OR($D53="",$B53="",Housemates!$B$9=""),0,IF($R53&gt;0,IF(G53="",0,IF(ISNUMBER(G53),G53,1)),IF($C53="Paying back",0,IF(AND(OR(Housemates!$C$9="",Housemates!$C$9&lt;=$B53),OR(Housemates!$D$9="",Housemates!$D$9&gt;=$B53)),IF($Q53=0,1,INDEX(Bills!$AB$6:$AB$25,$Q53)),0))))</f>
        <v/>
      </c>
      <c r="U53">
        <f>IF(OR($D53="",$B53="",Housemates!$B$10=""),0,IF($R53&gt;0,IF(H53="",0,IF(ISNUMBER(H53),H53,1)),IF($C53="Paying back",0,IF(AND(OR(Housemates!$C$10="",Housemates!$C$10&lt;=$B53),OR(Housemates!$D$10="",Housemates!$D$10&gt;=$B53)),IF($Q53=0,1,INDEX(Bills!$AC$6:$AC$25,$Q53)),0))))</f>
        <v/>
      </c>
      <c r="V53">
        <f>IF(OR($D53="",$B53="",Housemates!$B$11=""),0,IF($R53&gt;0,IF(I53="",0,IF(ISNUMBER(I53),I53,1)),IF($C53="Paying back",0,IF(AND(OR(Housemates!$C$11="",Housemates!$C$11&lt;=$B53),OR(Housemates!$D$11="",Housemates!$D$11&gt;=$B53)),IF($Q53=0,1,INDEX(Bills!$AD$6:$AD$25,$Q53)),0))))</f>
        <v/>
      </c>
      <c r="W53">
        <f>IF(OR($D53="",$B53="",Housemates!$B$12=""),0,IF($R53&gt;0,IF(J53="",0,IF(ISNUMBER(J53),J53,1)),IF($C53="Paying back",0,IF(AND(OR(Housemates!$C$12="",Housemates!$C$12&lt;=$B53),OR(Housemates!$D$12="",Housemates!$D$12&gt;=$B53)),IF($Q53=0,1,INDEX(Bills!$AE$6:$AE$25,$Q53)),0))))</f>
        <v/>
      </c>
      <c r="X53">
        <f>IF(OR($D53="",$B53="",Housemates!$B$13=""),0,IF($R53&gt;0,IF(K53="",0,IF(ISNUMBER(K53),K53,1)),IF($C53="Paying back",0,IF(AND(OR(Housemates!$C$13="",Housemates!$C$13&lt;=$B53),OR(Housemates!$D$13="",Housemates!$D$13&gt;=$B53)),IF($Q53=0,1,INDEX(Bills!$AF$6:$AF$25,$Q53)),0))))</f>
        <v/>
      </c>
      <c r="Y53">
        <f>IF(OR($D53="",$B53="",Housemates!$B$14=""),0,IF($R53&gt;0,IF(L53="",0,IF(ISNUMBER(L53),L53,1)),IF($C53="Paying back",0,IF(AND(OR(Housemates!$C$14="",Housemates!$C$14&lt;=$B53),OR(Housemates!$D$14="",Housemates!$D$14&gt;=$B53)),IF($Q53=0,1,INDEX(Bills!$AG$6:$AG$25,$Q53)),0))))</f>
        <v/>
      </c>
      <c r="Z53">
        <f>IF(OR($D53="",$B53="",Housemates!$B$15=""),0,IF($R53&gt;0,IF(M53="",0,IF(ISNUMBER(M53),M53,1)),IF($C53="Paying back",0,IF(AND(OR(Housemates!$C$15="",Housemates!$C$15&lt;=$B53),OR(Housemates!$D$15="",Housemates!$D$15&gt;=$B53)),IF($Q53=0,1,INDEX(Bills!$AH$6:$AH$25,$Q53)),0))))</f>
        <v/>
      </c>
      <c r="AA53">
        <f>SUM(S53:Z53)</f>
        <v/>
      </c>
      <c r="AB53">
        <f>IF(AA53=0,0,D53*S53/AA53)</f>
        <v/>
      </c>
      <c r="AC53">
        <f>IF(AA53=0,0,D53*T53/AA53)</f>
        <v/>
      </c>
      <c r="AD53">
        <f>IF(AA53=0,0,D53*U53/AA53)</f>
        <v/>
      </c>
      <c r="AE53">
        <f>IF(AA53=0,0,D53*V53/AA53)</f>
        <v/>
      </c>
      <c r="AF53">
        <f>IF(AA53=0,0,D53*W53/AA53)</f>
        <v/>
      </c>
      <c r="AG53">
        <f>IF(AA53=0,0,D53*X53/AA53)</f>
        <v/>
      </c>
      <c r="AH53">
        <f>IF(AA53=0,0,D53*Y53/AA53)</f>
        <v/>
      </c>
      <c r="AI53">
        <f>IF(AA53=0,0,D53*Z53/AA53)</f>
        <v/>
      </c>
      <c r="AJ53">
        <f>IF(OR(C53="",B53=""),"",C53&amp;"|"&amp;(YEAR(B53)*100+MONTH(B53)))</f>
        <v/>
      </c>
    </row>
    <row r="54">
      <c r="A54" s="1" t="n"/>
      <c r="B54" s="23" t="n">
        <v>46168</v>
      </c>
      <c r="C54" s="24" t="inlineStr">
        <is>
          <t>Groceries</t>
        </is>
      </c>
      <c r="D54" s="25" t="n">
        <v>81</v>
      </c>
      <c r="E54" s="26" t="inlineStr">
        <is>
          <t>Maya</t>
        </is>
      </c>
      <c r="F54" s="27" t="n"/>
      <c r="G54" s="27" t="n"/>
      <c r="H54" s="27" t="n"/>
      <c r="I54" s="27" t="n"/>
      <c r="J54" s="27" t="n"/>
      <c r="K54" s="27" t="n"/>
      <c r="L54" s="27" t="n"/>
      <c r="M54" s="27" t="n"/>
      <c r="N54" s="21">
        <f>IF(D54="","",IF(B54="","No date",IF(AND(C54="Paying back",R54=0),"To whom?",IF(AA54=0,"Nobody",IF(C54="Paying back","To "&amp;INDEX(Housemates!$B$8:$B$15,MATCH(MAX(S54:Z54),S54:Z54,0)),IF(R54&gt;0,IF(COUNTIF(S54:Z54,"&gt;0")=1,"1 person",COUNTIF(S54:Z54,"&gt;0")&amp;" people"),IF(Q54=0,"Everyone",INDEX(Bills!$Q$6:$Q$25,Q54))))))))</f>
        <v/>
      </c>
      <c r="O54" s="18">
        <f>IF(D54="","",IF(C54="Paying back","Paying back",IF(Q54=0,"Other",IF(INDEX(Bills!$C$6:$C$25,Q54)="","Other",INDEX(Bills!$C$6:$C$25,Q54)))))</f>
        <v/>
      </c>
      <c r="P54" s="1" t="n"/>
      <c r="Q54">
        <f>IF(C54="",0,IFERROR(MATCH(C54,Bills!$B$6:$B$25,0),0))</f>
        <v/>
      </c>
      <c r="R54">
        <f>COUNTA(F54:M54)</f>
        <v/>
      </c>
      <c r="S54">
        <f>IF(OR($D54="",$B54="",Housemates!$B$8=""),0,IF($R54&gt;0,IF(F54="",0,IF(ISNUMBER(F54),F54,1)),IF($C54="Paying back",0,IF(AND(OR(Housemates!$C$8="",Housemates!$C$8&lt;=$B54),OR(Housemates!$D$8="",Housemates!$D$8&gt;=$B54)),IF($Q54=0,1,INDEX(Bills!$AA$6:$AA$25,$Q54)),0))))</f>
        <v/>
      </c>
      <c r="T54">
        <f>IF(OR($D54="",$B54="",Housemates!$B$9=""),0,IF($R54&gt;0,IF(G54="",0,IF(ISNUMBER(G54),G54,1)),IF($C54="Paying back",0,IF(AND(OR(Housemates!$C$9="",Housemates!$C$9&lt;=$B54),OR(Housemates!$D$9="",Housemates!$D$9&gt;=$B54)),IF($Q54=0,1,INDEX(Bills!$AB$6:$AB$25,$Q54)),0))))</f>
        <v/>
      </c>
      <c r="U54">
        <f>IF(OR($D54="",$B54="",Housemates!$B$10=""),0,IF($R54&gt;0,IF(H54="",0,IF(ISNUMBER(H54),H54,1)),IF($C54="Paying back",0,IF(AND(OR(Housemates!$C$10="",Housemates!$C$10&lt;=$B54),OR(Housemates!$D$10="",Housemates!$D$10&gt;=$B54)),IF($Q54=0,1,INDEX(Bills!$AC$6:$AC$25,$Q54)),0))))</f>
        <v/>
      </c>
      <c r="V54">
        <f>IF(OR($D54="",$B54="",Housemates!$B$11=""),0,IF($R54&gt;0,IF(I54="",0,IF(ISNUMBER(I54),I54,1)),IF($C54="Paying back",0,IF(AND(OR(Housemates!$C$11="",Housemates!$C$11&lt;=$B54),OR(Housemates!$D$11="",Housemates!$D$11&gt;=$B54)),IF($Q54=0,1,INDEX(Bills!$AD$6:$AD$25,$Q54)),0))))</f>
        <v/>
      </c>
      <c r="W54">
        <f>IF(OR($D54="",$B54="",Housemates!$B$12=""),0,IF($R54&gt;0,IF(J54="",0,IF(ISNUMBER(J54),J54,1)),IF($C54="Paying back",0,IF(AND(OR(Housemates!$C$12="",Housemates!$C$12&lt;=$B54),OR(Housemates!$D$12="",Housemates!$D$12&gt;=$B54)),IF($Q54=0,1,INDEX(Bills!$AE$6:$AE$25,$Q54)),0))))</f>
        <v/>
      </c>
      <c r="X54">
        <f>IF(OR($D54="",$B54="",Housemates!$B$13=""),0,IF($R54&gt;0,IF(K54="",0,IF(ISNUMBER(K54),K54,1)),IF($C54="Paying back",0,IF(AND(OR(Housemates!$C$13="",Housemates!$C$13&lt;=$B54),OR(Housemates!$D$13="",Housemates!$D$13&gt;=$B54)),IF($Q54=0,1,INDEX(Bills!$AF$6:$AF$25,$Q54)),0))))</f>
        <v/>
      </c>
      <c r="Y54">
        <f>IF(OR($D54="",$B54="",Housemates!$B$14=""),0,IF($R54&gt;0,IF(L54="",0,IF(ISNUMBER(L54),L54,1)),IF($C54="Paying back",0,IF(AND(OR(Housemates!$C$14="",Housemates!$C$14&lt;=$B54),OR(Housemates!$D$14="",Housemates!$D$14&gt;=$B54)),IF($Q54=0,1,INDEX(Bills!$AG$6:$AG$25,$Q54)),0))))</f>
        <v/>
      </c>
      <c r="Z54">
        <f>IF(OR($D54="",$B54="",Housemates!$B$15=""),0,IF($R54&gt;0,IF(M54="",0,IF(ISNUMBER(M54),M54,1)),IF($C54="Paying back",0,IF(AND(OR(Housemates!$C$15="",Housemates!$C$15&lt;=$B54),OR(Housemates!$D$15="",Housemates!$D$15&gt;=$B54)),IF($Q54=0,1,INDEX(Bills!$AH$6:$AH$25,$Q54)),0))))</f>
        <v/>
      </c>
      <c r="AA54">
        <f>SUM(S54:Z54)</f>
        <v/>
      </c>
      <c r="AB54">
        <f>IF(AA54=0,0,D54*S54/AA54)</f>
        <v/>
      </c>
      <c r="AC54">
        <f>IF(AA54=0,0,D54*T54/AA54)</f>
        <v/>
      </c>
      <c r="AD54">
        <f>IF(AA54=0,0,D54*U54/AA54)</f>
        <v/>
      </c>
      <c r="AE54">
        <f>IF(AA54=0,0,D54*V54/AA54)</f>
        <v/>
      </c>
      <c r="AF54">
        <f>IF(AA54=0,0,D54*W54/AA54)</f>
        <v/>
      </c>
      <c r="AG54">
        <f>IF(AA54=0,0,D54*X54/AA54)</f>
        <v/>
      </c>
      <c r="AH54">
        <f>IF(AA54=0,0,D54*Y54/AA54)</f>
        <v/>
      </c>
      <c r="AI54">
        <f>IF(AA54=0,0,D54*Z54/AA54)</f>
        <v/>
      </c>
      <c r="AJ54">
        <f>IF(OR(C54="",B54=""),"",C54&amp;"|"&amp;(YEAR(B54)*100+MONTH(B54)))</f>
        <v/>
      </c>
    </row>
    <row r="55">
      <c r="A55" s="1" t="n"/>
      <c r="B55" s="23" t="n">
        <v>46173</v>
      </c>
      <c r="C55" s="24" t="inlineStr">
        <is>
          <t>Paying back</t>
        </is>
      </c>
      <c r="D55" s="25" t="n">
        <v>1266.98</v>
      </c>
      <c r="E55" s="26" t="inlineStr">
        <is>
          <t>Priya</t>
        </is>
      </c>
      <c r="F55" s="27" t="inlineStr">
        <is>
          <t>x</t>
        </is>
      </c>
      <c r="G55" s="27" t="n"/>
      <c r="H55" s="27" t="n"/>
      <c r="I55" s="27" t="n"/>
      <c r="J55" s="27" t="n"/>
      <c r="K55" s="27" t="n"/>
      <c r="L55" s="27" t="n"/>
      <c r="M55" s="27" t="n"/>
      <c r="N55" s="21">
        <f>IF(D55="","",IF(B55="","No date",IF(AND(C55="Paying back",R55=0),"To whom?",IF(AA55=0,"Nobody",IF(C55="Paying back","To "&amp;INDEX(Housemates!$B$8:$B$15,MATCH(MAX(S55:Z55),S55:Z55,0)),IF(R55&gt;0,IF(COUNTIF(S55:Z55,"&gt;0")=1,"1 person",COUNTIF(S55:Z55,"&gt;0")&amp;" people"),IF(Q55=0,"Everyone",INDEX(Bills!$Q$6:$Q$25,Q55))))))))</f>
        <v/>
      </c>
      <c r="O55" s="18">
        <f>IF(D55="","",IF(C55="Paying back","Paying back",IF(Q55=0,"Other",IF(INDEX(Bills!$C$6:$C$25,Q55)="","Other",INDEX(Bills!$C$6:$C$25,Q55)))))</f>
        <v/>
      </c>
      <c r="P55" s="1" t="n"/>
      <c r="Q55">
        <f>IF(C55="",0,IFERROR(MATCH(C55,Bills!$B$6:$B$25,0),0))</f>
        <v/>
      </c>
      <c r="R55">
        <f>COUNTA(F55:M55)</f>
        <v/>
      </c>
      <c r="S55">
        <f>IF(OR($D55="",$B55="",Housemates!$B$8=""),0,IF($R55&gt;0,IF(F55="",0,IF(ISNUMBER(F55),F55,1)),IF($C55="Paying back",0,IF(AND(OR(Housemates!$C$8="",Housemates!$C$8&lt;=$B55),OR(Housemates!$D$8="",Housemates!$D$8&gt;=$B55)),IF($Q55=0,1,INDEX(Bills!$AA$6:$AA$25,$Q55)),0))))</f>
        <v/>
      </c>
      <c r="T55">
        <f>IF(OR($D55="",$B55="",Housemates!$B$9=""),0,IF($R55&gt;0,IF(G55="",0,IF(ISNUMBER(G55),G55,1)),IF($C55="Paying back",0,IF(AND(OR(Housemates!$C$9="",Housemates!$C$9&lt;=$B55),OR(Housemates!$D$9="",Housemates!$D$9&gt;=$B55)),IF($Q55=0,1,INDEX(Bills!$AB$6:$AB$25,$Q55)),0))))</f>
        <v/>
      </c>
      <c r="U55">
        <f>IF(OR($D55="",$B55="",Housemates!$B$10=""),0,IF($R55&gt;0,IF(H55="",0,IF(ISNUMBER(H55),H55,1)),IF($C55="Paying back",0,IF(AND(OR(Housemates!$C$10="",Housemates!$C$10&lt;=$B55),OR(Housemates!$D$10="",Housemates!$D$10&gt;=$B55)),IF($Q55=0,1,INDEX(Bills!$AC$6:$AC$25,$Q55)),0))))</f>
        <v/>
      </c>
      <c r="V55">
        <f>IF(OR($D55="",$B55="",Housemates!$B$11=""),0,IF($R55&gt;0,IF(I55="",0,IF(ISNUMBER(I55),I55,1)),IF($C55="Paying back",0,IF(AND(OR(Housemates!$C$11="",Housemates!$C$11&lt;=$B55),OR(Housemates!$D$11="",Housemates!$D$11&gt;=$B55)),IF($Q55=0,1,INDEX(Bills!$AD$6:$AD$25,$Q55)),0))))</f>
        <v/>
      </c>
      <c r="W55">
        <f>IF(OR($D55="",$B55="",Housemates!$B$12=""),0,IF($R55&gt;0,IF(J55="",0,IF(ISNUMBER(J55),J55,1)),IF($C55="Paying back",0,IF(AND(OR(Housemates!$C$12="",Housemates!$C$12&lt;=$B55),OR(Housemates!$D$12="",Housemates!$D$12&gt;=$B55)),IF($Q55=0,1,INDEX(Bills!$AE$6:$AE$25,$Q55)),0))))</f>
        <v/>
      </c>
      <c r="X55">
        <f>IF(OR($D55="",$B55="",Housemates!$B$13=""),0,IF($R55&gt;0,IF(K55="",0,IF(ISNUMBER(K55),K55,1)),IF($C55="Paying back",0,IF(AND(OR(Housemates!$C$13="",Housemates!$C$13&lt;=$B55),OR(Housemates!$D$13="",Housemates!$D$13&gt;=$B55)),IF($Q55=0,1,INDEX(Bills!$AF$6:$AF$25,$Q55)),0))))</f>
        <v/>
      </c>
      <c r="Y55">
        <f>IF(OR($D55="",$B55="",Housemates!$B$14=""),0,IF($R55&gt;0,IF(L55="",0,IF(ISNUMBER(L55),L55,1)),IF($C55="Paying back",0,IF(AND(OR(Housemates!$C$14="",Housemates!$C$14&lt;=$B55),OR(Housemates!$D$14="",Housemates!$D$14&gt;=$B55)),IF($Q55=0,1,INDEX(Bills!$AG$6:$AG$25,$Q55)),0))))</f>
        <v/>
      </c>
      <c r="Z55">
        <f>IF(OR($D55="",$B55="",Housemates!$B$15=""),0,IF($R55&gt;0,IF(M55="",0,IF(ISNUMBER(M55),M55,1)),IF($C55="Paying back",0,IF(AND(OR(Housemates!$C$15="",Housemates!$C$15&lt;=$B55),OR(Housemates!$D$15="",Housemates!$D$15&gt;=$B55)),IF($Q55=0,1,INDEX(Bills!$AH$6:$AH$25,$Q55)),0))))</f>
        <v/>
      </c>
      <c r="AA55">
        <f>SUM(S55:Z55)</f>
        <v/>
      </c>
      <c r="AB55">
        <f>IF(AA55=0,0,D55*S55/AA55)</f>
        <v/>
      </c>
      <c r="AC55">
        <f>IF(AA55=0,0,D55*T55/AA55)</f>
        <v/>
      </c>
      <c r="AD55">
        <f>IF(AA55=0,0,D55*U55/AA55)</f>
        <v/>
      </c>
      <c r="AE55">
        <f>IF(AA55=0,0,D55*V55/AA55)</f>
        <v/>
      </c>
      <c r="AF55">
        <f>IF(AA55=0,0,D55*W55/AA55)</f>
        <v/>
      </c>
      <c r="AG55">
        <f>IF(AA55=0,0,D55*X55/AA55)</f>
        <v/>
      </c>
      <c r="AH55">
        <f>IF(AA55=0,0,D55*Y55/AA55)</f>
        <v/>
      </c>
      <c r="AI55">
        <f>IF(AA55=0,0,D55*Z55/AA55)</f>
        <v/>
      </c>
      <c r="AJ55">
        <f>IF(OR(C55="",B55=""),"",C55&amp;"|"&amp;(YEAR(B55)*100+MONTH(B55)))</f>
        <v/>
      </c>
    </row>
    <row r="56">
      <c r="A56" s="1" t="n"/>
      <c r="B56" s="23" t="n">
        <v>46173</v>
      </c>
      <c r="C56" s="24" t="inlineStr">
        <is>
          <t>Paying back</t>
        </is>
      </c>
      <c r="D56" s="25" t="n">
        <v>1048.1</v>
      </c>
      <c r="E56" s="26" t="inlineStr">
        <is>
          <t>Leo</t>
        </is>
      </c>
      <c r="F56" s="27" t="inlineStr">
        <is>
          <t>x</t>
        </is>
      </c>
      <c r="G56" s="27" t="n"/>
      <c r="H56" s="27" t="n"/>
      <c r="I56" s="27" t="n"/>
      <c r="J56" s="27" t="n"/>
      <c r="K56" s="27" t="n"/>
      <c r="L56" s="27" t="n"/>
      <c r="M56" s="27" t="n"/>
      <c r="N56" s="21">
        <f>IF(D56="","",IF(B56="","No date",IF(AND(C56="Paying back",R56=0),"To whom?",IF(AA56=0,"Nobody",IF(C56="Paying back","To "&amp;INDEX(Housemates!$B$8:$B$15,MATCH(MAX(S56:Z56),S56:Z56,0)),IF(R56&gt;0,IF(COUNTIF(S56:Z56,"&gt;0")=1,"1 person",COUNTIF(S56:Z56,"&gt;0")&amp;" people"),IF(Q56=0,"Everyone",INDEX(Bills!$Q$6:$Q$25,Q56))))))))</f>
        <v/>
      </c>
      <c r="O56" s="18">
        <f>IF(D56="","",IF(C56="Paying back","Paying back",IF(Q56=0,"Other",IF(INDEX(Bills!$C$6:$C$25,Q56)="","Other",INDEX(Bills!$C$6:$C$25,Q56)))))</f>
        <v/>
      </c>
      <c r="P56" s="1" t="n"/>
      <c r="Q56">
        <f>IF(C56="",0,IFERROR(MATCH(C56,Bills!$B$6:$B$25,0),0))</f>
        <v/>
      </c>
      <c r="R56">
        <f>COUNTA(F56:M56)</f>
        <v/>
      </c>
      <c r="S56">
        <f>IF(OR($D56="",$B56="",Housemates!$B$8=""),0,IF($R56&gt;0,IF(F56="",0,IF(ISNUMBER(F56),F56,1)),IF($C56="Paying back",0,IF(AND(OR(Housemates!$C$8="",Housemates!$C$8&lt;=$B56),OR(Housemates!$D$8="",Housemates!$D$8&gt;=$B56)),IF($Q56=0,1,INDEX(Bills!$AA$6:$AA$25,$Q56)),0))))</f>
        <v/>
      </c>
      <c r="T56">
        <f>IF(OR($D56="",$B56="",Housemates!$B$9=""),0,IF($R56&gt;0,IF(G56="",0,IF(ISNUMBER(G56),G56,1)),IF($C56="Paying back",0,IF(AND(OR(Housemates!$C$9="",Housemates!$C$9&lt;=$B56),OR(Housemates!$D$9="",Housemates!$D$9&gt;=$B56)),IF($Q56=0,1,INDEX(Bills!$AB$6:$AB$25,$Q56)),0))))</f>
        <v/>
      </c>
      <c r="U56">
        <f>IF(OR($D56="",$B56="",Housemates!$B$10=""),0,IF($R56&gt;0,IF(H56="",0,IF(ISNUMBER(H56),H56,1)),IF($C56="Paying back",0,IF(AND(OR(Housemates!$C$10="",Housemates!$C$10&lt;=$B56),OR(Housemates!$D$10="",Housemates!$D$10&gt;=$B56)),IF($Q56=0,1,INDEX(Bills!$AC$6:$AC$25,$Q56)),0))))</f>
        <v/>
      </c>
      <c r="V56">
        <f>IF(OR($D56="",$B56="",Housemates!$B$11=""),0,IF($R56&gt;0,IF(I56="",0,IF(ISNUMBER(I56),I56,1)),IF($C56="Paying back",0,IF(AND(OR(Housemates!$C$11="",Housemates!$C$11&lt;=$B56),OR(Housemates!$D$11="",Housemates!$D$11&gt;=$B56)),IF($Q56=0,1,INDEX(Bills!$AD$6:$AD$25,$Q56)),0))))</f>
        <v/>
      </c>
      <c r="W56">
        <f>IF(OR($D56="",$B56="",Housemates!$B$12=""),0,IF($R56&gt;0,IF(J56="",0,IF(ISNUMBER(J56),J56,1)),IF($C56="Paying back",0,IF(AND(OR(Housemates!$C$12="",Housemates!$C$12&lt;=$B56),OR(Housemates!$D$12="",Housemates!$D$12&gt;=$B56)),IF($Q56=0,1,INDEX(Bills!$AE$6:$AE$25,$Q56)),0))))</f>
        <v/>
      </c>
      <c r="X56">
        <f>IF(OR($D56="",$B56="",Housemates!$B$13=""),0,IF($R56&gt;0,IF(K56="",0,IF(ISNUMBER(K56),K56,1)),IF($C56="Paying back",0,IF(AND(OR(Housemates!$C$13="",Housemates!$C$13&lt;=$B56),OR(Housemates!$D$13="",Housemates!$D$13&gt;=$B56)),IF($Q56=0,1,INDEX(Bills!$AF$6:$AF$25,$Q56)),0))))</f>
        <v/>
      </c>
      <c r="Y56">
        <f>IF(OR($D56="",$B56="",Housemates!$B$14=""),0,IF($R56&gt;0,IF(L56="",0,IF(ISNUMBER(L56),L56,1)),IF($C56="Paying back",0,IF(AND(OR(Housemates!$C$14="",Housemates!$C$14&lt;=$B56),OR(Housemates!$D$14="",Housemates!$D$14&gt;=$B56)),IF($Q56=0,1,INDEX(Bills!$AG$6:$AG$25,$Q56)),0))))</f>
        <v/>
      </c>
      <c r="Z56">
        <f>IF(OR($D56="",$B56="",Housemates!$B$15=""),0,IF($R56&gt;0,IF(M56="",0,IF(ISNUMBER(M56),M56,1)),IF($C56="Paying back",0,IF(AND(OR(Housemates!$C$15="",Housemates!$C$15&lt;=$B56),OR(Housemates!$D$15="",Housemates!$D$15&gt;=$B56)),IF($Q56=0,1,INDEX(Bills!$AH$6:$AH$25,$Q56)),0))))</f>
        <v/>
      </c>
      <c r="AA56">
        <f>SUM(S56:Z56)</f>
        <v/>
      </c>
      <c r="AB56">
        <f>IF(AA56=0,0,D56*S56/AA56)</f>
        <v/>
      </c>
      <c r="AC56">
        <f>IF(AA56=0,0,D56*T56/AA56)</f>
        <v/>
      </c>
      <c r="AD56">
        <f>IF(AA56=0,0,D56*U56/AA56)</f>
        <v/>
      </c>
      <c r="AE56">
        <f>IF(AA56=0,0,D56*V56/AA56)</f>
        <v/>
      </c>
      <c r="AF56">
        <f>IF(AA56=0,0,D56*W56/AA56)</f>
        <v/>
      </c>
      <c r="AG56">
        <f>IF(AA56=0,0,D56*X56/AA56)</f>
        <v/>
      </c>
      <c r="AH56">
        <f>IF(AA56=0,0,D56*Y56/AA56)</f>
        <v/>
      </c>
      <c r="AI56">
        <f>IF(AA56=0,0,D56*Z56/AA56)</f>
        <v/>
      </c>
      <c r="AJ56">
        <f>IF(OR(C56="",B56=""),"",C56&amp;"|"&amp;(YEAR(B56)*100+MONTH(B56)))</f>
        <v/>
      </c>
    </row>
    <row r="57">
      <c r="A57" s="1" t="n"/>
      <c r="B57" s="23" t="n">
        <v>46173</v>
      </c>
      <c r="C57" s="24" t="inlineStr">
        <is>
          <t>Paying back</t>
        </is>
      </c>
      <c r="D57" s="25" t="n">
        <v>1040.9</v>
      </c>
      <c r="E57" s="26" t="inlineStr">
        <is>
          <t>Tom</t>
        </is>
      </c>
      <c r="F57" s="27" t="inlineStr">
        <is>
          <t>x</t>
        </is>
      </c>
      <c r="G57" s="27" t="n"/>
      <c r="H57" s="27" t="n"/>
      <c r="I57" s="27" t="n"/>
      <c r="J57" s="27" t="n"/>
      <c r="K57" s="27" t="n"/>
      <c r="L57" s="27" t="n"/>
      <c r="M57" s="27" t="n"/>
      <c r="N57" s="21">
        <f>IF(D57="","",IF(B57="","No date",IF(AND(C57="Paying back",R57=0),"To whom?",IF(AA57=0,"Nobody",IF(C57="Paying back","To "&amp;INDEX(Housemates!$B$8:$B$15,MATCH(MAX(S57:Z57),S57:Z57,0)),IF(R57&gt;0,IF(COUNTIF(S57:Z57,"&gt;0")=1,"1 person",COUNTIF(S57:Z57,"&gt;0")&amp;" people"),IF(Q57=0,"Everyone",INDEX(Bills!$Q$6:$Q$25,Q57))))))))</f>
        <v/>
      </c>
      <c r="O57" s="18">
        <f>IF(D57="","",IF(C57="Paying back","Paying back",IF(Q57=0,"Other",IF(INDEX(Bills!$C$6:$C$25,Q57)="","Other",INDEX(Bills!$C$6:$C$25,Q57)))))</f>
        <v/>
      </c>
      <c r="P57" s="1" t="n"/>
      <c r="Q57">
        <f>IF(C57="",0,IFERROR(MATCH(C57,Bills!$B$6:$B$25,0),0))</f>
        <v/>
      </c>
      <c r="R57">
        <f>COUNTA(F57:M57)</f>
        <v/>
      </c>
      <c r="S57">
        <f>IF(OR($D57="",$B57="",Housemates!$B$8=""),0,IF($R57&gt;0,IF(F57="",0,IF(ISNUMBER(F57),F57,1)),IF($C57="Paying back",0,IF(AND(OR(Housemates!$C$8="",Housemates!$C$8&lt;=$B57),OR(Housemates!$D$8="",Housemates!$D$8&gt;=$B57)),IF($Q57=0,1,INDEX(Bills!$AA$6:$AA$25,$Q57)),0))))</f>
        <v/>
      </c>
      <c r="T57">
        <f>IF(OR($D57="",$B57="",Housemates!$B$9=""),0,IF($R57&gt;0,IF(G57="",0,IF(ISNUMBER(G57),G57,1)),IF($C57="Paying back",0,IF(AND(OR(Housemates!$C$9="",Housemates!$C$9&lt;=$B57),OR(Housemates!$D$9="",Housemates!$D$9&gt;=$B57)),IF($Q57=0,1,INDEX(Bills!$AB$6:$AB$25,$Q57)),0))))</f>
        <v/>
      </c>
      <c r="U57">
        <f>IF(OR($D57="",$B57="",Housemates!$B$10=""),0,IF($R57&gt;0,IF(H57="",0,IF(ISNUMBER(H57),H57,1)),IF($C57="Paying back",0,IF(AND(OR(Housemates!$C$10="",Housemates!$C$10&lt;=$B57),OR(Housemates!$D$10="",Housemates!$D$10&gt;=$B57)),IF($Q57=0,1,INDEX(Bills!$AC$6:$AC$25,$Q57)),0))))</f>
        <v/>
      </c>
      <c r="V57">
        <f>IF(OR($D57="",$B57="",Housemates!$B$11=""),0,IF($R57&gt;0,IF(I57="",0,IF(ISNUMBER(I57),I57,1)),IF($C57="Paying back",0,IF(AND(OR(Housemates!$C$11="",Housemates!$C$11&lt;=$B57),OR(Housemates!$D$11="",Housemates!$D$11&gt;=$B57)),IF($Q57=0,1,INDEX(Bills!$AD$6:$AD$25,$Q57)),0))))</f>
        <v/>
      </c>
      <c r="W57">
        <f>IF(OR($D57="",$B57="",Housemates!$B$12=""),0,IF($R57&gt;0,IF(J57="",0,IF(ISNUMBER(J57),J57,1)),IF($C57="Paying back",0,IF(AND(OR(Housemates!$C$12="",Housemates!$C$12&lt;=$B57),OR(Housemates!$D$12="",Housemates!$D$12&gt;=$B57)),IF($Q57=0,1,INDEX(Bills!$AE$6:$AE$25,$Q57)),0))))</f>
        <v/>
      </c>
      <c r="X57">
        <f>IF(OR($D57="",$B57="",Housemates!$B$13=""),0,IF($R57&gt;0,IF(K57="",0,IF(ISNUMBER(K57),K57,1)),IF($C57="Paying back",0,IF(AND(OR(Housemates!$C$13="",Housemates!$C$13&lt;=$B57),OR(Housemates!$D$13="",Housemates!$D$13&gt;=$B57)),IF($Q57=0,1,INDEX(Bills!$AF$6:$AF$25,$Q57)),0))))</f>
        <v/>
      </c>
      <c r="Y57">
        <f>IF(OR($D57="",$B57="",Housemates!$B$14=""),0,IF($R57&gt;0,IF(L57="",0,IF(ISNUMBER(L57),L57,1)),IF($C57="Paying back",0,IF(AND(OR(Housemates!$C$14="",Housemates!$C$14&lt;=$B57),OR(Housemates!$D$14="",Housemates!$D$14&gt;=$B57)),IF($Q57=0,1,INDEX(Bills!$AG$6:$AG$25,$Q57)),0))))</f>
        <v/>
      </c>
      <c r="Z57">
        <f>IF(OR($D57="",$B57="",Housemates!$B$15=""),0,IF($R57&gt;0,IF(M57="",0,IF(ISNUMBER(M57),M57,1)),IF($C57="Paying back",0,IF(AND(OR(Housemates!$C$15="",Housemates!$C$15&lt;=$B57),OR(Housemates!$D$15="",Housemates!$D$15&gt;=$B57)),IF($Q57=0,1,INDEX(Bills!$AH$6:$AH$25,$Q57)),0))))</f>
        <v/>
      </c>
      <c r="AA57">
        <f>SUM(S57:Z57)</f>
        <v/>
      </c>
      <c r="AB57">
        <f>IF(AA57=0,0,D57*S57/AA57)</f>
        <v/>
      </c>
      <c r="AC57">
        <f>IF(AA57=0,0,D57*T57/AA57)</f>
        <v/>
      </c>
      <c r="AD57">
        <f>IF(AA57=0,0,D57*U57/AA57)</f>
        <v/>
      </c>
      <c r="AE57">
        <f>IF(AA57=0,0,D57*V57/AA57)</f>
        <v/>
      </c>
      <c r="AF57">
        <f>IF(AA57=0,0,D57*W57/AA57)</f>
        <v/>
      </c>
      <c r="AG57">
        <f>IF(AA57=0,0,D57*X57/AA57)</f>
        <v/>
      </c>
      <c r="AH57">
        <f>IF(AA57=0,0,D57*Y57/AA57)</f>
        <v/>
      </c>
      <c r="AI57">
        <f>IF(AA57=0,0,D57*Z57/AA57)</f>
        <v/>
      </c>
      <c r="AJ57">
        <f>IF(OR(C57="",B57=""),"",C57&amp;"|"&amp;(YEAR(B57)*100+MONTH(B57)))</f>
        <v/>
      </c>
    </row>
    <row r="58">
      <c r="A58" s="1" t="n"/>
      <c r="B58" s="23" t="n">
        <v>46174</v>
      </c>
      <c r="C58" s="24" t="inlineStr">
        <is>
          <t>Rent</t>
        </is>
      </c>
      <c r="D58" s="25" t="n">
        <v>2400</v>
      </c>
      <c r="E58" s="26" t="inlineStr">
        <is>
          <t>Maya</t>
        </is>
      </c>
      <c r="F58" s="27" t="n"/>
      <c r="G58" s="27" t="n"/>
      <c r="H58" s="27" t="n"/>
      <c r="I58" s="27" t="n"/>
      <c r="J58" s="27" t="n"/>
      <c r="K58" s="27" t="n"/>
      <c r="L58" s="27" t="n"/>
      <c r="M58" s="27" t="n"/>
      <c r="N58" s="21">
        <f>IF(D58="","",IF(B58="","No date",IF(AND(C58="Paying back",R58=0),"To whom?",IF(AA58=0,"Nobody",IF(C58="Paying back","To "&amp;INDEX(Housemates!$B$8:$B$15,MATCH(MAX(S58:Z58),S58:Z58,0)),IF(R58&gt;0,IF(COUNTIF(S58:Z58,"&gt;0")=1,"1 person",COUNTIF(S58:Z58,"&gt;0")&amp;" people"),IF(Q58=0,"Everyone",INDEX(Bills!$Q$6:$Q$25,Q58))))))))</f>
        <v/>
      </c>
      <c r="O58" s="18">
        <f>IF(D58="","",IF(C58="Paying back","Paying back",IF(Q58=0,"Other",IF(INDEX(Bills!$C$6:$C$25,Q58)="","Other",INDEX(Bills!$C$6:$C$25,Q58)))))</f>
        <v/>
      </c>
      <c r="P58" s="1" t="n"/>
      <c r="Q58">
        <f>IF(C58="",0,IFERROR(MATCH(C58,Bills!$B$6:$B$25,0),0))</f>
        <v/>
      </c>
      <c r="R58">
        <f>COUNTA(F58:M58)</f>
        <v/>
      </c>
      <c r="S58">
        <f>IF(OR($D58="",$B58="",Housemates!$B$8=""),0,IF($R58&gt;0,IF(F58="",0,IF(ISNUMBER(F58),F58,1)),IF($C58="Paying back",0,IF(AND(OR(Housemates!$C$8="",Housemates!$C$8&lt;=$B58),OR(Housemates!$D$8="",Housemates!$D$8&gt;=$B58)),IF($Q58=0,1,INDEX(Bills!$AA$6:$AA$25,$Q58)),0))))</f>
        <v/>
      </c>
      <c r="T58">
        <f>IF(OR($D58="",$B58="",Housemates!$B$9=""),0,IF($R58&gt;0,IF(G58="",0,IF(ISNUMBER(G58),G58,1)),IF($C58="Paying back",0,IF(AND(OR(Housemates!$C$9="",Housemates!$C$9&lt;=$B58),OR(Housemates!$D$9="",Housemates!$D$9&gt;=$B58)),IF($Q58=0,1,INDEX(Bills!$AB$6:$AB$25,$Q58)),0))))</f>
        <v/>
      </c>
      <c r="U58">
        <f>IF(OR($D58="",$B58="",Housemates!$B$10=""),0,IF($R58&gt;0,IF(H58="",0,IF(ISNUMBER(H58),H58,1)),IF($C58="Paying back",0,IF(AND(OR(Housemates!$C$10="",Housemates!$C$10&lt;=$B58),OR(Housemates!$D$10="",Housemates!$D$10&gt;=$B58)),IF($Q58=0,1,INDEX(Bills!$AC$6:$AC$25,$Q58)),0))))</f>
        <v/>
      </c>
      <c r="V58">
        <f>IF(OR($D58="",$B58="",Housemates!$B$11=""),0,IF($R58&gt;0,IF(I58="",0,IF(ISNUMBER(I58),I58,1)),IF($C58="Paying back",0,IF(AND(OR(Housemates!$C$11="",Housemates!$C$11&lt;=$B58),OR(Housemates!$D$11="",Housemates!$D$11&gt;=$B58)),IF($Q58=0,1,INDEX(Bills!$AD$6:$AD$25,$Q58)),0))))</f>
        <v/>
      </c>
      <c r="W58">
        <f>IF(OR($D58="",$B58="",Housemates!$B$12=""),0,IF($R58&gt;0,IF(J58="",0,IF(ISNUMBER(J58),J58,1)),IF($C58="Paying back",0,IF(AND(OR(Housemates!$C$12="",Housemates!$C$12&lt;=$B58),OR(Housemates!$D$12="",Housemates!$D$12&gt;=$B58)),IF($Q58=0,1,INDEX(Bills!$AE$6:$AE$25,$Q58)),0))))</f>
        <v/>
      </c>
      <c r="X58">
        <f>IF(OR($D58="",$B58="",Housemates!$B$13=""),0,IF($R58&gt;0,IF(K58="",0,IF(ISNUMBER(K58),K58,1)),IF($C58="Paying back",0,IF(AND(OR(Housemates!$C$13="",Housemates!$C$13&lt;=$B58),OR(Housemates!$D$13="",Housemates!$D$13&gt;=$B58)),IF($Q58=0,1,INDEX(Bills!$AF$6:$AF$25,$Q58)),0))))</f>
        <v/>
      </c>
      <c r="Y58">
        <f>IF(OR($D58="",$B58="",Housemates!$B$14=""),0,IF($R58&gt;0,IF(L58="",0,IF(ISNUMBER(L58),L58,1)),IF($C58="Paying back",0,IF(AND(OR(Housemates!$C$14="",Housemates!$C$14&lt;=$B58),OR(Housemates!$D$14="",Housemates!$D$14&gt;=$B58)),IF($Q58=0,1,INDEX(Bills!$AG$6:$AG$25,$Q58)),0))))</f>
        <v/>
      </c>
      <c r="Z58">
        <f>IF(OR($D58="",$B58="",Housemates!$B$15=""),0,IF($R58&gt;0,IF(M58="",0,IF(ISNUMBER(M58),M58,1)),IF($C58="Paying back",0,IF(AND(OR(Housemates!$C$15="",Housemates!$C$15&lt;=$B58),OR(Housemates!$D$15="",Housemates!$D$15&gt;=$B58)),IF($Q58=0,1,INDEX(Bills!$AH$6:$AH$25,$Q58)),0))))</f>
        <v/>
      </c>
      <c r="AA58">
        <f>SUM(S58:Z58)</f>
        <v/>
      </c>
      <c r="AB58">
        <f>IF(AA58=0,0,D58*S58/AA58)</f>
        <v/>
      </c>
      <c r="AC58">
        <f>IF(AA58=0,0,D58*T58/AA58)</f>
        <v/>
      </c>
      <c r="AD58">
        <f>IF(AA58=0,0,D58*U58/AA58)</f>
        <v/>
      </c>
      <c r="AE58">
        <f>IF(AA58=0,0,D58*V58/AA58)</f>
        <v/>
      </c>
      <c r="AF58">
        <f>IF(AA58=0,0,D58*W58/AA58)</f>
        <v/>
      </c>
      <c r="AG58">
        <f>IF(AA58=0,0,D58*X58/AA58)</f>
        <v/>
      </c>
      <c r="AH58">
        <f>IF(AA58=0,0,D58*Y58/AA58)</f>
        <v/>
      </c>
      <c r="AI58">
        <f>IF(AA58=0,0,D58*Z58/AA58)</f>
        <v/>
      </c>
      <c r="AJ58">
        <f>IF(OR(C58="",B58=""),"",C58&amp;"|"&amp;(YEAR(B58)*100+MONTH(B58)))</f>
        <v/>
      </c>
    </row>
    <row r="59">
      <c r="A59" s="1" t="n"/>
      <c r="B59" s="23" t="n">
        <v>46178</v>
      </c>
      <c r="C59" s="24" t="inlineStr">
        <is>
          <t>Internet</t>
        </is>
      </c>
      <c r="D59" s="25" t="n">
        <v>45</v>
      </c>
      <c r="E59" s="26" t="inlineStr">
        <is>
          <t>Leo</t>
        </is>
      </c>
      <c r="F59" s="27" t="n"/>
      <c r="G59" s="27" t="n"/>
      <c r="H59" s="27" t="n"/>
      <c r="I59" s="27" t="n"/>
      <c r="J59" s="27" t="n"/>
      <c r="K59" s="27" t="n"/>
      <c r="L59" s="27" t="n"/>
      <c r="M59" s="27" t="n"/>
      <c r="N59" s="21">
        <f>IF(D59="","",IF(B59="","No date",IF(AND(C59="Paying back",R59=0),"To whom?",IF(AA59=0,"Nobody",IF(C59="Paying back","To "&amp;INDEX(Housemates!$B$8:$B$15,MATCH(MAX(S59:Z59),S59:Z59,0)),IF(R59&gt;0,IF(COUNTIF(S59:Z59,"&gt;0")=1,"1 person",COUNTIF(S59:Z59,"&gt;0")&amp;" people"),IF(Q59=0,"Everyone",INDEX(Bills!$Q$6:$Q$25,Q59))))))))</f>
        <v/>
      </c>
      <c r="O59" s="18">
        <f>IF(D59="","",IF(C59="Paying back","Paying back",IF(Q59=0,"Other",IF(INDEX(Bills!$C$6:$C$25,Q59)="","Other",INDEX(Bills!$C$6:$C$25,Q59)))))</f>
        <v/>
      </c>
      <c r="P59" s="1" t="n"/>
      <c r="Q59">
        <f>IF(C59="",0,IFERROR(MATCH(C59,Bills!$B$6:$B$25,0),0))</f>
        <v/>
      </c>
      <c r="R59">
        <f>COUNTA(F59:M59)</f>
        <v/>
      </c>
      <c r="S59">
        <f>IF(OR($D59="",$B59="",Housemates!$B$8=""),0,IF($R59&gt;0,IF(F59="",0,IF(ISNUMBER(F59),F59,1)),IF($C59="Paying back",0,IF(AND(OR(Housemates!$C$8="",Housemates!$C$8&lt;=$B59),OR(Housemates!$D$8="",Housemates!$D$8&gt;=$B59)),IF($Q59=0,1,INDEX(Bills!$AA$6:$AA$25,$Q59)),0))))</f>
        <v/>
      </c>
      <c r="T59">
        <f>IF(OR($D59="",$B59="",Housemates!$B$9=""),0,IF($R59&gt;0,IF(G59="",0,IF(ISNUMBER(G59),G59,1)),IF($C59="Paying back",0,IF(AND(OR(Housemates!$C$9="",Housemates!$C$9&lt;=$B59),OR(Housemates!$D$9="",Housemates!$D$9&gt;=$B59)),IF($Q59=0,1,INDEX(Bills!$AB$6:$AB$25,$Q59)),0))))</f>
        <v/>
      </c>
      <c r="U59">
        <f>IF(OR($D59="",$B59="",Housemates!$B$10=""),0,IF($R59&gt;0,IF(H59="",0,IF(ISNUMBER(H59),H59,1)),IF($C59="Paying back",0,IF(AND(OR(Housemates!$C$10="",Housemates!$C$10&lt;=$B59),OR(Housemates!$D$10="",Housemates!$D$10&gt;=$B59)),IF($Q59=0,1,INDEX(Bills!$AC$6:$AC$25,$Q59)),0))))</f>
        <v/>
      </c>
      <c r="V59">
        <f>IF(OR($D59="",$B59="",Housemates!$B$11=""),0,IF($R59&gt;0,IF(I59="",0,IF(ISNUMBER(I59),I59,1)),IF($C59="Paying back",0,IF(AND(OR(Housemates!$C$11="",Housemates!$C$11&lt;=$B59),OR(Housemates!$D$11="",Housemates!$D$11&gt;=$B59)),IF($Q59=0,1,INDEX(Bills!$AD$6:$AD$25,$Q59)),0))))</f>
        <v/>
      </c>
      <c r="W59">
        <f>IF(OR($D59="",$B59="",Housemates!$B$12=""),0,IF($R59&gt;0,IF(J59="",0,IF(ISNUMBER(J59),J59,1)),IF($C59="Paying back",0,IF(AND(OR(Housemates!$C$12="",Housemates!$C$12&lt;=$B59),OR(Housemates!$D$12="",Housemates!$D$12&gt;=$B59)),IF($Q59=0,1,INDEX(Bills!$AE$6:$AE$25,$Q59)),0))))</f>
        <v/>
      </c>
      <c r="X59">
        <f>IF(OR($D59="",$B59="",Housemates!$B$13=""),0,IF($R59&gt;0,IF(K59="",0,IF(ISNUMBER(K59),K59,1)),IF($C59="Paying back",0,IF(AND(OR(Housemates!$C$13="",Housemates!$C$13&lt;=$B59),OR(Housemates!$D$13="",Housemates!$D$13&gt;=$B59)),IF($Q59=0,1,INDEX(Bills!$AF$6:$AF$25,$Q59)),0))))</f>
        <v/>
      </c>
      <c r="Y59">
        <f>IF(OR($D59="",$B59="",Housemates!$B$14=""),0,IF($R59&gt;0,IF(L59="",0,IF(ISNUMBER(L59),L59,1)),IF($C59="Paying back",0,IF(AND(OR(Housemates!$C$14="",Housemates!$C$14&lt;=$B59),OR(Housemates!$D$14="",Housemates!$D$14&gt;=$B59)),IF($Q59=0,1,INDEX(Bills!$AG$6:$AG$25,$Q59)),0))))</f>
        <v/>
      </c>
      <c r="Z59">
        <f>IF(OR($D59="",$B59="",Housemates!$B$15=""),0,IF($R59&gt;0,IF(M59="",0,IF(ISNUMBER(M59),M59,1)),IF($C59="Paying back",0,IF(AND(OR(Housemates!$C$15="",Housemates!$C$15&lt;=$B59),OR(Housemates!$D$15="",Housemates!$D$15&gt;=$B59)),IF($Q59=0,1,INDEX(Bills!$AH$6:$AH$25,$Q59)),0))))</f>
        <v/>
      </c>
      <c r="AA59">
        <f>SUM(S59:Z59)</f>
        <v/>
      </c>
      <c r="AB59">
        <f>IF(AA59=0,0,D59*S59/AA59)</f>
        <v/>
      </c>
      <c r="AC59">
        <f>IF(AA59=0,0,D59*T59/AA59)</f>
        <v/>
      </c>
      <c r="AD59">
        <f>IF(AA59=0,0,D59*U59/AA59)</f>
        <v/>
      </c>
      <c r="AE59">
        <f>IF(AA59=0,0,D59*V59/AA59)</f>
        <v/>
      </c>
      <c r="AF59">
        <f>IF(AA59=0,0,D59*W59/AA59)</f>
        <v/>
      </c>
      <c r="AG59">
        <f>IF(AA59=0,0,D59*X59/AA59)</f>
        <v/>
      </c>
      <c r="AH59">
        <f>IF(AA59=0,0,D59*Y59/AA59)</f>
        <v/>
      </c>
      <c r="AI59">
        <f>IF(AA59=0,0,D59*Z59/AA59)</f>
        <v/>
      </c>
      <c r="AJ59">
        <f>IF(OR(C59="",B59=""),"",C59&amp;"|"&amp;(YEAR(B59)*100+MONTH(B59)))</f>
        <v/>
      </c>
    </row>
    <row r="60">
      <c r="A60" s="1" t="n"/>
      <c r="B60" s="23" t="n">
        <v>46183</v>
      </c>
      <c r="C60" s="24" t="inlineStr">
        <is>
          <t>Groceries</t>
        </is>
      </c>
      <c r="D60" s="25" t="n">
        <v>50.52</v>
      </c>
      <c r="E60" s="26" t="inlineStr">
        <is>
          <t>Maya</t>
        </is>
      </c>
      <c r="F60" s="27" t="n"/>
      <c r="G60" s="27" t="n"/>
      <c r="H60" s="27" t="n"/>
      <c r="I60" s="27" t="n"/>
      <c r="J60" s="27" t="n"/>
      <c r="K60" s="27" t="n"/>
      <c r="L60" s="27" t="n"/>
      <c r="M60" s="27" t="n"/>
      <c r="N60" s="21">
        <f>IF(D60="","",IF(B60="","No date",IF(AND(C60="Paying back",R60=0),"To whom?",IF(AA60=0,"Nobody",IF(C60="Paying back","To "&amp;INDEX(Housemates!$B$8:$B$15,MATCH(MAX(S60:Z60),S60:Z60,0)),IF(R60&gt;0,IF(COUNTIF(S60:Z60,"&gt;0")=1,"1 person",COUNTIF(S60:Z60,"&gt;0")&amp;" people"),IF(Q60=0,"Everyone",INDEX(Bills!$Q$6:$Q$25,Q60))))))))</f>
        <v/>
      </c>
      <c r="O60" s="18">
        <f>IF(D60="","",IF(C60="Paying back","Paying back",IF(Q60=0,"Other",IF(INDEX(Bills!$C$6:$C$25,Q60)="","Other",INDEX(Bills!$C$6:$C$25,Q60)))))</f>
        <v/>
      </c>
      <c r="P60" s="1" t="n"/>
      <c r="Q60">
        <f>IF(C60="",0,IFERROR(MATCH(C60,Bills!$B$6:$B$25,0),0))</f>
        <v/>
      </c>
      <c r="R60">
        <f>COUNTA(F60:M60)</f>
        <v/>
      </c>
      <c r="S60">
        <f>IF(OR($D60="",$B60="",Housemates!$B$8=""),0,IF($R60&gt;0,IF(F60="",0,IF(ISNUMBER(F60),F60,1)),IF($C60="Paying back",0,IF(AND(OR(Housemates!$C$8="",Housemates!$C$8&lt;=$B60),OR(Housemates!$D$8="",Housemates!$D$8&gt;=$B60)),IF($Q60=0,1,INDEX(Bills!$AA$6:$AA$25,$Q60)),0))))</f>
        <v/>
      </c>
      <c r="T60">
        <f>IF(OR($D60="",$B60="",Housemates!$B$9=""),0,IF($R60&gt;0,IF(G60="",0,IF(ISNUMBER(G60),G60,1)),IF($C60="Paying back",0,IF(AND(OR(Housemates!$C$9="",Housemates!$C$9&lt;=$B60),OR(Housemates!$D$9="",Housemates!$D$9&gt;=$B60)),IF($Q60=0,1,INDEX(Bills!$AB$6:$AB$25,$Q60)),0))))</f>
        <v/>
      </c>
      <c r="U60">
        <f>IF(OR($D60="",$B60="",Housemates!$B$10=""),0,IF($R60&gt;0,IF(H60="",0,IF(ISNUMBER(H60),H60,1)),IF($C60="Paying back",0,IF(AND(OR(Housemates!$C$10="",Housemates!$C$10&lt;=$B60),OR(Housemates!$D$10="",Housemates!$D$10&gt;=$B60)),IF($Q60=0,1,INDEX(Bills!$AC$6:$AC$25,$Q60)),0))))</f>
        <v/>
      </c>
      <c r="V60">
        <f>IF(OR($D60="",$B60="",Housemates!$B$11=""),0,IF($R60&gt;0,IF(I60="",0,IF(ISNUMBER(I60),I60,1)),IF($C60="Paying back",0,IF(AND(OR(Housemates!$C$11="",Housemates!$C$11&lt;=$B60),OR(Housemates!$D$11="",Housemates!$D$11&gt;=$B60)),IF($Q60=0,1,INDEX(Bills!$AD$6:$AD$25,$Q60)),0))))</f>
        <v/>
      </c>
      <c r="W60">
        <f>IF(OR($D60="",$B60="",Housemates!$B$12=""),0,IF($R60&gt;0,IF(J60="",0,IF(ISNUMBER(J60),J60,1)),IF($C60="Paying back",0,IF(AND(OR(Housemates!$C$12="",Housemates!$C$12&lt;=$B60),OR(Housemates!$D$12="",Housemates!$D$12&gt;=$B60)),IF($Q60=0,1,INDEX(Bills!$AE$6:$AE$25,$Q60)),0))))</f>
        <v/>
      </c>
      <c r="X60">
        <f>IF(OR($D60="",$B60="",Housemates!$B$13=""),0,IF($R60&gt;0,IF(K60="",0,IF(ISNUMBER(K60),K60,1)),IF($C60="Paying back",0,IF(AND(OR(Housemates!$C$13="",Housemates!$C$13&lt;=$B60),OR(Housemates!$D$13="",Housemates!$D$13&gt;=$B60)),IF($Q60=0,1,INDEX(Bills!$AF$6:$AF$25,$Q60)),0))))</f>
        <v/>
      </c>
      <c r="Y60">
        <f>IF(OR($D60="",$B60="",Housemates!$B$14=""),0,IF($R60&gt;0,IF(L60="",0,IF(ISNUMBER(L60),L60,1)),IF($C60="Paying back",0,IF(AND(OR(Housemates!$C$14="",Housemates!$C$14&lt;=$B60),OR(Housemates!$D$14="",Housemates!$D$14&gt;=$B60)),IF($Q60=0,1,INDEX(Bills!$AG$6:$AG$25,$Q60)),0))))</f>
        <v/>
      </c>
      <c r="Z60">
        <f>IF(OR($D60="",$B60="",Housemates!$B$15=""),0,IF($R60&gt;0,IF(M60="",0,IF(ISNUMBER(M60),M60,1)),IF($C60="Paying back",0,IF(AND(OR(Housemates!$C$15="",Housemates!$C$15&lt;=$B60),OR(Housemates!$D$15="",Housemates!$D$15&gt;=$B60)),IF($Q60=0,1,INDEX(Bills!$AH$6:$AH$25,$Q60)),0))))</f>
        <v/>
      </c>
      <c r="AA60">
        <f>SUM(S60:Z60)</f>
        <v/>
      </c>
      <c r="AB60">
        <f>IF(AA60=0,0,D60*S60/AA60)</f>
        <v/>
      </c>
      <c r="AC60">
        <f>IF(AA60=0,0,D60*T60/AA60)</f>
        <v/>
      </c>
      <c r="AD60">
        <f>IF(AA60=0,0,D60*U60/AA60)</f>
        <v/>
      </c>
      <c r="AE60">
        <f>IF(AA60=0,0,D60*V60/AA60)</f>
        <v/>
      </c>
      <c r="AF60">
        <f>IF(AA60=0,0,D60*W60/AA60)</f>
        <v/>
      </c>
      <c r="AG60">
        <f>IF(AA60=0,0,D60*X60/AA60)</f>
        <v/>
      </c>
      <c r="AH60">
        <f>IF(AA60=0,0,D60*Y60/AA60)</f>
        <v/>
      </c>
      <c r="AI60">
        <f>IF(AA60=0,0,D60*Z60/AA60)</f>
        <v/>
      </c>
      <c r="AJ60">
        <f>IF(OR(C60="",B60=""),"",C60&amp;"|"&amp;(YEAR(B60)*100+MONTH(B60)))</f>
        <v/>
      </c>
    </row>
    <row r="61">
      <c r="A61" s="1" t="n"/>
      <c r="B61" s="23" t="n">
        <v>46185</v>
      </c>
      <c r="C61" s="24" t="inlineStr">
        <is>
          <t>Electricity</t>
        </is>
      </c>
      <c r="D61" s="25" t="n">
        <v>88.92</v>
      </c>
      <c r="E61" s="26" t="inlineStr">
        <is>
          <t>Leo</t>
        </is>
      </c>
      <c r="F61" s="27" t="n"/>
      <c r="G61" s="27" t="n"/>
      <c r="H61" s="27" t="n"/>
      <c r="I61" s="27" t="n"/>
      <c r="J61" s="27" t="n"/>
      <c r="K61" s="27" t="n"/>
      <c r="L61" s="27" t="n"/>
      <c r="M61" s="27" t="n"/>
      <c r="N61" s="21">
        <f>IF(D61="","",IF(B61="","No date",IF(AND(C61="Paying back",R61=0),"To whom?",IF(AA61=0,"Nobody",IF(C61="Paying back","To "&amp;INDEX(Housemates!$B$8:$B$15,MATCH(MAX(S61:Z61),S61:Z61,0)),IF(R61&gt;0,IF(COUNTIF(S61:Z61,"&gt;0")=1,"1 person",COUNTIF(S61:Z61,"&gt;0")&amp;" people"),IF(Q61=0,"Everyone",INDEX(Bills!$Q$6:$Q$25,Q61))))))))</f>
        <v/>
      </c>
      <c r="O61" s="18">
        <f>IF(D61="","",IF(C61="Paying back","Paying back",IF(Q61=0,"Other",IF(INDEX(Bills!$C$6:$C$25,Q61)="","Other",INDEX(Bills!$C$6:$C$25,Q61)))))</f>
        <v/>
      </c>
      <c r="P61" s="1" t="n"/>
      <c r="Q61">
        <f>IF(C61="",0,IFERROR(MATCH(C61,Bills!$B$6:$B$25,0),0))</f>
        <v/>
      </c>
      <c r="R61">
        <f>COUNTA(F61:M61)</f>
        <v/>
      </c>
      <c r="S61">
        <f>IF(OR($D61="",$B61="",Housemates!$B$8=""),0,IF($R61&gt;0,IF(F61="",0,IF(ISNUMBER(F61),F61,1)),IF($C61="Paying back",0,IF(AND(OR(Housemates!$C$8="",Housemates!$C$8&lt;=$B61),OR(Housemates!$D$8="",Housemates!$D$8&gt;=$B61)),IF($Q61=0,1,INDEX(Bills!$AA$6:$AA$25,$Q61)),0))))</f>
        <v/>
      </c>
      <c r="T61">
        <f>IF(OR($D61="",$B61="",Housemates!$B$9=""),0,IF($R61&gt;0,IF(G61="",0,IF(ISNUMBER(G61),G61,1)),IF($C61="Paying back",0,IF(AND(OR(Housemates!$C$9="",Housemates!$C$9&lt;=$B61),OR(Housemates!$D$9="",Housemates!$D$9&gt;=$B61)),IF($Q61=0,1,INDEX(Bills!$AB$6:$AB$25,$Q61)),0))))</f>
        <v/>
      </c>
      <c r="U61">
        <f>IF(OR($D61="",$B61="",Housemates!$B$10=""),0,IF($R61&gt;0,IF(H61="",0,IF(ISNUMBER(H61),H61,1)),IF($C61="Paying back",0,IF(AND(OR(Housemates!$C$10="",Housemates!$C$10&lt;=$B61),OR(Housemates!$D$10="",Housemates!$D$10&gt;=$B61)),IF($Q61=0,1,INDEX(Bills!$AC$6:$AC$25,$Q61)),0))))</f>
        <v/>
      </c>
      <c r="V61">
        <f>IF(OR($D61="",$B61="",Housemates!$B$11=""),0,IF($R61&gt;0,IF(I61="",0,IF(ISNUMBER(I61),I61,1)),IF($C61="Paying back",0,IF(AND(OR(Housemates!$C$11="",Housemates!$C$11&lt;=$B61),OR(Housemates!$D$11="",Housemates!$D$11&gt;=$B61)),IF($Q61=0,1,INDEX(Bills!$AD$6:$AD$25,$Q61)),0))))</f>
        <v/>
      </c>
      <c r="W61">
        <f>IF(OR($D61="",$B61="",Housemates!$B$12=""),0,IF($R61&gt;0,IF(J61="",0,IF(ISNUMBER(J61),J61,1)),IF($C61="Paying back",0,IF(AND(OR(Housemates!$C$12="",Housemates!$C$12&lt;=$B61),OR(Housemates!$D$12="",Housemates!$D$12&gt;=$B61)),IF($Q61=0,1,INDEX(Bills!$AE$6:$AE$25,$Q61)),0))))</f>
        <v/>
      </c>
      <c r="X61">
        <f>IF(OR($D61="",$B61="",Housemates!$B$13=""),0,IF($R61&gt;0,IF(K61="",0,IF(ISNUMBER(K61),K61,1)),IF($C61="Paying back",0,IF(AND(OR(Housemates!$C$13="",Housemates!$C$13&lt;=$B61),OR(Housemates!$D$13="",Housemates!$D$13&gt;=$B61)),IF($Q61=0,1,INDEX(Bills!$AF$6:$AF$25,$Q61)),0))))</f>
        <v/>
      </c>
      <c r="Y61">
        <f>IF(OR($D61="",$B61="",Housemates!$B$14=""),0,IF($R61&gt;0,IF(L61="",0,IF(ISNUMBER(L61),L61,1)),IF($C61="Paying back",0,IF(AND(OR(Housemates!$C$14="",Housemates!$C$14&lt;=$B61),OR(Housemates!$D$14="",Housemates!$D$14&gt;=$B61)),IF($Q61=0,1,INDEX(Bills!$AG$6:$AG$25,$Q61)),0))))</f>
        <v/>
      </c>
      <c r="Z61">
        <f>IF(OR($D61="",$B61="",Housemates!$B$15=""),0,IF($R61&gt;0,IF(M61="",0,IF(ISNUMBER(M61),M61,1)),IF($C61="Paying back",0,IF(AND(OR(Housemates!$C$15="",Housemates!$C$15&lt;=$B61),OR(Housemates!$D$15="",Housemates!$D$15&gt;=$B61)),IF($Q61=0,1,INDEX(Bills!$AH$6:$AH$25,$Q61)),0))))</f>
        <v/>
      </c>
      <c r="AA61">
        <f>SUM(S61:Z61)</f>
        <v/>
      </c>
      <c r="AB61">
        <f>IF(AA61=0,0,D61*S61/AA61)</f>
        <v/>
      </c>
      <c r="AC61">
        <f>IF(AA61=0,0,D61*T61/AA61)</f>
        <v/>
      </c>
      <c r="AD61">
        <f>IF(AA61=0,0,D61*U61/AA61)</f>
        <v/>
      </c>
      <c r="AE61">
        <f>IF(AA61=0,0,D61*V61/AA61)</f>
        <v/>
      </c>
      <c r="AF61">
        <f>IF(AA61=0,0,D61*W61/AA61)</f>
        <v/>
      </c>
      <c r="AG61">
        <f>IF(AA61=0,0,D61*X61/AA61)</f>
        <v/>
      </c>
      <c r="AH61">
        <f>IF(AA61=0,0,D61*Y61/AA61)</f>
        <v/>
      </c>
      <c r="AI61">
        <f>IF(AA61=0,0,D61*Z61/AA61)</f>
        <v/>
      </c>
      <c r="AJ61">
        <f>IF(OR(C61="",B61=""),"",C61&amp;"|"&amp;(YEAR(B61)*100+MONTH(B61)))</f>
        <v/>
      </c>
    </row>
    <row r="62">
      <c r="A62" s="1" t="n"/>
      <c r="B62" s="23" t="n">
        <v>46188</v>
      </c>
      <c r="C62" s="24" t="inlineStr">
        <is>
          <t>Groceries</t>
        </is>
      </c>
      <c r="D62" s="25" t="n">
        <v>69.84</v>
      </c>
      <c r="E62" s="26" t="inlineStr">
        <is>
          <t>Zoe</t>
        </is>
      </c>
      <c r="F62" s="27" t="n"/>
      <c r="G62" s="27" t="n"/>
      <c r="H62" s="27" t="n"/>
      <c r="I62" s="27" t="n"/>
      <c r="J62" s="27" t="n"/>
      <c r="K62" s="27" t="n"/>
      <c r="L62" s="27" t="n"/>
      <c r="M62" s="27" t="n"/>
      <c r="N62" s="21">
        <f>IF(D62="","",IF(B62="","No date",IF(AND(C62="Paying back",R62=0),"To whom?",IF(AA62=0,"Nobody",IF(C62="Paying back","To "&amp;INDEX(Housemates!$B$8:$B$15,MATCH(MAX(S62:Z62),S62:Z62,0)),IF(R62&gt;0,IF(COUNTIF(S62:Z62,"&gt;0")=1,"1 person",COUNTIF(S62:Z62,"&gt;0")&amp;" people"),IF(Q62=0,"Everyone",INDEX(Bills!$Q$6:$Q$25,Q62))))))))</f>
        <v/>
      </c>
      <c r="O62" s="18">
        <f>IF(D62="","",IF(C62="Paying back","Paying back",IF(Q62=0,"Other",IF(INDEX(Bills!$C$6:$C$25,Q62)="","Other",INDEX(Bills!$C$6:$C$25,Q62)))))</f>
        <v/>
      </c>
      <c r="P62" s="1" t="n"/>
      <c r="Q62">
        <f>IF(C62="",0,IFERROR(MATCH(C62,Bills!$B$6:$B$25,0),0))</f>
        <v/>
      </c>
      <c r="R62">
        <f>COUNTA(F62:M62)</f>
        <v/>
      </c>
      <c r="S62">
        <f>IF(OR($D62="",$B62="",Housemates!$B$8=""),0,IF($R62&gt;0,IF(F62="",0,IF(ISNUMBER(F62),F62,1)),IF($C62="Paying back",0,IF(AND(OR(Housemates!$C$8="",Housemates!$C$8&lt;=$B62),OR(Housemates!$D$8="",Housemates!$D$8&gt;=$B62)),IF($Q62=0,1,INDEX(Bills!$AA$6:$AA$25,$Q62)),0))))</f>
        <v/>
      </c>
      <c r="T62">
        <f>IF(OR($D62="",$B62="",Housemates!$B$9=""),0,IF($R62&gt;0,IF(G62="",0,IF(ISNUMBER(G62),G62,1)),IF($C62="Paying back",0,IF(AND(OR(Housemates!$C$9="",Housemates!$C$9&lt;=$B62),OR(Housemates!$D$9="",Housemates!$D$9&gt;=$B62)),IF($Q62=0,1,INDEX(Bills!$AB$6:$AB$25,$Q62)),0))))</f>
        <v/>
      </c>
      <c r="U62">
        <f>IF(OR($D62="",$B62="",Housemates!$B$10=""),0,IF($R62&gt;0,IF(H62="",0,IF(ISNUMBER(H62),H62,1)),IF($C62="Paying back",0,IF(AND(OR(Housemates!$C$10="",Housemates!$C$10&lt;=$B62),OR(Housemates!$D$10="",Housemates!$D$10&gt;=$B62)),IF($Q62=0,1,INDEX(Bills!$AC$6:$AC$25,$Q62)),0))))</f>
        <v/>
      </c>
      <c r="V62">
        <f>IF(OR($D62="",$B62="",Housemates!$B$11=""),0,IF($R62&gt;0,IF(I62="",0,IF(ISNUMBER(I62),I62,1)),IF($C62="Paying back",0,IF(AND(OR(Housemates!$C$11="",Housemates!$C$11&lt;=$B62),OR(Housemates!$D$11="",Housemates!$D$11&gt;=$B62)),IF($Q62=0,1,INDEX(Bills!$AD$6:$AD$25,$Q62)),0))))</f>
        <v/>
      </c>
      <c r="W62">
        <f>IF(OR($D62="",$B62="",Housemates!$B$12=""),0,IF($R62&gt;0,IF(J62="",0,IF(ISNUMBER(J62),J62,1)),IF($C62="Paying back",0,IF(AND(OR(Housemates!$C$12="",Housemates!$C$12&lt;=$B62),OR(Housemates!$D$12="",Housemates!$D$12&gt;=$B62)),IF($Q62=0,1,INDEX(Bills!$AE$6:$AE$25,$Q62)),0))))</f>
        <v/>
      </c>
      <c r="X62">
        <f>IF(OR($D62="",$B62="",Housemates!$B$13=""),0,IF($R62&gt;0,IF(K62="",0,IF(ISNUMBER(K62),K62,1)),IF($C62="Paying back",0,IF(AND(OR(Housemates!$C$13="",Housemates!$C$13&lt;=$B62),OR(Housemates!$D$13="",Housemates!$D$13&gt;=$B62)),IF($Q62=0,1,INDEX(Bills!$AF$6:$AF$25,$Q62)),0))))</f>
        <v/>
      </c>
      <c r="Y62">
        <f>IF(OR($D62="",$B62="",Housemates!$B$14=""),0,IF($R62&gt;0,IF(L62="",0,IF(ISNUMBER(L62),L62,1)),IF($C62="Paying back",0,IF(AND(OR(Housemates!$C$14="",Housemates!$C$14&lt;=$B62),OR(Housemates!$D$14="",Housemates!$D$14&gt;=$B62)),IF($Q62=0,1,INDEX(Bills!$AG$6:$AG$25,$Q62)),0))))</f>
        <v/>
      </c>
      <c r="Z62">
        <f>IF(OR($D62="",$B62="",Housemates!$B$15=""),0,IF($R62&gt;0,IF(M62="",0,IF(ISNUMBER(M62),M62,1)),IF($C62="Paying back",0,IF(AND(OR(Housemates!$C$15="",Housemates!$C$15&lt;=$B62),OR(Housemates!$D$15="",Housemates!$D$15&gt;=$B62)),IF($Q62=0,1,INDEX(Bills!$AH$6:$AH$25,$Q62)),0))))</f>
        <v/>
      </c>
      <c r="AA62">
        <f>SUM(S62:Z62)</f>
        <v/>
      </c>
      <c r="AB62">
        <f>IF(AA62=0,0,D62*S62/AA62)</f>
        <v/>
      </c>
      <c r="AC62">
        <f>IF(AA62=0,0,D62*T62/AA62)</f>
        <v/>
      </c>
      <c r="AD62">
        <f>IF(AA62=0,0,D62*U62/AA62)</f>
        <v/>
      </c>
      <c r="AE62">
        <f>IF(AA62=0,0,D62*V62/AA62)</f>
        <v/>
      </c>
      <c r="AF62">
        <f>IF(AA62=0,0,D62*W62/AA62)</f>
        <v/>
      </c>
      <c r="AG62">
        <f>IF(AA62=0,0,D62*X62/AA62)</f>
        <v/>
      </c>
      <c r="AH62">
        <f>IF(AA62=0,0,D62*Y62/AA62)</f>
        <v/>
      </c>
      <c r="AI62">
        <f>IF(AA62=0,0,D62*Z62/AA62)</f>
        <v/>
      </c>
      <c r="AJ62">
        <f>IF(OR(C62="",B62=""),"",C62&amp;"|"&amp;(YEAR(B62)*100+MONTH(B62)))</f>
        <v/>
      </c>
    </row>
    <row r="63">
      <c r="A63" s="1" t="n"/>
      <c r="B63" s="23" t="n">
        <v>46191</v>
      </c>
      <c r="C63" s="24" t="inlineStr">
        <is>
          <t>Groceries</t>
        </is>
      </c>
      <c r="D63" s="25" t="n">
        <v>68.64</v>
      </c>
      <c r="E63" s="26" t="inlineStr">
        <is>
          <t>Leo</t>
        </is>
      </c>
      <c r="F63" s="27" t="n"/>
      <c r="G63" s="27" t="n"/>
      <c r="H63" s="27" t="n"/>
      <c r="I63" s="27" t="n"/>
      <c r="J63" s="27" t="n"/>
      <c r="K63" s="27" t="n"/>
      <c r="L63" s="27" t="n"/>
      <c r="M63" s="27" t="n"/>
      <c r="N63" s="21">
        <f>IF(D63="","",IF(B63="","No date",IF(AND(C63="Paying back",R63=0),"To whom?",IF(AA63=0,"Nobody",IF(C63="Paying back","To "&amp;INDEX(Housemates!$B$8:$B$15,MATCH(MAX(S63:Z63),S63:Z63,0)),IF(R63&gt;0,IF(COUNTIF(S63:Z63,"&gt;0")=1,"1 person",COUNTIF(S63:Z63,"&gt;0")&amp;" people"),IF(Q63=0,"Everyone",INDEX(Bills!$Q$6:$Q$25,Q63))))))))</f>
        <v/>
      </c>
      <c r="O63" s="18">
        <f>IF(D63="","",IF(C63="Paying back","Paying back",IF(Q63=0,"Other",IF(INDEX(Bills!$C$6:$C$25,Q63)="","Other",INDEX(Bills!$C$6:$C$25,Q63)))))</f>
        <v/>
      </c>
      <c r="P63" s="1" t="n"/>
      <c r="Q63">
        <f>IF(C63="",0,IFERROR(MATCH(C63,Bills!$B$6:$B$25,0),0))</f>
        <v/>
      </c>
      <c r="R63">
        <f>COUNTA(F63:M63)</f>
        <v/>
      </c>
      <c r="S63">
        <f>IF(OR($D63="",$B63="",Housemates!$B$8=""),0,IF($R63&gt;0,IF(F63="",0,IF(ISNUMBER(F63),F63,1)),IF($C63="Paying back",0,IF(AND(OR(Housemates!$C$8="",Housemates!$C$8&lt;=$B63),OR(Housemates!$D$8="",Housemates!$D$8&gt;=$B63)),IF($Q63=0,1,INDEX(Bills!$AA$6:$AA$25,$Q63)),0))))</f>
        <v/>
      </c>
      <c r="T63">
        <f>IF(OR($D63="",$B63="",Housemates!$B$9=""),0,IF($R63&gt;0,IF(G63="",0,IF(ISNUMBER(G63),G63,1)),IF($C63="Paying back",0,IF(AND(OR(Housemates!$C$9="",Housemates!$C$9&lt;=$B63),OR(Housemates!$D$9="",Housemates!$D$9&gt;=$B63)),IF($Q63=0,1,INDEX(Bills!$AB$6:$AB$25,$Q63)),0))))</f>
        <v/>
      </c>
      <c r="U63">
        <f>IF(OR($D63="",$B63="",Housemates!$B$10=""),0,IF($R63&gt;0,IF(H63="",0,IF(ISNUMBER(H63),H63,1)),IF($C63="Paying back",0,IF(AND(OR(Housemates!$C$10="",Housemates!$C$10&lt;=$B63),OR(Housemates!$D$10="",Housemates!$D$10&gt;=$B63)),IF($Q63=0,1,INDEX(Bills!$AC$6:$AC$25,$Q63)),0))))</f>
        <v/>
      </c>
      <c r="V63">
        <f>IF(OR($D63="",$B63="",Housemates!$B$11=""),0,IF($R63&gt;0,IF(I63="",0,IF(ISNUMBER(I63),I63,1)),IF($C63="Paying back",0,IF(AND(OR(Housemates!$C$11="",Housemates!$C$11&lt;=$B63),OR(Housemates!$D$11="",Housemates!$D$11&gt;=$B63)),IF($Q63=0,1,INDEX(Bills!$AD$6:$AD$25,$Q63)),0))))</f>
        <v/>
      </c>
      <c r="W63">
        <f>IF(OR($D63="",$B63="",Housemates!$B$12=""),0,IF($R63&gt;0,IF(J63="",0,IF(ISNUMBER(J63),J63,1)),IF($C63="Paying back",0,IF(AND(OR(Housemates!$C$12="",Housemates!$C$12&lt;=$B63),OR(Housemates!$D$12="",Housemates!$D$12&gt;=$B63)),IF($Q63=0,1,INDEX(Bills!$AE$6:$AE$25,$Q63)),0))))</f>
        <v/>
      </c>
      <c r="X63">
        <f>IF(OR($D63="",$B63="",Housemates!$B$13=""),0,IF($R63&gt;0,IF(K63="",0,IF(ISNUMBER(K63),K63,1)),IF($C63="Paying back",0,IF(AND(OR(Housemates!$C$13="",Housemates!$C$13&lt;=$B63),OR(Housemates!$D$13="",Housemates!$D$13&gt;=$B63)),IF($Q63=0,1,INDEX(Bills!$AF$6:$AF$25,$Q63)),0))))</f>
        <v/>
      </c>
      <c r="Y63">
        <f>IF(OR($D63="",$B63="",Housemates!$B$14=""),0,IF($R63&gt;0,IF(L63="",0,IF(ISNUMBER(L63),L63,1)),IF($C63="Paying back",0,IF(AND(OR(Housemates!$C$14="",Housemates!$C$14&lt;=$B63),OR(Housemates!$D$14="",Housemates!$D$14&gt;=$B63)),IF($Q63=0,1,INDEX(Bills!$AG$6:$AG$25,$Q63)),0))))</f>
        <v/>
      </c>
      <c r="Z63">
        <f>IF(OR($D63="",$B63="",Housemates!$B$15=""),0,IF($R63&gt;0,IF(M63="",0,IF(ISNUMBER(M63),M63,1)),IF($C63="Paying back",0,IF(AND(OR(Housemates!$C$15="",Housemates!$C$15&lt;=$B63),OR(Housemates!$D$15="",Housemates!$D$15&gt;=$B63)),IF($Q63=0,1,INDEX(Bills!$AH$6:$AH$25,$Q63)),0))))</f>
        <v/>
      </c>
      <c r="AA63">
        <f>SUM(S63:Z63)</f>
        <v/>
      </c>
      <c r="AB63">
        <f>IF(AA63=0,0,D63*S63/AA63)</f>
        <v/>
      </c>
      <c r="AC63">
        <f>IF(AA63=0,0,D63*T63/AA63)</f>
        <v/>
      </c>
      <c r="AD63">
        <f>IF(AA63=0,0,D63*U63/AA63)</f>
        <v/>
      </c>
      <c r="AE63">
        <f>IF(AA63=0,0,D63*V63/AA63)</f>
        <v/>
      </c>
      <c r="AF63">
        <f>IF(AA63=0,0,D63*W63/AA63)</f>
        <v/>
      </c>
      <c r="AG63">
        <f>IF(AA63=0,0,D63*X63/AA63)</f>
        <v/>
      </c>
      <c r="AH63">
        <f>IF(AA63=0,0,D63*Y63/AA63)</f>
        <v/>
      </c>
      <c r="AI63">
        <f>IF(AA63=0,0,D63*Z63/AA63)</f>
        <v/>
      </c>
      <c r="AJ63">
        <f>IF(OR(C63="",B63=""),"",C63&amp;"|"&amp;(YEAR(B63)*100+MONTH(B63)))</f>
        <v/>
      </c>
    </row>
    <row r="64">
      <c r="A64" s="1" t="n"/>
      <c r="B64" s="23" t="n">
        <v>46193</v>
      </c>
      <c r="C64" s="24" t="inlineStr">
        <is>
          <t>Streaming</t>
        </is>
      </c>
      <c r="D64" s="25" t="n">
        <v>15.96</v>
      </c>
      <c r="E64" s="26" t="inlineStr">
        <is>
          <t>Priya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1">
        <f>IF(D64="","",IF(B64="","No date",IF(AND(C64="Paying back",R64=0),"To whom?",IF(AA64=0,"Nobody",IF(C64="Paying back","To "&amp;INDEX(Housemates!$B$8:$B$15,MATCH(MAX(S64:Z64),S64:Z64,0)),IF(R64&gt;0,IF(COUNTIF(S64:Z64,"&gt;0")=1,"1 person",COUNTIF(S64:Z64,"&gt;0")&amp;" people"),IF(Q64=0,"Everyone",INDEX(Bills!$Q$6:$Q$25,Q64))))))))</f>
        <v/>
      </c>
      <c r="O64" s="18">
        <f>IF(D64="","",IF(C64="Paying back","Paying back",IF(Q64=0,"Other",IF(INDEX(Bills!$C$6:$C$25,Q64)="","Other",INDEX(Bills!$C$6:$C$25,Q64)))))</f>
        <v/>
      </c>
      <c r="P64" s="1" t="n"/>
      <c r="Q64">
        <f>IF(C64="",0,IFERROR(MATCH(C64,Bills!$B$6:$B$25,0),0))</f>
        <v/>
      </c>
      <c r="R64">
        <f>COUNTA(F64:M64)</f>
        <v/>
      </c>
      <c r="S64">
        <f>IF(OR($D64="",$B64="",Housemates!$B$8=""),0,IF($R64&gt;0,IF(F64="",0,IF(ISNUMBER(F64),F64,1)),IF($C64="Paying back",0,IF(AND(OR(Housemates!$C$8="",Housemates!$C$8&lt;=$B64),OR(Housemates!$D$8="",Housemates!$D$8&gt;=$B64)),IF($Q64=0,1,INDEX(Bills!$AA$6:$AA$25,$Q64)),0))))</f>
        <v/>
      </c>
      <c r="T64">
        <f>IF(OR($D64="",$B64="",Housemates!$B$9=""),0,IF($R64&gt;0,IF(G64="",0,IF(ISNUMBER(G64),G64,1)),IF($C64="Paying back",0,IF(AND(OR(Housemates!$C$9="",Housemates!$C$9&lt;=$B64),OR(Housemates!$D$9="",Housemates!$D$9&gt;=$B64)),IF($Q64=0,1,INDEX(Bills!$AB$6:$AB$25,$Q64)),0))))</f>
        <v/>
      </c>
      <c r="U64">
        <f>IF(OR($D64="",$B64="",Housemates!$B$10=""),0,IF($R64&gt;0,IF(H64="",0,IF(ISNUMBER(H64),H64,1)),IF($C64="Paying back",0,IF(AND(OR(Housemates!$C$10="",Housemates!$C$10&lt;=$B64),OR(Housemates!$D$10="",Housemates!$D$10&gt;=$B64)),IF($Q64=0,1,INDEX(Bills!$AC$6:$AC$25,$Q64)),0))))</f>
        <v/>
      </c>
      <c r="V64">
        <f>IF(OR($D64="",$B64="",Housemates!$B$11=""),0,IF($R64&gt;0,IF(I64="",0,IF(ISNUMBER(I64),I64,1)),IF($C64="Paying back",0,IF(AND(OR(Housemates!$C$11="",Housemates!$C$11&lt;=$B64),OR(Housemates!$D$11="",Housemates!$D$11&gt;=$B64)),IF($Q64=0,1,INDEX(Bills!$AD$6:$AD$25,$Q64)),0))))</f>
        <v/>
      </c>
      <c r="W64">
        <f>IF(OR($D64="",$B64="",Housemates!$B$12=""),0,IF($R64&gt;0,IF(J64="",0,IF(ISNUMBER(J64),J64,1)),IF($C64="Paying back",0,IF(AND(OR(Housemates!$C$12="",Housemates!$C$12&lt;=$B64),OR(Housemates!$D$12="",Housemates!$D$12&gt;=$B64)),IF($Q64=0,1,INDEX(Bills!$AE$6:$AE$25,$Q64)),0))))</f>
        <v/>
      </c>
      <c r="X64">
        <f>IF(OR($D64="",$B64="",Housemates!$B$13=""),0,IF($R64&gt;0,IF(K64="",0,IF(ISNUMBER(K64),K64,1)),IF($C64="Paying back",0,IF(AND(OR(Housemates!$C$13="",Housemates!$C$13&lt;=$B64),OR(Housemates!$D$13="",Housemates!$D$13&gt;=$B64)),IF($Q64=0,1,INDEX(Bills!$AF$6:$AF$25,$Q64)),0))))</f>
        <v/>
      </c>
      <c r="Y64">
        <f>IF(OR($D64="",$B64="",Housemates!$B$14=""),0,IF($R64&gt;0,IF(L64="",0,IF(ISNUMBER(L64),L64,1)),IF($C64="Paying back",0,IF(AND(OR(Housemates!$C$14="",Housemates!$C$14&lt;=$B64),OR(Housemates!$D$14="",Housemates!$D$14&gt;=$B64)),IF($Q64=0,1,INDEX(Bills!$AG$6:$AG$25,$Q64)),0))))</f>
        <v/>
      </c>
      <c r="Z64">
        <f>IF(OR($D64="",$B64="",Housemates!$B$15=""),0,IF($R64&gt;0,IF(M64="",0,IF(ISNUMBER(M64),M64,1)),IF($C64="Paying back",0,IF(AND(OR(Housemates!$C$15="",Housemates!$C$15&lt;=$B64),OR(Housemates!$D$15="",Housemates!$D$15&gt;=$B64)),IF($Q64=0,1,INDEX(Bills!$AH$6:$AH$25,$Q64)),0))))</f>
        <v/>
      </c>
      <c r="AA64">
        <f>SUM(S64:Z64)</f>
        <v/>
      </c>
      <c r="AB64">
        <f>IF(AA64=0,0,D64*S64/AA64)</f>
        <v/>
      </c>
      <c r="AC64">
        <f>IF(AA64=0,0,D64*T64/AA64)</f>
        <v/>
      </c>
      <c r="AD64">
        <f>IF(AA64=0,0,D64*U64/AA64)</f>
        <v/>
      </c>
      <c r="AE64">
        <f>IF(AA64=0,0,D64*V64/AA64)</f>
        <v/>
      </c>
      <c r="AF64">
        <f>IF(AA64=0,0,D64*W64/AA64)</f>
        <v/>
      </c>
      <c r="AG64">
        <f>IF(AA64=0,0,D64*X64/AA64)</f>
        <v/>
      </c>
      <c r="AH64">
        <f>IF(AA64=0,0,D64*Y64/AA64)</f>
        <v/>
      </c>
      <c r="AI64">
        <f>IF(AA64=0,0,D64*Z64/AA64)</f>
        <v/>
      </c>
      <c r="AJ64">
        <f>IF(OR(C64="",B64=""),"",C64&amp;"|"&amp;(YEAR(B64)*100+MONTH(B64)))</f>
        <v/>
      </c>
    </row>
    <row r="65">
      <c r="A65" s="1" t="n"/>
      <c r="B65" s="23" t="n">
        <v>46196</v>
      </c>
      <c r="C65" s="24" t="inlineStr">
        <is>
          <t>Cleaning and household</t>
        </is>
      </c>
      <c r="D65" s="25" t="n">
        <v>24.48</v>
      </c>
      <c r="E65" s="26" t="inlineStr">
        <is>
          <t>Leo</t>
        </is>
      </c>
      <c r="F65" s="27" t="n"/>
      <c r="G65" s="27" t="n"/>
      <c r="H65" s="27" t="n"/>
      <c r="I65" s="27" t="n"/>
      <c r="J65" s="27" t="n"/>
      <c r="K65" s="27" t="n"/>
      <c r="L65" s="27" t="n"/>
      <c r="M65" s="27" t="n"/>
      <c r="N65" s="21">
        <f>IF(D65="","",IF(B65="","No date",IF(AND(C65="Paying back",R65=0),"To whom?",IF(AA65=0,"Nobody",IF(C65="Paying back","To "&amp;INDEX(Housemates!$B$8:$B$15,MATCH(MAX(S65:Z65),S65:Z65,0)),IF(R65&gt;0,IF(COUNTIF(S65:Z65,"&gt;0")=1,"1 person",COUNTIF(S65:Z65,"&gt;0")&amp;" people"),IF(Q65=0,"Everyone",INDEX(Bills!$Q$6:$Q$25,Q65))))))))</f>
        <v/>
      </c>
      <c r="O65" s="18">
        <f>IF(D65="","",IF(C65="Paying back","Paying back",IF(Q65=0,"Other",IF(INDEX(Bills!$C$6:$C$25,Q65)="","Other",INDEX(Bills!$C$6:$C$25,Q65)))))</f>
        <v/>
      </c>
      <c r="P65" s="1" t="n"/>
      <c r="Q65">
        <f>IF(C65="",0,IFERROR(MATCH(C65,Bills!$B$6:$B$25,0),0))</f>
        <v/>
      </c>
      <c r="R65">
        <f>COUNTA(F65:M65)</f>
        <v/>
      </c>
      <c r="S65">
        <f>IF(OR($D65="",$B65="",Housemates!$B$8=""),0,IF($R65&gt;0,IF(F65="",0,IF(ISNUMBER(F65),F65,1)),IF($C65="Paying back",0,IF(AND(OR(Housemates!$C$8="",Housemates!$C$8&lt;=$B65),OR(Housemates!$D$8="",Housemates!$D$8&gt;=$B65)),IF($Q65=0,1,INDEX(Bills!$AA$6:$AA$25,$Q65)),0))))</f>
        <v/>
      </c>
      <c r="T65">
        <f>IF(OR($D65="",$B65="",Housemates!$B$9=""),0,IF($R65&gt;0,IF(G65="",0,IF(ISNUMBER(G65),G65,1)),IF($C65="Paying back",0,IF(AND(OR(Housemates!$C$9="",Housemates!$C$9&lt;=$B65),OR(Housemates!$D$9="",Housemates!$D$9&gt;=$B65)),IF($Q65=0,1,INDEX(Bills!$AB$6:$AB$25,$Q65)),0))))</f>
        <v/>
      </c>
      <c r="U65">
        <f>IF(OR($D65="",$B65="",Housemates!$B$10=""),0,IF($R65&gt;0,IF(H65="",0,IF(ISNUMBER(H65),H65,1)),IF($C65="Paying back",0,IF(AND(OR(Housemates!$C$10="",Housemates!$C$10&lt;=$B65),OR(Housemates!$D$10="",Housemates!$D$10&gt;=$B65)),IF($Q65=0,1,INDEX(Bills!$AC$6:$AC$25,$Q65)),0))))</f>
        <v/>
      </c>
      <c r="V65">
        <f>IF(OR($D65="",$B65="",Housemates!$B$11=""),0,IF($R65&gt;0,IF(I65="",0,IF(ISNUMBER(I65),I65,1)),IF($C65="Paying back",0,IF(AND(OR(Housemates!$C$11="",Housemates!$C$11&lt;=$B65),OR(Housemates!$D$11="",Housemates!$D$11&gt;=$B65)),IF($Q65=0,1,INDEX(Bills!$AD$6:$AD$25,$Q65)),0))))</f>
        <v/>
      </c>
      <c r="W65">
        <f>IF(OR($D65="",$B65="",Housemates!$B$12=""),0,IF($R65&gt;0,IF(J65="",0,IF(ISNUMBER(J65),J65,1)),IF($C65="Paying back",0,IF(AND(OR(Housemates!$C$12="",Housemates!$C$12&lt;=$B65),OR(Housemates!$D$12="",Housemates!$D$12&gt;=$B65)),IF($Q65=0,1,INDEX(Bills!$AE$6:$AE$25,$Q65)),0))))</f>
        <v/>
      </c>
      <c r="X65">
        <f>IF(OR($D65="",$B65="",Housemates!$B$13=""),0,IF($R65&gt;0,IF(K65="",0,IF(ISNUMBER(K65),K65,1)),IF($C65="Paying back",0,IF(AND(OR(Housemates!$C$13="",Housemates!$C$13&lt;=$B65),OR(Housemates!$D$13="",Housemates!$D$13&gt;=$B65)),IF($Q65=0,1,INDEX(Bills!$AF$6:$AF$25,$Q65)),0))))</f>
        <v/>
      </c>
      <c r="Y65">
        <f>IF(OR($D65="",$B65="",Housemates!$B$14=""),0,IF($R65&gt;0,IF(L65="",0,IF(ISNUMBER(L65),L65,1)),IF($C65="Paying back",0,IF(AND(OR(Housemates!$C$14="",Housemates!$C$14&lt;=$B65),OR(Housemates!$D$14="",Housemates!$D$14&gt;=$B65)),IF($Q65=0,1,INDEX(Bills!$AG$6:$AG$25,$Q65)),0))))</f>
        <v/>
      </c>
      <c r="Z65">
        <f>IF(OR($D65="",$B65="",Housemates!$B$15=""),0,IF($R65&gt;0,IF(M65="",0,IF(ISNUMBER(M65),M65,1)),IF($C65="Paying back",0,IF(AND(OR(Housemates!$C$15="",Housemates!$C$15&lt;=$B65),OR(Housemates!$D$15="",Housemates!$D$15&gt;=$B65)),IF($Q65=0,1,INDEX(Bills!$AH$6:$AH$25,$Q65)),0))))</f>
        <v/>
      </c>
      <c r="AA65">
        <f>SUM(S65:Z65)</f>
        <v/>
      </c>
      <c r="AB65">
        <f>IF(AA65=0,0,D65*S65/AA65)</f>
        <v/>
      </c>
      <c r="AC65">
        <f>IF(AA65=0,0,D65*T65/AA65)</f>
        <v/>
      </c>
      <c r="AD65">
        <f>IF(AA65=0,0,D65*U65/AA65)</f>
        <v/>
      </c>
      <c r="AE65">
        <f>IF(AA65=0,0,D65*V65/AA65)</f>
        <v/>
      </c>
      <c r="AF65">
        <f>IF(AA65=0,0,D65*W65/AA65)</f>
        <v/>
      </c>
      <c r="AG65">
        <f>IF(AA65=0,0,D65*X65/AA65)</f>
        <v/>
      </c>
      <c r="AH65">
        <f>IF(AA65=0,0,D65*Y65/AA65)</f>
        <v/>
      </c>
      <c r="AI65">
        <f>IF(AA65=0,0,D65*Z65/AA65)</f>
        <v/>
      </c>
      <c r="AJ65">
        <f>IF(OR(C65="",B65=""),"",C65&amp;"|"&amp;(YEAR(B65)*100+MONTH(B65)))</f>
        <v/>
      </c>
    </row>
    <row r="66">
      <c r="A66" s="1" t="n"/>
      <c r="B66" s="23" t="n">
        <v>46204</v>
      </c>
      <c r="C66" s="24" t="inlineStr">
        <is>
          <t>Rent</t>
        </is>
      </c>
      <c r="D66" s="25" t="n">
        <v>2400</v>
      </c>
      <c r="E66" s="26" t="inlineStr">
        <is>
          <t>Maya</t>
        </is>
      </c>
      <c r="F66" s="27" t="n"/>
      <c r="G66" s="27" t="n"/>
      <c r="H66" s="27" t="n"/>
      <c r="I66" s="27" t="n"/>
      <c r="J66" s="27" t="n"/>
      <c r="K66" s="27" t="n"/>
      <c r="L66" s="27" t="n"/>
      <c r="M66" s="27" t="n"/>
      <c r="N66" s="21">
        <f>IF(D66="","",IF(B66="","No date",IF(AND(C66="Paying back",R66=0),"To whom?",IF(AA66=0,"Nobody",IF(C66="Paying back","To "&amp;INDEX(Housemates!$B$8:$B$15,MATCH(MAX(S66:Z66),S66:Z66,0)),IF(R66&gt;0,IF(COUNTIF(S66:Z66,"&gt;0")=1,"1 person",COUNTIF(S66:Z66,"&gt;0")&amp;" people"),IF(Q66=0,"Everyone",INDEX(Bills!$Q$6:$Q$25,Q66))))))))</f>
        <v/>
      </c>
      <c r="O66" s="18">
        <f>IF(D66="","",IF(C66="Paying back","Paying back",IF(Q66=0,"Other",IF(INDEX(Bills!$C$6:$C$25,Q66)="","Other",INDEX(Bills!$C$6:$C$25,Q66)))))</f>
        <v/>
      </c>
      <c r="P66" s="1" t="n"/>
      <c r="Q66">
        <f>IF(C66="",0,IFERROR(MATCH(C66,Bills!$B$6:$B$25,0),0))</f>
        <v/>
      </c>
      <c r="R66">
        <f>COUNTA(F66:M66)</f>
        <v/>
      </c>
      <c r="S66">
        <f>IF(OR($D66="",$B66="",Housemates!$B$8=""),0,IF($R66&gt;0,IF(F66="",0,IF(ISNUMBER(F66),F66,1)),IF($C66="Paying back",0,IF(AND(OR(Housemates!$C$8="",Housemates!$C$8&lt;=$B66),OR(Housemates!$D$8="",Housemates!$D$8&gt;=$B66)),IF($Q66=0,1,INDEX(Bills!$AA$6:$AA$25,$Q66)),0))))</f>
        <v/>
      </c>
      <c r="T66">
        <f>IF(OR($D66="",$B66="",Housemates!$B$9=""),0,IF($R66&gt;0,IF(G66="",0,IF(ISNUMBER(G66),G66,1)),IF($C66="Paying back",0,IF(AND(OR(Housemates!$C$9="",Housemates!$C$9&lt;=$B66),OR(Housemates!$D$9="",Housemates!$D$9&gt;=$B66)),IF($Q66=0,1,INDEX(Bills!$AB$6:$AB$25,$Q66)),0))))</f>
        <v/>
      </c>
      <c r="U66">
        <f>IF(OR($D66="",$B66="",Housemates!$B$10=""),0,IF($R66&gt;0,IF(H66="",0,IF(ISNUMBER(H66),H66,1)),IF($C66="Paying back",0,IF(AND(OR(Housemates!$C$10="",Housemates!$C$10&lt;=$B66),OR(Housemates!$D$10="",Housemates!$D$10&gt;=$B66)),IF($Q66=0,1,INDEX(Bills!$AC$6:$AC$25,$Q66)),0))))</f>
        <v/>
      </c>
      <c r="V66">
        <f>IF(OR($D66="",$B66="",Housemates!$B$11=""),0,IF($R66&gt;0,IF(I66="",0,IF(ISNUMBER(I66),I66,1)),IF($C66="Paying back",0,IF(AND(OR(Housemates!$C$11="",Housemates!$C$11&lt;=$B66),OR(Housemates!$D$11="",Housemates!$D$11&gt;=$B66)),IF($Q66=0,1,INDEX(Bills!$AD$6:$AD$25,$Q66)),0))))</f>
        <v/>
      </c>
      <c r="W66">
        <f>IF(OR($D66="",$B66="",Housemates!$B$12=""),0,IF($R66&gt;0,IF(J66="",0,IF(ISNUMBER(J66),J66,1)),IF($C66="Paying back",0,IF(AND(OR(Housemates!$C$12="",Housemates!$C$12&lt;=$B66),OR(Housemates!$D$12="",Housemates!$D$12&gt;=$B66)),IF($Q66=0,1,INDEX(Bills!$AE$6:$AE$25,$Q66)),0))))</f>
        <v/>
      </c>
      <c r="X66">
        <f>IF(OR($D66="",$B66="",Housemates!$B$13=""),0,IF($R66&gt;0,IF(K66="",0,IF(ISNUMBER(K66),K66,1)),IF($C66="Paying back",0,IF(AND(OR(Housemates!$C$13="",Housemates!$C$13&lt;=$B66),OR(Housemates!$D$13="",Housemates!$D$13&gt;=$B66)),IF($Q66=0,1,INDEX(Bills!$AF$6:$AF$25,$Q66)),0))))</f>
        <v/>
      </c>
      <c r="Y66">
        <f>IF(OR($D66="",$B66="",Housemates!$B$14=""),0,IF($R66&gt;0,IF(L66="",0,IF(ISNUMBER(L66),L66,1)),IF($C66="Paying back",0,IF(AND(OR(Housemates!$C$14="",Housemates!$C$14&lt;=$B66),OR(Housemates!$D$14="",Housemates!$D$14&gt;=$B66)),IF($Q66=0,1,INDEX(Bills!$AG$6:$AG$25,$Q66)),0))))</f>
        <v/>
      </c>
      <c r="Z66">
        <f>IF(OR($D66="",$B66="",Housemates!$B$15=""),0,IF($R66&gt;0,IF(M66="",0,IF(ISNUMBER(M66),M66,1)),IF($C66="Paying back",0,IF(AND(OR(Housemates!$C$15="",Housemates!$C$15&lt;=$B66),OR(Housemates!$D$15="",Housemates!$D$15&gt;=$B66)),IF($Q66=0,1,INDEX(Bills!$AH$6:$AH$25,$Q66)),0))))</f>
        <v/>
      </c>
      <c r="AA66">
        <f>SUM(S66:Z66)</f>
        <v/>
      </c>
      <c r="AB66">
        <f>IF(AA66=0,0,D66*S66/AA66)</f>
        <v/>
      </c>
      <c r="AC66">
        <f>IF(AA66=0,0,D66*T66/AA66)</f>
        <v/>
      </c>
      <c r="AD66">
        <f>IF(AA66=0,0,D66*U66/AA66)</f>
        <v/>
      </c>
      <c r="AE66">
        <f>IF(AA66=0,0,D66*V66/AA66)</f>
        <v/>
      </c>
      <c r="AF66">
        <f>IF(AA66=0,0,D66*W66/AA66)</f>
        <v/>
      </c>
      <c r="AG66">
        <f>IF(AA66=0,0,D66*X66/AA66)</f>
        <v/>
      </c>
      <c r="AH66">
        <f>IF(AA66=0,0,D66*Y66/AA66)</f>
        <v/>
      </c>
      <c r="AI66">
        <f>IF(AA66=0,0,D66*Z66/AA66)</f>
        <v/>
      </c>
      <c r="AJ66">
        <f>IF(OR(C66="",B66=""),"",C66&amp;"|"&amp;(YEAR(B66)*100+MONTH(B66)))</f>
        <v/>
      </c>
    </row>
    <row r="67">
      <c r="A67" s="1" t="n"/>
      <c r="B67" s="23" t="n">
        <v>46206</v>
      </c>
      <c r="C67" s="24" t="inlineStr">
        <is>
          <t>Internet</t>
        </is>
      </c>
      <c r="D67" s="25" t="n">
        <v>45</v>
      </c>
      <c r="E67" s="26" t="inlineStr">
        <is>
          <t>Leo</t>
        </is>
      </c>
      <c r="F67" s="27" t="n"/>
      <c r="G67" s="27" t="n"/>
      <c r="H67" s="27" t="n"/>
      <c r="I67" s="27" t="n"/>
      <c r="J67" s="27" t="n"/>
      <c r="K67" s="27" t="n"/>
      <c r="L67" s="27" t="n"/>
      <c r="M67" s="27" t="n"/>
      <c r="N67" s="21">
        <f>IF(D67="","",IF(B67="","No date",IF(AND(C67="Paying back",R67=0),"To whom?",IF(AA67=0,"Nobody",IF(C67="Paying back","To "&amp;INDEX(Housemates!$B$8:$B$15,MATCH(MAX(S67:Z67),S67:Z67,0)),IF(R67&gt;0,IF(COUNTIF(S67:Z67,"&gt;0")=1,"1 person",COUNTIF(S67:Z67,"&gt;0")&amp;" people"),IF(Q67=0,"Everyone",INDEX(Bills!$Q$6:$Q$25,Q67))))))))</f>
        <v/>
      </c>
      <c r="O67" s="18">
        <f>IF(D67="","",IF(C67="Paying back","Paying back",IF(Q67=0,"Other",IF(INDEX(Bills!$C$6:$C$25,Q67)="","Other",INDEX(Bills!$C$6:$C$25,Q67)))))</f>
        <v/>
      </c>
      <c r="P67" s="1" t="n"/>
      <c r="Q67">
        <f>IF(C67="",0,IFERROR(MATCH(C67,Bills!$B$6:$B$25,0),0))</f>
        <v/>
      </c>
      <c r="R67">
        <f>COUNTA(F67:M67)</f>
        <v/>
      </c>
      <c r="S67">
        <f>IF(OR($D67="",$B67="",Housemates!$B$8=""),0,IF($R67&gt;0,IF(F67="",0,IF(ISNUMBER(F67),F67,1)),IF($C67="Paying back",0,IF(AND(OR(Housemates!$C$8="",Housemates!$C$8&lt;=$B67),OR(Housemates!$D$8="",Housemates!$D$8&gt;=$B67)),IF($Q67=0,1,INDEX(Bills!$AA$6:$AA$25,$Q67)),0))))</f>
        <v/>
      </c>
      <c r="T67">
        <f>IF(OR($D67="",$B67="",Housemates!$B$9=""),0,IF($R67&gt;0,IF(G67="",0,IF(ISNUMBER(G67),G67,1)),IF($C67="Paying back",0,IF(AND(OR(Housemates!$C$9="",Housemates!$C$9&lt;=$B67),OR(Housemates!$D$9="",Housemates!$D$9&gt;=$B67)),IF($Q67=0,1,INDEX(Bills!$AB$6:$AB$25,$Q67)),0))))</f>
        <v/>
      </c>
      <c r="U67">
        <f>IF(OR($D67="",$B67="",Housemates!$B$10=""),0,IF($R67&gt;0,IF(H67="",0,IF(ISNUMBER(H67),H67,1)),IF($C67="Paying back",0,IF(AND(OR(Housemates!$C$10="",Housemates!$C$10&lt;=$B67),OR(Housemates!$D$10="",Housemates!$D$10&gt;=$B67)),IF($Q67=0,1,INDEX(Bills!$AC$6:$AC$25,$Q67)),0))))</f>
        <v/>
      </c>
      <c r="V67">
        <f>IF(OR($D67="",$B67="",Housemates!$B$11=""),0,IF($R67&gt;0,IF(I67="",0,IF(ISNUMBER(I67),I67,1)),IF($C67="Paying back",0,IF(AND(OR(Housemates!$C$11="",Housemates!$C$11&lt;=$B67),OR(Housemates!$D$11="",Housemates!$D$11&gt;=$B67)),IF($Q67=0,1,INDEX(Bills!$AD$6:$AD$25,$Q67)),0))))</f>
        <v/>
      </c>
      <c r="W67">
        <f>IF(OR($D67="",$B67="",Housemates!$B$12=""),0,IF($R67&gt;0,IF(J67="",0,IF(ISNUMBER(J67),J67,1)),IF($C67="Paying back",0,IF(AND(OR(Housemates!$C$12="",Housemates!$C$12&lt;=$B67),OR(Housemates!$D$12="",Housemates!$D$12&gt;=$B67)),IF($Q67=0,1,INDEX(Bills!$AE$6:$AE$25,$Q67)),0))))</f>
        <v/>
      </c>
      <c r="X67">
        <f>IF(OR($D67="",$B67="",Housemates!$B$13=""),0,IF($R67&gt;0,IF(K67="",0,IF(ISNUMBER(K67),K67,1)),IF($C67="Paying back",0,IF(AND(OR(Housemates!$C$13="",Housemates!$C$13&lt;=$B67),OR(Housemates!$D$13="",Housemates!$D$13&gt;=$B67)),IF($Q67=0,1,INDEX(Bills!$AF$6:$AF$25,$Q67)),0))))</f>
        <v/>
      </c>
      <c r="Y67">
        <f>IF(OR($D67="",$B67="",Housemates!$B$14=""),0,IF($R67&gt;0,IF(L67="",0,IF(ISNUMBER(L67),L67,1)),IF($C67="Paying back",0,IF(AND(OR(Housemates!$C$14="",Housemates!$C$14&lt;=$B67),OR(Housemates!$D$14="",Housemates!$D$14&gt;=$B67)),IF($Q67=0,1,INDEX(Bills!$AG$6:$AG$25,$Q67)),0))))</f>
        <v/>
      </c>
      <c r="Z67">
        <f>IF(OR($D67="",$B67="",Housemates!$B$15=""),0,IF($R67&gt;0,IF(M67="",0,IF(ISNUMBER(M67),M67,1)),IF($C67="Paying back",0,IF(AND(OR(Housemates!$C$15="",Housemates!$C$15&lt;=$B67),OR(Housemates!$D$15="",Housemates!$D$15&gt;=$B67)),IF($Q67=0,1,INDEX(Bills!$AH$6:$AH$25,$Q67)),0))))</f>
        <v/>
      </c>
      <c r="AA67">
        <f>SUM(S67:Z67)</f>
        <v/>
      </c>
      <c r="AB67">
        <f>IF(AA67=0,0,D67*S67/AA67)</f>
        <v/>
      </c>
      <c r="AC67">
        <f>IF(AA67=0,0,D67*T67/AA67)</f>
        <v/>
      </c>
      <c r="AD67">
        <f>IF(AA67=0,0,D67*U67/AA67)</f>
        <v/>
      </c>
      <c r="AE67">
        <f>IF(AA67=0,0,D67*V67/AA67)</f>
        <v/>
      </c>
      <c r="AF67">
        <f>IF(AA67=0,0,D67*W67/AA67)</f>
        <v/>
      </c>
      <c r="AG67">
        <f>IF(AA67=0,0,D67*X67/AA67)</f>
        <v/>
      </c>
      <c r="AH67">
        <f>IF(AA67=0,0,D67*Y67/AA67)</f>
        <v/>
      </c>
      <c r="AI67">
        <f>IF(AA67=0,0,D67*Z67/AA67)</f>
        <v/>
      </c>
      <c r="AJ67">
        <f>IF(OR(C67="",B67=""),"",C67&amp;"|"&amp;(YEAR(B67)*100+MONTH(B67)))</f>
        <v/>
      </c>
    </row>
    <row r="68">
      <c r="A68" s="1" t="n"/>
      <c r="B68" s="23" t="n">
        <v>46206</v>
      </c>
      <c r="C68" s="24" t="inlineStr">
        <is>
          <t>Groceries</t>
        </is>
      </c>
      <c r="D68" s="25" t="n">
        <v>78.23999999999999</v>
      </c>
      <c r="E68" s="26" t="inlineStr">
        <is>
          <t>Leo</t>
        </is>
      </c>
      <c r="F68" s="27" t="n"/>
      <c r="G68" s="27" t="n"/>
      <c r="H68" s="27" t="n"/>
      <c r="I68" s="27" t="n"/>
      <c r="J68" s="27" t="n"/>
      <c r="K68" s="27" t="n"/>
      <c r="L68" s="27" t="n"/>
      <c r="M68" s="27" t="n"/>
      <c r="N68" s="21">
        <f>IF(D68="","",IF(B68="","No date",IF(AND(C68="Paying back",R68=0),"To whom?",IF(AA68=0,"Nobody",IF(C68="Paying back","To "&amp;INDEX(Housemates!$B$8:$B$15,MATCH(MAX(S68:Z68),S68:Z68,0)),IF(R68&gt;0,IF(COUNTIF(S68:Z68,"&gt;0")=1,"1 person",COUNTIF(S68:Z68,"&gt;0")&amp;" people"),IF(Q68=0,"Everyone",INDEX(Bills!$Q$6:$Q$25,Q68))))))))</f>
        <v/>
      </c>
      <c r="O68" s="18">
        <f>IF(D68="","",IF(C68="Paying back","Paying back",IF(Q68=0,"Other",IF(INDEX(Bills!$C$6:$C$25,Q68)="","Other",INDEX(Bills!$C$6:$C$25,Q68)))))</f>
        <v/>
      </c>
      <c r="P68" s="1" t="n"/>
      <c r="Q68">
        <f>IF(C68="",0,IFERROR(MATCH(C68,Bills!$B$6:$B$25,0),0))</f>
        <v/>
      </c>
      <c r="R68">
        <f>COUNTA(F68:M68)</f>
        <v/>
      </c>
      <c r="S68">
        <f>IF(OR($D68="",$B68="",Housemates!$B$8=""),0,IF($R68&gt;0,IF(F68="",0,IF(ISNUMBER(F68),F68,1)),IF($C68="Paying back",0,IF(AND(OR(Housemates!$C$8="",Housemates!$C$8&lt;=$B68),OR(Housemates!$D$8="",Housemates!$D$8&gt;=$B68)),IF($Q68=0,1,INDEX(Bills!$AA$6:$AA$25,$Q68)),0))))</f>
        <v/>
      </c>
      <c r="T68">
        <f>IF(OR($D68="",$B68="",Housemates!$B$9=""),0,IF($R68&gt;0,IF(G68="",0,IF(ISNUMBER(G68),G68,1)),IF($C68="Paying back",0,IF(AND(OR(Housemates!$C$9="",Housemates!$C$9&lt;=$B68),OR(Housemates!$D$9="",Housemates!$D$9&gt;=$B68)),IF($Q68=0,1,INDEX(Bills!$AB$6:$AB$25,$Q68)),0))))</f>
        <v/>
      </c>
      <c r="U68">
        <f>IF(OR($D68="",$B68="",Housemates!$B$10=""),0,IF($R68&gt;0,IF(H68="",0,IF(ISNUMBER(H68),H68,1)),IF($C68="Paying back",0,IF(AND(OR(Housemates!$C$10="",Housemates!$C$10&lt;=$B68),OR(Housemates!$D$10="",Housemates!$D$10&gt;=$B68)),IF($Q68=0,1,INDEX(Bills!$AC$6:$AC$25,$Q68)),0))))</f>
        <v/>
      </c>
      <c r="V68">
        <f>IF(OR($D68="",$B68="",Housemates!$B$11=""),0,IF($R68&gt;0,IF(I68="",0,IF(ISNUMBER(I68),I68,1)),IF($C68="Paying back",0,IF(AND(OR(Housemates!$C$11="",Housemates!$C$11&lt;=$B68),OR(Housemates!$D$11="",Housemates!$D$11&gt;=$B68)),IF($Q68=0,1,INDEX(Bills!$AD$6:$AD$25,$Q68)),0))))</f>
        <v/>
      </c>
      <c r="W68">
        <f>IF(OR($D68="",$B68="",Housemates!$B$12=""),0,IF($R68&gt;0,IF(J68="",0,IF(ISNUMBER(J68),J68,1)),IF($C68="Paying back",0,IF(AND(OR(Housemates!$C$12="",Housemates!$C$12&lt;=$B68),OR(Housemates!$D$12="",Housemates!$D$12&gt;=$B68)),IF($Q68=0,1,INDEX(Bills!$AE$6:$AE$25,$Q68)),0))))</f>
        <v/>
      </c>
      <c r="X68">
        <f>IF(OR($D68="",$B68="",Housemates!$B$13=""),0,IF($R68&gt;0,IF(K68="",0,IF(ISNUMBER(K68),K68,1)),IF($C68="Paying back",0,IF(AND(OR(Housemates!$C$13="",Housemates!$C$13&lt;=$B68),OR(Housemates!$D$13="",Housemates!$D$13&gt;=$B68)),IF($Q68=0,1,INDEX(Bills!$AF$6:$AF$25,$Q68)),0))))</f>
        <v/>
      </c>
      <c r="Y68">
        <f>IF(OR($D68="",$B68="",Housemates!$B$14=""),0,IF($R68&gt;0,IF(L68="",0,IF(ISNUMBER(L68),L68,1)),IF($C68="Paying back",0,IF(AND(OR(Housemates!$C$14="",Housemates!$C$14&lt;=$B68),OR(Housemates!$D$14="",Housemates!$D$14&gt;=$B68)),IF($Q68=0,1,INDEX(Bills!$AG$6:$AG$25,$Q68)),0))))</f>
        <v/>
      </c>
      <c r="Z68">
        <f>IF(OR($D68="",$B68="",Housemates!$B$15=""),0,IF($R68&gt;0,IF(M68="",0,IF(ISNUMBER(M68),M68,1)),IF($C68="Paying back",0,IF(AND(OR(Housemates!$C$15="",Housemates!$C$15&lt;=$B68),OR(Housemates!$D$15="",Housemates!$D$15&gt;=$B68)),IF($Q68=0,1,INDEX(Bills!$AH$6:$AH$25,$Q68)),0))))</f>
        <v/>
      </c>
      <c r="AA68">
        <f>SUM(S68:Z68)</f>
        <v/>
      </c>
      <c r="AB68">
        <f>IF(AA68=0,0,D68*S68/AA68)</f>
        <v/>
      </c>
      <c r="AC68">
        <f>IF(AA68=0,0,D68*T68/AA68)</f>
        <v/>
      </c>
      <c r="AD68">
        <f>IF(AA68=0,0,D68*U68/AA68)</f>
        <v/>
      </c>
      <c r="AE68">
        <f>IF(AA68=0,0,D68*V68/AA68)</f>
        <v/>
      </c>
      <c r="AF68">
        <f>IF(AA68=0,0,D68*W68/AA68)</f>
        <v/>
      </c>
      <c r="AG68">
        <f>IF(AA68=0,0,D68*X68/AA68)</f>
        <v/>
      </c>
      <c r="AH68">
        <f>IF(AA68=0,0,D68*Y68/AA68)</f>
        <v/>
      </c>
      <c r="AI68">
        <f>IF(AA68=0,0,D68*Z68/AA68)</f>
        <v/>
      </c>
      <c r="AJ68">
        <f>IF(OR(C68="",B68=""),"",C68&amp;"|"&amp;(YEAR(B68)*100+MONTH(B68)))</f>
        <v/>
      </c>
    </row>
    <row r="69">
      <c r="A69" s="1" t="n"/>
      <c r="B69" s="23" t="n">
        <v>46213</v>
      </c>
      <c r="C69" s="24" t="inlineStr">
        <is>
          <t>Water</t>
        </is>
      </c>
      <c r="D69" s="25" t="n">
        <v>74.88</v>
      </c>
      <c r="E69" s="26" t="inlineStr">
        <is>
          <t>Maya</t>
        </is>
      </c>
      <c r="F69" s="27" t="n"/>
      <c r="G69" s="27" t="n"/>
      <c r="H69" s="27" t="n"/>
      <c r="I69" s="27" t="n"/>
      <c r="J69" s="27" t="n"/>
      <c r="K69" s="27" t="n"/>
      <c r="L69" s="27" t="n"/>
      <c r="M69" s="27" t="n"/>
      <c r="N69" s="21">
        <f>IF(D69="","",IF(B69="","No date",IF(AND(C69="Paying back",R69=0),"To whom?",IF(AA69=0,"Nobody",IF(C69="Paying back","To "&amp;INDEX(Housemates!$B$8:$B$15,MATCH(MAX(S69:Z69),S69:Z69,0)),IF(R69&gt;0,IF(COUNTIF(S69:Z69,"&gt;0")=1,"1 person",COUNTIF(S69:Z69,"&gt;0")&amp;" people"),IF(Q69=0,"Everyone",INDEX(Bills!$Q$6:$Q$25,Q69))))))))</f>
        <v/>
      </c>
      <c r="O69" s="18">
        <f>IF(D69="","",IF(C69="Paying back","Paying back",IF(Q69=0,"Other",IF(INDEX(Bills!$C$6:$C$25,Q69)="","Other",INDEX(Bills!$C$6:$C$25,Q69)))))</f>
        <v/>
      </c>
      <c r="P69" s="1" t="n"/>
      <c r="Q69">
        <f>IF(C69="",0,IFERROR(MATCH(C69,Bills!$B$6:$B$25,0),0))</f>
        <v/>
      </c>
      <c r="R69">
        <f>COUNTA(F69:M69)</f>
        <v/>
      </c>
      <c r="S69">
        <f>IF(OR($D69="",$B69="",Housemates!$B$8=""),0,IF($R69&gt;0,IF(F69="",0,IF(ISNUMBER(F69),F69,1)),IF($C69="Paying back",0,IF(AND(OR(Housemates!$C$8="",Housemates!$C$8&lt;=$B69),OR(Housemates!$D$8="",Housemates!$D$8&gt;=$B69)),IF($Q69=0,1,INDEX(Bills!$AA$6:$AA$25,$Q69)),0))))</f>
        <v/>
      </c>
      <c r="T69">
        <f>IF(OR($D69="",$B69="",Housemates!$B$9=""),0,IF($R69&gt;0,IF(G69="",0,IF(ISNUMBER(G69),G69,1)),IF($C69="Paying back",0,IF(AND(OR(Housemates!$C$9="",Housemates!$C$9&lt;=$B69),OR(Housemates!$D$9="",Housemates!$D$9&gt;=$B69)),IF($Q69=0,1,INDEX(Bills!$AB$6:$AB$25,$Q69)),0))))</f>
        <v/>
      </c>
      <c r="U69">
        <f>IF(OR($D69="",$B69="",Housemates!$B$10=""),0,IF($R69&gt;0,IF(H69="",0,IF(ISNUMBER(H69),H69,1)),IF($C69="Paying back",0,IF(AND(OR(Housemates!$C$10="",Housemates!$C$10&lt;=$B69),OR(Housemates!$D$10="",Housemates!$D$10&gt;=$B69)),IF($Q69=0,1,INDEX(Bills!$AC$6:$AC$25,$Q69)),0))))</f>
        <v/>
      </c>
      <c r="V69">
        <f>IF(OR($D69="",$B69="",Housemates!$B$11=""),0,IF($R69&gt;0,IF(I69="",0,IF(ISNUMBER(I69),I69,1)),IF($C69="Paying back",0,IF(AND(OR(Housemates!$C$11="",Housemates!$C$11&lt;=$B69),OR(Housemates!$D$11="",Housemates!$D$11&gt;=$B69)),IF($Q69=0,1,INDEX(Bills!$AD$6:$AD$25,$Q69)),0))))</f>
        <v/>
      </c>
      <c r="W69">
        <f>IF(OR($D69="",$B69="",Housemates!$B$12=""),0,IF($R69&gt;0,IF(J69="",0,IF(ISNUMBER(J69),J69,1)),IF($C69="Paying back",0,IF(AND(OR(Housemates!$C$12="",Housemates!$C$12&lt;=$B69),OR(Housemates!$D$12="",Housemates!$D$12&gt;=$B69)),IF($Q69=0,1,INDEX(Bills!$AE$6:$AE$25,$Q69)),0))))</f>
        <v/>
      </c>
      <c r="X69">
        <f>IF(OR($D69="",$B69="",Housemates!$B$13=""),0,IF($R69&gt;0,IF(K69="",0,IF(ISNUMBER(K69),K69,1)),IF($C69="Paying back",0,IF(AND(OR(Housemates!$C$13="",Housemates!$C$13&lt;=$B69),OR(Housemates!$D$13="",Housemates!$D$13&gt;=$B69)),IF($Q69=0,1,INDEX(Bills!$AF$6:$AF$25,$Q69)),0))))</f>
        <v/>
      </c>
      <c r="Y69">
        <f>IF(OR($D69="",$B69="",Housemates!$B$14=""),0,IF($R69&gt;0,IF(L69="",0,IF(ISNUMBER(L69),L69,1)),IF($C69="Paying back",0,IF(AND(OR(Housemates!$C$14="",Housemates!$C$14&lt;=$B69),OR(Housemates!$D$14="",Housemates!$D$14&gt;=$B69)),IF($Q69=0,1,INDEX(Bills!$AG$6:$AG$25,$Q69)),0))))</f>
        <v/>
      </c>
      <c r="Z69">
        <f>IF(OR($D69="",$B69="",Housemates!$B$15=""),0,IF($R69&gt;0,IF(M69="",0,IF(ISNUMBER(M69),M69,1)),IF($C69="Paying back",0,IF(AND(OR(Housemates!$C$15="",Housemates!$C$15&lt;=$B69),OR(Housemates!$D$15="",Housemates!$D$15&gt;=$B69)),IF($Q69=0,1,INDEX(Bills!$AH$6:$AH$25,$Q69)),0))))</f>
        <v/>
      </c>
      <c r="AA69">
        <f>SUM(S69:Z69)</f>
        <v/>
      </c>
      <c r="AB69">
        <f>IF(AA69=0,0,D69*S69/AA69)</f>
        <v/>
      </c>
      <c r="AC69">
        <f>IF(AA69=0,0,D69*T69/AA69)</f>
        <v/>
      </c>
      <c r="AD69">
        <f>IF(AA69=0,0,D69*U69/AA69)</f>
        <v/>
      </c>
      <c r="AE69">
        <f>IF(AA69=0,0,D69*V69/AA69)</f>
        <v/>
      </c>
      <c r="AF69">
        <f>IF(AA69=0,0,D69*W69/AA69)</f>
        <v/>
      </c>
      <c r="AG69">
        <f>IF(AA69=0,0,D69*X69/AA69)</f>
        <v/>
      </c>
      <c r="AH69">
        <f>IF(AA69=0,0,D69*Y69/AA69)</f>
        <v/>
      </c>
      <c r="AI69">
        <f>IF(AA69=0,0,D69*Z69/AA69)</f>
        <v/>
      </c>
      <c r="AJ69">
        <f>IF(OR(C69="",B69=""),"",C69&amp;"|"&amp;(YEAR(B69)*100+MONTH(B69)))</f>
        <v/>
      </c>
    </row>
    <row r="70">
      <c r="A70" s="1" t="n"/>
      <c r="B70" s="23" t="n">
        <v>46213</v>
      </c>
      <c r="C70" s="24" t="inlineStr">
        <is>
          <t>Cleaning and household</t>
        </is>
      </c>
      <c r="D70" s="25" t="n">
        <v>29.76</v>
      </c>
      <c r="E70" s="26" t="inlineStr">
        <is>
          <t>Maya</t>
        </is>
      </c>
      <c r="F70" s="27" t="n"/>
      <c r="G70" s="27" t="n"/>
      <c r="H70" s="27" t="n"/>
      <c r="I70" s="27" t="n"/>
      <c r="J70" s="27" t="n"/>
      <c r="K70" s="27" t="n"/>
      <c r="L70" s="27" t="n"/>
      <c r="M70" s="27" t="n"/>
      <c r="N70" s="21">
        <f>IF(D70="","",IF(B70="","No date",IF(AND(C70="Paying back",R70=0),"To whom?",IF(AA70=0,"Nobody",IF(C70="Paying back","To "&amp;INDEX(Housemates!$B$8:$B$15,MATCH(MAX(S70:Z70),S70:Z70,0)),IF(R70&gt;0,IF(COUNTIF(S70:Z70,"&gt;0")=1,"1 person",COUNTIF(S70:Z70,"&gt;0")&amp;" people"),IF(Q70=0,"Everyone",INDEX(Bills!$Q$6:$Q$25,Q70))))))))</f>
        <v/>
      </c>
      <c r="O70" s="18">
        <f>IF(D70="","",IF(C70="Paying back","Paying back",IF(Q70=0,"Other",IF(INDEX(Bills!$C$6:$C$25,Q70)="","Other",INDEX(Bills!$C$6:$C$25,Q70)))))</f>
        <v/>
      </c>
      <c r="P70" s="1" t="n"/>
      <c r="Q70">
        <f>IF(C70="",0,IFERROR(MATCH(C70,Bills!$B$6:$B$25,0),0))</f>
        <v/>
      </c>
      <c r="R70">
        <f>COUNTA(F70:M70)</f>
        <v/>
      </c>
      <c r="S70">
        <f>IF(OR($D70="",$B70="",Housemates!$B$8=""),0,IF($R70&gt;0,IF(F70="",0,IF(ISNUMBER(F70),F70,1)),IF($C70="Paying back",0,IF(AND(OR(Housemates!$C$8="",Housemates!$C$8&lt;=$B70),OR(Housemates!$D$8="",Housemates!$D$8&gt;=$B70)),IF($Q70=0,1,INDEX(Bills!$AA$6:$AA$25,$Q70)),0))))</f>
        <v/>
      </c>
      <c r="T70">
        <f>IF(OR($D70="",$B70="",Housemates!$B$9=""),0,IF($R70&gt;0,IF(G70="",0,IF(ISNUMBER(G70),G70,1)),IF($C70="Paying back",0,IF(AND(OR(Housemates!$C$9="",Housemates!$C$9&lt;=$B70),OR(Housemates!$D$9="",Housemates!$D$9&gt;=$B70)),IF($Q70=0,1,INDEX(Bills!$AB$6:$AB$25,$Q70)),0))))</f>
        <v/>
      </c>
      <c r="U70">
        <f>IF(OR($D70="",$B70="",Housemates!$B$10=""),0,IF($R70&gt;0,IF(H70="",0,IF(ISNUMBER(H70),H70,1)),IF($C70="Paying back",0,IF(AND(OR(Housemates!$C$10="",Housemates!$C$10&lt;=$B70),OR(Housemates!$D$10="",Housemates!$D$10&gt;=$B70)),IF($Q70=0,1,INDEX(Bills!$AC$6:$AC$25,$Q70)),0))))</f>
        <v/>
      </c>
      <c r="V70">
        <f>IF(OR($D70="",$B70="",Housemates!$B$11=""),0,IF($R70&gt;0,IF(I70="",0,IF(ISNUMBER(I70),I70,1)),IF($C70="Paying back",0,IF(AND(OR(Housemates!$C$11="",Housemates!$C$11&lt;=$B70),OR(Housemates!$D$11="",Housemates!$D$11&gt;=$B70)),IF($Q70=0,1,INDEX(Bills!$AD$6:$AD$25,$Q70)),0))))</f>
        <v/>
      </c>
      <c r="W70">
        <f>IF(OR($D70="",$B70="",Housemates!$B$12=""),0,IF($R70&gt;0,IF(J70="",0,IF(ISNUMBER(J70),J70,1)),IF($C70="Paying back",0,IF(AND(OR(Housemates!$C$12="",Housemates!$C$12&lt;=$B70),OR(Housemates!$D$12="",Housemates!$D$12&gt;=$B70)),IF($Q70=0,1,INDEX(Bills!$AE$6:$AE$25,$Q70)),0))))</f>
        <v/>
      </c>
      <c r="X70">
        <f>IF(OR($D70="",$B70="",Housemates!$B$13=""),0,IF($R70&gt;0,IF(K70="",0,IF(ISNUMBER(K70),K70,1)),IF($C70="Paying back",0,IF(AND(OR(Housemates!$C$13="",Housemates!$C$13&lt;=$B70),OR(Housemates!$D$13="",Housemates!$D$13&gt;=$B70)),IF($Q70=0,1,INDEX(Bills!$AF$6:$AF$25,$Q70)),0))))</f>
        <v/>
      </c>
      <c r="Y70">
        <f>IF(OR($D70="",$B70="",Housemates!$B$14=""),0,IF($R70&gt;0,IF(L70="",0,IF(ISNUMBER(L70),L70,1)),IF($C70="Paying back",0,IF(AND(OR(Housemates!$C$14="",Housemates!$C$14&lt;=$B70),OR(Housemates!$D$14="",Housemates!$D$14&gt;=$B70)),IF($Q70=0,1,INDEX(Bills!$AG$6:$AG$25,$Q70)),0))))</f>
        <v/>
      </c>
      <c r="Z70">
        <f>IF(OR($D70="",$B70="",Housemates!$B$15=""),0,IF($R70&gt;0,IF(M70="",0,IF(ISNUMBER(M70),M70,1)),IF($C70="Paying back",0,IF(AND(OR(Housemates!$C$15="",Housemates!$C$15&lt;=$B70),OR(Housemates!$D$15="",Housemates!$D$15&gt;=$B70)),IF($Q70=0,1,INDEX(Bills!$AH$6:$AH$25,$Q70)),0))))</f>
        <v/>
      </c>
      <c r="AA70">
        <f>SUM(S70:Z70)</f>
        <v/>
      </c>
      <c r="AB70">
        <f>IF(AA70=0,0,D70*S70/AA70)</f>
        <v/>
      </c>
      <c r="AC70">
        <f>IF(AA70=0,0,D70*T70/AA70)</f>
        <v/>
      </c>
      <c r="AD70">
        <f>IF(AA70=0,0,D70*U70/AA70)</f>
        <v/>
      </c>
      <c r="AE70">
        <f>IF(AA70=0,0,D70*V70/AA70)</f>
        <v/>
      </c>
      <c r="AF70">
        <f>IF(AA70=0,0,D70*W70/AA70)</f>
        <v/>
      </c>
      <c r="AG70">
        <f>IF(AA70=0,0,D70*X70/AA70)</f>
        <v/>
      </c>
      <c r="AH70">
        <f>IF(AA70=0,0,D70*Y70/AA70)</f>
        <v/>
      </c>
      <c r="AI70">
        <f>IF(AA70=0,0,D70*Z70/AA70)</f>
        <v/>
      </c>
      <c r="AJ70">
        <f>IF(OR(C70="",B70=""),"",C70&amp;"|"&amp;(YEAR(B70)*100+MONTH(B70)))</f>
        <v/>
      </c>
    </row>
    <row r="71">
      <c r="A71" s="1" t="n"/>
      <c r="B71" s="23" t="n">
        <v>46216</v>
      </c>
      <c r="C71" s="24" t="inlineStr">
        <is>
          <t>Takeaway on film night</t>
        </is>
      </c>
      <c r="D71" s="25" t="n">
        <v>64.5</v>
      </c>
      <c r="E71" s="26" t="inlineStr">
        <is>
          <t>Leo</t>
        </is>
      </c>
      <c r="F71" s="27" t="n"/>
      <c r="G71" s="27" t="inlineStr">
        <is>
          <t>x</t>
        </is>
      </c>
      <c r="H71" s="27" t="inlineStr">
        <is>
          <t>x</t>
        </is>
      </c>
      <c r="I71" s="27" t="n"/>
      <c r="J71" s="27" t="inlineStr">
        <is>
          <t>x</t>
        </is>
      </c>
      <c r="K71" s="27" t="n"/>
      <c r="L71" s="27" t="n"/>
      <c r="M71" s="27" t="n"/>
      <c r="N71" s="21">
        <f>IF(D71="","",IF(B71="","No date",IF(AND(C71="Paying back",R71=0),"To whom?",IF(AA71=0,"Nobody",IF(C71="Paying back","To "&amp;INDEX(Housemates!$B$8:$B$15,MATCH(MAX(S71:Z71),S71:Z71,0)),IF(R71&gt;0,IF(COUNTIF(S71:Z71,"&gt;0")=1,"1 person",COUNTIF(S71:Z71,"&gt;0")&amp;" people"),IF(Q71=0,"Everyone",INDEX(Bills!$Q$6:$Q$25,Q71))))))))</f>
        <v/>
      </c>
      <c r="O71" s="18">
        <f>IF(D71="","",IF(C71="Paying back","Paying back",IF(Q71=0,"Other",IF(INDEX(Bills!$C$6:$C$25,Q71)="","Other",INDEX(Bills!$C$6:$C$25,Q71)))))</f>
        <v/>
      </c>
      <c r="P71" s="1" t="n"/>
      <c r="Q71">
        <f>IF(C71="",0,IFERROR(MATCH(C71,Bills!$B$6:$B$25,0),0))</f>
        <v/>
      </c>
      <c r="R71">
        <f>COUNTA(F71:M71)</f>
        <v/>
      </c>
      <c r="S71">
        <f>IF(OR($D71="",$B71="",Housemates!$B$8=""),0,IF($R71&gt;0,IF(F71="",0,IF(ISNUMBER(F71),F71,1)),IF($C71="Paying back",0,IF(AND(OR(Housemates!$C$8="",Housemates!$C$8&lt;=$B71),OR(Housemates!$D$8="",Housemates!$D$8&gt;=$B71)),IF($Q71=0,1,INDEX(Bills!$AA$6:$AA$25,$Q71)),0))))</f>
        <v/>
      </c>
      <c r="T71">
        <f>IF(OR($D71="",$B71="",Housemates!$B$9=""),0,IF($R71&gt;0,IF(G71="",0,IF(ISNUMBER(G71),G71,1)),IF($C71="Paying back",0,IF(AND(OR(Housemates!$C$9="",Housemates!$C$9&lt;=$B71),OR(Housemates!$D$9="",Housemates!$D$9&gt;=$B71)),IF($Q71=0,1,INDEX(Bills!$AB$6:$AB$25,$Q71)),0))))</f>
        <v/>
      </c>
      <c r="U71">
        <f>IF(OR($D71="",$B71="",Housemates!$B$10=""),0,IF($R71&gt;0,IF(H71="",0,IF(ISNUMBER(H71),H71,1)),IF($C71="Paying back",0,IF(AND(OR(Housemates!$C$10="",Housemates!$C$10&lt;=$B71),OR(Housemates!$D$10="",Housemates!$D$10&gt;=$B71)),IF($Q71=0,1,INDEX(Bills!$AC$6:$AC$25,$Q71)),0))))</f>
        <v/>
      </c>
      <c r="V71">
        <f>IF(OR($D71="",$B71="",Housemates!$B$11=""),0,IF($R71&gt;0,IF(I71="",0,IF(ISNUMBER(I71),I71,1)),IF($C71="Paying back",0,IF(AND(OR(Housemates!$C$11="",Housemates!$C$11&lt;=$B71),OR(Housemates!$D$11="",Housemates!$D$11&gt;=$B71)),IF($Q71=0,1,INDEX(Bills!$AD$6:$AD$25,$Q71)),0))))</f>
        <v/>
      </c>
      <c r="W71">
        <f>IF(OR($D71="",$B71="",Housemates!$B$12=""),0,IF($R71&gt;0,IF(J71="",0,IF(ISNUMBER(J71),J71,1)),IF($C71="Paying back",0,IF(AND(OR(Housemates!$C$12="",Housemates!$C$12&lt;=$B71),OR(Housemates!$D$12="",Housemates!$D$12&gt;=$B71)),IF($Q71=0,1,INDEX(Bills!$AE$6:$AE$25,$Q71)),0))))</f>
        <v/>
      </c>
      <c r="X71">
        <f>IF(OR($D71="",$B71="",Housemates!$B$13=""),0,IF($R71&gt;0,IF(K71="",0,IF(ISNUMBER(K71),K71,1)),IF($C71="Paying back",0,IF(AND(OR(Housemates!$C$13="",Housemates!$C$13&lt;=$B71),OR(Housemates!$D$13="",Housemates!$D$13&gt;=$B71)),IF($Q71=0,1,INDEX(Bills!$AF$6:$AF$25,$Q71)),0))))</f>
        <v/>
      </c>
      <c r="Y71">
        <f>IF(OR($D71="",$B71="",Housemates!$B$14=""),0,IF($R71&gt;0,IF(L71="",0,IF(ISNUMBER(L71),L71,1)),IF($C71="Paying back",0,IF(AND(OR(Housemates!$C$14="",Housemates!$C$14&lt;=$B71),OR(Housemates!$D$14="",Housemates!$D$14&gt;=$B71)),IF($Q71=0,1,INDEX(Bills!$AG$6:$AG$25,$Q71)),0))))</f>
        <v/>
      </c>
      <c r="Z71">
        <f>IF(OR($D71="",$B71="",Housemates!$B$15=""),0,IF($R71&gt;0,IF(M71="",0,IF(ISNUMBER(M71),M71,1)),IF($C71="Paying back",0,IF(AND(OR(Housemates!$C$15="",Housemates!$C$15&lt;=$B71),OR(Housemates!$D$15="",Housemates!$D$15&gt;=$B71)),IF($Q71=0,1,INDEX(Bills!$AH$6:$AH$25,$Q71)),0))))</f>
        <v/>
      </c>
      <c r="AA71">
        <f>SUM(S71:Z71)</f>
        <v/>
      </c>
      <c r="AB71">
        <f>IF(AA71=0,0,D71*S71/AA71)</f>
        <v/>
      </c>
      <c r="AC71">
        <f>IF(AA71=0,0,D71*T71/AA71)</f>
        <v/>
      </c>
      <c r="AD71">
        <f>IF(AA71=0,0,D71*U71/AA71)</f>
        <v/>
      </c>
      <c r="AE71">
        <f>IF(AA71=0,0,D71*V71/AA71)</f>
        <v/>
      </c>
      <c r="AF71">
        <f>IF(AA71=0,0,D71*W71/AA71)</f>
        <v/>
      </c>
      <c r="AG71">
        <f>IF(AA71=0,0,D71*X71/AA71)</f>
        <v/>
      </c>
      <c r="AH71">
        <f>IF(AA71=0,0,D71*Y71/AA71)</f>
        <v/>
      </c>
      <c r="AI71">
        <f>IF(AA71=0,0,D71*Z71/AA71)</f>
        <v/>
      </c>
      <c r="AJ71">
        <f>IF(OR(C71="",B71=""),"",C71&amp;"|"&amp;(YEAR(B71)*100+MONTH(B71)))</f>
        <v/>
      </c>
    </row>
    <row r="72">
      <c r="A72" s="1" t="n"/>
      <c r="B72" s="23" t="n">
        <v>46218</v>
      </c>
      <c r="C72" s="24" t="inlineStr">
        <is>
          <t>Electricity</t>
        </is>
      </c>
      <c r="D72" s="25" t="n">
        <v>97.8</v>
      </c>
      <c r="E72" s="26" t="inlineStr">
        <is>
          <t>Leo</t>
        </is>
      </c>
      <c r="F72" s="27" t="n"/>
      <c r="G72" s="27" t="n"/>
      <c r="H72" s="27" t="n"/>
      <c r="I72" s="27" t="n"/>
      <c r="J72" s="27" t="n"/>
      <c r="K72" s="27" t="n"/>
      <c r="L72" s="27" t="n"/>
      <c r="M72" s="27" t="n"/>
      <c r="N72" s="21">
        <f>IF(D72="","",IF(B72="","No date",IF(AND(C72="Paying back",R72=0),"To whom?",IF(AA72=0,"Nobody",IF(C72="Paying back","To "&amp;INDEX(Housemates!$B$8:$B$15,MATCH(MAX(S72:Z72),S72:Z72,0)),IF(R72&gt;0,IF(COUNTIF(S72:Z72,"&gt;0")=1,"1 person",COUNTIF(S72:Z72,"&gt;0")&amp;" people"),IF(Q72=0,"Everyone",INDEX(Bills!$Q$6:$Q$25,Q72))))))))</f>
        <v/>
      </c>
      <c r="O72" s="18">
        <f>IF(D72="","",IF(C72="Paying back","Paying back",IF(Q72=0,"Other",IF(INDEX(Bills!$C$6:$C$25,Q72)="","Other",INDEX(Bills!$C$6:$C$25,Q72)))))</f>
        <v/>
      </c>
      <c r="P72" s="1" t="n"/>
      <c r="Q72">
        <f>IF(C72="",0,IFERROR(MATCH(C72,Bills!$B$6:$B$25,0),0))</f>
        <v/>
      </c>
      <c r="R72">
        <f>COUNTA(F72:M72)</f>
        <v/>
      </c>
      <c r="S72">
        <f>IF(OR($D72="",$B72="",Housemates!$B$8=""),0,IF($R72&gt;0,IF(F72="",0,IF(ISNUMBER(F72),F72,1)),IF($C72="Paying back",0,IF(AND(OR(Housemates!$C$8="",Housemates!$C$8&lt;=$B72),OR(Housemates!$D$8="",Housemates!$D$8&gt;=$B72)),IF($Q72=0,1,INDEX(Bills!$AA$6:$AA$25,$Q72)),0))))</f>
        <v/>
      </c>
      <c r="T72">
        <f>IF(OR($D72="",$B72="",Housemates!$B$9=""),0,IF($R72&gt;0,IF(G72="",0,IF(ISNUMBER(G72),G72,1)),IF($C72="Paying back",0,IF(AND(OR(Housemates!$C$9="",Housemates!$C$9&lt;=$B72),OR(Housemates!$D$9="",Housemates!$D$9&gt;=$B72)),IF($Q72=0,1,INDEX(Bills!$AB$6:$AB$25,$Q72)),0))))</f>
        <v/>
      </c>
      <c r="U72">
        <f>IF(OR($D72="",$B72="",Housemates!$B$10=""),0,IF($R72&gt;0,IF(H72="",0,IF(ISNUMBER(H72),H72,1)),IF($C72="Paying back",0,IF(AND(OR(Housemates!$C$10="",Housemates!$C$10&lt;=$B72),OR(Housemates!$D$10="",Housemates!$D$10&gt;=$B72)),IF($Q72=0,1,INDEX(Bills!$AC$6:$AC$25,$Q72)),0))))</f>
        <v/>
      </c>
      <c r="V72">
        <f>IF(OR($D72="",$B72="",Housemates!$B$11=""),0,IF($R72&gt;0,IF(I72="",0,IF(ISNUMBER(I72),I72,1)),IF($C72="Paying back",0,IF(AND(OR(Housemates!$C$11="",Housemates!$C$11&lt;=$B72),OR(Housemates!$D$11="",Housemates!$D$11&gt;=$B72)),IF($Q72=0,1,INDEX(Bills!$AD$6:$AD$25,$Q72)),0))))</f>
        <v/>
      </c>
      <c r="W72">
        <f>IF(OR($D72="",$B72="",Housemates!$B$12=""),0,IF($R72&gt;0,IF(J72="",0,IF(ISNUMBER(J72),J72,1)),IF($C72="Paying back",0,IF(AND(OR(Housemates!$C$12="",Housemates!$C$12&lt;=$B72),OR(Housemates!$D$12="",Housemates!$D$12&gt;=$B72)),IF($Q72=0,1,INDEX(Bills!$AE$6:$AE$25,$Q72)),0))))</f>
        <v/>
      </c>
      <c r="X72">
        <f>IF(OR($D72="",$B72="",Housemates!$B$13=""),0,IF($R72&gt;0,IF(K72="",0,IF(ISNUMBER(K72),K72,1)),IF($C72="Paying back",0,IF(AND(OR(Housemates!$C$13="",Housemates!$C$13&lt;=$B72),OR(Housemates!$D$13="",Housemates!$D$13&gt;=$B72)),IF($Q72=0,1,INDEX(Bills!$AF$6:$AF$25,$Q72)),0))))</f>
        <v/>
      </c>
      <c r="Y72">
        <f>IF(OR($D72="",$B72="",Housemates!$B$14=""),0,IF($R72&gt;0,IF(L72="",0,IF(ISNUMBER(L72),L72,1)),IF($C72="Paying back",0,IF(AND(OR(Housemates!$C$14="",Housemates!$C$14&lt;=$B72),OR(Housemates!$D$14="",Housemates!$D$14&gt;=$B72)),IF($Q72=0,1,INDEX(Bills!$AG$6:$AG$25,$Q72)),0))))</f>
        <v/>
      </c>
      <c r="Z72">
        <f>IF(OR($D72="",$B72="",Housemates!$B$15=""),0,IF($R72&gt;0,IF(M72="",0,IF(ISNUMBER(M72),M72,1)),IF($C72="Paying back",0,IF(AND(OR(Housemates!$C$15="",Housemates!$C$15&lt;=$B72),OR(Housemates!$D$15="",Housemates!$D$15&gt;=$B72)),IF($Q72=0,1,INDEX(Bills!$AH$6:$AH$25,$Q72)),0))))</f>
        <v/>
      </c>
      <c r="AA72">
        <f>SUM(S72:Z72)</f>
        <v/>
      </c>
      <c r="AB72">
        <f>IF(AA72=0,0,D72*S72/AA72)</f>
        <v/>
      </c>
      <c r="AC72">
        <f>IF(AA72=0,0,D72*T72/AA72)</f>
        <v/>
      </c>
      <c r="AD72">
        <f>IF(AA72=0,0,D72*U72/AA72)</f>
        <v/>
      </c>
      <c r="AE72">
        <f>IF(AA72=0,0,D72*V72/AA72)</f>
        <v/>
      </c>
      <c r="AF72">
        <f>IF(AA72=0,0,D72*W72/AA72)</f>
        <v/>
      </c>
      <c r="AG72">
        <f>IF(AA72=0,0,D72*X72/AA72)</f>
        <v/>
      </c>
      <c r="AH72">
        <f>IF(AA72=0,0,D72*Y72/AA72)</f>
        <v/>
      </c>
      <c r="AI72">
        <f>IF(AA72=0,0,D72*Z72/AA72)</f>
        <v/>
      </c>
      <c r="AJ72">
        <f>IF(OR(C72="",B72=""),"",C72&amp;"|"&amp;(YEAR(B72)*100+MONTH(B72)))</f>
        <v/>
      </c>
    </row>
    <row r="73">
      <c r="A73" s="1" t="n"/>
      <c r="B73" s="23" t="n">
        <v>46221</v>
      </c>
      <c r="C73" s="24" t="inlineStr">
        <is>
          <t>Groceries</t>
        </is>
      </c>
      <c r="D73" s="25" t="n">
        <v>55.08</v>
      </c>
      <c r="E73" s="26" t="inlineStr">
        <is>
          <t>Zoe</t>
        </is>
      </c>
      <c r="F73" s="27" t="n"/>
      <c r="G73" s="27" t="n"/>
      <c r="H73" s="27" t="n"/>
      <c r="I73" s="27" t="n"/>
      <c r="J73" s="27" t="n"/>
      <c r="K73" s="27" t="n"/>
      <c r="L73" s="27" t="n"/>
      <c r="M73" s="27" t="n"/>
      <c r="N73" s="21">
        <f>IF(D73="","",IF(B73="","No date",IF(AND(C73="Paying back",R73=0),"To whom?",IF(AA73=0,"Nobody",IF(C73="Paying back","To "&amp;INDEX(Housemates!$B$8:$B$15,MATCH(MAX(S73:Z73),S73:Z73,0)),IF(R73&gt;0,IF(COUNTIF(S73:Z73,"&gt;0")=1,"1 person",COUNTIF(S73:Z73,"&gt;0")&amp;" people"),IF(Q73=0,"Everyone",INDEX(Bills!$Q$6:$Q$25,Q73))))))))</f>
        <v/>
      </c>
      <c r="O73" s="18">
        <f>IF(D73="","",IF(C73="Paying back","Paying back",IF(Q73=0,"Other",IF(INDEX(Bills!$C$6:$C$25,Q73)="","Other",INDEX(Bills!$C$6:$C$25,Q73)))))</f>
        <v/>
      </c>
      <c r="P73" s="1" t="n"/>
      <c r="Q73">
        <f>IF(C73="",0,IFERROR(MATCH(C73,Bills!$B$6:$B$25,0),0))</f>
        <v/>
      </c>
      <c r="R73">
        <f>COUNTA(F73:M73)</f>
        <v/>
      </c>
      <c r="S73">
        <f>IF(OR($D73="",$B73="",Housemates!$B$8=""),0,IF($R73&gt;0,IF(F73="",0,IF(ISNUMBER(F73),F73,1)),IF($C73="Paying back",0,IF(AND(OR(Housemates!$C$8="",Housemates!$C$8&lt;=$B73),OR(Housemates!$D$8="",Housemates!$D$8&gt;=$B73)),IF($Q73=0,1,INDEX(Bills!$AA$6:$AA$25,$Q73)),0))))</f>
        <v/>
      </c>
      <c r="T73">
        <f>IF(OR($D73="",$B73="",Housemates!$B$9=""),0,IF($R73&gt;0,IF(G73="",0,IF(ISNUMBER(G73),G73,1)),IF($C73="Paying back",0,IF(AND(OR(Housemates!$C$9="",Housemates!$C$9&lt;=$B73),OR(Housemates!$D$9="",Housemates!$D$9&gt;=$B73)),IF($Q73=0,1,INDEX(Bills!$AB$6:$AB$25,$Q73)),0))))</f>
        <v/>
      </c>
      <c r="U73">
        <f>IF(OR($D73="",$B73="",Housemates!$B$10=""),0,IF($R73&gt;0,IF(H73="",0,IF(ISNUMBER(H73),H73,1)),IF($C73="Paying back",0,IF(AND(OR(Housemates!$C$10="",Housemates!$C$10&lt;=$B73),OR(Housemates!$D$10="",Housemates!$D$10&gt;=$B73)),IF($Q73=0,1,INDEX(Bills!$AC$6:$AC$25,$Q73)),0))))</f>
        <v/>
      </c>
      <c r="V73">
        <f>IF(OR($D73="",$B73="",Housemates!$B$11=""),0,IF($R73&gt;0,IF(I73="",0,IF(ISNUMBER(I73),I73,1)),IF($C73="Paying back",0,IF(AND(OR(Housemates!$C$11="",Housemates!$C$11&lt;=$B73),OR(Housemates!$D$11="",Housemates!$D$11&gt;=$B73)),IF($Q73=0,1,INDEX(Bills!$AD$6:$AD$25,$Q73)),0))))</f>
        <v/>
      </c>
      <c r="W73">
        <f>IF(OR($D73="",$B73="",Housemates!$B$12=""),0,IF($R73&gt;0,IF(J73="",0,IF(ISNUMBER(J73),J73,1)),IF($C73="Paying back",0,IF(AND(OR(Housemates!$C$12="",Housemates!$C$12&lt;=$B73),OR(Housemates!$D$12="",Housemates!$D$12&gt;=$B73)),IF($Q73=0,1,INDEX(Bills!$AE$6:$AE$25,$Q73)),0))))</f>
        <v/>
      </c>
      <c r="X73">
        <f>IF(OR($D73="",$B73="",Housemates!$B$13=""),0,IF($R73&gt;0,IF(K73="",0,IF(ISNUMBER(K73),K73,1)),IF($C73="Paying back",0,IF(AND(OR(Housemates!$C$13="",Housemates!$C$13&lt;=$B73),OR(Housemates!$D$13="",Housemates!$D$13&gt;=$B73)),IF($Q73=0,1,INDEX(Bills!$AF$6:$AF$25,$Q73)),0))))</f>
        <v/>
      </c>
      <c r="Y73">
        <f>IF(OR($D73="",$B73="",Housemates!$B$14=""),0,IF($R73&gt;0,IF(L73="",0,IF(ISNUMBER(L73),L73,1)),IF($C73="Paying back",0,IF(AND(OR(Housemates!$C$14="",Housemates!$C$14&lt;=$B73),OR(Housemates!$D$14="",Housemates!$D$14&gt;=$B73)),IF($Q73=0,1,INDEX(Bills!$AG$6:$AG$25,$Q73)),0))))</f>
        <v/>
      </c>
      <c r="Z73">
        <f>IF(OR($D73="",$B73="",Housemates!$B$15=""),0,IF($R73&gt;0,IF(M73="",0,IF(ISNUMBER(M73),M73,1)),IF($C73="Paying back",0,IF(AND(OR(Housemates!$C$15="",Housemates!$C$15&lt;=$B73),OR(Housemates!$D$15="",Housemates!$D$15&gt;=$B73)),IF($Q73=0,1,INDEX(Bills!$AH$6:$AH$25,$Q73)),0))))</f>
        <v/>
      </c>
      <c r="AA73">
        <f>SUM(S73:Z73)</f>
        <v/>
      </c>
      <c r="AB73">
        <f>IF(AA73=0,0,D73*S73/AA73)</f>
        <v/>
      </c>
      <c r="AC73">
        <f>IF(AA73=0,0,D73*T73/AA73)</f>
        <v/>
      </c>
      <c r="AD73">
        <f>IF(AA73=0,0,D73*U73/AA73)</f>
        <v/>
      </c>
      <c r="AE73">
        <f>IF(AA73=0,0,D73*V73/AA73)</f>
        <v/>
      </c>
      <c r="AF73">
        <f>IF(AA73=0,0,D73*W73/AA73)</f>
        <v/>
      </c>
      <c r="AG73">
        <f>IF(AA73=0,0,D73*X73/AA73)</f>
        <v/>
      </c>
      <c r="AH73">
        <f>IF(AA73=0,0,D73*Y73/AA73)</f>
        <v/>
      </c>
      <c r="AI73">
        <f>IF(AA73=0,0,D73*Z73/AA73)</f>
        <v/>
      </c>
      <c r="AJ73">
        <f>IF(OR(C73="",B73=""),"",C73&amp;"|"&amp;(YEAR(B73)*100+MONTH(B73)))</f>
        <v/>
      </c>
    </row>
    <row r="74">
      <c r="A74" s="1" t="n"/>
      <c r="B74" s="23" t="n">
        <v>46222</v>
      </c>
      <c r="C74" s="24" t="inlineStr">
        <is>
          <t>Streaming</t>
        </is>
      </c>
      <c r="D74" s="25" t="n">
        <v>15.96</v>
      </c>
      <c r="E74" s="26" t="inlineStr">
        <is>
          <t>Priya</t>
        </is>
      </c>
      <c r="F74" s="27" t="n"/>
      <c r="G74" s="27" t="n"/>
      <c r="H74" s="27" t="n"/>
      <c r="I74" s="27" t="n"/>
      <c r="J74" s="27" t="n"/>
      <c r="K74" s="27" t="n"/>
      <c r="L74" s="27" t="n"/>
      <c r="M74" s="27" t="n"/>
      <c r="N74" s="21">
        <f>IF(D74="","",IF(B74="","No date",IF(AND(C74="Paying back",R74=0),"To whom?",IF(AA74=0,"Nobody",IF(C74="Paying back","To "&amp;INDEX(Housemates!$B$8:$B$15,MATCH(MAX(S74:Z74),S74:Z74,0)),IF(R74&gt;0,IF(COUNTIF(S74:Z74,"&gt;0")=1,"1 person",COUNTIF(S74:Z74,"&gt;0")&amp;" people"),IF(Q74=0,"Everyone",INDEX(Bills!$Q$6:$Q$25,Q74))))))))</f>
        <v/>
      </c>
      <c r="O74" s="18">
        <f>IF(D74="","",IF(C74="Paying back","Paying back",IF(Q74=0,"Other",IF(INDEX(Bills!$C$6:$C$25,Q74)="","Other",INDEX(Bills!$C$6:$C$25,Q74)))))</f>
        <v/>
      </c>
      <c r="P74" s="1" t="n"/>
      <c r="Q74">
        <f>IF(C74="",0,IFERROR(MATCH(C74,Bills!$B$6:$B$25,0),0))</f>
        <v/>
      </c>
      <c r="R74">
        <f>COUNTA(F74:M74)</f>
        <v/>
      </c>
      <c r="S74">
        <f>IF(OR($D74="",$B74="",Housemates!$B$8=""),0,IF($R74&gt;0,IF(F74="",0,IF(ISNUMBER(F74),F74,1)),IF($C74="Paying back",0,IF(AND(OR(Housemates!$C$8="",Housemates!$C$8&lt;=$B74),OR(Housemates!$D$8="",Housemates!$D$8&gt;=$B74)),IF($Q74=0,1,INDEX(Bills!$AA$6:$AA$25,$Q74)),0))))</f>
        <v/>
      </c>
      <c r="T74">
        <f>IF(OR($D74="",$B74="",Housemates!$B$9=""),0,IF($R74&gt;0,IF(G74="",0,IF(ISNUMBER(G74),G74,1)),IF($C74="Paying back",0,IF(AND(OR(Housemates!$C$9="",Housemates!$C$9&lt;=$B74),OR(Housemates!$D$9="",Housemates!$D$9&gt;=$B74)),IF($Q74=0,1,INDEX(Bills!$AB$6:$AB$25,$Q74)),0))))</f>
        <v/>
      </c>
      <c r="U74">
        <f>IF(OR($D74="",$B74="",Housemates!$B$10=""),0,IF($R74&gt;0,IF(H74="",0,IF(ISNUMBER(H74),H74,1)),IF($C74="Paying back",0,IF(AND(OR(Housemates!$C$10="",Housemates!$C$10&lt;=$B74),OR(Housemates!$D$10="",Housemates!$D$10&gt;=$B74)),IF($Q74=0,1,INDEX(Bills!$AC$6:$AC$25,$Q74)),0))))</f>
        <v/>
      </c>
      <c r="V74">
        <f>IF(OR($D74="",$B74="",Housemates!$B$11=""),0,IF($R74&gt;0,IF(I74="",0,IF(ISNUMBER(I74),I74,1)),IF($C74="Paying back",0,IF(AND(OR(Housemates!$C$11="",Housemates!$C$11&lt;=$B74),OR(Housemates!$D$11="",Housemates!$D$11&gt;=$B74)),IF($Q74=0,1,INDEX(Bills!$AD$6:$AD$25,$Q74)),0))))</f>
        <v/>
      </c>
      <c r="W74">
        <f>IF(OR($D74="",$B74="",Housemates!$B$12=""),0,IF($R74&gt;0,IF(J74="",0,IF(ISNUMBER(J74),J74,1)),IF($C74="Paying back",0,IF(AND(OR(Housemates!$C$12="",Housemates!$C$12&lt;=$B74),OR(Housemates!$D$12="",Housemates!$D$12&gt;=$B74)),IF($Q74=0,1,INDEX(Bills!$AE$6:$AE$25,$Q74)),0))))</f>
        <v/>
      </c>
      <c r="X74">
        <f>IF(OR($D74="",$B74="",Housemates!$B$13=""),0,IF($R74&gt;0,IF(K74="",0,IF(ISNUMBER(K74),K74,1)),IF($C74="Paying back",0,IF(AND(OR(Housemates!$C$13="",Housemates!$C$13&lt;=$B74),OR(Housemates!$D$13="",Housemates!$D$13&gt;=$B74)),IF($Q74=0,1,INDEX(Bills!$AF$6:$AF$25,$Q74)),0))))</f>
        <v/>
      </c>
      <c r="Y74">
        <f>IF(OR($D74="",$B74="",Housemates!$B$14=""),0,IF($R74&gt;0,IF(L74="",0,IF(ISNUMBER(L74),L74,1)),IF($C74="Paying back",0,IF(AND(OR(Housemates!$C$14="",Housemates!$C$14&lt;=$B74),OR(Housemates!$D$14="",Housemates!$D$14&gt;=$B74)),IF($Q74=0,1,INDEX(Bills!$AG$6:$AG$25,$Q74)),0))))</f>
        <v/>
      </c>
      <c r="Z74">
        <f>IF(OR($D74="",$B74="",Housemates!$B$15=""),0,IF($R74&gt;0,IF(M74="",0,IF(ISNUMBER(M74),M74,1)),IF($C74="Paying back",0,IF(AND(OR(Housemates!$C$15="",Housemates!$C$15&lt;=$B74),OR(Housemates!$D$15="",Housemates!$D$15&gt;=$B74)),IF($Q74=0,1,INDEX(Bills!$AH$6:$AH$25,$Q74)),0))))</f>
        <v/>
      </c>
      <c r="AA74">
        <f>SUM(S74:Z74)</f>
        <v/>
      </c>
      <c r="AB74">
        <f>IF(AA74=0,0,D74*S74/AA74)</f>
        <v/>
      </c>
      <c r="AC74">
        <f>IF(AA74=0,0,D74*T74/AA74)</f>
        <v/>
      </c>
      <c r="AD74">
        <f>IF(AA74=0,0,D74*U74/AA74)</f>
        <v/>
      </c>
      <c r="AE74">
        <f>IF(AA74=0,0,D74*V74/AA74)</f>
        <v/>
      </c>
      <c r="AF74">
        <f>IF(AA74=0,0,D74*W74/AA74)</f>
        <v/>
      </c>
      <c r="AG74">
        <f>IF(AA74=0,0,D74*X74/AA74)</f>
        <v/>
      </c>
      <c r="AH74">
        <f>IF(AA74=0,0,D74*Y74/AA74)</f>
        <v/>
      </c>
      <c r="AI74">
        <f>IF(AA74=0,0,D74*Z74/AA74)</f>
        <v/>
      </c>
      <c r="AJ74">
        <f>IF(OR(C74="",B74=""),"",C74&amp;"|"&amp;(YEAR(B74)*100+MONTH(B74)))</f>
        <v/>
      </c>
    </row>
    <row r="75">
      <c r="A75" s="1" t="n"/>
      <c r="B75" s="23" t="n">
        <v>46230</v>
      </c>
      <c r="C75" s="24" t="inlineStr">
        <is>
          <t>Groceries</t>
        </is>
      </c>
      <c r="D75" s="25" t="n">
        <v>47.52</v>
      </c>
      <c r="E75" s="26" t="inlineStr">
        <is>
          <t>Zoe</t>
        </is>
      </c>
      <c r="F75" s="27" t="n"/>
      <c r="G75" s="27" t="n"/>
      <c r="H75" s="27" t="n"/>
      <c r="I75" s="27" t="n"/>
      <c r="J75" s="27" t="n"/>
      <c r="K75" s="27" t="n"/>
      <c r="L75" s="27" t="n"/>
      <c r="M75" s="27" t="n"/>
      <c r="N75" s="21">
        <f>IF(D75="","",IF(B75="","No date",IF(AND(C75="Paying back",R75=0),"To whom?",IF(AA75=0,"Nobody",IF(C75="Paying back","To "&amp;INDEX(Housemates!$B$8:$B$15,MATCH(MAX(S75:Z75),S75:Z75,0)),IF(R75&gt;0,IF(COUNTIF(S75:Z75,"&gt;0")=1,"1 person",COUNTIF(S75:Z75,"&gt;0")&amp;" people"),IF(Q75=0,"Everyone",INDEX(Bills!$Q$6:$Q$25,Q75))))))))</f>
        <v/>
      </c>
      <c r="O75" s="18">
        <f>IF(D75="","",IF(C75="Paying back","Paying back",IF(Q75=0,"Other",IF(INDEX(Bills!$C$6:$C$25,Q75)="","Other",INDEX(Bills!$C$6:$C$25,Q75)))))</f>
        <v/>
      </c>
      <c r="P75" s="1" t="n"/>
      <c r="Q75">
        <f>IF(C75="",0,IFERROR(MATCH(C75,Bills!$B$6:$B$25,0),0))</f>
        <v/>
      </c>
      <c r="R75">
        <f>COUNTA(F75:M75)</f>
        <v/>
      </c>
      <c r="S75">
        <f>IF(OR($D75="",$B75="",Housemates!$B$8=""),0,IF($R75&gt;0,IF(F75="",0,IF(ISNUMBER(F75),F75,1)),IF($C75="Paying back",0,IF(AND(OR(Housemates!$C$8="",Housemates!$C$8&lt;=$B75),OR(Housemates!$D$8="",Housemates!$D$8&gt;=$B75)),IF($Q75=0,1,INDEX(Bills!$AA$6:$AA$25,$Q75)),0))))</f>
        <v/>
      </c>
      <c r="T75">
        <f>IF(OR($D75="",$B75="",Housemates!$B$9=""),0,IF($R75&gt;0,IF(G75="",0,IF(ISNUMBER(G75),G75,1)),IF($C75="Paying back",0,IF(AND(OR(Housemates!$C$9="",Housemates!$C$9&lt;=$B75),OR(Housemates!$D$9="",Housemates!$D$9&gt;=$B75)),IF($Q75=0,1,INDEX(Bills!$AB$6:$AB$25,$Q75)),0))))</f>
        <v/>
      </c>
      <c r="U75">
        <f>IF(OR($D75="",$B75="",Housemates!$B$10=""),0,IF($R75&gt;0,IF(H75="",0,IF(ISNUMBER(H75),H75,1)),IF($C75="Paying back",0,IF(AND(OR(Housemates!$C$10="",Housemates!$C$10&lt;=$B75),OR(Housemates!$D$10="",Housemates!$D$10&gt;=$B75)),IF($Q75=0,1,INDEX(Bills!$AC$6:$AC$25,$Q75)),0))))</f>
        <v/>
      </c>
      <c r="V75">
        <f>IF(OR($D75="",$B75="",Housemates!$B$11=""),0,IF($R75&gt;0,IF(I75="",0,IF(ISNUMBER(I75),I75,1)),IF($C75="Paying back",0,IF(AND(OR(Housemates!$C$11="",Housemates!$C$11&lt;=$B75),OR(Housemates!$D$11="",Housemates!$D$11&gt;=$B75)),IF($Q75=0,1,INDEX(Bills!$AD$6:$AD$25,$Q75)),0))))</f>
        <v/>
      </c>
      <c r="W75">
        <f>IF(OR($D75="",$B75="",Housemates!$B$12=""),0,IF($R75&gt;0,IF(J75="",0,IF(ISNUMBER(J75),J75,1)),IF($C75="Paying back",0,IF(AND(OR(Housemates!$C$12="",Housemates!$C$12&lt;=$B75),OR(Housemates!$D$12="",Housemates!$D$12&gt;=$B75)),IF($Q75=0,1,INDEX(Bills!$AE$6:$AE$25,$Q75)),0))))</f>
        <v/>
      </c>
      <c r="X75">
        <f>IF(OR($D75="",$B75="",Housemates!$B$13=""),0,IF($R75&gt;0,IF(K75="",0,IF(ISNUMBER(K75),K75,1)),IF($C75="Paying back",0,IF(AND(OR(Housemates!$C$13="",Housemates!$C$13&lt;=$B75),OR(Housemates!$D$13="",Housemates!$D$13&gt;=$B75)),IF($Q75=0,1,INDEX(Bills!$AF$6:$AF$25,$Q75)),0))))</f>
        <v/>
      </c>
      <c r="Y75">
        <f>IF(OR($D75="",$B75="",Housemates!$B$14=""),0,IF($R75&gt;0,IF(L75="",0,IF(ISNUMBER(L75),L75,1)),IF($C75="Paying back",0,IF(AND(OR(Housemates!$C$14="",Housemates!$C$14&lt;=$B75),OR(Housemates!$D$14="",Housemates!$D$14&gt;=$B75)),IF($Q75=0,1,INDEX(Bills!$AG$6:$AG$25,$Q75)),0))))</f>
        <v/>
      </c>
      <c r="Z75">
        <f>IF(OR($D75="",$B75="",Housemates!$B$15=""),0,IF($R75&gt;0,IF(M75="",0,IF(ISNUMBER(M75),M75,1)),IF($C75="Paying back",0,IF(AND(OR(Housemates!$C$15="",Housemates!$C$15&lt;=$B75),OR(Housemates!$D$15="",Housemates!$D$15&gt;=$B75)),IF($Q75=0,1,INDEX(Bills!$AH$6:$AH$25,$Q75)),0))))</f>
        <v/>
      </c>
      <c r="AA75">
        <f>SUM(S75:Z75)</f>
        <v/>
      </c>
      <c r="AB75">
        <f>IF(AA75=0,0,D75*S75/AA75)</f>
        <v/>
      </c>
      <c r="AC75">
        <f>IF(AA75=0,0,D75*T75/AA75)</f>
        <v/>
      </c>
      <c r="AD75">
        <f>IF(AA75=0,0,D75*U75/AA75)</f>
        <v/>
      </c>
      <c r="AE75">
        <f>IF(AA75=0,0,D75*V75/AA75)</f>
        <v/>
      </c>
      <c r="AF75">
        <f>IF(AA75=0,0,D75*W75/AA75)</f>
        <v/>
      </c>
      <c r="AG75">
        <f>IF(AA75=0,0,D75*X75/AA75)</f>
        <v/>
      </c>
      <c r="AH75">
        <f>IF(AA75=0,0,D75*Y75/AA75)</f>
        <v/>
      </c>
      <c r="AI75">
        <f>IF(AA75=0,0,D75*Z75/AA75)</f>
        <v/>
      </c>
      <c r="AJ75">
        <f>IF(OR(C75="",B75=""),"",C75&amp;"|"&amp;(YEAR(B75)*100+MONTH(B75)))</f>
        <v/>
      </c>
    </row>
    <row r="76">
      <c r="A76" s="1" t="n"/>
      <c r="B76" s="23" t="n">
        <v>46234</v>
      </c>
      <c r="C76" s="24" t="inlineStr">
        <is>
          <t>Paying back</t>
        </is>
      </c>
      <c r="D76" s="25" t="n">
        <v>1394.14</v>
      </c>
      <c r="E76" s="26" t="inlineStr">
        <is>
          <t>Priya</t>
        </is>
      </c>
      <c r="F76" s="27" t="inlineStr">
        <is>
          <t>x</t>
        </is>
      </c>
      <c r="G76" s="27" t="n"/>
      <c r="H76" s="27" t="n"/>
      <c r="I76" s="27" t="n"/>
      <c r="J76" s="27" t="n"/>
      <c r="K76" s="27" t="n"/>
      <c r="L76" s="27" t="n"/>
      <c r="M76" s="27" t="n"/>
      <c r="N76" s="21">
        <f>IF(D76="","",IF(B76="","No date",IF(AND(C76="Paying back",R76=0),"To whom?",IF(AA76=0,"Nobody",IF(C76="Paying back","To "&amp;INDEX(Housemates!$B$8:$B$15,MATCH(MAX(S76:Z76),S76:Z76,0)),IF(R76&gt;0,IF(COUNTIF(S76:Z76,"&gt;0")=1,"1 person",COUNTIF(S76:Z76,"&gt;0")&amp;" people"),IF(Q76=0,"Everyone",INDEX(Bills!$Q$6:$Q$25,Q76))))))))</f>
        <v/>
      </c>
      <c r="O76" s="18">
        <f>IF(D76="","",IF(C76="Paying back","Paying back",IF(Q76=0,"Other",IF(INDEX(Bills!$C$6:$C$25,Q76)="","Other",INDEX(Bills!$C$6:$C$25,Q76)))))</f>
        <v/>
      </c>
      <c r="P76" s="1" t="n"/>
      <c r="Q76">
        <f>IF(C76="",0,IFERROR(MATCH(C76,Bills!$B$6:$B$25,0),0))</f>
        <v/>
      </c>
      <c r="R76">
        <f>COUNTA(F76:M76)</f>
        <v/>
      </c>
      <c r="S76">
        <f>IF(OR($D76="",$B76="",Housemates!$B$8=""),0,IF($R76&gt;0,IF(F76="",0,IF(ISNUMBER(F76),F76,1)),IF($C76="Paying back",0,IF(AND(OR(Housemates!$C$8="",Housemates!$C$8&lt;=$B76),OR(Housemates!$D$8="",Housemates!$D$8&gt;=$B76)),IF($Q76=0,1,INDEX(Bills!$AA$6:$AA$25,$Q76)),0))))</f>
        <v/>
      </c>
      <c r="T76">
        <f>IF(OR($D76="",$B76="",Housemates!$B$9=""),0,IF($R76&gt;0,IF(G76="",0,IF(ISNUMBER(G76),G76,1)),IF($C76="Paying back",0,IF(AND(OR(Housemates!$C$9="",Housemates!$C$9&lt;=$B76),OR(Housemates!$D$9="",Housemates!$D$9&gt;=$B76)),IF($Q76=0,1,INDEX(Bills!$AB$6:$AB$25,$Q76)),0))))</f>
        <v/>
      </c>
      <c r="U76">
        <f>IF(OR($D76="",$B76="",Housemates!$B$10=""),0,IF($R76&gt;0,IF(H76="",0,IF(ISNUMBER(H76),H76,1)),IF($C76="Paying back",0,IF(AND(OR(Housemates!$C$10="",Housemates!$C$10&lt;=$B76),OR(Housemates!$D$10="",Housemates!$D$10&gt;=$B76)),IF($Q76=0,1,INDEX(Bills!$AC$6:$AC$25,$Q76)),0))))</f>
        <v/>
      </c>
      <c r="V76">
        <f>IF(OR($D76="",$B76="",Housemates!$B$11=""),0,IF($R76&gt;0,IF(I76="",0,IF(ISNUMBER(I76),I76,1)),IF($C76="Paying back",0,IF(AND(OR(Housemates!$C$11="",Housemates!$C$11&lt;=$B76),OR(Housemates!$D$11="",Housemates!$D$11&gt;=$B76)),IF($Q76=0,1,INDEX(Bills!$AD$6:$AD$25,$Q76)),0))))</f>
        <v/>
      </c>
      <c r="W76">
        <f>IF(OR($D76="",$B76="",Housemates!$B$12=""),0,IF($R76&gt;0,IF(J76="",0,IF(ISNUMBER(J76),J76,1)),IF($C76="Paying back",0,IF(AND(OR(Housemates!$C$12="",Housemates!$C$12&lt;=$B76),OR(Housemates!$D$12="",Housemates!$D$12&gt;=$B76)),IF($Q76=0,1,INDEX(Bills!$AE$6:$AE$25,$Q76)),0))))</f>
        <v/>
      </c>
      <c r="X76">
        <f>IF(OR($D76="",$B76="",Housemates!$B$13=""),0,IF($R76&gt;0,IF(K76="",0,IF(ISNUMBER(K76),K76,1)),IF($C76="Paying back",0,IF(AND(OR(Housemates!$C$13="",Housemates!$C$13&lt;=$B76),OR(Housemates!$D$13="",Housemates!$D$13&gt;=$B76)),IF($Q76=0,1,INDEX(Bills!$AF$6:$AF$25,$Q76)),0))))</f>
        <v/>
      </c>
      <c r="Y76">
        <f>IF(OR($D76="",$B76="",Housemates!$B$14=""),0,IF($R76&gt;0,IF(L76="",0,IF(ISNUMBER(L76),L76,1)),IF($C76="Paying back",0,IF(AND(OR(Housemates!$C$14="",Housemates!$C$14&lt;=$B76),OR(Housemates!$D$14="",Housemates!$D$14&gt;=$B76)),IF($Q76=0,1,INDEX(Bills!$AG$6:$AG$25,$Q76)),0))))</f>
        <v/>
      </c>
      <c r="Z76">
        <f>IF(OR($D76="",$B76="",Housemates!$B$15=""),0,IF($R76&gt;0,IF(M76="",0,IF(ISNUMBER(M76),M76,1)),IF($C76="Paying back",0,IF(AND(OR(Housemates!$C$15="",Housemates!$C$15&lt;=$B76),OR(Housemates!$D$15="",Housemates!$D$15&gt;=$B76)),IF($Q76=0,1,INDEX(Bills!$AH$6:$AH$25,$Q76)),0))))</f>
        <v/>
      </c>
      <c r="AA76">
        <f>SUM(S76:Z76)</f>
        <v/>
      </c>
      <c r="AB76">
        <f>IF(AA76=0,0,D76*S76/AA76)</f>
        <v/>
      </c>
      <c r="AC76">
        <f>IF(AA76=0,0,D76*T76/AA76)</f>
        <v/>
      </c>
      <c r="AD76">
        <f>IF(AA76=0,0,D76*U76/AA76)</f>
        <v/>
      </c>
      <c r="AE76">
        <f>IF(AA76=0,0,D76*V76/AA76)</f>
        <v/>
      </c>
      <c r="AF76">
        <f>IF(AA76=0,0,D76*W76/AA76)</f>
        <v/>
      </c>
      <c r="AG76">
        <f>IF(AA76=0,0,D76*X76/AA76)</f>
        <v/>
      </c>
      <c r="AH76">
        <f>IF(AA76=0,0,D76*Y76/AA76)</f>
        <v/>
      </c>
      <c r="AI76">
        <f>IF(AA76=0,0,D76*Z76/AA76)</f>
        <v/>
      </c>
      <c r="AJ76">
        <f>IF(OR(C76="",B76=""),"",C76&amp;"|"&amp;(YEAR(B76)*100+MONTH(B76)))</f>
        <v/>
      </c>
    </row>
    <row r="77">
      <c r="A77" s="1" t="n"/>
      <c r="B77" s="23" t="n">
        <v>46234</v>
      </c>
      <c r="C77" s="24" t="inlineStr">
        <is>
          <t>Paying back</t>
        </is>
      </c>
      <c r="D77" s="25" t="n">
        <v>1013.62</v>
      </c>
      <c r="E77" s="26" t="inlineStr">
        <is>
          <t>Zoe</t>
        </is>
      </c>
      <c r="F77" s="27" t="inlineStr">
        <is>
          <t>x</t>
        </is>
      </c>
      <c r="G77" s="27" t="n"/>
      <c r="H77" s="27" t="n"/>
      <c r="I77" s="27" t="n"/>
      <c r="J77" s="27" t="n"/>
      <c r="K77" s="27" t="n"/>
      <c r="L77" s="27" t="n"/>
      <c r="M77" s="27" t="n"/>
      <c r="N77" s="21">
        <f>IF(D77="","",IF(B77="","No date",IF(AND(C77="Paying back",R77=0),"To whom?",IF(AA77=0,"Nobody",IF(C77="Paying back","To "&amp;INDEX(Housemates!$B$8:$B$15,MATCH(MAX(S77:Z77),S77:Z77,0)),IF(R77&gt;0,IF(COUNTIF(S77:Z77,"&gt;0")=1,"1 person",COUNTIF(S77:Z77,"&gt;0")&amp;" people"),IF(Q77=0,"Everyone",INDEX(Bills!$Q$6:$Q$25,Q77))))))))</f>
        <v/>
      </c>
      <c r="O77" s="18">
        <f>IF(D77="","",IF(C77="Paying back","Paying back",IF(Q77=0,"Other",IF(INDEX(Bills!$C$6:$C$25,Q77)="","Other",INDEX(Bills!$C$6:$C$25,Q77)))))</f>
        <v/>
      </c>
      <c r="P77" s="1" t="n"/>
      <c r="Q77">
        <f>IF(C77="",0,IFERROR(MATCH(C77,Bills!$B$6:$B$25,0),0))</f>
        <v/>
      </c>
      <c r="R77">
        <f>COUNTA(F77:M77)</f>
        <v/>
      </c>
      <c r="S77">
        <f>IF(OR($D77="",$B77="",Housemates!$B$8=""),0,IF($R77&gt;0,IF(F77="",0,IF(ISNUMBER(F77),F77,1)),IF($C77="Paying back",0,IF(AND(OR(Housemates!$C$8="",Housemates!$C$8&lt;=$B77),OR(Housemates!$D$8="",Housemates!$D$8&gt;=$B77)),IF($Q77=0,1,INDEX(Bills!$AA$6:$AA$25,$Q77)),0))))</f>
        <v/>
      </c>
      <c r="T77">
        <f>IF(OR($D77="",$B77="",Housemates!$B$9=""),0,IF($R77&gt;0,IF(G77="",0,IF(ISNUMBER(G77),G77,1)),IF($C77="Paying back",0,IF(AND(OR(Housemates!$C$9="",Housemates!$C$9&lt;=$B77),OR(Housemates!$D$9="",Housemates!$D$9&gt;=$B77)),IF($Q77=0,1,INDEX(Bills!$AB$6:$AB$25,$Q77)),0))))</f>
        <v/>
      </c>
      <c r="U77">
        <f>IF(OR($D77="",$B77="",Housemates!$B$10=""),0,IF($R77&gt;0,IF(H77="",0,IF(ISNUMBER(H77),H77,1)),IF($C77="Paying back",0,IF(AND(OR(Housemates!$C$10="",Housemates!$C$10&lt;=$B77),OR(Housemates!$D$10="",Housemates!$D$10&gt;=$B77)),IF($Q77=0,1,INDEX(Bills!$AC$6:$AC$25,$Q77)),0))))</f>
        <v/>
      </c>
      <c r="V77">
        <f>IF(OR($D77="",$B77="",Housemates!$B$11=""),0,IF($R77&gt;0,IF(I77="",0,IF(ISNUMBER(I77),I77,1)),IF($C77="Paying back",0,IF(AND(OR(Housemates!$C$11="",Housemates!$C$11&lt;=$B77),OR(Housemates!$D$11="",Housemates!$D$11&gt;=$B77)),IF($Q77=0,1,INDEX(Bills!$AD$6:$AD$25,$Q77)),0))))</f>
        <v/>
      </c>
      <c r="W77">
        <f>IF(OR($D77="",$B77="",Housemates!$B$12=""),0,IF($R77&gt;0,IF(J77="",0,IF(ISNUMBER(J77),J77,1)),IF($C77="Paying back",0,IF(AND(OR(Housemates!$C$12="",Housemates!$C$12&lt;=$B77),OR(Housemates!$D$12="",Housemates!$D$12&gt;=$B77)),IF($Q77=0,1,INDEX(Bills!$AE$6:$AE$25,$Q77)),0))))</f>
        <v/>
      </c>
      <c r="X77">
        <f>IF(OR($D77="",$B77="",Housemates!$B$13=""),0,IF($R77&gt;0,IF(K77="",0,IF(ISNUMBER(K77),K77,1)),IF($C77="Paying back",0,IF(AND(OR(Housemates!$C$13="",Housemates!$C$13&lt;=$B77),OR(Housemates!$D$13="",Housemates!$D$13&gt;=$B77)),IF($Q77=0,1,INDEX(Bills!$AF$6:$AF$25,$Q77)),0))))</f>
        <v/>
      </c>
      <c r="Y77">
        <f>IF(OR($D77="",$B77="",Housemates!$B$14=""),0,IF($R77&gt;0,IF(L77="",0,IF(ISNUMBER(L77),L77,1)),IF($C77="Paying back",0,IF(AND(OR(Housemates!$C$14="",Housemates!$C$14&lt;=$B77),OR(Housemates!$D$14="",Housemates!$D$14&gt;=$B77)),IF($Q77=0,1,INDEX(Bills!$AG$6:$AG$25,$Q77)),0))))</f>
        <v/>
      </c>
      <c r="Z77">
        <f>IF(OR($D77="",$B77="",Housemates!$B$15=""),0,IF($R77&gt;0,IF(M77="",0,IF(ISNUMBER(M77),M77,1)),IF($C77="Paying back",0,IF(AND(OR(Housemates!$C$15="",Housemates!$C$15&lt;=$B77),OR(Housemates!$D$15="",Housemates!$D$15&gt;=$B77)),IF($Q77=0,1,INDEX(Bills!$AH$6:$AH$25,$Q77)),0))))</f>
        <v/>
      </c>
      <c r="AA77">
        <f>SUM(S77:Z77)</f>
        <v/>
      </c>
      <c r="AB77">
        <f>IF(AA77=0,0,D77*S77/AA77)</f>
        <v/>
      </c>
      <c r="AC77">
        <f>IF(AA77=0,0,D77*T77/AA77)</f>
        <v/>
      </c>
      <c r="AD77">
        <f>IF(AA77=0,0,D77*U77/AA77)</f>
        <v/>
      </c>
      <c r="AE77">
        <f>IF(AA77=0,0,D77*V77/AA77)</f>
        <v/>
      </c>
      <c r="AF77">
        <f>IF(AA77=0,0,D77*W77/AA77)</f>
        <v/>
      </c>
      <c r="AG77">
        <f>IF(AA77=0,0,D77*X77/AA77)</f>
        <v/>
      </c>
      <c r="AH77">
        <f>IF(AA77=0,0,D77*Y77/AA77)</f>
        <v/>
      </c>
      <c r="AI77">
        <f>IF(AA77=0,0,D77*Z77/AA77)</f>
        <v/>
      </c>
      <c r="AJ77">
        <f>IF(OR(C77="",B77=""),"",C77&amp;"|"&amp;(YEAR(B77)*100+MONTH(B77)))</f>
        <v/>
      </c>
    </row>
    <row r="78">
      <c r="A78" s="1" t="n"/>
      <c r="B78" s="23" t="n">
        <v>46234</v>
      </c>
      <c r="C78" s="24" t="inlineStr">
        <is>
          <t>Paying back</t>
        </is>
      </c>
      <c r="D78" s="25" t="n">
        <v>913.48</v>
      </c>
      <c r="E78" s="26" t="inlineStr">
        <is>
          <t>Leo</t>
        </is>
      </c>
      <c r="F78" s="27" t="inlineStr">
        <is>
          <t>x</t>
        </is>
      </c>
      <c r="G78" s="27" t="n"/>
      <c r="H78" s="27" t="n"/>
      <c r="I78" s="27" t="n"/>
      <c r="J78" s="27" t="n"/>
      <c r="K78" s="27" t="n"/>
      <c r="L78" s="27" t="n"/>
      <c r="M78" s="27" t="n"/>
      <c r="N78" s="21">
        <f>IF(D78="","",IF(B78="","No date",IF(AND(C78="Paying back",R78=0),"To whom?",IF(AA78=0,"Nobody",IF(C78="Paying back","To "&amp;INDEX(Housemates!$B$8:$B$15,MATCH(MAX(S78:Z78),S78:Z78,0)),IF(R78&gt;0,IF(COUNTIF(S78:Z78,"&gt;0")=1,"1 person",COUNTIF(S78:Z78,"&gt;0")&amp;" people"),IF(Q78=0,"Everyone",INDEX(Bills!$Q$6:$Q$25,Q78))))))))</f>
        <v/>
      </c>
      <c r="O78" s="18">
        <f>IF(D78="","",IF(C78="Paying back","Paying back",IF(Q78=0,"Other",IF(INDEX(Bills!$C$6:$C$25,Q78)="","Other",INDEX(Bills!$C$6:$C$25,Q78)))))</f>
        <v/>
      </c>
      <c r="P78" s="1" t="n"/>
      <c r="Q78">
        <f>IF(C78="",0,IFERROR(MATCH(C78,Bills!$B$6:$B$25,0),0))</f>
        <v/>
      </c>
      <c r="R78">
        <f>COUNTA(F78:M78)</f>
        <v/>
      </c>
      <c r="S78">
        <f>IF(OR($D78="",$B78="",Housemates!$B$8=""),0,IF($R78&gt;0,IF(F78="",0,IF(ISNUMBER(F78),F78,1)),IF($C78="Paying back",0,IF(AND(OR(Housemates!$C$8="",Housemates!$C$8&lt;=$B78),OR(Housemates!$D$8="",Housemates!$D$8&gt;=$B78)),IF($Q78=0,1,INDEX(Bills!$AA$6:$AA$25,$Q78)),0))))</f>
        <v/>
      </c>
      <c r="T78">
        <f>IF(OR($D78="",$B78="",Housemates!$B$9=""),0,IF($R78&gt;0,IF(G78="",0,IF(ISNUMBER(G78),G78,1)),IF($C78="Paying back",0,IF(AND(OR(Housemates!$C$9="",Housemates!$C$9&lt;=$B78),OR(Housemates!$D$9="",Housemates!$D$9&gt;=$B78)),IF($Q78=0,1,INDEX(Bills!$AB$6:$AB$25,$Q78)),0))))</f>
        <v/>
      </c>
      <c r="U78">
        <f>IF(OR($D78="",$B78="",Housemates!$B$10=""),0,IF($R78&gt;0,IF(H78="",0,IF(ISNUMBER(H78),H78,1)),IF($C78="Paying back",0,IF(AND(OR(Housemates!$C$10="",Housemates!$C$10&lt;=$B78),OR(Housemates!$D$10="",Housemates!$D$10&gt;=$B78)),IF($Q78=0,1,INDEX(Bills!$AC$6:$AC$25,$Q78)),0))))</f>
        <v/>
      </c>
      <c r="V78">
        <f>IF(OR($D78="",$B78="",Housemates!$B$11=""),0,IF($R78&gt;0,IF(I78="",0,IF(ISNUMBER(I78),I78,1)),IF($C78="Paying back",0,IF(AND(OR(Housemates!$C$11="",Housemates!$C$11&lt;=$B78),OR(Housemates!$D$11="",Housemates!$D$11&gt;=$B78)),IF($Q78=0,1,INDEX(Bills!$AD$6:$AD$25,$Q78)),0))))</f>
        <v/>
      </c>
      <c r="W78">
        <f>IF(OR($D78="",$B78="",Housemates!$B$12=""),0,IF($R78&gt;0,IF(J78="",0,IF(ISNUMBER(J78),J78,1)),IF($C78="Paying back",0,IF(AND(OR(Housemates!$C$12="",Housemates!$C$12&lt;=$B78),OR(Housemates!$D$12="",Housemates!$D$12&gt;=$B78)),IF($Q78=0,1,INDEX(Bills!$AE$6:$AE$25,$Q78)),0))))</f>
        <v/>
      </c>
      <c r="X78">
        <f>IF(OR($D78="",$B78="",Housemates!$B$13=""),0,IF($R78&gt;0,IF(K78="",0,IF(ISNUMBER(K78),K78,1)),IF($C78="Paying back",0,IF(AND(OR(Housemates!$C$13="",Housemates!$C$13&lt;=$B78),OR(Housemates!$D$13="",Housemates!$D$13&gt;=$B78)),IF($Q78=0,1,INDEX(Bills!$AF$6:$AF$25,$Q78)),0))))</f>
        <v/>
      </c>
      <c r="Y78">
        <f>IF(OR($D78="",$B78="",Housemates!$B$14=""),0,IF($R78&gt;0,IF(L78="",0,IF(ISNUMBER(L78),L78,1)),IF($C78="Paying back",0,IF(AND(OR(Housemates!$C$14="",Housemates!$C$14&lt;=$B78),OR(Housemates!$D$14="",Housemates!$D$14&gt;=$B78)),IF($Q78=0,1,INDEX(Bills!$AG$6:$AG$25,$Q78)),0))))</f>
        <v/>
      </c>
      <c r="Z78">
        <f>IF(OR($D78="",$B78="",Housemates!$B$15=""),0,IF($R78&gt;0,IF(M78="",0,IF(ISNUMBER(M78),M78,1)),IF($C78="Paying back",0,IF(AND(OR(Housemates!$C$15="",Housemates!$C$15&lt;=$B78),OR(Housemates!$D$15="",Housemates!$D$15&gt;=$B78)),IF($Q78=0,1,INDEX(Bills!$AH$6:$AH$25,$Q78)),0))))</f>
        <v/>
      </c>
      <c r="AA78">
        <f>SUM(S78:Z78)</f>
        <v/>
      </c>
      <c r="AB78">
        <f>IF(AA78=0,0,D78*S78/AA78)</f>
        <v/>
      </c>
      <c r="AC78">
        <f>IF(AA78=0,0,D78*T78/AA78)</f>
        <v/>
      </c>
      <c r="AD78">
        <f>IF(AA78=0,0,D78*U78/AA78)</f>
        <v/>
      </c>
      <c r="AE78">
        <f>IF(AA78=0,0,D78*V78/AA78)</f>
        <v/>
      </c>
      <c r="AF78">
        <f>IF(AA78=0,0,D78*W78/AA78)</f>
        <v/>
      </c>
      <c r="AG78">
        <f>IF(AA78=0,0,D78*X78/AA78)</f>
        <v/>
      </c>
      <c r="AH78">
        <f>IF(AA78=0,0,D78*Y78/AA78)</f>
        <v/>
      </c>
      <c r="AI78">
        <f>IF(AA78=0,0,D78*Z78/AA78)</f>
        <v/>
      </c>
      <c r="AJ78">
        <f>IF(OR(C78="",B78=""),"",C78&amp;"|"&amp;(YEAR(B78)*100+MONTH(B78)))</f>
        <v/>
      </c>
    </row>
    <row r="79">
      <c r="A79" s="1" t="n"/>
      <c r="B79" s="23" t="n">
        <v>46235</v>
      </c>
      <c r="C79" s="24" t="inlineStr">
        <is>
          <t>Rent</t>
        </is>
      </c>
      <c r="D79" s="25" t="n">
        <v>2400</v>
      </c>
      <c r="E79" s="26" t="inlineStr">
        <is>
          <t>Maya</t>
        </is>
      </c>
      <c r="F79" s="27" t="n"/>
      <c r="G79" s="27" t="n"/>
      <c r="H79" s="27" t="n"/>
      <c r="I79" s="27" t="n"/>
      <c r="J79" s="27" t="n"/>
      <c r="K79" s="27" t="n"/>
      <c r="L79" s="27" t="n"/>
      <c r="M79" s="27" t="n"/>
      <c r="N79" s="21">
        <f>IF(D79="","",IF(B79="","No date",IF(AND(C79="Paying back",R79=0),"To whom?",IF(AA79=0,"Nobody",IF(C79="Paying back","To "&amp;INDEX(Housemates!$B$8:$B$15,MATCH(MAX(S79:Z79),S79:Z79,0)),IF(R79&gt;0,IF(COUNTIF(S79:Z79,"&gt;0")=1,"1 person",COUNTIF(S79:Z79,"&gt;0")&amp;" people"),IF(Q79=0,"Everyone",INDEX(Bills!$Q$6:$Q$25,Q79))))))))</f>
        <v/>
      </c>
      <c r="O79" s="18">
        <f>IF(D79="","",IF(C79="Paying back","Paying back",IF(Q79=0,"Other",IF(INDEX(Bills!$C$6:$C$25,Q79)="","Other",INDEX(Bills!$C$6:$C$25,Q79)))))</f>
        <v/>
      </c>
      <c r="P79" s="1" t="n"/>
      <c r="Q79">
        <f>IF(C79="",0,IFERROR(MATCH(C79,Bills!$B$6:$B$25,0),0))</f>
        <v/>
      </c>
      <c r="R79">
        <f>COUNTA(F79:M79)</f>
        <v/>
      </c>
      <c r="S79">
        <f>IF(OR($D79="",$B79="",Housemates!$B$8=""),0,IF($R79&gt;0,IF(F79="",0,IF(ISNUMBER(F79),F79,1)),IF($C79="Paying back",0,IF(AND(OR(Housemates!$C$8="",Housemates!$C$8&lt;=$B79),OR(Housemates!$D$8="",Housemates!$D$8&gt;=$B79)),IF($Q79=0,1,INDEX(Bills!$AA$6:$AA$25,$Q79)),0))))</f>
        <v/>
      </c>
      <c r="T79">
        <f>IF(OR($D79="",$B79="",Housemates!$B$9=""),0,IF($R79&gt;0,IF(G79="",0,IF(ISNUMBER(G79),G79,1)),IF($C79="Paying back",0,IF(AND(OR(Housemates!$C$9="",Housemates!$C$9&lt;=$B79),OR(Housemates!$D$9="",Housemates!$D$9&gt;=$B79)),IF($Q79=0,1,INDEX(Bills!$AB$6:$AB$25,$Q79)),0))))</f>
        <v/>
      </c>
      <c r="U79">
        <f>IF(OR($D79="",$B79="",Housemates!$B$10=""),0,IF($R79&gt;0,IF(H79="",0,IF(ISNUMBER(H79),H79,1)),IF($C79="Paying back",0,IF(AND(OR(Housemates!$C$10="",Housemates!$C$10&lt;=$B79),OR(Housemates!$D$10="",Housemates!$D$10&gt;=$B79)),IF($Q79=0,1,INDEX(Bills!$AC$6:$AC$25,$Q79)),0))))</f>
        <v/>
      </c>
      <c r="V79">
        <f>IF(OR($D79="",$B79="",Housemates!$B$11=""),0,IF($R79&gt;0,IF(I79="",0,IF(ISNUMBER(I79),I79,1)),IF($C79="Paying back",0,IF(AND(OR(Housemates!$C$11="",Housemates!$C$11&lt;=$B79),OR(Housemates!$D$11="",Housemates!$D$11&gt;=$B79)),IF($Q79=0,1,INDEX(Bills!$AD$6:$AD$25,$Q79)),0))))</f>
        <v/>
      </c>
      <c r="W79">
        <f>IF(OR($D79="",$B79="",Housemates!$B$12=""),0,IF($R79&gt;0,IF(J79="",0,IF(ISNUMBER(J79),J79,1)),IF($C79="Paying back",0,IF(AND(OR(Housemates!$C$12="",Housemates!$C$12&lt;=$B79),OR(Housemates!$D$12="",Housemates!$D$12&gt;=$B79)),IF($Q79=0,1,INDEX(Bills!$AE$6:$AE$25,$Q79)),0))))</f>
        <v/>
      </c>
      <c r="X79">
        <f>IF(OR($D79="",$B79="",Housemates!$B$13=""),0,IF($R79&gt;0,IF(K79="",0,IF(ISNUMBER(K79),K79,1)),IF($C79="Paying back",0,IF(AND(OR(Housemates!$C$13="",Housemates!$C$13&lt;=$B79),OR(Housemates!$D$13="",Housemates!$D$13&gt;=$B79)),IF($Q79=0,1,INDEX(Bills!$AF$6:$AF$25,$Q79)),0))))</f>
        <v/>
      </c>
      <c r="Y79">
        <f>IF(OR($D79="",$B79="",Housemates!$B$14=""),0,IF($R79&gt;0,IF(L79="",0,IF(ISNUMBER(L79),L79,1)),IF($C79="Paying back",0,IF(AND(OR(Housemates!$C$14="",Housemates!$C$14&lt;=$B79),OR(Housemates!$D$14="",Housemates!$D$14&gt;=$B79)),IF($Q79=0,1,INDEX(Bills!$AG$6:$AG$25,$Q79)),0))))</f>
        <v/>
      </c>
      <c r="Z79">
        <f>IF(OR($D79="",$B79="",Housemates!$B$15=""),0,IF($R79&gt;0,IF(M79="",0,IF(ISNUMBER(M79),M79,1)),IF($C79="Paying back",0,IF(AND(OR(Housemates!$C$15="",Housemates!$C$15&lt;=$B79),OR(Housemates!$D$15="",Housemates!$D$15&gt;=$B79)),IF($Q79=0,1,INDEX(Bills!$AH$6:$AH$25,$Q79)),0))))</f>
        <v/>
      </c>
      <c r="AA79">
        <f>SUM(S79:Z79)</f>
        <v/>
      </c>
      <c r="AB79">
        <f>IF(AA79=0,0,D79*S79/AA79)</f>
        <v/>
      </c>
      <c r="AC79">
        <f>IF(AA79=0,0,D79*T79/AA79)</f>
        <v/>
      </c>
      <c r="AD79">
        <f>IF(AA79=0,0,D79*U79/AA79)</f>
        <v/>
      </c>
      <c r="AE79">
        <f>IF(AA79=0,0,D79*V79/AA79)</f>
        <v/>
      </c>
      <c r="AF79">
        <f>IF(AA79=0,0,D79*W79/AA79)</f>
        <v/>
      </c>
      <c r="AG79">
        <f>IF(AA79=0,0,D79*X79/AA79)</f>
        <v/>
      </c>
      <c r="AH79">
        <f>IF(AA79=0,0,D79*Y79/AA79)</f>
        <v/>
      </c>
      <c r="AI79">
        <f>IF(AA79=0,0,D79*Z79/AA79)</f>
        <v/>
      </c>
      <c r="AJ79">
        <f>IF(OR(C79="",B79=""),"",C79&amp;"|"&amp;(YEAR(B79)*100+MONTH(B79)))</f>
        <v/>
      </c>
    </row>
    <row r="80">
      <c r="A80" s="1" t="n"/>
      <c r="B80" s="23" t="n">
        <v>46236</v>
      </c>
      <c r="C80" s="24" t="inlineStr">
        <is>
          <t>Internet</t>
        </is>
      </c>
      <c r="D80" s="25" t="n">
        <v>45</v>
      </c>
      <c r="E80" s="26" t="inlineStr">
        <is>
          <t>Leo</t>
        </is>
      </c>
      <c r="F80" s="27" t="n"/>
      <c r="G80" s="27" t="n"/>
      <c r="H80" s="27" t="n"/>
      <c r="I80" s="27" t="n"/>
      <c r="J80" s="27" t="n"/>
      <c r="K80" s="27" t="n"/>
      <c r="L80" s="27" t="n"/>
      <c r="M80" s="27" t="n"/>
      <c r="N80" s="21">
        <f>IF(D80="","",IF(B80="","No date",IF(AND(C80="Paying back",R80=0),"To whom?",IF(AA80=0,"Nobody",IF(C80="Paying back","To "&amp;INDEX(Housemates!$B$8:$B$15,MATCH(MAX(S80:Z80),S80:Z80,0)),IF(R80&gt;0,IF(COUNTIF(S80:Z80,"&gt;0")=1,"1 person",COUNTIF(S80:Z80,"&gt;0")&amp;" people"),IF(Q80=0,"Everyone",INDEX(Bills!$Q$6:$Q$25,Q80))))))))</f>
        <v/>
      </c>
      <c r="O80" s="18">
        <f>IF(D80="","",IF(C80="Paying back","Paying back",IF(Q80=0,"Other",IF(INDEX(Bills!$C$6:$C$25,Q80)="","Other",INDEX(Bills!$C$6:$C$25,Q80)))))</f>
        <v/>
      </c>
      <c r="P80" s="1" t="n"/>
      <c r="Q80">
        <f>IF(C80="",0,IFERROR(MATCH(C80,Bills!$B$6:$B$25,0),0))</f>
        <v/>
      </c>
      <c r="R80">
        <f>COUNTA(F80:M80)</f>
        <v/>
      </c>
      <c r="S80">
        <f>IF(OR($D80="",$B80="",Housemates!$B$8=""),0,IF($R80&gt;0,IF(F80="",0,IF(ISNUMBER(F80),F80,1)),IF($C80="Paying back",0,IF(AND(OR(Housemates!$C$8="",Housemates!$C$8&lt;=$B80),OR(Housemates!$D$8="",Housemates!$D$8&gt;=$B80)),IF($Q80=0,1,INDEX(Bills!$AA$6:$AA$25,$Q80)),0))))</f>
        <v/>
      </c>
      <c r="T80">
        <f>IF(OR($D80="",$B80="",Housemates!$B$9=""),0,IF($R80&gt;0,IF(G80="",0,IF(ISNUMBER(G80),G80,1)),IF($C80="Paying back",0,IF(AND(OR(Housemates!$C$9="",Housemates!$C$9&lt;=$B80),OR(Housemates!$D$9="",Housemates!$D$9&gt;=$B80)),IF($Q80=0,1,INDEX(Bills!$AB$6:$AB$25,$Q80)),0))))</f>
        <v/>
      </c>
      <c r="U80">
        <f>IF(OR($D80="",$B80="",Housemates!$B$10=""),0,IF($R80&gt;0,IF(H80="",0,IF(ISNUMBER(H80),H80,1)),IF($C80="Paying back",0,IF(AND(OR(Housemates!$C$10="",Housemates!$C$10&lt;=$B80),OR(Housemates!$D$10="",Housemates!$D$10&gt;=$B80)),IF($Q80=0,1,INDEX(Bills!$AC$6:$AC$25,$Q80)),0))))</f>
        <v/>
      </c>
      <c r="V80">
        <f>IF(OR($D80="",$B80="",Housemates!$B$11=""),0,IF($R80&gt;0,IF(I80="",0,IF(ISNUMBER(I80),I80,1)),IF($C80="Paying back",0,IF(AND(OR(Housemates!$C$11="",Housemates!$C$11&lt;=$B80),OR(Housemates!$D$11="",Housemates!$D$11&gt;=$B80)),IF($Q80=0,1,INDEX(Bills!$AD$6:$AD$25,$Q80)),0))))</f>
        <v/>
      </c>
      <c r="W80">
        <f>IF(OR($D80="",$B80="",Housemates!$B$12=""),0,IF($R80&gt;0,IF(J80="",0,IF(ISNUMBER(J80),J80,1)),IF($C80="Paying back",0,IF(AND(OR(Housemates!$C$12="",Housemates!$C$12&lt;=$B80),OR(Housemates!$D$12="",Housemates!$D$12&gt;=$B80)),IF($Q80=0,1,INDEX(Bills!$AE$6:$AE$25,$Q80)),0))))</f>
        <v/>
      </c>
      <c r="X80">
        <f>IF(OR($D80="",$B80="",Housemates!$B$13=""),0,IF($R80&gt;0,IF(K80="",0,IF(ISNUMBER(K80),K80,1)),IF($C80="Paying back",0,IF(AND(OR(Housemates!$C$13="",Housemates!$C$13&lt;=$B80),OR(Housemates!$D$13="",Housemates!$D$13&gt;=$B80)),IF($Q80=0,1,INDEX(Bills!$AF$6:$AF$25,$Q80)),0))))</f>
        <v/>
      </c>
      <c r="Y80">
        <f>IF(OR($D80="",$B80="",Housemates!$B$14=""),0,IF($R80&gt;0,IF(L80="",0,IF(ISNUMBER(L80),L80,1)),IF($C80="Paying back",0,IF(AND(OR(Housemates!$C$14="",Housemates!$C$14&lt;=$B80),OR(Housemates!$D$14="",Housemates!$D$14&gt;=$B80)),IF($Q80=0,1,INDEX(Bills!$AG$6:$AG$25,$Q80)),0))))</f>
        <v/>
      </c>
      <c r="Z80">
        <f>IF(OR($D80="",$B80="",Housemates!$B$15=""),0,IF($R80&gt;0,IF(M80="",0,IF(ISNUMBER(M80),M80,1)),IF($C80="Paying back",0,IF(AND(OR(Housemates!$C$15="",Housemates!$C$15&lt;=$B80),OR(Housemates!$D$15="",Housemates!$D$15&gt;=$B80)),IF($Q80=0,1,INDEX(Bills!$AH$6:$AH$25,$Q80)),0))))</f>
        <v/>
      </c>
      <c r="AA80">
        <f>SUM(S80:Z80)</f>
        <v/>
      </c>
      <c r="AB80">
        <f>IF(AA80=0,0,D80*S80/AA80)</f>
        <v/>
      </c>
      <c r="AC80">
        <f>IF(AA80=0,0,D80*T80/AA80)</f>
        <v/>
      </c>
      <c r="AD80">
        <f>IF(AA80=0,0,D80*U80/AA80)</f>
        <v/>
      </c>
      <c r="AE80">
        <f>IF(AA80=0,0,D80*V80/AA80)</f>
        <v/>
      </c>
      <c r="AF80">
        <f>IF(AA80=0,0,D80*W80/AA80)</f>
        <v/>
      </c>
      <c r="AG80">
        <f>IF(AA80=0,0,D80*X80/AA80)</f>
        <v/>
      </c>
      <c r="AH80">
        <f>IF(AA80=0,0,D80*Y80/AA80)</f>
        <v/>
      </c>
      <c r="AI80">
        <f>IF(AA80=0,0,D80*Z80/AA80)</f>
        <v/>
      </c>
      <c r="AJ80">
        <f>IF(OR(C80="",B80=""),"",C80&amp;"|"&amp;(YEAR(B80)*100+MONTH(B80)))</f>
        <v/>
      </c>
    </row>
    <row r="81">
      <c r="A81" s="1" t="n"/>
      <c r="B81" s="23" t="n">
        <v>46240</v>
      </c>
      <c r="C81" s="24" t="inlineStr">
        <is>
          <t>Groceries</t>
        </is>
      </c>
      <c r="D81" s="25" t="n">
        <v>93.23999999999999</v>
      </c>
      <c r="E81" s="26" t="inlineStr">
        <is>
          <t>Maya</t>
        </is>
      </c>
      <c r="F81" s="27" t="n"/>
      <c r="G81" s="27" t="n"/>
      <c r="H81" s="27" t="n"/>
      <c r="I81" s="27" t="n"/>
      <c r="J81" s="27" t="n"/>
      <c r="K81" s="27" t="n"/>
      <c r="L81" s="27" t="n"/>
      <c r="M81" s="27" t="n"/>
      <c r="N81" s="21">
        <f>IF(D81="","",IF(B81="","No date",IF(AND(C81="Paying back",R81=0),"To whom?",IF(AA81=0,"Nobody",IF(C81="Paying back","To "&amp;INDEX(Housemates!$B$8:$B$15,MATCH(MAX(S81:Z81),S81:Z81,0)),IF(R81&gt;0,IF(COUNTIF(S81:Z81,"&gt;0")=1,"1 person",COUNTIF(S81:Z81,"&gt;0")&amp;" people"),IF(Q81=0,"Everyone",INDEX(Bills!$Q$6:$Q$25,Q81))))))))</f>
        <v/>
      </c>
      <c r="O81" s="18">
        <f>IF(D81="","",IF(C81="Paying back","Paying back",IF(Q81=0,"Other",IF(INDEX(Bills!$C$6:$C$25,Q81)="","Other",INDEX(Bills!$C$6:$C$25,Q81)))))</f>
        <v/>
      </c>
      <c r="P81" s="1" t="n"/>
      <c r="Q81">
        <f>IF(C81="",0,IFERROR(MATCH(C81,Bills!$B$6:$B$25,0),0))</f>
        <v/>
      </c>
      <c r="R81">
        <f>COUNTA(F81:M81)</f>
        <v/>
      </c>
      <c r="S81">
        <f>IF(OR($D81="",$B81="",Housemates!$B$8=""),0,IF($R81&gt;0,IF(F81="",0,IF(ISNUMBER(F81),F81,1)),IF($C81="Paying back",0,IF(AND(OR(Housemates!$C$8="",Housemates!$C$8&lt;=$B81),OR(Housemates!$D$8="",Housemates!$D$8&gt;=$B81)),IF($Q81=0,1,INDEX(Bills!$AA$6:$AA$25,$Q81)),0))))</f>
        <v/>
      </c>
      <c r="T81">
        <f>IF(OR($D81="",$B81="",Housemates!$B$9=""),0,IF($R81&gt;0,IF(G81="",0,IF(ISNUMBER(G81),G81,1)),IF($C81="Paying back",0,IF(AND(OR(Housemates!$C$9="",Housemates!$C$9&lt;=$B81),OR(Housemates!$D$9="",Housemates!$D$9&gt;=$B81)),IF($Q81=0,1,INDEX(Bills!$AB$6:$AB$25,$Q81)),0))))</f>
        <v/>
      </c>
      <c r="U81">
        <f>IF(OR($D81="",$B81="",Housemates!$B$10=""),0,IF($R81&gt;0,IF(H81="",0,IF(ISNUMBER(H81),H81,1)),IF($C81="Paying back",0,IF(AND(OR(Housemates!$C$10="",Housemates!$C$10&lt;=$B81),OR(Housemates!$D$10="",Housemates!$D$10&gt;=$B81)),IF($Q81=0,1,INDEX(Bills!$AC$6:$AC$25,$Q81)),0))))</f>
        <v/>
      </c>
      <c r="V81">
        <f>IF(OR($D81="",$B81="",Housemates!$B$11=""),0,IF($R81&gt;0,IF(I81="",0,IF(ISNUMBER(I81),I81,1)),IF($C81="Paying back",0,IF(AND(OR(Housemates!$C$11="",Housemates!$C$11&lt;=$B81),OR(Housemates!$D$11="",Housemates!$D$11&gt;=$B81)),IF($Q81=0,1,INDEX(Bills!$AD$6:$AD$25,$Q81)),0))))</f>
        <v/>
      </c>
      <c r="W81">
        <f>IF(OR($D81="",$B81="",Housemates!$B$12=""),0,IF($R81&gt;0,IF(J81="",0,IF(ISNUMBER(J81),J81,1)),IF($C81="Paying back",0,IF(AND(OR(Housemates!$C$12="",Housemates!$C$12&lt;=$B81),OR(Housemates!$D$12="",Housemates!$D$12&gt;=$B81)),IF($Q81=0,1,INDEX(Bills!$AE$6:$AE$25,$Q81)),0))))</f>
        <v/>
      </c>
      <c r="X81">
        <f>IF(OR($D81="",$B81="",Housemates!$B$13=""),0,IF($R81&gt;0,IF(K81="",0,IF(ISNUMBER(K81),K81,1)),IF($C81="Paying back",0,IF(AND(OR(Housemates!$C$13="",Housemates!$C$13&lt;=$B81),OR(Housemates!$D$13="",Housemates!$D$13&gt;=$B81)),IF($Q81=0,1,INDEX(Bills!$AF$6:$AF$25,$Q81)),0))))</f>
        <v/>
      </c>
      <c r="Y81">
        <f>IF(OR($D81="",$B81="",Housemates!$B$14=""),0,IF($R81&gt;0,IF(L81="",0,IF(ISNUMBER(L81),L81,1)),IF($C81="Paying back",0,IF(AND(OR(Housemates!$C$14="",Housemates!$C$14&lt;=$B81),OR(Housemates!$D$14="",Housemates!$D$14&gt;=$B81)),IF($Q81=0,1,INDEX(Bills!$AG$6:$AG$25,$Q81)),0))))</f>
        <v/>
      </c>
      <c r="Z81">
        <f>IF(OR($D81="",$B81="",Housemates!$B$15=""),0,IF($R81&gt;0,IF(M81="",0,IF(ISNUMBER(M81),M81,1)),IF($C81="Paying back",0,IF(AND(OR(Housemates!$C$15="",Housemates!$C$15&lt;=$B81),OR(Housemates!$D$15="",Housemates!$D$15&gt;=$B81)),IF($Q81=0,1,INDEX(Bills!$AH$6:$AH$25,$Q81)),0))))</f>
        <v/>
      </c>
      <c r="AA81">
        <f>SUM(S81:Z81)</f>
        <v/>
      </c>
      <c r="AB81">
        <f>IF(AA81=0,0,D81*S81/AA81)</f>
        <v/>
      </c>
      <c r="AC81">
        <f>IF(AA81=0,0,D81*T81/AA81)</f>
        <v/>
      </c>
      <c r="AD81">
        <f>IF(AA81=0,0,D81*U81/AA81)</f>
        <v/>
      </c>
      <c r="AE81">
        <f>IF(AA81=0,0,D81*V81/AA81)</f>
        <v/>
      </c>
      <c r="AF81">
        <f>IF(AA81=0,0,D81*W81/AA81)</f>
        <v/>
      </c>
      <c r="AG81">
        <f>IF(AA81=0,0,D81*X81/AA81)</f>
        <v/>
      </c>
      <c r="AH81">
        <f>IF(AA81=0,0,D81*Y81/AA81)</f>
        <v/>
      </c>
      <c r="AI81">
        <f>IF(AA81=0,0,D81*Z81/AA81)</f>
        <v/>
      </c>
      <c r="AJ81">
        <f>IF(OR(C81="",B81=""),"",C81&amp;"|"&amp;(YEAR(B81)*100+MONTH(B81)))</f>
        <v/>
      </c>
    </row>
    <row r="82">
      <c r="A82" s="1" t="n"/>
      <c r="B82" s="23" t="n">
        <v>46242</v>
      </c>
      <c r="C82" s="24" t="inlineStr">
        <is>
          <t>Groceries</t>
        </is>
      </c>
      <c r="D82" s="25" t="n">
        <v>89.40000000000001</v>
      </c>
      <c r="E82" s="26" t="inlineStr">
        <is>
          <t>Zoe</t>
        </is>
      </c>
      <c r="F82" s="27" t="n"/>
      <c r="G82" s="27" t="n"/>
      <c r="H82" s="27" t="n"/>
      <c r="I82" s="27" t="n"/>
      <c r="J82" s="27" t="n"/>
      <c r="K82" s="27" t="n"/>
      <c r="L82" s="27" t="n"/>
      <c r="M82" s="27" t="n"/>
      <c r="N82" s="21">
        <f>IF(D82="","",IF(B82="","No date",IF(AND(C82="Paying back",R82=0),"To whom?",IF(AA82=0,"Nobody",IF(C82="Paying back","To "&amp;INDEX(Housemates!$B$8:$B$15,MATCH(MAX(S82:Z82),S82:Z82,0)),IF(R82&gt;0,IF(COUNTIF(S82:Z82,"&gt;0")=1,"1 person",COUNTIF(S82:Z82,"&gt;0")&amp;" people"),IF(Q82=0,"Everyone",INDEX(Bills!$Q$6:$Q$25,Q82))))))))</f>
        <v/>
      </c>
      <c r="O82" s="18">
        <f>IF(D82="","",IF(C82="Paying back","Paying back",IF(Q82=0,"Other",IF(INDEX(Bills!$C$6:$C$25,Q82)="","Other",INDEX(Bills!$C$6:$C$25,Q82)))))</f>
        <v/>
      </c>
      <c r="P82" s="1" t="n"/>
      <c r="Q82">
        <f>IF(C82="",0,IFERROR(MATCH(C82,Bills!$B$6:$B$25,0),0))</f>
        <v/>
      </c>
      <c r="R82">
        <f>COUNTA(F82:M82)</f>
        <v/>
      </c>
      <c r="S82">
        <f>IF(OR($D82="",$B82="",Housemates!$B$8=""),0,IF($R82&gt;0,IF(F82="",0,IF(ISNUMBER(F82),F82,1)),IF($C82="Paying back",0,IF(AND(OR(Housemates!$C$8="",Housemates!$C$8&lt;=$B82),OR(Housemates!$D$8="",Housemates!$D$8&gt;=$B82)),IF($Q82=0,1,INDEX(Bills!$AA$6:$AA$25,$Q82)),0))))</f>
        <v/>
      </c>
      <c r="T82">
        <f>IF(OR($D82="",$B82="",Housemates!$B$9=""),0,IF($R82&gt;0,IF(G82="",0,IF(ISNUMBER(G82),G82,1)),IF($C82="Paying back",0,IF(AND(OR(Housemates!$C$9="",Housemates!$C$9&lt;=$B82),OR(Housemates!$D$9="",Housemates!$D$9&gt;=$B82)),IF($Q82=0,1,INDEX(Bills!$AB$6:$AB$25,$Q82)),0))))</f>
        <v/>
      </c>
      <c r="U82">
        <f>IF(OR($D82="",$B82="",Housemates!$B$10=""),0,IF($R82&gt;0,IF(H82="",0,IF(ISNUMBER(H82),H82,1)),IF($C82="Paying back",0,IF(AND(OR(Housemates!$C$10="",Housemates!$C$10&lt;=$B82),OR(Housemates!$D$10="",Housemates!$D$10&gt;=$B82)),IF($Q82=0,1,INDEX(Bills!$AC$6:$AC$25,$Q82)),0))))</f>
        <v/>
      </c>
      <c r="V82">
        <f>IF(OR($D82="",$B82="",Housemates!$B$11=""),0,IF($R82&gt;0,IF(I82="",0,IF(ISNUMBER(I82),I82,1)),IF($C82="Paying back",0,IF(AND(OR(Housemates!$C$11="",Housemates!$C$11&lt;=$B82),OR(Housemates!$D$11="",Housemates!$D$11&gt;=$B82)),IF($Q82=0,1,INDEX(Bills!$AD$6:$AD$25,$Q82)),0))))</f>
        <v/>
      </c>
      <c r="W82">
        <f>IF(OR($D82="",$B82="",Housemates!$B$12=""),0,IF($R82&gt;0,IF(J82="",0,IF(ISNUMBER(J82),J82,1)),IF($C82="Paying back",0,IF(AND(OR(Housemates!$C$12="",Housemates!$C$12&lt;=$B82),OR(Housemates!$D$12="",Housemates!$D$12&gt;=$B82)),IF($Q82=0,1,INDEX(Bills!$AE$6:$AE$25,$Q82)),0))))</f>
        <v/>
      </c>
      <c r="X82">
        <f>IF(OR($D82="",$B82="",Housemates!$B$13=""),0,IF($R82&gt;0,IF(K82="",0,IF(ISNUMBER(K82),K82,1)),IF($C82="Paying back",0,IF(AND(OR(Housemates!$C$13="",Housemates!$C$13&lt;=$B82),OR(Housemates!$D$13="",Housemates!$D$13&gt;=$B82)),IF($Q82=0,1,INDEX(Bills!$AF$6:$AF$25,$Q82)),0))))</f>
        <v/>
      </c>
      <c r="Y82">
        <f>IF(OR($D82="",$B82="",Housemates!$B$14=""),0,IF($R82&gt;0,IF(L82="",0,IF(ISNUMBER(L82),L82,1)),IF($C82="Paying back",0,IF(AND(OR(Housemates!$C$14="",Housemates!$C$14&lt;=$B82),OR(Housemates!$D$14="",Housemates!$D$14&gt;=$B82)),IF($Q82=0,1,INDEX(Bills!$AG$6:$AG$25,$Q82)),0))))</f>
        <v/>
      </c>
      <c r="Z82">
        <f>IF(OR($D82="",$B82="",Housemates!$B$15=""),0,IF($R82&gt;0,IF(M82="",0,IF(ISNUMBER(M82),M82,1)),IF($C82="Paying back",0,IF(AND(OR(Housemates!$C$15="",Housemates!$C$15&lt;=$B82),OR(Housemates!$D$15="",Housemates!$D$15&gt;=$B82)),IF($Q82=0,1,INDEX(Bills!$AH$6:$AH$25,$Q82)),0))))</f>
        <v/>
      </c>
      <c r="AA82">
        <f>SUM(S82:Z82)</f>
        <v/>
      </c>
      <c r="AB82">
        <f>IF(AA82=0,0,D82*S82/AA82)</f>
        <v/>
      </c>
      <c r="AC82">
        <f>IF(AA82=0,0,D82*T82/AA82)</f>
        <v/>
      </c>
      <c r="AD82">
        <f>IF(AA82=0,0,D82*U82/AA82)</f>
        <v/>
      </c>
      <c r="AE82">
        <f>IF(AA82=0,0,D82*V82/AA82)</f>
        <v/>
      </c>
      <c r="AF82">
        <f>IF(AA82=0,0,D82*W82/AA82)</f>
        <v/>
      </c>
      <c r="AG82">
        <f>IF(AA82=0,0,D82*X82/AA82)</f>
        <v/>
      </c>
      <c r="AH82">
        <f>IF(AA82=0,0,D82*Y82/AA82)</f>
        <v/>
      </c>
      <c r="AI82">
        <f>IF(AA82=0,0,D82*Z82/AA82)</f>
        <v/>
      </c>
      <c r="AJ82">
        <f>IF(OR(C82="",B82=""),"",C82&amp;"|"&amp;(YEAR(B82)*100+MONTH(B82)))</f>
        <v/>
      </c>
    </row>
    <row r="83">
      <c r="A83" s="1" t="n"/>
      <c r="B83" s="23" t="n">
        <v>46245</v>
      </c>
      <c r="C83" s="24" t="inlineStr">
        <is>
          <t>Groceries</t>
        </is>
      </c>
      <c r="D83" s="25" t="n">
        <v>70.56</v>
      </c>
      <c r="E83" s="26" t="inlineStr">
        <is>
          <t>Maya</t>
        </is>
      </c>
      <c r="F83" s="27" t="n"/>
      <c r="G83" s="27" t="n"/>
      <c r="H83" s="27" t="n"/>
      <c r="I83" s="27" t="n"/>
      <c r="J83" s="27" t="n"/>
      <c r="K83" s="27" t="n"/>
      <c r="L83" s="27" t="n"/>
      <c r="M83" s="27" t="n"/>
      <c r="N83" s="21">
        <f>IF(D83="","",IF(B83="","No date",IF(AND(C83="Paying back",R83=0),"To whom?",IF(AA83=0,"Nobody",IF(C83="Paying back","To "&amp;INDEX(Housemates!$B$8:$B$15,MATCH(MAX(S83:Z83),S83:Z83,0)),IF(R83&gt;0,IF(COUNTIF(S83:Z83,"&gt;0")=1,"1 person",COUNTIF(S83:Z83,"&gt;0")&amp;" people"),IF(Q83=0,"Everyone",INDEX(Bills!$Q$6:$Q$25,Q83))))))))</f>
        <v/>
      </c>
      <c r="O83" s="18">
        <f>IF(D83="","",IF(C83="Paying back","Paying back",IF(Q83=0,"Other",IF(INDEX(Bills!$C$6:$C$25,Q83)="","Other",INDEX(Bills!$C$6:$C$25,Q83)))))</f>
        <v/>
      </c>
      <c r="P83" s="1" t="n"/>
      <c r="Q83">
        <f>IF(C83="",0,IFERROR(MATCH(C83,Bills!$B$6:$B$25,0),0))</f>
        <v/>
      </c>
      <c r="R83">
        <f>COUNTA(F83:M83)</f>
        <v/>
      </c>
      <c r="S83">
        <f>IF(OR($D83="",$B83="",Housemates!$B$8=""),0,IF($R83&gt;0,IF(F83="",0,IF(ISNUMBER(F83),F83,1)),IF($C83="Paying back",0,IF(AND(OR(Housemates!$C$8="",Housemates!$C$8&lt;=$B83),OR(Housemates!$D$8="",Housemates!$D$8&gt;=$B83)),IF($Q83=0,1,INDEX(Bills!$AA$6:$AA$25,$Q83)),0))))</f>
        <v/>
      </c>
      <c r="T83">
        <f>IF(OR($D83="",$B83="",Housemates!$B$9=""),0,IF($R83&gt;0,IF(G83="",0,IF(ISNUMBER(G83),G83,1)),IF($C83="Paying back",0,IF(AND(OR(Housemates!$C$9="",Housemates!$C$9&lt;=$B83),OR(Housemates!$D$9="",Housemates!$D$9&gt;=$B83)),IF($Q83=0,1,INDEX(Bills!$AB$6:$AB$25,$Q83)),0))))</f>
        <v/>
      </c>
      <c r="U83">
        <f>IF(OR($D83="",$B83="",Housemates!$B$10=""),0,IF($R83&gt;0,IF(H83="",0,IF(ISNUMBER(H83),H83,1)),IF($C83="Paying back",0,IF(AND(OR(Housemates!$C$10="",Housemates!$C$10&lt;=$B83),OR(Housemates!$D$10="",Housemates!$D$10&gt;=$B83)),IF($Q83=0,1,INDEX(Bills!$AC$6:$AC$25,$Q83)),0))))</f>
        <v/>
      </c>
      <c r="V83">
        <f>IF(OR($D83="",$B83="",Housemates!$B$11=""),0,IF($R83&gt;0,IF(I83="",0,IF(ISNUMBER(I83),I83,1)),IF($C83="Paying back",0,IF(AND(OR(Housemates!$C$11="",Housemates!$C$11&lt;=$B83),OR(Housemates!$D$11="",Housemates!$D$11&gt;=$B83)),IF($Q83=0,1,INDEX(Bills!$AD$6:$AD$25,$Q83)),0))))</f>
        <v/>
      </c>
      <c r="W83">
        <f>IF(OR($D83="",$B83="",Housemates!$B$12=""),0,IF($R83&gt;0,IF(J83="",0,IF(ISNUMBER(J83),J83,1)),IF($C83="Paying back",0,IF(AND(OR(Housemates!$C$12="",Housemates!$C$12&lt;=$B83),OR(Housemates!$D$12="",Housemates!$D$12&gt;=$B83)),IF($Q83=0,1,INDEX(Bills!$AE$6:$AE$25,$Q83)),0))))</f>
        <v/>
      </c>
      <c r="X83">
        <f>IF(OR($D83="",$B83="",Housemates!$B$13=""),0,IF($R83&gt;0,IF(K83="",0,IF(ISNUMBER(K83),K83,1)),IF($C83="Paying back",0,IF(AND(OR(Housemates!$C$13="",Housemates!$C$13&lt;=$B83),OR(Housemates!$D$13="",Housemates!$D$13&gt;=$B83)),IF($Q83=0,1,INDEX(Bills!$AF$6:$AF$25,$Q83)),0))))</f>
        <v/>
      </c>
      <c r="Y83">
        <f>IF(OR($D83="",$B83="",Housemates!$B$14=""),0,IF($R83&gt;0,IF(L83="",0,IF(ISNUMBER(L83),L83,1)),IF($C83="Paying back",0,IF(AND(OR(Housemates!$C$14="",Housemates!$C$14&lt;=$B83),OR(Housemates!$D$14="",Housemates!$D$14&gt;=$B83)),IF($Q83=0,1,INDEX(Bills!$AG$6:$AG$25,$Q83)),0))))</f>
        <v/>
      </c>
      <c r="Z83">
        <f>IF(OR($D83="",$B83="",Housemates!$B$15=""),0,IF($R83&gt;0,IF(M83="",0,IF(ISNUMBER(M83),M83,1)),IF($C83="Paying back",0,IF(AND(OR(Housemates!$C$15="",Housemates!$C$15&lt;=$B83),OR(Housemates!$D$15="",Housemates!$D$15&gt;=$B83)),IF($Q83=0,1,INDEX(Bills!$AH$6:$AH$25,$Q83)),0))))</f>
        <v/>
      </c>
      <c r="AA83">
        <f>SUM(S83:Z83)</f>
        <v/>
      </c>
      <c r="AB83">
        <f>IF(AA83=0,0,D83*S83/AA83)</f>
        <v/>
      </c>
      <c r="AC83">
        <f>IF(AA83=0,0,D83*T83/AA83)</f>
        <v/>
      </c>
      <c r="AD83">
        <f>IF(AA83=0,0,D83*U83/AA83)</f>
        <v/>
      </c>
      <c r="AE83">
        <f>IF(AA83=0,0,D83*V83/AA83)</f>
        <v/>
      </c>
      <c r="AF83">
        <f>IF(AA83=0,0,D83*W83/AA83)</f>
        <v/>
      </c>
      <c r="AG83">
        <f>IF(AA83=0,0,D83*X83/AA83)</f>
        <v/>
      </c>
      <c r="AH83">
        <f>IF(AA83=0,0,D83*Y83/AA83)</f>
        <v/>
      </c>
      <c r="AI83">
        <f>IF(AA83=0,0,D83*Z83/AA83)</f>
        <v/>
      </c>
      <c r="AJ83">
        <f>IF(OR(C83="",B83=""),"",C83&amp;"|"&amp;(YEAR(B83)*100+MONTH(B83)))</f>
        <v/>
      </c>
    </row>
    <row r="84">
      <c r="A84" s="1" t="n"/>
      <c r="B84" s="23" t="n">
        <v>46249</v>
      </c>
      <c r="C84" s="24" t="inlineStr">
        <is>
          <t>Electricity</t>
        </is>
      </c>
      <c r="D84" s="25" t="n">
        <v>91.44</v>
      </c>
      <c r="E84" s="26" t="inlineStr">
        <is>
          <t>Leo</t>
        </is>
      </c>
      <c r="F84" s="27" t="n"/>
      <c r="G84" s="27" t="n"/>
      <c r="H84" s="27" t="n"/>
      <c r="I84" s="27" t="n"/>
      <c r="J84" s="27" t="n"/>
      <c r="K84" s="27" t="n"/>
      <c r="L84" s="27" t="n"/>
      <c r="M84" s="27" t="n"/>
      <c r="N84" s="21">
        <f>IF(D84="","",IF(B84="","No date",IF(AND(C84="Paying back",R84=0),"To whom?",IF(AA84=0,"Nobody",IF(C84="Paying back","To "&amp;INDEX(Housemates!$B$8:$B$15,MATCH(MAX(S84:Z84),S84:Z84,0)),IF(R84&gt;0,IF(COUNTIF(S84:Z84,"&gt;0")=1,"1 person",COUNTIF(S84:Z84,"&gt;0")&amp;" people"),IF(Q84=0,"Everyone",INDEX(Bills!$Q$6:$Q$25,Q84))))))))</f>
        <v/>
      </c>
      <c r="O84" s="18">
        <f>IF(D84="","",IF(C84="Paying back","Paying back",IF(Q84=0,"Other",IF(INDEX(Bills!$C$6:$C$25,Q84)="","Other",INDEX(Bills!$C$6:$C$25,Q84)))))</f>
        <v/>
      </c>
      <c r="P84" s="1" t="n"/>
      <c r="Q84">
        <f>IF(C84="",0,IFERROR(MATCH(C84,Bills!$B$6:$B$25,0),0))</f>
        <v/>
      </c>
      <c r="R84">
        <f>COUNTA(F84:M84)</f>
        <v/>
      </c>
      <c r="S84">
        <f>IF(OR($D84="",$B84="",Housemates!$B$8=""),0,IF($R84&gt;0,IF(F84="",0,IF(ISNUMBER(F84),F84,1)),IF($C84="Paying back",0,IF(AND(OR(Housemates!$C$8="",Housemates!$C$8&lt;=$B84),OR(Housemates!$D$8="",Housemates!$D$8&gt;=$B84)),IF($Q84=0,1,INDEX(Bills!$AA$6:$AA$25,$Q84)),0))))</f>
        <v/>
      </c>
      <c r="T84">
        <f>IF(OR($D84="",$B84="",Housemates!$B$9=""),0,IF($R84&gt;0,IF(G84="",0,IF(ISNUMBER(G84),G84,1)),IF($C84="Paying back",0,IF(AND(OR(Housemates!$C$9="",Housemates!$C$9&lt;=$B84),OR(Housemates!$D$9="",Housemates!$D$9&gt;=$B84)),IF($Q84=0,1,INDEX(Bills!$AB$6:$AB$25,$Q84)),0))))</f>
        <v/>
      </c>
      <c r="U84">
        <f>IF(OR($D84="",$B84="",Housemates!$B$10=""),0,IF($R84&gt;0,IF(H84="",0,IF(ISNUMBER(H84),H84,1)),IF($C84="Paying back",0,IF(AND(OR(Housemates!$C$10="",Housemates!$C$10&lt;=$B84),OR(Housemates!$D$10="",Housemates!$D$10&gt;=$B84)),IF($Q84=0,1,INDEX(Bills!$AC$6:$AC$25,$Q84)),0))))</f>
        <v/>
      </c>
      <c r="V84">
        <f>IF(OR($D84="",$B84="",Housemates!$B$11=""),0,IF($R84&gt;0,IF(I84="",0,IF(ISNUMBER(I84),I84,1)),IF($C84="Paying back",0,IF(AND(OR(Housemates!$C$11="",Housemates!$C$11&lt;=$B84),OR(Housemates!$D$11="",Housemates!$D$11&gt;=$B84)),IF($Q84=0,1,INDEX(Bills!$AD$6:$AD$25,$Q84)),0))))</f>
        <v/>
      </c>
      <c r="W84">
        <f>IF(OR($D84="",$B84="",Housemates!$B$12=""),0,IF($R84&gt;0,IF(J84="",0,IF(ISNUMBER(J84),J84,1)),IF($C84="Paying back",0,IF(AND(OR(Housemates!$C$12="",Housemates!$C$12&lt;=$B84),OR(Housemates!$D$12="",Housemates!$D$12&gt;=$B84)),IF($Q84=0,1,INDEX(Bills!$AE$6:$AE$25,$Q84)),0))))</f>
        <v/>
      </c>
      <c r="X84">
        <f>IF(OR($D84="",$B84="",Housemates!$B$13=""),0,IF($R84&gt;0,IF(K84="",0,IF(ISNUMBER(K84),K84,1)),IF($C84="Paying back",0,IF(AND(OR(Housemates!$C$13="",Housemates!$C$13&lt;=$B84),OR(Housemates!$D$13="",Housemates!$D$13&gt;=$B84)),IF($Q84=0,1,INDEX(Bills!$AF$6:$AF$25,$Q84)),0))))</f>
        <v/>
      </c>
      <c r="Y84">
        <f>IF(OR($D84="",$B84="",Housemates!$B$14=""),0,IF($R84&gt;0,IF(L84="",0,IF(ISNUMBER(L84),L84,1)),IF($C84="Paying back",0,IF(AND(OR(Housemates!$C$14="",Housemates!$C$14&lt;=$B84),OR(Housemates!$D$14="",Housemates!$D$14&gt;=$B84)),IF($Q84=0,1,INDEX(Bills!$AG$6:$AG$25,$Q84)),0))))</f>
        <v/>
      </c>
      <c r="Z84">
        <f>IF(OR($D84="",$B84="",Housemates!$B$15=""),0,IF($R84&gt;0,IF(M84="",0,IF(ISNUMBER(M84),M84,1)),IF($C84="Paying back",0,IF(AND(OR(Housemates!$C$15="",Housemates!$C$15&lt;=$B84),OR(Housemates!$D$15="",Housemates!$D$15&gt;=$B84)),IF($Q84=0,1,INDEX(Bills!$AH$6:$AH$25,$Q84)),0))))</f>
        <v/>
      </c>
      <c r="AA84">
        <f>SUM(S84:Z84)</f>
        <v/>
      </c>
      <c r="AB84">
        <f>IF(AA84=0,0,D84*S84/AA84)</f>
        <v/>
      </c>
      <c r="AC84">
        <f>IF(AA84=0,0,D84*T84/AA84)</f>
        <v/>
      </c>
      <c r="AD84">
        <f>IF(AA84=0,0,D84*U84/AA84)</f>
        <v/>
      </c>
      <c r="AE84">
        <f>IF(AA84=0,0,D84*V84/AA84)</f>
        <v/>
      </c>
      <c r="AF84">
        <f>IF(AA84=0,0,D84*W84/AA84)</f>
        <v/>
      </c>
      <c r="AG84">
        <f>IF(AA84=0,0,D84*X84/AA84)</f>
        <v/>
      </c>
      <c r="AH84">
        <f>IF(AA84=0,0,D84*Y84/AA84)</f>
        <v/>
      </c>
      <c r="AI84">
        <f>IF(AA84=0,0,D84*Z84/AA84)</f>
        <v/>
      </c>
      <c r="AJ84">
        <f>IF(OR(C84="",B84=""),"",C84&amp;"|"&amp;(YEAR(B84)*100+MONTH(B84)))</f>
        <v/>
      </c>
    </row>
    <row r="85">
      <c r="A85" s="1" t="n"/>
      <c r="B85" s="23" t="n">
        <v>46253</v>
      </c>
      <c r="C85" s="24" t="inlineStr">
        <is>
          <t>Gas</t>
        </is>
      </c>
      <c r="D85" s="25" t="n">
        <v>166.44</v>
      </c>
      <c r="E85" s="26" t="inlineStr">
        <is>
          <t>Priya</t>
        </is>
      </c>
      <c r="F85" s="27" t="n"/>
      <c r="G85" s="27" t="n"/>
      <c r="H85" s="27" t="n"/>
      <c r="I85" s="27" t="n"/>
      <c r="J85" s="27" t="n"/>
      <c r="K85" s="27" t="n"/>
      <c r="L85" s="27" t="n"/>
      <c r="M85" s="27" t="n"/>
      <c r="N85" s="21">
        <f>IF(D85="","",IF(B85="","No date",IF(AND(C85="Paying back",R85=0),"To whom?",IF(AA85=0,"Nobody",IF(C85="Paying back","To "&amp;INDEX(Housemates!$B$8:$B$15,MATCH(MAX(S85:Z85),S85:Z85,0)),IF(R85&gt;0,IF(COUNTIF(S85:Z85,"&gt;0")=1,"1 person",COUNTIF(S85:Z85,"&gt;0")&amp;" people"),IF(Q85=0,"Everyone",INDEX(Bills!$Q$6:$Q$25,Q85))))))))</f>
        <v/>
      </c>
      <c r="O85" s="18">
        <f>IF(D85="","",IF(C85="Paying back","Paying back",IF(Q85=0,"Other",IF(INDEX(Bills!$C$6:$C$25,Q85)="","Other",INDEX(Bills!$C$6:$C$25,Q85)))))</f>
        <v/>
      </c>
      <c r="P85" s="1" t="n"/>
      <c r="Q85">
        <f>IF(C85="",0,IFERROR(MATCH(C85,Bills!$B$6:$B$25,0),0))</f>
        <v/>
      </c>
      <c r="R85">
        <f>COUNTA(F85:M85)</f>
        <v/>
      </c>
      <c r="S85">
        <f>IF(OR($D85="",$B85="",Housemates!$B$8=""),0,IF($R85&gt;0,IF(F85="",0,IF(ISNUMBER(F85),F85,1)),IF($C85="Paying back",0,IF(AND(OR(Housemates!$C$8="",Housemates!$C$8&lt;=$B85),OR(Housemates!$D$8="",Housemates!$D$8&gt;=$B85)),IF($Q85=0,1,INDEX(Bills!$AA$6:$AA$25,$Q85)),0))))</f>
        <v/>
      </c>
      <c r="T85">
        <f>IF(OR($D85="",$B85="",Housemates!$B$9=""),0,IF($R85&gt;0,IF(G85="",0,IF(ISNUMBER(G85),G85,1)),IF($C85="Paying back",0,IF(AND(OR(Housemates!$C$9="",Housemates!$C$9&lt;=$B85),OR(Housemates!$D$9="",Housemates!$D$9&gt;=$B85)),IF($Q85=0,1,INDEX(Bills!$AB$6:$AB$25,$Q85)),0))))</f>
        <v/>
      </c>
      <c r="U85">
        <f>IF(OR($D85="",$B85="",Housemates!$B$10=""),0,IF($R85&gt;0,IF(H85="",0,IF(ISNUMBER(H85),H85,1)),IF($C85="Paying back",0,IF(AND(OR(Housemates!$C$10="",Housemates!$C$10&lt;=$B85),OR(Housemates!$D$10="",Housemates!$D$10&gt;=$B85)),IF($Q85=0,1,INDEX(Bills!$AC$6:$AC$25,$Q85)),0))))</f>
        <v/>
      </c>
      <c r="V85">
        <f>IF(OR($D85="",$B85="",Housemates!$B$11=""),0,IF($R85&gt;0,IF(I85="",0,IF(ISNUMBER(I85),I85,1)),IF($C85="Paying back",0,IF(AND(OR(Housemates!$C$11="",Housemates!$C$11&lt;=$B85),OR(Housemates!$D$11="",Housemates!$D$11&gt;=$B85)),IF($Q85=0,1,INDEX(Bills!$AD$6:$AD$25,$Q85)),0))))</f>
        <v/>
      </c>
      <c r="W85">
        <f>IF(OR($D85="",$B85="",Housemates!$B$12=""),0,IF($R85&gt;0,IF(J85="",0,IF(ISNUMBER(J85),J85,1)),IF($C85="Paying back",0,IF(AND(OR(Housemates!$C$12="",Housemates!$C$12&lt;=$B85),OR(Housemates!$D$12="",Housemates!$D$12&gt;=$B85)),IF($Q85=0,1,INDEX(Bills!$AE$6:$AE$25,$Q85)),0))))</f>
        <v/>
      </c>
      <c r="X85">
        <f>IF(OR($D85="",$B85="",Housemates!$B$13=""),0,IF($R85&gt;0,IF(K85="",0,IF(ISNUMBER(K85),K85,1)),IF($C85="Paying back",0,IF(AND(OR(Housemates!$C$13="",Housemates!$C$13&lt;=$B85),OR(Housemates!$D$13="",Housemates!$D$13&gt;=$B85)),IF($Q85=0,1,INDEX(Bills!$AF$6:$AF$25,$Q85)),0))))</f>
        <v/>
      </c>
      <c r="Y85">
        <f>IF(OR($D85="",$B85="",Housemates!$B$14=""),0,IF($R85&gt;0,IF(L85="",0,IF(ISNUMBER(L85),L85,1)),IF($C85="Paying back",0,IF(AND(OR(Housemates!$C$14="",Housemates!$C$14&lt;=$B85),OR(Housemates!$D$14="",Housemates!$D$14&gt;=$B85)),IF($Q85=0,1,INDEX(Bills!$AG$6:$AG$25,$Q85)),0))))</f>
        <v/>
      </c>
      <c r="Z85">
        <f>IF(OR($D85="",$B85="",Housemates!$B$15=""),0,IF($R85&gt;0,IF(M85="",0,IF(ISNUMBER(M85),M85,1)),IF($C85="Paying back",0,IF(AND(OR(Housemates!$C$15="",Housemates!$C$15&lt;=$B85),OR(Housemates!$D$15="",Housemates!$D$15&gt;=$B85)),IF($Q85=0,1,INDEX(Bills!$AH$6:$AH$25,$Q85)),0))))</f>
        <v/>
      </c>
      <c r="AA85">
        <f>SUM(S85:Z85)</f>
        <v/>
      </c>
      <c r="AB85">
        <f>IF(AA85=0,0,D85*S85/AA85)</f>
        <v/>
      </c>
      <c r="AC85">
        <f>IF(AA85=0,0,D85*T85/AA85)</f>
        <v/>
      </c>
      <c r="AD85">
        <f>IF(AA85=0,0,D85*U85/AA85)</f>
        <v/>
      </c>
      <c r="AE85">
        <f>IF(AA85=0,0,D85*V85/AA85)</f>
        <v/>
      </c>
      <c r="AF85">
        <f>IF(AA85=0,0,D85*W85/AA85)</f>
        <v/>
      </c>
      <c r="AG85">
        <f>IF(AA85=0,0,D85*X85/AA85)</f>
        <v/>
      </c>
      <c r="AH85">
        <f>IF(AA85=0,0,D85*Y85/AA85)</f>
        <v/>
      </c>
      <c r="AI85">
        <f>IF(AA85=0,0,D85*Z85/AA85)</f>
        <v/>
      </c>
      <c r="AJ85">
        <f>IF(OR(C85="",B85=""),"",C85&amp;"|"&amp;(YEAR(B85)*100+MONTH(B85)))</f>
        <v/>
      </c>
    </row>
    <row r="86">
      <c r="A86" s="1" t="n"/>
      <c r="B86" s="23" t="n">
        <v>46255</v>
      </c>
      <c r="C86" s="24" t="inlineStr">
        <is>
          <t>Streaming</t>
        </is>
      </c>
      <c r="D86" s="25" t="n">
        <v>15.96</v>
      </c>
      <c r="E86" s="26" t="inlineStr">
        <is>
          <t>Priya</t>
        </is>
      </c>
      <c r="F86" s="27" t="n"/>
      <c r="G86" s="27" t="n"/>
      <c r="H86" s="27" t="n"/>
      <c r="I86" s="27" t="n"/>
      <c r="J86" s="27" t="n"/>
      <c r="K86" s="27" t="n"/>
      <c r="L86" s="27" t="n"/>
      <c r="M86" s="27" t="n"/>
      <c r="N86" s="21">
        <f>IF(D86="","",IF(B86="","No date",IF(AND(C86="Paying back",R86=0),"To whom?",IF(AA86=0,"Nobody",IF(C86="Paying back","To "&amp;INDEX(Housemates!$B$8:$B$15,MATCH(MAX(S86:Z86),S86:Z86,0)),IF(R86&gt;0,IF(COUNTIF(S86:Z86,"&gt;0")=1,"1 person",COUNTIF(S86:Z86,"&gt;0")&amp;" people"),IF(Q86=0,"Everyone",INDEX(Bills!$Q$6:$Q$25,Q86))))))))</f>
        <v/>
      </c>
      <c r="O86" s="18">
        <f>IF(D86="","",IF(C86="Paying back","Paying back",IF(Q86=0,"Other",IF(INDEX(Bills!$C$6:$C$25,Q86)="","Other",INDEX(Bills!$C$6:$C$25,Q86)))))</f>
        <v/>
      </c>
      <c r="P86" s="1" t="n"/>
      <c r="Q86">
        <f>IF(C86="",0,IFERROR(MATCH(C86,Bills!$B$6:$B$25,0),0))</f>
        <v/>
      </c>
      <c r="R86">
        <f>COUNTA(F86:M86)</f>
        <v/>
      </c>
      <c r="S86">
        <f>IF(OR($D86="",$B86="",Housemates!$B$8=""),0,IF($R86&gt;0,IF(F86="",0,IF(ISNUMBER(F86),F86,1)),IF($C86="Paying back",0,IF(AND(OR(Housemates!$C$8="",Housemates!$C$8&lt;=$B86),OR(Housemates!$D$8="",Housemates!$D$8&gt;=$B86)),IF($Q86=0,1,INDEX(Bills!$AA$6:$AA$25,$Q86)),0))))</f>
        <v/>
      </c>
      <c r="T86">
        <f>IF(OR($D86="",$B86="",Housemates!$B$9=""),0,IF($R86&gt;0,IF(G86="",0,IF(ISNUMBER(G86),G86,1)),IF($C86="Paying back",0,IF(AND(OR(Housemates!$C$9="",Housemates!$C$9&lt;=$B86),OR(Housemates!$D$9="",Housemates!$D$9&gt;=$B86)),IF($Q86=0,1,INDEX(Bills!$AB$6:$AB$25,$Q86)),0))))</f>
        <v/>
      </c>
      <c r="U86">
        <f>IF(OR($D86="",$B86="",Housemates!$B$10=""),0,IF($R86&gt;0,IF(H86="",0,IF(ISNUMBER(H86),H86,1)),IF($C86="Paying back",0,IF(AND(OR(Housemates!$C$10="",Housemates!$C$10&lt;=$B86),OR(Housemates!$D$10="",Housemates!$D$10&gt;=$B86)),IF($Q86=0,1,INDEX(Bills!$AC$6:$AC$25,$Q86)),0))))</f>
        <v/>
      </c>
      <c r="V86">
        <f>IF(OR($D86="",$B86="",Housemates!$B$11=""),0,IF($R86&gt;0,IF(I86="",0,IF(ISNUMBER(I86),I86,1)),IF($C86="Paying back",0,IF(AND(OR(Housemates!$C$11="",Housemates!$C$11&lt;=$B86),OR(Housemates!$D$11="",Housemates!$D$11&gt;=$B86)),IF($Q86=0,1,INDEX(Bills!$AD$6:$AD$25,$Q86)),0))))</f>
        <v/>
      </c>
      <c r="W86">
        <f>IF(OR($D86="",$B86="",Housemates!$B$12=""),0,IF($R86&gt;0,IF(J86="",0,IF(ISNUMBER(J86),J86,1)),IF($C86="Paying back",0,IF(AND(OR(Housemates!$C$12="",Housemates!$C$12&lt;=$B86),OR(Housemates!$D$12="",Housemates!$D$12&gt;=$B86)),IF($Q86=0,1,INDEX(Bills!$AE$6:$AE$25,$Q86)),0))))</f>
        <v/>
      </c>
      <c r="X86">
        <f>IF(OR($D86="",$B86="",Housemates!$B$13=""),0,IF($R86&gt;0,IF(K86="",0,IF(ISNUMBER(K86),K86,1)),IF($C86="Paying back",0,IF(AND(OR(Housemates!$C$13="",Housemates!$C$13&lt;=$B86),OR(Housemates!$D$13="",Housemates!$D$13&gt;=$B86)),IF($Q86=0,1,INDEX(Bills!$AF$6:$AF$25,$Q86)),0))))</f>
        <v/>
      </c>
      <c r="Y86">
        <f>IF(OR($D86="",$B86="",Housemates!$B$14=""),0,IF($R86&gt;0,IF(L86="",0,IF(ISNUMBER(L86),L86,1)),IF($C86="Paying back",0,IF(AND(OR(Housemates!$C$14="",Housemates!$C$14&lt;=$B86),OR(Housemates!$D$14="",Housemates!$D$14&gt;=$B86)),IF($Q86=0,1,INDEX(Bills!$AG$6:$AG$25,$Q86)),0))))</f>
        <v/>
      </c>
      <c r="Z86">
        <f>IF(OR($D86="",$B86="",Housemates!$B$15=""),0,IF($R86&gt;0,IF(M86="",0,IF(ISNUMBER(M86),M86,1)),IF($C86="Paying back",0,IF(AND(OR(Housemates!$C$15="",Housemates!$C$15&lt;=$B86),OR(Housemates!$D$15="",Housemates!$D$15&gt;=$B86)),IF($Q86=0,1,INDEX(Bills!$AH$6:$AH$25,$Q86)),0))))</f>
        <v/>
      </c>
      <c r="AA86">
        <f>SUM(S86:Z86)</f>
        <v/>
      </c>
      <c r="AB86">
        <f>IF(AA86=0,0,D86*S86/AA86)</f>
        <v/>
      </c>
      <c r="AC86">
        <f>IF(AA86=0,0,D86*T86/AA86)</f>
        <v/>
      </c>
      <c r="AD86">
        <f>IF(AA86=0,0,D86*U86/AA86)</f>
        <v/>
      </c>
      <c r="AE86">
        <f>IF(AA86=0,0,D86*V86/AA86)</f>
        <v/>
      </c>
      <c r="AF86">
        <f>IF(AA86=0,0,D86*W86/AA86)</f>
        <v/>
      </c>
      <c r="AG86">
        <f>IF(AA86=0,0,D86*X86/AA86)</f>
        <v/>
      </c>
      <c r="AH86">
        <f>IF(AA86=0,0,D86*Y86/AA86)</f>
        <v/>
      </c>
      <c r="AI86">
        <f>IF(AA86=0,0,D86*Z86/AA86)</f>
        <v/>
      </c>
      <c r="AJ86">
        <f>IF(OR(C86="",B86=""),"",C86&amp;"|"&amp;(YEAR(B86)*100+MONTH(B86)))</f>
        <v/>
      </c>
    </row>
    <row r="87">
      <c r="A87" s="1" t="n"/>
      <c r="B87" s="23" t="n">
        <v>46260</v>
      </c>
      <c r="C87" s="24" t="inlineStr">
        <is>
          <t>Cleaning and household</t>
        </is>
      </c>
      <c r="D87" s="25" t="n">
        <v>22.32</v>
      </c>
      <c r="E87" s="26" t="inlineStr">
        <is>
          <t>Priya</t>
        </is>
      </c>
      <c r="F87" s="27" t="n"/>
      <c r="G87" s="27" t="n"/>
      <c r="H87" s="27" t="n"/>
      <c r="I87" s="27" t="n"/>
      <c r="J87" s="27" t="n"/>
      <c r="K87" s="27" t="n"/>
      <c r="L87" s="27" t="n"/>
      <c r="M87" s="27" t="n"/>
      <c r="N87" s="21">
        <f>IF(D87="","",IF(B87="","No date",IF(AND(C87="Paying back",R87=0),"To whom?",IF(AA87=0,"Nobody",IF(C87="Paying back","To "&amp;INDEX(Housemates!$B$8:$B$15,MATCH(MAX(S87:Z87),S87:Z87,0)),IF(R87&gt;0,IF(COUNTIF(S87:Z87,"&gt;0")=1,"1 person",COUNTIF(S87:Z87,"&gt;0")&amp;" people"),IF(Q87=0,"Everyone",INDEX(Bills!$Q$6:$Q$25,Q87))))))))</f>
        <v/>
      </c>
      <c r="O87" s="18">
        <f>IF(D87="","",IF(C87="Paying back","Paying back",IF(Q87=0,"Other",IF(INDEX(Bills!$C$6:$C$25,Q87)="","Other",INDEX(Bills!$C$6:$C$25,Q87)))))</f>
        <v/>
      </c>
      <c r="P87" s="1" t="n"/>
      <c r="Q87">
        <f>IF(C87="",0,IFERROR(MATCH(C87,Bills!$B$6:$B$25,0),0))</f>
        <v/>
      </c>
      <c r="R87">
        <f>COUNTA(F87:M87)</f>
        <v/>
      </c>
      <c r="S87">
        <f>IF(OR($D87="",$B87="",Housemates!$B$8=""),0,IF($R87&gt;0,IF(F87="",0,IF(ISNUMBER(F87),F87,1)),IF($C87="Paying back",0,IF(AND(OR(Housemates!$C$8="",Housemates!$C$8&lt;=$B87),OR(Housemates!$D$8="",Housemates!$D$8&gt;=$B87)),IF($Q87=0,1,INDEX(Bills!$AA$6:$AA$25,$Q87)),0))))</f>
        <v/>
      </c>
      <c r="T87">
        <f>IF(OR($D87="",$B87="",Housemates!$B$9=""),0,IF($R87&gt;0,IF(G87="",0,IF(ISNUMBER(G87),G87,1)),IF($C87="Paying back",0,IF(AND(OR(Housemates!$C$9="",Housemates!$C$9&lt;=$B87),OR(Housemates!$D$9="",Housemates!$D$9&gt;=$B87)),IF($Q87=0,1,INDEX(Bills!$AB$6:$AB$25,$Q87)),0))))</f>
        <v/>
      </c>
      <c r="U87">
        <f>IF(OR($D87="",$B87="",Housemates!$B$10=""),0,IF($R87&gt;0,IF(H87="",0,IF(ISNUMBER(H87),H87,1)),IF($C87="Paying back",0,IF(AND(OR(Housemates!$C$10="",Housemates!$C$10&lt;=$B87),OR(Housemates!$D$10="",Housemates!$D$10&gt;=$B87)),IF($Q87=0,1,INDEX(Bills!$AC$6:$AC$25,$Q87)),0))))</f>
        <v/>
      </c>
      <c r="V87">
        <f>IF(OR($D87="",$B87="",Housemates!$B$11=""),0,IF($R87&gt;0,IF(I87="",0,IF(ISNUMBER(I87),I87,1)),IF($C87="Paying back",0,IF(AND(OR(Housemates!$C$11="",Housemates!$C$11&lt;=$B87),OR(Housemates!$D$11="",Housemates!$D$11&gt;=$B87)),IF($Q87=0,1,INDEX(Bills!$AD$6:$AD$25,$Q87)),0))))</f>
        <v/>
      </c>
      <c r="W87">
        <f>IF(OR($D87="",$B87="",Housemates!$B$12=""),0,IF($R87&gt;0,IF(J87="",0,IF(ISNUMBER(J87),J87,1)),IF($C87="Paying back",0,IF(AND(OR(Housemates!$C$12="",Housemates!$C$12&lt;=$B87),OR(Housemates!$D$12="",Housemates!$D$12&gt;=$B87)),IF($Q87=0,1,INDEX(Bills!$AE$6:$AE$25,$Q87)),0))))</f>
        <v/>
      </c>
      <c r="X87">
        <f>IF(OR($D87="",$B87="",Housemates!$B$13=""),0,IF($R87&gt;0,IF(K87="",0,IF(ISNUMBER(K87),K87,1)),IF($C87="Paying back",0,IF(AND(OR(Housemates!$C$13="",Housemates!$C$13&lt;=$B87),OR(Housemates!$D$13="",Housemates!$D$13&gt;=$B87)),IF($Q87=0,1,INDEX(Bills!$AF$6:$AF$25,$Q87)),0))))</f>
        <v/>
      </c>
      <c r="Y87">
        <f>IF(OR($D87="",$B87="",Housemates!$B$14=""),0,IF($R87&gt;0,IF(L87="",0,IF(ISNUMBER(L87),L87,1)),IF($C87="Paying back",0,IF(AND(OR(Housemates!$C$14="",Housemates!$C$14&lt;=$B87),OR(Housemates!$D$14="",Housemates!$D$14&gt;=$B87)),IF($Q87=0,1,INDEX(Bills!$AG$6:$AG$25,$Q87)),0))))</f>
        <v/>
      </c>
      <c r="Z87">
        <f>IF(OR($D87="",$B87="",Housemates!$B$15=""),0,IF($R87&gt;0,IF(M87="",0,IF(ISNUMBER(M87),M87,1)),IF($C87="Paying back",0,IF(AND(OR(Housemates!$C$15="",Housemates!$C$15&lt;=$B87),OR(Housemates!$D$15="",Housemates!$D$15&gt;=$B87)),IF($Q87=0,1,INDEX(Bills!$AH$6:$AH$25,$Q87)),0))))</f>
        <v/>
      </c>
      <c r="AA87">
        <f>SUM(S87:Z87)</f>
        <v/>
      </c>
      <c r="AB87">
        <f>IF(AA87=0,0,D87*S87/AA87)</f>
        <v/>
      </c>
      <c r="AC87">
        <f>IF(AA87=0,0,D87*T87/AA87)</f>
        <v/>
      </c>
      <c r="AD87">
        <f>IF(AA87=0,0,D87*U87/AA87)</f>
        <v/>
      </c>
      <c r="AE87">
        <f>IF(AA87=0,0,D87*V87/AA87)</f>
        <v/>
      </c>
      <c r="AF87">
        <f>IF(AA87=0,0,D87*W87/AA87)</f>
        <v/>
      </c>
      <c r="AG87">
        <f>IF(AA87=0,0,D87*X87/AA87)</f>
        <v/>
      </c>
      <c r="AH87">
        <f>IF(AA87=0,0,D87*Y87/AA87)</f>
        <v/>
      </c>
      <c r="AI87">
        <f>IF(AA87=0,0,D87*Z87/AA87)</f>
        <v/>
      </c>
      <c r="AJ87">
        <f>IF(OR(C87="",B87=""),"",C87&amp;"|"&amp;(YEAR(B87)*100+MONTH(B87)))</f>
        <v/>
      </c>
    </row>
    <row r="88">
      <c r="A88" s="1" t="n"/>
      <c r="B88" s="23" t="n">
        <v>46266</v>
      </c>
      <c r="C88" s="24" t="inlineStr">
        <is>
          <t>Rent</t>
        </is>
      </c>
      <c r="D88" s="25" t="n">
        <v>2400</v>
      </c>
      <c r="E88" s="26" t="inlineStr">
        <is>
          <t>Maya</t>
        </is>
      </c>
      <c r="F88" s="27" t="n"/>
      <c r="G88" s="27" t="n"/>
      <c r="H88" s="27" t="n"/>
      <c r="I88" s="27" t="n"/>
      <c r="J88" s="27" t="n"/>
      <c r="K88" s="27" t="n"/>
      <c r="L88" s="27" t="n"/>
      <c r="M88" s="27" t="n"/>
      <c r="N88" s="21">
        <f>IF(D88="","",IF(B88="","No date",IF(AND(C88="Paying back",R88=0),"To whom?",IF(AA88=0,"Nobody",IF(C88="Paying back","To "&amp;INDEX(Housemates!$B$8:$B$15,MATCH(MAX(S88:Z88),S88:Z88,0)),IF(R88&gt;0,IF(COUNTIF(S88:Z88,"&gt;0")=1,"1 person",COUNTIF(S88:Z88,"&gt;0")&amp;" people"),IF(Q88=0,"Everyone",INDEX(Bills!$Q$6:$Q$25,Q88))))))))</f>
        <v/>
      </c>
      <c r="O88" s="18">
        <f>IF(D88="","",IF(C88="Paying back","Paying back",IF(Q88=0,"Other",IF(INDEX(Bills!$C$6:$C$25,Q88)="","Other",INDEX(Bills!$C$6:$C$25,Q88)))))</f>
        <v/>
      </c>
      <c r="P88" s="1" t="n"/>
      <c r="Q88">
        <f>IF(C88="",0,IFERROR(MATCH(C88,Bills!$B$6:$B$25,0),0))</f>
        <v/>
      </c>
      <c r="R88">
        <f>COUNTA(F88:M88)</f>
        <v/>
      </c>
      <c r="S88">
        <f>IF(OR($D88="",$B88="",Housemates!$B$8=""),0,IF($R88&gt;0,IF(F88="",0,IF(ISNUMBER(F88),F88,1)),IF($C88="Paying back",0,IF(AND(OR(Housemates!$C$8="",Housemates!$C$8&lt;=$B88),OR(Housemates!$D$8="",Housemates!$D$8&gt;=$B88)),IF($Q88=0,1,INDEX(Bills!$AA$6:$AA$25,$Q88)),0))))</f>
        <v/>
      </c>
      <c r="T88">
        <f>IF(OR($D88="",$B88="",Housemates!$B$9=""),0,IF($R88&gt;0,IF(G88="",0,IF(ISNUMBER(G88),G88,1)),IF($C88="Paying back",0,IF(AND(OR(Housemates!$C$9="",Housemates!$C$9&lt;=$B88),OR(Housemates!$D$9="",Housemates!$D$9&gt;=$B88)),IF($Q88=0,1,INDEX(Bills!$AB$6:$AB$25,$Q88)),0))))</f>
        <v/>
      </c>
      <c r="U88">
        <f>IF(OR($D88="",$B88="",Housemates!$B$10=""),0,IF($R88&gt;0,IF(H88="",0,IF(ISNUMBER(H88),H88,1)),IF($C88="Paying back",0,IF(AND(OR(Housemates!$C$10="",Housemates!$C$10&lt;=$B88),OR(Housemates!$D$10="",Housemates!$D$10&gt;=$B88)),IF($Q88=0,1,INDEX(Bills!$AC$6:$AC$25,$Q88)),0))))</f>
        <v/>
      </c>
      <c r="V88">
        <f>IF(OR($D88="",$B88="",Housemates!$B$11=""),0,IF($R88&gt;0,IF(I88="",0,IF(ISNUMBER(I88),I88,1)),IF($C88="Paying back",0,IF(AND(OR(Housemates!$C$11="",Housemates!$C$11&lt;=$B88),OR(Housemates!$D$11="",Housemates!$D$11&gt;=$B88)),IF($Q88=0,1,INDEX(Bills!$AD$6:$AD$25,$Q88)),0))))</f>
        <v/>
      </c>
      <c r="W88">
        <f>IF(OR($D88="",$B88="",Housemates!$B$12=""),0,IF($R88&gt;0,IF(J88="",0,IF(ISNUMBER(J88),J88,1)),IF($C88="Paying back",0,IF(AND(OR(Housemates!$C$12="",Housemates!$C$12&lt;=$B88),OR(Housemates!$D$12="",Housemates!$D$12&gt;=$B88)),IF($Q88=0,1,INDEX(Bills!$AE$6:$AE$25,$Q88)),0))))</f>
        <v/>
      </c>
      <c r="X88">
        <f>IF(OR($D88="",$B88="",Housemates!$B$13=""),0,IF($R88&gt;0,IF(K88="",0,IF(ISNUMBER(K88),K88,1)),IF($C88="Paying back",0,IF(AND(OR(Housemates!$C$13="",Housemates!$C$13&lt;=$B88),OR(Housemates!$D$13="",Housemates!$D$13&gt;=$B88)),IF($Q88=0,1,INDEX(Bills!$AF$6:$AF$25,$Q88)),0))))</f>
        <v/>
      </c>
      <c r="Y88">
        <f>IF(OR($D88="",$B88="",Housemates!$B$14=""),0,IF($R88&gt;0,IF(L88="",0,IF(ISNUMBER(L88),L88,1)),IF($C88="Paying back",0,IF(AND(OR(Housemates!$C$14="",Housemates!$C$14&lt;=$B88),OR(Housemates!$D$14="",Housemates!$D$14&gt;=$B88)),IF($Q88=0,1,INDEX(Bills!$AG$6:$AG$25,$Q88)),0))))</f>
        <v/>
      </c>
      <c r="Z88">
        <f>IF(OR($D88="",$B88="",Housemates!$B$15=""),0,IF($R88&gt;0,IF(M88="",0,IF(ISNUMBER(M88),M88,1)),IF($C88="Paying back",0,IF(AND(OR(Housemates!$C$15="",Housemates!$C$15&lt;=$B88),OR(Housemates!$D$15="",Housemates!$D$15&gt;=$B88)),IF($Q88=0,1,INDEX(Bills!$AH$6:$AH$25,$Q88)),0))))</f>
        <v/>
      </c>
      <c r="AA88">
        <f>SUM(S88:Z88)</f>
        <v/>
      </c>
      <c r="AB88">
        <f>IF(AA88=0,0,D88*S88/AA88)</f>
        <v/>
      </c>
      <c r="AC88">
        <f>IF(AA88=0,0,D88*T88/AA88)</f>
        <v/>
      </c>
      <c r="AD88">
        <f>IF(AA88=0,0,D88*U88/AA88)</f>
        <v/>
      </c>
      <c r="AE88">
        <f>IF(AA88=0,0,D88*V88/AA88)</f>
        <v/>
      </c>
      <c r="AF88">
        <f>IF(AA88=0,0,D88*W88/AA88)</f>
        <v/>
      </c>
      <c r="AG88">
        <f>IF(AA88=0,0,D88*X88/AA88)</f>
        <v/>
      </c>
      <c r="AH88">
        <f>IF(AA88=0,0,D88*Y88/AA88)</f>
        <v/>
      </c>
      <c r="AI88">
        <f>IF(AA88=0,0,D88*Z88/AA88)</f>
        <v/>
      </c>
      <c r="AJ88">
        <f>IF(OR(C88="",B88=""),"",C88&amp;"|"&amp;(YEAR(B88)*100+MONTH(B88)))</f>
        <v/>
      </c>
    </row>
    <row r="89">
      <c r="A89" s="1" t="n"/>
      <c r="B89" s="23" t="n">
        <v>46267</v>
      </c>
      <c r="C89" s="24" t="inlineStr">
        <is>
          <t>Internet</t>
        </is>
      </c>
      <c r="D89" s="25" t="n">
        <v>45</v>
      </c>
      <c r="E89" s="26" t="inlineStr">
        <is>
          <t>Leo</t>
        </is>
      </c>
      <c r="F89" s="27" t="n"/>
      <c r="G89" s="27" t="n"/>
      <c r="H89" s="27" t="n"/>
      <c r="I89" s="27" t="n"/>
      <c r="J89" s="27" t="n"/>
      <c r="K89" s="27" t="n"/>
      <c r="L89" s="27" t="n"/>
      <c r="M89" s="27" t="n"/>
      <c r="N89" s="21">
        <f>IF(D89="","",IF(B89="","No date",IF(AND(C89="Paying back",R89=0),"To whom?",IF(AA89=0,"Nobody",IF(C89="Paying back","To "&amp;INDEX(Housemates!$B$8:$B$15,MATCH(MAX(S89:Z89),S89:Z89,0)),IF(R89&gt;0,IF(COUNTIF(S89:Z89,"&gt;0")=1,"1 person",COUNTIF(S89:Z89,"&gt;0")&amp;" people"),IF(Q89=0,"Everyone",INDEX(Bills!$Q$6:$Q$25,Q89))))))))</f>
        <v/>
      </c>
      <c r="O89" s="18">
        <f>IF(D89="","",IF(C89="Paying back","Paying back",IF(Q89=0,"Other",IF(INDEX(Bills!$C$6:$C$25,Q89)="","Other",INDEX(Bills!$C$6:$C$25,Q89)))))</f>
        <v/>
      </c>
      <c r="P89" s="1" t="n"/>
      <c r="Q89">
        <f>IF(C89="",0,IFERROR(MATCH(C89,Bills!$B$6:$B$25,0),0))</f>
        <v/>
      </c>
      <c r="R89">
        <f>COUNTA(F89:M89)</f>
        <v/>
      </c>
      <c r="S89">
        <f>IF(OR($D89="",$B89="",Housemates!$B$8=""),0,IF($R89&gt;0,IF(F89="",0,IF(ISNUMBER(F89),F89,1)),IF($C89="Paying back",0,IF(AND(OR(Housemates!$C$8="",Housemates!$C$8&lt;=$B89),OR(Housemates!$D$8="",Housemates!$D$8&gt;=$B89)),IF($Q89=0,1,INDEX(Bills!$AA$6:$AA$25,$Q89)),0))))</f>
        <v/>
      </c>
      <c r="T89">
        <f>IF(OR($D89="",$B89="",Housemates!$B$9=""),0,IF($R89&gt;0,IF(G89="",0,IF(ISNUMBER(G89),G89,1)),IF($C89="Paying back",0,IF(AND(OR(Housemates!$C$9="",Housemates!$C$9&lt;=$B89),OR(Housemates!$D$9="",Housemates!$D$9&gt;=$B89)),IF($Q89=0,1,INDEX(Bills!$AB$6:$AB$25,$Q89)),0))))</f>
        <v/>
      </c>
      <c r="U89">
        <f>IF(OR($D89="",$B89="",Housemates!$B$10=""),0,IF($R89&gt;0,IF(H89="",0,IF(ISNUMBER(H89),H89,1)),IF($C89="Paying back",0,IF(AND(OR(Housemates!$C$10="",Housemates!$C$10&lt;=$B89),OR(Housemates!$D$10="",Housemates!$D$10&gt;=$B89)),IF($Q89=0,1,INDEX(Bills!$AC$6:$AC$25,$Q89)),0))))</f>
        <v/>
      </c>
      <c r="V89">
        <f>IF(OR($D89="",$B89="",Housemates!$B$11=""),0,IF($R89&gt;0,IF(I89="",0,IF(ISNUMBER(I89),I89,1)),IF($C89="Paying back",0,IF(AND(OR(Housemates!$C$11="",Housemates!$C$11&lt;=$B89),OR(Housemates!$D$11="",Housemates!$D$11&gt;=$B89)),IF($Q89=0,1,INDEX(Bills!$AD$6:$AD$25,$Q89)),0))))</f>
        <v/>
      </c>
      <c r="W89">
        <f>IF(OR($D89="",$B89="",Housemates!$B$12=""),0,IF($R89&gt;0,IF(J89="",0,IF(ISNUMBER(J89),J89,1)),IF($C89="Paying back",0,IF(AND(OR(Housemates!$C$12="",Housemates!$C$12&lt;=$B89),OR(Housemates!$D$12="",Housemates!$D$12&gt;=$B89)),IF($Q89=0,1,INDEX(Bills!$AE$6:$AE$25,$Q89)),0))))</f>
        <v/>
      </c>
      <c r="X89">
        <f>IF(OR($D89="",$B89="",Housemates!$B$13=""),0,IF($R89&gt;0,IF(K89="",0,IF(ISNUMBER(K89),K89,1)),IF($C89="Paying back",0,IF(AND(OR(Housemates!$C$13="",Housemates!$C$13&lt;=$B89),OR(Housemates!$D$13="",Housemates!$D$13&gt;=$B89)),IF($Q89=0,1,INDEX(Bills!$AF$6:$AF$25,$Q89)),0))))</f>
        <v/>
      </c>
      <c r="Y89">
        <f>IF(OR($D89="",$B89="",Housemates!$B$14=""),0,IF($R89&gt;0,IF(L89="",0,IF(ISNUMBER(L89),L89,1)),IF($C89="Paying back",0,IF(AND(OR(Housemates!$C$14="",Housemates!$C$14&lt;=$B89),OR(Housemates!$D$14="",Housemates!$D$14&gt;=$B89)),IF($Q89=0,1,INDEX(Bills!$AG$6:$AG$25,$Q89)),0))))</f>
        <v/>
      </c>
      <c r="Z89">
        <f>IF(OR($D89="",$B89="",Housemates!$B$15=""),0,IF($R89&gt;0,IF(M89="",0,IF(ISNUMBER(M89),M89,1)),IF($C89="Paying back",0,IF(AND(OR(Housemates!$C$15="",Housemates!$C$15&lt;=$B89),OR(Housemates!$D$15="",Housemates!$D$15&gt;=$B89)),IF($Q89=0,1,INDEX(Bills!$AH$6:$AH$25,$Q89)),0))))</f>
        <v/>
      </c>
      <c r="AA89">
        <f>SUM(S89:Z89)</f>
        <v/>
      </c>
      <c r="AB89">
        <f>IF(AA89=0,0,D89*S89/AA89)</f>
        <v/>
      </c>
      <c r="AC89">
        <f>IF(AA89=0,0,D89*T89/AA89)</f>
        <v/>
      </c>
      <c r="AD89">
        <f>IF(AA89=0,0,D89*U89/AA89)</f>
        <v/>
      </c>
      <c r="AE89">
        <f>IF(AA89=0,0,D89*V89/AA89)</f>
        <v/>
      </c>
      <c r="AF89">
        <f>IF(AA89=0,0,D89*W89/AA89)</f>
        <v/>
      </c>
      <c r="AG89">
        <f>IF(AA89=0,0,D89*X89/AA89)</f>
        <v/>
      </c>
      <c r="AH89">
        <f>IF(AA89=0,0,D89*Y89/AA89)</f>
        <v/>
      </c>
      <c r="AI89">
        <f>IF(AA89=0,0,D89*Z89/AA89)</f>
        <v/>
      </c>
      <c r="AJ89">
        <f>IF(OR(C89="",B89=""),"",C89&amp;"|"&amp;(YEAR(B89)*100+MONTH(B89)))</f>
        <v/>
      </c>
    </row>
    <row r="90">
      <c r="A90" s="1" t="n"/>
      <c r="B90" s="23" t="n">
        <v>46268</v>
      </c>
      <c r="C90" s="24" t="inlineStr">
        <is>
          <t>Groceries</t>
        </is>
      </c>
      <c r="D90" s="25" t="n">
        <v>62.4</v>
      </c>
      <c r="E90" s="26" t="inlineStr">
        <is>
          <t>Priya</t>
        </is>
      </c>
      <c r="F90" s="27" t="n"/>
      <c r="G90" s="27" t="n"/>
      <c r="H90" s="27" t="n"/>
      <c r="I90" s="27" t="n"/>
      <c r="J90" s="27" t="n"/>
      <c r="K90" s="27" t="n"/>
      <c r="L90" s="27" t="n"/>
      <c r="M90" s="27" t="n"/>
      <c r="N90" s="21">
        <f>IF(D90="","",IF(B90="","No date",IF(AND(C90="Paying back",R90=0),"To whom?",IF(AA90=0,"Nobody",IF(C90="Paying back","To "&amp;INDEX(Housemates!$B$8:$B$15,MATCH(MAX(S90:Z90),S90:Z90,0)),IF(R90&gt;0,IF(COUNTIF(S90:Z90,"&gt;0")=1,"1 person",COUNTIF(S90:Z90,"&gt;0")&amp;" people"),IF(Q90=0,"Everyone",INDEX(Bills!$Q$6:$Q$25,Q90))))))))</f>
        <v/>
      </c>
      <c r="O90" s="18">
        <f>IF(D90="","",IF(C90="Paying back","Paying back",IF(Q90=0,"Other",IF(INDEX(Bills!$C$6:$C$25,Q90)="","Other",INDEX(Bills!$C$6:$C$25,Q90)))))</f>
        <v/>
      </c>
      <c r="P90" s="1" t="n"/>
      <c r="Q90">
        <f>IF(C90="",0,IFERROR(MATCH(C90,Bills!$B$6:$B$25,0),0))</f>
        <v/>
      </c>
      <c r="R90">
        <f>COUNTA(F90:M90)</f>
        <v/>
      </c>
      <c r="S90">
        <f>IF(OR($D90="",$B90="",Housemates!$B$8=""),0,IF($R90&gt;0,IF(F90="",0,IF(ISNUMBER(F90),F90,1)),IF($C90="Paying back",0,IF(AND(OR(Housemates!$C$8="",Housemates!$C$8&lt;=$B90),OR(Housemates!$D$8="",Housemates!$D$8&gt;=$B90)),IF($Q90=0,1,INDEX(Bills!$AA$6:$AA$25,$Q90)),0))))</f>
        <v/>
      </c>
      <c r="T90">
        <f>IF(OR($D90="",$B90="",Housemates!$B$9=""),0,IF($R90&gt;0,IF(G90="",0,IF(ISNUMBER(G90),G90,1)),IF($C90="Paying back",0,IF(AND(OR(Housemates!$C$9="",Housemates!$C$9&lt;=$B90),OR(Housemates!$D$9="",Housemates!$D$9&gt;=$B90)),IF($Q90=0,1,INDEX(Bills!$AB$6:$AB$25,$Q90)),0))))</f>
        <v/>
      </c>
      <c r="U90">
        <f>IF(OR($D90="",$B90="",Housemates!$B$10=""),0,IF($R90&gt;0,IF(H90="",0,IF(ISNUMBER(H90),H90,1)),IF($C90="Paying back",0,IF(AND(OR(Housemates!$C$10="",Housemates!$C$10&lt;=$B90),OR(Housemates!$D$10="",Housemates!$D$10&gt;=$B90)),IF($Q90=0,1,INDEX(Bills!$AC$6:$AC$25,$Q90)),0))))</f>
        <v/>
      </c>
      <c r="V90">
        <f>IF(OR($D90="",$B90="",Housemates!$B$11=""),0,IF($R90&gt;0,IF(I90="",0,IF(ISNUMBER(I90),I90,1)),IF($C90="Paying back",0,IF(AND(OR(Housemates!$C$11="",Housemates!$C$11&lt;=$B90),OR(Housemates!$D$11="",Housemates!$D$11&gt;=$B90)),IF($Q90=0,1,INDEX(Bills!$AD$6:$AD$25,$Q90)),0))))</f>
        <v/>
      </c>
      <c r="W90">
        <f>IF(OR($D90="",$B90="",Housemates!$B$12=""),0,IF($R90&gt;0,IF(J90="",0,IF(ISNUMBER(J90),J90,1)),IF($C90="Paying back",0,IF(AND(OR(Housemates!$C$12="",Housemates!$C$12&lt;=$B90),OR(Housemates!$D$12="",Housemates!$D$12&gt;=$B90)),IF($Q90=0,1,INDEX(Bills!$AE$6:$AE$25,$Q90)),0))))</f>
        <v/>
      </c>
      <c r="X90">
        <f>IF(OR($D90="",$B90="",Housemates!$B$13=""),0,IF($R90&gt;0,IF(K90="",0,IF(ISNUMBER(K90),K90,1)),IF($C90="Paying back",0,IF(AND(OR(Housemates!$C$13="",Housemates!$C$13&lt;=$B90),OR(Housemates!$D$13="",Housemates!$D$13&gt;=$B90)),IF($Q90=0,1,INDEX(Bills!$AF$6:$AF$25,$Q90)),0))))</f>
        <v/>
      </c>
      <c r="Y90">
        <f>IF(OR($D90="",$B90="",Housemates!$B$14=""),0,IF($R90&gt;0,IF(L90="",0,IF(ISNUMBER(L90),L90,1)),IF($C90="Paying back",0,IF(AND(OR(Housemates!$C$14="",Housemates!$C$14&lt;=$B90),OR(Housemates!$D$14="",Housemates!$D$14&gt;=$B90)),IF($Q90=0,1,INDEX(Bills!$AG$6:$AG$25,$Q90)),0))))</f>
        <v/>
      </c>
      <c r="Z90">
        <f>IF(OR($D90="",$B90="",Housemates!$B$15=""),0,IF($R90&gt;0,IF(M90="",0,IF(ISNUMBER(M90),M90,1)),IF($C90="Paying back",0,IF(AND(OR(Housemates!$C$15="",Housemates!$C$15&lt;=$B90),OR(Housemates!$D$15="",Housemates!$D$15&gt;=$B90)),IF($Q90=0,1,INDEX(Bills!$AH$6:$AH$25,$Q90)),0))))</f>
        <v/>
      </c>
      <c r="AA90">
        <f>SUM(S90:Z90)</f>
        <v/>
      </c>
      <c r="AB90">
        <f>IF(AA90=0,0,D90*S90/AA90)</f>
        <v/>
      </c>
      <c r="AC90">
        <f>IF(AA90=0,0,D90*T90/AA90)</f>
        <v/>
      </c>
      <c r="AD90">
        <f>IF(AA90=0,0,D90*U90/AA90)</f>
        <v/>
      </c>
      <c r="AE90">
        <f>IF(AA90=0,0,D90*V90/AA90)</f>
        <v/>
      </c>
      <c r="AF90">
        <f>IF(AA90=0,0,D90*W90/AA90)</f>
        <v/>
      </c>
      <c r="AG90">
        <f>IF(AA90=0,0,D90*X90/AA90)</f>
        <v/>
      </c>
      <c r="AH90">
        <f>IF(AA90=0,0,D90*Y90/AA90)</f>
        <v/>
      </c>
      <c r="AI90">
        <f>IF(AA90=0,0,D90*Z90/AA90)</f>
        <v/>
      </c>
      <c r="AJ90">
        <f>IF(OR(C90="",B90=""),"",C90&amp;"|"&amp;(YEAR(B90)*100+MONTH(B90)))</f>
        <v/>
      </c>
    </row>
    <row r="91">
      <c r="A91" s="1" t="n"/>
      <c r="B91" s="23" t="n">
        <v>46274</v>
      </c>
      <c r="C91" s="24" t="inlineStr">
        <is>
          <t>Water</t>
        </is>
      </c>
      <c r="D91" s="25" t="n">
        <v>79.92</v>
      </c>
      <c r="E91" s="26" t="inlineStr">
        <is>
          <t>Maya</t>
        </is>
      </c>
      <c r="F91" s="27" t="n"/>
      <c r="G91" s="27" t="n"/>
      <c r="H91" s="27" t="n"/>
      <c r="I91" s="27" t="n"/>
      <c r="J91" s="27" t="n"/>
      <c r="K91" s="27" t="n"/>
      <c r="L91" s="27" t="n"/>
      <c r="M91" s="27" t="n"/>
      <c r="N91" s="21">
        <f>IF(D91="","",IF(B91="","No date",IF(AND(C91="Paying back",R91=0),"To whom?",IF(AA91=0,"Nobody",IF(C91="Paying back","To "&amp;INDEX(Housemates!$B$8:$B$15,MATCH(MAX(S91:Z91),S91:Z91,0)),IF(R91&gt;0,IF(COUNTIF(S91:Z91,"&gt;0")=1,"1 person",COUNTIF(S91:Z91,"&gt;0")&amp;" people"),IF(Q91=0,"Everyone",INDEX(Bills!$Q$6:$Q$25,Q91))))))))</f>
        <v/>
      </c>
      <c r="O91" s="18">
        <f>IF(D91="","",IF(C91="Paying back","Paying back",IF(Q91=0,"Other",IF(INDEX(Bills!$C$6:$C$25,Q91)="","Other",INDEX(Bills!$C$6:$C$25,Q91)))))</f>
        <v/>
      </c>
      <c r="P91" s="1" t="n"/>
      <c r="Q91">
        <f>IF(C91="",0,IFERROR(MATCH(C91,Bills!$B$6:$B$25,0),0))</f>
        <v/>
      </c>
      <c r="R91">
        <f>COUNTA(F91:M91)</f>
        <v/>
      </c>
      <c r="S91">
        <f>IF(OR($D91="",$B91="",Housemates!$B$8=""),0,IF($R91&gt;0,IF(F91="",0,IF(ISNUMBER(F91),F91,1)),IF($C91="Paying back",0,IF(AND(OR(Housemates!$C$8="",Housemates!$C$8&lt;=$B91),OR(Housemates!$D$8="",Housemates!$D$8&gt;=$B91)),IF($Q91=0,1,INDEX(Bills!$AA$6:$AA$25,$Q91)),0))))</f>
        <v/>
      </c>
      <c r="T91">
        <f>IF(OR($D91="",$B91="",Housemates!$B$9=""),0,IF($R91&gt;0,IF(G91="",0,IF(ISNUMBER(G91),G91,1)),IF($C91="Paying back",0,IF(AND(OR(Housemates!$C$9="",Housemates!$C$9&lt;=$B91),OR(Housemates!$D$9="",Housemates!$D$9&gt;=$B91)),IF($Q91=0,1,INDEX(Bills!$AB$6:$AB$25,$Q91)),0))))</f>
        <v/>
      </c>
      <c r="U91">
        <f>IF(OR($D91="",$B91="",Housemates!$B$10=""),0,IF($R91&gt;0,IF(H91="",0,IF(ISNUMBER(H91),H91,1)),IF($C91="Paying back",0,IF(AND(OR(Housemates!$C$10="",Housemates!$C$10&lt;=$B91),OR(Housemates!$D$10="",Housemates!$D$10&gt;=$B91)),IF($Q91=0,1,INDEX(Bills!$AC$6:$AC$25,$Q91)),0))))</f>
        <v/>
      </c>
      <c r="V91">
        <f>IF(OR($D91="",$B91="",Housemates!$B$11=""),0,IF($R91&gt;0,IF(I91="",0,IF(ISNUMBER(I91),I91,1)),IF($C91="Paying back",0,IF(AND(OR(Housemates!$C$11="",Housemates!$C$11&lt;=$B91),OR(Housemates!$D$11="",Housemates!$D$11&gt;=$B91)),IF($Q91=0,1,INDEX(Bills!$AD$6:$AD$25,$Q91)),0))))</f>
        <v/>
      </c>
      <c r="W91">
        <f>IF(OR($D91="",$B91="",Housemates!$B$12=""),0,IF($R91&gt;0,IF(J91="",0,IF(ISNUMBER(J91),J91,1)),IF($C91="Paying back",0,IF(AND(OR(Housemates!$C$12="",Housemates!$C$12&lt;=$B91),OR(Housemates!$D$12="",Housemates!$D$12&gt;=$B91)),IF($Q91=0,1,INDEX(Bills!$AE$6:$AE$25,$Q91)),0))))</f>
        <v/>
      </c>
      <c r="X91">
        <f>IF(OR($D91="",$B91="",Housemates!$B$13=""),0,IF($R91&gt;0,IF(K91="",0,IF(ISNUMBER(K91),K91,1)),IF($C91="Paying back",0,IF(AND(OR(Housemates!$C$13="",Housemates!$C$13&lt;=$B91),OR(Housemates!$D$13="",Housemates!$D$13&gt;=$B91)),IF($Q91=0,1,INDEX(Bills!$AF$6:$AF$25,$Q91)),0))))</f>
        <v/>
      </c>
      <c r="Y91">
        <f>IF(OR($D91="",$B91="",Housemates!$B$14=""),0,IF($R91&gt;0,IF(L91="",0,IF(ISNUMBER(L91),L91,1)),IF($C91="Paying back",0,IF(AND(OR(Housemates!$C$14="",Housemates!$C$14&lt;=$B91),OR(Housemates!$D$14="",Housemates!$D$14&gt;=$B91)),IF($Q91=0,1,INDEX(Bills!$AG$6:$AG$25,$Q91)),0))))</f>
        <v/>
      </c>
      <c r="Z91">
        <f>IF(OR($D91="",$B91="",Housemates!$B$15=""),0,IF($R91&gt;0,IF(M91="",0,IF(ISNUMBER(M91),M91,1)),IF($C91="Paying back",0,IF(AND(OR(Housemates!$C$15="",Housemates!$C$15&lt;=$B91),OR(Housemates!$D$15="",Housemates!$D$15&gt;=$B91)),IF($Q91=0,1,INDEX(Bills!$AH$6:$AH$25,$Q91)),0))))</f>
        <v/>
      </c>
      <c r="AA91">
        <f>SUM(S91:Z91)</f>
        <v/>
      </c>
      <c r="AB91">
        <f>IF(AA91=0,0,D91*S91/AA91)</f>
        <v/>
      </c>
      <c r="AC91">
        <f>IF(AA91=0,0,D91*T91/AA91)</f>
        <v/>
      </c>
      <c r="AD91">
        <f>IF(AA91=0,0,D91*U91/AA91)</f>
        <v/>
      </c>
      <c r="AE91">
        <f>IF(AA91=0,0,D91*V91/AA91)</f>
        <v/>
      </c>
      <c r="AF91">
        <f>IF(AA91=0,0,D91*W91/AA91)</f>
        <v/>
      </c>
      <c r="AG91">
        <f>IF(AA91=0,0,D91*X91/AA91)</f>
        <v/>
      </c>
      <c r="AH91">
        <f>IF(AA91=0,0,D91*Y91/AA91)</f>
        <v/>
      </c>
      <c r="AI91">
        <f>IF(AA91=0,0,D91*Z91/AA91)</f>
        <v/>
      </c>
      <c r="AJ91">
        <f>IF(OR(C91="",B91=""),"",C91&amp;"|"&amp;(YEAR(B91)*100+MONTH(B91)))</f>
        <v/>
      </c>
    </row>
    <row r="92">
      <c r="A92" s="1" t="n"/>
      <c r="B92" s="23" t="n">
        <v>46278</v>
      </c>
      <c r="C92" s="24" t="inlineStr">
        <is>
          <t>Electricity</t>
        </is>
      </c>
      <c r="D92" s="25" t="n">
        <v>102.48</v>
      </c>
      <c r="E92" s="26" t="inlineStr">
        <is>
          <t>Leo</t>
        </is>
      </c>
      <c r="F92" s="27" t="n"/>
      <c r="G92" s="27" t="n"/>
      <c r="H92" s="27" t="n"/>
      <c r="I92" s="27" t="n"/>
      <c r="J92" s="27" t="n"/>
      <c r="K92" s="27" t="n"/>
      <c r="L92" s="27" t="n"/>
      <c r="M92" s="27" t="n"/>
      <c r="N92" s="21">
        <f>IF(D92="","",IF(B92="","No date",IF(AND(C92="Paying back",R92=0),"To whom?",IF(AA92=0,"Nobody",IF(C92="Paying back","To "&amp;INDEX(Housemates!$B$8:$B$15,MATCH(MAX(S92:Z92),S92:Z92,0)),IF(R92&gt;0,IF(COUNTIF(S92:Z92,"&gt;0")=1,"1 person",COUNTIF(S92:Z92,"&gt;0")&amp;" people"),IF(Q92=0,"Everyone",INDEX(Bills!$Q$6:$Q$25,Q92))))))))</f>
        <v/>
      </c>
      <c r="O92" s="18">
        <f>IF(D92="","",IF(C92="Paying back","Paying back",IF(Q92=0,"Other",IF(INDEX(Bills!$C$6:$C$25,Q92)="","Other",INDEX(Bills!$C$6:$C$25,Q92)))))</f>
        <v/>
      </c>
      <c r="P92" s="1" t="n"/>
      <c r="Q92">
        <f>IF(C92="",0,IFERROR(MATCH(C92,Bills!$B$6:$B$25,0),0))</f>
        <v/>
      </c>
      <c r="R92">
        <f>COUNTA(F92:M92)</f>
        <v/>
      </c>
      <c r="S92">
        <f>IF(OR($D92="",$B92="",Housemates!$B$8=""),0,IF($R92&gt;0,IF(F92="",0,IF(ISNUMBER(F92),F92,1)),IF($C92="Paying back",0,IF(AND(OR(Housemates!$C$8="",Housemates!$C$8&lt;=$B92),OR(Housemates!$D$8="",Housemates!$D$8&gt;=$B92)),IF($Q92=0,1,INDEX(Bills!$AA$6:$AA$25,$Q92)),0))))</f>
        <v/>
      </c>
      <c r="T92">
        <f>IF(OR($D92="",$B92="",Housemates!$B$9=""),0,IF($R92&gt;0,IF(G92="",0,IF(ISNUMBER(G92),G92,1)),IF($C92="Paying back",0,IF(AND(OR(Housemates!$C$9="",Housemates!$C$9&lt;=$B92),OR(Housemates!$D$9="",Housemates!$D$9&gt;=$B92)),IF($Q92=0,1,INDEX(Bills!$AB$6:$AB$25,$Q92)),0))))</f>
        <v/>
      </c>
      <c r="U92">
        <f>IF(OR($D92="",$B92="",Housemates!$B$10=""),0,IF($R92&gt;0,IF(H92="",0,IF(ISNUMBER(H92),H92,1)),IF($C92="Paying back",0,IF(AND(OR(Housemates!$C$10="",Housemates!$C$10&lt;=$B92),OR(Housemates!$D$10="",Housemates!$D$10&gt;=$B92)),IF($Q92=0,1,INDEX(Bills!$AC$6:$AC$25,$Q92)),0))))</f>
        <v/>
      </c>
      <c r="V92">
        <f>IF(OR($D92="",$B92="",Housemates!$B$11=""),0,IF($R92&gt;0,IF(I92="",0,IF(ISNUMBER(I92),I92,1)),IF($C92="Paying back",0,IF(AND(OR(Housemates!$C$11="",Housemates!$C$11&lt;=$B92),OR(Housemates!$D$11="",Housemates!$D$11&gt;=$B92)),IF($Q92=0,1,INDEX(Bills!$AD$6:$AD$25,$Q92)),0))))</f>
        <v/>
      </c>
      <c r="W92">
        <f>IF(OR($D92="",$B92="",Housemates!$B$12=""),0,IF($R92&gt;0,IF(J92="",0,IF(ISNUMBER(J92),J92,1)),IF($C92="Paying back",0,IF(AND(OR(Housemates!$C$12="",Housemates!$C$12&lt;=$B92),OR(Housemates!$D$12="",Housemates!$D$12&gt;=$B92)),IF($Q92=0,1,INDEX(Bills!$AE$6:$AE$25,$Q92)),0))))</f>
        <v/>
      </c>
      <c r="X92">
        <f>IF(OR($D92="",$B92="",Housemates!$B$13=""),0,IF($R92&gt;0,IF(K92="",0,IF(ISNUMBER(K92),K92,1)),IF($C92="Paying back",0,IF(AND(OR(Housemates!$C$13="",Housemates!$C$13&lt;=$B92),OR(Housemates!$D$13="",Housemates!$D$13&gt;=$B92)),IF($Q92=0,1,INDEX(Bills!$AF$6:$AF$25,$Q92)),0))))</f>
        <v/>
      </c>
      <c r="Y92">
        <f>IF(OR($D92="",$B92="",Housemates!$B$14=""),0,IF($R92&gt;0,IF(L92="",0,IF(ISNUMBER(L92),L92,1)),IF($C92="Paying back",0,IF(AND(OR(Housemates!$C$14="",Housemates!$C$14&lt;=$B92),OR(Housemates!$D$14="",Housemates!$D$14&gt;=$B92)),IF($Q92=0,1,INDEX(Bills!$AG$6:$AG$25,$Q92)),0))))</f>
        <v/>
      </c>
      <c r="Z92">
        <f>IF(OR($D92="",$B92="",Housemates!$B$15=""),0,IF($R92&gt;0,IF(M92="",0,IF(ISNUMBER(M92),M92,1)),IF($C92="Paying back",0,IF(AND(OR(Housemates!$C$15="",Housemates!$C$15&lt;=$B92),OR(Housemates!$D$15="",Housemates!$D$15&gt;=$B92)),IF($Q92=0,1,INDEX(Bills!$AH$6:$AH$25,$Q92)),0))))</f>
        <v/>
      </c>
      <c r="AA92">
        <f>SUM(S92:Z92)</f>
        <v/>
      </c>
      <c r="AB92">
        <f>IF(AA92=0,0,D92*S92/AA92)</f>
        <v/>
      </c>
      <c r="AC92">
        <f>IF(AA92=0,0,D92*T92/AA92)</f>
        <v/>
      </c>
      <c r="AD92">
        <f>IF(AA92=0,0,D92*U92/AA92)</f>
        <v/>
      </c>
      <c r="AE92">
        <f>IF(AA92=0,0,D92*V92/AA92)</f>
        <v/>
      </c>
      <c r="AF92">
        <f>IF(AA92=0,0,D92*W92/AA92)</f>
        <v/>
      </c>
      <c r="AG92">
        <f>IF(AA92=0,0,D92*X92/AA92)</f>
        <v/>
      </c>
      <c r="AH92">
        <f>IF(AA92=0,0,D92*Y92/AA92)</f>
        <v/>
      </c>
      <c r="AI92">
        <f>IF(AA92=0,0,D92*Z92/AA92)</f>
        <v/>
      </c>
      <c r="AJ92">
        <f>IF(OR(C92="",B92=""),"",C92&amp;"|"&amp;(YEAR(B92)*100+MONTH(B92)))</f>
        <v/>
      </c>
    </row>
    <row r="93">
      <c r="A93" s="1" t="n"/>
      <c r="B93" s="23" t="n">
        <v>46281</v>
      </c>
      <c r="C93" s="24" t="inlineStr">
        <is>
          <t>Cleaning and household</t>
        </is>
      </c>
      <c r="D93" s="25" t="n">
        <v>25.68</v>
      </c>
      <c r="E93" s="26" t="inlineStr">
        <is>
          <t>Leo</t>
        </is>
      </c>
      <c r="F93" s="27" t="n"/>
      <c r="G93" s="27" t="n"/>
      <c r="H93" s="27" t="n"/>
      <c r="I93" s="27" t="n"/>
      <c r="J93" s="27" t="n"/>
      <c r="K93" s="27" t="n"/>
      <c r="L93" s="27" t="n"/>
      <c r="M93" s="27" t="n"/>
      <c r="N93" s="21">
        <f>IF(D93="","",IF(B93="","No date",IF(AND(C93="Paying back",R93=0),"To whom?",IF(AA93=0,"Nobody",IF(C93="Paying back","To "&amp;INDEX(Housemates!$B$8:$B$15,MATCH(MAX(S93:Z93),S93:Z93,0)),IF(R93&gt;0,IF(COUNTIF(S93:Z93,"&gt;0")=1,"1 person",COUNTIF(S93:Z93,"&gt;0")&amp;" people"),IF(Q93=0,"Everyone",INDEX(Bills!$Q$6:$Q$25,Q93))))))))</f>
        <v/>
      </c>
      <c r="O93" s="18">
        <f>IF(D93="","",IF(C93="Paying back","Paying back",IF(Q93=0,"Other",IF(INDEX(Bills!$C$6:$C$25,Q93)="","Other",INDEX(Bills!$C$6:$C$25,Q93)))))</f>
        <v/>
      </c>
      <c r="P93" s="1" t="n"/>
      <c r="Q93">
        <f>IF(C93="",0,IFERROR(MATCH(C93,Bills!$B$6:$B$25,0),0))</f>
        <v/>
      </c>
      <c r="R93">
        <f>COUNTA(F93:M93)</f>
        <v/>
      </c>
      <c r="S93">
        <f>IF(OR($D93="",$B93="",Housemates!$B$8=""),0,IF($R93&gt;0,IF(F93="",0,IF(ISNUMBER(F93),F93,1)),IF($C93="Paying back",0,IF(AND(OR(Housemates!$C$8="",Housemates!$C$8&lt;=$B93),OR(Housemates!$D$8="",Housemates!$D$8&gt;=$B93)),IF($Q93=0,1,INDEX(Bills!$AA$6:$AA$25,$Q93)),0))))</f>
        <v/>
      </c>
      <c r="T93">
        <f>IF(OR($D93="",$B93="",Housemates!$B$9=""),0,IF($R93&gt;0,IF(G93="",0,IF(ISNUMBER(G93),G93,1)),IF($C93="Paying back",0,IF(AND(OR(Housemates!$C$9="",Housemates!$C$9&lt;=$B93),OR(Housemates!$D$9="",Housemates!$D$9&gt;=$B93)),IF($Q93=0,1,INDEX(Bills!$AB$6:$AB$25,$Q93)),0))))</f>
        <v/>
      </c>
      <c r="U93">
        <f>IF(OR($D93="",$B93="",Housemates!$B$10=""),0,IF($R93&gt;0,IF(H93="",0,IF(ISNUMBER(H93),H93,1)),IF($C93="Paying back",0,IF(AND(OR(Housemates!$C$10="",Housemates!$C$10&lt;=$B93),OR(Housemates!$D$10="",Housemates!$D$10&gt;=$B93)),IF($Q93=0,1,INDEX(Bills!$AC$6:$AC$25,$Q93)),0))))</f>
        <v/>
      </c>
      <c r="V93">
        <f>IF(OR($D93="",$B93="",Housemates!$B$11=""),0,IF($R93&gt;0,IF(I93="",0,IF(ISNUMBER(I93),I93,1)),IF($C93="Paying back",0,IF(AND(OR(Housemates!$C$11="",Housemates!$C$11&lt;=$B93),OR(Housemates!$D$11="",Housemates!$D$11&gt;=$B93)),IF($Q93=0,1,INDEX(Bills!$AD$6:$AD$25,$Q93)),0))))</f>
        <v/>
      </c>
      <c r="W93">
        <f>IF(OR($D93="",$B93="",Housemates!$B$12=""),0,IF($R93&gt;0,IF(J93="",0,IF(ISNUMBER(J93),J93,1)),IF($C93="Paying back",0,IF(AND(OR(Housemates!$C$12="",Housemates!$C$12&lt;=$B93),OR(Housemates!$D$12="",Housemates!$D$12&gt;=$B93)),IF($Q93=0,1,INDEX(Bills!$AE$6:$AE$25,$Q93)),0))))</f>
        <v/>
      </c>
      <c r="X93">
        <f>IF(OR($D93="",$B93="",Housemates!$B$13=""),0,IF($R93&gt;0,IF(K93="",0,IF(ISNUMBER(K93),K93,1)),IF($C93="Paying back",0,IF(AND(OR(Housemates!$C$13="",Housemates!$C$13&lt;=$B93),OR(Housemates!$D$13="",Housemates!$D$13&gt;=$B93)),IF($Q93=0,1,INDEX(Bills!$AF$6:$AF$25,$Q93)),0))))</f>
        <v/>
      </c>
      <c r="Y93">
        <f>IF(OR($D93="",$B93="",Housemates!$B$14=""),0,IF($R93&gt;0,IF(L93="",0,IF(ISNUMBER(L93),L93,1)),IF($C93="Paying back",0,IF(AND(OR(Housemates!$C$14="",Housemates!$C$14&lt;=$B93),OR(Housemates!$D$14="",Housemates!$D$14&gt;=$B93)),IF($Q93=0,1,INDEX(Bills!$AG$6:$AG$25,$Q93)),0))))</f>
        <v/>
      </c>
      <c r="Z93">
        <f>IF(OR($D93="",$B93="",Housemates!$B$15=""),0,IF($R93&gt;0,IF(M93="",0,IF(ISNUMBER(M93),M93,1)),IF($C93="Paying back",0,IF(AND(OR(Housemates!$C$15="",Housemates!$C$15&lt;=$B93),OR(Housemates!$D$15="",Housemates!$D$15&gt;=$B93)),IF($Q93=0,1,INDEX(Bills!$AH$6:$AH$25,$Q93)),0))))</f>
        <v/>
      </c>
      <c r="AA93">
        <f>SUM(S93:Z93)</f>
        <v/>
      </c>
      <c r="AB93">
        <f>IF(AA93=0,0,D93*S93/AA93)</f>
        <v/>
      </c>
      <c r="AC93">
        <f>IF(AA93=0,0,D93*T93/AA93)</f>
        <v/>
      </c>
      <c r="AD93">
        <f>IF(AA93=0,0,D93*U93/AA93)</f>
        <v/>
      </c>
      <c r="AE93">
        <f>IF(AA93=0,0,D93*V93/AA93)</f>
        <v/>
      </c>
      <c r="AF93">
        <f>IF(AA93=0,0,D93*W93/AA93)</f>
        <v/>
      </c>
      <c r="AG93">
        <f>IF(AA93=0,0,D93*X93/AA93)</f>
        <v/>
      </c>
      <c r="AH93">
        <f>IF(AA93=0,0,D93*Y93/AA93)</f>
        <v/>
      </c>
      <c r="AI93">
        <f>IF(AA93=0,0,D93*Z93/AA93)</f>
        <v/>
      </c>
      <c r="AJ93">
        <f>IF(OR(C93="",B93=""),"",C93&amp;"|"&amp;(YEAR(B93)*100+MONTH(B93)))</f>
        <v/>
      </c>
    </row>
    <row r="94">
      <c r="A94" s="1" t="n"/>
      <c r="B94" s="23" t="n">
        <v>46286</v>
      </c>
      <c r="C94" s="24" t="inlineStr">
        <is>
          <t>Groceries</t>
        </is>
      </c>
      <c r="D94" s="25" t="n">
        <v>64.08</v>
      </c>
      <c r="E94" s="26" t="inlineStr">
        <is>
          <t>Zoe</t>
        </is>
      </c>
      <c r="F94" s="27" t="n"/>
      <c r="G94" s="27" t="n"/>
      <c r="H94" s="27" t="n"/>
      <c r="I94" s="27" t="n"/>
      <c r="J94" s="27" t="n"/>
      <c r="K94" s="27" t="n"/>
      <c r="L94" s="27" t="n"/>
      <c r="M94" s="27" t="n"/>
      <c r="N94" s="21">
        <f>IF(D94="","",IF(B94="","No date",IF(AND(C94="Paying back",R94=0),"To whom?",IF(AA94=0,"Nobody",IF(C94="Paying back","To "&amp;INDEX(Housemates!$B$8:$B$15,MATCH(MAX(S94:Z94),S94:Z94,0)),IF(R94&gt;0,IF(COUNTIF(S94:Z94,"&gt;0")=1,"1 person",COUNTIF(S94:Z94,"&gt;0")&amp;" people"),IF(Q94=0,"Everyone",INDEX(Bills!$Q$6:$Q$25,Q94))))))))</f>
        <v/>
      </c>
      <c r="O94" s="18">
        <f>IF(D94="","",IF(C94="Paying back","Paying back",IF(Q94=0,"Other",IF(INDEX(Bills!$C$6:$C$25,Q94)="","Other",INDEX(Bills!$C$6:$C$25,Q94)))))</f>
        <v/>
      </c>
      <c r="P94" s="1" t="n"/>
      <c r="Q94">
        <f>IF(C94="",0,IFERROR(MATCH(C94,Bills!$B$6:$B$25,0),0))</f>
        <v/>
      </c>
      <c r="R94">
        <f>COUNTA(F94:M94)</f>
        <v/>
      </c>
      <c r="S94">
        <f>IF(OR($D94="",$B94="",Housemates!$B$8=""),0,IF($R94&gt;0,IF(F94="",0,IF(ISNUMBER(F94),F94,1)),IF($C94="Paying back",0,IF(AND(OR(Housemates!$C$8="",Housemates!$C$8&lt;=$B94),OR(Housemates!$D$8="",Housemates!$D$8&gt;=$B94)),IF($Q94=0,1,INDEX(Bills!$AA$6:$AA$25,$Q94)),0))))</f>
        <v/>
      </c>
      <c r="T94">
        <f>IF(OR($D94="",$B94="",Housemates!$B$9=""),0,IF($R94&gt;0,IF(G94="",0,IF(ISNUMBER(G94),G94,1)),IF($C94="Paying back",0,IF(AND(OR(Housemates!$C$9="",Housemates!$C$9&lt;=$B94),OR(Housemates!$D$9="",Housemates!$D$9&gt;=$B94)),IF($Q94=0,1,INDEX(Bills!$AB$6:$AB$25,$Q94)),0))))</f>
        <v/>
      </c>
      <c r="U94">
        <f>IF(OR($D94="",$B94="",Housemates!$B$10=""),0,IF($R94&gt;0,IF(H94="",0,IF(ISNUMBER(H94),H94,1)),IF($C94="Paying back",0,IF(AND(OR(Housemates!$C$10="",Housemates!$C$10&lt;=$B94),OR(Housemates!$D$10="",Housemates!$D$10&gt;=$B94)),IF($Q94=0,1,INDEX(Bills!$AC$6:$AC$25,$Q94)),0))))</f>
        <v/>
      </c>
      <c r="V94">
        <f>IF(OR($D94="",$B94="",Housemates!$B$11=""),0,IF($R94&gt;0,IF(I94="",0,IF(ISNUMBER(I94),I94,1)),IF($C94="Paying back",0,IF(AND(OR(Housemates!$C$11="",Housemates!$C$11&lt;=$B94),OR(Housemates!$D$11="",Housemates!$D$11&gt;=$B94)),IF($Q94=0,1,INDEX(Bills!$AD$6:$AD$25,$Q94)),0))))</f>
        <v/>
      </c>
      <c r="W94">
        <f>IF(OR($D94="",$B94="",Housemates!$B$12=""),0,IF($R94&gt;0,IF(J94="",0,IF(ISNUMBER(J94),J94,1)),IF($C94="Paying back",0,IF(AND(OR(Housemates!$C$12="",Housemates!$C$12&lt;=$B94),OR(Housemates!$D$12="",Housemates!$D$12&gt;=$B94)),IF($Q94=0,1,INDEX(Bills!$AE$6:$AE$25,$Q94)),0))))</f>
        <v/>
      </c>
      <c r="X94">
        <f>IF(OR($D94="",$B94="",Housemates!$B$13=""),0,IF($R94&gt;0,IF(K94="",0,IF(ISNUMBER(K94),K94,1)),IF($C94="Paying back",0,IF(AND(OR(Housemates!$C$13="",Housemates!$C$13&lt;=$B94),OR(Housemates!$D$13="",Housemates!$D$13&gt;=$B94)),IF($Q94=0,1,INDEX(Bills!$AF$6:$AF$25,$Q94)),0))))</f>
        <v/>
      </c>
      <c r="Y94">
        <f>IF(OR($D94="",$B94="",Housemates!$B$14=""),0,IF($R94&gt;0,IF(L94="",0,IF(ISNUMBER(L94),L94,1)),IF($C94="Paying back",0,IF(AND(OR(Housemates!$C$14="",Housemates!$C$14&lt;=$B94),OR(Housemates!$D$14="",Housemates!$D$14&gt;=$B94)),IF($Q94=0,1,INDEX(Bills!$AG$6:$AG$25,$Q94)),0))))</f>
        <v/>
      </c>
      <c r="Z94">
        <f>IF(OR($D94="",$B94="",Housemates!$B$15=""),0,IF($R94&gt;0,IF(M94="",0,IF(ISNUMBER(M94),M94,1)),IF($C94="Paying back",0,IF(AND(OR(Housemates!$C$15="",Housemates!$C$15&lt;=$B94),OR(Housemates!$D$15="",Housemates!$D$15&gt;=$B94)),IF($Q94=0,1,INDEX(Bills!$AH$6:$AH$25,$Q94)),0))))</f>
        <v/>
      </c>
      <c r="AA94">
        <f>SUM(S94:Z94)</f>
        <v/>
      </c>
      <c r="AB94">
        <f>IF(AA94=0,0,D94*S94/AA94)</f>
        <v/>
      </c>
      <c r="AC94">
        <f>IF(AA94=0,0,D94*T94/AA94)</f>
        <v/>
      </c>
      <c r="AD94">
        <f>IF(AA94=0,0,D94*U94/AA94)</f>
        <v/>
      </c>
      <c r="AE94">
        <f>IF(AA94=0,0,D94*V94/AA94)</f>
        <v/>
      </c>
      <c r="AF94">
        <f>IF(AA94=0,0,D94*W94/AA94)</f>
        <v/>
      </c>
      <c r="AG94">
        <f>IF(AA94=0,0,D94*X94/AA94)</f>
        <v/>
      </c>
      <c r="AH94">
        <f>IF(AA94=0,0,D94*Y94/AA94)</f>
        <v/>
      </c>
      <c r="AI94">
        <f>IF(AA94=0,0,D94*Z94/AA94)</f>
        <v/>
      </c>
      <c r="AJ94">
        <f>IF(OR(C94="",B94=""),"",C94&amp;"|"&amp;(YEAR(B94)*100+MONTH(B94)))</f>
        <v/>
      </c>
    </row>
    <row r="95">
      <c r="A95" s="1" t="n"/>
      <c r="B95" s="23" t="n">
        <v>46291</v>
      </c>
      <c r="C95" s="24" t="inlineStr">
        <is>
          <t>Groceries</t>
        </is>
      </c>
      <c r="D95" s="25" t="n">
        <v>77.52</v>
      </c>
      <c r="E95" s="26" t="inlineStr">
        <is>
          <t>Leo</t>
        </is>
      </c>
      <c r="F95" s="27" t="n"/>
      <c r="G95" s="27" t="n"/>
      <c r="H95" s="27" t="n"/>
      <c r="I95" s="27" t="n"/>
      <c r="J95" s="27" t="n"/>
      <c r="K95" s="27" t="n"/>
      <c r="L95" s="27" t="n"/>
      <c r="M95" s="27" t="n"/>
      <c r="N95" s="21">
        <f>IF(D95="","",IF(B95="","No date",IF(AND(C95="Paying back",R95=0),"To whom?",IF(AA95=0,"Nobody",IF(C95="Paying back","To "&amp;INDEX(Housemates!$B$8:$B$15,MATCH(MAX(S95:Z95),S95:Z95,0)),IF(R95&gt;0,IF(COUNTIF(S95:Z95,"&gt;0")=1,"1 person",COUNTIF(S95:Z95,"&gt;0")&amp;" people"),IF(Q95=0,"Everyone",INDEX(Bills!$Q$6:$Q$25,Q95))))))))</f>
        <v/>
      </c>
      <c r="O95" s="18">
        <f>IF(D95="","",IF(C95="Paying back","Paying back",IF(Q95=0,"Other",IF(INDEX(Bills!$C$6:$C$25,Q95)="","Other",INDEX(Bills!$C$6:$C$25,Q95)))))</f>
        <v/>
      </c>
      <c r="P95" s="1" t="n"/>
      <c r="Q95">
        <f>IF(C95="",0,IFERROR(MATCH(C95,Bills!$B$6:$B$25,0),0))</f>
        <v/>
      </c>
      <c r="R95">
        <f>COUNTA(F95:M95)</f>
        <v/>
      </c>
      <c r="S95">
        <f>IF(OR($D95="",$B95="",Housemates!$B$8=""),0,IF($R95&gt;0,IF(F95="",0,IF(ISNUMBER(F95),F95,1)),IF($C95="Paying back",0,IF(AND(OR(Housemates!$C$8="",Housemates!$C$8&lt;=$B95),OR(Housemates!$D$8="",Housemates!$D$8&gt;=$B95)),IF($Q95=0,1,INDEX(Bills!$AA$6:$AA$25,$Q95)),0))))</f>
        <v/>
      </c>
      <c r="T95">
        <f>IF(OR($D95="",$B95="",Housemates!$B$9=""),0,IF($R95&gt;0,IF(G95="",0,IF(ISNUMBER(G95),G95,1)),IF($C95="Paying back",0,IF(AND(OR(Housemates!$C$9="",Housemates!$C$9&lt;=$B95),OR(Housemates!$D$9="",Housemates!$D$9&gt;=$B95)),IF($Q95=0,1,INDEX(Bills!$AB$6:$AB$25,$Q95)),0))))</f>
        <v/>
      </c>
      <c r="U95">
        <f>IF(OR($D95="",$B95="",Housemates!$B$10=""),0,IF($R95&gt;0,IF(H95="",0,IF(ISNUMBER(H95),H95,1)),IF($C95="Paying back",0,IF(AND(OR(Housemates!$C$10="",Housemates!$C$10&lt;=$B95),OR(Housemates!$D$10="",Housemates!$D$10&gt;=$B95)),IF($Q95=0,1,INDEX(Bills!$AC$6:$AC$25,$Q95)),0))))</f>
        <v/>
      </c>
      <c r="V95">
        <f>IF(OR($D95="",$B95="",Housemates!$B$11=""),0,IF($R95&gt;0,IF(I95="",0,IF(ISNUMBER(I95),I95,1)),IF($C95="Paying back",0,IF(AND(OR(Housemates!$C$11="",Housemates!$C$11&lt;=$B95),OR(Housemates!$D$11="",Housemates!$D$11&gt;=$B95)),IF($Q95=0,1,INDEX(Bills!$AD$6:$AD$25,$Q95)),0))))</f>
        <v/>
      </c>
      <c r="W95">
        <f>IF(OR($D95="",$B95="",Housemates!$B$12=""),0,IF($R95&gt;0,IF(J95="",0,IF(ISNUMBER(J95),J95,1)),IF($C95="Paying back",0,IF(AND(OR(Housemates!$C$12="",Housemates!$C$12&lt;=$B95),OR(Housemates!$D$12="",Housemates!$D$12&gt;=$B95)),IF($Q95=0,1,INDEX(Bills!$AE$6:$AE$25,$Q95)),0))))</f>
        <v/>
      </c>
      <c r="X95">
        <f>IF(OR($D95="",$B95="",Housemates!$B$13=""),0,IF($R95&gt;0,IF(K95="",0,IF(ISNUMBER(K95),K95,1)),IF($C95="Paying back",0,IF(AND(OR(Housemates!$C$13="",Housemates!$C$13&lt;=$B95),OR(Housemates!$D$13="",Housemates!$D$13&gt;=$B95)),IF($Q95=0,1,INDEX(Bills!$AF$6:$AF$25,$Q95)),0))))</f>
        <v/>
      </c>
      <c r="Y95">
        <f>IF(OR($D95="",$B95="",Housemates!$B$14=""),0,IF($R95&gt;0,IF(L95="",0,IF(ISNUMBER(L95),L95,1)),IF($C95="Paying back",0,IF(AND(OR(Housemates!$C$14="",Housemates!$C$14&lt;=$B95),OR(Housemates!$D$14="",Housemates!$D$14&gt;=$B95)),IF($Q95=0,1,INDEX(Bills!$AG$6:$AG$25,$Q95)),0))))</f>
        <v/>
      </c>
      <c r="Z95">
        <f>IF(OR($D95="",$B95="",Housemates!$B$15=""),0,IF($R95&gt;0,IF(M95="",0,IF(ISNUMBER(M95),M95,1)),IF($C95="Paying back",0,IF(AND(OR(Housemates!$C$15="",Housemates!$C$15&lt;=$B95),OR(Housemates!$D$15="",Housemates!$D$15&gt;=$B95)),IF($Q95=0,1,INDEX(Bills!$AH$6:$AH$25,$Q95)),0))))</f>
        <v/>
      </c>
      <c r="AA95">
        <f>SUM(S95:Z95)</f>
        <v/>
      </c>
      <c r="AB95">
        <f>IF(AA95=0,0,D95*S95/AA95)</f>
        <v/>
      </c>
      <c r="AC95">
        <f>IF(AA95=0,0,D95*T95/AA95)</f>
        <v/>
      </c>
      <c r="AD95">
        <f>IF(AA95=0,0,D95*U95/AA95)</f>
        <v/>
      </c>
      <c r="AE95">
        <f>IF(AA95=0,0,D95*V95/AA95)</f>
        <v/>
      </c>
      <c r="AF95">
        <f>IF(AA95=0,0,D95*W95/AA95)</f>
        <v/>
      </c>
      <c r="AG95">
        <f>IF(AA95=0,0,D95*X95/AA95)</f>
        <v/>
      </c>
      <c r="AH95">
        <f>IF(AA95=0,0,D95*Y95/AA95)</f>
        <v/>
      </c>
      <c r="AI95">
        <f>IF(AA95=0,0,D95*Z95/AA95)</f>
        <v/>
      </c>
      <c r="AJ95">
        <f>IF(OR(C95="",B95=""),"",C95&amp;"|"&amp;(YEAR(B95)*100+MONTH(B95)))</f>
        <v/>
      </c>
    </row>
    <row r="96">
      <c r="A96" s="1" t="n"/>
      <c r="B96" s="23" t="n"/>
      <c r="C96" s="24" t="n"/>
      <c r="D96" s="25" t="n"/>
      <c r="E96" s="26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1">
        <f>IF(D96="","",IF(B96="","No date",IF(AND(C96="Paying back",R96=0),"To whom?",IF(AA96=0,"Nobody",IF(C96="Paying back","To "&amp;INDEX(Housemates!$B$8:$B$15,MATCH(MAX(S96:Z96),S96:Z96,0)),IF(R96&gt;0,IF(COUNTIF(S96:Z96,"&gt;0")=1,"1 person",COUNTIF(S96:Z96,"&gt;0")&amp;" people"),IF(Q96=0,"Everyone",INDEX(Bills!$Q$6:$Q$25,Q96))))))))</f>
        <v/>
      </c>
      <c r="O96" s="18">
        <f>IF(D96="","",IF(C96="Paying back","Paying back",IF(Q96=0,"Other",IF(INDEX(Bills!$C$6:$C$25,Q96)="","Other",INDEX(Bills!$C$6:$C$25,Q96)))))</f>
        <v/>
      </c>
      <c r="P96" s="1" t="n"/>
      <c r="Q96">
        <f>IF(C96="",0,IFERROR(MATCH(C96,Bills!$B$6:$B$25,0),0))</f>
        <v/>
      </c>
      <c r="R96">
        <f>COUNTA(F96:M96)</f>
        <v/>
      </c>
      <c r="S96">
        <f>IF(OR($D96="",$B96="",Housemates!$B$8=""),0,IF($R96&gt;0,IF(F96="",0,IF(ISNUMBER(F96),F96,1)),IF($C96="Paying back",0,IF(AND(OR(Housemates!$C$8="",Housemates!$C$8&lt;=$B96),OR(Housemates!$D$8="",Housemates!$D$8&gt;=$B96)),IF($Q96=0,1,INDEX(Bills!$AA$6:$AA$25,$Q96)),0))))</f>
        <v/>
      </c>
      <c r="T96">
        <f>IF(OR($D96="",$B96="",Housemates!$B$9=""),0,IF($R96&gt;0,IF(G96="",0,IF(ISNUMBER(G96),G96,1)),IF($C96="Paying back",0,IF(AND(OR(Housemates!$C$9="",Housemates!$C$9&lt;=$B96),OR(Housemates!$D$9="",Housemates!$D$9&gt;=$B96)),IF($Q96=0,1,INDEX(Bills!$AB$6:$AB$25,$Q96)),0))))</f>
        <v/>
      </c>
      <c r="U96">
        <f>IF(OR($D96="",$B96="",Housemates!$B$10=""),0,IF($R96&gt;0,IF(H96="",0,IF(ISNUMBER(H96),H96,1)),IF($C96="Paying back",0,IF(AND(OR(Housemates!$C$10="",Housemates!$C$10&lt;=$B96),OR(Housemates!$D$10="",Housemates!$D$10&gt;=$B96)),IF($Q96=0,1,INDEX(Bills!$AC$6:$AC$25,$Q96)),0))))</f>
        <v/>
      </c>
      <c r="V96">
        <f>IF(OR($D96="",$B96="",Housemates!$B$11=""),0,IF($R96&gt;0,IF(I96="",0,IF(ISNUMBER(I96),I96,1)),IF($C96="Paying back",0,IF(AND(OR(Housemates!$C$11="",Housemates!$C$11&lt;=$B96),OR(Housemates!$D$11="",Housemates!$D$11&gt;=$B96)),IF($Q96=0,1,INDEX(Bills!$AD$6:$AD$25,$Q96)),0))))</f>
        <v/>
      </c>
      <c r="W96">
        <f>IF(OR($D96="",$B96="",Housemates!$B$12=""),0,IF($R96&gt;0,IF(J96="",0,IF(ISNUMBER(J96),J96,1)),IF($C96="Paying back",0,IF(AND(OR(Housemates!$C$12="",Housemates!$C$12&lt;=$B96),OR(Housemates!$D$12="",Housemates!$D$12&gt;=$B96)),IF($Q96=0,1,INDEX(Bills!$AE$6:$AE$25,$Q96)),0))))</f>
        <v/>
      </c>
      <c r="X96">
        <f>IF(OR($D96="",$B96="",Housemates!$B$13=""),0,IF($R96&gt;0,IF(K96="",0,IF(ISNUMBER(K96),K96,1)),IF($C96="Paying back",0,IF(AND(OR(Housemates!$C$13="",Housemates!$C$13&lt;=$B96),OR(Housemates!$D$13="",Housemates!$D$13&gt;=$B96)),IF($Q96=0,1,INDEX(Bills!$AF$6:$AF$25,$Q96)),0))))</f>
        <v/>
      </c>
      <c r="Y96">
        <f>IF(OR($D96="",$B96="",Housemates!$B$14=""),0,IF($R96&gt;0,IF(L96="",0,IF(ISNUMBER(L96),L96,1)),IF($C96="Paying back",0,IF(AND(OR(Housemates!$C$14="",Housemates!$C$14&lt;=$B96),OR(Housemates!$D$14="",Housemates!$D$14&gt;=$B96)),IF($Q96=0,1,INDEX(Bills!$AG$6:$AG$25,$Q96)),0))))</f>
        <v/>
      </c>
      <c r="Z96">
        <f>IF(OR($D96="",$B96="",Housemates!$B$15=""),0,IF($R96&gt;0,IF(M96="",0,IF(ISNUMBER(M96),M96,1)),IF($C96="Paying back",0,IF(AND(OR(Housemates!$C$15="",Housemates!$C$15&lt;=$B96),OR(Housemates!$D$15="",Housemates!$D$15&gt;=$B96)),IF($Q96=0,1,INDEX(Bills!$AH$6:$AH$25,$Q96)),0))))</f>
        <v/>
      </c>
      <c r="AA96">
        <f>SUM(S96:Z96)</f>
        <v/>
      </c>
      <c r="AB96">
        <f>IF(AA96=0,0,D96*S96/AA96)</f>
        <v/>
      </c>
      <c r="AC96">
        <f>IF(AA96=0,0,D96*T96/AA96)</f>
        <v/>
      </c>
      <c r="AD96">
        <f>IF(AA96=0,0,D96*U96/AA96)</f>
        <v/>
      </c>
      <c r="AE96">
        <f>IF(AA96=0,0,D96*V96/AA96)</f>
        <v/>
      </c>
      <c r="AF96">
        <f>IF(AA96=0,0,D96*W96/AA96)</f>
        <v/>
      </c>
      <c r="AG96">
        <f>IF(AA96=0,0,D96*X96/AA96)</f>
        <v/>
      </c>
      <c r="AH96">
        <f>IF(AA96=0,0,D96*Y96/AA96)</f>
        <v/>
      </c>
      <c r="AI96">
        <f>IF(AA96=0,0,D96*Z96/AA96)</f>
        <v/>
      </c>
      <c r="AJ96">
        <f>IF(OR(C96="",B96=""),"",C96&amp;"|"&amp;(YEAR(B96)*100+MONTH(B96)))</f>
        <v/>
      </c>
    </row>
    <row r="97">
      <c r="A97" s="1" t="n"/>
      <c r="B97" s="23" t="n"/>
      <c r="C97" s="24" t="n"/>
      <c r="D97" s="25" t="n"/>
      <c r="E97" s="26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1">
        <f>IF(D97="","",IF(B97="","No date",IF(AND(C97="Paying back",R97=0),"To whom?",IF(AA97=0,"Nobody",IF(C97="Paying back","To "&amp;INDEX(Housemates!$B$8:$B$15,MATCH(MAX(S97:Z97),S97:Z97,0)),IF(R97&gt;0,IF(COUNTIF(S97:Z97,"&gt;0")=1,"1 person",COUNTIF(S97:Z97,"&gt;0")&amp;" people"),IF(Q97=0,"Everyone",INDEX(Bills!$Q$6:$Q$25,Q97))))))))</f>
        <v/>
      </c>
      <c r="O97" s="18">
        <f>IF(D97="","",IF(C97="Paying back","Paying back",IF(Q97=0,"Other",IF(INDEX(Bills!$C$6:$C$25,Q97)="","Other",INDEX(Bills!$C$6:$C$25,Q97)))))</f>
        <v/>
      </c>
      <c r="P97" s="1" t="n"/>
      <c r="Q97">
        <f>IF(C97="",0,IFERROR(MATCH(C97,Bills!$B$6:$B$25,0),0))</f>
        <v/>
      </c>
      <c r="R97">
        <f>COUNTA(F97:M97)</f>
        <v/>
      </c>
      <c r="S97">
        <f>IF(OR($D97="",$B97="",Housemates!$B$8=""),0,IF($R97&gt;0,IF(F97="",0,IF(ISNUMBER(F97),F97,1)),IF($C97="Paying back",0,IF(AND(OR(Housemates!$C$8="",Housemates!$C$8&lt;=$B97),OR(Housemates!$D$8="",Housemates!$D$8&gt;=$B97)),IF($Q97=0,1,INDEX(Bills!$AA$6:$AA$25,$Q97)),0))))</f>
        <v/>
      </c>
      <c r="T97">
        <f>IF(OR($D97="",$B97="",Housemates!$B$9=""),0,IF($R97&gt;0,IF(G97="",0,IF(ISNUMBER(G97),G97,1)),IF($C97="Paying back",0,IF(AND(OR(Housemates!$C$9="",Housemates!$C$9&lt;=$B97),OR(Housemates!$D$9="",Housemates!$D$9&gt;=$B97)),IF($Q97=0,1,INDEX(Bills!$AB$6:$AB$25,$Q97)),0))))</f>
        <v/>
      </c>
      <c r="U97">
        <f>IF(OR($D97="",$B97="",Housemates!$B$10=""),0,IF($R97&gt;0,IF(H97="",0,IF(ISNUMBER(H97),H97,1)),IF($C97="Paying back",0,IF(AND(OR(Housemates!$C$10="",Housemates!$C$10&lt;=$B97),OR(Housemates!$D$10="",Housemates!$D$10&gt;=$B97)),IF($Q97=0,1,INDEX(Bills!$AC$6:$AC$25,$Q97)),0))))</f>
        <v/>
      </c>
      <c r="V97">
        <f>IF(OR($D97="",$B97="",Housemates!$B$11=""),0,IF($R97&gt;0,IF(I97="",0,IF(ISNUMBER(I97),I97,1)),IF($C97="Paying back",0,IF(AND(OR(Housemates!$C$11="",Housemates!$C$11&lt;=$B97),OR(Housemates!$D$11="",Housemates!$D$11&gt;=$B97)),IF($Q97=0,1,INDEX(Bills!$AD$6:$AD$25,$Q97)),0))))</f>
        <v/>
      </c>
      <c r="W97">
        <f>IF(OR($D97="",$B97="",Housemates!$B$12=""),0,IF($R97&gt;0,IF(J97="",0,IF(ISNUMBER(J97),J97,1)),IF($C97="Paying back",0,IF(AND(OR(Housemates!$C$12="",Housemates!$C$12&lt;=$B97),OR(Housemates!$D$12="",Housemates!$D$12&gt;=$B97)),IF($Q97=0,1,INDEX(Bills!$AE$6:$AE$25,$Q97)),0))))</f>
        <v/>
      </c>
      <c r="X97">
        <f>IF(OR($D97="",$B97="",Housemates!$B$13=""),0,IF($R97&gt;0,IF(K97="",0,IF(ISNUMBER(K97),K97,1)),IF($C97="Paying back",0,IF(AND(OR(Housemates!$C$13="",Housemates!$C$13&lt;=$B97),OR(Housemates!$D$13="",Housemates!$D$13&gt;=$B97)),IF($Q97=0,1,INDEX(Bills!$AF$6:$AF$25,$Q97)),0))))</f>
        <v/>
      </c>
      <c r="Y97">
        <f>IF(OR($D97="",$B97="",Housemates!$B$14=""),0,IF($R97&gt;0,IF(L97="",0,IF(ISNUMBER(L97),L97,1)),IF($C97="Paying back",0,IF(AND(OR(Housemates!$C$14="",Housemates!$C$14&lt;=$B97),OR(Housemates!$D$14="",Housemates!$D$14&gt;=$B97)),IF($Q97=0,1,INDEX(Bills!$AG$6:$AG$25,$Q97)),0))))</f>
        <v/>
      </c>
      <c r="Z97">
        <f>IF(OR($D97="",$B97="",Housemates!$B$15=""),0,IF($R97&gt;0,IF(M97="",0,IF(ISNUMBER(M97),M97,1)),IF($C97="Paying back",0,IF(AND(OR(Housemates!$C$15="",Housemates!$C$15&lt;=$B97),OR(Housemates!$D$15="",Housemates!$D$15&gt;=$B97)),IF($Q97=0,1,INDEX(Bills!$AH$6:$AH$25,$Q97)),0))))</f>
        <v/>
      </c>
      <c r="AA97">
        <f>SUM(S97:Z97)</f>
        <v/>
      </c>
      <c r="AB97">
        <f>IF(AA97=0,0,D97*S97/AA97)</f>
        <v/>
      </c>
      <c r="AC97">
        <f>IF(AA97=0,0,D97*T97/AA97)</f>
        <v/>
      </c>
      <c r="AD97">
        <f>IF(AA97=0,0,D97*U97/AA97)</f>
        <v/>
      </c>
      <c r="AE97">
        <f>IF(AA97=0,0,D97*V97/AA97)</f>
        <v/>
      </c>
      <c r="AF97">
        <f>IF(AA97=0,0,D97*W97/AA97)</f>
        <v/>
      </c>
      <c r="AG97">
        <f>IF(AA97=0,0,D97*X97/AA97)</f>
        <v/>
      </c>
      <c r="AH97">
        <f>IF(AA97=0,0,D97*Y97/AA97)</f>
        <v/>
      </c>
      <c r="AI97">
        <f>IF(AA97=0,0,D97*Z97/AA97)</f>
        <v/>
      </c>
      <c r="AJ97">
        <f>IF(OR(C97="",B97=""),"",C97&amp;"|"&amp;(YEAR(B97)*100+MONTH(B97)))</f>
        <v/>
      </c>
    </row>
    <row r="98">
      <c r="A98" s="1" t="n"/>
      <c r="B98" s="23" t="n"/>
      <c r="C98" s="24" t="n"/>
      <c r="D98" s="25" t="n"/>
      <c r="E98" s="26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1">
        <f>IF(D98="","",IF(B98="","No date",IF(AND(C98="Paying back",R98=0),"To whom?",IF(AA98=0,"Nobody",IF(C98="Paying back","To "&amp;INDEX(Housemates!$B$8:$B$15,MATCH(MAX(S98:Z98),S98:Z98,0)),IF(R98&gt;0,IF(COUNTIF(S98:Z98,"&gt;0")=1,"1 person",COUNTIF(S98:Z98,"&gt;0")&amp;" people"),IF(Q98=0,"Everyone",INDEX(Bills!$Q$6:$Q$25,Q98))))))))</f>
        <v/>
      </c>
      <c r="O98" s="18">
        <f>IF(D98="","",IF(C98="Paying back","Paying back",IF(Q98=0,"Other",IF(INDEX(Bills!$C$6:$C$25,Q98)="","Other",INDEX(Bills!$C$6:$C$25,Q98)))))</f>
        <v/>
      </c>
      <c r="P98" s="1" t="n"/>
      <c r="Q98">
        <f>IF(C98="",0,IFERROR(MATCH(C98,Bills!$B$6:$B$25,0),0))</f>
        <v/>
      </c>
      <c r="R98">
        <f>COUNTA(F98:M98)</f>
        <v/>
      </c>
      <c r="S98">
        <f>IF(OR($D98="",$B98="",Housemates!$B$8=""),0,IF($R98&gt;0,IF(F98="",0,IF(ISNUMBER(F98),F98,1)),IF($C98="Paying back",0,IF(AND(OR(Housemates!$C$8="",Housemates!$C$8&lt;=$B98),OR(Housemates!$D$8="",Housemates!$D$8&gt;=$B98)),IF($Q98=0,1,INDEX(Bills!$AA$6:$AA$25,$Q98)),0))))</f>
        <v/>
      </c>
      <c r="T98">
        <f>IF(OR($D98="",$B98="",Housemates!$B$9=""),0,IF($R98&gt;0,IF(G98="",0,IF(ISNUMBER(G98),G98,1)),IF($C98="Paying back",0,IF(AND(OR(Housemates!$C$9="",Housemates!$C$9&lt;=$B98),OR(Housemates!$D$9="",Housemates!$D$9&gt;=$B98)),IF($Q98=0,1,INDEX(Bills!$AB$6:$AB$25,$Q98)),0))))</f>
        <v/>
      </c>
      <c r="U98">
        <f>IF(OR($D98="",$B98="",Housemates!$B$10=""),0,IF($R98&gt;0,IF(H98="",0,IF(ISNUMBER(H98),H98,1)),IF($C98="Paying back",0,IF(AND(OR(Housemates!$C$10="",Housemates!$C$10&lt;=$B98),OR(Housemates!$D$10="",Housemates!$D$10&gt;=$B98)),IF($Q98=0,1,INDEX(Bills!$AC$6:$AC$25,$Q98)),0))))</f>
        <v/>
      </c>
      <c r="V98">
        <f>IF(OR($D98="",$B98="",Housemates!$B$11=""),0,IF($R98&gt;0,IF(I98="",0,IF(ISNUMBER(I98),I98,1)),IF($C98="Paying back",0,IF(AND(OR(Housemates!$C$11="",Housemates!$C$11&lt;=$B98),OR(Housemates!$D$11="",Housemates!$D$11&gt;=$B98)),IF($Q98=0,1,INDEX(Bills!$AD$6:$AD$25,$Q98)),0))))</f>
        <v/>
      </c>
      <c r="W98">
        <f>IF(OR($D98="",$B98="",Housemates!$B$12=""),0,IF($R98&gt;0,IF(J98="",0,IF(ISNUMBER(J98),J98,1)),IF($C98="Paying back",0,IF(AND(OR(Housemates!$C$12="",Housemates!$C$12&lt;=$B98),OR(Housemates!$D$12="",Housemates!$D$12&gt;=$B98)),IF($Q98=0,1,INDEX(Bills!$AE$6:$AE$25,$Q98)),0))))</f>
        <v/>
      </c>
      <c r="X98">
        <f>IF(OR($D98="",$B98="",Housemates!$B$13=""),0,IF($R98&gt;0,IF(K98="",0,IF(ISNUMBER(K98),K98,1)),IF($C98="Paying back",0,IF(AND(OR(Housemates!$C$13="",Housemates!$C$13&lt;=$B98),OR(Housemates!$D$13="",Housemates!$D$13&gt;=$B98)),IF($Q98=0,1,INDEX(Bills!$AF$6:$AF$25,$Q98)),0))))</f>
        <v/>
      </c>
      <c r="Y98">
        <f>IF(OR($D98="",$B98="",Housemates!$B$14=""),0,IF($R98&gt;0,IF(L98="",0,IF(ISNUMBER(L98),L98,1)),IF($C98="Paying back",0,IF(AND(OR(Housemates!$C$14="",Housemates!$C$14&lt;=$B98),OR(Housemates!$D$14="",Housemates!$D$14&gt;=$B98)),IF($Q98=0,1,INDEX(Bills!$AG$6:$AG$25,$Q98)),0))))</f>
        <v/>
      </c>
      <c r="Z98">
        <f>IF(OR($D98="",$B98="",Housemates!$B$15=""),0,IF($R98&gt;0,IF(M98="",0,IF(ISNUMBER(M98),M98,1)),IF($C98="Paying back",0,IF(AND(OR(Housemates!$C$15="",Housemates!$C$15&lt;=$B98),OR(Housemates!$D$15="",Housemates!$D$15&gt;=$B98)),IF($Q98=0,1,INDEX(Bills!$AH$6:$AH$25,$Q98)),0))))</f>
        <v/>
      </c>
      <c r="AA98">
        <f>SUM(S98:Z98)</f>
        <v/>
      </c>
      <c r="AB98">
        <f>IF(AA98=0,0,D98*S98/AA98)</f>
        <v/>
      </c>
      <c r="AC98">
        <f>IF(AA98=0,0,D98*T98/AA98)</f>
        <v/>
      </c>
      <c r="AD98">
        <f>IF(AA98=0,0,D98*U98/AA98)</f>
        <v/>
      </c>
      <c r="AE98">
        <f>IF(AA98=0,0,D98*V98/AA98)</f>
        <v/>
      </c>
      <c r="AF98">
        <f>IF(AA98=0,0,D98*W98/AA98)</f>
        <v/>
      </c>
      <c r="AG98">
        <f>IF(AA98=0,0,D98*X98/AA98)</f>
        <v/>
      </c>
      <c r="AH98">
        <f>IF(AA98=0,0,D98*Y98/AA98)</f>
        <v/>
      </c>
      <c r="AI98">
        <f>IF(AA98=0,0,D98*Z98/AA98)</f>
        <v/>
      </c>
      <c r="AJ98">
        <f>IF(OR(C98="",B98=""),"",C98&amp;"|"&amp;(YEAR(B98)*100+MONTH(B98)))</f>
        <v/>
      </c>
    </row>
    <row r="99">
      <c r="A99" s="1" t="n"/>
      <c r="B99" s="23" t="n"/>
      <c r="C99" s="24" t="n"/>
      <c r="D99" s="25" t="n"/>
      <c r="E99" s="26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1">
        <f>IF(D99="","",IF(B99="","No date",IF(AND(C99="Paying back",R99=0),"To whom?",IF(AA99=0,"Nobody",IF(C99="Paying back","To "&amp;INDEX(Housemates!$B$8:$B$15,MATCH(MAX(S99:Z99),S99:Z99,0)),IF(R99&gt;0,IF(COUNTIF(S99:Z99,"&gt;0")=1,"1 person",COUNTIF(S99:Z99,"&gt;0")&amp;" people"),IF(Q99=0,"Everyone",INDEX(Bills!$Q$6:$Q$25,Q99))))))))</f>
        <v/>
      </c>
      <c r="O99" s="18">
        <f>IF(D99="","",IF(C99="Paying back","Paying back",IF(Q99=0,"Other",IF(INDEX(Bills!$C$6:$C$25,Q99)="","Other",INDEX(Bills!$C$6:$C$25,Q99)))))</f>
        <v/>
      </c>
      <c r="P99" s="1" t="n"/>
      <c r="Q99">
        <f>IF(C99="",0,IFERROR(MATCH(C99,Bills!$B$6:$B$25,0),0))</f>
        <v/>
      </c>
      <c r="R99">
        <f>COUNTA(F99:M99)</f>
        <v/>
      </c>
      <c r="S99">
        <f>IF(OR($D99="",$B99="",Housemates!$B$8=""),0,IF($R99&gt;0,IF(F99="",0,IF(ISNUMBER(F99),F99,1)),IF($C99="Paying back",0,IF(AND(OR(Housemates!$C$8="",Housemates!$C$8&lt;=$B99),OR(Housemates!$D$8="",Housemates!$D$8&gt;=$B99)),IF($Q99=0,1,INDEX(Bills!$AA$6:$AA$25,$Q99)),0))))</f>
        <v/>
      </c>
      <c r="T99">
        <f>IF(OR($D99="",$B99="",Housemates!$B$9=""),0,IF($R99&gt;0,IF(G99="",0,IF(ISNUMBER(G99),G99,1)),IF($C99="Paying back",0,IF(AND(OR(Housemates!$C$9="",Housemates!$C$9&lt;=$B99),OR(Housemates!$D$9="",Housemates!$D$9&gt;=$B99)),IF($Q99=0,1,INDEX(Bills!$AB$6:$AB$25,$Q99)),0))))</f>
        <v/>
      </c>
      <c r="U99">
        <f>IF(OR($D99="",$B99="",Housemates!$B$10=""),0,IF($R99&gt;0,IF(H99="",0,IF(ISNUMBER(H99),H99,1)),IF($C99="Paying back",0,IF(AND(OR(Housemates!$C$10="",Housemates!$C$10&lt;=$B99),OR(Housemates!$D$10="",Housemates!$D$10&gt;=$B99)),IF($Q99=0,1,INDEX(Bills!$AC$6:$AC$25,$Q99)),0))))</f>
        <v/>
      </c>
      <c r="V99">
        <f>IF(OR($D99="",$B99="",Housemates!$B$11=""),0,IF($R99&gt;0,IF(I99="",0,IF(ISNUMBER(I99),I99,1)),IF($C99="Paying back",0,IF(AND(OR(Housemates!$C$11="",Housemates!$C$11&lt;=$B99),OR(Housemates!$D$11="",Housemates!$D$11&gt;=$B99)),IF($Q99=0,1,INDEX(Bills!$AD$6:$AD$25,$Q99)),0))))</f>
        <v/>
      </c>
      <c r="W99">
        <f>IF(OR($D99="",$B99="",Housemates!$B$12=""),0,IF($R99&gt;0,IF(J99="",0,IF(ISNUMBER(J99),J99,1)),IF($C99="Paying back",0,IF(AND(OR(Housemates!$C$12="",Housemates!$C$12&lt;=$B99),OR(Housemates!$D$12="",Housemates!$D$12&gt;=$B99)),IF($Q99=0,1,INDEX(Bills!$AE$6:$AE$25,$Q99)),0))))</f>
        <v/>
      </c>
      <c r="X99">
        <f>IF(OR($D99="",$B99="",Housemates!$B$13=""),0,IF($R99&gt;0,IF(K99="",0,IF(ISNUMBER(K99),K99,1)),IF($C99="Paying back",0,IF(AND(OR(Housemates!$C$13="",Housemates!$C$13&lt;=$B99),OR(Housemates!$D$13="",Housemates!$D$13&gt;=$B99)),IF($Q99=0,1,INDEX(Bills!$AF$6:$AF$25,$Q99)),0))))</f>
        <v/>
      </c>
      <c r="Y99">
        <f>IF(OR($D99="",$B99="",Housemates!$B$14=""),0,IF($R99&gt;0,IF(L99="",0,IF(ISNUMBER(L99),L99,1)),IF($C99="Paying back",0,IF(AND(OR(Housemates!$C$14="",Housemates!$C$14&lt;=$B99),OR(Housemates!$D$14="",Housemates!$D$14&gt;=$B99)),IF($Q99=0,1,INDEX(Bills!$AG$6:$AG$25,$Q99)),0))))</f>
        <v/>
      </c>
      <c r="Z99">
        <f>IF(OR($D99="",$B99="",Housemates!$B$15=""),0,IF($R99&gt;0,IF(M99="",0,IF(ISNUMBER(M99),M99,1)),IF($C99="Paying back",0,IF(AND(OR(Housemates!$C$15="",Housemates!$C$15&lt;=$B99),OR(Housemates!$D$15="",Housemates!$D$15&gt;=$B99)),IF($Q99=0,1,INDEX(Bills!$AH$6:$AH$25,$Q99)),0))))</f>
        <v/>
      </c>
      <c r="AA99">
        <f>SUM(S99:Z99)</f>
        <v/>
      </c>
      <c r="AB99">
        <f>IF(AA99=0,0,D99*S99/AA99)</f>
        <v/>
      </c>
      <c r="AC99">
        <f>IF(AA99=0,0,D99*T99/AA99)</f>
        <v/>
      </c>
      <c r="AD99">
        <f>IF(AA99=0,0,D99*U99/AA99)</f>
        <v/>
      </c>
      <c r="AE99">
        <f>IF(AA99=0,0,D99*V99/AA99)</f>
        <v/>
      </c>
      <c r="AF99">
        <f>IF(AA99=0,0,D99*W99/AA99)</f>
        <v/>
      </c>
      <c r="AG99">
        <f>IF(AA99=0,0,D99*X99/AA99)</f>
        <v/>
      </c>
      <c r="AH99">
        <f>IF(AA99=0,0,D99*Y99/AA99)</f>
        <v/>
      </c>
      <c r="AI99">
        <f>IF(AA99=0,0,D99*Z99/AA99)</f>
        <v/>
      </c>
      <c r="AJ99">
        <f>IF(OR(C99="",B99=""),"",C99&amp;"|"&amp;(YEAR(B99)*100+MONTH(B99)))</f>
        <v/>
      </c>
    </row>
    <row r="100">
      <c r="A100" s="1" t="n"/>
      <c r="B100" s="23" t="n"/>
      <c r="C100" s="24" t="n"/>
      <c r="D100" s="25" t="n"/>
      <c r="E100" s="26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1">
        <f>IF(D100="","",IF(B100="","No date",IF(AND(C100="Paying back",R100=0),"To whom?",IF(AA100=0,"Nobody",IF(C100="Paying back","To "&amp;INDEX(Housemates!$B$8:$B$15,MATCH(MAX(S100:Z100),S100:Z100,0)),IF(R100&gt;0,IF(COUNTIF(S100:Z100,"&gt;0")=1,"1 person",COUNTIF(S100:Z100,"&gt;0")&amp;" people"),IF(Q100=0,"Everyone",INDEX(Bills!$Q$6:$Q$25,Q100))))))))</f>
        <v/>
      </c>
      <c r="O100" s="18">
        <f>IF(D100="","",IF(C100="Paying back","Paying back",IF(Q100=0,"Other",IF(INDEX(Bills!$C$6:$C$25,Q100)="","Other",INDEX(Bills!$C$6:$C$25,Q100)))))</f>
        <v/>
      </c>
      <c r="P100" s="1" t="n"/>
      <c r="Q100">
        <f>IF(C100="",0,IFERROR(MATCH(C100,Bills!$B$6:$B$25,0),0))</f>
        <v/>
      </c>
      <c r="R100">
        <f>COUNTA(F100:M100)</f>
        <v/>
      </c>
      <c r="S100">
        <f>IF(OR($D100="",$B100="",Housemates!$B$8=""),0,IF($R100&gt;0,IF(F100="",0,IF(ISNUMBER(F100),F100,1)),IF($C100="Paying back",0,IF(AND(OR(Housemates!$C$8="",Housemates!$C$8&lt;=$B100),OR(Housemates!$D$8="",Housemates!$D$8&gt;=$B100)),IF($Q100=0,1,INDEX(Bills!$AA$6:$AA$25,$Q100)),0))))</f>
        <v/>
      </c>
      <c r="T100">
        <f>IF(OR($D100="",$B100="",Housemates!$B$9=""),0,IF($R100&gt;0,IF(G100="",0,IF(ISNUMBER(G100),G100,1)),IF($C100="Paying back",0,IF(AND(OR(Housemates!$C$9="",Housemates!$C$9&lt;=$B100),OR(Housemates!$D$9="",Housemates!$D$9&gt;=$B100)),IF($Q100=0,1,INDEX(Bills!$AB$6:$AB$25,$Q100)),0))))</f>
        <v/>
      </c>
      <c r="U100">
        <f>IF(OR($D100="",$B100="",Housemates!$B$10=""),0,IF($R100&gt;0,IF(H100="",0,IF(ISNUMBER(H100),H100,1)),IF($C100="Paying back",0,IF(AND(OR(Housemates!$C$10="",Housemates!$C$10&lt;=$B100),OR(Housemates!$D$10="",Housemates!$D$10&gt;=$B100)),IF($Q100=0,1,INDEX(Bills!$AC$6:$AC$25,$Q100)),0))))</f>
        <v/>
      </c>
      <c r="V100">
        <f>IF(OR($D100="",$B100="",Housemates!$B$11=""),0,IF($R100&gt;0,IF(I100="",0,IF(ISNUMBER(I100),I100,1)),IF($C100="Paying back",0,IF(AND(OR(Housemates!$C$11="",Housemates!$C$11&lt;=$B100),OR(Housemates!$D$11="",Housemates!$D$11&gt;=$B100)),IF($Q100=0,1,INDEX(Bills!$AD$6:$AD$25,$Q100)),0))))</f>
        <v/>
      </c>
      <c r="W100">
        <f>IF(OR($D100="",$B100="",Housemates!$B$12=""),0,IF($R100&gt;0,IF(J100="",0,IF(ISNUMBER(J100),J100,1)),IF($C100="Paying back",0,IF(AND(OR(Housemates!$C$12="",Housemates!$C$12&lt;=$B100),OR(Housemates!$D$12="",Housemates!$D$12&gt;=$B100)),IF($Q100=0,1,INDEX(Bills!$AE$6:$AE$25,$Q100)),0))))</f>
        <v/>
      </c>
      <c r="X100">
        <f>IF(OR($D100="",$B100="",Housemates!$B$13=""),0,IF($R100&gt;0,IF(K100="",0,IF(ISNUMBER(K100),K100,1)),IF($C100="Paying back",0,IF(AND(OR(Housemates!$C$13="",Housemates!$C$13&lt;=$B100),OR(Housemates!$D$13="",Housemates!$D$13&gt;=$B100)),IF($Q100=0,1,INDEX(Bills!$AF$6:$AF$25,$Q100)),0))))</f>
        <v/>
      </c>
      <c r="Y100">
        <f>IF(OR($D100="",$B100="",Housemates!$B$14=""),0,IF($R100&gt;0,IF(L100="",0,IF(ISNUMBER(L100),L100,1)),IF($C100="Paying back",0,IF(AND(OR(Housemates!$C$14="",Housemates!$C$14&lt;=$B100),OR(Housemates!$D$14="",Housemates!$D$14&gt;=$B100)),IF($Q100=0,1,INDEX(Bills!$AG$6:$AG$25,$Q100)),0))))</f>
        <v/>
      </c>
      <c r="Z100">
        <f>IF(OR($D100="",$B100="",Housemates!$B$15=""),0,IF($R100&gt;0,IF(M100="",0,IF(ISNUMBER(M100),M100,1)),IF($C100="Paying back",0,IF(AND(OR(Housemates!$C$15="",Housemates!$C$15&lt;=$B100),OR(Housemates!$D$15="",Housemates!$D$15&gt;=$B100)),IF($Q100=0,1,INDEX(Bills!$AH$6:$AH$25,$Q100)),0))))</f>
        <v/>
      </c>
      <c r="AA100">
        <f>SUM(S100:Z100)</f>
        <v/>
      </c>
      <c r="AB100">
        <f>IF(AA100=0,0,D100*S100/AA100)</f>
        <v/>
      </c>
      <c r="AC100">
        <f>IF(AA100=0,0,D100*T100/AA100)</f>
        <v/>
      </c>
      <c r="AD100">
        <f>IF(AA100=0,0,D100*U100/AA100)</f>
        <v/>
      </c>
      <c r="AE100">
        <f>IF(AA100=0,0,D100*V100/AA100)</f>
        <v/>
      </c>
      <c r="AF100">
        <f>IF(AA100=0,0,D100*W100/AA100)</f>
        <v/>
      </c>
      <c r="AG100">
        <f>IF(AA100=0,0,D100*X100/AA100)</f>
        <v/>
      </c>
      <c r="AH100">
        <f>IF(AA100=0,0,D100*Y100/AA100)</f>
        <v/>
      </c>
      <c r="AI100">
        <f>IF(AA100=0,0,D100*Z100/AA100)</f>
        <v/>
      </c>
      <c r="AJ100">
        <f>IF(OR(C100="",B100=""),"",C100&amp;"|"&amp;(YEAR(B100)*100+MONTH(B100)))</f>
        <v/>
      </c>
    </row>
    <row r="101">
      <c r="A101" s="1" t="n"/>
      <c r="B101" s="23" t="n"/>
      <c r="C101" s="24" t="n"/>
      <c r="D101" s="25" t="n"/>
      <c r="E101" s="26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1">
        <f>IF(D101="","",IF(B101="","No date",IF(AND(C101="Paying back",R101=0),"To whom?",IF(AA101=0,"Nobody",IF(C101="Paying back","To "&amp;INDEX(Housemates!$B$8:$B$15,MATCH(MAX(S101:Z101),S101:Z101,0)),IF(R101&gt;0,IF(COUNTIF(S101:Z101,"&gt;0")=1,"1 person",COUNTIF(S101:Z101,"&gt;0")&amp;" people"),IF(Q101=0,"Everyone",INDEX(Bills!$Q$6:$Q$25,Q101))))))))</f>
        <v/>
      </c>
      <c r="O101" s="18">
        <f>IF(D101="","",IF(C101="Paying back","Paying back",IF(Q101=0,"Other",IF(INDEX(Bills!$C$6:$C$25,Q101)="","Other",INDEX(Bills!$C$6:$C$25,Q101)))))</f>
        <v/>
      </c>
      <c r="P101" s="1" t="n"/>
      <c r="Q101">
        <f>IF(C101="",0,IFERROR(MATCH(C101,Bills!$B$6:$B$25,0),0))</f>
        <v/>
      </c>
      <c r="R101">
        <f>COUNTA(F101:M101)</f>
        <v/>
      </c>
      <c r="S101">
        <f>IF(OR($D101="",$B101="",Housemates!$B$8=""),0,IF($R101&gt;0,IF(F101="",0,IF(ISNUMBER(F101),F101,1)),IF($C101="Paying back",0,IF(AND(OR(Housemates!$C$8="",Housemates!$C$8&lt;=$B101),OR(Housemates!$D$8="",Housemates!$D$8&gt;=$B101)),IF($Q101=0,1,INDEX(Bills!$AA$6:$AA$25,$Q101)),0))))</f>
        <v/>
      </c>
      <c r="T101">
        <f>IF(OR($D101="",$B101="",Housemates!$B$9=""),0,IF($R101&gt;0,IF(G101="",0,IF(ISNUMBER(G101),G101,1)),IF($C101="Paying back",0,IF(AND(OR(Housemates!$C$9="",Housemates!$C$9&lt;=$B101),OR(Housemates!$D$9="",Housemates!$D$9&gt;=$B101)),IF($Q101=0,1,INDEX(Bills!$AB$6:$AB$25,$Q101)),0))))</f>
        <v/>
      </c>
      <c r="U101">
        <f>IF(OR($D101="",$B101="",Housemates!$B$10=""),0,IF($R101&gt;0,IF(H101="",0,IF(ISNUMBER(H101),H101,1)),IF($C101="Paying back",0,IF(AND(OR(Housemates!$C$10="",Housemates!$C$10&lt;=$B101),OR(Housemates!$D$10="",Housemates!$D$10&gt;=$B101)),IF($Q101=0,1,INDEX(Bills!$AC$6:$AC$25,$Q101)),0))))</f>
        <v/>
      </c>
      <c r="V101">
        <f>IF(OR($D101="",$B101="",Housemates!$B$11=""),0,IF($R101&gt;0,IF(I101="",0,IF(ISNUMBER(I101),I101,1)),IF($C101="Paying back",0,IF(AND(OR(Housemates!$C$11="",Housemates!$C$11&lt;=$B101),OR(Housemates!$D$11="",Housemates!$D$11&gt;=$B101)),IF($Q101=0,1,INDEX(Bills!$AD$6:$AD$25,$Q101)),0))))</f>
        <v/>
      </c>
      <c r="W101">
        <f>IF(OR($D101="",$B101="",Housemates!$B$12=""),0,IF($R101&gt;0,IF(J101="",0,IF(ISNUMBER(J101),J101,1)),IF($C101="Paying back",0,IF(AND(OR(Housemates!$C$12="",Housemates!$C$12&lt;=$B101),OR(Housemates!$D$12="",Housemates!$D$12&gt;=$B101)),IF($Q101=0,1,INDEX(Bills!$AE$6:$AE$25,$Q101)),0))))</f>
        <v/>
      </c>
      <c r="X101">
        <f>IF(OR($D101="",$B101="",Housemates!$B$13=""),0,IF($R101&gt;0,IF(K101="",0,IF(ISNUMBER(K101),K101,1)),IF($C101="Paying back",0,IF(AND(OR(Housemates!$C$13="",Housemates!$C$13&lt;=$B101),OR(Housemates!$D$13="",Housemates!$D$13&gt;=$B101)),IF($Q101=0,1,INDEX(Bills!$AF$6:$AF$25,$Q101)),0))))</f>
        <v/>
      </c>
      <c r="Y101">
        <f>IF(OR($D101="",$B101="",Housemates!$B$14=""),0,IF($R101&gt;0,IF(L101="",0,IF(ISNUMBER(L101),L101,1)),IF($C101="Paying back",0,IF(AND(OR(Housemates!$C$14="",Housemates!$C$14&lt;=$B101),OR(Housemates!$D$14="",Housemates!$D$14&gt;=$B101)),IF($Q101=0,1,INDEX(Bills!$AG$6:$AG$25,$Q101)),0))))</f>
        <v/>
      </c>
      <c r="Z101">
        <f>IF(OR($D101="",$B101="",Housemates!$B$15=""),0,IF($R101&gt;0,IF(M101="",0,IF(ISNUMBER(M101),M101,1)),IF($C101="Paying back",0,IF(AND(OR(Housemates!$C$15="",Housemates!$C$15&lt;=$B101),OR(Housemates!$D$15="",Housemates!$D$15&gt;=$B101)),IF($Q101=0,1,INDEX(Bills!$AH$6:$AH$25,$Q101)),0))))</f>
        <v/>
      </c>
      <c r="AA101">
        <f>SUM(S101:Z101)</f>
        <v/>
      </c>
      <c r="AB101">
        <f>IF(AA101=0,0,D101*S101/AA101)</f>
        <v/>
      </c>
      <c r="AC101">
        <f>IF(AA101=0,0,D101*T101/AA101)</f>
        <v/>
      </c>
      <c r="AD101">
        <f>IF(AA101=0,0,D101*U101/AA101)</f>
        <v/>
      </c>
      <c r="AE101">
        <f>IF(AA101=0,0,D101*V101/AA101)</f>
        <v/>
      </c>
      <c r="AF101">
        <f>IF(AA101=0,0,D101*W101/AA101)</f>
        <v/>
      </c>
      <c r="AG101">
        <f>IF(AA101=0,0,D101*X101/AA101)</f>
        <v/>
      </c>
      <c r="AH101">
        <f>IF(AA101=0,0,D101*Y101/AA101)</f>
        <v/>
      </c>
      <c r="AI101">
        <f>IF(AA101=0,0,D101*Z101/AA101)</f>
        <v/>
      </c>
      <c r="AJ101">
        <f>IF(OR(C101="",B101=""),"",C101&amp;"|"&amp;(YEAR(B101)*100+MONTH(B101)))</f>
        <v/>
      </c>
    </row>
    <row r="102">
      <c r="A102" s="1" t="n"/>
      <c r="B102" s="23" t="n"/>
      <c r="C102" s="24" t="n"/>
      <c r="D102" s="25" t="n"/>
      <c r="E102" s="26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1">
        <f>IF(D102="","",IF(B102="","No date",IF(AND(C102="Paying back",R102=0),"To whom?",IF(AA102=0,"Nobody",IF(C102="Paying back","To "&amp;INDEX(Housemates!$B$8:$B$15,MATCH(MAX(S102:Z102),S102:Z102,0)),IF(R102&gt;0,IF(COUNTIF(S102:Z102,"&gt;0")=1,"1 person",COUNTIF(S102:Z102,"&gt;0")&amp;" people"),IF(Q102=0,"Everyone",INDEX(Bills!$Q$6:$Q$25,Q102))))))))</f>
        <v/>
      </c>
      <c r="O102" s="18">
        <f>IF(D102="","",IF(C102="Paying back","Paying back",IF(Q102=0,"Other",IF(INDEX(Bills!$C$6:$C$25,Q102)="","Other",INDEX(Bills!$C$6:$C$25,Q102)))))</f>
        <v/>
      </c>
      <c r="P102" s="1" t="n"/>
      <c r="Q102">
        <f>IF(C102="",0,IFERROR(MATCH(C102,Bills!$B$6:$B$25,0),0))</f>
        <v/>
      </c>
      <c r="R102">
        <f>COUNTA(F102:M102)</f>
        <v/>
      </c>
      <c r="S102">
        <f>IF(OR($D102="",$B102="",Housemates!$B$8=""),0,IF($R102&gt;0,IF(F102="",0,IF(ISNUMBER(F102),F102,1)),IF($C102="Paying back",0,IF(AND(OR(Housemates!$C$8="",Housemates!$C$8&lt;=$B102),OR(Housemates!$D$8="",Housemates!$D$8&gt;=$B102)),IF($Q102=0,1,INDEX(Bills!$AA$6:$AA$25,$Q102)),0))))</f>
        <v/>
      </c>
      <c r="T102">
        <f>IF(OR($D102="",$B102="",Housemates!$B$9=""),0,IF($R102&gt;0,IF(G102="",0,IF(ISNUMBER(G102),G102,1)),IF($C102="Paying back",0,IF(AND(OR(Housemates!$C$9="",Housemates!$C$9&lt;=$B102),OR(Housemates!$D$9="",Housemates!$D$9&gt;=$B102)),IF($Q102=0,1,INDEX(Bills!$AB$6:$AB$25,$Q102)),0))))</f>
        <v/>
      </c>
      <c r="U102">
        <f>IF(OR($D102="",$B102="",Housemates!$B$10=""),0,IF($R102&gt;0,IF(H102="",0,IF(ISNUMBER(H102),H102,1)),IF($C102="Paying back",0,IF(AND(OR(Housemates!$C$10="",Housemates!$C$10&lt;=$B102),OR(Housemates!$D$10="",Housemates!$D$10&gt;=$B102)),IF($Q102=0,1,INDEX(Bills!$AC$6:$AC$25,$Q102)),0))))</f>
        <v/>
      </c>
      <c r="V102">
        <f>IF(OR($D102="",$B102="",Housemates!$B$11=""),0,IF($R102&gt;0,IF(I102="",0,IF(ISNUMBER(I102),I102,1)),IF($C102="Paying back",0,IF(AND(OR(Housemates!$C$11="",Housemates!$C$11&lt;=$B102),OR(Housemates!$D$11="",Housemates!$D$11&gt;=$B102)),IF($Q102=0,1,INDEX(Bills!$AD$6:$AD$25,$Q102)),0))))</f>
        <v/>
      </c>
      <c r="W102">
        <f>IF(OR($D102="",$B102="",Housemates!$B$12=""),0,IF($R102&gt;0,IF(J102="",0,IF(ISNUMBER(J102),J102,1)),IF($C102="Paying back",0,IF(AND(OR(Housemates!$C$12="",Housemates!$C$12&lt;=$B102),OR(Housemates!$D$12="",Housemates!$D$12&gt;=$B102)),IF($Q102=0,1,INDEX(Bills!$AE$6:$AE$25,$Q102)),0))))</f>
        <v/>
      </c>
      <c r="X102">
        <f>IF(OR($D102="",$B102="",Housemates!$B$13=""),0,IF($R102&gt;0,IF(K102="",0,IF(ISNUMBER(K102),K102,1)),IF($C102="Paying back",0,IF(AND(OR(Housemates!$C$13="",Housemates!$C$13&lt;=$B102),OR(Housemates!$D$13="",Housemates!$D$13&gt;=$B102)),IF($Q102=0,1,INDEX(Bills!$AF$6:$AF$25,$Q102)),0))))</f>
        <v/>
      </c>
      <c r="Y102">
        <f>IF(OR($D102="",$B102="",Housemates!$B$14=""),0,IF($R102&gt;0,IF(L102="",0,IF(ISNUMBER(L102),L102,1)),IF($C102="Paying back",0,IF(AND(OR(Housemates!$C$14="",Housemates!$C$14&lt;=$B102),OR(Housemates!$D$14="",Housemates!$D$14&gt;=$B102)),IF($Q102=0,1,INDEX(Bills!$AG$6:$AG$25,$Q102)),0))))</f>
        <v/>
      </c>
      <c r="Z102">
        <f>IF(OR($D102="",$B102="",Housemates!$B$15=""),0,IF($R102&gt;0,IF(M102="",0,IF(ISNUMBER(M102),M102,1)),IF($C102="Paying back",0,IF(AND(OR(Housemates!$C$15="",Housemates!$C$15&lt;=$B102),OR(Housemates!$D$15="",Housemates!$D$15&gt;=$B102)),IF($Q102=0,1,INDEX(Bills!$AH$6:$AH$25,$Q102)),0))))</f>
        <v/>
      </c>
      <c r="AA102">
        <f>SUM(S102:Z102)</f>
        <v/>
      </c>
      <c r="AB102">
        <f>IF(AA102=0,0,D102*S102/AA102)</f>
        <v/>
      </c>
      <c r="AC102">
        <f>IF(AA102=0,0,D102*T102/AA102)</f>
        <v/>
      </c>
      <c r="AD102">
        <f>IF(AA102=0,0,D102*U102/AA102)</f>
        <v/>
      </c>
      <c r="AE102">
        <f>IF(AA102=0,0,D102*V102/AA102)</f>
        <v/>
      </c>
      <c r="AF102">
        <f>IF(AA102=0,0,D102*W102/AA102)</f>
        <v/>
      </c>
      <c r="AG102">
        <f>IF(AA102=0,0,D102*X102/AA102)</f>
        <v/>
      </c>
      <c r="AH102">
        <f>IF(AA102=0,0,D102*Y102/AA102)</f>
        <v/>
      </c>
      <c r="AI102">
        <f>IF(AA102=0,0,D102*Z102/AA102)</f>
        <v/>
      </c>
      <c r="AJ102">
        <f>IF(OR(C102="",B102=""),"",C102&amp;"|"&amp;(YEAR(B102)*100+MONTH(B102)))</f>
        <v/>
      </c>
    </row>
    <row r="103">
      <c r="A103" s="1" t="n"/>
      <c r="B103" s="23" t="n"/>
      <c r="C103" s="24" t="n"/>
      <c r="D103" s="25" t="n"/>
      <c r="E103" s="26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1">
        <f>IF(D103="","",IF(B103="","No date",IF(AND(C103="Paying back",R103=0),"To whom?",IF(AA103=0,"Nobody",IF(C103="Paying back","To "&amp;INDEX(Housemates!$B$8:$B$15,MATCH(MAX(S103:Z103),S103:Z103,0)),IF(R103&gt;0,IF(COUNTIF(S103:Z103,"&gt;0")=1,"1 person",COUNTIF(S103:Z103,"&gt;0")&amp;" people"),IF(Q103=0,"Everyone",INDEX(Bills!$Q$6:$Q$25,Q103))))))))</f>
        <v/>
      </c>
      <c r="O103" s="18">
        <f>IF(D103="","",IF(C103="Paying back","Paying back",IF(Q103=0,"Other",IF(INDEX(Bills!$C$6:$C$25,Q103)="","Other",INDEX(Bills!$C$6:$C$25,Q103)))))</f>
        <v/>
      </c>
      <c r="P103" s="1" t="n"/>
      <c r="Q103">
        <f>IF(C103="",0,IFERROR(MATCH(C103,Bills!$B$6:$B$25,0),0))</f>
        <v/>
      </c>
      <c r="R103">
        <f>COUNTA(F103:M103)</f>
        <v/>
      </c>
      <c r="S103">
        <f>IF(OR($D103="",$B103="",Housemates!$B$8=""),0,IF($R103&gt;0,IF(F103="",0,IF(ISNUMBER(F103),F103,1)),IF($C103="Paying back",0,IF(AND(OR(Housemates!$C$8="",Housemates!$C$8&lt;=$B103),OR(Housemates!$D$8="",Housemates!$D$8&gt;=$B103)),IF($Q103=0,1,INDEX(Bills!$AA$6:$AA$25,$Q103)),0))))</f>
        <v/>
      </c>
      <c r="T103">
        <f>IF(OR($D103="",$B103="",Housemates!$B$9=""),0,IF($R103&gt;0,IF(G103="",0,IF(ISNUMBER(G103),G103,1)),IF($C103="Paying back",0,IF(AND(OR(Housemates!$C$9="",Housemates!$C$9&lt;=$B103),OR(Housemates!$D$9="",Housemates!$D$9&gt;=$B103)),IF($Q103=0,1,INDEX(Bills!$AB$6:$AB$25,$Q103)),0))))</f>
        <v/>
      </c>
      <c r="U103">
        <f>IF(OR($D103="",$B103="",Housemates!$B$10=""),0,IF($R103&gt;0,IF(H103="",0,IF(ISNUMBER(H103),H103,1)),IF($C103="Paying back",0,IF(AND(OR(Housemates!$C$10="",Housemates!$C$10&lt;=$B103),OR(Housemates!$D$10="",Housemates!$D$10&gt;=$B103)),IF($Q103=0,1,INDEX(Bills!$AC$6:$AC$25,$Q103)),0))))</f>
        <v/>
      </c>
      <c r="V103">
        <f>IF(OR($D103="",$B103="",Housemates!$B$11=""),0,IF($R103&gt;0,IF(I103="",0,IF(ISNUMBER(I103),I103,1)),IF($C103="Paying back",0,IF(AND(OR(Housemates!$C$11="",Housemates!$C$11&lt;=$B103),OR(Housemates!$D$11="",Housemates!$D$11&gt;=$B103)),IF($Q103=0,1,INDEX(Bills!$AD$6:$AD$25,$Q103)),0))))</f>
        <v/>
      </c>
      <c r="W103">
        <f>IF(OR($D103="",$B103="",Housemates!$B$12=""),0,IF($R103&gt;0,IF(J103="",0,IF(ISNUMBER(J103),J103,1)),IF($C103="Paying back",0,IF(AND(OR(Housemates!$C$12="",Housemates!$C$12&lt;=$B103),OR(Housemates!$D$12="",Housemates!$D$12&gt;=$B103)),IF($Q103=0,1,INDEX(Bills!$AE$6:$AE$25,$Q103)),0))))</f>
        <v/>
      </c>
      <c r="X103">
        <f>IF(OR($D103="",$B103="",Housemates!$B$13=""),0,IF($R103&gt;0,IF(K103="",0,IF(ISNUMBER(K103),K103,1)),IF($C103="Paying back",0,IF(AND(OR(Housemates!$C$13="",Housemates!$C$13&lt;=$B103),OR(Housemates!$D$13="",Housemates!$D$13&gt;=$B103)),IF($Q103=0,1,INDEX(Bills!$AF$6:$AF$25,$Q103)),0))))</f>
        <v/>
      </c>
      <c r="Y103">
        <f>IF(OR($D103="",$B103="",Housemates!$B$14=""),0,IF($R103&gt;0,IF(L103="",0,IF(ISNUMBER(L103),L103,1)),IF($C103="Paying back",0,IF(AND(OR(Housemates!$C$14="",Housemates!$C$14&lt;=$B103),OR(Housemates!$D$14="",Housemates!$D$14&gt;=$B103)),IF($Q103=0,1,INDEX(Bills!$AG$6:$AG$25,$Q103)),0))))</f>
        <v/>
      </c>
      <c r="Z103">
        <f>IF(OR($D103="",$B103="",Housemates!$B$15=""),0,IF($R103&gt;0,IF(M103="",0,IF(ISNUMBER(M103),M103,1)),IF($C103="Paying back",0,IF(AND(OR(Housemates!$C$15="",Housemates!$C$15&lt;=$B103),OR(Housemates!$D$15="",Housemates!$D$15&gt;=$B103)),IF($Q103=0,1,INDEX(Bills!$AH$6:$AH$25,$Q103)),0))))</f>
        <v/>
      </c>
      <c r="AA103">
        <f>SUM(S103:Z103)</f>
        <v/>
      </c>
      <c r="AB103">
        <f>IF(AA103=0,0,D103*S103/AA103)</f>
        <v/>
      </c>
      <c r="AC103">
        <f>IF(AA103=0,0,D103*T103/AA103)</f>
        <v/>
      </c>
      <c r="AD103">
        <f>IF(AA103=0,0,D103*U103/AA103)</f>
        <v/>
      </c>
      <c r="AE103">
        <f>IF(AA103=0,0,D103*V103/AA103)</f>
        <v/>
      </c>
      <c r="AF103">
        <f>IF(AA103=0,0,D103*W103/AA103)</f>
        <v/>
      </c>
      <c r="AG103">
        <f>IF(AA103=0,0,D103*X103/AA103)</f>
        <v/>
      </c>
      <c r="AH103">
        <f>IF(AA103=0,0,D103*Y103/AA103)</f>
        <v/>
      </c>
      <c r="AI103">
        <f>IF(AA103=0,0,D103*Z103/AA103)</f>
        <v/>
      </c>
      <c r="AJ103">
        <f>IF(OR(C103="",B103=""),"",C103&amp;"|"&amp;(YEAR(B103)*100+MONTH(B103)))</f>
        <v/>
      </c>
    </row>
    <row r="104">
      <c r="A104" s="1" t="n"/>
      <c r="B104" s="23" t="n"/>
      <c r="C104" s="24" t="n"/>
      <c r="D104" s="25" t="n"/>
      <c r="E104" s="26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1">
        <f>IF(D104="","",IF(B104="","No date",IF(AND(C104="Paying back",R104=0),"To whom?",IF(AA104=0,"Nobody",IF(C104="Paying back","To "&amp;INDEX(Housemates!$B$8:$B$15,MATCH(MAX(S104:Z104),S104:Z104,0)),IF(R104&gt;0,IF(COUNTIF(S104:Z104,"&gt;0")=1,"1 person",COUNTIF(S104:Z104,"&gt;0")&amp;" people"),IF(Q104=0,"Everyone",INDEX(Bills!$Q$6:$Q$25,Q104))))))))</f>
        <v/>
      </c>
      <c r="O104" s="18">
        <f>IF(D104="","",IF(C104="Paying back","Paying back",IF(Q104=0,"Other",IF(INDEX(Bills!$C$6:$C$25,Q104)="","Other",INDEX(Bills!$C$6:$C$25,Q104)))))</f>
        <v/>
      </c>
      <c r="P104" s="1" t="n"/>
      <c r="Q104">
        <f>IF(C104="",0,IFERROR(MATCH(C104,Bills!$B$6:$B$25,0),0))</f>
        <v/>
      </c>
      <c r="R104">
        <f>COUNTA(F104:M104)</f>
        <v/>
      </c>
      <c r="S104">
        <f>IF(OR($D104="",$B104="",Housemates!$B$8=""),0,IF($R104&gt;0,IF(F104="",0,IF(ISNUMBER(F104),F104,1)),IF($C104="Paying back",0,IF(AND(OR(Housemates!$C$8="",Housemates!$C$8&lt;=$B104),OR(Housemates!$D$8="",Housemates!$D$8&gt;=$B104)),IF($Q104=0,1,INDEX(Bills!$AA$6:$AA$25,$Q104)),0))))</f>
        <v/>
      </c>
      <c r="T104">
        <f>IF(OR($D104="",$B104="",Housemates!$B$9=""),0,IF($R104&gt;0,IF(G104="",0,IF(ISNUMBER(G104),G104,1)),IF($C104="Paying back",0,IF(AND(OR(Housemates!$C$9="",Housemates!$C$9&lt;=$B104),OR(Housemates!$D$9="",Housemates!$D$9&gt;=$B104)),IF($Q104=0,1,INDEX(Bills!$AB$6:$AB$25,$Q104)),0))))</f>
        <v/>
      </c>
      <c r="U104">
        <f>IF(OR($D104="",$B104="",Housemates!$B$10=""),0,IF($R104&gt;0,IF(H104="",0,IF(ISNUMBER(H104),H104,1)),IF($C104="Paying back",0,IF(AND(OR(Housemates!$C$10="",Housemates!$C$10&lt;=$B104),OR(Housemates!$D$10="",Housemates!$D$10&gt;=$B104)),IF($Q104=0,1,INDEX(Bills!$AC$6:$AC$25,$Q104)),0))))</f>
        <v/>
      </c>
      <c r="V104">
        <f>IF(OR($D104="",$B104="",Housemates!$B$11=""),0,IF($R104&gt;0,IF(I104="",0,IF(ISNUMBER(I104),I104,1)),IF($C104="Paying back",0,IF(AND(OR(Housemates!$C$11="",Housemates!$C$11&lt;=$B104),OR(Housemates!$D$11="",Housemates!$D$11&gt;=$B104)),IF($Q104=0,1,INDEX(Bills!$AD$6:$AD$25,$Q104)),0))))</f>
        <v/>
      </c>
      <c r="W104">
        <f>IF(OR($D104="",$B104="",Housemates!$B$12=""),0,IF($R104&gt;0,IF(J104="",0,IF(ISNUMBER(J104),J104,1)),IF($C104="Paying back",0,IF(AND(OR(Housemates!$C$12="",Housemates!$C$12&lt;=$B104),OR(Housemates!$D$12="",Housemates!$D$12&gt;=$B104)),IF($Q104=0,1,INDEX(Bills!$AE$6:$AE$25,$Q104)),0))))</f>
        <v/>
      </c>
      <c r="X104">
        <f>IF(OR($D104="",$B104="",Housemates!$B$13=""),0,IF($R104&gt;0,IF(K104="",0,IF(ISNUMBER(K104),K104,1)),IF($C104="Paying back",0,IF(AND(OR(Housemates!$C$13="",Housemates!$C$13&lt;=$B104),OR(Housemates!$D$13="",Housemates!$D$13&gt;=$B104)),IF($Q104=0,1,INDEX(Bills!$AF$6:$AF$25,$Q104)),0))))</f>
        <v/>
      </c>
      <c r="Y104">
        <f>IF(OR($D104="",$B104="",Housemates!$B$14=""),0,IF($R104&gt;0,IF(L104="",0,IF(ISNUMBER(L104),L104,1)),IF($C104="Paying back",0,IF(AND(OR(Housemates!$C$14="",Housemates!$C$14&lt;=$B104),OR(Housemates!$D$14="",Housemates!$D$14&gt;=$B104)),IF($Q104=0,1,INDEX(Bills!$AG$6:$AG$25,$Q104)),0))))</f>
        <v/>
      </c>
      <c r="Z104">
        <f>IF(OR($D104="",$B104="",Housemates!$B$15=""),0,IF($R104&gt;0,IF(M104="",0,IF(ISNUMBER(M104),M104,1)),IF($C104="Paying back",0,IF(AND(OR(Housemates!$C$15="",Housemates!$C$15&lt;=$B104),OR(Housemates!$D$15="",Housemates!$D$15&gt;=$B104)),IF($Q104=0,1,INDEX(Bills!$AH$6:$AH$25,$Q104)),0))))</f>
        <v/>
      </c>
      <c r="AA104">
        <f>SUM(S104:Z104)</f>
        <v/>
      </c>
      <c r="AB104">
        <f>IF(AA104=0,0,D104*S104/AA104)</f>
        <v/>
      </c>
      <c r="AC104">
        <f>IF(AA104=0,0,D104*T104/AA104)</f>
        <v/>
      </c>
      <c r="AD104">
        <f>IF(AA104=0,0,D104*U104/AA104)</f>
        <v/>
      </c>
      <c r="AE104">
        <f>IF(AA104=0,0,D104*V104/AA104)</f>
        <v/>
      </c>
      <c r="AF104">
        <f>IF(AA104=0,0,D104*W104/AA104)</f>
        <v/>
      </c>
      <c r="AG104">
        <f>IF(AA104=0,0,D104*X104/AA104)</f>
        <v/>
      </c>
      <c r="AH104">
        <f>IF(AA104=0,0,D104*Y104/AA104)</f>
        <v/>
      </c>
      <c r="AI104">
        <f>IF(AA104=0,0,D104*Z104/AA104)</f>
        <v/>
      </c>
      <c r="AJ104">
        <f>IF(OR(C104="",B104=""),"",C104&amp;"|"&amp;(YEAR(B104)*100+MONTH(B104)))</f>
        <v/>
      </c>
    </row>
    <row r="105">
      <c r="A105" s="1" t="n"/>
      <c r="B105" s="23" t="n"/>
      <c r="C105" s="24" t="n"/>
      <c r="D105" s="25" t="n"/>
      <c r="E105" s="26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1">
        <f>IF(D105="","",IF(B105="","No date",IF(AND(C105="Paying back",R105=0),"To whom?",IF(AA105=0,"Nobody",IF(C105="Paying back","To "&amp;INDEX(Housemates!$B$8:$B$15,MATCH(MAX(S105:Z105),S105:Z105,0)),IF(R105&gt;0,IF(COUNTIF(S105:Z105,"&gt;0")=1,"1 person",COUNTIF(S105:Z105,"&gt;0")&amp;" people"),IF(Q105=0,"Everyone",INDEX(Bills!$Q$6:$Q$25,Q105))))))))</f>
        <v/>
      </c>
      <c r="O105" s="18">
        <f>IF(D105="","",IF(C105="Paying back","Paying back",IF(Q105=0,"Other",IF(INDEX(Bills!$C$6:$C$25,Q105)="","Other",INDEX(Bills!$C$6:$C$25,Q105)))))</f>
        <v/>
      </c>
      <c r="P105" s="1" t="n"/>
      <c r="Q105">
        <f>IF(C105="",0,IFERROR(MATCH(C105,Bills!$B$6:$B$25,0),0))</f>
        <v/>
      </c>
      <c r="R105">
        <f>COUNTA(F105:M105)</f>
        <v/>
      </c>
      <c r="S105">
        <f>IF(OR($D105="",$B105="",Housemates!$B$8=""),0,IF($R105&gt;0,IF(F105="",0,IF(ISNUMBER(F105),F105,1)),IF($C105="Paying back",0,IF(AND(OR(Housemates!$C$8="",Housemates!$C$8&lt;=$B105),OR(Housemates!$D$8="",Housemates!$D$8&gt;=$B105)),IF($Q105=0,1,INDEX(Bills!$AA$6:$AA$25,$Q105)),0))))</f>
        <v/>
      </c>
      <c r="T105">
        <f>IF(OR($D105="",$B105="",Housemates!$B$9=""),0,IF($R105&gt;0,IF(G105="",0,IF(ISNUMBER(G105),G105,1)),IF($C105="Paying back",0,IF(AND(OR(Housemates!$C$9="",Housemates!$C$9&lt;=$B105),OR(Housemates!$D$9="",Housemates!$D$9&gt;=$B105)),IF($Q105=0,1,INDEX(Bills!$AB$6:$AB$25,$Q105)),0))))</f>
        <v/>
      </c>
      <c r="U105">
        <f>IF(OR($D105="",$B105="",Housemates!$B$10=""),0,IF($R105&gt;0,IF(H105="",0,IF(ISNUMBER(H105),H105,1)),IF($C105="Paying back",0,IF(AND(OR(Housemates!$C$10="",Housemates!$C$10&lt;=$B105),OR(Housemates!$D$10="",Housemates!$D$10&gt;=$B105)),IF($Q105=0,1,INDEX(Bills!$AC$6:$AC$25,$Q105)),0))))</f>
        <v/>
      </c>
      <c r="V105">
        <f>IF(OR($D105="",$B105="",Housemates!$B$11=""),0,IF($R105&gt;0,IF(I105="",0,IF(ISNUMBER(I105),I105,1)),IF($C105="Paying back",0,IF(AND(OR(Housemates!$C$11="",Housemates!$C$11&lt;=$B105),OR(Housemates!$D$11="",Housemates!$D$11&gt;=$B105)),IF($Q105=0,1,INDEX(Bills!$AD$6:$AD$25,$Q105)),0))))</f>
        <v/>
      </c>
      <c r="W105">
        <f>IF(OR($D105="",$B105="",Housemates!$B$12=""),0,IF($R105&gt;0,IF(J105="",0,IF(ISNUMBER(J105),J105,1)),IF($C105="Paying back",0,IF(AND(OR(Housemates!$C$12="",Housemates!$C$12&lt;=$B105),OR(Housemates!$D$12="",Housemates!$D$12&gt;=$B105)),IF($Q105=0,1,INDEX(Bills!$AE$6:$AE$25,$Q105)),0))))</f>
        <v/>
      </c>
      <c r="X105">
        <f>IF(OR($D105="",$B105="",Housemates!$B$13=""),0,IF($R105&gt;0,IF(K105="",0,IF(ISNUMBER(K105),K105,1)),IF($C105="Paying back",0,IF(AND(OR(Housemates!$C$13="",Housemates!$C$13&lt;=$B105),OR(Housemates!$D$13="",Housemates!$D$13&gt;=$B105)),IF($Q105=0,1,INDEX(Bills!$AF$6:$AF$25,$Q105)),0))))</f>
        <v/>
      </c>
      <c r="Y105">
        <f>IF(OR($D105="",$B105="",Housemates!$B$14=""),0,IF($R105&gt;0,IF(L105="",0,IF(ISNUMBER(L105),L105,1)),IF($C105="Paying back",0,IF(AND(OR(Housemates!$C$14="",Housemates!$C$14&lt;=$B105),OR(Housemates!$D$14="",Housemates!$D$14&gt;=$B105)),IF($Q105=0,1,INDEX(Bills!$AG$6:$AG$25,$Q105)),0))))</f>
        <v/>
      </c>
      <c r="Z105">
        <f>IF(OR($D105="",$B105="",Housemates!$B$15=""),0,IF($R105&gt;0,IF(M105="",0,IF(ISNUMBER(M105),M105,1)),IF($C105="Paying back",0,IF(AND(OR(Housemates!$C$15="",Housemates!$C$15&lt;=$B105),OR(Housemates!$D$15="",Housemates!$D$15&gt;=$B105)),IF($Q105=0,1,INDEX(Bills!$AH$6:$AH$25,$Q105)),0))))</f>
        <v/>
      </c>
      <c r="AA105">
        <f>SUM(S105:Z105)</f>
        <v/>
      </c>
      <c r="AB105">
        <f>IF(AA105=0,0,D105*S105/AA105)</f>
        <v/>
      </c>
      <c r="AC105">
        <f>IF(AA105=0,0,D105*T105/AA105)</f>
        <v/>
      </c>
      <c r="AD105">
        <f>IF(AA105=0,0,D105*U105/AA105)</f>
        <v/>
      </c>
      <c r="AE105">
        <f>IF(AA105=0,0,D105*V105/AA105)</f>
        <v/>
      </c>
      <c r="AF105">
        <f>IF(AA105=0,0,D105*W105/AA105)</f>
        <v/>
      </c>
      <c r="AG105">
        <f>IF(AA105=0,0,D105*X105/AA105)</f>
        <v/>
      </c>
      <c r="AH105">
        <f>IF(AA105=0,0,D105*Y105/AA105)</f>
        <v/>
      </c>
      <c r="AI105">
        <f>IF(AA105=0,0,D105*Z105/AA105)</f>
        <v/>
      </c>
      <c r="AJ105">
        <f>IF(OR(C105="",B105=""),"",C105&amp;"|"&amp;(YEAR(B105)*100+MONTH(B105)))</f>
        <v/>
      </c>
    </row>
    <row r="106">
      <c r="A106" s="1" t="n"/>
      <c r="B106" s="23" t="n"/>
      <c r="C106" s="24" t="n"/>
      <c r="D106" s="25" t="n"/>
      <c r="E106" s="26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1">
        <f>IF(D106="","",IF(B106="","No date",IF(AND(C106="Paying back",R106=0),"To whom?",IF(AA106=0,"Nobody",IF(C106="Paying back","To "&amp;INDEX(Housemates!$B$8:$B$15,MATCH(MAX(S106:Z106),S106:Z106,0)),IF(R106&gt;0,IF(COUNTIF(S106:Z106,"&gt;0")=1,"1 person",COUNTIF(S106:Z106,"&gt;0")&amp;" people"),IF(Q106=0,"Everyone",INDEX(Bills!$Q$6:$Q$25,Q106))))))))</f>
        <v/>
      </c>
      <c r="O106" s="18">
        <f>IF(D106="","",IF(C106="Paying back","Paying back",IF(Q106=0,"Other",IF(INDEX(Bills!$C$6:$C$25,Q106)="","Other",INDEX(Bills!$C$6:$C$25,Q106)))))</f>
        <v/>
      </c>
      <c r="P106" s="1" t="n"/>
      <c r="Q106">
        <f>IF(C106="",0,IFERROR(MATCH(C106,Bills!$B$6:$B$25,0),0))</f>
        <v/>
      </c>
      <c r="R106">
        <f>COUNTA(F106:M106)</f>
        <v/>
      </c>
      <c r="S106">
        <f>IF(OR($D106="",$B106="",Housemates!$B$8=""),0,IF($R106&gt;0,IF(F106="",0,IF(ISNUMBER(F106),F106,1)),IF($C106="Paying back",0,IF(AND(OR(Housemates!$C$8="",Housemates!$C$8&lt;=$B106),OR(Housemates!$D$8="",Housemates!$D$8&gt;=$B106)),IF($Q106=0,1,INDEX(Bills!$AA$6:$AA$25,$Q106)),0))))</f>
        <v/>
      </c>
      <c r="T106">
        <f>IF(OR($D106="",$B106="",Housemates!$B$9=""),0,IF($R106&gt;0,IF(G106="",0,IF(ISNUMBER(G106),G106,1)),IF($C106="Paying back",0,IF(AND(OR(Housemates!$C$9="",Housemates!$C$9&lt;=$B106),OR(Housemates!$D$9="",Housemates!$D$9&gt;=$B106)),IF($Q106=0,1,INDEX(Bills!$AB$6:$AB$25,$Q106)),0))))</f>
        <v/>
      </c>
      <c r="U106">
        <f>IF(OR($D106="",$B106="",Housemates!$B$10=""),0,IF($R106&gt;0,IF(H106="",0,IF(ISNUMBER(H106),H106,1)),IF($C106="Paying back",0,IF(AND(OR(Housemates!$C$10="",Housemates!$C$10&lt;=$B106),OR(Housemates!$D$10="",Housemates!$D$10&gt;=$B106)),IF($Q106=0,1,INDEX(Bills!$AC$6:$AC$25,$Q106)),0))))</f>
        <v/>
      </c>
      <c r="V106">
        <f>IF(OR($D106="",$B106="",Housemates!$B$11=""),0,IF($R106&gt;0,IF(I106="",0,IF(ISNUMBER(I106),I106,1)),IF($C106="Paying back",0,IF(AND(OR(Housemates!$C$11="",Housemates!$C$11&lt;=$B106),OR(Housemates!$D$11="",Housemates!$D$11&gt;=$B106)),IF($Q106=0,1,INDEX(Bills!$AD$6:$AD$25,$Q106)),0))))</f>
        <v/>
      </c>
      <c r="W106">
        <f>IF(OR($D106="",$B106="",Housemates!$B$12=""),0,IF($R106&gt;0,IF(J106="",0,IF(ISNUMBER(J106),J106,1)),IF($C106="Paying back",0,IF(AND(OR(Housemates!$C$12="",Housemates!$C$12&lt;=$B106),OR(Housemates!$D$12="",Housemates!$D$12&gt;=$B106)),IF($Q106=0,1,INDEX(Bills!$AE$6:$AE$25,$Q106)),0))))</f>
        <v/>
      </c>
      <c r="X106">
        <f>IF(OR($D106="",$B106="",Housemates!$B$13=""),0,IF($R106&gt;0,IF(K106="",0,IF(ISNUMBER(K106),K106,1)),IF($C106="Paying back",0,IF(AND(OR(Housemates!$C$13="",Housemates!$C$13&lt;=$B106),OR(Housemates!$D$13="",Housemates!$D$13&gt;=$B106)),IF($Q106=0,1,INDEX(Bills!$AF$6:$AF$25,$Q106)),0))))</f>
        <v/>
      </c>
      <c r="Y106">
        <f>IF(OR($D106="",$B106="",Housemates!$B$14=""),0,IF($R106&gt;0,IF(L106="",0,IF(ISNUMBER(L106),L106,1)),IF($C106="Paying back",0,IF(AND(OR(Housemates!$C$14="",Housemates!$C$14&lt;=$B106),OR(Housemates!$D$14="",Housemates!$D$14&gt;=$B106)),IF($Q106=0,1,INDEX(Bills!$AG$6:$AG$25,$Q106)),0))))</f>
        <v/>
      </c>
      <c r="Z106">
        <f>IF(OR($D106="",$B106="",Housemates!$B$15=""),0,IF($R106&gt;0,IF(M106="",0,IF(ISNUMBER(M106),M106,1)),IF($C106="Paying back",0,IF(AND(OR(Housemates!$C$15="",Housemates!$C$15&lt;=$B106),OR(Housemates!$D$15="",Housemates!$D$15&gt;=$B106)),IF($Q106=0,1,INDEX(Bills!$AH$6:$AH$25,$Q106)),0))))</f>
        <v/>
      </c>
      <c r="AA106">
        <f>SUM(S106:Z106)</f>
        <v/>
      </c>
      <c r="AB106">
        <f>IF(AA106=0,0,D106*S106/AA106)</f>
        <v/>
      </c>
      <c r="AC106">
        <f>IF(AA106=0,0,D106*T106/AA106)</f>
        <v/>
      </c>
      <c r="AD106">
        <f>IF(AA106=0,0,D106*U106/AA106)</f>
        <v/>
      </c>
      <c r="AE106">
        <f>IF(AA106=0,0,D106*V106/AA106)</f>
        <v/>
      </c>
      <c r="AF106">
        <f>IF(AA106=0,0,D106*W106/AA106)</f>
        <v/>
      </c>
      <c r="AG106">
        <f>IF(AA106=0,0,D106*X106/AA106)</f>
        <v/>
      </c>
      <c r="AH106">
        <f>IF(AA106=0,0,D106*Y106/AA106)</f>
        <v/>
      </c>
      <c r="AI106">
        <f>IF(AA106=0,0,D106*Z106/AA106)</f>
        <v/>
      </c>
      <c r="AJ106">
        <f>IF(OR(C106="",B106=""),"",C106&amp;"|"&amp;(YEAR(B106)*100+MONTH(B106)))</f>
        <v/>
      </c>
    </row>
    <row r="107">
      <c r="A107" s="1" t="n"/>
      <c r="B107" s="23" t="n"/>
      <c r="C107" s="24" t="n"/>
      <c r="D107" s="25" t="n"/>
      <c r="E107" s="26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1">
        <f>IF(D107="","",IF(B107="","No date",IF(AND(C107="Paying back",R107=0),"To whom?",IF(AA107=0,"Nobody",IF(C107="Paying back","To "&amp;INDEX(Housemates!$B$8:$B$15,MATCH(MAX(S107:Z107),S107:Z107,0)),IF(R107&gt;0,IF(COUNTIF(S107:Z107,"&gt;0")=1,"1 person",COUNTIF(S107:Z107,"&gt;0")&amp;" people"),IF(Q107=0,"Everyone",INDEX(Bills!$Q$6:$Q$25,Q107))))))))</f>
        <v/>
      </c>
      <c r="O107" s="18">
        <f>IF(D107="","",IF(C107="Paying back","Paying back",IF(Q107=0,"Other",IF(INDEX(Bills!$C$6:$C$25,Q107)="","Other",INDEX(Bills!$C$6:$C$25,Q107)))))</f>
        <v/>
      </c>
      <c r="P107" s="1" t="n"/>
      <c r="Q107">
        <f>IF(C107="",0,IFERROR(MATCH(C107,Bills!$B$6:$B$25,0),0))</f>
        <v/>
      </c>
      <c r="R107">
        <f>COUNTA(F107:M107)</f>
        <v/>
      </c>
      <c r="S107">
        <f>IF(OR($D107="",$B107="",Housemates!$B$8=""),0,IF($R107&gt;0,IF(F107="",0,IF(ISNUMBER(F107),F107,1)),IF($C107="Paying back",0,IF(AND(OR(Housemates!$C$8="",Housemates!$C$8&lt;=$B107),OR(Housemates!$D$8="",Housemates!$D$8&gt;=$B107)),IF($Q107=0,1,INDEX(Bills!$AA$6:$AA$25,$Q107)),0))))</f>
        <v/>
      </c>
      <c r="T107">
        <f>IF(OR($D107="",$B107="",Housemates!$B$9=""),0,IF($R107&gt;0,IF(G107="",0,IF(ISNUMBER(G107),G107,1)),IF($C107="Paying back",0,IF(AND(OR(Housemates!$C$9="",Housemates!$C$9&lt;=$B107),OR(Housemates!$D$9="",Housemates!$D$9&gt;=$B107)),IF($Q107=0,1,INDEX(Bills!$AB$6:$AB$25,$Q107)),0))))</f>
        <v/>
      </c>
      <c r="U107">
        <f>IF(OR($D107="",$B107="",Housemates!$B$10=""),0,IF($R107&gt;0,IF(H107="",0,IF(ISNUMBER(H107),H107,1)),IF($C107="Paying back",0,IF(AND(OR(Housemates!$C$10="",Housemates!$C$10&lt;=$B107),OR(Housemates!$D$10="",Housemates!$D$10&gt;=$B107)),IF($Q107=0,1,INDEX(Bills!$AC$6:$AC$25,$Q107)),0))))</f>
        <v/>
      </c>
      <c r="V107">
        <f>IF(OR($D107="",$B107="",Housemates!$B$11=""),0,IF($R107&gt;0,IF(I107="",0,IF(ISNUMBER(I107),I107,1)),IF($C107="Paying back",0,IF(AND(OR(Housemates!$C$11="",Housemates!$C$11&lt;=$B107),OR(Housemates!$D$11="",Housemates!$D$11&gt;=$B107)),IF($Q107=0,1,INDEX(Bills!$AD$6:$AD$25,$Q107)),0))))</f>
        <v/>
      </c>
      <c r="W107">
        <f>IF(OR($D107="",$B107="",Housemates!$B$12=""),0,IF($R107&gt;0,IF(J107="",0,IF(ISNUMBER(J107),J107,1)),IF($C107="Paying back",0,IF(AND(OR(Housemates!$C$12="",Housemates!$C$12&lt;=$B107),OR(Housemates!$D$12="",Housemates!$D$12&gt;=$B107)),IF($Q107=0,1,INDEX(Bills!$AE$6:$AE$25,$Q107)),0))))</f>
        <v/>
      </c>
      <c r="X107">
        <f>IF(OR($D107="",$B107="",Housemates!$B$13=""),0,IF($R107&gt;0,IF(K107="",0,IF(ISNUMBER(K107),K107,1)),IF($C107="Paying back",0,IF(AND(OR(Housemates!$C$13="",Housemates!$C$13&lt;=$B107),OR(Housemates!$D$13="",Housemates!$D$13&gt;=$B107)),IF($Q107=0,1,INDEX(Bills!$AF$6:$AF$25,$Q107)),0))))</f>
        <v/>
      </c>
      <c r="Y107">
        <f>IF(OR($D107="",$B107="",Housemates!$B$14=""),0,IF($R107&gt;0,IF(L107="",0,IF(ISNUMBER(L107),L107,1)),IF($C107="Paying back",0,IF(AND(OR(Housemates!$C$14="",Housemates!$C$14&lt;=$B107),OR(Housemates!$D$14="",Housemates!$D$14&gt;=$B107)),IF($Q107=0,1,INDEX(Bills!$AG$6:$AG$25,$Q107)),0))))</f>
        <v/>
      </c>
      <c r="Z107">
        <f>IF(OR($D107="",$B107="",Housemates!$B$15=""),0,IF($R107&gt;0,IF(M107="",0,IF(ISNUMBER(M107),M107,1)),IF($C107="Paying back",0,IF(AND(OR(Housemates!$C$15="",Housemates!$C$15&lt;=$B107),OR(Housemates!$D$15="",Housemates!$D$15&gt;=$B107)),IF($Q107=0,1,INDEX(Bills!$AH$6:$AH$25,$Q107)),0))))</f>
        <v/>
      </c>
      <c r="AA107">
        <f>SUM(S107:Z107)</f>
        <v/>
      </c>
      <c r="AB107">
        <f>IF(AA107=0,0,D107*S107/AA107)</f>
        <v/>
      </c>
      <c r="AC107">
        <f>IF(AA107=0,0,D107*T107/AA107)</f>
        <v/>
      </c>
      <c r="AD107">
        <f>IF(AA107=0,0,D107*U107/AA107)</f>
        <v/>
      </c>
      <c r="AE107">
        <f>IF(AA107=0,0,D107*V107/AA107)</f>
        <v/>
      </c>
      <c r="AF107">
        <f>IF(AA107=0,0,D107*W107/AA107)</f>
        <v/>
      </c>
      <c r="AG107">
        <f>IF(AA107=0,0,D107*X107/AA107)</f>
        <v/>
      </c>
      <c r="AH107">
        <f>IF(AA107=0,0,D107*Y107/AA107)</f>
        <v/>
      </c>
      <c r="AI107">
        <f>IF(AA107=0,0,D107*Z107/AA107)</f>
        <v/>
      </c>
      <c r="AJ107">
        <f>IF(OR(C107="",B107=""),"",C107&amp;"|"&amp;(YEAR(B107)*100+MONTH(B107)))</f>
        <v/>
      </c>
    </row>
    <row r="108">
      <c r="A108" s="1" t="n"/>
      <c r="B108" s="23" t="n"/>
      <c r="C108" s="24" t="n"/>
      <c r="D108" s="25" t="n"/>
      <c r="E108" s="26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1">
        <f>IF(D108="","",IF(B108="","No date",IF(AND(C108="Paying back",R108=0),"To whom?",IF(AA108=0,"Nobody",IF(C108="Paying back","To "&amp;INDEX(Housemates!$B$8:$B$15,MATCH(MAX(S108:Z108),S108:Z108,0)),IF(R108&gt;0,IF(COUNTIF(S108:Z108,"&gt;0")=1,"1 person",COUNTIF(S108:Z108,"&gt;0")&amp;" people"),IF(Q108=0,"Everyone",INDEX(Bills!$Q$6:$Q$25,Q108))))))))</f>
        <v/>
      </c>
      <c r="O108" s="18">
        <f>IF(D108="","",IF(C108="Paying back","Paying back",IF(Q108=0,"Other",IF(INDEX(Bills!$C$6:$C$25,Q108)="","Other",INDEX(Bills!$C$6:$C$25,Q108)))))</f>
        <v/>
      </c>
      <c r="P108" s="1" t="n"/>
      <c r="Q108">
        <f>IF(C108="",0,IFERROR(MATCH(C108,Bills!$B$6:$B$25,0),0))</f>
        <v/>
      </c>
      <c r="R108">
        <f>COUNTA(F108:M108)</f>
        <v/>
      </c>
      <c r="S108">
        <f>IF(OR($D108="",$B108="",Housemates!$B$8=""),0,IF($R108&gt;0,IF(F108="",0,IF(ISNUMBER(F108),F108,1)),IF($C108="Paying back",0,IF(AND(OR(Housemates!$C$8="",Housemates!$C$8&lt;=$B108),OR(Housemates!$D$8="",Housemates!$D$8&gt;=$B108)),IF($Q108=0,1,INDEX(Bills!$AA$6:$AA$25,$Q108)),0))))</f>
        <v/>
      </c>
      <c r="T108">
        <f>IF(OR($D108="",$B108="",Housemates!$B$9=""),0,IF($R108&gt;0,IF(G108="",0,IF(ISNUMBER(G108),G108,1)),IF($C108="Paying back",0,IF(AND(OR(Housemates!$C$9="",Housemates!$C$9&lt;=$B108),OR(Housemates!$D$9="",Housemates!$D$9&gt;=$B108)),IF($Q108=0,1,INDEX(Bills!$AB$6:$AB$25,$Q108)),0))))</f>
        <v/>
      </c>
      <c r="U108">
        <f>IF(OR($D108="",$B108="",Housemates!$B$10=""),0,IF($R108&gt;0,IF(H108="",0,IF(ISNUMBER(H108),H108,1)),IF($C108="Paying back",0,IF(AND(OR(Housemates!$C$10="",Housemates!$C$10&lt;=$B108),OR(Housemates!$D$10="",Housemates!$D$10&gt;=$B108)),IF($Q108=0,1,INDEX(Bills!$AC$6:$AC$25,$Q108)),0))))</f>
        <v/>
      </c>
      <c r="V108">
        <f>IF(OR($D108="",$B108="",Housemates!$B$11=""),0,IF($R108&gt;0,IF(I108="",0,IF(ISNUMBER(I108),I108,1)),IF($C108="Paying back",0,IF(AND(OR(Housemates!$C$11="",Housemates!$C$11&lt;=$B108),OR(Housemates!$D$11="",Housemates!$D$11&gt;=$B108)),IF($Q108=0,1,INDEX(Bills!$AD$6:$AD$25,$Q108)),0))))</f>
        <v/>
      </c>
      <c r="W108">
        <f>IF(OR($D108="",$B108="",Housemates!$B$12=""),0,IF($R108&gt;0,IF(J108="",0,IF(ISNUMBER(J108),J108,1)),IF($C108="Paying back",0,IF(AND(OR(Housemates!$C$12="",Housemates!$C$12&lt;=$B108),OR(Housemates!$D$12="",Housemates!$D$12&gt;=$B108)),IF($Q108=0,1,INDEX(Bills!$AE$6:$AE$25,$Q108)),0))))</f>
        <v/>
      </c>
      <c r="X108">
        <f>IF(OR($D108="",$B108="",Housemates!$B$13=""),0,IF($R108&gt;0,IF(K108="",0,IF(ISNUMBER(K108),K108,1)),IF($C108="Paying back",0,IF(AND(OR(Housemates!$C$13="",Housemates!$C$13&lt;=$B108),OR(Housemates!$D$13="",Housemates!$D$13&gt;=$B108)),IF($Q108=0,1,INDEX(Bills!$AF$6:$AF$25,$Q108)),0))))</f>
        <v/>
      </c>
      <c r="Y108">
        <f>IF(OR($D108="",$B108="",Housemates!$B$14=""),0,IF($R108&gt;0,IF(L108="",0,IF(ISNUMBER(L108),L108,1)),IF($C108="Paying back",0,IF(AND(OR(Housemates!$C$14="",Housemates!$C$14&lt;=$B108),OR(Housemates!$D$14="",Housemates!$D$14&gt;=$B108)),IF($Q108=0,1,INDEX(Bills!$AG$6:$AG$25,$Q108)),0))))</f>
        <v/>
      </c>
      <c r="Z108">
        <f>IF(OR($D108="",$B108="",Housemates!$B$15=""),0,IF($R108&gt;0,IF(M108="",0,IF(ISNUMBER(M108),M108,1)),IF($C108="Paying back",0,IF(AND(OR(Housemates!$C$15="",Housemates!$C$15&lt;=$B108),OR(Housemates!$D$15="",Housemates!$D$15&gt;=$B108)),IF($Q108=0,1,INDEX(Bills!$AH$6:$AH$25,$Q108)),0))))</f>
        <v/>
      </c>
      <c r="AA108">
        <f>SUM(S108:Z108)</f>
        <v/>
      </c>
      <c r="AB108">
        <f>IF(AA108=0,0,D108*S108/AA108)</f>
        <v/>
      </c>
      <c r="AC108">
        <f>IF(AA108=0,0,D108*T108/AA108)</f>
        <v/>
      </c>
      <c r="AD108">
        <f>IF(AA108=0,0,D108*U108/AA108)</f>
        <v/>
      </c>
      <c r="AE108">
        <f>IF(AA108=0,0,D108*V108/AA108)</f>
        <v/>
      </c>
      <c r="AF108">
        <f>IF(AA108=0,0,D108*W108/AA108)</f>
        <v/>
      </c>
      <c r="AG108">
        <f>IF(AA108=0,0,D108*X108/AA108)</f>
        <v/>
      </c>
      <c r="AH108">
        <f>IF(AA108=0,0,D108*Y108/AA108)</f>
        <v/>
      </c>
      <c r="AI108">
        <f>IF(AA108=0,0,D108*Z108/AA108)</f>
        <v/>
      </c>
      <c r="AJ108">
        <f>IF(OR(C108="",B108=""),"",C108&amp;"|"&amp;(YEAR(B108)*100+MONTH(B108)))</f>
        <v/>
      </c>
    </row>
    <row r="109">
      <c r="A109" s="1" t="n"/>
      <c r="B109" s="23" t="n"/>
      <c r="C109" s="24" t="n"/>
      <c r="D109" s="25" t="n"/>
      <c r="E109" s="26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1">
        <f>IF(D109="","",IF(B109="","No date",IF(AND(C109="Paying back",R109=0),"To whom?",IF(AA109=0,"Nobody",IF(C109="Paying back","To "&amp;INDEX(Housemates!$B$8:$B$15,MATCH(MAX(S109:Z109),S109:Z109,0)),IF(R109&gt;0,IF(COUNTIF(S109:Z109,"&gt;0")=1,"1 person",COUNTIF(S109:Z109,"&gt;0")&amp;" people"),IF(Q109=0,"Everyone",INDEX(Bills!$Q$6:$Q$25,Q109))))))))</f>
        <v/>
      </c>
      <c r="O109" s="18">
        <f>IF(D109="","",IF(C109="Paying back","Paying back",IF(Q109=0,"Other",IF(INDEX(Bills!$C$6:$C$25,Q109)="","Other",INDEX(Bills!$C$6:$C$25,Q109)))))</f>
        <v/>
      </c>
      <c r="P109" s="1" t="n"/>
      <c r="Q109">
        <f>IF(C109="",0,IFERROR(MATCH(C109,Bills!$B$6:$B$25,0),0))</f>
        <v/>
      </c>
      <c r="R109">
        <f>COUNTA(F109:M109)</f>
        <v/>
      </c>
      <c r="S109">
        <f>IF(OR($D109="",$B109="",Housemates!$B$8=""),0,IF($R109&gt;0,IF(F109="",0,IF(ISNUMBER(F109),F109,1)),IF($C109="Paying back",0,IF(AND(OR(Housemates!$C$8="",Housemates!$C$8&lt;=$B109),OR(Housemates!$D$8="",Housemates!$D$8&gt;=$B109)),IF($Q109=0,1,INDEX(Bills!$AA$6:$AA$25,$Q109)),0))))</f>
        <v/>
      </c>
      <c r="T109">
        <f>IF(OR($D109="",$B109="",Housemates!$B$9=""),0,IF($R109&gt;0,IF(G109="",0,IF(ISNUMBER(G109),G109,1)),IF($C109="Paying back",0,IF(AND(OR(Housemates!$C$9="",Housemates!$C$9&lt;=$B109),OR(Housemates!$D$9="",Housemates!$D$9&gt;=$B109)),IF($Q109=0,1,INDEX(Bills!$AB$6:$AB$25,$Q109)),0))))</f>
        <v/>
      </c>
      <c r="U109">
        <f>IF(OR($D109="",$B109="",Housemates!$B$10=""),0,IF($R109&gt;0,IF(H109="",0,IF(ISNUMBER(H109),H109,1)),IF($C109="Paying back",0,IF(AND(OR(Housemates!$C$10="",Housemates!$C$10&lt;=$B109),OR(Housemates!$D$10="",Housemates!$D$10&gt;=$B109)),IF($Q109=0,1,INDEX(Bills!$AC$6:$AC$25,$Q109)),0))))</f>
        <v/>
      </c>
      <c r="V109">
        <f>IF(OR($D109="",$B109="",Housemates!$B$11=""),0,IF($R109&gt;0,IF(I109="",0,IF(ISNUMBER(I109),I109,1)),IF($C109="Paying back",0,IF(AND(OR(Housemates!$C$11="",Housemates!$C$11&lt;=$B109),OR(Housemates!$D$11="",Housemates!$D$11&gt;=$B109)),IF($Q109=0,1,INDEX(Bills!$AD$6:$AD$25,$Q109)),0))))</f>
        <v/>
      </c>
      <c r="W109">
        <f>IF(OR($D109="",$B109="",Housemates!$B$12=""),0,IF($R109&gt;0,IF(J109="",0,IF(ISNUMBER(J109),J109,1)),IF($C109="Paying back",0,IF(AND(OR(Housemates!$C$12="",Housemates!$C$12&lt;=$B109),OR(Housemates!$D$12="",Housemates!$D$12&gt;=$B109)),IF($Q109=0,1,INDEX(Bills!$AE$6:$AE$25,$Q109)),0))))</f>
        <v/>
      </c>
      <c r="X109">
        <f>IF(OR($D109="",$B109="",Housemates!$B$13=""),0,IF($R109&gt;0,IF(K109="",0,IF(ISNUMBER(K109),K109,1)),IF($C109="Paying back",0,IF(AND(OR(Housemates!$C$13="",Housemates!$C$13&lt;=$B109),OR(Housemates!$D$13="",Housemates!$D$13&gt;=$B109)),IF($Q109=0,1,INDEX(Bills!$AF$6:$AF$25,$Q109)),0))))</f>
        <v/>
      </c>
      <c r="Y109">
        <f>IF(OR($D109="",$B109="",Housemates!$B$14=""),0,IF($R109&gt;0,IF(L109="",0,IF(ISNUMBER(L109),L109,1)),IF($C109="Paying back",0,IF(AND(OR(Housemates!$C$14="",Housemates!$C$14&lt;=$B109),OR(Housemates!$D$14="",Housemates!$D$14&gt;=$B109)),IF($Q109=0,1,INDEX(Bills!$AG$6:$AG$25,$Q109)),0))))</f>
        <v/>
      </c>
      <c r="Z109">
        <f>IF(OR($D109="",$B109="",Housemates!$B$15=""),0,IF($R109&gt;0,IF(M109="",0,IF(ISNUMBER(M109),M109,1)),IF($C109="Paying back",0,IF(AND(OR(Housemates!$C$15="",Housemates!$C$15&lt;=$B109),OR(Housemates!$D$15="",Housemates!$D$15&gt;=$B109)),IF($Q109=0,1,INDEX(Bills!$AH$6:$AH$25,$Q109)),0))))</f>
        <v/>
      </c>
      <c r="AA109">
        <f>SUM(S109:Z109)</f>
        <v/>
      </c>
      <c r="AB109">
        <f>IF(AA109=0,0,D109*S109/AA109)</f>
        <v/>
      </c>
      <c r="AC109">
        <f>IF(AA109=0,0,D109*T109/AA109)</f>
        <v/>
      </c>
      <c r="AD109">
        <f>IF(AA109=0,0,D109*U109/AA109)</f>
        <v/>
      </c>
      <c r="AE109">
        <f>IF(AA109=0,0,D109*V109/AA109)</f>
        <v/>
      </c>
      <c r="AF109">
        <f>IF(AA109=0,0,D109*W109/AA109)</f>
        <v/>
      </c>
      <c r="AG109">
        <f>IF(AA109=0,0,D109*X109/AA109)</f>
        <v/>
      </c>
      <c r="AH109">
        <f>IF(AA109=0,0,D109*Y109/AA109)</f>
        <v/>
      </c>
      <c r="AI109">
        <f>IF(AA109=0,0,D109*Z109/AA109)</f>
        <v/>
      </c>
      <c r="AJ109">
        <f>IF(OR(C109="",B109=""),"",C109&amp;"|"&amp;(YEAR(B109)*100+MONTH(B109)))</f>
        <v/>
      </c>
    </row>
    <row r="110">
      <c r="A110" s="1" t="n"/>
      <c r="B110" s="23" t="n"/>
      <c r="C110" s="24" t="n"/>
      <c r="D110" s="25" t="n"/>
      <c r="E110" s="26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1">
        <f>IF(D110="","",IF(B110="","No date",IF(AND(C110="Paying back",R110=0),"To whom?",IF(AA110=0,"Nobody",IF(C110="Paying back","To "&amp;INDEX(Housemates!$B$8:$B$15,MATCH(MAX(S110:Z110),S110:Z110,0)),IF(R110&gt;0,IF(COUNTIF(S110:Z110,"&gt;0")=1,"1 person",COUNTIF(S110:Z110,"&gt;0")&amp;" people"),IF(Q110=0,"Everyone",INDEX(Bills!$Q$6:$Q$25,Q110))))))))</f>
        <v/>
      </c>
      <c r="O110" s="18">
        <f>IF(D110="","",IF(C110="Paying back","Paying back",IF(Q110=0,"Other",IF(INDEX(Bills!$C$6:$C$25,Q110)="","Other",INDEX(Bills!$C$6:$C$25,Q110)))))</f>
        <v/>
      </c>
      <c r="P110" s="1" t="n"/>
      <c r="Q110">
        <f>IF(C110="",0,IFERROR(MATCH(C110,Bills!$B$6:$B$25,0),0))</f>
        <v/>
      </c>
      <c r="R110">
        <f>COUNTA(F110:M110)</f>
        <v/>
      </c>
      <c r="S110">
        <f>IF(OR($D110="",$B110="",Housemates!$B$8=""),0,IF($R110&gt;0,IF(F110="",0,IF(ISNUMBER(F110),F110,1)),IF($C110="Paying back",0,IF(AND(OR(Housemates!$C$8="",Housemates!$C$8&lt;=$B110),OR(Housemates!$D$8="",Housemates!$D$8&gt;=$B110)),IF($Q110=0,1,INDEX(Bills!$AA$6:$AA$25,$Q110)),0))))</f>
        <v/>
      </c>
      <c r="T110">
        <f>IF(OR($D110="",$B110="",Housemates!$B$9=""),0,IF($R110&gt;0,IF(G110="",0,IF(ISNUMBER(G110),G110,1)),IF($C110="Paying back",0,IF(AND(OR(Housemates!$C$9="",Housemates!$C$9&lt;=$B110),OR(Housemates!$D$9="",Housemates!$D$9&gt;=$B110)),IF($Q110=0,1,INDEX(Bills!$AB$6:$AB$25,$Q110)),0))))</f>
        <v/>
      </c>
      <c r="U110">
        <f>IF(OR($D110="",$B110="",Housemates!$B$10=""),0,IF($R110&gt;0,IF(H110="",0,IF(ISNUMBER(H110),H110,1)),IF($C110="Paying back",0,IF(AND(OR(Housemates!$C$10="",Housemates!$C$10&lt;=$B110),OR(Housemates!$D$10="",Housemates!$D$10&gt;=$B110)),IF($Q110=0,1,INDEX(Bills!$AC$6:$AC$25,$Q110)),0))))</f>
        <v/>
      </c>
      <c r="V110">
        <f>IF(OR($D110="",$B110="",Housemates!$B$11=""),0,IF($R110&gt;0,IF(I110="",0,IF(ISNUMBER(I110),I110,1)),IF($C110="Paying back",0,IF(AND(OR(Housemates!$C$11="",Housemates!$C$11&lt;=$B110),OR(Housemates!$D$11="",Housemates!$D$11&gt;=$B110)),IF($Q110=0,1,INDEX(Bills!$AD$6:$AD$25,$Q110)),0))))</f>
        <v/>
      </c>
      <c r="W110">
        <f>IF(OR($D110="",$B110="",Housemates!$B$12=""),0,IF($R110&gt;0,IF(J110="",0,IF(ISNUMBER(J110),J110,1)),IF($C110="Paying back",0,IF(AND(OR(Housemates!$C$12="",Housemates!$C$12&lt;=$B110),OR(Housemates!$D$12="",Housemates!$D$12&gt;=$B110)),IF($Q110=0,1,INDEX(Bills!$AE$6:$AE$25,$Q110)),0))))</f>
        <v/>
      </c>
      <c r="X110">
        <f>IF(OR($D110="",$B110="",Housemates!$B$13=""),0,IF($R110&gt;0,IF(K110="",0,IF(ISNUMBER(K110),K110,1)),IF($C110="Paying back",0,IF(AND(OR(Housemates!$C$13="",Housemates!$C$13&lt;=$B110),OR(Housemates!$D$13="",Housemates!$D$13&gt;=$B110)),IF($Q110=0,1,INDEX(Bills!$AF$6:$AF$25,$Q110)),0))))</f>
        <v/>
      </c>
      <c r="Y110">
        <f>IF(OR($D110="",$B110="",Housemates!$B$14=""),0,IF($R110&gt;0,IF(L110="",0,IF(ISNUMBER(L110),L110,1)),IF($C110="Paying back",0,IF(AND(OR(Housemates!$C$14="",Housemates!$C$14&lt;=$B110),OR(Housemates!$D$14="",Housemates!$D$14&gt;=$B110)),IF($Q110=0,1,INDEX(Bills!$AG$6:$AG$25,$Q110)),0))))</f>
        <v/>
      </c>
      <c r="Z110">
        <f>IF(OR($D110="",$B110="",Housemates!$B$15=""),0,IF($R110&gt;0,IF(M110="",0,IF(ISNUMBER(M110),M110,1)),IF($C110="Paying back",0,IF(AND(OR(Housemates!$C$15="",Housemates!$C$15&lt;=$B110),OR(Housemates!$D$15="",Housemates!$D$15&gt;=$B110)),IF($Q110=0,1,INDEX(Bills!$AH$6:$AH$25,$Q110)),0))))</f>
        <v/>
      </c>
      <c r="AA110">
        <f>SUM(S110:Z110)</f>
        <v/>
      </c>
      <c r="AB110">
        <f>IF(AA110=0,0,D110*S110/AA110)</f>
        <v/>
      </c>
      <c r="AC110">
        <f>IF(AA110=0,0,D110*T110/AA110)</f>
        <v/>
      </c>
      <c r="AD110">
        <f>IF(AA110=0,0,D110*U110/AA110)</f>
        <v/>
      </c>
      <c r="AE110">
        <f>IF(AA110=0,0,D110*V110/AA110)</f>
        <v/>
      </c>
      <c r="AF110">
        <f>IF(AA110=0,0,D110*W110/AA110)</f>
        <v/>
      </c>
      <c r="AG110">
        <f>IF(AA110=0,0,D110*X110/AA110)</f>
        <v/>
      </c>
      <c r="AH110">
        <f>IF(AA110=0,0,D110*Y110/AA110)</f>
        <v/>
      </c>
      <c r="AI110">
        <f>IF(AA110=0,0,D110*Z110/AA110)</f>
        <v/>
      </c>
      <c r="AJ110">
        <f>IF(OR(C110="",B110=""),"",C110&amp;"|"&amp;(YEAR(B110)*100+MONTH(B110)))</f>
        <v/>
      </c>
    </row>
    <row r="111">
      <c r="A111" s="1" t="n"/>
      <c r="B111" s="23" t="n"/>
      <c r="C111" s="24" t="n"/>
      <c r="D111" s="25" t="n"/>
      <c r="E111" s="26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1">
        <f>IF(D111="","",IF(B111="","No date",IF(AND(C111="Paying back",R111=0),"To whom?",IF(AA111=0,"Nobody",IF(C111="Paying back","To "&amp;INDEX(Housemates!$B$8:$B$15,MATCH(MAX(S111:Z111),S111:Z111,0)),IF(R111&gt;0,IF(COUNTIF(S111:Z111,"&gt;0")=1,"1 person",COUNTIF(S111:Z111,"&gt;0")&amp;" people"),IF(Q111=0,"Everyone",INDEX(Bills!$Q$6:$Q$25,Q111))))))))</f>
        <v/>
      </c>
      <c r="O111" s="18">
        <f>IF(D111="","",IF(C111="Paying back","Paying back",IF(Q111=0,"Other",IF(INDEX(Bills!$C$6:$C$25,Q111)="","Other",INDEX(Bills!$C$6:$C$25,Q111)))))</f>
        <v/>
      </c>
      <c r="P111" s="1" t="n"/>
      <c r="Q111">
        <f>IF(C111="",0,IFERROR(MATCH(C111,Bills!$B$6:$B$25,0),0))</f>
        <v/>
      </c>
      <c r="R111">
        <f>COUNTA(F111:M111)</f>
        <v/>
      </c>
      <c r="S111">
        <f>IF(OR($D111="",$B111="",Housemates!$B$8=""),0,IF($R111&gt;0,IF(F111="",0,IF(ISNUMBER(F111),F111,1)),IF($C111="Paying back",0,IF(AND(OR(Housemates!$C$8="",Housemates!$C$8&lt;=$B111),OR(Housemates!$D$8="",Housemates!$D$8&gt;=$B111)),IF($Q111=0,1,INDEX(Bills!$AA$6:$AA$25,$Q111)),0))))</f>
        <v/>
      </c>
      <c r="T111">
        <f>IF(OR($D111="",$B111="",Housemates!$B$9=""),0,IF($R111&gt;0,IF(G111="",0,IF(ISNUMBER(G111),G111,1)),IF($C111="Paying back",0,IF(AND(OR(Housemates!$C$9="",Housemates!$C$9&lt;=$B111),OR(Housemates!$D$9="",Housemates!$D$9&gt;=$B111)),IF($Q111=0,1,INDEX(Bills!$AB$6:$AB$25,$Q111)),0))))</f>
        <v/>
      </c>
      <c r="U111">
        <f>IF(OR($D111="",$B111="",Housemates!$B$10=""),0,IF($R111&gt;0,IF(H111="",0,IF(ISNUMBER(H111),H111,1)),IF($C111="Paying back",0,IF(AND(OR(Housemates!$C$10="",Housemates!$C$10&lt;=$B111),OR(Housemates!$D$10="",Housemates!$D$10&gt;=$B111)),IF($Q111=0,1,INDEX(Bills!$AC$6:$AC$25,$Q111)),0))))</f>
        <v/>
      </c>
      <c r="V111">
        <f>IF(OR($D111="",$B111="",Housemates!$B$11=""),0,IF($R111&gt;0,IF(I111="",0,IF(ISNUMBER(I111),I111,1)),IF($C111="Paying back",0,IF(AND(OR(Housemates!$C$11="",Housemates!$C$11&lt;=$B111),OR(Housemates!$D$11="",Housemates!$D$11&gt;=$B111)),IF($Q111=0,1,INDEX(Bills!$AD$6:$AD$25,$Q111)),0))))</f>
        <v/>
      </c>
      <c r="W111">
        <f>IF(OR($D111="",$B111="",Housemates!$B$12=""),0,IF($R111&gt;0,IF(J111="",0,IF(ISNUMBER(J111),J111,1)),IF($C111="Paying back",0,IF(AND(OR(Housemates!$C$12="",Housemates!$C$12&lt;=$B111),OR(Housemates!$D$12="",Housemates!$D$12&gt;=$B111)),IF($Q111=0,1,INDEX(Bills!$AE$6:$AE$25,$Q111)),0))))</f>
        <v/>
      </c>
      <c r="X111">
        <f>IF(OR($D111="",$B111="",Housemates!$B$13=""),0,IF($R111&gt;0,IF(K111="",0,IF(ISNUMBER(K111),K111,1)),IF($C111="Paying back",0,IF(AND(OR(Housemates!$C$13="",Housemates!$C$13&lt;=$B111),OR(Housemates!$D$13="",Housemates!$D$13&gt;=$B111)),IF($Q111=0,1,INDEX(Bills!$AF$6:$AF$25,$Q111)),0))))</f>
        <v/>
      </c>
      <c r="Y111">
        <f>IF(OR($D111="",$B111="",Housemates!$B$14=""),0,IF($R111&gt;0,IF(L111="",0,IF(ISNUMBER(L111),L111,1)),IF($C111="Paying back",0,IF(AND(OR(Housemates!$C$14="",Housemates!$C$14&lt;=$B111),OR(Housemates!$D$14="",Housemates!$D$14&gt;=$B111)),IF($Q111=0,1,INDEX(Bills!$AG$6:$AG$25,$Q111)),0))))</f>
        <v/>
      </c>
      <c r="Z111">
        <f>IF(OR($D111="",$B111="",Housemates!$B$15=""),0,IF($R111&gt;0,IF(M111="",0,IF(ISNUMBER(M111),M111,1)),IF($C111="Paying back",0,IF(AND(OR(Housemates!$C$15="",Housemates!$C$15&lt;=$B111),OR(Housemates!$D$15="",Housemates!$D$15&gt;=$B111)),IF($Q111=0,1,INDEX(Bills!$AH$6:$AH$25,$Q111)),0))))</f>
        <v/>
      </c>
      <c r="AA111">
        <f>SUM(S111:Z111)</f>
        <v/>
      </c>
      <c r="AB111">
        <f>IF(AA111=0,0,D111*S111/AA111)</f>
        <v/>
      </c>
      <c r="AC111">
        <f>IF(AA111=0,0,D111*T111/AA111)</f>
        <v/>
      </c>
      <c r="AD111">
        <f>IF(AA111=0,0,D111*U111/AA111)</f>
        <v/>
      </c>
      <c r="AE111">
        <f>IF(AA111=0,0,D111*V111/AA111)</f>
        <v/>
      </c>
      <c r="AF111">
        <f>IF(AA111=0,0,D111*W111/AA111)</f>
        <v/>
      </c>
      <c r="AG111">
        <f>IF(AA111=0,0,D111*X111/AA111)</f>
        <v/>
      </c>
      <c r="AH111">
        <f>IF(AA111=0,0,D111*Y111/AA111)</f>
        <v/>
      </c>
      <c r="AI111">
        <f>IF(AA111=0,0,D111*Z111/AA111)</f>
        <v/>
      </c>
      <c r="AJ111">
        <f>IF(OR(C111="",B111=""),"",C111&amp;"|"&amp;(YEAR(B111)*100+MONTH(B111)))</f>
        <v/>
      </c>
    </row>
    <row r="112">
      <c r="A112" s="1" t="n"/>
      <c r="B112" s="23" t="n"/>
      <c r="C112" s="24" t="n"/>
      <c r="D112" s="25" t="n"/>
      <c r="E112" s="26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1">
        <f>IF(D112="","",IF(B112="","No date",IF(AND(C112="Paying back",R112=0),"To whom?",IF(AA112=0,"Nobody",IF(C112="Paying back","To "&amp;INDEX(Housemates!$B$8:$B$15,MATCH(MAX(S112:Z112),S112:Z112,0)),IF(R112&gt;0,IF(COUNTIF(S112:Z112,"&gt;0")=1,"1 person",COUNTIF(S112:Z112,"&gt;0")&amp;" people"),IF(Q112=0,"Everyone",INDEX(Bills!$Q$6:$Q$25,Q112))))))))</f>
        <v/>
      </c>
      <c r="O112" s="18">
        <f>IF(D112="","",IF(C112="Paying back","Paying back",IF(Q112=0,"Other",IF(INDEX(Bills!$C$6:$C$25,Q112)="","Other",INDEX(Bills!$C$6:$C$25,Q112)))))</f>
        <v/>
      </c>
      <c r="P112" s="1" t="n"/>
      <c r="Q112">
        <f>IF(C112="",0,IFERROR(MATCH(C112,Bills!$B$6:$B$25,0),0))</f>
        <v/>
      </c>
      <c r="R112">
        <f>COUNTA(F112:M112)</f>
        <v/>
      </c>
      <c r="S112">
        <f>IF(OR($D112="",$B112="",Housemates!$B$8=""),0,IF($R112&gt;0,IF(F112="",0,IF(ISNUMBER(F112),F112,1)),IF($C112="Paying back",0,IF(AND(OR(Housemates!$C$8="",Housemates!$C$8&lt;=$B112),OR(Housemates!$D$8="",Housemates!$D$8&gt;=$B112)),IF($Q112=0,1,INDEX(Bills!$AA$6:$AA$25,$Q112)),0))))</f>
        <v/>
      </c>
      <c r="T112">
        <f>IF(OR($D112="",$B112="",Housemates!$B$9=""),0,IF($R112&gt;0,IF(G112="",0,IF(ISNUMBER(G112),G112,1)),IF($C112="Paying back",0,IF(AND(OR(Housemates!$C$9="",Housemates!$C$9&lt;=$B112),OR(Housemates!$D$9="",Housemates!$D$9&gt;=$B112)),IF($Q112=0,1,INDEX(Bills!$AB$6:$AB$25,$Q112)),0))))</f>
        <v/>
      </c>
      <c r="U112">
        <f>IF(OR($D112="",$B112="",Housemates!$B$10=""),0,IF($R112&gt;0,IF(H112="",0,IF(ISNUMBER(H112),H112,1)),IF($C112="Paying back",0,IF(AND(OR(Housemates!$C$10="",Housemates!$C$10&lt;=$B112),OR(Housemates!$D$10="",Housemates!$D$10&gt;=$B112)),IF($Q112=0,1,INDEX(Bills!$AC$6:$AC$25,$Q112)),0))))</f>
        <v/>
      </c>
      <c r="V112">
        <f>IF(OR($D112="",$B112="",Housemates!$B$11=""),0,IF($R112&gt;0,IF(I112="",0,IF(ISNUMBER(I112),I112,1)),IF($C112="Paying back",0,IF(AND(OR(Housemates!$C$11="",Housemates!$C$11&lt;=$B112),OR(Housemates!$D$11="",Housemates!$D$11&gt;=$B112)),IF($Q112=0,1,INDEX(Bills!$AD$6:$AD$25,$Q112)),0))))</f>
        <v/>
      </c>
      <c r="W112">
        <f>IF(OR($D112="",$B112="",Housemates!$B$12=""),0,IF($R112&gt;0,IF(J112="",0,IF(ISNUMBER(J112),J112,1)),IF($C112="Paying back",0,IF(AND(OR(Housemates!$C$12="",Housemates!$C$12&lt;=$B112),OR(Housemates!$D$12="",Housemates!$D$12&gt;=$B112)),IF($Q112=0,1,INDEX(Bills!$AE$6:$AE$25,$Q112)),0))))</f>
        <v/>
      </c>
      <c r="X112">
        <f>IF(OR($D112="",$B112="",Housemates!$B$13=""),0,IF($R112&gt;0,IF(K112="",0,IF(ISNUMBER(K112),K112,1)),IF($C112="Paying back",0,IF(AND(OR(Housemates!$C$13="",Housemates!$C$13&lt;=$B112),OR(Housemates!$D$13="",Housemates!$D$13&gt;=$B112)),IF($Q112=0,1,INDEX(Bills!$AF$6:$AF$25,$Q112)),0))))</f>
        <v/>
      </c>
      <c r="Y112">
        <f>IF(OR($D112="",$B112="",Housemates!$B$14=""),0,IF($R112&gt;0,IF(L112="",0,IF(ISNUMBER(L112),L112,1)),IF($C112="Paying back",0,IF(AND(OR(Housemates!$C$14="",Housemates!$C$14&lt;=$B112),OR(Housemates!$D$14="",Housemates!$D$14&gt;=$B112)),IF($Q112=0,1,INDEX(Bills!$AG$6:$AG$25,$Q112)),0))))</f>
        <v/>
      </c>
      <c r="Z112">
        <f>IF(OR($D112="",$B112="",Housemates!$B$15=""),0,IF($R112&gt;0,IF(M112="",0,IF(ISNUMBER(M112),M112,1)),IF($C112="Paying back",0,IF(AND(OR(Housemates!$C$15="",Housemates!$C$15&lt;=$B112),OR(Housemates!$D$15="",Housemates!$D$15&gt;=$B112)),IF($Q112=0,1,INDEX(Bills!$AH$6:$AH$25,$Q112)),0))))</f>
        <v/>
      </c>
      <c r="AA112">
        <f>SUM(S112:Z112)</f>
        <v/>
      </c>
      <c r="AB112">
        <f>IF(AA112=0,0,D112*S112/AA112)</f>
        <v/>
      </c>
      <c r="AC112">
        <f>IF(AA112=0,0,D112*T112/AA112)</f>
        <v/>
      </c>
      <c r="AD112">
        <f>IF(AA112=0,0,D112*U112/AA112)</f>
        <v/>
      </c>
      <c r="AE112">
        <f>IF(AA112=0,0,D112*V112/AA112)</f>
        <v/>
      </c>
      <c r="AF112">
        <f>IF(AA112=0,0,D112*W112/AA112)</f>
        <v/>
      </c>
      <c r="AG112">
        <f>IF(AA112=0,0,D112*X112/AA112)</f>
        <v/>
      </c>
      <c r="AH112">
        <f>IF(AA112=0,0,D112*Y112/AA112)</f>
        <v/>
      </c>
      <c r="AI112">
        <f>IF(AA112=0,0,D112*Z112/AA112)</f>
        <v/>
      </c>
      <c r="AJ112">
        <f>IF(OR(C112="",B112=""),"",C112&amp;"|"&amp;(YEAR(B112)*100+MONTH(B112)))</f>
        <v/>
      </c>
    </row>
    <row r="113">
      <c r="A113" s="1" t="n"/>
      <c r="B113" s="23" t="n"/>
      <c r="C113" s="24" t="n"/>
      <c r="D113" s="25" t="n"/>
      <c r="E113" s="26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1">
        <f>IF(D113="","",IF(B113="","No date",IF(AND(C113="Paying back",R113=0),"To whom?",IF(AA113=0,"Nobody",IF(C113="Paying back","To "&amp;INDEX(Housemates!$B$8:$B$15,MATCH(MAX(S113:Z113),S113:Z113,0)),IF(R113&gt;0,IF(COUNTIF(S113:Z113,"&gt;0")=1,"1 person",COUNTIF(S113:Z113,"&gt;0")&amp;" people"),IF(Q113=0,"Everyone",INDEX(Bills!$Q$6:$Q$25,Q113))))))))</f>
        <v/>
      </c>
      <c r="O113" s="18">
        <f>IF(D113="","",IF(C113="Paying back","Paying back",IF(Q113=0,"Other",IF(INDEX(Bills!$C$6:$C$25,Q113)="","Other",INDEX(Bills!$C$6:$C$25,Q113)))))</f>
        <v/>
      </c>
      <c r="P113" s="1" t="n"/>
      <c r="Q113">
        <f>IF(C113="",0,IFERROR(MATCH(C113,Bills!$B$6:$B$25,0),0))</f>
        <v/>
      </c>
      <c r="R113">
        <f>COUNTA(F113:M113)</f>
        <v/>
      </c>
      <c r="S113">
        <f>IF(OR($D113="",$B113="",Housemates!$B$8=""),0,IF($R113&gt;0,IF(F113="",0,IF(ISNUMBER(F113),F113,1)),IF($C113="Paying back",0,IF(AND(OR(Housemates!$C$8="",Housemates!$C$8&lt;=$B113),OR(Housemates!$D$8="",Housemates!$D$8&gt;=$B113)),IF($Q113=0,1,INDEX(Bills!$AA$6:$AA$25,$Q113)),0))))</f>
        <v/>
      </c>
      <c r="T113">
        <f>IF(OR($D113="",$B113="",Housemates!$B$9=""),0,IF($R113&gt;0,IF(G113="",0,IF(ISNUMBER(G113),G113,1)),IF($C113="Paying back",0,IF(AND(OR(Housemates!$C$9="",Housemates!$C$9&lt;=$B113),OR(Housemates!$D$9="",Housemates!$D$9&gt;=$B113)),IF($Q113=0,1,INDEX(Bills!$AB$6:$AB$25,$Q113)),0))))</f>
        <v/>
      </c>
      <c r="U113">
        <f>IF(OR($D113="",$B113="",Housemates!$B$10=""),0,IF($R113&gt;0,IF(H113="",0,IF(ISNUMBER(H113),H113,1)),IF($C113="Paying back",0,IF(AND(OR(Housemates!$C$10="",Housemates!$C$10&lt;=$B113),OR(Housemates!$D$10="",Housemates!$D$10&gt;=$B113)),IF($Q113=0,1,INDEX(Bills!$AC$6:$AC$25,$Q113)),0))))</f>
        <v/>
      </c>
      <c r="V113">
        <f>IF(OR($D113="",$B113="",Housemates!$B$11=""),0,IF($R113&gt;0,IF(I113="",0,IF(ISNUMBER(I113),I113,1)),IF($C113="Paying back",0,IF(AND(OR(Housemates!$C$11="",Housemates!$C$11&lt;=$B113),OR(Housemates!$D$11="",Housemates!$D$11&gt;=$B113)),IF($Q113=0,1,INDEX(Bills!$AD$6:$AD$25,$Q113)),0))))</f>
        <v/>
      </c>
      <c r="W113">
        <f>IF(OR($D113="",$B113="",Housemates!$B$12=""),0,IF($R113&gt;0,IF(J113="",0,IF(ISNUMBER(J113),J113,1)),IF($C113="Paying back",0,IF(AND(OR(Housemates!$C$12="",Housemates!$C$12&lt;=$B113),OR(Housemates!$D$12="",Housemates!$D$12&gt;=$B113)),IF($Q113=0,1,INDEX(Bills!$AE$6:$AE$25,$Q113)),0))))</f>
        <v/>
      </c>
      <c r="X113">
        <f>IF(OR($D113="",$B113="",Housemates!$B$13=""),0,IF($R113&gt;0,IF(K113="",0,IF(ISNUMBER(K113),K113,1)),IF($C113="Paying back",0,IF(AND(OR(Housemates!$C$13="",Housemates!$C$13&lt;=$B113),OR(Housemates!$D$13="",Housemates!$D$13&gt;=$B113)),IF($Q113=0,1,INDEX(Bills!$AF$6:$AF$25,$Q113)),0))))</f>
        <v/>
      </c>
      <c r="Y113">
        <f>IF(OR($D113="",$B113="",Housemates!$B$14=""),0,IF($R113&gt;0,IF(L113="",0,IF(ISNUMBER(L113),L113,1)),IF($C113="Paying back",0,IF(AND(OR(Housemates!$C$14="",Housemates!$C$14&lt;=$B113),OR(Housemates!$D$14="",Housemates!$D$14&gt;=$B113)),IF($Q113=0,1,INDEX(Bills!$AG$6:$AG$25,$Q113)),0))))</f>
        <v/>
      </c>
      <c r="Z113">
        <f>IF(OR($D113="",$B113="",Housemates!$B$15=""),0,IF($R113&gt;0,IF(M113="",0,IF(ISNUMBER(M113),M113,1)),IF($C113="Paying back",0,IF(AND(OR(Housemates!$C$15="",Housemates!$C$15&lt;=$B113),OR(Housemates!$D$15="",Housemates!$D$15&gt;=$B113)),IF($Q113=0,1,INDEX(Bills!$AH$6:$AH$25,$Q113)),0))))</f>
        <v/>
      </c>
      <c r="AA113">
        <f>SUM(S113:Z113)</f>
        <v/>
      </c>
      <c r="AB113">
        <f>IF(AA113=0,0,D113*S113/AA113)</f>
        <v/>
      </c>
      <c r="AC113">
        <f>IF(AA113=0,0,D113*T113/AA113)</f>
        <v/>
      </c>
      <c r="AD113">
        <f>IF(AA113=0,0,D113*U113/AA113)</f>
        <v/>
      </c>
      <c r="AE113">
        <f>IF(AA113=0,0,D113*V113/AA113)</f>
        <v/>
      </c>
      <c r="AF113">
        <f>IF(AA113=0,0,D113*W113/AA113)</f>
        <v/>
      </c>
      <c r="AG113">
        <f>IF(AA113=0,0,D113*X113/AA113)</f>
        <v/>
      </c>
      <c r="AH113">
        <f>IF(AA113=0,0,D113*Y113/AA113)</f>
        <v/>
      </c>
      <c r="AI113">
        <f>IF(AA113=0,0,D113*Z113/AA113)</f>
        <v/>
      </c>
      <c r="AJ113">
        <f>IF(OR(C113="",B113=""),"",C113&amp;"|"&amp;(YEAR(B113)*100+MONTH(B113)))</f>
        <v/>
      </c>
    </row>
    <row r="114">
      <c r="A114" s="1" t="n"/>
      <c r="B114" s="23" t="n"/>
      <c r="C114" s="24" t="n"/>
      <c r="D114" s="25" t="n"/>
      <c r="E114" s="26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1">
        <f>IF(D114="","",IF(B114="","No date",IF(AND(C114="Paying back",R114=0),"To whom?",IF(AA114=0,"Nobody",IF(C114="Paying back","To "&amp;INDEX(Housemates!$B$8:$B$15,MATCH(MAX(S114:Z114),S114:Z114,0)),IF(R114&gt;0,IF(COUNTIF(S114:Z114,"&gt;0")=1,"1 person",COUNTIF(S114:Z114,"&gt;0")&amp;" people"),IF(Q114=0,"Everyone",INDEX(Bills!$Q$6:$Q$25,Q114))))))))</f>
        <v/>
      </c>
      <c r="O114" s="18">
        <f>IF(D114="","",IF(C114="Paying back","Paying back",IF(Q114=0,"Other",IF(INDEX(Bills!$C$6:$C$25,Q114)="","Other",INDEX(Bills!$C$6:$C$25,Q114)))))</f>
        <v/>
      </c>
      <c r="P114" s="1" t="n"/>
      <c r="Q114">
        <f>IF(C114="",0,IFERROR(MATCH(C114,Bills!$B$6:$B$25,0),0))</f>
        <v/>
      </c>
      <c r="R114">
        <f>COUNTA(F114:M114)</f>
        <v/>
      </c>
      <c r="S114">
        <f>IF(OR($D114="",$B114="",Housemates!$B$8=""),0,IF($R114&gt;0,IF(F114="",0,IF(ISNUMBER(F114),F114,1)),IF($C114="Paying back",0,IF(AND(OR(Housemates!$C$8="",Housemates!$C$8&lt;=$B114),OR(Housemates!$D$8="",Housemates!$D$8&gt;=$B114)),IF($Q114=0,1,INDEX(Bills!$AA$6:$AA$25,$Q114)),0))))</f>
        <v/>
      </c>
      <c r="T114">
        <f>IF(OR($D114="",$B114="",Housemates!$B$9=""),0,IF($R114&gt;0,IF(G114="",0,IF(ISNUMBER(G114),G114,1)),IF($C114="Paying back",0,IF(AND(OR(Housemates!$C$9="",Housemates!$C$9&lt;=$B114),OR(Housemates!$D$9="",Housemates!$D$9&gt;=$B114)),IF($Q114=0,1,INDEX(Bills!$AB$6:$AB$25,$Q114)),0))))</f>
        <v/>
      </c>
      <c r="U114">
        <f>IF(OR($D114="",$B114="",Housemates!$B$10=""),0,IF($R114&gt;0,IF(H114="",0,IF(ISNUMBER(H114),H114,1)),IF($C114="Paying back",0,IF(AND(OR(Housemates!$C$10="",Housemates!$C$10&lt;=$B114),OR(Housemates!$D$10="",Housemates!$D$10&gt;=$B114)),IF($Q114=0,1,INDEX(Bills!$AC$6:$AC$25,$Q114)),0))))</f>
        <v/>
      </c>
      <c r="V114">
        <f>IF(OR($D114="",$B114="",Housemates!$B$11=""),0,IF($R114&gt;0,IF(I114="",0,IF(ISNUMBER(I114),I114,1)),IF($C114="Paying back",0,IF(AND(OR(Housemates!$C$11="",Housemates!$C$11&lt;=$B114),OR(Housemates!$D$11="",Housemates!$D$11&gt;=$B114)),IF($Q114=0,1,INDEX(Bills!$AD$6:$AD$25,$Q114)),0))))</f>
        <v/>
      </c>
      <c r="W114">
        <f>IF(OR($D114="",$B114="",Housemates!$B$12=""),0,IF($R114&gt;0,IF(J114="",0,IF(ISNUMBER(J114),J114,1)),IF($C114="Paying back",0,IF(AND(OR(Housemates!$C$12="",Housemates!$C$12&lt;=$B114),OR(Housemates!$D$12="",Housemates!$D$12&gt;=$B114)),IF($Q114=0,1,INDEX(Bills!$AE$6:$AE$25,$Q114)),0))))</f>
        <v/>
      </c>
      <c r="X114">
        <f>IF(OR($D114="",$B114="",Housemates!$B$13=""),0,IF($R114&gt;0,IF(K114="",0,IF(ISNUMBER(K114),K114,1)),IF($C114="Paying back",0,IF(AND(OR(Housemates!$C$13="",Housemates!$C$13&lt;=$B114),OR(Housemates!$D$13="",Housemates!$D$13&gt;=$B114)),IF($Q114=0,1,INDEX(Bills!$AF$6:$AF$25,$Q114)),0))))</f>
        <v/>
      </c>
      <c r="Y114">
        <f>IF(OR($D114="",$B114="",Housemates!$B$14=""),0,IF($R114&gt;0,IF(L114="",0,IF(ISNUMBER(L114),L114,1)),IF($C114="Paying back",0,IF(AND(OR(Housemates!$C$14="",Housemates!$C$14&lt;=$B114),OR(Housemates!$D$14="",Housemates!$D$14&gt;=$B114)),IF($Q114=0,1,INDEX(Bills!$AG$6:$AG$25,$Q114)),0))))</f>
        <v/>
      </c>
      <c r="Z114">
        <f>IF(OR($D114="",$B114="",Housemates!$B$15=""),0,IF($R114&gt;0,IF(M114="",0,IF(ISNUMBER(M114),M114,1)),IF($C114="Paying back",0,IF(AND(OR(Housemates!$C$15="",Housemates!$C$15&lt;=$B114),OR(Housemates!$D$15="",Housemates!$D$15&gt;=$B114)),IF($Q114=0,1,INDEX(Bills!$AH$6:$AH$25,$Q114)),0))))</f>
        <v/>
      </c>
      <c r="AA114">
        <f>SUM(S114:Z114)</f>
        <v/>
      </c>
      <c r="AB114">
        <f>IF(AA114=0,0,D114*S114/AA114)</f>
        <v/>
      </c>
      <c r="AC114">
        <f>IF(AA114=0,0,D114*T114/AA114)</f>
        <v/>
      </c>
      <c r="AD114">
        <f>IF(AA114=0,0,D114*U114/AA114)</f>
        <v/>
      </c>
      <c r="AE114">
        <f>IF(AA114=0,0,D114*V114/AA114)</f>
        <v/>
      </c>
      <c r="AF114">
        <f>IF(AA114=0,0,D114*W114/AA114)</f>
        <v/>
      </c>
      <c r="AG114">
        <f>IF(AA114=0,0,D114*X114/AA114)</f>
        <v/>
      </c>
      <c r="AH114">
        <f>IF(AA114=0,0,D114*Y114/AA114)</f>
        <v/>
      </c>
      <c r="AI114">
        <f>IF(AA114=0,0,D114*Z114/AA114)</f>
        <v/>
      </c>
      <c r="AJ114">
        <f>IF(OR(C114="",B114=""),"",C114&amp;"|"&amp;(YEAR(B114)*100+MONTH(B114)))</f>
        <v/>
      </c>
    </row>
    <row r="115">
      <c r="A115" s="1" t="n"/>
      <c r="B115" s="23" t="n"/>
      <c r="C115" s="24" t="n"/>
      <c r="D115" s="25" t="n"/>
      <c r="E115" s="26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1">
        <f>IF(D115="","",IF(B115="","No date",IF(AND(C115="Paying back",R115=0),"To whom?",IF(AA115=0,"Nobody",IF(C115="Paying back","To "&amp;INDEX(Housemates!$B$8:$B$15,MATCH(MAX(S115:Z115),S115:Z115,0)),IF(R115&gt;0,IF(COUNTIF(S115:Z115,"&gt;0")=1,"1 person",COUNTIF(S115:Z115,"&gt;0")&amp;" people"),IF(Q115=0,"Everyone",INDEX(Bills!$Q$6:$Q$25,Q115))))))))</f>
        <v/>
      </c>
      <c r="O115" s="18">
        <f>IF(D115="","",IF(C115="Paying back","Paying back",IF(Q115=0,"Other",IF(INDEX(Bills!$C$6:$C$25,Q115)="","Other",INDEX(Bills!$C$6:$C$25,Q115)))))</f>
        <v/>
      </c>
      <c r="P115" s="1" t="n"/>
      <c r="Q115">
        <f>IF(C115="",0,IFERROR(MATCH(C115,Bills!$B$6:$B$25,0),0))</f>
        <v/>
      </c>
      <c r="R115">
        <f>COUNTA(F115:M115)</f>
        <v/>
      </c>
      <c r="S115">
        <f>IF(OR($D115="",$B115="",Housemates!$B$8=""),0,IF($R115&gt;0,IF(F115="",0,IF(ISNUMBER(F115),F115,1)),IF($C115="Paying back",0,IF(AND(OR(Housemates!$C$8="",Housemates!$C$8&lt;=$B115),OR(Housemates!$D$8="",Housemates!$D$8&gt;=$B115)),IF($Q115=0,1,INDEX(Bills!$AA$6:$AA$25,$Q115)),0))))</f>
        <v/>
      </c>
      <c r="T115">
        <f>IF(OR($D115="",$B115="",Housemates!$B$9=""),0,IF($R115&gt;0,IF(G115="",0,IF(ISNUMBER(G115),G115,1)),IF($C115="Paying back",0,IF(AND(OR(Housemates!$C$9="",Housemates!$C$9&lt;=$B115),OR(Housemates!$D$9="",Housemates!$D$9&gt;=$B115)),IF($Q115=0,1,INDEX(Bills!$AB$6:$AB$25,$Q115)),0))))</f>
        <v/>
      </c>
      <c r="U115">
        <f>IF(OR($D115="",$B115="",Housemates!$B$10=""),0,IF($R115&gt;0,IF(H115="",0,IF(ISNUMBER(H115),H115,1)),IF($C115="Paying back",0,IF(AND(OR(Housemates!$C$10="",Housemates!$C$10&lt;=$B115),OR(Housemates!$D$10="",Housemates!$D$10&gt;=$B115)),IF($Q115=0,1,INDEX(Bills!$AC$6:$AC$25,$Q115)),0))))</f>
        <v/>
      </c>
      <c r="V115">
        <f>IF(OR($D115="",$B115="",Housemates!$B$11=""),0,IF($R115&gt;0,IF(I115="",0,IF(ISNUMBER(I115),I115,1)),IF($C115="Paying back",0,IF(AND(OR(Housemates!$C$11="",Housemates!$C$11&lt;=$B115),OR(Housemates!$D$11="",Housemates!$D$11&gt;=$B115)),IF($Q115=0,1,INDEX(Bills!$AD$6:$AD$25,$Q115)),0))))</f>
        <v/>
      </c>
      <c r="W115">
        <f>IF(OR($D115="",$B115="",Housemates!$B$12=""),0,IF($R115&gt;0,IF(J115="",0,IF(ISNUMBER(J115),J115,1)),IF($C115="Paying back",0,IF(AND(OR(Housemates!$C$12="",Housemates!$C$12&lt;=$B115),OR(Housemates!$D$12="",Housemates!$D$12&gt;=$B115)),IF($Q115=0,1,INDEX(Bills!$AE$6:$AE$25,$Q115)),0))))</f>
        <v/>
      </c>
      <c r="X115">
        <f>IF(OR($D115="",$B115="",Housemates!$B$13=""),0,IF($R115&gt;0,IF(K115="",0,IF(ISNUMBER(K115),K115,1)),IF($C115="Paying back",0,IF(AND(OR(Housemates!$C$13="",Housemates!$C$13&lt;=$B115),OR(Housemates!$D$13="",Housemates!$D$13&gt;=$B115)),IF($Q115=0,1,INDEX(Bills!$AF$6:$AF$25,$Q115)),0))))</f>
        <v/>
      </c>
      <c r="Y115">
        <f>IF(OR($D115="",$B115="",Housemates!$B$14=""),0,IF($R115&gt;0,IF(L115="",0,IF(ISNUMBER(L115),L115,1)),IF($C115="Paying back",0,IF(AND(OR(Housemates!$C$14="",Housemates!$C$14&lt;=$B115),OR(Housemates!$D$14="",Housemates!$D$14&gt;=$B115)),IF($Q115=0,1,INDEX(Bills!$AG$6:$AG$25,$Q115)),0))))</f>
        <v/>
      </c>
      <c r="Z115">
        <f>IF(OR($D115="",$B115="",Housemates!$B$15=""),0,IF($R115&gt;0,IF(M115="",0,IF(ISNUMBER(M115),M115,1)),IF($C115="Paying back",0,IF(AND(OR(Housemates!$C$15="",Housemates!$C$15&lt;=$B115),OR(Housemates!$D$15="",Housemates!$D$15&gt;=$B115)),IF($Q115=0,1,INDEX(Bills!$AH$6:$AH$25,$Q115)),0))))</f>
        <v/>
      </c>
      <c r="AA115">
        <f>SUM(S115:Z115)</f>
        <v/>
      </c>
      <c r="AB115">
        <f>IF(AA115=0,0,D115*S115/AA115)</f>
        <v/>
      </c>
      <c r="AC115">
        <f>IF(AA115=0,0,D115*T115/AA115)</f>
        <v/>
      </c>
      <c r="AD115">
        <f>IF(AA115=0,0,D115*U115/AA115)</f>
        <v/>
      </c>
      <c r="AE115">
        <f>IF(AA115=0,0,D115*V115/AA115)</f>
        <v/>
      </c>
      <c r="AF115">
        <f>IF(AA115=0,0,D115*W115/AA115)</f>
        <v/>
      </c>
      <c r="AG115">
        <f>IF(AA115=0,0,D115*X115/AA115)</f>
        <v/>
      </c>
      <c r="AH115">
        <f>IF(AA115=0,0,D115*Y115/AA115)</f>
        <v/>
      </c>
      <c r="AI115">
        <f>IF(AA115=0,0,D115*Z115/AA115)</f>
        <v/>
      </c>
      <c r="AJ115">
        <f>IF(OR(C115="",B115=""),"",C115&amp;"|"&amp;(YEAR(B115)*100+MONTH(B115)))</f>
        <v/>
      </c>
    </row>
    <row r="116">
      <c r="A116" s="1" t="n"/>
      <c r="B116" s="23" t="n"/>
      <c r="C116" s="24" t="n"/>
      <c r="D116" s="25" t="n"/>
      <c r="E116" s="26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1">
        <f>IF(D116="","",IF(B116="","No date",IF(AND(C116="Paying back",R116=0),"To whom?",IF(AA116=0,"Nobody",IF(C116="Paying back","To "&amp;INDEX(Housemates!$B$8:$B$15,MATCH(MAX(S116:Z116),S116:Z116,0)),IF(R116&gt;0,IF(COUNTIF(S116:Z116,"&gt;0")=1,"1 person",COUNTIF(S116:Z116,"&gt;0")&amp;" people"),IF(Q116=0,"Everyone",INDEX(Bills!$Q$6:$Q$25,Q116))))))))</f>
        <v/>
      </c>
      <c r="O116" s="18">
        <f>IF(D116="","",IF(C116="Paying back","Paying back",IF(Q116=0,"Other",IF(INDEX(Bills!$C$6:$C$25,Q116)="","Other",INDEX(Bills!$C$6:$C$25,Q116)))))</f>
        <v/>
      </c>
      <c r="P116" s="1" t="n"/>
      <c r="Q116">
        <f>IF(C116="",0,IFERROR(MATCH(C116,Bills!$B$6:$B$25,0),0))</f>
        <v/>
      </c>
      <c r="R116">
        <f>COUNTA(F116:M116)</f>
        <v/>
      </c>
      <c r="S116">
        <f>IF(OR($D116="",$B116="",Housemates!$B$8=""),0,IF($R116&gt;0,IF(F116="",0,IF(ISNUMBER(F116),F116,1)),IF($C116="Paying back",0,IF(AND(OR(Housemates!$C$8="",Housemates!$C$8&lt;=$B116),OR(Housemates!$D$8="",Housemates!$D$8&gt;=$B116)),IF($Q116=0,1,INDEX(Bills!$AA$6:$AA$25,$Q116)),0))))</f>
        <v/>
      </c>
      <c r="T116">
        <f>IF(OR($D116="",$B116="",Housemates!$B$9=""),0,IF($R116&gt;0,IF(G116="",0,IF(ISNUMBER(G116),G116,1)),IF($C116="Paying back",0,IF(AND(OR(Housemates!$C$9="",Housemates!$C$9&lt;=$B116),OR(Housemates!$D$9="",Housemates!$D$9&gt;=$B116)),IF($Q116=0,1,INDEX(Bills!$AB$6:$AB$25,$Q116)),0))))</f>
        <v/>
      </c>
      <c r="U116">
        <f>IF(OR($D116="",$B116="",Housemates!$B$10=""),0,IF($R116&gt;0,IF(H116="",0,IF(ISNUMBER(H116),H116,1)),IF($C116="Paying back",0,IF(AND(OR(Housemates!$C$10="",Housemates!$C$10&lt;=$B116),OR(Housemates!$D$10="",Housemates!$D$10&gt;=$B116)),IF($Q116=0,1,INDEX(Bills!$AC$6:$AC$25,$Q116)),0))))</f>
        <v/>
      </c>
      <c r="V116">
        <f>IF(OR($D116="",$B116="",Housemates!$B$11=""),0,IF($R116&gt;0,IF(I116="",0,IF(ISNUMBER(I116),I116,1)),IF($C116="Paying back",0,IF(AND(OR(Housemates!$C$11="",Housemates!$C$11&lt;=$B116),OR(Housemates!$D$11="",Housemates!$D$11&gt;=$B116)),IF($Q116=0,1,INDEX(Bills!$AD$6:$AD$25,$Q116)),0))))</f>
        <v/>
      </c>
      <c r="W116">
        <f>IF(OR($D116="",$B116="",Housemates!$B$12=""),0,IF($R116&gt;0,IF(J116="",0,IF(ISNUMBER(J116),J116,1)),IF($C116="Paying back",0,IF(AND(OR(Housemates!$C$12="",Housemates!$C$12&lt;=$B116),OR(Housemates!$D$12="",Housemates!$D$12&gt;=$B116)),IF($Q116=0,1,INDEX(Bills!$AE$6:$AE$25,$Q116)),0))))</f>
        <v/>
      </c>
      <c r="X116">
        <f>IF(OR($D116="",$B116="",Housemates!$B$13=""),0,IF($R116&gt;0,IF(K116="",0,IF(ISNUMBER(K116),K116,1)),IF($C116="Paying back",0,IF(AND(OR(Housemates!$C$13="",Housemates!$C$13&lt;=$B116),OR(Housemates!$D$13="",Housemates!$D$13&gt;=$B116)),IF($Q116=0,1,INDEX(Bills!$AF$6:$AF$25,$Q116)),0))))</f>
        <v/>
      </c>
      <c r="Y116">
        <f>IF(OR($D116="",$B116="",Housemates!$B$14=""),0,IF($R116&gt;0,IF(L116="",0,IF(ISNUMBER(L116),L116,1)),IF($C116="Paying back",0,IF(AND(OR(Housemates!$C$14="",Housemates!$C$14&lt;=$B116),OR(Housemates!$D$14="",Housemates!$D$14&gt;=$B116)),IF($Q116=0,1,INDEX(Bills!$AG$6:$AG$25,$Q116)),0))))</f>
        <v/>
      </c>
      <c r="Z116">
        <f>IF(OR($D116="",$B116="",Housemates!$B$15=""),0,IF($R116&gt;0,IF(M116="",0,IF(ISNUMBER(M116),M116,1)),IF($C116="Paying back",0,IF(AND(OR(Housemates!$C$15="",Housemates!$C$15&lt;=$B116),OR(Housemates!$D$15="",Housemates!$D$15&gt;=$B116)),IF($Q116=0,1,INDEX(Bills!$AH$6:$AH$25,$Q116)),0))))</f>
        <v/>
      </c>
      <c r="AA116">
        <f>SUM(S116:Z116)</f>
        <v/>
      </c>
      <c r="AB116">
        <f>IF(AA116=0,0,D116*S116/AA116)</f>
        <v/>
      </c>
      <c r="AC116">
        <f>IF(AA116=0,0,D116*T116/AA116)</f>
        <v/>
      </c>
      <c r="AD116">
        <f>IF(AA116=0,0,D116*U116/AA116)</f>
        <v/>
      </c>
      <c r="AE116">
        <f>IF(AA116=0,0,D116*V116/AA116)</f>
        <v/>
      </c>
      <c r="AF116">
        <f>IF(AA116=0,0,D116*W116/AA116)</f>
        <v/>
      </c>
      <c r="AG116">
        <f>IF(AA116=0,0,D116*X116/AA116)</f>
        <v/>
      </c>
      <c r="AH116">
        <f>IF(AA116=0,0,D116*Y116/AA116)</f>
        <v/>
      </c>
      <c r="AI116">
        <f>IF(AA116=0,0,D116*Z116/AA116)</f>
        <v/>
      </c>
      <c r="AJ116">
        <f>IF(OR(C116="",B116=""),"",C116&amp;"|"&amp;(YEAR(B116)*100+MONTH(B116)))</f>
        <v/>
      </c>
    </row>
    <row r="117">
      <c r="A117" s="1" t="n"/>
      <c r="B117" s="23" t="n"/>
      <c r="C117" s="24" t="n"/>
      <c r="D117" s="25" t="n"/>
      <c r="E117" s="26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1">
        <f>IF(D117="","",IF(B117="","No date",IF(AND(C117="Paying back",R117=0),"To whom?",IF(AA117=0,"Nobody",IF(C117="Paying back","To "&amp;INDEX(Housemates!$B$8:$B$15,MATCH(MAX(S117:Z117),S117:Z117,0)),IF(R117&gt;0,IF(COUNTIF(S117:Z117,"&gt;0")=1,"1 person",COUNTIF(S117:Z117,"&gt;0")&amp;" people"),IF(Q117=0,"Everyone",INDEX(Bills!$Q$6:$Q$25,Q117))))))))</f>
        <v/>
      </c>
      <c r="O117" s="18">
        <f>IF(D117="","",IF(C117="Paying back","Paying back",IF(Q117=0,"Other",IF(INDEX(Bills!$C$6:$C$25,Q117)="","Other",INDEX(Bills!$C$6:$C$25,Q117)))))</f>
        <v/>
      </c>
      <c r="P117" s="1" t="n"/>
      <c r="Q117">
        <f>IF(C117="",0,IFERROR(MATCH(C117,Bills!$B$6:$B$25,0),0))</f>
        <v/>
      </c>
      <c r="R117">
        <f>COUNTA(F117:M117)</f>
        <v/>
      </c>
      <c r="S117">
        <f>IF(OR($D117="",$B117="",Housemates!$B$8=""),0,IF($R117&gt;0,IF(F117="",0,IF(ISNUMBER(F117),F117,1)),IF($C117="Paying back",0,IF(AND(OR(Housemates!$C$8="",Housemates!$C$8&lt;=$B117),OR(Housemates!$D$8="",Housemates!$D$8&gt;=$B117)),IF($Q117=0,1,INDEX(Bills!$AA$6:$AA$25,$Q117)),0))))</f>
        <v/>
      </c>
      <c r="T117">
        <f>IF(OR($D117="",$B117="",Housemates!$B$9=""),0,IF($R117&gt;0,IF(G117="",0,IF(ISNUMBER(G117),G117,1)),IF($C117="Paying back",0,IF(AND(OR(Housemates!$C$9="",Housemates!$C$9&lt;=$B117),OR(Housemates!$D$9="",Housemates!$D$9&gt;=$B117)),IF($Q117=0,1,INDEX(Bills!$AB$6:$AB$25,$Q117)),0))))</f>
        <v/>
      </c>
      <c r="U117">
        <f>IF(OR($D117="",$B117="",Housemates!$B$10=""),0,IF($R117&gt;0,IF(H117="",0,IF(ISNUMBER(H117),H117,1)),IF($C117="Paying back",0,IF(AND(OR(Housemates!$C$10="",Housemates!$C$10&lt;=$B117),OR(Housemates!$D$10="",Housemates!$D$10&gt;=$B117)),IF($Q117=0,1,INDEX(Bills!$AC$6:$AC$25,$Q117)),0))))</f>
        <v/>
      </c>
      <c r="V117">
        <f>IF(OR($D117="",$B117="",Housemates!$B$11=""),0,IF($R117&gt;0,IF(I117="",0,IF(ISNUMBER(I117),I117,1)),IF($C117="Paying back",0,IF(AND(OR(Housemates!$C$11="",Housemates!$C$11&lt;=$B117),OR(Housemates!$D$11="",Housemates!$D$11&gt;=$B117)),IF($Q117=0,1,INDEX(Bills!$AD$6:$AD$25,$Q117)),0))))</f>
        <v/>
      </c>
      <c r="W117">
        <f>IF(OR($D117="",$B117="",Housemates!$B$12=""),0,IF($R117&gt;0,IF(J117="",0,IF(ISNUMBER(J117),J117,1)),IF($C117="Paying back",0,IF(AND(OR(Housemates!$C$12="",Housemates!$C$12&lt;=$B117),OR(Housemates!$D$12="",Housemates!$D$12&gt;=$B117)),IF($Q117=0,1,INDEX(Bills!$AE$6:$AE$25,$Q117)),0))))</f>
        <v/>
      </c>
      <c r="X117">
        <f>IF(OR($D117="",$B117="",Housemates!$B$13=""),0,IF($R117&gt;0,IF(K117="",0,IF(ISNUMBER(K117),K117,1)),IF($C117="Paying back",0,IF(AND(OR(Housemates!$C$13="",Housemates!$C$13&lt;=$B117),OR(Housemates!$D$13="",Housemates!$D$13&gt;=$B117)),IF($Q117=0,1,INDEX(Bills!$AF$6:$AF$25,$Q117)),0))))</f>
        <v/>
      </c>
      <c r="Y117">
        <f>IF(OR($D117="",$B117="",Housemates!$B$14=""),0,IF($R117&gt;0,IF(L117="",0,IF(ISNUMBER(L117),L117,1)),IF($C117="Paying back",0,IF(AND(OR(Housemates!$C$14="",Housemates!$C$14&lt;=$B117),OR(Housemates!$D$14="",Housemates!$D$14&gt;=$B117)),IF($Q117=0,1,INDEX(Bills!$AG$6:$AG$25,$Q117)),0))))</f>
        <v/>
      </c>
      <c r="Z117">
        <f>IF(OR($D117="",$B117="",Housemates!$B$15=""),0,IF($R117&gt;0,IF(M117="",0,IF(ISNUMBER(M117),M117,1)),IF($C117="Paying back",0,IF(AND(OR(Housemates!$C$15="",Housemates!$C$15&lt;=$B117),OR(Housemates!$D$15="",Housemates!$D$15&gt;=$B117)),IF($Q117=0,1,INDEX(Bills!$AH$6:$AH$25,$Q117)),0))))</f>
        <v/>
      </c>
      <c r="AA117">
        <f>SUM(S117:Z117)</f>
        <v/>
      </c>
      <c r="AB117">
        <f>IF(AA117=0,0,D117*S117/AA117)</f>
        <v/>
      </c>
      <c r="AC117">
        <f>IF(AA117=0,0,D117*T117/AA117)</f>
        <v/>
      </c>
      <c r="AD117">
        <f>IF(AA117=0,0,D117*U117/AA117)</f>
        <v/>
      </c>
      <c r="AE117">
        <f>IF(AA117=0,0,D117*V117/AA117)</f>
        <v/>
      </c>
      <c r="AF117">
        <f>IF(AA117=0,0,D117*W117/AA117)</f>
        <v/>
      </c>
      <c r="AG117">
        <f>IF(AA117=0,0,D117*X117/AA117)</f>
        <v/>
      </c>
      <c r="AH117">
        <f>IF(AA117=0,0,D117*Y117/AA117)</f>
        <v/>
      </c>
      <c r="AI117">
        <f>IF(AA117=0,0,D117*Z117/AA117)</f>
        <v/>
      </c>
      <c r="AJ117">
        <f>IF(OR(C117="",B117=""),"",C117&amp;"|"&amp;(YEAR(B117)*100+MONTH(B117)))</f>
        <v/>
      </c>
    </row>
    <row r="118">
      <c r="A118" s="1" t="n"/>
      <c r="B118" s="23" t="n"/>
      <c r="C118" s="24" t="n"/>
      <c r="D118" s="25" t="n"/>
      <c r="E118" s="26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1">
        <f>IF(D118="","",IF(B118="","No date",IF(AND(C118="Paying back",R118=0),"To whom?",IF(AA118=0,"Nobody",IF(C118="Paying back","To "&amp;INDEX(Housemates!$B$8:$B$15,MATCH(MAX(S118:Z118),S118:Z118,0)),IF(R118&gt;0,IF(COUNTIF(S118:Z118,"&gt;0")=1,"1 person",COUNTIF(S118:Z118,"&gt;0")&amp;" people"),IF(Q118=0,"Everyone",INDEX(Bills!$Q$6:$Q$25,Q118))))))))</f>
        <v/>
      </c>
      <c r="O118" s="18">
        <f>IF(D118="","",IF(C118="Paying back","Paying back",IF(Q118=0,"Other",IF(INDEX(Bills!$C$6:$C$25,Q118)="","Other",INDEX(Bills!$C$6:$C$25,Q118)))))</f>
        <v/>
      </c>
      <c r="P118" s="1" t="n"/>
      <c r="Q118">
        <f>IF(C118="",0,IFERROR(MATCH(C118,Bills!$B$6:$B$25,0),0))</f>
        <v/>
      </c>
      <c r="R118">
        <f>COUNTA(F118:M118)</f>
        <v/>
      </c>
      <c r="S118">
        <f>IF(OR($D118="",$B118="",Housemates!$B$8=""),0,IF($R118&gt;0,IF(F118="",0,IF(ISNUMBER(F118),F118,1)),IF($C118="Paying back",0,IF(AND(OR(Housemates!$C$8="",Housemates!$C$8&lt;=$B118),OR(Housemates!$D$8="",Housemates!$D$8&gt;=$B118)),IF($Q118=0,1,INDEX(Bills!$AA$6:$AA$25,$Q118)),0))))</f>
        <v/>
      </c>
      <c r="T118">
        <f>IF(OR($D118="",$B118="",Housemates!$B$9=""),0,IF($R118&gt;0,IF(G118="",0,IF(ISNUMBER(G118),G118,1)),IF($C118="Paying back",0,IF(AND(OR(Housemates!$C$9="",Housemates!$C$9&lt;=$B118),OR(Housemates!$D$9="",Housemates!$D$9&gt;=$B118)),IF($Q118=0,1,INDEX(Bills!$AB$6:$AB$25,$Q118)),0))))</f>
        <v/>
      </c>
      <c r="U118">
        <f>IF(OR($D118="",$B118="",Housemates!$B$10=""),0,IF($R118&gt;0,IF(H118="",0,IF(ISNUMBER(H118),H118,1)),IF($C118="Paying back",0,IF(AND(OR(Housemates!$C$10="",Housemates!$C$10&lt;=$B118),OR(Housemates!$D$10="",Housemates!$D$10&gt;=$B118)),IF($Q118=0,1,INDEX(Bills!$AC$6:$AC$25,$Q118)),0))))</f>
        <v/>
      </c>
      <c r="V118">
        <f>IF(OR($D118="",$B118="",Housemates!$B$11=""),0,IF($R118&gt;0,IF(I118="",0,IF(ISNUMBER(I118),I118,1)),IF($C118="Paying back",0,IF(AND(OR(Housemates!$C$11="",Housemates!$C$11&lt;=$B118),OR(Housemates!$D$11="",Housemates!$D$11&gt;=$B118)),IF($Q118=0,1,INDEX(Bills!$AD$6:$AD$25,$Q118)),0))))</f>
        <v/>
      </c>
      <c r="W118">
        <f>IF(OR($D118="",$B118="",Housemates!$B$12=""),0,IF($R118&gt;0,IF(J118="",0,IF(ISNUMBER(J118),J118,1)),IF($C118="Paying back",0,IF(AND(OR(Housemates!$C$12="",Housemates!$C$12&lt;=$B118),OR(Housemates!$D$12="",Housemates!$D$12&gt;=$B118)),IF($Q118=0,1,INDEX(Bills!$AE$6:$AE$25,$Q118)),0))))</f>
        <v/>
      </c>
      <c r="X118">
        <f>IF(OR($D118="",$B118="",Housemates!$B$13=""),0,IF($R118&gt;0,IF(K118="",0,IF(ISNUMBER(K118),K118,1)),IF($C118="Paying back",0,IF(AND(OR(Housemates!$C$13="",Housemates!$C$13&lt;=$B118),OR(Housemates!$D$13="",Housemates!$D$13&gt;=$B118)),IF($Q118=0,1,INDEX(Bills!$AF$6:$AF$25,$Q118)),0))))</f>
        <v/>
      </c>
      <c r="Y118">
        <f>IF(OR($D118="",$B118="",Housemates!$B$14=""),0,IF($R118&gt;0,IF(L118="",0,IF(ISNUMBER(L118),L118,1)),IF($C118="Paying back",0,IF(AND(OR(Housemates!$C$14="",Housemates!$C$14&lt;=$B118),OR(Housemates!$D$14="",Housemates!$D$14&gt;=$B118)),IF($Q118=0,1,INDEX(Bills!$AG$6:$AG$25,$Q118)),0))))</f>
        <v/>
      </c>
      <c r="Z118">
        <f>IF(OR($D118="",$B118="",Housemates!$B$15=""),0,IF($R118&gt;0,IF(M118="",0,IF(ISNUMBER(M118),M118,1)),IF($C118="Paying back",0,IF(AND(OR(Housemates!$C$15="",Housemates!$C$15&lt;=$B118),OR(Housemates!$D$15="",Housemates!$D$15&gt;=$B118)),IF($Q118=0,1,INDEX(Bills!$AH$6:$AH$25,$Q118)),0))))</f>
        <v/>
      </c>
      <c r="AA118">
        <f>SUM(S118:Z118)</f>
        <v/>
      </c>
      <c r="AB118">
        <f>IF(AA118=0,0,D118*S118/AA118)</f>
        <v/>
      </c>
      <c r="AC118">
        <f>IF(AA118=0,0,D118*T118/AA118)</f>
        <v/>
      </c>
      <c r="AD118">
        <f>IF(AA118=0,0,D118*U118/AA118)</f>
        <v/>
      </c>
      <c r="AE118">
        <f>IF(AA118=0,0,D118*V118/AA118)</f>
        <v/>
      </c>
      <c r="AF118">
        <f>IF(AA118=0,0,D118*W118/AA118)</f>
        <v/>
      </c>
      <c r="AG118">
        <f>IF(AA118=0,0,D118*X118/AA118)</f>
        <v/>
      </c>
      <c r="AH118">
        <f>IF(AA118=0,0,D118*Y118/AA118)</f>
        <v/>
      </c>
      <c r="AI118">
        <f>IF(AA118=0,0,D118*Z118/AA118)</f>
        <v/>
      </c>
      <c r="AJ118">
        <f>IF(OR(C118="",B118=""),"",C118&amp;"|"&amp;(YEAR(B118)*100+MONTH(B118)))</f>
        <v/>
      </c>
    </row>
    <row r="119">
      <c r="A119" s="1" t="n"/>
      <c r="B119" s="23" t="n"/>
      <c r="C119" s="24" t="n"/>
      <c r="D119" s="25" t="n"/>
      <c r="E119" s="26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1">
        <f>IF(D119="","",IF(B119="","No date",IF(AND(C119="Paying back",R119=0),"To whom?",IF(AA119=0,"Nobody",IF(C119="Paying back","To "&amp;INDEX(Housemates!$B$8:$B$15,MATCH(MAX(S119:Z119),S119:Z119,0)),IF(R119&gt;0,IF(COUNTIF(S119:Z119,"&gt;0")=1,"1 person",COUNTIF(S119:Z119,"&gt;0")&amp;" people"),IF(Q119=0,"Everyone",INDEX(Bills!$Q$6:$Q$25,Q119))))))))</f>
        <v/>
      </c>
      <c r="O119" s="18">
        <f>IF(D119="","",IF(C119="Paying back","Paying back",IF(Q119=0,"Other",IF(INDEX(Bills!$C$6:$C$25,Q119)="","Other",INDEX(Bills!$C$6:$C$25,Q119)))))</f>
        <v/>
      </c>
      <c r="P119" s="1" t="n"/>
      <c r="Q119">
        <f>IF(C119="",0,IFERROR(MATCH(C119,Bills!$B$6:$B$25,0),0))</f>
        <v/>
      </c>
      <c r="R119">
        <f>COUNTA(F119:M119)</f>
        <v/>
      </c>
      <c r="S119">
        <f>IF(OR($D119="",$B119="",Housemates!$B$8=""),0,IF($R119&gt;0,IF(F119="",0,IF(ISNUMBER(F119),F119,1)),IF($C119="Paying back",0,IF(AND(OR(Housemates!$C$8="",Housemates!$C$8&lt;=$B119),OR(Housemates!$D$8="",Housemates!$D$8&gt;=$B119)),IF($Q119=0,1,INDEX(Bills!$AA$6:$AA$25,$Q119)),0))))</f>
        <v/>
      </c>
      <c r="T119">
        <f>IF(OR($D119="",$B119="",Housemates!$B$9=""),0,IF($R119&gt;0,IF(G119="",0,IF(ISNUMBER(G119),G119,1)),IF($C119="Paying back",0,IF(AND(OR(Housemates!$C$9="",Housemates!$C$9&lt;=$B119),OR(Housemates!$D$9="",Housemates!$D$9&gt;=$B119)),IF($Q119=0,1,INDEX(Bills!$AB$6:$AB$25,$Q119)),0))))</f>
        <v/>
      </c>
      <c r="U119">
        <f>IF(OR($D119="",$B119="",Housemates!$B$10=""),0,IF($R119&gt;0,IF(H119="",0,IF(ISNUMBER(H119),H119,1)),IF($C119="Paying back",0,IF(AND(OR(Housemates!$C$10="",Housemates!$C$10&lt;=$B119),OR(Housemates!$D$10="",Housemates!$D$10&gt;=$B119)),IF($Q119=0,1,INDEX(Bills!$AC$6:$AC$25,$Q119)),0))))</f>
        <v/>
      </c>
      <c r="V119">
        <f>IF(OR($D119="",$B119="",Housemates!$B$11=""),0,IF($R119&gt;0,IF(I119="",0,IF(ISNUMBER(I119),I119,1)),IF($C119="Paying back",0,IF(AND(OR(Housemates!$C$11="",Housemates!$C$11&lt;=$B119),OR(Housemates!$D$11="",Housemates!$D$11&gt;=$B119)),IF($Q119=0,1,INDEX(Bills!$AD$6:$AD$25,$Q119)),0))))</f>
        <v/>
      </c>
      <c r="W119">
        <f>IF(OR($D119="",$B119="",Housemates!$B$12=""),0,IF($R119&gt;0,IF(J119="",0,IF(ISNUMBER(J119),J119,1)),IF($C119="Paying back",0,IF(AND(OR(Housemates!$C$12="",Housemates!$C$12&lt;=$B119),OR(Housemates!$D$12="",Housemates!$D$12&gt;=$B119)),IF($Q119=0,1,INDEX(Bills!$AE$6:$AE$25,$Q119)),0))))</f>
        <v/>
      </c>
      <c r="X119">
        <f>IF(OR($D119="",$B119="",Housemates!$B$13=""),0,IF($R119&gt;0,IF(K119="",0,IF(ISNUMBER(K119),K119,1)),IF($C119="Paying back",0,IF(AND(OR(Housemates!$C$13="",Housemates!$C$13&lt;=$B119),OR(Housemates!$D$13="",Housemates!$D$13&gt;=$B119)),IF($Q119=0,1,INDEX(Bills!$AF$6:$AF$25,$Q119)),0))))</f>
        <v/>
      </c>
      <c r="Y119">
        <f>IF(OR($D119="",$B119="",Housemates!$B$14=""),0,IF($R119&gt;0,IF(L119="",0,IF(ISNUMBER(L119),L119,1)),IF($C119="Paying back",0,IF(AND(OR(Housemates!$C$14="",Housemates!$C$14&lt;=$B119),OR(Housemates!$D$14="",Housemates!$D$14&gt;=$B119)),IF($Q119=0,1,INDEX(Bills!$AG$6:$AG$25,$Q119)),0))))</f>
        <v/>
      </c>
      <c r="Z119">
        <f>IF(OR($D119="",$B119="",Housemates!$B$15=""),0,IF($R119&gt;0,IF(M119="",0,IF(ISNUMBER(M119),M119,1)),IF($C119="Paying back",0,IF(AND(OR(Housemates!$C$15="",Housemates!$C$15&lt;=$B119),OR(Housemates!$D$15="",Housemates!$D$15&gt;=$B119)),IF($Q119=0,1,INDEX(Bills!$AH$6:$AH$25,$Q119)),0))))</f>
        <v/>
      </c>
      <c r="AA119">
        <f>SUM(S119:Z119)</f>
        <v/>
      </c>
      <c r="AB119">
        <f>IF(AA119=0,0,D119*S119/AA119)</f>
        <v/>
      </c>
      <c r="AC119">
        <f>IF(AA119=0,0,D119*T119/AA119)</f>
        <v/>
      </c>
      <c r="AD119">
        <f>IF(AA119=0,0,D119*U119/AA119)</f>
        <v/>
      </c>
      <c r="AE119">
        <f>IF(AA119=0,0,D119*V119/AA119)</f>
        <v/>
      </c>
      <c r="AF119">
        <f>IF(AA119=0,0,D119*W119/AA119)</f>
        <v/>
      </c>
      <c r="AG119">
        <f>IF(AA119=0,0,D119*X119/AA119)</f>
        <v/>
      </c>
      <c r="AH119">
        <f>IF(AA119=0,0,D119*Y119/AA119)</f>
        <v/>
      </c>
      <c r="AI119">
        <f>IF(AA119=0,0,D119*Z119/AA119)</f>
        <v/>
      </c>
      <c r="AJ119">
        <f>IF(OR(C119="",B119=""),"",C119&amp;"|"&amp;(YEAR(B119)*100+MONTH(B119)))</f>
        <v/>
      </c>
    </row>
    <row r="120">
      <c r="A120" s="1" t="n"/>
      <c r="B120" s="23" t="n"/>
      <c r="C120" s="24" t="n"/>
      <c r="D120" s="25" t="n"/>
      <c r="E120" s="26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1">
        <f>IF(D120="","",IF(B120="","No date",IF(AND(C120="Paying back",R120=0),"To whom?",IF(AA120=0,"Nobody",IF(C120="Paying back","To "&amp;INDEX(Housemates!$B$8:$B$15,MATCH(MAX(S120:Z120),S120:Z120,0)),IF(R120&gt;0,IF(COUNTIF(S120:Z120,"&gt;0")=1,"1 person",COUNTIF(S120:Z120,"&gt;0")&amp;" people"),IF(Q120=0,"Everyone",INDEX(Bills!$Q$6:$Q$25,Q120))))))))</f>
        <v/>
      </c>
      <c r="O120" s="18">
        <f>IF(D120="","",IF(C120="Paying back","Paying back",IF(Q120=0,"Other",IF(INDEX(Bills!$C$6:$C$25,Q120)="","Other",INDEX(Bills!$C$6:$C$25,Q120)))))</f>
        <v/>
      </c>
      <c r="P120" s="1" t="n"/>
      <c r="Q120">
        <f>IF(C120="",0,IFERROR(MATCH(C120,Bills!$B$6:$B$25,0),0))</f>
        <v/>
      </c>
      <c r="R120">
        <f>COUNTA(F120:M120)</f>
        <v/>
      </c>
      <c r="S120">
        <f>IF(OR($D120="",$B120="",Housemates!$B$8=""),0,IF($R120&gt;0,IF(F120="",0,IF(ISNUMBER(F120),F120,1)),IF($C120="Paying back",0,IF(AND(OR(Housemates!$C$8="",Housemates!$C$8&lt;=$B120),OR(Housemates!$D$8="",Housemates!$D$8&gt;=$B120)),IF($Q120=0,1,INDEX(Bills!$AA$6:$AA$25,$Q120)),0))))</f>
        <v/>
      </c>
      <c r="T120">
        <f>IF(OR($D120="",$B120="",Housemates!$B$9=""),0,IF($R120&gt;0,IF(G120="",0,IF(ISNUMBER(G120),G120,1)),IF($C120="Paying back",0,IF(AND(OR(Housemates!$C$9="",Housemates!$C$9&lt;=$B120),OR(Housemates!$D$9="",Housemates!$D$9&gt;=$B120)),IF($Q120=0,1,INDEX(Bills!$AB$6:$AB$25,$Q120)),0))))</f>
        <v/>
      </c>
      <c r="U120">
        <f>IF(OR($D120="",$B120="",Housemates!$B$10=""),0,IF($R120&gt;0,IF(H120="",0,IF(ISNUMBER(H120),H120,1)),IF($C120="Paying back",0,IF(AND(OR(Housemates!$C$10="",Housemates!$C$10&lt;=$B120),OR(Housemates!$D$10="",Housemates!$D$10&gt;=$B120)),IF($Q120=0,1,INDEX(Bills!$AC$6:$AC$25,$Q120)),0))))</f>
        <v/>
      </c>
      <c r="V120">
        <f>IF(OR($D120="",$B120="",Housemates!$B$11=""),0,IF($R120&gt;0,IF(I120="",0,IF(ISNUMBER(I120),I120,1)),IF($C120="Paying back",0,IF(AND(OR(Housemates!$C$11="",Housemates!$C$11&lt;=$B120),OR(Housemates!$D$11="",Housemates!$D$11&gt;=$B120)),IF($Q120=0,1,INDEX(Bills!$AD$6:$AD$25,$Q120)),0))))</f>
        <v/>
      </c>
      <c r="W120">
        <f>IF(OR($D120="",$B120="",Housemates!$B$12=""),0,IF($R120&gt;0,IF(J120="",0,IF(ISNUMBER(J120),J120,1)),IF($C120="Paying back",0,IF(AND(OR(Housemates!$C$12="",Housemates!$C$12&lt;=$B120),OR(Housemates!$D$12="",Housemates!$D$12&gt;=$B120)),IF($Q120=0,1,INDEX(Bills!$AE$6:$AE$25,$Q120)),0))))</f>
        <v/>
      </c>
      <c r="X120">
        <f>IF(OR($D120="",$B120="",Housemates!$B$13=""),0,IF($R120&gt;0,IF(K120="",0,IF(ISNUMBER(K120),K120,1)),IF($C120="Paying back",0,IF(AND(OR(Housemates!$C$13="",Housemates!$C$13&lt;=$B120),OR(Housemates!$D$13="",Housemates!$D$13&gt;=$B120)),IF($Q120=0,1,INDEX(Bills!$AF$6:$AF$25,$Q120)),0))))</f>
        <v/>
      </c>
      <c r="Y120">
        <f>IF(OR($D120="",$B120="",Housemates!$B$14=""),0,IF($R120&gt;0,IF(L120="",0,IF(ISNUMBER(L120),L120,1)),IF($C120="Paying back",0,IF(AND(OR(Housemates!$C$14="",Housemates!$C$14&lt;=$B120),OR(Housemates!$D$14="",Housemates!$D$14&gt;=$B120)),IF($Q120=0,1,INDEX(Bills!$AG$6:$AG$25,$Q120)),0))))</f>
        <v/>
      </c>
      <c r="Z120">
        <f>IF(OR($D120="",$B120="",Housemates!$B$15=""),0,IF($R120&gt;0,IF(M120="",0,IF(ISNUMBER(M120),M120,1)),IF($C120="Paying back",0,IF(AND(OR(Housemates!$C$15="",Housemates!$C$15&lt;=$B120),OR(Housemates!$D$15="",Housemates!$D$15&gt;=$B120)),IF($Q120=0,1,INDEX(Bills!$AH$6:$AH$25,$Q120)),0))))</f>
        <v/>
      </c>
      <c r="AA120">
        <f>SUM(S120:Z120)</f>
        <v/>
      </c>
      <c r="AB120">
        <f>IF(AA120=0,0,D120*S120/AA120)</f>
        <v/>
      </c>
      <c r="AC120">
        <f>IF(AA120=0,0,D120*T120/AA120)</f>
        <v/>
      </c>
      <c r="AD120">
        <f>IF(AA120=0,0,D120*U120/AA120)</f>
        <v/>
      </c>
      <c r="AE120">
        <f>IF(AA120=0,0,D120*V120/AA120)</f>
        <v/>
      </c>
      <c r="AF120">
        <f>IF(AA120=0,0,D120*W120/AA120)</f>
        <v/>
      </c>
      <c r="AG120">
        <f>IF(AA120=0,0,D120*X120/AA120)</f>
        <v/>
      </c>
      <c r="AH120">
        <f>IF(AA120=0,0,D120*Y120/AA120)</f>
        <v/>
      </c>
      <c r="AI120">
        <f>IF(AA120=0,0,D120*Z120/AA120)</f>
        <v/>
      </c>
      <c r="AJ120">
        <f>IF(OR(C120="",B120=""),"",C120&amp;"|"&amp;(YEAR(B120)*100+MONTH(B120)))</f>
        <v/>
      </c>
    </row>
    <row r="121">
      <c r="A121" s="1" t="n"/>
      <c r="B121" s="23" t="n"/>
      <c r="C121" s="24" t="n"/>
      <c r="D121" s="25" t="n"/>
      <c r="E121" s="26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1">
        <f>IF(D121="","",IF(B121="","No date",IF(AND(C121="Paying back",R121=0),"To whom?",IF(AA121=0,"Nobody",IF(C121="Paying back","To "&amp;INDEX(Housemates!$B$8:$B$15,MATCH(MAX(S121:Z121),S121:Z121,0)),IF(R121&gt;0,IF(COUNTIF(S121:Z121,"&gt;0")=1,"1 person",COUNTIF(S121:Z121,"&gt;0")&amp;" people"),IF(Q121=0,"Everyone",INDEX(Bills!$Q$6:$Q$25,Q121))))))))</f>
        <v/>
      </c>
      <c r="O121" s="18">
        <f>IF(D121="","",IF(C121="Paying back","Paying back",IF(Q121=0,"Other",IF(INDEX(Bills!$C$6:$C$25,Q121)="","Other",INDEX(Bills!$C$6:$C$25,Q121)))))</f>
        <v/>
      </c>
      <c r="P121" s="1" t="n"/>
      <c r="Q121">
        <f>IF(C121="",0,IFERROR(MATCH(C121,Bills!$B$6:$B$25,0),0))</f>
        <v/>
      </c>
      <c r="R121">
        <f>COUNTA(F121:M121)</f>
        <v/>
      </c>
      <c r="S121">
        <f>IF(OR($D121="",$B121="",Housemates!$B$8=""),0,IF($R121&gt;0,IF(F121="",0,IF(ISNUMBER(F121),F121,1)),IF($C121="Paying back",0,IF(AND(OR(Housemates!$C$8="",Housemates!$C$8&lt;=$B121),OR(Housemates!$D$8="",Housemates!$D$8&gt;=$B121)),IF($Q121=0,1,INDEX(Bills!$AA$6:$AA$25,$Q121)),0))))</f>
        <v/>
      </c>
      <c r="T121">
        <f>IF(OR($D121="",$B121="",Housemates!$B$9=""),0,IF($R121&gt;0,IF(G121="",0,IF(ISNUMBER(G121),G121,1)),IF($C121="Paying back",0,IF(AND(OR(Housemates!$C$9="",Housemates!$C$9&lt;=$B121),OR(Housemates!$D$9="",Housemates!$D$9&gt;=$B121)),IF($Q121=0,1,INDEX(Bills!$AB$6:$AB$25,$Q121)),0))))</f>
        <v/>
      </c>
      <c r="U121">
        <f>IF(OR($D121="",$B121="",Housemates!$B$10=""),0,IF($R121&gt;0,IF(H121="",0,IF(ISNUMBER(H121),H121,1)),IF($C121="Paying back",0,IF(AND(OR(Housemates!$C$10="",Housemates!$C$10&lt;=$B121),OR(Housemates!$D$10="",Housemates!$D$10&gt;=$B121)),IF($Q121=0,1,INDEX(Bills!$AC$6:$AC$25,$Q121)),0))))</f>
        <v/>
      </c>
      <c r="V121">
        <f>IF(OR($D121="",$B121="",Housemates!$B$11=""),0,IF($R121&gt;0,IF(I121="",0,IF(ISNUMBER(I121),I121,1)),IF($C121="Paying back",0,IF(AND(OR(Housemates!$C$11="",Housemates!$C$11&lt;=$B121),OR(Housemates!$D$11="",Housemates!$D$11&gt;=$B121)),IF($Q121=0,1,INDEX(Bills!$AD$6:$AD$25,$Q121)),0))))</f>
        <v/>
      </c>
      <c r="W121">
        <f>IF(OR($D121="",$B121="",Housemates!$B$12=""),0,IF($R121&gt;0,IF(J121="",0,IF(ISNUMBER(J121),J121,1)),IF($C121="Paying back",0,IF(AND(OR(Housemates!$C$12="",Housemates!$C$12&lt;=$B121),OR(Housemates!$D$12="",Housemates!$D$12&gt;=$B121)),IF($Q121=0,1,INDEX(Bills!$AE$6:$AE$25,$Q121)),0))))</f>
        <v/>
      </c>
      <c r="X121">
        <f>IF(OR($D121="",$B121="",Housemates!$B$13=""),0,IF($R121&gt;0,IF(K121="",0,IF(ISNUMBER(K121),K121,1)),IF($C121="Paying back",0,IF(AND(OR(Housemates!$C$13="",Housemates!$C$13&lt;=$B121),OR(Housemates!$D$13="",Housemates!$D$13&gt;=$B121)),IF($Q121=0,1,INDEX(Bills!$AF$6:$AF$25,$Q121)),0))))</f>
        <v/>
      </c>
      <c r="Y121">
        <f>IF(OR($D121="",$B121="",Housemates!$B$14=""),0,IF($R121&gt;0,IF(L121="",0,IF(ISNUMBER(L121),L121,1)),IF($C121="Paying back",0,IF(AND(OR(Housemates!$C$14="",Housemates!$C$14&lt;=$B121),OR(Housemates!$D$14="",Housemates!$D$14&gt;=$B121)),IF($Q121=0,1,INDEX(Bills!$AG$6:$AG$25,$Q121)),0))))</f>
        <v/>
      </c>
      <c r="Z121">
        <f>IF(OR($D121="",$B121="",Housemates!$B$15=""),0,IF($R121&gt;0,IF(M121="",0,IF(ISNUMBER(M121),M121,1)),IF($C121="Paying back",0,IF(AND(OR(Housemates!$C$15="",Housemates!$C$15&lt;=$B121),OR(Housemates!$D$15="",Housemates!$D$15&gt;=$B121)),IF($Q121=0,1,INDEX(Bills!$AH$6:$AH$25,$Q121)),0))))</f>
        <v/>
      </c>
      <c r="AA121">
        <f>SUM(S121:Z121)</f>
        <v/>
      </c>
      <c r="AB121">
        <f>IF(AA121=0,0,D121*S121/AA121)</f>
        <v/>
      </c>
      <c r="AC121">
        <f>IF(AA121=0,0,D121*T121/AA121)</f>
        <v/>
      </c>
      <c r="AD121">
        <f>IF(AA121=0,0,D121*U121/AA121)</f>
        <v/>
      </c>
      <c r="AE121">
        <f>IF(AA121=0,0,D121*V121/AA121)</f>
        <v/>
      </c>
      <c r="AF121">
        <f>IF(AA121=0,0,D121*W121/AA121)</f>
        <v/>
      </c>
      <c r="AG121">
        <f>IF(AA121=0,0,D121*X121/AA121)</f>
        <v/>
      </c>
      <c r="AH121">
        <f>IF(AA121=0,0,D121*Y121/AA121)</f>
        <v/>
      </c>
      <c r="AI121">
        <f>IF(AA121=0,0,D121*Z121/AA121)</f>
        <v/>
      </c>
      <c r="AJ121">
        <f>IF(OR(C121="",B121=""),"",C121&amp;"|"&amp;(YEAR(B121)*100+MONTH(B121)))</f>
        <v/>
      </c>
    </row>
    <row r="122">
      <c r="A122" s="1" t="n"/>
      <c r="B122" s="23" t="n"/>
      <c r="C122" s="24" t="n"/>
      <c r="D122" s="25" t="n"/>
      <c r="E122" s="26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1">
        <f>IF(D122="","",IF(B122="","No date",IF(AND(C122="Paying back",R122=0),"To whom?",IF(AA122=0,"Nobody",IF(C122="Paying back","To "&amp;INDEX(Housemates!$B$8:$B$15,MATCH(MAX(S122:Z122),S122:Z122,0)),IF(R122&gt;0,IF(COUNTIF(S122:Z122,"&gt;0")=1,"1 person",COUNTIF(S122:Z122,"&gt;0")&amp;" people"),IF(Q122=0,"Everyone",INDEX(Bills!$Q$6:$Q$25,Q122))))))))</f>
        <v/>
      </c>
      <c r="O122" s="18">
        <f>IF(D122="","",IF(C122="Paying back","Paying back",IF(Q122=0,"Other",IF(INDEX(Bills!$C$6:$C$25,Q122)="","Other",INDEX(Bills!$C$6:$C$25,Q122)))))</f>
        <v/>
      </c>
      <c r="P122" s="1" t="n"/>
      <c r="Q122">
        <f>IF(C122="",0,IFERROR(MATCH(C122,Bills!$B$6:$B$25,0),0))</f>
        <v/>
      </c>
      <c r="R122">
        <f>COUNTA(F122:M122)</f>
        <v/>
      </c>
      <c r="S122">
        <f>IF(OR($D122="",$B122="",Housemates!$B$8=""),0,IF($R122&gt;0,IF(F122="",0,IF(ISNUMBER(F122),F122,1)),IF($C122="Paying back",0,IF(AND(OR(Housemates!$C$8="",Housemates!$C$8&lt;=$B122),OR(Housemates!$D$8="",Housemates!$D$8&gt;=$B122)),IF($Q122=0,1,INDEX(Bills!$AA$6:$AA$25,$Q122)),0))))</f>
        <v/>
      </c>
      <c r="T122">
        <f>IF(OR($D122="",$B122="",Housemates!$B$9=""),0,IF($R122&gt;0,IF(G122="",0,IF(ISNUMBER(G122),G122,1)),IF($C122="Paying back",0,IF(AND(OR(Housemates!$C$9="",Housemates!$C$9&lt;=$B122),OR(Housemates!$D$9="",Housemates!$D$9&gt;=$B122)),IF($Q122=0,1,INDEX(Bills!$AB$6:$AB$25,$Q122)),0))))</f>
        <v/>
      </c>
      <c r="U122">
        <f>IF(OR($D122="",$B122="",Housemates!$B$10=""),0,IF($R122&gt;0,IF(H122="",0,IF(ISNUMBER(H122),H122,1)),IF($C122="Paying back",0,IF(AND(OR(Housemates!$C$10="",Housemates!$C$10&lt;=$B122),OR(Housemates!$D$10="",Housemates!$D$10&gt;=$B122)),IF($Q122=0,1,INDEX(Bills!$AC$6:$AC$25,$Q122)),0))))</f>
        <v/>
      </c>
      <c r="V122">
        <f>IF(OR($D122="",$B122="",Housemates!$B$11=""),0,IF($R122&gt;0,IF(I122="",0,IF(ISNUMBER(I122),I122,1)),IF($C122="Paying back",0,IF(AND(OR(Housemates!$C$11="",Housemates!$C$11&lt;=$B122),OR(Housemates!$D$11="",Housemates!$D$11&gt;=$B122)),IF($Q122=0,1,INDEX(Bills!$AD$6:$AD$25,$Q122)),0))))</f>
        <v/>
      </c>
      <c r="W122">
        <f>IF(OR($D122="",$B122="",Housemates!$B$12=""),0,IF($R122&gt;0,IF(J122="",0,IF(ISNUMBER(J122),J122,1)),IF($C122="Paying back",0,IF(AND(OR(Housemates!$C$12="",Housemates!$C$12&lt;=$B122),OR(Housemates!$D$12="",Housemates!$D$12&gt;=$B122)),IF($Q122=0,1,INDEX(Bills!$AE$6:$AE$25,$Q122)),0))))</f>
        <v/>
      </c>
      <c r="X122">
        <f>IF(OR($D122="",$B122="",Housemates!$B$13=""),0,IF($R122&gt;0,IF(K122="",0,IF(ISNUMBER(K122),K122,1)),IF($C122="Paying back",0,IF(AND(OR(Housemates!$C$13="",Housemates!$C$13&lt;=$B122),OR(Housemates!$D$13="",Housemates!$D$13&gt;=$B122)),IF($Q122=0,1,INDEX(Bills!$AF$6:$AF$25,$Q122)),0))))</f>
        <v/>
      </c>
      <c r="Y122">
        <f>IF(OR($D122="",$B122="",Housemates!$B$14=""),0,IF($R122&gt;0,IF(L122="",0,IF(ISNUMBER(L122),L122,1)),IF($C122="Paying back",0,IF(AND(OR(Housemates!$C$14="",Housemates!$C$14&lt;=$B122),OR(Housemates!$D$14="",Housemates!$D$14&gt;=$B122)),IF($Q122=0,1,INDEX(Bills!$AG$6:$AG$25,$Q122)),0))))</f>
        <v/>
      </c>
      <c r="Z122">
        <f>IF(OR($D122="",$B122="",Housemates!$B$15=""),0,IF($R122&gt;0,IF(M122="",0,IF(ISNUMBER(M122),M122,1)),IF($C122="Paying back",0,IF(AND(OR(Housemates!$C$15="",Housemates!$C$15&lt;=$B122),OR(Housemates!$D$15="",Housemates!$D$15&gt;=$B122)),IF($Q122=0,1,INDEX(Bills!$AH$6:$AH$25,$Q122)),0))))</f>
        <v/>
      </c>
      <c r="AA122">
        <f>SUM(S122:Z122)</f>
        <v/>
      </c>
      <c r="AB122">
        <f>IF(AA122=0,0,D122*S122/AA122)</f>
        <v/>
      </c>
      <c r="AC122">
        <f>IF(AA122=0,0,D122*T122/AA122)</f>
        <v/>
      </c>
      <c r="AD122">
        <f>IF(AA122=0,0,D122*U122/AA122)</f>
        <v/>
      </c>
      <c r="AE122">
        <f>IF(AA122=0,0,D122*V122/AA122)</f>
        <v/>
      </c>
      <c r="AF122">
        <f>IF(AA122=0,0,D122*W122/AA122)</f>
        <v/>
      </c>
      <c r="AG122">
        <f>IF(AA122=0,0,D122*X122/AA122)</f>
        <v/>
      </c>
      <c r="AH122">
        <f>IF(AA122=0,0,D122*Y122/AA122)</f>
        <v/>
      </c>
      <c r="AI122">
        <f>IF(AA122=0,0,D122*Z122/AA122)</f>
        <v/>
      </c>
      <c r="AJ122">
        <f>IF(OR(C122="",B122=""),"",C122&amp;"|"&amp;(YEAR(B122)*100+MONTH(B122)))</f>
        <v/>
      </c>
    </row>
    <row r="123">
      <c r="A123" s="1" t="n"/>
      <c r="B123" s="23" t="n"/>
      <c r="C123" s="24" t="n"/>
      <c r="D123" s="25" t="n"/>
      <c r="E123" s="26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1">
        <f>IF(D123="","",IF(B123="","No date",IF(AND(C123="Paying back",R123=0),"To whom?",IF(AA123=0,"Nobody",IF(C123="Paying back","To "&amp;INDEX(Housemates!$B$8:$B$15,MATCH(MAX(S123:Z123),S123:Z123,0)),IF(R123&gt;0,IF(COUNTIF(S123:Z123,"&gt;0")=1,"1 person",COUNTIF(S123:Z123,"&gt;0")&amp;" people"),IF(Q123=0,"Everyone",INDEX(Bills!$Q$6:$Q$25,Q123))))))))</f>
        <v/>
      </c>
      <c r="O123" s="18">
        <f>IF(D123="","",IF(C123="Paying back","Paying back",IF(Q123=0,"Other",IF(INDEX(Bills!$C$6:$C$25,Q123)="","Other",INDEX(Bills!$C$6:$C$25,Q123)))))</f>
        <v/>
      </c>
      <c r="P123" s="1" t="n"/>
      <c r="Q123">
        <f>IF(C123="",0,IFERROR(MATCH(C123,Bills!$B$6:$B$25,0),0))</f>
        <v/>
      </c>
      <c r="R123">
        <f>COUNTA(F123:M123)</f>
        <v/>
      </c>
      <c r="S123">
        <f>IF(OR($D123="",$B123="",Housemates!$B$8=""),0,IF($R123&gt;0,IF(F123="",0,IF(ISNUMBER(F123),F123,1)),IF($C123="Paying back",0,IF(AND(OR(Housemates!$C$8="",Housemates!$C$8&lt;=$B123),OR(Housemates!$D$8="",Housemates!$D$8&gt;=$B123)),IF($Q123=0,1,INDEX(Bills!$AA$6:$AA$25,$Q123)),0))))</f>
        <v/>
      </c>
      <c r="T123">
        <f>IF(OR($D123="",$B123="",Housemates!$B$9=""),0,IF($R123&gt;0,IF(G123="",0,IF(ISNUMBER(G123),G123,1)),IF($C123="Paying back",0,IF(AND(OR(Housemates!$C$9="",Housemates!$C$9&lt;=$B123),OR(Housemates!$D$9="",Housemates!$D$9&gt;=$B123)),IF($Q123=0,1,INDEX(Bills!$AB$6:$AB$25,$Q123)),0))))</f>
        <v/>
      </c>
      <c r="U123">
        <f>IF(OR($D123="",$B123="",Housemates!$B$10=""),0,IF($R123&gt;0,IF(H123="",0,IF(ISNUMBER(H123),H123,1)),IF($C123="Paying back",0,IF(AND(OR(Housemates!$C$10="",Housemates!$C$10&lt;=$B123),OR(Housemates!$D$10="",Housemates!$D$10&gt;=$B123)),IF($Q123=0,1,INDEX(Bills!$AC$6:$AC$25,$Q123)),0))))</f>
        <v/>
      </c>
      <c r="V123">
        <f>IF(OR($D123="",$B123="",Housemates!$B$11=""),0,IF($R123&gt;0,IF(I123="",0,IF(ISNUMBER(I123),I123,1)),IF($C123="Paying back",0,IF(AND(OR(Housemates!$C$11="",Housemates!$C$11&lt;=$B123),OR(Housemates!$D$11="",Housemates!$D$11&gt;=$B123)),IF($Q123=0,1,INDEX(Bills!$AD$6:$AD$25,$Q123)),0))))</f>
        <v/>
      </c>
      <c r="W123">
        <f>IF(OR($D123="",$B123="",Housemates!$B$12=""),0,IF($R123&gt;0,IF(J123="",0,IF(ISNUMBER(J123),J123,1)),IF($C123="Paying back",0,IF(AND(OR(Housemates!$C$12="",Housemates!$C$12&lt;=$B123),OR(Housemates!$D$12="",Housemates!$D$12&gt;=$B123)),IF($Q123=0,1,INDEX(Bills!$AE$6:$AE$25,$Q123)),0))))</f>
        <v/>
      </c>
      <c r="X123">
        <f>IF(OR($D123="",$B123="",Housemates!$B$13=""),0,IF($R123&gt;0,IF(K123="",0,IF(ISNUMBER(K123),K123,1)),IF($C123="Paying back",0,IF(AND(OR(Housemates!$C$13="",Housemates!$C$13&lt;=$B123),OR(Housemates!$D$13="",Housemates!$D$13&gt;=$B123)),IF($Q123=0,1,INDEX(Bills!$AF$6:$AF$25,$Q123)),0))))</f>
        <v/>
      </c>
      <c r="Y123">
        <f>IF(OR($D123="",$B123="",Housemates!$B$14=""),0,IF($R123&gt;0,IF(L123="",0,IF(ISNUMBER(L123),L123,1)),IF($C123="Paying back",0,IF(AND(OR(Housemates!$C$14="",Housemates!$C$14&lt;=$B123),OR(Housemates!$D$14="",Housemates!$D$14&gt;=$B123)),IF($Q123=0,1,INDEX(Bills!$AG$6:$AG$25,$Q123)),0))))</f>
        <v/>
      </c>
      <c r="Z123">
        <f>IF(OR($D123="",$B123="",Housemates!$B$15=""),0,IF($R123&gt;0,IF(M123="",0,IF(ISNUMBER(M123),M123,1)),IF($C123="Paying back",0,IF(AND(OR(Housemates!$C$15="",Housemates!$C$15&lt;=$B123),OR(Housemates!$D$15="",Housemates!$D$15&gt;=$B123)),IF($Q123=0,1,INDEX(Bills!$AH$6:$AH$25,$Q123)),0))))</f>
        <v/>
      </c>
      <c r="AA123">
        <f>SUM(S123:Z123)</f>
        <v/>
      </c>
      <c r="AB123">
        <f>IF(AA123=0,0,D123*S123/AA123)</f>
        <v/>
      </c>
      <c r="AC123">
        <f>IF(AA123=0,0,D123*T123/AA123)</f>
        <v/>
      </c>
      <c r="AD123">
        <f>IF(AA123=0,0,D123*U123/AA123)</f>
        <v/>
      </c>
      <c r="AE123">
        <f>IF(AA123=0,0,D123*V123/AA123)</f>
        <v/>
      </c>
      <c r="AF123">
        <f>IF(AA123=0,0,D123*W123/AA123)</f>
        <v/>
      </c>
      <c r="AG123">
        <f>IF(AA123=0,0,D123*X123/AA123)</f>
        <v/>
      </c>
      <c r="AH123">
        <f>IF(AA123=0,0,D123*Y123/AA123)</f>
        <v/>
      </c>
      <c r="AI123">
        <f>IF(AA123=0,0,D123*Z123/AA123)</f>
        <v/>
      </c>
      <c r="AJ123">
        <f>IF(OR(C123="",B123=""),"",C123&amp;"|"&amp;(YEAR(B123)*100+MONTH(B123)))</f>
        <v/>
      </c>
    </row>
    <row r="124">
      <c r="A124" s="1" t="n"/>
      <c r="B124" s="23" t="n"/>
      <c r="C124" s="24" t="n"/>
      <c r="D124" s="25" t="n"/>
      <c r="E124" s="26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1">
        <f>IF(D124="","",IF(B124="","No date",IF(AND(C124="Paying back",R124=0),"To whom?",IF(AA124=0,"Nobody",IF(C124="Paying back","To "&amp;INDEX(Housemates!$B$8:$B$15,MATCH(MAX(S124:Z124),S124:Z124,0)),IF(R124&gt;0,IF(COUNTIF(S124:Z124,"&gt;0")=1,"1 person",COUNTIF(S124:Z124,"&gt;0")&amp;" people"),IF(Q124=0,"Everyone",INDEX(Bills!$Q$6:$Q$25,Q124))))))))</f>
        <v/>
      </c>
      <c r="O124" s="18">
        <f>IF(D124="","",IF(C124="Paying back","Paying back",IF(Q124=0,"Other",IF(INDEX(Bills!$C$6:$C$25,Q124)="","Other",INDEX(Bills!$C$6:$C$25,Q124)))))</f>
        <v/>
      </c>
      <c r="P124" s="1" t="n"/>
      <c r="Q124">
        <f>IF(C124="",0,IFERROR(MATCH(C124,Bills!$B$6:$B$25,0),0))</f>
        <v/>
      </c>
      <c r="R124">
        <f>COUNTA(F124:M124)</f>
        <v/>
      </c>
      <c r="S124">
        <f>IF(OR($D124="",$B124="",Housemates!$B$8=""),0,IF($R124&gt;0,IF(F124="",0,IF(ISNUMBER(F124),F124,1)),IF($C124="Paying back",0,IF(AND(OR(Housemates!$C$8="",Housemates!$C$8&lt;=$B124),OR(Housemates!$D$8="",Housemates!$D$8&gt;=$B124)),IF($Q124=0,1,INDEX(Bills!$AA$6:$AA$25,$Q124)),0))))</f>
        <v/>
      </c>
      <c r="T124">
        <f>IF(OR($D124="",$B124="",Housemates!$B$9=""),0,IF($R124&gt;0,IF(G124="",0,IF(ISNUMBER(G124),G124,1)),IF($C124="Paying back",0,IF(AND(OR(Housemates!$C$9="",Housemates!$C$9&lt;=$B124),OR(Housemates!$D$9="",Housemates!$D$9&gt;=$B124)),IF($Q124=0,1,INDEX(Bills!$AB$6:$AB$25,$Q124)),0))))</f>
        <v/>
      </c>
      <c r="U124">
        <f>IF(OR($D124="",$B124="",Housemates!$B$10=""),0,IF($R124&gt;0,IF(H124="",0,IF(ISNUMBER(H124),H124,1)),IF($C124="Paying back",0,IF(AND(OR(Housemates!$C$10="",Housemates!$C$10&lt;=$B124),OR(Housemates!$D$10="",Housemates!$D$10&gt;=$B124)),IF($Q124=0,1,INDEX(Bills!$AC$6:$AC$25,$Q124)),0))))</f>
        <v/>
      </c>
      <c r="V124">
        <f>IF(OR($D124="",$B124="",Housemates!$B$11=""),0,IF($R124&gt;0,IF(I124="",0,IF(ISNUMBER(I124),I124,1)),IF($C124="Paying back",0,IF(AND(OR(Housemates!$C$11="",Housemates!$C$11&lt;=$B124),OR(Housemates!$D$11="",Housemates!$D$11&gt;=$B124)),IF($Q124=0,1,INDEX(Bills!$AD$6:$AD$25,$Q124)),0))))</f>
        <v/>
      </c>
      <c r="W124">
        <f>IF(OR($D124="",$B124="",Housemates!$B$12=""),0,IF($R124&gt;0,IF(J124="",0,IF(ISNUMBER(J124),J124,1)),IF($C124="Paying back",0,IF(AND(OR(Housemates!$C$12="",Housemates!$C$12&lt;=$B124),OR(Housemates!$D$12="",Housemates!$D$12&gt;=$B124)),IF($Q124=0,1,INDEX(Bills!$AE$6:$AE$25,$Q124)),0))))</f>
        <v/>
      </c>
      <c r="X124">
        <f>IF(OR($D124="",$B124="",Housemates!$B$13=""),0,IF($R124&gt;0,IF(K124="",0,IF(ISNUMBER(K124),K124,1)),IF($C124="Paying back",0,IF(AND(OR(Housemates!$C$13="",Housemates!$C$13&lt;=$B124),OR(Housemates!$D$13="",Housemates!$D$13&gt;=$B124)),IF($Q124=0,1,INDEX(Bills!$AF$6:$AF$25,$Q124)),0))))</f>
        <v/>
      </c>
      <c r="Y124">
        <f>IF(OR($D124="",$B124="",Housemates!$B$14=""),0,IF($R124&gt;0,IF(L124="",0,IF(ISNUMBER(L124),L124,1)),IF($C124="Paying back",0,IF(AND(OR(Housemates!$C$14="",Housemates!$C$14&lt;=$B124),OR(Housemates!$D$14="",Housemates!$D$14&gt;=$B124)),IF($Q124=0,1,INDEX(Bills!$AG$6:$AG$25,$Q124)),0))))</f>
        <v/>
      </c>
      <c r="Z124">
        <f>IF(OR($D124="",$B124="",Housemates!$B$15=""),0,IF($R124&gt;0,IF(M124="",0,IF(ISNUMBER(M124),M124,1)),IF($C124="Paying back",0,IF(AND(OR(Housemates!$C$15="",Housemates!$C$15&lt;=$B124),OR(Housemates!$D$15="",Housemates!$D$15&gt;=$B124)),IF($Q124=0,1,INDEX(Bills!$AH$6:$AH$25,$Q124)),0))))</f>
        <v/>
      </c>
      <c r="AA124">
        <f>SUM(S124:Z124)</f>
        <v/>
      </c>
      <c r="AB124">
        <f>IF(AA124=0,0,D124*S124/AA124)</f>
        <v/>
      </c>
      <c r="AC124">
        <f>IF(AA124=0,0,D124*T124/AA124)</f>
        <v/>
      </c>
      <c r="AD124">
        <f>IF(AA124=0,0,D124*U124/AA124)</f>
        <v/>
      </c>
      <c r="AE124">
        <f>IF(AA124=0,0,D124*V124/AA124)</f>
        <v/>
      </c>
      <c r="AF124">
        <f>IF(AA124=0,0,D124*W124/AA124)</f>
        <v/>
      </c>
      <c r="AG124">
        <f>IF(AA124=0,0,D124*X124/AA124)</f>
        <v/>
      </c>
      <c r="AH124">
        <f>IF(AA124=0,0,D124*Y124/AA124)</f>
        <v/>
      </c>
      <c r="AI124">
        <f>IF(AA124=0,0,D124*Z124/AA124)</f>
        <v/>
      </c>
      <c r="AJ124">
        <f>IF(OR(C124="",B124=""),"",C124&amp;"|"&amp;(YEAR(B124)*100+MONTH(B124)))</f>
        <v/>
      </c>
    </row>
    <row r="125">
      <c r="A125" s="1" t="n"/>
      <c r="B125" s="23" t="n"/>
      <c r="C125" s="24" t="n"/>
      <c r="D125" s="25" t="n"/>
      <c r="E125" s="26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1">
        <f>IF(D125="","",IF(B125="","No date",IF(AND(C125="Paying back",R125=0),"To whom?",IF(AA125=0,"Nobody",IF(C125="Paying back","To "&amp;INDEX(Housemates!$B$8:$B$15,MATCH(MAX(S125:Z125),S125:Z125,0)),IF(R125&gt;0,IF(COUNTIF(S125:Z125,"&gt;0")=1,"1 person",COUNTIF(S125:Z125,"&gt;0")&amp;" people"),IF(Q125=0,"Everyone",INDEX(Bills!$Q$6:$Q$25,Q125))))))))</f>
        <v/>
      </c>
      <c r="O125" s="18">
        <f>IF(D125="","",IF(C125="Paying back","Paying back",IF(Q125=0,"Other",IF(INDEX(Bills!$C$6:$C$25,Q125)="","Other",INDEX(Bills!$C$6:$C$25,Q125)))))</f>
        <v/>
      </c>
      <c r="P125" s="1" t="n"/>
      <c r="Q125">
        <f>IF(C125="",0,IFERROR(MATCH(C125,Bills!$B$6:$B$25,0),0))</f>
        <v/>
      </c>
      <c r="R125">
        <f>COUNTA(F125:M125)</f>
        <v/>
      </c>
      <c r="S125">
        <f>IF(OR($D125="",$B125="",Housemates!$B$8=""),0,IF($R125&gt;0,IF(F125="",0,IF(ISNUMBER(F125),F125,1)),IF($C125="Paying back",0,IF(AND(OR(Housemates!$C$8="",Housemates!$C$8&lt;=$B125),OR(Housemates!$D$8="",Housemates!$D$8&gt;=$B125)),IF($Q125=0,1,INDEX(Bills!$AA$6:$AA$25,$Q125)),0))))</f>
        <v/>
      </c>
      <c r="T125">
        <f>IF(OR($D125="",$B125="",Housemates!$B$9=""),0,IF($R125&gt;0,IF(G125="",0,IF(ISNUMBER(G125),G125,1)),IF($C125="Paying back",0,IF(AND(OR(Housemates!$C$9="",Housemates!$C$9&lt;=$B125),OR(Housemates!$D$9="",Housemates!$D$9&gt;=$B125)),IF($Q125=0,1,INDEX(Bills!$AB$6:$AB$25,$Q125)),0))))</f>
        <v/>
      </c>
      <c r="U125">
        <f>IF(OR($D125="",$B125="",Housemates!$B$10=""),0,IF($R125&gt;0,IF(H125="",0,IF(ISNUMBER(H125),H125,1)),IF($C125="Paying back",0,IF(AND(OR(Housemates!$C$10="",Housemates!$C$10&lt;=$B125),OR(Housemates!$D$10="",Housemates!$D$10&gt;=$B125)),IF($Q125=0,1,INDEX(Bills!$AC$6:$AC$25,$Q125)),0))))</f>
        <v/>
      </c>
      <c r="V125">
        <f>IF(OR($D125="",$B125="",Housemates!$B$11=""),0,IF($R125&gt;0,IF(I125="",0,IF(ISNUMBER(I125),I125,1)),IF($C125="Paying back",0,IF(AND(OR(Housemates!$C$11="",Housemates!$C$11&lt;=$B125),OR(Housemates!$D$11="",Housemates!$D$11&gt;=$B125)),IF($Q125=0,1,INDEX(Bills!$AD$6:$AD$25,$Q125)),0))))</f>
        <v/>
      </c>
      <c r="W125">
        <f>IF(OR($D125="",$B125="",Housemates!$B$12=""),0,IF($R125&gt;0,IF(J125="",0,IF(ISNUMBER(J125),J125,1)),IF($C125="Paying back",0,IF(AND(OR(Housemates!$C$12="",Housemates!$C$12&lt;=$B125),OR(Housemates!$D$12="",Housemates!$D$12&gt;=$B125)),IF($Q125=0,1,INDEX(Bills!$AE$6:$AE$25,$Q125)),0))))</f>
        <v/>
      </c>
      <c r="X125">
        <f>IF(OR($D125="",$B125="",Housemates!$B$13=""),0,IF($R125&gt;0,IF(K125="",0,IF(ISNUMBER(K125),K125,1)),IF($C125="Paying back",0,IF(AND(OR(Housemates!$C$13="",Housemates!$C$13&lt;=$B125),OR(Housemates!$D$13="",Housemates!$D$13&gt;=$B125)),IF($Q125=0,1,INDEX(Bills!$AF$6:$AF$25,$Q125)),0))))</f>
        <v/>
      </c>
      <c r="Y125">
        <f>IF(OR($D125="",$B125="",Housemates!$B$14=""),0,IF($R125&gt;0,IF(L125="",0,IF(ISNUMBER(L125),L125,1)),IF($C125="Paying back",0,IF(AND(OR(Housemates!$C$14="",Housemates!$C$14&lt;=$B125),OR(Housemates!$D$14="",Housemates!$D$14&gt;=$B125)),IF($Q125=0,1,INDEX(Bills!$AG$6:$AG$25,$Q125)),0))))</f>
        <v/>
      </c>
      <c r="Z125">
        <f>IF(OR($D125="",$B125="",Housemates!$B$15=""),0,IF($R125&gt;0,IF(M125="",0,IF(ISNUMBER(M125),M125,1)),IF($C125="Paying back",0,IF(AND(OR(Housemates!$C$15="",Housemates!$C$15&lt;=$B125),OR(Housemates!$D$15="",Housemates!$D$15&gt;=$B125)),IF($Q125=0,1,INDEX(Bills!$AH$6:$AH$25,$Q125)),0))))</f>
        <v/>
      </c>
      <c r="AA125">
        <f>SUM(S125:Z125)</f>
        <v/>
      </c>
      <c r="AB125">
        <f>IF(AA125=0,0,D125*S125/AA125)</f>
        <v/>
      </c>
      <c r="AC125">
        <f>IF(AA125=0,0,D125*T125/AA125)</f>
        <v/>
      </c>
      <c r="AD125">
        <f>IF(AA125=0,0,D125*U125/AA125)</f>
        <v/>
      </c>
      <c r="AE125">
        <f>IF(AA125=0,0,D125*V125/AA125)</f>
        <v/>
      </c>
      <c r="AF125">
        <f>IF(AA125=0,0,D125*W125/AA125)</f>
        <v/>
      </c>
      <c r="AG125">
        <f>IF(AA125=0,0,D125*X125/AA125)</f>
        <v/>
      </c>
      <c r="AH125">
        <f>IF(AA125=0,0,D125*Y125/AA125)</f>
        <v/>
      </c>
      <c r="AI125">
        <f>IF(AA125=0,0,D125*Z125/AA125)</f>
        <v/>
      </c>
      <c r="AJ125">
        <f>IF(OR(C125="",B125=""),"",C125&amp;"|"&amp;(YEAR(B125)*100+MONTH(B125)))</f>
        <v/>
      </c>
    </row>
    <row r="126">
      <c r="A126" s="1" t="n"/>
      <c r="B126" s="23" t="n"/>
      <c r="C126" s="24" t="n"/>
      <c r="D126" s="25" t="n"/>
      <c r="E126" s="26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1">
        <f>IF(D126="","",IF(B126="","No date",IF(AND(C126="Paying back",R126=0),"To whom?",IF(AA126=0,"Nobody",IF(C126="Paying back","To "&amp;INDEX(Housemates!$B$8:$B$15,MATCH(MAX(S126:Z126),S126:Z126,0)),IF(R126&gt;0,IF(COUNTIF(S126:Z126,"&gt;0")=1,"1 person",COUNTIF(S126:Z126,"&gt;0")&amp;" people"),IF(Q126=0,"Everyone",INDEX(Bills!$Q$6:$Q$25,Q126))))))))</f>
        <v/>
      </c>
      <c r="O126" s="18">
        <f>IF(D126="","",IF(C126="Paying back","Paying back",IF(Q126=0,"Other",IF(INDEX(Bills!$C$6:$C$25,Q126)="","Other",INDEX(Bills!$C$6:$C$25,Q126)))))</f>
        <v/>
      </c>
      <c r="P126" s="1" t="n"/>
      <c r="Q126">
        <f>IF(C126="",0,IFERROR(MATCH(C126,Bills!$B$6:$B$25,0),0))</f>
        <v/>
      </c>
      <c r="R126">
        <f>COUNTA(F126:M126)</f>
        <v/>
      </c>
      <c r="S126">
        <f>IF(OR($D126="",$B126="",Housemates!$B$8=""),0,IF($R126&gt;0,IF(F126="",0,IF(ISNUMBER(F126),F126,1)),IF($C126="Paying back",0,IF(AND(OR(Housemates!$C$8="",Housemates!$C$8&lt;=$B126),OR(Housemates!$D$8="",Housemates!$D$8&gt;=$B126)),IF($Q126=0,1,INDEX(Bills!$AA$6:$AA$25,$Q126)),0))))</f>
        <v/>
      </c>
      <c r="T126">
        <f>IF(OR($D126="",$B126="",Housemates!$B$9=""),0,IF($R126&gt;0,IF(G126="",0,IF(ISNUMBER(G126),G126,1)),IF($C126="Paying back",0,IF(AND(OR(Housemates!$C$9="",Housemates!$C$9&lt;=$B126),OR(Housemates!$D$9="",Housemates!$D$9&gt;=$B126)),IF($Q126=0,1,INDEX(Bills!$AB$6:$AB$25,$Q126)),0))))</f>
        <v/>
      </c>
      <c r="U126">
        <f>IF(OR($D126="",$B126="",Housemates!$B$10=""),0,IF($R126&gt;0,IF(H126="",0,IF(ISNUMBER(H126),H126,1)),IF($C126="Paying back",0,IF(AND(OR(Housemates!$C$10="",Housemates!$C$10&lt;=$B126),OR(Housemates!$D$10="",Housemates!$D$10&gt;=$B126)),IF($Q126=0,1,INDEX(Bills!$AC$6:$AC$25,$Q126)),0))))</f>
        <v/>
      </c>
      <c r="V126">
        <f>IF(OR($D126="",$B126="",Housemates!$B$11=""),0,IF($R126&gt;0,IF(I126="",0,IF(ISNUMBER(I126),I126,1)),IF($C126="Paying back",0,IF(AND(OR(Housemates!$C$11="",Housemates!$C$11&lt;=$B126),OR(Housemates!$D$11="",Housemates!$D$11&gt;=$B126)),IF($Q126=0,1,INDEX(Bills!$AD$6:$AD$25,$Q126)),0))))</f>
        <v/>
      </c>
      <c r="W126">
        <f>IF(OR($D126="",$B126="",Housemates!$B$12=""),0,IF($R126&gt;0,IF(J126="",0,IF(ISNUMBER(J126),J126,1)),IF($C126="Paying back",0,IF(AND(OR(Housemates!$C$12="",Housemates!$C$12&lt;=$B126),OR(Housemates!$D$12="",Housemates!$D$12&gt;=$B126)),IF($Q126=0,1,INDEX(Bills!$AE$6:$AE$25,$Q126)),0))))</f>
        <v/>
      </c>
      <c r="X126">
        <f>IF(OR($D126="",$B126="",Housemates!$B$13=""),0,IF($R126&gt;0,IF(K126="",0,IF(ISNUMBER(K126),K126,1)),IF($C126="Paying back",0,IF(AND(OR(Housemates!$C$13="",Housemates!$C$13&lt;=$B126),OR(Housemates!$D$13="",Housemates!$D$13&gt;=$B126)),IF($Q126=0,1,INDEX(Bills!$AF$6:$AF$25,$Q126)),0))))</f>
        <v/>
      </c>
      <c r="Y126">
        <f>IF(OR($D126="",$B126="",Housemates!$B$14=""),0,IF($R126&gt;0,IF(L126="",0,IF(ISNUMBER(L126),L126,1)),IF($C126="Paying back",0,IF(AND(OR(Housemates!$C$14="",Housemates!$C$14&lt;=$B126),OR(Housemates!$D$14="",Housemates!$D$14&gt;=$B126)),IF($Q126=0,1,INDEX(Bills!$AG$6:$AG$25,$Q126)),0))))</f>
        <v/>
      </c>
      <c r="Z126">
        <f>IF(OR($D126="",$B126="",Housemates!$B$15=""),0,IF($R126&gt;0,IF(M126="",0,IF(ISNUMBER(M126),M126,1)),IF($C126="Paying back",0,IF(AND(OR(Housemates!$C$15="",Housemates!$C$15&lt;=$B126),OR(Housemates!$D$15="",Housemates!$D$15&gt;=$B126)),IF($Q126=0,1,INDEX(Bills!$AH$6:$AH$25,$Q126)),0))))</f>
        <v/>
      </c>
      <c r="AA126">
        <f>SUM(S126:Z126)</f>
        <v/>
      </c>
      <c r="AB126">
        <f>IF(AA126=0,0,D126*S126/AA126)</f>
        <v/>
      </c>
      <c r="AC126">
        <f>IF(AA126=0,0,D126*T126/AA126)</f>
        <v/>
      </c>
      <c r="AD126">
        <f>IF(AA126=0,0,D126*U126/AA126)</f>
        <v/>
      </c>
      <c r="AE126">
        <f>IF(AA126=0,0,D126*V126/AA126)</f>
        <v/>
      </c>
      <c r="AF126">
        <f>IF(AA126=0,0,D126*W126/AA126)</f>
        <v/>
      </c>
      <c r="AG126">
        <f>IF(AA126=0,0,D126*X126/AA126)</f>
        <v/>
      </c>
      <c r="AH126">
        <f>IF(AA126=0,0,D126*Y126/AA126)</f>
        <v/>
      </c>
      <c r="AI126">
        <f>IF(AA126=0,0,D126*Z126/AA126)</f>
        <v/>
      </c>
      <c r="AJ126">
        <f>IF(OR(C126="",B126=""),"",C126&amp;"|"&amp;(YEAR(B126)*100+MONTH(B126)))</f>
        <v/>
      </c>
    </row>
    <row r="127">
      <c r="A127" s="1" t="n"/>
      <c r="B127" s="23" t="n"/>
      <c r="C127" s="24" t="n"/>
      <c r="D127" s="25" t="n"/>
      <c r="E127" s="26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1">
        <f>IF(D127="","",IF(B127="","No date",IF(AND(C127="Paying back",R127=0),"To whom?",IF(AA127=0,"Nobody",IF(C127="Paying back","To "&amp;INDEX(Housemates!$B$8:$B$15,MATCH(MAX(S127:Z127),S127:Z127,0)),IF(R127&gt;0,IF(COUNTIF(S127:Z127,"&gt;0")=1,"1 person",COUNTIF(S127:Z127,"&gt;0")&amp;" people"),IF(Q127=0,"Everyone",INDEX(Bills!$Q$6:$Q$25,Q127))))))))</f>
        <v/>
      </c>
      <c r="O127" s="18">
        <f>IF(D127="","",IF(C127="Paying back","Paying back",IF(Q127=0,"Other",IF(INDEX(Bills!$C$6:$C$25,Q127)="","Other",INDEX(Bills!$C$6:$C$25,Q127)))))</f>
        <v/>
      </c>
      <c r="P127" s="1" t="n"/>
      <c r="Q127">
        <f>IF(C127="",0,IFERROR(MATCH(C127,Bills!$B$6:$B$25,0),0))</f>
        <v/>
      </c>
      <c r="R127">
        <f>COUNTA(F127:M127)</f>
        <v/>
      </c>
      <c r="S127">
        <f>IF(OR($D127="",$B127="",Housemates!$B$8=""),0,IF($R127&gt;0,IF(F127="",0,IF(ISNUMBER(F127),F127,1)),IF($C127="Paying back",0,IF(AND(OR(Housemates!$C$8="",Housemates!$C$8&lt;=$B127),OR(Housemates!$D$8="",Housemates!$D$8&gt;=$B127)),IF($Q127=0,1,INDEX(Bills!$AA$6:$AA$25,$Q127)),0))))</f>
        <v/>
      </c>
      <c r="T127">
        <f>IF(OR($D127="",$B127="",Housemates!$B$9=""),0,IF($R127&gt;0,IF(G127="",0,IF(ISNUMBER(G127),G127,1)),IF($C127="Paying back",0,IF(AND(OR(Housemates!$C$9="",Housemates!$C$9&lt;=$B127),OR(Housemates!$D$9="",Housemates!$D$9&gt;=$B127)),IF($Q127=0,1,INDEX(Bills!$AB$6:$AB$25,$Q127)),0))))</f>
        <v/>
      </c>
      <c r="U127">
        <f>IF(OR($D127="",$B127="",Housemates!$B$10=""),0,IF($R127&gt;0,IF(H127="",0,IF(ISNUMBER(H127),H127,1)),IF($C127="Paying back",0,IF(AND(OR(Housemates!$C$10="",Housemates!$C$10&lt;=$B127),OR(Housemates!$D$10="",Housemates!$D$10&gt;=$B127)),IF($Q127=0,1,INDEX(Bills!$AC$6:$AC$25,$Q127)),0))))</f>
        <v/>
      </c>
      <c r="V127">
        <f>IF(OR($D127="",$B127="",Housemates!$B$11=""),0,IF($R127&gt;0,IF(I127="",0,IF(ISNUMBER(I127),I127,1)),IF($C127="Paying back",0,IF(AND(OR(Housemates!$C$11="",Housemates!$C$11&lt;=$B127),OR(Housemates!$D$11="",Housemates!$D$11&gt;=$B127)),IF($Q127=0,1,INDEX(Bills!$AD$6:$AD$25,$Q127)),0))))</f>
        <v/>
      </c>
      <c r="W127">
        <f>IF(OR($D127="",$B127="",Housemates!$B$12=""),0,IF($R127&gt;0,IF(J127="",0,IF(ISNUMBER(J127),J127,1)),IF($C127="Paying back",0,IF(AND(OR(Housemates!$C$12="",Housemates!$C$12&lt;=$B127),OR(Housemates!$D$12="",Housemates!$D$12&gt;=$B127)),IF($Q127=0,1,INDEX(Bills!$AE$6:$AE$25,$Q127)),0))))</f>
        <v/>
      </c>
      <c r="X127">
        <f>IF(OR($D127="",$B127="",Housemates!$B$13=""),0,IF($R127&gt;0,IF(K127="",0,IF(ISNUMBER(K127),K127,1)),IF($C127="Paying back",0,IF(AND(OR(Housemates!$C$13="",Housemates!$C$13&lt;=$B127),OR(Housemates!$D$13="",Housemates!$D$13&gt;=$B127)),IF($Q127=0,1,INDEX(Bills!$AF$6:$AF$25,$Q127)),0))))</f>
        <v/>
      </c>
      <c r="Y127">
        <f>IF(OR($D127="",$B127="",Housemates!$B$14=""),0,IF($R127&gt;0,IF(L127="",0,IF(ISNUMBER(L127),L127,1)),IF($C127="Paying back",0,IF(AND(OR(Housemates!$C$14="",Housemates!$C$14&lt;=$B127),OR(Housemates!$D$14="",Housemates!$D$14&gt;=$B127)),IF($Q127=0,1,INDEX(Bills!$AG$6:$AG$25,$Q127)),0))))</f>
        <v/>
      </c>
      <c r="Z127">
        <f>IF(OR($D127="",$B127="",Housemates!$B$15=""),0,IF($R127&gt;0,IF(M127="",0,IF(ISNUMBER(M127),M127,1)),IF($C127="Paying back",0,IF(AND(OR(Housemates!$C$15="",Housemates!$C$15&lt;=$B127),OR(Housemates!$D$15="",Housemates!$D$15&gt;=$B127)),IF($Q127=0,1,INDEX(Bills!$AH$6:$AH$25,$Q127)),0))))</f>
        <v/>
      </c>
      <c r="AA127">
        <f>SUM(S127:Z127)</f>
        <v/>
      </c>
      <c r="AB127">
        <f>IF(AA127=0,0,D127*S127/AA127)</f>
        <v/>
      </c>
      <c r="AC127">
        <f>IF(AA127=0,0,D127*T127/AA127)</f>
        <v/>
      </c>
      <c r="AD127">
        <f>IF(AA127=0,0,D127*U127/AA127)</f>
        <v/>
      </c>
      <c r="AE127">
        <f>IF(AA127=0,0,D127*V127/AA127)</f>
        <v/>
      </c>
      <c r="AF127">
        <f>IF(AA127=0,0,D127*W127/AA127)</f>
        <v/>
      </c>
      <c r="AG127">
        <f>IF(AA127=0,0,D127*X127/AA127)</f>
        <v/>
      </c>
      <c r="AH127">
        <f>IF(AA127=0,0,D127*Y127/AA127)</f>
        <v/>
      </c>
      <c r="AI127">
        <f>IF(AA127=0,0,D127*Z127/AA127)</f>
        <v/>
      </c>
      <c r="AJ127">
        <f>IF(OR(C127="",B127=""),"",C127&amp;"|"&amp;(YEAR(B127)*100+MONTH(B127)))</f>
        <v/>
      </c>
    </row>
    <row r="128">
      <c r="A128" s="1" t="n"/>
      <c r="B128" s="23" t="n"/>
      <c r="C128" s="24" t="n"/>
      <c r="D128" s="25" t="n"/>
      <c r="E128" s="26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1">
        <f>IF(D128="","",IF(B128="","No date",IF(AND(C128="Paying back",R128=0),"To whom?",IF(AA128=0,"Nobody",IF(C128="Paying back","To "&amp;INDEX(Housemates!$B$8:$B$15,MATCH(MAX(S128:Z128),S128:Z128,0)),IF(R128&gt;0,IF(COUNTIF(S128:Z128,"&gt;0")=1,"1 person",COUNTIF(S128:Z128,"&gt;0")&amp;" people"),IF(Q128=0,"Everyone",INDEX(Bills!$Q$6:$Q$25,Q128))))))))</f>
        <v/>
      </c>
      <c r="O128" s="18">
        <f>IF(D128="","",IF(C128="Paying back","Paying back",IF(Q128=0,"Other",IF(INDEX(Bills!$C$6:$C$25,Q128)="","Other",INDEX(Bills!$C$6:$C$25,Q128)))))</f>
        <v/>
      </c>
      <c r="P128" s="1" t="n"/>
      <c r="Q128">
        <f>IF(C128="",0,IFERROR(MATCH(C128,Bills!$B$6:$B$25,0),0))</f>
        <v/>
      </c>
      <c r="R128">
        <f>COUNTA(F128:M128)</f>
        <v/>
      </c>
      <c r="S128">
        <f>IF(OR($D128="",$B128="",Housemates!$B$8=""),0,IF($R128&gt;0,IF(F128="",0,IF(ISNUMBER(F128),F128,1)),IF($C128="Paying back",0,IF(AND(OR(Housemates!$C$8="",Housemates!$C$8&lt;=$B128),OR(Housemates!$D$8="",Housemates!$D$8&gt;=$B128)),IF($Q128=0,1,INDEX(Bills!$AA$6:$AA$25,$Q128)),0))))</f>
        <v/>
      </c>
      <c r="T128">
        <f>IF(OR($D128="",$B128="",Housemates!$B$9=""),0,IF($R128&gt;0,IF(G128="",0,IF(ISNUMBER(G128),G128,1)),IF($C128="Paying back",0,IF(AND(OR(Housemates!$C$9="",Housemates!$C$9&lt;=$B128),OR(Housemates!$D$9="",Housemates!$D$9&gt;=$B128)),IF($Q128=0,1,INDEX(Bills!$AB$6:$AB$25,$Q128)),0))))</f>
        <v/>
      </c>
      <c r="U128">
        <f>IF(OR($D128="",$B128="",Housemates!$B$10=""),0,IF($R128&gt;0,IF(H128="",0,IF(ISNUMBER(H128),H128,1)),IF($C128="Paying back",0,IF(AND(OR(Housemates!$C$10="",Housemates!$C$10&lt;=$B128),OR(Housemates!$D$10="",Housemates!$D$10&gt;=$B128)),IF($Q128=0,1,INDEX(Bills!$AC$6:$AC$25,$Q128)),0))))</f>
        <v/>
      </c>
      <c r="V128">
        <f>IF(OR($D128="",$B128="",Housemates!$B$11=""),0,IF($R128&gt;0,IF(I128="",0,IF(ISNUMBER(I128),I128,1)),IF($C128="Paying back",0,IF(AND(OR(Housemates!$C$11="",Housemates!$C$11&lt;=$B128),OR(Housemates!$D$11="",Housemates!$D$11&gt;=$B128)),IF($Q128=0,1,INDEX(Bills!$AD$6:$AD$25,$Q128)),0))))</f>
        <v/>
      </c>
      <c r="W128">
        <f>IF(OR($D128="",$B128="",Housemates!$B$12=""),0,IF($R128&gt;0,IF(J128="",0,IF(ISNUMBER(J128),J128,1)),IF($C128="Paying back",0,IF(AND(OR(Housemates!$C$12="",Housemates!$C$12&lt;=$B128),OR(Housemates!$D$12="",Housemates!$D$12&gt;=$B128)),IF($Q128=0,1,INDEX(Bills!$AE$6:$AE$25,$Q128)),0))))</f>
        <v/>
      </c>
      <c r="X128">
        <f>IF(OR($D128="",$B128="",Housemates!$B$13=""),0,IF($R128&gt;0,IF(K128="",0,IF(ISNUMBER(K128),K128,1)),IF($C128="Paying back",0,IF(AND(OR(Housemates!$C$13="",Housemates!$C$13&lt;=$B128),OR(Housemates!$D$13="",Housemates!$D$13&gt;=$B128)),IF($Q128=0,1,INDEX(Bills!$AF$6:$AF$25,$Q128)),0))))</f>
        <v/>
      </c>
      <c r="Y128">
        <f>IF(OR($D128="",$B128="",Housemates!$B$14=""),0,IF($R128&gt;0,IF(L128="",0,IF(ISNUMBER(L128),L128,1)),IF($C128="Paying back",0,IF(AND(OR(Housemates!$C$14="",Housemates!$C$14&lt;=$B128),OR(Housemates!$D$14="",Housemates!$D$14&gt;=$B128)),IF($Q128=0,1,INDEX(Bills!$AG$6:$AG$25,$Q128)),0))))</f>
        <v/>
      </c>
      <c r="Z128">
        <f>IF(OR($D128="",$B128="",Housemates!$B$15=""),0,IF($R128&gt;0,IF(M128="",0,IF(ISNUMBER(M128),M128,1)),IF($C128="Paying back",0,IF(AND(OR(Housemates!$C$15="",Housemates!$C$15&lt;=$B128),OR(Housemates!$D$15="",Housemates!$D$15&gt;=$B128)),IF($Q128=0,1,INDEX(Bills!$AH$6:$AH$25,$Q128)),0))))</f>
        <v/>
      </c>
      <c r="AA128">
        <f>SUM(S128:Z128)</f>
        <v/>
      </c>
      <c r="AB128">
        <f>IF(AA128=0,0,D128*S128/AA128)</f>
        <v/>
      </c>
      <c r="AC128">
        <f>IF(AA128=0,0,D128*T128/AA128)</f>
        <v/>
      </c>
      <c r="AD128">
        <f>IF(AA128=0,0,D128*U128/AA128)</f>
        <v/>
      </c>
      <c r="AE128">
        <f>IF(AA128=0,0,D128*V128/AA128)</f>
        <v/>
      </c>
      <c r="AF128">
        <f>IF(AA128=0,0,D128*W128/AA128)</f>
        <v/>
      </c>
      <c r="AG128">
        <f>IF(AA128=0,0,D128*X128/AA128)</f>
        <v/>
      </c>
      <c r="AH128">
        <f>IF(AA128=0,0,D128*Y128/AA128)</f>
        <v/>
      </c>
      <c r="AI128">
        <f>IF(AA128=0,0,D128*Z128/AA128)</f>
        <v/>
      </c>
      <c r="AJ128">
        <f>IF(OR(C128="",B128=""),"",C128&amp;"|"&amp;(YEAR(B128)*100+MONTH(B128)))</f>
        <v/>
      </c>
    </row>
    <row r="129">
      <c r="A129" s="1" t="n"/>
      <c r="B129" s="23" t="n"/>
      <c r="C129" s="24" t="n"/>
      <c r="D129" s="25" t="n"/>
      <c r="E129" s="26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1">
        <f>IF(D129="","",IF(B129="","No date",IF(AND(C129="Paying back",R129=0),"To whom?",IF(AA129=0,"Nobody",IF(C129="Paying back","To "&amp;INDEX(Housemates!$B$8:$B$15,MATCH(MAX(S129:Z129),S129:Z129,0)),IF(R129&gt;0,IF(COUNTIF(S129:Z129,"&gt;0")=1,"1 person",COUNTIF(S129:Z129,"&gt;0")&amp;" people"),IF(Q129=0,"Everyone",INDEX(Bills!$Q$6:$Q$25,Q129))))))))</f>
        <v/>
      </c>
      <c r="O129" s="18">
        <f>IF(D129="","",IF(C129="Paying back","Paying back",IF(Q129=0,"Other",IF(INDEX(Bills!$C$6:$C$25,Q129)="","Other",INDEX(Bills!$C$6:$C$25,Q129)))))</f>
        <v/>
      </c>
      <c r="P129" s="1" t="n"/>
      <c r="Q129">
        <f>IF(C129="",0,IFERROR(MATCH(C129,Bills!$B$6:$B$25,0),0))</f>
        <v/>
      </c>
      <c r="R129">
        <f>COUNTA(F129:M129)</f>
        <v/>
      </c>
      <c r="S129">
        <f>IF(OR($D129="",$B129="",Housemates!$B$8=""),0,IF($R129&gt;0,IF(F129="",0,IF(ISNUMBER(F129),F129,1)),IF($C129="Paying back",0,IF(AND(OR(Housemates!$C$8="",Housemates!$C$8&lt;=$B129),OR(Housemates!$D$8="",Housemates!$D$8&gt;=$B129)),IF($Q129=0,1,INDEX(Bills!$AA$6:$AA$25,$Q129)),0))))</f>
        <v/>
      </c>
      <c r="T129">
        <f>IF(OR($D129="",$B129="",Housemates!$B$9=""),0,IF($R129&gt;0,IF(G129="",0,IF(ISNUMBER(G129),G129,1)),IF($C129="Paying back",0,IF(AND(OR(Housemates!$C$9="",Housemates!$C$9&lt;=$B129),OR(Housemates!$D$9="",Housemates!$D$9&gt;=$B129)),IF($Q129=0,1,INDEX(Bills!$AB$6:$AB$25,$Q129)),0))))</f>
        <v/>
      </c>
      <c r="U129">
        <f>IF(OR($D129="",$B129="",Housemates!$B$10=""),0,IF($R129&gt;0,IF(H129="",0,IF(ISNUMBER(H129),H129,1)),IF($C129="Paying back",0,IF(AND(OR(Housemates!$C$10="",Housemates!$C$10&lt;=$B129),OR(Housemates!$D$10="",Housemates!$D$10&gt;=$B129)),IF($Q129=0,1,INDEX(Bills!$AC$6:$AC$25,$Q129)),0))))</f>
        <v/>
      </c>
      <c r="V129">
        <f>IF(OR($D129="",$B129="",Housemates!$B$11=""),0,IF($R129&gt;0,IF(I129="",0,IF(ISNUMBER(I129),I129,1)),IF($C129="Paying back",0,IF(AND(OR(Housemates!$C$11="",Housemates!$C$11&lt;=$B129),OR(Housemates!$D$11="",Housemates!$D$11&gt;=$B129)),IF($Q129=0,1,INDEX(Bills!$AD$6:$AD$25,$Q129)),0))))</f>
        <v/>
      </c>
      <c r="W129">
        <f>IF(OR($D129="",$B129="",Housemates!$B$12=""),0,IF($R129&gt;0,IF(J129="",0,IF(ISNUMBER(J129),J129,1)),IF($C129="Paying back",0,IF(AND(OR(Housemates!$C$12="",Housemates!$C$12&lt;=$B129),OR(Housemates!$D$12="",Housemates!$D$12&gt;=$B129)),IF($Q129=0,1,INDEX(Bills!$AE$6:$AE$25,$Q129)),0))))</f>
        <v/>
      </c>
      <c r="X129">
        <f>IF(OR($D129="",$B129="",Housemates!$B$13=""),0,IF($R129&gt;0,IF(K129="",0,IF(ISNUMBER(K129),K129,1)),IF($C129="Paying back",0,IF(AND(OR(Housemates!$C$13="",Housemates!$C$13&lt;=$B129),OR(Housemates!$D$13="",Housemates!$D$13&gt;=$B129)),IF($Q129=0,1,INDEX(Bills!$AF$6:$AF$25,$Q129)),0))))</f>
        <v/>
      </c>
      <c r="Y129">
        <f>IF(OR($D129="",$B129="",Housemates!$B$14=""),0,IF($R129&gt;0,IF(L129="",0,IF(ISNUMBER(L129),L129,1)),IF($C129="Paying back",0,IF(AND(OR(Housemates!$C$14="",Housemates!$C$14&lt;=$B129),OR(Housemates!$D$14="",Housemates!$D$14&gt;=$B129)),IF($Q129=0,1,INDEX(Bills!$AG$6:$AG$25,$Q129)),0))))</f>
        <v/>
      </c>
      <c r="Z129">
        <f>IF(OR($D129="",$B129="",Housemates!$B$15=""),0,IF($R129&gt;0,IF(M129="",0,IF(ISNUMBER(M129),M129,1)),IF($C129="Paying back",0,IF(AND(OR(Housemates!$C$15="",Housemates!$C$15&lt;=$B129),OR(Housemates!$D$15="",Housemates!$D$15&gt;=$B129)),IF($Q129=0,1,INDEX(Bills!$AH$6:$AH$25,$Q129)),0))))</f>
        <v/>
      </c>
      <c r="AA129">
        <f>SUM(S129:Z129)</f>
        <v/>
      </c>
      <c r="AB129">
        <f>IF(AA129=0,0,D129*S129/AA129)</f>
        <v/>
      </c>
      <c r="AC129">
        <f>IF(AA129=0,0,D129*T129/AA129)</f>
        <v/>
      </c>
      <c r="AD129">
        <f>IF(AA129=0,0,D129*U129/AA129)</f>
        <v/>
      </c>
      <c r="AE129">
        <f>IF(AA129=0,0,D129*V129/AA129)</f>
        <v/>
      </c>
      <c r="AF129">
        <f>IF(AA129=0,0,D129*W129/AA129)</f>
        <v/>
      </c>
      <c r="AG129">
        <f>IF(AA129=0,0,D129*X129/AA129)</f>
        <v/>
      </c>
      <c r="AH129">
        <f>IF(AA129=0,0,D129*Y129/AA129)</f>
        <v/>
      </c>
      <c r="AI129">
        <f>IF(AA129=0,0,D129*Z129/AA129)</f>
        <v/>
      </c>
      <c r="AJ129">
        <f>IF(OR(C129="",B129=""),"",C129&amp;"|"&amp;(YEAR(B129)*100+MONTH(B129)))</f>
        <v/>
      </c>
    </row>
    <row r="130">
      <c r="A130" s="1" t="n"/>
      <c r="B130" s="23" t="n"/>
      <c r="C130" s="24" t="n"/>
      <c r="D130" s="25" t="n"/>
      <c r="E130" s="26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1">
        <f>IF(D130="","",IF(B130="","No date",IF(AND(C130="Paying back",R130=0),"To whom?",IF(AA130=0,"Nobody",IF(C130="Paying back","To "&amp;INDEX(Housemates!$B$8:$B$15,MATCH(MAX(S130:Z130),S130:Z130,0)),IF(R130&gt;0,IF(COUNTIF(S130:Z130,"&gt;0")=1,"1 person",COUNTIF(S130:Z130,"&gt;0")&amp;" people"),IF(Q130=0,"Everyone",INDEX(Bills!$Q$6:$Q$25,Q130))))))))</f>
        <v/>
      </c>
      <c r="O130" s="18">
        <f>IF(D130="","",IF(C130="Paying back","Paying back",IF(Q130=0,"Other",IF(INDEX(Bills!$C$6:$C$25,Q130)="","Other",INDEX(Bills!$C$6:$C$25,Q130)))))</f>
        <v/>
      </c>
      <c r="P130" s="1" t="n"/>
      <c r="Q130">
        <f>IF(C130="",0,IFERROR(MATCH(C130,Bills!$B$6:$B$25,0),0))</f>
        <v/>
      </c>
      <c r="R130">
        <f>COUNTA(F130:M130)</f>
        <v/>
      </c>
      <c r="S130">
        <f>IF(OR($D130="",$B130="",Housemates!$B$8=""),0,IF($R130&gt;0,IF(F130="",0,IF(ISNUMBER(F130),F130,1)),IF($C130="Paying back",0,IF(AND(OR(Housemates!$C$8="",Housemates!$C$8&lt;=$B130),OR(Housemates!$D$8="",Housemates!$D$8&gt;=$B130)),IF($Q130=0,1,INDEX(Bills!$AA$6:$AA$25,$Q130)),0))))</f>
        <v/>
      </c>
      <c r="T130">
        <f>IF(OR($D130="",$B130="",Housemates!$B$9=""),0,IF($R130&gt;0,IF(G130="",0,IF(ISNUMBER(G130),G130,1)),IF($C130="Paying back",0,IF(AND(OR(Housemates!$C$9="",Housemates!$C$9&lt;=$B130),OR(Housemates!$D$9="",Housemates!$D$9&gt;=$B130)),IF($Q130=0,1,INDEX(Bills!$AB$6:$AB$25,$Q130)),0))))</f>
        <v/>
      </c>
      <c r="U130">
        <f>IF(OR($D130="",$B130="",Housemates!$B$10=""),0,IF($R130&gt;0,IF(H130="",0,IF(ISNUMBER(H130),H130,1)),IF($C130="Paying back",0,IF(AND(OR(Housemates!$C$10="",Housemates!$C$10&lt;=$B130),OR(Housemates!$D$10="",Housemates!$D$10&gt;=$B130)),IF($Q130=0,1,INDEX(Bills!$AC$6:$AC$25,$Q130)),0))))</f>
        <v/>
      </c>
      <c r="V130">
        <f>IF(OR($D130="",$B130="",Housemates!$B$11=""),0,IF($R130&gt;0,IF(I130="",0,IF(ISNUMBER(I130),I130,1)),IF($C130="Paying back",0,IF(AND(OR(Housemates!$C$11="",Housemates!$C$11&lt;=$B130),OR(Housemates!$D$11="",Housemates!$D$11&gt;=$B130)),IF($Q130=0,1,INDEX(Bills!$AD$6:$AD$25,$Q130)),0))))</f>
        <v/>
      </c>
      <c r="W130">
        <f>IF(OR($D130="",$B130="",Housemates!$B$12=""),0,IF($R130&gt;0,IF(J130="",0,IF(ISNUMBER(J130),J130,1)),IF($C130="Paying back",0,IF(AND(OR(Housemates!$C$12="",Housemates!$C$12&lt;=$B130),OR(Housemates!$D$12="",Housemates!$D$12&gt;=$B130)),IF($Q130=0,1,INDEX(Bills!$AE$6:$AE$25,$Q130)),0))))</f>
        <v/>
      </c>
      <c r="X130">
        <f>IF(OR($D130="",$B130="",Housemates!$B$13=""),0,IF($R130&gt;0,IF(K130="",0,IF(ISNUMBER(K130),K130,1)),IF($C130="Paying back",0,IF(AND(OR(Housemates!$C$13="",Housemates!$C$13&lt;=$B130),OR(Housemates!$D$13="",Housemates!$D$13&gt;=$B130)),IF($Q130=0,1,INDEX(Bills!$AF$6:$AF$25,$Q130)),0))))</f>
        <v/>
      </c>
      <c r="Y130">
        <f>IF(OR($D130="",$B130="",Housemates!$B$14=""),0,IF($R130&gt;0,IF(L130="",0,IF(ISNUMBER(L130),L130,1)),IF($C130="Paying back",0,IF(AND(OR(Housemates!$C$14="",Housemates!$C$14&lt;=$B130),OR(Housemates!$D$14="",Housemates!$D$14&gt;=$B130)),IF($Q130=0,1,INDEX(Bills!$AG$6:$AG$25,$Q130)),0))))</f>
        <v/>
      </c>
      <c r="Z130">
        <f>IF(OR($D130="",$B130="",Housemates!$B$15=""),0,IF($R130&gt;0,IF(M130="",0,IF(ISNUMBER(M130),M130,1)),IF($C130="Paying back",0,IF(AND(OR(Housemates!$C$15="",Housemates!$C$15&lt;=$B130),OR(Housemates!$D$15="",Housemates!$D$15&gt;=$B130)),IF($Q130=0,1,INDEX(Bills!$AH$6:$AH$25,$Q130)),0))))</f>
        <v/>
      </c>
      <c r="AA130">
        <f>SUM(S130:Z130)</f>
        <v/>
      </c>
      <c r="AB130">
        <f>IF(AA130=0,0,D130*S130/AA130)</f>
        <v/>
      </c>
      <c r="AC130">
        <f>IF(AA130=0,0,D130*T130/AA130)</f>
        <v/>
      </c>
      <c r="AD130">
        <f>IF(AA130=0,0,D130*U130/AA130)</f>
        <v/>
      </c>
      <c r="AE130">
        <f>IF(AA130=0,0,D130*V130/AA130)</f>
        <v/>
      </c>
      <c r="AF130">
        <f>IF(AA130=0,0,D130*W130/AA130)</f>
        <v/>
      </c>
      <c r="AG130">
        <f>IF(AA130=0,0,D130*X130/AA130)</f>
        <v/>
      </c>
      <c r="AH130">
        <f>IF(AA130=0,0,D130*Y130/AA130)</f>
        <v/>
      </c>
      <c r="AI130">
        <f>IF(AA130=0,0,D130*Z130/AA130)</f>
        <v/>
      </c>
      <c r="AJ130">
        <f>IF(OR(C130="",B130=""),"",C130&amp;"|"&amp;(YEAR(B130)*100+MONTH(B130)))</f>
        <v/>
      </c>
    </row>
    <row r="131">
      <c r="A131" s="1" t="n"/>
      <c r="B131" s="23" t="n"/>
      <c r="C131" s="24" t="n"/>
      <c r="D131" s="25" t="n"/>
      <c r="E131" s="26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1">
        <f>IF(D131="","",IF(B131="","No date",IF(AND(C131="Paying back",R131=0),"To whom?",IF(AA131=0,"Nobody",IF(C131="Paying back","To "&amp;INDEX(Housemates!$B$8:$B$15,MATCH(MAX(S131:Z131),S131:Z131,0)),IF(R131&gt;0,IF(COUNTIF(S131:Z131,"&gt;0")=1,"1 person",COUNTIF(S131:Z131,"&gt;0")&amp;" people"),IF(Q131=0,"Everyone",INDEX(Bills!$Q$6:$Q$25,Q131))))))))</f>
        <v/>
      </c>
      <c r="O131" s="18">
        <f>IF(D131="","",IF(C131="Paying back","Paying back",IF(Q131=0,"Other",IF(INDEX(Bills!$C$6:$C$25,Q131)="","Other",INDEX(Bills!$C$6:$C$25,Q131)))))</f>
        <v/>
      </c>
      <c r="P131" s="1" t="n"/>
      <c r="Q131">
        <f>IF(C131="",0,IFERROR(MATCH(C131,Bills!$B$6:$B$25,0),0))</f>
        <v/>
      </c>
      <c r="R131">
        <f>COUNTA(F131:M131)</f>
        <v/>
      </c>
      <c r="S131">
        <f>IF(OR($D131="",$B131="",Housemates!$B$8=""),0,IF($R131&gt;0,IF(F131="",0,IF(ISNUMBER(F131),F131,1)),IF($C131="Paying back",0,IF(AND(OR(Housemates!$C$8="",Housemates!$C$8&lt;=$B131),OR(Housemates!$D$8="",Housemates!$D$8&gt;=$B131)),IF($Q131=0,1,INDEX(Bills!$AA$6:$AA$25,$Q131)),0))))</f>
        <v/>
      </c>
      <c r="T131">
        <f>IF(OR($D131="",$B131="",Housemates!$B$9=""),0,IF($R131&gt;0,IF(G131="",0,IF(ISNUMBER(G131),G131,1)),IF($C131="Paying back",0,IF(AND(OR(Housemates!$C$9="",Housemates!$C$9&lt;=$B131),OR(Housemates!$D$9="",Housemates!$D$9&gt;=$B131)),IF($Q131=0,1,INDEX(Bills!$AB$6:$AB$25,$Q131)),0))))</f>
        <v/>
      </c>
      <c r="U131">
        <f>IF(OR($D131="",$B131="",Housemates!$B$10=""),0,IF($R131&gt;0,IF(H131="",0,IF(ISNUMBER(H131),H131,1)),IF($C131="Paying back",0,IF(AND(OR(Housemates!$C$10="",Housemates!$C$10&lt;=$B131),OR(Housemates!$D$10="",Housemates!$D$10&gt;=$B131)),IF($Q131=0,1,INDEX(Bills!$AC$6:$AC$25,$Q131)),0))))</f>
        <v/>
      </c>
      <c r="V131">
        <f>IF(OR($D131="",$B131="",Housemates!$B$11=""),0,IF($R131&gt;0,IF(I131="",0,IF(ISNUMBER(I131),I131,1)),IF($C131="Paying back",0,IF(AND(OR(Housemates!$C$11="",Housemates!$C$11&lt;=$B131),OR(Housemates!$D$11="",Housemates!$D$11&gt;=$B131)),IF($Q131=0,1,INDEX(Bills!$AD$6:$AD$25,$Q131)),0))))</f>
        <v/>
      </c>
      <c r="W131">
        <f>IF(OR($D131="",$B131="",Housemates!$B$12=""),0,IF($R131&gt;0,IF(J131="",0,IF(ISNUMBER(J131),J131,1)),IF($C131="Paying back",0,IF(AND(OR(Housemates!$C$12="",Housemates!$C$12&lt;=$B131),OR(Housemates!$D$12="",Housemates!$D$12&gt;=$B131)),IF($Q131=0,1,INDEX(Bills!$AE$6:$AE$25,$Q131)),0))))</f>
        <v/>
      </c>
      <c r="X131">
        <f>IF(OR($D131="",$B131="",Housemates!$B$13=""),0,IF($R131&gt;0,IF(K131="",0,IF(ISNUMBER(K131),K131,1)),IF($C131="Paying back",0,IF(AND(OR(Housemates!$C$13="",Housemates!$C$13&lt;=$B131),OR(Housemates!$D$13="",Housemates!$D$13&gt;=$B131)),IF($Q131=0,1,INDEX(Bills!$AF$6:$AF$25,$Q131)),0))))</f>
        <v/>
      </c>
      <c r="Y131">
        <f>IF(OR($D131="",$B131="",Housemates!$B$14=""),0,IF($R131&gt;0,IF(L131="",0,IF(ISNUMBER(L131),L131,1)),IF($C131="Paying back",0,IF(AND(OR(Housemates!$C$14="",Housemates!$C$14&lt;=$B131),OR(Housemates!$D$14="",Housemates!$D$14&gt;=$B131)),IF($Q131=0,1,INDEX(Bills!$AG$6:$AG$25,$Q131)),0))))</f>
        <v/>
      </c>
      <c r="Z131">
        <f>IF(OR($D131="",$B131="",Housemates!$B$15=""),0,IF($R131&gt;0,IF(M131="",0,IF(ISNUMBER(M131),M131,1)),IF($C131="Paying back",0,IF(AND(OR(Housemates!$C$15="",Housemates!$C$15&lt;=$B131),OR(Housemates!$D$15="",Housemates!$D$15&gt;=$B131)),IF($Q131=0,1,INDEX(Bills!$AH$6:$AH$25,$Q131)),0))))</f>
        <v/>
      </c>
      <c r="AA131">
        <f>SUM(S131:Z131)</f>
        <v/>
      </c>
      <c r="AB131">
        <f>IF(AA131=0,0,D131*S131/AA131)</f>
        <v/>
      </c>
      <c r="AC131">
        <f>IF(AA131=0,0,D131*T131/AA131)</f>
        <v/>
      </c>
      <c r="AD131">
        <f>IF(AA131=0,0,D131*U131/AA131)</f>
        <v/>
      </c>
      <c r="AE131">
        <f>IF(AA131=0,0,D131*V131/AA131)</f>
        <v/>
      </c>
      <c r="AF131">
        <f>IF(AA131=0,0,D131*W131/AA131)</f>
        <v/>
      </c>
      <c r="AG131">
        <f>IF(AA131=0,0,D131*X131/AA131)</f>
        <v/>
      </c>
      <c r="AH131">
        <f>IF(AA131=0,0,D131*Y131/AA131)</f>
        <v/>
      </c>
      <c r="AI131">
        <f>IF(AA131=0,0,D131*Z131/AA131)</f>
        <v/>
      </c>
      <c r="AJ131">
        <f>IF(OR(C131="",B131=""),"",C131&amp;"|"&amp;(YEAR(B131)*100+MONTH(B131)))</f>
        <v/>
      </c>
    </row>
    <row r="132">
      <c r="A132" s="1" t="n"/>
      <c r="B132" s="23" t="n"/>
      <c r="C132" s="24" t="n"/>
      <c r="D132" s="25" t="n"/>
      <c r="E132" s="26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1">
        <f>IF(D132="","",IF(B132="","No date",IF(AND(C132="Paying back",R132=0),"To whom?",IF(AA132=0,"Nobody",IF(C132="Paying back","To "&amp;INDEX(Housemates!$B$8:$B$15,MATCH(MAX(S132:Z132),S132:Z132,0)),IF(R132&gt;0,IF(COUNTIF(S132:Z132,"&gt;0")=1,"1 person",COUNTIF(S132:Z132,"&gt;0")&amp;" people"),IF(Q132=0,"Everyone",INDEX(Bills!$Q$6:$Q$25,Q132))))))))</f>
        <v/>
      </c>
      <c r="O132" s="18">
        <f>IF(D132="","",IF(C132="Paying back","Paying back",IF(Q132=0,"Other",IF(INDEX(Bills!$C$6:$C$25,Q132)="","Other",INDEX(Bills!$C$6:$C$25,Q132)))))</f>
        <v/>
      </c>
      <c r="P132" s="1" t="n"/>
      <c r="Q132">
        <f>IF(C132="",0,IFERROR(MATCH(C132,Bills!$B$6:$B$25,0),0))</f>
        <v/>
      </c>
      <c r="R132">
        <f>COUNTA(F132:M132)</f>
        <v/>
      </c>
      <c r="S132">
        <f>IF(OR($D132="",$B132="",Housemates!$B$8=""),0,IF($R132&gt;0,IF(F132="",0,IF(ISNUMBER(F132),F132,1)),IF($C132="Paying back",0,IF(AND(OR(Housemates!$C$8="",Housemates!$C$8&lt;=$B132),OR(Housemates!$D$8="",Housemates!$D$8&gt;=$B132)),IF($Q132=0,1,INDEX(Bills!$AA$6:$AA$25,$Q132)),0))))</f>
        <v/>
      </c>
      <c r="T132">
        <f>IF(OR($D132="",$B132="",Housemates!$B$9=""),0,IF($R132&gt;0,IF(G132="",0,IF(ISNUMBER(G132),G132,1)),IF($C132="Paying back",0,IF(AND(OR(Housemates!$C$9="",Housemates!$C$9&lt;=$B132),OR(Housemates!$D$9="",Housemates!$D$9&gt;=$B132)),IF($Q132=0,1,INDEX(Bills!$AB$6:$AB$25,$Q132)),0))))</f>
        <v/>
      </c>
      <c r="U132">
        <f>IF(OR($D132="",$B132="",Housemates!$B$10=""),0,IF($R132&gt;0,IF(H132="",0,IF(ISNUMBER(H132),H132,1)),IF($C132="Paying back",0,IF(AND(OR(Housemates!$C$10="",Housemates!$C$10&lt;=$B132),OR(Housemates!$D$10="",Housemates!$D$10&gt;=$B132)),IF($Q132=0,1,INDEX(Bills!$AC$6:$AC$25,$Q132)),0))))</f>
        <v/>
      </c>
      <c r="V132">
        <f>IF(OR($D132="",$B132="",Housemates!$B$11=""),0,IF($R132&gt;0,IF(I132="",0,IF(ISNUMBER(I132),I132,1)),IF($C132="Paying back",0,IF(AND(OR(Housemates!$C$11="",Housemates!$C$11&lt;=$B132),OR(Housemates!$D$11="",Housemates!$D$11&gt;=$B132)),IF($Q132=0,1,INDEX(Bills!$AD$6:$AD$25,$Q132)),0))))</f>
        <v/>
      </c>
      <c r="W132">
        <f>IF(OR($D132="",$B132="",Housemates!$B$12=""),0,IF($R132&gt;0,IF(J132="",0,IF(ISNUMBER(J132),J132,1)),IF($C132="Paying back",0,IF(AND(OR(Housemates!$C$12="",Housemates!$C$12&lt;=$B132),OR(Housemates!$D$12="",Housemates!$D$12&gt;=$B132)),IF($Q132=0,1,INDEX(Bills!$AE$6:$AE$25,$Q132)),0))))</f>
        <v/>
      </c>
      <c r="X132">
        <f>IF(OR($D132="",$B132="",Housemates!$B$13=""),0,IF($R132&gt;0,IF(K132="",0,IF(ISNUMBER(K132),K132,1)),IF($C132="Paying back",0,IF(AND(OR(Housemates!$C$13="",Housemates!$C$13&lt;=$B132),OR(Housemates!$D$13="",Housemates!$D$13&gt;=$B132)),IF($Q132=0,1,INDEX(Bills!$AF$6:$AF$25,$Q132)),0))))</f>
        <v/>
      </c>
      <c r="Y132">
        <f>IF(OR($D132="",$B132="",Housemates!$B$14=""),0,IF($R132&gt;0,IF(L132="",0,IF(ISNUMBER(L132),L132,1)),IF($C132="Paying back",0,IF(AND(OR(Housemates!$C$14="",Housemates!$C$14&lt;=$B132),OR(Housemates!$D$14="",Housemates!$D$14&gt;=$B132)),IF($Q132=0,1,INDEX(Bills!$AG$6:$AG$25,$Q132)),0))))</f>
        <v/>
      </c>
      <c r="Z132">
        <f>IF(OR($D132="",$B132="",Housemates!$B$15=""),0,IF($R132&gt;0,IF(M132="",0,IF(ISNUMBER(M132),M132,1)),IF($C132="Paying back",0,IF(AND(OR(Housemates!$C$15="",Housemates!$C$15&lt;=$B132),OR(Housemates!$D$15="",Housemates!$D$15&gt;=$B132)),IF($Q132=0,1,INDEX(Bills!$AH$6:$AH$25,$Q132)),0))))</f>
        <v/>
      </c>
      <c r="AA132">
        <f>SUM(S132:Z132)</f>
        <v/>
      </c>
      <c r="AB132">
        <f>IF(AA132=0,0,D132*S132/AA132)</f>
        <v/>
      </c>
      <c r="AC132">
        <f>IF(AA132=0,0,D132*T132/AA132)</f>
        <v/>
      </c>
      <c r="AD132">
        <f>IF(AA132=0,0,D132*U132/AA132)</f>
        <v/>
      </c>
      <c r="AE132">
        <f>IF(AA132=0,0,D132*V132/AA132)</f>
        <v/>
      </c>
      <c r="AF132">
        <f>IF(AA132=0,0,D132*W132/AA132)</f>
        <v/>
      </c>
      <c r="AG132">
        <f>IF(AA132=0,0,D132*X132/AA132)</f>
        <v/>
      </c>
      <c r="AH132">
        <f>IF(AA132=0,0,D132*Y132/AA132)</f>
        <v/>
      </c>
      <c r="AI132">
        <f>IF(AA132=0,0,D132*Z132/AA132)</f>
        <v/>
      </c>
      <c r="AJ132">
        <f>IF(OR(C132="",B132=""),"",C132&amp;"|"&amp;(YEAR(B132)*100+MONTH(B132)))</f>
        <v/>
      </c>
    </row>
    <row r="133">
      <c r="A133" s="1" t="n"/>
      <c r="B133" s="23" t="n"/>
      <c r="C133" s="24" t="n"/>
      <c r="D133" s="25" t="n"/>
      <c r="E133" s="26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1">
        <f>IF(D133="","",IF(B133="","No date",IF(AND(C133="Paying back",R133=0),"To whom?",IF(AA133=0,"Nobody",IF(C133="Paying back","To "&amp;INDEX(Housemates!$B$8:$B$15,MATCH(MAX(S133:Z133),S133:Z133,0)),IF(R133&gt;0,IF(COUNTIF(S133:Z133,"&gt;0")=1,"1 person",COUNTIF(S133:Z133,"&gt;0")&amp;" people"),IF(Q133=0,"Everyone",INDEX(Bills!$Q$6:$Q$25,Q133))))))))</f>
        <v/>
      </c>
      <c r="O133" s="18">
        <f>IF(D133="","",IF(C133="Paying back","Paying back",IF(Q133=0,"Other",IF(INDEX(Bills!$C$6:$C$25,Q133)="","Other",INDEX(Bills!$C$6:$C$25,Q133)))))</f>
        <v/>
      </c>
      <c r="P133" s="1" t="n"/>
      <c r="Q133">
        <f>IF(C133="",0,IFERROR(MATCH(C133,Bills!$B$6:$B$25,0),0))</f>
        <v/>
      </c>
      <c r="R133">
        <f>COUNTA(F133:M133)</f>
        <v/>
      </c>
      <c r="S133">
        <f>IF(OR($D133="",$B133="",Housemates!$B$8=""),0,IF($R133&gt;0,IF(F133="",0,IF(ISNUMBER(F133),F133,1)),IF($C133="Paying back",0,IF(AND(OR(Housemates!$C$8="",Housemates!$C$8&lt;=$B133),OR(Housemates!$D$8="",Housemates!$D$8&gt;=$B133)),IF($Q133=0,1,INDEX(Bills!$AA$6:$AA$25,$Q133)),0))))</f>
        <v/>
      </c>
      <c r="T133">
        <f>IF(OR($D133="",$B133="",Housemates!$B$9=""),0,IF($R133&gt;0,IF(G133="",0,IF(ISNUMBER(G133),G133,1)),IF($C133="Paying back",0,IF(AND(OR(Housemates!$C$9="",Housemates!$C$9&lt;=$B133),OR(Housemates!$D$9="",Housemates!$D$9&gt;=$B133)),IF($Q133=0,1,INDEX(Bills!$AB$6:$AB$25,$Q133)),0))))</f>
        <v/>
      </c>
      <c r="U133">
        <f>IF(OR($D133="",$B133="",Housemates!$B$10=""),0,IF($R133&gt;0,IF(H133="",0,IF(ISNUMBER(H133),H133,1)),IF($C133="Paying back",0,IF(AND(OR(Housemates!$C$10="",Housemates!$C$10&lt;=$B133),OR(Housemates!$D$10="",Housemates!$D$10&gt;=$B133)),IF($Q133=0,1,INDEX(Bills!$AC$6:$AC$25,$Q133)),0))))</f>
        <v/>
      </c>
      <c r="V133">
        <f>IF(OR($D133="",$B133="",Housemates!$B$11=""),0,IF($R133&gt;0,IF(I133="",0,IF(ISNUMBER(I133),I133,1)),IF($C133="Paying back",0,IF(AND(OR(Housemates!$C$11="",Housemates!$C$11&lt;=$B133),OR(Housemates!$D$11="",Housemates!$D$11&gt;=$B133)),IF($Q133=0,1,INDEX(Bills!$AD$6:$AD$25,$Q133)),0))))</f>
        <v/>
      </c>
      <c r="W133">
        <f>IF(OR($D133="",$B133="",Housemates!$B$12=""),0,IF($R133&gt;0,IF(J133="",0,IF(ISNUMBER(J133),J133,1)),IF($C133="Paying back",0,IF(AND(OR(Housemates!$C$12="",Housemates!$C$12&lt;=$B133),OR(Housemates!$D$12="",Housemates!$D$12&gt;=$B133)),IF($Q133=0,1,INDEX(Bills!$AE$6:$AE$25,$Q133)),0))))</f>
        <v/>
      </c>
      <c r="X133">
        <f>IF(OR($D133="",$B133="",Housemates!$B$13=""),0,IF($R133&gt;0,IF(K133="",0,IF(ISNUMBER(K133),K133,1)),IF($C133="Paying back",0,IF(AND(OR(Housemates!$C$13="",Housemates!$C$13&lt;=$B133),OR(Housemates!$D$13="",Housemates!$D$13&gt;=$B133)),IF($Q133=0,1,INDEX(Bills!$AF$6:$AF$25,$Q133)),0))))</f>
        <v/>
      </c>
      <c r="Y133">
        <f>IF(OR($D133="",$B133="",Housemates!$B$14=""),0,IF($R133&gt;0,IF(L133="",0,IF(ISNUMBER(L133),L133,1)),IF($C133="Paying back",0,IF(AND(OR(Housemates!$C$14="",Housemates!$C$14&lt;=$B133),OR(Housemates!$D$14="",Housemates!$D$14&gt;=$B133)),IF($Q133=0,1,INDEX(Bills!$AG$6:$AG$25,$Q133)),0))))</f>
        <v/>
      </c>
      <c r="Z133">
        <f>IF(OR($D133="",$B133="",Housemates!$B$15=""),0,IF($R133&gt;0,IF(M133="",0,IF(ISNUMBER(M133),M133,1)),IF($C133="Paying back",0,IF(AND(OR(Housemates!$C$15="",Housemates!$C$15&lt;=$B133),OR(Housemates!$D$15="",Housemates!$D$15&gt;=$B133)),IF($Q133=0,1,INDEX(Bills!$AH$6:$AH$25,$Q133)),0))))</f>
        <v/>
      </c>
      <c r="AA133">
        <f>SUM(S133:Z133)</f>
        <v/>
      </c>
      <c r="AB133">
        <f>IF(AA133=0,0,D133*S133/AA133)</f>
        <v/>
      </c>
      <c r="AC133">
        <f>IF(AA133=0,0,D133*T133/AA133)</f>
        <v/>
      </c>
      <c r="AD133">
        <f>IF(AA133=0,0,D133*U133/AA133)</f>
        <v/>
      </c>
      <c r="AE133">
        <f>IF(AA133=0,0,D133*V133/AA133)</f>
        <v/>
      </c>
      <c r="AF133">
        <f>IF(AA133=0,0,D133*W133/AA133)</f>
        <v/>
      </c>
      <c r="AG133">
        <f>IF(AA133=0,0,D133*X133/AA133)</f>
        <v/>
      </c>
      <c r="AH133">
        <f>IF(AA133=0,0,D133*Y133/AA133)</f>
        <v/>
      </c>
      <c r="AI133">
        <f>IF(AA133=0,0,D133*Z133/AA133)</f>
        <v/>
      </c>
      <c r="AJ133">
        <f>IF(OR(C133="",B133=""),"",C133&amp;"|"&amp;(YEAR(B133)*100+MONTH(B133)))</f>
        <v/>
      </c>
    </row>
    <row r="134">
      <c r="A134" s="1" t="n"/>
      <c r="B134" s="23" t="n"/>
      <c r="C134" s="24" t="n"/>
      <c r="D134" s="25" t="n"/>
      <c r="E134" s="26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1">
        <f>IF(D134="","",IF(B134="","No date",IF(AND(C134="Paying back",R134=0),"To whom?",IF(AA134=0,"Nobody",IF(C134="Paying back","To "&amp;INDEX(Housemates!$B$8:$B$15,MATCH(MAX(S134:Z134),S134:Z134,0)),IF(R134&gt;0,IF(COUNTIF(S134:Z134,"&gt;0")=1,"1 person",COUNTIF(S134:Z134,"&gt;0")&amp;" people"),IF(Q134=0,"Everyone",INDEX(Bills!$Q$6:$Q$25,Q134))))))))</f>
        <v/>
      </c>
      <c r="O134" s="18">
        <f>IF(D134="","",IF(C134="Paying back","Paying back",IF(Q134=0,"Other",IF(INDEX(Bills!$C$6:$C$25,Q134)="","Other",INDEX(Bills!$C$6:$C$25,Q134)))))</f>
        <v/>
      </c>
      <c r="P134" s="1" t="n"/>
      <c r="Q134">
        <f>IF(C134="",0,IFERROR(MATCH(C134,Bills!$B$6:$B$25,0),0))</f>
        <v/>
      </c>
      <c r="R134">
        <f>COUNTA(F134:M134)</f>
        <v/>
      </c>
      <c r="S134">
        <f>IF(OR($D134="",$B134="",Housemates!$B$8=""),0,IF($R134&gt;0,IF(F134="",0,IF(ISNUMBER(F134),F134,1)),IF($C134="Paying back",0,IF(AND(OR(Housemates!$C$8="",Housemates!$C$8&lt;=$B134),OR(Housemates!$D$8="",Housemates!$D$8&gt;=$B134)),IF($Q134=0,1,INDEX(Bills!$AA$6:$AA$25,$Q134)),0))))</f>
        <v/>
      </c>
      <c r="T134">
        <f>IF(OR($D134="",$B134="",Housemates!$B$9=""),0,IF($R134&gt;0,IF(G134="",0,IF(ISNUMBER(G134),G134,1)),IF($C134="Paying back",0,IF(AND(OR(Housemates!$C$9="",Housemates!$C$9&lt;=$B134),OR(Housemates!$D$9="",Housemates!$D$9&gt;=$B134)),IF($Q134=0,1,INDEX(Bills!$AB$6:$AB$25,$Q134)),0))))</f>
        <v/>
      </c>
      <c r="U134">
        <f>IF(OR($D134="",$B134="",Housemates!$B$10=""),0,IF($R134&gt;0,IF(H134="",0,IF(ISNUMBER(H134),H134,1)),IF($C134="Paying back",0,IF(AND(OR(Housemates!$C$10="",Housemates!$C$10&lt;=$B134),OR(Housemates!$D$10="",Housemates!$D$10&gt;=$B134)),IF($Q134=0,1,INDEX(Bills!$AC$6:$AC$25,$Q134)),0))))</f>
        <v/>
      </c>
      <c r="V134">
        <f>IF(OR($D134="",$B134="",Housemates!$B$11=""),0,IF($R134&gt;0,IF(I134="",0,IF(ISNUMBER(I134),I134,1)),IF($C134="Paying back",0,IF(AND(OR(Housemates!$C$11="",Housemates!$C$11&lt;=$B134),OR(Housemates!$D$11="",Housemates!$D$11&gt;=$B134)),IF($Q134=0,1,INDEX(Bills!$AD$6:$AD$25,$Q134)),0))))</f>
        <v/>
      </c>
      <c r="W134">
        <f>IF(OR($D134="",$B134="",Housemates!$B$12=""),0,IF($R134&gt;0,IF(J134="",0,IF(ISNUMBER(J134),J134,1)),IF($C134="Paying back",0,IF(AND(OR(Housemates!$C$12="",Housemates!$C$12&lt;=$B134),OR(Housemates!$D$12="",Housemates!$D$12&gt;=$B134)),IF($Q134=0,1,INDEX(Bills!$AE$6:$AE$25,$Q134)),0))))</f>
        <v/>
      </c>
      <c r="X134">
        <f>IF(OR($D134="",$B134="",Housemates!$B$13=""),0,IF($R134&gt;0,IF(K134="",0,IF(ISNUMBER(K134),K134,1)),IF($C134="Paying back",0,IF(AND(OR(Housemates!$C$13="",Housemates!$C$13&lt;=$B134),OR(Housemates!$D$13="",Housemates!$D$13&gt;=$B134)),IF($Q134=0,1,INDEX(Bills!$AF$6:$AF$25,$Q134)),0))))</f>
        <v/>
      </c>
      <c r="Y134">
        <f>IF(OR($D134="",$B134="",Housemates!$B$14=""),0,IF($R134&gt;0,IF(L134="",0,IF(ISNUMBER(L134),L134,1)),IF($C134="Paying back",0,IF(AND(OR(Housemates!$C$14="",Housemates!$C$14&lt;=$B134),OR(Housemates!$D$14="",Housemates!$D$14&gt;=$B134)),IF($Q134=0,1,INDEX(Bills!$AG$6:$AG$25,$Q134)),0))))</f>
        <v/>
      </c>
      <c r="Z134">
        <f>IF(OR($D134="",$B134="",Housemates!$B$15=""),0,IF($R134&gt;0,IF(M134="",0,IF(ISNUMBER(M134),M134,1)),IF($C134="Paying back",0,IF(AND(OR(Housemates!$C$15="",Housemates!$C$15&lt;=$B134),OR(Housemates!$D$15="",Housemates!$D$15&gt;=$B134)),IF($Q134=0,1,INDEX(Bills!$AH$6:$AH$25,$Q134)),0))))</f>
        <v/>
      </c>
      <c r="AA134">
        <f>SUM(S134:Z134)</f>
        <v/>
      </c>
      <c r="AB134">
        <f>IF(AA134=0,0,D134*S134/AA134)</f>
        <v/>
      </c>
      <c r="AC134">
        <f>IF(AA134=0,0,D134*T134/AA134)</f>
        <v/>
      </c>
      <c r="AD134">
        <f>IF(AA134=0,0,D134*U134/AA134)</f>
        <v/>
      </c>
      <c r="AE134">
        <f>IF(AA134=0,0,D134*V134/AA134)</f>
        <v/>
      </c>
      <c r="AF134">
        <f>IF(AA134=0,0,D134*W134/AA134)</f>
        <v/>
      </c>
      <c r="AG134">
        <f>IF(AA134=0,0,D134*X134/AA134)</f>
        <v/>
      </c>
      <c r="AH134">
        <f>IF(AA134=0,0,D134*Y134/AA134)</f>
        <v/>
      </c>
      <c r="AI134">
        <f>IF(AA134=0,0,D134*Z134/AA134)</f>
        <v/>
      </c>
      <c r="AJ134">
        <f>IF(OR(C134="",B134=""),"",C134&amp;"|"&amp;(YEAR(B134)*100+MONTH(B134)))</f>
        <v/>
      </c>
    </row>
    <row r="135">
      <c r="A135" s="1" t="n"/>
      <c r="B135" s="23" t="n"/>
      <c r="C135" s="24" t="n"/>
      <c r="D135" s="25" t="n"/>
      <c r="E135" s="26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1">
        <f>IF(D135="","",IF(B135="","No date",IF(AND(C135="Paying back",R135=0),"To whom?",IF(AA135=0,"Nobody",IF(C135="Paying back","To "&amp;INDEX(Housemates!$B$8:$B$15,MATCH(MAX(S135:Z135),S135:Z135,0)),IF(R135&gt;0,IF(COUNTIF(S135:Z135,"&gt;0")=1,"1 person",COUNTIF(S135:Z135,"&gt;0")&amp;" people"),IF(Q135=0,"Everyone",INDEX(Bills!$Q$6:$Q$25,Q135))))))))</f>
        <v/>
      </c>
      <c r="O135" s="18">
        <f>IF(D135="","",IF(C135="Paying back","Paying back",IF(Q135=0,"Other",IF(INDEX(Bills!$C$6:$C$25,Q135)="","Other",INDEX(Bills!$C$6:$C$25,Q135)))))</f>
        <v/>
      </c>
      <c r="P135" s="1" t="n"/>
      <c r="Q135">
        <f>IF(C135="",0,IFERROR(MATCH(C135,Bills!$B$6:$B$25,0),0))</f>
        <v/>
      </c>
      <c r="R135">
        <f>COUNTA(F135:M135)</f>
        <v/>
      </c>
      <c r="S135">
        <f>IF(OR($D135="",$B135="",Housemates!$B$8=""),0,IF($R135&gt;0,IF(F135="",0,IF(ISNUMBER(F135),F135,1)),IF($C135="Paying back",0,IF(AND(OR(Housemates!$C$8="",Housemates!$C$8&lt;=$B135),OR(Housemates!$D$8="",Housemates!$D$8&gt;=$B135)),IF($Q135=0,1,INDEX(Bills!$AA$6:$AA$25,$Q135)),0))))</f>
        <v/>
      </c>
      <c r="T135">
        <f>IF(OR($D135="",$B135="",Housemates!$B$9=""),0,IF($R135&gt;0,IF(G135="",0,IF(ISNUMBER(G135),G135,1)),IF($C135="Paying back",0,IF(AND(OR(Housemates!$C$9="",Housemates!$C$9&lt;=$B135),OR(Housemates!$D$9="",Housemates!$D$9&gt;=$B135)),IF($Q135=0,1,INDEX(Bills!$AB$6:$AB$25,$Q135)),0))))</f>
        <v/>
      </c>
      <c r="U135">
        <f>IF(OR($D135="",$B135="",Housemates!$B$10=""),0,IF($R135&gt;0,IF(H135="",0,IF(ISNUMBER(H135),H135,1)),IF($C135="Paying back",0,IF(AND(OR(Housemates!$C$10="",Housemates!$C$10&lt;=$B135),OR(Housemates!$D$10="",Housemates!$D$10&gt;=$B135)),IF($Q135=0,1,INDEX(Bills!$AC$6:$AC$25,$Q135)),0))))</f>
        <v/>
      </c>
      <c r="V135">
        <f>IF(OR($D135="",$B135="",Housemates!$B$11=""),0,IF($R135&gt;0,IF(I135="",0,IF(ISNUMBER(I135),I135,1)),IF($C135="Paying back",0,IF(AND(OR(Housemates!$C$11="",Housemates!$C$11&lt;=$B135),OR(Housemates!$D$11="",Housemates!$D$11&gt;=$B135)),IF($Q135=0,1,INDEX(Bills!$AD$6:$AD$25,$Q135)),0))))</f>
        <v/>
      </c>
      <c r="W135">
        <f>IF(OR($D135="",$B135="",Housemates!$B$12=""),0,IF($R135&gt;0,IF(J135="",0,IF(ISNUMBER(J135),J135,1)),IF($C135="Paying back",0,IF(AND(OR(Housemates!$C$12="",Housemates!$C$12&lt;=$B135),OR(Housemates!$D$12="",Housemates!$D$12&gt;=$B135)),IF($Q135=0,1,INDEX(Bills!$AE$6:$AE$25,$Q135)),0))))</f>
        <v/>
      </c>
      <c r="X135">
        <f>IF(OR($D135="",$B135="",Housemates!$B$13=""),0,IF($R135&gt;0,IF(K135="",0,IF(ISNUMBER(K135),K135,1)),IF($C135="Paying back",0,IF(AND(OR(Housemates!$C$13="",Housemates!$C$13&lt;=$B135),OR(Housemates!$D$13="",Housemates!$D$13&gt;=$B135)),IF($Q135=0,1,INDEX(Bills!$AF$6:$AF$25,$Q135)),0))))</f>
        <v/>
      </c>
      <c r="Y135">
        <f>IF(OR($D135="",$B135="",Housemates!$B$14=""),0,IF($R135&gt;0,IF(L135="",0,IF(ISNUMBER(L135),L135,1)),IF($C135="Paying back",0,IF(AND(OR(Housemates!$C$14="",Housemates!$C$14&lt;=$B135),OR(Housemates!$D$14="",Housemates!$D$14&gt;=$B135)),IF($Q135=0,1,INDEX(Bills!$AG$6:$AG$25,$Q135)),0))))</f>
        <v/>
      </c>
      <c r="Z135">
        <f>IF(OR($D135="",$B135="",Housemates!$B$15=""),0,IF($R135&gt;0,IF(M135="",0,IF(ISNUMBER(M135),M135,1)),IF($C135="Paying back",0,IF(AND(OR(Housemates!$C$15="",Housemates!$C$15&lt;=$B135),OR(Housemates!$D$15="",Housemates!$D$15&gt;=$B135)),IF($Q135=0,1,INDEX(Bills!$AH$6:$AH$25,$Q135)),0))))</f>
        <v/>
      </c>
      <c r="AA135">
        <f>SUM(S135:Z135)</f>
        <v/>
      </c>
      <c r="AB135">
        <f>IF(AA135=0,0,D135*S135/AA135)</f>
        <v/>
      </c>
      <c r="AC135">
        <f>IF(AA135=0,0,D135*T135/AA135)</f>
        <v/>
      </c>
      <c r="AD135">
        <f>IF(AA135=0,0,D135*U135/AA135)</f>
        <v/>
      </c>
      <c r="AE135">
        <f>IF(AA135=0,0,D135*V135/AA135)</f>
        <v/>
      </c>
      <c r="AF135">
        <f>IF(AA135=0,0,D135*W135/AA135)</f>
        <v/>
      </c>
      <c r="AG135">
        <f>IF(AA135=0,0,D135*X135/AA135)</f>
        <v/>
      </c>
      <c r="AH135">
        <f>IF(AA135=0,0,D135*Y135/AA135)</f>
        <v/>
      </c>
      <c r="AI135">
        <f>IF(AA135=0,0,D135*Z135/AA135)</f>
        <v/>
      </c>
      <c r="AJ135">
        <f>IF(OR(C135="",B135=""),"",C135&amp;"|"&amp;(YEAR(B135)*100+MONTH(B135)))</f>
        <v/>
      </c>
    </row>
    <row r="136">
      <c r="A136" s="1" t="n"/>
      <c r="B136" s="23" t="n"/>
      <c r="C136" s="24" t="n"/>
      <c r="D136" s="25" t="n"/>
      <c r="E136" s="26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1">
        <f>IF(D136="","",IF(B136="","No date",IF(AND(C136="Paying back",R136=0),"To whom?",IF(AA136=0,"Nobody",IF(C136="Paying back","To "&amp;INDEX(Housemates!$B$8:$B$15,MATCH(MAX(S136:Z136),S136:Z136,0)),IF(R136&gt;0,IF(COUNTIF(S136:Z136,"&gt;0")=1,"1 person",COUNTIF(S136:Z136,"&gt;0")&amp;" people"),IF(Q136=0,"Everyone",INDEX(Bills!$Q$6:$Q$25,Q136))))))))</f>
        <v/>
      </c>
      <c r="O136" s="18">
        <f>IF(D136="","",IF(C136="Paying back","Paying back",IF(Q136=0,"Other",IF(INDEX(Bills!$C$6:$C$25,Q136)="","Other",INDEX(Bills!$C$6:$C$25,Q136)))))</f>
        <v/>
      </c>
      <c r="P136" s="1" t="n"/>
      <c r="Q136">
        <f>IF(C136="",0,IFERROR(MATCH(C136,Bills!$B$6:$B$25,0),0))</f>
        <v/>
      </c>
      <c r="R136">
        <f>COUNTA(F136:M136)</f>
        <v/>
      </c>
      <c r="S136">
        <f>IF(OR($D136="",$B136="",Housemates!$B$8=""),0,IF($R136&gt;0,IF(F136="",0,IF(ISNUMBER(F136),F136,1)),IF($C136="Paying back",0,IF(AND(OR(Housemates!$C$8="",Housemates!$C$8&lt;=$B136),OR(Housemates!$D$8="",Housemates!$D$8&gt;=$B136)),IF($Q136=0,1,INDEX(Bills!$AA$6:$AA$25,$Q136)),0))))</f>
        <v/>
      </c>
      <c r="T136">
        <f>IF(OR($D136="",$B136="",Housemates!$B$9=""),0,IF($R136&gt;0,IF(G136="",0,IF(ISNUMBER(G136),G136,1)),IF($C136="Paying back",0,IF(AND(OR(Housemates!$C$9="",Housemates!$C$9&lt;=$B136),OR(Housemates!$D$9="",Housemates!$D$9&gt;=$B136)),IF($Q136=0,1,INDEX(Bills!$AB$6:$AB$25,$Q136)),0))))</f>
        <v/>
      </c>
      <c r="U136">
        <f>IF(OR($D136="",$B136="",Housemates!$B$10=""),0,IF($R136&gt;0,IF(H136="",0,IF(ISNUMBER(H136),H136,1)),IF($C136="Paying back",0,IF(AND(OR(Housemates!$C$10="",Housemates!$C$10&lt;=$B136),OR(Housemates!$D$10="",Housemates!$D$10&gt;=$B136)),IF($Q136=0,1,INDEX(Bills!$AC$6:$AC$25,$Q136)),0))))</f>
        <v/>
      </c>
      <c r="V136">
        <f>IF(OR($D136="",$B136="",Housemates!$B$11=""),0,IF($R136&gt;0,IF(I136="",0,IF(ISNUMBER(I136),I136,1)),IF($C136="Paying back",0,IF(AND(OR(Housemates!$C$11="",Housemates!$C$11&lt;=$B136),OR(Housemates!$D$11="",Housemates!$D$11&gt;=$B136)),IF($Q136=0,1,INDEX(Bills!$AD$6:$AD$25,$Q136)),0))))</f>
        <v/>
      </c>
      <c r="W136">
        <f>IF(OR($D136="",$B136="",Housemates!$B$12=""),0,IF($R136&gt;0,IF(J136="",0,IF(ISNUMBER(J136),J136,1)),IF($C136="Paying back",0,IF(AND(OR(Housemates!$C$12="",Housemates!$C$12&lt;=$B136),OR(Housemates!$D$12="",Housemates!$D$12&gt;=$B136)),IF($Q136=0,1,INDEX(Bills!$AE$6:$AE$25,$Q136)),0))))</f>
        <v/>
      </c>
      <c r="X136">
        <f>IF(OR($D136="",$B136="",Housemates!$B$13=""),0,IF($R136&gt;0,IF(K136="",0,IF(ISNUMBER(K136),K136,1)),IF($C136="Paying back",0,IF(AND(OR(Housemates!$C$13="",Housemates!$C$13&lt;=$B136),OR(Housemates!$D$13="",Housemates!$D$13&gt;=$B136)),IF($Q136=0,1,INDEX(Bills!$AF$6:$AF$25,$Q136)),0))))</f>
        <v/>
      </c>
      <c r="Y136">
        <f>IF(OR($D136="",$B136="",Housemates!$B$14=""),0,IF($R136&gt;0,IF(L136="",0,IF(ISNUMBER(L136),L136,1)),IF($C136="Paying back",0,IF(AND(OR(Housemates!$C$14="",Housemates!$C$14&lt;=$B136),OR(Housemates!$D$14="",Housemates!$D$14&gt;=$B136)),IF($Q136=0,1,INDEX(Bills!$AG$6:$AG$25,$Q136)),0))))</f>
        <v/>
      </c>
      <c r="Z136">
        <f>IF(OR($D136="",$B136="",Housemates!$B$15=""),0,IF($R136&gt;0,IF(M136="",0,IF(ISNUMBER(M136),M136,1)),IF($C136="Paying back",0,IF(AND(OR(Housemates!$C$15="",Housemates!$C$15&lt;=$B136),OR(Housemates!$D$15="",Housemates!$D$15&gt;=$B136)),IF($Q136=0,1,INDEX(Bills!$AH$6:$AH$25,$Q136)),0))))</f>
        <v/>
      </c>
      <c r="AA136">
        <f>SUM(S136:Z136)</f>
        <v/>
      </c>
      <c r="AB136">
        <f>IF(AA136=0,0,D136*S136/AA136)</f>
        <v/>
      </c>
      <c r="AC136">
        <f>IF(AA136=0,0,D136*T136/AA136)</f>
        <v/>
      </c>
      <c r="AD136">
        <f>IF(AA136=0,0,D136*U136/AA136)</f>
        <v/>
      </c>
      <c r="AE136">
        <f>IF(AA136=0,0,D136*V136/AA136)</f>
        <v/>
      </c>
      <c r="AF136">
        <f>IF(AA136=0,0,D136*W136/AA136)</f>
        <v/>
      </c>
      <c r="AG136">
        <f>IF(AA136=0,0,D136*X136/AA136)</f>
        <v/>
      </c>
      <c r="AH136">
        <f>IF(AA136=0,0,D136*Y136/AA136)</f>
        <v/>
      </c>
      <c r="AI136">
        <f>IF(AA136=0,0,D136*Z136/AA136)</f>
        <v/>
      </c>
      <c r="AJ136">
        <f>IF(OR(C136="",B136=""),"",C136&amp;"|"&amp;(YEAR(B136)*100+MONTH(B136)))</f>
        <v/>
      </c>
    </row>
    <row r="137">
      <c r="A137" s="1" t="n"/>
      <c r="B137" s="23" t="n"/>
      <c r="C137" s="24" t="n"/>
      <c r="D137" s="25" t="n"/>
      <c r="E137" s="26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1">
        <f>IF(D137="","",IF(B137="","No date",IF(AND(C137="Paying back",R137=0),"To whom?",IF(AA137=0,"Nobody",IF(C137="Paying back","To "&amp;INDEX(Housemates!$B$8:$B$15,MATCH(MAX(S137:Z137),S137:Z137,0)),IF(R137&gt;0,IF(COUNTIF(S137:Z137,"&gt;0")=1,"1 person",COUNTIF(S137:Z137,"&gt;0")&amp;" people"),IF(Q137=0,"Everyone",INDEX(Bills!$Q$6:$Q$25,Q137))))))))</f>
        <v/>
      </c>
      <c r="O137" s="18">
        <f>IF(D137="","",IF(C137="Paying back","Paying back",IF(Q137=0,"Other",IF(INDEX(Bills!$C$6:$C$25,Q137)="","Other",INDEX(Bills!$C$6:$C$25,Q137)))))</f>
        <v/>
      </c>
      <c r="P137" s="1" t="n"/>
      <c r="Q137">
        <f>IF(C137="",0,IFERROR(MATCH(C137,Bills!$B$6:$B$25,0),0))</f>
        <v/>
      </c>
      <c r="R137">
        <f>COUNTA(F137:M137)</f>
        <v/>
      </c>
      <c r="S137">
        <f>IF(OR($D137="",$B137="",Housemates!$B$8=""),0,IF($R137&gt;0,IF(F137="",0,IF(ISNUMBER(F137),F137,1)),IF($C137="Paying back",0,IF(AND(OR(Housemates!$C$8="",Housemates!$C$8&lt;=$B137),OR(Housemates!$D$8="",Housemates!$D$8&gt;=$B137)),IF($Q137=0,1,INDEX(Bills!$AA$6:$AA$25,$Q137)),0))))</f>
        <v/>
      </c>
      <c r="T137">
        <f>IF(OR($D137="",$B137="",Housemates!$B$9=""),0,IF($R137&gt;0,IF(G137="",0,IF(ISNUMBER(G137),G137,1)),IF($C137="Paying back",0,IF(AND(OR(Housemates!$C$9="",Housemates!$C$9&lt;=$B137),OR(Housemates!$D$9="",Housemates!$D$9&gt;=$B137)),IF($Q137=0,1,INDEX(Bills!$AB$6:$AB$25,$Q137)),0))))</f>
        <v/>
      </c>
      <c r="U137">
        <f>IF(OR($D137="",$B137="",Housemates!$B$10=""),0,IF($R137&gt;0,IF(H137="",0,IF(ISNUMBER(H137),H137,1)),IF($C137="Paying back",0,IF(AND(OR(Housemates!$C$10="",Housemates!$C$10&lt;=$B137),OR(Housemates!$D$10="",Housemates!$D$10&gt;=$B137)),IF($Q137=0,1,INDEX(Bills!$AC$6:$AC$25,$Q137)),0))))</f>
        <v/>
      </c>
      <c r="V137">
        <f>IF(OR($D137="",$B137="",Housemates!$B$11=""),0,IF($R137&gt;0,IF(I137="",0,IF(ISNUMBER(I137),I137,1)),IF($C137="Paying back",0,IF(AND(OR(Housemates!$C$11="",Housemates!$C$11&lt;=$B137),OR(Housemates!$D$11="",Housemates!$D$11&gt;=$B137)),IF($Q137=0,1,INDEX(Bills!$AD$6:$AD$25,$Q137)),0))))</f>
        <v/>
      </c>
      <c r="W137">
        <f>IF(OR($D137="",$B137="",Housemates!$B$12=""),0,IF($R137&gt;0,IF(J137="",0,IF(ISNUMBER(J137),J137,1)),IF($C137="Paying back",0,IF(AND(OR(Housemates!$C$12="",Housemates!$C$12&lt;=$B137),OR(Housemates!$D$12="",Housemates!$D$12&gt;=$B137)),IF($Q137=0,1,INDEX(Bills!$AE$6:$AE$25,$Q137)),0))))</f>
        <v/>
      </c>
      <c r="X137">
        <f>IF(OR($D137="",$B137="",Housemates!$B$13=""),0,IF($R137&gt;0,IF(K137="",0,IF(ISNUMBER(K137),K137,1)),IF($C137="Paying back",0,IF(AND(OR(Housemates!$C$13="",Housemates!$C$13&lt;=$B137),OR(Housemates!$D$13="",Housemates!$D$13&gt;=$B137)),IF($Q137=0,1,INDEX(Bills!$AF$6:$AF$25,$Q137)),0))))</f>
        <v/>
      </c>
      <c r="Y137">
        <f>IF(OR($D137="",$B137="",Housemates!$B$14=""),0,IF($R137&gt;0,IF(L137="",0,IF(ISNUMBER(L137),L137,1)),IF($C137="Paying back",0,IF(AND(OR(Housemates!$C$14="",Housemates!$C$14&lt;=$B137),OR(Housemates!$D$14="",Housemates!$D$14&gt;=$B137)),IF($Q137=0,1,INDEX(Bills!$AG$6:$AG$25,$Q137)),0))))</f>
        <v/>
      </c>
      <c r="Z137">
        <f>IF(OR($D137="",$B137="",Housemates!$B$15=""),0,IF($R137&gt;0,IF(M137="",0,IF(ISNUMBER(M137),M137,1)),IF($C137="Paying back",0,IF(AND(OR(Housemates!$C$15="",Housemates!$C$15&lt;=$B137),OR(Housemates!$D$15="",Housemates!$D$15&gt;=$B137)),IF($Q137=0,1,INDEX(Bills!$AH$6:$AH$25,$Q137)),0))))</f>
        <v/>
      </c>
      <c r="AA137">
        <f>SUM(S137:Z137)</f>
        <v/>
      </c>
      <c r="AB137">
        <f>IF(AA137=0,0,D137*S137/AA137)</f>
        <v/>
      </c>
      <c r="AC137">
        <f>IF(AA137=0,0,D137*T137/AA137)</f>
        <v/>
      </c>
      <c r="AD137">
        <f>IF(AA137=0,0,D137*U137/AA137)</f>
        <v/>
      </c>
      <c r="AE137">
        <f>IF(AA137=0,0,D137*V137/AA137)</f>
        <v/>
      </c>
      <c r="AF137">
        <f>IF(AA137=0,0,D137*W137/AA137)</f>
        <v/>
      </c>
      <c r="AG137">
        <f>IF(AA137=0,0,D137*X137/AA137)</f>
        <v/>
      </c>
      <c r="AH137">
        <f>IF(AA137=0,0,D137*Y137/AA137)</f>
        <v/>
      </c>
      <c r="AI137">
        <f>IF(AA137=0,0,D137*Z137/AA137)</f>
        <v/>
      </c>
      <c r="AJ137">
        <f>IF(OR(C137="",B137=""),"",C137&amp;"|"&amp;(YEAR(B137)*100+MONTH(B137)))</f>
        <v/>
      </c>
    </row>
    <row r="138">
      <c r="A138" s="1" t="n"/>
      <c r="B138" s="23" t="n"/>
      <c r="C138" s="24" t="n"/>
      <c r="D138" s="25" t="n"/>
      <c r="E138" s="26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1">
        <f>IF(D138="","",IF(B138="","No date",IF(AND(C138="Paying back",R138=0),"To whom?",IF(AA138=0,"Nobody",IF(C138="Paying back","To "&amp;INDEX(Housemates!$B$8:$B$15,MATCH(MAX(S138:Z138),S138:Z138,0)),IF(R138&gt;0,IF(COUNTIF(S138:Z138,"&gt;0")=1,"1 person",COUNTIF(S138:Z138,"&gt;0")&amp;" people"),IF(Q138=0,"Everyone",INDEX(Bills!$Q$6:$Q$25,Q138))))))))</f>
        <v/>
      </c>
      <c r="O138" s="18">
        <f>IF(D138="","",IF(C138="Paying back","Paying back",IF(Q138=0,"Other",IF(INDEX(Bills!$C$6:$C$25,Q138)="","Other",INDEX(Bills!$C$6:$C$25,Q138)))))</f>
        <v/>
      </c>
      <c r="P138" s="1" t="n"/>
      <c r="Q138">
        <f>IF(C138="",0,IFERROR(MATCH(C138,Bills!$B$6:$B$25,0),0))</f>
        <v/>
      </c>
      <c r="R138">
        <f>COUNTA(F138:M138)</f>
        <v/>
      </c>
      <c r="S138">
        <f>IF(OR($D138="",$B138="",Housemates!$B$8=""),0,IF($R138&gt;0,IF(F138="",0,IF(ISNUMBER(F138),F138,1)),IF($C138="Paying back",0,IF(AND(OR(Housemates!$C$8="",Housemates!$C$8&lt;=$B138),OR(Housemates!$D$8="",Housemates!$D$8&gt;=$B138)),IF($Q138=0,1,INDEX(Bills!$AA$6:$AA$25,$Q138)),0))))</f>
        <v/>
      </c>
      <c r="T138">
        <f>IF(OR($D138="",$B138="",Housemates!$B$9=""),0,IF($R138&gt;0,IF(G138="",0,IF(ISNUMBER(G138),G138,1)),IF($C138="Paying back",0,IF(AND(OR(Housemates!$C$9="",Housemates!$C$9&lt;=$B138),OR(Housemates!$D$9="",Housemates!$D$9&gt;=$B138)),IF($Q138=0,1,INDEX(Bills!$AB$6:$AB$25,$Q138)),0))))</f>
        <v/>
      </c>
      <c r="U138">
        <f>IF(OR($D138="",$B138="",Housemates!$B$10=""),0,IF($R138&gt;0,IF(H138="",0,IF(ISNUMBER(H138),H138,1)),IF($C138="Paying back",0,IF(AND(OR(Housemates!$C$10="",Housemates!$C$10&lt;=$B138),OR(Housemates!$D$10="",Housemates!$D$10&gt;=$B138)),IF($Q138=0,1,INDEX(Bills!$AC$6:$AC$25,$Q138)),0))))</f>
        <v/>
      </c>
      <c r="V138">
        <f>IF(OR($D138="",$B138="",Housemates!$B$11=""),0,IF($R138&gt;0,IF(I138="",0,IF(ISNUMBER(I138),I138,1)),IF($C138="Paying back",0,IF(AND(OR(Housemates!$C$11="",Housemates!$C$11&lt;=$B138),OR(Housemates!$D$11="",Housemates!$D$11&gt;=$B138)),IF($Q138=0,1,INDEX(Bills!$AD$6:$AD$25,$Q138)),0))))</f>
        <v/>
      </c>
      <c r="W138">
        <f>IF(OR($D138="",$B138="",Housemates!$B$12=""),0,IF($R138&gt;0,IF(J138="",0,IF(ISNUMBER(J138),J138,1)),IF($C138="Paying back",0,IF(AND(OR(Housemates!$C$12="",Housemates!$C$12&lt;=$B138),OR(Housemates!$D$12="",Housemates!$D$12&gt;=$B138)),IF($Q138=0,1,INDEX(Bills!$AE$6:$AE$25,$Q138)),0))))</f>
        <v/>
      </c>
      <c r="X138">
        <f>IF(OR($D138="",$B138="",Housemates!$B$13=""),0,IF($R138&gt;0,IF(K138="",0,IF(ISNUMBER(K138),K138,1)),IF($C138="Paying back",0,IF(AND(OR(Housemates!$C$13="",Housemates!$C$13&lt;=$B138),OR(Housemates!$D$13="",Housemates!$D$13&gt;=$B138)),IF($Q138=0,1,INDEX(Bills!$AF$6:$AF$25,$Q138)),0))))</f>
        <v/>
      </c>
      <c r="Y138">
        <f>IF(OR($D138="",$B138="",Housemates!$B$14=""),0,IF($R138&gt;0,IF(L138="",0,IF(ISNUMBER(L138),L138,1)),IF($C138="Paying back",0,IF(AND(OR(Housemates!$C$14="",Housemates!$C$14&lt;=$B138),OR(Housemates!$D$14="",Housemates!$D$14&gt;=$B138)),IF($Q138=0,1,INDEX(Bills!$AG$6:$AG$25,$Q138)),0))))</f>
        <v/>
      </c>
      <c r="Z138">
        <f>IF(OR($D138="",$B138="",Housemates!$B$15=""),0,IF($R138&gt;0,IF(M138="",0,IF(ISNUMBER(M138),M138,1)),IF($C138="Paying back",0,IF(AND(OR(Housemates!$C$15="",Housemates!$C$15&lt;=$B138),OR(Housemates!$D$15="",Housemates!$D$15&gt;=$B138)),IF($Q138=0,1,INDEX(Bills!$AH$6:$AH$25,$Q138)),0))))</f>
        <v/>
      </c>
      <c r="AA138">
        <f>SUM(S138:Z138)</f>
        <v/>
      </c>
      <c r="AB138">
        <f>IF(AA138=0,0,D138*S138/AA138)</f>
        <v/>
      </c>
      <c r="AC138">
        <f>IF(AA138=0,0,D138*T138/AA138)</f>
        <v/>
      </c>
      <c r="AD138">
        <f>IF(AA138=0,0,D138*U138/AA138)</f>
        <v/>
      </c>
      <c r="AE138">
        <f>IF(AA138=0,0,D138*V138/AA138)</f>
        <v/>
      </c>
      <c r="AF138">
        <f>IF(AA138=0,0,D138*W138/AA138)</f>
        <v/>
      </c>
      <c r="AG138">
        <f>IF(AA138=0,0,D138*X138/AA138)</f>
        <v/>
      </c>
      <c r="AH138">
        <f>IF(AA138=0,0,D138*Y138/AA138)</f>
        <v/>
      </c>
      <c r="AI138">
        <f>IF(AA138=0,0,D138*Z138/AA138)</f>
        <v/>
      </c>
      <c r="AJ138">
        <f>IF(OR(C138="",B138=""),"",C138&amp;"|"&amp;(YEAR(B138)*100+MONTH(B138)))</f>
        <v/>
      </c>
    </row>
    <row r="139">
      <c r="A139" s="1" t="n"/>
      <c r="B139" s="23" t="n"/>
      <c r="C139" s="24" t="n"/>
      <c r="D139" s="25" t="n"/>
      <c r="E139" s="26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1">
        <f>IF(D139="","",IF(B139="","No date",IF(AND(C139="Paying back",R139=0),"To whom?",IF(AA139=0,"Nobody",IF(C139="Paying back","To "&amp;INDEX(Housemates!$B$8:$B$15,MATCH(MAX(S139:Z139),S139:Z139,0)),IF(R139&gt;0,IF(COUNTIF(S139:Z139,"&gt;0")=1,"1 person",COUNTIF(S139:Z139,"&gt;0")&amp;" people"),IF(Q139=0,"Everyone",INDEX(Bills!$Q$6:$Q$25,Q139))))))))</f>
        <v/>
      </c>
      <c r="O139" s="18">
        <f>IF(D139="","",IF(C139="Paying back","Paying back",IF(Q139=0,"Other",IF(INDEX(Bills!$C$6:$C$25,Q139)="","Other",INDEX(Bills!$C$6:$C$25,Q139)))))</f>
        <v/>
      </c>
      <c r="P139" s="1" t="n"/>
      <c r="Q139">
        <f>IF(C139="",0,IFERROR(MATCH(C139,Bills!$B$6:$B$25,0),0))</f>
        <v/>
      </c>
      <c r="R139">
        <f>COUNTA(F139:M139)</f>
        <v/>
      </c>
      <c r="S139">
        <f>IF(OR($D139="",$B139="",Housemates!$B$8=""),0,IF($R139&gt;0,IF(F139="",0,IF(ISNUMBER(F139),F139,1)),IF($C139="Paying back",0,IF(AND(OR(Housemates!$C$8="",Housemates!$C$8&lt;=$B139),OR(Housemates!$D$8="",Housemates!$D$8&gt;=$B139)),IF($Q139=0,1,INDEX(Bills!$AA$6:$AA$25,$Q139)),0))))</f>
        <v/>
      </c>
      <c r="T139">
        <f>IF(OR($D139="",$B139="",Housemates!$B$9=""),0,IF($R139&gt;0,IF(G139="",0,IF(ISNUMBER(G139),G139,1)),IF($C139="Paying back",0,IF(AND(OR(Housemates!$C$9="",Housemates!$C$9&lt;=$B139),OR(Housemates!$D$9="",Housemates!$D$9&gt;=$B139)),IF($Q139=0,1,INDEX(Bills!$AB$6:$AB$25,$Q139)),0))))</f>
        <v/>
      </c>
      <c r="U139">
        <f>IF(OR($D139="",$B139="",Housemates!$B$10=""),0,IF($R139&gt;0,IF(H139="",0,IF(ISNUMBER(H139),H139,1)),IF($C139="Paying back",0,IF(AND(OR(Housemates!$C$10="",Housemates!$C$10&lt;=$B139),OR(Housemates!$D$10="",Housemates!$D$10&gt;=$B139)),IF($Q139=0,1,INDEX(Bills!$AC$6:$AC$25,$Q139)),0))))</f>
        <v/>
      </c>
      <c r="V139">
        <f>IF(OR($D139="",$B139="",Housemates!$B$11=""),0,IF($R139&gt;0,IF(I139="",0,IF(ISNUMBER(I139),I139,1)),IF($C139="Paying back",0,IF(AND(OR(Housemates!$C$11="",Housemates!$C$11&lt;=$B139),OR(Housemates!$D$11="",Housemates!$D$11&gt;=$B139)),IF($Q139=0,1,INDEX(Bills!$AD$6:$AD$25,$Q139)),0))))</f>
        <v/>
      </c>
      <c r="W139">
        <f>IF(OR($D139="",$B139="",Housemates!$B$12=""),0,IF($R139&gt;0,IF(J139="",0,IF(ISNUMBER(J139),J139,1)),IF($C139="Paying back",0,IF(AND(OR(Housemates!$C$12="",Housemates!$C$12&lt;=$B139),OR(Housemates!$D$12="",Housemates!$D$12&gt;=$B139)),IF($Q139=0,1,INDEX(Bills!$AE$6:$AE$25,$Q139)),0))))</f>
        <v/>
      </c>
      <c r="X139">
        <f>IF(OR($D139="",$B139="",Housemates!$B$13=""),0,IF($R139&gt;0,IF(K139="",0,IF(ISNUMBER(K139),K139,1)),IF($C139="Paying back",0,IF(AND(OR(Housemates!$C$13="",Housemates!$C$13&lt;=$B139),OR(Housemates!$D$13="",Housemates!$D$13&gt;=$B139)),IF($Q139=0,1,INDEX(Bills!$AF$6:$AF$25,$Q139)),0))))</f>
        <v/>
      </c>
      <c r="Y139">
        <f>IF(OR($D139="",$B139="",Housemates!$B$14=""),0,IF($R139&gt;0,IF(L139="",0,IF(ISNUMBER(L139),L139,1)),IF($C139="Paying back",0,IF(AND(OR(Housemates!$C$14="",Housemates!$C$14&lt;=$B139),OR(Housemates!$D$14="",Housemates!$D$14&gt;=$B139)),IF($Q139=0,1,INDEX(Bills!$AG$6:$AG$25,$Q139)),0))))</f>
        <v/>
      </c>
      <c r="Z139">
        <f>IF(OR($D139="",$B139="",Housemates!$B$15=""),0,IF($R139&gt;0,IF(M139="",0,IF(ISNUMBER(M139),M139,1)),IF($C139="Paying back",0,IF(AND(OR(Housemates!$C$15="",Housemates!$C$15&lt;=$B139),OR(Housemates!$D$15="",Housemates!$D$15&gt;=$B139)),IF($Q139=0,1,INDEX(Bills!$AH$6:$AH$25,$Q139)),0))))</f>
        <v/>
      </c>
      <c r="AA139">
        <f>SUM(S139:Z139)</f>
        <v/>
      </c>
      <c r="AB139">
        <f>IF(AA139=0,0,D139*S139/AA139)</f>
        <v/>
      </c>
      <c r="AC139">
        <f>IF(AA139=0,0,D139*T139/AA139)</f>
        <v/>
      </c>
      <c r="AD139">
        <f>IF(AA139=0,0,D139*U139/AA139)</f>
        <v/>
      </c>
      <c r="AE139">
        <f>IF(AA139=0,0,D139*V139/AA139)</f>
        <v/>
      </c>
      <c r="AF139">
        <f>IF(AA139=0,0,D139*W139/AA139)</f>
        <v/>
      </c>
      <c r="AG139">
        <f>IF(AA139=0,0,D139*X139/AA139)</f>
        <v/>
      </c>
      <c r="AH139">
        <f>IF(AA139=0,0,D139*Y139/AA139)</f>
        <v/>
      </c>
      <c r="AI139">
        <f>IF(AA139=0,0,D139*Z139/AA139)</f>
        <v/>
      </c>
      <c r="AJ139">
        <f>IF(OR(C139="",B139=""),"",C139&amp;"|"&amp;(YEAR(B139)*100+MONTH(B139)))</f>
        <v/>
      </c>
    </row>
    <row r="140">
      <c r="A140" s="1" t="n"/>
      <c r="B140" s="23" t="n"/>
      <c r="C140" s="24" t="n"/>
      <c r="D140" s="25" t="n"/>
      <c r="E140" s="26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1">
        <f>IF(D140="","",IF(B140="","No date",IF(AND(C140="Paying back",R140=0),"To whom?",IF(AA140=0,"Nobody",IF(C140="Paying back","To "&amp;INDEX(Housemates!$B$8:$B$15,MATCH(MAX(S140:Z140),S140:Z140,0)),IF(R140&gt;0,IF(COUNTIF(S140:Z140,"&gt;0")=1,"1 person",COUNTIF(S140:Z140,"&gt;0")&amp;" people"),IF(Q140=0,"Everyone",INDEX(Bills!$Q$6:$Q$25,Q140))))))))</f>
        <v/>
      </c>
      <c r="O140" s="18">
        <f>IF(D140="","",IF(C140="Paying back","Paying back",IF(Q140=0,"Other",IF(INDEX(Bills!$C$6:$C$25,Q140)="","Other",INDEX(Bills!$C$6:$C$25,Q140)))))</f>
        <v/>
      </c>
      <c r="P140" s="1" t="n"/>
      <c r="Q140">
        <f>IF(C140="",0,IFERROR(MATCH(C140,Bills!$B$6:$B$25,0),0))</f>
        <v/>
      </c>
      <c r="R140">
        <f>COUNTA(F140:M140)</f>
        <v/>
      </c>
      <c r="S140">
        <f>IF(OR($D140="",$B140="",Housemates!$B$8=""),0,IF($R140&gt;0,IF(F140="",0,IF(ISNUMBER(F140),F140,1)),IF($C140="Paying back",0,IF(AND(OR(Housemates!$C$8="",Housemates!$C$8&lt;=$B140),OR(Housemates!$D$8="",Housemates!$D$8&gt;=$B140)),IF($Q140=0,1,INDEX(Bills!$AA$6:$AA$25,$Q140)),0))))</f>
        <v/>
      </c>
      <c r="T140">
        <f>IF(OR($D140="",$B140="",Housemates!$B$9=""),0,IF($R140&gt;0,IF(G140="",0,IF(ISNUMBER(G140),G140,1)),IF($C140="Paying back",0,IF(AND(OR(Housemates!$C$9="",Housemates!$C$9&lt;=$B140),OR(Housemates!$D$9="",Housemates!$D$9&gt;=$B140)),IF($Q140=0,1,INDEX(Bills!$AB$6:$AB$25,$Q140)),0))))</f>
        <v/>
      </c>
      <c r="U140">
        <f>IF(OR($D140="",$B140="",Housemates!$B$10=""),0,IF($R140&gt;0,IF(H140="",0,IF(ISNUMBER(H140),H140,1)),IF($C140="Paying back",0,IF(AND(OR(Housemates!$C$10="",Housemates!$C$10&lt;=$B140),OR(Housemates!$D$10="",Housemates!$D$10&gt;=$B140)),IF($Q140=0,1,INDEX(Bills!$AC$6:$AC$25,$Q140)),0))))</f>
        <v/>
      </c>
      <c r="V140">
        <f>IF(OR($D140="",$B140="",Housemates!$B$11=""),0,IF($R140&gt;0,IF(I140="",0,IF(ISNUMBER(I140),I140,1)),IF($C140="Paying back",0,IF(AND(OR(Housemates!$C$11="",Housemates!$C$11&lt;=$B140),OR(Housemates!$D$11="",Housemates!$D$11&gt;=$B140)),IF($Q140=0,1,INDEX(Bills!$AD$6:$AD$25,$Q140)),0))))</f>
        <v/>
      </c>
      <c r="W140">
        <f>IF(OR($D140="",$B140="",Housemates!$B$12=""),0,IF($R140&gt;0,IF(J140="",0,IF(ISNUMBER(J140),J140,1)),IF($C140="Paying back",0,IF(AND(OR(Housemates!$C$12="",Housemates!$C$12&lt;=$B140),OR(Housemates!$D$12="",Housemates!$D$12&gt;=$B140)),IF($Q140=0,1,INDEX(Bills!$AE$6:$AE$25,$Q140)),0))))</f>
        <v/>
      </c>
      <c r="X140">
        <f>IF(OR($D140="",$B140="",Housemates!$B$13=""),0,IF($R140&gt;0,IF(K140="",0,IF(ISNUMBER(K140),K140,1)),IF($C140="Paying back",0,IF(AND(OR(Housemates!$C$13="",Housemates!$C$13&lt;=$B140),OR(Housemates!$D$13="",Housemates!$D$13&gt;=$B140)),IF($Q140=0,1,INDEX(Bills!$AF$6:$AF$25,$Q140)),0))))</f>
        <v/>
      </c>
      <c r="Y140">
        <f>IF(OR($D140="",$B140="",Housemates!$B$14=""),0,IF($R140&gt;0,IF(L140="",0,IF(ISNUMBER(L140),L140,1)),IF($C140="Paying back",0,IF(AND(OR(Housemates!$C$14="",Housemates!$C$14&lt;=$B140),OR(Housemates!$D$14="",Housemates!$D$14&gt;=$B140)),IF($Q140=0,1,INDEX(Bills!$AG$6:$AG$25,$Q140)),0))))</f>
        <v/>
      </c>
      <c r="Z140">
        <f>IF(OR($D140="",$B140="",Housemates!$B$15=""),0,IF($R140&gt;0,IF(M140="",0,IF(ISNUMBER(M140),M140,1)),IF($C140="Paying back",0,IF(AND(OR(Housemates!$C$15="",Housemates!$C$15&lt;=$B140),OR(Housemates!$D$15="",Housemates!$D$15&gt;=$B140)),IF($Q140=0,1,INDEX(Bills!$AH$6:$AH$25,$Q140)),0))))</f>
        <v/>
      </c>
      <c r="AA140">
        <f>SUM(S140:Z140)</f>
        <v/>
      </c>
      <c r="AB140">
        <f>IF(AA140=0,0,D140*S140/AA140)</f>
        <v/>
      </c>
      <c r="AC140">
        <f>IF(AA140=0,0,D140*T140/AA140)</f>
        <v/>
      </c>
      <c r="AD140">
        <f>IF(AA140=0,0,D140*U140/AA140)</f>
        <v/>
      </c>
      <c r="AE140">
        <f>IF(AA140=0,0,D140*V140/AA140)</f>
        <v/>
      </c>
      <c r="AF140">
        <f>IF(AA140=0,0,D140*W140/AA140)</f>
        <v/>
      </c>
      <c r="AG140">
        <f>IF(AA140=0,0,D140*X140/AA140)</f>
        <v/>
      </c>
      <c r="AH140">
        <f>IF(AA140=0,0,D140*Y140/AA140)</f>
        <v/>
      </c>
      <c r="AI140">
        <f>IF(AA140=0,0,D140*Z140/AA140)</f>
        <v/>
      </c>
      <c r="AJ140">
        <f>IF(OR(C140="",B140=""),"",C140&amp;"|"&amp;(YEAR(B140)*100+MONTH(B140)))</f>
        <v/>
      </c>
    </row>
    <row r="141">
      <c r="A141" s="1" t="n"/>
      <c r="B141" s="23" t="n"/>
      <c r="C141" s="24" t="n"/>
      <c r="D141" s="25" t="n"/>
      <c r="E141" s="26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1">
        <f>IF(D141="","",IF(B141="","No date",IF(AND(C141="Paying back",R141=0),"To whom?",IF(AA141=0,"Nobody",IF(C141="Paying back","To "&amp;INDEX(Housemates!$B$8:$B$15,MATCH(MAX(S141:Z141),S141:Z141,0)),IF(R141&gt;0,IF(COUNTIF(S141:Z141,"&gt;0")=1,"1 person",COUNTIF(S141:Z141,"&gt;0")&amp;" people"),IF(Q141=0,"Everyone",INDEX(Bills!$Q$6:$Q$25,Q141))))))))</f>
        <v/>
      </c>
      <c r="O141" s="18">
        <f>IF(D141="","",IF(C141="Paying back","Paying back",IF(Q141=0,"Other",IF(INDEX(Bills!$C$6:$C$25,Q141)="","Other",INDEX(Bills!$C$6:$C$25,Q141)))))</f>
        <v/>
      </c>
      <c r="P141" s="1" t="n"/>
      <c r="Q141">
        <f>IF(C141="",0,IFERROR(MATCH(C141,Bills!$B$6:$B$25,0),0))</f>
        <v/>
      </c>
      <c r="R141">
        <f>COUNTA(F141:M141)</f>
        <v/>
      </c>
      <c r="S141">
        <f>IF(OR($D141="",$B141="",Housemates!$B$8=""),0,IF($R141&gt;0,IF(F141="",0,IF(ISNUMBER(F141),F141,1)),IF($C141="Paying back",0,IF(AND(OR(Housemates!$C$8="",Housemates!$C$8&lt;=$B141),OR(Housemates!$D$8="",Housemates!$D$8&gt;=$B141)),IF($Q141=0,1,INDEX(Bills!$AA$6:$AA$25,$Q141)),0))))</f>
        <v/>
      </c>
      <c r="T141">
        <f>IF(OR($D141="",$B141="",Housemates!$B$9=""),0,IF($R141&gt;0,IF(G141="",0,IF(ISNUMBER(G141),G141,1)),IF($C141="Paying back",0,IF(AND(OR(Housemates!$C$9="",Housemates!$C$9&lt;=$B141),OR(Housemates!$D$9="",Housemates!$D$9&gt;=$B141)),IF($Q141=0,1,INDEX(Bills!$AB$6:$AB$25,$Q141)),0))))</f>
        <v/>
      </c>
      <c r="U141">
        <f>IF(OR($D141="",$B141="",Housemates!$B$10=""),0,IF($R141&gt;0,IF(H141="",0,IF(ISNUMBER(H141),H141,1)),IF($C141="Paying back",0,IF(AND(OR(Housemates!$C$10="",Housemates!$C$10&lt;=$B141),OR(Housemates!$D$10="",Housemates!$D$10&gt;=$B141)),IF($Q141=0,1,INDEX(Bills!$AC$6:$AC$25,$Q141)),0))))</f>
        <v/>
      </c>
      <c r="V141">
        <f>IF(OR($D141="",$B141="",Housemates!$B$11=""),0,IF($R141&gt;0,IF(I141="",0,IF(ISNUMBER(I141),I141,1)),IF($C141="Paying back",0,IF(AND(OR(Housemates!$C$11="",Housemates!$C$11&lt;=$B141),OR(Housemates!$D$11="",Housemates!$D$11&gt;=$B141)),IF($Q141=0,1,INDEX(Bills!$AD$6:$AD$25,$Q141)),0))))</f>
        <v/>
      </c>
      <c r="W141">
        <f>IF(OR($D141="",$B141="",Housemates!$B$12=""),0,IF($R141&gt;0,IF(J141="",0,IF(ISNUMBER(J141),J141,1)),IF($C141="Paying back",0,IF(AND(OR(Housemates!$C$12="",Housemates!$C$12&lt;=$B141),OR(Housemates!$D$12="",Housemates!$D$12&gt;=$B141)),IF($Q141=0,1,INDEX(Bills!$AE$6:$AE$25,$Q141)),0))))</f>
        <v/>
      </c>
      <c r="X141">
        <f>IF(OR($D141="",$B141="",Housemates!$B$13=""),0,IF($R141&gt;0,IF(K141="",0,IF(ISNUMBER(K141),K141,1)),IF($C141="Paying back",0,IF(AND(OR(Housemates!$C$13="",Housemates!$C$13&lt;=$B141),OR(Housemates!$D$13="",Housemates!$D$13&gt;=$B141)),IF($Q141=0,1,INDEX(Bills!$AF$6:$AF$25,$Q141)),0))))</f>
        <v/>
      </c>
      <c r="Y141">
        <f>IF(OR($D141="",$B141="",Housemates!$B$14=""),0,IF($R141&gt;0,IF(L141="",0,IF(ISNUMBER(L141),L141,1)),IF($C141="Paying back",0,IF(AND(OR(Housemates!$C$14="",Housemates!$C$14&lt;=$B141),OR(Housemates!$D$14="",Housemates!$D$14&gt;=$B141)),IF($Q141=0,1,INDEX(Bills!$AG$6:$AG$25,$Q141)),0))))</f>
        <v/>
      </c>
      <c r="Z141">
        <f>IF(OR($D141="",$B141="",Housemates!$B$15=""),0,IF($R141&gt;0,IF(M141="",0,IF(ISNUMBER(M141),M141,1)),IF($C141="Paying back",0,IF(AND(OR(Housemates!$C$15="",Housemates!$C$15&lt;=$B141),OR(Housemates!$D$15="",Housemates!$D$15&gt;=$B141)),IF($Q141=0,1,INDEX(Bills!$AH$6:$AH$25,$Q141)),0))))</f>
        <v/>
      </c>
      <c r="AA141">
        <f>SUM(S141:Z141)</f>
        <v/>
      </c>
      <c r="AB141">
        <f>IF(AA141=0,0,D141*S141/AA141)</f>
        <v/>
      </c>
      <c r="AC141">
        <f>IF(AA141=0,0,D141*T141/AA141)</f>
        <v/>
      </c>
      <c r="AD141">
        <f>IF(AA141=0,0,D141*U141/AA141)</f>
        <v/>
      </c>
      <c r="AE141">
        <f>IF(AA141=0,0,D141*V141/AA141)</f>
        <v/>
      </c>
      <c r="AF141">
        <f>IF(AA141=0,0,D141*W141/AA141)</f>
        <v/>
      </c>
      <c r="AG141">
        <f>IF(AA141=0,0,D141*X141/AA141)</f>
        <v/>
      </c>
      <c r="AH141">
        <f>IF(AA141=0,0,D141*Y141/AA141)</f>
        <v/>
      </c>
      <c r="AI141">
        <f>IF(AA141=0,0,D141*Z141/AA141)</f>
        <v/>
      </c>
      <c r="AJ141">
        <f>IF(OR(C141="",B141=""),"",C141&amp;"|"&amp;(YEAR(B141)*100+MONTH(B141)))</f>
        <v/>
      </c>
    </row>
    <row r="142">
      <c r="A142" s="1" t="n"/>
      <c r="B142" s="23" t="n"/>
      <c r="C142" s="24" t="n"/>
      <c r="D142" s="25" t="n"/>
      <c r="E142" s="26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1">
        <f>IF(D142="","",IF(B142="","No date",IF(AND(C142="Paying back",R142=0),"To whom?",IF(AA142=0,"Nobody",IF(C142="Paying back","To "&amp;INDEX(Housemates!$B$8:$B$15,MATCH(MAX(S142:Z142),S142:Z142,0)),IF(R142&gt;0,IF(COUNTIF(S142:Z142,"&gt;0")=1,"1 person",COUNTIF(S142:Z142,"&gt;0")&amp;" people"),IF(Q142=0,"Everyone",INDEX(Bills!$Q$6:$Q$25,Q142))))))))</f>
        <v/>
      </c>
      <c r="O142" s="18">
        <f>IF(D142="","",IF(C142="Paying back","Paying back",IF(Q142=0,"Other",IF(INDEX(Bills!$C$6:$C$25,Q142)="","Other",INDEX(Bills!$C$6:$C$25,Q142)))))</f>
        <v/>
      </c>
      <c r="P142" s="1" t="n"/>
      <c r="Q142">
        <f>IF(C142="",0,IFERROR(MATCH(C142,Bills!$B$6:$B$25,0),0))</f>
        <v/>
      </c>
      <c r="R142">
        <f>COUNTA(F142:M142)</f>
        <v/>
      </c>
      <c r="S142">
        <f>IF(OR($D142="",$B142="",Housemates!$B$8=""),0,IF($R142&gt;0,IF(F142="",0,IF(ISNUMBER(F142),F142,1)),IF($C142="Paying back",0,IF(AND(OR(Housemates!$C$8="",Housemates!$C$8&lt;=$B142),OR(Housemates!$D$8="",Housemates!$D$8&gt;=$B142)),IF($Q142=0,1,INDEX(Bills!$AA$6:$AA$25,$Q142)),0))))</f>
        <v/>
      </c>
      <c r="T142">
        <f>IF(OR($D142="",$B142="",Housemates!$B$9=""),0,IF($R142&gt;0,IF(G142="",0,IF(ISNUMBER(G142),G142,1)),IF($C142="Paying back",0,IF(AND(OR(Housemates!$C$9="",Housemates!$C$9&lt;=$B142),OR(Housemates!$D$9="",Housemates!$D$9&gt;=$B142)),IF($Q142=0,1,INDEX(Bills!$AB$6:$AB$25,$Q142)),0))))</f>
        <v/>
      </c>
      <c r="U142">
        <f>IF(OR($D142="",$B142="",Housemates!$B$10=""),0,IF($R142&gt;0,IF(H142="",0,IF(ISNUMBER(H142),H142,1)),IF($C142="Paying back",0,IF(AND(OR(Housemates!$C$10="",Housemates!$C$10&lt;=$B142),OR(Housemates!$D$10="",Housemates!$D$10&gt;=$B142)),IF($Q142=0,1,INDEX(Bills!$AC$6:$AC$25,$Q142)),0))))</f>
        <v/>
      </c>
      <c r="V142">
        <f>IF(OR($D142="",$B142="",Housemates!$B$11=""),0,IF($R142&gt;0,IF(I142="",0,IF(ISNUMBER(I142),I142,1)),IF($C142="Paying back",0,IF(AND(OR(Housemates!$C$11="",Housemates!$C$11&lt;=$B142),OR(Housemates!$D$11="",Housemates!$D$11&gt;=$B142)),IF($Q142=0,1,INDEX(Bills!$AD$6:$AD$25,$Q142)),0))))</f>
        <v/>
      </c>
      <c r="W142">
        <f>IF(OR($D142="",$B142="",Housemates!$B$12=""),0,IF($R142&gt;0,IF(J142="",0,IF(ISNUMBER(J142),J142,1)),IF($C142="Paying back",0,IF(AND(OR(Housemates!$C$12="",Housemates!$C$12&lt;=$B142),OR(Housemates!$D$12="",Housemates!$D$12&gt;=$B142)),IF($Q142=0,1,INDEX(Bills!$AE$6:$AE$25,$Q142)),0))))</f>
        <v/>
      </c>
      <c r="X142">
        <f>IF(OR($D142="",$B142="",Housemates!$B$13=""),0,IF($R142&gt;0,IF(K142="",0,IF(ISNUMBER(K142),K142,1)),IF($C142="Paying back",0,IF(AND(OR(Housemates!$C$13="",Housemates!$C$13&lt;=$B142),OR(Housemates!$D$13="",Housemates!$D$13&gt;=$B142)),IF($Q142=0,1,INDEX(Bills!$AF$6:$AF$25,$Q142)),0))))</f>
        <v/>
      </c>
      <c r="Y142">
        <f>IF(OR($D142="",$B142="",Housemates!$B$14=""),0,IF($R142&gt;0,IF(L142="",0,IF(ISNUMBER(L142),L142,1)),IF($C142="Paying back",0,IF(AND(OR(Housemates!$C$14="",Housemates!$C$14&lt;=$B142),OR(Housemates!$D$14="",Housemates!$D$14&gt;=$B142)),IF($Q142=0,1,INDEX(Bills!$AG$6:$AG$25,$Q142)),0))))</f>
        <v/>
      </c>
      <c r="Z142">
        <f>IF(OR($D142="",$B142="",Housemates!$B$15=""),0,IF($R142&gt;0,IF(M142="",0,IF(ISNUMBER(M142),M142,1)),IF($C142="Paying back",0,IF(AND(OR(Housemates!$C$15="",Housemates!$C$15&lt;=$B142),OR(Housemates!$D$15="",Housemates!$D$15&gt;=$B142)),IF($Q142=0,1,INDEX(Bills!$AH$6:$AH$25,$Q142)),0))))</f>
        <v/>
      </c>
      <c r="AA142">
        <f>SUM(S142:Z142)</f>
        <v/>
      </c>
      <c r="AB142">
        <f>IF(AA142=0,0,D142*S142/AA142)</f>
        <v/>
      </c>
      <c r="AC142">
        <f>IF(AA142=0,0,D142*T142/AA142)</f>
        <v/>
      </c>
      <c r="AD142">
        <f>IF(AA142=0,0,D142*U142/AA142)</f>
        <v/>
      </c>
      <c r="AE142">
        <f>IF(AA142=0,0,D142*V142/AA142)</f>
        <v/>
      </c>
      <c r="AF142">
        <f>IF(AA142=0,0,D142*W142/AA142)</f>
        <v/>
      </c>
      <c r="AG142">
        <f>IF(AA142=0,0,D142*X142/AA142)</f>
        <v/>
      </c>
      <c r="AH142">
        <f>IF(AA142=0,0,D142*Y142/AA142)</f>
        <v/>
      </c>
      <c r="AI142">
        <f>IF(AA142=0,0,D142*Z142/AA142)</f>
        <v/>
      </c>
      <c r="AJ142">
        <f>IF(OR(C142="",B142=""),"",C142&amp;"|"&amp;(YEAR(B142)*100+MONTH(B142)))</f>
        <v/>
      </c>
    </row>
    <row r="143">
      <c r="A143" s="1" t="n"/>
      <c r="B143" s="23" t="n"/>
      <c r="C143" s="24" t="n"/>
      <c r="D143" s="25" t="n"/>
      <c r="E143" s="26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1">
        <f>IF(D143="","",IF(B143="","No date",IF(AND(C143="Paying back",R143=0),"To whom?",IF(AA143=0,"Nobody",IF(C143="Paying back","To "&amp;INDEX(Housemates!$B$8:$B$15,MATCH(MAX(S143:Z143),S143:Z143,0)),IF(R143&gt;0,IF(COUNTIF(S143:Z143,"&gt;0")=1,"1 person",COUNTIF(S143:Z143,"&gt;0")&amp;" people"),IF(Q143=0,"Everyone",INDEX(Bills!$Q$6:$Q$25,Q143))))))))</f>
        <v/>
      </c>
      <c r="O143" s="18">
        <f>IF(D143="","",IF(C143="Paying back","Paying back",IF(Q143=0,"Other",IF(INDEX(Bills!$C$6:$C$25,Q143)="","Other",INDEX(Bills!$C$6:$C$25,Q143)))))</f>
        <v/>
      </c>
      <c r="P143" s="1" t="n"/>
      <c r="Q143">
        <f>IF(C143="",0,IFERROR(MATCH(C143,Bills!$B$6:$B$25,0),0))</f>
        <v/>
      </c>
      <c r="R143">
        <f>COUNTA(F143:M143)</f>
        <v/>
      </c>
      <c r="S143">
        <f>IF(OR($D143="",$B143="",Housemates!$B$8=""),0,IF($R143&gt;0,IF(F143="",0,IF(ISNUMBER(F143),F143,1)),IF($C143="Paying back",0,IF(AND(OR(Housemates!$C$8="",Housemates!$C$8&lt;=$B143),OR(Housemates!$D$8="",Housemates!$D$8&gt;=$B143)),IF($Q143=0,1,INDEX(Bills!$AA$6:$AA$25,$Q143)),0))))</f>
        <v/>
      </c>
      <c r="T143">
        <f>IF(OR($D143="",$B143="",Housemates!$B$9=""),0,IF($R143&gt;0,IF(G143="",0,IF(ISNUMBER(G143),G143,1)),IF($C143="Paying back",0,IF(AND(OR(Housemates!$C$9="",Housemates!$C$9&lt;=$B143),OR(Housemates!$D$9="",Housemates!$D$9&gt;=$B143)),IF($Q143=0,1,INDEX(Bills!$AB$6:$AB$25,$Q143)),0))))</f>
        <v/>
      </c>
      <c r="U143">
        <f>IF(OR($D143="",$B143="",Housemates!$B$10=""),0,IF($R143&gt;0,IF(H143="",0,IF(ISNUMBER(H143),H143,1)),IF($C143="Paying back",0,IF(AND(OR(Housemates!$C$10="",Housemates!$C$10&lt;=$B143),OR(Housemates!$D$10="",Housemates!$D$10&gt;=$B143)),IF($Q143=0,1,INDEX(Bills!$AC$6:$AC$25,$Q143)),0))))</f>
        <v/>
      </c>
      <c r="V143">
        <f>IF(OR($D143="",$B143="",Housemates!$B$11=""),0,IF($R143&gt;0,IF(I143="",0,IF(ISNUMBER(I143),I143,1)),IF($C143="Paying back",0,IF(AND(OR(Housemates!$C$11="",Housemates!$C$11&lt;=$B143),OR(Housemates!$D$11="",Housemates!$D$11&gt;=$B143)),IF($Q143=0,1,INDEX(Bills!$AD$6:$AD$25,$Q143)),0))))</f>
        <v/>
      </c>
      <c r="W143">
        <f>IF(OR($D143="",$B143="",Housemates!$B$12=""),0,IF($R143&gt;0,IF(J143="",0,IF(ISNUMBER(J143),J143,1)),IF($C143="Paying back",0,IF(AND(OR(Housemates!$C$12="",Housemates!$C$12&lt;=$B143),OR(Housemates!$D$12="",Housemates!$D$12&gt;=$B143)),IF($Q143=0,1,INDEX(Bills!$AE$6:$AE$25,$Q143)),0))))</f>
        <v/>
      </c>
      <c r="X143">
        <f>IF(OR($D143="",$B143="",Housemates!$B$13=""),0,IF($R143&gt;0,IF(K143="",0,IF(ISNUMBER(K143),K143,1)),IF($C143="Paying back",0,IF(AND(OR(Housemates!$C$13="",Housemates!$C$13&lt;=$B143),OR(Housemates!$D$13="",Housemates!$D$13&gt;=$B143)),IF($Q143=0,1,INDEX(Bills!$AF$6:$AF$25,$Q143)),0))))</f>
        <v/>
      </c>
      <c r="Y143">
        <f>IF(OR($D143="",$B143="",Housemates!$B$14=""),0,IF($R143&gt;0,IF(L143="",0,IF(ISNUMBER(L143),L143,1)),IF($C143="Paying back",0,IF(AND(OR(Housemates!$C$14="",Housemates!$C$14&lt;=$B143),OR(Housemates!$D$14="",Housemates!$D$14&gt;=$B143)),IF($Q143=0,1,INDEX(Bills!$AG$6:$AG$25,$Q143)),0))))</f>
        <v/>
      </c>
      <c r="Z143">
        <f>IF(OR($D143="",$B143="",Housemates!$B$15=""),0,IF($R143&gt;0,IF(M143="",0,IF(ISNUMBER(M143),M143,1)),IF($C143="Paying back",0,IF(AND(OR(Housemates!$C$15="",Housemates!$C$15&lt;=$B143),OR(Housemates!$D$15="",Housemates!$D$15&gt;=$B143)),IF($Q143=0,1,INDEX(Bills!$AH$6:$AH$25,$Q143)),0))))</f>
        <v/>
      </c>
      <c r="AA143">
        <f>SUM(S143:Z143)</f>
        <v/>
      </c>
      <c r="AB143">
        <f>IF(AA143=0,0,D143*S143/AA143)</f>
        <v/>
      </c>
      <c r="AC143">
        <f>IF(AA143=0,0,D143*T143/AA143)</f>
        <v/>
      </c>
      <c r="AD143">
        <f>IF(AA143=0,0,D143*U143/AA143)</f>
        <v/>
      </c>
      <c r="AE143">
        <f>IF(AA143=0,0,D143*V143/AA143)</f>
        <v/>
      </c>
      <c r="AF143">
        <f>IF(AA143=0,0,D143*W143/AA143)</f>
        <v/>
      </c>
      <c r="AG143">
        <f>IF(AA143=0,0,D143*X143/AA143)</f>
        <v/>
      </c>
      <c r="AH143">
        <f>IF(AA143=0,0,D143*Y143/AA143)</f>
        <v/>
      </c>
      <c r="AI143">
        <f>IF(AA143=0,0,D143*Z143/AA143)</f>
        <v/>
      </c>
      <c r="AJ143">
        <f>IF(OR(C143="",B143=""),"",C143&amp;"|"&amp;(YEAR(B143)*100+MONTH(B143)))</f>
        <v/>
      </c>
    </row>
    <row r="144">
      <c r="A144" s="1" t="n"/>
      <c r="B144" s="23" t="n"/>
      <c r="C144" s="24" t="n"/>
      <c r="D144" s="25" t="n"/>
      <c r="E144" s="26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1">
        <f>IF(D144="","",IF(B144="","No date",IF(AND(C144="Paying back",R144=0),"To whom?",IF(AA144=0,"Nobody",IF(C144="Paying back","To "&amp;INDEX(Housemates!$B$8:$B$15,MATCH(MAX(S144:Z144),S144:Z144,0)),IF(R144&gt;0,IF(COUNTIF(S144:Z144,"&gt;0")=1,"1 person",COUNTIF(S144:Z144,"&gt;0")&amp;" people"),IF(Q144=0,"Everyone",INDEX(Bills!$Q$6:$Q$25,Q144))))))))</f>
        <v/>
      </c>
      <c r="O144" s="18">
        <f>IF(D144="","",IF(C144="Paying back","Paying back",IF(Q144=0,"Other",IF(INDEX(Bills!$C$6:$C$25,Q144)="","Other",INDEX(Bills!$C$6:$C$25,Q144)))))</f>
        <v/>
      </c>
      <c r="P144" s="1" t="n"/>
      <c r="Q144">
        <f>IF(C144="",0,IFERROR(MATCH(C144,Bills!$B$6:$B$25,0),0))</f>
        <v/>
      </c>
      <c r="R144">
        <f>COUNTA(F144:M144)</f>
        <v/>
      </c>
      <c r="S144">
        <f>IF(OR($D144="",$B144="",Housemates!$B$8=""),0,IF($R144&gt;0,IF(F144="",0,IF(ISNUMBER(F144),F144,1)),IF($C144="Paying back",0,IF(AND(OR(Housemates!$C$8="",Housemates!$C$8&lt;=$B144),OR(Housemates!$D$8="",Housemates!$D$8&gt;=$B144)),IF($Q144=0,1,INDEX(Bills!$AA$6:$AA$25,$Q144)),0))))</f>
        <v/>
      </c>
      <c r="T144">
        <f>IF(OR($D144="",$B144="",Housemates!$B$9=""),0,IF($R144&gt;0,IF(G144="",0,IF(ISNUMBER(G144),G144,1)),IF($C144="Paying back",0,IF(AND(OR(Housemates!$C$9="",Housemates!$C$9&lt;=$B144),OR(Housemates!$D$9="",Housemates!$D$9&gt;=$B144)),IF($Q144=0,1,INDEX(Bills!$AB$6:$AB$25,$Q144)),0))))</f>
        <v/>
      </c>
      <c r="U144">
        <f>IF(OR($D144="",$B144="",Housemates!$B$10=""),0,IF($R144&gt;0,IF(H144="",0,IF(ISNUMBER(H144),H144,1)),IF($C144="Paying back",0,IF(AND(OR(Housemates!$C$10="",Housemates!$C$10&lt;=$B144),OR(Housemates!$D$10="",Housemates!$D$10&gt;=$B144)),IF($Q144=0,1,INDEX(Bills!$AC$6:$AC$25,$Q144)),0))))</f>
        <v/>
      </c>
      <c r="V144">
        <f>IF(OR($D144="",$B144="",Housemates!$B$11=""),0,IF($R144&gt;0,IF(I144="",0,IF(ISNUMBER(I144),I144,1)),IF($C144="Paying back",0,IF(AND(OR(Housemates!$C$11="",Housemates!$C$11&lt;=$B144),OR(Housemates!$D$11="",Housemates!$D$11&gt;=$B144)),IF($Q144=0,1,INDEX(Bills!$AD$6:$AD$25,$Q144)),0))))</f>
        <v/>
      </c>
      <c r="W144">
        <f>IF(OR($D144="",$B144="",Housemates!$B$12=""),0,IF($R144&gt;0,IF(J144="",0,IF(ISNUMBER(J144),J144,1)),IF($C144="Paying back",0,IF(AND(OR(Housemates!$C$12="",Housemates!$C$12&lt;=$B144),OR(Housemates!$D$12="",Housemates!$D$12&gt;=$B144)),IF($Q144=0,1,INDEX(Bills!$AE$6:$AE$25,$Q144)),0))))</f>
        <v/>
      </c>
      <c r="X144">
        <f>IF(OR($D144="",$B144="",Housemates!$B$13=""),0,IF($R144&gt;0,IF(K144="",0,IF(ISNUMBER(K144),K144,1)),IF($C144="Paying back",0,IF(AND(OR(Housemates!$C$13="",Housemates!$C$13&lt;=$B144),OR(Housemates!$D$13="",Housemates!$D$13&gt;=$B144)),IF($Q144=0,1,INDEX(Bills!$AF$6:$AF$25,$Q144)),0))))</f>
        <v/>
      </c>
      <c r="Y144">
        <f>IF(OR($D144="",$B144="",Housemates!$B$14=""),0,IF($R144&gt;0,IF(L144="",0,IF(ISNUMBER(L144),L144,1)),IF($C144="Paying back",0,IF(AND(OR(Housemates!$C$14="",Housemates!$C$14&lt;=$B144),OR(Housemates!$D$14="",Housemates!$D$14&gt;=$B144)),IF($Q144=0,1,INDEX(Bills!$AG$6:$AG$25,$Q144)),0))))</f>
        <v/>
      </c>
      <c r="Z144">
        <f>IF(OR($D144="",$B144="",Housemates!$B$15=""),0,IF($R144&gt;0,IF(M144="",0,IF(ISNUMBER(M144),M144,1)),IF($C144="Paying back",0,IF(AND(OR(Housemates!$C$15="",Housemates!$C$15&lt;=$B144),OR(Housemates!$D$15="",Housemates!$D$15&gt;=$B144)),IF($Q144=0,1,INDEX(Bills!$AH$6:$AH$25,$Q144)),0))))</f>
        <v/>
      </c>
      <c r="AA144">
        <f>SUM(S144:Z144)</f>
        <v/>
      </c>
      <c r="AB144">
        <f>IF(AA144=0,0,D144*S144/AA144)</f>
        <v/>
      </c>
      <c r="AC144">
        <f>IF(AA144=0,0,D144*T144/AA144)</f>
        <v/>
      </c>
      <c r="AD144">
        <f>IF(AA144=0,0,D144*U144/AA144)</f>
        <v/>
      </c>
      <c r="AE144">
        <f>IF(AA144=0,0,D144*V144/AA144)</f>
        <v/>
      </c>
      <c r="AF144">
        <f>IF(AA144=0,0,D144*W144/AA144)</f>
        <v/>
      </c>
      <c r="AG144">
        <f>IF(AA144=0,0,D144*X144/AA144)</f>
        <v/>
      </c>
      <c r="AH144">
        <f>IF(AA144=0,0,D144*Y144/AA144)</f>
        <v/>
      </c>
      <c r="AI144">
        <f>IF(AA144=0,0,D144*Z144/AA144)</f>
        <v/>
      </c>
      <c r="AJ144">
        <f>IF(OR(C144="",B144=""),"",C144&amp;"|"&amp;(YEAR(B144)*100+MONTH(B144)))</f>
        <v/>
      </c>
    </row>
    <row r="145">
      <c r="A145" s="1" t="n"/>
      <c r="B145" s="23" t="n"/>
      <c r="C145" s="24" t="n"/>
      <c r="D145" s="25" t="n"/>
      <c r="E145" s="26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1">
        <f>IF(D145="","",IF(B145="","No date",IF(AND(C145="Paying back",R145=0),"To whom?",IF(AA145=0,"Nobody",IF(C145="Paying back","To "&amp;INDEX(Housemates!$B$8:$B$15,MATCH(MAX(S145:Z145),S145:Z145,0)),IF(R145&gt;0,IF(COUNTIF(S145:Z145,"&gt;0")=1,"1 person",COUNTIF(S145:Z145,"&gt;0")&amp;" people"),IF(Q145=0,"Everyone",INDEX(Bills!$Q$6:$Q$25,Q145))))))))</f>
        <v/>
      </c>
      <c r="O145" s="18">
        <f>IF(D145="","",IF(C145="Paying back","Paying back",IF(Q145=0,"Other",IF(INDEX(Bills!$C$6:$C$25,Q145)="","Other",INDEX(Bills!$C$6:$C$25,Q145)))))</f>
        <v/>
      </c>
      <c r="P145" s="1" t="n"/>
      <c r="Q145">
        <f>IF(C145="",0,IFERROR(MATCH(C145,Bills!$B$6:$B$25,0),0))</f>
        <v/>
      </c>
      <c r="R145">
        <f>COUNTA(F145:M145)</f>
        <v/>
      </c>
      <c r="S145">
        <f>IF(OR($D145="",$B145="",Housemates!$B$8=""),0,IF($R145&gt;0,IF(F145="",0,IF(ISNUMBER(F145),F145,1)),IF($C145="Paying back",0,IF(AND(OR(Housemates!$C$8="",Housemates!$C$8&lt;=$B145),OR(Housemates!$D$8="",Housemates!$D$8&gt;=$B145)),IF($Q145=0,1,INDEX(Bills!$AA$6:$AA$25,$Q145)),0))))</f>
        <v/>
      </c>
      <c r="T145">
        <f>IF(OR($D145="",$B145="",Housemates!$B$9=""),0,IF($R145&gt;0,IF(G145="",0,IF(ISNUMBER(G145),G145,1)),IF($C145="Paying back",0,IF(AND(OR(Housemates!$C$9="",Housemates!$C$9&lt;=$B145),OR(Housemates!$D$9="",Housemates!$D$9&gt;=$B145)),IF($Q145=0,1,INDEX(Bills!$AB$6:$AB$25,$Q145)),0))))</f>
        <v/>
      </c>
      <c r="U145">
        <f>IF(OR($D145="",$B145="",Housemates!$B$10=""),0,IF($R145&gt;0,IF(H145="",0,IF(ISNUMBER(H145),H145,1)),IF($C145="Paying back",0,IF(AND(OR(Housemates!$C$10="",Housemates!$C$10&lt;=$B145),OR(Housemates!$D$10="",Housemates!$D$10&gt;=$B145)),IF($Q145=0,1,INDEX(Bills!$AC$6:$AC$25,$Q145)),0))))</f>
        <v/>
      </c>
      <c r="V145">
        <f>IF(OR($D145="",$B145="",Housemates!$B$11=""),0,IF($R145&gt;0,IF(I145="",0,IF(ISNUMBER(I145),I145,1)),IF($C145="Paying back",0,IF(AND(OR(Housemates!$C$11="",Housemates!$C$11&lt;=$B145),OR(Housemates!$D$11="",Housemates!$D$11&gt;=$B145)),IF($Q145=0,1,INDEX(Bills!$AD$6:$AD$25,$Q145)),0))))</f>
        <v/>
      </c>
      <c r="W145">
        <f>IF(OR($D145="",$B145="",Housemates!$B$12=""),0,IF($R145&gt;0,IF(J145="",0,IF(ISNUMBER(J145),J145,1)),IF($C145="Paying back",0,IF(AND(OR(Housemates!$C$12="",Housemates!$C$12&lt;=$B145),OR(Housemates!$D$12="",Housemates!$D$12&gt;=$B145)),IF($Q145=0,1,INDEX(Bills!$AE$6:$AE$25,$Q145)),0))))</f>
        <v/>
      </c>
      <c r="X145">
        <f>IF(OR($D145="",$B145="",Housemates!$B$13=""),0,IF($R145&gt;0,IF(K145="",0,IF(ISNUMBER(K145),K145,1)),IF($C145="Paying back",0,IF(AND(OR(Housemates!$C$13="",Housemates!$C$13&lt;=$B145),OR(Housemates!$D$13="",Housemates!$D$13&gt;=$B145)),IF($Q145=0,1,INDEX(Bills!$AF$6:$AF$25,$Q145)),0))))</f>
        <v/>
      </c>
      <c r="Y145">
        <f>IF(OR($D145="",$B145="",Housemates!$B$14=""),0,IF($R145&gt;0,IF(L145="",0,IF(ISNUMBER(L145),L145,1)),IF($C145="Paying back",0,IF(AND(OR(Housemates!$C$14="",Housemates!$C$14&lt;=$B145),OR(Housemates!$D$14="",Housemates!$D$14&gt;=$B145)),IF($Q145=0,1,INDEX(Bills!$AG$6:$AG$25,$Q145)),0))))</f>
        <v/>
      </c>
      <c r="Z145">
        <f>IF(OR($D145="",$B145="",Housemates!$B$15=""),0,IF($R145&gt;0,IF(M145="",0,IF(ISNUMBER(M145),M145,1)),IF($C145="Paying back",0,IF(AND(OR(Housemates!$C$15="",Housemates!$C$15&lt;=$B145),OR(Housemates!$D$15="",Housemates!$D$15&gt;=$B145)),IF($Q145=0,1,INDEX(Bills!$AH$6:$AH$25,$Q145)),0))))</f>
        <v/>
      </c>
      <c r="AA145">
        <f>SUM(S145:Z145)</f>
        <v/>
      </c>
      <c r="AB145">
        <f>IF(AA145=0,0,D145*S145/AA145)</f>
        <v/>
      </c>
      <c r="AC145">
        <f>IF(AA145=0,0,D145*T145/AA145)</f>
        <v/>
      </c>
      <c r="AD145">
        <f>IF(AA145=0,0,D145*U145/AA145)</f>
        <v/>
      </c>
      <c r="AE145">
        <f>IF(AA145=0,0,D145*V145/AA145)</f>
        <v/>
      </c>
      <c r="AF145">
        <f>IF(AA145=0,0,D145*W145/AA145)</f>
        <v/>
      </c>
      <c r="AG145">
        <f>IF(AA145=0,0,D145*X145/AA145)</f>
        <v/>
      </c>
      <c r="AH145">
        <f>IF(AA145=0,0,D145*Y145/AA145)</f>
        <v/>
      </c>
      <c r="AI145">
        <f>IF(AA145=0,0,D145*Z145/AA145)</f>
        <v/>
      </c>
      <c r="AJ145">
        <f>IF(OR(C145="",B145=""),"",C145&amp;"|"&amp;(YEAR(B145)*100+MONTH(B145)))</f>
        <v/>
      </c>
    </row>
    <row r="146">
      <c r="A146" s="1" t="n"/>
      <c r="B146" s="23" t="n"/>
      <c r="C146" s="24" t="n"/>
      <c r="D146" s="25" t="n"/>
      <c r="E146" s="26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1">
        <f>IF(D146="","",IF(B146="","No date",IF(AND(C146="Paying back",R146=0),"To whom?",IF(AA146=0,"Nobody",IF(C146="Paying back","To "&amp;INDEX(Housemates!$B$8:$B$15,MATCH(MAX(S146:Z146),S146:Z146,0)),IF(R146&gt;0,IF(COUNTIF(S146:Z146,"&gt;0")=1,"1 person",COUNTIF(S146:Z146,"&gt;0")&amp;" people"),IF(Q146=0,"Everyone",INDEX(Bills!$Q$6:$Q$25,Q146))))))))</f>
        <v/>
      </c>
      <c r="O146" s="18">
        <f>IF(D146="","",IF(C146="Paying back","Paying back",IF(Q146=0,"Other",IF(INDEX(Bills!$C$6:$C$25,Q146)="","Other",INDEX(Bills!$C$6:$C$25,Q146)))))</f>
        <v/>
      </c>
      <c r="P146" s="1" t="n"/>
      <c r="Q146">
        <f>IF(C146="",0,IFERROR(MATCH(C146,Bills!$B$6:$B$25,0),0))</f>
        <v/>
      </c>
      <c r="R146">
        <f>COUNTA(F146:M146)</f>
        <v/>
      </c>
      <c r="S146">
        <f>IF(OR($D146="",$B146="",Housemates!$B$8=""),0,IF($R146&gt;0,IF(F146="",0,IF(ISNUMBER(F146),F146,1)),IF($C146="Paying back",0,IF(AND(OR(Housemates!$C$8="",Housemates!$C$8&lt;=$B146),OR(Housemates!$D$8="",Housemates!$D$8&gt;=$B146)),IF($Q146=0,1,INDEX(Bills!$AA$6:$AA$25,$Q146)),0))))</f>
        <v/>
      </c>
      <c r="T146">
        <f>IF(OR($D146="",$B146="",Housemates!$B$9=""),0,IF($R146&gt;0,IF(G146="",0,IF(ISNUMBER(G146),G146,1)),IF($C146="Paying back",0,IF(AND(OR(Housemates!$C$9="",Housemates!$C$9&lt;=$B146),OR(Housemates!$D$9="",Housemates!$D$9&gt;=$B146)),IF($Q146=0,1,INDEX(Bills!$AB$6:$AB$25,$Q146)),0))))</f>
        <v/>
      </c>
      <c r="U146">
        <f>IF(OR($D146="",$B146="",Housemates!$B$10=""),0,IF($R146&gt;0,IF(H146="",0,IF(ISNUMBER(H146),H146,1)),IF($C146="Paying back",0,IF(AND(OR(Housemates!$C$10="",Housemates!$C$10&lt;=$B146),OR(Housemates!$D$10="",Housemates!$D$10&gt;=$B146)),IF($Q146=0,1,INDEX(Bills!$AC$6:$AC$25,$Q146)),0))))</f>
        <v/>
      </c>
      <c r="V146">
        <f>IF(OR($D146="",$B146="",Housemates!$B$11=""),0,IF($R146&gt;0,IF(I146="",0,IF(ISNUMBER(I146),I146,1)),IF($C146="Paying back",0,IF(AND(OR(Housemates!$C$11="",Housemates!$C$11&lt;=$B146),OR(Housemates!$D$11="",Housemates!$D$11&gt;=$B146)),IF($Q146=0,1,INDEX(Bills!$AD$6:$AD$25,$Q146)),0))))</f>
        <v/>
      </c>
      <c r="W146">
        <f>IF(OR($D146="",$B146="",Housemates!$B$12=""),0,IF($R146&gt;0,IF(J146="",0,IF(ISNUMBER(J146),J146,1)),IF($C146="Paying back",0,IF(AND(OR(Housemates!$C$12="",Housemates!$C$12&lt;=$B146),OR(Housemates!$D$12="",Housemates!$D$12&gt;=$B146)),IF($Q146=0,1,INDEX(Bills!$AE$6:$AE$25,$Q146)),0))))</f>
        <v/>
      </c>
      <c r="X146">
        <f>IF(OR($D146="",$B146="",Housemates!$B$13=""),0,IF($R146&gt;0,IF(K146="",0,IF(ISNUMBER(K146),K146,1)),IF($C146="Paying back",0,IF(AND(OR(Housemates!$C$13="",Housemates!$C$13&lt;=$B146),OR(Housemates!$D$13="",Housemates!$D$13&gt;=$B146)),IF($Q146=0,1,INDEX(Bills!$AF$6:$AF$25,$Q146)),0))))</f>
        <v/>
      </c>
      <c r="Y146">
        <f>IF(OR($D146="",$B146="",Housemates!$B$14=""),0,IF($R146&gt;0,IF(L146="",0,IF(ISNUMBER(L146),L146,1)),IF($C146="Paying back",0,IF(AND(OR(Housemates!$C$14="",Housemates!$C$14&lt;=$B146),OR(Housemates!$D$14="",Housemates!$D$14&gt;=$B146)),IF($Q146=0,1,INDEX(Bills!$AG$6:$AG$25,$Q146)),0))))</f>
        <v/>
      </c>
      <c r="Z146">
        <f>IF(OR($D146="",$B146="",Housemates!$B$15=""),0,IF($R146&gt;0,IF(M146="",0,IF(ISNUMBER(M146),M146,1)),IF($C146="Paying back",0,IF(AND(OR(Housemates!$C$15="",Housemates!$C$15&lt;=$B146),OR(Housemates!$D$15="",Housemates!$D$15&gt;=$B146)),IF($Q146=0,1,INDEX(Bills!$AH$6:$AH$25,$Q146)),0))))</f>
        <v/>
      </c>
      <c r="AA146">
        <f>SUM(S146:Z146)</f>
        <v/>
      </c>
      <c r="AB146">
        <f>IF(AA146=0,0,D146*S146/AA146)</f>
        <v/>
      </c>
      <c r="AC146">
        <f>IF(AA146=0,0,D146*T146/AA146)</f>
        <v/>
      </c>
      <c r="AD146">
        <f>IF(AA146=0,0,D146*U146/AA146)</f>
        <v/>
      </c>
      <c r="AE146">
        <f>IF(AA146=0,0,D146*V146/AA146)</f>
        <v/>
      </c>
      <c r="AF146">
        <f>IF(AA146=0,0,D146*W146/AA146)</f>
        <v/>
      </c>
      <c r="AG146">
        <f>IF(AA146=0,0,D146*X146/AA146)</f>
        <v/>
      </c>
      <c r="AH146">
        <f>IF(AA146=0,0,D146*Y146/AA146)</f>
        <v/>
      </c>
      <c r="AI146">
        <f>IF(AA146=0,0,D146*Z146/AA146)</f>
        <v/>
      </c>
      <c r="AJ146">
        <f>IF(OR(C146="",B146=""),"",C146&amp;"|"&amp;(YEAR(B146)*100+MONTH(B146)))</f>
        <v/>
      </c>
    </row>
    <row r="147">
      <c r="A147" s="1" t="n"/>
      <c r="B147" s="23" t="n"/>
      <c r="C147" s="24" t="n"/>
      <c r="D147" s="25" t="n"/>
      <c r="E147" s="26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1">
        <f>IF(D147="","",IF(B147="","No date",IF(AND(C147="Paying back",R147=0),"To whom?",IF(AA147=0,"Nobody",IF(C147="Paying back","To "&amp;INDEX(Housemates!$B$8:$B$15,MATCH(MAX(S147:Z147),S147:Z147,0)),IF(R147&gt;0,IF(COUNTIF(S147:Z147,"&gt;0")=1,"1 person",COUNTIF(S147:Z147,"&gt;0")&amp;" people"),IF(Q147=0,"Everyone",INDEX(Bills!$Q$6:$Q$25,Q147))))))))</f>
        <v/>
      </c>
      <c r="O147" s="18">
        <f>IF(D147="","",IF(C147="Paying back","Paying back",IF(Q147=0,"Other",IF(INDEX(Bills!$C$6:$C$25,Q147)="","Other",INDEX(Bills!$C$6:$C$25,Q147)))))</f>
        <v/>
      </c>
      <c r="P147" s="1" t="n"/>
      <c r="Q147">
        <f>IF(C147="",0,IFERROR(MATCH(C147,Bills!$B$6:$B$25,0),0))</f>
        <v/>
      </c>
      <c r="R147">
        <f>COUNTA(F147:M147)</f>
        <v/>
      </c>
      <c r="S147">
        <f>IF(OR($D147="",$B147="",Housemates!$B$8=""),0,IF($R147&gt;0,IF(F147="",0,IF(ISNUMBER(F147),F147,1)),IF($C147="Paying back",0,IF(AND(OR(Housemates!$C$8="",Housemates!$C$8&lt;=$B147),OR(Housemates!$D$8="",Housemates!$D$8&gt;=$B147)),IF($Q147=0,1,INDEX(Bills!$AA$6:$AA$25,$Q147)),0))))</f>
        <v/>
      </c>
      <c r="T147">
        <f>IF(OR($D147="",$B147="",Housemates!$B$9=""),0,IF($R147&gt;0,IF(G147="",0,IF(ISNUMBER(G147),G147,1)),IF($C147="Paying back",0,IF(AND(OR(Housemates!$C$9="",Housemates!$C$9&lt;=$B147),OR(Housemates!$D$9="",Housemates!$D$9&gt;=$B147)),IF($Q147=0,1,INDEX(Bills!$AB$6:$AB$25,$Q147)),0))))</f>
        <v/>
      </c>
      <c r="U147">
        <f>IF(OR($D147="",$B147="",Housemates!$B$10=""),0,IF($R147&gt;0,IF(H147="",0,IF(ISNUMBER(H147),H147,1)),IF($C147="Paying back",0,IF(AND(OR(Housemates!$C$10="",Housemates!$C$10&lt;=$B147),OR(Housemates!$D$10="",Housemates!$D$10&gt;=$B147)),IF($Q147=0,1,INDEX(Bills!$AC$6:$AC$25,$Q147)),0))))</f>
        <v/>
      </c>
      <c r="V147">
        <f>IF(OR($D147="",$B147="",Housemates!$B$11=""),0,IF($R147&gt;0,IF(I147="",0,IF(ISNUMBER(I147),I147,1)),IF($C147="Paying back",0,IF(AND(OR(Housemates!$C$11="",Housemates!$C$11&lt;=$B147),OR(Housemates!$D$11="",Housemates!$D$11&gt;=$B147)),IF($Q147=0,1,INDEX(Bills!$AD$6:$AD$25,$Q147)),0))))</f>
        <v/>
      </c>
      <c r="W147">
        <f>IF(OR($D147="",$B147="",Housemates!$B$12=""),0,IF($R147&gt;0,IF(J147="",0,IF(ISNUMBER(J147),J147,1)),IF($C147="Paying back",0,IF(AND(OR(Housemates!$C$12="",Housemates!$C$12&lt;=$B147),OR(Housemates!$D$12="",Housemates!$D$12&gt;=$B147)),IF($Q147=0,1,INDEX(Bills!$AE$6:$AE$25,$Q147)),0))))</f>
        <v/>
      </c>
      <c r="X147">
        <f>IF(OR($D147="",$B147="",Housemates!$B$13=""),0,IF($R147&gt;0,IF(K147="",0,IF(ISNUMBER(K147),K147,1)),IF($C147="Paying back",0,IF(AND(OR(Housemates!$C$13="",Housemates!$C$13&lt;=$B147),OR(Housemates!$D$13="",Housemates!$D$13&gt;=$B147)),IF($Q147=0,1,INDEX(Bills!$AF$6:$AF$25,$Q147)),0))))</f>
        <v/>
      </c>
      <c r="Y147">
        <f>IF(OR($D147="",$B147="",Housemates!$B$14=""),0,IF($R147&gt;0,IF(L147="",0,IF(ISNUMBER(L147),L147,1)),IF($C147="Paying back",0,IF(AND(OR(Housemates!$C$14="",Housemates!$C$14&lt;=$B147),OR(Housemates!$D$14="",Housemates!$D$14&gt;=$B147)),IF($Q147=0,1,INDEX(Bills!$AG$6:$AG$25,$Q147)),0))))</f>
        <v/>
      </c>
      <c r="Z147">
        <f>IF(OR($D147="",$B147="",Housemates!$B$15=""),0,IF($R147&gt;0,IF(M147="",0,IF(ISNUMBER(M147),M147,1)),IF($C147="Paying back",0,IF(AND(OR(Housemates!$C$15="",Housemates!$C$15&lt;=$B147),OR(Housemates!$D$15="",Housemates!$D$15&gt;=$B147)),IF($Q147=0,1,INDEX(Bills!$AH$6:$AH$25,$Q147)),0))))</f>
        <v/>
      </c>
      <c r="AA147">
        <f>SUM(S147:Z147)</f>
        <v/>
      </c>
      <c r="AB147">
        <f>IF(AA147=0,0,D147*S147/AA147)</f>
        <v/>
      </c>
      <c r="AC147">
        <f>IF(AA147=0,0,D147*T147/AA147)</f>
        <v/>
      </c>
      <c r="AD147">
        <f>IF(AA147=0,0,D147*U147/AA147)</f>
        <v/>
      </c>
      <c r="AE147">
        <f>IF(AA147=0,0,D147*V147/AA147)</f>
        <v/>
      </c>
      <c r="AF147">
        <f>IF(AA147=0,0,D147*W147/AA147)</f>
        <v/>
      </c>
      <c r="AG147">
        <f>IF(AA147=0,0,D147*X147/AA147)</f>
        <v/>
      </c>
      <c r="AH147">
        <f>IF(AA147=0,0,D147*Y147/AA147)</f>
        <v/>
      </c>
      <c r="AI147">
        <f>IF(AA147=0,0,D147*Z147/AA147)</f>
        <v/>
      </c>
      <c r="AJ147">
        <f>IF(OR(C147="",B147=""),"",C147&amp;"|"&amp;(YEAR(B147)*100+MONTH(B147)))</f>
        <v/>
      </c>
    </row>
    <row r="148">
      <c r="A148" s="1" t="n"/>
      <c r="B148" s="23" t="n"/>
      <c r="C148" s="24" t="n"/>
      <c r="D148" s="25" t="n"/>
      <c r="E148" s="26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1">
        <f>IF(D148="","",IF(B148="","No date",IF(AND(C148="Paying back",R148=0),"To whom?",IF(AA148=0,"Nobody",IF(C148="Paying back","To "&amp;INDEX(Housemates!$B$8:$B$15,MATCH(MAX(S148:Z148),S148:Z148,0)),IF(R148&gt;0,IF(COUNTIF(S148:Z148,"&gt;0")=1,"1 person",COUNTIF(S148:Z148,"&gt;0")&amp;" people"),IF(Q148=0,"Everyone",INDEX(Bills!$Q$6:$Q$25,Q148))))))))</f>
        <v/>
      </c>
      <c r="O148" s="18">
        <f>IF(D148="","",IF(C148="Paying back","Paying back",IF(Q148=0,"Other",IF(INDEX(Bills!$C$6:$C$25,Q148)="","Other",INDEX(Bills!$C$6:$C$25,Q148)))))</f>
        <v/>
      </c>
      <c r="P148" s="1" t="n"/>
      <c r="Q148">
        <f>IF(C148="",0,IFERROR(MATCH(C148,Bills!$B$6:$B$25,0),0))</f>
        <v/>
      </c>
      <c r="R148">
        <f>COUNTA(F148:M148)</f>
        <v/>
      </c>
      <c r="S148">
        <f>IF(OR($D148="",$B148="",Housemates!$B$8=""),0,IF($R148&gt;0,IF(F148="",0,IF(ISNUMBER(F148),F148,1)),IF($C148="Paying back",0,IF(AND(OR(Housemates!$C$8="",Housemates!$C$8&lt;=$B148),OR(Housemates!$D$8="",Housemates!$D$8&gt;=$B148)),IF($Q148=0,1,INDEX(Bills!$AA$6:$AA$25,$Q148)),0))))</f>
        <v/>
      </c>
      <c r="T148">
        <f>IF(OR($D148="",$B148="",Housemates!$B$9=""),0,IF($R148&gt;0,IF(G148="",0,IF(ISNUMBER(G148),G148,1)),IF($C148="Paying back",0,IF(AND(OR(Housemates!$C$9="",Housemates!$C$9&lt;=$B148),OR(Housemates!$D$9="",Housemates!$D$9&gt;=$B148)),IF($Q148=0,1,INDEX(Bills!$AB$6:$AB$25,$Q148)),0))))</f>
        <v/>
      </c>
      <c r="U148">
        <f>IF(OR($D148="",$B148="",Housemates!$B$10=""),0,IF($R148&gt;0,IF(H148="",0,IF(ISNUMBER(H148),H148,1)),IF($C148="Paying back",0,IF(AND(OR(Housemates!$C$10="",Housemates!$C$10&lt;=$B148),OR(Housemates!$D$10="",Housemates!$D$10&gt;=$B148)),IF($Q148=0,1,INDEX(Bills!$AC$6:$AC$25,$Q148)),0))))</f>
        <v/>
      </c>
      <c r="V148">
        <f>IF(OR($D148="",$B148="",Housemates!$B$11=""),0,IF($R148&gt;0,IF(I148="",0,IF(ISNUMBER(I148),I148,1)),IF($C148="Paying back",0,IF(AND(OR(Housemates!$C$11="",Housemates!$C$11&lt;=$B148),OR(Housemates!$D$11="",Housemates!$D$11&gt;=$B148)),IF($Q148=0,1,INDEX(Bills!$AD$6:$AD$25,$Q148)),0))))</f>
        <v/>
      </c>
      <c r="W148">
        <f>IF(OR($D148="",$B148="",Housemates!$B$12=""),0,IF($R148&gt;0,IF(J148="",0,IF(ISNUMBER(J148),J148,1)),IF($C148="Paying back",0,IF(AND(OR(Housemates!$C$12="",Housemates!$C$12&lt;=$B148),OR(Housemates!$D$12="",Housemates!$D$12&gt;=$B148)),IF($Q148=0,1,INDEX(Bills!$AE$6:$AE$25,$Q148)),0))))</f>
        <v/>
      </c>
      <c r="X148">
        <f>IF(OR($D148="",$B148="",Housemates!$B$13=""),0,IF($R148&gt;0,IF(K148="",0,IF(ISNUMBER(K148),K148,1)),IF($C148="Paying back",0,IF(AND(OR(Housemates!$C$13="",Housemates!$C$13&lt;=$B148),OR(Housemates!$D$13="",Housemates!$D$13&gt;=$B148)),IF($Q148=0,1,INDEX(Bills!$AF$6:$AF$25,$Q148)),0))))</f>
        <v/>
      </c>
      <c r="Y148">
        <f>IF(OR($D148="",$B148="",Housemates!$B$14=""),0,IF($R148&gt;0,IF(L148="",0,IF(ISNUMBER(L148),L148,1)),IF($C148="Paying back",0,IF(AND(OR(Housemates!$C$14="",Housemates!$C$14&lt;=$B148),OR(Housemates!$D$14="",Housemates!$D$14&gt;=$B148)),IF($Q148=0,1,INDEX(Bills!$AG$6:$AG$25,$Q148)),0))))</f>
        <v/>
      </c>
      <c r="Z148">
        <f>IF(OR($D148="",$B148="",Housemates!$B$15=""),0,IF($R148&gt;0,IF(M148="",0,IF(ISNUMBER(M148),M148,1)),IF($C148="Paying back",0,IF(AND(OR(Housemates!$C$15="",Housemates!$C$15&lt;=$B148),OR(Housemates!$D$15="",Housemates!$D$15&gt;=$B148)),IF($Q148=0,1,INDEX(Bills!$AH$6:$AH$25,$Q148)),0))))</f>
        <v/>
      </c>
      <c r="AA148">
        <f>SUM(S148:Z148)</f>
        <v/>
      </c>
      <c r="AB148">
        <f>IF(AA148=0,0,D148*S148/AA148)</f>
        <v/>
      </c>
      <c r="AC148">
        <f>IF(AA148=0,0,D148*T148/AA148)</f>
        <v/>
      </c>
      <c r="AD148">
        <f>IF(AA148=0,0,D148*U148/AA148)</f>
        <v/>
      </c>
      <c r="AE148">
        <f>IF(AA148=0,0,D148*V148/AA148)</f>
        <v/>
      </c>
      <c r="AF148">
        <f>IF(AA148=0,0,D148*W148/AA148)</f>
        <v/>
      </c>
      <c r="AG148">
        <f>IF(AA148=0,0,D148*X148/AA148)</f>
        <v/>
      </c>
      <c r="AH148">
        <f>IF(AA148=0,0,D148*Y148/AA148)</f>
        <v/>
      </c>
      <c r="AI148">
        <f>IF(AA148=0,0,D148*Z148/AA148)</f>
        <v/>
      </c>
      <c r="AJ148">
        <f>IF(OR(C148="",B148=""),"",C148&amp;"|"&amp;(YEAR(B148)*100+MONTH(B148)))</f>
        <v/>
      </c>
    </row>
    <row r="149">
      <c r="A149" s="1" t="n"/>
      <c r="B149" s="23" t="n"/>
      <c r="C149" s="24" t="n"/>
      <c r="D149" s="25" t="n"/>
      <c r="E149" s="26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1">
        <f>IF(D149="","",IF(B149="","No date",IF(AND(C149="Paying back",R149=0),"To whom?",IF(AA149=0,"Nobody",IF(C149="Paying back","To "&amp;INDEX(Housemates!$B$8:$B$15,MATCH(MAX(S149:Z149),S149:Z149,0)),IF(R149&gt;0,IF(COUNTIF(S149:Z149,"&gt;0")=1,"1 person",COUNTIF(S149:Z149,"&gt;0")&amp;" people"),IF(Q149=0,"Everyone",INDEX(Bills!$Q$6:$Q$25,Q149))))))))</f>
        <v/>
      </c>
      <c r="O149" s="18">
        <f>IF(D149="","",IF(C149="Paying back","Paying back",IF(Q149=0,"Other",IF(INDEX(Bills!$C$6:$C$25,Q149)="","Other",INDEX(Bills!$C$6:$C$25,Q149)))))</f>
        <v/>
      </c>
      <c r="P149" s="1" t="n"/>
      <c r="Q149">
        <f>IF(C149="",0,IFERROR(MATCH(C149,Bills!$B$6:$B$25,0),0))</f>
        <v/>
      </c>
      <c r="R149">
        <f>COUNTA(F149:M149)</f>
        <v/>
      </c>
      <c r="S149">
        <f>IF(OR($D149="",$B149="",Housemates!$B$8=""),0,IF($R149&gt;0,IF(F149="",0,IF(ISNUMBER(F149),F149,1)),IF($C149="Paying back",0,IF(AND(OR(Housemates!$C$8="",Housemates!$C$8&lt;=$B149),OR(Housemates!$D$8="",Housemates!$D$8&gt;=$B149)),IF($Q149=0,1,INDEX(Bills!$AA$6:$AA$25,$Q149)),0))))</f>
        <v/>
      </c>
      <c r="T149">
        <f>IF(OR($D149="",$B149="",Housemates!$B$9=""),0,IF($R149&gt;0,IF(G149="",0,IF(ISNUMBER(G149),G149,1)),IF($C149="Paying back",0,IF(AND(OR(Housemates!$C$9="",Housemates!$C$9&lt;=$B149),OR(Housemates!$D$9="",Housemates!$D$9&gt;=$B149)),IF($Q149=0,1,INDEX(Bills!$AB$6:$AB$25,$Q149)),0))))</f>
        <v/>
      </c>
      <c r="U149">
        <f>IF(OR($D149="",$B149="",Housemates!$B$10=""),0,IF($R149&gt;0,IF(H149="",0,IF(ISNUMBER(H149),H149,1)),IF($C149="Paying back",0,IF(AND(OR(Housemates!$C$10="",Housemates!$C$10&lt;=$B149),OR(Housemates!$D$10="",Housemates!$D$10&gt;=$B149)),IF($Q149=0,1,INDEX(Bills!$AC$6:$AC$25,$Q149)),0))))</f>
        <v/>
      </c>
      <c r="V149">
        <f>IF(OR($D149="",$B149="",Housemates!$B$11=""),0,IF($R149&gt;0,IF(I149="",0,IF(ISNUMBER(I149),I149,1)),IF($C149="Paying back",0,IF(AND(OR(Housemates!$C$11="",Housemates!$C$11&lt;=$B149),OR(Housemates!$D$11="",Housemates!$D$11&gt;=$B149)),IF($Q149=0,1,INDEX(Bills!$AD$6:$AD$25,$Q149)),0))))</f>
        <v/>
      </c>
      <c r="W149">
        <f>IF(OR($D149="",$B149="",Housemates!$B$12=""),0,IF($R149&gt;0,IF(J149="",0,IF(ISNUMBER(J149),J149,1)),IF($C149="Paying back",0,IF(AND(OR(Housemates!$C$12="",Housemates!$C$12&lt;=$B149),OR(Housemates!$D$12="",Housemates!$D$12&gt;=$B149)),IF($Q149=0,1,INDEX(Bills!$AE$6:$AE$25,$Q149)),0))))</f>
        <v/>
      </c>
      <c r="X149">
        <f>IF(OR($D149="",$B149="",Housemates!$B$13=""),0,IF($R149&gt;0,IF(K149="",0,IF(ISNUMBER(K149),K149,1)),IF($C149="Paying back",0,IF(AND(OR(Housemates!$C$13="",Housemates!$C$13&lt;=$B149),OR(Housemates!$D$13="",Housemates!$D$13&gt;=$B149)),IF($Q149=0,1,INDEX(Bills!$AF$6:$AF$25,$Q149)),0))))</f>
        <v/>
      </c>
      <c r="Y149">
        <f>IF(OR($D149="",$B149="",Housemates!$B$14=""),0,IF($R149&gt;0,IF(L149="",0,IF(ISNUMBER(L149),L149,1)),IF($C149="Paying back",0,IF(AND(OR(Housemates!$C$14="",Housemates!$C$14&lt;=$B149),OR(Housemates!$D$14="",Housemates!$D$14&gt;=$B149)),IF($Q149=0,1,INDEX(Bills!$AG$6:$AG$25,$Q149)),0))))</f>
        <v/>
      </c>
      <c r="Z149">
        <f>IF(OR($D149="",$B149="",Housemates!$B$15=""),0,IF($R149&gt;0,IF(M149="",0,IF(ISNUMBER(M149),M149,1)),IF($C149="Paying back",0,IF(AND(OR(Housemates!$C$15="",Housemates!$C$15&lt;=$B149),OR(Housemates!$D$15="",Housemates!$D$15&gt;=$B149)),IF($Q149=0,1,INDEX(Bills!$AH$6:$AH$25,$Q149)),0))))</f>
        <v/>
      </c>
      <c r="AA149">
        <f>SUM(S149:Z149)</f>
        <v/>
      </c>
      <c r="AB149">
        <f>IF(AA149=0,0,D149*S149/AA149)</f>
        <v/>
      </c>
      <c r="AC149">
        <f>IF(AA149=0,0,D149*T149/AA149)</f>
        <v/>
      </c>
      <c r="AD149">
        <f>IF(AA149=0,0,D149*U149/AA149)</f>
        <v/>
      </c>
      <c r="AE149">
        <f>IF(AA149=0,0,D149*V149/AA149)</f>
        <v/>
      </c>
      <c r="AF149">
        <f>IF(AA149=0,0,D149*W149/AA149)</f>
        <v/>
      </c>
      <c r="AG149">
        <f>IF(AA149=0,0,D149*X149/AA149)</f>
        <v/>
      </c>
      <c r="AH149">
        <f>IF(AA149=0,0,D149*Y149/AA149)</f>
        <v/>
      </c>
      <c r="AI149">
        <f>IF(AA149=0,0,D149*Z149/AA149)</f>
        <v/>
      </c>
      <c r="AJ149">
        <f>IF(OR(C149="",B149=""),"",C149&amp;"|"&amp;(YEAR(B149)*100+MONTH(B149)))</f>
        <v/>
      </c>
    </row>
    <row r="150">
      <c r="A150" s="1" t="n"/>
      <c r="B150" s="23" t="n"/>
      <c r="C150" s="24" t="n"/>
      <c r="D150" s="25" t="n"/>
      <c r="E150" s="26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1">
        <f>IF(D150="","",IF(B150="","No date",IF(AND(C150="Paying back",R150=0),"To whom?",IF(AA150=0,"Nobody",IF(C150="Paying back","To "&amp;INDEX(Housemates!$B$8:$B$15,MATCH(MAX(S150:Z150),S150:Z150,0)),IF(R150&gt;0,IF(COUNTIF(S150:Z150,"&gt;0")=1,"1 person",COUNTIF(S150:Z150,"&gt;0")&amp;" people"),IF(Q150=0,"Everyone",INDEX(Bills!$Q$6:$Q$25,Q150))))))))</f>
        <v/>
      </c>
      <c r="O150" s="18">
        <f>IF(D150="","",IF(C150="Paying back","Paying back",IF(Q150=0,"Other",IF(INDEX(Bills!$C$6:$C$25,Q150)="","Other",INDEX(Bills!$C$6:$C$25,Q150)))))</f>
        <v/>
      </c>
      <c r="P150" s="1" t="n"/>
      <c r="Q150">
        <f>IF(C150="",0,IFERROR(MATCH(C150,Bills!$B$6:$B$25,0),0))</f>
        <v/>
      </c>
      <c r="R150">
        <f>COUNTA(F150:M150)</f>
        <v/>
      </c>
      <c r="S150">
        <f>IF(OR($D150="",$B150="",Housemates!$B$8=""),0,IF($R150&gt;0,IF(F150="",0,IF(ISNUMBER(F150),F150,1)),IF($C150="Paying back",0,IF(AND(OR(Housemates!$C$8="",Housemates!$C$8&lt;=$B150),OR(Housemates!$D$8="",Housemates!$D$8&gt;=$B150)),IF($Q150=0,1,INDEX(Bills!$AA$6:$AA$25,$Q150)),0))))</f>
        <v/>
      </c>
      <c r="T150">
        <f>IF(OR($D150="",$B150="",Housemates!$B$9=""),0,IF($R150&gt;0,IF(G150="",0,IF(ISNUMBER(G150),G150,1)),IF($C150="Paying back",0,IF(AND(OR(Housemates!$C$9="",Housemates!$C$9&lt;=$B150),OR(Housemates!$D$9="",Housemates!$D$9&gt;=$B150)),IF($Q150=0,1,INDEX(Bills!$AB$6:$AB$25,$Q150)),0))))</f>
        <v/>
      </c>
      <c r="U150">
        <f>IF(OR($D150="",$B150="",Housemates!$B$10=""),0,IF($R150&gt;0,IF(H150="",0,IF(ISNUMBER(H150),H150,1)),IF($C150="Paying back",0,IF(AND(OR(Housemates!$C$10="",Housemates!$C$10&lt;=$B150),OR(Housemates!$D$10="",Housemates!$D$10&gt;=$B150)),IF($Q150=0,1,INDEX(Bills!$AC$6:$AC$25,$Q150)),0))))</f>
        <v/>
      </c>
      <c r="V150">
        <f>IF(OR($D150="",$B150="",Housemates!$B$11=""),0,IF($R150&gt;0,IF(I150="",0,IF(ISNUMBER(I150),I150,1)),IF($C150="Paying back",0,IF(AND(OR(Housemates!$C$11="",Housemates!$C$11&lt;=$B150),OR(Housemates!$D$11="",Housemates!$D$11&gt;=$B150)),IF($Q150=0,1,INDEX(Bills!$AD$6:$AD$25,$Q150)),0))))</f>
        <v/>
      </c>
      <c r="W150">
        <f>IF(OR($D150="",$B150="",Housemates!$B$12=""),0,IF($R150&gt;0,IF(J150="",0,IF(ISNUMBER(J150),J150,1)),IF($C150="Paying back",0,IF(AND(OR(Housemates!$C$12="",Housemates!$C$12&lt;=$B150),OR(Housemates!$D$12="",Housemates!$D$12&gt;=$B150)),IF($Q150=0,1,INDEX(Bills!$AE$6:$AE$25,$Q150)),0))))</f>
        <v/>
      </c>
      <c r="X150">
        <f>IF(OR($D150="",$B150="",Housemates!$B$13=""),0,IF($R150&gt;0,IF(K150="",0,IF(ISNUMBER(K150),K150,1)),IF($C150="Paying back",0,IF(AND(OR(Housemates!$C$13="",Housemates!$C$13&lt;=$B150),OR(Housemates!$D$13="",Housemates!$D$13&gt;=$B150)),IF($Q150=0,1,INDEX(Bills!$AF$6:$AF$25,$Q150)),0))))</f>
        <v/>
      </c>
      <c r="Y150">
        <f>IF(OR($D150="",$B150="",Housemates!$B$14=""),0,IF($R150&gt;0,IF(L150="",0,IF(ISNUMBER(L150),L150,1)),IF($C150="Paying back",0,IF(AND(OR(Housemates!$C$14="",Housemates!$C$14&lt;=$B150),OR(Housemates!$D$14="",Housemates!$D$14&gt;=$B150)),IF($Q150=0,1,INDEX(Bills!$AG$6:$AG$25,$Q150)),0))))</f>
        <v/>
      </c>
      <c r="Z150">
        <f>IF(OR($D150="",$B150="",Housemates!$B$15=""),0,IF($R150&gt;0,IF(M150="",0,IF(ISNUMBER(M150),M150,1)),IF($C150="Paying back",0,IF(AND(OR(Housemates!$C$15="",Housemates!$C$15&lt;=$B150),OR(Housemates!$D$15="",Housemates!$D$15&gt;=$B150)),IF($Q150=0,1,INDEX(Bills!$AH$6:$AH$25,$Q150)),0))))</f>
        <v/>
      </c>
      <c r="AA150">
        <f>SUM(S150:Z150)</f>
        <v/>
      </c>
      <c r="AB150">
        <f>IF(AA150=0,0,D150*S150/AA150)</f>
        <v/>
      </c>
      <c r="AC150">
        <f>IF(AA150=0,0,D150*T150/AA150)</f>
        <v/>
      </c>
      <c r="AD150">
        <f>IF(AA150=0,0,D150*U150/AA150)</f>
        <v/>
      </c>
      <c r="AE150">
        <f>IF(AA150=0,0,D150*V150/AA150)</f>
        <v/>
      </c>
      <c r="AF150">
        <f>IF(AA150=0,0,D150*W150/AA150)</f>
        <v/>
      </c>
      <c r="AG150">
        <f>IF(AA150=0,0,D150*X150/AA150)</f>
        <v/>
      </c>
      <c r="AH150">
        <f>IF(AA150=0,0,D150*Y150/AA150)</f>
        <v/>
      </c>
      <c r="AI150">
        <f>IF(AA150=0,0,D150*Z150/AA150)</f>
        <v/>
      </c>
      <c r="AJ150">
        <f>IF(OR(C150="",B150=""),"",C150&amp;"|"&amp;(YEAR(B150)*100+MONTH(B150)))</f>
        <v/>
      </c>
    </row>
    <row r="151">
      <c r="A151" s="1" t="n"/>
      <c r="B151" s="23" t="n"/>
      <c r="C151" s="24" t="n"/>
      <c r="D151" s="25" t="n"/>
      <c r="E151" s="26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1">
        <f>IF(D151="","",IF(B151="","No date",IF(AND(C151="Paying back",R151=0),"To whom?",IF(AA151=0,"Nobody",IF(C151="Paying back","To "&amp;INDEX(Housemates!$B$8:$B$15,MATCH(MAX(S151:Z151),S151:Z151,0)),IF(R151&gt;0,IF(COUNTIF(S151:Z151,"&gt;0")=1,"1 person",COUNTIF(S151:Z151,"&gt;0")&amp;" people"),IF(Q151=0,"Everyone",INDEX(Bills!$Q$6:$Q$25,Q151))))))))</f>
        <v/>
      </c>
      <c r="O151" s="18">
        <f>IF(D151="","",IF(C151="Paying back","Paying back",IF(Q151=0,"Other",IF(INDEX(Bills!$C$6:$C$25,Q151)="","Other",INDEX(Bills!$C$6:$C$25,Q151)))))</f>
        <v/>
      </c>
      <c r="P151" s="1" t="n"/>
      <c r="Q151">
        <f>IF(C151="",0,IFERROR(MATCH(C151,Bills!$B$6:$B$25,0),0))</f>
        <v/>
      </c>
      <c r="R151">
        <f>COUNTA(F151:M151)</f>
        <v/>
      </c>
      <c r="S151">
        <f>IF(OR($D151="",$B151="",Housemates!$B$8=""),0,IF($R151&gt;0,IF(F151="",0,IF(ISNUMBER(F151),F151,1)),IF($C151="Paying back",0,IF(AND(OR(Housemates!$C$8="",Housemates!$C$8&lt;=$B151),OR(Housemates!$D$8="",Housemates!$D$8&gt;=$B151)),IF($Q151=0,1,INDEX(Bills!$AA$6:$AA$25,$Q151)),0))))</f>
        <v/>
      </c>
      <c r="T151">
        <f>IF(OR($D151="",$B151="",Housemates!$B$9=""),0,IF($R151&gt;0,IF(G151="",0,IF(ISNUMBER(G151),G151,1)),IF($C151="Paying back",0,IF(AND(OR(Housemates!$C$9="",Housemates!$C$9&lt;=$B151),OR(Housemates!$D$9="",Housemates!$D$9&gt;=$B151)),IF($Q151=0,1,INDEX(Bills!$AB$6:$AB$25,$Q151)),0))))</f>
        <v/>
      </c>
      <c r="U151">
        <f>IF(OR($D151="",$B151="",Housemates!$B$10=""),0,IF($R151&gt;0,IF(H151="",0,IF(ISNUMBER(H151),H151,1)),IF($C151="Paying back",0,IF(AND(OR(Housemates!$C$10="",Housemates!$C$10&lt;=$B151),OR(Housemates!$D$10="",Housemates!$D$10&gt;=$B151)),IF($Q151=0,1,INDEX(Bills!$AC$6:$AC$25,$Q151)),0))))</f>
        <v/>
      </c>
      <c r="V151">
        <f>IF(OR($D151="",$B151="",Housemates!$B$11=""),0,IF($R151&gt;0,IF(I151="",0,IF(ISNUMBER(I151),I151,1)),IF($C151="Paying back",0,IF(AND(OR(Housemates!$C$11="",Housemates!$C$11&lt;=$B151),OR(Housemates!$D$11="",Housemates!$D$11&gt;=$B151)),IF($Q151=0,1,INDEX(Bills!$AD$6:$AD$25,$Q151)),0))))</f>
        <v/>
      </c>
      <c r="W151">
        <f>IF(OR($D151="",$B151="",Housemates!$B$12=""),0,IF($R151&gt;0,IF(J151="",0,IF(ISNUMBER(J151),J151,1)),IF($C151="Paying back",0,IF(AND(OR(Housemates!$C$12="",Housemates!$C$12&lt;=$B151),OR(Housemates!$D$12="",Housemates!$D$12&gt;=$B151)),IF($Q151=0,1,INDEX(Bills!$AE$6:$AE$25,$Q151)),0))))</f>
        <v/>
      </c>
      <c r="X151">
        <f>IF(OR($D151="",$B151="",Housemates!$B$13=""),0,IF($R151&gt;0,IF(K151="",0,IF(ISNUMBER(K151),K151,1)),IF($C151="Paying back",0,IF(AND(OR(Housemates!$C$13="",Housemates!$C$13&lt;=$B151),OR(Housemates!$D$13="",Housemates!$D$13&gt;=$B151)),IF($Q151=0,1,INDEX(Bills!$AF$6:$AF$25,$Q151)),0))))</f>
        <v/>
      </c>
      <c r="Y151">
        <f>IF(OR($D151="",$B151="",Housemates!$B$14=""),0,IF($R151&gt;0,IF(L151="",0,IF(ISNUMBER(L151),L151,1)),IF($C151="Paying back",0,IF(AND(OR(Housemates!$C$14="",Housemates!$C$14&lt;=$B151),OR(Housemates!$D$14="",Housemates!$D$14&gt;=$B151)),IF($Q151=0,1,INDEX(Bills!$AG$6:$AG$25,$Q151)),0))))</f>
        <v/>
      </c>
      <c r="Z151">
        <f>IF(OR($D151="",$B151="",Housemates!$B$15=""),0,IF($R151&gt;0,IF(M151="",0,IF(ISNUMBER(M151),M151,1)),IF($C151="Paying back",0,IF(AND(OR(Housemates!$C$15="",Housemates!$C$15&lt;=$B151),OR(Housemates!$D$15="",Housemates!$D$15&gt;=$B151)),IF($Q151=0,1,INDEX(Bills!$AH$6:$AH$25,$Q151)),0))))</f>
        <v/>
      </c>
      <c r="AA151">
        <f>SUM(S151:Z151)</f>
        <v/>
      </c>
      <c r="AB151">
        <f>IF(AA151=0,0,D151*S151/AA151)</f>
        <v/>
      </c>
      <c r="AC151">
        <f>IF(AA151=0,0,D151*T151/AA151)</f>
        <v/>
      </c>
      <c r="AD151">
        <f>IF(AA151=0,0,D151*U151/AA151)</f>
        <v/>
      </c>
      <c r="AE151">
        <f>IF(AA151=0,0,D151*V151/AA151)</f>
        <v/>
      </c>
      <c r="AF151">
        <f>IF(AA151=0,0,D151*W151/AA151)</f>
        <v/>
      </c>
      <c r="AG151">
        <f>IF(AA151=0,0,D151*X151/AA151)</f>
        <v/>
      </c>
      <c r="AH151">
        <f>IF(AA151=0,0,D151*Y151/AA151)</f>
        <v/>
      </c>
      <c r="AI151">
        <f>IF(AA151=0,0,D151*Z151/AA151)</f>
        <v/>
      </c>
      <c r="AJ151">
        <f>IF(OR(C151="",B151=""),"",C151&amp;"|"&amp;(YEAR(B151)*100+MONTH(B151)))</f>
        <v/>
      </c>
    </row>
    <row r="152">
      <c r="A152" s="1" t="n"/>
      <c r="B152" s="23" t="n"/>
      <c r="C152" s="24" t="n"/>
      <c r="D152" s="25" t="n"/>
      <c r="E152" s="26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1">
        <f>IF(D152="","",IF(B152="","No date",IF(AND(C152="Paying back",R152=0),"To whom?",IF(AA152=0,"Nobody",IF(C152="Paying back","To "&amp;INDEX(Housemates!$B$8:$B$15,MATCH(MAX(S152:Z152),S152:Z152,0)),IF(R152&gt;0,IF(COUNTIF(S152:Z152,"&gt;0")=1,"1 person",COUNTIF(S152:Z152,"&gt;0")&amp;" people"),IF(Q152=0,"Everyone",INDEX(Bills!$Q$6:$Q$25,Q152))))))))</f>
        <v/>
      </c>
      <c r="O152" s="18">
        <f>IF(D152="","",IF(C152="Paying back","Paying back",IF(Q152=0,"Other",IF(INDEX(Bills!$C$6:$C$25,Q152)="","Other",INDEX(Bills!$C$6:$C$25,Q152)))))</f>
        <v/>
      </c>
      <c r="P152" s="1" t="n"/>
      <c r="Q152">
        <f>IF(C152="",0,IFERROR(MATCH(C152,Bills!$B$6:$B$25,0),0))</f>
        <v/>
      </c>
      <c r="R152">
        <f>COUNTA(F152:M152)</f>
        <v/>
      </c>
      <c r="S152">
        <f>IF(OR($D152="",$B152="",Housemates!$B$8=""),0,IF($R152&gt;0,IF(F152="",0,IF(ISNUMBER(F152),F152,1)),IF($C152="Paying back",0,IF(AND(OR(Housemates!$C$8="",Housemates!$C$8&lt;=$B152),OR(Housemates!$D$8="",Housemates!$D$8&gt;=$B152)),IF($Q152=0,1,INDEX(Bills!$AA$6:$AA$25,$Q152)),0))))</f>
        <v/>
      </c>
      <c r="T152">
        <f>IF(OR($D152="",$B152="",Housemates!$B$9=""),0,IF($R152&gt;0,IF(G152="",0,IF(ISNUMBER(G152),G152,1)),IF($C152="Paying back",0,IF(AND(OR(Housemates!$C$9="",Housemates!$C$9&lt;=$B152),OR(Housemates!$D$9="",Housemates!$D$9&gt;=$B152)),IF($Q152=0,1,INDEX(Bills!$AB$6:$AB$25,$Q152)),0))))</f>
        <v/>
      </c>
      <c r="U152">
        <f>IF(OR($D152="",$B152="",Housemates!$B$10=""),0,IF($R152&gt;0,IF(H152="",0,IF(ISNUMBER(H152),H152,1)),IF($C152="Paying back",0,IF(AND(OR(Housemates!$C$10="",Housemates!$C$10&lt;=$B152),OR(Housemates!$D$10="",Housemates!$D$10&gt;=$B152)),IF($Q152=0,1,INDEX(Bills!$AC$6:$AC$25,$Q152)),0))))</f>
        <v/>
      </c>
      <c r="V152">
        <f>IF(OR($D152="",$B152="",Housemates!$B$11=""),0,IF($R152&gt;0,IF(I152="",0,IF(ISNUMBER(I152),I152,1)),IF($C152="Paying back",0,IF(AND(OR(Housemates!$C$11="",Housemates!$C$11&lt;=$B152),OR(Housemates!$D$11="",Housemates!$D$11&gt;=$B152)),IF($Q152=0,1,INDEX(Bills!$AD$6:$AD$25,$Q152)),0))))</f>
        <v/>
      </c>
      <c r="W152">
        <f>IF(OR($D152="",$B152="",Housemates!$B$12=""),0,IF($R152&gt;0,IF(J152="",0,IF(ISNUMBER(J152),J152,1)),IF($C152="Paying back",0,IF(AND(OR(Housemates!$C$12="",Housemates!$C$12&lt;=$B152),OR(Housemates!$D$12="",Housemates!$D$12&gt;=$B152)),IF($Q152=0,1,INDEX(Bills!$AE$6:$AE$25,$Q152)),0))))</f>
        <v/>
      </c>
      <c r="X152">
        <f>IF(OR($D152="",$B152="",Housemates!$B$13=""),0,IF($R152&gt;0,IF(K152="",0,IF(ISNUMBER(K152),K152,1)),IF($C152="Paying back",0,IF(AND(OR(Housemates!$C$13="",Housemates!$C$13&lt;=$B152),OR(Housemates!$D$13="",Housemates!$D$13&gt;=$B152)),IF($Q152=0,1,INDEX(Bills!$AF$6:$AF$25,$Q152)),0))))</f>
        <v/>
      </c>
      <c r="Y152">
        <f>IF(OR($D152="",$B152="",Housemates!$B$14=""),0,IF($R152&gt;0,IF(L152="",0,IF(ISNUMBER(L152),L152,1)),IF($C152="Paying back",0,IF(AND(OR(Housemates!$C$14="",Housemates!$C$14&lt;=$B152),OR(Housemates!$D$14="",Housemates!$D$14&gt;=$B152)),IF($Q152=0,1,INDEX(Bills!$AG$6:$AG$25,$Q152)),0))))</f>
        <v/>
      </c>
      <c r="Z152">
        <f>IF(OR($D152="",$B152="",Housemates!$B$15=""),0,IF($R152&gt;0,IF(M152="",0,IF(ISNUMBER(M152),M152,1)),IF($C152="Paying back",0,IF(AND(OR(Housemates!$C$15="",Housemates!$C$15&lt;=$B152),OR(Housemates!$D$15="",Housemates!$D$15&gt;=$B152)),IF($Q152=0,1,INDEX(Bills!$AH$6:$AH$25,$Q152)),0))))</f>
        <v/>
      </c>
      <c r="AA152">
        <f>SUM(S152:Z152)</f>
        <v/>
      </c>
      <c r="AB152">
        <f>IF(AA152=0,0,D152*S152/AA152)</f>
        <v/>
      </c>
      <c r="AC152">
        <f>IF(AA152=0,0,D152*T152/AA152)</f>
        <v/>
      </c>
      <c r="AD152">
        <f>IF(AA152=0,0,D152*U152/AA152)</f>
        <v/>
      </c>
      <c r="AE152">
        <f>IF(AA152=0,0,D152*V152/AA152)</f>
        <v/>
      </c>
      <c r="AF152">
        <f>IF(AA152=0,0,D152*W152/AA152)</f>
        <v/>
      </c>
      <c r="AG152">
        <f>IF(AA152=0,0,D152*X152/AA152)</f>
        <v/>
      </c>
      <c r="AH152">
        <f>IF(AA152=0,0,D152*Y152/AA152)</f>
        <v/>
      </c>
      <c r="AI152">
        <f>IF(AA152=0,0,D152*Z152/AA152)</f>
        <v/>
      </c>
      <c r="AJ152">
        <f>IF(OR(C152="",B152=""),"",C152&amp;"|"&amp;(YEAR(B152)*100+MONTH(B152)))</f>
        <v/>
      </c>
    </row>
    <row r="153">
      <c r="A153" s="1" t="n"/>
      <c r="B153" s="23" t="n"/>
      <c r="C153" s="24" t="n"/>
      <c r="D153" s="25" t="n"/>
      <c r="E153" s="26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1">
        <f>IF(D153="","",IF(B153="","No date",IF(AND(C153="Paying back",R153=0),"To whom?",IF(AA153=0,"Nobody",IF(C153="Paying back","To "&amp;INDEX(Housemates!$B$8:$B$15,MATCH(MAX(S153:Z153),S153:Z153,0)),IF(R153&gt;0,IF(COUNTIF(S153:Z153,"&gt;0")=1,"1 person",COUNTIF(S153:Z153,"&gt;0")&amp;" people"),IF(Q153=0,"Everyone",INDEX(Bills!$Q$6:$Q$25,Q153))))))))</f>
        <v/>
      </c>
      <c r="O153" s="18">
        <f>IF(D153="","",IF(C153="Paying back","Paying back",IF(Q153=0,"Other",IF(INDEX(Bills!$C$6:$C$25,Q153)="","Other",INDEX(Bills!$C$6:$C$25,Q153)))))</f>
        <v/>
      </c>
      <c r="P153" s="1" t="n"/>
      <c r="Q153">
        <f>IF(C153="",0,IFERROR(MATCH(C153,Bills!$B$6:$B$25,0),0))</f>
        <v/>
      </c>
      <c r="R153">
        <f>COUNTA(F153:M153)</f>
        <v/>
      </c>
      <c r="S153">
        <f>IF(OR($D153="",$B153="",Housemates!$B$8=""),0,IF($R153&gt;0,IF(F153="",0,IF(ISNUMBER(F153),F153,1)),IF($C153="Paying back",0,IF(AND(OR(Housemates!$C$8="",Housemates!$C$8&lt;=$B153),OR(Housemates!$D$8="",Housemates!$D$8&gt;=$B153)),IF($Q153=0,1,INDEX(Bills!$AA$6:$AA$25,$Q153)),0))))</f>
        <v/>
      </c>
      <c r="T153">
        <f>IF(OR($D153="",$B153="",Housemates!$B$9=""),0,IF($R153&gt;0,IF(G153="",0,IF(ISNUMBER(G153),G153,1)),IF($C153="Paying back",0,IF(AND(OR(Housemates!$C$9="",Housemates!$C$9&lt;=$B153),OR(Housemates!$D$9="",Housemates!$D$9&gt;=$B153)),IF($Q153=0,1,INDEX(Bills!$AB$6:$AB$25,$Q153)),0))))</f>
        <v/>
      </c>
      <c r="U153">
        <f>IF(OR($D153="",$B153="",Housemates!$B$10=""),0,IF($R153&gt;0,IF(H153="",0,IF(ISNUMBER(H153),H153,1)),IF($C153="Paying back",0,IF(AND(OR(Housemates!$C$10="",Housemates!$C$10&lt;=$B153),OR(Housemates!$D$10="",Housemates!$D$10&gt;=$B153)),IF($Q153=0,1,INDEX(Bills!$AC$6:$AC$25,$Q153)),0))))</f>
        <v/>
      </c>
      <c r="V153">
        <f>IF(OR($D153="",$B153="",Housemates!$B$11=""),0,IF($R153&gt;0,IF(I153="",0,IF(ISNUMBER(I153),I153,1)),IF($C153="Paying back",0,IF(AND(OR(Housemates!$C$11="",Housemates!$C$11&lt;=$B153),OR(Housemates!$D$11="",Housemates!$D$11&gt;=$B153)),IF($Q153=0,1,INDEX(Bills!$AD$6:$AD$25,$Q153)),0))))</f>
        <v/>
      </c>
      <c r="W153">
        <f>IF(OR($D153="",$B153="",Housemates!$B$12=""),0,IF($R153&gt;0,IF(J153="",0,IF(ISNUMBER(J153),J153,1)),IF($C153="Paying back",0,IF(AND(OR(Housemates!$C$12="",Housemates!$C$12&lt;=$B153),OR(Housemates!$D$12="",Housemates!$D$12&gt;=$B153)),IF($Q153=0,1,INDEX(Bills!$AE$6:$AE$25,$Q153)),0))))</f>
        <v/>
      </c>
      <c r="X153">
        <f>IF(OR($D153="",$B153="",Housemates!$B$13=""),0,IF($R153&gt;0,IF(K153="",0,IF(ISNUMBER(K153),K153,1)),IF($C153="Paying back",0,IF(AND(OR(Housemates!$C$13="",Housemates!$C$13&lt;=$B153),OR(Housemates!$D$13="",Housemates!$D$13&gt;=$B153)),IF($Q153=0,1,INDEX(Bills!$AF$6:$AF$25,$Q153)),0))))</f>
        <v/>
      </c>
      <c r="Y153">
        <f>IF(OR($D153="",$B153="",Housemates!$B$14=""),0,IF($R153&gt;0,IF(L153="",0,IF(ISNUMBER(L153),L153,1)),IF($C153="Paying back",0,IF(AND(OR(Housemates!$C$14="",Housemates!$C$14&lt;=$B153),OR(Housemates!$D$14="",Housemates!$D$14&gt;=$B153)),IF($Q153=0,1,INDEX(Bills!$AG$6:$AG$25,$Q153)),0))))</f>
        <v/>
      </c>
      <c r="Z153">
        <f>IF(OR($D153="",$B153="",Housemates!$B$15=""),0,IF($R153&gt;0,IF(M153="",0,IF(ISNUMBER(M153),M153,1)),IF($C153="Paying back",0,IF(AND(OR(Housemates!$C$15="",Housemates!$C$15&lt;=$B153),OR(Housemates!$D$15="",Housemates!$D$15&gt;=$B153)),IF($Q153=0,1,INDEX(Bills!$AH$6:$AH$25,$Q153)),0))))</f>
        <v/>
      </c>
      <c r="AA153">
        <f>SUM(S153:Z153)</f>
        <v/>
      </c>
      <c r="AB153">
        <f>IF(AA153=0,0,D153*S153/AA153)</f>
        <v/>
      </c>
      <c r="AC153">
        <f>IF(AA153=0,0,D153*T153/AA153)</f>
        <v/>
      </c>
      <c r="AD153">
        <f>IF(AA153=0,0,D153*U153/AA153)</f>
        <v/>
      </c>
      <c r="AE153">
        <f>IF(AA153=0,0,D153*V153/AA153)</f>
        <v/>
      </c>
      <c r="AF153">
        <f>IF(AA153=0,0,D153*W153/AA153)</f>
        <v/>
      </c>
      <c r="AG153">
        <f>IF(AA153=0,0,D153*X153/AA153)</f>
        <v/>
      </c>
      <c r="AH153">
        <f>IF(AA153=0,0,D153*Y153/AA153)</f>
        <v/>
      </c>
      <c r="AI153">
        <f>IF(AA153=0,0,D153*Z153/AA153)</f>
        <v/>
      </c>
      <c r="AJ153">
        <f>IF(OR(C153="",B153=""),"",C153&amp;"|"&amp;(YEAR(B153)*100+MONTH(B153)))</f>
        <v/>
      </c>
    </row>
    <row r="154">
      <c r="A154" s="1" t="n"/>
      <c r="B154" s="23" t="n"/>
      <c r="C154" s="24" t="n"/>
      <c r="D154" s="25" t="n"/>
      <c r="E154" s="26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1">
        <f>IF(D154="","",IF(B154="","No date",IF(AND(C154="Paying back",R154=0),"To whom?",IF(AA154=0,"Nobody",IF(C154="Paying back","To "&amp;INDEX(Housemates!$B$8:$B$15,MATCH(MAX(S154:Z154),S154:Z154,0)),IF(R154&gt;0,IF(COUNTIF(S154:Z154,"&gt;0")=1,"1 person",COUNTIF(S154:Z154,"&gt;0")&amp;" people"),IF(Q154=0,"Everyone",INDEX(Bills!$Q$6:$Q$25,Q154))))))))</f>
        <v/>
      </c>
      <c r="O154" s="18">
        <f>IF(D154="","",IF(C154="Paying back","Paying back",IF(Q154=0,"Other",IF(INDEX(Bills!$C$6:$C$25,Q154)="","Other",INDEX(Bills!$C$6:$C$25,Q154)))))</f>
        <v/>
      </c>
      <c r="P154" s="1" t="n"/>
      <c r="Q154">
        <f>IF(C154="",0,IFERROR(MATCH(C154,Bills!$B$6:$B$25,0),0))</f>
        <v/>
      </c>
      <c r="R154">
        <f>COUNTA(F154:M154)</f>
        <v/>
      </c>
      <c r="S154">
        <f>IF(OR($D154="",$B154="",Housemates!$B$8=""),0,IF($R154&gt;0,IF(F154="",0,IF(ISNUMBER(F154),F154,1)),IF($C154="Paying back",0,IF(AND(OR(Housemates!$C$8="",Housemates!$C$8&lt;=$B154),OR(Housemates!$D$8="",Housemates!$D$8&gt;=$B154)),IF($Q154=0,1,INDEX(Bills!$AA$6:$AA$25,$Q154)),0))))</f>
        <v/>
      </c>
      <c r="T154">
        <f>IF(OR($D154="",$B154="",Housemates!$B$9=""),0,IF($R154&gt;0,IF(G154="",0,IF(ISNUMBER(G154),G154,1)),IF($C154="Paying back",0,IF(AND(OR(Housemates!$C$9="",Housemates!$C$9&lt;=$B154),OR(Housemates!$D$9="",Housemates!$D$9&gt;=$B154)),IF($Q154=0,1,INDEX(Bills!$AB$6:$AB$25,$Q154)),0))))</f>
        <v/>
      </c>
      <c r="U154">
        <f>IF(OR($D154="",$B154="",Housemates!$B$10=""),0,IF($R154&gt;0,IF(H154="",0,IF(ISNUMBER(H154),H154,1)),IF($C154="Paying back",0,IF(AND(OR(Housemates!$C$10="",Housemates!$C$10&lt;=$B154),OR(Housemates!$D$10="",Housemates!$D$10&gt;=$B154)),IF($Q154=0,1,INDEX(Bills!$AC$6:$AC$25,$Q154)),0))))</f>
        <v/>
      </c>
      <c r="V154">
        <f>IF(OR($D154="",$B154="",Housemates!$B$11=""),0,IF($R154&gt;0,IF(I154="",0,IF(ISNUMBER(I154),I154,1)),IF($C154="Paying back",0,IF(AND(OR(Housemates!$C$11="",Housemates!$C$11&lt;=$B154),OR(Housemates!$D$11="",Housemates!$D$11&gt;=$B154)),IF($Q154=0,1,INDEX(Bills!$AD$6:$AD$25,$Q154)),0))))</f>
        <v/>
      </c>
      <c r="W154">
        <f>IF(OR($D154="",$B154="",Housemates!$B$12=""),0,IF($R154&gt;0,IF(J154="",0,IF(ISNUMBER(J154),J154,1)),IF($C154="Paying back",0,IF(AND(OR(Housemates!$C$12="",Housemates!$C$12&lt;=$B154),OR(Housemates!$D$12="",Housemates!$D$12&gt;=$B154)),IF($Q154=0,1,INDEX(Bills!$AE$6:$AE$25,$Q154)),0))))</f>
        <v/>
      </c>
      <c r="X154">
        <f>IF(OR($D154="",$B154="",Housemates!$B$13=""),0,IF($R154&gt;0,IF(K154="",0,IF(ISNUMBER(K154),K154,1)),IF($C154="Paying back",0,IF(AND(OR(Housemates!$C$13="",Housemates!$C$13&lt;=$B154),OR(Housemates!$D$13="",Housemates!$D$13&gt;=$B154)),IF($Q154=0,1,INDEX(Bills!$AF$6:$AF$25,$Q154)),0))))</f>
        <v/>
      </c>
      <c r="Y154">
        <f>IF(OR($D154="",$B154="",Housemates!$B$14=""),0,IF($R154&gt;0,IF(L154="",0,IF(ISNUMBER(L154),L154,1)),IF($C154="Paying back",0,IF(AND(OR(Housemates!$C$14="",Housemates!$C$14&lt;=$B154),OR(Housemates!$D$14="",Housemates!$D$14&gt;=$B154)),IF($Q154=0,1,INDEX(Bills!$AG$6:$AG$25,$Q154)),0))))</f>
        <v/>
      </c>
      <c r="Z154">
        <f>IF(OR($D154="",$B154="",Housemates!$B$15=""),0,IF($R154&gt;0,IF(M154="",0,IF(ISNUMBER(M154),M154,1)),IF($C154="Paying back",0,IF(AND(OR(Housemates!$C$15="",Housemates!$C$15&lt;=$B154),OR(Housemates!$D$15="",Housemates!$D$15&gt;=$B154)),IF($Q154=0,1,INDEX(Bills!$AH$6:$AH$25,$Q154)),0))))</f>
        <v/>
      </c>
      <c r="AA154">
        <f>SUM(S154:Z154)</f>
        <v/>
      </c>
      <c r="AB154">
        <f>IF(AA154=0,0,D154*S154/AA154)</f>
        <v/>
      </c>
      <c r="AC154">
        <f>IF(AA154=0,0,D154*T154/AA154)</f>
        <v/>
      </c>
      <c r="AD154">
        <f>IF(AA154=0,0,D154*U154/AA154)</f>
        <v/>
      </c>
      <c r="AE154">
        <f>IF(AA154=0,0,D154*V154/AA154)</f>
        <v/>
      </c>
      <c r="AF154">
        <f>IF(AA154=0,0,D154*W154/AA154)</f>
        <v/>
      </c>
      <c r="AG154">
        <f>IF(AA154=0,0,D154*X154/AA154)</f>
        <v/>
      </c>
      <c r="AH154">
        <f>IF(AA154=0,0,D154*Y154/AA154)</f>
        <v/>
      </c>
      <c r="AI154">
        <f>IF(AA154=0,0,D154*Z154/AA154)</f>
        <v/>
      </c>
      <c r="AJ154">
        <f>IF(OR(C154="",B154=""),"",C154&amp;"|"&amp;(YEAR(B154)*100+MONTH(B154)))</f>
        <v/>
      </c>
    </row>
    <row r="155">
      <c r="A155" s="1" t="n"/>
      <c r="B155" s="23" t="n"/>
      <c r="C155" s="24" t="n"/>
      <c r="D155" s="25" t="n"/>
      <c r="E155" s="26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1">
        <f>IF(D155="","",IF(B155="","No date",IF(AND(C155="Paying back",R155=0),"To whom?",IF(AA155=0,"Nobody",IF(C155="Paying back","To "&amp;INDEX(Housemates!$B$8:$B$15,MATCH(MAX(S155:Z155),S155:Z155,0)),IF(R155&gt;0,IF(COUNTIF(S155:Z155,"&gt;0")=1,"1 person",COUNTIF(S155:Z155,"&gt;0")&amp;" people"),IF(Q155=0,"Everyone",INDEX(Bills!$Q$6:$Q$25,Q155))))))))</f>
        <v/>
      </c>
      <c r="O155" s="18">
        <f>IF(D155="","",IF(C155="Paying back","Paying back",IF(Q155=0,"Other",IF(INDEX(Bills!$C$6:$C$25,Q155)="","Other",INDEX(Bills!$C$6:$C$25,Q155)))))</f>
        <v/>
      </c>
      <c r="P155" s="1" t="n"/>
      <c r="Q155">
        <f>IF(C155="",0,IFERROR(MATCH(C155,Bills!$B$6:$B$25,0),0))</f>
        <v/>
      </c>
      <c r="R155">
        <f>COUNTA(F155:M155)</f>
        <v/>
      </c>
      <c r="S155">
        <f>IF(OR($D155="",$B155="",Housemates!$B$8=""),0,IF($R155&gt;0,IF(F155="",0,IF(ISNUMBER(F155),F155,1)),IF($C155="Paying back",0,IF(AND(OR(Housemates!$C$8="",Housemates!$C$8&lt;=$B155),OR(Housemates!$D$8="",Housemates!$D$8&gt;=$B155)),IF($Q155=0,1,INDEX(Bills!$AA$6:$AA$25,$Q155)),0))))</f>
        <v/>
      </c>
      <c r="T155">
        <f>IF(OR($D155="",$B155="",Housemates!$B$9=""),0,IF($R155&gt;0,IF(G155="",0,IF(ISNUMBER(G155),G155,1)),IF($C155="Paying back",0,IF(AND(OR(Housemates!$C$9="",Housemates!$C$9&lt;=$B155),OR(Housemates!$D$9="",Housemates!$D$9&gt;=$B155)),IF($Q155=0,1,INDEX(Bills!$AB$6:$AB$25,$Q155)),0))))</f>
        <v/>
      </c>
      <c r="U155">
        <f>IF(OR($D155="",$B155="",Housemates!$B$10=""),0,IF($R155&gt;0,IF(H155="",0,IF(ISNUMBER(H155),H155,1)),IF($C155="Paying back",0,IF(AND(OR(Housemates!$C$10="",Housemates!$C$10&lt;=$B155),OR(Housemates!$D$10="",Housemates!$D$10&gt;=$B155)),IF($Q155=0,1,INDEX(Bills!$AC$6:$AC$25,$Q155)),0))))</f>
        <v/>
      </c>
      <c r="V155">
        <f>IF(OR($D155="",$B155="",Housemates!$B$11=""),0,IF($R155&gt;0,IF(I155="",0,IF(ISNUMBER(I155),I155,1)),IF($C155="Paying back",0,IF(AND(OR(Housemates!$C$11="",Housemates!$C$11&lt;=$B155),OR(Housemates!$D$11="",Housemates!$D$11&gt;=$B155)),IF($Q155=0,1,INDEX(Bills!$AD$6:$AD$25,$Q155)),0))))</f>
        <v/>
      </c>
      <c r="W155">
        <f>IF(OR($D155="",$B155="",Housemates!$B$12=""),0,IF($R155&gt;0,IF(J155="",0,IF(ISNUMBER(J155),J155,1)),IF($C155="Paying back",0,IF(AND(OR(Housemates!$C$12="",Housemates!$C$12&lt;=$B155),OR(Housemates!$D$12="",Housemates!$D$12&gt;=$B155)),IF($Q155=0,1,INDEX(Bills!$AE$6:$AE$25,$Q155)),0))))</f>
        <v/>
      </c>
      <c r="X155">
        <f>IF(OR($D155="",$B155="",Housemates!$B$13=""),0,IF($R155&gt;0,IF(K155="",0,IF(ISNUMBER(K155),K155,1)),IF($C155="Paying back",0,IF(AND(OR(Housemates!$C$13="",Housemates!$C$13&lt;=$B155),OR(Housemates!$D$13="",Housemates!$D$13&gt;=$B155)),IF($Q155=0,1,INDEX(Bills!$AF$6:$AF$25,$Q155)),0))))</f>
        <v/>
      </c>
      <c r="Y155">
        <f>IF(OR($D155="",$B155="",Housemates!$B$14=""),0,IF($R155&gt;0,IF(L155="",0,IF(ISNUMBER(L155),L155,1)),IF($C155="Paying back",0,IF(AND(OR(Housemates!$C$14="",Housemates!$C$14&lt;=$B155),OR(Housemates!$D$14="",Housemates!$D$14&gt;=$B155)),IF($Q155=0,1,INDEX(Bills!$AG$6:$AG$25,$Q155)),0))))</f>
        <v/>
      </c>
      <c r="Z155">
        <f>IF(OR($D155="",$B155="",Housemates!$B$15=""),0,IF($R155&gt;0,IF(M155="",0,IF(ISNUMBER(M155),M155,1)),IF($C155="Paying back",0,IF(AND(OR(Housemates!$C$15="",Housemates!$C$15&lt;=$B155),OR(Housemates!$D$15="",Housemates!$D$15&gt;=$B155)),IF($Q155=0,1,INDEX(Bills!$AH$6:$AH$25,$Q155)),0))))</f>
        <v/>
      </c>
      <c r="AA155">
        <f>SUM(S155:Z155)</f>
        <v/>
      </c>
      <c r="AB155">
        <f>IF(AA155=0,0,D155*S155/AA155)</f>
        <v/>
      </c>
      <c r="AC155">
        <f>IF(AA155=0,0,D155*T155/AA155)</f>
        <v/>
      </c>
      <c r="AD155">
        <f>IF(AA155=0,0,D155*U155/AA155)</f>
        <v/>
      </c>
      <c r="AE155">
        <f>IF(AA155=0,0,D155*V155/AA155)</f>
        <v/>
      </c>
      <c r="AF155">
        <f>IF(AA155=0,0,D155*W155/AA155)</f>
        <v/>
      </c>
      <c r="AG155">
        <f>IF(AA155=0,0,D155*X155/AA155)</f>
        <v/>
      </c>
      <c r="AH155">
        <f>IF(AA155=0,0,D155*Y155/AA155)</f>
        <v/>
      </c>
      <c r="AI155">
        <f>IF(AA155=0,0,D155*Z155/AA155)</f>
        <v/>
      </c>
      <c r="AJ155">
        <f>IF(OR(C155="",B155=""),"",C155&amp;"|"&amp;(YEAR(B155)*100+MONTH(B155)))</f>
        <v/>
      </c>
    </row>
    <row r="156">
      <c r="A156" s="1" t="n"/>
      <c r="B156" s="23" t="n"/>
      <c r="C156" s="24" t="n"/>
      <c r="D156" s="25" t="n"/>
      <c r="E156" s="26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1">
        <f>IF(D156="","",IF(B156="","No date",IF(AND(C156="Paying back",R156=0),"To whom?",IF(AA156=0,"Nobody",IF(C156="Paying back","To "&amp;INDEX(Housemates!$B$8:$B$15,MATCH(MAX(S156:Z156),S156:Z156,0)),IF(R156&gt;0,IF(COUNTIF(S156:Z156,"&gt;0")=1,"1 person",COUNTIF(S156:Z156,"&gt;0")&amp;" people"),IF(Q156=0,"Everyone",INDEX(Bills!$Q$6:$Q$25,Q156))))))))</f>
        <v/>
      </c>
      <c r="O156" s="18">
        <f>IF(D156="","",IF(C156="Paying back","Paying back",IF(Q156=0,"Other",IF(INDEX(Bills!$C$6:$C$25,Q156)="","Other",INDEX(Bills!$C$6:$C$25,Q156)))))</f>
        <v/>
      </c>
      <c r="P156" s="1" t="n"/>
      <c r="Q156">
        <f>IF(C156="",0,IFERROR(MATCH(C156,Bills!$B$6:$B$25,0),0))</f>
        <v/>
      </c>
      <c r="R156">
        <f>COUNTA(F156:M156)</f>
        <v/>
      </c>
      <c r="S156">
        <f>IF(OR($D156="",$B156="",Housemates!$B$8=""),0,IF($R156&gt;0,IF(F156="",0,IF(ISNUMBER(F156),F156,1)),IF($C156="Paying back",0,IF(AND(OR(Housemates!$C$8="",Housemates!$C$8&lt;=$B156),OR(Housemates!$D$8="",Housemates!$D$8&gt;=$B156)),IF($Q156=0,1,INDEX(Bills!$AA$6:$AA$25,$Q156)),0))))</f>
        <v/>
      </c>
      <c r="T156">
        <f>IF(OR($D156="",$B156="",Housemates!$B$9=""),0,IF($R156&gt;0,IF(G156="",0,IF(ISNUMBER(G156),G156,1)),IF($C156="Paying back",0,IF(AND(OR(Housemates!$C$9="",Housemates!$C$9&lt;=$B156),OR(Housemates!$D$9="",Housemates!$D$9&gt;=$B156)),IF($Q156=0,1,INDEX(Bills!$AB$6:$AB$25,$Q156)),0))))</f>
        <v/>
      </c>
      <c r="U156">
        <f>IF(OR($D156="",$B156="",Housemates!$B$10=""),0,IF($R156&gt;0,IF(H156="",0,IF(ISNUMBER(H156),H156,1)),IF($C156="Paying back",0,IF(AND(OR(Housemates!$C$10="",Housemates!$C$10&lt;=$B156),OR(Housemates!$D$10="",Housemates!$D$10&gt;=$B156)),IF($Q156=0,1,INDEX(Bills!$AC$6:$AC$25,$Q156)),0))))</f>
        <v/>
      </c>
      <c r="V156">
        <f>IF(OR($D156="",$B156="",Housemates!$B$11=""),0,IF($R156&gt;0,IF(I156="",0,IF(ISNUMBER(I156),I156,1)),IF($C156="Paying back",0,IF(AND(OR(Housemates!$C$11="",Housemates!$C$11&lt;=$B156),OR(Housemates!$D$11="",Housemates!$D$11&gt;=$B156)),IF($Q156=0,1,INDEX(Bills!$AD$6:$AD$25,$Q156)),0))))</f>
        <v/>
      </c>
      <c r="W156">
        <f>IF(OR($D156="",$B156="",Housemates!$B$12=""),0,IF($R156&gt;0,IF(J156="",0,IF(ISNUMBER(J156),J156,1)),IF($C156="Paying back",0,IF(AND(OR(Housemates!$C$12="",Housemates!$C$12&lt;=$B156),OR(Housemates!$D$12="",Housemates!$D$12&gt;=$B156)),IF($Q156=0,1,INDEX(Bills!$AE$6:$AE$25,$Q156)),0))))</f>
        <v/>
      </c>
      <c r="X156">
        <f>IF(OR($D156="",$B156="",Housemates!$B$13=""),0,IF($R156&gt;0,IF(K156="",0,IF(ISNUMBER(K156),K156,1)),IF($C156="Paying back",0,IF(AND(OR(Housemates!$C$13="",Housemates!$C$13&lt;=$B156),OR(Housemates!$D$13="",Housemates!$D$13&gt;=$B156)),IF($Q156=0,1,INDEX(Bills!$AF$6:$AF$25,$Q156)),0))))</f>
        <v/>
      </c>
      <c r="Y156">
        <f>IF(OR($D156="",$B156="",Housemates!$B$14=""),0,IF($R156&gt;0,IF(L156="",0,IF(ISNUMBER(L156),L156,1)),IF($C156="Paying back",0,IF(AND(OR(Housemates!$C$14="",Housemates!$C$14&lt;=$B156),OR(Housemates!$D$14="",Housemates!$D$14&gt;=$B156)),IF($Q156=0,1,INDEX(Bills!$AG$6:$AG$25,$Q156)),0))))</f>
        <v/>
      </c>
      <c r="Z156">
        <f>IF(OR($D156="",$B156="",Housemates!$B$15=""),0,IF($R156&gt;0,IF(M156="",0,IF(ISNUMBER(M156),M156,1)),IF($C156="Paying back",0,IF(AND(OR(Housemates!$C$15="",Housemates!$C$15&lt;=$B156),OR(Housemates!$D$15="",Housemates!$D$15&gt;=$B156)),IF($Q156=0,1,INDEX(Bills!$AH$6:$AH$25,$Q156)),0))))</f>
        <v/>
      </c>
      <c r="AA156">
        <f>SUM(S156:Z156)</f>
        <v/>
      </c>
      <c r="AB156">
        <f>IF(AA156=0,0,D156*S156/AA156)</f>
        <v/>
      </c>
      <c r="AC156">
        <f>IF(AA156=0,0,D156*T156/AA156)</f>
        <v/>
      </c>
      <c r="AD156">
        <f>IF(AA156=0,0,D156*U156/AA156)</f>
        <v/>
      </c>
      <c r="AE156">
        <f>IF(AA156=0,0,D156*V156/AA156)</f>
        <v/>
      </c>
      <c r="AF156">
        <f>IF(AA156=0,0,D156*W156/AA156)</f>
        <v/>
      </c>
      <c r="AG156">
        <f>IF(AA156=0,0,D156*X156/AA156)</f>
        <v/>
      </c>
      <c r="AH156">
        <f>IF(AA156=0,0,D156*Y156/AA156)</f>
        <v/>
      </c>
      <c r="AI156">
        <f>IF(AA156=0,0,D156*Z156/AA156)</f>
        <v/>
      </c>
      <c r="AJ156">
        <f>IF(OR(C156="",B156=""),"",C156&amp;"|"&amp;(YEAR(B156)*100+MONTH(B156)))</f>
        <v/>
      </c>
    </row>
    <row r="157">
      <c r="A157" s="1" t="n"/>
      <c r="B157" s="23" t="n"/>
      <c r="C157" s="24" t="n"/>
      <c r="D157" s="25" t="n"/>
      <c r="E157" s="26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1">
        <f>IF(D157="","",IF(B157="","No date",IF(AND(C157="Paying back",R157=0),"To whom?",IF(AA157=0,"Nobody",IF(C157="Paying back","To "&amp;INDEX(Housemates!$B$8:$B$15,MATCH(MAX(S157:Z157),S157:Z157,0)),IF(R157&gt;0,IF(COUNTIF(S157:Z157,"&gt;0")=1,"1 person",COUNTIF(S157:Z157,"&gt;0")&amp;" people"),IF(Q157=0,"Everyone",INDEX(Bills!$Q$6:$Q$25,Q157))))))))</f>
        <v/>
      </c>
      <c r="O157" s="18">
        <f>IF(D157="","",IF(C157="Paying back","Paying back",IF(Q157=0,"Other",IF(INDEX(Bills!$C$6:$C$25,Q157)="","Other",INDEX(Bills!$C$6:$C$25,Q157)))))</f>
        <v/>
      </c>
      <c r="P157" s="1" t="n"/>
      <c r="Q157">
        <f>IF(C157="",0,IFERROR(MATCH(C157,Bills!$B$6:$B$25,0),0))</f>
        <v/>
      </c>
      <c r="R157">
        <f>COUNTA(F157:M157)</f>
        <v/>
      </c>
      <c r="S157">
        <f>IF(OR($D157="",$B157="",Housemates!$B$8=""),0,IF($R157&gt;0,IF(F157="",0,IF(ISNUMBER(F157),F157,1)),IF($C157="Paying back",0,IF(AND(OR(Housemates!$C$8="",Housemates!$C$8&lt;=$B157),OR(Housemates!$D$8="",Housemates!$D$8&gt;=$B157)),IF($Q157=0,1,INDEX(Bills!$AA$6:$AA$25,$Q157)),0))))</f>
        <v/>
      </c>
      <c r="T157">
        <f>IF(OR($D157="",$B157="",Housemates!$B$9=""),0,IF($R157&gt;0,IF(G157="",0,IF(ISNUMBER(G157),G157,1)),IF($C157="Paying back",0,IF(AND(OR(Housemates!$C$9="",Housemates!$C$9&lt;=$B157),OR(Housemates!$D$9="",Housemates!$D$9&gt;=$B157)),IF($Q157=0,1,INDEX(Bills!$AB$6:$AB$25,$Q157)),0))))</f>
        <v/>
      </c>
      <c r="U157">
        <f>IF(OR($D157="",$B157="",Housemates!$B$10=""),0,IF($R157&gt;0,IF(H157="",0,IF(ISNUMBER(H157),H157,1)),IF($C157="Paying back",0,IF(AND(OR(Housemates!$C$10="",Housemates!$C$10&lt;=$B157),OR(Housemates!$D$10="",Housemates!$D$10&gt;=$B157)),IF($Q157=0,1,INDEX(Bills!$AC$6:$AC$25,$Q157)),0))))</f>
        <v/>
      </c>
      <c r="V157">
        <f>IF(OR($D157="",$B157="",Housemates!$B$11=""),0,IF($R157&gt;0,IF(I157="",0,IF(ISNUMBER(I157),I157,1)),IF($C157="Paying back",0,IF(AND(OR(Housemates!$C$11="",Housemates!$C$11&lt;=$B157),OR(Housemates!$D$11="",Housemates!$D$11&gt;=$B157)),IF($Q157=0,1,INDEX(Bills!$AD$6:$AD$25,$Q157)),0))))</f>
        <v/>
      </c>
      <c r="W157">
        <f>IF(OR($D157="",$B157="",Housemates!$B$12=""),0,IF($R157&gt;0,IF(J157="",0,IF(ISNUMBER(J157),J157,1)),IF($C157="Paying back",0,IF(AND(OR(Housemates!$C$12="",Housemates!$C$12&lt;=$B157),OR(Housemates!$D$12="",Housemates!$D$12&gt;=$B157)),IF($Q157=0,1,INDEX(Bills!$AE$6:$AE$25,$Q157)),0))))</f>
        <v/>
      </c>
      <c r="X157">
        <f>IF(OR($D157="",$B157="",Housemates!$B$13=""),0,IF($R157&gt;0,IF(K157="",0,IF(ISNUMBER(K157),K157,1)),IF($C157="Paying back",0,IF(AND(OR(Housemates!$C$13="",Housemates!$C$13&lt;=$B157),OR(Housemates!$D$13="",Housemates!$D$13&gt;=$B157)),IF($Q157=0,1,INDEX(Bills!$AF$6:$AF$25,$Q157)),0))))</f>
        <v/>
      </c>
      <c r="Y157">
        <f>IF(OR($D157="",$B157="",Housemates!$B$14=""),0,IF($R157&gt;0,IF(L157="",0,IF(ISNUMBER(L157),L157,1)),IF($C157="Paying back",0,IF(AND(OR(Housemates!$C$14="",Housemates!$C$14&lt;=$B157),OR(Housemates!$D$14="",Housemates!$D$14&gt;=$B157)),IF($Q157=0,1,INDEX(Bills!$AG$6:$AG$25,$Q157)),0))))</f>
        <v/>
      </c>
      <c r="Z157">
        <f>IF(OR($D157="",$B157="",Housemates!$B$15=""),0,IF($R157&gt;0,IF(M157="",0,IF(ISNUMBER(M157),M157,1)),IF($C157="Paying back",0,IF(AND(OR(Housemates!$C$15="",Housemates!$C$15&lt;=$B157),OR(Housemates!$D$15="",Housemates!$D$15&gt;=$B157)),IF($Q157=0,1,INDEX(Bills!$AH$6:$AH$25,$Q157)),0))))</f>
        <v/>
      </c>
      <c r="AA157">
        <f>SUM(S157:Z157)</f>
        <v/>
      </c>
      <c r="AB157">
        <f>IF(AA157=0,0,D157*S157/AA157)</f>
        <v/>
      </c>
      <c r="AC157">
        <f>IF(AA157=0,0,D157*T157/AA157)</f>
        <v/>
      </c>
      <c r="AD157">
        <f>IF(AA157=0,0,D157*U157/AA157)</f>
        <v/>
      </c>
      <c r="AE157">
        <f>IF(AA157=0,0,D157*V157/AA157)</f>
        <v/>
      </c>
      <c r="AF157">
        <f>IF(AA157=0,0,D157*W157/AA157)</f>
        <v/>
      </c>
      <c r="AG157">
        <f>IF(AA157=0,0,D157*X157/AA157)</f>
        <v/>
      </c>
      <c r="AH157">
        <f>IF(AA157=0,0,D157*Y157/AA157)</f>
        <v/>
      </c>
      <c r="AI157">
        <f>IF(AA157=0,0,D157*Z157/AA157)</f>
        <v/>
      </c>
      <c r="AJ157">
        <f>IF(OR(C157="",B157=""),"",C157&amp;"|"&amp;(YEAR(B157)*100+MONTH(B157)))</f>
        <v/>
      </c>
    </row>
    <row r="158">
      <c r="A158" s="1" t="n"/>
      <c r="B158" s="23" t="n"/>
      <c r="C158" s="24" t="n"/>
      <c r="D158" s="25" t="n"/>
      <c r="E158" s="26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1">
        <f>IF(D158="","",IF(B158="","No date",IF(AND(C158="Paying back",R158=0),"To whom?",IF(AA158=0,"Nobody",IF(C158="Paying back","To "&amp;INDEX(Housemates!$B$8:$B$15,MATCH(MAX(S158:Z158),S158:Z158,0)),IF(R158&gt;0,IF(COUNTIF(S158:Z158,"&gt;0")=1,"1 person",COUNTIF(S158:Z158,"&gt;0")&amp;" people"),IF(Q158=0,"Everyone",INDEX(Bills!$Q$6:$Q$25,Q158))))))))</f>
        <v/>
      </c>
      <c r="O158" s="18">
        <f>IF(D158="","",IF(C158="Paying back","Paying back",IF(Q158=0,"Other",IF(INDEX(Bills!$C$6:$C$25,Q158)="","Other",INDEX(Bills!$C$6:$C$25,Q158)))))</f>
        <v/>
      </c>
      <c r="P158" s="1" t="n"/>
      <c r="Q158">
        <f>IF(C158="",0,IFERROR(MATCH(C158,Bills!$B$6:$B$25,0),0))</f>
        <v/>
      </c>
      <c r="R158">
        <f>COUNTA(F158:M158)</f>
        <v/>
      </c>
      <c r="S158">
        <f>IF(OR($D158="",$B158="",Housemates!$B$8=""),0,IF($R158&gt;0,IF(F158="",0,IF(ISNUMBER(F158),F158,1)),IF($C158="Paying back",0,IF(AND(OR(Housemates!$C$8="",Housemates!$C$8&lt;=$B158),OR(Housemates!$D$8="",Housemates!$D$8&gt;=$B158)),IF($Q158=0,1,INDEX(Bills!$AA$6:$AA$25,$Q158)),0))))</f>
        <v/>
      </c>
      <c r="T158">
        <f>IF(OR($D158="",$B158="",Housemates!$B$9=""),0,IF($R158&gt;0,IF(G158="",0,IF(ISNUMBER(G158),G158,1)),IF($C158="Paying back",0,IF(AND(OR(Housemates!$C$9="",Housemates!$C$9&lt;=$B158),OR(Housemates!$D$9="",Housemates!$D$9&gt;=$B158)),IF($Q158=0,1,INDEX(Bills!$AB$6:$AB$25,$Q158)),0))))</f>
        <v/>
      </c>
      <c r="U158">
        <f>IF(OR($D158="",$B158="",Housemates!$B$10=""),0,IF($R158&gt;0,IF(H158="",0,IF(ISNUMBER(H158),H158,1)),IF($C158="Paying back",0,IF(AND(OR(Housemates!$C$10="",Housemates!$C$10&lt;=$B158),OR(Housemates!$D$10="",Housemates!$D$10&gt;=$B158)),IF($Q158=0,1,INDEX(Bills!$AC$6:$AC$25,$Q158)),0))))</f>
        <v/>
      </c>
      <c r="V158">
        <f>IF(OR($D158="",$B158="",Housemates!$B$11=""),0,IF($R158&gt;0,IF(I158="",0,IF(ISNUMBER(I158),I158,1)),IF($C158="Paying back",0,IF(AND(OR(Housemates!$C$11="",Housemates!$C$11&lt;=$B158),OR(Housemates!$D$11="",Housemates!$D$11&gt;=$B158)),IF($Q158=0,1,INDEX(Bills!$AD$6:$AD$25,$Q158)),0))))</f>
        <v/>
      </c>
      <c r="W158">
        <f>IF(OR($D158="",$B158="",Housemates!$B$12=""),0,IF($R158&gt;0,IF(J158="",0,IF(ISNUMBER(J158),J158,1)),IF($C158="Paying back",0,IF(AND(OR(Housemates!$C$12="",Housemates!$C$12&lt;=$B158),OR(Housemates!$D$12="",Housemates!$D$12&gt;=$B158)),IF($Q158=0,1,INDEX(Bills!$AE$6:$AE$25,$Q158)),0))))</f>
        <v/>
      </c>
      <c r="X158">
        <f>IF(OR($D158="",$B158="",Housemates!$B$13=""),0,IF($R158&gt;0,IF(K158="",0,IF(ISNUMBER(K158),K158,1)),IF($C158="Paying back",0,IF(AND(OR(Housemates!$C$13="",Housemates!$C$13&lt;=$B158),OR(Housemates!$D$13="",Housemates!$D$13&gt;=$B158)),IF($Q158=0,1,INDEX(Bills!$AF$6:$AF$25,$Q158)),0))))</f>
        <v/>
      </c>
      <c r="Y158">
        <f>IF(OR($D158="",$B158="",Housemates!$B$14=""),0,IF($R158&gt;0,IF(L158="",0,IF(ISNUMBER(L158),L158,1)),IF($C158="Paying back",0,IF(AND(OR(Housemates!$C$14="",Housemates!$C$14&lt;=$B158),OR(Housemates!$D$14="",Housemates!$D$14&gt;=$B158)),IF($Q158=0,1,INDEX(Bills!$AG$6:$AG$25,$Q158)),0))))</f>
        <v/>
      </c>
      <c r="Z158">
        <f>IF(OR($D158="",$B158="",Housemates!$B$15=""),0,IF($R158&gt;0,IF(M158="",0,IF(ISNUMBER(M158),M158,1)),IF($C158="Paying back",0,IF(AND(OR(Housemates!$C$15="",Housemates!$C$15&lt;=$B158),OR(Housemates!$D$15="",Housemates!$D$15&gt;=$B158)),IF($Q158=0,1,INDEX(Bills!$AH$6:$AH$25,$Q158)),0))))</f>
        <v/>
      </c>
      <c r="AA158">
        <f>SUM(S158:Z158)</f>
        <v/>
      </c>
      <c r="AB158">
        <f>IF(AA158=0,0,D158*S158/AA158)</f>
        <v/>
      </c>
      <c r="AC158">
        <f>IF(AA158=0,0,D158*T158/AA158)</f>
        <v/>
      </c>
      <c r="AD158">
        <f>IF(AA158=0,0,D158*U158/AA158)</f>
        <v/>
      </c>
      <c r="AE158">
        <f>IF(AA158=0,0,D158*V158/AA158)</f>
        <v/>
      </c>
      <c r="AF158">
        <f>IF(AA158=0,0,D158*W158/AA158)</f>
        <v/>
      </c>
      <c r="AG158">
        <f>IF(AA158=0,0,D158*X158/AA158)</f>
        <v/>
      </c>
      <c r="AH158">
        <f>IF(AA158=0,0,D158*Y158/AA158)</f>
        <v/>
      </c>
      <c r="AI158">
        <f>IF(AA158=0,0,D158*Z158/AA158)</f>
        <v/>
      </c>
      <c r="AJ158">
        <f>IF(OR(C158="",B158=""),"",C158&amp;"|"&amp;(YEAR(B158)*100+MONTH(B158)))</f>
        <v/>
      </c>
    </row>
    <row r="159">
      <c r="A159" s="1" t="n"/>
      <c r="B159" s="23" t="n"/>
      <c r="C159" s="24" t="n"/>
      <c r="D159" s="25" t="n"/>
      <c r="E159" s="26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1">
        <f>IF(D159="","",IF(B159="","No date",IF(AND(C159="Paying back",R159=0),"To whom?",IF(AA159=0,"Nobody",IF(C159="Paying back","To "&amp;INDEX(Housemates!$B$8:$B$15,MATCH(MAX(S159:Z159),S159:Z159,0)),IF(R159&gt;0,IF(COUNTIF(S159:Z159,"&gt;0")=1,"1 person",COUNTIF(S159:Z159,"&gt;0")&amp;" people"),IF(Q159=0,"Everyone",INDEX(Bills!$Q$6:$Q$25,Q159))))))))</f>
        <v/>
      </c>
      <c r="O159" s="18">
        <f>IF(D159="","",IF(C159="Paying back","Paying back",IF(Q159=0,"Other",IF(INDEX(Bills!$C$6:$C$25,Q159)="","Other",INDEX(Bills!$C$6:$C$25,Q159)))))</f>
        <v/>
      </c>
      <c r="P159" s="1" t="n"/>
      <c r="Q159">
        <f>IF(C159="",0,IFERROR(MATCH(C159,Bills!$B$6:$B$25,0),0))</f>
        <v/>
      </c>
      <c r="R159">
        <f>COUNTA(F159:M159)</f>
        <v/>
      </c>
      <c r="S159">
        <f>IF(OR($D159="",$B159="",Housemates!$B$8=""),0,IF($R159&gt;0,IF(F159="",0,IF(ISNUMBER(F159),F159,1)),IF($C159="Paying back",0,IF(AND(OR(Housemates!$C$8="",Housemates!$C$8&lt;=$B159),OR(Housemates!$D$8="",Housemates!$D$8&gt;=$B159)),IF($Q159=0,1,INDEX(Bills!$AA$6:$AA$25,$Q159)),0))))</f>
        <v/>
      </c>
      <c r="T159">
        <f>IF(OR($D159="",$B159="",Housemates!$B$9=""),0,IF($R159&gt;0,IF(G159="",0,IF(ISNUMBER(G159),G159,1)),IF($C159="Paying back",0,IF(AND(OR(Housemates!$C$9="",Housemates!$C$9&lt;=$B159),OR(Housemates!$D$9="",Housemates!$D$9&gt;=$B159)),IF($Q159=0,1,INDEX(Bills!$AB$6:$AB$25,$Q159)),0))))</f>
        <v/>
      </c>
      <c r="U159">
        <f>IF(OR($D159="",$B159="",Housemates!$B$10=""),0,IF($R159&gt;0,IF(H159="",0,IF(ISNUMBER(H159),H159,1)),IF($C159="Paying back",0,IF(AND(OR(Housemates!$C$10="",Housemates!$C$10&lt;=$B159),OR(Housemates!$D$10="",Housemates!$D$10&gt;=$B159)),IF($Q159=0,1,INDEX(Bills!$AC$6:$AC$25,$Q159)),0))))</f>
        <v/>
      </c>
      <c r="V159">
        <f>IF(OR($D159="",$B159="",Housemates!$B$11=""),0,IF($R159&gt;0,IF(I159="",0,IF(ISNUMBER(I159),I159,1)),IF($C159="Paying back",0,IF(AND(OR(Housemates!$C$11="",Housemates!$C$11&lt;=$B159),OR(Housemates!$D$11="",Housemates!$D$11&gt;=$B159)),IF($Q159=0,1,INDEX(Bills!$AD$6:$AD$25,$Q159)),0))))</f>
        <v/>
      </c>
      <c r="W159">
        <f>IF(OR($D159="",$B159="",Housemates!$B$12=""),0,IF($R159&gt;0,IF(J159="",0,IF(ISNUMBER(J159),J159,1)),IF($C159="Paying back",0,IF(AND(OR(Housemates!$C$12="",Housemates!$C$12&lt;=$B159),OR(Housemates!$D$12="",Housemates!$D$12&gt;=$B159)),IF($Q159=0,1,INDEX(Bills!$AE$6:$AE$25,$Q159)),0))))</f>
        <v/>
      </c>
      <c r="X159">
        <f>IF(OR($D159="",$B159="",Housemates!$B$13=""),0,IF($R159&gt;0,IF(K159="",0,IF(ISNUMBER(K159),K159,1)),IF($C159="Paying back",0,IF(AND(OR(Housemates!$C$13="",Housemates!$C$13&lt;=$B159),OR(Housemates!$D$13="",Housemates!$D$13&gt;=$B159)),IF($Q159=0,1,INDEX(Bills!$AF$6:$AF$25,$Q159)),0))))</f>
        <v/>
      </c>
      <c r="Y159">
        <f>IF(OR($D159="",$B159="",Housemates!$B$14=""),0,IF($R159&gt;0,IF(L159="",0,IF(ISNUMBER(L159),L159,1)),IF($C159="Paying back",0,IF(AND(OR(Housemates!$C$14="",Housemates!$C$14&lt;=$B159),OR(Housemates!$D$14="",Housemates!$D$14&gt;=$B159)),IF($Q159=0,1,INDEX(Bills!$AG$6:$AG$25,$Q159)),0))))</f>
        <v/>
      </c>
      <c r="Z159">
        <f>IF(OR($D159="",$B159="",Housemates!$B$15=""),0,IF($R159&gt;0,IF(M159="",0,IF(ISNUMBER(M159),M159,1)),IF($C159="Paying back",0,IF(AND(OR(Housemates!$C$15="",Housemates!$C$15&lt;=$B159),OR(Housemates!$D$15="",Housemates!$D$15&gt;=$B159)),IF($Q159=0,1,INDEX(Bills!$AH$6:$AH$25,$Q159)),0))))</f>
        <v/>
      </c>
      <c r="AA159">
        <f>SUM(S159:Z159)</f>
        <v/>
      </c>
      <c r="AB159">
        <f>IF(AA159=0,0,D159*S159/AA159)</f>
        <v/>
      </c>
      <c r="AC159">
        <f>IF(AA159=0,0,D159*T159/AA159)</f>
        <v/>
      </c>
      <c r="AD159">
        <f>IF(AA159=0,0,D159*U159/AA159)</f>
        <v/>
      </c>
      <c r="AE159">
        <f>IF(AA159=0,0,D159*V159/AA159)</f>
        <v/>
      </c>
      <c r="AF159">
        <f>IF(AA159=0,0,D159*W159/AA159)</f>
        <v/>
      </c>
      <c r="AG159">
        <f>IF(AA159=0,0,D159*X159/AA159)</f>
        <v/>
      </c>
      <c r="AH159">
        <f>IF(AA159=0,0,D159*Y159/AA159)</f>
        <v/>
      </c>
      <c r="AI159">
        <f>IF(AA159=0,0,D159*Z159/AA159)</f>
        <v/>
      </c>
      <c r="AJ159">
        <f>IF(OR(C159="",B159=""),"",C159&amp;"|"&amp;(YEAR(B159)*100+MONTH(B159)))</f>
        <v/>
      </c>
    </row>
    <row r="160">
      <c r="A160" s="1" t="n"/>
      <c r="B160" s="23" t="n"/>
      <c r="C160" s="24" t="n"/>
      <c r="D160" s="25" t="n"/>
      <c r="E160" s="26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1">
        <f>IF(D160="","",IF(B160="","No date",IF(AND(C160="Paying back",R160=0),"To whom?",IF(AA160=0,"Nobody",IF(C160="Paying back","To "&amp;INDEX(Housemates!$B$8:$B$15,MATCH(MAX(S160:Z160),S160:Z160,0)),IF(R160&gt;0,IF(COUNTIF(S160:Z160,"&gt;0")=1,"1 person",COUNTIF(S160:Z160,"&gt;0")&amp;" people"),IF(Q160=0,"Everyone",INDEX(Bills!$Q$6:$Q$25,Q160))))))))</f>
        <v/>
      </c>
      <c r="O160" s="18">
        <f>IF(D160="","",IF(C160="Paying back","Paying back",IF(Q160=0,"Other",IF(INDEX(Bills!$C$6:$C$25,Q160)="","Other",INDEX(Bills!$C$6:$C$25,Q160)))))</f>
        <v/>
      </c>
      <c r="P160" s="1" t="n"/>
      <c r="Q160">
        <f>IF(C160="",0,IFERROR(MATCH(C160,Bills!$B$6:$B$25,0),0))</f>
        <v/>
      </c>
      <c r="R160">
        <f>COUNTA(F160:M160)</f>
        <v/>
      </c>
      <c r="S160">
        <f>IF(OR($D160="",$B160="",Housemates!$B$8=""),0,IF($R160&gt;0,IF(F160="",0,IF(ISNUMBER(F160),F160,1)),IF($C160="Paying back",0,IF(AND(OR(Housemates!$C$8="",Housemates!$C$8&lt;=$B160),OR(Housemates!$D$8="",Housemates!$D$8&gt;=$B160)),IF($Q160=0,1,INDEX(Bills!$AA$6:$AA$25,$Q160)),0))))</f>
        <v/>
      </c>
      <c r="T160">
        <f>IF(OR($D160="",$B160="",Housemates!$B$9=""),0,IF($R160&gt;0,IF(G160="",0,IF(ISNUMBER(G160),G160,1)),IF($C160="Paying back",0,IF(AND(OR(Housemates!$C$9="",Housemates!$C$9&lt;=$B160),OR(Housemates!$D$9="",Housemates!$D$9&gt;=$B160)),IF($Q160=0,1,INDEX(Bills!$AB$6:$AB$25,$Q160)),0))))</f>
        <v/>
      </c>
      <c r="U160">
        <f>IF(OR($D160="",$B160="",Housemates!$B$10=""),0,IF($R160&gt;0,IF(H160="",0,IF(ISNUMBER(H160),H160,1)),IF($C160="Paying back",0,IF(AND(OR(Housemates!$C$10="",Housemates!$C$10&lt;=$B160),OR(Housemates!$D$10="",Housemates!$D$10&gt;=$B160)),IF($Q160=0,1,INDEX(Bills!$AC$6:$AC$25,$Q160)),0))))</f>
        <v/>
      </c>
      <c r="V160">
        <f>IF(OR($D160="",$B160="",Housemates!$B$11=""),0,IF($R160&gt;0,IF(I160="",0,IF(ISNUMBER(I160),I160,1)),IF($C160="Paying back",0,IF(AND(OR(Housemates!$C$11="",Housemates!$C$11&lt;=$B160),OR(Housemates!$D$11="",Housemates!$D$11&gt;=$B160)),IF($Q160=0,1,INDEX(Bills!$AD$6:$AD$25,$Q160)),0))))</f>
        <v/>
      </c>
      <c r="W160">
        <f>IF(OR($D160="",$B160="",Housemates!$B$12=""),0,IF($R160&gt;0,IF(J160="",0,IF(ISNUMBER(J160),J160,1)),IF($C160="Paying back",0,IF(AND(OR(Housemates!$C$12="",Housemates!$C$12&lt;=$B160),OR(Housemates!$D$12="",Housemates!$D$12&gt;=$B160)),IF($Q160=0,1,INDEX(Bills!$AE$6:$AE$25,$Q160)),0))))</f>
        <v/>
      </c>
      <c r="X160">
        <f>IF(OR($D160="",$B160="",Housemates!$B$13=""),0,IF($R160&gt;0,IF(K160="",0,IF(ISNUMBER(K160),K160,1)),IF($C160="Paying back",0,IF(AND(OR(Housemates!$C$13="",Housemates!$C$13&lt;=$B160),OR(Housemates!$D$13="",Housemates!$D$13&gt;=$B160)),IF($Q160=0,1,INDEX(Bills!$AF$6:$AF$25,$Q160)),0))))</f>
        <v/>
      </c>
      <c r="Y160">
        <f>IF(OR($D160="",$B160="",Housemates!$B$14=""),0,IF($R160&gt;0,IF(L160="",0,IF(ISNUMBER(L160),L160,1)),IF($C160="Paying back",0,IF(AND(OR(Housemates!$C$14="",Housemates!$C$14&lt;=$B160),OR(Housemates!$D$14="",Housemates!$D$14&gt;=$B160)),IF($Q160=0,1,INDEX(Bills!$AG$6:$AG$25,$Q160)),0))))</f>
        <v/>
      </c>
      <c r="Z160">
        <f>IF(OR($D160="",$B160="",Housemates!$B$15=""),0,IF($R160&gt;0,IF(M160="",0,IF(ISNUMBER(M160),M160,1)),IF($C160="Paying back",0,IF(AND(OR(Housemates!$C$15="",Housemates!$C$15&lt;=$B160),OR(Housemates!$D$15="",Housemates!$D$15&gt;=$B160)),IF($Q160=0,1,INDEX(Bills!$AH$6:$AH$25,$Q160)),0))))</f>
        <v/>
      </c>
      <c r="AA160">
        <f>SUM(S160:Z160)</f>
        <v/>
      </c>
      <c r="AB160">
        <f>IF(AA160=0,0,D160*S160/AA160)</f>
        <v/>
      </c>
      <c r="AC160">
        <f>IF(AA160=0,0,D160*T160/AA160)</f>
        <v/>
      </c>
      <c r="AD160">
        <f>IF(AA160=0,0,D160*U160/AA160)</f>
        <v/>
      </c>
      <c r="AE160">
        <f>IF(AA160=0,0,D160*V160/AA160)</f>
        <v/>
      </c>
      <c r="AF160">
        <f>IF(AA160=0,0,D160*W160/AA160)</f>
        <v/>
      </c>
      <c r="AG160">
        <f>IF(AA160=0,0,D160*X160/AA160)</f>
        <v/>
      </c>
      <c r="AH160">
        <f>IF(AA160=0,0,D160*Y160/AA160)</f>
        <v/>
      </c>
      <c r="AI160">
        <f>IF(AA160=0,0,D160*Z160/AA160)</f>
        <v/>
      </c>
      <c r="AJ160">
        <f>IF(OR(C160="",B160=""),"",C160&amp;"|"&amp;(YEAR(B160)*100+MONTH(B160)))</f>
        <v/>
      </c>
    </row>
    <row r="161">
      <c r="A161" s="1" t="n"/>
      <c r="B161" s="23" t="n"/>
      <c r="C161" s="24" t="n"/>
      <c r="D161" s="25" t="n"/>
      <c r="E161" s="26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1">
        <f>IF(D161="","",IF(B161="","No date",IF(AND(C161="Paying back",R161=0),"To whom?",IF(AA161=0,"Nobody",IF(C161="Paying back","To "&amp;INDEX(Housemates!$B$8:$B$15,MATCH(MAX(S161:Z161),S161:Z161,0)),IF(R161&gt;0,IF(COUNTIF(S161:Z161,"&gt;0")=1,"1 person",COUNTIF(S161:Z161,"&gt;0")&amp;" people"),IF(Q161=0,"Everyone",INDEX(Bills!$Q$6:$Q$25,Q161))))))))</f>
        <v/>
      </c>
      <c r="O161" s="18">
        <f>IF(D161="","",IF(C161="Paying back","Paying back",IF(Q161=0,"Other",IF(INDEX(Bills!$C$6:$C$25,Q161)="","Other",INDEX(Bills!$C$6:$C$25,Q161)))))</f>
        <v/>
      </c>
      <c r="P161" s="1" t="n"/>
      <c r="Q161">
        <f>IF(C161="",0,IFERROR(MATCH(C161,Bills!$B$6:$B$25,0),0))</f>
        <v/>
      </c>
      <c r="R161">
        <f>COUNTA(F161:M161)</f>
        <v/>
      </c>
      <c r="S161">
        <f>IF(OR($D161="",$B161="",Housemates!$B$8=""),0,IF($R161&gt;0,IF(F161="",0,IF(ISNUMBER(F161),F161,1)),IF($C161="Paying back",0,IF(AND(OR(Housemates!$C$8="",Housemates!$C$8&lt;=$B161),OR(Housemates!$D$8="",Housemates!$D$8&gt;=$B161)),IF($Q161=0,1,INDEX(Bills!$AA$6:$AA$25,$Q161)),0))))</f>
        <v/>
      </c>
      <c r="T161">
        <f>IF(OR($D161="",$B161="",Housemates!$B$9=""),0,IF($R161&gt;0,IF(G161="",0,IF(ISNUMBER(G161),G161,1)),IF($C161="Paying back",0,IF(AND(OR(Housemates!$C$9="",Housemates!$C$9&lt;=$B161),OR(Housemates!$D$9="",Housemates!$D$9&gt;=$B161)),IF($Q161=0,1,INDEX(Bills!$AB$6:$AB$25,$Q161)),0))))</f>
        <v/>
      </c>
      <c r="U161">
        <f>IF(OR($D161="",$B161="",Housemates!$B$10=""),0,IF($R161&gt;0,IF(H161="",0,IF(ISNUMBER(H161),H161,1)),IF($C161="Paying back",0,IF(AND(OR(Housemates!$C$10="",Housemates!$C$10&lt;=$B161),OR(Housemates!$D$10="",Housemates!$D$10&gt;=$B161)),IF($Q161=0,1,INDEX(Bills!$AC$6:$AC$25,$Q161)),0))))</f>
        <v/>
      </c>
      <c r="V161">
        <f>IF(OR($D161="",$B161="",Housemates!$B$11=""),0,IF($R161&gt;0,IF(I161="",0,IF(ISNUMBER(I161),I161,1)),IF($C161="Paying back",0,IF(AND(OR(Housemates!$C$11="",Housemates!$C$11&lt;=$B161),OR(Housemates!$D$11="",Housemates!$D$11&gt;=$B161)),IF($Q161=0,1,INDEX(Bills!$AD$6:$AD$25,$Q161)),0))))</f>
        <v/>
      </c>
      <c r="W161">
        <f>IF(OR($D161="",$B161="",Housemates!$B$12=""),0,IF($R161&gt;0,IF(J161="",0,IF(ISNUMBER(J161),J161,1)),IF($C161="Paying back",0,IF(AND(OR(Housemates!$C$12="",Housemates!$C$12&lt;=$B161),OR(Housemates!$D$12="",Housemates!$D$12&gt;=$B161)),IF($Q161=0,1,INDEX(Bills!$AE$6:$AE$25,$Q161)),0))))</f>
        <v/>
      </c>
      <c r="X161">
        <f>IF(OR($D161="",$B161="",Housemates!$B$13=""),0,IF($R161&gt;0,IF(K161="",0,IF(ISNUMBER(K161),K161,1)),IF($C161="Paying back",0,IF(AND(OR(Housemates!$C$13="",Housemates!$C$13&lt;=$B161),OR(Housemates!$D$13="",Housemates!$D$13&gt;=$B161)),IF($Q161=0,1,INDEX(Bills!$AF$6:$AF$25,$Q161)),0))))</f>
        <v/>
      </c>
      <c r="Y161">
        <f>IF(OR($D161="",$B161="",Housemates!$B$14=""),0,IF($R161&gt;0,IF(L161="",0,IF(ISNUMBER(L161),L161,1)),IF($C161="Paying back",0,IF(AND(OR(Housemates!$C$14="",Housemates!$C$14&lt;=$B161),OR(Housemates!$D$14="",Housemates!$D$14&gt;=$B161)),IF($Q161=0,1,INDEX(Bills!$AG$6:$AG$25,$Q161)),0))))</f>
        <v/>
      </c>
      <c r="Z161">
        <f>IF(OR($D161="",$B161="",Housemates!$B$15=""),0,IF($R161&gt;0,IF(M161="",0,IF(ISNUMBER(M161),M161,1)),IF($C161="Paying back",0,IF(AND(OR(Housemates!$C$15="",Housemates!$C$15&lt;=$B161),OR(Housemates!$D$15="",Housemates!$D$15&gt;=$B161)),IF($Q161=0,1,INDEX(Bills!$AH$6:$AH$25,$Q161)),0))))</f>
        <v/>
      </c>
      <c r="AA161">
        <f>SUM(S161:Z161)</f>
        <v/>
      </c>
      <c r="AB161">
        <f>IF(AA161=0,0,D161*S161/AA161)</f>
        <v/>
      </c>
      <c r="AC161">
        <f>IF(AA161=0,0,D161*T161/AA161)</f>
        <v/>
      </c>
      <c r="AD161">
        <f>IF(AA161=0,0,D161*U161/AA161)</f>
        <v/>
      </c>
      <c r="AE161">
        <f>IF(AA161=0,0,D161*V161/AA161)</f>
        <v/>
      </c>
      <c r="AF161">
        <f>IF(AA161=0,0,D161*W161/AA161)</f>
        <v/>
      </c>
      <c r="AG161">
        <f>IF(AA161=0,0,D161*X161/AA161)</f>
        <v/>
      </c>
      <c r="AH161">
        <f>IF(AA161=0,0,D161*Y161/AA161)</f>
        <v/>
      </c>
      <c r="AI161">
        <f>IF(AA161=0,0,D161*Z161/AA161)</f>
        <v/>
      </c>
      <c r="AJ161">
        <f>IF(OR(C161="",B161=""),"",C161&amp;"|"&amp;(YEAR(B161)*100+MONTH(B161)))</f>
        <v/>
      </c>
    </row>
    <row r="162">
      <c r="A162" s="1" t="n"/>
      <c r="B162" s="23" t="n"/>
      <c r="C162" s="24" t="n"/>
      <c r="D162" s="25" t="n"/>
      <c r="E162" s="26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1">
        <f>IF(D162="","",IF(B162="","No date",IF(AND(C162="Paying back",R162=0),"To whom?",IF(AA162=0,"Nobody",IF(C162="Paying back","To "&amp;INDEX(Housemates!$B$8:$B$15,MATCH(MAX(S162:Z162),S162:Z162,0)),IF(R162&gt;0,IF(COUNTIF(S162:Z162,"&gt;0")=1,"1 person",COUNTIF(S162:Z162,"&gt;0")&amp;" people"),IF(Q162=0,"Everyone",INDEX(Bills!$Q$6:$Q$25,Q162))))))))</f>
        <v/>
      </c>
      <c r="O162" s="18">
        <f>IF(D162="","",IF(C162="Paying back","Paying back",IF(Q162=0,"Other",IF(INDEX(Bills!$C$6:$C$25,Q162)="","Other",INDEX(Bills!$C$6:$C$25,Q162)))))</f>
        <v/>
      </c>
      <c r="P162" s="1" t="n"/>
      <c r="Q162">
        <f>IF(C162="",0,IFERROR(MATCH(C162,Bills!$B$6:$B$25,0),0))</f>
        <v/>
      </c>
      <c r="R162">
        <f>COUNTA(F162:M162)</f>
        <v/>
      </c>
      <c r="S162">
        <f>IF(OR($D162="",$B162="",Housemates!$B$8=""),0,IF($R162&gt;0,IF(F162="",0,IF(ISNUMBER(F162),F162,1)),IF($C162="Paying back",0,IF(AND(OR(Housemates!$C$8="",Housemates!$C$8&lt;=$B162),OR(Housemates!$D$8="",Housemates!$D$8&gt;=$B162)),IF($Q162=0,1,INDEX(Bills!$AA$6:$AA$25,$Q162)),0))))</f>
        <v/>
      </c>
      <c r="T162">
        <f>IF(OR($D162="",$B162="",Housemates!$B$9=""),0,IF($R162&gt;0,IF(G162="",0,IF(ISNUMBER(G162),G162,1)),IF($C162="Paying back",0,IF(AND(OR(Housemates!$C$9="",Housemates!$C$9&lt;=$B162),OR(Housemates!$D$9="",Housemates!$D$9&gt;=$B162)),IF($Q162=0,1,INDEX(Bills!$AB$6:$AB$25,$Q162)),0))))</f>
        <v/>
      </c>
      <c r="U162">
        <f>IF(OR($D162="",$B162="",Housemates!$B$10=""),0,IF($R162&gt;0,IF(H162="",0,IF(ISNUMBER(H162),H162,1)),IF($C162="Paying back",0,IF(AND(OR(Housemates!$C$10="",Housemates!$C$10&lt;=$B162),OR(Housemates!$D$10="",Housemates!$D$10&gt;=$B162)),IF($Q162=0,1,INDEX(Bills!$AC$6:$AC$25,$Q162)),0))))</f>
        <v/>
      </c>
      <c r="V162">
        <f>IF(OR($D162="",$B162="",Housemates!$B$11=""),0,IF($R162&gt;0,IF(I162="",0,IF(ISNUMBER(I162),I162,1)),IF($C162="Paying back",0,IF(AND(OR(Housemates!$C$11="",Housemates!$C$11&lt;=$B162),OR(Housemates!$D$11="",Housemates!$D$11&gt;=$B162)),IF($Q162=0,1,INDEX(Bills!$AD$6:$AD$25,$Q162)),0))))</f>
        <v/>
      </c>
      <c r="W162">
        <f>IF(OR($D162="",$B162="",Housemates!$B$12=""),0,IF($R162&gt;0,IF(J162="",0,IF(ISNUMBER(J162),J162,1)),IF($C162="Paying back",0,IF(AND(OR(Housemates!$C$12="",Housemates!$C$12&lt;=$B162),OR(Housemates!$D$12="",Housemates!$D$12&gt;=$B162)),IF($Q162=0,1,INDEX(Bills!$AE$6:$AE$25,$Q162)),0))))</f>
        <v/>
      </c>
      <c r="X162">
        <f>IF(OR($D162="",$B162="",Housemates!$B$13=""),0,IF($R162&gt;0,IF(K162="",0,IF(ISNUMBER(K162),K162,1)),IF($C162="Paying back",0,IF(AND(OR(Housemates!$C$13="",Housemates!$C$13&lt;=$B162),OR(Housemates!$D$13="",Housemates!$D$13&gt;=$B162)),IF($Q162=0,1,INDEX(Bills!$AF$6:$AF$25,$Q162)),0))))</f>
        <v/>
      </c>
      <c r="Y162">
        <f>IF(OR($D162="",$B162="",Housemates!$B$14=""),0,IF($R162&gt;0,IF(L162="",0,IF(ISNUMBER(L162),L162,1)),IF($C162="Paying back",0,IF(AND(OR(Housemates!$C$14="",Housemates!$C$14&lt;=$B162),OR(Housemates!$D$14="",Housemates!$D$14&gt;=$B162)),IF($Q162=0,1,INDEX(Bills!$AG$6:$AG$25,$Q162)),0))))</f>
        <v/>
      </c>
      <c r="Z162">
        <f>IF(OR($D162="",$B162="",Housemates!$B$15=""),0,IF($R162&gt;0,IF(M162="",0,IF(ISNUMBER(M162),M162,1)),IF($C162="Paying back",0,IF(AND(OR(Housemates!$C$15="",Housemates!$C$15&lt;=$B162),OR(Housemates!$D$15="",Housemates!$D$15&gt;=$B162)),IF($Q162=0,1,INDEX(Bills!$AH$6:$AH$25,$Q162)),0))))</f>
        <v/>
      </c>
      <c r="AA162">
        <f>SUM(S162:Z162)</f>
        <v/>
      </c>
      <c r="AB162">
        <f>IF(AA162=0,0,D162*S162/AA162)</f>
        <v/>
      </c>
      <c r="AC162">
        <f>IF(AA162=0,0,D162*T162/AA162)</f>
        <v/>
      </c>
      <c r="AD162">
        <f>IF(AA162=0,0,D162*U162/AA162)</f>
        <v/>
      </c>
      <c r="AE162">
        <f>IF(AA162=0,0,D162*V162/AA162)</f>
        <v/>
      </c>
      <c r="AF162">
        <f>IF(AA162=0,0,D162*W162/AA162)</f>
        <v/>
      </c>
      <c r="AG162">
        <f>IF(AA162=0,0,D162*X162/AA162)</f>
        <v/>
      </c>
      <c r="AH162">
        <f>IF(AA162=0,0,D162*Y162/AA162)</f>
        <v/>
      </c>
      <c r="AI162">
        <f>IF(AA162=0,0,D162*Z162/AA162)</f>
        <v/>
      </c>
      <c r="AJ162">
        <f>IF(OR(C162="",B162=""),"",C162&amp;"|"&amp;(YEAR(B162)*100+MONTH(B162)))</f>
        <v/>
      </c>
    </row>
    <row r="163">
      <c r="A163" s="1" t="n"/>
      <c r="B163" s="23" t="n"/>
      <c r="C163" s="24" t="n"/>
      <c r="D163" s="25" t="n"/>
      <c r="E163" s="26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1">
        <f>IF(D163="","",IF(B163="","No date",IF(AND(C163="Paying back",R163=0),"To whom?",IF(AA163=0,"Nobody",IF(C163="Paying back","To "&amp;INDEX(Housemates!$B$8:$B$15,MATCH(MAX(S163:Z163),S163:Z163,0)),IF(R163&gt;0,IF(COUNTIF(S163:Z163,"&gt;0")=1,"1 person",COUNTIF(S163:Z163,"&gt;0")&amp;" people"),IF(Q163=0,"Everyone",INDEX(Bills!$Q$6:$Q$25,Q163))))))))</f>
        <v/>
      </c>
      <c r="O163" s="18">
        <f>IF(D163="","",IF(C163="Paying back","Paying back",IF(Q163=0,"Other",IF(INDEX(Bills!$C$6:$C$25,Q163)="","Other",INDEX(Bills!$C$6:$C$25,Q163)))))</f>
        <v/>
      </c>
      <c r="P163" s="1" t="n"/>
      <c r="Q163">
        <f>IF(C163="",0,IFERROR(MATCH(C163,Bills!$B$6:$B$25,0),0))</f>
        <v/>
      </c>
      <c r="R163">
        <f>COUNTA(F163:M163)</f>
        <v/>
      </c>
      <c r="S163">
        <f>IF(OR($D163="",$B163="",Housemates!$B$8=""),0,IF($R163&gt;0,IF(F163="",0,IF(ISNUMBER(F163),F163,1)),IF($C163="Paying back",0,IF(AND(OR(Housemates!$C$8="",Housemates!$C$8&lt;=$B163),OR(Housemates!$D$8="",Housemates!$D$8&gt;=$B163)),IF($Q163=0,1,INDEX(Bills!$AA$6:$AA$25,$Q163)),0))))</f>
        <v/>
      </c>
      <c r="T163">
        <f>IF(OR($D163="",$B163="",Housemates!$B$9=""),0,IF($R163&gt;0,IF(G163="",0,IF(ISNUMBER(G163),G163,1)),IF($C163="Paying back",0,IF(AND(OR(Housemates!$C$9="",Housemates!$C$9&lt;=$B163),OR(Housemates!$D$9="",Housemates!$D$9&gt;=$B163)),IF($Q163=0,1,INDEX(Bills!$AB$6:$AB$25,$Q163)),0))))</f>
        <v/>
      </c>
      <c r="U163">
        <f>IF(OR($D163="",$B163="",Housemates!$B$10=""),0,IF($R163&gt;0,IF(H163="",0,IF(ISNUMBER(H163),H163,1)),IF($C163="Paying back",0,IF(AND(OR(Housemates!$C$10="",Housemates!$C$10&lt;=$B163),OR(Housemates!$D$10="",Housemates!$D$10&gt;=$B163)),IF($Q163=0,1,INDEX(Bills!$AC$6:$AC$25,$Q163)),0))))</f>
        <v/>
      </c>
      <c r="V163">
        <f>IF(OR($D163="",$B163="",Housemates!$B$11=""),0,IF($R163&gt;0,IF(I163="",0,IF(ISNUMBER(I163),I163,1)),IF($C163="Paying back",0,IF(AND(OR(Housemates!$C$11="",Housemates!$C$11&lt;=$B163),OR(Housemates!$D$11="",Housemates!$D$11&gt;=$B163)),IF($Q163=0,1,INDEX(Bills!$AD$6:$AD$25,$Q163)),0))))</f>
        <v/>
      </c>
      <c r="W163">
        <f>IF(OR($D163="",$B163="",Housemates!$B$12=""),0,IF($R163&gt;0,IF(J163="",0,IF(ISNUMBER(J163),J163,1)),IF($C163="Paying back",0,IF(AND(OR(Housemates!$C$12="",Housemates!$C$12&lt;=$B163),OR(Housemates!$D$12="",Housemates!$D$12&gt;=$B163)),IF($Q163=0,1,INDEX(Bills!$AE$6:$AE$25,$Q163)),0))))</f>
        <v/>
      </c>
      <c r="X163">
        <f>IF(OR($D163="",$B163="",Housemates!$B$13=""),0,IF($R163&gt;0,IF(K163="",0,IF(ISNUMBER(K163),K163,1)),IF($C163="Paying back",0,IF(AND(OR(Housemates!$C$13="",Housemates!$C$13&lt;=$B163),OR(Housemates!$D$13="",Housemates!$D$13&gt;=$B163)),IF($Q163=0,1,INDEX(Bills!$AF$6:$AF$25,$Q163)),0))))</f>
        <v/>
      </c>
      <c r="Y163">
        <f>IF(OR($D163="",$B163="",Housemates!$B$14=""),0,IF($R163&gt;0,IF(L163="",0,IF(ISNUMBER(L163),L163,1)),IF($C163="Paying back",0,IF(AND(OR(Housemates!$C$14="",Housemates!$C$14&lt;=$B163),OR(Housemates!$D$14="",Housemates!$D$14&gt;=$B163)),IF($Q163=0,1,INDEX(Bills!$AG$6:$AG$25,$Q163)),0))))</f>
        <v/>
      </c>
      <c r="Z163">
        <f>IF(OR($D163="",$B163="",Housemates!$B$15=""),0,IF($R163&gt;0,IF(M163="",0,IF(ISNUMBER(M163),M163,1)),IF($C163="Paying back",0,IF(AND(OR(Housemates!$C$15="",Housemates!$C$15&lt;=$B163),OR(Housemates!$D$15="",Housemates!$D$15&gt;=$B163)),IF($Q163=0,1,INDEX(Bills!$AH$6:$AH$25,$Q163)),0))))</f>
        <v/>
      </c>
      <c r="AA163">
        <f>SUM(S163:Z163)</f>
        <v/>
      </c>
      <c r="AB163">
        <f>IF(AA163=0,0,D163*S163/AA163)</f>
        <v/>
      </c>
      <c r="AC163">
        <f>IF(AA163=0,0,D163*T163/AA163)</f>
        <v/>
      </c>
      <c r="AD163">
        <f>IF(AA163=0,0,D163*U163/AA163)</f>
        <v/>
      </c>
      <c r="AE163">
        <f>IF(AA163=0,0,D163*V163/AA163)</f>
        <v/>
      </c>
      <c r="AF163">
        <f>IF(AA163=0,0,D163*W163/AA163)</f>
        <v/>
      </c>
      <c r="AG163">
        <f>IF(AA163=0,0,D163*X163/AA163)</f>
        <v/>
      </c>
      <c r="AH163">
        <f>IF(AA163=0,0,D163*Y163/AA163)</f>
        <v/>
      </c>
      <c r="AI163">
        <f>IF(AA163=0,0,D163*Z163/AA163)</f>
        <v/>
      </c>
      <c r="AJ163">
        <f>IF(OR(C163="",B163=""),"",C163&amp;"|"&amp;(YEAR(B163)*100+MONTH(B163)))</f>
        <v/>
      </c>
    </row>
    <row r="164">
      <c r="A164" s="1" t="n"/>
      <c r="B164" s="23" t="n"/>
      <c r="C164" s="24" t="n"/>
      <c r="D164" s="25" t="n"/>
      <c r="E164" s="26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1">
        <f>IF(D164="","",IF(B164="","No date",IF(AND(C164="Paying back",R164=0),"To whom?",IF(AA164=0,"Nobody",IF(C164="Paying back","To "&amp;INDEX(Housemates!$B$8:$B$15,MATCH(MAX(S164:Z164),S164:Z164,0)),IF(R164&gt;0,IF(COUNTIF(S164:Z164,"&gt;0")=1,"1 person",COUNTIF(S164:Z164,"&gt;0")&amp;" people"),IF(Q164=0,"Everyone",INDEX(Bills!$Q$6:$Q$25,Q164))))))))</f>
        <v/>
      </c>
      <c r="O164" s="18">
        <f>IF(D164="","",IF(C164="Paying back","Paying back",IF(Q164=0,"Other",IF(INDEX(Bills!$C$6:$C$25,Q164)="","Other",INDEX(Bills!$C$6:$C$25,Q164)))))</f>
        <v/>
      </c>
      <c r="P164" s="1" t="n"/>
      <c r="Q164">
        <f>IF(C164="",0,IFERROR(MATCH(C164,Bills!$B$6:$B$25,0),0))</f>
        <v/>
      </c>
      <c r="R164">
        <f>COUNTA(F164:M164)</f>
        <v/>
      </c>
      <c r="S164">
        <f>IF(OR($D164="",$B164="",Housemates!$B$8=""),0,IF($R164&gt;0,IF(F164="",0,IF(ISNUMBER(F164),F164,1)),IF($C164="Paying back",0,IF(AND(OR(Housemates!$C$8="",Housemates!$C$8&lt;=$B164),OR(Housemates!$D$8="",Housemates!$D$8&gt;=$B164)),IF($Q164=0,1,INDEX(Bills!$AA$6:$AA$25,$Q164)),0))))</f>
        <v/>
      </c>
      <c r="T164">
        <f>IF(OR($D164="",$B164="",Housemates!$B$9=""),0,IF($R164&gt;0,IF(G164="",0,IF(ISNUMBER(G164),G164,1)),IF($C164="Paying back",0,IF(AND(OR(Housemates!$C$9="",Housemates!$C$9&lt;=$B164),OR(Housemates!$D$9="",Housemates!$D$9&gt;=$B164)),IF($Q164=0,1,INDEX(Bills!$AB$6:$AB$25,$Q164)),0))))</f>
        <v/>
      </c>
      <c r="U164">
        <f>IF(OR($D164="",$B164="",Housemates!$B$10=""),0,IF($R164&gt;0,IF(H164="",0,IF(ISNUMBER(H164),H164,1)),IF($C164="Paying back",0,IF(AND(OR(Housemates!$C$10="",Housemates!$C$10&lt;=$B164),OR(Housemates!$D$10="",Housemates!$D$10&gt;=$B164)),IF($Q164=0,1,INDEX(Bills!$AC$6:$AC$25,$Q164)),0))))</f>
        <v/>
      </c>
      <c r="V164">
        <f>IF(OR($D164="",$B164="",Housemates!$B$11=""),0,IF($R164&gt;0,IF(I164="",0,IF(ISNUMBER(I164),I164,1)),IF($C164="Paying back",0,IF(AND(OR(Housemates!$C$11="",Housemates!$C$11&lt;=$B164),OR(Housemates!$D$11="",Housemates!$D$11&gt;=$B164)),IF($Q164=0,1,INDEX(Bills!$AD$6:$AD$25,$Q164)),0))))</f>
        <v/>
      </c>
      <c r="W164">
        <f>IF(OR($D164="",$B164="",Housemates!$B$12=""),0,IF($R164&gt;0,IF(J164="",0,IF(ISNUMBER(J164),J164,1)),IF($C164="Paying back",0,IF(AND(OR(Housemates!$C$12="",Housemates!$C$12&lt;=$B164),OR(Housemates!$D$12="",Housemates!$D$12&gt;=$B164)),IF($Q164=0,1,INDEX(Bills!$AE$6:$AE$25,$Q164)),0))))</f>
        <v/>
      </c>
      <c r="X164">
        <f>IF(OR($D164="",$B164="",Housemates!$B$13=""),0,IF($R164&gt;0,IF(K164="",0,IF(ISNUMBER(K164),K164,1)),IF($C164="Paying back",0,IF(AND(OR(Housemates!$C$13="",Housemates!$C$13&lt;=$B164),OR(Housemates!$D$13="",Housemates!$D$13&gt;=$B164)),IF($Q164=0,1,INDEX(Bills!$AF$6:$AF$25,$Q164)),0))))</f>
        <v/>
      </c>
      <c r="Y164">
        <f>IF(OR($D164="",$B164="",Housemates!$B$14=""),0,IF($R164&gt;0,IF(L164="",0,IF(ISNUMBER(L164),L164,1)),IF($C164="Paying back",0,IF(AND(OR(Housemates!$C$14="",Housemates!$C$14&lt;=$B164),OR(Housemates!$D$14="",Housemates!$D$14&gt;=$B164)),IF($Q164=0,1,INDEX(Bills!$AG$6:$AG$25,$Q164)),0))))</f>
        <v/>
      </c>
      <c r="Z164">
        <f>IF(OR($D164="",$B164="",Housemates!$B$15=""),0,IF($R164&gt;0,IF(M164="",0,IF(ISNUMBER(M164),M164,1)),IF($C164="Paying back",0,IF(AND(OR(Housemates!$C$15="",Housemates!$C$15&lt;=$B164),OR(Housemates!$D$15="",Housemates!$D$15&gt;=$B164)),IF($Q164=0,1,INDEX(Bills!$AH$6:$AH$25,$Q164)),0))))</f>
        <v/>
      </c>
      <c r="AA164">
        <f>SUM(S164:Z164)</f>
        <v/>
      </c>
      <c r="AB164">
        <f>IF(AA164=0,0,D164*S164/AA164)</f>
        <v/>
      </c>
      <c r="AC164">
        <f>IF(AA164=0,0,D164*T164/AA164)</f>
        <v/>
      </c>
      <c r="AD164">
        <f>IF(AA164=0,0,D164*U164/AA164)</f>
        <v/>
      </c>
      <c r="AE164">
        <f>IF(AA164=0,0,D164*V164/AA164)</f>
        <v/>
      </c>
      <c r="AF164">
        <f>IF(AA164=0,0,D164*W164/AA164)</f>
        <v/>
      </c>
      <c r="AG164">
        <f>IF(AA164=0,0,D164*X164/AA164)</f>
        <v/>
      </c>
      <c r="AH164">
        <f>IF(AA164=0,0,D164*Y164/AA164)</f>
        <v/>
      </c>
      <c r="AI164">
        <f>IF(AA164=0,0,D164*Z164/AA164)</f>
        <v/>
      </c>
      <c r="AJ164">
        <f>IF(OR(C164="",B164=""),"",C164&amp;"|"&amp;(YEAR(B164)*100+MONTH(B164)))</f>
        <v/>
      </c>
    </row>
    <row r="165">
      <c r="A165" s="1" t="n"/>
      <c r="B165" s="23" t="n"/>
      <c r="C165" s="24" t="n"/>
      <c r="D165" s="25" t="n"/>
      <c r="E165" s="26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1">
        <f>IF(D165="","",IF(B165="","No date",IF(AND(C165="Paying back",R165=0),"To whom?",IF(AA165=0,"Nobody",IF(C165="Paying back","To "&amp;INDEX(Housemates!$B$8:$B$15,MATCH(MAX(S165:Z165),S165:Z165,0)),IF(R165&gt;0,IF(COUNTIF(S165:Z165,"&gt;0")=1,"1 person",COUNTIF(S165:Z165,"&gt;0")&amp;" people"),IF(Q165=0,"Everyone",INDEX(Bills!$Q$6:$Q$25,Q165))))))))</f>
        <v/>
      </c>
      <c r="O165" s="18">
        <f>IF(D165="","",IF(C165="Paying back","Paying back",IF(Q165=0,"Other",IF(INDEX(Bills!$C$6:$C$25,Q165)="","Other",INDEX(Bills!$C$6:$C$25,Q165)))))</f>
        <v/>
      </c>
      <c r="P165" s="1" t="n"/>
      <c r="Q165">
        <f>IF(C165="",0,IFERROR(MATCH(C165,Bills!$B$6:$B$25,0),0))</f>
        <v/>
      </c>
      <c r="R165">
        <f>COUNTA(F165:M165)</f>
        <v/>
      </c>
      <c r="S165">
        <f>IF(OR($D165="",$B165="",Housemates!$B$8=""),0,IF($R165&gt;0,IF(F165="",0,IF(ISNUMBER(F165),F165,1)),IF($C165="Paying back",0,IF(AND(OR(Housemates!$C$8="",Housemates!$C$8&lt;=$B165),OR(Housemates!$D$8="",Housemates!$D$8&gt;=$B165)),IF($Q165=0,1,INDEX(Bills!$AA$6:$AA$25,$Q165)),0))))</f>
        <v/>
      </c>
      <c r="T165">
        <f>IF(OR($D165="",$B165="",Housemates!$B$9=""),0,IF($R165&gt;0,IF(G165="",0,IF(ISNUMBER(G165),G165,1)),IF($C165="Paying back",0,IF(AND(OR(Housemates!$C$9="",Housemates!$C$9&lt;=$B165),OR(Housemates!$D$9="",Housemates!$D$9&gt;=$B165)),IF($Q165=0,1,INDEX(Bills!$AB$6:$AB$25,$Q165)),0))))</f>
        <v/>
      </c>
      <c r="U165">
        <f>IF(OR($D165="",$B165="",Housemates!$B$10=""),0,IF($R165&gt;0,IF(H165="",0,IF(ISNUMBER(H165),H165,1)),IF($C165="Paying back",0,IF(AND(OR(Housemates!$C$10="",Housemates!$C$10&lt;=$B165),OR(Housemates!$D$10="",Housemates!$D$10&gt;=$B165)),IF($Q165=0,1,INDEX(Bills!$AC$6:$AC$25,$Q165)),0))))</f>
        <v/>
      </c>
      <c r="V165">
        <f>IF(OR($D165="",$B165="",Housemates!$B$11=""),0,IF($R165&gt;0,IF(I165="",0,IF(ISNUMBER(I165),I165,1)),IF($C165="Paying back",0,IF(AND(OR(Housemates!$C$11="",Housemates!$C$11&lt;=$B165),OR(Housemates!$D$11="",Housemates!$D$11&gt;=$B165)),IF($Q165=0,1,INDEX(Bills!$AD$6:$AD$25,$Q165)),0))))</f>
        <v/>
      </c>
      <c r="W165">
        <f>IF(OR($D165="",$B165="",Housemates!$B$12=""),0,IF($R165&gt;0,IF(J165="",0,IF(ISNUMBER(J165),J165,1)),IF($C165="Paying back",0,IF(AND(OR(Housemates!$C$12="",Housemates!$C$12&lt;=$B165),OR(Housemates!$D$12="",Housemates!$D$12&gt;=$B165)),IF($Q165=0,1,INDEX(Bills!$AE$6:$AE$25,$Q165)),0))))</f>
        <v/>
      </c>
      <c r="X165">
        <f>IF(OR($D165="",$B165="",Housemates!$B$13=""),0,IF($R165&gt;0,IF(K165="",0,IF(ISNUMBER(K165),K165,1)),IF($C165="Paying back",0,IF(AND(OR(Housemates!$C$13="",Housemates!$C$13&lt;=$B165),OR(Housemates!$D$13="",Housemates!$D$13&gt;=$B165)),IF($Q165=0,1,INDEX(Bills!$AF$6:$AF$25,$Q165)),0))))</f>
        <v/>
      </c>
      <c r="Y165">
        <f>IF(OR($D165="",$B165="",Housemates!$B$14=""),0,IF($R165&gt;0,IF(L165="",0,IF(ISNUMBER(L165),L165,1)),IF($C165="Paying back",0,IF(AND(OR(Housemates!$C$14="",Housemates!$C$14&lt;=$B165),OR(Housemates!$D$14="",Housemates!$D$14&gt;=$B165)),IF($Q165=0,1,INDEX(Bills!$AG$6:$AG$25,$Q165)),0))))</f>
        <v/>
      </c>
      <c r="Z165">
        <f>IF(OR($D165="",$B165="",Housemates!$B$15=""),0,IF($R165&gt;0,IF(M165="",0,IF(ISNUMBER(M165),M165,1)),IF($C165="Paying back",0,IF(AND(OR(Housemates!$C$15="",Housemates!$C$15&lt;=$B165),OR(Housemates!$D$15="",Housemates!$D$15&gt;=$B165)),IF($Q165=0,1,INDEX(Bills!$AH$6:$AH$25,$Q165)),0))))</f>
        <v/>
      </c>
      <c r="AA165">
        <f>SUM(S165:Z165)</f>
        <v/>
      </c>
      <c r="AB165">
        <f>IF(AA165=0,0,D165*S165/AA165)</f>
        <v/>
      </c>
      <c r="AC165">
        <f>IF(AA165=0,0,D165*T165/AA165)</f>
        <v/>
      </c>
      <c r="AD165">
        <f>IF(AA165=0,0,D165*U165/AA165)</f>
        <v/>
      </c>
      <c r="AE165">
        <f>IF(AA165=0,0,D165*V165/AA165)</f>
        <v/>
      </c>
      <c r="AF165">
        <f>IF(AA165=0,0,D165*W165/AA165)</f>
        <v/>
      </c>
      <c r="AG165">
        <f>IF(AA165=0,0,D165*X165/AA165)</f>
        <v/>
      </c>
      <c r="AH165">
        <f>IF(AA165=0,0,D165*Y165/AA165)</f>
        <v/>
      </c>
      <c r="AI165">
        <f>IF(AA165=0,0,D165*Z165/AA165)</f>
        <v/>
      </c>
      <c r="AJ165">
        <f>IF(OR(C165="",B165=""),"",C165&amp;"|"&amp;(YEAR(B165)*100+MONTH(B165)))</f>
        <v/>
      </c>
    </row>
    <row r="166">
      <c r="A166" s="1" t="n"/>
      <c r="B166" s="23" t="n"/>
      <c r="C166" s="24" t="n"/>
      <c r="D166" s="25" t="n"/>
      <c r="E166" s="26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1">
        <f>IF(D166="","",IF(B166="","No date",IF(AND(C166="Paying back",R166=0),"To whom?",IF(AA166=0,"Nobody",IF(C166="Paying back","To "&amp;INDEX(Housemates!$B$8:$B$15,MATCH(MAX(S166:Z166),S166:Z166,0)),IF(R166&gt;0,IF(COUNTIF(S166:Z166,"&gt;0")=1,"1 person",COUNTIF(S166:Z166,"&gt;0")&amp;" people"),IF(Q166=0,"Everyone",INDEX(Bills!$Q$6:$Q$25,Q166))))))))</f>
        <v/>
      </c>
      <c r="O166" s="18">
        <f>IF(D166="","",IF(C166="Paying back","Paying back",IF(Q166=0,"Other",IF(INDEX(Bills!$C$6:$C$25,Q166)="","Other",INDEX(Bills!$C$6:$C$25,Q166)))))</f>
        <v/>
      </c>
      <c r="P166" s="1" t="n"/>
      <c r="Q166">
        <f>IF(C166="",0,IFERROR(MATCH(C166,Bills!$B$6:$B$25,0),0))</f>
        <v/>
      </c>
      <c r="R166">
        <f>COUNTA(F166:M166)</f>
        <v/>
      </c>
      <c r="S166">
        <f>IF(OR($D166="",$B166="",Housemates!$B$8=""),0,IF($R166&gt;0,IF(F166="",0,IF(ISNUMBER(F166),F166,1)),IF($C166="Paying back",0,IF(AND(OR(Housemates!$C$8="",Housemates!$C$8&lt;=$B166),OR(Housemates!$D$8="",Housemates!$D$8&gt;=$B166)),IF($Q166=0,1,INDEX(Bills!$AA$6:$AA$25,$Q166)),0))))</f>
        <v/>
      </c>
      <c r="T166">
        <f>IF(OR($D166="",$B166="",Housemates!$B$9=""),0,IF($R166&gt;0,IF(G166="",0,IF(ISNUMBER(G166),G166,1)),IF($C166="Paying back",0,IF(AND(OR(Housemates!$C$9="",Housemates!$C$9&lt;=$B166),OR(Housemates!$D$9="",Housemates!$D$9&gt;=$B166)),IF($Q166=0,1,INDEX(Bills!$AB$6:$AB$25,$Q166)),0))))</f>
        <v/>
      </c>
      <c r="U166">
        <f>IF(OR($D166="",$B166="",Housemates!$B$10=""),0,IF($R166&gt;0,IF(H166="",0,IF(ISNUMBER(H166),H166,1)),IF($C166="Paying back",0,IF(AND(OR(Housemates!$C$10="",Housemates!$C$10&lt;=$B166),OR(Housemates!$D$10="",Housemates!$D$10&gt;=$B166)),IF($Q166=0,1,INDEX(Bills!$AC$6:$AC$25,$Q166)),0))))</f>
        <v/>
      </c>
      <c r="V166">
        <f>IF(OR($D166="",$B166="",Housemates!$B$11=""),0,IF($R166&gt;0,IF(I166="",0,IF(ISNUMBER(I166),I166,1)),IF($C166="Paying back",0,IF(AND(OR(Housemates!$C$11="",Housemates!$C$11&lt;=$B166),OR(Housemates!$D$11="",Housemates!$D$11&gt;=$B166)),IF($Q166=0,1,INDEX(Bills!$AD$6:$AD$25,$Q166)),0))))</f>
        <v/>
      </c>
      <c r="W166">
        <f>IF(OR($D166="",$B166="",Housemates!$B$12=""),0,IF($R166&gt;0,IF(J166="",0,IF(ISNUMBER(J166),J166,1)),IF($C166="Paying back",0,IF(AND(OR(Housemates!$C$12="",Housemates!$C$12&lt;=$B166),OR(Housemates!$D$12="",Housemates!$D$12&gt;=$B166)),IF($Q166=0,1,INDEX(Bills!$AE$6:$AE$25,$Q166)),0))))</f>
        <v/>
      </c>
      <c r="X166">
        <f>IF(OR($D166="",$B166="",Housemates!$B$13=""),0,IF($R166&gt;0,IF(K166="",0,IF(ISNUMBER(K166),K166,1)),IF($C166="Paying back",0,IF(AND(OR(Housemates!$C$13="",Housemates!$C$13&lt;=$B166),OR(Housemates!$D$13="",Housemates!$D$13&gt;=$B166)),IF($Q166=0,1,INDEX(Bills!$AF$6:$AF$25,$Q166)),0))))</f>
        <v/>
      </c>
      <c r="Y166">
        <f>IF(OR($D166="",$B166="",Housemates!$B$14=""),0,IF($R166&gt;0,IF(L166="",0,IF(ISNUMBER(L166),L166,1)),IF($C166="Paying back",0,IF(AND(OR(Housemates!$C$14="",Housemates!$C$14&lt;=$B166),OR(Housemates!$D$14="",Housemates!$D$14&gt;=$B166)),IF($Q166=0,1,INDEX(Bills!$AG$6:$AG$25,$Q166)),0))))</f>
        <v/>
      </c>
      <c r="Z166">
        <f>IF(OR($D166="",$B166="",Housemates!$B$15=""),0,IF($R166&gt;0,IF(M166="",0,IF(ISNUMBER(M166),M166,1)),IF($C166="Paying back",0,IF(AND(OR(Housemates!$C$15="",Housemates!$C$15&lt;=$B166),OR(Housemates!$D$15="",Housemates!$D$15&gt;=$B166)),IF($Q166=0,1,INDEX(Bills!$AH$6:$AH$25,$Q166)),0))))</f>
        <v/>
      </c>
      <c r="AA166">
        <f>SUM(S166:Z166)</f>
        <v/>
      </c>
      <c r="AB166">
        <f>IF(AA166=0,0,D166*S166/AA166)</f>
        <v/>
      </c>
      <c r="AC166">
        <f>IF(AA166=0,0,D166*T166/AA166)</f>
        <v/>
      </c>
      <c r="AD166">
        <f>IF(AA166=0,0,D166*U166/AA166)</f>
        <v/>
      </c>
      <c r="AE166">
        <f>IF(AA166=0,0,D166*V166/AA166)</f>
        <v/>
      </c>
      <c r="AF166">
        <f>IF(AA166=0,0,D166*W166/AA166)</f>
        <v/>
      </c>
      <c r="AG166">
        <f>IF(AA166=0,0,D166*X166/AA166)</f>
        <v/>
      </c>
      <c r="AH166">
        <f>IF(AA166=0,0,D166*Y166/AA166)</f>
        <v/>
      </c>
      <c r="AI166">
        <f>IF(AA166=0,0,D166*Z166/AA166)</f>
        <v/>
      </c>
      <c r="AJ166">
        <f>IF(OR(C166="",B166=""),"",C166&amp;"|"&amp;(YEAR(B166)*100+MONTH(B166)))</f>
        <v/>
      </c>
    </row>
    <row r="167">
      <c r="A167" s="1" t="n"/>
      <c r="B167" s="23" t="n"/>
      <c r="C167" s="24" t="n"/>
      <c r="D167" s="25" t="n"/>
      <c r="E167" s="26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1">
        <f>IF(D167="","",IF(B167="","No date",IF(AND(C167="Paying back",R167=0),"To whom?",IF(AA167=0,"Nobody",IF(C167="Paying back","To "&amp;INDEX(Housemates!$B$8:$B$15,MATCH(MAX(S167:Z167),S167:Z167,0)),IF(R167&gt;0,IF(COUNTIF(S167:Z167,"&gt;0")=1,"1 person",COUNTIF(S167:Z167,"&gt;0")&amp;" people"),IF(Q167=0,"Everyone",INDEX(Bills!$Q$6:$Q$25,Q167))))))))</f>
        <v/>
      </c>
      <c r="O167" s="18">
        <f>IF(D167="","",IF(C167="Paying back","Paying back",IF(Q167=0,"Other",IF(INDEX(Bills!$C$6:$C$25,Q167)="","Other",INDEX(Bills!$C$6:$C$25,Q167)))))</f>
        <v/>
      </c>
      <c r="P167" s="1" t="n"/>
      <c r="Q167">
        <f>IF(C167="",0,IFERROR(MATCH(C167,Bills!$B$6:$B$25,0),0))</f>
        <v/>
      </c>
      <c r="R167">
        <f>COUNTA(F167:M167)</f>
        <v/>
      </c>
      <c r="S167">
        <f>IF(OR($D167="",$B167="",Housemates!$B$8=""),0,IF($R167&gt;0,IF(F167="",0,IF(ISNUMBER(F167),F167,1)),IF($C167="Paying back",0,IF(AND(OR(Housemates!$C$8="",Housemates!$C$8&lt;=$B167),OR(Housemates!$D$8="",Housemates!$D$8&gt;=$B167)),IF($Q167=0,1,INDEX(Bills!$AA$6:$AA$25,$Q167)),0))))</f>
        <v/>
      </c>
      <c r="T167">
        <f>IF(OR($D167="",$B167="",Housemates!$B$9=""),0,IF($R167&gt;0,IF(G167="",0,IF(ISNUMBER(G167),G167,1)),IF($C167="Paying back",0,IF(AND(OR(Housemates!$C$9="",Housemates!$C$9&lt;=$B167),OR(Housemates!$D$9="",Housemates!$D$9&gt;=$B167)),IF($Q167=0,1,INDEX(Bills!$AB$6:$AB$25,$Q167)),0))))</f>
        <v/>
      </c>
      <c r="U167">
        <f>IF(OR($D167="",$B167="",Housemates!$B$10=""),0,IF($R167&gt;0,IF(H167="",0,IF(ISNUMBER(H167),H167,1)),IF($C167="Paying back",0,IF(AND(OR(Housemates!$C$10="",Housemates!$C$10&lt;=$B167),OR(Housemates!$D$10="",Housemates!$D$10&gt;=$B167)),IF($Q167=0,1,INDEX(Bills!$AC$6:$AC$25,$Q167)),0))))</f>
        <v/>
      </c>
      <c r="V167">
        <f>IF(OR($D167="",$B167="",Housemates!$B$11=""),0,IF($R167&gt;0,IF(I167="",0,IF(ISNUMBER(I167),I167,1)),IF($C167="Paying back",0,IF(AND(OR(Housemates!$C$11="",Housemates!$C$11&lt;=$B167),OR(Housemates!$D$11="",Housemates!$D$11&gt;=$B167)),IF($Q167=0,1,INDEX(Bills!$AD$6:$AD$25,$Q167)),0))))</f>
        <v/>
      </c>
      <c r="W167">
        <f>IF(OR($D167="",$B167="",Housemates!$B$12=""),0,IF($R167&gt;0,IF(J167="",0,IF(ISNUMBER(J167),J167,1)),IF($C167="Paying back",0,IF(AND(OR(Housemates!$C$12="",Housemates!$C$12&lt;=$B167),OR(Housemates!$D$12="",Housemates!$D$12&gt;=$B167)),IF($Q167=0,1,INDEX(Bills!$AE$6:$AE$25,$Q167)),0))))</f>
        <v/>
      </c>
      <c r="X167">
        <f>IF(OR($D167="",$B167="",Housemates!$B$13=""),0,IF($R167&gt;0,IF(K167="",0,IF(ISNUMBER(K167),K167,1)),IF($C167="Paying back",0,IF(AND(OR(Housemates!$C$13="",Housemates!$C$13&lt;=$B167),OR(Housemates!$D$13="",Housemates!$D$13&gt;=$B167)),IF($Q167=0,1,INDEX(Bills!$AF$6:$AF$25,$Q167)),0))))</f>
        <v/>
      </c>
      <c r="Y167">
        <f>IF(OR($D167="",$B167="",Housemates!$B$14=""),0,IF($R167&gt;0,IF(L167="",0,IF(ISNUMBER(L167),L167,1)),IF($C167="Paying back",0,IF(AND(OR(Housemates!$C$14="",Housemates!$C$14&lt;=$B167),OR(Housemates!$D$14="",Housemates!$D$14&gt;=$B167)),IF($Q167=0,1,INDEX(Bills!$AG$6:$AG$25,$Q167)),0))))</f>
        <v/>
      </c>
      <c r="Z167">
        <f>IF(OR($D167="",$B167="",Housemates!$B$15=""),0,IF($R167&gt;0,IF(M167="",0,IF(ISNUMBER(M167),M167,1)),IF($C167="Paying back",0,IF(AND(OR(Housemates!$C$15="",Housemates!$C$15&lt;=$B167),OR(Housemates!$D$15="",Housemates!$D$15&gt;=$B167)),IF($Q167=0,1,INDEX(Bills!$AH$6:$AH$25,$Q167)),0))))</f>
        <v/>
      </c>
      <c r="AA167">
        <f>SUM(S167:Z167)</f>
        <v/>
      </c>
      <c r="AB167">
        <f>IF(AA167=0,0,D167*S167/AA167)</f>
        <v/>
      </c>
      <c r="AC167">
        <f>IF(AA167=0,0,D167*T167/AA167)</f>
        <v/>
      </c>
      <c r="AD167">
        <f>IF(AA167=0,0,D167*U167/AA167)</f>
        <v/>
      </c>
      <c r="AE167">
        <f>IF(AA167=0,0,D167*V167/AA167)</f>
        <v/>
      </c>
      <c r="AF167">
        <f>IF(AA167=0,0,D167*W167/AA167)</f>
        <v/>
      </c>
      <c r="AG167">
        <f>IF(AA167=0,0,D167*X167/AA167)</f>
        <v/>
      </c>
      <c r="AH167">
        <f>IF(AA167=0,0,D167*Y167/AA167)</f>
        <v/>
      </c>
      <c r="AI167">
        <f>IF(AA167=0,0,D167*Z167/AA167)</f>
        <v/>
      </c>
      <c r="AJ167">
        <f>IF(OR(C167="",B167=""),"",C167&amp;"|"&amp;(YEAR(B167)*100+MONTH(B167)))</f>
        <v/>
      </c>
    </row>
    <row r="168">
      <c r="A168" s="1" t="n"/>
      <c r="B168" s="23" t="n"/>
      <c r="C168" s="24" t="n"/>
      <c r="D168" s="25" t="n"/>
      <c r="E168" s="26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1">
        <f>IF(D168="","",IF(B168="","No date",IF(AND(C168="Paying back",R168=0),"To whom?",IF(AA168=0,"Nobody",IF(C168="Paying back","To "&amp;INDEX(Housemates!$B$8:$B$15,MATCH(MAX(S168:Z168),S168:Z168,0)),IF(R168&gt;0,IF(COUNTIF(S168:Z168,"&gt;0")=1,"1 person",COUNTIF(S168:Z168,"&gt;0")&amp;" people"),IF(Q168=0,"Everyone",INDEX(Bills!$Q$6:$Q$25,Q168))))))))</f>
        <v/>
      </c>
      <c r="O168" s="18">
        <f>IF(D168="","",IF(C168="Paying back","Paying back",IF(Q168=0,"Other",IF(INDEX(Bills!$C$6:$C$25,Q168)="","Other",INDEX(Bills!$C$6:$C$25,Q168)))))</f>
        <v/>
      </c>
      <c r="P168" s="1" t="n"/>
      <c r="Q168">
        <f>IF(C168="",0,IFERROR(MATCH(C168,Bills!$B$6:$B$25,0),0))</f>
        <v/>
      </c>
      <c r="R168">
        <f>COUNTA(F168:M168)</f>
        <v/>
      </c>
      <c r="S168">
        <f>IF(OR($D168="",$B168="",Housemates!$B$8=""),0,IF($R168&gt;0,IF(F168="",0,IF(ISNUMBER(F168),F168,1)),IF($C168="Paying back",0,IF(AND(OR(Housemates!$C$8="",Housemates!$C$8&lt;=$B168),OR(Housemates!$D$8="",Housemates!$D$8&gt;=$B168)),IF($Q168=0,1,INDEX(Bills!$AA$6:$AA$25,$Q168)),0))))</f>
        <v/>
      </c>
      <c r="T168">
        <f>IF(OR($D168="",$B168="",Housemates!$B$9=""),0,IF($R168&gt;0,IF(G168="",0,IF(ISNUMBER(G168),G168,1)),IF($C168="Paying back",0,IF(AND(OR(Housemates!$C$9="",Housemates!$C$9&lt;=$B168),OR(Housemates!$D$9="",Housemates!$D$9&gt;=$B168)),IF($Q168=0,1,INDEX(Bills!$AB$6:$AB$25,$Q168)),0))))</f>
        <v/>
      </c>
      <c r="U168">
        <f>IF(OR($D168="",$B168="",Housemates!$B$10=""),0,IF($R168&gt;0,IF(H168="",0,IF(ISNUMBER(H168),H168,1)),IF($C168="Paying back",0,IF(AND(OR(Housemates!$C$10="",Housemates!$C$10&lt;=$B168),OR(Housemates!$D$10="",Housemates!$D$10&gt;=$B168)),IF($Q168=0,1,INDEX(Bills!$AC$6:$AC$25,$Q168)),0))))</f>
        <v/>
      </c>
      <c r="V168">
        <f>IF(OR($D168="",$B168="",Housemates!$B$11=""),0,IF($R168&gt;0,IF(I168="",0,IF(ISNUMBER(I168),I168,1)),IF($C168="Paying back",0,IF(AND(OR(Housemates!$C$11="",Housemates!$C$11&lt;=$B168),OR(Housemates!$D$11="",Housemates!$D$11&gt;=$B168)),IF($Q168=0,1,INDEX(Bills!$AD$6:$AD$25,$Q168)),0))))</f>
        <v/>
      </c>
      <c r="W168">
        <f>IF(OR($D168="",$B168="",Housemates!$B$12=""),0,IF($R168&gt;0,IF(J168="",0,IF(ISNUMBER(J168),J168,1)),IF($C168="Paying back",0,IF(AND(OR(Housemates!$C$12="",Housemates!$C$12&lt;=$B168),OR(Housemates!$D$12="",Housemates!$D$12&gt;=$B168)),IF($Q168=0,1,INDEX(Bills!$AE$6:$AE$25,$Q168)),0))))</f>
        <v/>
      </c>
      <c r="X168">
        <f>IF(OR($D168="",$B168="",Housemates!$B$13=""),0,IF($R168&gt;0,IF(K168="",0,IF(ISNUMBER(K168),K168,1)),IF($C168="Paying back",0,IF(AND(OR(Housemates!$C$13="",Housemates!$C$13&lt;=$B168),OR(Housemates!$D$13="",Housemates!$D$13&gt;=$B168)),IF($Q168=0,1,INDEX(Bills!$AF$6:$AF$25,$Q168)),0))))</f>
        <v/>
      </c>
      <c r="Y168">
        <f>IF(OR($D168="",$B168="",Housemates!$B$14=""),0,IF($R168&gt;0,IF(L168="",0,IF(ISNUMBER(L168),L168,1)),IF($C168="Paying back",0,IF(AND(OR(Housemates!$C$14="",Housemates!$C$14&lt;=$B168),OR(Housemates!$D$14="",Housemates!$D$14&gt;=$B168)),IF($Q168=0,1,INDEX(Bills!$AG$6:$AG$25,$Q168)),0))))</f>
        <v/>
      </c>
      <c r="Z168">
        <f>IF(OR($D168="",$B168="",Housemates!$B$15=""),0,IF($R168&gt;0,IF(M168="",0,IF(ISNUMBER(M168),M168,1)),IF($C168="Paying back",0,IF(AND(OR(Housemates!$C$15="",Housemates!$C$15&lt;=$B168),OR(Housemates!$D$15="",Housemates!$D$15&gt;=$B168)),IF($Q168=0,1,INDEX(Bills!$AH$6:$AH$25,$Q168)),0))))</f>
        <v/>
      </c>
      <c r="AA168">
        <f>SUM(S168:Z168)</f>
        <v/>
      </c>
      <c r="AB168">
        <f>IF(AA168=0,0,D168*S168/AA168)</f>
        <v/>
      </c>
      <c r="AC168">
        <f>IF(AA168=0,0,D168*T168/AA168)</f>
        <v/>
      </c>
      <c r="AD168">
        <f>IF(AA168=0,0,D168*U168/AA168)</f>
        <v/>
      </c>
      <c r="AE168">
        <f>IF(AA168=0,0,D168*V168/AA168)</f>
        <v/>
      </c>
      <c r="AF168">
        <f>IF(AA168=0,0,D168*W168/AA168)</f>
        <v/>
      </c>
      <c r="AG168">
        <f>IF(AA168=0,0,D168*X168/AA168)</f>
        <v/>
      </c>
      <c r="AH168">
        <f>IF(AA168=0,0,D168*Y168/AA168)</f>
        <v/>
      </c>
      <c r="AI168">
        <f>IF(AA168=0,0,D168*Z168/AA168)</f>
        <v/>
      </c>
      <c r="AJ168">
        <f>IF(OR(C168="",B168=""),"",C168&amp;"|"&amp;(YEAR(B168)*100+MONTH(B168)))</f>
        <v/>
      </c>
    </row>
    <row r="169">
      <c r="A169" s="1" t="n"/>
      <c r="B169" s="23" t="n"/>
      <c r="C169" s="24" t="n"/>
      <c r="D169" s="25" t="n"/>
      <c r="E169" s="26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1">
        <f>IF(D169="","",IF(B169="","No date",IF(AND(C169="Paying back",R169=0),"To whom?",IF(AA169=0,"Nobody",IF(C169="Paying back","To "&amp;INDEX(Housemates!$B$8:$B$15,MATCH(MAX(S169:Z169),S169:Z169,0)),IF(R169&gt;0,IF(COUNTIF(S169:Z169,"&gt;0")=1,"1 person",COUNTIF(S169:Z169,"&gt;0")&amp;" people"),IF(Q169=0,"Everyone",INDEX(Bills!$Q$6:$Q$25,Q169))))))))</f>
        <v/>
      </c>
      <c r="O169" s="18">
        <f>IF(D169="","",IF(C169="Paying back","Paying back",IF(Q169=0,"Other",IF(INDEX(Bills!$C$6:$C$25,Q169)="","Other",INDEX(Bills!$C$6:$C$25,Q169)))))</f>
        <v/>
      </c>
      <c r="P169" s="1" t="n"/>
      <c r="Q169">
        <f>IF(C169="",0,IFERROR(MATCH(C169,Bills!$B$6:$B$25,0),0))</f>
        <v/>
      </c>
      <c r="R169">
        <f>COUNTA(F169:M169)</f>
        <v/>
      </c>
      <c r="S169">
        <f>IF(OR($D169="",$B169="",Housemates!$B$8=""),0,IF($R169&gt;0,IF(F169="",0,IF(ISNUMBER(F169),F169,1)),IF($C169="Paying back",0,IF(AND(OR(Housemates!$C$8="",Housemates!$C$8&lt;=$B169),OR(Housemates!$D$8="",Housemates!$D$8&gt;=$B169)),IF($Q169=0,1,INDEX(Bills!$AA$6:$AA$25,$Q169)),0))))</f>
        <v/>
      </c>
      <c r="T169">
        <f>IF(OR($D169="",$B169="",Housemates!$B$9=""),0,IF($R169&gt;0,IF(G169="",0,IF(ISNUMBER(G169),G169,1)),IF($C169="Paying back",0,IF(AND(OR(Housemates!$C$9="",Housemates!$C$9&lt;=$B169),OR(Housemates!$D$9="",Housemates!$D$9&gt;=$B169)),IF($Q169=0,1,INDEX(Bills!$AB$6:$AB$25,$Q169)),0))))</f>
        <v/>
      </c>
      <c r="U169">
        <f>IF(OR($D169="",$B169="",Housemates!$B$10=""),0,IF($R169&gt;0,IF(H169="",0,IF(ISNUMBER(H169),H169,1)),IF($C169="Paying back",0,IF(AND(OR(Housemates!$C$10="",Housemates!$C$10&lt;=$B169),OR(Housemates!$D$10="",Housemates!$D$10&gt;=$B169)),IF($Q169=0,1,INDEX(Bills!$AC$6:$AC$25,$Q169)),0))))</f>
        <v/>
      </c>
      <c r="V169">
        <f>IF(OR($D169="",$B169="",Housemates!$B$11=""),0,IF($R169&gt;0,IF(I169="",0,IF(ISNUMBER(I169),I169,1)),IF($C169="Paying back",0,IF(AND(OR(Housemates!$C$11="",Housemates!$C$11&lt;=$B169),OR(Housemates!$D$11="",Housemates!$D$11&gt;=$B169)),IF($Q169=0,1,INDEX(Bills!$AD$6:$AD$25,$Q169)),0))))</f>
        <v/>
      </c>
      <c r="W169">
        <f>IF(OR($D169="",$B169="",Housemates!$B$12=""),0,IF($R169&gt;0,IF(J169="",0,IF(ISNUMBER(J169),J169,1)),IF($C169="Paying back",0,IF(AND(OR(Housemates!$C$12="",Housemates!$C$12&lt;=$B169),OR(Housemates!$D$12="",Housemates!$D$12&gt;=$B169)),IF($Q169=0,1,INDEX(Bills!$AE$6:$AE$25,$Q169)),0))))</f>
        <v/>
      </c>
      <c r="X169">
        <f>IF(OR($D169="",$B169="",Housemates!$B$13=""),0,IF($R169&gt;0,IF(K169="",0,IF(ISNUMBER(K169),K169,1)),IF($C169="Paying back",0,IF(AND(OR(Housemates!$C$13="",Housemates!$C$13&lt;=$B169),OR(Housemates!$D$13="",Housemates!$D$13&gt;=$B169)),IF($Q169=0,1,INDEX(Bills!$AF$6:$AF$25,$Q169)),0))))</f>
        <v/>
      </c>
      <c r="Y169">
        <f>IF(OR($D169="",$B169="",Housemates!$B$14=""),0,IF($R169&gt;0,IF(L169="",0,IF(ISNUMBER(L169),L169,1)),IF($C169="Paying back",0,IF(AND(OR(Housemates!$C$14="",Housemates!$C$14&lt;=$B169),OR(Housemates!$D$14="",Housemates!$D$14&gt;=$B169)),IF($Q169=0,1,INDEX(Bills!$AG$6:$AG$25,$Q169)),0))))</f>
        <v/>
      </c>
      <c r="Z169">
        <f>IF(OR($D169="",$B169="",Housemates!$B$15=""),0,IF($R169&gt;0,IF(M169="",0,IF(ISNUMBER(M169),M169,1)),IF($C169="Paying back",0,IF(AND(OR(Housemates!$C$15="",Housemates!$C$15&lt;=$B169),OR(Housemates!$D$15="",Housemates!$D$15&gt;=$B169)),IF($Q169=0,1,INDEX(Bills!$AH$6:$AH$25,$Q169)),0))))</f>
        <v/>
      </c>
      <c r="AA169">
        <f>SUM(S169:Z169)</f>
        <v/>
      </c>
      <c r="AB169">
        <f>IF(AA169=0,0,D169*S169/AA169)</f>
        <v/>
      </c>
      <c r="AC169">
        <f>IF(AA169=0,0,D169*T169/AA169)</f>
        <v/>
      </c>
      <c r="AD169">
        <f>IF(AA169=0,0,D169*U169/AA169)</f>
        <v/>
      </c>
      <c r="AE169">
        <f>IF(AA169=0,0,D169*V169/AA169)</f>
        <v/>
      </c>
      <c r="AF169">
        <f>IF(AA169=0,0,D169*W169/AA169)</f>
        <v/>
      </c>
      <c r="AG169">
        <f>IF(AA169=0,0,D169*X169/AA169)</f>
        <v/>
      </c>
      <c r="AH169">
        <f>IF(AA169=0,0,D169*Y169/AA169)</f>
        <v/>
      </c>
      <c r="AI169">
        <f>IF(AA169=0,0,D169*Z169/AA169)</f>
        <v/>
      </c>
      <c r="AJ169">
        <f>IF(OR(C169="",B169=""),"",C169&amp;"|"&amp;(YEAR(B169)*100+MONTH(B169)))</f>
        <v/>
      </c>
    </row>
    <row r="170">
      <c r="A170" s="1" t="n"/>
      <c r="B170" s="23" t="n"/>
      <c r="C170" s="24" t="n"/>
      <c r="D170" s="25" t="n"/>
      <c r="E170" s="26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1">
        <f>IF(D170="","",IF(B170="","No date",IF(AND(C170="Paying back",R170=0),"To whom?",IF(AA170=0,"Nobody",IF(C170="Paying back","To "&amp;INDEX(Housemates!$B$8:$B$15,MATCH(MAX(S170:Z170),S170:Z170,0)),IF(R170&gt;0,IF(COUNTIF(S170:Z170,"&gt;0")=1,"1 person",COUNTIF(S170:Z170,"&gt;0")&amp;" people"),IF(Q170=0,"Everyone",INDEX(Bills!$Q$6:$Q$25,Q170))))))))</f>
        <v/>
      </c>
      <c r="O170" s="18">
        <f>IF(D170="","",IF(C170="Paying back","Paying back",IF(Q170=0,"Other",IF(INDEX(Bills!$C$6:$C$25,Q170)="","Other",INDEX(Bills!$C$6:$C$25,Q170)))))</f>
        <v/>
      </c>
      <c r="P170" s="1" t="n"/>
      <c r="Q170">
        <f>IF(C170="",0,IFERROR(MATCH(C170,Bills!$B$6:$B$25,0),0))</f>
        <v/>
      </c>
      <c r="R170">
        <f>COUNTA(F170:M170)</f>
        <v/>
      </c>
      <c r="S170">
        <f>IF(OR($D170="",$B170="",Housemates!$B$8=""),0,IF($R170&gt;0,IF(F170="",0,IF(ISNUMBER(F170),F170,1)),IF($C170="Paying back",0,IF(AND(OR(Housemates!$C$8="",Housemates!$C$8&lt;=$B170),OR(Housemates!$D$8="",Housemates!$D$8&gt;=$B170)),IF($Q170=0,1,INDEX(Bills!$AA$6:$AA$25,$Q170)),0))))</f>
        <v/>
      </c>
      <c r="T170">
        <f>IF(OR($D170="",$B170="",Housemates!$B$9=""),0,IF($R170&gt;0,IF(G170="",0,IF(ISNUMBER(G170),G170,1)),IF($C170="Paying back",0,IF(AND(OR(Housemates!$C$9="",Housemates!$C$9&lt;=$B170),OR(Housemates!$D$9="",Housemates!$D$9&gt;=$B170)),IF($Q170=0,1,INDEX(Bills!$AB$6:$AB$25,$Q170)),0))))</f>
        <v/>
      </c>
      <c r="U170">
        <f>IF(OR($D170="",$B170="",Housemates!$B$10=""),0,IF($R170&gt;0,IF(H170="",0,IF(ISNUMBER(H170),H170,1)),IF($C170="Paying back",0,IF(AND(OR(Housemates!$C$10="",Housemates!$C$10&lt;=$B170),OR(Housemates!$D$10="",Housemates!$D$10&gt;=$B170)),IF($Q170=0,1,INDEX(Bills!$AC$6:$AC$25,$Q170)),0))))</f>
        <v/>
      </c>
      <c r="V170">
        <f>IF(OR($D170="",$B170="",Housemates!$B$11=""),0,IF($R170&gt;0,IF(I170="",0,IF(ISNUMBER(I170),I170,1)),IF($C170="Paying back",0,IF(AND(OR(Housemates!$C$11="",Housemates!$C$11&lt;=$B170),OR(Housemates!$D$11="",Housemates!$D$11&gt;=$B170)),IF($Q170=0,1,INDEX(Bills!$AD$6:$AD$25,$Q170)),0))))</f>
        <v/>
      </c>
      <c r="W170">
        <f>IF(OR($D170="",$B170="",Housemates!$B$12=""),0,IF($R170&gt;0,IF(J170="",0,IF(ISNUMBER(J170),J170,1)),IF($C170="Paying back",0,IF(AND(OR(Housemates!$C$12="",Housemates!$C$12&lt;=$B170),OR(Housemates!$D$12="",Housemates!$D$12&gt;=$B170)),IF($Q170=0,1,INDEX(Bills!$AE$6:$AE$25,$Q170)),0))))</f>
        <v/>
      </c>
      <c r="X170">
        <f>IF(OR($D170="",$B170="",Housemates!$B$13=""),0,IF($R170&gt;0,IF(K170="",0,IF(ISNUMBER(K170),K170,1)),IF($C170="Paying back",0,IF(AND(OR(Housemates!$C$13="",Housemates!$C$13&lt;=$B170),OR(Housemates!$D$13="",Housemates!$D$13&gt;=$B170)),IF($Q170=0,1,INDEX(Bills!$AF$6:$AF$25,$Q170)),0))))</f>
        <v/>
      </c>
      <c r="Y170">
        <f>IF(OR($D170="",$B170="",Housemates!$B$14=""),0,IF($R170&gt;0,IF(L170="",0,IF(ISNUMBER(L170),L170,1)),IF($C170="Paying back",0,IF(AND(OR(Housemates!$C$14="",Housemates!$C$14&lt;=$B170),OR(Housemates!$D$14="",Housemates!$D$14&gt;=$B170)),IF($Q170=0,1,INDEX(Bills!$AG$6:$AG$25,$Q170)),0))))</f>
        <v/>
      </c>
      <c r="Z170">
        <f>IF(OR($D170="",$B170="",Housemates!$B$15=""),0,IF($R170&gt;0,IF(M170="",0,IF(ISNUMBER(M170),M170,1)),IF($C170="Paying back",0,IF(AND(OR(Housemates!$C$15="",Housemates!$C$15&lt;=$B170),OR(Housemates!$D$15="",Housemates!$D$15&gt;=$B170)),IF($Q170=0,1,INDEX(Bills!$AH$6:$AH$25,$Q170)),0))))</f>
        <v/>
      </c>
      <c r="AA170">
        <f>SUM(S170:Z170)</f>
        <v/>
      </c>
      <c r="AB170">
        <f>IF(AA170=0,0,D170*S170/AA170)</f>
        <v/>
      </c>
      <c r="AC170">
        <f>IF(AA170=0,0,D170*T170/AA170)</f>
        <v/>
      </c>
      <c r="AD170">
        <f>IF(AA170=0,0,D170*U170/AA170)</f>
        <v/>
      </c>
      <c r="AE170">
        <f>IF(AA170=0,0,D170*V170/AA170)</f>
        <v/>
      </c>
      <c r="AF170">
        <f>IF(AA170=0,0,D170*W170/AA170)</f>
        <v/>
      </c>
      <c r="AG170">
        <f>IF(AA170=0,0,D170*X170/AA170)</f>
        <v/>
      </c>
      <c r="AH170">
        <f>IF(AA170=0,0,D170*Y170/AA170)</f>
        <v/>
      </c>
      <c r="AI170">
        <f>IF(AA170=0,0,D170*Z170/AA170)</f>
        <v/>
      </c>
      <c r="AJ170">
        <f>IF(OR(C170="",B170=""),"",C170&amp;"|"&amp;(YEAR(B170)*100+MONTH(B170)))</f>
        <v/>
      </c>
    </row>
    <row r="171">
      <c r="A171" s="1" t="n"/>
      <c r="B171" s="23" t="n"/>
      <c r="C171" s="24" t="n"/>
      <c r="D171" s="25" t="n"/>
      <c r="E171" s="26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1">
        <f>IF(D171="","",IF(B171="","No date",IF(AND(C171="Paying back",R171=0),"To whom?",IF(AA171=0,"Nobody",IF(C171="Paying back","To "&amp;INDEX(Housemates!$B$8:$B$15,MATCH(MAX(S171:Z171),S171:Z171,0)),IF(R171&gt;0,IF(COUNTIF(S171:Z171,"&gt;0")=1,"1 person",COUNTIF(S171:Z171,"&gt;0")&amp;" people"),IF(Q171=0,"Everyone",INDEX(Bills!$Q$6:$Q$25,Q171))))))))</f>
        <v/>
      </c>
      <c r="O171" s="18">
        <f>IF(D171="","",IF(C171="Paying back","Paying back",IF(Q171=0,"Other",IF(INDEX(Bills!$C$6:$C$25,Q171)="","Other",INDEX(Bills!$C$6:$C$25,Q171)))))</f>
        <v/>
      </c>
      <c r="P171" s="1" t="n"/>
      <c r="Q171">
        <f>IF(C171="",0,IFERROR(MATCH(C171,Bills!$B$6:$B$25,0),0))</f>
        <v/>
      </c>
      <c r="R171">
        <f>COUNTA(F171:M171)</f>
        <v/>
      </c>
      <c r="S171">
        <f>IF(OR($D171="",$B171="",Housemates!$B$8=""),0,IF($R171&gt;0,IF(F171="",0,IF(ISNUMBER(F171),F171,1)),IF($C171="Paying back",0,IF(AND(OR(Housemates!$C$8="",Housemates!$C$8&lt;=$B171),OR(Housemates!$D$8="",Housemates!$D$8&gt;=$B171)),IF($Q171=0,1,INDEX(Bills!$AA$6:$AA$25,$Q171)),0))))</f>
        <v/>
      </c>
      <c r="T171">
        <f>IF(OR($D171="",$B171="",Housemates!$B$9=""),0,IF($R171&gt;0,IF(G171="",0,IF(ISNUMBER(G171),G171,1)),IF($C171="Paying back",0,IF(AND(OR(Housemates!$C$9="",Housemates!$C$9&lt;=$B171),OR(Housemates!$D$9="",Housemates!$D$9&gt;=$B171)),IF($Q171=0,1,INDEX(Bills!$AB$6:$AB$25,$Q171)),0))))</f>
        <v/>
      </c>
      <c r="U171">
        <f>IF(OR($D171="",$B171="",Housemates!$B$10=""),0,IF($R171&gt;0,IF(H171="",0,IF(ISNUMBER(H171),H171,1)),IF($C171="Paying back",0,IF(AND(OR(Housemates!$C$10="",Housemates!$C$10&lt;=$B171),OR(Housemates!$D$10="",Housemates!$D$10&gt;=$B171)),IF($Q171=0,1,INDEX(Bills!$AC$6:$AC$25,$Q171)),0))))</f>
        <v/>
      </c>
      <c r="V171">
        <f>IF(OR($D171="",$B171="",Housemates!$B$11=""),0,IF($R171&gt;0,IF(I171="",0,IF(ISNUMBER(I171),I171,1)),IF($C171="Paying back",0,IF(AND(OR(Housemates!$C$11="",Housemates!$C$11&lt;=$B171),OR(Housemates!$D$11="",Housemates!$D$11&gt;=$B171)),IF($Q171=0,1,INDEX(Bills!$AD$6:$AD$25,$Q171)),0))))</f>
        <v/>
      </c>
      <c r="W171">
        <f>IF(OR($D171="",$B171="",Housemates!$B$12=""),0,IF($R171&gt;0,IF(J171="",0,IF(ISNUMBER(J171),J171,1)),IF($C171="Paying back",0,IF(AND(OR(Housemates!$C$12="",Housemates!$C$12&lt;=$B171),OR(Housemates!$D$12="",Housemates!$D$12&gt;=$B171)),IF($Q171=0,1,INDEX(Bills!$AE$6:$AE$25,$Q171)),0))))</f>
        <v/>
      </c>
      <c r="X171">
        <f>IF(OR($D171="",$B171="",Housemates!$B$13=""),0,IF($R171&gt;0,IF(K171="",0,IF(ISNUMBER(K171),K171,1)),IF($C171="Paying back",0,IF(AND(OR(Housemates!$C$13="",Housemates!$C$13&lt;=$B171),OR(Housemates!$D$13="",Housemates!$D$13&gt;=$B171)),IF($Q171=0,1,INDEX(Bills!$AF$6:$AF$25,$Q171)),0))))</f>
        <v/>
      </c>
      <c r="Y171">
        <f>IF(OR($D171="",$B171="",Housemates!$B$14=""),0,IF($R171&gt;0,IF(L171="",0,IF(ISNUMBER(L171),L171,1)),IF($C171="Paying back",0,IF(AND(OR(Housemates!$C$14="",Housemates!$C$14&lt;=$B171),OR(Housemates!$D$14="",Housemates!$D$14&gt;=$B171)),IF($Q171=0,1,INDEX(Bills!$AG$6:$AG$25,$Q171)),0))))</f>
        <v/>
      </c>
      <c r="Z171">
        <f>IF(OR($D171="",$B171="",Housemates!$B$15=""),0,IF($R171&gt;0,IF(M171="",0,IF(ISNUMBER(M171),M171,1)),IF($C171="Paying back",0,IF(AND(OR(Housemates!$C$15="",Housemates!$C$15&lt;=$B171),OR(Housemates!$D$15="",Housemates!$D$15&gt;=$B171)),IF($Q171=0,1,INDEX(Bills!$AH$6:$AH$25,$Q171)),0))))</f>
        <v/>
      </c>
      <c r="AA171">
        <f>SUM(S171:Z171)</f>
        <v/>
      </c>
      <c r="AB171">
        <f>IF(AA171=0,0,D171*S171/AA171)</f>
        <v/>
      </c>
      <c r="AC171">
        <f>IF(AA171=0,0,D171*T171/AA171)</f>
        <v/>
      </c>
      <c r="AD171">
        <f>IF(AA171=0,0,D171*U171/AA171)</f>
        <v/>
      </c>
      <c r="AE171">
        <f>IF(AA171=0,0,D171*V171/AA171)</f>
        <v/>
      </c>
      <c r="AF171">
        <f>IF(AA171=0,0,D171*W171/AA171)</f>
        <v/>
      </c>
      <c r="AG171">
        <f>IF(AA171=0,0,D171*X171/AA171)</f>
        <v/>
      </c>
      <c r="AH171">
        <f>IF(AA171=0,0,D171*Y171/AA171)</f>
        <v/>
      </c>
      <c r="AI171">
        <f>IF(AA171=0,0,D171*Z171/AA171)</f>
        <v/>
      </c>
      <c r="AJ171">
        <f>IF(OR(C171="",B171=""),"",C171&amp;"|"&amp;(YEAR(B171)*100+MONTH(B171)))</f>
        <v/>
      </c>
    </row>
    <row r="172">
      <c r="A172" s="1" t="n"/>
      <c r="B172" s="23" t="n"/>
      <c r="C172" s="24" t="n"/>
      <c r="D172" s="25" t="n"/>
      <c r="E172" s="26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1">
        <f>IF(D172="","",IF(B172="","No date",IF(AND(C172="Paying back",R172=0),"To whom?",IF(AA172=0,"Nobody",IF(C172="Paying back","To "&amp;INDEX(Housemates!$B$8:$B$15,MATCH(MAX(S172:Z172),S172:Z172,0)),IF(R172&gt;0,IF(COUNTIF(S172:Z172,"&gt;0")=1,"1 person",COUNTIF(S172:Z172,"&gt;0")&amp;" people"),IF(Q172=0,"Everyone",INDEX(Bills!$Q$6:$Q$25,Q172))))))))</f>
        <v/>
      </c>
      <c r="O172" s="18">
        <f>IF(D172="","",IF(C172="Paying back","Paying back",IF(Q172=0,"Other",IF(INDEX(Bills!$C$6:$C$25,Q172)="","Other",INDEX(Bills!$C$6:$C$25,Q172)))))</f>
        <v/>
      </c>
      <c r="P172" s="1" t="n"/>
      <c r="Q172">
        <f>IF(C172="",0,IFERROR(MATCH(C172,Bills!$B$6:$B$25,0),0))</f>
        <v/>
      </c>
      <c r="R172">
        <f>COUNTA(F172:M172)</f>
        <v/>
      </c>
      <c r="S172">
        <f>IF(OR($D172="",$B172="",Housemates!$B$8=""),0,IF($R172&gt;0,IF(F172="",0,IF(ISNUMBER(F172),F172,1)),IF($C172="Paying back",0,IF(AND(OR(Housemates!$C$8="",Housemates!$C$8&lt;=$B172),OR(Housemates!$D$8="",Housemates!$D$8&gt;=$B172)),IF($Q172=0,1,INDEX(Bills!$AA$6:$AA$25,$Q172)),0))))</f>
        <v/>
      </c>
      <c r="T172">
        <f>IF(OR($D172="",$B172="",Housemates!$B$9=""),0,IF($R172&gt;0,IF(G172="",0,IF(ISNUMBER(G172),G172,1)),IF($C172="Paying back",0,IF(AND(OR(Housemates!$C$9="",Housemates!$C$9&lt;=$B172),OR(Housemates!$D$9="",Housemates!$D$9&gt;=$B172)),IF($Q172=0,1,INDEX(Bills!$AB$6:$AB$25,$Q172)),0))))</f>
        <v/>
      </c>
      <c r="U172">
        <f>IF(OR($D172="",$B172="",Housemates!$B$10=""),0,IF($R172&gt;0,IF(H172="",0,IF(ISNUMBER(H172),H172,1)),IF($C172="Paying back",0,IF(AND(OR(Housemates!$C$10="",Housemates!$C$10&lt;=$B172),OR(Housemates!$D$10="",Housemates!$D$10&gt;=$B172)),IF($Q172=0,1,INDEX(Bills!$AC$6:$AC$25,$Q172)),0))))</f>
        <v/>
      </c>
      <c r="V172">
        <f>IF(OR($D172="",$B172="",Housemates!$B$11=""),0,IF($R172&gt;0,IF(I172="",0,IF(ISNUMBER(I172),I172,1)),IF($C172="Paying back",0,IF(AND(OR(Housemates!$C$11="",Housemates!$C$11&lt;=$B172),OR(Housemates!$D$11="",Housemates!$D$11&gt;=$B172)),IF($Q172=0,1,INDEX(Bills!$AD$6:$AD$25,$Q172)),0))))</f>
        <v/>
      </c>
      <c r="W172">
        <f>IF(OR($D172="",$B172="",Housemates!$B$12=""),0,IF($R172&gt;0,IF(J172="",0,IF(ISNUMBER(J172),J172,1)),IF($C172="Paying back",0,IF(AND(OR(Housemates!$C$12="",Housemates!$C$12&lt;=$B172),OR(Housemates!$D$12="",Housemates!$D$12&gt;=$B172)),IF($Q172=0,1,INDEX(Bills!$AE$6:$AE$25,$Q172)),0))))</f>
        <v/>
      </c>
      <c r="X172">
        <f>IF(OR($D172="",$B172="",Housemates!$B$13=""),0,IF($R172&gt;0,IF(K172="",0,IF(ISNUMBER(K172),K172,1)),IF($C172="Paying back",0,IF(AND(OR(Housemates!$C$13="",Housemates!$C$13&lt;=$B172),OR(Housemates!$D$13="",Housemates!$D$13&gt;=$B172)),IF($Q172=0,1,INDEX(Bills!$AF$6:$AF$25,$Q172)),0))))</f>
        <v/>
      </c>
      <c r="Y172">
        <f>IF(OR($D172="",$B172="",Housemates!$B$14=""),0,IF($R172&gt;0,IF(L172="",0,IF(ISNUMBER(L172),L172,1)),IF($C172="Paying back",0,IF(AND(OR(Housemates!$C$14="",Housemates!$C$14&lt;=$B172),OR(Housemates!$D$14="",Housemates!$D$14&gt;=$B172)),IF($Q172=0,1,INDEX(Bills!$AG$6:$AG$25,$Q172)),0))))</f>
        <v/>
      </c>
      <c r="Z172">
        <f>IF(OR($D172="",$B172="",Housemates!$B$15=""),0,IF($R172&gt;0,IF(M172="",0,IF(ISNUMBER(M172),M172,1)),IF($C172="Paying back",0,IF(AND(OR(Housemates!$C$15="",Housemates!$C$15&lt;=$B172),OR(Housemates!$D$15="",Housemates!$D$15&gt;=$B172)),IF($Q172=0,1,INDEX(Bills!$AH$6:$AH$25,$Q172)),0))))</f>
        <v/>
      </c>
      <c r="AA172">
        <f>SUM(S172:Z172)</f>
        <v/>
      </c>
      <c r="AB172">
        <f>IF(AA172=0,0,D172*S172/AA172)</f>
        <v/>
      </c>
      <c r="AC172">
        <f>IF(AA172=0,0,D172*T172/AA172)</f>
        <v/>
      </c>
      <c r="AD172">
        <f>IF(AA172=0,0,D172*U172/AA172)</f>
        <v/>
      </c>
      <c r="AE172">
        <f>IF(AA172=0,0,D172*V172/AA172)</f>
        <v/>
      </c>
      <c r="AF172">
        <f>IF(AA172=0,0,D172*W172/AA172)</f>
        <v/>
      </c>
      <c r="AG172">
        <f>IF(AA172=0,0,D172*X172/AA172)</f>
        <v/>
      </c>
      <c r="AH172">
        <f>IF(AA172=0,0,D172*Y172/AA172)</f>
        <v/>
      </c>
      <c r="AI172">
        <f>IF(AA172=0,0,D172*Z172/AA172)</f>
        <v/>
      </c>
      <c r="AJ172">
        <f>IF(OR(C172="",B172=""),"",C172&amp;"|"&amp;(YEAR(B172)*100+MONTH(B172)))</f>
        <v/>
      </c>
    </row>
    <row r="173">
      <c r="A173" s="1" t="n"/>
      <c r="B173" s="23" t="n"/>
      <c r="C173" s="24" t="n"/>
      <c r="D173" s="25" t="n"/>
      <c r="E173" s="26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1">
        <f>IF(D173="","",IF(B173="","No date",IF(AND(C173="Paying back",R173=0),"To whom?",IF(AA173=0,"Nobody",IF(C173="Paying back","To "&amp;INDEX(Housemates!$B$8:$B$15,MATCH(MAX(S173:Z173),S173:Z173,0)),IF(R173&gt;0,IF(COUNTIF(S173:Z173,"&gt;0")=1,"1 person",COUNTIF(S173:Z173,"&gt;0")&amp;" people"),IF(Q173=0,"Everyone",INDEX(Bills!$Q$6:$Q$25,Q173))))))))</f>
        <v/>
      </c>
      <c r="O173" s="18">
        <f>IF(D173="","",IF(C173="Paying back","Paying back",IF(Q173=0,"Other",IF(INDEX(Bills!$C$6:$C$25,Q173)="","Other",INDEX(Bills!$C$6:$C$25,Q173)))))</f>
        <v/>
      </c>
      <c r="P173" s="1" t="n"/>
      <c r="Q173">
        <f>IF(C173="",0,IFERROR(MATCH(C173,Bills!$B$6:$B$25,0),0))</f>
        <v/>
      </c>
      <c r="R173">
        <f>COUNTA(F173:M173)</f>
        <v/>
      </c>
      <c r="S173">
        <f>IF(OR($D173="",$B173="",Housemates!$B$8=""),0,IF($R173&gt;0,IF(F173="",0,IF(ISNUMBER(F173),F173,1)),IF($C173="Paying back",0,IF(AND(OR(Housemates!$C$8="",Housemates!$C$8&lt;=$B173),OR(Housemates!$D$8="",Housemates!$D$8&gt;=$B173)),IF($Q173=0,1,INDEX(Bills!$AA$6:$AA$25,$Q173)),0))))</f>
        <v/>
      </c>
      <c r="T173">
        <f>IF(OR($D173="",$B173="",Housemates!$B$9=""),0,IF($R173&gt;0,IF(G173="",0,IF(ISNUMBER(G173),G173,1)),IF($C173="Paying back",0,IF(AND(OR(Housemates!$C$9="",Housemates!$C$9&lt;=$B173),OR(Housemates!$D$9="",Housemates!$D$9&gt;=$B173)),IF($Q173=0,1,INDEX(Bills!$AB$6:$AB$25,$Q173)),0))))</f>
        <v/>
      </c>
      <c r="U173">
        <f>IF(OR($D173="",$B173="",Housemates!$B$10=""),0,IF($R173&gt;0,IF(H173="",0,IF(ISNUMBER(H173),H173,1)),IF($C173="Paying back",0,IF(AND(OR(Housemates!$C$10="",Housemates!$C$10&lt;=$B173),OR(Housemates!$D$10="",Housemates!$D$10&gt;=$B173)),IF($Q173=0,1,INDEX(Bills!$AC$6:$AC$25,$Q173)),0))))</f>
        <v/>
      </c>
      <c r="V173">
        <f>IF(OR($D173="",$B173="",Housemates!$B$11=""),0,IF($R173&gt;0,IF(I173="",0,IF(ISNUMBER(I173),I173,1)),IF($C173="Paying back",0,IF(AND(OR(Housemates!$C$11="",Housemates!$C$11&lt;=$B173),OR(Housemates!$D$11="",Housemates!$D$11&gt;=$B173)),IF($Q173=0,1,INDEX(Bills!$AD$6:$AD$25,$Q173)),0))))</f>
        <v/>
      </c>
      <c r="W173">
        <f>IF(OR($D173="",$B173="",Housemates!$B$12=""),0,IF($R173&gt;0,IF(J173="",0,IF(ISNUMBER(J173),J173,1)),IF($C173="Paying back",0,IF(AND(OR(Housemates!$C$12="",Housemates!$C$12&lt;=$B173),OR(Housemates!$D$12="",Housemates!$D$12&gt;=$B173)),IF($Q173=0,1,INDEX(Bills!$AE$6:$AE$25,$Q173)),0))))</f>
        <v/>
      </c>
      <c r="X173">
        <f>IF(OR($D173="",$B173="",Housemates!$B$13=""),0,IF($R173&gt;0,IF(K173="",0,IF(ISNUMBER(K173),K173,1)),IF($C173="Paying back",0,IF(AND(OR(Housemates!$C$13="",Housemates!$C$13&lt;=$B173),OR(Housemates!$D$13="",Housemates!$D$13&gt;=$B173)),IF($Q173=0,1,INDEX(Bills!$AF$6:$AF$25,$Q173)),0))))</f>
        <v/>
      </c>
      <c r="Y173">
        <f>IF(OR($D173="",$B173="",Housemates!$B$14=""),0,IF($R173&gt;0,IF(L173="",0,IF(ISNUMBER(L173),L173,1)),IF($C173="Paying back",0,IF(AND(OR(Housemates!$C$14="",Housemates!$C$14&lt;=$B173),OR(Housemates!$D$14="",Housemates!$D$14&gt;=$B173)),IF($Q173=0,1,INDEX(Bills!$AG$6:$AG$25,$Q173)),0))))</f>
        <v/>
      </c>
      <c r="Z173">
        <f>IF(OR($D173="",$B173="",Housemates!$B$15=""),0,IF($R173&gt;0,IF(M173="",0,IF(ISNUMBER(M173),M173,1)),IF($C173="Paying back",0,IF(AND(OR(Housemates!$C$15="",Housemates!$C$15&lt;=$B173),OR(Housemates!$D$15="",Housemates!$D$15&gt;=$B173)),IF($Q173=0,1,INDEX(Bills!$AH$6:$AH$25,$Q173)),0))))</f>
        <v/>
      </c>
      <c r="AA173">
        <f>SUM(S173:Z173)</f>
        <v/>
      </c>
      <c r="AB173">
        <f>IF(AA173=0,0,D173*S173/AA173)</f>
        <v/>
      </c>
      <c r="AC173">
        <f>IF(AA173=0,0,D173*T173/AA173)</f>
        <v/>
      </c>
      <c r="AD173">
        <f>IF(AA173=0,0,D173*U173/AA173)</f>
        <v/>
      </c>
      <c r="AE173">
        <f>IF(AA173=0,0,D173*V173/AA173)</f>
        <v/>
      </c>
      <c r="AF173">
        <f>IF(AA173=0,0,D173*W173/AA173)</f>
        <v/>
      </c>
      <c r="AG173">
        <f>IF(AA173=0,0,D173*X173/AA173)</f>
        <v/>
      </c>
      <c r="AH173">
        <f>IF(AA173=0,0,D173*Y173/AA173)</f>
        <v/>
      </c>
      <c r="AI173">
        <f>IF(AA173=0,0,D173*Z173/AA173)</f>
        <v/>
      </c>
      <c r="AJ173">
        <f>IF(OR(C173="",B173=""),"",C173&amp;"|"&amp;(YEAR(B173)*100+MONTH(B173)))</f>
        <v/>
      </c>
    </row>
    <row r="174">
      <c r="A174" s="1" t="n"/>
      <c r="B174" s="23" t="n"/>
      <c r="C174" s="24" t="n"/>
      <c r="D174" s="25" t="n"/>
      <c r="E174" s="26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1">
        <f>IF(D174="","",IF(B174="","No date",IF(AND(C174="Paying back",R174=0),"To whom?",IF(AA174=0,"Nobody",IF(C174="Paying back","To "&amp;INDEX(Housemates!$B$8:$B$15,MATCH(MAX(S174:Z174),S174:Z174,0)),IF(R174&gt;0,IF(COUNTIF(S174:Z174,"&gt;0")=1,"1 person",COUNTIF(S174:Z174,"&gt;0")&amp;" people"),IF(Q174=0,"Everyone",INDEX(Bills!$Q$6:$Q$25,Q174))))))))</f>
        <v/>
      </c>
      <c r="O174" s="18">
        <f>IF(D174="","",IF(C174="Paying back","Paying back",IF(Q174=0,"Other",IF(INDEX(Bills!$C$6:$C$25,Q174)="","Other",INDEX(Bills!$C$6:$C$25,Q174)))))</f>
        <v/>
      </c>
      <c r="P174" s="1" t="n"/>
      <c r="Q174">
        <f>IF(C174="",0,IFERROR(MATCH(C174,Bills!$B$6:$B$25,0),0))</f>
        <v/>
      </c>
      <c r="R174">
        <f>COUNTA(F174:M174)</f>
        <v/>
      </c>
      <c r="S174">
        <f>IF(OR($D174="",$B174="",Housemates!$B$8=""),0,IF($R174&gt;0,IF(F174="",0,IF(ISNUMBER(F174),F174,1)),IF($C174="Paying back",0,IF(AND(OR(Housemates!$C$8="",Housemates!$C$8&lt;=$B174),OR(Housemates!$D$8="",Housemates!$D$8&gt;=$B174)),IF($Q174=0,1,INDEX(Bills!$AA$6:$AA$25,$Q174)),0))))</f>
        <v/>
      </c>
      <c r="T174">
        <f>IF(OR($D174="",$B174="",Housemates!$B$9=""),0,IF($R174&gt;0,IF(G174="",0,IF(ISNUMBER(G174),G174,1)),IF($C174="Paying back",0,IF(AND(OR(Housemates!$C$9="",Housemates!$C$9&lt;=$B174),OR(Housemates!$D$9="",Housemates!$D$9&gt;=$B174)),IF($Q174=0,1,INDEX(Bills!$AB$6:$AB$25,$Q174)),0))))</f>
        <v/>
      </c>
      <c r="U174">
        <f>IF(OR($D174="",$B174="",Housemates!$B$10=""),0,IF($R174&gt;0,IF(H174="",0,IF(ISNUMBER(H174),H174,1)),IF($C174="Paying back",0,IF(AND(OR(Housemates!$C$10="",Housemates!$C$10&lt;=$B174),OR(Housemates!$D$10="",Housemates!$D$10&gt;=$B174)),IF($Q174=0,1,INDEX(Bills!$AC$6:$AC$25,$Q174)),0))))</f>
        <v/>
      </c>
      <c r="V174">
        <f>IF(OR($D174="",$B174="",Housemates!$B$11=""),0,IF($R174&gt;0,IF(I174="",0,IF(ISNUMBER(I174),I174,1)),IF($C174="Paying back",0,IF(AND(OR(Housemates!$C$11="",Housemates!$C$11&lt;=$B174),OR(Housemates!$D$11="",Housemates!$D$11&gt;=$B174)),IF($Q174=0,1,INDEX(Bills!$AD$6:$AD$25,$Q174)),0))))</f>
        <v/>
      </c>
      <c r="W174">
        <f>IF(OR($D174="",$B174="",Housemates!$B$12=""),0,IF($R174&gt;0,IF(J174="",0,IF(ISNUMBER(J174),J174,1)),IF($C174="Paying back",0,IF(AND(OR(Housemates!$C$12="",Housemates!$C$12&lt;=$B174),OR(Housemates!$D$12="",Housemates!$D$12&gt;=$B174)),IF($Q174=0,1,INDEX(Bills!$AE$6:$AE$25,$Q174)),0))))</f>
        <v/>
      </c>
      <c r="X174">
        <f>IF(OR($D174="",$B174="",Housemates!$B$13=""),0,IF($R174&gt;0,IF(K174="",0,IF(ISNUMBER(K174),K174,1)),IF($C174="Paying back",0,IF(AND(OR(Housemates!$C$13="",Housemates!$C$13&lt;=$B174),OR(Housemates!$D$13="",Housemates!$D$13&gt;=$B174)),IF($Q174=0,1,INDEX(Bills!$AF$6:$AF$25,$Q174)),0))))</f>
        <v/>
      </c>
      <c r="Y174">
        <f>IF(OR($D174="",$B174="",Housemates!$B$14=""),0,IF($R174&gt;0,IF(L174="",0,IF(ISNUMBER(L174),L174,1)),IF($C174="Paying back",0,IF(AND(OR(Housemates!$C$14="",Housemates!$C$14&lt;=$B174),OR(Housemates!$D$14="",Housemates!$D$14&gt;=$B174)),IF($Q174=0,1,INDEX(Bills!$AG$6:$AG$25,$Q174)),0))))</f>
        <v/>
      </c>
      <c r="Z174">
        <f>IF(OR($D174="",$B174="",Housemates!$B$15=""),0,IF($R174&gt;0,IF(M174="",0,IF(ISNUMBER(M174),M174,1)),IF($C174="Paying back",0,IF(AND(OR(Housemates!$C$15="",Housemates!$C$15&lt;=$B174),OR(Housemates!$D$15="",Housemates!$D$15&gt;=$B174)),IF($Q174=0,1,INDEX(Bills!$AH$6:$AH$25,$Q174)),0))))</f>
        <v/>
      </c>
      <c r="AA174">
        <f>SUM(S174:Z174)</f>
        <v/>
      </c>
      <c r="AB174">
        <f>IF(AA174=0,0,D174*S174/AA174)</f>
        <v/>
      </c>
      <c r="AC174">
        <f>IF(AA174=0,0,D174*T174/AA174)</f>
        <v/>
      </c>
      <c r="AD174">
        <f>IF(AA174=0,0,D174*U174/AA174)</f>
        <v/>
      </c>
      <c r="AE174">
        <f>IF(AA174=0,0,D174*V174/AA174)</f>
        <v/>
      </c>
      <c r="AF174">
        <f>IF(AA174=0,0,D174*W174/AA174)</f>
        <v/>
      </c>
      <c r="AG174">
        <f>IF(AA174=0,0,D174*X174/AA174)</f>
        <v/>
      </c>
      <c r="AH174">
        <f>IF(AA174=0,0,D174*Y174/AA174)</f>
        <v/>
      </c>
      <c r="AI174">
        <f>IF(AA174=0,0,D174*Z174/AA174)</f>
        <v/>
      </c>
      <c r="AJ174">
        <f>IF(OR(C174="",B174=""),"",C174&amp;"|"&amp;(YEAR(B174)*100+MONTH(B174)))</f>
        <v/>
      </c>
    </row>
    <row r="175">
      <c r="A175" s="1" t="n"/>
      <c r="B175" s="23" t="n"/>
      <c r="C175" s="24" t="n"/>
      <c r="D175" s="25" t="n"/>
      <c r="E175" s="26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1">
        <f>IF(D175="","",IF(B175="","No date",IF(AND(C175="Paying back",R175=0),"To whom?",IF(AA175=0,"Nobody",IF(C175="Paying back","To "&amp;INDEX(Housemates!$B$8:$B$15,MATCH(MAX(S175:Z175),S175:Z175,0)),IF(R175&gt;0,IF(COUNTIF(S175:Z175,"&gt;0")=1,"1 person",COUNTIF(S175:Z175,"&gt;0")&amp;" people"),IF(Q175=0,"Everyone",INDEX(Bills!$Q$6:$Q$25,Q175))))))))</f>
        <v/>
      </c>
      <c r="O175" s="18">
        <f>IF(D175="","",IF(C175="Paying back","Paying back",IF(Q175=0,"Other",IF(INDEX(Bills!$C$6:$C$25,Q175)="","Other",INDEX(Bills!$C$6:$C$25,Q175)))))</f>
        <v/>
      </c>
      <c r="P175" s="1" t="n"/>
      <c r="Q175">
        <f>IF(C175="",0,IFERROR(MATCH(C175,Bills!$B$6:$B$25,0),0))</f>
        <v/>
      </c>
      <c r="R175">
        <f>COUNTA(F175:M175)</f>
        <v/>
      </c>
      <c r="S175">
        <f>IF(OR($D175="",$B175="",Housemates!$B$8=""),0,IF($R175&gt;0,IF(F175="",0,IF(ISNUMBER(F175),F175,1)),IF($C175="Paying back",0,IF(AND(OR(Housemates!$C$8="",Housemates!$C$8&lt;=$B175),OR(Housemates!$D$8="",Housemates!$D$8&gt;=$B175)),IF($Q175=0,1,INDEX(Bills!$AA$6:$AA$25,$Q175)),0))))</f>
        <v/>
      </c>
      <c r="T175">
        <f>IF(OR($D175="",$B175="",Housemates!$B$9=""),0,IF($R175&gt;0,IF(G175="",0,IF(ISNUMBER(G175),G175,1)),IF($C175="Paying back",0,IF(AND(OR(Housemates!$C$9="",Housemates!$C$9&lt;=$B175),OR(Housemates!$D$9="",Housemates!$D$9&gt;=$B175)),IF($Q175=0,1,INDEX(Bills!$AB$6:$AB$25,$Q175)),0))))</f>
        <v/>
      </c>
      <c r="U175">
        <f>IF(OR($D175="",$B175="",Housemates!$B$10=""),0,IF($R175&gt;0,IF(H175="",0,IF(ISNUMBER(H175),H175,1)),IF($C175="Paying back",0,IF(AND(OR(Housemates!$C$10="",Housemates!$C$10&lt;=$B175),OR(Housemates!$D$10="",Housemates!$D$10&gt;=$B175)),IF($Q175=0,1,INDEX(Bills!$AC$6:$AC$25,$Q175)),0))))</f>
        <v/>
      </c>
      <c r="V175">
        <f>IF(OR($D175="",$B175="",Housemates!$B$11=""),0,IF($R175&gt;0,IF(I175="",0,IF(ISNUMBER(I175),I175,1)),IF($C175="Paying back",0,IF(AND(OR(Housemates!$C$11="",Housemates!$C$11&lt;=$B175),OR(Housemates!$D$11="",Housemates!$D$11&gt;=$B175)),IF($Q175=0,1,INDEX(Bills!$AD$6:$AD$25,$Q175)),0))))</f>
        <v/>
      </c>
      <c r="W175">
        <f>IF(OR($D175="",$B175="",Housemates!$B$12=""),0,IF($R175&gt;0,IF(J175="",0,IF(ISNUMBER(J175),J175,1)),IF($C175="Paying back",0,IF(AND(OR(Housemates!$C$12="",Housemates!$C$12&lt;=$B175),OR(Housemates!$D$12="",Housemates!$D$12&gt;=$B175)),IF($Q175=0,1,INDEX(Bills!$AE$6:$AE$25,$Q175)),0))))</f>
        <v/>
      </c>
      <c r="X175">
        <f>IF(OR($D175="",$B175="",Housemates!$B$13=""),0,IF($R175&gt;0,IF(K175="",0,IF(ISNUMBER(K175),K175,1)),IF($C175="Paying back",0,IF(AND(OR(Housemates!$C$13="",Housemates!$C$13&lt;=$B175),OR(Housemates!$D$13="",Housemates!$D$13&gt;=$B175)),IF($Q175=0,1,INDEX(Bills!$AF$6:$AF$25,$Q175)),0))))</f>
        <v/>
      </c>
      <c r="Y175">
        <f>IF(OR($D175="",$B175="",Housemates!$B$14=""),0,IF($R175&gt;0,IF(L175="",0,IF(ISNUMBER(L175),L175,1)),IF($C175="Paying back",0,IF(AND(OR(Housemates!$C$14="",Housemates!$C$14&lt;=$B175),OR(Housemates!$D$14="",Housemates!$D$14&gt;=$B175)),IF($Q175=0,1,INDEX(Bills!$AG$6:$AG$25,$Q175)),0))))</f>
        <v/>
      </c>
      <c r="Z175">
        <f>IF(OR($D175="",$B175="",Housemates!$B$15=""),0,IF($R175&gt;0,IF(M175="",0,IF(ISNUMBER(M175),M175,1)),IF($C175="Paying back",0,IF(AND(OR(Housemates!$C$15="",Housemates!$C$15&lt;=$B175),OR(Housemates!$D$15="",Housemates!$D$15&gt;=$B175)),IF($Q175=0,1,INDEX(Bills!$AH$6:$AH$25,$Q175)),0))))</f>
        <v/>
      </c>
      <c r="AA175">
        <f>SUM(S175:Z175)</f>
        <v/>
      </c>
      <c r="AB175">
        <f>IF(AA175=0,0,D175*S175/AA175)</f>
        <v/>
      </c>
      <c r="AC175">
        <f>IF(AA175=0,0,D175*T175/AA175)</f>
        <v/>
      </c>
      <c r="AD175">
        <f>IF(AA175=0,0,D175*U175/AA175)</f>
        <v/>
      </c>
      <c r="AE175">
        <f>IF(AA175=0,0,D175*V175/AA175)</f>
        <v/>
      </c>
      <c r="AF175">
        <f>IF(AA175=0,0,D175*W175/AA175)</f>
        <v/>
      </c>
      <c r="AG175">
        <f>IF(AA175=0,0,D175*X175/AA175)</f>
        <v/>
      </c>
      <c r="AH175">
        <f>IF(AA175=0,0,D175*Y175/AA175)</f>
        <v/>
      </c>
      <c r="AI175">
        <f>IF(AA175=0,0,D175*Z175/AA175)</f>
        <v/>
      </c>
      <c r="AJ175">
        <f>IF(OR(C175="",B175=""),"",C175&amp;"|"&amp;(YEAR(B175)*100+MONTH(B175)))</f>
        <v/>
      </c>
    </row>
    <row r="176">
      <c r="A176" s="1" t="n"/>
      <c r="B176" s="23" t="n"/>
      <c r="C176" s="24" t="n"/>
      <c r="D176" s="25" t="n"/>
      <c r="E176" s="26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1">
        <f>IF(D176="","",IF(B176="","No date",IF(AND(C176="Paying back",R176=0),"To whom?",IF(AA176=0,"Nobody",IF(C176="Paying back","To "&amp;INDEX(Housemates!$B$8:$B$15,MATCH(MAX(S176:Z176),S176:Z176,0)),IF(R176&gt;0,IF(COUNTIF(S176:Z176,"&gt;0")=1,"1 person",COUNTIF(S176:Z176,"&gt;0")&amp;" people"),IF(Q176=0,"Everyone",INDEX(Bills!$Q$6:$Q$25,Q176))))))))</f>
        <v/>
      </c>
      <c r="O176" s="18">
        <f>IF(D176="","",IF(C176="Paying back","Paying back",IF(Q176=0,"Other",IF(INDEX(Bills!$C$6:$C$25,Q176)="","Other",INDEX(Bills!$C$6:$C$25,Q176)))))</f>
        <v/>
      </c>
      <c r="P176" s="1" t="n"/>
      <c r="Q176">
        <f>IF(C176="",0,IFERROR(MATCH(C176,Bills!$B$6:$B$25,0),0))</f>
        <v/>
      </c>
      <c r="R176">
        <f>COUNTA(F176:M176)</f>
        <v/>
      </c>
      <c r="S176">
        <f>IF(OR($D176="",$B176="",Housemates!$B$8=""),0,IF($R176&gt;0,IF(F176="",0,IF(ISNUMBER(F176),F176,1)),IF($C176="Paying back",0,IF(AND(OR(Housemates!$C$8="",Housemates!$C$8&lt;=$B176),OR(Housemates!$D$8="",Housemates!$D$8&gt;=$B176)),IF($Q176=0,1,INDEX(Bills!$AA$6:$AA$25,$Q176)),0))))</f>
        <v/>
      </c>
      <c r="T176">
        <f>IF(OR($D176="",$B176="",Housemates!$B$9=""),0,IF($R176&gt;0,IF(G176="",0,IF(ISNUMBER(G176),G176,1)),IF($C176="Paying back",0,IF(AND(OR(Housemates!$C$9="",Housemates!$C$9&lt;=$B176),OR(Housemates!$D$9="",Housemates!$D$9&gt;=$B176)),IF($Q176=0,1,INDEX(Bills!$AB$6:$AB$25,$Q176)),0))))</f>
        <v/>
      </c>
      <c r="U176">
        <f>IF(OR($D176="",$B176="",Housemates!$B$10=""),0,IF($R176&gt;0,IF(H176="",0,IF(ISNUMBER(H176),H176,1)),IF($C176="Paying back",0,IF(AND(OR(Housemates!$C$10="",Housemates!$C$10&lt;=$B176),OR(Housemates!$D$10="",Housemates!$D$10&gt;=$B176)),IF($Q176=0,1,INDEX(Bills!$AC$6:$AC$25,$Q176)),0))))</f>
        <v/>
      </c>
      <c r="V176">
        <f>IF(OR($D176="",$B176="",Housemates!$B$11=""),0,IF($R176&gt;0,IF(I176="",0,IF(ISNUMBER(I176),I176,1)),IF($C176="Paying back",0,IF(AND(OR(Housemates!$C$11="",Housemates!$C$11&lt;=$B176),OR(Housemates!$D$11="",Housemates!$D$11&gt;=$B176)),IF($Q176=0,1,INDEX(Bills!$AD$6:$AD$25,$Q176)),0))))</f>
        <v/>
      </c>
      <c r="W176">
        <f>IF(OR($D176="",$B176="",Housemates!$B$12=""),0,IF($R176&gt;0,IF(J176="",0,IF(ISNUMBER(J176),J176,1)),IF($C176="Paying back",0,IF(AND(OR(Housemates!$C$12="",Housemates!$C$12&lt;=$B176),OR(Housemates!$D$12="",Housemates!$D$12&gt;=$B176)),IF($Q176=0,1,INDEX(Bills!$AE$6:$AE$25,$Q176)),0))))</f>
        <v/>
      </c>
      <c r="X176">
        <f>IF(OR($D176="",$B176="",Housemates!$B$13=""),0,IF($R176&gt;0,IF(K176="",0,IF(ISNUMBER(K176),K176,1)),IF($C176="Paying back",0,IF(AND(OR(Housemates!$C$13="",Housemates!$C$13&lt;=$B176),OR(Housemates!$D$13="",Housemates!$D$13&gt;=$B176)),IF($Q176=0,1,INDEX(Bills!$AF$6:$AF$25,$Q176)),0))))</f>
        <v/>
      </c>
      <c r="Y176">
        <f>IF(OR($D176="",$B176="",Housemates!$B$14=""),0,IF($R176&gt;0,IF(L176="",0,IF(ISNUMBER(L176),L176,1)),IF($C176="Paying back",0,IF(AND(OR(Housemates!$C$14="",Housemates!$C$14&lt;=$B176),OR(Housemates!$D$14="",Housemates!$D$14&gt;=$B176)),IF($Q176=0,1,INDEX(Bills!$AG$6:$AG$25,$Q176)),0))))</f>
        <v/>
      </c>
      <c r="Z176">
        <f>IF(OR($D176="",$B176="",Housemates!$B$15=""),0,IF($R176&gt;0,IF(M176="",0,IF(ISNUMBER(M176),M176,1)),IF($C176="Paying back",0,IF(AND(OR(Housemates!$C$15="",Housemates!$C$15&lt;=$B176),OR(Housemates!$D$15="",Housemates!$D$15&gt;=$B176)),IF($Q176=0,1,INDEX(Bills!$AH$6:$AH$25,$Q176)),0))))</f>
        <v/>
      </c>
      <c r="AA176">
        <f>SUM(S176:Z176)</f>
        <v/>
      </c>
      <c r="AB176">
        <f>IF(AA176=0,0,D176*S176/AA176)</f>
        <v/>
      </c>
      <c r="AC176">
        <f>IF(AA176=0,0,D176*T176/AA176)</f>
        <v/>
      </c>
      <c r="AD176">
        <f>IF(AA176=0,0,D176*U176/AA176)</f>
        <v/>
      </c>
      <c r="AE176">
        <f>IF(AA176=0,0,D176*V176/AA176)</f>
        <v/>
      </c>
      <c r="AF176">
        <f>IF(AA176=0,0,D176*W176/AA176)</f>
        <v/>
      </c>
      <c r="AG176">
        <f>IF(AA176=0,0,D176*X176/AA176)</f>
        <v/>
      </c>
      <c r="AH176">
        <f>IF(AA176=0,0,D176*Y176/AA176)</f>
        <v/>
      </c>
      <c r="AI176">
        <f>IF(AA176=0,0,D176*Z176/AA176)</f>
        <v/>
      </c>
      <c r="AJ176">
        <f>IF(OR(C176="",B176=""),"",C176&amp;"|"&amp;(YEAR(B176)*100+MONTH(B176)))</f>
        <v/>
      </c>
    </row>
    <row r="177">
      <c r="A177" s="1" t="n"/>
      <c r="B177" s="23" t="n"/>
      <c r="C177" s="24" t="n"/>
      <c r="D177" s="25" t="n"/>
      <c r="E177" s="26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1">
        <f>IF(D177="","",IF(B177="","No date",IF(AND(C177="Paying back",R177=0),"To whom?",IF(AA177=0,"Nobody",IF(C177="Paying back","To "&amp;INDEX(Housemates!$B$8:$B$15,MATCH(MAX(S177:Z177),S177:Z177,0)),IF(R177&gt;0,IF(COUNTIF(S177:Z177,"&gt;0")=1,"1 person",COUNTIF(S177:Z177,"&gt;0")&amp;" people"),IF(Q177=0,"Everyone",INDEX(Bills!$Q$6:$Q$25,Q177))))))))</f>
        <v/>
      </c>
      <c r="O177" s="18">
        <f>IF(D177="","",IF(C177="Paying back","Paying back",IF(Q177=0,"Other",IF(INDEX(Bills!$C$6:$C$25,Q177)="","Other",INDEX(Bills!$C$6:$C$25,Q177)))))</f>
        <v/>
      </c>
      <c r="P177" s="1" t="n"/>
      <c r="Q177">
        <f>IF(C177="",0,IFERROR(MATCH(C177,Bills!$B$6:$B$25,0),0))</f>
        <v/>
      </c>
      <c r="R177">
        <f>COUNTA(F177:M177)</f>
        <v/>
      </c>
      <c r="S177">
        <f>IF(OR($D177="",$B177="",Housemates!$B$8=""),0,IF($R177&gt;0,IF(F177="",0,IF(ISNUMBER(F177),F177,1)),IF($C177="Paying back",0,IF(AND(OR(Housemates!$C$8="",Housemates!$C$8&lt;=$B177),OR(Housemates!$D$8="",Housemates!$D$8&gt;=$B177)),IF($Q177=0,1,INDEX(Bills!$AA$6:$AA$25,$Q177)),0))))</f>
        <v/>
      </c>
      <c r="T177">
        <f>IF(OR($D177="",$B177="",Housemates!$B$9=""),0,IF($R177&gt;0,IF(G177="",0,IF(ISNUMBER(G177),G177,1)),IF($C177="Paying back",0,IF(AND(OR(Housemates!$C$9="",Housemates!$C$9&lt;=$B177),OR(Housemates!$D$9="",Housemates!$D$9&gt;=$B177)),IF($Q177=0,1,INDEX(Bills!$AB$6:$AB$25,$Q177)),0))))</f>
        <v/>
      </c>
      <c r="U177">
        <f>IF(OR($D177="",$B177="",Housemates!$B$10=""),0,IF($R177&gt;0,IF(H177="",0,IF(ISNUMBER(H177),H177,1)),IF($C177="Paying back",0,IF(AND(OR(Housemates!$C$10="",Housemates!$C$10&lt;=$B177),OR(Housemates!$D$10="",Housemates!$D$10&gt;=$B177)),IF($Q177=0,1,INDEX(Bills!$AC$6:$AC$25,$Q177)),0))))</f>
        <v/>
      </c>
      <c r="V177">
        <f>IF(OR($D177="",$B177="",Housemates!$B$11=""),0,IF($R177&gt;0,IF(I177="",0,IF(ISNUMBER(I177),I177,1)),IF($C177="Paying back",0,IF(AND(OR(Housemates!$C$11="",Housemates!$C$11&lt;=$B177),OR(Housemates!$D$11="",Housemates!$D$11&gt;=$B177)),IF($Q177=0,1,INDEX(Bills!$AD$6:$AD$25,$Q177)),0))))</f>
        <v/>
      </c>
      <c r="W177">
        <f>IF(OR($D177="",$B177="",Housemates!$B$12=""),0,IF($R177&gt;0,IF(J177="",0,IF(ISNUMBER(J177),J177,1)),IF($C177="Paying back",0,IF(AND(OR(Housemates!$C$12="",Housemates!$C$12&lt;=$B177),OR(Housemates!$D$12="",Housemates!$D$12&gt;=$B177)),IF($Q177=0,1,INDEX(Bills!$AE$6:$AE$25,$Q177)),0))))</f>
        <v/>
      </c>
      <c r="X177">
        <f>IF(OR($D177="",$B177="",Housemates!$B$13=""),0,IF($R177&gt;0,IF(K177="",0,IF(ISNUMBER(K177),K177,1)),IF($C177="Paying back",0,IF(AND(OR(Housemates!$C$13="",Housemates!$C$13&lt;=$B177),OR(Housemates!$D$13="",Housemates!$D$13&gt;=$B177)),IF($Q177=0,1,INDEX(Bills!$AF$6:$AF$25,$Q177)),0))))</f>
        <v/>
      </c>
      <c r="Y177">
        <f>IF(OR($D177="",$B177="",Housemates!$B$14=""),0,IF($R177&gt;0,IF(L177="",0,IF(ISNUMBER(L177),L177,1)),IF($C177="Paying back",0,IF(AND(OR(Housemates!$C$14="",Housemates!$C$14&lt;=$B177),OR(Housemates!$D$14="",Housemates!$D$14&gt;=$B177)),IF($Q177=0,1,INDEX(Bills!$AG$6:$AG$25,$Q177)),0))))</f>
        <v/>
      </c>
      <c r="Z177">
        <f>IF(OR($D177="",$B177="",Housemates!$B$15=""),0,IF($R177&gt;0,IF(M177="",0,IF(ISNUMBER(M177),M177,1)),IF($C177="Paying back",0,IF(AND(OR(Housemates!$C$15="",Housemates!$C$15&lt;=$B177),OR(Housemates!$D$15="",Housemates!$D$15&gt;=$B177)),IF($Q177=0,1,INDEX(Bills!$AH$6:$AH$25,$Q177)),0))))</f>
        <v/>
      </c>
      <c r="AA177">
        <f>SUM(S177:Z177)</f>
        <v/>
      </c>
      <c r="AB177">
        <f>IF(AA177=0,0,D177*S177/AA177)</f>
        <v/>
      </c>
      <c r="AC177">
        <f>IF(AA177=0,0,D177*T177/AA177)</f>
        <v/>
      </c>
      <c r="AD177">
        <f>IF(AA177=0,0,D177*U177/AA177)</f>
        <v/>
      </c>
      <c r="AE177">
        <f>IF(AA177=0,0,D177*V177/AA177)</f>
        <v/>
      </c>
      <c r="AF177">
        <f>IF(AA177=0,0,D177*W177/AA177)</f>
        <v/>
      </c>
      <c r="AG177">
        <f>IF(AA177=0,0,D177*X177/AA177)</f>
        <v/>
      </c>
      <c r="AH177">
        <f>IF(AA177=0,0,D177*Y177/AA177)</f>
        <v/>
      </c>
      <c r="AI177">
        <f>IF(AA177=0,0,D177*Z177/AA177)</f>
        <v/>
      </c>
      <c r="AJ177">
        <f>IF(OR(C177="",B177=""),"",C177&amp;"|"&amp;(YEAR(B177)*100+MONTH(B177)))</f>
        <v/>
      </c>
    </row>
    <row r="178">
      <c r="A178" s="1" t="n"/>
      <c r="B178" s="23" t="n"/>
      <c r="C178" s="24" t="n"/>
      <c r="D178" s="25" t="n"/>
      <c r="E178" s="26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1">
        <f>IF(D178="","",IF(B178="","No date",IF(AND(C178="Paying back",R178=0),"To whom?",IF(AA178=0,"Nobody",IF(C178="Paying back","To "&amp;INDEX(Housemates!$B$8:$B$15,MATCH(MAX(S178:Z178),S178:Z178,0)),IF(R178&gt;0,IF(COUNTIF(S178:Z178,"&gt;0")=1,"1 person",COUNTIF(S178:Z178,"&gt;0")&amp;" people"),IF(Q178=0,"Everyone",INDEX(Bills!$Q$6:$Q$25,Q178))))))))</f>
        <v/>
      </c>
      <c r="O178" s="18">
        <f>IF(D178="","",IF(C178="Paying back","Paying back",IF(Q178=0,"Other",IF(INDEX(Bills!$C$6:$C$25,Q178)="","Other",INDEX(Bills!$C$6:$C$25,Q178)))))</f>
        <v/>
      </c>
      <c r="P178" s="1" t="n"/>
      <c r="Q178">
        <f>IF(C178="",0,IFERROR(MATCH(C178,Bills!$B$6:$B$25,0),0))</f>
        <v/>
      </c>
      <c r="R178">
        <f>COUNTA(F178:M178)</f>
        <v/>
      </c>
      <c r="S178">
        <f>IF(OR($D178="",$B178="",Housemates!$B$8=""),0,IF($R178&gt;0,IF(F178="",0,IF(ISNUMBER(F178),F178,1)),IF($C178="Paying back",0,IF(AND(OR(Housemates!$C$8="",Housemates!$C$8&lt;=$B178),OR(Housemates!$D$8="",Housemates!$D$8&gt;=$B178)),IF($Q178=0,1,INDEX(Bills!$AA$6:$AA$25,$Q178)),0))))</f>
        <v/>
      </c>
      <c r="T178">
        <f>IF(OR($D178="",$B178="",Housemates!$B$9=""),0,IF($R178&gt;0,IF(G178="",0,IF(ISNUMBER(G178),G178,1)),IF($C178="Paying back",0,IF(AND(OR(Housemates!$C$9="",Housemates!$C$9&lt;=$B178),OR(Housemates!$D$9="",Housemates!$D$9&gt;=$B178)),IF($Q178=0,1,INDEX(Bills!$AB$6:$AB$25,$Q178)),0))))</f>
        <v/>
      </c>
      <c r="U178">
        <f>IF(OR($D178="",$B178="",Housemates!$B$10=""),0,IF($R178&gt;0,IF(H178="",0,IF(ISNUMBER(H178),H178,1)),IF($C178="Paying back",0,IF(AND(OR(Housemates!$C$10="",Housemates!$C$10&lt;=$B178),OR(Housemates!$D$10="",Housemates!$D$10&gt;=$B178)),IF($Q178=0,1,INDEX(Bills!$AC$6:$AC$25,$Q178)),0))))</f>
        <v/>
      </c>
      <c r="V178">
        <f>IF(OR($D178="",$B178="",Housemates!$B$11=""),0,IF($R178&gt;0,IF(I178="",0,IF(ISNUMBER(I178),I178,1)),IF($C178="Paying back",0,IF(AND(OR(Housemates!$C$11="",Housemates!$C$11&lt;=$B178),OR(Housemates!$D$11="",Housemates!$D$11&gt;=$B178)),IF($Q178=0,1,INDEX(Bills!$AD$6:$AD$25,$Q178)),0))))</f>
        <v/>
      </c>
      <c r="W178">
        <f>IF(OR($D178="",$B178="",Housemates!$B$12=""),0,IF($R178&gt;0,IF(J178="",0,IF(ISNUMBER(J178),J178,1)),IF($C178="Paying back",0,IF(AND(OR(Housemates!$C$12="",Housemates!$C$12&lt;=$B178),OR(Housemates!$D$12="",Housemates!$D$12&gt;=$B178)),IF($Q178=0,1,INDEX(Bills!$AE$6:$AE$25,$Q178)),0))))</f>
        <v/>
      </c>
      <c r="X178">
        <f>IF(OR($D178="",$B178="",Housemates!$B$13=""),0,IF($R178&gt;0,IF(K178="",0,IF(ISNUMBER(K178),K178,1)),IF($C178="Paying back",0,IF(AND(OR(Housemates!$C$13="",Housemates!$C$13&lt;=$B178),OR(Housemates!$D$13="",Housemates!$D$13&gt;=$B178)),IF($Q178=0,1,INDEX(Bills!$AF$6:$AF$25,$Q178)),0))))</f>
        <v/>
      </c>
      <c r="Y178">
        <f>IF(OR($D178="",$B178="",Housemates!$B$14=""),0,IF($R178&gt;0,IF(L178="",0,IF(ISNUMBER(L178),L178,1)),IF($C178="Paying back",0,IF(AND(OR(Housemates!$C$14="",Housemates!$C$14&lt;=$B178),OR(Housemates!$D$14="",Housemates!$D$14&gt;=$B178)),IF($Q178=0,1,INDEX(Bills!$AG$6:$AG$25,$Q178)),0))))</f>
        <v/>
      </c>
      <c r="Z178">
        <f>IF(OR($D178="",$B178="",Housemates!$B$15=""),0,IF($R178&gt;0,IF(M178="",0,IF(ISNUMBER(M178),M178,1)),IF($C178="Paying back",0,IF(AND(OR(Housemates!$C$15="",Housemates!$C$15&lt;=$B178),OR(Housemates!$D$15="",Housemates!$D$15&gt;=$B178)),IF($Q178=0,1,INDEX(Bills!$AH$6:$AH$25,$Q178)),0))))</f>
        <v/>
      </c>
      <c r="AA178">
        <f>SUM(S178:Z178)</f>
        <v/>
      </c>
      <c r="AB178">
        <f>IF(AA178=0,0,D178*S178/AA178)</f>
        <v/>
      </c>
      <c r="AC178">
        <f>IF(AA178=0,0,D178*T178/AA178)</f>
        <v/>
      </c>
      <c r="AD178">
        <f>IF(AA178=0,0,D178*U178/AA178)</f>
        <v/>
      </c>
      <c r="AE178">
        <f>IF(AA178=0,0,D178*V178/AA178)</f>
        <v/>
      </c>
      <c r="AF178">
        <f>IF(AA178=0,0,D178*W178/AA178)</f>
        <v/>
      </c>
      <c r="AG178">
        <f>IF(AA178=0,0,D178*X178/AA178)</f>
        <v/>
      </c>
      <c r="AH178">
        <f>IF(AA178=0,0,D178*Y178/AA178)</f>
        <v/>
      </c>
      <c r="AI178">
        <f>IF(AA178=0,0,D178*Z178/AA178)</f>
        <v/>
      </c>
      <c r="AJ178">
        <f>IF(OR(C178="",B178=""),"",C178&amp;"|"&amp;(YEAR(B178)*100+MONTH(B178)))</f>
        <v/>
      </c>
    </row>
    <row r="179">
      <c r="A179" s="1" t="n"/>
      <c r="B179" s="23" t="n"/>
      <c r="C179" s="24" t="n"/>
      <c r="D179" s="25" t="n"/>
      <c r="E179" s="26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1">
        <f>IF(D179="","",IF(B179="","No date",IF(AND(C179="Paying back",R179=0),"To whom?",IF(AA179=0,"Nobody",IF(C179="Paying back","To "&amp;INDEX(Housemates!$B$8:$B$15,MATCH(MAX(S179:Z179),S179:Z179,0)),IF(R179&gt;0,IF(COUNTIF(S179:Z179,"&gt;0")=1,"1 person",COUNTIF(S179:Z179,"&gt;0")&amp;" people"),IF(Q179=0,"Everyone",INDEX(Bills!$Q$6:$Q$25,Q179))))))))</f>
        <v/>
      </c>
      <c r="O179" s="18">
        <f>IF(D179="","",IF(C179="Paying back","Paying back",IF(Q179=0,"Other",IF(INDEX(Bills!$C$6:$C$25,Q179)="","Other",INDEX(Bills!$C$6:$C$25,Q179)))))</f>
        <v/>
      </c>
      <c r="P179" s="1" t="n"/>
      <c r="Q179">
        <f>IF(C179="",0,IFERROR(MATCH(C179,Bills!$B$6:$B$25,0),0))</f>
        <v/>
      </c>
      <c r="R179">
        <f>COUNTA(F179:M179)</f>
        <v/>
      </c>
      <c r="S179">
        <f>IF(OR($D179="",$B179="",Housemates!$B$8=""),0,IF($R179&gt;0,IF(F179="",0,IF(ISNUMBER(F179),F179,1)),IF($C179="Paying back",0,IF(AND(OR(Housemates!$C$8="",Housemates!$C$8&lt;=$B179),OR(Housemates!$D$8="",Housemates!$D$8&gt;=$B179)),IF($Q179=0,1,INDEX(Bills!$AA$6:$AA$25,$Q179)),0))))</f>
        <v/>
      </c>
      <c r="T179">
        <f>IF(OR($D179="",$B179="",Housemates!$B$9=""),0,IF($R179&gt;0,IF(G179="",0,IF(ISNUMBER(G179),G179,1)),IF($C179="Paying back",0,IF(AND(OR(Housemates!$C$9="",Housemates!$C$9&lt;=$B179),OR(Housemates!$D$9="",Housemates!$D$9&gt;=$B179)),IF($Q179=0,1,INDEX(Bills!$AB$6:$AB$25,$Q179)),0))))</f>
        <v/>
      </c>
      <c r="U179">
        <f>IF(OR($D179="",$B179="",Housemates!$B$10=""),0,IF($R179&gt;0,IF(H179="",0,IF(ISNUMBER(H179),H179,1)),IF($C179="Paying back",0,IF(AND(OR(Housemates!$C$10="",Housemates!$C$10&lt;=$B179),OR(Housemates!$D$10="",Housemates!$D$10&gt;=$B179)),IF($Q179=0,1,INDEX(Bills!$AC$6:$AC$25,$Q179)),0))))</f>
        <v/>
      </c>
      <c r="V179">
        <f>IF(OR($D179="",$B179="",Housemates!$B$11=""),0,IF($R179&gt;0,IF(I179="",0,IF(ISNUMBER(I179),I179,1)),IF($C179="Paying back",0,IF(AND(OR(Housemates!$C$11="",Housemates!$C$11&lt;=$B179),OR(Housemates!$D$11="",Housemates!$D$11&gt;=$B179)),IF($Q179=0,1,INDEX(Bills!$AD$6:$AD$25,$Q179)),0))))</f>
        <v/>
      </c>
      <c r="W179">
        <f>IF(OR($D179="",$B179="",Housemates!$B$12=""),0,IF($R179&gt;0,IF(J179="",0,IF(ISNUMBER(J179),J179,1)),IF($C179="Paying back",0,IF(AND(OR(Housemates!$C$12="",Housemates!$C$12&lt;=$B179),OR(Housemates!$D$12="",Housemates!$D$12&gt;=$B179)),IF($Q179=0,1,INDEX(Bills!$AE$6:$AE$25,$Q179)),0))))</f>
        <v/>
      </c>
      <c r="X179">
        <f>IF(OR($D179="",$B179="",Housemates!$B$13=""),0,IF($R179&gt;0,IF(K179="",0,IF(ISNUMBER(K179),K179,1)),IF($C179="Paying back",0,IF(AND(OR(Housemates!$C$13="",Housemates!$C$13&lt;=$B179),OR(Housemates!$D$13="",Housemates!$D$13&gt;=$B179)),IF($Q179=0,1,INDEX(Bills!$AF$6:$AF$25,$Q179)),0))))</f>
        <v/>
      </c>
      <c r="Y179">
        <f>IF(OR($D179="",$B179="",Housemates!$B$14=""),0,IF($R179&gt;0,IF(L179="",0,IF(ISNUMBER(L179),L179,1)),IF($C179="Paying back",0,IF(AND(OR(Housemates!$C$14="",Housemates!$C$14&lt;=$B179),OR(Housemates!$D$14="",Housemates!$D$14&gt;=$B179)),IF($Q179=0,1,INDEX(Bills!$AG$6:$AG$25,$Q179)),0))))</f>
        <v/>
      </c>
      <c r="Z179">
        <f>IF(OR($D179="",$B179="",Housemates!$B$15=""),0,IF($R179&gt;0,IF(M179="",0,IF(ISNUMBER(M179),M179,1)),IF($C179="Paying back",0,IF(AND(OR(Housemates!$C$15="",Housemates!$C$15&lt;=$B179),OR(Housemates!$D$15="",Housemates!$D$15&gt;=$B179)),IF($Q179=0,1,INDEX(Bills!$AH$6:$AH$25,$Q179)),0))))</f>
        <v/>
      </c>
      <c r="AA179">
        <f>SUM(S179:Z179)</f>
        <v/>
      </c>
      <c r="AB179">
        <f>IF(AA179=0,0,D179*S179/AA179)</f>
        <v/>
      </c>
      <c r="AC179">
        <f>IF(AA179=0,0,D179*T179/AA179)</f>
        <v/>
      </c>
      <c r="AD179">
        <f>IF(AA179=0,0,D179*U179/AA179)</f>
        <v/>
      </c>
      <c r="AE179">
        <f>IF(AA179=0,0,D179*V179/AA179)</f>
        <v/>
      </c>
      <c r="AF179">
        <f>IF(AA179=0,0,D179*W179/AA179)</f>
        <v/>
      </c>
      <c r="AG179">
        <f>IF(AA179=0,0,D179*X179/AA179)</f>
        <v/>
      </c>
      <c r="AH179">
        <f>IF(AA179=0,0,D179*Y179/AA179)</f>
        <v/>
      </c>
      <c r="AI179">
        <f>IF(AA179=0,0,D179*Z179/AA179)</f>
        <v/>
      </c>
      <c r="AJ179">
        <f>IF(OR(C179="",B179=""),"",C179&amp;"|"&amp;(YEAR(B179)*100+MONTH(B179)))</f>
        <v/>
      </c>
    </row>
    <row r="180">
      <c r="A180" s="1" t="n"/>
      <c r="B180" s="23" t="n"/>
      <c r="C180" s="24" t="n"/>
      <c r="D180" s="25" t="n"/>
      <c r="E180" s="26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1">
        <f>IF(D180="","",IF(B180="","No date",IF(AND(C180="Paying back",R180=0),"To whom?",IF(AA180=0,"Nobody",IF(C180="Paying back","To "&amp;INDEX(Housemates!$B$8:$B$15,MATCH(MAX(S180:Z180),S180:Z180,0)),IF(R180&gt;0,IF(COUNTIF(S180:Z180,"&gt;0")=1,"1 person",COUNTIF(S180:Z180,"&gt;0")&amp;" people"),IF(Q180=0,"Everyone",INDEX(Bills!$Q$6:$Q$25,Q180))))))))</f>
        <v/>
      </c>
      <c r="O180" s="18">
        <f>IF(D180="","",IF(C180="Paying back","Paying back",IF(Q180=0,"Other",IF(INDEX(Bills!$C$6:$C$25,Q180)="","Other",INDEX(Bills!$C$6:$C$25,Q180)))))</f>
        <v/>
      </c>
      <c r="P180" s="1" t="n"/>
      <c r="Q180">
        <f>IF(C180="",0,IFERROR(MATCH(C180,Bills!$B$6:$B$25,0),0))</f>
        <v/>
      </c>
      <c r="R180">
        <f>COUNTA(F180:M180)</f>
        <v/>
      </c>
      <c r="S180">
        <f>IF(OR($D180="",$B180="",Housemates!$B$8=""),0,IF($R180&gt;0,IF(F180="",0,IF(ISNUMBER(F180),F180,1)),IF($C180="Paying back",0,IF(AND(OR(Housemates!$C$8="",Housemates!$C$8&lt;=$B180),OR(Housemates!$D$8="",Housemates!$D$8&gt;=$B180)),IF($Q180=0,1,INDEX(Bills!$AA$6:$AA$25,$Q180)),0))))</f>
        <v/>
      </c>
      <c r="T180">
        <f>IF(OR($D180="",$B180="",Housemates!$B$9=""),0,IF($R180&gt;0,IF(G180="",0,IF(ISNUMBER(G180),G180,1)),IF($C180="Paying back",0,IF(AND(OR(Housemates!$C$9="",Housemates!$C$9&lt;=$B180),OR(Housemates!$D$9="",Housemates!$D$9&gt;=$B180)),IF($Q180=0,1,INDEX(Bills!$AB$6:$AB$25,$Q180)),0))))</f>
        <v/>
      </c>
      <c r="U180">
        <f>IF(OR($D180="",$B180="",Housemates!$B$10=""),0,IF($R180&gt;0,IF(H180="",0,IF(ISNUMBER(H180),H180,1)),IF($C180="Paying back",0,IF(AND(OR(Housemates!$C$10="",Housemates!$C$10&lt;=$B180),OR(Housemates!$D$10="",Housemates!$D$10&gt;=$B180)),IF($Q180=0,1,INDEX(Bills!$AC$6:$AC$25,$Q180)),0))))</f>
        <v/>
      </c>
      <c r="V180">
        <f>IF(OR($D180="",$B180="",Housemates!$B$11=""),0,IF($R180&gt;0,IF(I180="",0,IF(ISNUMBER(I180),I180,1)),IF($C180="Paying back",0,IF(AND(OR(Housemates!$C$11="",Housemates!$C$11&lt;=$B180),OR(Housemates!$D$11="",Housemates!$D$11&gt;=$B180)),IF($Q180=0,1,INDEX(Bills!$AD$6:$AD$25,$Q180)),0))))</f>
        <v/>
      </c>
      <c r="W180">
        <f>IF(OR($D180="",$B180="",Housemates!$B$12=""),0,IF($R180&gt;0,IF(J180="",0,IF(ISNUMBER(J180),J180,1)),IF($C180="Paying back",0,IF(AND(OR(Housemates!$C$12="",Housemates!$C$12&lt;=$B180),OR(Housemates!$D$12="",Housemates!$D$12&gt;=$B180)),IF($Q180=0,1,INDEX(Bills!$AE$6:$AE$25,$Q180)),0))))</f>
        <v/>
      </c>
      <c r="X180">
        <f>IF(OR($D180="",$B180="",Housemates!$B$13=""),0,IF($R180&gt;0,IF(K180="",0,IF(ISNUMBER(K180),K180,1)),IF($C180="Paying back",0,IF(AND(OR(Housemates!$C$13="",Housemates!$C$13&lt;=$B180),OR(Housemates!$D$13="",Housemates!$D$13&gt;=$B180)),IF($Q180=0,1,INDEX(Bills!$AF$6:$AF$25,$Q180)),0))))</f>
        <v/>
      </c>
      <c r="Y180">
        <f>IF(OR($D180="",$B180="",Housemates!$B$14=""),0,IF($R180&gt;0,IF(L180="",0,IF(ISNUMBER(L180),L180,1)),IF($C180="Paying back",0,IF(AND(OR(Housemates!$C$14="",Housemates!$C$14&lt;=$B180),OR(Housemates!$D$14="",Housemates!$D$14&gt;=$B180)),IF($Q180=0,1,INDEX(Bills!$AG$6:$AG$25,$Q180)),0))))</f>
        <v/>
      </c>
      <c r="Z180">
        <f>IF(OR($D180="",$B180="",Housemates!$B$15=""),0,IF($R180&gt;0,IF(M180="",0,IF(ISNUMBER(M180),M180,1)),IF($C180="Paying back",0,IF(AND(OR(Housemates!$C$15="",Housemates!$C$15&lt;=$B180),OR(Housemates!$D$15="",Housemates!$D$15&gt;=$B180)),IF($Q180=0,1,INDEX(Bills!$AH$6:$AH$25,$Q180)),0))))</f>
        <v/>
      </c>
      <c r="AA180">
        <f>SUM(S180:Z180)</f>
        <v/>
      </c>
      <c r="AB180">
        <f>IF(AA180=0,0,D180*S180/AA180)</f>
        <v/>
      </c>
      <c r="AC180">
        <f>IF(AA180=0,0,D180*T180/AA180)</f>
        <v/>
      </c>
      <c r="AD180">
        <f>IF(AA180=0,0,D180*U180/AA180)</f>
        <v/>
      </c>
      <c r="AE180">
        <f>IF(AA180=0,0,D180*V180/AA180)</f>
        <v/>
      </c>
      <c r="AF180">
        <f>IF(AA180=0,0,D180*W180/AA180)</f>
        <v/>
      </c>
      <c r="AG180">
        <f>IF(AA180=0,0,D180*X180/AA180)</f>
        <v/>
      </c>
      <c r="AH180">
        <f>IF(AA180=0,0,D180*Y180/AA180)</f>
        <v/>
      </c>
      <c r="AI180">
        <f>IF(AA180=0,0,D180*Z180/AA180)</f>
        <v/>
      </c>
      <c r="AJ180">
        <f>IF(OR(C180="",B180=""),"",C180&amp;"|"&amp;(YEAR(B180)*100+MONTH(B180)))</f>
        <v/>
      </c>
    </row>
    <row r="181">
      <c r="A181" s="1" t="n"/>
      <c r="B181" s="23" t="n"/>
      <c r="C181" s="24" t="n"/>
      <c r="D181" s="25" t="n"/>
      <c r="E181" s="26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1">
        <f>IF(D181="","",IF(B181="","No date",IF(AND(C181="Paying back",R181=0),"To whom?",IF(AA181=0,"Nobody",IF(C181="Paying back","To "&amp;INDEX(Housemates!$B$8:$B$15,MATCH(MAX(S181:Z181),S181:Z181,0)),IF(R181&gt;0,IF(COUNTIF(S181:Z181,"&gt;0")=1,"1 person",COUNTIF(S181:Z181,"&gt;0")&amp;" people"),IF(Q181=0,"Everyone",INDEX(Bills!$Q$6:$Q$25,Q181))))))))</f>
        <v/>
      </c>
      <c r="O181" s="18">
        <f>IF(D181="","",IF(C181="Paying back","Paying back",IF(Q181=0,"Other",IF(INDEX(Bills!$C$6:$C$25,Q181)="","Other",INDEX(Bills!$C$6:$C$25,Q181)))))</f>
        <v/>
      </c>
      <c r="P181" s="1" t="n"/>
      <c r="Q181">
        <f>IF(C181="",0,IFERROR(MATCH(C181,Bills!$B$6:$B$25,0),0))</f>
        <v/>
      </c>
      <c r="R181">
        <f>COUNTA(F181:M181)</f>
        <v/>
      </c>
      <c r="S181">
        <f>IF(OR($D181="",$B181="",Housemates!$B$8=""),0,IF($R181&gt;0,IF(F181="",0,IF(ISNUMBER(F181),F181,1)),IF($C181="Paying back",0,IF(AND(OR(Housemates!$C$8="",Housemates!$C$8&lt;=$B181),OR(Housemates!$D$8="",Housemates!$D$8&gt;=$B181)),IF($Q181=0,1,INDEX(Bills!$AA$6:$AA$25,$Q181)),0))))</f>
        <v/>
      </c>
      <c r="T181">
        <f>IF(OR($D181="",$B181="",Housemates!$B$9=""),0,IF($R181&gt;0,IF(G181="",0,IF(ISNUMBER(G181),G181,1)),IF($C181="Paying back",0,IF(AND(OR(Housemates!$C$9="",Housemates!$C$9&lt;=$B181),OR(Housemates!$D$9="",Housemates!$D$9&gt;=$B181)),IF($Q181=0,1,INDEX(Bills!$AB$6:$AB$25,$Q181)),0))))</f>
        <v/>
      </c>
      <c r="U181">
        <f>IF(OR($D181="",$B181="",Housemates!$B$10=""),0,IF($R181&gt;0,IF(H181="",0,IF(ISNUMBER(H181),H181,1)),IF($C181="Paying back",0,IF(AND(OR(Housemates!$C$10="",Housemates!$C$10&lt;=$B181),OR(Housemates!$D$10="",Housemates!$D$10&gt;=$B181)),IF($Q181=0,1,INDEX(Bills!$AC$6:$AC$25,$Q181)),0))))</f>
        <v/>
      </c>
      <c r="V181">
        <f>IF(OR($D181="",$B181="",Housemates!$B$11=""),0,IF($R181&gt;0,IF(I181="",0,IF(ISNUMBER(I181),I181,1)),IF($C181="Paying back",0,IF(AND(OR(Housemates!$C$11="",Housemates!$C$11&lt;=$B181),OR(Housemates!$D$11="",Housemates!$D$11&gt;=$B181)),IF($Q181=0,1,INDEX(Bills!$AD$6:$AD$25,$Q181)),0))))</f>
        <v/>
      </c>
      <c r="W181">
        <f>IF(OR($D181="",$B181="",Housemates!$B$12=""),0,IF($R181&gt;0,IF(J181="",0,IF(ISNUMBER(J181),J181,1)),IF($C181="Paying back",0,IF(AND(OR(Housemates!$C$12="",Housemates!$C$12&lt;=$B181),OR(Housemates!$D$12="",Housemates!$D$12&gt;=$B181)),IF($Q181=0,1,INDEX(Bills!$AE$6:$AE$25,$Q181)),0))))</f>
        <v/>
      </c>
      <c r="X181">
        <f>IF(OR($D181="",$B181="",Housemates!$B$13=""),0,IF($R181&gt;0,IF(K181="",0,IF(ISNUMBER(K181),K181,1)),IF($C181="Paying back",0,IF(AND(OR(Housemates!$C$13="",Housemates!$C$13&lt;=$B181),OR(Housemates!$D$13="",Housemates!$D$13&gt;=$B181)),IF($Q181=0,1,INDEX(Bills!$AF$6:$AF$25,$Q181)),0))))</f>
        <v/>
      </c>
      <c r="Y181">
        <f>IF(OR($D181="",$B181="",Housemates!$B$14=""),0,IF($R181&gt;0,IF(L181="",0,IF(ISNUMBER(L181),L181,1)),IF($C181="Paying back",0,IF(AND(OR(Housemates!$C$14="",Housemates!$C$14&lt;=$B181),OR(Housemates!$D$14="",Housemates!$D$14&gt;=$B181)),IF($Q181=0,1,INDEX(Bills!$AG$6:$AG$25,$Q181)),0))))</f>
        <v/>
      </c>
      <c r="Z181">
        <f>IF(OR($D181="",$B181="",Housemates!$B$15=""),0,IF($R181&gt;0,IF(M181="",0,IF(ISNUMBER(M181),M181,1)),IF($C181="Paying back",0,IF(AND(OR(Housemates!$C$15="",Housemates!$C$15&lt;=$B181),OR(Housemates!$D$15="",Housemates!$D$15&gt;=$B181)),IF($Q181=0,1,INDEX(Bills!$AH$6:$AH$25,$Q181)),0))))</f>
        <v/>
      </c>
      <c r="AA181">
        <f>SUM(S181:Z181)</f>
        <v/>
      </c>
      <c r="AB181">
        <f>IF(AA181=0,0,D181*S181/AA181)</f>
        <v/>
      </c>
      <c r="AC181">
        <f>IF(AA181=0,0,D181*T181/AA181)</f>
        <v/>
      </c>
      <c r="AD181">
        <f>IF(AA181=0,0,D181*U181/AA181)</f>
        <v/>
      </c>
      <c r="AE181">
        <f>IF(AA181=0,0,D181*V181/AA181)</f>
        <v/>
      </c>
      <c r="AF181">
        <f>IF(AA181=0,0,D181*W181/AA181)</f>
        <v/>
      </c>
      <c r="AG181">
        <f>IF(AA181=0,0,D181*X181/AA181)</f>
        <v/>
      </c>
      <c r="AH181">
        <f>IF(AA181=0,0,D181*Y181/AA181)</f>
        <v/>
      </c>
      <c r="AI181">
        <f>IF(AA181=0,0,D181*Z181/AA181)</f>
        <v/>
      </c>
      <c r="AJ181">
        <f>IF(OR(C181="",B181=""),"",C181&amp;"|"&amp;(YEAR(B181)*100+MONTH(B181)))</f>
        <v/>
      </c>
    </row>
    <row r="182">
      <c r="A182" s="1" t="n"/>
      <c r="B182" s="23" t="n"/>
      <c r="C182" s="24" t="n"/>
      <c r="D182" s="25" t="n"/>
      <c r="E182" s="26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1">
        <f>IF(D182="","",IF(B182="","No date",IF(AND(C182="Paying back",R182=0),"To whom?",IF(AA182=0,"Nobody",IF(C182="Paying back","To "&amp;INDEX(Housemates!$B$8:$B$15,MATCH(MAX(S182:Z182),S182:Z182,0)),IF(R182&gt;0,IF(COUNTIF(S182:Z182,"&gt;0")=1,"1 person",COUNTIF(S182:Z182,"&gt;0")&amp;" people"),IF(Q182=0,"Everyone",INDEX(Bills!$Q$6:$Q$25,Q182))))))))</f>
        <v/>
      </c>
      <c r="O182" s="18">
        <f>IF(D182="","",IF(C182="Paying back","Paying back",IF(Q182=0,"Other",IF(INDEX(Bills!$C$6:$C$25,Q182)="","Other",INDEX(Bills!$C$6:$C$25,Q182)))))</f>
        <v/>
      </c>
      <c r="P182" s="1" t="n"/>
      <c r="Q182">
        <f>IF(C182="",0,IFERROR(MATCH(C182,Bills!$B$6:$B$25,0),0))</f>
        <v/>
      </c>
      <c r="R182">
        <f>COUNTA(F182:M182)</f>
        <v/>
      </c>
      <c r="S182">
        <f>IF(OR($D182="",$B182="",Housemates!$B$8=""),0,IF($R182&gt;0,IF(F182="",0,IF(ISNUMBER(F182),F182,1)),IF($C182="Paying back",0,IF(AND(OR(Housemates!$C$8="",Housemates!$C$8&lt;=$B182),OR(Housemates!$D$8="",Housemates!$D$8&gt;=$B182)),IF($Q182=0,1,INDEX(Bills!$AA$6:$AA$25,$Q182)),0))))</f>
        <v/>
      </c>
      <c r="T182">
        <f>IF(OR($D182="",$B182="",Housemates!$B$9=""),0,IF($R182&gt;0,IF(G182="",0,IF(ISNUMBER(G182),G182,1)),IF($C182="Paying back",0,IF(AND(OR(Housemates!$C$9="",Housemates!$C$9&lt;=$B182),OR(Housemates!$D$9="",Housemates!$D$9&gt;=$B182)),IF($Q182=0,1,INDEX(Bills!$AB$6:$AB$25,$Q182)),0))))</f>
        <v/>
      </c>
      <c r="U182">
        <f>IF(OR($D182="",$B182="",Housemates!$B$10=""),0,IF($R182&gt;0,IF(H182="",0,IF(ISNUMBER(H182),H182,1)),IF($C182="Paying back",0,IF(AND(OR(Housemates!$C$10="",Housemates!$C$10&lt;=$B182),OR(Housemates!$D$10="",Housemates!$D$10&gt;=$B182)),IF($Q182=0,1,INDEX(Bills!$AC$6:$AC$25,$Q182)),0))))</f>
        <v/>
      </c>
      <c r="V182">
        <f>IF(OR($D182="",$B182="",Housemates!$B$11=""),0,IF($R182&gt;0,IF(I182="",0,IF(ISNUMBER(I182),I182,1)),IF($C182="Paying back",0,IF(AND(OR(Housemates!$C$11="",Housemates!$C$11&lt;=$B182),OR(Housemates!$D$11="",Housemates!$D$11&gt;=$B182)),IF($Q182=0,1,INDEX(Bills!$AD$6:$AD$25,$Q182)),0))))</f>
        <v/>
      </c>
      <c r="W182">
        <f>IF(OR($D182="",$B182="",Housemates!$B$12=""),0,IF($R182&gt;0,IF(J182="",0,IF(ISNUMBER(J182),J182,1)),IF($C182="Paying back",0,IF(AND(OR(Housemates!$C$12="",Housemates!$C$12&lt;=$B182),OR(Housemates!$D$12="",Housemates!$D$12&gt;=$B182)),IF($Q182=0,1,INDEX(Bills!$AE$6:$AE$25,$Q182)),0))))</f>
        <v/>
      </c>
      <c r="X182">
        <f>IF(OR($D182="",$B182="",Housemates!$B$13=""),0,IF($R182&gt;0,IF(K182="",0,IF(ISNUMBER(K182),K182,1)),IF($C182="Paying back",0,IF(AND(OR(Housemates!$C$13="",Housemates!$C$13&lt;=$B182),OR(Housemates!$D$13="",Housemates!$D$13&gt;=$B182)),IF($Q182=0,1,INDEX(Bills!$AF$6:$AF$25,$Q182)),0))))</f>
        <v/>
      </c>
      <c r="Y182">
        <f>IF(OR($D182="",$B182="",Housemates!$B$14=""),0,IF($R182&gt;0,IF(L182="",0,IF(ISNUMBER(L182),L182,1)),IF($C182="Paying back",0,IF(AND(OR(Housemates!$C$14="",Housemates!$C$14&lt;=$B182),OR(Housemates!$D$14="",Housemates!$D$14&gt;=$B182)),IF($Q182=0,1,INDEX(Bills!$AG$6:$AG$25,$Q182)),0))))</f>
        <v/>
      </c>
      <c r="Z182">
        <f>IF(OR($D182="",$B182="",Housemates!$B$15=""),0,IF($R182&gt;0,IF(M182="",0,IF(ISNUMBER(M182),M182,1)),IF($C182="Paying back",0,IF(AND(OR(Housemates!$C$15="",Housemates!$C$15&lt;=$B182),OR(Housemates!$D$15="",Housemates!$D$15&gt;=$B182)),IF($Q182=0,1,INDEX(Bills!$AH$6:$AH$25,$Q182)),0))))</f>
        <v/>
      </c>
      <c r="AA182">
        <f>SUM(S182:Z182)</f>
        <v/>
      </c>
      <c r="AB182">
        <f>IF(AA182=0,0,D182*S182/AA182)</f>
        <v/>
      </c>
      <c r="AC182">
        <f>IF(AA182=0,0,D182*T182/AA182)</f>
        <v/>
      </c>
      <c r="AD182">
        <f>IF(AA182=0,0,D182*U182/AA182)</f>
        <v/>
      </c>
      <c r="AE182">
        <f>IF(AA182=0,0,D182*V182/AA182)</f>
        <v/>
      </c>
      <c r="AF182">
        <f>IF(AA182=0,0,D182*W182/AA182)</f>
        <v/>
      </c>
      <c r="AG182">
        <f>IF(AA182=0,0,D182*X182/AA182)</f>
        <v/>
      </c>
      <c r="AH182">
        <f>IF(AA182=0,0,D182*Y182/AA182)</f>
        <v/>
      </c>
      <c r="AI182">
        <f>IF(AA182=0,0,D182*Z182/AA182)</f>
        <v/>
      </c>
      <c r="AJ182">
        <f>IF(OR(C182="",B182=""),"",C182&amp;"|"&amp;(YEAR(B182)*100+MONTH(B182)))</f>
        <v/>
      </c>
    </row>
    <row r="183">
      <c r="A183" s="1" t="n"/>
      <c r="B183" s="23" t="n"/>
      <c r="C183" s="24" t="n"/>
      <c r="D183" s="25" t="n"/>
      <c r="E183" s="26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1">
        <f>IF(D183="","",IF(B183="","No date",IF(AND(C183="Paying back",R183=0),"To whom?",IF(AA183=0,"Nobody",IF(C183="Paying back","To "&amp;INDEX(Housemates!$B$8:$B$15,MATCH(MAX(S183:Z183),S183:Z183,0)),IF(R183&gt;0,IF(COUNTIF(S183:Z183,"&gt;0")=1,"1 person",COUNTIF(S183:Z183,"&gt;0")&amp;" people"),IF(Q183=0,"Everyone",INDEX(Bills!$Q$6:$Q$25,Q183))))))))</f>
        <v/>
      </c>
      <c r="O183" s="18">
        <f>IF(D183="","",IF(C183="Paying back","Paying back",IF(Q183=0,"Other",IF(INDEX(Bills!$C$6:$C$25,Q183)="","Other",INDEX(Bills!$C$6:$C$25,Q183)))))</f>
        <v/>
      </c>
      <c r="P183" s="1" t="n"/>
      <c r="Q183">
        <f>IF(C183="",0,IFERROR(MATCH(C183,Bills!$B$6:$B$25,0),0))</f>
        <v/>
      </c>
      <c r="R183">
        <f>COUNTA(F183:M183)</f>
        <v/>
      </c>
      <c r="S183">
        <f>IF(OR($D183="",$B183="",Housemates!$B$8=""),0,IF($R183&gt;0,IF(F183="",0,IF(ISNUMBER(F183),F183,1)),IF($C183="Paying back",0,IF(AND(OR(Housemates!$C$8="",Housemates!$C$8&lt;=$B183),OR(Housemates!$D$8="",Housemates!$D$8&gt;=$B183)),IF($Q183=0,1,INDEX(Bills!$AA$6:$AA$25,$Q183)),0))))</f>
        <v/>
      </c>
      <c r="T183">
        <f>IF(OR($D183="",$B183="",Housemates!$B$9=""),0,IF($R183&gt;0,IF(G183="",0,IF(ISNUMBER(G183),G183,1)),IF($C183="Paying back",0,IF(AND(OR(Housemates!$C$9="",Housemates!$C$9&lt;=$B183),OR(Housemates!$D$9="",Housemates!$D$9&gt;=$B183)),IF($Q183=0,1,INDEX(Bills!$AB$6:$AB$25,$Q183)),0))))</f>
        <v/>
      </c>
      <c r="U183">
        <f>IF(OR($D183="",$B183="",Housemates!$B$10=""),0,IF($R183&gt;0,IF(H183="",0,IF(ISNUMBER(H183),H183,1)),IF($C183="Paying back",0,IF(AND(OR(Housemates!$C$10="",Housemates!$C$10&lt;=$B183),OR(Housemates!$D$10="",Housemates!$D$10&gt;=$B183)),IF($Q183=0,1,INDEX(Bills!$AC$6:$AC$25,$Q183)),0))))</f>
        <v/>
      </c>
      <c r="V183">
        <f>IF(OR($D183="",$B183="",Housemates!$B$11=""),0,IF($R183&gt;0,IF(I183="",0,IF(ISNUMBER(I183),I183,1)),IF($C183="Paying back",0,IF(AND(OR(Housemates!$C$11="",Housemates!$C$11&lt;=$B183),OR(Housemates!$D$11="",Housemates!$D$11&gt;=$B183)),IF($Q183=0,1,INDEX(Bills!$AD$6:$AD$25,$Q183)),0))))</f>
        <v/>
      </c>
      <c r="W183">
        <f>IF(OR($D183="",$B183="",Housemates!$B$12=""),0,IF($R183&gt;0,IF(J183="",0,IF(ISNUMBER(J183),J183,1)),IF($C183="Paying back",0,IF(AND(OR(Housemates!$C$12="",Housemates!$C$12&lt;=$B183),OR(Housemates!$D$12="",Housemates!$D$12&gt;=$B183)),IF($Q183=0,1,INDEX(Bills!$AE$6:$AE$25,$Q183)),0))))</f>
        <v/>
      </c>
      <c r="X183">
        <f>IF(OR($D183="",$B183="",Housemates!$B$13=""),0,IF($R183&gt;0,IF(K183="",0,IF(ISNUMBER(K183),K183,1)),IF($C183="Paying back",0,IF(AND(OR(Housemates!$C$13="",Housemates!$C$13&lt;=$B183),OR(Housemates!$D$13="",Housemates!$D$13&gt;=$B183)),IF($Q183=0,1,INDEX(Bills!$AF$6:$AF$25,$Q183)),0))))</f>
        <v/>
      </c>
      <c r="Y183">
        <f>IF(OR($D183="",$B183="",Housemates!$B$14=""),0,IF($R183&gt;0,IF(L183="",0,IF(ISNUMBER(L183),L183,1)),IF($C183="Paying back",0,IF(AND(OR(Housemates!$C$14="",Housemates!$C$14&lt;=$B183),OR(Housemates!$D$14="",Housemates!$D$14&gt;=$B183)),IF($Q183=0,1,INDEX(Bills!$AG$6:$AG$25,$Q183)),0))))</f>
        <v/>
      </c>
      <c r="Z183">
        <f>IF(OR($D183="",$B183="",Housemates!$B$15=""),0,IF($R183&gt;0,IF(M183="",0,IF(ISNUMBER(M183),M183,1)),IF($C183="Paying back",0,IF(AND(OR(Housemates!$C$15="",Housemates!$C$15&lt;=$B183),OR(Housemates!$D$15="",Housemates!$D$15&gt;=$B183)),IF($Q183=0,1,INDEX(Bills!$AH$6:$AH$25,$Q183)),0))))</f>
        <v/>
      </c>
      <c r="AA183">
        <f>SUM(S183:Z183)</f>
        <v/>
      </c>
      <c r="AB183">
        <f>IF(AA183=0,0,D183*S183/AA183)</f>
        <v/>
      </c>
      <c r="AC183">
        <f>IF(AA183=0,0,D183*T183/AA183)</f>
        <v/>
      </c>
      <c r="AD183">
        <f>IF(AA183=0,0,D183*U183/AA183)</f>
        <v/>
      </c>
      <c r="AE183">
        <f>IF(AA183=0,0,D183*V183/AA183)</f>
        <v/>
      </c>
      <c r="AF183">
        <f>IF(AA183=0,0,D183*W183/AA183)</f>
        <v/>
      </c>
      <c r="AG183">
        <f>IF(AA183=0,0,D183*X183/AA183)</f>
        <v/>
      </c>
      <c r="AH183">
        <f>IF(AA183=0,0,D183*Y183/AA183)</f>
        <v/>
      </c>
      <c r="AI183">
        <f>IF(AA183=0,0,D183*Z183/AA183)</f>
        <v/>
      </c>
      <c r="AJ183">
        <f>IF(OR(C183="",B183=""),"",C183&amp;"|"&amp;(YEAR(B183)*100+MONTH(B183)))</f>
        <v/>
      </c>
    </row>
    <row r="184">
      <c r="A184" s="1" t="n"/>
      <c r="B184" s="23" t="n"/>
      <c r="C184" s="24" t="n"/>
      <c r="D184" s="25" t="n"/>
      <c r="E184" s="26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1">
        <f>IF(D184="","",IF(B184="","No date",IF(AND(C184="Paying back",R184=0),"To whom?",IF(AA184=0,"Nobody",IF(C184="Paying back","To "&amp;INDEX(Housemates!$B$8:$B$15,MATCH(MAX(S184:Z184),S184:Z184,0)),IF(R184&gt;0,IF(COUNTIF(S184:Z184,"&gt;0")=1,"1 person",COUNTIF(S184:Z184,"&gt;0")&amp;" people"),IF(Q184=0,"Everyone",INDEX(Bills!$Q$6:$Q$25,Q184))))))))</f>
        <v/>
      </c>
      <c r="O184" s="18">
        <f>IF(D184="","",IF(C184="Paying back","Paying back",IF(Q184=0,"Other",IF(INDEX(Bills!$C$6:$C$25,Q184)="","Other",INDEX(Bills!$C$6:$C$25,Q184)))))</f>
        <v/>
      </c>
      <c r="P184" s="1" t="n"/>
      <c r="Q184">
        <f>IF(C184="",0,IFERROR(MATCH(C184,Bills!$B$6:$B$25,0),0))</f>
        <v/>
      </c>
      <c r="R184">
        <f>COUNTA(F184:M184)</f>
        <v/>
      </c>
      <c r="S184">
        <f>IF(OR($D184="",$B184="",Housemates!$B$8=""),0,IF($R184&gt;0,IF(F184="",0,IF(ISNUMBER(F184),F184,1)),IF($C184="Paying back",0,IF(AND(OR(Housemates!$C$8="",Housemates!$C$8&lt;=$B184),OR(Housemates!$D$8="",Housemates!$D$8&gt;=$B184)),IF($Q184=0,1,INDEX(Bills!$AA$6:$AA$25,$Q184)),0))))</f>
        <v/>
      </c>
      <c r="T184">
        <f>IF(OR($D184="",$B184="",Housemates!$B$9=""),0,IF($R184&gt;0,IF(G184="",0,IF(ISNUMBER(G184),G184,1)),IF($C184="Paying back",0,IF(AND(OR(Housemates!$C$9="",Housemates!$C$9&lt;=$B184),OR(Housemates!$D$9="",Housemates!$D$9&gt;=$B184)),IF($Q184=0,1,INDEX(Bills!$AB$6:$AB$25,$Q184)),0))))</f>
        <v/>
      </c>
      <c r="U184">
        <f>IF(OR($D184="",$B184="",Housemates!$B$10=""),0,IF($R184&gt;0,IF(H184="",0,IF(ISNUMBER(H184),H184,1)),IF($C184="Paying back",0,IF(AND(OR(Housemates!$C$10="",Housemates!$C$10&lt;=$B184),OR(Housemates!$D$10="",Housemates!$D$10&gt;=$B184)),IF($Q184=0,1,INDEX(Bills!$AC$6:$AC$25,$Q184)),0))))</f>
        <v/>
      </c>
      <c r="V184">
        <f>IF(OR($D184="",$B184="",Housemates!$B$11=""),0,IF($R184&gt;0,IF(I184="",0,IF(ISNUMBER(I184),I184,1)),IF($C184="Paying back",0,IF(AND(OR(Housemates!$C$11="",Housemates!$C$11&lt;=$B184),OR(Housemates!$D$11="",Housemates!$D$11&gt;=$B184)),IF($Q184=0,1,INDEX(Bills!$AD$6:$AD$25,$Q184)),0))))</f>
        <v/>
      </c>
      <c r="W184">
        <f>IF(OR($D184="",$B184="",Housemates!$B$12=""),0,IF($R184&gt;0,IF(J184="",0,IF(ISNUMBER(J184),J184,1)),IF($C184="Paying back",0,IF(AND(OR(Housemates!$C$12="",Housemates!$C$12&lt;=$B184),OR(Housemates!$D$12="",Housemates!$D$12&gt;=$B184)),IF($Q184=0,1,INDEX(Bills!$AE$6:$AE$25,$Q184)),0))))</f>
        <v/>
      </c>
      <c r="X184">
        <f>IF(OR($D184="",$B184="",Housemates!$B$13=""),0,IF($R184&gt;0,IF(K184="",0,IF(ISNUMBER(K184),K184,1)),IF($C184="Paying back",0,IF(AND(OR(Housemates!$C$13="",Housemates!$C$13&lt;=$B184),OR(Housemates!$D$13="",Housemates!$D$13&gt;=$B184)),IF($Q184=0,1,INDEX(Bills!$AF$6:$AF$25,$Q184)),0))))</f>
        <v/>
      </c>
      <c r="Y184">
        <f>IF(OR($D184="",$B184="",Housemates!$B$14=""),0,IF($R184&gt;0,IF(L184="",0,IF(ISNUMBER(L184),L184,1)),IF($C184="Paying back",0,IF(AND(OR(Housemates!$C$14="",Housemates!$C$14&lt;=$B184),OR(Housemates!$D$14="",Housemates!$D$14&gt;=$B184)),IF($Q184=0,1,INDEX(Bills!$AG$6:$AG$25,$Q184)),0))))</f>
        <v/>
      </c>
      <c r="Z184">
        <f>IF(OR($D184="",$B184="",Housemates!$B$15=""),0,IF($R184&gt;0,IF(M184="",0,IF(ISNUMBER(M184),M184,1)),IF($C184="Paying back",0,IF(AND(OR(Housemates!$C$15="",Housemates!$C$15&lt;=$B184),OR(Housemates!$D$15="",Housemates!$D$15&gt;=$B184)),IF($Q184=0,1,INDEX(Bills!$AH$6:$AH$25,$Q184)),0))))</f>
        <v/>
      </c>
      <c r="AA184">
        <f>SUM(S184:Z184)</f>
        <v/>
      </c>
      <c r="AB184">
        <f>IF(AA184=0,0,D184*S184/AA184)</f>
        <v/>
      </c>
      <c r="AC184">
        <f>IF(AA184=0,0,D184*T184/AA184)</f>
        <v/>
      </c>
      <c r="AD184">
        <f>IF(AA184=0,0,D184*U184/AA184)</f>
        <v/>
      </c>
      <c r="AE184">
        <f>IF(AA184=0,0,D184*V184/AA184)</f>
        <v/>
      </c>
      <c r="AF184">
        <f>IF(AA184=0,0,D184*W184/AA184)</f>
        <v/>
      </c>
      <c r="AG184">
        <f>IF(AA184=0,0,D184*X184/AA184)</f>
        <v/>
      </c>
      <c r="AH184">
        <f>IF(AA184=0,0,D184*Y184/AA184)</f>
        <v/>
      </c>
      <c r="AI184">
        <f>IF(AA184=0,0,D184*Z184/AA184)</f>
        <v/>
      </c>
      <c r="AJ184">
        <f>IF(OR(C184="",B184=""),"",C184&amp;"|"&amp;(YEAR(B184)*100+MONTH(B184)))</f>
        <v/>
      </c>
    </row>
    <row r="185">
      <c r="A185" s="1" t="n"/>
      <c r="B185" s="23" t="n"/>
      <c r="C185" s="24" t="n"/>
      <c r="D185" s="25" t="n"/>
      <c r="E185" s="26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1">
        <f>IF(D185="","",IF(B185="","No date",IF(AND(C185="Paying back",R185=0),"To whom?",IF(AA185=0,"Nobody",IF(C185="Paying back","To "&amp;INDEX(Housemates!$B$8:$B$15,MATCH(MAX(S185:Z185),S185:Z185,0)),IF(R185&gt;0,IF(COUNTIF(S185:Z185,"&gt;0")=1,"1 person",COUNTIF(S185:Z185,"&gt;0")&amp;" people"),IF(Q185=0,"Everyone",INDEX(Bills!$Q$6:$Q$25,Q185))))))))</f>
        <v/>
      </c>
      <c r="O185" s="18">
        <f>IF(D185="","",IF(C185="Paying back","Paying back",IF(Q185=0,"Other",IF(INDEX(Bills!$C$6:$C$25,Q185)="","Other",INDEX(Bills!$C$6:$C$25,Q185)))))</f>
        <v/>
      </c>
      <c r="P185" s="1" t="n"/>
      <c r="Q185">
        <f>IF(C185="",0,IFERROR(MATCH(C185,Bills!$B$6:$B$25,0),0))</f>
        <v/>
      </c>
      <c r="R185">
        <f>COUNTA(F185:M185)</f>
        <v/>
      </c>
      <c r="S185">
        <f>IF(OR($D185="",$B185="",Housemates!$B$8=""),0,IF($R185&gt;0,IF(F185="",0,IF(ISNUMBER(F185),F185,1)),IF($C185="Paying back",0,IF(AND(OR(Housemates!$C$8="",Housemates!$C$8&lt;=$B185),OR(Housemates!$D$8="",Housemates!$D$8&gt;=$B185)),IF($Q185=0,1,INDEX(Bills!$AA$6:$AA$25,$Q185)),0))))</f>
        <v/>
      </c>
      <c r="T185">
        <f>IF(OR($D185="",$B185="",Housemates!$B$9=""),0,IF($R185&gt;0,IF(G185="",0,IF(ISNUMBER(G185),G185,1)),IF($C185="Paying back",0,IF(AND(OR(Housemates!$C$9="",Housemates!$C$9&lt;=$B185),OR(Housemates!$D$9="",Housemates!$D$9&gt;=$B185)),IF($Q185=0,1,INDEX(Bills!$AB$6:$AB$25,$Q185)),0))))</f>
        <v/>
      </c>
      <c r="U185">
        <f>IF(OR($D185="",$B185="",Housemates!$B$10=""),0,IF($R185&gt;0,IF(H185="",0,IF(ISNUMBER(H185),H185,1)),IF($C185="Paying back",0,IF(AND(OR(Housemates!$C$10="",Housemates!$C$10&lt;=$B185),OR(Housemates!$D$10="",Housemates!$D$10&gt;=$B185)),IF($Q185=0,1,INDEX(Bills!$AC$6:$AC$25,$Q185)),0))))</f>
        <v/>
      </c>
      <c r="V185">
        <f>IF(OR($D185="",$B185="",Housemates!$B$11=""),0,IF($R185&gt;0,IF(I185="",0,IF(ISNUMBER(I185),I185,1)),IF($C185="Paying back",0,IF(AND(OR(Housemates!$C$11="",Housemates!$C$11&lt;=$B185),OR(Housemates!$D$11="",Housemates!$D$11&gt;=$B185)),IF($Q185=0,1,INDEX(Bills!$AD$6:$AD$25,$Q185)),0))))</f>
        <v/>
      </c>
      <c r="W185">
        <f>IF(OR($D185="",$B185="",Housemates!$B$12=""),0,IF($R185&gt;0,IF(J185="",0,IF(ISNUMBER(J185),J185,1)),IF($C185="Paying back",0,IF(AND(OR(Housemates!$C$12="",Housemates!$C$12&lt;=$B185),OR(Housemates!$D$12="",Housemates!$D$12&gt;=$B185)),IF($Q185=0,1,INDEX(Bills!$AE$6:$AE$25,$Q185)),0))))</f>
        <v/>
      </c>
      <c r="X185">
        <f>IF(OR($D185="",$B185="",Housemates!$B$13=""),0,IF($R185&gt;0,IF(K185="",0,IF(ISNUMBER(K185),K185,1)),IF($C185="Paying back",0,IF(AND(OR(Housemates!$C$13="",Housemates!$C$13&lt;=$B185),OR(Housemates!$D$13="",Housemates!$D$13&gt;=$B185)),IF($Q185=0,1,INDEX(Bills!$AF$6:$AF$25,$Q185)),0))))</f>
        <v/>
      </c>
      <c r="Y185">
        <f>IF(OR($D185="",$B185="",Housemates!$B$14=""),0,IF($R185&gt;0,IF(L185="",0,IF(ISNUMBER(L185),L185,1)),IF($C185="Paying back",0,IF(AND(OR(Housemates!$C$14="",Housemates!$C$14&lt;=$B185),OR(Housemates!$D$14="",Housemates!$D$14&gt;=$B185)),IF($Q185=0,1,INDEX(Bills!$AG$6:$AG$25,$Q185)),0))))</f>
        <v/>
      </c>
      <c r="Z185">
        <f>IF(OR($D185="",$B185="",Housemates!$B$15=""),0,IF($R185&gt;0,IF(M185="",0,IF(ISNUMBER(M185),M185,1)),IF($C185="Paying back",0,IF(AND(OR(Housemates!$C$15="",Housemates!$C$15&lt;=$B185),OR(Housemates!$D$15="",Housemates!$D$15&gt;=$B185)),IF($Q185=0,1,INDEX(Bills!$AH$6:$AH$25,$Q185)),0))))</f>
        <v/>
      </c>
      <c r="AA185">
        <f>SUM(S185:Z185)</f>
        <v/>
      </c>
      <c r="AB185">
        <f>IF(AA185=0,0,D185*S185/AA185)</f>
        <v/>
      </c>
      <c r="AC185">
        <f>IF(AA185=0,0,D185*T185/AA185)</f>
        <v/>
      </c>
      <c r="AD185">
        <f>IF(AA185=0,0,D185*U185/AA185)</f>
        <v/>
      </c>
      <c r="AE185">
        <f>IF(AA185=0,0,D185*V185/AA185)</f>
        <v/>
      </c>
      <c r="AF185">
        <f>IF(AA185=0,0,D185*W185/AA185)</f>
        <v/>
      </c>
      <c r="AG185">
        <f>IF(AA185=0,0,D185*X185/AA185)</f>
        <v/>
      </c>
      <c r="AH185">
        <f>IF(AA185=0,0,D185*Y185/AA185)</f>
        <v/>
      </c>
      <c r="AI185">
        <f>IF(AA185=0,0,D185*Z185/AA185)</f>
        <v/>
      </c>
      <c r="AJ185">
        <f>IF(OR(C185="",B185=""),"",C185&amp;"|"&amp;(YEAR(B185)*100+MONTH(B185)))</f>
        <v/>
      </c>
    </row>
    <row r="186">
      <c r="A186" s="1" t="n"/>
      <c r="B186" s="23" t="n"/>
      <c r="C186" s="24" t="n"/>
      <c r="D186" s="25" t="n"/>
      <c r="E186" s="26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1">
        <f>IF(D186="","",IF(B186="","No date",IF(AND(C186="Paying back",R186=0),"To whom?",IF(AA186=0,"Nobody",IF(C186="Paying back","To "&amp;INDEX(Housemates!$B$8:$B$15,MATCH(MAX(S186:Z186),S186:Z186,0)),IF(R186&gt;0,IF(COUNTIF(S186:Z186,"&gt;0")=1,"1 person",COUNTIF(S186:Z186,"&gt;0")&amp;" people"),IF(Q186=0,"Everyone",INDEX(Bills!$Q$6:$Q$25,Q186))))))))</f>
        <v/>
      </c>
      <c r="O186" s="18">
        <f>IF(D186="","",IF(C186="Paying back","Paying back",IF(Q186=0,"Other",IF(INDEX(Bills!$C$6:$C$25,Q186)="","Other",INDEX(Bills!$C$6:$C$25,Q186)))))</f>
        <v/>
      </c>
      <c r="P186" s="1" t="n"/>
      <c r="Q186">
        <f>IF(C186="",0,IFERROR(MATCH(C186,Bills!$B$6:$B$25,0),0))</f>
        <v/>
      </c>
      <c r="R186">
        <f>COUNTA(F186:M186)</f>
        <v/>
      </c>
      <c r="S186">
        <f>IF(OR($D186="",$B186="",Housemates!$B$8=""),0,IF($R186&gt;0,IF(F186="",0,IF(ISNUMBER(F186),F186,1)),IF($C186="Paying back",0,IF(AND(OR(Housemates!$C$8="",Housemates!$C$8&lt;=$B186),OR(Housemates!$D$8="",Housemates!$D$8&gt;=$B186)),IF($Q186=0,1,INDEX(Bills!$AA$6:$AA$25,$Q186)),0))))</f>
        <v/>
      </c>
      <c r="T186">
        <f>IF(OR($D186="",$B186="",Housemates!$B$9=""),0,IF($R186&gt;0,IF(G186="",0,IF(ISNUMBER(G186),G186,1)),IF($C186="Paying back",0,IF(AND(OR(Housemates!$C$9="",Housemates!$C$9&lt;=$B186),OR(Housemates!$D$9="",Housemates!$D$9&gt;=$B186)),IF($Q186=0,1,INDEX(Bills!$AB$6:$AB$25,$Q186)),0))))</f>
        <v/>
      </c>
      <c r="U186">
        <f>IF(OR($D186="",$B186="",Housemates!$B$10=""),0,IF($R186&gt;0,IF(H186="",0,IF(ISNUMBER(H186),H186,1)),IF($C186="Paying back",0,IF(AND(OR(Housemates!$C$10="",Housemates!$C$10&lt;=$B186),OR(Housemates!$D$10="",Housemates!$D$10&gt;=$B186)),IF($Q186=0,1,INDEX(Bills!$AC$6:$AC$25,$Q186)),0))))</f>
        <v/>
      </c>
      <c r="V186">
        <f>IF(OR($D186="",$B186="",Housemates!$B$11=""),0,IF($R186&gt;0,IF(I186="",0,IF(ISNUMBER(I186),I186,1)),IF($C186="Paying back",0,IF(AND(OR(Housemates!$C$11="",Housemates!$C$11&lt;=$B186),OR(Housemates!$D$11="",Housemates!$D$11&gt;=$B186)),IF($Q186=0,1,INDEX(Bills!$AD$6:$AD$25,$Q186)),0))))</f>
        <v/>
      </c>
      <c r="W186">
        <f>IF(OR($D186="",$B186="",Housemates!$B$12=""),0,IF($R186&gt;0,IF(J186="",0,IF(ISNUMBER(J186),J186,1)),IF($C186="Paying back",0,IF(AND(OR(Housemates!$C$12="",Housemates!$C$12&lt;=$B186),OR(Housemates!$D$12="",Housemates!$D$12&gt;=$B186)),IF($Q186=0,1,INDEX(Bills!$AE$6:$AE$25,$Q186)),0))))</f>
        <v/>
      </c>
      <c r="X186">
        <f>IF(OR($D186="",$B186="",Housemates!$B$13=""),0,IF($R186&gt;0,IF(K186="",0,IF(ISNUMBER(K186),K186,1)),IF($C186="Paying back",0,IF(AND(OR(Housemates!$C$13="",Housemates!$C$13&lt;=$B186),OR(Housemates!$D$13="",Housemates!$D$13&gt;=$B186)),IF($Q186=0,1,INDEX(Bills!$AF$6:$AF$25,$Q186)),0))))</f>
        <v/>
      </c>
      <c r="Y186">
        <f>IF(OR($D186="",$B186="",Housemates!$B$14=""),0,IF($R186&gt;0,IF(L186="",0,IF(ISNUMBER(L186),L186,1)),IF($C186="Paying back",0,IF(AND(OR(Housemates!$C$14="",Housemates!$C$14&lt;=$B186),OR(Housemates!$D$14="",Housemates!$D$14&gt;=$B186)),IF($Q186=0,1,INDEX(Bills!$AG$6:$AG$25,$Q186)),0))))</f>
        <v/>
      </c>
      <c r="Z186">
        <f>IF(OR($D186="",$B186="",Housemates!$B$15=""),0,IF($R186&gt;0,IF(M186="",0,IF(ISNUMBER(M186),M186,1)),IF($C186="Paying back",0,IF(AND(OR(Housemates!$C$15="",Housemates!$C$15&lt;=$B186),OR(Housemates!$D$15="",Housemates!$D$15&gt;=$B186)),IF($Q186=0,1,INDEX(Bills!$AH$6:$AH$25,$Q186)),0))))</f>
        <v/>
      </c>
      <c r="AA186">
        <f>SUM(S186:Z186)</f>
        <v/>
      </c>
      <c r="AB186">
        <f>IF(AA186=0,0,D186*S186/AA186)</f>
        <v/>
      </c>
      <c r="AC186">
        <f>IF(AA186=0,0,D186*T186/AA186)</f>
        <v/>
      </c>
      <c r="AD186">
        <f>IF(AA186=0,0,D186*U186/AA186)</f>
        <v/>
      </c>
      <c r="AE186">
        <f>IF(AA186=0,0,D186*V186/AA186)</f>
        <v/>
      </c>
      <c r="AF186">
        <f>IF(AA186=0,0,D186*W186/AA186)</f>
        <v/>
      </c>
      <c r="AG186">
        <f>IF(AA186=0,0,D186*X186/AA186)</f>
        <v/>
      </c>
      <c r="AH186">
        <f>IF(AA186=0,0,D186*Y186/AA186)</f>
        <v/>
      </c>
      <c r="AI186">
        <f>IF(AA186=0,0,D186*Z186/AA186)</f>
        <v/>
      </c>
      <c r="AJ186">
        <f>IF(OR(C186="",B186=""),"",C186&amp;"|"&amp;(YEAR(B186)*100+MONTH(B186)))</f>
        <v/>
      </c>
    </row>
    <row r="187">
      <c r="A187" s="1" t="n"/>
      <c r="B187" s="23" t="n"/>
      <c r="C187" s="24" t="n"/>
      <c r="D187" s="25" t="n"/>
      <c r="E187" s="26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1">
        <f>IF(D187="","",IF(B187="","No date",IF(AND(C187="Paying back",R187=0),"To whom?",IF(AA187=0,"Nobody",IF(C187="Paying back","To "&amp;INDEX(Housemates!$B$8:$B$15,MATCH(MAX(S187:Z187),S187:Z187,0)),IF(R187&gt;0,IF(COUNTIF(S187:Z187,"&gt;0")=1,"1 person",COUNTIF(S187:Z187,"&gt;0")&amp;" people"),IF(Q187=0,"Everyone",INDEX(Bills!$Q$6:$Q$25,Q187))))))))</f>
        <v/>
      </c>
      <c r="O187" s="18">
        <f>IF(D187="","",IF(C187="Paying back","Paying back",IF(Q187=0,"Other",IF(INDEX(Bills!$C$6:$C$25,Q187)="","Other",INDEX(Bills!$C$6:$C$25,Q187)))))</f>
        <v/>
      </c>
      <c r="P187" s="1" t="n"/>
      <c r="Q187">
        <f>IF(C187="",0,IFERROR(MATCH(C187,Bills!$B$6:$B$25,0),0))</f>
        <v/>
      </c>
      <c r="R187">
        <f>COUNTA(F187:M187)</f>
        <v/>
      </c>
      <c r="S187">
        <f>IF(OR($D187="",$B187="",Housemates!$B$8=""),0,IF($R187&gt;0,IF(F187="",0,IF(ISNUMBER(F187),F187,1)),IF($C187="Paying back",0,IF(AND(OR(Housemates!$C$8="",Housemates!$C$8&lt;=$B187),OR(Housemates!$D$8="",Housemates!$D$8&gt;=$B187)),IF($Q187=0,1,INDEX(Bills!$AA$6:$AA$25,$Q187)),0))))</f>
        <v/>
      </c>
      <c r="T187">
        <f>IF(OR($D187="",$B187="",Housemates!$B$9=""),0,IF($R187&gt;0,IF(G187="",0,IF(ISNUMBER(G187),G187,1)),IF($C187="Paying back",0,IF(AND(OR(Housemates!$C$9="",Housemates!$C$9&lt;=$B187),OR(Housemates!$D$9="",Housemates!$D$9&gt;=$B187)),IF($Q187=0,1,INDEX(Bills!$AB$6:$AB$25,$Q187)),0))))</f>
        <v/>
      </c>
      <c r="U187">
        <f>IF(OR($D187="",$B187="",Housemates!$B$10=""),0,IF($R187&gt;0,IF(H187="",0,IF(ISNUMBER(H187),H187,1)),IF($C187="Paying back",0,IF(AND(OR(Housemates!$C$10="",Housemates!$C$10&lt;=$B187),OR(Housemates!$D$10="",Housemates!$D$10&gt;=$B187)),IF($Q187=0,1,INDEX(Bills!$AC$6:$AC$25,$Q187)),0))))</f>
        <v/>
      </c>
      <c r="V187">
        <f>IF(OR($D187="",$B187="",Housemates!$B$11=""),0,IF($R187&gt;0,IF(I187="",0,IF(ISNUMBER(I187),I187,1)),IF($C187="Paying back",0,IF(AND(OR(Housemates!$C$11="",Housemates!$C$11&lt;=$B187),OR(Housemates!$D$11="",Housemates!$D$11&gt;=$B187)),IF($Q187=0,1,INDEX(Bills!$AD$6:$AD$25,$Q187)),0))))</f>
        <v/>
      </c>
      <c r="W187">
        <f>IF(OR($D187="",$B187="",Housemates!$B$12=""),0,IF($R187&gt;0,IF(J187="",0,IF(ISNUMBER(J187),J187,1)),IF($C187="Paying back",0,IF(AND(OR(Housemates!$C$12="",Housemates!$C$12&lt;=$B187),OR(Housemates!$D$12="",Housemates!$D$12&gt;=$B187)),IF($Q187=0,1,INDEX(Bills!$AE$6:$AE$25,$Q187)),0))))</f>
        <v/>
      </c>
      <c r="X187">
        <f>IF(OR($D187="",$B187="",Housemates!$B$13=""),0,IF($R187&gt;0,IF(K187="",0,IF(ISNUMBER(K187),K187,1)),IF($C187="Paying back",0,IF(AND(OR(Housemates!$C$13="",Housemates!$C$13&lt;=$B187),OR(Housemates!$D$13="",Housemates!$D$13&gt;=$B187)),IF($Q187=0,1,INDEX(Bills!$AF$6:$AF$25,$Q187)),0))))</f>
        <v/>
      </c>
      <c r="Y187">
        <f>IF(OR($D187="",$B187="",Housemates!$B$14=""),0,IF($R187&gt;0,IF(L187="",0,IF(ISNUMBER(L187),L187,1)),IF($C187="Paying back",0,IF(AND(OR(Housemates!$C$14="",Housemates!$C$14&lt;=$B187),OR(Housemates!$D$14="",Housemates!$D$14&gt;=$B187)),IF($Q187=0,1,INDEX(Bills!$AG$6:$AG$25,$Q187)),0))))</f>
        <v/>
      </c>
      <c r="Z187">
        <f>IF(OR($D187="",$B187="",Housemates!$B$15=""),0,IF($R187&gt;0,IF(M187="",0,IF(ISNUMBER(M187),M187,1)),IF($C187="Paying back",0,IF(AND(OR(Housemates!$C$15="",Housemates!$C$15&lt;=$B187),OR(Housemates!$D$15="",Housemates!$D$15&gt;=$B187)),IF($Q187=0,1,INDEX(Bills!$AH$6:$AH$25,$Q187)),0))))</f>
        <v/>
      </c>
      <c r="AA187">
        <f>SUM(S187:Z187)</f>
        <v/>
      </c>
      <c r="AB187">
        <f>IF(AA187=0,0,D187*S187/AA187)</f>
        <v/>
      </c>
      <c r="AC187">
        <f>IF(AA187=0,0,D187*T187/AA187)</f>
        <v/>
      </c>
      <c r="AD187">
        <f>IF(AA187=0,0,D187*U187/AA187)</f>
        <v/>
      </c>
      <c r="AE187">
        <f>IF(AA187=0,0,D187*V187/AA187)</f>
        <v/>
      </c>
      <c r="AF187">
        <f>IF(AA187=0,0,D187*W187/AA187)</f>
        <v/>
      </c>
      <c r="AG187">
        <f>IF(AA187=0,0,D187*X187/AA187)</f>
        <v/>
      </c>
      <c r="AH187">
        <f>IF(AA187=0,0,D187*Y187/AA187)</f>
        <v/>
      </c>
      <c r="AI187">
        <f>IF(AA187=0,0,D187*Z187/AA187)</f>
        <v/>
      </c>
      <c r="AJ187">
        <f>IF(OR(C187="",B187=""),"",C187&amp;"|"&amp;(YEAR(B187)*100+MONTH(B187)))</f>
        <v/>
      </c>
    </row>
    <row r="188">
      <c r="A188" s="1" t="n"/>
      <c r="B188" s="23" t="n"/>
      <c r="C188" s="24" t="n"/>
      <c r="D188" s="25" t="n"/>
      <c r="E188" s="26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1">
        <f>IF(D188="","",IF(B188="","No date",IF(AND(C188="Paying back",R188=0),"To whom?",IF(AA188=0,"Nobody",IF(C188="Paying back","To "&amp;INDEX(Housemates!$B$8:$B$15,MATCH(MAX(S188:Z188),S188:Z188,0)),IF(R188&gt;0,IF(COUNTIF(S188:Z188,"&gt;0")=1,"1 person",COUNTIF(S188:Z188,"&gt;0")&amp;" people"),IF(Q188=0,"Everyone",INDEX(Bills!$Q$6:$Q$25,Q188))))))))</f>
        <v/>
      </c>
      <c r="O188" s="18">
        <f>IF(D188="","",IF(C188="Paying back","Paying back",IF(Q188=0,"Other",IF(INDEX(Bills!$C$6:$C$25,Q188)="","Other",INDEX(Bills!$C$6:$C$25,Q188)))))</f>
        <v/>
      </c>
      <c r="P188" s="1" t="n"/>
      <c r="Q188">
        <f>IF(C188="",0,IFERROR(MATCH(C188,Bills!$B$6:$B$25,0),0))</f>
        <v/>
      </c>
      <c r="R188">
        <f>COUNTA(F188:M188)</f>
        <v/>
      </c>
      <c r="S188">
        <f>IF(OR($D188="",$B188="",Housemates!$B$8=""),0,IF($R188&gt;0,IF(F188="",0,IF(ISNUMBER(F188),F188,1)),IF($C188="Paying back",0,IF(AND(OR(Housemates!$C$8="",Housemates!$C$8&lt;=$B188),OR(Housemates!$D$8="",Housemates!$D$8&gt;=$B188)),IF($Q188=0,1,INDEX(Bills!$AA$6:$AA$25,$Q188)),0))))</f>
        <v/>
      </c>
      <c r="T188">
        <f>IF(OR($D188="",$B188="",Housemates!$B$9=""),0,IF($R188&gt;0,IF(G188="",0,IF(ISNUMBER(G188),G188,1)),IF($C188="Paying back",0,IF(AND(OR(Housemates!$C$9="",Housemates!$C$9&lt;=$B188),OR(Housemates!$D$9="",Housemates!$D$9&gt;=$B188)),IF($Q188=0,1,INDEX(Bills!$AB$6:$AB$25,$Q188)),0))))</f>
        <v/>
      </c>
      <c r="U188">
        <f>IF(OR($D188="",$B188="",Housemates!$B$10=""),0,IF($R188&gt;0,IF(H188="",0,IF(ISNUMBER(H188),H188,1)),IF($C188="Paying back",0,IF(AND(OR(Housemates!$C$10="",Housemates!$C$10&lt;=$B188),OR(Housemates!$D$10="",Housemates!$D$10&gt;=$B188)),IF($Q188=0,1,INDEX(Bills!$AC$6:$AC$25,$Q188)),0))))</f>
        <v/>
      </c>
      <c r="V188">
        <f>IF(OR($D188="",$B188="",Housemates!$B$11=""),0,IF($R188&gt;0,IF(I188="",0,IF(ISNUMBER(I188),I188,1)),IF($C188="Paying back",0,IF(AND(OR(Housemates!$C$11="",Housemates!$C$11&lt;=$B188),OR(Housemates!$D$11="",Housemates!$D$11&gt;=$B188)),IF($Q188=0,1,INDEX(Bills!$AD$6:$AD$25,$Q188)),0))))</f>
        <v/>
      </c>
      <c r="W188">
        <f>IF(OR($D188="",$B188="",Housemates!$B$12=""),0,IF($R188&gt;0,IF(J188="",0,IF(ISNUMBER(J188),J188,1)),IF($C188="Paying back",0,IF(AND(OR(Housemates!$C$12="",Housemates!$C$12&lt;=$B188),OR(Housemates!$D$12="",Housemates!$D$12&gt;=$B188)),IF($Q188=0,1,INDEX(Bills!$AE$6:$AE$25,$Q188)),0))))</f>
        <v/>
      </c>
      <c r="X188">
        <f>IF(OR($D188="",$B188="",Housemates!$B$13=""),0,IF($R188&gt;0,IF(K188="",0,IF(ISNUMBER(K188),K188,1)),IF($C188="Paying back",0,IF(AND(OR(Housemates!$C$13="",Housemates!$C$13&lt;=$B188),OR(Housemates!$D$13="",Housemates!$D$13&gt;=$B188)),IF($Q188=0,1,INDEX(Bills!$AF$6:$AF$25,$Q188)),0))))</f>
        <v/>
      </c>
      <c r="Y188">
        <f>IF(OR($D188="",$B188="",Housemates!$B$14=""),0,IF($R188&gt;0,IF(L188="",0,IF(ISNUMBER(L188),L188,1)),IF($C188="Paying back",0,IF(AND(OR(Housemates!$C$14="",Housemates!$C$14&lt;=$B188),OR(Housemates!$D$14="",Housemates!$D$14&gt;=$B188)),IF($Q188=0,1,INDEX(Bills!$AG$6:$AG$25,$Q188)),0))))</f>
        <v/>
      </c>
      <c r="Z188">
        <f>IF(OR($D188="",$B188="",Housemates!$B$15=""),0,IF($R188&gt;0,IF(M188="",0,IF(ISNUMBER(M188),M188,1)),IF($C188="Paying back",0,IF(AND(OR(Housemates!$C$15="",Housemates!$C$15&lt;=$B188),OR(Housemates!$D$15="",Housemates!$D$15&gt;=$B188)),IF($Q188=0,1,INDEX(Bills!$AH$6:$AH$25,$Q188)),0))))</f>
        <v/>
      </c>
      <c r="AA188">
        <f>SUM(S188:Z188)</f>
        <v/>
      </c>
      <c r="AB188">
        <f>IF(AA188=0,0,D188*S188/AA188)</f>
        <v/>
      </c>
      <c r="AC188">
        <f>IF(AA188=0,0,D188*T188/AA188)</f>
        <v/>
      </c>
      <c r="AD188">
        <f>IF(AA188=0,0,D188*U188/AA188)</f>
        <v/>
      </c>
      <c r="AE188">
        <f>IF(AA188=0,0,D188*V188/AA188)</f>
        <v/>
      </c>
      <c r="AF188">
        <f>IF(AA188=0,0,D188*W188/AA188)</f>
        <v/>
      </c>
      <c r="AG188">
        <f>IF(AA188=0,0,D188*X188/AA188)</f>
        <v/>
      </c>
      <c r="AH188">
        <f>IF(AA188=0,0,D188*Y188/AA188)</f>
        <v/>
      </c>
      <c r="AI188">
        <f>IF(AA188=0,0,D188*Z188/AA188)</f>
        <v/>
      </c>
      <c r="AJ188">
        <f>IF(OR(C188="",B188=""),"",C188&amp;"|"&amp;(YEAR(B188)*100+MONTH(B188)))</f>
        <v/>
      </c>
    </row>
    <row r="189">
      <c r="A189" s="1" t="n"/>
      <c r="B189" s="23" t="n"/>
      <c r="C189" s="24" t="n"/>
      <c r="D189" s="25" t="n"/>
      <c r="E189" s="26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1">
        <f>IF(D189="","",IF(B189="","No date",IF(AND(C189="Paying back",R189=0),"To whom?",IF(AA189=0,"Nobody",IF(C189="Paying back","To "&amp;INDEX(Housemates!$B$8:$B$15,MATCH(MAX(S189:Z189),S189:Z189,0)),IF(R189&gt;0,IF(COUNTIF(S189:Z189,"&gt;0")=1,"1 person",COUNTIF(S189:Z189,"&gt;0")&amp;" people"),IF(Q189=0,"Everyone",INDEX(Bills!$Q$6:$Q$25,Q189))))))))</f>
        <v/>
      </c>
      <c r="O189" s="18">
        <f>IF(D189="","",IF(C189="Paying back","Paying back",IF(Q189=0,"Other",IF(INDEX(Bills!$C$6:$C$25,Q189)="","Other",INDEX(Bills!$C$6:$C$25,Q189)))))</f>
        <v/>
      </c>
      <c r="P189" s="1" t="n"/>
      <c r="Q189">
        <f>IF(C189="",0,IFERROR(MATCH(C189,Bills!$B$6:$B$25,0),0))</f>
        <v/>
      </c>
      <c r="R189">
        <f>COUNTA(F189:M189)</f>
        <v/>
      </c>
      <c r="S189">
        <f>IF(OR($D189="",$B189="",Housemates!$B$8=""),0,IF($R189&gt;0,IF(F189="",0,IF(ISNUMBER(F189),F189,1)),IF($C189="Paying back",0,IF(AND(OR(Housemates!$C$8="",Housemates!$C$8&lt;=$B189),OR(Housemates!$D$8="",Housemates!$D$8&gt;=$B189)),IF($Q189=0,1,INDEX(Bills!$AA$6:$AA$25,$Q189)),0))))</f>
        <v/>
      </c>
      <c r="T189">
        <f>IF(OR($D189="",$B189="",Housemates!$B$9=""),0,IF($R189&gt;0,IF(G189="",0,IF(ISNUMBER(G189),G189,1)),IF($C189="Paying back",0,IF(AND(OR(Housemates!$C$9="",Housemates!$C$9&lt;=$B189),OR(Housemates!$D$9="",Housemates!$D$9&gt;=$B189)),IF($Q189=0,1,INDEX(Bills!$AB$6:$AB$25,$Q189)),0))))</f>
        <v/>
      </c>
      <c r="U189">
        <f>IF(OR($D189="",$B189="",Housemates!$B$10=""),0,IF($R189&gt;0,IF(H189="",0,IF(ISNUMBER(H189),H189,1)),IF($C189="Paying back",0,IF(AND(OR(Housemates!$C$10="",Housemates!$C$10&lt;=$B189),OR(Housemates!$D$10="",Housemates!$D$10&gt;=$B189)),IF($Q189=0,1,INDEX(Bills!$AC$6:$AC$25,$Q189)),0))))</f>
        <v/>
      </c>
      <c r="V189">
        <f>IF(OR($D189="",$B189="",Housemates!$B$11=""),0,IF($R189&gt;0,IF(I189="",0,IF(ISNUMBER(I189),I189,1)),IF($C189="Paying back",0,IF(AND(OR(Housemates!$C$11="",Housemates!$C$11&lt;=$B189),OR(Housemates!$D$11="",Housemates!$D$11&gt;=$B189)),IF($Q189=0,1,INDEX(Bills!$AD$6:$AD$25,$Q189)),0))))</f>
        <v/>
      </c>
      <c r="W189">
        <f>IF(OR($D189="",$B189="",Housemates!$B$12=""),0,IF($R189&gt;0,IF(J189="",0,IF(ISNUMBER(J189),J189,1)),IF($C189="Paying back",0,IF(AND(OR(Housemates!$C$12="",Housemates!$C$12&lt;=$B189),OR(Housemates!$D$12="",Housemates!$D$12&gt;=$B189)),IF($Q189=0,1,INDEX(Bills!$AE$6:$AE$25,$Q189)),0))))</f>
        <v/>
      </c>
      <c r="X189">
        <f>IF(OR($D189="",$B189="",Housemates!$B$13=""),0,IF($R189&gt;0,IF(K189="",0,IF(ISNUMBER(K189),K189,1)),IF($C189="Paying back",0,IF(AND(OR(Housemates!$C$13="",Housemates!$C$13&lt;=$B189),OR(Housemates!$D$13="",Housemates!$D$13&gt;=$B189)),IF($Q189=0,1,INDEX(Bills!$AF$6:$AF$25,$Q189)),0))))</f>
        <v/>
      </c>
      <c r="Y189">
        <f>IF(OR($D189="",$B189="",Housemates!$B$14=""),0,IF($R189&gt;0,IF(L189="",0,IF(ISNUMBER(L189),L189,1)),IF($C189="Paying back",0,IF(AND(OR(Housemates!$C$14="",Housemates!$C$14&lt;=$B189),OR(Housemates!$D$14="",Housemates!$D$14&gt;=$B189)),IF($Q189=0,1,INDEX(Bills!$AG$6:$AG$25,$Q189)),0))))</f>
        <v/>
      </c>
      <c r="Z189">
        <f>IF(OR($D189="",$B189="",Housemates!$B$15=""),0,IF($R189&gt;0,IF(M189="",0,IF(ISNUMBER(M189),M189,1)),IF($C189="Paying back",0,IF(AND(OR(Housemates!$C$15="",Housemates!$C$15&lt;=$B189),OR(Housemates!$D$15="",Housemates!$D$15&gt;=$B189)),IF($Q189=0,1,INDEX(Bills!$AH$6:$AH$25,$Q189)),0))))</f>
        <v/>
      </c>
      <c r="AA189">
        <f>SUM(S189:Z189)</f>
        <v/>
      </c>
      <c r="AB189">
        <f>IF(AA189=0,0,D189*S189/AA189)</f>
        <v/>
      </c>
      <c r="AC189">
        <f>IF(AA189=0,0,D189*T189/AA189)</f>
        <v/>
      </c>
      <c r="AD189">
        <f>IF(AA189=0,0,D189*U189/AA189)</f>
        <v/>
      </c>
      <c r="AE189">
        <f>IF(AA189=0,0,D189*V189/AA189)</f>
        <v/>
      </c>
      <c r="AF189">
        <f>IF(AA189=0,0,D189*W189/AA189)</f>
        <v/>
      </c>
      <c r="AG189">
        <f>IF(AA189=0,0,D189*X189/AA189)</f>
        <v/>
      </c>
      <c r="AH189">
        <f>IF(AA189=0,0,D189*Y189/AA189)</f>
        <v/>
      </c>
      <c r="AI189">
        <f>IF(AA189=0,0,D189*Z189/AA189)</f>
        <v/>
      </c>
      <c r="AJ189">
        <f>IF(OR(C189="",B189=""),"",C189&amp;"|"&amp;(YEAR(B189)*100+MONTH(B189)))</f>
        <v/>
      </c>
    </row>
    <row r="190">
      <c r="A190" s="1" t="n"/>
      <c r="B190" s="23" t="n"/>
      <c r="C190" s="24" t="n"/>
      <c r="D190" s="25" t="n"/>
      <c r="E190" s="26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1">
        <f>IF(D190="","",IF(B190="","No date",IF(AND(C190="Paying back",R190=0),"To whom?",IF(AA190=0,"Nobody",IF(C190="Paying back","To "&amp;INDEX(Housemates!$B$8:$B$15,MATCH(MAX(S190:Z190),S190:Z190,0)),IF(R190&gt;0,IF(COUNTIF(S190:Z190,"&gt;0")=1,"1 person",COUNTIF(S190:Z190,"&gt;0")&amp;" people"),IF(Q190=0,"Everyone",INDEX(Bills!$Q$6:$Q$25,Q190))))))))</f>
        <v/>
      </c>
      <c r="O190" s="18">
        <f>IF(D190="","",IF(C190="Paying back","Paying back",IF(Q190=0,"Other",IF(INDEX(Bills!$C$6:$C$25,Q190)="","Other",INDEX(Bills!$C$6:$C$25,Q190)))))</f>
        <v/>
      </c>
      <c r="P190" s="1" t="n"/>
      <c r="Q190">
        <f>IF(C190="",0,IFERROR(MATCH(C190,Bills!$B$6:$B$25,0),0))</f>
        <v/>
      </c>
      <c r="R190">
        <f>COUNTA(F190:M190)</f>
        <v/>
      </c>
      <c r="S190">
        <f>IF(OR($D190="",$B190="",Housemates!$B$8=""),0,IF($R190&gt;0,IF(F190="",0,IF(ISNUMBER(F190),F190,1)),IF($C190="Paying back",0,IF(AND(OR(Housemates!$C$8="",Housemates!$C$8&lt;=$B190),OR(Housemates!$D$8="",Housemates!$D$8&gt;=$B190)),IF($Q190=0,1,INDEX(Bills!$AA$6:$AA$25,$Q190)),0))))</f>
        <v/>
      </c>
      <c r="T190">
        <f>IF(OR($D190="",$B190="",Housemates!$B$9=""),0,IF($R190&gt;0,IF(G190="",0,IF(ISNUMBER(G190),G190,1)),IF($C190="Paying back",0,IF(AND(OR(Housemates!$C$9="",Housemates!$C$9&lt;=$B190),OR(Housemates!$D$9="",Housemates!$D$9&gt;=$B190)),IF($Q190=0,1,INDEX(Bills!$AB$6:$AB$25,$Q190)),0))))</f>
        <v/>
      </c>
      <c r="U190">
        <f>IF(OR($D190="",$B190="",Housemates!$B$10=""),0,IF($R190&gt;0,IF(H190="",0,IF(ISNUMBER(H190),H190,1)),IF($C190="Paying back",0,IF(AND(OR(Housemates!$C$10="",Housemates!$C$10&lt;=$B190),OR(Housemates!$D$10="",Housemates!$D$10&gt;=$B190)),IF($Q190=0,1,INDEX(Bills!$AC$6:$AC$25,$Q190)),0))))</f>
        <v/>
      </c>
      <c r="V190">
        <f>IF(OR($D190="",$B190="",Housemates!$B$11=""),0,IF($R190&gt;0,IF(I190="",0,IF(ISNUMBER(I190),I190,1)),IF($C190="Paying back",0,IF(AND(OR(Housemates!$C$11="",Housemates!$C$11&lt;=$B190),OR(Housemates!$D$11="",Housemates!$D$11&gt;=$B190)),IF($Q190=0,1,INDEX(Bills!$AD$6:$AD$25,$Q190)),0))))</f>
        <v/>
      </c>
      <c r="W190">
        <f>IF(OR($D190="",$B190="",Housemates!$B$12=""),0,IF($R190&gt;0,IF(J190="",0,IF(ISNUMBER(J190),J190,1)),IF($C190="Paying back",0,IF(AND(OR(Housemates!$C$12="",Housemates!$C$12&lt;=$B190),OR(Housemates!$D$12="",Housemates!$D$12&gt;=$B190)),IF($Q190=0,1,INDEX(Bills!$AE$6:$AE$25,$Q190)),0))))</f>
        <v/>
      </c>
      <c r="X190">
        <f>IF(OR($D190="",$B190="",Housemates!$B$13=""),0,IF($R190&gt;0,IF(K190="",0,IF(ISNUMBER(K190),K190,1)),IF($C190="Paying back",0,IF(AND(OR(Housemates!$C$13="",Housemates!$C$13&lt;=$B190),OR(Housemates!$D$13="",Housemates!$D$13&gt;=$B190)),IF($Q190=0,1,INDEX(Bills!$AF$6:$AF$25,$Q190)),0))))</f>
        <v/>
      </c>
      <c r="Y190">
        <f>IF(OR($D190="",$B190="",Housemates!$B$14=""),0,IF($R190&gt;0,IF(L190="",0,IF(ISNUMBER(L190),L190,1)),IF($C190="Paying back",0,IF(AND(OR(Housemates!$C$14="",Housemates!$C$14&lt;=$B190),OR(Housemates!$D$14="",Housemates!$D$14&gt;=$B190)),IF($Q190=0,1,INDEX(Bills!$AG$6:$AG$25,$Q190)),0))))</f>
        <v/>
      </c>
      <c r="Z190">
        <f>IF(OR($D190="",$B190="",Housemates!$B$15=""),0,IF($R190&gt;0,IF(M190="",0,IF(ISNUMBER(M190),M190,1)),IF($C190="Paying back",0,IF(AND(OR(Housemates!$C$15="",Housemates!$C$15&lt;=$B190),OR(Housemates!$D$15="",Housemates!$D$15&gt;=$B190)),IF($Q190=0,1,INDEX(Bills!$AH$6:$AH$25,$Q190)),0))))</f>
        <v/>
      </c>
      <c r="AA190">
        <f>SUM(S190:Z190)</f>
        <v/>
      </c>
      <c r="AB190">
        <f>IF(AA190=0,0,D190*S190/AA190)</f>
        <v/>
      </c>
      <c r="AC190">
        <f>IF(AA190=0,0,D190*T190/AA190)</f>
        <v/>
      </c>
      <c r="AD190">
        <f>IF(AA190=0,0,D190*U190/AA190)</f>
        <v/>
      </c>
      <c r="AE190">
        <f>IF(AA190=0,0,D190*V190/AA190)</f>
        <v/>
      </c>
      <c r="AF190">
        <f>IF(AA190=0,0,D190*W190/AA190)</f>
        <v/>
      </c>
      <c r="AG190">
        <f>IF(AA190=0,0,D190*X190/AA190)</f>
        <v/>
      </c>
      <c r="AH190">
        <f>IF(AA190=0,0,D190*Y190/AA190)</f>
        <v/>
      </c>
      <c r="AI190">
        <f>IF(AA190=0,0,D190*Z190/AA190)</f>
        <v/>
      </c>
      <c r="AJ190">
        <f>IF(OR(C190="",B190=""),"",C190&amp;"|"&amp;(YEAR(B190)*100+MONTH(B190)))</f>
        <v/>
      </c>
    </row>
    <row r="191">
      <c r="A191" s="1" t="n"/>
      <c r="B191" s="23" t="n"/>
      <c r="C191" s="24" t="n"/>
      <c r="D191" s="25" t="n"/>
      <c r="E191" s="26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1">
        <f>IF(D191="","",IF(B191="","No date",IF(AND(C191="Paying back",R191=0),"To whom?",IF(AA191=0,"Nobody",IF(C191="Paying back","To "&amp;INDEX(Housemates!$B$8:$B$15,MATCH(MAX(S191:Z191),S191:Z191,0)),IF(R191&gt;0,IF(COUNTIF(S191:Z191,"&gt;0")=1,"1 person",COUNTIF(S191:Z191,"&gt;0")&amp;" people"),IF(Q191=0,"Everyone",INDEX(Bills!$Q$6:$Q$25,Q191))))))))</f>
        <v/>
      </c>
      <c r="O191" s="18">
        <f>IF(D191="","",IF(C191="Paying back","Paying back",IF(Q191=0,"Other",IF(INDEX(Bills!$C$6:$C$25,Q191)="","Other",INDEX(Bills!$C$6:$C$25,Q191)))))</f>
        <v/>
      </c>
      <c r="P191" s="1" t="n"/>
      <c r="Q191">
        <f>IF(C191="",0,IFERROR(MATCH(C191,Bills!$B$6:$B$25,0),0))</f>
        <v/>
      </c>
      <c r="R191">
        <f>COUNTA(F191:M191)</f>
        <v/>
      </c>
      <c r="S191">
        <f>IF(OR($D191="",$B191="",Housemates!$B$8=""),0,IF($R191&gt;0,IF(F191="",0,IF(ISNUMBER(F191),F191,1)),IF($C191="Paying back",0,IF(AND(OR(Housemates!$C$8="",Housemates!$C$8&lt;=$B191),OR(Housemates!$D$8="",Housemates!$D$8&gt;=$B191)),IF($Q191=0,1,INDEX(Bills!$AA$6:$AA$25,$Q191)),0))))</f>
        <v/>
      </c>
      <c r="T191">
        <f>IF(OR($D191="",$B191="",Housemates!$B$9=""),0,IF($R191&gt;0,IF(G191="",0,IF(ISNUMBER(G191),G191,1)),IF($C191="Paying back",0,IF(AND(OR(Housemates!$C$9="",Housemates!$C$9&lt;=$B191),OR(Housemates!$D$9="",Housemates!$D$9&gt;=$B191)),IF($Q191=0,1,INDEX(Bills!$AB$6:$AB$25,$Q191)),0))))</f>
        <v/>
      </c>
      <c r="U191">
        <f>IF(OR($D191="",$B191="",Housemates!$B$10=""),0,IF($R191&gt;0,IF(H191="",0,IF(ISNUMBER(H191),H191,1)),IF($C191="Paying back",0,IF(AND(OR(Housemates!$C$10="",Housemates!$C$10&lt;=$B191),OR(Housemates!$D$10="",Housemates!$D$10&gt;=$B191)),IF($Q191=0,1,INDEX(Bills!$AC$6:$AC$25,$Q191)),0))))</f>
        <v/>
      </c>
      <c r="V191">
        <f>IF(OR($D191="",$B191="",Housemates!$B$11=""),0,IF($R191&gt;0,IF(I191="",0,IF(ISNUMBER(I191),I191,1)),IF($C191="Paying back",0,IF(AND(OR(Housemates!$C$11="",Housemates!$C$11&lt;=$B191),OR(Housemates!$D$11="",Housemates!$D$11&gt;=$B191)),IF($Q191=0,1,INDEX(Bills!$AD$6:$AD$25,$Q191)),0))))</f>
        <v/>
      </c>
      <c r="W191">
        <f>IF(OR($D191="",$B191="",Housemates!$B$12=""),0,IF($R191&gt;0,IF(J191="",0,IF(ISNUMBER(J191),J191,1)),IF($C191="Paying back",0,IF(AND(OR(Housemates!$C$12="",Housemates!$C$12&lt;=$B191),OR(Housemates!$D$12="",Housemates!$D$12&gt;=$B191)),IF($Q191=0,1,INDEX(Bills!$AE$6:$AE$25,$Q191)),0))))</f>
        <v/>
      </c>
      <c r="X191">
        <f>IF(OR($D191="",$B191="",Housemates!$B$13=""),0,IF($R191&gt;0,IF(K191="",0,IF(ISNUMBER(K191),K191,1)),IF($C191="Paying back",0,IF(AND(OR(Housemates!$C$13="",Housemates!$C$13&lt;=$B191),OR(Housemates!$D$13="",Housemates!$D$13&gt;=$B191)),IF($Q191=0,1,INDEX(Bills!$AF$6:$AF$25,$Q191)),0))))</f>
        <v/>
      </c>
      <c r="Y191">
        <f>IF(OR($D191="",$B191="",Housemates!$B$14=""),0,IF($R191&gt;0,IF(L191="",0,IF(ISNUMBER(L191),L191,1)),IF($C191="Paying back",0,IF(AND(OR(Housemates!$C$14="",Housemates!$C$14&lt;=$B191),OR(Housemates!$D$14="",Housemates!$D$14&gt;=$B191)),IF($Q191=0,1,INDEX(Bills!$AG$6:$AG$25,$Q191)),0))))</f>
        <v/>
      </c>
      <c r="Z191">
        <f>IF(OR($D191="",$B191="",Housemates!$B$15=""),0,IF($R191&gt;0,IF(M191="",0,IF(ISNUMBER(M191),M191,1)),IF($C191="Paying back",0,IF(AND(OR(Housemates!$C$15="",Housemates!$C$15&lt;=$B191),OR(Housemates!$D$15="",Housemates!$D$15&gt;=$B191)),IF($Q191=0,1,INDEX(Bills!$AH$6:$AH$25,$Q191)),0))))</f>
        <v/>
      </c>
      <c r="AA191">
        <f>SUM(S191:Z191)</f>
        <v/>
      </c>
      <c r="AB191">
        <f>IF(AA191=0,0,D191*S191/AA191)</f>
        <v/>
      </c>
      <c r="AC191">
        <f>IF(AA191=0,0,D191*T191/AA191)</f>
        <v/>
      </c>
      <c r="AD191">
        <f>IF(AA191=0,0,D191*U191/AA191)</f>
        <v/>
      </c>
      <c r="AE191">
        <f>IF(AA191=0,0,D191*V191/AA191)</f>
        <v/>
      </c>
      <c r="AF191">
        <f>IF(AA191=0,0,D191*W191/AA191)</f>
        <v/>
      </c>
      <c r="AG191">
        <f>IF(AA191=0,0,D191*X191/AA191)</f>
        <v/>
      </c>
      <c r="AH191">
        <f>IF(AA191=0,0,D191*Y191/AA191)</f>
        <v/>
      </c>
      <c r="AI191">
        <f>IF(AA191=0,0,D191*Z191/AA191)</f>
        <v/>
      </c>
      <c r="AJ191">
        <f>IF(OR(C191="",B191=""),"",C191&amp;"|"&amp;(YEAR(B191)*100+MONTH(B191)))</f>
        <v/>
      </c>
    </row>
    <row r="192">
      <c r="A192" s="1" t="n"/>
      <c r="B192" s="23" t="n"/>
      <c r="C192" s="24" t="n"/>
      <c r="D192" s="25" t="n"/>
      <c r="E192" s="26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1">
        <f>IF(D192="","",IF(B192="","No date",IF(AND(C192="Paying back",R192=0),"To whom?",IF(AA192=0,"Nobody",IF(C192="Paying back","To "&amp;INDEX(Housemates!$B$8:$B$15,MATCH(MAX(S192:Z192),S192:Z192,0)),IF(R192&gt;0,IF(COUNTIF(S192:Z192,"&gt;0")=1,"1 person",COUNTIF(S192:Z192,"&gt;0")&amp;" people"),IF(Q192=0,"Everyone",INDEX(Bills!$Q$6:$Q$25,Q192))))))))</f>
        <v/>
      </c>
      <c r="O192" s="18">
        <f>IF(D192="","",IF(C192="Paying back","Paying back",IF(Q192=0,"Other",IF(INDEX(Bills!$C$6:$C$25,Q192)="","Other",INDEX(Bills!$C$6:$C$25,Q192)))))</f>
        <v/>
      </c>
      <c r="P192" s="1" t="n"/>
      <c r="Q192">
        <f>IF(C192="",0,IFERROR(MATCH(C192,Bills!$B$6:$B$25,0),0))</f>
        <v/>
      </c>
      <c r="R192">
        <f>COUNTA(F192:M192)</f>
        <v/>
      </c>
      <c r="S192">
        <f>IF(OR($D192="",$B192="",Housemates!$B$8=""),0,IF($R192&gt;0,IF(F192="",0,IF(ISNUMBER(F192),F192,1)),IF($C192="Paying back",0,IF(AND(OR(Housemates!$C$8="",Housemates!$C$8&lt;=$B192),OR(Housemates!$D$8="",Housemates!$D$8&gt;=$B192)),IF($Q192=0,1,INDEX(Bills!$AA$6:$AA$25,$Q192)),0))))</f>
        <v/>
      </c>
      <c r="T192">
        <f>IF(OR($D192="",$B192="",Housemates!$B$9=""),0,IF($R192&gt;0,IF(G192="",0,IF(ISNUMBER(G192),G192,1)),IF($C192="Paying back",0,IF(AND(OR(Housemates!$C$9="",Housemates!$C$9&lt;=$B192),OR(Housemates!$D$9="",Housemates!$D$9&gt;=$B192)),IF($Q192=0,1,INDEX(Bills!$AB$6:$AB$25,$Q192)),0))))</f>
        <v/>
      </c>
      <c r="U192">
        <f>IF(OR($D192="",$B192="",Housemates!$B$10=""),0,IF($R192&gt;0,IF(H192="",0,IF(ISNUMBER(H192),H192,1)),IF($C192="Paying back",0,IF(AND(OR(Housemates!$C$10="",Housemates!$C$10&lt;=$B192),OR(Housemates!$D$10="",Housemates!$D$10&gt;=$B192)),IF($Q192=0,1,INDEX(Bills!$AC$6:$AC$25,$Q192)),0))))</f>
        <v/>
      </c>
      <c r="V192">
        <f>IF(OR($D192="",$B192="",Housemates!$B$11=""),0,IF($R192&gt;0,IF(I192="",0,IF(ISNUMBER(I192),I192,1)),IF($C192="Paying back",0,IF(AND(OR(Housemates!$C$11="",Housemates!$C$11&lt;=$B192),OR(Housemates!$D$11="",Housemates!$D$11&gt;=$B192)),IF($Q192=0,1,INDEX(Bills!$AD$6:$AD$25,$Q192)),0))))</f>
        <v/>
      </c>
      <c r="W192">
        <f>IF(OR($D192="",$B192="",Housemates!$B$12=""),0,IF($R192&gt;0,IF(J192="",0,IF(ISNUMBER(J192),J192,1)),IF($C192="Paying back",0,IF(AND(OR(Housemates!$C$12="",Housemates!$C$12&lt;=$B192),OR(Housemates!$D$12="",Housemates!$D$12&gt;=$B192)),IF($Q192=0,1,INDEX(Bills!$AE$6:$AE$25,$Q192)),0))))</f>
        <v/>
      </c>
      <c r="X192">
        <f>IF(OR($D192="",$B192="",Housemates!$B$13=""),0,IF($R192&gt;0,IF(K192="",0,IF(ISNUMBER(K192),K192,1)),IF($C192="Paying back",0,IF(AND(OR(Housemates!$C$13="",Housemates!$C$13&lt;=$B192),OR(Housemates!$D$13="",Housemates!$D$13&gt;=$B192)),IF($Q192=0,1,INDEX(Bills!$AF$6:$AF$25,$Q192)),0))))</f>
        <v/>
      </c>
      <c r="Y192">
        <f>IF(OR($D192="",$B192="",Housemates!$B$14=""),0,IF($R192&gt;0,IF(L192="",0,IF(ISNUMBER(L192),L192,1)),IF($C192="Paying back",0,IF(AND(OR(Housemates!$C$14="",Housemates!$C$14&lt;=$B192),OR(Housemates!$D$14="",Housemates!$D$14&gt;=$B192)),IF($Q192=0,1,INDEX(Bills!$AG$6:$AG$25,$Q192)),0))))</f>
        <v/>
      </c>
      <c r="Z192">
        <f>IF(OR($D192="",$B192="",Housemates!$B$15=""),0,IF($R192&gt;0,IF(M192="",0,IF(ISNUMBER(M192),M192,1)),IF($C192="Paying back",0,IF(AND(OR(Housemates!$C$15="",Housemates!$C$15&lt;=$B192),OR(Housemates!$D$15="",Housemates!$D$15&gt;=$B192)),IF($Q192=0,1,INDEX(Bills!$AH$6:$AH$25,$Q192)),0))))</f>
        <v/>
      </c>
      <c r="AA192">
        <f>SUM(S192:Z192)</f>
        <v/>
      </c>
      <c r="AB192">
        <f>IF(AA192=0,0,D192*S192/AA192)</f>
        <v/>
      </c>
      <c r="AC192">
        <f>IF(AA192=0,0,D192*T192/AA192)</f>
        <v/>
      </c>
      <c r="AD192">
        <f>IF(AA192=0,0,D192*U192/AA192)</f>
        <v/>
      </c>
      <c r="AE192">
        <f>IF(AA192=0,0,D192*V192/AA192)</f>
        <v/>
      </c>
      <c r="AF192">
        <f>IF(AA192=0,0,D192*W192/AA192)</f>
        <v/>
      </c>
      <c r="AG192">
        <f>IF(AA192=0,0,D192*X192/AA192)</f>
        <v/>
      </c>
      <c r="AH192">
        <f>IF(AA192=0,0,D192*Y192/AA192)</f>
        <v/>
      </c>
      <c r="AI192">
        <f>IF(AA192=0,0,D192*Z192/AA192)</f>
        <v/>
      </c>
      <c r="AJ192">
        <f>IF(OR(C192="",B192=""),"",C192&amp;"|"&amp;(YEAR(B192)*100+MONTH(B192)))</f>
        <v/>
      </c>
    </row>
    <row r="193">
      <c r="A193" s="1" t="n"/>
      <c r="B193" s="23" t="n"/>
      <c r="C193" s="24" t="n"/>
      <c r="D193" s="25" t="n"/>
      <c r="E193" s="26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1">
        <f>IF(D193="","",IF(B193="","No date",IF(AND(C193="Paying back",R193=0),"To whom?",IF(AA193=0,"Nobody",IF(C193="Paying back","To "&amp;INDEX(Housemates!$B$8:$B$15,MATCH(MAX(S193:Z193),S193:Z193,0)),IF(R193&gt;0,IF(COUNTIF(S193:Z193,"&gt;0")=1,"1 person",COUNTIF(S193:Z193,"&gt;0")&amp;" people"),IF(Q193=0,"Everyone",INDEX(Bills!$Q$6:$Q$25,Q193))))))))</f>
        <v/>
      </c>
      <c r="O193" s="18">
        <f>IF(D193="","",IF(C193="Paying back","Paying back",IF(Q193=0,"Other",IF(INDEX(Bills!$C$6:$C$25,Q193)="","Other",INDEX(Bills!$C$6:$C$25,Q193)))))</f>
        <v/>
      </c>
      <c r="P193" s="1" t="n"/>
      <c r="Q193">
        <f>IF(C193="",0,IFERROR(MATCH(C193,Bills!$B$6:$B$25,0),0))</f>
        <v/>
      </c>
      <c r="R193">
        <f>COUNTA(F193:M193)</f>
        <v/>
      </c>
      <c r="S193">
        <f>IF(OR($D193="",$B193="",Housemates!$B$8=""),0,IF($R193&gt;0,IF(F193="",0,IF(ISNUMBER(F193),F193,1)),IF($C193="Paying back",0,IF(AND(OR(Housemates!$C$8="",Housemates!$C$8&lt;=$B193),OR(Housemates!$D$8="",Housemates!$D$8&gt;=$B193)),IF($Q193=0,1,INDEX(Bills!$AA$6:$AA$25,$Q193)),0))))</f>
        <v/>
      </c>
      <c r="T193">
        <f>IF(OR($D193="",$B193="",Housemates!$B$9=""),0,IF($R193&gt;0,IF(G193="",0,IF(ISNUMBER(G193),G193,1)),IF($C193="Paying back",0,IF(AND(OR(Housemates!$C$9="",Housemates!$C$9&lt;=$B193),OR(Housemates!$D$9="",Housemates!$D$9&gt;=$B193)),IF($Q193=0,1,INDEX(Bills!$AB$6:$AB$25,$Q193)),0))))</f>
        <v/>
      </c>
      <c r="U193">
        <f>IF(OR($D193="",$B193="",Housemates!$B$10=""),0,IF($R193&gt;0,IF(H193="",0,IF(ISNUMBER(H193),H193,1)),IF($C193="Paying back",0,IF(AND(OR(Housemates!$C$10="",Housemates!$C$10&lt;=$B193),OR(Housemates!$D$10="",Housemates!$D$10&gt;=$B193)),IF($Q193=0,1,INDEX(Bills!$AC$6:$AC$25,$Q193)),0))))</f>
        <v/>
      </c>
      <c r="V193">
        <f>IF(OR($D193="",$B193="",Housemates!$B$11=""),0,IF($R193&gt;0,IF(I193="",0,IF(ISNUMBER(I193),I193,1)),IF($C193="Paying back",0,IF(AND(OR(Housemates!$C$11="",Housemates!$C$11&lt;=$B193),OR(Housemates!$D$11="",Housemates!$D$11&gt;=$B193)),IF($Q193=0,1,INDEX(Bills!$AD$6:$AD$25,$Q193)),0))))</f>
        <v/>
      </c>
      <c r="W193">
        <f>IF(OR($D193="",$B193="",Housemates!$B$12=""),0,IF($R193&gt;0,IF(J193="",0,IF(ISNUMBER(J193),J193,1)),IF($C193="Paying back",0,IF(AND(OR(Housemates!$C$12="",Housemates!$C$12&lt;=$B193),OR(Housemates!$D$12="",Housemates!$D$12&gt;=$B193)),IF($Q193=0,1,INDEX(Bills!$AE$6:$AE$25,$Q193)),0))))</f>
        <v/>
      </c>
      <c r="X193">
        <f>IF(OR($D193="",$B193="",Housemates!$B$13=""),0,IF($R193&gt;0,IF(K193="",0,IF(ISNUMBER(K193),K193,1)),IF($C193="Paying back",0,IF(AND(OR(Housemates!$C$13="",Housemates!$C$13&lt;=$B193),OR(Housemates!$D$13="",Housemates!$D$13&gt;=$B193)),IF($Q193=0,1,INDEX(Bills!$AF$6:$AF$25,$Q193)),0))))</f>
        <v/>
      </c>
      <c r="Y193">
        <f>IF(OR($D193="",$B193="",Housemates!$B$14=""),0,IF($R193&gt;0,IF(L193="",0,IF(ISNUMBER(L193),L193,1)),IF($C193="Paying back",0,IF(AND(OR(Housemates!$C$14="",Housemates!$C$14&lt;=$B193),OR(Housemates!$D$14="",Housemates!$D$14&gt;=$B193)),IF($Q193=0,1,INDEX(Bills!$AG$6:$AG$25,$Q193)),0))))</f>
        <v/>
      </c>
      <c r="Z193">
        <f>IF(OR($D193="",$B193="",Housemates!$B$15=""),0,IF($R193&gt;0,IF(M193="",0,IF(ISNUMBER(M193),M193,1)),IF($C193="Paying back",0,IF(AND(OR(Housemates!$C$15="",Housemates!$C$15&lt;=$B193),OR(Housemates!$D$15="",Housemates!$D$15&gt;=$B193)),IF($Q193=0,1,INDEX(Bills!$AH$6:$AH$25,$Q193)),0))))</f>
        <v/>
      </c>
      <c r="AA193">
        <f>SUM(S193:Z193)</f>
        <v/>
      </c>
      <c r="AB193">
        <f>IF(AA193=0,0,D193*S193/AA193)</f>
        <v/>
      </c>
      <c r="AC193">
        <f>IF(AA193=0,0,D193*T193/AA193)</f>
        <v/>
      </c>
      <c r="AD193">
        <f>IF(AA193=0,0,D193*U193/AA193)</f>
        <v/>
      </c>
      <c r="AE193">
        <f>IF(AA193=0,0,D193*V193/AA193)</f>
        <v/>
      </c>
      <c r="AF193">
        <f>IF(AA193=0,0,D193*W193/AA193)</f>
        <v/>
      </c>
      <c r="AG193">
        <f>IF(AA193=0,0,D193*X193/AA193)</f>
        <v/>
      </c>
      <c r="AH193">
        <f>IF(AA193=0,0,D193*Y193/AA193)</f>
        <v/>
      </c>
      <c r="AI193">
        <f>IF(AA193=0,0,D193*Z193/AA193)</f>
        <v/>
      </c>
      <c r="AJ193">
        <f>IF(OR(C193="",B193=""),"",C193&amp;"|"&amp;(YEAR(B193)*100+MONTH(B193)))</f>
        <v/>
      </c>
    </row>
    <row r="194">
      <c r="A194" s="1" t="n"/>
      <c r="B194" s="23" t="n"/>
      <c r="C194" s="24" t="n"/>
      <c r="D194" s="25" t="n"/>
      <c r="E194" s="26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1">
        <f>IF(D194="","",IF(B194="","No date",IF(AND(C194="Paying back",R194=0),"To whom?",IF(AA194=0,"Nobody",IF(C194="Paying back","To "&amp;INDEX(Housemates!$B$8:$B$15,MATCH(MAX(S194:Z194),S194:Z194,0)),IF(R194&gt;0,IF(COUNTIF(S194:Z194,"&gt;0")=1,"1 person",COUNTIF(S194:Z194,"&gt;0")&amp;" people"),IF(Q194=0,"Everyone",INDEX(Bills!$Q$6:$Q$25,Q194))))))))</f>
        <v/>
      </c>
      <c r="O194" s="18">
        <f>IF(D194="","",IF(C194="Paying back","Paying back",IF(Q194=0,"Other",IF(INDEX(Bills!$C$6:$C$25,Q194)="","Other",INDEX(Bills!$C$6:$C$25,Q194)))))</f>
        <v/>
      </c>
      <c r="P194" s="1" t="n"/>
      <c r="Q194">
        <f>IF(C194="",0,IFERROR(MATCH(C194,Bills!$B$6:$B$25,0),0))</f>
        <v/>
      </c>
      <c r="R194">
        <f>COUNTA(F194:M194)</f>
        <v/>
      </c>
      <c r="S194">
        <f>IF(OR($D194="",$B194="",Housemates!$B$8=""),0,IF($R194&gt;0,IF(F194="",0,IF(ISNUMBER(F194),F194,1)),IF($C194="Paying back",0,IF(AND(OR(Housemates!$C$8="",Housemates!$C$8&lt;=$B194),OR(Housemates!$D$8="",Housemates!$D$8&gt;=$B194)),IF($Q194=0,1,INDEX(Bills!$AA$6:$AA$25,$Q194)),0))))</f>
        <v/>
      </c>
      <c r="T194">
        <f>IF(OR($D194="",$B194="",Housemates!$B$9=""),0,IF($R194&gt;0,IF(G194="",0,IF(ISNUMBER(G194),G194,1)),IF($C194="Paying back",0,IF(AND(OR(Housemates!$C$9="",Housemates!$C$9&lt;=$B194),OR(Housemates!$D$9="",Housemates!$D$9&gt;=$B194)),IF($Q194=0,1,INDEX(Bills!$AB$6:$AB$25,$Q194)),0))))</f>
        <v/>
      </c>
      <c r="U194">
        <f>IF(OR($D194="",$B194="",Housemates!$B$10=""),0,IF($R194&gt;0,IF(H194="",0,IF(ISNUMBER(H194),H194,1)),IF($C194="Paying back",0,IF(AND(OR(Housemates!$C$10="",Housemates!$C$10&lt;=$B194),OR(Housemates!$D$10="",Housemates!$D$10&gt;=$B194)),IF($Q194=0,1,INDEX(Bills!$AC$6:$AC$25,$Q194)),0))))</f>
        <v/>
      </c>
      <c r="V194">
        <f>IF(OR($D194="",$B194="",Housemates!$B$11=""),0,IF($R194&gt;0,IF(I194="",0,IF(ISNUMBER(I194),I194,1)),IF($C194="Paying back",0,IF(AND(OR(Housemates!$C$11="",Housemates!$C$11&lt;=$B194),OR(Housemates!$D$11="",Housemates!$D$11&gt;=$B194)),IF($Q194=0,1,INDEX(Bills!$AD$6:$AD$25,$Q194)),0))))</f>
        <v/>
      </c>
      <c r="W194">
        <f>IF(OR($D194="",$B194="",Housemates!$B$12=""),0,IF($R194&gt;0,IF(J194="",0,IF(ISNUMBER(J194),J194,1)),IF($C194="Paying back",0,IF(AND(OR(Housemates!$C$12="",Housemates!$C$12&lt;=$B194),OR(Housemates!$D$12="",Housemates!$D$12&gt;=$B194)),IF($Q194=0,1,INDEX(Bills!$AE$6:$AE$25,$Q194)),0))))</f>
        <v/>
      </c>
      <c r="X194">
        <f>IF(OR($D194="",$B194="",Housemates!$B$13=""),0,IF($R194&gt;0,IF(K194="",0,IF(ISNUMBER(K194),K194,1)),IF($C194="Paying back",0,IF(AND(OR(Housemates!$C$13="",Housemates!$C$13&lt;=$B194),OR(Housemates!$D$13="",Housemates!$D$13&gt;=$B194)),IF($Q194=0,1,INDEX(Bills!$AF$6:$AF$25,$Q194)),0))))</f>
        <v/>
      </c>
      <c r="Y194">
        <f>IF(OR($D194="",$B194="",Housemates!$B$14=""),0,IF($R194&gt;0,IF(L194="",0,IF(ISNUMBER(L194),L194,1)),IF($C194="Paying back",0,IF(AND(OR(Housemates!$C$14="",Housemates!$C$14&lt;=$B194),OR(Housemates!$D$14="",Housemates!$D$14&gt;=$B194)),IF($Q194=0,1,INDEX(Bills!$AG$6:$AG$25,$Q194)),0))))</f>
        <v/>
      </c>
      <c r="Z194">
        <f>IF(OR($D194="",$B194="",Housemates!$B$15=""),0,IF($R194&gt;0,IF(M194="",0,IF(ISNUMBER(M194),M194,1)),IF($C194="Paying back",0,IF(AND(OR(Housemates!$C$15="",Housemates!$C$15&lt;=$B194),OR(Housemates!$D$15="",Housemates!$D$15&gt;=$B194)),IF($Q194=0,1,INDEX(Bills!$AH$6:$AH$25,$Q194)),0))))</f>
        <v/>
      </c>
      <c r="AA194">
        <f>SUM(S194:Z194)</f>
        <v/>
      </c>
      <c r="AB194">
        <f>IF(AA194=0,0,D194*S194/AA194)</f>
        <v/>
      </c>
      <c r="AC194">
        <f>IF(AA194=0,0,D194*T194/AA194)</f>
        <v/>
      </c>
      <c r="AD194">
        <f>IF(AA194=0,0,D194*U194/AA194)</f>
        <v/>
      </c>
      <c r="AE194">
        <f>IF(AA194=0,0,D194*V194/AA194)</f>
        <v/>
      </c>
      <c r="AF194">
        <f>IF(AA194=0,0,D194*W194/AA194)</f>
        <v/>
      </c>
      <c r="AG194">
        <f>IF(AA194=0,0,D194*X194/AA194)</f>
        <v/>
      </c>
      <c r="AH194">
        <f>IF(AA194=0,0,D194*Y194/AA194)</f>
        <v/>
      </c>
      <c r="AI194">
        <f>IF(AA194=0,0,D194*Z194/AA194)</f>
        <v/>
      </c>
      <c r="AJ194">
        <f>IF(OR(C194="",B194=""),"",C194&amp;"|"&amp;(YEAR(B194)*100+MONTH(B194)))</f>
        <v/>
      </c>
    </row>
    <row r="195">
      <c r="A195" s="1" t="n"/>
      <c r="B195" s="23" t="n"/>
      <c r="C195" s="24" t="n"/>
      <c r="D195" s="25" t="n"/>
      <c r="E195" s="26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1">
        <f>IF(D195="","",IF(B195="","No date",IF(AND(C195="Paying back",R195=0),"To whom?",IF(AA195=0,"Nobody",IF(C195="Paying back","To "&amp;INDEX(Housemates!$B$8:$B$15,MATCH(MAX(S195:Z195),S195:Z195,0)),IF(R195&gt;0,IF(COUNTIF(S195:Z195,"&gt;0")=1,"1 person",COUNTIF(S195:Z195,"&gt;0")&amp;" people"),IF(Q195=0,"Everyone",INDEX(Bills!$Q$6:$Q$25,Q195))))))))</f>
        <v/>
      </c>
      <c r="O195" s="18">
        <f>IF(D195="","",IF(C195="Paying back","Paying back",IF(Q195=0,"Other",IF(INDEX(Bills!$C$6:$C$25,Q195)="","Other",INDEX(Bills!$C$6:$C$25,Q195)))))</f>
        <v/>
      </c>
      <c r="P195" s="1" t="n"/>
      <c r="Q195">
        <f>IF(C195="",0,IFERROR(MATCH(C195,Bills!$B$6:$B$25,0),0))</f>
        <v/>
      </c>
      <c r="R195">
        <f>COUNTA(F195:M195)</f>
        <v/>
      </c>
      <c r="S195">
        <f>IF(OR($D195="",$B195="",Housemates!$B$8=""),0,IF($R195&gt;0,IF(F195="",0,IF(ISNUMBER(F195),F195,1)),IF($C195="Paying back",0,IF(AND(OR(Housemates!$C$8="",Housemates!$C$8&lt;=$B195),OR(Housemates!$D$8="",Housemates!$D$8&gt;=$B195)),IF($Q195=0,1,INDEX(Bills!$AA$6:$AA$25,$Q195)),0))))</f>
        <v/>
      </c>
      <c r="T195">
        <f>IF(OR($D195="",$B195="",Housemates!$B$9=""),0,IF($R195&gt;0,IF(G195="",0,IF(ISNUMBER(G195),G195,1)),IF($C195="Paying back",0,IF(AND(OR(Housemates!$C$9="",Housemates!$C$9&lt;=$B195),OR(Housemates!$D$9="",Housemates!$D$9&gt;=$B195)),IF($Q195=0,1,INDEX(Bills!$AB$6:$AB$25,$Q195)),0))))</f>
        <v/>
      </c>
      <c r="U195">
        <f>IF(OR($D195="",$B195="",Housemates!$B$10=""),0,IF($R195&gt;0,IF(H195="",0,IF(ISNUMBER(H195),H195,1)),IF($C195="Paying back",0,IF(AND(OR(Housemates!$C$10="",Housemates!$C$10&lt;=$B195),OR(Housemates!$D$10="",Housemates!$D$10&gt;=$B195)),IF($Q195=0,1,INDEX(Bills!$AC$6:$AC$25,$Q195)),0))))</f>
        <v/>
      </c>
      <c r="V195">
        <f>IF(OR($D195="",$B195="",Housemates!$B$11=""),0,IF($R195&gt;0,IF(I195="",0,IF(ISNUMBER(I195),I195,1)),IF($C195="Paying back",0,IF(AND(OR(Housemates!$C$11="",Housemates!$C$11&lt;=$B195),OR(Housemates!$D$11="",Housemates!$D$11&gt;=$B195)),IF($Q195=0,1,INDEX(Bills!$AD$6:$AD$25,$Q195)),0))))</f>
        <v/>
      </c>
      <c r="W195">
        <f>IF(OR($D195="",$B195="",Housemates!$B$12=""),0,IF($R195&gt;0,IF(J195="",0,IF(ISNUMBER(J195),J195,1)),IF($C195="Paying back",0,IF(AND(OR(Housemates!$C$12="",Housemates!$C$12&lt;=$B195),OR(Housemates!$D$12="",Housemates!$D$12&gt;=$B195)),IF($Q195=0,1,INDEX(Bills!$AE$6:$AE$25,$Q195)),0))))</f>
        <v/>
      </c>
      <c r="X195">
        <f>IF(OR($D195="",$B195="",Housemates!$B$13=""),0,IF($R195&gt;0,IF(K195="",0,IF(ISNUMBER(K195),K195,1)),IF($C195="Paying back",0,IF(AND(OR(Housemates!$C$13="",Housemates!$C$13&lt;=$B195),OR(Housemates!$D$13="",Housemates!$D$13&gt;=$B195)),IF($Q195=0,1,INDEX(Bills!$AF$6:$AF$25,$Q195)),0))))</f>
        <v/>
      </c>
      <c r="Y195">
        <f>IF(OR($D195="",$B195="",Housemates!$B$14=""),0,IF($R195&gt;0,IF(L195="",0,IF(ISNUMBER(L195),L195,1)),IF($C195="Paying back",0,IF(AND(OR(Housemates!$C$14="",Housemates!$C$14&lt;=$B195),OR(Housemates!$D$14="",Housemates!$D$14&gt;=$B195)),IF($Q195=0,1,INDEX(Bills!$AG$6:$AG$25,$Q195)),0))))</f>
        <v/>
      </c>
      <c r="Z195">
        <f>IF(OR($D195="",$B195="",Housemates!$B$15=""),0,IF($R195&gt;0,IF(M195="",0,IF(ISNUMBER(M195),M195,1)),IF($C195="Paying back",0,IF(AND(OR(Housemates!$C$15="",Housemates!$C$15&lt;=$B195),OR(Housemates!$D$15="",Housemates!$D$15&gt;=$B195)),IF($Q195=0,1,INDEX(Bills!$AH$6:$AH$25,$Q195)),0))))</f>
        <v/>
      </c>
      <c r="AA195">
        <f>SUM(S195:Z195)</f>
        <v/>
      </c>
      <c r="AB195">
        <f>IF(AA195=0,0,D195*S195/AA195)</f>
        <v/>
      </c>
      <c r="AC195">
        <f>IF(AA195=0,0,D195*T195/AA195)</f>
        <v/>
      </c>
      <c r="AD195">
        <f>IF(AA195=0,0,D195*U195/AA195)</f>
        <v/>
      </c>
      <c r="AE195">
        <f>IF(AA195=0,0,D195*V195/AA195)</f>
        <v/>
      </c>
      <c r="AF195">
        <f>IF(AA195=0,0,D195*W195/AA195)</f>
        <v/>
      </c>
      <c r="AG195">
        <f>IF(AA195=0,0,D195*X195/AA195)</f>
        <v/>
      </c>
      <c r="AH195">
        <f>IF(AA195=0,0,D195*Y195/AA195)</f>
        <v/>
      </c>
      <c r="AI195">
        <f>IF(AA195=0,0,D195*Z195/AA195)</f>
        <v/>
      </c>
      <c r="AJ195">
        <f>IF(OR(C195="",B195=""),"",C195&amp;"|"&amp;(YEAR(B195)*100+MONTH(B195)))</f>
        <v/>
      </c>
    </row>
    <row r="196">
      <c r="A196" s="1" t="n"/>
      <c r="B196" s="23" t="n"/>
      <c r="C196" s="24" t="n"/>
      <c r="D196" s="25" t="n"/>
      <c r="E196" s="26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1">
        <f>IF(D196="","",IF(B196="","No date",IF(AND(C196="Paying back",R196=0),"To whom?",IF(AA196=0,"Nobody",IF(C196="Paying back","To "&amp;INDEX(Housemates!$B$8:$B$15,MATCH(MAX(S196:Z196),S196:Z196,0)),IF(R196&gt;0,IF(COUNTIF(S196:Z196,"&gt;0")=1,"1 person",COUNTIF(S196:Z196,"&gt;0")&amp;" people"),IF(Q196=0,"Everyone",INDEX(Bills!$Q$6:$Q$25,Q196))))))))</f>
        <v/>
      </c>
      <c r="O196" s="18">
        <f>IF(D196="","",IF(C196="Paying back","Paying back",IF(Q196=0,"Other",IF(INDEX(Bills!$C$6:$C$25,Q196)="","Other",INDEX(Bills!$C$6:$C$25,Q196)))))</f>
        <v/>
      </c>
      <c r="P196" s="1" t="n"/>
      <c r="Q196">
        <f>IF(C196="",0,IFERROR(MATCH(C196,Bills!$B$6:$B$25,0),0))</f>
        <v/>
      </c>
      <c r="R196">
        <f>COUNTA(F196:M196)</f>
        <v/>
      </c>
      <c r="S196">
        <f>IF(OR($D196="",$B196="",Housemates!$B$8=""),0,IF($R196&gt;0,IF(F196="",0,IF(ISNUMBER(F196),F196,1)),IF($C196="Paying back",0,IF(AND(OR(Housemates!$C$8="",Housemates!$C$8&lt;=$B196),OR(Housemates!$D$8="",Housemates!$D$8&gt;=$B196)),IF($Q196=0,1,INDEX(Bills!$AA$6:$AA$25,$Q196)),0))))</f>
        <v/>
      </c>
      <c r="T196">
        <f>IF(OR($D196="",$B196="",Housemates!$B$9=""),0,IF($R196&gt;0,IF(G196="",0,IF(ISNUMBER(G196),G196,1)),IF($C196="Paying back",0,IF(AND(OR(Housemates!$C$9="",Housemates!$C$9&lt;=$B196),OR(Housemates!$D$9="",Housemates!$D$9&gt;=$B196)),IF($Q196=0,1,INDEX(Bills!$AB$6:$AB$25,$Q196)),0))))</f>
        <v/>
      </c>
      <c r="U196">
        <f>IF(OR($D196="",$B196="",Housemates!$B$10=""),0,IF($R196&gt;0,IF(H196="",0,IF(ISNUMBER(H196),H196,1)),IF($C196="Paying back",0,IF(AND(OR(Housemates!$C$10="",Housemates!$C$10&lt;=$B196),OR(Housemates!$D$10="",Housemates!$D$10&gt;=$B196)),IF($Q196=0,1,INDEX(Bills!$AC$6:$AC$25,$Q196)),0))))</f>
        <v/>
      </c>
      <c r="V196">
        <f>IF(OR($D196="",$B196="",Housemates!$B$11=""),0,IF($R196&gt;0,IF(I196="",0,IF(ISNUMBER(I196),I196,1)),IF($C196="Paying back",0,IF(AND(OR(Housemates!$C$11="",Housemates!$C$11&lt;=$B196),OR(Housemates!$D$11="",Housemates!$D$11&gt;=$B196)),IF($Q196=0,1,INDEX(Bills!$AD$6:$AD$25,$Q196)),0))))</f>
        <v/>
      </c>
      <c r="W196">
        <f>IF(OR($D196="",$B196="",Housemates!$B$12=""),0,IF($R196&gt;0,IF(J196="",0,IF(ISNUMBER(J196),J196,1)),IF($C196="Paying back",0,IF(AND(OR(Housemates!$C$12="",Housemates!$C$12&lt;=$B196),OR(Housemates!$D$12="",Housemates!$D$12&gt;=$B196)),IF($Q196=0,1,INDEX(Bills!$AE$6:$AE$25,$Q196)),0))))</f>
        <v/>
      </c>
      <c r="X196">
        <f>IF(OR($D196="",$B196="",Housemates!$B$13=""),0,IF($R196&gt;0,IF(K196="",0,IF(ISNUMBER(K196),K196,1)),IF($C196="Paying back",0,IF(AND(OR(Housemates!$C$13="",Housemates!$C$13&lt;=$B196),OR(Housemates!$D$13="",Housemates!$D$13&gt;=$B196)),IF($Q196=0,1,INDEX(Bills!$AF$6:$AF$25,$Q196)),0))))</f>
        <v/>
      </c>
      <c r="Y196">
        <f>IF(OR($D196="",$B196="",Housemates!$B$14=""),0,IF($R196&gt;0,IF(L196="",0,IF(ISNUMBER(L196),L196,1)),IF($C196="Paying back",0,IF(AND(OR(Housemates!$C$14="",Housemates!$C$14&lt;=$B196),OR(Housemates!$D$14="",Housemates!$D$14&gt;=$B196)),IF($Q196=0,1,INDEX(Bills!$AG$6:$AG$25,$Q196)),0))))</f>
        <v/>
      </c>
      <c r="Z196">
        <f>IF(OR($D196="",$B196="",Housemates!$B$15=""),0,IF($R196&gt;0,IF(M196="",0,IF(ISNUMBER(M196),M196,1)),IF($C196="Paying back",0,IF(AND(OR(Housemates!$C$15="",Housemates!$C$15&lt;=$B196),OR(Housemates!$D$15="",Housemates!$D$15&gt;=$B196)),IF($Q196=0,1,INDEX(Bills!$AH$6:$AH$25,$Q196)),0))))</f>
        <v/>
      </c>
      <c r="AA196">
        <f>SUM(S196:Z196)</f>
        <v/>
      </c>
      <c r="AB196">
        <f>IF(AA196=0,0,D196*S196/AA196)</f>
        <v/>
      </c>
      <c r="AC196">
        <f>IF(AA196=0,0,D196*T196/AA196)</f>
        <v/>
      </c>
      <c r="AD196">
        <f>IF(AA196=0,0,D196*U196/AA196)</f>
        <v/>
      </c>
      <c r="AE196">
        <f>IF(AA196=0,0,D196*V196/AA196)</f>
        <v/>
      </c>
      <c r="AF196">
        <f>IF(AA196=0,0,D196*W196/AA196)</f>
        <v/>
      </c>
      <c r="AG196">
        <f>IF(AA196=0,0,D196*X196/AA196)</f>
        <v/>
      </c>
      <c r="AH196">
        <f>IF(AA196=0,0,D196*Y196/AA196)</f>
        <v/>
      </c>
      <c r="AI196">
        <f>IF(AA196=0,0,D196*Z196/AA196)</f>
        <v/>
      </c>
      <c r="AJ196">
        <f>IF(OR(C196="",B196=""),"",C196&amp;"|"&amp;(YEAR(B196)*100+MONTH(B196)))</f>
        <v/>
      </c>
    </row>
    <row r="197">
      <c r="A197" s="1" t="n"/>
      <c r="B197" s="23" t="n"/>
      <c r="C197" s="24" t="n"/>
      <c r="D197" s="25" t="n"/>
      <c r="E197" s="26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1">
        <f>IF(D197="","",IF(B197="","No date",IF(AND(C197="Paying back",R197=0),"To whom?",IF(AA197=0,"Nobody",IF(C197="Paying back","To "&amp;INDEX(Housemates!$B$8:$B$15,MATCH(MAX(S197:Z197),S197:Z197,0)),IF(R197&gt;0,IF(COUNTIF(S197:Z197,"&gt;0")=1,"1 person",COUNTIF(S197:Z197,"&gt;0")&amp;" people"),IF(Q197=0,"Everyone",INDEX(Bills!$Q$6:$Q$25,Q197))))))))</f>
        <v/>
      </c>
      <c r="O197" s="18">
        <f>IF(D197="","",IF(C197="Paying back","Paying back",IF(Q197=0,"Other",IF(INDEX(Bills!$C$6:$C$25,Q197)="","Other",INDEX(Bills!$C$6:$C$25,Q197)))))</f>
        <v/>
      </c>
      <c r="P197" s="1" t="n"/>
      <c r="Q197">
        <f>IF(C197="",0,IFERROR(MATCH(C197,Bills!$B$6:$B$25,0),0))</f>
        <v/>
      </c>
      <c r="R197">
        <f>COUNTA(F197:M197)</f>
        <v/>
      </c>
      <c r="S197">
        <f>IF(OR($D197="",$B197="",Housemates!$B$8=""),0,IF($R197&gt;0,IF(F197="",0,IF(ISNUMBER(F197),F197,1)),IF($C197="Paying back",0,IF(AND(OR(Housemates!$C$8="",Housemates!$C$8&lt;=$B197),OR(Housemates!$D$8="",Housemates!$D$8&gt;=$B197)),IF($Q197=0,1,INDEX(Bills!$AA$6:$AA$25,$Q197)),0))))</f>
        <v/>
      </c>
      <c r="T197">
        <f>IF(OR($D197="",$B197="",Housemates!$B$9=""),0,IF($R197&gt;0,IF(G197="",0,IF(ISNUMBER(G197),G197,1)),IF($C197="Paying back",0,IF(AND(OR(Housemates!$C$9="",Housemates!$C$9&lt;=$B197),OR(Housemates!$D$9="",Housemates!$D$9&gt;=$B197)),IF($Q197=0,1,INDEX(Bills!$AB$6:$AB$25,$Q197)),0))))</f>
        <v/>
      </c>
      <c r="U197">
        <f>IF(OR($D197="",$B197="",Housemates!$B$10=""),0,IF($R197&gt;0,IF(H197="",0,IF(ISNUMBER(H197),H197,1)),IF($C197="Paying back",0,IF(AND(OR(Housemates!$C$10="",Housemates!$C$10&lt;=$B197),OR(Housemates!$D$10="",Housemates!$D$10&gt;=$B197)),IF($Q197=0,1,INDEX(Bills!$AC$6:$AC$25,$Q197)),0))))</f>
        <v/>
      </c>
      <c r="V197">
        <f>IF(OR($D197="",$B197="",Housemates!$B$11=""),0,IF($R197&gt;0,IF(I197="",0,IF(ISNUMBER(I197),I197,1)),IF($C197="Paying back",0,IF(AND(OR(Housemates!$C$11="",Housemates!$C$11&lt;=$B197),OR(Housemates!$D$11="",Housemates!$D$11&gt;=$B197)),IF($Q197=0,1,INDEX(Bills!$AD$6:$AD$25,$Q197)),0))))</f>
        <v/>
      </c>
      <c r="W197">
        <f>IF(OR($D197="",$B197="",Housemates!$B$12=""),0,IF($R197&gt;0,IF(J197="",0,IF(ISNUMBER(J197),J197,1)),IF($C197="Paying back",0,IF(AND(OR(Housemates!$C$12="",Housemates!$C$12&lt;=$B197),OR(Housemates!$D$12="",Housemates!$D$12&gt;=$B197)),IF($Q197=0,1,INDEX(Bills!$AE$6:$AE$25,$Q197)),0))))</f>
        <v/>
      </c>
      <c r="X197">
        <f>IF(OR($D197="",$B197="",Housemates!$B$13=""),0,IF($R197&gt;0,IF(K197="",0,IF(ISNUMBER(K197),K197,1)),IF($C197="Paying back",0,IF(AND(OR(Housemates!$C$13="",Housemates!$C$13&lt;=$B197),OR(Housemates!$D$13="",Housemates!$D$13&gt;=$B197)),IF($Q197=0,1,INDEX(Bills!$AF$6:$AF$25,$Q197)),0))))</f>
        <v/>
      </c>
      <c r="Y197">
        <f>IF(OR($D197="",$B197="",Housemates!$B$14=""),0,IF($R197&gt;0,IF(L197="",0,IF(ISNUMBER(L197),L197,1)),IF($C197="Paying back",0,IF(AND(OR(Housemates!$C$14="",Housemates!$C$14&lt;=$B197),OR(Housemates!$D$14="",Housemates!$D$14&gt;=$B197)),IF($Q197=0,1,INDEX(Bills!$AG$6:$AG$25,$Q197)),0))))</f>
        <v/>
      </c>
      <c r="Z197">
        <f>IF(OR($D197="",$B197="",Housemates!$B$15=""),0,IF($R197&gt;0,IF(M197="",0,IF(ISNUMBER(M197),M197,1)),IF($C197="Paying back",0,IF(AND(OR(Housemates!$C$15="",Housemates!$C$15&lt;=$B197),OR(Housemates!$D$15="",Housemates!$D$15&gt;=$B197)),IF($Q197=0,1,INDEX(Bills!$AH$6:$AH$25,$Q197)),0))))</f>
        <v/>
      </c>
      <c r="AA197">
        <f>SUM(S197:Z197)</f>
        <v/>
      </c>
      <c r="AB197">
        <f>IF(AA197=0,0,D197*S197/AA197)</f>
        <v/>
      </c>
      <c r="AC197">
        <f>IF(AA197=0,0,D197*T197/AA197)</f>
        <v/>
      </c>
      <c r="AD197">
        <f>IF(AA197=0,0,D197*U197/AA197)</f>
        <v/>
      </c>
      <c r="AE197">
        <f>IF(AA197=0,0,D197*V197/AA197)</f>
        <v/>
      </c>
      <c r="AF197">
        <f>IF(AA197=0,0,D197*W197/AA197)</f>
        <v/>
      </c>
      <c r="AG197">
        <f>IF(AA197=0,0,D197*X197/AA197)</f>
        <v/>
      </c>
      <c r="AH197">
        <f>IF(AA197=0,0,D197*Y197/AA197)</f>
        <v/>
      </c>
      <c r="AI197">
        <f>IF(AA197=0,0,D197*Z197/AA197)</f>
        <v/>
      </c>
      <c r="AJ197">
        <f>IF(OR(C197="",B197=""),"",C197&amp;"|"&amp;(YEAR(B197)*100+MONTH(B197)))</f>
        <v/>
      </c>
    </row>
    <row r="198">
      <c r="A198" s="1" t="n"/>
      <c r="B198" s="23" t="n"/>
      <c r="C198" s="24" t="n"/>
      <c r="D198" s="25" t="n"/>
      <c r="E198" s="26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1">
        <f>IF(D198="","",IF(B198="","No date",IF(AND(C198="Paying back",R198=0),"To whom?",IF(AA198=0,"Nobody",IF(C198="Paying back","To "&amp;INDEX(Housemates!$B$8:$B$15,MATCH(MAX(S198:Z198),S198:Z198,0)),IF(R198&gt;0,IF(COUNTIF(S198:Z198,"&gt;0")=1,"1 person",COUNTIF(S198:Z198,"&gt;0")&amp;" people"),IF(Q198=0,"Everyone",INDEX(Bills!$Q$6:$Q$25,Q198))))))))</f>
        <v/>
      </c>
      <c r="O198" s="18">
        <f>IF(D198="","",IF(C198="Paying back","Paying back",IF(Q198=0,"Other",IF(INDEX(Bills!$C$6:$C$25,Q198)="","Other",INDEX(Bills!$C$6:$C$25,Q198)))))</f>
        <v/>
      </c>
      <c r="P198" s="1" t="n"/>
      <c r="Q198">
        <f>IF(C198="",0,IFERROR(MATCH(C198,Bills!$B$6:$B$25,0),0))</f>
        <v/>
      </c>
      <c r="R198">
        <f>COUNTA(F198:M198)</f>
        <v/>
      </c>
      <c r="S198">
        <f>IF(OR($D198="",$B198="",Housemates!$B$8=""),0,IF($R198&gt;0,IF(F198="",0,IF(ISNUMBER(F198),F198,1)),IF($C198="Paying back",0,IF(AND(OR(Housemates!$C$8="",Housemates!$C$8&lt;=$B198),OR(Housemates!$D$8="",Housemates!$D$8&gt;=$B198)),IF($Q198=0,1,INDEX(Bills!$AA$6:$AA$25,$Q198)),0))))</f>
        <v/>
      </c>
      <c r="T198">
        <f>IF(OR($D198="",$B198="",Housemates!$B$9=""),0,IF($R198&gt;0,IF(G198="",0,IF(ISNUMBER(G198),G198,1)),IF($C198="Paying back",0,IF(AND(OR(Housemates!$C$9="",Housemates!$C$9&lt;=$B198),OR(Housemates!$D$9="",Housemates!$D$9&gt;=$B198)),IF($Q198=0,1,INDEX(Bills!$AB$6:$AB$25,$Q198)),0))))</f>
        <v/>
      </c>
      <c r="U198">
        <f>IF(OR($D198="",$B198="",Housemates!$B$10=""),0,IF($R198&gt;0,IF(H198="",0,IF(ISNUMBER(H198),H198,1)),IF($C198="Paying back",0,IF(AND(OR(Housemates!$C$10="",Housemates!$C$10&lt;=$B198),OR(Housemates!$D$10="",Housemates!$D$10&gt;=$B198)),IF($Q198=0,1,INDEX(Bills!$AC$6:$AC$25,$Q198)),0))))</f>
        <v/>
      </c>
      <c r="V198">
        <f>IF(OR($D198="",$B198="",Housemates!$B$11=""),0,IF($R198&gt;0,IF(I198="",0,IF(ISNUMBER(I198),I198,1)),IF($C198="Paying back",0,IF(AND(OR(Housemates!$C$11="",Housemates!$C$11&lt;=$B198),OR(Housemates!$D$11="",Housemates!$D$11&gt;=$B198)),IF($Q198=0,1,INDEX(Bills!$AD$6:$AD$25,$Q198)),0))))</f>
        <v/>
      </c>
      <c r="W198">
        <f>IF(OR($D198="",$B198="",Housemates!$B$12=""),0,IF($R198&gt;0,IF(J198="",0,IF(ISNUMBER(J198),J198,1)),IF($C198="Paying back",0,IF(AND(OR(Housemates!$C$12="",Housemates!$C$12&lt;=$B198),OR(Housemates!$D$12="",Housemates!$D$12&gt;=$B198)),IF($Q198=0,1,INDEX(Bills!$AE$6:$AE$25,$Q198)),0))))</f>
        <v/>
      </c>
      <c r="X198">
        <f>IF(OR($D198="",$B198="",Housemates!$B$13=""),0,IF($R198&gt;0,IF(K198="",0,IF(ISNUMBER(K198),K198,1)),IF($C198="Paying back",0,IF(AND(OR(Housemates!$C$13="",Housemates!$C$13&lt;=$B198),OR(Housemates!$D$13="",Housemates!$D$13&gt;=$B198)),IF($Q198=0,1,INDEX(Bills!$AF$6:$AF$25,$Q198)),0))))</f>
        <v/>
      </c>
      <c r="Y198">
        <f>IF(OR($D198="",$B198="",Housemates!$B$14=""),0,IF($R198&gt;0,IF(L198="",0,IF(ISNUMBER(L198),L198,1)),IF($C198="Paying back",0,IF(AND(OR(Housemates!$C$14="",Housemates!$C$14&lt;=$B198),OR(Housemates!$D$14="",Housemates!$D$14&gt;=$B198)),IF($Q198=0,1,INDEX(Bills!$AG$6:$AG$25,$Q198)),0))))</f>
        <v/>
      </c>
      <c r="Z198">
        <f>IF(OR($D198="",$B198="",Housemates!$B$15=""),0,IF($R198&gt;0,IF(M198="",0,IF(ISNUMBER(M198),M198,1)),IF($C198="Paying back",0,IF(AND(OR(Housemates!$C$15="",Housemates!$C$15&lt;=$B198),OR(Housemates!$D$15="",Housemates!$D$15&gt;=$B198)),IF($Q198=0,1,INDEX(Bills!$AH$6:$AH$25,$Q198)),0))))</f>
        <v/>
      </c>
      <c r="AA198">
        <f>SUM(S198:Z198)</f>
        <v/>
      </c>
      <c r="AB198">
        <f>IF(AA198=0,0,D198*S198/AA198)</f>
        <v/>
      </c>
      <c r="AC198">
        <f>IF(AA198=0,0,D198*T198/AA198)</f>
        <v/>
      </c>
      <c r="AD198">
        <f>IF(AA198=0,0,D198*U198/AA198)</f>
        <v/>
      </c>
      <c r="AE198">
        <f>IF(AA198=0,0,D198*V198/AA198)</f>
        <v/>
      </c>
      <c r="AF198">
        <f>IF(AA198=0,0,D198*W198/AA198)</f>
        <v/>
      </c>
      <c r="AG198">
        <f>IF(AA198=0,0,D198*X198/AA198)</f>
        <v/>
      </c>
      <c r="AH198">
        <f>IF(AA198=0,0,D198*Y198/AA198)</f>
        <v/>
      </c>
      <c r="AI198">
        <f>IF(AA198=0,0,D198*Z198/AA198)</f>
        <v/>
      </c>
      <c r="AJ198">
        <f>IF(OR(C198="",B198=""),"",C198&amp;"|"&amp;(YEAR(B198)*100+MONTH(B198)))</f>
        <v/>
      </c>
    </row>
    <row r="199">
      <c r="A199" s="1" t="n"/>
      <c r="B199" s="23" t="n"/>
      <c r="C199" s="24" t="n"/>
      <c r="D199" s="25" t="n"/>
      <c r="E199" s="26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1">
        <f>IF(D199="","",IF(B199="","No date",IF(AND(C199="Paying back",R199=0),"To whom?",IF(AA199=0,"Nobody",IF(C199="Paying back","To "&amp;INDEX(Housemates!$B$8:$B$15,MATCH(MAX(S199:Z199),S199:Z199,0)),IF(R199&gt;0,IF(COUNTIF(S199:Z199,"&gt;0")=1,"1 person",COUNTIF(S199:Z199,"&gt;0")&amp;" people"),IF(Q199=0,"Everyone",INDEX(Bills!$Q$6:$Q$25,Q199))))))))</f>
        <v/>
      </c>
      <c r="O199" s="18">
        <f>IF(D199="","",IF(C199="Paying back","Paying back",IF(Q199=0,"Other",IF(INDEX(Bills!$C$6:$C$25,Q199)="","Other",INDEX(Bills!$C$6:$C$25,Q199)))))</f>
        <v/>
      </c>
      <c r="P199" s="1" t="n"/>
      <c r="Q199">
        <f>IF(C199="",0,IFERROR(MATCH(C199,Bills!$B$6:$B$25,0),0))</f>
        <v/>
      </c>
      <c r="R199">
        <f>COUNTA(F199:M199)</f>
        <v/>
      </c>
      <c r="S199">
        <f>IF(OR($D199="",$B199="",Housemates!$B$8=""),0,IF($R199&gt;0,IF(F199="",0,IF(ISNUMBER(F199),F199,1)),IF($C199="Paying back",0,IF(AND(OR(Housemates!$C$8="",Housemates!$C$8&lt;=$B199),OR(Housemates!$D$8="",Housemates!$D$8&gt;=$B199)),IF($Q199=0,1,INDEX(Bills!$AA$6:$AA$25,$Q199)),0))))</f>
        <v/>
      </c>
      <c r="T199">
        <f>IF(OR($D199="",$B199="",Housemates!$B$9=""),0,IF($R199&gt;0,IF(G199="",0,IF(ISNUMBER(G199),G199,1)),IF($C199="Paying back",0,IF(AND(OR(Housemates!$C$9="",Housemates!$C$9&lt;=$B199),OR(Housemates!$D$9="",Housemates!$D$9&gt;=$B199)),IF($Q199=0,1,INDEX(Bills!$AB$6:$AB$25,$Q199)),0))))</f>
        <v/>
      </c>
      <c r="U199">
        <f>IF(OR($D199="",$B199="",Housemates!$B$10=""),0,IF($R199&gt;0,IF(H199="",0,IF(ISNUMBER(H199),H199,1)),IF($C199="Paying back",0,IF(AND(OR(Housemates!$C$10="",Housemates!$C$10&lt;=$B199),OR(Housemates!$D$10="",Housemates!$D$10&gt;=$B199)),IF($Q199=0,1,INDEX(Bills!$AC$6:$AC$25,$Q199)),0))))</f>
        <v/>
      </c>
      <c r="V199">
        <f>IF(OR($D199="",$B199="",Housemates!$B$11=""),0,IF($R199&gt;0,IF(I199="",0,IF(ISNUMBER(I199),I199,1)),IF($C199="Paying back",0,IF(AND(OR(Housemates!$C$11="",Housemates!$C$11&lt;=$B199),OR(Housemates!$D$11="",Housemates!$D$11&gt;=$B199)),IF($Q199=0,1,INDEX(Bills!$AD$6:$AD$25,$Q199)),0))))</f>
        <v/>
      </c>
      <c r="W199">
        <f>IF(OR($D199="",$B199="",Housemates!$B$12=""),0,IF($R199&gt;0,IF(J199="",0,IF(ISNUMBER(J199),J199,1)),IF($C199="Paying back",0,IF(AND(OR(Housemates!$C$12="",Housemates!$C$12&lt;=$B199),OR(Housemates!$D$12="",Housemates!$D$12&gt;=$B199)),IF($Q199=0,1,INDEX(Bills!$AE$6:$AE$25,$Q199)),0))))</f>
        <v/>
      </c>
      <c r="X199">
        <f>IF(OR($D199="",$B199="",Housemates!$B$13=""),0,IF($R199&gt;0,IF(K199="",0,IF(ISNUMBER(K199),K199,1)),IF($C199="Paying back",0,IF(AND(OR(Housemates!$C$13="",Housemates!$C$13&lt;=$B199),OR(Housemates!$D$13="",Housemates!$D$13&gt;=$B199)),IF($Q199=0,1,INDEX(Bills!$AF$6:$AF$25,$Q199)),0))))</f>
        <v/>
      </c>
      <c r="Y199">
        <f>IF(OR($D199="",$B199="",Housemates!$B$14=""),0,IF($R199&gt;0,IF(L199="",0,IF(ISNUMBER(L199),L199,1)),IF($C199="Paying back",0,IF(AND(OR(Housemates!$C$14="",Housemates!$C$14&lt;=$B199),OR(Housemates!$D$14="",Housemates!$D$14&gt;=$B199)),IF($Q199=0,1,INDEX(Bills!$AG$6:$AG$25,$Q199)),0))))</f>
        <v/>
      </c>
      <c r="Z199">
        <f>IF(OR($D199="",$B199="",Housemates!$B$15=""),0,IF($R199&gt;0,IF(M199="",0,IF(ISNUMBER(M199),M199,1)),IF($C199="Paying back",0,IF(AND(OR(Housemates!$C$15="",Housemates!$C$15&lt;=$B199),OR(Housemates!$D$15="",Housemates!$D$15&gt;=$B199)),IF($Q199=0,1,INDEX(Bills!$AH$6:$AH$25,$Q199)),0))))</f>
        <v/>
      </c>
      <c r="AA199">
        <f>SUM(S199:Z199)</f>
        <v/>
      </c>
      <c r="AB199">
        <f>IF(AA199=0,0,D199*S199/AA199)</f>
        <v/>
      </c>
      <c r="AC199">
        <f>IF(AA199=0,0,D199*T199/AA199)</f>
        <v/>
      </c>
      <c r="AD199">
        <f>IF(AA199=0,0,D199*U199/AA199)</f>
        <v/>
      </c>
      <c r="AE199">
        <f>IF(AA199=0,0,D199*V199/AA199)</f>
        <v/>
      </c>
      <c r="AF199">
        <f>IF(AA199=0,0,D199*W199/AA199)</f>
        <v/>
      </c>
      <c r="AG199">
        <f>IF(AA199=0,0,D199*X199/AA199)</f>
        <v/>
      </c>
      <c r="AH199">
        <f>IF(AA199=0,0,D199*Y199/AA199)</f>
        <v/>
      </c>
      <c r="AI199">
        <f>IF(AA199=0,0,D199*Z199/AA199)</f>
        <v/>
      </c>
      <c r="AJ199">
        <f>IF(OR(C199="",B199=""),"",C199&amp;"|"&amp;(YEAR(B199)*100+MONTH(B199)))</f>
        <v/>
      </c>
    </row>
    <row r="200">
      <c r="A200" s="1" t="n"/>
      <c r="B200" s="23" t="n"/>
      <c r="C200" s="24" t="n"/>
      <c r="D200" s="25" t="n"/>
      <c r="E200" s="26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1">
        <f>IF(D200="","",IF(B200="","No date",IF(AND(C200="Paying back",R200=0),"To whom?",IF(AA200=0,"Nobody",IF(C200="Paying back","To "&amp;INDEX(Housemates!$B$8:$B$15,MATCH(MAX(S200:Z200),S200:Z200,0)),IF(R200&gt;0,IF(COUNTIF(S200:Z200,"&gt;0")=1,"1 person",COUNTIF(S200:Z200,"&gt;0")&amp;" people"),IF(Q200=0,"Everyone",INDEX(Bills!$Q$6:$Q$25,Q200))))))))</f>
        <v/>
      </c>
      <c r="O200" s="18">
        <f>IF(D200="","",IF(C200="Paying back","Paying back",IF(Q200=0,"Other",IF(INDEX(Bills!$C$6:$C$25,Q200)="","Other",INDEX(Bills!$C$6:$C$25,Q200)))))</f>
        <v/>
      </c>
      <c r="P200" s="1" t="n"/>
      <c r="Q200">
        <f>IF(C200="",0,IFERROR(MATCH(C200,Bills!$B$6:$B$25,0),0))</f>
        <v/>
      </c>
      <c r="R200">
        <f>COUNTA(F200:M200)</f>
        <v/>
      </c>
      <c r="S200">
        <f>IF(OR($D200="",$B200="",Housemates!$B$8=""),0,IF($R200&gt;0,IF(F200="",0,IF(ISNUMBER(F200),F200,1)),IF($C200="Paying back",0,IF(AND(OR(Housemates!$C$8="",Housemates!$C$8&lt;=$B200),OR(Housemates!$D$8="",Housemates!$D$8&gt;=$B200)),IF($Q200=0,1,INDEX(Bills!$AA$6:$AA$25,$Q200)),0))))</f>
        <v/>
      </c>
      <c r="T200">
        <f>IF(OR($D200="",$B200="",Housemates!$B$9=""),0,IF($R200&gt;0,IF(G200="",0,IF(ISNUMBER(G200),G200,1)),IF($C200="Paying back",0,IF(AND(OR(Housemates!$C$9="",Housemates!$C$9&lt;=$B200),OR(Housemates!$D$9="",Housemates!$D$9&gt;=$B200)),IF($Q200=0,1,INDEX(Bills!$AB$6:$AB$25,$Q200)),0))))</f>
        <v/>
      </c>
      <c r="U200">
        <f>IF(OR($D200="",$B200="",Housemates!$B$10=""),0,IF($R200&gt;0,IF(H200="",0,IF(ISNUMBER(H200),H200,1)),IF($C200="Paying back",0,IF(AND(OR(Housemates!$C$10="",Housemates!$C$10&lt;=$B200),OR(Housemates!$D$10="",Housemates!$D$10&gt;=$B200)),IF($Q200=0,1,INDEX(Bills!$AC$6:$AC$25,$Q200)),0))))</f>
        <v/>
      </c>
      <c r="V200">
        <f>IF(OR($D200="",$B200="",Housemates!$B$11=""),0,IF($R200&gt;0,IF(I200="",0,IF(ISNUMBER(I200),I200,1)),IF($C200="Paying back",0,IF(AND(OR(Housemates!$C$11="",Housemates!$C$11&lt;=$B200),OR(Housemates!$D$11="",Housemates!$D$11&gt;=$B200)),IF($Q200=0,1,INDEX(Bills!$AD$6:$AD$25,$Q200)),0))))</f>
        <v/>
      </c>
      <c r="W200">
        <f>IF(OR($D200="",$B200="",Housemates!$B$12=""),0,IF($R200&gt;0,IF(J200="",0,IF(ISNUMBER(J200),J200,1)),IF($C200="Paying back",0,IF(AND(OR(Housemates!$C$12="",Housemates!$C$12&lt;=$B200),OR(Housemates!$D$12="",Housemates!$D$12&gt;=$B200)),IF($Q200=0,1,INDEX(Bills!$AE$6:$AE$25,$Q200)),0))))</f>
        <v/>
      </c>
      <c r="X200">
        <f>IF(OR($D200="",$B200="",Housemates!$B$13=""),0,IF($R200&gt;0,IF(K200="",0,IF(ISNUMBER(K200),K200,1)),IF($C200="Paying back",0,IF(AND(OR(Housemates!$C$13="",Housemates!$C$13&lt;=$B200),OR(Housemates!$D$13="",Housemates!$D$13&gt;=$B200)),IF($Q200=0,1,INDEX(Bills!$AF$6:$AF$25,$Q200)),0))))</f>
        <v/>
      </c>
      <c r="Y200">
        <f>IF(OR($D200="",$B200="",Housemates!$B$14=""),0,IF($R200&gt;0,IF(L200="",0,IF(ISNUMBER(L200),L200,1)),IF($C200="Paying back",0,IF(AND(OR(Housemates!$C$14="",Housemates!$C$14&lt;=$B200),OR(Housemates!$D$14="",Housemates!$D$14&gt;=$B200)),IF($Q200=0,1,INDEX(Bills!$AG$6:$AG$25,$Q200)),0))))</f>
        <v/>
      </c>
      <c r="Z200">
        <f>IF(OR($D200="",$B200="",Housemates!$B$15=""),0,IF($R200&gt;0,IF(M200="",0,IF(ISNUMBER(M200),M200,1)),IF($C200="Paying back",0,IF(AND(OR(Housemates!$C$15="",Housemates!$C$15&lt;=$B200),OR(Housemates!$D$15="",Housemates!$D$15&gt;=$B200)),IF($Q200=0,1,INDEX(Bills!$AH$6:$AH$25,$Q200)),0))))</f>
        <v/>
      </c>
      <c r="AA200">
        <f>SUM(S200:Z200)</f>
        <v/>
      </c>
      <c r="AB200">
        <f>IF(AA200=0,0,D200*S200/AA200)</f>
        <v/>
      </c>
      <c r="AC200">
        <f>IF(AA200=0,0,D200*T200/AA200)</f>
        <v/>
      </c>
      <c r="AD200">
        <f>IF(AA200=0,0,D200*U200/AA200)</f>
        <v/>
      </c>
      <c r="AE200">
        <f>IF(AA200=0,0,D200*V200/AA200)</f>
        <v/>
      </c>
      <c r="AF200">
        <f>IF(AA200=0,0,D200*W200/AA200)</f>
        <v/>
      </c>
      <c r="AG200">
        <f>IF(AA200=0,0,D200*X200/AA200)</f>
        <v/>
      </c>
      <c r="AH200">
        <f>IF(AA200=0,0,D200*Y200/AA200)</f>
        <v/>
      </c>
      <c r="AI200">
        <f>IF(AA200=0,0,D200*Z200/AA200)</f>
        <v/>
      </c>
      <c r="AJ200">
        <f>IF(OR(C200="",B200=""),"",C200&amp;"|"&amp;(YEAR(B200)*100+MONTH(B200)))</f>
        <v/>
      </c>
    </row>
    <row r="201">
      <c r="A201" s="1" t="n"/>
      <c r="B201" s="23" t="n"/>
      <c r="C201" s="24" t="n"/>
      <c r="D201" s="25" t="n"/>
      <c r="E201" s="26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1">
        <f>IF(D201="","",IF(B201="","No date",IF(AND(C201="Paying back",R201=0),"To whom?",IF(AA201=0,"Nobody",IF(C201="Paying back","To "&amp;INDEX(Housemates!$B$8:$B$15,MATCH(MAX(S201:Z201),S201:Z201,0)),IF(R201&gt;0,IF(COUNTIF(S201:Z201,"&gt;0")=1,"1 person",COUNTIF(S201:Z201,"&gt;0")&amp;" people"),IF(Q201=0,"Everyone",INDEX(Bills!$Q$6:$Q$25,Q201))))))))</f>
        <v/>
      </c>
      <c r="O201" s="18">
        <f>IF(D201="","",IF(C201="Paying back","Paying back",IF(Q201=0,"Other",IF(INDEX(Bills!$C$6:$C$25,Q201)="","Other",INDEX(Bills!$C$6:$C$25,Q201)))))</f>
        <v/>
      </c>
      <c r="P201" s="1" t="n"/>
      <c r="Q201">
        <f>IF(C201="",0,IFERROR(MATCH(C201,Bills!$B$6:$B$25,0),0))</f>
        <v/>
      </c>
      <c r="R201">
        <f>COUNTA(F201:M201)</f>
        <v/>
      </c>
      <c r="S201">
        <f>IF(OR($D201="",$B201="",Housemates!$B$8=""),0,IF($R201&gt;0,IF(F201="",0,IF(ISNUMBER(F201),F201,1)),IF($C201="Paying back",0,IF(AND(OR(Housemates!$C$8="",Housemates!$C$8&lt;=$B201),OR(Housemates!$D$8="",Housemates!$D$8&gt;=$B201)),IF($Q201=0,1,INDEX(Bills!$AA$6:$AA$25,$Q201)),0))))</f>
        <v/>
      </c>
      <c r="T201">
        <f>IF(OR($D201="",$B201="",Housemates!$B$9=""),0,IF($R201&gt;0,IF(G201="",0,IF(ISNUMBER(G201),G201,1)),IF($C201="Paying back",0,IF(AND(OR(Housemates!$C$9="",Housemates!$C$9&lt;=$B201),OR(Housemates!$D$9="",Housemates!$D$9&gt;=$B201)),IF($Q201=0,1,INDEX(Bills!$AB$6:$AB$25,$Q201)),0))))</f>
        <v/>
      </c>
      <c r="U201">
        <f>IF(OR($D201="",$B201="",Housemates!$B$10=""),0,IF($R201&gt;0,IF(H201="",0,IF(ISNUMBER(H201),H201,1)),IF($C201="Paying back",0,IF(AND(OR(Housemates!$C$10="",Housemates!$C$10&lt;=$B201),OR(Housemates!$D$10="",Housemates!$D$10&gt;=$B201)),IF($Q201=0,1,INDEX(Bills!$AC$6:$AC$25,$Q201)),0))))</f>
        <v/>
      </c>
      <c r="V201">
        <f>IF(OR($D201="",$B201="",Housemates!$B$11=""),0,IF($R201&gt;0,IF(I201="",0,IF(ISNUMBER(I201),I201,1)),IF($C201="Paying back",0,IF(AND(OR(Housemates!$C$11="",Housemates!$C$11&lt;=$B201),OR(Housemates!$D$11="",Housemates!$D$11&gt;=$B201)),IF($Q201=0,1,INDEX(Bills!$AD$6:$AD$25,$Q201)),0))))</f>
        <v/>
      </c>
      <c r="W201">
        <f>IF(OR($D201="",$B201="",Housemates!$B$12=""),0,IF($R201&gt;0,IF(J201="",0,IF(ISNUMBER(J201),J201,1)),IF($C201="Paying back",0,IF(AND(OR(Housemates!$C$12="",Housemates!$C$12&lt;=$B201),OR(Housemates!$D$12="",Housemates!$D$12&gt;=$B201)),IF($Q201=0,1,INDEX(Bills!$AE$6:$AE$25,$Q201)),0))))</f>
        <v/>
      </c>
      <c r="X201">
        <f>IF(OR($D201="",$B201="",Housemates!$B$13=""),0,IF($R201&gt;0,IF(K201="",0,IF(ISNUMBER(K201),K201,1)),IF($C201="Paying back",0,IF(AND(OR(Housemates!$C$13="",Housemates!$C$13&lt;=$B201),OR(Housemates!$D$13="",Housemates!$D$13&gt;=$B201)),IF($Q201=0,1,INDEX(Bills!$AF$6:$AF$25,$Q201)),0))))</f>
        <v/>
      </c>
      <c r="Y201">
        <f>IF(OR($D201="",$B201="",Housemates!$B$14=""),0,IF($R201&gt;0,IF(L201="",0,IF(ISNUMBER(L201),L201,1)),IF($C201="Paying back",0,IF(AND(OR(Housemates!$C$14="",Housemates!$C$14&lt;=$B201),OR(Housemates!$D$14="",Housemates!$D$14&gt;=$B201)),IF($Q201=0,1,INDEX(Bills!$AG$6:$AG$25,$Q201)),0))))</f>
        <v/>
      </c>
      <c r="Z201">
        <f>IF(OR($D201="",$B201="",Housemates!$B$15=""),0,IF($R201&gt;0,IF(M201="",0,IF(ISNUMBER(M201),M201,1)),IF($C201="Paying back",0,IF(AND(OR(Housemates!$C$15="",Housemates!$C$15&lt;=$B201),OR(Housemates!$D$15="",Housemates!$D$15&gt;=$B201)),IF($Q201=0,1,INDEX(Bills!$AH$6:$AH$25,$Q201)),0))))</f>
        <v/>
      </c>
      <c r="AA201">
        <f>SUM(S201:Z201)</f>
        <v/>
      </c>
      <c r="AB201">
        <f>IF(AA201=0,0,D201*S201/AA201)</f>
        <v/>
      </c>
      <c r="AC201">
        <f>IF(AA201=0,0,D201*T201/AA201)</f>
        <v/>
      </c>
      <c r="AD201">
        <f>IF(AA201=0,0,D201*U201/AA201)</f>
        <v/>
      </c>
      <c r="AE201">
        <f>IF(AA201=0,0,D201*V201/AA201)</f>
        <v/>
      </c>
      <c r="AF201">
        <f>IF(AA201=0,0,D201*W201/AA201)</f>
        <v/>
      </c>
      <c r="AG201">
        <f>IF(AA201=0,0,D201*X201/AA201)</f>
        <v/>
      </c>
      <c r="AH201">
        <f>IF(AA201=0,0,D201*Y201/AA201)</f>
        <v/>
      </c>
      <c r="AI201">
        <f>IF(AA201=0,0,D201*Z201/AA201)</f>
        <v/>
      </c>
      <c r="AJ201">
        <f>IF(OR(C201="",B201=""),"",C201&amp;"|"&amp;(YEAR(B201)*100+MONTH(B201)))</f>
        <v/>
      </c>
    </row>
    <row r="202">
      <c r="A202" s="1" t="n"/>
      <c r="B202" s="23" t="n"/>
      <c r="C202" s="24" t="n"/>
      <c r="D202" s="25" t="n"/>
      <c r="E202" s="26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1">
        <f>IF(D202="","",IF(B202="","No date",IF(AND(C202="Paying back",R202=0),"To whom?",IF(AA202=0,"Nobody",IF(C202="Paying back","To "&amp;INDEX(Housemates!$B$8:$B$15,MATCH(MAX(S202:Z202),S202:Z202,0)),IF(R202&gt;0,IF(COUNTIF(S202:Z202,"&gt;0")=1,"1 person",COUNTIF(S202:Z202,"&gt;0")&amp;" people"),IF(Q202=0,"Everyone",INDEX(Bills!$Q$6:$Q$25,Q202))))))))</f>
        <v/>
      </c>
      <c r="O202" s="18">
        <f>IF(D202="","",IF(C202="Paying back","Paying back",IF(Q202=0,"Other",IF(INDEX(Bills!$C$6:$C$25,Q202)="","Other",INDEX(Bills!$C$6:$C$25,Q202)))))</f>
        <v/>
      </c>
      <c r="P202" s="1" t="n"/>
      <c r="Q202">
        <f>IF(C202="",0,IFERROR(MATCH(C202,Bills!$B$6:$B$25,0),0))</f>
        <v/>
      </c>
      <c r="R202">
        <f>COUNTA(F202:M202)</f>
        <v/>
      </c>
      <c r="S202">
        <f>IF(OR($D202="",$B202="",Housemates!$B$8=""),0,IF($R202&gt;0,IF(F202="",0,IF(ISNUMBER(F202),F202,1)),IF($C202="Paying back",0,IF(AND(OR(Housemates!$C$8="",Housemates!$C$8&lt;=$B202),OR(Housemates!$D$8="",Housemates!$D$8&gt;=$B202)),IF($Q202=0,1,INDEX(Bills!$AA$6:$AA$25,$Q202)),0))))</f>
        <v/>
      </c>
      <c r="T202">
        <f>IF(OR($D202="",$B202="",Housemates!$B$9=""),0,IF($R202&gt;0,IF(G202="",0,IF(ISNUMBER(G202),G202,1)),IF($C202="Paying back",0,IF(AND(OR(Housemates!$C$9="",Housemates!$C$9&lt;=$B202),OR(Housemates!$D$9="",Housemates!$D$9&gt;=$B202)),IF($Q202=0,1,INDEX(Bills!$AB$6:$AB$25,$Q202)),0))))</f>
        <v/>
      </c>
      <c r="U202">
        <f>IF(OR($D202="",$B202="",Housemates!$B$10=""),0,IF($R202&gt;0,IF(H202="",0,IF(ISNUMBER(H202),H202,1)),IF($C202="Paying back",0,IF(AND(OR(Housemates!$C$10="",Housemates!$C$10&lt;=$B202),OR(Housemates!$D$10="",Housemates!$D$10&gt;=$B202)),IF($Q202=0,1,INDEX(Bills!$AC$6:$AC$25,$Q202)),0))))</f>
        <v/>
      </c>
      <c r="V202">
        <f>IF(OR($D202="",$B202="",Housemates!$B$11=""),0,IF($R202&gt;0,IF(I202="",0,IF(ISNUMBER(I202),I202,1)),IF($C202="Paying back",0,IF(AND(OR(Housemates!$C$11="",Housemates!$C$11&lt;=$B202),OR(Housemates!$D$11="",Housemates!$D$11&gt;=$B202)),IF($Q202=0,1,INDEX(Bills!$AD$6:$AD$25,$Q202)),0))))</f>
        <v/>
      </c>
      <c r="W202">
        <f>IF(OR($D202="",$B202="",Housemates!$B$12=""),0,IF($R202&gt;0,IF(J202="",0,IF(ISNUMBER(J202),J202,1)),IF($C202="Paying back",0,IF(AND(OR(Housemates!$C$12="",Housemates!$C$12&lt;=$B202),OR(Housemates!$D$12="",Housemates!$D$12&gt;=$B202)),IF($Q202=0,1,INDEX(Bills!$AE$6:$AE$25,$Q202)),0))))</f>
        <v/>
      </c>
      <c r="X202">
        <f>IF(OR($D202="",$B202="",Housemates!$B$13=""),0,IF($R202&gt;0,IF(K202="",0,IF(ISNUMBER(K202),K202,1)),IF($C202="Paying back",0,IF(AND(OR(Housemates!$C$13="",Housemates!$C$13&lt;=$B202),OR(Housemates!$D$13="",Housemates!$D$13&gt;=$B202)),IF($Q202=0,1,INDEX(Bills!$AF$6:$AF$25,$Q202)),0))))</f>
        <v/>
      </c>
      <c r="Y202">
        <f>IF(OR($D202="",$B202="",Housemates!$B$14=""),0,IF($R202&gt;0,IF(L202="",0,IF(ISNUMBER(L202),L202,1)),IF($C202="Paying back",0,IF(AND(OR(Housemates!$C$14="",Housemates!$C$14&lt;=$B202),OR(Housemates!$D$14="",Housemates!$D$14&gt;=$B202)),IF($Q202=0,1,INDEX(Bills!$AG$6:$AG$25,$Q202)),0))))</f>
        <v/>
      </c>
      <c r="Z202">
        <f>IF(OR($D202="",$B202="",Housemates!$B$15=""),0,IF($R202&gt;0,IF(M202="",0,IF(ISNUMBER(M202),M202,1)),IF($C202="Paying back",0,IF(AND(OR(Housemates!$C$15="",Housemates!$C$15&lt;=$B202),OR(Housemates!$D$15="",Housemates!$D$15&gt;=$B202)),IF($Q202=0,1,INDEX(Bills!$AH$6:$AH$25,$Q202)),0))))</f>
        <v/>
      </c>
      <c r="AA202">
        <f>SUM(S202:Z202)</f>
        <v/>
      </c>
      <c r="AB202">
        <f>IF(AA202=0,0,D202*S202/AA202)</f>
        <v/>
      </c>
      <c r="AC202">
        <f>IF(AA202=0,0,D202*T202/AA202)</f>
        <v/>
      </c>
      <c r="AD202">
        <f>IF(AA202=0,0,D202*U202/AA202)</f>
        <v/>
      </c>
      <c r="AE202">
        <f>IF(AA202=0,0,D202*V202/AA202)</f>
        <v/>
      </c>
      <c r="AF202">
        <f>IF(AA202=0,0,D202*W202/AA202)</f>
        <v/>
      </c>
      <c r="AG202">
        <f>IF(AA202=0,0,D202*X202/AA202)</f>
        <v/>
      </c>
      <c r="AH202">
        <f>IF(AA202=0,0,D202*Y202/AA202)</f>
        <v/>
      </c>
      <c r="AI202">
        <f>IF(AA202=0,0,D202*Z202/AA202)</f>
        <v/>
      </c>
      <c r="AJ202">
        <f>IF(OR(C202="",B202=""),"",C202&amp;"|"&amp;(YEAR(B202)*100+MONTH(B202)))</f>
        <v/>
      </c>
    </row>
    <row r="203">
      <c r="A203" s="1" t="n"/>
      <c r="B203" s="23" t="n"/>
      <c r="C203" s="24" t="n"/>
      <c r="D203" s="25" t="n"/>
      <c r="E203" s="26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1">
        <f>IF(D203="","",IF(B203="","No date",IF(AND(C203="Paying back",R203=0),"To whom?",IF(AA203=0,"Nobody",IF(C203="Paying back","To "&amp;INDEX(Housemates!$B$8:$B$15,MATCH(MAX(S203:Z203),S203:Z203,0)),IF(R203&gt;0,IF(COUNTIF(S203:Z203,"&gt;0")=1,"1 person",COUNTIF(S203:Z203,"&gt;0")&amp;" people"),IF(Q203=0,"Everyone",INDEX(Bills!$Q$6:$Q$25,Q203))))))))</f>
        <v/>
      </c>
      <c r="O203" s="18">
        <f>IF(D203="","",IF(C203="Paying back","Paying back",IF(Q203=0,"Other",IF(INDEX(Bills!$C$6:$C$25,Q203)="","Other",INDEX(Bills!$C$6:$C$25,Q203)))))</f>
        <v/>
      </c>
      <c r="P203" s="1" t="n"/>
      <c r="Q203">
        <f>IF(C203="",0,IFERROR(MATCH(C203,Bills!$B$6:$B$25,0),0))</f>
        <v/>
      </c>
      <c r="R203">
        <f>COUNTA(F203:M203)</f>
        <v/>
      </c>
      <c r="S203">
        <f>IF(OR($D203="",$B203="",Housemates!$B$8=""),0,IF($R203&gt;0,IF(F203="",0,IF(ISNUMBER(F203),F203,1)),IF($C203="Paying back",0,IF(AND(OR(Housemates!$C$8="",Housemates!$C$8&lt;=$B203),OR(Housemates!$D$8="",Housemates!$D$8&gt;=$B203)),IF($Q203=0,1,INDEX(Bills!$AA$6:$AA$25,$Q203)),0))))</f>
        <v/>
      </c>
      <c r="T203">
        <f>IF(OR($D203="",$B203="",Housemates!$B$9=""),0,IF($R203&gt;0,IF(G203="",0,IF(ISNUMBER(G203),G203,1)),IF($C203="Paying back",0,IF(AND(OR(Housemates!$C$9="",Housemates!$C$9&lt;=$B203),OR(Housemates!$D$9="",Housemates!$D$9&gt;=$B203)),IF($Q203=0,1,INDEX(Bills!$AB$6:$AB$25,$Q203)),0))))</f>
        <v/>
      </c>
      <c r="U203">
        <f>IF(OR($D203="",$B203="",Housemates!$B$10=""),0,IF($R203&gt;0,IF(H203="",0,IF(ISNUMBER(H203),H203,1)),IF($C203="Paying back",0,IF(AND(OR(Housemates!$C$10="",Housemates!$C$10&lt;=$B203),OR(Housemates!$D$10="",Housemates!$D$10&gt;=$B203)),IF($Q203=0,1,INDEX(Bills!$AC$6:$AC$25,$Q203)),0))))</f>
        <v/>
      </c>
      <c r="V203">
        <f>IF(OR($D203="",$B203="",Housemates!$B$11=""),0,IF($R203&gt;0,IF(I203="",0,IF(ISNUMBER(I203),I203,1)),IF($C203="Paying back",0,IF(AND(OR(Housemates!$C$11="",Housemates!$C$11&lt;=$B203),OR(Housemates!$D$11="",Housemates!$D$11&gt;=$B203)),IF($Q203=0,1,INDEX(Bills!$AD$6:$AD$25,$Q203)),0))))</f>
        <v/>
      </c>
      <c r="W203">
        <f>IF(OR($D203="",$B203="",Housemates!$B$12=""),0,IF($R203&gt;0,IF(J203="",0,IF(ISNUMBER(J203),J203,1)),IF($C203="Paying back",0,IF(AND(OR(Housemates!$C$12="",Housemates!$C$12&lt;=$B203),OR(Housemates!$D$12="",Housemates!$D$12&gt;=$B203)),IF($Q203=0,1,INDEX(Bills!$AE$6:$AE$25,$Q203)),0))))</f>
        <v/>
      </c>
      <c r="X203">
        <f>IF(OR($D203="",$B203="",Housemates!$B$13=""),0,IF($R203&gt;0,IF(K203="",0,IF(ISNUMBER(K203),K203,1)),IF($C203="Paying back",0,IF(AND(OR(Housemates!$C$13="",Housemates!$C$13&lt;=$B203),OR(Housemates!$D$13="",Housemates!$D$13&gt;=$B203)),IF($Q203=0,1,INDEX(Bills!$AF$6:$AF$25,$Q203)),0))))</f>
        <v/>
      </c>
      <c r="Y203">
        <f>IF(OR($D203="",$B203="",Housemates!$B$14=""),0,IF($R203&gt;0,IF(L203="",0,IF(ISNUMBER(L203),L203,1)),IF($C203="Paying back",0,IF(AND(OR(Housemates!$C$14="",Housemates!$C$14&lt;=$B203),OR(Housemates!$D$14="",Housemates!$D$14&gt;=$B203)),IF($Q203=0,1,INDEX(Bills!$AG$6:$AG$25,$Q203)),0))))</f>
        <v/>
      </c>
      <c r="Z203">
        <f>IF(OR($D203="",$B203="",Housemates!$B$15=""),0,IF($R203&gt;0,IF(M203="",0,IF(ISNUMBER(M203),M203,1)),IF($C203="Paying back",0,IF(AND(OR(Housemates!$C$15="",Housemates!$C$15&lt;=$B203),OR(Housemates!$D$15="",Housemates!$D$15&gt;=$B203)),IF($Q203=0,1,INDEX(Bills!$AH$6:$AH$25,$Q203)),0))))</f>
        <v/>
      </c>
      <c r="AA203">
        <f>SUM(S203:Z203)</f>
        <v/>
      </c>
      <c r="AB203">
        <f>IF(AA203=0,0,D203*S203/AA203)</f>
        <v/>
      </c>
      <c r="AC203">
        <f>IF(AA203=0,0,D203*T203/AA203)</f>
        <v/>
      </c>
      <c r="AD203">
        <f>IF(AA203=0,0,D203*U203/AA203)</f>
        <v/>
      </c>
      <c r="AE203">
        <f>IF(AA203=0,0,D203*V203/AA203)</f>
        <v/>
      </c>
      <c r="AF203">
        <f>IF(AA203=0,0,D203*W203/AA203)</f>
        <v/>
      </c>
      <c r="AG203">
        <f>IF(AA203=0,0,D203*X203/AA203)</f>
        <v/>
      </c>
      <c r="AH203">
        <f>IF(AA203=0,0,D203*Y203/AA203)</f>
        <v/>
      </c>
      <c r="AI203">
        <f>IF(AA203=0,0,D203*Z203/AA203)</f>
        <v/>
      </c>
      <c r="AJ203">
        <f>IF(OR(C203="",B203=""),"",C203&amp;"|"&amp;(YEAR(B203)*100+MONTH(B203)))</f>
        <v/>
      </c>
    </row>
    <row r="204">
      <c r="A204" s="1" t="n"/>
      <c r="B204" s="23" t="n"/>
      <c r="C204" s="24" t="n"/>
      <c r="D204" s="25" t="n"/>
      <c r="E204" s="26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1">
        <f>IF(D204="","",IF(B204="","No date",IF(AND(C204="Paying back",R204=0),"To whom?",IF(AA204=0,"Nobody",IF(C204="Paying back","To "&amp;INDEX(Housemates!$B$8:$B$15,MATCH(MAX(S204:Z204),S204:Z204,0)),IF(R204&gt;0,IF(COUNTIF(S204:Z204,"&gt;0")=1,"1 person",COUNTIF(S204:Z204,"&gt;0")&amp;" people"),IF(Q204=0,"Everyone",INDEX(Bills!$Q$6:$Q$25,Q204))))))))</f>
        <v/>
      </c>
      <c r="O204" s="18">
        <f>IF(D204="","",IF(C204="Paying back","Paying back",IF(Q204=0,"Other",IF(INDEX(Bills!$C$6:$C$25,Q204)="","Other",INDEX(Bills!$C$6:$C$25,Q204)))))</f>
        <v/>
      </c>
      <c r="P204" s="1" t="n"/>
      <c r="Q204">
        <f>IF(C204="",0,IFERROR(MATCH(C204,Bills!$B$6:$B$25,0),0))</f>
        <v/>
      </c>
      <c r="R204">
        <f>COUNTA(F204:M204)</f>
        <v/>
      </c>
      <c r="S204">
        <f>IF(OR($D204="",$B204="",Housemates!$B$8=""),0,IF($R204&gt;0,IF(F204="",0,IF(ISNUMBER(F204),F204,1)),IF($C204="Paying back",0,IF(AND(OR(Housemates!$C$8="",Housemates!$C$8&lt;=$B204),OR(Housemates!$D$8="",Housemates!$D$8&gt;=$B204)),IF($Q204=0,1,INDEX(Bills!$AA$6:$AA$25,$Q204)),0))))</f>
        <v/>
      </c>
      <c r="T204">
        <f>IF(OR($D204="",$B204="",Housemates!$B$9=""),0,IF($R204&gt;0,IF(G204="",0,IF(ISNUMBER(G204),G204,1)),IF($C204="Paying back",0,IF(AND(OR(Housemates!$C$9="",Housemates!$C$9&lt;=$B204),OR(Housemates!$D$9="",Housemates!$D$9&gt;=$B204)),IF($Q204=0,1,INDEX(Bills!$AB$6:$AB$25,$Q204)),0))))</f>
        <v/>
      </c>
      <c r="U204">
        <f>IF(OR($D204="",$B204="",Housemates!$B$10=""),0,IF($R204&gt;0,IF(H204="",0,IF(ISNUMBER(H204),H204,1)),IF($C204="Paying back",0,IF(AND(OR(Housemates!$C$10="",Housemates!$C$10&lt;=$B204),OR(Housemates!$D$10="",Housemates!$D$10&gt;=$B204)),IF($Q204=0,1,INDEX(Bills!$AC$6:$AC$25,$Q204)),0))))</f>
        <v/>
      </c>
      <c r="V204">
        <f>IF(OR($D204="",$B204="",Housemates!$B$11=""),0,IF($R204&gt;0,IF(I204="",0,IF(ISNUMBER(I204),I204,1)),IF($C204="Paying back",0,IF(AND(OR(Housemates!$C$11="",Housemates!$C$11&lt;=$B204),OR(Housemates!$D$11="",Housemates!$D$11&gt;=$B204)),IF($Q204=0,1,INDEX(Bills!$AD$6:$AD$25,$Q204)),0))))</f>
        <v/>
      </c>
      <c r="W204">
        <f>IF(OR($D204="",$B204="",Housemates!$B$12=""),0,IF($R204&gt;0,IF(J204="",0,IF(ISNUMBER(J204),J204,1)),IF($C204="Paying back",0,IF(AND(OR(Housemates!$C$12="",Housemates!$C$12&lt;=$B204),OR(Housemates!$D$12="",Housemates!$D$12&gt;=$B204)),IF($Q204=0,1,INDEX(Bills!$AE$6:$AE$25,$Q204)),0))))</f>
        <v/>
      </c>
      <c r="X204">
        <f>IF(OR($D204="",$B204="",Housemates!$B$13=""),0,IF($R204&gt;0,IF(K204="",0,IF(ISNUMBER(K204),K204,1)),IF($C204="Paying back",0,IF(AND(OR(Housemates!$C$13="",Housemates!$C$13&lt;=$B204),OR(Housemates!$D$13="",Housemates!$D$13&gt;=$B204)),IF($Q204=0,1,INDEX(Bills!$AF$6:$AF$25,$Q204)),0))))</f>
        <v/>
      </c>
      <c r="Y204">
        <f>IF(OR($D204="",$B204="",Housemates!$B$14=""),0,IF($R204&gt;0,IF(L204="",0,IF(ISNUMBER(L204),L204,1)),IF($C204="Paying back",0,IF(AND(OR(Housemates!$C$14="",Housemates!$C$14&lt;=$B204),OR(Housemates!$D$14="",Housemates!$D$14&gt;=$B204)),IF($Q204=0,1,INDEX(Bills!$AG$6:$AG$25,$Q204)),0))))</f>
        <v/>
      </c>
      <c r="Z204">
        <f>IF(OR($D204="",$B204="",Housemates!$B$15=""),0,IF($R204&gt;0,IF(M204="",0,IF(ISNUMBER(M204),M204,1)),IF($C204="Paying back",0,IF(AND(OR(Housemates!$C$15="",Housemates!$C$15&lt;=$B204),OR(Housemates!$D$15="",Housemates!$D$15&gt;=$B204)),IF($Q204=0,1,INDEX(Bills!$AH$6:$AH$25,$Q204)),0))))</f>
        <v/>
      </c>
      <c r="AA204">
        <f>SUM(S204:Z204)</f>
        <v/>
      </c>
      <c r="AB204">
        <f>IF(AA204=0,0,D204*S204/AA204)</f>
        <v/>
      </c>
      <c r="AC204">
        <f>IF(AA204=0,0,D204*T204/AA204)</f>
        <v/>
      </c>
      <c r="AD204">
        <f>IF(AA204=0,0,D204*U204/AA204)</f>
        <v/>
      </c>
      <c r="AE204">
        <f>IF(AA204=0,0,D204*V204/AA204)</f>
        <v/>
      </c>
      <c r="AF204">
        <f>IF(AA204=0,0,D204*W204/AA204)</f>
        <v/>
      </c>
      <c r="AG204">
        <f>IF(AA204=0,0,D204*X204/AA204)</f>
        <v/>
      </c>
      <c r="AH204">
        <f>IF(AA204=0,0,D204*Y204/AA204)</f>
        <v/>
      </c>
      <c r="AI204">
        <f>IF(AA204=0,0,D204*Z204/AA204)</f>
        <v/>
      </c>
      <c r="AJ204">
        <f>IF(OR(C204="",B204=""),"",C204&amp;"|"&amp;(YEAR(B204)*100+MONTH(B204)))</f>
        <v/>
      </c>
    </row>
    <row r="205">
      <c r="A205" s="1" t="n"/>
      <c r="B205" s="23" t="n"/>
      <c r="C205" s="24" t="n"/>
      <c r="D205" s="25" t="n"/>
      <c r="E205" s="26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1">
        <f>IF(D205="","",IF(B205="","No date",IF(AND(C205="Paying back",R205=0),"To whom?",IF(AA205=0,"Nobody",IF(C205="Paying back","To "&amp;INDEX(Housemates!$B$8:$B$15,MATCH(MAX(S205:Z205),S205:Z205,0)),IF(R205&gt;0,IF(COUNTIF(S205:Z205,"&gt;0")=1,"1 person",COUNTIF(S205:Z205,"&gt;0")&amp;" people"),IF(Q205=0,"Everyone",INDEX(Bills!$Q$6:$Q$25,Q205))))))))</f>
        <v/>
      </c>
      <c r="O205" s="18">
        <f>IF(D205="","",IF(C205="Paying back","Paying back",IF(Q205=0,"Other",IF(INDEX(Bills!$C$6:$C$25,Q205)="","Other",INDEX(Bills!$C$6:$C$25,Q205)))))</f>
        <v/>
      </c>
      <c r="P205" s="1" t="n"/>
      <c r="Q205">
        <f>IF(C205="",0,IFERROR(MATCH(C205,Bills!$B$6:$B$25,0),0))</f>
        <v/>
      </c>
      <c r="R205">
        <f>COUNTA(F205:M205)</f>
        <v/>
      </c>
      <c r="S205">
        <f>IF(OR($D205="",$B205="",Housemates!$B$8=""),0,IF($R205&gt;0,IF(F205="",0,IF(ISNUMBER(F205),F205,1)),IF($C205="Paying back",0,IF(AND(OR(Housemates!$C$8="",Housemates!$C$8&lt;=$B205),OR(Housemates!$D$8="",Housemates!$D$8&gt;=$B205)),IF($Q205=0,1,INDEX(Bills!$AA$6:$AA$25,$Q205)),0))))</f>
        <v/>
      </c>
      <c r="T205">
        <f>IF(OR($D205="",$B205="",Housemates!$B$9=""),0,IF($R205&gt;0,IF(G205="",0,IF(ISNUMBER(G205),G205,1)),IF($C205="Paying back",0,IF(AND(OR(Housemates!$C$9="",Housemates!$C$9&lt;=$B205),OR(Housemates!$D$9="",Housemates!$D$9&gt;=$B205)),IF($Q205=0,1,INDEX(Bills!$AB$6:$AB$25,$Q205)),0))))</f>
        <v/>
      </c>
      <c r="U205">
        <f>IF(OR($D205="",$B205="",Housemates!$B$10=""),0,IF($R205&gt;0,IF(H205="",0,IF(ISNUMBER(H205),H205,1)),IF($C205="Paying back",0,IF(AND(OR(Housemates!$C$10="",Housemates!$C$10&lt;=$B205),OR(Housemates!$D$10="",Housemates!$D$10&gt;=$B205)),IF($Q205=0,1,INDEX(Bills!$AC$6:$AC$25,$Q205)),0))))</f>
        <v/>
      </c>
      <c r="V205">
        <f>IF(OR($D205="",$B205="",Housemates!$B$11=""),0,IF($R205&gt;0,IF(I205="",0,IF(ISNUMBER(I205),I205,1)),IF($C205="Paying back",0,IF(AND(OR(Housemates!$C$11="",Housemates!$C$11&lt;=$B205),OR(Housemates!$D$11="",Housemates!$D$11&gt;=$B205)),IF($Q205=0,1,INDEX(Bills!$AD$6:$AD$25,$Q205)),0))))</f>
        <v/>
      </c>
      <c r="W205">
        <f>IF(OR($D205="",$B205="",Housemates!$B$12=""),0,IF($R205&gt;0,IF(J205="",0,IF(ISNUMBER(J205),J205,1)),IF($C205="Paying back",0,IF(AND(OR(Housemates!$C$12="",Housemates!$C$12&lt;=$B205),OR(Housemates!$D$12="",Housemates!$D$12&gt;=$B205)),IF($Q205=0,1,INDEX(Bills!$AE$6:$AE$25,$Q205)),0))))</f>
        <v/>
      </c>
      <c r="X205">
        <f>IF(OR($D205="",$B205="",Housemates!$B$13=""),0,IF($R205&gt;0,IF(K205="",0,IF(ISNUMBER(K205),K205,1)),IF($C205="Paying back",0,IF(AND(OR(Housemates!$C$13="",Housemates!$C$13&lt;=$B205),OR(Housemates!$D$13="",Housemates!$D$13&gt;=$B205)),IF($Q205=0,1,INDEX(Bills!$AF$6:$AF$25,$Q205)),0))))</f>
        <v/>
      </c>
      <c r="Y205">
        <f>IF(OR($D205="",$B205="",Housemates!$B$14=""),0,IF($R205&gt;0,IF(L205="",0,IF(ISNUMBER(L205),L205,1)),IF($C205="Paying back",0,IF(AND(OR(Housemates!$C$14="",Housemates!$C$14&lt;=$B205),OR(Housemates!$D$14="",Housemates!$D$14&gt;=$B205)),IF($Q205=0,1,INDEX(Bills!$AG$6:$AG$25,$Q205)),0))))</f>
        <v/>
      </c>
      <c r="Z205">
        <f>IF(OR($D205="",$B205="",Housemates!$B$15=""),0,IF($R205&gt;0,IF(M205="",0,IF(ISNUMBER(M205),M205,1)),IF($C205="Paying back",0,IF(AND(OR(Housemates!$C$15="",Housemates!$C$15&lt;=$B205),OR(Housemates!$D$15="",Housemates!$D$15&gt;=$B205)),IF($Q205=0,1,INDEX(Bills!$AH$6:$AH$25,$Q205)),0))))</f>
        <v/>
      </c>
      <c r="AA205">
        <f>SUM(S205:Z205)</f>
        <v/>
      </c>
      <c r="AB205">
        <f>IF(AA205=0,0,D205*S205/AA205)</f>
        <v/>
      </c>
      <c r="AC205">
        <f>IF(AA205=0,0,D205*T205/AA205)</f>
        <v/>
      </c>
      <c r="AD205">
        <f>IF(AA205=0,0,D205*U205/AA205)</f>
        <v/>
      </c>
      <c r="AE205">
        <f>IF(AA205=0,0,D205*V205/AA205)</f>
        <v/>
      </c>
      <c r="AF205">
        <f>IF(AA205=0,0,D205*W205/AA205)</f>
        <v/>
      </c>
      <c r="AG205">
        <f>IF(AA205=0,0,D205*X205/AA205)</f>
        <v/>
      </c>
      <c r="AH205">
        <f>IF(AA205=0,0,D205*Y205/AA205)</f>
        <v/>
      </c>
      <c r="AI205">
        <f>IF(AA205=0,0,D205*Z205/AA205)</f>
        <v/>
      </c>
      <c r="AJ205">
        <f>IF(OR(C205="",B205=""),"",C205&amp;"|"&amp;(YEAR(B205)*100+MONTH(B205)))</f>
        <v/>
      </c>
    </row>
    <row r="206">
      <c r="A206" s="1" t="n"/>
      <c r="B206" s="23" t="n"/>
      <c r="C206" s="24" t="n"/>
      <c r="D206" s="25" t="n"/>
      <c r="E206" s="26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1">
        <f>IF(D206="","",IF(B206="","No date",IF(AND(C206="Paying back",R206=0),"To whom?",IF(AA206=0,"Nobody",IF(C206="Paying back","To "&amp;INDEX(Housemates!$B$8:$B$15,MATCH(MAX(S206:Z206),S206:Z206,0)),IF(R206&gt;0,IF(COUNTIF(S206:Z206,"&gt;0")=1,"1 person",COUNTIF(S206:Z206,"&gt;0")&amp;" people"),IF(Q206=0,"Everyone",INDEX(Bills!$Q$6:$Q$25,Q206))))))))</f>
        <v/>
      </c>
      <c r="O206" s="18">
        <f>IF(D206="","",IF(C206="Paying back","Paying back",IF(Q206=0,"Other",IF(INDEX(Bills!$C$6:$C$25,Q206)="","Other",INDEX(Bills!$C$6:$C$25,Q206)))))</f>
        <v/>
      </c>
      <c r="P206" s="1" t="n"/>
      <c r="Q206">
        <f>IF(C206="",0,IFERROR(MATCH(C206,Bills!$B$6:$B$25,0),0))</f>
        <v/>
      </c>
      <c r="R206">
        <f>COUNTA(F206:M206)</f>
        <v/>
      </c>
      <c r="S206">
        <f>IF(OR($D206="",$B206="",Housemates!$B$8=""),0,IF($R206&gt;0,IF(F206="",0,IF(ISNUMBER(F206),F206,1)),IF($C206="Paying back",0,IF(AND(OR(Housemates!$C$8="",Housemates!$C$8&lt;=$B206),OR(Housemates!$D$8="",Housemates!$D$8&gt;=$B206)),IF($Q206=0,1,INDEX(Bills!$AA$6:$AA$25,$Q206)),0))))</f>
        <v/>
      </c>
      <c r="T206">
        <f>IF(OR($D206="",$B206="",Housemates!$B$9=""),0,IF($R206&gt;0,IF(G206="",0,IF(ISNUMBER(G206),G206,1)),IF($C206="Paying back",0,IF(AND(OR(Housemates!$C$9="",Housemates!$C$9&lt;=$B206),OR(Housemates!$D$9="",Housemates!$D$9&gt;=$B206)),IF($Q206=0,1,INDEX(Bills!$AB$6:$AB$25,$Q206)),0))))</f>
        <v/>
      </c>
      <c r="U206">
        <f>IF(OR($D206="",$B206="",Housemates!$B$10=""),0,IF($R206&gt;0,IF(H206="",0,IF(ISNUMBER(H206),H206,1)),IF($C206="Paying back",0,IF(AND(OR(Housemates!$C$10="",Housemates!$C$10&lt;=$B206),OR(Housemates!$D$10="",Housemates!$D$10&gt;=$B206)),IF($Q206=0,1,INDEX(Bills!$AC$6:$AC$25,$Q206)),0))))</f>
        <v/>
      </c>
      <c r="V206">
        <f>IF(OR($D206="",$B206="",Housemates!$B$11=""),0,IF($R206&gt;0,IF(I206="",0,IF(ISNUMBER(I206),I206,1)),IF($C206="Paying back",0,IF(AND(OR(Housemates!$C$11="",Housemates!$C$11&lt;=$B206),OR(Housemates!$D$11="",Housemates!$D$11&gt;=$B206)),IF($Q206=0,1,INDEX(Bills!$AD$6:$AD$25,$Q206)),0))))</f>
        <v/>
      </c>
      <c r="W206">
        <f>IF(OR($D206="",$B206="",Housemates!$B$12=""),0,IF($R206&gt;0,IF(J206="",0,IF(ISNUMBER(J206),J206,1)),IF($C206="Paying back",0,IF(AND(OR(Housemates!$C$12="",Housemates!$C$12&lt;=$B206),OR(Housemates!$D$12="",Housemates!$D$12&gt;=$B206)),IF($Q206=0,1,INDEX(Bills!$AE$6:$AE$25,$Q206)),0))))</f>
        <v/>
      </c>
      <c r="X206">
        <f>IF(OR($D206="",$B206="",Housemates!$B$13=""),0,IF($R206&gt;0,IF(K206="",0,IF(ISNUMBER(K206),K206,1)),IF($C206="Paying back",0,IF(AND(OR(Housemates!$C$13="",Housemates!$C$13&lt;=$B206),OR(Housemates!$D$13="",Housemates!$D$13&gt;=$B206)),IF($Q206=0,1,INDEX(Bills!$AF$6:$AF$25,$Q206)),0))))</f>
        <v/>
      </c>
      <c r="Y206">
        <f>IF(OR($D206="",$B206="",Housemates!$B$14=""),0,IF($R206&gt;0,IF(L206="",0,IF(ISNUMBER(L206),L206,1)),IF($C206="Paying back",0,IF(AND(OR(Housemates!$C$14="",Housemates!$C$14&lt;=$B206),OR(Housemates!$D$14="",Housemates!$D$14&gt;=$B206)),IF($Q206=0,1,INDEX(Bills!$AG$6:$AG$25,$Q206)),0))))</f>
        <v/>
      </c>
      <c r="Z206">
        <f>IF(OR($D206="",$B206="",Housemates!$B$15=""),0,IF($R206&gt;0,IF(M206="",0,IF(ISNUMBER(M206),M206,1)),IF($C206="Paying back",0,IF(AND(OR(Housemates!$C$15="",Housemates!$C$15&lt;=$B206),OR(Housemates!$D$15="",Housemates!$D$15&gt;=$B206)),IF($Q206=0,1,INDEX(Bills!$AH$6:$AH$25,$Q206)),0))))</f>
        <v/>
      </c>
      <c r="AA206">
        <f>SUM(S206:Z206)</f>
        <v/>
      </c>
      <c r="AB206">
        <f>IF(AA206=0,0,D206*S206/AA206)</f>
        <v/>
      </c>
      <c r="AC206">
        <f>IF(AA206=0,0,D206*T206/AA206)</f>
        <v/>
      </c>
      <c r="AD206">
        <f>IF(AA206=0,0,D206*U206/AA206)</f>
        <v/>
      </c>
      <c r="AE206">
        <f>IF(AA206=0,0,D206*V206/AA206)</f>
        <v/>
      </c>
      <c r="AF206">
        <f>IF(AA206=0,0,D206*W206/AA206)</f>
        <v/>
      </c>
      <c r="AG206">
        <f>IF(AA206=0,0,D206*X206/AA206)</f>
        <v/>
      </c>
      <c r="AH206">
        <f>IF(AA206=0,0,D206*Y206/AA206)</f>
        <v/>
      </c>
      <c r="AI206">
        <f>IF(AA206=0,0,D206*Z206/AA206)</f>
        <v/>
      </c>
      <c r="AJ206">
        <f>IF(OR(C206="",B206=""),"",C206&amp;"|"&amp;(YEAR(B206)*100+MONTH(B206)))</f>
        <v/>
      </c>
    </row>
    <row r="207">
      <c r="A207" s="1" t="n"/>
      <c r="B207" s="23" t="n"/>
      <c r="C207" s="24" t="n"/>
      <c r="D207" s="25" t="n"/>
      <c r="E207" s="26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1">
        <f>IF(D207="","",IF(B207="","No date",IF(AND(C207="Paying back",R207=0),"To whom?",IF(AA207=0,"Nobody",IF(C207="Paying back","To "&amp;INDEX(Housemates!$B$8:$B$15,MATCH(MAX(S207:Z207),S207:Z207,0)),IF(R207&gt;0,IF(COUNTIF(S207:Z207,"&gt;0")=1,"1 person",COUNTIF(S207:Z207,"&gt;0")&amp;" people"),IF(Q207=0,"Everyone",INDEX(Bills!$Q$6:$Q$25,Q207))))))))</f>
        <v/>
      </c>
      <c r="O207" s="18">
        <f>IF(D207="","",IF(C207="Paying back","Paying back",IF(Q207=0,"Other",IF(INDEX(Bills!$C$6:$C$25,Q207)="","Other",INDEX(Bills!$C$6:$C$25,Q207)))))</f>
        <v/>
      </c>
      <c r="P207" s="1" t="n"/>
      <c r="Q207">
        <f>IF(C207="",0,IFERROR(MATCH(C207,Bills!$B$6:$B$25,0),0))</f>
        <v/>
      </c>
      <c r="R207">
        <f>COUNTA(F207:M207)</f>
        <v/>
      </c>
      <c r="S207">
        <f>IF(OR($D207="",$B207="",Housemates!$B$8=""),0,IF($R207&gt;0,IF(F207="",0,IF(ISNUMBER(F207),F207,1)),IF($C207="Paying back",0,IF(AND(OR(Housemates!$C$8="",Housemates!$C$8&lt;=$B207),OR(Housemates!$D$8="",Housemates!$D$8&gt;=$B207)),IF($Q207=0,1,INDEX(Bills!$AA$6:$AA$25,$Q207)),0))))</f>
        <v/>
      </c>
      <c r="T207">
        <f>IF(OR($D207="",$B207="",Housemates!$B$9=""),0,IF($R207&gt;0,IF(G207="",0,IF(ISNUMBER(G207),G207,1)),IF($C207="Paying back",0,IF(AND(OR(Housemates!$C$9="",Housemates!$C$9&lt;=$B207),OR(Housemates!$D$9="",Housemates!$D$9&gt;=$B207)),IF($Q207=0,1,INDEX(Bills!$AB$6:$AB$25,$Q207)),0))))</f>
        <v/>
      </c>
      <c r="U207">
        <f>IF(OR($D207="",$B207="",Housemates!$B$10=""),0,IF($R207&gt;0,IF(H207="",0,IF(ISNUMBER(H207),H207,1)),IF($C207="Paying back",0,IF(AND(OR(Housemates!$C$10="",Housemates!$C$10&lt;=$B207),OR(Housemates!$D$10="",Housemates!$D$10&gt;=$B207)),IF($Q207=0,1,INDEX(Bills!$AC$6:$AC$25,$Q207)),0))))</f>
        <v/>
      </c>
      <c r="V207">
        <f>IF(OR($D207="",$B207="",Housemates!$B$11=""),0,IF($R207&gt;0,IF(I207="",0,IF(ISNUMBER(I207),I207,1)),IF($C207="Paying back",0,IF(AND(OR(Housemates!$C$11="",Housemates!$C$11&lt;=$B207),OR(Housemates!$D$11="",Housemates!$D$11&gt;=$B207)),IF($Q207=0,1,INDEX(Bills!$AD$6:$AD$25,$Q207)),0))))</f>
        <v/>
      </c>
      <c r="W207">
        <f>IF(OR($D207="",$B207="",Housemates!$B$12=""),0,IF($R207&gt;0,IF(J207="",0,IF(ISNUMBER(J207),J207,1)),IF($C207="Paying back",0,IF(AND(OR(Housemates!$C$12="",Housemates!$C$12&lt;=$B207),OR(Housemates!$D$12="",Housemates!$D$12&gt;=$B207)),IF($Q207=0,1,INDEX(Bills!$AE$6:$AE$25,$Q207)),0))))</f>
        <v/>
      </c>
      <c r="X207">
        <f>IF(OR($D207="",$B207="",Housemates!$B$13=""),0,IF($R207&gt;0,IF(K207="",0,IF(ISNUMBER(K207),K207,1)),IF($C207="Paying back",0,IF(AND(OR(Housemates!$C$13="",Housemates!$C$13&lt;=$B207),OR(Housemates!$D$13="",Housemates!$D$13&gt;=$B207)),IF($Q207=0,1,INDEX(Bills!$AF$6:$AF$25,$Q207)),0))))</f>
        <v/>
      </c>
      <c r="Y207">
        <f>IF(OR($D207="",$B207="",Housemates!$B$14=""),0,IF($R207&gt;0,IF(L207="",0,IF(ISNUMBER(L207),L207,1)),IF($C207="Paying back",0,IF(AND(OR(Housemates!$C$14="",Housemates!$C$14&lt;=$B207),OR(Housemates!$D$14="",Housemates!$D$14&gt;=$B207)),IF($Q207=0,1,INDEX(Bills!$AG$6:$AG$25,$Q207)),0))))</f>
        <v/>
      </c>
      <c r="Z207">
        <f>IF(OR($D207="",$B207="",Housemates!$B$15=""),0,IF($R207&gt;0,IF(M207="",0,IF(ISNUMBER(M207),M207,1)),IF($C207="Paying back",0,IF(AND(OR(Housemates!$C$15="",Housemates!$C$15&lt;=$B207),OR(Housemates!$D$15="",Housemates!$D$15&gt;=$B207)),IF($Q207=0,1,INDEX(Bills!$AH$6:$AH$25,$Q207)),0))))</f>
        <v/>
      </c>
      <c r="AA207">
        <f>SUM(S207:Z207)</f>
        <v/>
      </c>
      <c r="AB207">
        <f>IF(AA207=0,0,D207*S207/AA207)</f>
        <v/>
      </c>
      <c r="AC207">
        <f>IF(AA207=0,0,D207*T207/AA207)</f>
        <v/>
      </c>
      <c r="AD207">
        <f>IF(AA207=0,0,D207*U207/AA207)</f>
        <v/>
      </c>
      <c r="AE207">
        <f>IF(AA207=0,0,D207*V207/AA207)</f>
        <v/>
      </c>
      <c r="AF207">
        <f>IF(AA207=0,0,D207*W207/AA207)</f>
        <v/>
      </c>
      <c r="AG207">
        <f>IF(AA207=0,0,D207*X207/AA207)</f>
        <v/>
      </c>
      <c r="AH207">
        <f>IF(AA207=0,0,D207*Y207/AA207)</f>
        <v/>
      </c>
      <c r="AI207">
        <f>IF(AA207=0,0,D207*Z207/AA207)</f>
        <v/>
      </c>
      <c r="AJ207">
        <f>IF(OR(C207="",B207=""),"",C207&amp;"|"&amp;(YEAR(B207)*100+MONTH(B207)))</f>
        <v/>
      </c>
    </row>
    <row r="208">
      <c r="A208" s="1" t="n"/>
      <c r="B208" s="23" t="n"/>
      <c r="C208" s="24" t="n"/>
      <c r="D208" s="25" t="n"/>
      <c r="E208" s="26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1">
        <f>IF(D208="","",IF(B208="","No date",IF(AND(C208="Paying back",R208=0),"To whom?",IF(AA208=0,"Nobody",IF(C208="Paying back","To "&amp;INDEX(Housemates!$B$8:$B$15,MATCH(MAX(S208:Z208),S208:Z208,0)),IF(R208&gt;0,IF(COUNTIF(S208:Z208,"&gt;0")=1,"1 person",COUNTIF(S208:Z208,"&gt;0")&amp;" people"),IF(Q208=0,"Everyone",INDEX(Bills!$Q$6:$Q$25,Q208))))))))</f>
        <v/>
      </c>
      <c r="O208" s="18">
        <f>IF(D208="","",IF(C208="Paying back","Paying back",IF(Q208=0,"Other",IF(INDEX(Bills!$C$6:$C$25,Q208)="","Other",INDEX(Bills!$C$6:$C$25,Q208)))))</f>
        <v/>
      </c>
      <c r="P208" s="1" t="n"/>
      <c r="Q208">
        <f>IF(C208="",0,IFERROR(MATCH(C208,Bills!$B$6:$B$25,0),0))</f>
        <v/>
      </c>
      <c r="R208">
        <f>COUNTA(F208:M208)</f>
        <v/>
      </c>
      <c r="S208">
        <f>IF(OR($D208="",$B208="",Housemates!$B$8=""),0,IF($R208&gt;0,IF(F208="",0,IF(ISNUMBER(F208),F208,1)),IF($C208="Paying back",0,IF(AND(OR(Housemates!$C$8="",Housemates!$C$8&lt;=$B208),OR(Housemates!$D$8="",Housemates!$D$8&gt;=$B208)),IF($Q208=0,1,INDEX(Bills!$AA$6:$AA$25,$Q208)),0))))</f>
        <v/>
      </c>
      <c r="T208">
        <f>IF(OR($D208="",$B208="",Housemates!$B$9=""),0,IF($R208&gt;0,IF(G208="",0,IF(ISNUMBER(G208),G208,1)),IF($C208="Paying back",0,IF(AND(OR(Housemates!$C$9="",Housemates!$C$9&lt;=$B208),OR(Housemates!$D$9="",Housemates!$D$9&gt;=$B208)),IF($Q208=0,1,INDEX(Bills!$AB$6:$AB$25,$Q208)),0))))</f>
        <v/>
      </c>
      <c r="U208">
        <f>IF(OR($D208="",$B208="",Housemates!$B$10=""),0,IF($R208&gt;0,IF(H208="",0,IF(ISNUMBER(H208),H208,1)),IF($C208="Paying back",0,IF(AND(OR(Housemates!$C$10="",Housemates!$C$10&lt;=$B208),OR(Housemates!$D$10="",Housemates!$D$10&gt;=$B208)),IF($Q208=0,1,INDEX(Bills!$AC$6:$AC$25,$Q208)),0))))</f>
        <v/>
      </c>
      <c r="V208">
        <f>IF(OR($D208="",$B208="",Housemates!$B$11=""),0,IF($R208&gt;0,IF(I208="",0,IF(ISNUMBER(I208),I208,1)),IF($C208="Paying back",0,IF(AND(OR(Housemates!$C$11="",Housemates!$C$11&lt;=$B208),OR(Housemates!$D$11="",Housemates!$D$11&gt;=$B208)),IF($Q208=0,1,INDEX(Bills!$AD$6:$AD$25,$Q208)),0))))</f>
        <v/>
      </c>
      <c r="W208">
        <f>IF(OR($D208="",$B208="",Housemates!$B$12=""),0,IF($R208&gt;0,IF(J208="",0,IF(ISNUMBER(J208),J208,1)),IF($C208="Paying back",0,IF(AND(OR(Housemates!$C$12="",Housemates!$C$12&lt;=$B208),OR(Housemates!$D$12="",Housemates!$D$12&gt;=$B208)),IF($Q208=0,1,INDEX(Bills!$AE$6:$AE$25,$Q208)),0))))</f>
        <v/>
      </c>
      <c r="X208">
        <f>IF(OR($D208="",$B208="",Housemates!$B$13=""),0,IF($R208&gt;0,IF(K208="",0,IF(ISNUMBER(K208),K208,1)),IF($C208="Paying back",0,IF(AND(OR(Housemates!$C$13="",Housemates!$C$13&lt;=$B208),OR(Housemates!$D$13="",Housemates!$D$13&gt;=$B208)),IF($Q208=0,1,INDEX(Bills!$AF$6:$AF$25,$Q208)),0))))</f>
        <v/>
      </c>
      <c r="Y208">
        <f>IF(OR($D208="",$B208="",Housemates!$B$14=""),0,IF($R208&gt;0,IF(L208="",0,IF(ISNUMBER(L208),L208,1)),IF($C208="Paying back",0,IF(AND(OR(Housemates!$C$14="",Housemates!$C$14&lt;=$B208),OR(Housemates!$D$14="",Housemates!$D$14&gt;=$B208)),IF($Q208=0,1,INDEX(Bills!$AG$6:$AG$25,$Q208)),0))))</f>
        <v/>
      </c>
      <c r="Z208">
        <f>IF(OR($D208="",$B208="",Housemates!$B$15=""),0,IF($R208&gt;0,IF(M208="",0,IF(ISNUMBER(M208),M208,1)),IF($C208="Paying back",0,IF(AND(OR(Housemates!$C$15="",Housemates!$C$15&lt;=$B208),OR(Housemates!$D$15="",Housemates!$D$15&gt;=$B208)),IF($Q208=0,1,INDEX(Bills!$AH$6:$AH$25,$Q208)),0))))</f>
        <v/>
      </c>
      <c r="AA208">
        <f>SUM(S208:Z208)</f>
        <v/>
      </c>
      <c r="AB208">
        <f>IF(AA208=0,0,D208*S208/AA208)</f>
        <v/>
      </c>
      <c r="AC208">
        <f>IF(AA208=0,0,D208*T208/AA208)</f>
        <v/>
      </c>
      <c r="AD208">
        <f>IF(AA208=0,0,D208*U208/AA208)</f>
        <v/>
      </c>
      <c r="AE208">
        <f>IF(AA208=0,0,D208*V208/AA208)</f>
        <v/>
      </c>
      <c r="AF208">
        <f>IF(AA208=0,0,D208*W208/AA208)</f>
        <v/>
      </c>
      <c r="AG208">
        <f>IF(AA208=0,0,D208*X208/AA208)</f>
        <v/>
      </c>
      <c r="AH208">
        <f>IF(AA208=0,0,D208*Y208/AA208)</f>
        <v/>
      </c>
      <c r="AI208">
        <f>IF(AA208=0,0,D208*Z208/AA208)</f>
        <v/>
      </c>
      <c r="AJ208">
        <f>IF(OR(C208="",B208=""),"",C208&amp;"|"&amp;(YEAR(B208)*100+MONTH(B208)))</f>
        <v/>
      </c>
    </row>
    <row r="209">
      <c r="A209" s="1" t="n"/>
      <c r="B209" s="23" t="n"/>
      <c r="C209" s="24" t="n"/>
      <c r="D209" s="25" t="n"/>
      <c r="E209" s="26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1">
        <f>IF(D209="","",IF(B209="","No date",IF(AND(C209="Paying back",R209=0),"To whom?",IF(AA209=0,"Nobody",IF(C209="Paying back","To "&amp;INDEX(Housemates!$B$8:$B$15,MATCH(MAX(S209:Z209),S209:Z209,0)),IF(R209&gt;0,IF(COUNTIF(S209:Z209,"&gt;0")=1,"1 person",COUNTIF(S209:Z209,"&gt;0")&amp;" people"),IF(Q209=0,"Everyone",INDEX(Bills!$Q$6:$Q$25,Q209))))))))</f>
        <v/>
      </c>
      <c r="O209" s="18">
        <f>IF(D209="","",IF(C209="Paying back","Paying back",IF(Q209=0,"Other",IF(INDEX(Bills!$C$6:$C$25,Q209)="","Other",INDEX(Bills!$C$6:$C$25,Q209)))))</f>
        <v/>
      </c>
      <c r="P209" s="1" t="n"/>
      <c r="Q209">
        <f>IF(C209="",0,IFERROR(MATCH(C209,Bills!$B$6:$B$25,0),0))</f>
        <v/>
      </c>
      <c r="R209">
        <f>COUNTA(F209:M209)</f>
        <v/>
      </c>
      <c r="S209">
        <f>IF(OR($D209="",$B209="",Housemates!$B$8=""),0,IF($R209&gt;0,IF(F209="",0,IF(ISNUMBER(F209),F209,1)),IF($C209="Paying back",0,IF(AND(OR(Housemates!$C$8="",Housemates!$C$8&lt;=$B209),OR(Housemates!$D$8="",Housemates!$D$8&gt;=$B209)),IF($Q209=0,1,INDEX(Bills!$AA$6:$AA$25,$Q209)),0))))</f>
        <v/>
      </c>
      <c r="T209">
        <f>IF(OR($D209="",$B209="",Housemates!$B$9=""),0,IF($R209&gt;0,IF(G209="",0,IF(ISNUMBER(G209),G209,1)),IF($C209="Paying back",0,IF(AND(OR(Housemates!$C$9="",Housemates!$C$9&lt;=$B209),OR(Housemates!$D$9="",Housemates!$D$9&gt;=$B209)),IF($Q209=0,1,INDEX(Bills!$AB$6:$AB$25,$Q209)),0))))</f>
        <v/>
      </c>
      <c r="U209">
        <f>IF(OR($D209="",$B209="",Housemates!$B$10=""),0,IF($R209&gt;0,IF(H209="",0,IF(ISNUMBER(H209),H209,1)),IF($C209="Paying back",0,IF(AND(OR(Housemates!$C$10="",Housemates!$C$10&lt;=$B209),OR(Housemates!$D$10="",Housemates!$D$10&gt;=$B209)),IF($Q209=0,1,INDEX(Bills!$AC$6:$AC$25,$Q209)),0))))</f>
        <v/>
      </c>
      <c r="V209">
        <f>IF(OR($D209="",$B209="",Housemates!$B$11=""),0,IF($R209&gt;0,IF(I209="",0,IF(ISNUMBER(I209),I209,1)),IF($C209="Paying back",0,IF(AND(OR(Housemates!$C$11="",Housemates!$C$11&lt;=$B209),OR(Housemates!$D$11="",Housemates!$D$11&gt;=$B209)),IF($Q209=0,1,INDEX(Bills!$AD$6:$AD$25,$Q209)),0))))</f>
        <v/>
      </c>
      <c r="W209">
        <f>IF(OR($D209="",$B209="",Housemates!$B$12=""),0,IF($R209&gt;0,IF(J209="",0,IF(ISNUMBER(J209),J209,1)),IF($C209="Paying back",0,IF(AND(OR(Housemates!$C$12="",Housemates!$C$12&lt;=$B209),OR(Housemates!$D$12="",Housemates!$D$12&gt;=$B209)),IF($Q209=0,1,INDEX(Bills!$AE$6:$AE$25,$Q209)),0))))</f>
        <v/>
      </c>
      <c r="X209">
        <f>IF(OR($D209="",$B209="",Housemates!$B$13=""),0,IF($R209&gt;0,IF(K209="",0,IF(ISNUMBER(K209),K209,1)),IF($C209="Paying back",0,IF(AND(OR(Housemates!$C$13="",Housemates!$C$13&lt;=$B209),OR(Housemates!$D$13="",Housemates!$D$13&gt;=$B209)),IF($Q209=0,1,INDEX(Bills!$AF$6:$AF$25,$Q209)),0))))</f>
        <v/>
      </c>
      <c r="Y209">
        <f>IF(OR($D209="",$B209="",Housemates!$B$14=""),0,IF($R209&gt;0,IF(L209="",0,IF(ISNUMBER(L209),L209,1)),IF($C209="Paying back",0,IF(AND(OR(Housemates!$C$14="",Housemates!$C$14&lt;=$B209),OR(Housemates!$D$14="",Housemates!$D$14&gt;=$B209)),IF($Q209=0,1,INDEX(Bills!$AG$6:$AG$25,$Q209)),0))))</f>
        <v/>
      </c>
      <c r="Z209">
        <f>IF(OR($D209="",$B209="",Housemates!$B$15=""),0,IF($R209&gt;0,IF(M209="",0,IF(ISNUMBER(M209),M209,1)),IF($C209="Paying back",0,IF(AND(OR(Housemates!$C$15="",Housemates!$C$15&lt;=$B209),OR(Housemates!$D$15="",Housemates!$D$15&gt;=$B209)),IF($Q209=0,1,INDEX(Bills!$AH$6:$AH$25,$Q209)),0))))</f>
        <v/>
      </c>
      <c r="AA209">
        <f>SUM(S209:Z209)</f>
        <v/>
      </c>
      <c r="AB209">
        <f>IF(AA209=0,0,D209*S209/AA209)</f>
        <v/>
      </c>
      <c r="AC209">
        <f>IF(AA209=0,0,D209*T209/AA209)</f>
        <v/>
      </c>
      <c r="AD209">
        <f>IF(AA209=0,0,D209*U209/AA209)</f>
        <v/>
      </c>
      <c r="AE209">
        <f>IF(AA209=0,0,D209*V209/AA209)</f>
        <v/>
      </c>
      <c r="AF209">
        <f>IF(AA209=0,0,D209*W209/AA209)</f>
        <v/>
      </c>
      <c r="AG209">
        <f>IF(AA209=0,0,D209*X209/AA209)</f>
        <v/>
      </c>
      <c r="AH209">
        <f>IF(AA209=0,0,D209*Y209/AA209)</f>
        <v/>
      </c>
      <c r="AI209">
        <f>IF(AA209=0,0,D209*Z209/AA209)</f>
        <v/>
      </c>
      <c r="AJ209">
        <f>IF(OR(C209="",B209=""),"",C209&amp;"|"&amp;(YEAR(B209)*100+MONTH(B209)))</f>
        <v/>
      </c>
    </row>
    <row r="210">
      <c r="A210" s="1" t="n"/>
      <c r="B210" s="23" t="n"/>
      <c r="C210" s="24" t="n"/>
      <c r="D210" s="25" t="n"/>
      <c r="E210" s="26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1">
        <f>IF(D210="","",IF(B210="","No date",IF(AND(C210="Paying back",R210=0),"To whom?",IF(AA210=0,"Nobody",IF(C210="Paying back","To "&amp;INDEX(Housemates!$B$8:$B$15,MATCH(MAX(S210:Z210),S210:Z210,0)),IF(R210&gt;0,IF(COUNTIF(S210:Z210,"&gt;0")=1,"1 person",COUNTIF(S210:Z210,"&gt;0")&amp;" people"),IF(Q210=0,"Everyone",INDEX(Bills!$Q$6:$Q$25,Q210))))))))</f>
        <v/>
      </c>
      <c r="O210" s="18">
        <f>IF(D210="","",IF(C210="Paying back","Paying back",IF(Q210=0,"Other",IF(INDEX(Bills!$C$6:$C$25,Q210)="","Other",INDEX(Bills!$C$6:$C$25,Q210)))))</f>
        <v/>
      </c>
      <c r="P210" s="1" t="n"/>
      <c r="Q210">
        <f>IF(C210="",0,IFERROR(MATCH(C210,Bills!$B$6:$B$25,0),0))</f>
        <v/>
      </c>
      <c r="R210">
        <f>COUNTA(F210:M210)</f>
        <v/>
      </c>
      <c r="S210">
        <f>IF(OR($D210="",$B210="",Housemates!$B$8=""),0,IF($R210&gt;0,IF(F210="",0,IF(ISNUMBER(F210),F210,1)),IF($C210="Paying back",0,IF(AND(OR(Housemates!$C$8="",Housemates!$C$8&lt;=$B210),OR(Housemates!$D$8="",Housemates!$D$8&gt;=$B210)),IF($Q210=0,1,INDEX(Bills!$AA$6:$AA$25,$Q210)),0))))</f>
        <v/>
      </c>
      <c r="T210">
        <f>IF(OR($D210="",$B210="",Housemates!$B$9=""),0,IF($R210&gt;0,IF(G210="",0,IF(ISNUMBER(G210),G210,1)),IF($C210="Paying back",0,IF(AND(OR(Housemates!$C$9="",Housemates!$C$9&lt;=$B210),OR(Housemates!$D$9="",Housemates!$D$9&gt;=$B210)),IF($Q210=0,1,INDEX(Bills!$AB$6:$AB$25,$Q210)),0))))</f>
        <v/>
      </c>
      <c r="U210">
        <f>IF(OR($D210="",$B210="",Housemates!$B$10=""),0,IF($R210&gt;0,IF(H210="",0,IF(ISNUMBER(H210),H210,1)),IF($C210="Paying back",0,IF(AND(OR(Housemates!$C$10="",Housemates!$C$10&lt;=$B210),OR(Housemates!$D$10="",Housemates!$D$10&gt;=$B210)),IF($Q210=0,1,INDEX(Bills!$AC$6:$AC$25,$Q210)),0))))</f>
        <v/>
      </c>
      <c r="V210">
        <f>IF(OR($D210="",$B210="",Housemates!$B$11=""),0,IF($R210&gt;0,IF(I210="",0,IF(ISNUMBER(I210),I210,1)),IF($C210="Paying back",0,IF(AND(OR(Housemates!$C$11="",Housemates!$C$11&lt;=$B210),OR(Housemates!$D$11="",Housemates!$D$11&gt;=$B210)),IF($Q210=0,1,INDEX(Bills!$AD$6:$AD$25,$Q210)),0))))</f>
        <v/>
      </c>
      <c r="W210">
        <f>IF(OR($D210="",$B210="",Housemates!$B$12=""),0,IF($R210&gt;0,IF(J210="",0,IF(ISNUMBER(J210),J210,1)),IF($C210="Paying back",0,IF(AND(OR(Housemates!$C$12="",Housemates!$C$12&lt;=$B210),OR(Housemates!$D$12="",Housemates!$D$12&gt;=$B210)),IF($Q210=0,1,INDEX(Bills!$AE$6:$AE$25,$Q210)),0))))</f>
        <v/>
      </c>
      <c r="X210">
        <f>IF(OR($D210="",$B210="",Housemates!$B$13=""),0,IF($R210&gt;0,IF(K210="",0,IF(ISNUMBER(K210),K210,1)),IF($C210="Paying back",0,IF(AND(OR(Housemates!$C$13="",Housemates!$C$13&lt;=$B210),OR(Housemates!$D$13="",Housemates!$D$13&gt;=$B210)),IF($Q210=0,1,INDEX(Bills!$AF$6:$AF$25,$Q210)),0))))</f>
        <v/>
      </c>
      <c r="Y210">
        <f>IF(OR($D210="",$B210="",Housemates!$B$14=""),0,IF($R210&gt;0,IF(L210="",0,IF(ISNUMBER(L210),L210,1)),IF($C210="Paying back",0,IF(AND(OR(Housemates!$C$14="",Housemates!$C$14&lt;=$B210),OR(Housemates!$D$14="",Housemates!$D$14&gt;=$B210)),IF($Q210=0,1,INDEX(Bills!$AG$6:$AG$25,$Q210)),0))))</f>
        <v/>
      </c>
      <c r="Z210">
        <f>IF(OR($D210="",$B210="",Housemates!$B$15=""),0,IF($R210&gt;0,IF(M210="",0,IF(ISNUMBER(M210),M210,1)),IF($C210="Paying back",0,IF(AND(OR(Housemates!$C$15="",Housemates!$C$15&lt;=$B210),OR(Housemates!$D$15="",Housemates!$D$15&gt;=$B210)),IF($Q210=0,1,INDEX(Bills!$AH$6:$AH$25,$Q210)),0))))</f>
        <v/>
      </c>
      <c r="AA210">
        <f>SUM(S210:Z210)</f>
        <v/>
      </c>
      <c r="AB210">
        <f>IF(AA210=0,0,D210*S210/AA210)</f>
        <v/>
      </c>
      <c r="AC210">
        <f>IF(AA210=0,0,D210*T210/AA210)</f>
        <v/>
      </c>
      <c r="AD210">
        <f>IF(AA210=0,0,D210*U210/AA210)</f>
        <v/>
      </c>
      <c r="AE210">
        <f>IF(AA210=0,0,D210*V210/AA210)</f>
        <v/>
      </c>
      <c r="AF210">
        <f>IF(AA210=0,0,D210*W210/AA210)</f>
        <v/>
      </c>
      <c r="AG210">
        <f>IF(AA210=0,0,D210*X210/AA210)</f>
        <v/>
      </c>
      <c r="AH210">
        <f>IF(AA210=0,0,D210*Y210/AA210)</f>
        <v/>
      </c>
      <c r="AI210">
        <f>IF(AA210=0,0,D210*Z210/AA210)</f>
        <v/>
      </c>
      <c r="AJ210">
        <f>IF(OR(C210="",B210=""),"",C210&amp;"|"&amp;(YEAR(B210)*100+MONTH(B210)))</f>
        <v/>
      </c>
    </row>
    <row r="211">
      <c r="A211" s="1" t="n"/>
      <c r="B211" s="23" t="n"/>
      <c r="C211" s="24" t="n"/>
      <c r="D211" s="25" t="n"/>
      <c r="E211" s="26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1">
        <f>IF(D211="","",IF(B211="","No date",IF(AND(C211="Paying back",R211=0),"To whom?",IF(AA211=0,"Nobody",IF(C211="Paying back","To "&amp;INDEX(Housemates!$B$8:$B$15,MATCH(MAX(S211:Z211),S211:Z211,0)),IF(R211&gt;0,IF(COUNTIF(S211:Z211,"&gt;0")=1,"1 person",COUNTIF(S211:Z211,"&gt;0")&amp;" people"),IF(Q211=0,"Everyone",INDEX(Bills!$Q$6:$Q$25,Q211))))))))</f>
        <v/>
      </c>
      <c r="O211" s="18">
        <f>IF(D211="","",IF(C211="Paying back","Paying back",IF(Q211=0,"Other",IF(INDEX(Bills!$C$6:$C$25,Q211)="","Other",INDEX(Bills!$C$6:$C$25,Q211)))))</f>
        <v/>
      </c>
      <c r="P211" s="1" t="n"/>
      <c r="Q211">
        <f>IF(C211="",0,IFERROR(MATCH(C211,Bills!$B$6:$B$25,0),0))</f>
        <v/>
      </c>
      <c r="R211">
        <f>COUNTA(F211:M211)</f>
        <v/>
      </c>
      <c r="S211">
        <f>IF(OR($D211="",$B211="",Housemates!$B$8=""),0,IF($R211&gt;0,IF(F211="",0,IF(ISNUMBER(F211),F211,1)),IF($C211="Paying back",0,IF(AND(OR(Housemates!$C$8="",Housemates!$C$8&lt;=$B211),OR(Housemates!$D$8="",Housemates!$D$8&gt;=$B211)),IF($Q211=0,1,INDEX(Bills!$AA$6:$AA$25,$Q211)),0))))</f>
        <v/>
      </c>
      <c r="T211">
        <f>IF(OR($D211="",$B211="",Housemates!$B$9=""),0,IF($R211&gt;0,IF(G211="",0,IF(ISNUMBER(G211),G211,1)),IF($C211="Paying back",0,IF(AND(OR(Housemates!$C$9="",Housemates!$C$9&lt;=$B211),OR(Housemates!$D$9="",Housemates!$D$9&gt;=$B211)),IF($Q211=0,1,INDEX(Bills!$AB$6:$AB$25,$Q211)),0))))</f>
        <v/>
      </c>
      <c r="U211">
        <f>IF(OR($D211="",$B211="",Housemates!$B$10=""),0,IF($R211&gt;0,IF(H211="",0,IF(ISNUMBER(H211),H211,1)),IF($C211="Paying back",0,IF(AND(OR(Housemates!$C$10="",Housemates!$C$10&lt;=$B211),OR(Housemates!$D$10="",Housemates!$D$10&gt;=$B211)),IF($Q211=0,1,INDEX(Bills!$AC$6:$AC$25,$Q211)),0))))</f>
        <v/>
      </c>
      <c r="V211">
        <f>IF(OR($D211="",$B211="",Housemates!$B$11=""),0,IF($R211&gt;0,IF(I211="",0,IF(ISNUMBER(I211),I211,1)),IF($C211="Paying back",0,IF(AND(OR(Housemates!$C$11="",Housemates!$C$11&lt;=$B211),OR(Housemates!$D$11="",Housemates!$D$11&gt;=$B211)),IF($Q211=0,1,INDEX(Bills!$AD$6:$AD$25,$Q211)),0))))</f>
        <v/>
      </c>
      <c r="W211">
        <f>IF(OR($D211="",$B211="",Housemates!$B$12=""),0,IF($R211&gt;0,IF(J211="",0,IF(ISNUMBER(J211),J211,1)),IF($C211="Paying back",0,IF(AND(OR(Housemates!$C$12="",Housemates!$C$12&lt;=$B211),OR(Housemates!$D$12="",Housemates!$D$12&gt;=$B211)),IF($Q211=0,1,INDEX(Bills!$AE$6:$AE$25,$Q211)),0))))</f>
        <v/>
      </c>
      <c r="X211">
        <f>IF(OR($D211="",$B211="",Housemates!$B$13=""),0,IF($R211&gt;0,IF(K211="",0,IF(ISNUMBER(K211),K211,1)),IF($C211="Paying back",0,IF(AND(OR(Housemates!$C$13="",Housemates!$C$13&lt;=$B211),OR(Housemates!$D$13="",Housemates!$D$13&gt;=$B211)),IF($Q211=0,1,INDEX(Bills!$AF$6:$AF$25,$Q211)),0))))</f>
        <v/>
      </c>
      <c r="Y211">
        <f>IF(OR($D211="",$B211="",Housemates!$B$14=""),0,IF($R211&gt;0,IF(L211="",0,IF(ISNUMBER(L211),L211,1)),IF($C211="Paying back",0,IF(AND(OR(Housemates!$C$14="",Housemates!$C$14&lt;=$B211),OR(Housemates!$D$14="",Housemates!$D$14&gt;=$B211)),IF($Q211=0,1,INDEX(Bills!$AG$6:$AG$25,$Q211)),0))))</f>
        <v/>
      </c>
      <c r="Z211">
        <f>IF(OR($D211="",$B211="",Housemates!$B$15=""),0,IF($R211&gt;0,IF(M211="",0,IF(ISNUMBER(M211),M211,1)),IF($C211="Paying back",0,IF(AND(OR(Housemates!$C$15="",Housemates!$C$15&lt;=$B211),OR(Housemates!$D$15="",Housemates!$D$15&gt;=$B211)),IF($Q211=0,1,INDEX(Bills!$AH$6:$AH$25,$Q211)),0))))</f>
        <v/>
      </c>
      <c r="AA211">
        <f>SUM(S211:Z211)</f>
        <v/>
      </c>
      <c r="AB211">
        <f>IF(AA211=0,0,D211*S211/AA211)</f>
        <v/>
      </c>
      <c r="AC211">
        <f>IF(AA211=0,0,D211*T211/AA211)</f>
        <v/>
      </c>
      <c r="AD211">
        <f>IF(AA211=0,0,D211*U211/AA211)</f>
        <v/>
      </c>
      <c r="AE211">
        <f>IF(AA211=0,0,D211*V211/AA211)</f>
        <v/>
      </c>
      <c r="AF211">
        <f>IF(AA211=0,0,D211*W211/AA211)</f>
        <v/>
      </c>
      <c r="AG211">
        <f>IF(AA211=0,0,D211*X211/AA211)</f>
        <v/>
      </c>
      <c r="AH211">
        <f>IF(AA211=0,0,D211*Y211/AA211)</f>
        <v/>
      </c>
      <c r="AI211">
        <f>IF(AA211=0,0,D211*Z211/AA211)</f>
        <v/>
      </c>
      <c r="AJ211">
        <f>IF(OR(C211="",B211=""),"",C211&amp;"|"&amp;(YEAR(B211)*100+MONTH(B211)))</f>
        <v/>
      </c>
    </row>
    <row r="212">
      <c r="A212" s="1" t="n"/>
      <c r="B212" s="23" t="n"/>
      <c r="C212" s="24" t="n"/>
      <c r="D212" s="25" t="n"/>
      <c r="E212" s="26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1">
        <f>IF(D212="","",IF(B212="","No date",IF(AND(C212="Paying back",R212=0),"To whom?",IF(AA212=0,"Nobody",IF(C212="Paying back","To "&amp;INDEX(Housemates!$B$8:$B$15,MATCH(MAX(S212:Z212),S212:Z212,0)),IF(R212&gt;0,IF(COUNTIF(S212:Z212,"&gt;0")=1,"1 person",COUNTIF(S212:Z212,"&gt;0")&amp;" people"),IF(Q212=0,"Everyone",INDEX(Bills!$Q$6:$Q$25,Q212))))))))</f>
        <v/>
      </c>
      <c r="O212" s="18">
        <f>IF(D212="","",IF(C212="Paying back","Paying back",IF(Q212=0,"Other",IF(INDEX(Bills!$C$6:$C$25,Q212)="","Other",INDEX(Bills!$C$6:$C$25,Q212)))))</f>
        <v/>
      </c>
      <c r="P212" s="1" t="n"/>
      <c r="Q212">
        <f>IF(C212="",0,IFERROR(MATCH(C212,Bills!$B$6:$B$25,0),0))</f>
        <v/>
      </c>
      <c r="R212">
        <f>COUNTA(F212:M212)</f>
        <v/>
      </c>
      <c r="S212">
        <f>IF(OR($D212="",$B212="",Housemates!$B$8=""),0,IF($R212&gt;0,IF(F212="",0,IF(ISNUMBER(F212),F212,1)),IF($C212="Paying back",0,IF(AND(OR(Housemates!$C$8="",Housemates!$C$8&lt;=$B212),OR(Housemates!$D$8="",Housemates!$D$8&gt;=$B212)),IF($Q212=0,1,INDEX(Bills!$AA$6:$AA$25,$Q212)),0))))</f>
        <v/>
      </c>
      <c r="T212">
        <f>IF(OR($D212="",$B212="",Housemates!$B$9=""),0,IF($R212&gt;0,IF(G212="",0,IF(ISNUMBER(G212),G212,1)),IF($C212="Paying back",0,IF(AND(OR(Housemates!$C$9="",Housemates!$C$9&lt;=$B212),OR(Housemates!$D$9="",Housemates!$D$9&gt;=$B212)),IF($Q212=0,1,INDEX(Bills!$AB$6:$AB$25,$Q212)),0))))</f>
        <v/>
      </c>
      <c r="U212">
        <f>IF(OR($D212="",$B212="",Housemates!$B$10=""),0,IF($R212&gt;0,IF(H212="",0,IF(ISNUMBER(H212),H212,1)),IF($C212="Paying back",0,IF(AND(OR(Housemates!$C$10="",Housemates!$C$10&lt;=$B212),OR(Housemates!$D$10="",Housemates!$D$10&gt;=$B212)),IF($Q212=0,1,INDEX(Bills!$AC$6:$AC$25,$Q212)),0))))</f>
        <v/>
      </c>
      <c r="V212">
        <f>IF(OR($D212="",$B212="",Housemates!$B$11=""),0,IF($R212&gt;0,IF(I212="",0,IF(ISNUMBER(I212),I212,1)),IF($C212="Paying back",0,IF(AND(OR(Housemates!$C$11="",Housemates!$C$11&lt;=$B212),OR(Housemates!$D$11="",Housemates!$D$11&gt;=$B212)),IF($Q212=0,1,INDEX(Bills!$AD$6:$AD$25,$Q212)),0))))</f>
        <v/>
      </c>
      <c r="W212">
        <f>IF(OR($D212="",$B212="",Housemates!$B$12=""),0,IF($R212&gt;0,IF(J212="",0,IF(ISNUMBER(J212),J212,1)),IF($C212="Paying back",0,IF(AND(OR(Housemates!$C$12="",Housemates!$C$12&lt;=$B212),OR(Housemates!$D$12="",Housemates!$D$12&gt;=$B212)),IF($Q212=0,1,INDEX(Bills!$AE$6:$AE$25,$Q212)),0))))</f>
        <v/>
      </c>
      <c r="X212">
        <f>IF(OR($D212="",$B212="",Housemates!$B$13=""),0,IF($R212&gt;0,IF(K212="",0,IF(ISNUMBER(K212),K212,1)),IF($C212="Paying back",0,IF(AND(OR(Housemates!$C$13="",Housemates!$C$13&lt;=$B212),OR(Housemates!$D$13="",Housemates!$D$13&gt;=$B212)),IF($Q212=0,1,INDEX(Bills!$AF$6:$AF$25,$Q212)),0))))</f>
        <v/>
      </c>
      <c r="Y212">
        <f>IF(OR($D212="",$B212="",Housemates!$B$14=""),0,IF($R212&gt;0,IF(L212="",0,IF(ISNUMBER(L212),L212,1)),IF($C212="Paying back",0,IF(AND(OR(Housemates!$C$14="",Housemates!$C$14&lt;=$B212),OR(Housemates!$D$14="",Housemates!$D$14&gt;=$B212)),IF($Q212=0,1,INDEX(Bills!$AG$6:$AG$25,$Q212)),0))))</f>
        <v/>
      </c>
      <c r="Z212">
        <f>IF(OR($D212="",$B212="",Housemates!$B$15=""),0,IF($R212&gt;0,IF(M212="",0,IF(ISNUMBER(M212),M212,1)),IF($C212="Paying back",0,IF(AND(OR(Housemates!$C$15="",Housemates!$C$15&lt;=$B212),OR(Housemates!$D$15="",Housemates!$D$15&gt;=$B212)),IF($Q212=0,1,INDEX(Bills!$AH$6:$AH$25,$Q212)),0))))</f>
        <v/>
      </c>
      <c r="AA212">
        <f>SUM(S212:Z212)</f>
        <v/>
      </c>
      <c r="AB212">
        <f>IF(AA212=0,0,D212*S212/AA212)</f>
        <v/>
      </c>
      <c r="AC212">
        <f>IF(AA212=0,0,D212*T212/AA212)</f>
        <v/>
      </c>
      <c r="AD212">
        <f>IF(AA212=0,0,D212*U212/AA212)</f>
        <v/>
      </c>
      <c r="AE212">
        <f>IF(AA212=0,0,D212*V212/AA212)</f>
        <v/>
      </c>
      <c r="AF212">
        <f>IF(AA212=0,0,D212*W212/AA212)</f>
        <v/>
      </c>
      <c r="AG212">
        <f>IF(AA212=0,0,D212*X212/AA212)</f>
        <v/>
      </c>
      <c r="AH212">
        <f>IF(AA212=0,0,D212*Y212/AA212)</f>
        <v/>
      </c>
      <c r="AI212">
        <f>IF(AA212=0,0,D212*Z212/AA212)</f>
        <v/>
      </c>
      <c r="AJ212">
        <f>IF(OR(C212="",B212=""),"",C212&amp;"|"&amp;(YEAR(B212)*100+MONTH(B212)))</f>
        <v/>
      </c>
    </row>
    <row r="213">
      <c r="A213" s="1" t="n"/>
      <c r="B213" s="23" t="n"/>
      <c r="C213" s="24" t="n"/>
      <c r="D213" s="25" t="n"/>
      <c r="E213" s="26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1">
        <f>IF(D213="","",IF(B213="","No date",IF(AND(C213="Paying back",R213=0),"To whom?",IF(AA213=0,"Nobody",IF(C213="Paying back","To "&amp;INDEX(Housemates!$B$8:$B$15,MATCH(MAX(S213:Z213),S213:Z213,0)),IF(R213&gt;0,IF(COUNTIF(S213:Z213,"&gt;0")=1,"1 person",COUNTIF(S213:Z213,"&gt;0")&amp;" people"),IF(Q213=0,"Everyone",INDEX(Bills!$Q$6:$Q$25,Q213))))))))</f>
        <v/>
      </c>
      <c r="O213" s="18">
        <f>IF(D213="","",IF(C213="Paying back","Paying back",IF(Q213=0,"Other",IF(INDEX(Bills!$C$6:$C$25,Q213)="","Other",INDEX(Bills!$C$6:$C$25,Q213)))))</f>
        <v/>
      </c>
      <c r="P213" s="1" t="n"/>
      <c r="Q213">
        <f>IF(C213="",0,IFERROR(MATCH(C213,Bills!$B$6:$B$25,0),0))</f>
        <v/>
      </c>
      <c r="R213">
        <f>COUNTA(F213:M213)</f>
        <v/>
      </c>
      <c r="S213">
        <f>IF(OR($D213="",$B213="",Housemates!$B$8=""),0,IF($R213&gt;0,IF(F213="",0,IF(ISNUMBER(F213),F213,1)),IF($C213="Paying back",0,IF(AND(OR(Housemates!$C$8="",Housemates!$C$8&lt;=$B213),OR(Housemates!$D$8="",Housemates!$D$8&gt;=$B213)),IF($Q213=0,1,INDEX(Bills!$AA$6:$AA$25,$Q213)),0))))</f>
        <v/>
      </c>
      <c r="T213">
        <f>IF(OR($D213="",$B213="",Housemates!$B$9=""),0,IF($R213&gt;0,IF(G213="",0,IF(ISNUMBER(G213),G213,1)),IF($C213="Paying back",0,IF(AND(OR(Housemates!$C$9="",Housemates!$C$9&lt;=$B213),OR(Housemates!$D$9="",Housemates!$D$9&gt;=$B213)),IF($Q213=0,1,INDEX(Bills!$AB$6:$AB$25,$Q213)),0))))</f>
        <v/>
      </c>
      <c r="U213">
        <f>IF(OR($D213="",$B213="",Housemates!$B$10=""),0,IF($R213&gt;0,IF(H213="",0,IF(ISNUMBER(H213),H213,1)),IF($C213="Paying back",0,IF(AND(OR(Housemates!$C$10="",Housemates!$C$10&lt;=$B213),OR(Housemates!$D$10="",Housemates!$D$10&gt;=$B213)),IF($Q213=0,1,INDEX(Bills!$AC$6:$AC$25,$Q213)),0))))</f>
        <v/>
      </c>
      <c r="V213">
        <f>IF(OR($D213="",$B213="",Housemates!$B$11=""),0,IF($R213&gt;0,IF(I213="",0,IF(ISNUMBER(I213),I213,1)),IF($C213="Paying back",0,IF(AND(OR(Housemates!$C$11="",Housemates!$C$11&lt;=$B213),OR(Housemates!$D$11="",Housemates!$D$11&gt;=$B213)),IF($Q213=0,1,INDEX(Bills!$AD$6:$AD$25,$Q213)),0))))</f>
        <v/>
      </c>
      <c r="W213">
        <f>IF(OR($D213="",$B213="",Housemates!$B$12=""),0,IF($R213&gt;0,IF(J213="",0,IF(ISNUMBER(J213),J213,1)),IF($C213="Paying back",0,IF(AND(OR(Housemates!$C$12="",Housemates!$C$12&lt;=$B213),OR(Housemates!$D$12="",Housemates!$D$12&gt;=$B213)),IF($Q213=0,1,INDEX(Bills!$AE$6:$AE$25,$Q213)),0))))</f>
        <v/>
      </c>
      <c r="X213">
        <f>IF(OR($D213="",$B213="",Housemates!$B$13=""),0,IF($R213&gt;0,IF(K213="",0,IF(ISNUMBER(K213),K213,1)),IF($C213="Paying back",0,IF(AND(OR(Housemates!$C$13="",Housemates!$C$13&lt;=$B213),OR(Housemates!$D$13="",Housemates!$D$13&gt;=$B213)),IF($Q213=0,1,INDEX(Bills!$AF$6:$AF$25,$Q213)),0))))</f>
        <v/>
      </c>
      <c r="Y213">
        <f>IF(OR($D213="",$B213="",Housemates!$B$14=""),0,IF($R213&gt;0,IF(L213="",0,IF(ISNUMBER(L213),L213,1)),IF($C213="Paying back",0,IF(AND(OR(Housemates!$C$14="",Housemates!$C$14&lt;=$B213),OR(Housemates!$D$14="",Housemates!$D$14&gt;=$B213)),IF($Q213=0,1,INDEX(Bills!$AG$6:$AG$25,$Q213)),0))))</f>
        <v/>
      </c>
      <c r="Z213">
        <f>IF(OR($D213="",$B213="",Housemates!$B$15=""),0,IF($R213&gt;0,IF(M213="",0,IF(ISNUMBER(M213),M213,1)),IF($C213="Paying back",0,IF(AND(OR(Housemates!$C$15="",Housemates!$C$15&lt;=$B213),OR(Housemates!$D$15="",Housemates!$D$15&gt;=$B213)),IF($Q213=0,1,INDEX(Bills!$AH$6:$AH$25,$Q213)),0))))</f>
        <v/>
      </c>
      <c r="AA213">
        <f>SUM(S213:Z213)</f>
        <v/>
      </c>
      <c r="AB213">
        <f>IF(AA213=0,0,D213*S213/AA213)</f>
        <v/>
      </c>
      <c r="AC213">
        <f>IF(AA213=0,0,D213*T213/AA213)</f>
        <v/>
      </c>
      <c r="AD213">
        <f>IF(AA213=0,0,D213*U213/AA213)</f>
        <v/>
      </c>
      <c r="AE213">
        <f>IF(AA213=0,0,D213*V213/AA213)</f>
        <v/>
      </c>
      <c r="AF213">
        <f>IF(AA213=0,0,D213*W213/AA213)</f>
        <v/>
      </c>
      <c r="AG213">
        <f>IF(AA213=0,0,D213*X213/AA213)</f>
        <v/>
      </c>
      <c r="AH213">
        <f>IF(AA213=0,0,D213*Y213/AA213)</f>
        <v/>
      </c>
      <c r="AI213">
        <f>IF(AA213=0,0,D213*Z213/AA213)</f>
        <v/>
      </c>
      <c r="AJ213">
        <f>IF(OR(C213="",B213=""),"",C213&amp;"|"&amp;(YEAR(B213)*100+MONTH(B213)))</f>
        <v/>
      </c>
    </row>
    <row r="214">
      <c r="A214" s="1" t="n"/>
      <c r="B214" s="23" t="n"/>
      <c r="C214" s="24" t="n"/>
      <c r="D214" s="25" t="n"/>
      <c r="E214" s="26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1">
        <f>IF(D214="","",IF(B214="","No date",IF(AND(C214="Paying back",R214=0),"To whom?",IF(AA214=0,"Nobody",IF(C214="Paying back","To "&amp;INDEX(Housemates!$B$8:$B$15,MATCH(MAX(S214:Z214),S214:Z214,0)),IF(R214&gt;0,IF(COUNTIF(S214:Z214,"&gt;0")=1,"1 person",COUNTIF(S214:Z214,"&gt;0")&amp;" people"),IF(Q214=0,"Everyone",INDEX(Bills!$Q$6:$Q$25,Q214))))))))</f>
        <v/>
      </c>
      <c r="O214" s="18">
        <f>IF(D214="","",IF(C214="Paying back","Paying back",IF(Q214=0,"Other",IF(INDEX(Bills!$C$6:$C$25,Q214)="","Other",INDEX(Bills!$C$6:$C$25,Q214)))))</f>
        <v/>
      </c>
      <c r="P214" s="1" t="n"/>
      <c r="Q214">
        <f>IF(C214="",0,IFERROR(MATCH(C214,Bills!$B$6:$B$25,0),0))</f>
        <v/>
      </c>
      <c r="R214">
        <f>COUNTA(F214:M214)</f>
        <v/>
      </c>
      <c r="S214">
        <f>IF(OR($D214="",$B214="",Housemates!$B$8=""),0,IF($R214&gt;0,IF(F214="",0,IF(ISNUMBER(F214),F214,1)),IF($C214="Paying back",0,IF(AND(OR(Housemates!$C$8="",Housemates!$C$8&lt;=$B214),OR(Housemates!$D$8="",Housemates!$D$8&gt;=$B214)),IF($Q214=0,1,INDEX(Bills!$AA$6:$AA$25,$Q214)),0))))</f>
        <v/>
      </c>
      <c r="T214">
        <f>IF(OR($D214="",$B214="",Housemates!$B$9=""),0,IF($R214&gt;0,IF(G214="",0,IF(ISNUMBER(G214),G214,1)),IF($C214="Paying back",0,IF(AND(OR(Housemates!$C$9="",Housemates!$C$9&lt;=$B214),OR(Housemates!$D$9="",Housemates!$D$9&gt;=$B214)),IF($Q214=0,1,INDEX(Bills!$AB$6:$AB$25,$Q214)),0))))</f>
        <v/>
      </c>
      <c r="U214">
        <f>IF(OR($D214="",$B214="",Housemates!$B$10=""),0,IF($R214&gt;0,IF(H214="",0,IF(ISNUMBER(H214),H214,1)),IF($C214="Paying back",0,IF(AND(OR(Housemates!$C$10="",Housemates!$C$10&lt;=$B214),OR(Housemates!$D$10="",Housemates!$D$10&gt;=$B214)),IF($Q214=0,1,INDEX(Bills!$AC$6:$AC$25,$Q214)),0))))</f>
        <v/>
      </c>
      <c r="V214">
        <f>IF(OR($D214="",$B214="",Housemates!$B$11=""),0,IF($R214&gt;0,IF(I214="",0,IF(ISNUMBER(I214),I214,1)),IF($C214="Paying back",0,IF(AND(OR(Housemates!$C$11="",Housemates!$C$11&lt;=$B214),OR(Housemates!$D$11="",Housemates!$D$11&gt;=$B214)),IF($Q214=0,1,INDEX(Bills!$AD$6:$AD$25,$Q214)),0))))</f>
        <v/>
      </c>
      <c r="W214">
        <f>IF(OR($D214="",$B214="",Housemates!$B$12=""),0,IF($R214&gt;0,IF(J214="",0,IF(ISNUMBER(J214),J214,1)),IF($C214="Paying back",0,IF(AND(OR(Housemates!$C$12="",Housemates!$C$12&lt;=$B214),OR(Housemates!$D$12="",Housemates!$D$12&gt;=$B214)),IF($Q214=0,1,INDEX(Bills!$AE$6:$AE$25,$Q214)),0))))</f>
        <v/>
      </c>
      <c r="X214">
        <f>IF(OR($D214="",$B214="",Housemates!$B$13=""),0,IF($R214&gt;0,IF(K214="",0,IF(ISNUMBER(K214),K214,1)),IF($C214="Paying back",0,IF(AND(OR(Housemates!$C$13="",Housemates!$C$13&lt;=$B214),OR(Housemates!$D$13="",Housemates!$D$13&gt;=$B214)),IF($Q214=0,1,INDEX(Bills!$AF$6:$AF$25,$Q214)),0))))</f>
        <v/>
      </c>
      <c r="Y214">
        <f>IF(OR($D214="",$B214="",Housemates!$B$14=""),0,IF($R214&gt;0,IF(L214="",0,IF(ISNUMBER(L214),L214,1)),IF($C214="Paying back",0,IF(AND(OR(Housemates!$C$14="",Housemates!$C$14&lt;=$B214),OR(Housemates!$D$14="",Housemates!$D$14&gt;=$B214)),IF($Q214=0,1,INDEX(Bills!$AG$6:$AG$25,$Q214)),0))))</f>
        <v/>
      </c>
      <c r="Z214">
        <f>IF(OR($D214="",$B214="",Housemates!$B$15=""),0,IF($R214&gt;0,IF(M214="",0,IF(ISNUMBER(M214),M214,1)),IF($C214="Paying back",0,IF(AND(OR(Housemates!$C$15="",Housemates!$C$15&lt;=$B214),OR(Housemates!$D$15="",Housemates!$D$15&gt;=$B214)),IF($Q214=0,1,INDEX(Bills!$AH$6:$AH$25,$Q214)),0))))</f>
        <v/>
      </c>
      <c r="AA214">
        <f>SUM(S214:Z214)</f>
        <v/>
      </c>
      <c r="AB214">
        <f>IF(AA214=0,0,D214*S214/AA214)</f>
        <v/>
      </c>
      <c r="AC214">
        <f>IF(AA214=0,0,D214*T214/AA214)</f>
        <v/>
      </c>
      <c r="AD214">
        <f>IF(AA214=0,0,D214*U214/AA214)</f>
        <v/>
      </c>
      <c r="AE214">
        <f>IF(AA214=0,0,D214*V214/AA214)</f>
        <v/>
      </c>
      <c r="AF214">
        <f>IF(AA214=0,0,D214*W214/AA214)</f>
        <v/>
      </c>
      <c r="AG214">
        <f>IF(AA214=0,0,D214*X214/AA214)</f>
        <v/>
      </c>
      <c r="AH214">
        <f>IF(AA214=0,0,D214*Y214/AA214)</f>
        <v/>
      </c>
      <c r="AI214">
        <f>IF(AA214=0,0,D214*Z214/AA214)</f>
        <v/>
      </c>
      <c r="AJ214">
        <f>IF(OR(C214="",B214=""),"",C214&amp;"|"&amp;(YEAR(B214)*100+MONTH(B214)))</f>
        <v/>
      </c>
    </row>
    <row r="215">
      <c r="A215" s="1" t="n"/>
      <c r="B215" s="23" t="n"/>
      <c r="C215" s="24" t="n"/>
      <c r="D215" s="25" t="n"/>
      <c r="E215" s="26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1">
        <f>IF(D215="","",IF(B215="","No date",IF(AND(C215="Paying back",R215=0),"To whom?",IF(AA215=0,"Nobody",IF(C215="Paying back","To "&amp;INDEX(Housemates!$B$8:$B$15,MATCH(MAX(S215:Z215),S215:Z215,0)),IF(R215&gt;0,IF(COUNTIF(S215:Z215,"&gt;0")=1,"1 person",COUNTIF(S215:Z215,"&gt;0")&amp;" people"),IF(Q215=0,"Everyone",INDEX(Bills!$Q$6:$Q$25,Q215))))))))</f>
        <v/>
      </c>
      <c r="O215" s="18">
        <f>IF(D215="","",IF(C215="Paying back","Paying back",IF(Q215=0,"Other",IF(INDEX(Bills!$C$6:$C$25,Q215)="","Other",INDEX(Bills!$C$6:$C$25,Q215)))))</f>
        <v/>
      </c>
      <c r="P215" s="1" t="n"/>
      <c r="Q215">
        <f>IF(C215="",0,IFERROR(MATCH(C215,Bills!$B$6:$B$25,0),0))</f>
        <v/>
      </c>
      <c r="R215">
        <f>COUNTA(F215:M215)</f>
        <v/>
      </c>
      <c r="S215">
        <f>IF(OR($D215="",$B215="",Housemates!$B$8=""),0,IF($R215&gt;0,IF(F215="",0,IF(ISNUMBER(F215),F215,1)),IF($C215="Paying back",0,IF(AND(OR(Housemates!$C$8="",Housemates!$C$8&lt;=$B215),OR(Housemates!$D$8="",Housemates!$D$8&gt;=$B215)),IF($Q215=0,1,INDEX(Bills!$AA$6:$AA$25,$Q215)),0))))</f>
        <v/>
      </c>
      <c r="T215">
        <f>IF(OR($D215="",$B215="",Housemates!$B$9=""),0,IF($R215&gt;0,IF(G215="",0,IF(ISNUMBER(G215),G215,1)),IF($C215="Paying back",0,IF(AND(OR(Housemates!$C$9="",Housemates!$C$9&lt;=$B215),OR(Housemates!$D$9="",Housemates!$D$9&gt;=$B215)),IF($Q215=0,1,INDEX(Bills!$AB$6:$AB$25,$Q215)),0))))</f>
        <v/>
      </c>
      <c r="U215">
        <f>IF(OR($D215="",$B215="",Housemates!$B$10=""),0,IF($R215&gt;0,IF(H215="",0,IF(ISNUMBER(H215),H215,1)),IF($C215="Paying back",0,IF(AND(OR(Housemates!$C$10="",Housemates!$C$10&lt;=$B215),OR(Housemates!$D$10="",Housemates!$D$10&gt;=$B215)),IF($Q215=0,1,INDEX(Bills!$AC$6:$AC$25,$Q215)),0))))</f>
        <v/>
      </c>
      <c r="V215">
        <f>IF(OR($D215="",$B215="",Housemates!$B$11=""),0,IF($R215&gt;0,IF(I215="",0,IF(ISNUMBER(I215),I215,1)),IF($C215="Paying back",0,IF(AND(OR(Housemates!$C$11="",Housemates!$C$11&lt;=$B215),OR(Housemates!$D$11="",Housemates!$D$11&gt;=$B215)),IF($Q215=0,1,INDEX(Bills!$AD$6:$AD$25,$Q215)),0))))</f>
        <v/>
      </c>
      <c r="W215">
        <f>IF(OR($D215="",$B215="",Housemates!$B$12=""),0,IF($R215&gt;0,IF(J215="",0,IF(ISNUMBER(J215),J215,1)),IF($C215="Paying back",0,IF(AND(OR(Housemates!$C$12="",Housemates!$C$12&lt;=$B215),OR(Housemates!$D$12="",Housemates!$D$12&gt;=$B215)),IF($Q215=0,1,INDEX(Bills!$AE$6:$AE$25,$Q215)),0))))</f>
        <v/>
      </c>
      <c r="X215">
        <f>IF(OR($D215="",$B215="",Housemates!$B$13=""),0,IF($R215&gt;0,IF(K215="",0,IF(ISNUMBER(K215),K215,1)),IF($C215="Paying back",0,IF(AND(OR(Housemates!$C$13="",Housemates!$C$13&lt;=$B215),OR(Housemates!$D$13="",Housemates!$D$13&gt;=$B215)),IF($Q215=0,1,INDEX(Bills!$AF$6:$AF$25,$Q215)),0))))</f>
        <v/>
      </c>
      <c r="Y215">
        <f>IF(OR($D215="",$B215="",Housemates!$B$14=""),0,IF($R215&gt;0,IF(L215="",0,IF(ISNUMBER(L215),L215,1)),IF($C215="Paying back",0,IF(AND(OR(Housemates!$C$14="",Housemates!$C$14&lt;=$B215),OR(Housemates!$D$14="",Housemates!$D$14&gt;=$B215)),IF($Q215=0,1,INDEX(Bills!$AG$6:$AG$25,$Q215)),0))))</f>
        <v/>
      </c>
      <c r="Z215">
        <f>IF(OR($D215="",$B215="",Housemates!$B$15=""),0,IF($R215&gt;0,IF(M215="",0,IF(ISNUMBER(M215),M215,1)),IF($C215="Paying back",0,IF(AND(OR(Housemates!$C$15="",Housemates!$C$15&lt;=$B215),OR(Housemates!$D$15="",Housemates!$D$15&gt;=$B215)),IF($Q215=0,1,INDEX(Bills!$AH$6:$AH$25,$Q215)),0))))</f>
        <v/>
      </c>
      <c r="AA215">
        <f>SUM(S215:Z215)</f>
        <v/>
      </c>
      <c r="AB215">
        <f>IF(AA215=0,0,D215*S215/AA215)</f>
        <v/>
      </c>
      <c r="AC215">
        <f>IF(AA215=0,0,D215*T215/AA215)</f>
        <v/>
      </c>
      <c r="AD215">
        <f>IF(AA215=0,0,D215*U215/AA215)</f>
        <v/>
      </c>
      <c r="AE215">
        <f>IF(AA215=0,0,D215*V215/AA215)</f>
        <v/>
      </c>
      <c r="AF215">
        <f>IF(AA215=0,0,D215*W215/AA215)</f>
        <v/>
      </c>
      <c r="AG215">
        <f>IF(AA215=0,0,D215*X215/AA215)</f>
        <v/>
      </c>
      <c r="AH215">
        <f>IF(AA215=0,0,D215*Y215/AA215)</f>
        <v/>
      </c>
      <c r="AI215">
        <f>IF(AA215=0,0,D215*Z215/AA215)</f>
        <v/>
      </c>
      <c r="AJ215">
        <f>IF(OR(C215="",B215=""),"",C215&amp;"|"&amp;(YEAR(B215)*100+MONTH(B215)))</f>
        <v/>
      </c>
    </row>
    <row r="216">
      <c r="A216" s="1" t="n"/>
      <c r="B216" s="23" t="n"/>
      <c r="C216" s="24" t="n"/>
      <c r="D216" s="25" t="n"/>
      <c r="E216" s="26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1">
        <f>IF(D216="","",IF(B216="","No date",IF(AND(C216="Paying back",R216=0),"To whom?",IF(AA216=0,"Nobody",IF(C216="Paying back","To "&amp;INDEX(Housemates!$B$8:$B$15,MATCH(MAX(S216:Z216),S216:Z216,0)),IF(R216&gt;0,IF(COUNTIF(S216:Z216,"&gt;0")=1,"1 person",COUNTIF(S216:Z216,"&gt;0")&amp;" people"),IF(Q216=0,"Everyone",INDEX(Bills!$Q$6:$Q$25,Q216))))))))</f>
        <v/>
      </c>
      <c r="O216" s="18">
        <f>IF(D216="","",IF(C216="Paying back","Paying back",IF(Q216=0,"Other",IF(INDEX(Bills!$C$6:$C$25,Q216)="","Other",INDEX(Bills!$C$6:$C$25,Q216)))))</f>
        <v/>
      </c>
      <c r="P216" s="1" t="n"/>
      <c r="Q216">
        <f>IF(C216="",0,IFERROR(MATCH(C216,Bills!$B$6:$B$25,0),0))</f>
        <v/>
      </c>
      <c r="R216">
        <f>COUNTA(F216:M216)</f>
        <v/>
      </c>
      <c r="S216">
        <f>IF(OR($D216="",$B216="",Housemates!$B$8=""),0,IF($R216&gt;0,IF(F216="",0,IF(ISNUMBER(F216),F216,1)),IF($C216="Paying back",0,IF(AND(OR(Housemates!$C$8="",Housemates!$C$8&lt;=$B216),OR(Housemates!$D$8="",Housemates!$D$8&gt;=$B216)),IF($Q216=0,1,INDEX(Bills!$AA$6:$AA$25,$Q216)),0))))</f>
        <v/>
      </c>
      <c r="T216">
        <f>IF(OR($D216="",$B216="",Housemates!$B$9=""),0,IF($R216&gt;0,IF(G216="",0,IF(ISNUMBER(G216),G216,1)),IF($C216="Paying back",0,IF(AND(OR(Housemates!$C$9="",Housemates!$C$9&lt;=$B216),OR(Housemates!$D$9="",Housemates!$D$9&gt;=$B216)),IF($Q216=0,1,INDEX(Bills!$AB$6:$AB$25,$Q216)),0))))</f>
        <v/>
      </c>
      <c r="U216">
        <f>IF(OR($D216="",$B216="",Housemates!$B$10=""),0,IF($R216&gt;0,IF(H216="",0,IF(ISNUMBER(H216),H216,1)),IF($C216="Paying back",0,IF(AND(OR(Housemates!$C$10="",Housemates!$C$10&lt;=$B216),OR(Housemates!$D$10="",Housemates!$D$10&gt;=$B216)),IF($Q216=0,1,INDEX(Bills!$AC$6:$AC$25,$Q216)),0))))</f>
        <v/>
      </c>
      <c r="V216">
        <f>IF(OR($D216="",$B216="",Housemates!$B$11=""),0,IF($R216&gt;0,IF(I216="",0,IF(ISNUMBER(I216),I216,1)),IF($C216="Paying back",0,IF(AND(OR(Housemates!$C$11="",Housemates!$C$11&lt;=$B216),OR(Housemates!$D$11="",Housemates!$D$11&gt;=$B216)),IF($Q216=0,1,INDEX(Bills!$AD$6:$AD$25,$Q216)),0))))</f>
        <v/>
      </c>
      <c r="W216">
        <f>IF(OR($D216="",$B216="",Housemates!$B$12=""),0,IF($R216&gt;0,IF(J216="",0,IF(ISNUMBER(J216),J216,1)),IF($C216="Paying back",0,IF(AND(OR(Housemates!$C$12="",Housemates!$C$12&lt;=$B216),OR(Housemates!$D$12="",Housemates!$D$12&gt;=$B216)),IF($Q216=0,1,INDEX(Bills!$AE$6:$AE$25,$Q216)),0))))</f>
        <v/>
      </c>
      <c r="X216">
        <f>IF(OR($D216="",$B216="",Housemates!$B$13=""),0,IF($R216&gt;0,IF(K216="",0,IF(ISNUMBER(K216),K216,1)),IF($C216="Paying back",0,IF(AND(OR(Housemates!$C$13="",Housemates!$C$13&lt;=$B216),OR(Housemates!$D$13="",Housemates!$D$13&gt;=$B216)),IF($Q216=0,1,INDEX(Bills!$AF$6:$AF$25,$Q216)),0))))</f>
        <v/>
      </c>
      <c r="Y216">
        <f>IF(OR($D216="",$B216="",Housemates!$B$14=""),0,IF($R216&gt;0,IF(L216="",0,IF(ISNUMBER(L216),L216,1)),IF($C216="Paying back",0,IF(AND(OR(Housemates!$C$14="",Housemates!$C$14&lt;=$B216),OR(Housemates!$D$14="",Housemates!$D$14&gt;=$B216)),IF($Q216=0,1,INDEX(Bills!$AG$6:$AG$25,$Q216)),0))))</f>
        <v/>
      </c>
      <c r="Z216">
        <f>IF(OR($D216="",$B216="",Housemates!$B$15=""),0,IF($R216&gt;0,IF(M216="",0,IF(ISNUMBER(M216),M216,1)),IF($C216="Paying back",0,IF(AND(OR(Housemates!$C$15="",Housemates!$C$15&lt;=$B216),OR(Housemates!$D$15="",Housemates!$D$15&gt;=$B216)),IF($Q216=0,1,INDEX(Bills!$AH$6:$AH$25,$Q216)),0))))</f>
        <v/>
      </c>
      <c r="AA216">
        <f>SUM(S216:Z216)</f>
        <v/>
      </c>
      <c r="AB216">
        <f>IF(AA216=0,0,D216*S216/AA216)</f>
        <v/>
      </c>
      <c r="AC216">
        <f>IF(AA216=0,0,D216*T216/AA216)</f>
        <v/>
      </c>
      <c r="AD216">
        <f>IF(AA216=0,0,D216*U216/AA216)</f>
        <v/>
      </c>
      <c r="AE216">
        <f>IF(AA216=0,0,D216*V216/AA216)</f>
        <v/>
      </c>
      <c r="AF216">
        <f>IF(AA216=0,0,D216*W216/AA216)</f>
        <v/>
      </c>
      <c r="AG216">
        <f>IF(AA216=0,0,D216*X216/AA216)</f>
        <v/>
      </c>
      <c r="AH216">
        <f>IF(AA216=0,0,D216*Y216/AA216)</f>
        <v/>
      </c>
      <c r="AI216">
        <f>IF(AA216=0,0,D216*Z216/AA216)</f>
        <v/>
      </c>
      <c r="AJ216">
        <f>IF(OR(C216="",B216=""),"",C216&amp;"|"&amp;(YEAR(B216)*100+MONTH(B216)))</f>
        <v/>
      </c>
    </row>
    <row r="217">
      <c r="A217" s="1" t="n"/>
      <c r="B217" s="23" t="n"/>
      <c r="C217" s="24" t="n"/>
      <c r="D217" s="25" t="n"/>
      <c r="E217" s="26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1">
        <f>IF(D217="","",IF(B217="","No date",IF(AND(C217="Paying back",R217=0),"To whom?",IF(AA217=0,"Nobody",IF(C217="Paying back","To "&amp;INDEX(Housemates!$B$8:$B$15,MATCH(MAX(S217:Z217),S217:Z217,0)),IF(R217&gt;0,IF(COUNTIF(S217:Z217,"&gt;0")=1,"1 person",COUNTIF(S217:Z217,"&gt;0")&amp;" people"),IF(Q217=0,"Everyone",INDEX(Bills!$Q$6:$Q$25,Q217))))))))</f>
        <v/>
      </c>
      <c r="O217" s="18">
        <f>IF(D217="","",IF(C217="Paying back","Paying back",IF(Q217=0,"Other",IF(INDEX(Bills!$C$6:$C$25,Q217)="","Other",INDEX(Bills!$C$6:$C$25,Q217)))))</f>
        <v/>
      </c>
      <c r="P217" s="1" t="n"/>
      <c r="Q217">
        <f>IF(C217="",0,IFERROR(MATCH(C217,Bills!$B$6:$B$25,0),0))</f>
        <v/>
      </c>
      <c r="R217">
        <f>COUNTA(F217:M217)</f>
        <v/>
      </c>
      <c r="S217">
        <f>IF(OR($D217="",$B217="",Housemates!$B$8=""),0,IF($R217&gt;0,IF(F217="",0,IF(ISNUMBER(F217),F217,1)),IF($C217="Paying back",0,IF(AND(OR(Housemates!$C$8="",Housemates!$C$8&lt;=$B217),OR(Housemates!$D$8="",Housemates!$D$8&gt;=$B217)),IF($Q217=0,1,INDEX(Bills!$AA$6:$AA$25,$Q217)),0))))</f>
        <v/>
      </c>
      <c r="T217">
        <f>IF(OR($D217="",$B217="",Housemates!$B$9=""),0,IF($R217&gt;0,IF(G217="",0,IF(ISNUMBER(G217),G217,1)),IF($C217="Paying back",0,IF(AND(OR(Housemates!$C$9="",Housemates!$C$9&lt;=$B217),OR(Housemates!$D$9="",Housemates!$D$9&gt;=$B217)),IF($Q217=0,1,INDEX(Bills!$AB$6:$AB$25,$Q217)),0))))</f>
        <v/>
      </c>
      <c r="U217">
        <f>IF(OR($D217="",$B217="",Housemates!$B$10=""),0,IF($R217&gt;0,IF(H217="",0,IF(ISNUMBER(H217),H217,1)),IF($C217="Paying back",0,IF(AND(OR(Housemates!$C$10="",Housemates!$C$10&lt;=$B217),OR(Housemates!$D$10="",Housemates!$D$10&gt;=$B217)),IF($Q217=0,1,INDEX(Bills!$AC$6:$AC$25,$Q217)),0))))</f>
        <v/>
      </c>
      <c r="V217">
        <f>IF(OR($D217="",$B217="",Housemates!$B$11=""),0,IF($R217&gt;0,IF(I217="",0,IF(ISNUMBER(I217),I217,1)),IF($C217="Paying back",0,IF(AND(OR(Housemates!$C$11="",Housemates!$C$11&lt;=$B217),OR(Housemates!$D$11="",Housemates!$D$11&gt;=$B217)),IF($Q217=0,1,INDEX(Bills!$AD$6:$AD$25,$Q217)),0))))</f>
        <v/>
      </c>
      <c r="W217">
        <f>IF(OR($D217="",$B217="",Housemates!$B$12=""),0,IF($R217&gt;0,IF(J217="",0,IF(ISNUMBER(J217),J217,1)),IF($C217="Paying back",0,IF(AND(OR(Housemates!$C$12="",Housemates!$C$12&lt;=$B217),OR(Housemates!$D$12="",Housemates!$D$12&gt;=$B217)),IF($Q217=0,1,INDEX(Bills!$AE$6:$AE$25,$Q217)),0))))</f>
        <v/>
      </c>
      <c r="X217">
        <f>IF(OR($D217="",$B217="",Housemates!$B$13=""),0,IF($R217&gt;0,IF(K217="",0,IF(ISNUMBER(K217),K217,1)),IF($C217="Paying back",0,IF(AND(OR(Housemates!$C$13="",Housemates!$C$13&lt;=$B217),OR(Housemates!$D$13="",Housemates!$D$13&gt;=$B217)),IF($Q217=0,1,INDEX(Bills!$AF$6:$AF$25,$Q217)),0))))</f>
        <v/>
      </c>
      <c r="Y217">
        <f>IF(OR($D217="",$B217="",Housemates!$B$14=""),0,IF($R217&gt;0,IF(L217="",0,IF(ISNUMBER(L217),L217,1)),IF($C217="Paying back",0,IF(AND(OR(Housemates!$C$14="",Housemates!$C$14&lt;=$B217),OR(Housemates!$D$14="",Housemates!$D$14&gt;=$B217)),IF($Q217=0,1,INDEX(Bills!$AG$6:$AG$25,$Q217)),0))))</f>
        <v/>
      </c>
      <c r="Z217">
        <f>IF(OR($D217="",$B217="",Housemates!$B$15=""),0,IF($R217&gt;0,IF(M217="",0,IF(ISNUMBER(M217),M217,1)),IF($C217="Paying back",0,IF(AND(OR(Housemates!$C$15="",Housemates!$C$15&lt;=$B217),OR(Housemates!$D$15="",Housemates!$D$15&gt;=$B217)),IF($Q217=0,1,INDEX(Bills!$AH$6:$AH$25,$Q217)),0))))</f>
        <v/>
      </c>
      <c r="AA217">
        <f>SUM(S217:Z217)</f>
        <v/>
      </c>
      <c r="AB217">
        <f>IF(AA217=0,0,D217*S217/AA217)</f>
        <v/>
      </c>
      <c r="AC217">
        <f>IF(AA217=0,0,D217*T217/AA217)</f>
        <v/>
      </c>
      <c r="AD217">
        <f>IF(AA217=0,0,D217*U217/AA217)</f>
        <v/>
      </c>
      <c r="AE217">
        <f>IF(AA217=0,0,D217*V217/AA217)</f>
        <v/>
      </c>
      <c r="AF217">
        <f>IF(AA217=0,0,D217*W217/AA217)</f>
        <v/>
      </c>
      <c r="AG217">
        <f>IF(AA217=0,0,D217*X217/AA217)</f>
        <v/>
      </c>
      <c r="AH217">
        <f>IF(AA217=0,0,D217*Y217/AA217)</f>
        <v/>
      </c>
      <c r="AI217">
        <f>IF(AA217=0,0,D217*Z217/AA217)</f>
        <v/>
      </c>
      <c r="AJ217">
        <f>IF(OR(C217="",B217=""),"",C217&amp;"|"&amp;(YEAR(B217)*100+MONTH(B217)))</f>
        <v/>
      </c>
    </row>
    <row r="218">
      <c r="A218" s="1" t="n"/>
      <c r="B218" s="23" t="n"/>
      <c r="C218" s="24" t="n"/>
      <c r="D218" s="25" t="n"/>
      <c r="E218" s="26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1">
        <f>IF(D218="","",IF(B218="","No date",IF(AND(C218="Paying back",R218=0),"To whom?",IF(AA218=0,"Nobody",IF(C218="Paying back","To "&amp;INDEX(Housemates!$B$8:$B$15,MATCH(MAX(S218:Z218),S218:Z218,0)),IF(R218&gt;0,IF(COUNTIF(S218:Z218,"&gt;0")=1,"1 person",COUNTIF(S218:Z218,"&gt;0")&amp;" people"),IF(Q218=0,"Everyone",INDEX(Bills!$Q$6:$Q$25,Q218))))))))</f>
        <v/>
      </c>
      <c r="O218" s="18">
        <f>IF(D218="","",IF(C218="Paying back","Paying back",IF(Q218=0,"Other",IF(INDEX(Bills!$C$6:$C$25,Q218)="","Other",INDEX(Bills!$C$6:$C$25,Q218)))))</f>
        <v/>
      </c>
      <c r="P218" s="1" t="n"/>
      <c r="Q218">
        <f>IF(C218="",0,IFERROR(MATCH(C218,Bills!$B$6:$B$25,0),0))</f>
        <v/>
      </c>
      <c r="R218">
        <f>COUNTA(F218:M218)</f>
        <v/>
      </c>
      <c r="S218">
        <f>IF(OR($D218="",$B218="",Housemates!$B$8=""),0,IF($R218&gt;0,IF(F218="",0,IF(ISNUMBER(F218),F218,1)),IF($C218="Paying back",0,IF(AND(OR(Housemates!$C$8="",Housemates!$C$8&lt;=$B218),OR(Housemates!$D$8="",Housemates!$D$8&gt;=$B218)),IF($Q218=0,1,INDEX(Bills!$AA$6:$AA$25,$Q218)),0))))</f>
        <v/>
      </c>
      <c r="T218">
        <f>IF(OR($D218="",$B218="",Housemates!$B$9=""),0,IF($R218&gt;0,IF(G218="",0,IF(ISNUMBER(G218),G218,1)),IF($C218="Paying back",0,IF(AND(OR(Housemates!$C$9="",Housemates!$C$9&lt;=$B218),OR(Housemates!$D$9="",Housemates!$D$9&gt;=$B218)),IF($Q218=0,1,INDEX(Bills!$AB$6:$AB$25,$Q218)),0))))</f>
        <v/>
      </c>
      <c r="U218">
        <f>IF(OR($D218="",$B218="",Housemates!$B$10=""),0,IF($R218&gt;0,IF(H218="",0,IF(ISNUMBER(H218),H218,1)),IF($C218="Paying back",0,IF(AND(OR(Housemates!$C$10="",Housemates!$C$10&lt;=$B218),OR(Housemates!$D$10="",Housemates!$D$10&gt;=$B218)),IF($Q218=0,1,INDEX(Bills!$AC$6:$AC$25,$Q218)),0))))</f>
        <v/>
      </c>
      <c r="V218">
        <f>IF(OR($D218="",$B218="",Housemates!$B$11=""),0,IF($R218&gt;0,IF(I218="",0,IF(ISNUMBER(I218),I218,1)),IF($C218="Paying back",0,IF(AND(OR(Housemates!$C$11="",Housemates!$C$11&lt;=$B218),OR(Housemates!$D$11="",Housemates!$D$11&gt;=$B218)),IF($Q218=0,1,INDEX(Bills!$AD$6:$AD$25,$Q218)),0))))</f>
        <v/>
      </c>
      <c r="W218">
        <f>IF(OR($D218="",$B218="",Housemates!$B$12=""),0,IF($R218&gt;0,IF(J218="",0,IF(ISNUMBER(J218),J218,1)),IF($C218="Paying back",0,IF(AND(OR(Housemates!$C$12="",Housemates!$C$12&lt;=$B218),OR(Housemates!$D$12="",Housemates!$D$12&gt;=$B218)),IF($Q218=0,1,INDEX(Bills!$AE$6:$AE$25,$Q218)),0))))</f>
        <v/>
      </c>
      <c r="X218">
        <f>IF(OR($D218="",$B218="",Housemates!$B$13=""),0,IF($R218&gt;0,IF(K218="",0,IF(ISNUMBER(K218),K218,1)),IF($C218="Paying back",0,IF(AND(OR(Housemates!$C$13="",Housemates!$C$13&lt;=$B218),OR(Housemates!$D$13="",Housemates!$D$13&gt;=$B218)),IF($Q218=0,1,INDEX(Bills!$AF$6:$AF$25,$Q218)),0))))</f>
        <v/>
      </c>
      <c r="Y218">
        <f>IF(OR($D218="",$B218="",Housemates!$B$14=""),0,IF($R218&gt;0,IF(L218="",0,IF(ISNUMBER(L218),L218,1)),IF($C218="Paying back",0,IF(AND(OR(Housemates!$C$14="",Housemates!$C$14&lt;=$B218),OR(Housemates!$D$14="",Housemates!$D$14&gt;=$B218)),IF($Q218=0,1,INDEX(Bills!$AG$6:$AG$25,$Q218)),0))))</f>
        <v/>
      </c>
      <c r="Z218">
        <f>IF(OR($D218="",$B218="",Housemates!$B$15=""),0,IF($R218&gt;0,IF(M218="",0,IF(ISNUMBER(M218),M218,1)),IF($C218="Paying back",0,IF(AND(OR(Housemates!$C$15="",Housemates!$C$15&lt;=$B218),OR(Housemates!$D$15="",Housemates!$D$15&gt;=$B218)),IF($Q218=0,1,INDEX(Bills!$AH$6:$AH$25,$Q218)),0))))</f>
        <v/>
      </c>
      <c r="AA218">
        <f>SUM(S218:Z218)</f>
        <v/>
      </c>
      <c r="AB218">
        <f>IF(AA218=0,0,D218*S218/AA218)</f>
        <v/>
      </c>
      <c r="AC218">
        <f>IF(AA218=0,0,D218*T218/AA218)</f>
        <v/>
      </c>
      <c r="AD218">
        <f>IF(AA218=0,0,D218*U218/AA218)</f>
        <v/>
      </c>
      <c r="AE218">
        <f>IF(AA218=0,0,D218*V218/AA218)</f>
        <v/>
      </c>
      <c r="AF218">
        <f>IF(AA218=0,0,D218*W218/AA218)</f>
        <v/>
      </c>
      <c r="AG218">
        <f>IF(AA218=0,0,D218*X218/AA218)</f>
        <v/>
      </c>
      <c r="AH218">
        <f>IF(AA218=0,0,D218*Y218/AA218)</f>
        <v/>
      </c>
      <c r="AI218">
        <f>IF(AA218=0,0,D218*Z218/AA218)</f>
        <v/>
      </c>
      <c r="AJ218">
        <f>IF(OR(C218="",B218=""),"",C218&amp;"|"&amp;(YEAR(B218)*100+MONTH(B218)))</f>
        <v/>
      </c>
    </row>
    <row r="219">
      <c r="A219" s="1" t="n"/>
      <c r="B219" s="23" t="n"/>
      <c r="C219" s="24" t="n"/>
      <c r="D219" s="25" t="n"/>
      <c r="E219" s="26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1">
        <f>IF(D219="","",IF(B219="","No date",IF(AND(C219="Paying back",R219=0),"To whom?",IF(AA219=0,"Nobody",IF(C219="Paying back","To "&amp;INDEX(Housemates!$B$8:$B$15,MATCH(MAX(S219:Z219),S219:Z219,0)),IF(R219&gt;0,IF(COUNTIF(S219:Z219,"&gt;0")=1,"1 person",COUNTIF(S219:Z219,"&gt;0")&amp;" people"),IF(Q219=0,"Everyone",INDEX(Bills!$Q$6:$Q$25,Q219))))))))</f>
        <v/>
      </c>
      <c r="O219" s="18">
        <f>IF(D219="","",IF(C219="Paying back","Paying back",IF(Q219=0,"Other",IF(INDEX(Bills!$C$6:$C$25,Q219)="","Other",INDEX(Bills!$C$6:$C$25,Q219)))))</f>
        <v/>
      </c>
      <c r="P219" s="1" t="n"/>
      <c r="Q219">
        <f>IF(C219="",0,IFERROR(MATCH(C219,Bills!$B$6:$B$25,0),0))</f>
        <v/>
      </c>
      <c r="R219">
        <f>COUNTA(F219:M219)</f>
        <v/>
      </c>
      <c r="S219">
        <f>IF(OR($D219="",$B219="",Housemates!$B$8=""),0,IF($R219&gt;0,IF(F219="",0,IF(ISNUMBER(F219),F219,1)),IF($C219="Paying back",0,IF(AND(OR(Housemates!$C$8="",Housemates!$C$8&lt;=$B219),OR(Housemates!$D$8="",Housemates!$D$8&gt;=$B219)),IF($Q219=0,1,INDEX(Bills!$AA$6:$AA$25,$Q219)),0))))</f>
        <v/>
      </c>
      <c r="T219">
        <f>IF(OR($D219="",$B219="",Housemates!$B$9=""),0,IF($R219&gt;0,IF(G219="",0,IF(ISNUMBER(G219),G219,1)),IF($C219="Paying back",0,IF(AND(OR(Housemates!$C$9="",Housemates!$C$9&lt;=$B219),OR(Housemates!$D$9="",Housemates!$D$9&gt;=$B219)),IF($Q219=0,1,INDEX(Bills!$AB$6:$AB$25,$Q219)),0))))</f>
        <v/>
      </c>
      <c r="U219">
        <f>IF(OR($D219="",$B219="",Housemates!$B$10=""),0,IF($R219&gt;0,IF(H219="",0,IF(ISNUMBER(H219),H219,1)),IF($C219="Paying back",0,IF(AND(OR(Housemates!$C$10="",Housemates!$C$10&lt;=$B219),OR(Housemates!$D$10="",Housemates!$D$10&gt;=$B219)),IF($Q219=0,1,INDEX(Bills!$AC$6:$AC$25,$Q219)),0))))</f>
        <v/>
      </c>
      <c r="V219">
        <f>IF(OR($D219="",$B219="",Housemates!$B$11=""),0,IF($R219&gt;0,IF(I219="",0,IF(ISNUMBER(I219),I219,1)),IF($C219="Paying back",0,IF(AND(OR(Housemates!$C$11="",Housemates!$C$11&lt;=$B219),OR(Housemates!$D$11="",Housemates!$D$11&gt;=$B219)),IF($Q219=0,1,INDEX(Bills!$AD$6:$AD$25,$Q219)),0))))</f>
        <v/>
      </c>
      <c r="W219">
        <f>IF(OR($D219="",$B219="",Housemates!$B$12=""),0,IF($R219&gt;0,IF(J219="",0,IF(ISNUMBER(J219),J219,1)),IF($C219="Paying back",0,IF(AND(OR(Housemates!$C$12="",Housemates!$C$12&lt;=$B219),OR(Housemates!$D$12="",Housemates!$D$12&gt;=$B219)),IF($Q219=0,1,INDEX(Bills!$AE$6:$AE$25,$Q219)),0))))</f>
        <v/>
      </c>
      <c r="X219">
        <f>IF(OR($D219="",$B219="",Housemates!$B$13=""),0,IF($R219&gt;0,IF(K219="",0,IF(ISNUMBER(K219),K219,1)),IF($C219="Paying back",0,IF(AND(OR(Housemates!$C$13="",Housemates!$C$13&lt;=$B219),OR(Housemates!$D$13="",Housemates!$D$13&gt;=$B219)),IF($Q219=0,1,INDEX(Bills!$AF$6:$AF$25,$Q219)),0))))</f>
        <v/>
      </c>
      <c r="Y219">
        <f>IF(OR($D219="",$B219="",Housemates!$B$14=""),0,IF($R219&gt;0,IF(L219="",0,IF(ISNUMBER(L219),L219,1)),IF($C219="Paying back",0,IF(AND(OR(Housemates!$C$14="",Housemates!$C$14&lt;=$B219),OR(Housemates!$D$14="",Housemates!$D$14&gt;=$B219)),IF($Q219=0,1,INDEX(Bills!$AG$6:$AG$25,$Q219)),0))))</f>
        <v/>
      </c>
      <c r="Z219">
        <f>IF(OR($D219="",$B219="",Housemates!$B$15=""),0,IF($R219&gt;0,IF(M219="",0,IF(ISNUMBER(M219),M219,1)),IF($C219="Paying back",0,IF(AND(OR(Housemates!$C$15="",Housemates!$C$15&lt;=$B219),OR(Housemates!$D$15="",Housemates!$D$15&gt;=$B219)),IF($Q219=0,1,INDEX(Bills!$AH$6:$AH$25,$Q219)),0))))</f>
        <v/>
      </c>
      <c r="AA219">
        <f>SUM(S219:Z219)</f>
        <v/>
      </c>
      <c r="AB219">
        <f>IF(AA219=0,0,D219*S219/AA219)</f>
        <v/>
      </c>
      <c r="AC219">
        <f>IF(AA219=0,0,D219*T219/AA219)</f>
        <v/>
      </c>
      <c r="AD219">
        <f>IF(AA219=0,0,D219*U219/AA219)</f>
        <v/>
      </c>
      <c r="AE219">
        <f>IF(AA219=0,0,D219*V219/AA219)</f>
        <v/>
      </c>
      <c r="AF219">
        <f>IF(AA219=0,0,D219*W219/AA219)</f>
        <v/>
      </c>
      <c r="AG219">
        <f>IF(AA219=0,0,D219*X219/AA219)</f>
        <v/>
      </c>
      <c r="AH219">
        <f>IF(AA219=0,0,D219*Y219/AA219)</f>
        <v/>
      </c>
      <c r="AI219">
        <f>IF(AA219=0,0,D219*Z219/AA219)</f>
        <v/>
      </c>
      <c r="AJ219">
        <f>IF(OR(C219="",B219=""),"",C219&amp;"|"&amp;(YEAR(B219)*100+MONTH(B219)))</f>
        <v/>
      </c>
    </row>
    <row r="220">
      <c r="A220" s="1" t="n"/>
      <c r="B220" s="23" t="n"/>
      <c r="C220" s="24" t="n"/>
      <c r="D220" s="25" t="n"/>
      <c r="E220" s="26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1">
        <f>IF(D220="","",IF(B220="","No date",IF(AND(C220="Paying back",R220=0),"To whom?",IF(AA220=0,"Nobody",IF(C220="Paying back","To "&amp;INDEX(Housemates!$B$8:$B$15,MATCH(MAX(S220:Z220),S220:Z220,0)),IF(R220&gt;0,IF(COUNTIF(S220:Z220,"&gt;0")=1,"1 person",COUNTIF(S220:Z220,"&gt;0")&amp;" people"),IF(Q220=0,"Everyone",INDEX(Bills!$Q$6:$Q$25,Q220))))))))</f>
        <v/>
      </c>
      <c r="O220" s="18">
        <f>IF(D220="","",IF(C220="Paying back","Paying back",IF(Q220=0,"Other",IF(INDEX(Bills!$C$6:$C$25,Q220)="","Other",INDEX(Bills!$C$6:$C$25,Q220)))))</f>
        <v/>
      </c>
      <c r="P220" s="1" t="n"/>
      <c r="Q220">
        <f>IF(C220="",0,IFERROR(MATCH(C220,Bills!$B$6:$B$25,0),0))</f>
        <v/>
      </c>
      <c r="R220">
        <f>COUNTA(F220:M220)</f>
        <v/>
      </c>
      <c r="S220">
        <f>IF(OR($D220="",$B220="",Housemates!$B$8=""),0,IF($R220&gt;0,IF(F220="",0,IF(ISNUMBER(F220),F220,1)),IF($C220="Paying back",0,IF(AND(OR(Housemates!$C$8="",Housemates!$C$8&lt;=$B220),OR(Housemates!$D$8="",Housemates!$D$8&gt;=$B220)),IF($Q220=0,1,INDEX(Bills!$AA$6:$AA$25,$Q220)),0))))</f>
        <v/>
      </c>
      <c r="T220">
        <f>IF(OR($D220="",$B220="",Housemates!$B$9=""),0,IF($R220&gt;0,IF(G220="",0,IF(ISNUMBER(G220),G220,1)),IF($C220="Paying back",0,IF(AND(OR(Housemates!$C$9="",Housemates!$C$9&lt;=$B220),OR(Housemates!$D$9="",Housemates!$D$9&gt;=$B220)),IF($Q220=0,1,INDEX(Bills!$AB$6:$AB$25,$Q220)),0))))</f>
        <v/>
      </c>
      <c r="U220">
        <f>IF(OR($D220="",$B220="",Housemates!$B$10=""),0,IF($R220&gt;0,IF(H220="",0,IF(ISNUMBER(H220),H220,1)),IF($C220="Paying back",0,IF(AND(OR(Housemates!$C$10="",Housemates!$C$10&lt;=$B220),OR(Housemates!$D$10="",Housemates!$D$10&gt;=$B220)),IF($Q220=0,1,INDEX(Bills!$AC$6:$AC$25,$Q220)),0))))</f>
        <v/>
      </c>
      <c r="V220">
        <f>IF(OR($D220="",$B220="",Housemates!$B$11=""),0,IF($R220&gt;0,IF(I220="",0,IF(ISNUMBER(I220),I220,1)),IF($C220="Paying back",0,IF(AND(OR(Housemates!$C$11="",Housemates!$C$11&lt;=$B220),OR(Housemates!$D$11="",Housemates!$D$11&gt;=$B220)),IF($Q220=0,1,INDEX(Bills!$AD$6:$AD$25,$Q220)),0))))</f>
        <v/>
      </c>
      <c r="W220">
        <f>IF(OR($D220="",$B220="",Housemates!$B$12=""),0,IF($R220&gt;0,IF(J220="",0,IF(ISNUMBER(J220),J220,1)),IF($C220="Paying back",0,IF(AND(OR(Housemates!$C$12="",Housemates!$C$12&lt;=$B220),OR(Housemates!$D$12="",Housemates!$D$12&gt;=$B220)),IF($Q220=0,1,INDEX(Bills!$AE$6:$AE$25,$Q220)),0))))</f>
        <v/>
      </c>
      <c r="X220">
        <f>IF(OR($D220="",$B220="",Housemates!$B$13=""),0,IF($R220&gt;0,IF(K220="",0,IF(ISNUMBER(K220),K220,1)),IF($C220="Paying back",0,IF(AND(OR(Housemates!$C$13="",Housemates!$C$13&lt;=$B220),OR(Housemates!$D$13="",Housemates!$D$13&gt;=$B220)),IF($Q220=0,1,INDEX(Bills!$AF$6:$AF$25,$Q220)),0))))</f>
        <v/>
      </c>
      <c r="Y220">
        <f>IF(OR($D220="",$B220="",Housemates!$B$14=""),0,IF($R220&gt;0,IF(L220="",0,IF(ISNUMBER(L220),L220,1)),IF($C220="Paying back",0,IF(AND(OR(Housemates!$C$14="",Housemates!$C$14&lt;=$B220),OR(Housemates!$D$14="",Housemates!$D$14&gt;=$B220)),IF($Q220=0,1,INDEX(Bills!$AG$6:$AG$25,$Q220)),0))))</f>
        <v/>
      </c>
      <c r="Z220">
        <f>IF(OR($D220="",$B220="",Housemates!$B$15=""),0,IF($R220&gt;0,IF(M220="",0,IF(ISNUMBER(M220),M220,1)),IF($C220="Paying back",0,IF(AND(OR(Housemates!$C$15="",Housemates!$C$15&lt;=$B220),OR(Housemates!$D$15="",Housemates!$D$15&gt;=$B220)),IF($Q220=0,1,INDEX(Bills!$AH$6:$AH$25,$Q220)),0))))</f>
        <v/>
      </c>
      <c r="AA220">
        <f>SUM(S220:Z220)</f>
        <v/>
      </c>
      <c r="AB220">
        <f>IF(AA220=0,0,D220*S220/AA220)</f>
        <v/>
      </c>
      <c r="AC220">
        <f>IF(AA220=0,0,D220*T220/AA220)</f>
        <v/>
      </c>
      <c r="AD220">
        <f>IF(AA220=0,0,D220*U220/AA220)</f>
        <v/>
      </c>
      <c r="AE220">
        <f>IF(AA220=0,0,D220*V220/AA220)</f>
        <v/>
      </c>
      <c r="AF220">
        <f>IF(AA220=0,0,D220*W220/AA220)</f>
        <v/>
      </c>
      <c r="AG220">
        <f>IF(AA220=0,0,D220*X220/AA220)</f>
        <v/>
      </c>
      <c r="AH220">
        <f>IF(AA220=0,0,D220*Y220/AA220)</f>
        <v/>
      </c>
      <c r="AI220">
        <f>IF(AA220=0,0,D220*Z220/AA220)</f>
        <v/>
      </c>
      <c r="AJ220">
        <f>IF(OR(C220="",B220=""),"",C220&amp;"|"&amp;(YEAR(B220)*100+MONTH(B220)))</f>
        <v/>
      </c>
    </row>
    <row r="221">
      <c r="A221" s="1" t="n"/>
      <c r="B221" s="23" t="n"/>
      <c r="C221" s="24" t="n"/>
      <c r="D221" s="25" t="n"/>
      <c r="E221" s="26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1">
        <f>IF(D221="","",IF(B221="","No date",IF(AND(C221="Paying back",R221=0),"To whom?",IF(AA221=0,"Nobody",IF(C221="Paying back","To "&amp;INDEX(Housemates!$B$8:$B$15,MATCH(MAX(S221:Z221),S221:Z221,0)),IF(R221&gt;0,IF(COUNTIF(S221:Z221,"&gt;0")=1,"1 person",COUNTIF(S221:Z221,"&gt;0")&amp;" people"),IF(Q221=0,"Everyone",INDEX(Bills!$Q$6:$Q$25,Q221))))))))</f>
        <v/>
      </c>
      <c r="O221" s="18">
        <f>IF(D221="","",IF(C221="Paying back","Paying back",IF(Q221=0,"Other",IF(INDEX(Bills!$C$6:$C$25,Q221)="","Other",INDEX(Bills!$C$6:$C$25,Q221)))))</f>
        <v/>
      </c>
      <c r="P221" s="1" t="n"/>
      <c r="Q221">
        <f>IF(C221="",0,IFERROR(MATCH(C221,Bills!$B$6:$B$25,0),0))</f>
        <v/>
      </c>
      <c r="R221">
        <f>COUNTA(F221:M221)</f>
        <v/>
      </c>
      <c r="S221">
        <f>IF(OR($D221="",$B221="",Housemates!$B$8=""),0,IF($R221&gt;0,IF(F221="",0,IF(ISNUMBER(F221),F221,1)),IF($C221="Paying back",0,IF(AND(OR(Housemates!$C$8="",Housemates!$C$8&lt;=$B221),OR(Housemates!$D$8="",Housemates!$D$8&gt;=$B221)),IF($Q221=0,1,INDEX(Bills!$AA$6:$AA$25,$Q221)),0))))</f>
        <v/>
      </c>
      <c r="T221">
        <f>IF(OR($D221="",$B221="",Housemates!$B$9=""),0,IF($R221&gt;0,IF(G221="",0,IF(ISNUMBER(G221),G221,1)),IF($C221="Paying back",0,IF(AND(OR(Housemates!$C$9="",Housemates!$C$9&lt;=$B221),OR(Housemates!$D$9="",Housemates!$D$9&gt;=$B221)),IF($Q221=0,1,INDEX(Bills!$AB$6:$AB$25,$Q221)),0))))</f>
        <v/>
      </c>
      <c r="U221">
        <f>IF(OR($D221="",$B221="",Housemates!$B$10=""),0,IF($R221&gt;0,IF(H221="",0,IF(ISNUMBER(H221),H221,1)),IF($C221="Paying back",0,IF(AND(OR(Housemates!$C$10="",Housemates!$C$10&lt;=$B221),OR(Housemates!$D$10="",Housemates!$D$10&gt;=$B221)),IF($Q221=0,1,INDEX(Bills!$AC$6:$AC$25,$Q221)),0))))</f>
        <v/>
      </c>
      <c r="V221">
        <f>IF(OR($D221="",$B221="",Housemates!$B$11=""),0,IF($R221&gt;0,IF(I221="",0,IF(ISNUMBER(I221),I221,1)),IF($C221="Paying back",0,IF(AND(OR(Housemates!$C$11="",Housemates!$C$11&lt;=$B221),OR(Housemates!$D$11="",Housemates!$D$11&gt;=$B221)),IF($Q221=0,1,INDEX(Bills!$AD$6:$AD$25,$Q221)),0))))</f>
        <v/>
      </c>
      <c r="W221">
        <f>IF(OR($D221="",$B221="",Housemates!$B$12=""),0,IF($R221&gt;0,IF(J221="",0,IF(ISNUMBER(J221),J221,1)),IF($C221="Paying back",0,IF(AND(OR(Housemates!$C$12="",Housemates!$C$12&lt;=$B221),OR(Housemates!$D$12="",Housemates!$D$12&gt;=$B221)),IF($Q221=0,1,INDEX(Bills!$AE$6:$AE$25,$Q221)),0))))</f>
        <v/>
      </c>
      <c r="X221">
        <f>IF(OR($D221="",$B221="",Housemates!$B$13=""),0,IF($R221&gt;0,IF(K221="",0,IF(ISNUMBER(K221),K221,1)),IF($C221="Paying back",0,IF(AND(OR(Housemates!$C$13="",Housemates!$C$13&lt;=$B221),OR(Housemates!$D$13="",Housemates!$D$13&gt;=$B221)),IF($Q221=0,1,INDEX(Bills!$AF$6:$AF$25,$Q221)),0))))</f>
        <v/>
      </c>
      <c r="Y221">
        <f>IF(OR($D221="",$B221="",Housemates!$B$14=""),0,IF($R221&gt;0,IF(L221="",0,IF(ISNUMBER(L221),L221,1)),IF($C221="Paying back",0,IF(AND(OR(Housemates!$C$14="",Housemates!$C$14&lt;=$B221),OR(Housemates!$D$14="",Housemates!$D$14&gt;=$B221)),IF($Q221=0,1,INDEX(Bills!$AG$6:$AG$25,$Q221)),0))))</f>
        <v/>
      </c>
      <c r="Z221">
        <f>IF(OR($D221="",$B221="",Housemates!$B$15=""),0,IF($R221&gt;0,IF(M221="",0,IF(ISNUMBER(M221),M221,1)),IF($C221="Paying back",0,IF(AND(OR(Housemates!$C$15="",Housemates!$C$15&lt;=$B221),OR(Housemates!$D$15="",Housemates!$D$15&gt;=$B221)),IF($Q221=0,1,INDEX(Bills!$AH$6:$AH$25,$Q221)),0))))</f>
        <v/>
      </c>
      <c r="AA221">
        <f>SUM(S221:Z221)</f>
        <v/>
      </c>
      <c r="AB221">
        <f>IF(AA221=0,0,D221*S221/AA221)</f>
        <v/>
      </c>
      <c r="AC221">
        <f>IF(AA221=0,0,D221*T221/AA221)</f>
        <v/>
      </c>
      <c r="AD221">
        <f>IF(AA221=0,0,D221*U221/AA221)</f>
        <v/>
      </c>
      <c r="AE221">
        <f>IF(AA221=0,0,D221*V221/AA221)</f>
        <v/>
      </c>
      <c r="AF221">
        <f>IF(AA221=0,0,D221*W221/AA221)</f>
        <v/>
      </c>
      <c r="AG221">
        <f>IF(AA221=0,0,D221*X221/AA221)</f>
        <v/>
      </c>
      <c r="AH221">
        <f>IF(AA221=0,0,D221*Y221/AA221)</f>
        <v/>
      </c>
      <c r="AI221">
        <f>IF(AA221=0,0,D221*Z221/AA221)</f>
        <v/>
      </c>
      <c r="AJ221">
        <f>IF(OR(C221="",B221=""),"",C221&amp;"|"&amp;(YEAR(B221)*100+MONTH(B221)))</f>
        <v/>
      </c>
    </row>
    <row r="222">
      <c r="A222" s="1" t="n"/>
      <c r="B222" s="23" t="n"/>
      <c r="C222" s="24" t="n"/>
      <c r="D222" s="25" t="n"/>
      <c r="E222" s="26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1">
        <f>IF(D222="","",IF(B222="","No date",IF(AND(C222="Paying back",R222=0),"To whom?",IF(AA222=0,"Nobody",IF(C222="Paying back","To "&amp;INDEX(Housemates!$B$8:$B$15,MATCH(MAX(S222:Z222),S222:Z222,0)),IF(R222&gt;0,IF(COUNTIF(S222:Z222,"&gt;0")=1,"1 person",COUNTIF(S222:Z222,"&gt;0")&amp;" people"),IF(Q222=0,"Everyone",INDEX(Bills!$Q$6:$Q$25,Q222))))))))</f>
        <v/>
      </c>
      <c r="O222" s="18">
        <f>IF(D222="","",IF(C222="Paying back","Paying back",IF(Q222=0,"Other",IF(INDEX(Bills!$C$6:$C$25,Q222)="","Other",INDEX(Bills!$C$6:$C$25,Q222)))))</f>
        <v/>
      </c>
      <c r="P222" s="1" t="n"/>
      <c r="Q222">
        <f>IF(C222="",0,IFERROR(MATCH(C222,Bills!$B$6:$B$25,0),0))</f>
        <v/>
      </c>
      <c r="R222">
        <f>COUNTA(F222:M222)</f>
        <v/>
      </c>
      <c r="S222">
        <f>IF(OR($D222="",$B222="",Housemates!$B$8=""),0,IF($R222&gt;0,IF(F222="",0,IF(ISNUMBER(F222),F222,1)),IF($C222="Paying back",0,IF(AND(OR(Housemates!$C$8="",Housemates!$C$8&lt;=$B222),OR(Housemates!$D$8="",Housemates!$D$8&gt;=$B222)),IF($Q222=0,1,INDEX(Bills!$AA$6:$AA$25,$Q222)),0))))</f>
        <v/>
      </c>
      <c r="T222">
        <f>IF(OR($D222="",$B222="",Housemates!$B$9=""),0,IF($R222&gt;0,IF(G222="",0,IF(ISNUMBER(G222),G222,1)),IF($C222="Paying back",0,IF(AND(OR(Housemates!$C$9="",Housemates!$C$9&lt;=$B222),OR(Housemates!$D$9="",Housemates!$D$9&gt;=$B222)),IF($Q222=0,1,INDEX(Bills!$AB$6:$AB$25,$Q222)),0))))</f>
        <v/>
      </c>
      <c r="U222">
        <f>IF(OR($D222="",$B222="",Housemates!$B$10=""),0,IF($R222&gt;0,IF(H222="",0,IF(ISNUMBER(H222),H222,1)),IF($C222="Paying back",0,IF(AND(OR(Housemates!$C$10="",Housemates!$C$10&lt;=$B222),OR(Housemates!$D$10="",Housemates!$D$10&gt;=$B222)),IF($Q222=0,1,INDEX(Bills!$AC$6:$AC$25,$Q222)),0))))</f>
        <v/>
      </c>
      <c r="V222">
        <f>IF(OR($D222="",$B222="",Housemates!$B$11=""),0,IF($R222&gt;0,IF(I222="",0,IF(ISNUMBER(I222),I222,1)),IF($C222="Paying back",0,IF(AND(OR(Housemates!$C$11="",Housemates!$C$11&lt;=$B222),OR(Housemates!$D$11="",Housemates!$D$11&gt;=$B222)),IF($Q222=0,1,INDEX(Bills!$AD$6:$AD$25,$Q222)),0))))</f>
        <v/>
      </c>
      <c r="W222">
        <f>IF(OR($D222="",$B222="",Housemates!$B$12=""),0,IF($R222&gt;0,IF(J222="",0,IF(ISNUMBER(J222),J222,1)),IF($C222="Paying back",0,IF(AND(OR(Housemates!$C$12="",Housemates!$C$12&lt;=$B222),OR(Housemates!$D$12="",Housemates!$D$12&gt;=$B222)),IF($Q222=0,1,INDEX(Bills!$AE$6:$AE$25,$Q222)),0))))</f>
        <v/>
      </c>
      <c r="X222">
        <f>IF(OR($D222="",$B222="",Housemates!$B$13=""),0,IF($R222&gt;0,IF(K222="",0,IF(ISNUMBER(K222),K222,1)),IF($C222="Paying back",0,IF(AND(OR(Housemates!$C$13="",Housemates!$C$13&lt;=$B222),OR(Housemates!$D$13="",Housemates!$D$13&gt;=$B222)),IF($Q222=0,1,INDEX(Bills!$AF$6:$AF$25,$Q222)),0))))</f>
        <v/>
      </c>
      <c r="Y222">
        <f>IF(OR($D222="",$B222="",Housemates!$B$14=""),0,IF($R222&gt;0,IF(L222="",0,IF(ISNUMBER(L222),L222,1)),IF($C222="Paying back",0,IF(AND(OR(Housemates!$C$14="",Housemates!$C$14&lt;=$B222),OR(Housemates!$D$14="",Housemates!$D$14&gt;=$B222)),IF($Q222=0,1,INDEX(Bills!$AG$6:$AG$25,$Q222)),0))))</f>
        <v/>
      </c>
      <c r="Z222">
        <f>IF(OR($D222="",$B222="",Housemates!$B$15=""),0,IF($R222&gt;0,IF(M222="",0,IF(ISNUMBER(M222),M222,1)),IF($C222="Paying back",0,IF(AND(OR(Housemates!$C$15="",Housemates!$C$15&lt;=$B222),OR(Housemates!$D$15="",Housemates!$D$15&gt;=$B222)),IF($Q222=0,1,INDEX(Bills!$AH$6:$AH$25,$Q222)),0))))</f>
        <v/>
      </c>
      <c r="AA222">
        <f>SUM(S222:Z222)</f>
        <v/>
      </c>
      <c r="AB222">
        <f>IF(AA222=0,0,D222*S222/AA222)</f>
        <v/>
      </c>
      <c r="AC222">
        <f>IF(AA222=0,0,D222*T222/AA222)</f>
        <v/>
      </c>
      <c r="AD222">
        <f>IF(AA222=0,0,D222*U222/AA222)</f>
        <v/>
      </c>
      <c r="AE222">
        <f>IF(AA222=0,0,D222*V222/AA222)</f>
        <v/>
      </c>
      <c r="AF222">
        <f>IF(AA222=0,0,D222*W222/AA222)</f>
        <v/>
      </c>
      <c r="AG222">
        <f>IF(AA222=0,0,D222*X222/AA222)</f>
        <v/>
      </c>
      <c r="AH222">
        <f>IF(AA222=0,0,D222*Y222/AA222)</f>
        <v/>
      </c>
      <c r="AI222">
        <f>IF(AA222=0,0,D222*Z222/AA222)</f>
        <v/>
      </c>
      <c r="AJ222">
        <f>IF(OR(C222="",B222=""),"",C222&amp;"|"&amp;(YEAR(B222)*100+MONTH(B222)))</f>
        <v/>
      </c>
    </row>
    <row r="223">
      <c r="A223" s="1" t="n"/>
      <c r="B223" s="23" t="n"/>
      <c r="C223" s="24" t="n"/>
      <c r="D223" s="25" t="n"/>
      <c r="E223" s="26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1">
        <f>IF(D223="","",IF(B223="","No date",IF(AND(C223="Paying back",R223=0),"To whom?",IF(AA223=0,"Nobody",IF(C223="Paying back","To "&amp;INDEX(Housemates!$B$8:$B$15,MATCH(MAX(S223:Z223),S223:Z223,0)),IF(R223&gt;0,IF(COUNTIF(S223:Z223,"&gt;0")=1,"1 person",COUNTIF(S223:Z223,"&gt;0")&amp;" people"),IF(Q223=0,"Everyone",INDEX(Bills!$Q$6:$Q$25,Q223))))))))</f>
        <v/>
      </c>
      <c r="O223" s="18">
        <f>IF(D223="","",IF(C223="Paying back","Paying back",IF(Q223=0,"Other",IF(INDEX(Bills!$C$6:$C$25,Q223)="","Other",INDEX(Bills!$C$6:$C$25,Q223)))))</f>
        <v/>
      </c>
      <c r="P223" s="1" t="n"/>
      <c r="Q223">
        <f>IF(C223="",0,IFERROR(MATCH(C223,Bills!$B$6:$B$25,0),0))</f>
        <v/>
      </c>
      <c r="R223">
        <f>COUNTA(F223:M223)</f>
        <v/>
      </c>
      <c r="S223">
        <f>IF(OR($D223="",$B223="",Housemates!$B$8=""),0,IF($R223&gt;0,IF(F223="",0,IF(ISNUMBER(F223),F223,1)),IF($C223="Paying back",0,IF(AND(OR(Housemates!$C$8="",Housemates!$C$8&lt;=$B223),OR(Housemates!$D$8="",Housemates!$D$8&gt;=$B223)),IF($Q223=0,1,INDEX(Bills!$AA$6:$AA$25,$Q223)),0))))</f>
        <v/>
      </c>
      <c r="T223">
        <f>IF(OR($D223="",$B223="",Housemates!$B$9=""),0,IF($R223&gt;0,IF(G223="",0,IF(ISNUMBER(G223),G223,1)),IF($C223="Paying back",0,IF(AND(OR(Housemates!$C$9="",Housemates!$C$9&lt;=$B223),OR(Housemates!$D$9="",Housemates!$D$9&gt;=$B223)),IF($Q223=0,1,INDEX(Bills!$AB$6:$AB$25,$Q223)),0))))</f>
        <v/>
      </c>
      <c r="U223">
        <f>IF(OR($D223="",$B223="",Housemates!$B$10=""),0,IF($R223&gt;0,IF(H223="",0,IF(ISNUMBER(H223),H223,1)),IF($C223="Paying back",0,IF(AND(OR(Housemates!$C$10="",Housemates!$C$10&lt;=$B223),OR(Housemates!$D$10="",Housemates!$D$10&gt;=$B223)),IF($Q223=0,1,INDEX(Bills!$AC$6:$AC$25,$Q223)),0))))</f>
        <v/>
      </c>
      <c r="V223">
        <f>IF(OR($D223="",$B223="",Housemates!$B$11=""),0,IF($R223&gt;0,IF(I223="",0,IF(ISNUMBER(I223),I223,1)),IF($C223="Paying back",0,IF(AND(OR(Housemates!$C$11="",Housemates!$C$11&lt;=$B223),OR(Housemates!$D$11="",Housemates!$D$11&gt;=$B223)),IF($Q223=0,1,INDEX(Bills!$AD$6:$AD$25,$Q223)),0))))</f>
        <v/>
      </c>
      <c r="W223">
        <f>IF(OR($D223="",$B223="",Housemates!$B$12=""),0,IF($R223&gt;0,IF(J223="",0,IF(ISNUMBER(J223),J223,1)),IF($C223="Paying back",0,IF(AND(OR(Housemates!$C$12="",Housemates!$C$12&lt;=$B223),OR(Housemates!$D$12="",Housemates!$D$12&gt;=$B223)),IF($Q223=0,1,INDEX(Bills!$AE$6:$AE$25,$Q223)),0))))</f>
        <v/>
      </c>
      <c r="X223">
        <f>IF(OR($D223="",$B223="",Housemates!$B$13=""),0,IF($R223&gt;0,IF(K223="",0,IF(ISNUMBER(K223),K223,1)),IF($C223="Paying back",0,IF(AND(OR(Housemates!$C$13="",Housemates!$C$13&lt;=$B223),OR(Housemates!$D$13="",Housemates!$D$13&gt;=$B223)),IF($Q223=0,1,INDEX(Bills!$AF$6:$AF$25,$Q223)),0))))</f>
        <v/>
      </c>
      <c r="Y223">
        <f>IF(OR($D223="",$B223="",Housemates!$B$14=""),0,IF($R223&gt;0,IF(L223="",0,IF(ISNUMBER(L223),L223,1)),IF($C223="Paying back",0,IF(AND(OR(Housemates!$C$14="",Housemates!$C$14&lt;=$B223),OR(Housemates!$D$14="",Housemates!$D$14&gt;=$B223)),IF($Q223=0,1,INDEX(Bills!$AG$6:$AG$25,$Q223)),0))))</f>
        <v/>
      </c>
      <c r="Z223">
        <f>IF(OR($D223="",$B223="",Housemates!$B$15=""),0,IF($R223&gt;0,IF(M223="",0,IF(ISNUMBER(M223),M223,1)),IF($C223="Paying back",0,IF(AND(OR(Housemates!$C$15="",Housemates!$C$15&lt;=$B223),OR(Housemates!$D$15="",Housemates!$D$15&gt;=$B223)),IF($Q223=0,1,INDEX(Bills!$AH$6:$AH$25,$Q223)),0))))</f>
        <v/>
      </c>
      <c r="AA223">
        <f>SUM(S223:Z223)</f>
        <v/>
      </c>
      <c r="AB223">
        <f>IF(AA223=0,0,D223*S223/AA223)</f>
        <v/>
      </c>
      <c r="AC223">
        <f>IF(AA223=0,0,D223*T223/AA223)</f>
        <v/>
      </c>
      <c r="AD223">
        <f>IF(AA223=0,0,D223*U223/AA223)</f>
        <v/>
      </c>
      <c r="AE223">
        <f>IF(AA223=0,0,D223*V223/AA223)</f>
        <v/>
      </c>
      <c r="AF223">
        <f>IF(AA223=0,0,D223*W223/AA223)</f>
        <v/>
      </c>
      <c r="AG223">
        <f>IF(AA223=0,0,D223*X223/AA223)</f>
        <v/>
      </c>
      <c r="AH223">
        <f>IF(AA223=0,0,D223*Y223/AA223)</f>
        <v/>
      </c>
      <c r="AI223">
        <f>IF(AA223=0,0,D223*Z223/AA223)</f>
        <v/>
      </c>
      <c r="AJ223">
        <f>IF(OR(C223="",B223=""),"",C223&amp;"|"&amp;(YEAR(B223)*100+MONTH(B223)))</f>
        <v/>
      </c>
    </row>
    <row r="224">
      <c r="A224" s="1" t="n"/>
      <c r="B224" s="23" t="n"/>
      <c r="C224" s="24" t="n"/>
      <c r="D224" s="25" t="n"/>
      <c r="E224" s="26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1">
        <f>IF(D224="","",IF(B224="","No date",IF(AND(C224="Paying back",R224=0),"To whom?",IF(AA224=0,"Nobody",IF(C224="Paying back","To "&amp;INDEX(Housemates!$B$8:$B$15,MATCH(MAX(S224:Z224),S224:Z224,0)),IF(R224&gt;0,IF(COUNTIF(S224:Z224,"&gt;0")=1,"1 person",COUNTIF(S224:Z224,"&gt;0")&amp;" people"),IF(Q224=0,"Everyone",INDEX(Bills!$Q$6:$Q$25,Q224))))))))</f>
        <v/>
      </c>
      <c r="O224" s="18">
        <f>IF(D224="","",IF(C224="Paying back","Paying back",IF(Q224=0,"Other",IF(INDEX(Bills!$C$6:$C$25,Q224)="","Other",INDEX(Bills!$C$6:$C$25,Q224)))))</f>
        <v/>
      </c>
      <c r="P224" s="1" t="n"/>
      <c r="Q224">
        <f>IF(C224="",0,IFERROR(MATCH(C224,Bills!$B$6:$B$25,0),0))</f>
        <v/>
      </c>
      <c r="R224">
        <f>COUNTA(F224:M224)</f>
        <v/>
      </c>
      <c r="S224">
        <f>IF(OR($D224="",$B224="",Housemates!$B$8=""),0,IF($R224&gt;0,IF(F224="",0,IF(ISNUMBER(F224),F224,1)),IF($C224="Paying back",0,IF(AND(OR(Housemates!$C$8="",Housemates!$C$8&lt;=$B224),OR(Housemates!$D$8="",Housemates!$D$8&gt;=$B224)),IF($Q224=0,1,INDEX(Bills!$AA$6:$AA$25,$Q224)),0))))</f>
        <v/>
      </c>
      <c r="T224">
        <f>IF(OR($D224="",$B224="",Housemates!$B$9=""),0,IF($R224&gt;0,IF(G224="",0,IF(ISNUMBER(G224),G224,1)),IF($C224="Paying back",0,IF(AND(OR(Housemates!$C$9="",Housemates!$C$9&lt;=$B224),OR(Housemates!$D$9="",Housemates!$D$9&gt;=$B224)),IF($Q224=0,1,INDEX(Bills!$AB$6:$AB$25,$Q224)),0))))</f>
        <v/>
      </c>
      <c r="U224">
        <f>IF(OR($D224="",$B224="",Housemates!$B$10=""),0,IF($R224&gt;0,IF(H224="",0,IF(ISNUMBER(H224),H224,1)),IF($C224="Paying back",0,IF(AND(OR(Housemates!$C$10="",Housemates!$C$10&lt;=$B224),OR(Housemates!$D$10="",Housemates!$D$10&gt;=$B224)),IF($Q224=0,1,INDEX(Bills!$AC$6:$AC$25,$Q224)),0))))</f>
        <v/>
      </c>
      <c r="V224">
        <f>IF(OR($D224="",$B224="",Housemates!$B$11=""),0,IF($R224&gt;0,IF(I224="",0,IF(ISNUMBER(I224),I224,1)),IF($C224="Paying back",0,IF(AND(OR(Housemates!$C$11="",Housemates!$C$11&lt;=$B224),OR(Housemates!$D$11="",Housemates!$D$11&gt;=$B224)),IF($Q224=0,1,INDEX(Bills!$AD$6:$AD$25,$Q224)),0))))</f>
        <v/>
      </c>
      <c r="W224">
        <f>IF(OR($D224="",$B224="",Housemates!$B$12=""),0,IF($R224&gt;0,IF(J224="",0,IF(ISNUMBER(J224),J224,1)),IF($C224="Paying back",0,IF(AND(OR(Housemates!$C$12="",Housemates!$C$12&lt;=$B224),OR(Housemates!$D$12="",Housemates!$D$12&gt;=$B224)),IF($Q224=0,1,INDEX(Bills!$AE$6:$AE$25,$Q224)),0))))</f>
        <v/>
      </c>
      <c r="X224">
        <f>IF(OR($D224="",$B224="",Housemates!$B$13=""),0,IF($R224&gt;0,IF(K224="",0,IF(ISNUMBER(K224),K224,1)),IF($C224="Paying back",0,IF(AND(OR(Housemates!$C$13="",Housemates!$C$13&lt;=$B224),OR(Housemates!$D$13="",Housemates!$D$13&gt;=$B224)),IF($Q224=0,1,INDEX(Bills!$AF$6:$AF$25,$Q224)),0))))</f>
        <v/>
      </c>
      <c r="Y224">
        <f>IF(OR($D224="",$B224="",Housemates!$B$14=""),0,IF($R224&gt;0,IF(L224="",0,IF(ISNUMBER(L224),L224,1)),IF($C224="Paying back",0,IF(AND(OR(Housemates!$C$14="",Housemates!$C$14&lt;=$B224),OR(Housemates!$D$14="",Housemates!$D$14&gt;=$B224)),IF($Q224=0,1,INDEX(Bills!$AG$6:$AG$25,$Q224)),0))))</f>
        <v/>
      </c>
      <c r="Z224">
        <f>IF(OR($D224="",$B224="",Housemates!$B$15=""),0,IF($R224&gt;0,IF(M224="",0,IF(ISNUMBER(M224),M224,1)),IF($C224="Paying back",0,IF(AND(OR(Housemates!$C$15="",Housemates!$C$15&lt;=$B224),OR(Housemates!$D$15="",Housemates!$D$15&gt;=$B224)),IF($Q224=0,1,INDEX(Bills!$AH$6:$AH$25,$Q224)),0))))</f>
        <v/>
      </c>
      <c r="AA224">
        <f>SUM(S224:Z224)</f>
        <v/>
      </c>
      <c r="AB224">
        <f>IF(AA224=0,0,D224*S224/AA224)</f>
        <v/>
      </c>
      <c r="AC224">
        <f>IF(AA224=0,0,D224*T224/AA224)</f>
        <v/>
      </c>
      <c r="AD224">
        <f>IF(AA224=0,0,D224*U224/AA224)</f>
        <v/>
      </c>
      <c r="AE224">
        <f>IF(AA224=0,0,D224*V224/AA224)</f>
        <v/>
      </c>
      <c r="AF224">
        <f>IF(AA224=0,0,D224*W224/AA224)</f>
        <v/>
      </c>
      <c r="AG224">
        <f>IF(AA224=0,0,D224*X224/AA224)</f>
        <v/>
      </c>
      <c r="AH224">
        <f>IF(AA224=0,0,D224*Y224/AA224)</f>
        <v/>
      </c>
      <c r="AI224">
        <f>IF(AA224=0,0,D224*Z224/AA224)</f>
        <v/>
      </c>
      <c r="AJ224">
        <f>IF(OR(C224="",B224=""),"",C224&amp;"|"&amp;(YEAR(B224)*100+MONTH(B224)))</f>
        <v/>
      </c>
    </row>
    <row r="225">
      <c r="A225" s="1" t="n"/>
      <c r="B225" s="23" t="n"/>
      <c r="C225" s="24" t="n"/>
      <c r="D225" s="25" t="n"/>
      <c r="E225" s="26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1">
        <f>IF(D225="","",IF(B225="","No date",IF(AND(C225="Paying back",R225=0),"To whom?",IF(AA225=0,"Nobody",IF(C225="Paying back","To "&amp;INDEX(Housemates!$B$8:$B$15,MATCH(MAX(S225:Z225),S225:Z225,0)),IF(R225&gt;0,IF(COUNTIF(S225:Z225,"&gt;0")=1,"1 person",COUNTIF(S225:Z225,"&gt;0")&amp;" people"),IF(Q225=0,"Everyone",INDEX(Bills!$Q$6:$Q$25,Q225))))))))</f>
        <v/>
      </c>
      <c r="O225" s="18">
        <f>IF(D225="","",IF(C225="Paying back","Paying back",IF(Q225=0,"Other",IF(INDEX(Bills!$C$6:$C$25,Q225)="","Other",INDEX(Bills!$C$6:$C$25,Q225)))))</f>
        <v/>
      </c>
      <c r="P225" s="1" t="n"/>
      <c r="Q225">
        <f>IF(C225="",0,IFERROR(MATCH(C225,Bills!$B$6:$B$25,0),0))</f>
        <v/>
      </c>
      <c r="R225">
        <f>COUNTA(F225:M225)</f>
        <v/>
      </c>
      <c r="S225">
        <f>IF(OR($D225="",$B225="",Housemates!$B$8=""),0,IF($R225&gt;0,IF(F225="",0,IF(ISNUMBER(F225),F225,1)),IF($C225="Paying back",0,IF(AND(OR(Housemates!$C$8="",Housemates!$C$8&lt;=$B225),OR(Housemates!$D$8="",Housemates!$D$8&gt;=$B225)),IF($Q225=0,1,INDEX(Bills!$AA$6:$AA$25,$Q225)),0))))</f>
        <v/>
      </c>
      <c r="T225">
        <f>IF(OR($D225="",$B225="",Housemates!$B$9=""),0,IF($R225&gt;0,IF(G225="",0,IF(ISNUMBER(G225),G225,1)),IF($C225="Paying back",0,IF(AND(OR(Housemates!$C$9="",Housemates!$C$9&lt;=$B225),OR(Housemates!$D$9="",Housemates!$D$9&gt;=$B225)),IF($Q225=0,1,INDEX(Bills!$AB$6:$AB$25,$Q225)),0))))</f>
        <v/>
      </c>
      <c r="U225">
        <f>IF(OR($D225="",$B225="",Housemates!$B$10=""),0,IF($R225&gt;0,IF(H225="",0,IF(ISNUMBER(H225),H225,1)),IF($C225="Paying back",0,IF(AND(OR(Housemates!$C$10="",Housemates!$C$10&lt;=$B225),OR(Housemates!$D$10="",Housemates!$D$10&gt;=$B225)),IF($Q225=0,1,INDEX(Bills!$AC$6:$AC$25,$Q225)),0))))</f>
        <v/>
      </c>
      <c r="V225">
        <f>IF(OR($D225="",$B225="",Housemates!$B$11=""),0,IF($R225&gt;0,IF(I225="",0,IF(ISNUMBER(I225),I225,1)),IF($C225="Paying back",0,IF(AND(OR(Housemates!$C$11="",Housemates!$C$11&lt;=$B225),OR(Housemates!$D$11="",Housemates!$D$11&gt;=$B225)),IF($Q225=0,1,INDEX(Bills!$AD$6:$AD$25,$Q225)),0))))</f>
        <v/>
      </c>
      <c r="W225">
        <f>IF(OR($D225="",$B225="",Housemates!$B$12=""),0,IF($R225&gt;0,IF(J225="",0,IF(ISNUMBER(J225),J225,1)),IF($C225="Paying back",0,IF(AND(OR(Housemates!$C$12="",Housemates!$C$12&lt;=$B225),OR(Housemates!$D$12="",Housemates!$D$12&gt;=$B225)),IF($Q225=0,1,INDEX(Bills!$AE$6:$AE$25,$Q225)),0))))</f>
        <v/>
      </c>
      <c r="X225">
        <f>IF(OR($D225="",$B225="",Housemates!$B$13=""),0,IF($R225&gt;0,IF(K225="",0,IF(ISNUMBER(K225),K225,1)),IF($C225="Paying back",0,IF(AND(OR(Housemates!$C$13="",Housemates!$C$13&lt;=$B225),OR(Housemates!$D$13="",Housemates!$D$13&gt;=$B225)),IF($Q225=0,1,INDEX(Bills!$AF$6:$AF$25,$Q225)),0))))</f>
        <v/>
      </c>
      <c r="Y225">
        <f>IF(OR($D225="",$B225="",Housemates!$B$14=""),0,IF($R225&gt;0,IF(L225="",0,IF(ISNUMBER(L225),L225,1)),IF($C225="Paying back",0,IF(AND(OR(Housemates!$C$14="",Housemates!$C$14&lt;=$B225),OR(Housemates!$D$14="",Housemates!$D$14&gt;=$B225)),IF($Q225=0,1,INDEX(Bills!$AG$6:$AG$25,$Q225)),0))))</f>
        <v/>
      </c>
      <c r="Z225">
        <f>IF(OR($D225="",$B225="",Housemates!$B$15=""),0,IF($R225&gt;0,IF(M225="",0,IF(ISNUMBER(M225),M225,1)),IF($C225="Paying back",0,IF(AND(OR(Housemates!$C$15="",Housemates!$C$15&lt;=$B225),OR(Housemates!$D$15="",Housemates!$D$15&gt;=$B225)),IF($Q225=0,1,INDEX(Bills!$AH$6:$AH$25,$Q225)),0))))</f>
        <v/>
      </c>
      <c r="AA225">
        <f>SUM(S225:Z225)</f>
        <v/>
      </c>
      <c r="AB225">
        <f>IF(AA225=0,0,D225*S225/AA225)</f>
        <v/>
      </c>
      <c r="AC225">
        <f>IF(AA225=0,0,D225*T225/AA225)</f>
        <v/>
      </c>
      <c r="AD225">
        <f>IF(AA225=0,0,D225*U225/AA225)</f>
        <v/>
      </c>
      <c r="AE225">
        <f>IF(AA225=0,0,D225*V225/AA225)</f>
        <v/>
      </c>
      <c r="AF225">
        <f>IF(AA225=0,0,D225*W225/AA225)</f>
        <v/>
      </c>
      <c r="AG225">
        <f>IF(AA225=0,0,D225*X225/AA225)</f>
        <v/>
      </c>
      <c r="AH225">
        <f>IF(AA225=0,0,D225*Y225/AA225)</f>
        <v/>
      </c>
      <c r="AI225">
        <f>IF(AA225=0,0,D225*Z225/AA225)</f>
        <v/>
      </c>
      <c r="AJ225">
        <f>IF(OR(C225="",B225=""),"",C225&amp;"|"&amp;(YEAR(B225)*100+MONTH(B225)))</f>
        <v/>
      </c>
    </row>
    <row r="226">
      <c r="A226" s="1" t="n"/>
      <c r="B226" s="23" t="n"/>
      <c r="C226" s="24" t="n"/>
      <c r="D226" s="25" t="n"/>
      <c r="E226" s="26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1">
        <f>IF(D226="","",IF(B226="","No date",IF(AND(C226="Paying back",R226=0),"To whom?",IF(AA226=0,"Nobody",IF(C226="Paying back","To "&amp;INDEX(Housemates!$B$8:$B$15,MATCH(MAX(S226:Z226),S226:Z226,0)),IF(R226&gt;0,IF(COUNTIF(S226:Z226,"&gt;0")=1,"1 person",COUNTIF(S226:Z226,"&gt;0")&amp;" people"),IF(Q226=0,"Everyone",INDEX(Bills!$Q$6:$Q$25,Q226))))))))</f>
        <v/>
      </c>
      <c r="O226" s="18">
        <f>IF(D226="","",IF(C226="Paying back","Paying back",IF(Q226=0,"Other",IF(INDEX(Bills!$C$6:$C$25,Q226)="","Other",INDEX(Bills!$C$6:$C$25,Q226)))))</f>
        <v/>
      </c>
      <c r="P226" s="1" t="n"/>
      <c r="Q226">
        <f>IF(C226="",0,IFERROR(MATCH(C226,Bills!$B$6:$B$25,0),0))</f>
        <v/>
      </c>
      <c r="R226">
        <f>COUNTA(F226:M226)</f>
        <v/>
      </c>
      <c r="S226">
        <f>IF(OR($D226="",$B226="",Housemates!$B$8=""),0,IF($R226&gt;0,IF(F226="",0,IF(ISNUMBER(F226),F226,1)),IF($C226="Paying back",0,IF(AND(OR(Housemates!$C$8="",Housemates!$C$8&lt;=$B226),OR(Housemates!$D$8="",Housemates!$D$8&gt;=$B226)),IF($Q226=0,1,INDEX(Bills!$AA$6:$AA$25,$Q226)),0))))</f>
        <v/>
      </c>
      <c r="T226">
        <f>IF(OR($D226="",$B226="",Housemates!$B$9=""),0,IF($R226&gt;0,IF(G226="",0,IF(ISNUMBER(G226),G226,1)),IF($C226="Paying back",0,IF(AND(OR(Housemates!$C$9="",Housemates!$C$9&lt;=$B226),OR(Housemates!$D$9="",Housemates!$D$9&gt;=$B226)),IF($Q226=0,1,INDEX(Bills!$AB$6:$AB$25,$Q226)),0))))</f>
        <v/>
      </c>
      <c r="U226">
        <f>IF(OR($D226="",$B226="",Housemates!$B$10=""),0,IF($R226&gt;0,IF(H226="",0,IF(ISNUMBER(H226),H226,1)),IF($C226="Paying back",0,IF(AND(OR(Housemates!$C$10="",Housemates!$C$10&lt;=$B226),OR(Housemates!$D$10="",Housemates!$D$10&gt;=$B226)),IF($Q226=0,1,INDEX(Bills!$AC$6:$AC$25,$Q226)),0))))</f>
        <v/>
      </c>
      <c r="V226">
        <f>IF(OR($D226="",$B226="",Housemates!$B$11=""),0,IF($R226&gt;0,IF(I226="",0,IF(ISNUMBER(I226),I226,1)),IF($C226="Paying back",0,IF(AND(OR(Housemates!$C$11="",Housemates!$C$11&lt;=$B226),OR(Housemates!$D$11="",Housemates!$D$11&gt;=$B226)),IF($Q226=0,1,INDEX(Bills!$AD$6:$AD$25,$Q226)),0))))</f>
        <v/>
      </c>
      <c r="W226">
        <f>IF(OR($D226="",$B226="",Housemates!$B$12=""),0,IF($R226&gt;0,IF(J226="",0,IF(ISNUMBER(J226),J226,1)),IF($C226="Paying back",0,IF(AND(OR(Housemates!$C$12="",Housemates!$C$12&lt;=$B226),OR(Housemates!$D$12="",Housemates!$D$12&gt;=$B226)),IF($Q226=0,1,INDEX(Bills!$AE$6:$AE$25,$Q226)),0))))</f>
        <v/>
      </c>
      <c r="X226">
        <f>IF(OR($D226="",$B226="",Housemates!$B$13=""),0,IF($R226&gt;0,IF(K226="",0,IF(ISNUMBER(K226),K226,1)),IF($C226="Paying back",0,IF(AND(OR(Housemates!$C$13="",Housemates!$C$13&lt;=$B226),OR(Housemates!$D$13="",Housemates!$D$13&gt;=$B226)),IF($Q226=0,1,INDEX(Bills!$AF$6:$AF$25,$Q226)),0))))</f>
        <v/>
      </c>
      <c r="Y226">
        <f>IF(OR($D226="",$B226="",Housemates!$B$14=""),0,IF($R226&gt;0,IF(L226="",0,IF(ISNUMBER(L226),L226,1)),IF($C226="Paying back",0,IF(AND(OR(Housemates!$C$14="",Housemates!$C$14&lt;=$B226),OR(Housemates!$D$14="",Housemates!$D$14&gt;=$B226)),IF($Q226=0,1,INDEX(Bills!$AG$6:$AG$25,$Q226)),0))))</f>
        <v/>
      </c>
      <c r="Z226">
        <f>IF(OR($D226="",$B226="",Housemates!$B$15=""),0,IF($R226&gt;0,IF(M226="",0,IF(ISNUMBER(M226),M226,1)),IF($C226="Paying back",0,IF(AND(OR(Housemates!$C$15="",Housemates!$C$15&lt;=$B226),OR(Housemates!$D$15="",Housemates!$D$15&gt;=$B226)),IF($Q226=0,1,INDEX(Bills!$AH$6:$AH$25,$Q226)),0))))</f>
        <v/>
      </c>
      <c r="AA226">
        <f>SUM(S226:Z226)</f>
        <v/>
      </c>
      <c r="AB226">
        <f>IF(AA226=0,0,D226*S226/AA226)</f>
        <v/>
      </c>
      <c r="AC226">
        <f>IF(AA226=0,0,D226*T226/AA226)</f>
        <v/>
      </c>
      <c r="AD226">
        <f>IF(AA226=0,0,D226*U226/AA226)</f>
        <v/>
      </c>
      <c r="AE226">
        <f>IF(AA226=0,0,D226*V226/AA226)</f>
        <v/>
      </c>
      <c r="AF226">
        <f>IF(AA226=0,0,D226*W226/AA226)</f>
        <v/>
      </c>
      <c r="AG226">
        <f>IF(AA226=0,0,D226*X226/AA226)</f>
        <v/>
      </c>
      <c r="AH226">
        <f>IF(AA226=0,0,D226*Y226/AA226)</f>
        <v/>
      </c>
      <c r="AI226">
        <f>IF(AA226=0,0,D226*Z226/AA226)</f>
        <v/>
      </c>
      <c r="AJ226">
        <f>IF(OR(C226="",B226=""),"",C226&amp;"|"&amp;(YEAR(B226)*100+MONTH(B226)))</f>
        <v/>
      </c>
    </row>
    <row r="227">
      <c r="A227" s="1" t="n"/>
      <c r="B227" s="23" t="n"/>
      <c r="C227" s="24" t="n"/>
      <c r="D227" s="25" t="n"/>
      <c r="E227" s="26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1">
        <f>IF(D227="","",IF(B227="","No date",IF(AND(C227="Paying back",R227=0),"To whom?",IF(AA227=0,"Nobody",IF(C227="Paying back","To "&amp;INDEX(Housemates!$B$8:$B$15,MATCH(MAX(S227:Z227),S227:Z227,0)),IF(R227&gt;0,IF(COUNTIF(S227:Z227,"&gt;0")=1,"1 person",COUNTIF(S227:Z227,"&gt;0")&amp;" people"),IF(Q227=0,"Everyone",INDEX(Bills!$Q$6:$Q$25,Q227))))))))</f>
        <v/>
      </c>
      <c r="O227" s="18">
        <f>IF(D227="","",IF(C227="Paying back","Paying back",IF(Q227=0,"Other",IF(INDEX(Bills!$C$6:$C$25,Q227)="","Other",INDEX(Bills!$C$6:$C$25,Q227)))))</f>
        <v/>
      </c>
      <c r="P227" s="1" t="n"/>
      <c r="Q227">
        <f>IF(C227="",0,IFERROR(MATCH(C227,Bills!$B$6:$B$25,0),0))</f>
        <v/>
      </c>
      <c r="R227">
        <f>COUNTA(F227:M227)</f>
        <v/>
      </c>
      <c r="S227">
        <f>IF(OR($D227="",$B227="",Housemates!$B$8=""),0,IF($R227&gt;0,IF(F227="",0,IF(ISNUMBER(F227),F227,1)),IF($C227="Paying back",0,IF(AND(OR(Housemates!$C$8="",Housemates!$C$8&lt;=$B227),OR(Housemates!$D$8="",Housemates!$D$8&gt;=$B227)),IF($Q227=0,1,INDEX(Bills!$AA$6:$AA$25,$Q227)),0))))</f>
        <v/>
      </c>
      <c r="T227">
        <f>IF(OR($D227="",$B227="",Housemates!$B$9=""),0,IF($R227&gt;0,IF(G227="",0,IF(ISNUMBER(G227),G227,1)),IF($C227="Paying back",0,IF(AND(OR(Housemates!$C$9="",Housemates!$C$9&lt;=$B227),OR(Housemates!$D$9="",Housemates!$D$9&gt;=$B227)),IF($Q227=0,1,INDEX(Bills!$AB$6:$AB$25,$Q227)),0))))</f>
        <v/>
      </c>
      <c r="U227">
        <f>IF(OR($D227="",$B227="",Housemates!$B$10=""),0,IF($R227&gt;0,IF(H227="",0,IF(ISNUMBER(H227),H227,1)),IF($C227="Paying back",0,IF(AND(OR(Housemates!$C$10="",Housemates!$C$10&lt;=$B227),OR(Housemates!$D$10="",Housemates!$D$10&gt;=$B227)),IF($Q227=0,1,INDEX(Bills!$AC$6:$AC$25,$Q227)),0))))</f>
        <v/>
      </c>
      <c r="V227">
        <f>IF(OR($D227="",$B227="",Housemates!$B$11=""),0,IF($R227&gt;0,IF(I227="",0,IF(ISNUMBER(I227),I227,1)),IF($C227="Paying back",0,IF(AND(OR(Housemates!$C$11="",Housemates!$C$11&lt;=$B227),OR(Housemates!$D$11="",Housemates!$D$11&gt;=$B227)),IF($Q227=0,1,INDEX(Bills!$AD$6:$AD$25,$Q227)),0))))</f>
        <v/>
      </c>
      <c r="W227">
        <f>IF(OR($D227="",$B227="",Housemates!$B$12=""),0,IF($R227&gt;0,IF(J227="",0,IF(ISNUMBER(J227),J227,1)),IF($C227="Paying back",0,IF(AND(OR(Housemates!$C$12="",Housemates!$C$12&lt;=$B227),OR(Housemates!$D$12="",Housemates!$D$12&gt;=$B227)),IF($Q227=0,1,INDEX(Bills!$AE$6:$AE$25,$Q227)),0))))</f>
        <v/>
      </c>
      <c r="X227">
        <f>IF(OR($D227="",$B227="",Housemates!$B$13=""),0,IF($R227&gt;0,IF(K227="",0,IF(ISNUMBER(K227),K227,1)),IF($C227="Paying back",0,IF(AND(OR(Housemates!$C$13="",Housemates!$C$13&lt;=$B227),OR(Housemates!$D$13="",Housemates!$D$13&gt;=$B227)),IF($Q227=0,1,INDEX(Bills!$AF$6:$AF$25,$Q227)),0))))</f>
        <v/>
      </c>
      <c r="Y227">
        <f>IF(OR($D227="",$B227="",Housemates!$B$14=""),0,IF($R227&gt;0,IF(L227="",0,IF(ISNUMBER(L227),L227,1)),IF($C227="Paying back",0,IF(AND(OR(Housemates!$C$14="",Housemates!$C$14&lt;=$B227),OR(Housemates!$D$14="",Housemates!$D$14&gt;=$B227)),IF($Q227=0,1,INDEX(Bills!$AG$6:$AG$25,$Q227)),0))))</f>
        <v/>
      </c>
      <c r="Z227">
        <f>IF(OR($D227="",$B227="",Housemates!$B$15=""),0,IF($R227&gt;0,IF(M227="",0,IF(ISNUMBER(M227),M227,1)),IF($C227="Paying back",0,IF(AND(OR(Housemates!$C$15="",Housemates!$C$15&lt;=$B227),OR(Housemates!$D$15="",Housemates!$D$15&gt;=$B227)),IF($Q227=0,1,INDEX(Bills!$AH$6:$AH$25,$Q227)),0))))</f>
        <v/>
      </c>
      <c r="AA227">
        <f>SUM(S227:Z227)</f>
        <v/>
      </c>
      <c r="AB227">
        <f>IF(AA227=0,0,D227*S227/AA227)</f>
        <v/>
      </c>
      <c r="AC227">
        <f>IF(AA227=0,0,D227*T227/AA227)</f>
        <v/>
      </c>
      <c r="AD227">
        <f>IF(AA227=0,0,D227*U227/AA227)</f>
        <v/>
      </c>
      <c r="AE227">
        <f>IF(AA227=0,0,D227*V227/AA227)</f>
        <v/>
      </c>
      <c r="AF227">
        <f>IF(AA227=0,0,D227*W227/AA227)</f>
        <v/>
      </c>
      <c r="AG227">
        <f>IF(AA227=0,0,D227*X227/AA227)</f>
        <v/>
      </c>
      <c r="AH227">
        <f>IF(AA227=0,0,D227*Y227/AA227)</f>
        <v/>
      </c>
      <c r="AI227">
        <f>IF(AA227=0,0,D227*Z227/AA227)</f>
        <v/>
      </c>
      <c r="AJ227">
        <f>IF(OR(C227="",B227=""),"",C227&amp;"|"&amp;(YEAR(B227)*100+MONTH(B227)))</f>
        <v/>
      </c>
    </row>
    <row r="228">
      <c r="A228" s="1" t="n"/>
      <c r="B228" s="23" t="n"/>
      <c r="C228" s="24" t="n"/>
      <c r="D228" s="25" t="n"/>
      <c r="E228" s="26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1">
        <f>IF(D228="","",IF(B228="","No date",IF(AND(C228="Paying back",R228=0),"To whom?",IF(AA228=0,"Nobody",IF(C228="Paying back","To "&amp;INDEX(Housemates!$B$8:$B$15,MATCH(MAX(S228:Z228),S228:Z228,0)),IF(R228&gt;0,IF(COUNTIF(S228:Z228,"&gt;0")=1,"1 person",COUNTIF(S228:Z228,"&gt;0")&amp;" people"),IF(Q228=0,"Everyone",INDEX(Bills!$Q$6:$Q$25,Q228))))))))</f>
        <v/>
      </c>
      <c r="O228" s="18">
        <f>IF(D228="","",IF(C228="Paying back","Paying back",IF(Q228=0,"Other",IF(INDEX(Bills!$C$6:$C$25,Q228)="","Other",INDEX(Bills!$C$6:$C$25,Q228)))))</f>
        <v/>
      </c>
      <c r="P228" s="1" t="n"/>
      <c r="Q228">
        <f>IF(C228="",0,IFERROR(MATCH(C228,Bills!$B$6:$B$25,0),0))</f>
        <v/>
      </c>
      <c r="R228">
        <f>COUNTA(F228:M228)</f>
        <v/>
      </c>
      <c r="S228">
        <f>IF(OR($D228="",$B228="",Housemates!$B$8=""),0,IF($R228&gt;0,IF(F228="",0,IF(ISNUMBER(F228),F228,1)),IF($C228="Paying back",0,IF(AND(OR(Housemates!$C$8="",Housemates!$C$8&lt;=$B228),OR(Housemates!$D$8="",Housemates!$D$8&gt;=$B228)),IF($Q228=0,1,INDEX(Bills!$AA$6:$AA$25,$Q228)),0))))</f>
        <v/>
      </c>
      <c r="T228">
        <f>IF(OR($D228="",$B228="",Housemates!$B$9=""),0,IF($R228&gt;0,IF(G228="",0,IF(ISNUMBER(G228),G228,1)),IF($C228="Paying back",0,IF(AND(OR(Housemates!$C$9="",Housemates!$C$9&lt;=$B228),OR(Housemates!$D$9="",Housemates!$D$9&gt;=$B228)),IF($Q228=0,1,INDEX(Bills!$AB$6:$AB$25,$Q228)),0))))</f>
        <v/>
      </c>
      <c r="U228">
        <f>IF(OR($D228="",$B228="",Housemates!$B$10=""),0,IF($R228&gt;0,IF(H228="",0,IF(ISNUMBER(H228),H228,1)),IF($C228="Paying back",0,IF(AND(OR(Housemates!$C$10="",Housemates!$C$10&lt;=$B228),OR(Housemates!$D$10="",Housemates!$D$10&gt;=$B228)),IF($Q228=0,1,INDEX(Bills!$AC$6:$AC$25,$Q228)),0))))</f>
        <v/>
      </c>
      <c r="V228">
        <f>IF(OR($D228="",$B228="",Housemates!$B$11=""),0,IF($R228&gt;0,IF(I228="",0,IF(ISNUMBER(I228),I228,1)),IF($C228="Paying back",0,IF(AND(OR(Housemates!$C$11="",Housemates!$C$11&lt;=$B228),OR(Housemates!$D$11="",Housemates!$D$11&gt;=$B228)),IF($Q228=0,1,INDEX(Bills!$AD$6:$AD$25,$Q228)),0))))</f>
        <v/>
      </c>
      <c r="W228">
        <f>IF(OR($D228="",$B228="",Housemates!$B$12=""),0,IF($R228&gt;0,IF(J228="",0,IF(ISNUMBER(J228),J228,1)),IF($C228="Paying back",0,IF(AND(OR(Housemates!$C$12="",Housemates!$C$12&lt;=$B228),OR(Housemates!$D$12="",Housemates!$D$12&gt;=$B228)),IF($Q228=0,1,INDEX(Bills!$AE$6:$AE$25,$Q228)),0))))</f>
        <v/>
      </c>
      <c r="X228">
        <f>IF(OR($D228="",$B228="",Housemates!$B$13=""),0,IF($R228&gt;0,IF(K228="",0,IF(ISNUMBER(K228),K228,1)),IF($C228="Paying back",0,IF(AND(OR(Housemates!$C$13="",Housemates!$C$13&lt;=$B228),OR(Housemates!$D$13="",Housemates!$D$13&gt;=$B228)),IF($Q228=0,1,INDEX(Bills!$AF$6:$AF$25,$Q228)),0))))</f>
        <v/>
      </c>
      <c r="Y228">
        <f>IF(OR($D228="",$B228="",Housemates!$B$14=""),0,IF($R228&gt;0,IF(L228="",0,IF(ISNUMBER(L228),L228,1)),IF($C228="Paying back",0,IF(AND(OR(Housemates!$C$14="",Housemates!$C$14&lt;=$B228),OR(Housemates!$D$14="",Housemates!$D$14&gt;=$B228)),IF($Q228=0,1,INDEX(Bills!$AG$6:$AG$25,$Q228)),0))))</f>
        <v/>
      </c>
      <c r="Z228">
        <f>IF(OR($D228="",$B228="",Housemates!$B$15=""),0,IF($R228&gt;0,IF(M228="",0,IF(ISNUMBER(M228),M228,1)),IF($C228="Paying back",0,IF(AND(OR(Housemates!$C$15="",Housemates!$C$15&lt;=$B228),OR(Housemates!$D$15="",Housemates!$D$15&gt;=$B228)),IF($Q228=0,1,INDEX(Bills!$AH$6:$AH$25,$Q228)),0))))</f>
        <v/>
      </c>
      <c r="AA228">
        <f>SUM(S228:Z228)</f>
        <v/>
      </c>
      <c r="AB228">
        <f>IF(AA228=0,0,D228*S228/AA228)</f>
        <v/>
      </c>
      <c r="AC228">
        <f>IF(AA228=0,0,D228*T228/AA228)</f>
        <v/>
      </c>
      <c r="AD228">
        <f>IF(AA228=0,0,D228*U228/AA228)</f>
        <v/>
      </c>
      <c r="AE228">
        <f>IF(AA228=0,0,D228*V228/AA228)</f>
        <v/>
      </c>
      <c r="AF228">
        <f>IF(AA228=0,0,D228*W228/AA228)</f>
        <v/>
      </c>
      <c r="AG228">
        <f>IF(AA228=0,0,D228*X228/AA228)</f>
        <v/>
      </c>
      <c r="AH228">
        <f>IF(AA228=0,0,D228*Y228/AA228)</f>
        <v/>
      </c>
      <c r="AI228">
        <f>IF(AA228=0,0,D228*Z228/AA228)</f>
        <v/>
      </c>
      <c r="AJ228">
        <f>IF(OR(C228="",B228=""),"",C228&amp;"|"&amp;(YEAR(B228)*100+MONTH(B228)))</f>
        <v/>
      </c>
    </row>
    <row r="229">
      <c r="A229" s="1" t="n"/>
      <c r="B229" s="23" t="n"/>
      <c r="C229" s="24" t="n"/>
      <c r="D229" s="25" t="n"/>
      <c r="E229" s="26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1">
        <f>IF(D229="","",IF(B229="","No date",IF(AND(C229="Paying back",R229=0),"To whom?",IF(AA229=0,"Nobody",IF(C229="Paying back","To "&amp;INDEX(Housemates!$B$8:$B$15,MATCH(MAX(S229:Z229),S229:Z229,0)),IF(R229&gt;0,IF(COUNTIF(S229:Z229,"&gt;0")=1,"1 person",COUNTIF(S229:Z229,"&gt;0")&amp;" people"),IF(Q229=0,"Everyone",INDEX(Bills!$Q$6:$Q$25,Q229))))))))</f>
        <v/>
      </c>
      <c r="O229" s="18">
        <f>IF(D229="","",IF(C229="Paying back","Paying back",IF(Q229=0,"Other",IF(INDEX(Bills!$C$6:$C$25,Q229)="","Other",INDEX(Bills!$C$6:$C$25,Q229)))))</f>
        <v/>
      </c>
      <c r="P229" s="1" t="n"/>
      <c r="Q229">
        <f>IF(C229="",0,IFERROR(MATCH(C229,Bills!$B$6:$B$25,0),0))</f>
        <v/>
      </c>
      <c r="R229">
        <f>COUNTA(F229:M229)</f>
        <v/>
      </c>
      <c r="S229">
        <f>IF(OR($D229="",$B229="",Housemates!$B$8=""),0,IF($R229&gt;0,IF(F229="",0,IF(ISNUMBER(F229),F229,1)),IF($C229="Paying back",0,IF(AND(OR(Housemates!$C$8="",Housemates!$C$8&lt;=$B229),OR(Housemates!$D$8="",Housemates!$D$8&gt;=$B229)),IF($Q229=0,1,INDEX(Bills!$AA$6:$AA$25,$Q229)),0))))</f>
        <v/>
      </c>
      <c r="T229">
        <f>IF(OR($D229="",$B229="",Housemates!$B$9=""),0,IF($R229&gt;0,IF(G229="",0,IF(ISNUMBER(G229),G229,1)),IF($C229="Paying back",0,IF(AND(OR(Housemates!$C$9="",Housemates!$C$9&lt;=$B229),OR(Housemates!$D$9="",Housemates!$D$9&gt;=$B229)),IF($Q229=0,1,INDEX(Bills!$AB$6:$AB$25,$Q229)),0))))</f>
        <v/>
      </c>
      <c r="U229">
        <f>IF(OR($D229="",$B229="",Housemates!$B$10=""),0,IF($R229&gt;0,IF(H229="",0,IF(ISNUMBER(H229),H229,1)),IF($C229="Paying back",0,IF(AND(OR(Housemates!$C$10="",Housemates!$C$10&lt;=$B229),OR(Housemates!$D$10="",Housemates!$D$10&gt;=$B229)),IF($Q229=0,1,INDEX(Bills!$AC$6:$AC$25,$Q229)),0))))</f>
        <v/>
      </c>
      <c r="V229">
        <f>IF(OR($D229="",$B229="",Housemates!$B$11=""),0,IF($R229&gt;0,IF(I229="",0,IF(ISNUMBER(I229),I229,1)),IF($C229="Paying back",0,IF(AND(OR(Housemates!$C$11="",Housemates!$C$11&lt;=$B229),OR(Housemates!$D$11="",Housemates!$D$11&gt;=$B229)),IF($Q229=0,1,INDEX(Bills!$AD$6:$AD$25,$Q229)),0))))</f>
        <v/>
      </c>
      <c r="W229">
        <f>IF(OR($D229="",$B229="",Housemates!$B$12=""),0,IF($R229&gt;0,IF(J229="",0,IF(ISNUMBER(J229),J229,1)),IF($C229="Paying back",0,IF(AND(OR(Housemates!$C$12="",Housemates!$C$12&lt;=$B229),OR(Housemates!$D$12="",Housemates!$D$12&gt;=$B229)),IF($Q229=0,1,INDEX(Bills!$AE$6:$AE$25,$Q229)),0))))</f>
        <v/>
      </c>
      <c r="X229">
        <f>IF(OR($D229="",$B229="",Housemates!$B$13=""),0,IF($R229&gt;0,IF(K229="",0,IF(ISNUMBER(K229),K229,1)),IF($C229="Paying back",0,IF(AND(OR(Housemates!$C$13="",Housemates!$C$13&lt;=$B229),OR(Housemates!$D$13="",Housemates!$D$13&gt;=$B229)),IF($Q229=0,1,INDEX(Bills!$AF$6:$AF$25,$Q229)),0))))</f>
        <v/>
      </c>
      <c r="Y229">
        <f>IF(OR($D229="",$B229="",Housemates!$B$14=""),0,IF($R229&gt;0,IF(L229="",0,IF(ISNUMBER(L229),L229,1)),IF($C229="Paying back",0,IF(AND(OR(Housemates!$C$14="",Housemates!$C$14&lt;=$B229),OR(Housemates!$D$14="",Housemates!$D$14&gt;=$B229)),IF($Q229=0,1,INDEX(Bills!$AG$6:$AG$25,$Q229)),0))))</f>
        <v/>
      </c>
      <c r="Z229">
        <f>IF(OR($D229="",$B229="",Housemates!$B$15=""),0,IF($R229&gt;0,IF(M229="",0,IF(ISNUMBER(M229),M229,1)),IF($C229="Paying back",0,IF(AND(OR(Housemates!$C$15="",Housemates!$C$15&lt;=$B229),OR(Housemates!$D$15="",Housemates!$D$15&gt;=$B229)),IF($Q229=0,1,INDEX(Bills!$AH$6:$AH$25,$Q229)),0))))</f>
        <v/>
      </c>
      <c r="AA229">
        <f>SUM(S229:Z229)</f>
        <v/>
      </c>
      <c r="AB229">
        <f>IF(AA229=0,0,D229*S229/AA229)</f>
        <v/>
      </c>
      <c r="AC229">
        <f>IF(AA229=0,0,D229*T229/AA229)</f>
        <v/>
      </c>
      <c r="AD229">
        <f>IF(AA229=0,0,D229*U229/AA229)</f>
        <v/>
      </c>
      <c r="AE229">
        <f>IF(AA229=0,0,D229*V229/AA229)</f>
        <v/>
      </c>
      <c r="AF229">
        <f>IF(AA229=0,0,D229*W229/AA229)</f>
        <v/>
      </c>
      <c r="AG229">
        <f>IF(AA229=0,0,D229*X229/AA229)</f>
        <v/>
      </c>
      <c r="AH229">
        <f>IF(AA229=0,0,D229*Y229/AA229)</f>
        <v/>
      </c>
      <c r="AI229">
        <f>IF(AA229=0,0,D229*Z229/AA229)</f>
        <v/>
      </c>
      <c r="AJ229">
        <f>IF(OR(C229="",B229=""),"",C229&amp;"|"&amp;(YEAR(B229)*100+MONTH(B229)))</f>
        <v/>
      </c>
    </row>
    <row r="230">
      <c r="A230" s="1" t="n"/>
      <c r="B230" s="23" t="n"/>
      <c r="C230" s="24" t="n"/>
      <c r="D230" s="25" t="n"/>
      <c r="E230" s="26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1">
        <f>IF(D230="","",IF(B230="","No date",IF(AND(C230="Paying back",R230=0),"To whom?",IF(AA230=0,"Nobody",IF(C230="Paying back","To "&amp;INDEX(Housemates!$B$8:$B$15,MATCH(MAX(S230:Z230),S230:Z230,0)),IF(R230&gt;0,IF(COUNTIF(S230:Z230,"&gt;0")=1,"1 person",COUNTIF(S230:Z230,"&gt;0")&amp;" people"),IF(Q230=0,"Everyone",INDEX(Bills!$Q$6:$Q$25,Q230))))))))</f>
        <v/>
      </c>
      <c r="O230" s="18">
        <f>IF(D230="","",IF(C230="Paying back","Paying back",IF(Q230=0,"Other",IF(INDEX(Bills!$C$6:$C$25,Q230)="","Other",INDEX(Bills!$C$6:$C$25,Q230)))))</f>
        <v/>
      </c>
      <c r="P230" s="1" t="n"/>
      <c r="Q230">
        <f>IF(C230="",0,IFERROR(MATCH(C230,Bills!$B$6:$B$25,0),0))</f>
        <v/>
      </c>
      <c r="R230">
        <f>COUNTA(F230:M230)</f>
        <v/>
      </c>
      <c r="S230">
        <f>IF(OR($D230="",$B230="",Housemates!$B$8=""),0,IF($R230&gt;0,IF(F230="",0,IF(ISNUMBER(F230),F230,1)),IF($C230="Paying back",0,IF(AND(OR(Housemates!$C$8="",Housemates!$C$8&lt;=$B230),OR(Housemates!$D$8="",Housemates!$D$8&gt;=$B230)),IF($Q230=0,1,INDEX(Bills!$AA$6:$AA$25,$Q230)),0))))</f>
        <v/>
      </c>
      <c r="T230">
        <f>IF(OR($D230="",$B230="",Housemates!$B$9=""),0,IF($R230&gt;0,IF(G230="",0,IF(ISNUMBER(G230),G230,1)),IF($C230="Paying back",0,IF(AND(OR(Housemates!$C$9="",Housemates!$C$9&lt;=$B230),OR(Housemates!$D$9="",Housemates!$D$9&gt;=$B230)),IF($Q230=0,1,INDEX(Bills!$AB$6:$AB$25,$Q230)),0))))</f>
        <v/>
      </c>
      <c r="U230">
        <f>IF(OR($D230="",$B230="",Housemates!$B$10=""),0,IF($R230&gt;0,IF(H230="",0,IF(ISNUMBER(H230),H230,1)),IF($C230="Paying back",0,IF(AND(OR(Housemates!$C$10="",Housemates!$C$10&lt;=$B230),OR(Housemates!$D$10="",Housemates!$D$10&gt;=$B230)),IF($Q230=0,1,INDEX(Bills!$AC$6:$AC$25,$Q230)),0))))</f>
        <v/>
      </c>
      <c r="V230">
        <f>IF(OR($D230="",$B230="",Housemates!$B$11=""),0,IF($R230&gt;0,IF(I230="",0,IF(ISNUMBER(I230),I230,1)),IF($C230="Paying back",0,IF(AND(OR(Housemates!$C$11="",Housemates!$C$11&lt;=$B230),OR(Housemates!$D$11="",Housemates!$D$11&gt;=$B230)),IF($Q230=0,1,INDEX(Bills!$AD$6:$AD$25,$Q230)),0))))</f>
        <v/>
      </c>
      <c r="W230">
        <f>IF(OR($D230="",$B230="",Housemates!$B$12=""),0,IF($R230&gt;0,IF(J230="",0,IF(ISNUMBER(J230),J230,1)),IF($C230="Paying back",0,IF(AND(OR(Housemates!$C$12="",Housemates!$C$12&lt;=$B230),OR(Housemates!$D$12="",Housemates!$D$12&gt;=$B230)),IF($Q230=0,1,INDEX(Bills!$AE$6:$AE$25,$Q230)),0))))</f>
        <v/>
      </c>
      <c r="X230">
        <f>IF(OR($D230="",$B230="",Housemates!$B$13=""),0,IF($R230&gt;0,IF(K230="",0,IF(ISNUMBER(K230),K230,1)),IF($C230="Paying back",0,IF(AND(OR(Housemates!$C$13="",Housemates!$C$13&lt;=$B230),OR(Housemates!$D$13="",Housemates!$D$13&gt;=$B230)),IF($Q230=0,1,INDEX(Bills!$AF$6:$AF$25,$Q230)),0))))</f>
        <v/>
      </c>
      <c r="Y230">
        <f>IF(OR($D230="",$B230="",Housemates!$B$14=""),0,IF($R230&gt;0,IF(L230="",0,IF(ISNUMBER(L230),L230,1)),IF($C230="Paying back",0,IF(AND(OR(Housemates!$C$14="",Housemates!$C$14&lt;=$B230),OR(Housemates!$D$14="",Housemates!$D$14&gt;=$B230)),IF($Q230=0,1,INDEX(Bills!$AG$6:$AG$25,$Q230)),0))))</f>
        <v/>
      </c>
      <c r="Z230">
        <f>IF(OR($D230="",$B230="",Housemates!$B$15=""),0,IF($R230&gt;0,IF(M230="",0,IF(ISNUMBER(M230),M230,1)),IF($C230="Paying back",0,IF(AND(OR(Housemates!$C$15="",Housemates!$C$15&lt;=$B230),OR(Housemates!$D$15="",Housemates!$D$15&gt;=$B230)),IF($Q230=0,1,INDEX(Bills!$AH$6:$AH$25,$Q230)),0))))</f>
        <v/>
      </c>
      <c r="AA230">
        <f>SUM(S230:Z230)</f>
        <v/>
      </c>
      <c r="AB230">
        <f>IF(AA230=0,0,D230*S230/AA230)</f>
        <v/>
      </c>
      <c r="AC230">
        <f>IF(AA230=0,0,D230*T230/AA230)</f>
        <v/>
      </c>
      <c r="AD230">
        <f>IF(AA230=0,0,D230*U230/AA230)</f>
        <v/>
      </c>
      <c r="AE230">
        <f>IF(AA230=0,0,D230*V230/AA230)</f>
        <v/>
      </c>
      <c r="AF230">
        <f>IF(AA230=0,0,D230*W230/AA230)</f>
        <v/>
      </c>
      <c r="AG230">
        <f>IF(AA230=0,0,D230*X230/AA230)</f>
        <v/>
      </c>
      <c r="AH230">
        <f>IF(AA230=0,0,D230*Y230/AA230)</f>
        <v/>
      </c>
      <c r="AI230">
        <f>IF(AA230=0,0,D230*Z230/AA230)</f>
        <v/>
      </c>
      <c r="AJ230">
        <f>IF(OR(C230="",B230=""),"",C230&amp;"|"&amp;(YEAR(B230)*100+MONTH(B230)))</f>
        <v/>
      </c>
    </row>
    <row r="231">
      <c r="A231" s="1" t="n"/>
      <c r="B231" s="23" t="n"/>
      <c r="C231" s="24" t="n"/>
      <c r="D231" s="25" t="n"/>
      <c r="E231" s="26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1">
        <f>IF(D231="","",IF(B231="","No date",IF(AND(C231="Paying back",R231=0),"To whom?",IF(AA231=0,"Nobody",IF(C231="Paying back","To "&amp;INDEX(Housemates!$B$8:$B$15,MATCH(MAX(S231:Z231),S231:Z231,0)),IF(R231&gt;0,IF(COUNTIF(S231:Z231,"&gt;0")=1,"1 person",COUNTIF(S231:Z231,"&gt;0")&amp;" people"),IF(Q231=0,"Everyone",INDEX(Bills!$Q$6:$Q$25,Q231))))))))</f>
        <v/>
      </c>
      <c r="O231" s="18">
        <f>IF(D231="","",IF(C231="Paying back","Paying back",IF(Q231=0,"Other",IF(INDEX(Bills!$C$6:$C$25,Q231)="","Other",INDEX(Bills!$C$6:$C$25,Q231)))))</f>
        <v/>
      </c>
      <c r="P231" s="1" t="n"/>
      <c r="Q231">
        <f>IF(C231="",0,IFERROR(MATCH(C231,Bills!$B$6:$B$25,0),0))</f>
        <v/>
      </c>
      <c r="R231">
        <f>COUNTA(F231:M231)</f>
        <v/>
      </c>
      <c r="S231">
        <f>IF(OR($D231="",$B231="",Housemates!$B$8=""),0,IF($R231&gt;0,IF(F231="",0,IF(ISNUMBER(F231),F231,1)),IF($C231="Paying back",0,IF(AND(OR(Housemates!$C$8="",Housemates!$C$8&lt;=$B231),OR(Housemates!$D$8="",Housemates!$D$8&gt;=$B231)),IF($Q231=0,1,INDEX(Bills!$AA$6:$AA$25,$Q231)),0))))</f>
        <v/>
      </c>
      <c r="T231">
        <f>IF(OR($D231="",$B231="",Housemates!$B$9=""),0,IF($R231&gt;0,IF(G231="",0,IF(ISNUMBER(G231),G231,1)),IF($C231="Paying back",0,IF(AND(OR(Housemates!$C$9="",Housemates!$C$9&lt;=$B231),OR(Housemates!$D$9="",Housemates!$D$9&gt;=$B231)),IF($Q231=0,1,INDEX(Bills!$AB$6:$AB$25,$Q231)),0))))</f>
        <v/>
      </c>
      <c r="U231">
        <f>IF(OR($D231="",$B231="",Housemates!$B$10=""),0,IF($R231&gt;0,IF(H231="",0,IF(ISNUMBER(H231),H231,1)),IF($C231="Paying back",0,IF(AND(OR(Housemates!$C$10="",Housemates!$C$10&lt;=$B231),OR(Housemates!$D$10="",Housemates!$D$10&gt;=$B231)),IF($Q231=0,1,INDEX(Bills!$AC$6:$AC$25,$Q231)),0))))</f>
        <v/>
      </c>
      <c r="V231">
        <f>IF(OR($D231="",$B231="",Housemates!$B$11=""),0,IF($R231&gt;0,IF(I231="",0,IF(ISNUMBER(I231),I231,1)),IF($C231="Paying back",0,IF(AND(OR(Housemates!$C$11="",Housemates!$C$11&lt;=$B231),OR(Housemates!$D$11="",Housemates!$D$11&gt;=$B231)),IF($Q231=0,1,INDEX(Bills!$AD$6:$AD$25,$Q231)),0))))</f>
        <v/>
      </c>
      <c r="W231">
        <f>IF(OR($D231="",$B231="",Housemates!$B$12=""),0,IF($R231&gt;0,IF(J231="",0,IF(ISNUMBER(J231),J231,1)),IF($C231="Paying back",0,IF(AND(OR(Housemates!$C$12="",Housemates!$C$12&lt;=$B231),OR(Housemates!$D$12="",Housemates!$D$12&gt;=$B231)),IF($Q231=0,1,INDEX(Bills!$AE$6:$AE$25,$Q231)),0))))</f>
        <v/>
      </c>
      <c r="X231">
        <f>IF(OR($D231="",$B231="",Housemates!$B$13=""),0,IF($R231&gt;0,IF(K231="",0,IF(ISNUMBER(K231),K231,1)),IF($C231="Paying back",0,IF(AND(OR(Housemates!$C$13="",Housemates!$C$13&lt;=$B231),OR(Housemates!$D$13="",Housemates!$D$13&gt;=$B231)),IF($Q231=0,1,INDEX(Bills!$AF$6:$AF$25,$Q231)),0))))</f>
        <v/>
      </c>
      <c r="Y231">
        <f>IF(OR($D231="",$B231="",Housemates!$B$14=""),0,IF($R231&gt;0,IF(L231="",0,IF(ISNUMBER(L231),L231,1)),IF($C231="Paying back",0,IF(AND(OR(Housemates!$C$14="",Housemates!$C$14&lt;=$B231),OR(Housemates!$D$14="",Housemates!$D$14&gt;=$B231)),IF($Q231=0,1,INDEX(Bills!$AG$6:$AG$25,$Q231)),0))))</f>
        <v/>
      </c>
      <c r="Z231">
        <f>IF(OR($D231="",$B231="",Housemates!$B$15=""),0,IF($R231&gt;0,IF(M231="",0,IF(ISNUMBER(M231),M231,1)),IF($C231="Paying back",0,IF(AND(OR(Housemates!$C$15="",Housemates!$C$15&lt;=$B231),OR(Housemates!$D$15="",Housemates!$D$15&gt;=$B231)),IF($Q231=0,1,INDEX(Bills!$AH$6:$AH$25,$Q231)),0))))</f>
        <v/>
      </c>
      <c r="AA231">
        <f>SUM(S231:Z231)</f>
        <v/>
      </c>
      <c r="AB231">
        <f>IF(AA231=0,0,D231*S231/AA231)</f>
        <v/>
      </c>
      <c r="AC231">
        <f>IF(AA231=0,0,D231*T231/AA231)</f>
        <v/>
      </c>
      <c r="AD231">
        <f>IF(AA231=0,0,D231*U231/AA231)</f>
        <v/>
      </c>
      <c r="AE231">
        <f>IF(AA231=0,0,D231*V231/AA231)</f>
        <v/>
      </c>
      <c r="AF231">
        <f>IF(AA231=0,0,D231*W231/AA231)</f>
        <v/>
      </c>
      <c r="AG231">
        <f>IF(AA231=0,0,D231*X231/AA231)</f>
        <v/>
      </c>
      <c r="AH231">
        <f>IF(AA231=0,0,D231*Y231/AA231)</f>
        <v/>
      </c>
      <c r="AI231">
        <f>IF(AA231=0,0,D231*Z231/AA231)</f>
        <v/>
      </c>
      <c r="AJ231">
        <f>IF(OR(C231="",B231=""),"",C231&amp;"|"&amp;(YEAR(B231)*100+MONTH(B231)))</f>
        <v/>
      </c>
    </row>
    <row r="232">
      <c r="A232" s="1" t="n"/>
      <c r="B232" s="23" t="n"/>
      <c r="C232" s="24" t="n"/>
      <c r="D232" s="25" t="n"/>
      <c r="E232" s="26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1">
        <f>IF(D232="","",IF(B232="","No date",IF(AND(C232="Paying back",R232=0),"To whom?",IF(AA232=0,"Nobody",IF(C232="Paying back","To "&amp;INDEX(Housemates!$B$8:$B$15,MATCH(MAX(S232:Z232),S232:Z232,0)),IF(R232&gt;0,IF(COUNTIF(S232:Z232,"&gt;0")=1,"1 person",COUNTIF(S232:Z232,"&gt;0")&amp;" people"),IF(Q232=0,"Everyone",INDEX(Bills!$Q$6:$Q$25,Q232))))))))</f>
        <v/>
      </c>
      <c r="O232" s="18">
        <f>IF(D232="","",IF(C232="Paying back","Paying back",IF(Q232=0,"Other",IF(INDEX(Bills!$C$6:$C$25,Q232)="","Other",INDEX(Bills!$C$6:$C$25,Q232)))))</f>
        <v/>
      </c>
      <c r="P232" s="1" t="n"/>
      <c r="Q232">
        <f>IF(C232="",0,IFERROR(MATCH(C232,Bills!$B$6:$B$25,0),0))</f>
        <v/>
      </c>
      <c r="R232">
        <f>COUNTA(F232:M232)</f>
        <v/>
      </c>
      <c r="S232">
        <f>IF(OR($D232="",$B232="",Housemates!$B$8=""),0,IF($R232&gt;0,IF(F232="",0,IF(ISNUMBER(F232),F232,1)),IF($C232="Paying back",0,IF(AND(OR(Housemates!$C$8="",Housemates!$C$8&lt;=$B232),OR(Housemates!$D$8="",Housemates!$D$8&gt;=$B232)),IF($Q232=0,1,INDEX(Bills!$AA$6:$AA$25,$Q232)),0))))</f>
        <v/>
      </c>
      <c r="T232">
        <f>IF(OR($D232="",$B232="",Housemates!$B$9=""),0,IF($R232&gt;0,IF(G232="",0,IF(ISNUMBER(G232),G232,1)),IF($C232="Paying back",0,IF(AND(OR(Housemates!$C$9="",Housemates!$C$9&lt;=$B232),OR(Housemates!$D$9="",Housemates!$D$9&gt;=$B232)),IF($Q232=0,1,INDEX(Bills!$AB$6:$AB$25,$Q232)),0))))</f>
        <v/>
      </c>
      <c r="U232">
        <f>IF(OR($D232="",$B232="",Housemates!$B$10=""),0,IF($R232&gt;0,IF(H232="",0,IF(ISNUMBER(H232),H232,1)),IF($C232="Paying back",0,IF(AND(OR(Housemates!$C$10="",Housemates!$C$10&lt;=$B232),OR(Housemates!$D$10="",Housemates!$D$10&gt;=$B232)),IF($Q232=0,1,INDEX(Bills!$AC$6:$AC$25,$Q232)),0))))</f>
        <v/>
      </c>
      <c r="V232">
        <f>IF(OR($D232="",$B232="",Housemates!$B$11=""),0,IF($R232&gt;0,IF(I232="",0,IF(ISNUMBER(I232),I232,1)),IF($C232="Paying back",0,IF(AND(OR(Housemates!$C$11="",Housemates!$C$11&lt;=$B232),OR(Housemates!$D$11="",Housemates!$D$11&gt;=$B232)),IF($Q232=0,1,INDEX(Bills!$AD$6:$AD$25,$Q232)),0))))</f>
        <v/>
      </c>
      <c r="W232">
        <f>IF(OR($D232="",$B232="",Housemates!$B$12=""),0,IF($R232&gt;0,IF(J232="",0,IF(ISNUMBER(J232),J232,1)),IF($C232="Paying back",0,IF(AND(OR(Housemates!$C$12="",Housemates!$C$12&lt;=$B232),OR(Housemates!$D$12="",Housemates!$D$12&gt;=$B232)),IF($Q232=0,1,INDEX(Bills!$AE$6:$AE$25,$Q232)),0))))</f>
        <v/>
      </c>
      <c r="X232">
        <f>IF(OR($D232="",$B232="",Housemates!$B$13=""),0,IF($R232&gt;0,IF(K232="",0,IF(ISNUMBER(K232),K232,1)),IF($C232="Paying back",0,IF(AND(OR(Housemates!$C$13="",Housemates!$C$13&lt;=$B232),OR(Housemates!$D$13="",Housemates!$D$13&gt;=$B232)),IF($Q232=0,1,INDEX(Bills!$AF$6:$AF$25,$Q232)),0))))</f>
        <v/>
      </c>
      <c r="Y232">
        <f>IF(OR($D232="",$B232="",Housemates!$B$14=""),0,IF($R232&gt;0,IF(L232="",0,IF(ISNUMBER(L232),L232,1)),IF($C232="Paying back",0,IF(AND(OR(Housemates!$C$14="",Housemates!$C$14&lt;=$B232),OR(Housemates!$D$14="",Housemates!$D$14&gt;=$B232)),IF($Q232=0,1,INDEX(Bills!$AG$6:$AG$25,$Q232)),0))))</f>
        <v/>
      </c>
      <c r="Z232">
        <f>IF(OR($D232="",$B232="",Housemates!$B$15=""),0,IF($R232&gt;0,IF(M232="",0,IF(ISNUMBER(M232),M232,1)),IF($C232="Paying back",0,IF(AND(OR(Housemates!$C$15="",Housemates!$C$15&lt;=$B232),OR(Housemates!$D$15="",Housemates!$D$15&gt;=$B232)),IF($Q232=0,1,INDEX(Bills!$AH$6:$AH$25,$Q232)),0))))</f>
        <v/>
      </c>
      <c r="AA232">
        <f>SUM(S232:Z232)</f>
        <v/>
      </c>
      <c r="AB232">
        <f>IF(AA232=0,0,D232*S232/AA232)</f>
        <v/>
      </c>
      <c r="AC232">
        <f>IF(AA232=0,0,D232*T232/AA232)</f>
        <v/>
      </c>
      <c r="AD232">
        <f>IF(AA232=0,0,D232*U232/AA232)</f>
        <v/>
      </c>
      <c r="AE232">
        <f>IF(AA232=0,0,D232*V232/AA232)</f>
        <v/>
      </c>
      <c r="AF232">
        <f>IF(AA232=0,0,D232*W232/AA232)</f>
        <v/>
      </c>
      <c r="AG232">
        <f>IF(AA232=0,0,D232*X232/AA232)</f>
        <v/>
      </c>
      <c r="AH232">
        <f>IF(AA232=0,0,D232*Y232/AA232)</f>
        <v/>
      </c>
      <c r="AI232">
        <f>IF(AA232=0,0,D232*Z232/AA232)</f>
        <v/>
      </c>
      <c r="AJ232">
        <f>IF(OR(C232="",B232=""),"",C232&amp;"|"&amp;(YEAR(B232)*100+MONTH(B232)))</f>
        <v/>
      </c>
    </row>
    <row r="233">
      <c r="A233" s="1" t="n"/>
      <c r="B233" s="23" t="n"/>
      <c r="C233" s="24" t="n"/>
      <c r="D233" s="25" t="n"/>
      <c r="E233" s="26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1">
        <f>IF(D233="","",IF(B233="","No date",IF(AND(C233="Paying back",R233=0),"To whom?",IF(AA233=0,"Nobody",IF(C233="Paying back","To "&amp;INDEX(Housemates!$B$8:$B$15,MATCH(MAX(S233:Z233),S233:Z233,0)),IF(R233&gt;0,IF(COUNTIF(S233:Z233,"&gt;0")=1,"1 person",COUNTIF(S233:Z233,"&gt;0")&amp;" people"),IF(Q233=0,"Everyone",INDEX(Bills!$Q$6:$Q$25,Q233))))))))</f>
        <v/>
      </c>
      <c r="O233" s="18">
        <f>IF(D233="","",IF(C233="Paying back","Paying back",IF(Q233=0,"Other",IF(INDEX(Bills!$C$6:$C$25,Q233)="","Other",INDEX(Bills!$C$6:$C$25,Q233)))))</f>
        <v/>
      </c>
      <c r="P233" s="1" t="n"/>
      <c r="Q233">
        <f>IF(C233="",0,IFERROR(MATCH(C233,Bills!$B$6:$B$25,0),0))</f>
        <v/>
      </c>
      <c r="R233">
        <f>COUNTA(F233:M233)</f>
        <v/>
      </c>
      <c r="S233">
        <f>IF(OR($D233="",$B233="",Housemates!$B$8=""),0,IF($R233&gt;0,IF(F233="",0,IF(ISNUMBER(F233),F233,1)),IF($C233="Paying back",0,IF(AND(OR(Housemates!$C$8="",Housemates!$C$8&lt;=$B233),OR(Housemates!$D$8="",Housemates!$D$8&gt;=$B233)),IF($Q233=0,1,INDEX(Bills!$AA$6:$AA$25,$Q233)),0))))</f>
        <v/>
      </c>
      <c r="T233">
        <f>IF(OR($D233="",$B233="",Housemates!$B$9=""),0,IF($R233&gt;0,IF(G233="",0,IF(ISNUMBER(G233),G233,1)),IF($C233="Paying back",0,IF(AND(OR(Housemates!$C$9="",Housemates!$C$9&lt;=$B233),OR(Housemates!$D$9="",Housemates!$D$9&gt;=$B233)),IF($Q233=0,1,INDEX(Bills!$AB$6:$AB$25,$Q233)),0))))</f>
        <v/>
      </c>
      <c r="U233">
        <f>IF(OR($D233="",$B233="",Housemates!$B$10=""),0,IF($R233&gt;0,IF(H233="",0,IF(ISNUMBER(H233),H233,1)),IF($C233="Paying back",0,IF(AND(OR(Housemates!$C$10="",Housemates!$C$10&lt;=$B233),OR(Housemates!$D$10="",Housemates!$D$10&gt;=$B233)),IF($Q233=0,1,INDEX(Bills!$AC$6:$AC$25,$Q233)),0))))</f>
        <v/>
      </c>
      <c r="V233">
        <f>IF(OR($D233="",$B233="",Housemates!$B$11=""),0,IF($R233&gt;0,IF(I233="",0,IF(ISNUMBER(I233),I233,1)),IF($C233="Paying back",0,IF(AND(OR(Housemates!$C$11="",Housemates!$C$11&lt;=$B233),OR(Housemates!$D$11="",Housemates!$D$11&gt;=$B233)),IF($Q233=0,1,INDEX(Bills!$AD$6:$AD$25,$Q233)),0))))</f>
        <v/>
      </c>
      <c r="W233">
        <f>IF(OR($D233="",$B233="",Housemates!$B$12=""),0,IF($R233&gt;0,IF(J233="",0,IF(ISNUMBER(J233),J233,1)),IF($C233="Paying back",0,IF(AND(OR(Housemates!$C$12="",Housemates!$C$12&lt;=$B233),OR(Housemates!$D$12="",Housemates!$D$12&gt;=$B233)),IF($Q233=0,1,INDEX(Bills!$AE$6:$AE$25,$Q233)),0))))</f>
        <v/>
      </c>
      <c r="X233">
        <f>IF(OR($D233="",$B233="",Housemates!$B$13=""),0,IF($R233&gt;0,IF(K233="",0,IF(ISNUMBER(K233),K233,1)),IF($C233="Paying back",0,IF(AND(OR(Housemates!$C$13="",Housemates!$C$13&lt;=$B233),OR(Housemates!$D$13="",Housemates!$D$13&gt;=$B233)),IF($Q233=0,1,INDEX(Bills!$AF$6:$AF$25,$Q233)),0))))</f>
        <v/>
      </c>
      <c r="Y233">
        <f>IF(OR($D233="",$B233="",Housemates!$B$14=""),0,IF($R233&gt;0,IF(L233="",0,IF(ISNUMBER(L233),L233,1)),IF($C233="Paying back",0,IF(AND(OR(Housemates!$C$14="",Housemates!$C$14&lt;=$B233),OR(Housemates!$D$14="",Housemates!$D$14&gt;=$B233)),IF($Q233=0,1,INDEX(Bills!$AG$6:$AG$25,$Q233)),0))))</f>
        <v/>
      </c>
      <c r="Z233">
        <f>IF(OR($D233="",$B233="",Housemates!$B$15=""),0,IF($R233&gt;0,IF(M233="",0,IF(ISNUMBER(M233),M233,1)),IF($C233="Paying back",0,IF(AND(OR(Housemates!$C$15="",Housemates!$C$15&lt;=$B233),OR(Housemates!$D$15="",Housemates!$D$15&gt;=$B233)),IF($Q233=0,1,INDEX(Bills!$AH$6:$AH$25,$Q233)),0))))</f>
        <v/>
      </c>
      <c r="AA233">
        <f>SUM(S233:Z233)</f>
        <v/>
      </c>
      <c r="AB233">
        <f>IF(AA233=0,0,D233*S233/AA233)</f>
        <v/>
      </c>
      <c r="AC233">
        <f>IF(AA233=0,0,D233*T233/AA233)</f>
        <v/>
      </c>
      <c r="AD233">
        <f>IF(AA233=0,0,D233*U233/AA233)</f>
        <v/>
      </c>
      <c r="AE233">
        <f>IF(AA233=0,0,D233*V233/AA233)</f>
        <v/>
      </c>
      <c r="AF233">
        <f>IF(AA233=0,0,D233*W233/AA233)</f>
        <v/>
      </c>
      <c r="AG233">
        <f>IF(AA233=0,0,D233*X233/AA233)</f>
        <v/>
      </c>
      <c r="AH233">
        <f>IF(AA233=0,0,D233*Y233/AA233)</f>
        <v/>
      </c>
      <c r="AI233">
        <f>IF(AA233=0,0,D233*Z233/AA233)</f>
        <v/>
      </c>
      <c r="AJ233">
        <f>IF(OR(C233="",B233=""),"",C233&amp;"|"&amp;(YEAR(B233)*100+MONTH(B233)))</f>
        <v/>
      </c>
    </row>
    <row r="234">
      <c r="A234" s="1" t="n"/>
      <c r="B234" s="23" t="n"/>
      <c r="C234" s="24" t="n"/>
      <c r="D234" s="25" t="n"/>
      <c r="E234" s="26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1">
        <f>IF(D234="","",IF(B234="","No date",IF(AND(C234="Paying back",R234=0),"To whom?",IF(AA234=0,"Nobody",IF(C234="Paying back","To "&amp;INDEX(Housemates!$B$8:$B$15,MATCH(MAX(S234:Z234),S234:Z234,0)),IF(R234&gt;0,IF(COUNTIF(S234:Z234,"&gt;0")=1,"1 person",COUNTIF(S234:Z234,"&gt;0")&amp;" people"),IF(Q234=0,"Everyone",INDEX(Bills!$Q$6:$Q$25,Q234))))))))</f>
        <v/>
      </c>
      <c r="O234" s="18">
        <f>IF(D234="","",IF(C234="Paying back","Paying back",IF(Q234=0,"Other",IF(INDEX(Bills!$C$6:$C$25,Q234)="","Other",INDEX(Bills!$C$6:$C$25,Q234)))))</f>
        <v/>
      </c>
      <c r="P234" s="1" t="n"/>
      <c r="Q234">
        <f>IF(C234="",0,IFERROR(MATCH(C234,Bills!$B$6:$B$25,0),0))</f>
        <v/>
      </c>
      <c r="R234">
        <f>COUNTA(F234:M234)</f>
        <v/>
      </c>
      <c r="S234">
        <f>IF(OR($D234="",$B234="",Housemates!$B$8=""),0,IF($R234&gt;0,IF(F234="",0,IF(ISNUMBER(F234),F234,1)),IF($C234="Paying back",0,IF(AND(OR(Housemates!$C$8="",Housemates!$C$8&lt;=$B234),OR(Housemates!$D$8="",Housemates!$D$8&gt;=$B234)),IF($Q234=0,1,INDEX(Bills!$AA$6:$AA$25,$Q234)),0))))</f>
        <v/>
      </c>
      <c r="T234">
        <f>IF(OR($D234="",$B234="",Housemates!$B$9=""),0,IF($R234&gt;0,IF(G234="",0,IF(ISNUMBER(G234),G234,1)),IF($C234="Paying back",0,IF(AND(OR(Housemates!$C$9="",Housemates!$C$9&lt;=$B234),OR(Housemates!$D$9="",Housemates!$D$9&gt;=$B234)),IF($Q234=0,1,INDEX(Bills!$AB$6:$AB$25,$Q234)),0))))</f>
        <v/>
      </c>
      <c r="U234">
        <f>IF(OR($D234="",$B234="",Housemates!$B$10=""),0,IF($R234&gt;0,IF(H234="",0,IF(ISNUMBER(H234),H234,1)),IF($C234="Paying back",0,IF(AND(OR(Housemates!$C$10="",Housemates!$C$10&lt;=$B234),OR(Housemates!$D$10="",Housemates!$D$10&gt;=$B234)),IF($Q234=0,1,INDEX(Bills!$AC$6:$AC$25,$Q234)),0))))</f>
        <v/>
      </c>
      <c r="V234">
        <f>IF(OR($D234="",$B234="",Housemates!$B$11=""),0,IF($R234&gt;0,IF(I234="",0,IF(ISNUMBER(I234),I234,1)),IF($C234="Paying back",0,IF(AND(OR(Housemates!$C$11="",Housemates!$C$11&lt;=$B234),OR(Housemates!$D$11="",Housemates!$D$11&gt;=$B234)),IF($Q234=0,1,INDEX(Bills!$AD$6:$AD$25,$Q234)),0))))</f>
        <v/>
      </c>
      <c r="W234">
        <f>IF(OR($D234="",$B234="",Housemates!$B$12=""),0,IF($R234&gt;0,IF(J234="",0,IF(ISNUMBER(J234),J234,1)),IF($C234="Paying back",0,IF(AND(OR(Housemates!$C$12="",Housemates!$C$12&lt;=$B234),OR(Housemates!$D$12="",Housemates!$D$12&gt;=$B234)),IF($Q234=0,1,INDEX(Bills!$AE$6:$AE$25,$Q234)),0))))</f>
        <v/>
      </c>
      <c r="X234">
        <f>IF(OR($D234="",$B234="",Housemates!$B$13=""),0,IF($R234&gt;0,IF(K234="",0,IF(ISNUMBER(K234),K234,1)),IF($C234="Paying back",0,IF(AND(OR(Housemates!$C$13="",Housemates!$C$13&lt;=$B234),OR(Housemates!$D$13="",Housemates!$D$13&gt;=$B234)),IF($Q234=0,1,INDEX(Bills!$AF$6:$AF$25,$Q234)),0))))</f>
        <v/>
      </c>
      <c r="Y234">
        <f>IF(OR($D234="",$B234="",Housemates!$B$14=""),0,IF($R234&gt;0,IF(L234="",0,IF(ISNUMBER(L234),L234,1)),IF($C234="Paying back",0,IF(AND(OR(Housemates!$C$14="",Housemates!$C$14&lt;=$B234),OR(Housemates!$D$14="",Housemates!$D$14&gt;=$B234)),IF($Q234=0,1,INDEX(Bills!$AG$6:$AG$25,$Q234)),0))))</f>
        <v/>
      </c>
      <c r="Z234">
        <f>IF(OR($D234="",$B234="",Housemates!$B$15=""),0,IF($R234&gt;0,IF(M234="",0,IF(ISNUMBER(M234),M234,1)),IF($C234="Paying back",0,IF(AND(OR(Housemates!$C$15="",Housemates!$C$15&lt;=$B234),OR(Housemates!$D$15="",Housemates!$D$15&gt;=$B234)),IF($Q234=0,1,INDEX(Bills!$AH$6:$AH$25,$Q234)),0))))</f>
        <v/>
      </c>
      <c r="AA234">
        <f>SUM(S234:Z234)</f>
        <v/>
      </c>
      <c r="AB234">
        <f>IF(AA234=0,0,D234*S234/AA234)</f>
        <v/>
      </c>
      <c r="AC234">
        <f>IF(AA234=0,0,D234*T234/AA234)</f>
        <v/>
      </c>
      <c r="AD234">
        <f>IF(AA234=0,0,D234*U234/AA234)</f>
        <v/>
      </c>
      <c r="AE234">
        <f>IF(AA234=0,0,D234*V234/AA234)</f>
        <v/>
      </c>
      <c r="AF234">
        <f>IF(AA234=0,0,D234*W234/AA234)</f>
        <v/>
      </c>
      <c r="AG234">
        <f>IF(AA234=0,0,D234*X234/AA234)</f>
        <v/>
      </c>
      <c r="AH234">
        <f>IF(AA234=0,0,D234*Y234/AA234)</f>
        <v/>
      </c>
      <c r="AI234">
        <f>IF(AA234=0,0,D234*Z234/AA234)</f>
        <v/>
      </c>
      <c r="AJ234">
        <f>IF(OR(C234="",B234=""),"",C234&amp;"|"&amp;(YEAR(B234)*100+MONTH(B234)))</f>
        <v/>
      </c>
    </row>
    <row r="235">
      <c r="A235" s="1" t="n"/>
      <c r="B235" s="23" t="n"/>
      <c r="C235" s="24" t="n"/>
      <c r="D235" s="25" t="n"/>
      <c r="E235" s="26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1">
        <f>IF(D235="","",IF(B235="","No date",IF(AND(C235="Paying back",R235=0),"To whom?",IF(AA235=0,"Nobody",IF(C235="Paying back","To "&amp;INDEX(Housemates!$B$8:$B$15,MATCH(MAX(S235:Z235),S235:Z235,0)),IF(R235&gt;0,IF(COUNTIF(S235:Z235,"&gt;0")=1,"1 person",COUNTIF(S235:Z235,"&gt;0")&amp;" people"),IF(Q235=0,"Everyone",INDEX(Bills!$Q$6:$Q$25,Q235))))))))</f>
        <v/>
      </c>
      <c r="O235" s="18">
        <f>IF(D235="","",IF(C235="Paying back","Paying back",IF(Q235=0,"Other",IF(INDEX(Bills!$C$6:$C$25,Q235)="","Other",INDEX(Bills!$C$6:$C$25,Q235)))))</f>
        <v/>
      </c>
      <c r="P235" s="1" t="n"/>
      <c r="Q235">
        <f>IF(C235="",0,IFERROR(MATCH(C235,Bills!$B$6:$B$25,0),0))</f>
        <v/>
      </c>
      <c r="R235">
        <f>COUNTA(F235:M235)</f>
        <v/>
      </c>
      <c r="S235">
        <f>IF(OR($D235="",$B235="",Housemates!$B$8=""),0,IF($R235&gt;0,IF(F235="",0,IF(ISNUMBER(F235),F235,1)),IF($C235="Paying back",0,IF(AND(OR(Housemates!$C$8="",Housemates!$C$8&lt;=$B235),OR(Housemates!$D$8="",Housemates!$D$8&gt;=$B235)),IF($Q235=0,1,INDEX(Bills!$AA$6:$AA$25,$Q235)),0))))</f>
        <v/>
      </c>
      <c r="T235">
        <f>IF(OR($D235="",$B235="",Housemates!$B$9=""),0,IF($R235&gt;0,IF(G235="",0,IF(ISNUMBER(G235),G235,1)),IF($C235="Paying back",0,IF(AND(OR(Housemates!$C$9="",Housemates!$C$9&lt;=$B235),OR(Housemates!$D$9="",Housemates!$D$9&gt;=$B235)),IF($Q235=0,1,INDEX(Bills!$AB$6:$AB$25,$Q235)),0))))</f>
        <v/>
      </c>
      <c r="U235">
        <f>IF(OR($D235="",$B235="",Housemates!$B$10=""),0,IF($R235&gt;0,IF(H235="",0,IF(ISNUMBER(H235),H235,1)),IF($C235="Paying back",0,IF(AND(OR(Housemates!$C$10="",Housemates!$C$10&lt;=$B235),OR(Housemates!$D$10="",Housemates!$D$10&gt;=$B235)),IF($Q235=0,1,INDEX(Bills!$AC$6:$AC$25,$Q235)),0))))</f>
        <v/>
      </c>
      <c r="V235">
        <f>IF(OR($D235="",$B235="",Housemates!$B$11=""),0,IF($R235&gt;0,IF(I235="",0,IF(ISNUMBER(I235),I235,1)),IF($C235="Paying back",0,IF(AND(OR(Housemates!$C$11="",Housemates!$C$11&lt;=$B235),OR(Housemates!$D$11="",Housemates!$D$11&gt;=$B235)),IF($Q235=0,1,INDEX(Bills!$AD$6:$AD$25,$Q235)),0))))</f>
        <v/>
      </c>
      <c r="W235">
        <f>IF(OR($D235="",$B235="",Housemates!$B$12=""),0,IF($R235&gt;0,IF(J235="",0,IF(ISNUMBER(J235),J235,1)),IF($C235="Paying back",0,IF(AND(OR(Housemates!$C$12="",Housemates!$C$12&lt;=$B235),OR(Housemates!$D$12="",Housemates!$D$12&gt;=$B235)),IF($Q235=0,1,INDEX(Bills!$AE$6:$AE$25,$Q235)),0))))</f>
        <v/>
      </c>
      <c r="X235">
        <f>IF(OR($D235="",$B235="",Housemates!$B$13=""),0,IF($R235&gt;0,IF(K235="",0,IF(ISNUMBER(K235),K235,1)),IF($C235="Paying back",0,IF(AND(OR(Housemates!$C$13="",Housemates!$C$13&lt;=$B235),OR(Housemates!$D$13="",Housemates!$D$13&gt;=$B235)),IF($Q235=0,1,INDEX(Bills!$AF$6:$AF$25,$Q235)),0))))</f>
        <v/>
      </c>
      <c r="Y235">
        <f>IF(OR($D235="",$B235="",Housemates!$B$14=""),0,IF($R235&gt;0,IF(L235="",0,IF(ISNUMBER(L235),L235,1)),IF($C235="Paying back",0,IF(AND(OR(Housemates!$C$14="",Housemates!$C$14&lt;=$B235),OR(Housemates!$D$14="",Housemates!$D$14&gt;=$B235)),IF($Q235=0,1,INDEX(Bills!$AG$6:$AG$25,$Q235)),0))))</f>
        <v/>
      </c>
      <c r="Z235">
        <f>IF(OR($D235="",$B235="",Housemates!$B$15=""),0,IF($R235&gt;0,IF(M235="",0,IF(ISNUMBER(M235),M235,1)),IF($C235="Paying back",0,IF(AND(OR(Housemates!$C$15="",Housemates!$C$15&lt;=$B235),OR(Housemates!$D$15="",Housemates!$D$15&gt;=$B235)),IF($Q235=0,1,INDEX(Bills!$AH$6:$AH$25,$Q235)),0))))</f>
        <v/>
      </c>
      <c r="AA235">
        <f>SUM(S235:Z235)</f>
        <v/>
      </c>
      <c r="AB235">
        <f>IF(AA235=0,0,D235*S235/AA235)</f>
        <v/>
      </c>
      <c r="AC235">
        <f>IF(AA235=0,0,D235*T235/AA235)</f>
        <v/>
      </c>
      <c r="AD235">
        <f>IF(AA235=0,0,D235*U235/AA235)</f>
        <v/>
      </c>
      <c r="AE235">
        <f>IF(AA235=0,0,D235*V235/AA235)</f>
        <v/>
      </c>
      <c r="AF235">
        <f>IF(AA235=0,0,D235*W235/AA235)</f>
        <v/>
      </c>
      <c r="AG235">
        <f>IF(AA235=0,0,D235*X235/AA235)</f>
        <v/>
      </c>
      <c r="AH235">
        <f>IF(AA235=0,0,D235*Y235/AA235)</f>
        <v/>
      </c>
      <c r="AI235">
        <f>IF(AA235=0,0,D235*Z235/AA235)</f>
        <v/>
      </c>
      <c r="AJ235">
        <f>IF(OR(C235="",B235=""),"",C235&amp;"|"&amp;(YEAR(B235)*100+MONTH(B235)))</f>
        <v/>
      </c>
    </row>
    <row r="236">
      <c r="A236" s="1" t="n"/>
      <c r="B236" s="23" t="n"/>
      <c r="C236" s="24" t="n"/>
      <c r="D236" s="25" t="n"/>
      <c r="E236" s="26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1">
        <f>IF(D236="","",IF(B236="","No date",IF(AND(C236="Paying back",R236=0),"To whom?",IF(AA236=0,"Nobody",IF(C236="Paying back","To "&amp;INDEX(Housemates!$B$8:$B$15,MATCH(MAX(S236:Z236),S236:Z236,0)),IF(R236&gt;0,IF(COUNTIF(S236:Z236,"&gt;0")=1,"1 person",COUNTIF(S236:Z236,"&gt;0")&amp;" people"),IF(Q236=0,"Everyone",INDEX(Bills!$Q$6:$Q$25,Q236))))))))</f>
        <v/>
      </c>
      <c r="O236" s="18">
        <f>IF(D236="","",IF(C236="Paying back","Paying back",IF(Q236=0,"Other",IF(INDEX(Bills!$C$6:$C$25,Q236)="","Other",INDEX(Bills!$C$6:$C$25,Q236)))))</f>
        <v/>
      </c>
      <c r="P236" s="1" t="n"/>
      <c r="Q236">
        <f>IF(C236="",0,IFERROR(MATCH(C236,Bills!$B$6:$B$25,0),0))</f>
        <v/>
      </c>
      <c r="R236">
        <f>COUNTA(F236:M236)</f>
        <v/>
      </c>
      <c r="S236">
        <f>IF(OR($D236="",$B236="",Housemates!$B$8=""),0,IF($R236&gt;0,IF(F236="",0,IF(ISNUMBER(F236),F236,1)),IF($C236="Paying back",0,IF(AND(OR(Housemates!$C$8="",Housemates!$C$8&lt;=$B236),OR(Housemates!$D$8="",Housemates!$D$8&gt;=$B236)),IF($Q236=0,1,INDEX(Bills!$AA$6:$AA$25,$Q236)),0))))</f>
        <v/>
      </c>
      <c r="T236">
        <f>IF(OR($D236="",$B236="",Housemates!$B$9=""),0,IF($R236&gt;0,IF(G236="",0,IF(ISNUMBER(G236),G236,1)),IF($C236="Paying back",0,IF(AND(OR(Housemates!$C$9="",Housemates!$C$9&lt;=$B236),OR(Housemates!$D$9="",Housemates!$D$9&gt;=$B236)),IF($Q236=0,1,INDEX(Bills!$AB$6:$AB$25,$Q236)),0))))</f>
        <v/>
      </c>
      <c r="U236">
        <f>IF(OR($D236="",$B236="",Housemates!$B$10=""),0,IF($R236&gt;0,IF(H236="",0,IF(ISNUMBER(H236),H236,1)),IF($C236="Paying back",0,IF(AND(OR(Housemates!$C$10="",Housemates!$C$10&lt;=$B236),OR(Housemates!$D$10="",Housemates!$D$10&gt;=$B236)),IF($Q236=0,1,INDEX(Bills!$AC$6:$AC$25,$Q236)),0))))</f>
        <v/>
      </c>
      <c r="V236">
        <f>IF(OR($D236="",$B236="",Housemates!$B$11=""),0,IF($R236&gt;0,IF(I236="",0,IF(ISNUMBER(I236),I236,1)),IF($C236="Paying back",0,IF(AND(OR(Housemates!$C$11="",Housemates!$C$11&lt;=$B236),OR(Housemates!$D$11="",Housemates!$D$11&gt;=$B236)),IF($Q236=0,1,INDEX(Bills!$AD$6:$AD$25,$Q236)),0))))</f>
        <v/>
      </c>
      <c r="W236">
        <f>IF(OR($D236="",$B236="",Housemates!$B$12=""),0,IF($R236&gt;0,IF(J236="",0,IF(ISNUMBER(J236),J236,1)),IF($C236="Paying back",0,IF(AND(OR(Housemates!$C$12="",Housemates!$C$12&lt;=$B236),OR(Housemates!$D$12="",Housemates!$D$12&gt;=$B236)),IF($Q236=0,1,INDEX(Bills!$AE$6:$AE$25,$Q236)),0))))</f>
        <v/>
      </c>
      <c r="X236">
        <f>IF(OR($D236="",$B236="",Housemates!$B$13=""),0,IF($R236&gt;0,IF(K236="",0,IF(ISNUMBER(K236),K236,1)),IF($C236="Paying back",0,IF(AND(OR(Housemates!$C$13="",Housemates!$C$13&lt;=$B236),OR(Housemates!$D$13="",Housemates!$D$13&gt;=$B236)),IF($Q236=0,1,INDEX(Bills!$AF$6:$AF$25,$Q236)),0))))</f>
        <v/>
      </c>
      <c r="Y236">
        <f>IF(OR($D236="",$B236="",Housemates!$B$14=""),0,IF($R236&gt;0,IF(L236="",0,IF(ISNUMBER(L236),L236,1)),IF($C236="Paying back",0,IF(AND(OR(Housemates!$C$14="",Housemates!$C$14&lt;=$B236),OR(Housemates!$D$14="",Housemates!$D$14&gt;=$B236)),IF($Q236=0,1,INDEX(Bills!$AG$6:$AG$25,$Q236)),0))))</f>
        <v/>
      </c>
      <c r="Z236">
        <f>IF(OR($D236="",$B236="",Housemates!$B$15=""),0,IF($R236&gt;0,IF(M236="",0,IF(ISNUMBER(M236),M236,1)),IF($C236="Paying back",0,IF(AND(OR(Housemates!$C$15="",Housemates!$C$15&lt;=$B236),OR(Housemates!$D$15="",Housemates!$D$15&gt;=$B236)),IF($Q236=0,1,INDEX(Bills!$AH$6:$AH$25,$Q236)),0))))</f>
        <v/>
      </c>
      <c r="AA236">
        <f>SUM(S236:Z236)</f>
        <v/>
      </c>
      <c r="AB236">
        <f>IF(AA236=0,0,D236*S236/AA236)</f>
        <v/>
      </c>
      <c r="AC236">
        <f>IF(AA236=0,0,D236*T236/AA236)</f>
        <v/>
      </c>
      <c r="AD236">
        <f>IF(AA236=0,0,D236*U236/AA236)</f>
        <v/>
      </c>
      <c r="AE236">
        <f>IF(AA236=0,0,D236*V236/AA236)</f>
        <v/>
      </c>
      <c r="AF236">
        <f>IF(AA236=0,0,D236*W236/AA236)</f>
        <v/>
      </c>
      <c r="AG236">
        <f>IF(AA236=0,0,D236*X236/AA236)</f>
        <v/>
      </c>
      <c r="AH236">
        <f>IF(AA236=0,0,D236*Y236/AA236)</f>
        <v/>
      </c>
      <c r="AI236">
        <f>IF(AA236=0,0,D236*Z236/AA236)</f>
        <v/>
      </c>
      <c r="AJ236">
        <f>IF(OR(C236="",B236=""),"",C236&amp;"|"&amp;(YEAR(B236)*100+MONTH(B236)))</f>
        <v/>
      </c>
    </row>
    <row r="237">
      <c r="A237" s="1" t="n"/>
      <c r="B237" s="23" t="n"/>
      <c r="C237" s="24" t="n"/>
      <c r="D237" s="25" t="n"/>
      <c r="E237" s="26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1">
        <f>IF(D237="","",IF(B237="","No date",IF(AND(C237="Paying back",R237=0),"To whom?",IF(AA237=0,"Nobody",IF(C237="Paying back","To "&amp;INDEX(Housemates!$B$8:$B$15,MATCH(MAX(S237:Z237),S237:Z237,0)),IF(R237&gt;0,IF(COUNTIF(S237:Z237,"&gt;0")=1,"1 person",COUNTIF(S237:Z237,"&gt;0")&amp;" people"),IF(Q237=0,"Everyone",INDEX(Bills!$Q$6:$Q$25,Q237))))))))</f>
        <v/>
      </c>
      <c r="O237" s="18">
        <f>IF(D237="","",IF(C237="Paying back","Paying back",IF(Q237=0,"Other",IF(INDEX(Bills!$C$6:$C$25,Q237)="","Other",INDEX(Bills!$C$6:$C$25,Q237)))))</f>
        <v/>
      </c>
      <c r="P237" s="1" t="n"/>
      <c r="Q237">
        <f>IF(C237="",0,IFERROR(MATCH(C237,Bills!$B$6:$B$25,0),0))</f>
        <v/>
      </c>
      <c r="R237">
        <f>COUNTA(F237:M237)</f>
        <v/>
      </c>
      <c r="S237">
        <f>IF(OR($D237="",$B237="",Housemates!$B$8=""),0,IF($R237&gt;0,IF(F237="",0,IF(ISNUMBER(F237),F237,1)),IF($C237="Paying back",0,IF(AND(OR(Housemates!$C$8="",Housemates!$C$8&lt;=$B237),OR(Housemates!$D$8="",Housemates!$D$8&gt;=$B237)),IF($Q237=0,1,INDEX(Bills!$AA$6:$AA$25,$Q237)),0))))</f>
        <v/>
      </c>
      <c r="T237">
        <f>IF(OR($D237="",$B237="",Housemates!$B$9=""),0,IF($R237&gt;0,IF(G237="",0,IF(ISNUMBER(G237),G237,1)),IF($C237="Paying back",0,IF(AND(OR(Housemates!$C$9="",Housemates!$C$9&lt;=$B237),OR(Housemates!$D$9="",Housemates!$D$9&gt;=$B237)),IF($Q237=0,1,INDEX(Bills!$AB$6:$AB$25,$Q237)),0))))</f>
        <v/>
      </c>
      <c r="U237">
        <f>IF(OR($D237="",$B237="",Housemates!$B$10=""),0,IF($R237&gt;0,IF(H237="",0,IF(ISNUMBER(H237),H237,1)),IF($C237="Paying back",0,IF(AND(OR(Housemates!$C$10="",Housemates!$C$10&lt;=$B237),OR(Housemates!$D$10="",Housemates!$D$10&gt;=$B237)),IF($Q237=0,1,INDEX(Bills!$AC$6:$AC$25,$Q237)),0))))</f>
        <v/>
      </c>
      <c r="V237">
        <f>IF(OR($D237="",$B237="",Housemates!$B$11=""),0,IF($R237&gt;0,IF(I237="",0,IF(ISNUMBER(I237),I237,1)),IF($C237="Paying back",0,IF(AND(OR(Housemates!$C$11="",Housemates!$C$11&lt;=$B237),OR(Housemates!$D$11="",Housemates!$D$11&gt;=$B237)),IF($Q237=0,1,INDEX(Bills!$AD$6:$AD$25,$Q237)),0))))</f>
        <v/>
      </c>
      <c r="W237">
        <f>IF(OR($D237="",$B237="",Housemates!$B$12=""),0,IF($R237&gt;0,IF(J237="",0,IF(ISNUMBER(J237),J237,1)),IF($C237="Paying back",0,IF(AND(OR(Housemates!$C$12="",Housemates!$C$12&lt;=$B237),OR(Housemates!$D$12="",Housemates!$D$12&gt;=$B237)),IF($Q237=0,1,INDEX(Bills!$AE$6:$AE$25,$Q237)),0))))</f>
        <v/>
      </c>
      <c r="X237">
        <f>IF(OR($D237="",$B237="",Housemates!$B$13=""),0,IF($R237&gt;0,IF(K237="",0,IF(ISNUMBER(K237),K237,1)),IF($C237="Paying back",0,IF(AND(OR(Housemates!$C$13="",Housemates!$C$13&lt;=$B237),OR(Housemates!$D$13="",Housemates!$D$13&gt;=$B237)),IF($Q237=0,1,INDEX(Bills!$AF$6:$AF$25,$Q237)),0))))</f>
        <v/>
      </c>
      <c r="Y237">
        <f>IF(OR($D237="",$B237="",Housemates!$B$14=""),0,IF($R237&gt;0,IF(L237="",0,IF(ISNUMBER(L237),L237,1)),IF($C237="Paying back",0,IF(AND(OR(Housemates!$C$14="",Housemates!$C$14&lt;=$B237),OR(Housemates!$D$14="",Housemates!$D$14&gt;=$B237)),IF($Q237=0,1,INDEX(Bills!$AG$6:$AG$25,$Q237)),0))))</f>
        <v/>
      </c>
      <c r="Z237">
        <f>IF(OR($D237="",$B237="",Housemates!$B$15=""),0,IF($R237&gt;0,IF(M237="",0,IF(ISNUMBER(M237),M237,1)),IF($C237="Paying back",0,IF(AND(OR(Housemates!$C$15="",Housemates!$C$15&lt;=$B237),OR(Housemates!$D$15="",Housemates!$D$15&gt;=$B237)),IF($Q237=0,1,INDEX(Bills!$AH$6:$AH$25,$Q237)),0))))</f>
        <v/>
      </c>
      <c r="AA237">
        <f>SUM(S237:Z237)</f>
        <v/>
      </c>
      <c r="AB237">
        <f>IF(AA237=0,0,D237*S237/AA237)</f>
        <v/>
      </c>
      <c r="AC237">
        <f>IF(AA237=0,0,D237*T237/AA237)</f>
        <v/>
      </c>
      <c r="AD237">
        <f>IF(AA237=0,0,D237*U237/AA237)</f>
        <v/>
      </c>
      <c r="AE237">
        <f>IF(AA237=0,0,D237*V237/AA237)</f>
        <v/>
      </c>
      <c r="AF237">
        <f>IF(AA237=0,0,D237*W237/AA237)</f>
        <v/>
      </c>
      <c r="AG237">
        <f>IF(AA237=0,0,D237*X237/AA237)</f>
        <v/>
      </c>
      <c r="AH237">
        <f>IF(AA237=0,0,D237*Y237/AA237)</f>
        <v/>
      </c>
      <c r="AI237">
        <f>IF(AA237=0,0,D237*Z237/AA237)</f>
        <v/>
      </c>
      <c r="AJ237">
        <f>IF(OR(C237="",B237=""),"",C237&amp;"|"&amp;(YEAR(B237)*100+MONTH(B237)))</f>
        <v/>
      </c>
    </row>
    <row r="238">
      <c r="A238" s="1" t="n"/>
      <c r="B238" s="23" t="n"/>
      <c r="C238" s="24" t="n"/>
      <c r="D238" s="25" t="n"/>
      <c r="E238" s="26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1">
        <f>IF(D238="","",IF(B238="","No date",IF(AND(C238="Paying back",R238=0),"To whom?",IF(AA238=0,"Nobody",IF(C238="Paying back","To "&amp;INDEX(Housemates!$B$8:$B$15,MATCH(MAX(S238:Z238),S238:Z238,0)),IF(R238&gt;0,IF(COUNTIF(S238:Z238,"&gt;0")=1,"1 person",COUNTIF(S238:Z238,"&gt;0")&amp;" people"),IF(Q238=0,"Everyone",INDEX(Bills!$Q$6:$Q$25,Q238))))))))</f>
        <v/>
      </c>
      <c r="O238" s="18">
        <f>IF(D238="","",IF(C238="Paying back","Paying back",IF(Q238=0,"Other",IF(INDEX(Bills!$C$6:$C$25,Q238)="","Other",INDEX(Bills!$C$6:$C$25,Q238)))))</f>
        <v/>
      </c>
      <c r="P238" s="1" t="n"/>
      <c r="Q238">
        <f>IF(C238="",0,IFERROR(MATCH(C238,Bills!$B$6:$B$25,0),0))</f>
        <v/>
      </c>
      <c r="R238">
        <f>COUNTA(F238:M238)</f>
        <v/>
      </c>
      <c r="S238">
        <f>IF(OR($D238="",$B238="",Housemates!$B$8=""),0,IF($R238&gt;0,IF(F238="",0,IF(ISNUMBER(F238),F238,1)),IF($C238="Paying back",0,IF(AND(OR(Housemates!$C$8="",Housemates!$C$8&lt;=$B238),OR(Housemates!$D$8="",Housemates!$D$8&gt;=$B238)),IF($Q238=0,1,INDEX(Bills!$AA$6:$AA$25,$Q238)),0))))</f>
        <v/>
      </c>
      <c r="T238">
        <f>IF(OR($D238="",$B238="",Housemates!$B$9=""),0,IF($R238&gt;0,IF(G238="",0,IF(ISNUMBER(G238),G238,1)),IF($C238="Paying back",0,IF(AND(OR(Housemates!$C$9="",Housemates!$C$9&lt;=$B238),OR(Housemates!$D$9="",Housemates!$D$9&gt;=$B238)),IF($Q238=0,1,INDEX(Bills!$AB$6:$AB$25,$Q238)),0))))</f>
        <v/>
      </c>
      <c r="U238">
        <f>IF(OR($D238="",$B238="",Housemates!$B$10=""),0,IF($R238&gt;0,IF(H238="",0,IF(ISNUMBER(H238),H238,1)),IF($C238="Paying back",0,IF(AND(OR(Housemates!$C$10="",Housemates!$C$10&lt;=$B238),OR(Housemates!$D$10="",Housemates!$D$10&gt;=$B238)),IF($Q238=0,1,INDEX(Bills!$AC$6:$AC$25,$Q238)),0))))</f>
        <v/>
      </c>
      <c r="V238">
        <f>IF(OR($D238="",$B238="",Housemates!$B$11=""),0,IF($R238&gt;0,IF(I238="",0,IF(ISNUMBER(I238),I238,1)),IF($C238="Paying back",0,IF(AND(OR(Housemates!$C$11="",Housemates!$C$11&lt;=$B238),OR(Housemates!$D$11="",Housemates!$D$11&gt;=$B238)),IF($Q238=0,1,INDEX(Bills!$AD$6:$AD$25,$Q238)),0))))</f>
        <v/>
      </c>
      <c r="W238">
        <f>IF(OR($D238="",$B238="",Housemates!$B$12=""),0,IF($R238&gt;0,IF(J238="",0,IF(ISNUMBER(J238),J238,1)),IF($C238="Paying back",0,IF(AND(OR(Housemates!$C$12="",Housemates!$C$12&lt;=$B238),OR(Housemates!$D$12="",Housemates!$D$12&gt;=$B238)),IF($Q238=0,1,INDEX(Bills!$AE$6:$AE$25,$Q238)),0))))</f>
        <v/>
      </c>
      <c r="X238">
        <f>IF(OR($D238="",$B238="",Housemates!$B$13=""),0,IF($R238&gt;0,IF(K238="",0,IF(ISNUMBER(K238),K238,1)),IF($C238="Paying back",0,IF(AND(OR(Housemates!$C$13="",Housemates!$C$13&lt;=$B238),OR(Housemates!$D$13="",Housemates!$D$13&gt;=$B238)),IF($Q238=0,1,INDEX(Bills!$AF$6:$AF$25,$Q238)),0))))</f>
        <v/>
      </c>
      <c r="Y238">
        <f>IF(OR($D238="",$B238="",Housemates!$B$14=""),0,IF($R238&gt;0,IF(L238="",0,IF(ISNUMBER(L238),L238,1)),IF($C238="Paying back",0,IF(AND(OR(Housemates!$C$14="",Housemates!$C$14&lt;=$B238),OR(Housemates!$D$14="",Housemates!$D$14&gt;=$B238)),IF($Q238=0,1,INDEX(Bills!$AG$6:$AG$25,$Q238)),0))))</f>
        <v/>
      </c>
      <c r="Z238">
        <f>IF(OR($D238="",$B238="",Housemates!$B$15=""),0,IF($R238&gt;0,IF(M238="",0,IF(ISNUMBER(M238),M238,1)),IF($C238="Paying back",0,IF(AND(OR(Housemates!$C$15="",Housemates!$C$15&lt;=$B238),OR(Housemates!$D$15="",Housemates!$D$15&gt;=$B238)),IF($Q238=0,1,INDEX(Bills!$AH$6:$AH$25,$Q238)),0))))</f>
        <v/>
      </c>
      <c r="AA238">
        <f>SUM(S238:Z238)</f>
        <v/>
      </c>
      <c r="AB238">
        <f>IF(AA238=0,0,D238*S238/AA238)</f>
        <v/>
      </c>
      <c r="AC238">
        <f>IF(AA238=0,0,D238*T238/AA238)</f>
        <v/>
      </c>
      <c r="AD238">
        <f>IF(AA238=0,0,D238*U238/AA238)</f>
        <v/>
      </c>
      <c r="AE238">
        <f>IF(AA238=0,0,D238*V238/AA238)</f>
        <v/>
      </c>
      <c r="AF238">
        <f>IF(AA238=0,0,D238*W238/AA238)</f>
        <v/>
      </c>
      <c r="AG238">
        <f>IF(AA238=0,0,D238*X238/AA238)</f>
        <v/>
      </c>
      <c r="AH238">
        <f>IF(AA238=0,0,D238*Y238/AA238)</f>
        <v/>
      </c>
      <c r="AI238">
        <f>IF(AA238=0,0,D238*Z238/AA238)</f>
        <v/>
      </c>
      <c r="AJ238">
        <f>IF(OR(C238="",B238=""),"",C238&amp;"|"&amp;(YEAR(B238)*100+MONTH(B238)))</f>
        <v/>
      </c>
    </row>
    <row r="239">
      <c r="A239" s="1" t="n"/>
      <c r="B239" s="23" t="n"/>
      <c r="C239" s="24" t="n"/>
      <c r="D239" s="25" t="n"/>
      <c r="E239" s="26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1">
        <f>IF(D239="","",IF(B239="","No date",IF(AND(C239="Paying back",R239=0),"To whom?",IF(AA239=0,"Nobody",IF(C239="Paying back","To "&amp;INDEX(Housemates!$B$8:$B$15,MATCH(MAX(S239:Z239),S239:Z239,0)),IF(R239&gt;0,IF(COUNTIF(S239:Z239,"&gt;0")=1,"1 person",COUNTIF(S239:Z239,"&gt;0")&amp;" people"),IF(Q239=0,"Everyone",INDEX(Bills!$Q$6:$Q$25,Q239))))))))</f>
        <v/>
      </c>
      <c r="O239" s="18">
        <f>IF(D239="","",IF(C239="Paying back","Paying back",IF(Q239=0,"Other",IF(INDEX(Bills!$C$6:$C$25,Q239)="","Other",INDEX(Bills!$C$6:$C$25,Q239)))))</f>
        <v/>
      </c>
      <c r="P239" s="1" t="n"/>
      <c r="Q239">
        <f>IF(C239="",0,IFERROR(MATCH(C239,Bills!$B$6:$B$25,0),0))</f>
        <v/>
      </c>
      <c r="R239">
        <f>COUNTA(F239:M239)</f>
        <v/>
      </c>
      <c r="S239">
        <f>IF(OR($D239="",$B239="",Housemates!$B$8=""),0,IF($R239&gt;0,IF(F239="",0,IF(ISNUMBER(F239),F239,1)),IF($C239="Paying back",0,IF(AND(OR(Housemates!$C$8="",Housemates!$C$8&lt;=$B239),OR(Housemates!$D$8="",Housemates!$D$8&gt;=$B239)),IF($Q239=0,1,INDEX(Bills!$AA$6:$AA$25,$Q239)),0))))</f>
        <v/>
      </c>
      <c r="T239">
        <f>IF(OR($D239="",$B239="",Housemates!$B$9=""),0,IF($R239&gt;0,IF(G239="",0,IF(ISNUMBER(G239),G239,1)),IF($C239="Paying back",0,IF(AND(OR(Housemates!$C$9="",Housemates!$C$9&lt;=$B239),OR(Housemates!$D$9="",Housemates!$D$9&gt;=$B239)),IF($Q239=0,1,INDEX(Bills!$AB$6:$AB$25,$Q239)),0))))</f>
        <v/>
      </c>
      <c r="U239">
        <f>IF(OR($D239="",$B239="",Housemates!$B$10=""),0,IF($R239&gt;0,IF(H239="",0,IF(ISNUMBER(H239),H239,1)),IF($C239="Paying back",0,IF(AND(OR(Housemates!$C$10="",Housemates!$C$10&lt;=$B239),OR(Housemates!$D$10="",Housemates!$D$10&gt;=$B239)),IF($Q239=0,1,INDEX(Bills!$AC$6:$AC$25,$Q239)),0))))</f>
        <v/>
      </c>
      <c r="V239">
        <f>IF(OR($D239="",$B239="",Housemates!$B$11=""),0,IF($R239&gt;0,IF(I239="",0,IF(ISNUMBER(I239),I239,1)),IF($C239="Paying back",0,IF(AND(OR(Housemates!$C$11="",Housemates!$C$11&lt;=$B239),OR(Housemates!$D$11="",Housemates!$D$11&gt;=$B239)),IF($Q239=0,1,INDEX(Bills!$AD$6:$AD$25,$Q239)),0))))</f>
        <v/>
      </c>
      <c r="W239">
        <f>IF(OR($D239="",$B239="",Housemates!$B$12=""),0,IF($R239&gt;0,IF(J239="",0,IF(ISNUMBER(J239),J239,1)),IF($C239="Paying back",0,IF(AND(OR(Housemates!$C$12="",Housemates!$C$12&lt;=$B239),OR(Housemates!$D$12="",Housemates!$D$12&gt;=$B239)),IF($Q239=0,1,INDEX(Bills!$AE$6:$AE$25,$Q239)),0))))</f>
        <v/>
      </c>
      <c r="X239">
        <f>IF(OR($D239="",$B239="",Housemates!$B$13=""),0,IF($R239&gt;0,IF(K239="",0,IF(ISNUMBER(K239),K239,1)),IF($C239="Paying back",0,IF(AND(OR(Housemates!$C$13="",Housemates!$C$13&lt;=$B239),OR(Housemates!$D$13="",Housemates!$D$13&gt;=$B239)),IF($Q239=0,1,INDEX(Bills!$AF$6:$AF$25,$Q239)),0))))</f>
        <v/>
      </c>
      <c r="Y239">
        <f>IF(OR($D239="",$B239="",Housemates!$B$14=""),0,IF($R239&gt;0,IF(L239="",0,IF(ISNUMBER(L239),L239,1)),IF($C239="Paying back",0,IF(AND(OR(Housemates!$C$14="",Housemates!$C$14&lt;=$B239),OR(Housemates!$D$14="",Housemates!$D$14&gt;=$B239)),IF($Q239=0,1,INDEX(Bills!$AG$6:$AG$25,$Q239)),0))))</f>
        <v/>
      </c>
      <c r="Z239">
        <f>IF(OR($D239="",$B239="",Housemates!$B$15=""),0,IF($R239&gt;0,IF(M239="",0,IF(ISNUMBER(M239),M239,1)),IF($C239="Paying back",0,IF(AND(OR(Housemates!$C$15="",Housemates!$C$15&lt;=$B239),OR(Housemates!$D$15="",Housemates!$D$15&gt;=$B239)),IF($Q239=0,1,INDEX(Bills!$AH$6:$AH$25,$Q239)),0))))</f>
        <v/>
      </c>
      <c r="AA239">
        <f>SUM(S239:Z239)</f>
        <v/>
      </c>
      <c r="AB239">
        <f>IF(AA239=0,0,D239*S239/AA239)</f>
        <v/>
      </c>
      <c r="AC239">
        <f>IF(AA239=0,0,D239*T239/AA239)</f>
        <v/>
      </c>
      <c r="AD239">
        <f>IF(AA239=0,0,D239*U239/AA239)</f>
        <v/>
      </c>
      <c r="AE239">
        <f>IF(AA239=0,0,D239*V239/AA239)</f>
        <v/>
      </c>
      <c r="AF239">
        <f>IF(AA239=0,0,D239*W239/AA239)</f>
        <v/>
      </c>
      <c r="AG239">
        <f>IF(AA239=0,0,D239*X239/AA239)</f>
        <v/>
      </c>
      <c r="AH239">
        <f>IF(AA239=0,0,D239*Y239/AA239)</f>
        <v/>
      </c>
      <c r="AI239">
        <f>IF(AA239=0,0,D239*Z239/AA239)</f>
        <v/>
      </c>
      <c r="AJ239">
        <f>IF(OR(C239="",B239=""),"",C239&amp;"|"&amp;(YEAR(B239)*100+MONTH(B239)))</f>
        <v/>
      </c>
    </row>
    <row r="240">
      <c r="A240" s="1" t="n"/>
      <c r="B240" s="23" t="n"/>
      <c r="C240" s="24" t="n"/>
      <c r="D240" s="25" t="n"/>
      <c r="E240" s="26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1">
        <f>IF(D240="","",IF(B240="","No date",IF(AND(C240="Paying back",R240=0),"To whom?",IF(AA240=0,"Nobody",IF(C240="Paying back","To "&amp;INDEX(Housemates!$B$8:$B$15,MATCH(MAX(S240:Z240),S240:Z240,0)),IF(R240&gt;0,IF(COUNTIF(S240:Z240,"&gt;0")=1,"1 person",COUNTIF(S240:Z240,"&gt;0")&amp;" people"),IF(Q240=0,"Everyone",INDEX(Bills!$Q$6:$Q$25,Q240))))))))</f>
        <v/>
      </c>
      <c r="O240" s="18">
        <f>IF(D240="","",IF(C240="Paying back","Paying back",IF(Q240=0,"Other",IF(INDEX(Bills!$C$6:$C$25,Q240)="","Other",INDEX(Bills!$C$6:$C$25,Q240)))))</f>
        <v/>
      </c>
      <c r="P240" s="1" t="n"/>
      <c r="Q240">
        <f>IF(C240="",0,IFERROR(MATCH(C240,Bills!$B$6:$B$25,0),0))</f>
        <v/>
      </c>
      <c r="R240">
        <f>COUNTA(F240:M240)</f>
        <v/>
      </c>
      <c r="S240">
        <f>IF(OR($D240="",$B240="",Housemates!$B$8=""),0,IF($R240&gt;0,IF(F240="",0,IF(ISNUMBER(F240),F240,1)),IF($C240="Paying back",0,IF(AND(OR(Housemates!$C$8="",Housemates!$C$8&lt;=$B240),OR(Housemates!$D$8="",Housemates!$D$8&gt;=$B240)),IF($Q240=0,1,INDEX(Bills!$AA$6:$AA$25,$Q240)),0))))</f>
        <v/>
      </c>
      <c r="T240">
        <f>IF(OR($D240="",$B240="",Housemates!$B$9=""),0,IF($R240&gt;0,IF(G240="",0,IF(ISNUMBER(G240),G240,1)),IF($C240="Paying back",0,IF(AND(OR(Housemates!$C$9="",Housemates!$C$9&lt;=$B240),OR(Housemates!$D$9="",Housemates!$D$9&gt;=$B240)),IF($Q240=0,1,INDEX(Bills!$AB$6:$AB$25,$Q240)),0))))</f>
        <v/>
      </c>
      <c r="U240">
        <f>IF(OR($D240="",$B240="",Housemates!$B$10=""),0,IF($R240&gt;0,IF(H240="",0,IF(ISNUMBER(H240),H240,1)),IF($C240="Paying back",0,IF(AND(OR(Housemates!$C$10="",Housemates!$C$10&lt;=$B240),OR(Housemates!$D$10="",Housemates!$D$10&gt;=$B240)),IF($Q240=0,1,INDEX(Bills!$AC$6:$AC$25,$Q240)),0))))</f>
        <v/>
      </c>
      <c r="V240">
        <f>IF(OR($D240="",$B240="",Housemates!$B$11=""),0,IF($R240&gt;0,IF(I240="",0,IF(ISNUMBER(I240),I240,1)),IF($C240="Paying back",0,IF(AND(OR(Housemates!$C$11="",Housemates!$C$11&lt;=$B240),OR(Housemates!$D$11="",Housemates!$D$11&gt;=$B240)),IF($Q240=0,1,INDEX(Bills!$AD$6:$AD$25,$Q240)),0))))</f>
        <v/>
      </c>
      <c r="W240">
        <f>IF(OR($D240="",$B240="",Housemates!$B$12=""),0,IF($R240&gt;0,IF(J240="",0,IF(ISNUMBER(J240),J240,1)),IF($C240="Paying back",0,IF(AND(OR(Housemates!$C$12="",Housemates!$C$12&lt;=$B240),OR(Housemates!$D$12="",Housemates!$D$12&gt;=$B240)),IF($Q240=0,1,INDEX(Bills!$AE$6:$AE$25,$Q240)),0))))</f>
        <v/>
      </c>
      <c r="X240">
        <f>IF(OR($D240="",$B240="",Housemates!$B$13=""),0,IF($R240&gt;0,IF(K240="",0,IF(ISNUMBER(K240),K240,1)),IF($C240="Paying back",0,IF(AND(OR(Housemates!$C$13="",Housemates!$C$13&lt;=$B240),OR(Housemates!$D$13="",Housemates!$D$13&gt;=$B240)),IF($Q240=0,1,INDEX(Bills!$AF$6:$AF$25,$Q240)),0))))</f>
        <v/>
      </c>
      <c r="Y240">
        <f>IF(OR($D240="",$B240="",Housemates!$B$14=""),0,IF($R240&gt;0,IF(L240="",0,IF(ISNUMBER(L240),L240,1)),IF($C240="Paying back",0,IF(AND(OR(Housemates!$C$14="",Housemates!$C$14&lt;=$B240),OR(Housemates!$D$14="",Housemates!$D$14&gt;=$B240)),IF($Q240=0,1,INDEX(Bills!$AG$6:$AG$25,$Q240)),0))))</f>
        <v/>
      </c>
      <c r="Z240">
        <f>IF(OR($D240="",$B240="",Housemates!$B$15=""),0,IF($R240&gt;0,IF(M240="",0,IF(ISNUMBER(M240),M240,1)),IF($C240="Paying back",0,IF(AND(OR(Housemates!$C$15="",Housemates!$C$15&lt;=$B240),OR(Housemates!$D$15="",Housemates!$D$15&gt;=$B240)),IF($Q240=0,1,INDEX(Bills!$AH$6:$AH$25,$Q240)),0))))</f>
        <v/>
      </c>
      <c r="AA240">
        <f>SUM(S240:Z240)</f>
        <v/>
      </c>
      <c r="AB240">
        <f>IF(AA240=0,0,D240*S240/AA240)</f>
        <v/>
      </c>
      <c r="AC240">
        <f>IF(AA240=0,0,D240*T240/AA240)</f>
        <v/>
      </c>
      <c r="AD240">
        <f>IF(AA240=0,0,D240*U240/AA240)</f>
        <v/>
      </c>
      <c r="AE240">
        <f>IF(AA240=0,0,D240*V240/AA240)</f>
        <v/>
      </c>
      <c r="AF240">
        <f>IF(AA240=0,0,D240*W240/AA240)</f>
        <v/>
      </c>
      <c r="AG240">
        <f>IF(AA240=0,0,D240*X240/AA240)</f>
        <v/>
      </c>
      <c r="AH240">
        <f>IF(AA240=0,0,D240*Y240/AA240)</f>
        <v/>
      </c>
      <c r="AI240">
        <f>IF(AA240=0,0,D240*Z240/AA240)</f>
        <v/>
      </c>
      <c r="AJ240">
        <f>IF(OR(C240="",B240=""),"",C240&amp;"|"&amp;(YEAR(B240)*100+MONTH(B240)))</f>
        <v/>
      </c>
    </row>
    <row r="241">
      <c r="A241" s="1" t="n"/>
      <c r="B241" s="23" t="n"/>
      <c r="C241" s="24" t="n"/>
      <c r="D241" s="25" t="n"/>
      <c r="E241" s="26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1">
        <f>IF(D241="","",IF(B241="","No date",IF(AND(C241="Paying back",R241=0),"To whom?",IF(AA241=0,"Nobody",IF(C241="Paying back","To "&amp;INDEX(Housemates!$B$8:$B$15,MATCH(MAX(S241:Z241),S241:Z241,0)),IF(R241&gt;0,IF(COUNTIF(S241:Z241,"&gt;0")=1,"1 person",COUNTIF(S241:Z241,"&gt;0")&amp;" people"),IF(Q241=0,"Everyone",INDEX(Bills!$Q$6:$Q$25,Q241))))))))</f>
        <v/>
      </c>
      <c r="O241" s="18">
        <f>IF(D241="","",IF(C241="Paying back","Paying back",IF(Q241=0,"Other",IF(INDEX(Bills!$C$6:$C$25,Q241)="","Other",INDEX(Bills!$C$6:$C$25,Q241)))))</f>
        <v/>
      </c>
      <c r="P241" s="1" t="n"/>
      <c r="Q241">
        <f>IF(C241="",0,IFERROR(MATCH(C241,Bills!$B$6:$B$25,0),0))</f>
        <v/>
      </c>
      <c r="R241">
        <f>COUNTA(F241:M241)</f>
        <v/>
      </c>
      <c r="S241">
        <f>IF(OR($D241="",$B241="",Housemates!$B$8=""),0,IF($R241&gt;0,IF(F241="",0,IF(ISNUMBER(F241),F241,1)),IF($C241="Paying back",0,IF(AND(OR(Housemates!$C$8="",Housemates!$C$8&lt;=$B241),OR(Housemates!$D$8="",Housemates!$D$8&gt;=$B241)),IF($Q241=0,1,INDEX(Bills!$AA$6:$AA$25,$Q241)),0))))</f>
        <v/>
      </c>
      <c r="T241">
        <f>IF(OR($D241="",$B241="",Housemates!$B$9=""),0,IF($R241&gt;0,IF(G241="",0,IF(ISNUMBER(G241),G241,1)),IF($C241="Paying back",0,IF(AND(OR(Housemates!$C$9="",Housemates!$C$9&lt;=$B241),OR(Housemates!$D$9="",Housemates!$D$9&gt;=$B241)),IF($Q241=0,1,INDEX(Bills!$AB$6:$AB$25,$Q241)),0))))</f>
        <v/>
      </c>
      <c r="U241">
        <f>IF(OR($D241="",$B241="",Housemates!$B$10=""),0,IF($R241&gt;0,IF(H241="",0,IF(ISNUMBER(H241),H241,1)),IF($C241="Paying back",0,IF(AND(OR(Housemates!$C$10="",Housemates!$C$10&lt;=$B241),OR(Housemates!$D$10="",Housemates!$D$10&gt;=$B241)),IF($Q241=0,1,INDEX(Bills!$AC$6:$AC$25,$Q241)),0))))</f>
        <v/>
      </c>
      <c r="V241">
        <f>IF(OR($D241="",$B241="",Housemates!$B$11=""),0,IF($R241&gt;0,IF(I241="",0,IF(ISNUMBER(I241),I241,1)),IF($C241="Paying back",0,IF(AND(OR(Housemates!$C$11="",Housemates!$C$11&lt;=$B241),OR(Housemates!$D$11="",Housemates!$D$11&gt;=$B241)),IF($Q241=0,1,INDEX(Bills!$AD$6:$AD$25,$Q241)),0))))</f>
        <v/>
      </c>
      <c r="W241">
        <f>IF(OR($D241="",$B241="",Housemates!$B$12=""),0,IF($R241&gt;0,IF(J241="",0,IF(ISNUMBER(J241),J241,1)),IF($C241="Paying back",0,IF(AND(OR(Housemates!$C$12="",Housemates!$C$12&lt;=$B241),OR(Housemates!$D$12="",Housemates!$D$12&gt;=$B241)),IF($Q241=0,1,INDEX(Bills!$AE$6:$AE$25,$Q241)),0))))</f>
        <v/>
      </c>
      <c r="X241">
        <f>IF(OR($D241="",$B241="",Housemates!$B$13=""),0,IF($R241&gt;0,IF(K241="",0,IF(ISNUMBER(K241),K241,1)),IF($C241="Paying back",0,IF(AND(OR(Housemates!$C$13="",Housemates!$C$13&lt;=$B241),OR(Housemates!$D$13="",Housemates!$D$13&gt;=$B241)),IF($Q241=0,1,INDEX(Bills!$AF$6:$AF$25,$Q241)),0))))</f>
        <v/>
      </c>
      <c r="Y241">
        <f>IF(OR($D241="",$B241="",Housemates!$B$14=""),0,IF($R241&gt;0,IF(L241="",0,IF(ISNUMBER(L241),L241,1)),IF($C241="Paying back",0,IF(AND(OR(Housemates!$C$14="",Housemates!$C$14&lt;=$B241),OR(Housemates!$D$14="",Housemates!$D$14&gt;=$B241)),IF($Q241=0,1,INDEX(Bills!$AG$6:$AG$25,$Q241)),0))))</f>
        <v/>
      </c>
      <c r="Z241">
        <f>IF(OR($D241="",$B241="",Housemates!$B$15=""),0,IF($R241&gt;0,IF(M241="",0,IF(ISNUMBER(M241),M241,1)),IF($C241="Paying back",0,IF(AND(OR(Housemates!$C$15="",Housemates!$C$15&lt;=$B241),OR(Housemates!$D$15="",Housemates!$D$15&gt;=$B241)),IF($Q241=0,1,INDEX(Bills!$AH$6:$AH$25,$Q241)),0))))</f>
        <v/>
      </c>
      <c r="AA241">
        <f>SUM(S241:Z241)</f>
        <v/>
      </c>
      <c r="AB241">
        <f>IF(AA241=0,0,D241*S241/AA241)</f>
        <v/>
      </c>
      <c r="AC241">
        <f>IF(AA241=0,0,D241*T241/AA241)</f>
        <v/>
      </c>
      <c r="AD241">
        <f>IF(AA241=0,0,D241*U241/AA241)</f>
        <v/>
      </c>
      <c r="AE241">
        <f>IF(AA241=0,0,D241*V241/AA241)</f>
        <v/>
      </c>
      <c r="AF241">
        <f>IF(AA241=0,0,D241*W241/AA241)</f>
        <v/>
      </c>
      <c r="AG241">
        <f>IF(AA241=0,0,D241*X241/AA241)</f>
        <v/>
      </c>
      <c r="AH241">
        <f>IF(AA241=0,0,D241*Y241/AA241)</f>
        <v/>
      </c>
      <c r="AI241">
        <f>IF(AA241=0,0,D241*Z241/AA241)</f>
        <v/>
      </c>
      <c r="AJ241">
        <f>IF(OR(C241="",B241=""),"",C241&amp;"|"&amp;(YEAR(B241)*100+MONTH(B241)))</f>
        <v/>
      </c>
    </row>
    <row r="242">
      <c r="A242" s="1" t="n"/>
      <c r="B242" s="23" t="n"/>
      <c r="C242" s="24" t="n"/>
      <c r="D242" s="25" t="n"/>
      <c r="E242" s="26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1">
        <f>IF(D242="","",IF(B242="","No date",IF(AND(C242="Paying back",R242=0),"To whom?",IF(AA242=0,"Nobody",IF(C242="Paying back","To "&amp;INDEX(Housemates!$B$8:$B$15,MATCH(MAX(S242:Z242),S242:Z242,0)),IF(R242&gt;0,IF(COUNTIF(S242:Z242,"&gt;0")=1,"1 person",COUNTIF(S242:Z242,"&gt;0")&amp;" people"),IF(Q242=0,"Everyone",INDEX(Bills!$Q$6:$Q$25,Q242))))))))</f>
        <v/>
      </c>
      <c r="O242" s="18">
        <f>IF(D242="","",IF(C242="Paying back","Paying back",IF(Q242=0,"Other",IF(INDEX(Bills!$C$6:$C$25,Q242)="","Other",INDEX(Bills!$C$6:$C$25,Q242)))))</f>
        <v/>
      </c>
      <c r="P242" s="1" t="n"/>
      <c r="Q242">
        <f>IF(C242="",0,IFERROR(MATCH(C242,Bills!$B$6:$B$25,0),0))</f>
        <v/>
      </c>
      <c r="R242">
        <f>COUNTA(F242:M242)</f>
        <v/>
      </c>
      <c r="S242">
        <f>IF(OR($D242="",$B242="",Housemates!$B$8=""),0,IF($R242&gt;0,IF(F242="",0,IF(ISNUMBER(F242),F242,1)),IF($C242="Paying back",0,IF(AND(OR(Housemates!$C$8="",Housemates!$C$8&lt;=$B242),OR(Housemates!$D$8="",Housemates!$D$8&gt;=$B242)),IF($Q242=0,1,INDEX(Bills!$AA$6:$AA$25,$Q242)),0))))</f>
        <v/>
      </c>
      <c r="T242">
        <f>IF(OR($D242="",$B242="",Housemates!$B$9=""),0,IF($R242&gt;0,IF(G242="",0,IF(ISNUMBER(G242),G242,1)),IF($C242="Paying back",0,IF(AND(OR(Housemates!$C$9="",Housemates!$C$9&lt;=$B242),OR(Housemates!$D$9="",Housemates!$D$9&gt;=$B242)),IF($Q242=0,1,INDEX(Bills!$AB$6:$AB$25,$Q242)),0))))</f>
        <v/>
      </c>
      <c r="U242">
        <f>IF(OR($D242="",$B242="",Housemates!$B$10=""),0,IF($R242&gt;0,IF(H242="",0,IF(ISNUMBER(H242),H242,1)),IF($C242="Paying back",0,IF(AND(OR(Housemates!$C$10="",Housemates!$C$10&lt;=$B242),OR(Housemates!$D$10="",Housemates!$D$10&gt;=$B242)),IF($Q242=0,1,INDEX(Bills!$AC$6:$AC$25,$Q242)),0))))</f>
        <v/>
      </c>
      <c r="V242">
        <f>IF(OR($D242="",$B242="",Housemates!$B$11=""),0,IF($R242&gt;0,IF(I242="",0,IF(ISNUMBER(I242),I242,1)),IF($C242="Paying back",0,IF(AND(OR(Housemates!$C$11="",Housemates!$C$11&lt;=$B242),OR(Housemates!$D$11="",Housemates!$D$11&gt;=$B242)),IF($Q242=0,1,INDEX(Bills!$AD$6:$AD$25,$Q242)),0))))</f>
        <v/>
      </c>
      <c r="W242">
        <f>IF(OR($D242="",$B242="",Housemates!$B$12=""),0,IF($R242&gt;0,IF(J242="",0,IF(ISNUMBER(J242),J242,1)),IF($C242="Paying back",0,IF(AND(OR(Housemates!$C$12="",Housemates!$C$12&lt;=$B242),OR(Housemates!$D$12="",Housemates!$D$12&gt;=$B242)),IF($Q242=0,1,INDEX(Bills!$AE$6:$AE$25,$Q242)),0))))</f>
        <v/>
      </c>
      <c r="X242">
        <f>IF(OR($D242="",$B242="",Housemates!$B$13=""),0,IF($R242&gt;0,IF(K242="",0,IF(ISNUMBER(K242),K242,1)),IF($C242="Paying back",0,IF(AND(OR(Housemates!$C$13="",Housemates!$C$13&lt;=$B242),OR(Housemates!$D$13="",Housemates!$D$13&gt;=$B242)),IF($Q242=0,1,INDEX(Bills!$AF$6:$AF$25,$Q242)),0))))</f>
        <v/>
      </c>
      <c r="Y242">
        <f>IF(OR($D242="",$B242="",Housemates!$B$14=""),0,IF($R242&gt;0,IF(L242="",0,IF(ISNUMBER(L242),L242,1)),IF($C242="Paying back",0,IF(AND(OR(Housemates!$C$14="",Housemates!$C$14&lt;=$B242),OR(Housemates!$D$14="",Housemates!$D$14&gt;=$B242)),IF($Q242=0,1,INDEX(Bills!$AG$6:$AG$25,$Q242)),0))))</f>
        <v/>
      </c>
      <c r="Z242">
        <f>IF(OR($D242="",$B242="",Housemates!$B$15=""),0,IF($R242&gt;0,IF(M242="",0,IF(ISNUMBER(M242),M242,1)),IF($C242="Paying back",0,IF(AND(OR(Housemates!$C$15="",Housemates!$C$15&lt;=$B242),OR(Housemates!$D$15="",Housemates!$D$15&gt;=$B242)),IF($Q242=0,1,INDEX(Bills!$AH$6:$AH$25,$Q242)),0))))</f>
        <v/>
      </c>
      <c r="AA242">
        <f>SUM(S242:Z242)</f>
        <v/>
      </c>
      <c r="AB242">
        <f>IF(AA242=0,0,D242*S242/AA242)</f>
        <v/>
      </c>
      <c r="AC242">
        <f>IF(AA242=0,0,D242*T242/AA242)</f>
        <v/>
      </c>
      <c r="AD242">
        <f>IF(AA242=0,0,D242*U242/AA242)</f>
        <v/>
      </c>
      <c r="AE242">
        <f>IF(AA242=0,0,D242*V242/AA242)</f>
        <v/>
      </c>
      <c r="AF242">
        <f>IF(AA242=0,0,D242*W242/AA242)</f>
        <v/>
      </c>
      <c r="AG242">
        <f>IF(AA242=0,0,D242*X242/AA242)</f>
        <v/>
      </c>
      <c r="AH242">
        <f>IF(AA242=0,0,D242*Y242/AA242)</f>
        <v/>
      </c>
      <c r="AI242">
        <f>IF(AA242=0,0,D242*Z242/AA242)</f>
        <v/>
      </c>
      <c r="AJ242">
        <f>IF(OR(C242="",B242=""),"",C242&amp;"|"&amp;(YEAR(B242)*100+MONTH(B242)))</f>
        <v/>
      </c>
    </row>
    <row r="243">
      <c r="A243" s="1" t="n"/>
      <c r="B243" s="23" t="n"/>
      <c r="C243" s="24" t="n"/>
      <c r="D243" s="25" t="n"/>
      <c r="E243" s="26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1">
        <f>IF(D243="","",IF(B243="","No date",IF(AND(C243="Paying back",R243=0),"To whom?",IF(AA243=0,"Nobody",IF(C243="Paying back","To "&amp;INDEX(Housemates!$B$8:$B$15,MATCH(MAX(S243:Z243),S243:Z243,0)),IF(R243&gt;0,IF(COUNTIF(S243:Z243,"&gt;0")=1,"1 person",COUNTIF(S243:Z243,"&gt;0")&amp;" people"),IF(Q243=0,"Everyone",INDEX(Bills!$Q$6:$Q$25,Q243))))))))</f>
        <v/>
      </c>
      <c r="O243" s="18">
        <f>IF(D243="","",IF(C243="Paying back","Paying back",IF(Q243=0,"Other",IF(INDEX(Bills!$C$6:$C$25,Q243)="","Other",INDEX(Bills!$C$6:$C$25,Q243)))))</f>
        <v/>
      </c>
      <c r="P243" s="1" t="n"/>
      <c r="Q243">
        <f>IF(C243="",0,IFERROR(MATCH(C243,Bills!$B$6:$B$25,0),0))</f>
        <v/>
      </c>
      <c r="R243">
        <f>COUNTA(F243:M243)</f>
        <v/>
      </c>
      <c r="S243">
        <f>IF(OR($D243="",$B243="",Housemates!$B$8=""),0,IF($R243&gt;0,IF(F243="",0,IF(ISNUMBER(F243),F243,1)),IF($C243="Paying back",0,IF(AND(OR(Housemates!$C$8="",Housemates!$C$8&lt;=$B243),OR(Housemates!$D$8="",Housemates!$D$8&gt;=$B243)),IF($Q243=0,1,INDEX(Bills!$AA$6:$AA$25,$Q243)),0))))</f>
        <v/>
      </c>
      <c r="T243">
        <f>IF(OR($D243="",$B243="",Housemates!$B$9=""),0,IF($R243&gt;0,IF(G243="",0,IF(ISNUMBER(G243),G243,1)),IF($C243="Paying back",0,IF(AND(OR(Housemates!$C$9="",Housemates!$C$9&lt;=$B243),OR(Housemates!$D$9="",Housemates!$D$9&gt;=$B243)),IF($Q243=0,1,INDEX(Bills!$AB$6:$AB$25,$Q243)),0))))</f>
        <v/>
      </c>
      <c r="U243">
        <f>IF(OR($D243="",$B243="",Housemates!$B$10=""),0,IF($R243&gt;0,IF(H243="",0,IF(ISNUMBER(H243),H243,1)),IF($C243="Paying back",0,IF(AND(OR(Housemates!$C$10="",Housemates!$C$10&lt;=$B243),OR(Housemates!$D$10="",Housemates!$D$10&gt;=$B243)),IF($Q243=0,1,INDEX(Bills!$AC$6:$AC$25,$Q243)),0))))</f>
        <v/>
      </c>
      <c r="V243">
        <f>IF(OR($D243="",$B243="",Housemates!$B$11=""),0,IF($R243&gt;0,IF(I243="",0,IF(ISNUMBER(I243),I243,1)),IF($C243="Paying back",0,IF(AND(OR(Housemates!$C$11="",Housemates!$C$11&lt;=$B243),OR(Housemates!$D$11="",Housemates!$D$11&gt;=$B243)),IF($Q243=0,1,INDEX(Bills!$AD$6:$AD$25,$Q243)),0))))</f>
        <v/>
      </c>
      <c r="W243">
        <f>IF(OR($D243="",$B243="",Housemates!$B$12=""),0,IF($R243&gt;0,IF(J243="",0,IF(ISNUMBER(J243),J243,1)),IF($C243="Paying back",0,IF(AND(OR(Housemates!$C$12="",Housemates!$C$12&lt;=$B243),OR(Housemates!$D$12="",Housemates!$D$12&gt;=$B243)),IF($Q243=0,1,INDEX(Bills!$AE$6:$AE$25,$Q243)),0))))</f>
        <v/>
      </c>
      <c r="X243">
        <f>IF(OR($D243="",$B243="",Housemates!$B$13=""),0,IF($R243&gt;0,IF(K243="",0,IF(ISNUMBER(K243),K243,1)),IF($C243="Paying back",0,IF(AND(OR(Housemates!$C$13="",Housemates!$C$13&lt;=$B243),OR(Housemates!$D$13="",Housemates!$D$13&gt;=$B243)),IF($Q243=0,1,INDEX(Bills!$AF$6:$AF$25,$Q243)),0))))</f>
        <v/>
      </c>
      <c r="Y243">
        <f>IF(OR($D243="",$B243="",Housemates!$B$14=""),0,IF($R243&gt;0,IF(L243="",0,IF(ISNUMBER(L243),L243,1)),IF($C243="Paying back",0,IF(AND(OR(Housemates!$C$14="",Housemates!$C$14&lt;=$B243),OR(Housemates!$D$14="",Housemates!$D$14&gt;=$B243)),IF($Q243=0,1,INDEX(Bills!$AG$6:$AG$25,$Q243)),0))))</f>
        <v/>
      </c>
      <c r="Z243">
        <f>IF(OR($D243="",$B243="",Housemates!$B$15=""),0,IF($R243&gt;0,IF(M243="",0,IF(ISNUMBER(M243),M243,1)),IF($C243="Paying back",0,IF(AND(OR(Housemates!$C$15="",Housemates!$C$15&lt;=$B243),OR(Housemates!$D$15="",Housemates!$D$15&gt;=$B243)),IF($Q243=0,1,INDEX(Bills!$AH$6:$AH$25,$Q243)),0))))</f>
        <v/>
      </c>
      <c r="AA243">
        <f>SUM(S243:Z243)</f>
        <v/>
      </c>
      <c r="AB243">
        <f>IF(AA243=0,0,D243*S243/AA243)</f>
        <v/>
      </c>
      <c r="AC243">
        <f>IF(AA243=0,0,D243*T243/AA243)</f>
        <v/>
      </c>
      <c r="AD243">
        <f>IF(AA243=0,0,D243*U243/AA243)</f>
        <v/>
      </c>
      <c r="AE243">
        <f>IF(AA243=0,0,D243*V243/AA243)</f>
        <v/>
      </c>
      <c r="AF243">
        <f>IF(AA243=0,0,D243*W243/AA243)</f>
        <v/>
      </c>
      <c r="AG243">
        <f>IF(AA243=0,0,D243*X243/AA243)</f>
        <v/>
      </c>
      <c r="AH243">
        <f>IF(AA243=0,0,D243*Y243/AA243)</f>
        <v/>
      </c>
      <c r="AI243">
        <f>IF(AA243=0,0,D243*Z243/AA243)</f>
        <v/>
      </c>
      <c r="AJ243">
        <f>IF(OR(C243="",B243=""),"",C243&amp;"|"&amp;(YEAR(B243)*100+MONTH(B243)))</f>
        <v/>
      </c>
    </row>
    <row r="244">
      <c r="A244" s="1" t="n"/>
      <c r="B244" s="23" t="n"/>
      <c r="C244" s="24" t="n"/>
      <c r="D244" s="25" t="n"/>
      <c r="E244" s="26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1">
        <f>IF(D244="","",IF(B244="","No date",IF(AND(C244="Paying back",R244=0),"To whom?",IF(AA244=0,"Nobody",IF(C244="Paying back","To "&amp;INDEX(Housemates!$B$8:$B$15,MATCH(MAX(S244:Z244),S244:Z244,0)),IF(R244&gt;0,IF(COUNTIF(S244:Z244,"&gt;0")=1,"1 person",COUNTIF(S244:Z244,"&gt;0")&amp;" people"),IF(Q244=0,"Everyone",INDEX(Bills!$Q$6:$Q$25,Q244))))))))</f>
        <v/>
      </c>
      <c r="O244" s="18">
        <f>IF(D244="","",IF(C244="Paying back","Paying back",IF(Q244=0,"Other",IF(INDEX(Bills!$C$6:$C$25,Q244)="","Other",INDEX(Bills!$C$6:$C$25,Q244)))))</f>
        <v/>
      </c>
      <c r="P244" s="1" t="n"/>
      <c r="Q244">
        <f>IF(C244="",0,IFERROR(MATCH(C244,Bills!$B$6:$B$25,0),0))</f>
        <v/>
      </c>
      <c r="R244">
        <f>COUNTA(F244:M244)</f>
        <v/>
      </c>
      <c r="S244">
        <f>IF(OR($D244="",$B244="",Housemates!$B$8=""),0,IF($R244&gt;0,IF(F244="",0,IF(ISNUMBER(F244),F244,1)),IF($C244="Paying back",0,IF(AND(OR(Housemates!$C$8="",Housemates!$C$8&lt;=$B244),OR(Housemates!$D$8="",Housemates!$D$8&gt;=$B244)),IF($Q244=0,1,INDEX(Bills!$AA$6:$AA$25,$Q244)),0))))</f>
        <v/>
      </c>
      <c r="T244">
        <f>IF(OR($D244="",$B244="",Housemates!$B$9=""),0,IF($R244&gt;0,IF(G244="",0,IF(ISNUMBER(G244),G244,1)),IF($C244="Paying back",0,IF(AND(OR(Housemates!$C$9="",Housemates!$C$9&lt;=$B244),OR(Housemates!$D$9="",Housemates!$D$9&gt;=$B244)),IF($Q244=0,1,INDEX(Bills!$AB$6:$AB$25,$Q244)),0))))</f>
        <v/>
      </c>
      <c r="U244">
        <f>IF(OR($D244="",$B244="",Housemates!$B$10=""),0,IF($R244&gt;0,IF(H244="",0,IF(ISNUMBER(H244),H244,1)),IF($C244="Paying back",0,IF(AND(OR(Housemates!$C$10="",Housemates!$C$10&lt;=$B244),OR(Housemates!$D$10="",Housemates!$D$10&gt;=$B244)),IF($Q244=0,1,INDEX(Bills!$AC$6:$AC$25,$Q244)),0))))</f>
        <v/>
      </c>
      <c r="V244">
        <f>IF(OR($D244="",$B244="",Housemates!$B$11=""),0,IF($R244&gt;0,IF(I244="",0,IF(ISNUMBER(I244),I244,1)),IF($C244="Paying back",0,IF(AND(OR(Housemates!$C$11="",Housemates!$C$11&lt;=$B244),OR(Housemates!$D$11="",Housemates!$D$11&gt;=$B244)),IF($Q244=0,1,INDEX(Bills!$AD$6:$AD$25,$Q244)),0))))</f>
        <v/>
      </c>
      <c r="W244">
        <f>IF(OR($D244="",$B244="",Housemates!$B$12=""),0,IF($R244&gt;0,IF(J244="",0,IF(ISNUMBER(J244),J244,1)),IF($C244="Paying back",0,IF(AND(OR(Housemates!$C$12="",Housemates!$C$12&lt;=$B244),OR(Housemates!$D$12="",Housemates!$D$12&gt;=$B244)),IF($Q244=0,1,INDEX(Bills!$AE$6:$AE$25,$Q244)),0))))</f>
        <v/>
      </c>
      <c r="X244">
        <f>IF(OR($D244="",$B244="",Housemates!$B$13=""),0,IF($R244&gt;0,IF(K244="",0,IF(ISNUMBER(K244),K244,1)),IF($C244="Paying back",0,IF(AND(OR(Housemates!$C$13="",Housemates!$C$13&lt;=$B244),OR(Housemates!$D$13="",Housemates!$D$13&gt;=$B244)),IF($Q244=0,1,INDEX(Bills!$AF$6:$AF$25,$Q244)),0))))</f>
        <v/>
      </c>
      <c r="Y244">
        <f>IF(OR($D244="",$B244="",Housemates!$B$14=""),0,IF($R244&gt;0,IF(L244="",0,IF(ISNUMBER(L244),L244,1)),IF($C244="Paying back",0,IF(AND(OR(Housemates!$C$14="",Housemates!$C$14&lt;=$B244),OR(Housemates!$D$14="",Housemates!$D$14&gt;=$B244)),IF($Q244=0,1,INDEX(Bills!$AG$6:$AG$25,$Q244)),0))))</f>
        <v/>
      </c>
      <c r="Z244">
        <f>IF(OR($D244="",$B244="",Housemates!$B$15=""),0,IF($R244&gt;0,IF(M244="",0,IF(ISNUMBER(M244),M244,1)),IF($C244="Paying back",0,IF(AND(OR(Housemates!$C$15="",Housemates!$C$15&lt;=$B244),OR(Housemates!$D$15="",Housemates!$D$15&gt;=$B244)),IF($Q244=0,1,INDEX(Bills!$AH$6:$AH$25,$Q244)),0))))</f>
        <v/>
      </c>
      <c r="AA244">
        <f>SUM(S244:Z244)</f>
        <v/>
      </c>
      <c r="AB244">
        <f>IF(AA244=0,0,D244*S244/AA244)</f>
        <v/>
      </c>
      <c r="AC244">
        <f>IF(AA244=0,0,D244*T244/AA244)</f>
        <v/>
      </c>
      <c r="AD244">
        <f>IF(AA244=0,0,D244*U244/AA244)</f>
        <v/>
      </c>
      <c r="AE244">
        <f>IF(AA244=0,0,D244*V244/AA244)</f>
        <v/>
      </c>
      <c r="AF244">
        <f>IF(AA244=0,0,D244*W244/AA244)</f>
        <v/>
      </c>
      <c r="AG244">
        <f>IF(AA244=0,0,D244*X244/AA244)</f>
        <v/>
      </c>
      <c r="AH244">
        <f>IF(AA244=0,0,D244*Y244/AA244)</f>
        <v/>
      </c>
      <c r="AI244">
        <f>IF(AA244=0,0,D244*Z244/AA244)</f>
        <v/>
      </c>
      <c r="AJ244">
        <f>IF(OR(C244="",B244=""),"",C244&amp;"|"&amp;(YEAR(B244)*100+MONTH(B244)))</f>
        <v/>
      </c>
    </row>
    <row r="245">
      <c r="A245" s="1" t="n"/>
      <c r="B245" s="23" t="n"/>
      <c r="C245" s="24" t="n"/>
      <c r="D245" s="25" t="n"/>
      <c r="E245" s="26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1">
        <f>IF(D245="","",IF(B245="","No date",IF(AND(C245="Paying back",R245=0),"To whom?",IF(AA245=0,"Nobody",IF(C245="Paying back","To "&amp;INDEX(Housemates!$B$8:$B$15,MATCH(MAX(S245:Z245),S245:Z245,0)),IF(R245&gt;0,IF(COUNTIF(S245:Z245,"&gt;0")=1,"1 person",COUNTIF(S245:Z245,"&gt;0")&amp;" people"),IF(Q245=0,"Everyone",INDEX(Bills!$Q$6:$Q$25,Q245))))))))</f>
        <v/>
      </c>
      <c r="O245" s="18">
        <f>IF(D245="","",IF(C245="Paying back","Paying back",IF(Q245=0,"Other",IF(INDEX(Bills!$C$6:$C$25,Q245)="","Other",INDEX(Bills!$C$6:$C$25,Q245)))))</f>
        <v/>
      </c>
      <c r="P245" s="1" t="n"/>
      <c r="Q245">
        <f>IF(C245="",0,IFERROR(MATCH(C245,Bills!$B$6:$B$25,0),0))</f>
        <v/>
      </c>
      <c r="R245">
        <f>COUNTA(F245:M245)</f>
        <v/>
      </c>
      <c r="S245">
        <f>IF(OR($D245="",$B245="",Housemates!$B$8=""),0,IF($R245&gt;0,IF(F245="",0,IF(ISNUMBER(F245),F245,1)),IF($C245="Paying back",0,IF(AND(OR(Housemates!$C$8="",Housemates!$C$8&lt;=$B245),OR(Housemates!$D$8="",Housemates!$D$8&gt;=$B245)),IF($Q245=0,1,INDEX(Bills!$AA$6:$AA$25,$Q245)),0))))</f>
        <v/>
      </c>
      <c r="T245">
        <f>IF(OR($D245="",$B245="",Housemates!$B$9=""),0,IF($R245&gt;0,IF(G245="",0,IF(ISNUMBER(G245),G245,1)),IF($C245="Paying back",0,IF(AND(OR(Housemates!$C$9="",Housemates!$C$9&lt;=$B245),OR(Housemates!$D$9="",Housemates!$D$9&gt;=$B245)),IF($Q245=0,1,INDEX(Bills!$AB$6:$AB$25,$Q245)),0))))</f>
        <v/>
      </c>
      <c r="U245">
        <f>IF(OR($D245="",$B245="",Housemates!$B$10=""),0,IF($R245&gt;0,IF(H245="",0,IF(ISNUMBER(H245),H245,1)),IF($C245="Paying back",0,IF(AND(OR(Housemates!$C$10="",Housemates!$C$10&lt;=$B245),OR(Housemates!$D$10="",Housemates!$D$10&gt;=$B245)),IF($Q245=0,1,INDEX(Bills!$AC$6:$AC$25,$Q245)),0))))</f>
        <v/>
      </c>
      <c r="V245">
        <f>IF(OR($D245="",$B245="",Housemates!$B$11=""),0,IF($R245&gt;0,IF(I245="",0,IF(ISNUMBER(I245),I245,1)),IF($C245="Paying back",0,IF(AND(OR(Housemates!$C$11="",Housemates!$C$11&lt;=$B245),OR(Housemates!$D$11="",Housemates!$D$11&gt;=$B245)),IF($Q245=0,1,INDEX(Bills!$AD$6:$AD$25,$Q245)),0))))</f>
        <v/>
      </c>
      <c r="W245">
        <f>IF(OR($D245="",$B245="",Housemates!$B$12=""),0,IF($R245&gt;0,IF(J245="",0,IF(ISNUMBER(J245),J245,1)),IF($C245="Paying back",0,IF(AND(OR(Housemates!$C$12="",Housemates!$C$12&lt;=$B245),OR(Housemates!$D$12="",Housemates!$D$12&gt;=$B245)),IF($Q245=0,1,INDEX(Bills!$AE$6:$AE$25,$Q245)),0))))</f>
        <v/>
      </c>
      <c r="X245">
        <f>IF(OR($D245="",$B245="",Housemates!$B$13=""),0,IF($R245&gt;0,IF(K245="",0,IF(ISNUMBER(K245),K245,1)),IF($C245="Paying back",0,IF(AND(OR(Housemates!$C$13="",Housemates!$C$13&lt;=$B245),OR(Housemates!$D$13="",Housemates!$D$13&gt;=$B245)),IF($Q245=0,1,INDEX(Bills!$AF$6:$AF$25,$Q245)),0))))</f>
        <v/>
      </c>
      <c r="Y245">
        <f>IF(OR($D245="",$B245="",Housemates!$B$14=""),0,IF($R245&gt;0,IF(L245="",0,IF(ISNUMBER(L245),L245,1)),IF($C245="Paying back",0,IF(AND(OR(Housemates!$C$14="",Housemates!$C$14&lt;=$B245),OR(Housemates!$D$14="",Housemates!$D$14&gt;=$B245)),IF($Q245=0,1,INDEX(Bills!$AG$6:$AG$25,$Q245)),0))))</f>
        <v/>
      </c>
      <c r="Z245">
        <f>IF(OR($D245="",$B245="",Housemates!$B$15=""),0,IF($R245&gt;0,IF(M245="",0,IF(ISNUMBER(M245),M245,1)),IF($C245="Paying back",0,IF(AND(OR(Housemates!$C$15="",Housemates!$C$15&lt;=$B245),OR(Housemates!$D$15="",Housemates!$D$15&gt;=$B245)),IF($Q245=0,1,INDEX(Bills!$AH$6:$AH$25,$Q245)),0))))</f>
        <v/>
      </c>
      <c r="AA245">
        <f>SUM(S245:Z245)</f>
        <v/>
      </c>
      <c r="AB245">
        <f>IF(AA245=0,0,D245*S245/AA245)</f>
        <v/>
      </c>
      <c r="AC245">
        <f>IF(AA245=0,0,D245*T245/AA245)</f>
        <v/>
      </c>
      <c r="AD245">
        <f>IF(AA245=0,0,D245*U245/AA245)</f>
        <v/>
      </c>
      <c r="AE245">
        <f>IF(AA245=0,0,D245*V245/AA245)</f>
        <v/>
      </c>
      <c r="AF245">
        <f>IF(AA245=0,0,D245*W245/AA245)</f>
        <v/>
      </c>
      <c r="AG245">
        <f>IF(AA245=0,0,D245*X245/AA245)</f>
        <v/>
      </c>
      <c r="AH245">
        <f>IF(AA245=0,0,D245*Y245/AA245)</f>
        <v/>
      </c>
      <c r="AI245">
        <f>IF(AA245=0,0,D245*Z245/AA245)</f>
        <v/>
      </c>
      <c r="AJ245">
        <f>IF(OR(C245="",B245=""),"",C245&amp;"|"&amp;(YEAR(B245)*100+MONTH(B245)))</f>
        <v/>
      </c>
    </row>
    <row r="246">
      <c r="A246" s="1" t="n"/>
      <c r="B246" s="23" t="n"/>
      <c r="C246" s="24" t="n"/>
      <c r="D246" s="25" t="n"/>
      <c r="E246" s="26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1">
        <f>IF(D246="","",IF(B246="","No date",IF(AND(C246="Paying back",R246=0),"To whom?",IF(AA246=0,"Nobody",IF(C246="Paying back","To "&amp;INDEX(Housemates!$B$8:$B$15,MATCH(MAX(S246:Z246),S246:Z246,0)),IF(R246&gt;0,IF(COUNTIF(S246:Z246,"&gt;0")=1,"1 person",COUNTIF(S246:Z246,"&gt;0")&amp;" people"),IF(Q246=0,"Everyone",INDEX(Bills!$Q$6:$Q$25,Q246))))))))</f>
        <v/>
      </c>
      <c r="O246" s="18">
        <f>IF(D246="","",IF(C246="Paying back","Paying back",IF(Q246=0,"Other",IF(INDEX(Bills!$C$6:$C$25,Q246)="","Other",INDEX(Bills!$C$6:$C$25,Q246)))))</f>
        <v/>
      </c>
      <c r="P246" s="1" t="n"/>
      <c r="Q246">
        <f>IF(C246="",0,IFERROR(MATCH(C246,Bills!$B$6:$B$25,0),0))</f>
        <v/>
      </c>
      <c r="R246">
        <f>COUNTA(F246:M246)</f>
        <v/>
      </c>
      <c r="S246">
        <f>IF(OR($D246="",$B246="",Housemates!$B$8=""),0,IF($R246&gt;0,IF(F246="",0,IF(ISNUMBER(F246),F246,1)),IF($C246="Paying back",0,IF(AND(OR(Housemates!$C$8="",Housemates!$C$8&lt;=$B246),OR(Housemates!$D$8="",Housemates!$D$8&gt;=$B246)),IF($Q246=0,1,INDEX(Bills!$AA$6:$AA$25,$Q246)),0))))</f>
        <v/>
      </c>
      <c r="T246">
        <f>IF(OR($D246="",$B246="",Housemates!$B$9=""),0,IF($R246&gt;0,IF(G246="",0,IF(ISNUMBER(G246),G246,1)),IF($C246="Paying back",0,IF(AND(OR(Housemates!$C$9="",Housemates!$C$9&lt;=$B246),OR(Housemates!$D$9="",Housemates!$D$9&gt;=$B246)),IF($Q246=0,1,INDEX(Bills!$AB$6:$AB$25,$Q246)),0))))</f>
        <v/>
      </c>
      <c r="U246">
        <f>IF(OR($D246="",$B246="",Housemates!$B$10=""),0,IF($R246&gt;0,IF(H246="",0,IF(ISNUMBER(H246),H246,1)),IF($C246="Paying back",0,IF(AND(OR(Housemates!$C$10="",Housemates!$C$10&lt;=$B246),OR(Housemates!$D$10="",Housemates!$D$10&gt;=$B246)),IF($Q246=0,1,INDEX(Bills!$AC$6:$AC$25,$Q246)),0))))</f>
        <v/>
      </c>
      <c r="V246">
        <f>IF(OR($D246="",$B246="",Housemates!$B$11=""),0,IF($R246&gt;0,IF(I246="",0,IF(ISNUMBER(I246),I246,1)),IF($C246="Paying back",0,IF(AND(OR(Housemates!$C$11="",Housemates!$C$11&lt;=$B246),OR(Housemates!$D$11="",Housemates!$D$11&gt;=$B246)),IF($Q246=0,1,INDEX(Bills!$AD$6:$AD$25,$Q246)),0))))</f>
        <v/>
      </c>
      <c r="W246">
        <f>IF(OR($D246="",$B246="",Housemates!$B$12=""),0,IF($R246&gt;0,IF(J246="",0,IF(ISNUMBER(J246),J246,1)),IF($C246="Paying back",0,IF(AND(OR(Housemates!$C$12="",Housemates!$C$12&lt;=$B246),OR(Housemates!$D$12="",Housemates!$D$12&gt;=$B246)),IF($Q246=0,1,INDEX(Bills!$AE$6:$AE$25,$Q246)),0))))</f>
        <v/>
      </c>
      <c r="X246">
        <f>IF(OR($D246="",$B246="",Housemates!$B$13=""),0,IF($R246&gt;0,IF(K246="",0,IF(ISNUMBER(K246),K246,1)),IF($C246="Paying back",0,IF(AND(OR(Housemates!$C$13="",Housemates!$C$13&lt;=$B246),OR(Housemates!$D$13="",Housemates!$D$13&gt;=$B246)),IF($Q246=0,1,INDEX(Bills!$AF$6:$AF$25,$Q246)),0))))</f>
        <v/>
      </c>
      <c r="Y246">
        <f>IF(OR($D246="",$B246="",Housemates!$B$14=""),0,IF($R246&gt;0,IF(L246="",0,IF(ISNUMBER(L246),L246,1)),IF($C246="Paying back",0,IF(AND(OR(Housemates!$C$14="",Housemates!$C$14&lt;=$B246),OR(Housemates!$D$14="",Housemates!$D$14&gt;=$B246)),IF($Q246=0,1,INDEX(Bills!$AG$6:$AG$25,$Q246)),0))))</f>
        <v/>
      </c>
      <c r="Z246">
        <f>IF(OR($D246="",$B246="",Housemates!$B$15=""),0,IF($R246&gt;0,IF(M246="",0,IF(ISNUMBER(M246),M246,1)),IF($C246="Paying back",0,IF(AND(OR(Housemates!$C$15="",Housemates!$C$15&lt;=$B246),OR(Housemates!$D$15="",Housemates!$D$15&gt;=$B246)),IF($Q246=0,1,INDEX(Bills!$AH$6:$AH$25,$Q246)),0))))</f>
        <v/>
      </c>
      <c r="AA246">
        <f>SUM(S246:Z246)</f>
        <v/>
      </c>
      <c r="AB246">
        <f>IF(AA246=0,0,D246*S246/AA246)</f>
        <v/>
      </c>
      <c r="AC246">
        <f>IF(AA246=0,0,D246*T246/AA246)</f>
        <v/>
      </c>
      <c r="AD246">
        <f>IF(AA246=0,0,D246*U246/AA246)</f>
        <v/>
      </c>
      <c r="AE246">
        <f>IF(AA246=0,0,D246*V246/AA246)</f>
        <v/>
      </c>
      <c r="AF246">
        <f>IF(AA246=0,0,D246*W246/AA246)</f>
        <v/>
      </c>
      <c r="AG246">
        <f>IF(AA246=0,0,D246*X246/AA246)</f>
        <v/>
      </c>
      <c r="AH246">
        <f>IF(AA246=0,0,D246*Y246/AA246)</f>
        <v/>
      </c>
      <c r="AI246">
        <f>IF(AA246=0,0,D246*Z246/AA246)</f>
        <v/>
      </c>
      <c r="AJ246">
        <f>IF(OR(C246="",B246=""),"",C246&amp;"|"&amp;(YEAR(B246)*100+MONTH(B246)))</f>
        <v/>
      </c>
    </row>
    <row r="247">
      <c r="A247" s="1" t="n"/>
      <c r="B247" s="23" t="n"/>
      <c r="C247" s="24" t="n"/>
      <c r="D247" s="25" t="n"/>
      <c r="E247" s="26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1">
        <f>IF(D247="","",IF(B247="","No date",IF(AND(C247="Paying back",R247=0),"To whom?",IF(AA247=0,"Nobody",IF(C247="Paying back","To "&amp;INDEX(Housemates!$B$8:$B$15,MATCH(MAX(S247:Z247),S247:Z247,0)),IF(R247&gt;0,IF(COUNTIF(S247:Z247,"&gt;0")=1,"1 person",COUNTIF(S247:Z247,"&gt;0")&amp;" people"),IF(Q247=0,"Everyone",INDEX(Bills!$Q$6:$Q$25,Q247))))))))</f>
        <v/>
      </c>
      <c r="O247" s="18">
        <f>IF(D247="","",IF(C247="Paying back","Paying back",IF(Q247=0,"Other",IF(INDEX(Bills!$C$6:$C$25,Q247)="","Other",INDEX(Bills!$C$6:$C$25,Q247)))))</f>
        <v/>
      </c>
      <c r="P247" s="1" t="n"/>
      <c r="Q247">
        <f>IF(C247="",0,IFERROR(MATCH(C247,Bills!$B$6:$B$25,0),0))</f>
        <v/>
      </c>
      <c r="R247">
        <f>COUNTA(F247:M247)</f>
        <v/>
      </c>
      <c r="S247">
        <f>IF(OR($D247="",$B247="",Housemates!$B$8=""),0,IF($R247&gt;0,IF(F247="",0,IF(ISNUMBER(F247),F247,1)),IF($C247="Paying back",0,IF(AND(OR(Housemates!$C$8="",Housemates!$C$8&lt;=$B247),OR(Housemates!$D$8="",Housemates!$D$8&gt;=$B247)),IF($Q247=0,1,INDEX(Bills!$AA$6:$AA$25,$Q247)),0))))</f>
        <v/>
      </c>
      <c r="T247">
        <f>IF(OR($D247="",$B247="",Housemates!$B$9=""),0,IF($R247&gt;0,IF(G247="",0,IF(ISNUMBER(G247),G247,1)),IF($C247="Paying back",0,IF(AND(OR(Housemates!$C$9="",Housemates!$C$9&lt;=$B247),OR(Housemates!$D$9="",Housemates!$D$9&gt;=$B247)),IF($Q247=0,1,INDEX(Bills!$AB$6:$AB$25,$Q247)),0))))</f>
        <v/>
      </c>
      <c r="U247">
        <f>IF(OR($D247="",$B247="",Housemates!$B$10=""),0,IF($R247&gt;0,IF(H247="",0,IF(ISNUMBER(H247),H247,1)),IF($C247="Paying back",0,IF(AND(OR(Housemates!$C$10="",Housemates!$C$10&lt;=$B247),OR(Housemates!$D$10="",Housemates!$D$10&gt;=$B247)),IF($Q247=0,1,INDEX(Bills!$AC$6:$AC$25,$Q247)),0))))</f>
        <v/>
      </c>
      <c r="V247">
        <f>IF(OR($D247="",$B247="",Housemates!$B$11=""),0,IF($R247&gt;0,IF(I247="",0,IF(ISNUMBER(I247),I247,1)),IF($C247="Paying back",0,IF(AND(OR(Housemates!$C$11="",Housemates!$C$11&lt;=$B247),OR(Housemates!$D$11="",Housemates!$D$11&gt;=$B247)),IF($Q247=0,1,INDEX(Bills!$AD$6:$AD$25,$Q247)),0))))</f>
        <v/>
      </c>
      <c r="W247">
        <f>IF(OR($D247="",$B247="",Housemates!$B$12=""),0,IF($R247&gt;0,IF(J247="",0,IF(ISNUMBER(J247),J247,1)),IF($C247="Paying back",0,IF(AND(OR(Housemates!$C$12="",Housemates!$C$12&lt;=$B247),OR(Housemates!$D$12="",Housemates!$D$12&gt;=$B247)),IF($Q247=0,1,INDEX(Bills!$AE$6:$AE$25,$Q247)),0))))</f>
        <v/>
      </c>
      <c r="X247">
        <f>IF(OR($D247="",$B247="",Housemates!$B$13=""),0,IF($R247&gt;0,IF(K247="",0,IF(ISNUMBER(K247),K247,1)),IF($C247="Paying back",0,IF(AND(OR(Housemates!$C$13="",Housemates!$C$13&lt;=$B247),OR(Housemates!$D$13="",Housemates!$D$13&gt;=$B247)),IF($Q247=0,1,INDEX(Bills!$AF$6:$AF$25,$Q247)),0))))</f>
        <v/>
      </c>
      <c r="Y247">
        <f>IF(OR($D247="",$B247="",Housemates!$B$14=""),0,IF($R247&gt;0,IF(L247="",0,IF(ISNUMBER(L247),L247,1)),IF($C247="Paying back",0,IF(AND(OR(Housemates!$C$14="",Housemates!$C$14&lt;=$B247),OR(Housemates!$D$14="",Housemates!$D$14&gt;=$B247)),IF($Q247=0,1,INDEX(Bills!$AG$6:$AG$25,$Q247)),0))))</f>
        <v/>
      </c>
      <c r="Z247">
        <f>IF(OR($D247="",$B247="",Housemates!$B$15=""),0,IF($R247&gt;0,IF(M247="",0,IF(ISNUMBER(M247),M247,1)),IF($C247="Paying back",0,IF(AND(OR(Housemates!$C$15="",Housemates!$C$15&lt;=$B247),OR(Housemates!$D$15="",Housemates!$D$15&gt;=$B247)),IF($Q247=0,1,INDEX(Bills!$AH$6:$AH$25,$Q247)),0))))</f>
        <v/>
      </c>
      <c r="AA247">
        <f>SUM(S247:Z247)</f>
        <v/>
      </c>
      <c r="AB247">
        <f>IF(AA247=0,0,D247*S247/AA247)</f>
        <v/>
      </c>
      <c r="AC247">
        <f>IF(AA247=0,0,D247*T247/AA247)</f>
        <v/>
      </c>
      <c r="AD247">
        <f>IF(AA247=0,0,D247*U247/AA247)</f>
        <v/>
      </c>
      <c r="AE247">
        <f>IF(AA247=0,0,D247*V247/AA247)</f>
        <v/>
      </c>
      <c r="AF247">
        <f>IF(AA247=0,0,D247*W247/AA247)</f>
        <v/>
      </c>
      <c r="AG247">
        <f>IF(AA247=0,0,D247*X247/AA247)</f>
        <v/>
      </c>
      <c r="AH247">
        <f>IF(AA247=0,0,D247*Y247/AA247)</f>
        <v/>
      </c>
      <c r="AI247">
        <f>IF(AA247=0,0,D247*Z247/AA247)</f>
        <v/>
      </c>
      <c r="AJ247">
        <f>IF(OR(C247="",B247=""),"",C247&amp;"|"&amp;(YEAR(B247)*100+MONTH(B247)))</f>
        <v/>
      </c>
    </row>
    <row r="248">
      <c r="A248" s="1" t="n"/>
      <c r="B248" s="23" t="n"/>
      <c r="C248" s="24" t="n"/>
      <c r="D248" s="25" t="n"/>
      <c r="E248" s="26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1">
        <f>IF(D248="","",IF(B248="","No date",IF(AND(C248="Paying back",R248=0),"To whom?",IF(AA248=0,"Nobody",IF(C248="Paying back","To "&amp;INDEX(Housemates!$B$8:$B$15,MATCH(MAX(S248:Z248),S248:Z248,0)),IF(R248&gt;0,IF(COUNTIF(S248:Z248,"&gt;0")=1,"1 person",COUNTIF(S248:Z248,"&gt;0")&amp;" people"),IF(Q248=0,"Everyone",INDEX(Bills!$Q$6:$Q$25,Q248))))))))</f>
        <v/>
      </c>
      <c r="O248" s="18">
        <f>IF(D248="","",IF(C248="Paying back","Paying back",IF(Q248=0,"Other",IF(INDEX(Bills!$C$6:$C$25,Q248)="","Other",INDEX(Bills!$C$6:$C$25,Q248)))))</f>
        <v/>
      </c>
      <c r="P248" s="1" t="n"/>
      <c r="Q248">
        <f>IF(C248="",0,IFERROR(MATCH(C248,Bills!$B$6:$B$25,0),0))</f>
        <v/>
      </c>
      <c r="R248">
        <f>COUNTA(F248:M248)</f>
        <v/>
      </c>
      <c r="S248">
        <f>IF(OR($D248="",$B248="",Housemates!$B$8=""),0,IF($R248&gt;0,IF(F248="",0,IF(ISNUMBER(F248),F248,1)),IF($C248="Paying back",0,IF(AND(OR(Housemates!$C$8="",Housemates!$C$8&lt;=$B248),OR(Housemates!$D$8="",Housemates!$D$8&gt;=$B248)),IF($Q248=0,1,INDEX(Bills!$AA$6:$AA$25,$Q248)),0))))</f>
        <v/>
      </c>
      <c r="T248">
        <f>IF(OR($D248="",$B248="",Housemates!$B$9=""),0,IF($R248&gt;0,IF(G248="",0,IF(ISNUMBER(G248),G248,1)),IF($C248="Paying back",0,IF(AND(OR(Housemates!$C$9="",Housemates!$C$9&lt;=$B248),OR(Housemates!$D$9="",Housemates!$D$9&gt;=$B248)),IF($Q248=0,1,INDEX(Bills!$AB$6:$AB$25,$Q248)),0))))</f>
        <v/>
      </c>
      <c r="U248">
        <f>IF(OR($D248="",$B248="",Housemates!$B$10=""),0,IF($R248&gt;0,IF(H248="",0,IF(ISNUMBER(H248),H248,1)),IF($C248="Paying back",0,IF(AND(OR(Housemates!$C$10="",Housemates!$C$10&lt;=$B248),OR(Housemates!$D$10="",Housemates!$D$10&gt;=$B248)),IF($Q248=0,1,INDEX(Bills!$AC$6:$AC$25,$Q248)),0))))</f>
        <v/>
      </c>
      <c r="V248">
        <f>IF(OR($D248="",$B248="",Housemates!$B$11=""),0,IF($R248&gt;0,IF(I248="",0,IF(ISNUMBER(I248),I248,1)),IF($C248="Paying back",0,IF(AND(OR(Housemates!$C$11="",Housemates!$C$11&lt;=$B248),OR(Housemates!$D$11="",Housemates!$D$11&gt;=$B248)),IF($Q248=0,1,INDEX(Bills!$AD$6:$AD$25,$Q248)),0))))</f>
        <v/>
      </c>
      <c r="W248">
        <f>IF(OR($D248="",$B248="",Housemates!$B$12=""),0,IF($R248&gt;0,IF(J248="",0,IF(ISNUMBER(J248),J248,1)),IF($C248="Paying back",0,IF(AND(OR(Housemates!$C$12="",Housemates!$C$12&lt;=$B248),OR(Housemates!$D$12="",Housemates!$D$12&gt;=$B248)),IF($Q248=0,1,INDEX(Bills!$AE$6:$AE$25,$Q248)),0))))</f>
        <v/>
      </c>
      <c r="X248">
        <f>IF(OR($D248="",$B248="",Housemates!$B$13=""),0,IF($R248&gt;0,IF(K248="",0,IF(ISNUMBER(K248),K248,1)),IF($C248="Paying back",0,IF(AND(OR(Housemates!$C$13="",Housemates!$C$13&lt;=$B248),OR(Housemates!$D$13="",Housemates!$D$13&gt;=$B248)),IF($Q248=0,1,INDEX(Bills!$AF$6:$AF$25,$Q248)),0))))</f>
        <v/>
      </c>
      <c r="Y248">
        <f>IF(OR($D248="",$B248="",Housemates!$B$14=""),0,IF($R248&gt;0,IF(L248="",0,IF(ISNUMBER(L248),L248,1)),IF($C248="Paying back",0,IF(AND(OR(Housemates!$C$14="",Housemates!$C$14&lt;=$B248),OR(Housemates!$D$14="",Housemates!$D$14&gt;=$B248)),IF($Q248=0,1,INDEX(Bills!$AG$6:$AG$25,$Q248)),0))))</f>
        <v/>
      </c>
      <c r="Z248">
        <f>IF(OR($D248="",$B248="",Housemates!$B$15=""),0,IF($R248&gt;0,IF(M248="",0,IF(ISNUMBER(M248),M248,1)),IF($C248="Paying back",0,IF(AND(OR(Housemates!$C$15="",Housemates!$C$15&lt;=$B248),OR(Housemates!$D$15="",Housemates!$D$15&gt;=$B248)),IF($Q248=0,1,INDEX(Bills!$AH$6:$AH$25,$Q248)),0))))</f>
        <v/>
      </c>
      <c r="AA248">
        <f>SUM(S248:Z248)</f>
        <v/>
      </c>
      <c r="AB248">
        <f>IF(AA248=0,0,D248*S248/AA248)</f>
        <v/>
      </c>
      <c r="AC248">
        <f>IF(AA248=0,0,D248*T248/AA248)</f>
        <v/>
      </c>
      <c r="AD248">
        <f>IF(AA248=0,0,D248*U248/AA248)</f>
        <v/>
      </c>
      <c r="AE248">
        <f>IF(AA248=0,0,D248*V248/AA248)</f>
        <v/>
      </c>
      <c r="AF248">
        <f>IF(AA248=0,0,D248*W248/AA248)</f>
        <v/>
      </c>
      <c r="AG248">
        <f>IF(AA248=0,0,D248*X248/AA248)</f>
        <v/>
      </c>
      <c r="AH248">
        <f>IF(AA248=0,0,D248*Y248/AA248)</f>
        <v/>
      </c>
      <c r="AI248">
        <f>IF(AA248=0,0,D248*Z248/AA248)</f>
        <v/>
      </c>
      <c r="AJ248">
        <f>IF(OR(C248="",B248=""),"",C248&amp;"|"&amp;(YEAR(B248)*100+MONTH(B248)))</f>
        <v/>
      </c>
    </row>
    <row r="249">
      <c r="A249" s="1" t="n"/>
      <c r="B249" s="23" t="n"/>
      <c r="C249" s="24" t="n"/>
      <c r="D249" s="25" t="n"/>
      <c r="E249" s="26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1">
        <f>IF(D249="","",IF(B249="","No date",IF(AND(C249="Paying back",R249=0),"To whom?",IF(AA249=0,"Nobody",IF(C249="Paying back","To "&amp;INDEX(Housemates!$B$8:$B$15,MATCH(MAX(S249:Z249),S249:Z249,0)),IF(R249&gt;0,IF(COUNTIF(S249:Z249,"&gt;0")=1,"1 person",COUNTIF(S249:Z249,"&gt;0")&amp;" people"),IF(Q249=0,"Everyone",INDEX(Bills!$Q$6:$Q$25,Q249))))))))</f>
        <v/>
      </c>
      <c r="O249" s="18">
        <f>IF(D249="","",IF(C249="Paying back","Paying back",IF(Q249=0,"Other",IF(INDEX(Bills!$C$6:$C$25,Q249)="","Other",INDEX(Bills!$C$6:$C$25,Q249)))))</f>
        <v/>
      </c>
      <c r="P249" s="1" t="n"/>
      <c r="Q249">
        <f>IF(C249="",0,IFERROR(MATCH(C249,Bills!$B$6:$B$25,0),0))</f>
        <v/>
      </c>
      <c r="R249">
        <f>COUNTA(F249:M249)</f>
        <v/>
      </c>
      <c r="S249">
        <f>IF(OR($D249="",$B249="",Housemates!$B$8=""),0,IF($R249&gt;0,IF(F249="",0,IF(ISNUMBER(F249),F249,1)),IF($C249="Paying back",0,IF(AND(OR(Housemates!$C$8="",Housemates!$C$8&lt;=$B249),OR(Housemates!$D$8="",Housemates!$D$8&gt;=$B249)),IF($Q249=0,1,INDEX(Bills!$AA$6:$AA$25,$Q249)),0))))</f>
        <v/>
      </c>
      <c r="T249">
        <f>IF(OR($D249="",$B249="",Housemates!$B$9=""),0,IF($R249&gt;0,IF(G249="",0,IF(ISNUMBER(G249),G249,1)),IF($C249="Paying back",0,IF(AND(OR(Housemates!$C$9="",Housemates!$C$9&lt;=$B249),OR(Housemates!$D$9="",Housemates!$D$9&gt;=$B249)),IF($Q249=0,1,INDEX(Bills!$AB$6:$AB$25,$Q249)),0))))</f>
        <v/>
      </c>
      <c r="U249">
        <f>IF(OR($D249="",$B249="",Housemates!$B$10=""),0,IF($R249&gt;0,IF(H249="",0,IF(ISNUMBER(H249),H249,1)),IF($C249="Paying back",0,IF(AND(OR(Housemates!$C$10="",Housemates!$C$10&lt;=$B249),OR(Housemates!$D$10="",Housemates!$D$10&gt;=$B249)),IF($Q249=0,1,INDEX(Bills!$AC$6:$AC$25,$Q249)),0))))</f>
        <v/>
      </c>
      <c r="V249">
        <f>IF(OR($D249="",$B249="",Housemates!$B$11=""),0,IF($R249&gt;0,IF(I249="",0,IF(ISNUMBER(I249),I249,1)),IF($C249="Paying back",0,IF(AND(OR(Housemates!$C$11="",Housemates!$C$11&lt;=$B249),OR(Housemates!$D$11="",Housemates!$D$11&gt;=$B249)),IF($Q249=0,1,INDEX(Bills!$AD$6:$AD$25,$Q249)),0))))</f>
        <v/>
      </c>
      <c r="W249">
        <f>IF(OR($D249="",$B249="",Housemates!$B$12=""),0,IF($R249&gt;0,IF(J249="",0,IF(ISNUMBER(J249),J249,1)),IF($C249="Paying back",0,IF(AND(OR(Housemates!$C$12="",Housemates!$C$12&lt;=$B249),OR(Housemates!$D$12="",Housemates!$D$12&gt;=$B249)),IF($Q249=0,1,INDEX(Bills!$AE$6:$AE$25,$Q249)),0))))</f>
        <v/>
      </c>
      <c r="X249">
        <f>IF(OR($D249="",$B249="",Housemates!$B$13=""),0,IF($R249&gt;0,IF(K249="",0,IF(ISNUMBER(K249),K249,1)),IF($C249="Paying back",0,IF(AND(OR(Housemates!$C$13="",Housemates!$C$13&lt;=$B249),OR(Housemates!$D$13="",Housemates!$D$13&gt;=$B249)),IF($Q249=0,1,INDEX(Bills!$AF$6:$AF$25,$Q249)),0))))</f>
        <v/>
      </c>
      <c r="Y249">
        <f>IF(OR($D249="",$B249="",Housemates!$B$14=""),0,IF($R249&gt;0,IF(L249="",0,IF(ISNUMBER(L249),L249,1)),IF($C249="Paying back",0,IF(AND(OR(Housemates!$C$14="",Housemates!$C$14&lt;=$B249),OR(Housemates!$D$14="",Housemates!$D$14&gt;=$B249)),IF($Q249=0,1,INDEX(Bills!$AG$6:$AG$25,$Q249)),0))))</f>
        <v/>
      </c>
      <c r="Z249">
        <f>IF(OR($D249="",$B249="",Housemates!$B$15=""),0,IF($R249&gt;0,IF(M249="",0,IF(ISNUMBER(M249),M249,1)),IF($C249="Paying back",0,IF(AND(OR(Housemates!$C$15="",Housemates!$C$15&lt;=$B249),OR(Housemates!$D$15="",Housemates!$D$15&gt;=$B249)),IF($Q249=0,1,INDEX(Bills!$AH$6:$AH$25,$Q249)),0))))</f>
        <v/>
      </c>
      <c r="AA249">
        <f>SUM(S249:Z249)</f>
        <v/>
      </c>
      <c r="AB249">
        <f>IF(AA249=0,0,D249*S249/AA249)</f>
        <v/>
      </c>
      <c r="AC249">
        <f>IF(AA249=0,0,D249*T249/AA249)</f>
        <v/>
      </c>
      <c r="AD249">
        <f>IF(AA249=0,0,D249*U249/AA249)</f>
        <v/>
      </c>
      <c r="AE249">
        <f>IF(AA249=0,0,D249*V249/AA249)</f>
        <v/>
      </c>
      <c r="AF249">
        <f>IF(AA249=0,0,D249*W249/AA249)</f>
        <v/>
      </c>
      <c r="AG249">
        <f>IF(AA249=0,0,D249*X249/AA249)</f>
        <v/>
      </c>
      <c r="AH249">
        <f>IF(AA249=0,0,D249*Y249/AA249)</f>
        <v/>
      </c>
      <c r="AI249">
        <f>IF(AA249=0,0,D249*Z249/AA249)</f>
        <v/>
      </c>
      <c r="AJ249">
        <f>IF(OR(C249="",B249=""),"",C249&amp;"|"&amp;(YEAR(B249)*100+MONTH(B249)))</f>
        <v/>
      </c>
    </row>
    <row r="250">
      <c r="A250" s="1" t="n"/>
      <c r="B250" s="23" t="n"/>
      <c r="C250" s="24" t="n"/>
      <c r="D250" s="25" t="n"/>
      <c r="E250" s="26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1">
        <f>IF(D250="","",IF(B250="","No date",IF(AND(C250="Paying back",R250=0),"To whom?",IF(AA250=0,"Nobody",IF(C250="Paying back","To "&amp;INDEX(Housemates!$B$8:$B$15,MATCH(MAX(S250:Z250),S250:Z250,0)),IF(R250&gt;0,IF(COUNTIF(S250:Z250,"&gt;0")=1,"1 person",COUNTIF(S250:Z250,"&gt;0")&amp;" people"),IF(Q250=0,"Everyone",INDEX(Bills!$Q$6:$Q$25,Q250))))))))</f>
        <v/>
      </c>
      <c r="O250" s="18">
        <f>IF(D250="","",IF(C250="Paying back","Paying back",IF(Q250=0,"Other",IF(INDEX(Bills!$C$6:$C$25,Q250)="","Other",INDEX(Bills!$C$6:$C$25,Q250)))))</f>
        <v/>
      </c>
      <c r="P250" s="1" t="n"/>
      <c r="Q250">
        <f>IF(C250="",0,IFERROR(MATCH(C250,Bills!$B$6:$B$25,0),0))</f>
        <v/>
      </c>
      <c r="R250">
        <f>COUNTA(F250:M250)</f>
        <v/>
      </c>
      <c r="S250">
        <f>IF(OR($D250="",$B250="",Housemates!$B$8=""),0,IF($R250&gt;0,IF(F250="",0,IF(ISNUMBER(F250),F250,1)),IF($C250="Paying back",0,IF(AND(OR(Housemates!$C$8="",Housemates!$C$8&lt;=$B250),OR(Housemates!$D$8="",Housemates!$D$8&gt;=$B250)),IF($Q250=0,1,INDEX(Bills!$AA$6:$AA$25,$Q250)),0))))</f>
        <v/>
      </c>
      <c r="T250">
        <f>IF(OR($D250="",$B250="",Housemates!$B$9=""),0,IF($R250&gt;0,IF(G250="",0,IF(ISNUMBER(G250),G250,1)),IF($C250="Paying back",0,IF(AND(OR(Housemates!$C$9="",Housemates!$C$9&lt;=$B250),OR(Housemates!$D$9="",Housemates!$D$9&gt;=$B250)),IF($Q250=0,1,INDEX(Bills!$AB$6:$AB$25,$Q250)),0))))</f>
        <v/>
      </c>
      <c r="U250">
        <f>IF(OR($D250="",$B250="",Housemates!$B$10=""),0,IF($R250&gt;0,IF(H250="",0,IF(ISNUMBER(H250),H250,1)),IF($C250="Paying back",0,IF(AND(OR(Housemates!$C$10="",Housemates!$C$10&lt;=$B250),OR(Housemates!$D$10="",Housemates!$D$10&gt;=$B250)),IF($Q250=0,1,INDEX(Bills!$AC$6:$AC$25,$Q250)),0))))</f>
        <v/>
      </c>
      <c r="V250">
        <f>IF(OR($D250="",$B250="",Housemates!$B$11=""),0,IF($R250&gt;0,IF(I250="",0,IF(ISNUMBER(I250),I250,1)),IF($C250="Paying back",0,IF(AND(OR(Housemates!$C$11="",Housemates!$C$11&lt;=$B250),OR(Housemates!$D$11="",Housemates!$D$11&gt;=$B250)),IF($Q250=0,1,INDEX(Bills!$AD$6:$AD$25,$Q250)),0))))</f>
        <v/>
      </c>
      <c r="W250">
        <f>IF(OR($D250="",$B250="",Housemates!$B$12=""),0,IF($R250&gt;0,IF(J250="",0,IF(ISNUMBER(J250),J250,1)),IF($C250="Paying back",0,IF(AND(OR(Housemates!$C$12="",Housemates!$C$12&lt;=$B250),OR(Housemates!$D$12="",Housemates!$D$12&gt;=$B250)),IF($Q250=0,1,INDEX(Bills!$AE$6:$AE$25,$Q250)),0))))</f>
        <v/>
      </c>
      <c r="X250">
        <f>IF(OR($D250="",$B250="",Housemates!$B$13=""),0,IF($R250&gt;0,IF(K250="",0,IF(ISNUMBER(K250),K250,1)),IF($C250="Paying back",0,IF(AND(OR(Housemates!$C$13="",Housemates!$C$13&lt;=$B250),OR(Housemates!$D$13="",Housemates!$D$13&gt;=$B250)),IF($Q250=0,1,INDEX(Bills!$AF$6:$AF$25,$Q250)),0))))</f>
        <v/>
      </c>
      <c r="Y250">
        <f>IF(OR($D250="",$B250="",Housemates!$B$14=""),0,IF($R250&gt;0,IF(L250="",0,IF(ISNUMBER(L250),L250,1)),IF($C250="Paying back",0,IF(AND(OR(Housemates!$C$14="",Housemates!$C$14&lt;=$B250),OR(Housemates!$D$14="",Housemates!$D$14&gt;=$B250)),IF($Q250=0,1,INDEX(Bills!$AG$6:$AG$25,$Q250)),0))))</f>
        <v/>
      </c>
      <c r="Z250">
        <f>IF(OR($D250="",$B250="",Housemates!$B$15=""),0,IF($R250&gt;0,IF(M250="",0,IF(ISNUMBER(M250),M250,1)),IF($C250="Paying back",0,IF(AND(OR(Housemates!$C$15="",Housemates!$C$15&lt;=$B250),OR(Housemates!$D$15="",Housemates!$D$15&gt;=$B250)),IF($Q250=0,1,INDEX(Bills!$AH$6:$AH$25,$Q250)),0))))</f>
        <v/>
      </c>
      <c r="AA250">
        <f>SUM(S250:Z250)</f>
        <v/>
      </c>
      <c r="AB250">
        <f>IF(AA250=0,0,D250*S250/AA250)</f>
        <v/>
      </c>
      <c r="AC250">
        <f>IF(AA250=0,0,D250*T250/AA250)</f>
        <v/>
      </c>
      <c r="AD250">
        <f>IF(AA250=0,0,D250*U250/AA250)</f>
        <v/>
      </c>
      <c r="AE250">
        <f>IF(AA250=0,0,D250*V250/AA250)</f>
        <v/>
      </c>
      <c r="AF250">
        <f>IF(AA250=0,0,D250*W250/AA250)</f>
        <v/>
      </c>
      <c r="AG250">
        <f>IF(AA250=0,0,D250*X250/AA250)</f>
        <v/>
      </c>
      <c r="AH250">
        <f>IF(AA250=0,0,D250*Y250/AA250)</f>
        <v/>
      </c>
      <c r="AI250">
        <f>IF(AA250=0,0,D250*Z250/AA250)</f>
        <v/>
      </c>
      <c r="AJ250">
        <f>IF(OR(C250="",B250=""),"",C250&amp;"|"&amp;(YEAR(B250)*100+MONTH(B250)))</f>
        <v/>
      </c>
    </row>
    <row r="251">
      <c r="A251" s="1" t="n"/>
      <c r="B251" s="23" t="n"/>
      <c r="C251" s="24" t="n"/>
      <c r="D251" s="25" t="n"/>
      <c r="E251" s="26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1">
        <f>IF(D251="","",IF(B251="","No date",IF(AND(C251="Paying back",R251=0),"To whom?",IF(AA251=0,"Nobody",IF(C251="Paying back","To "&amp;INDEX(Housemates!$B$8:$B$15,MATCH(MAX(S251:Z251),S251:Z251,0)),IF(R251&gt;0,IF(COUNTIF(S251:Z251,"&gt;0")=1,"1 person",COUNTIF(S251:Z251,"&gt;0")&amp;" people"),IF(Q251=0,"Everyone",INDEX(Bills!$Q$6:$Q$25,Q251))))))))</f>
        <v/>
      </c>
      <c r="O251" s="18">
        <f>IF(D251="","",IF(C251="Paying back","Paying back",IF(Q251=0,"Other",IF(INDEX(Bills!$C$6:$C$25,Q251)="","Other",INDEX(Bills!$C$6:$C$25,Q251)))))</f>
        <v/>
      </c>
      <c r="P251" s="1" t="n"/>
      <c r="Q251">
        <f>IF(C251="",0,IFERROR(MATCH(C251,Bills!$B$6:$B$25,0),0))</f>
        <v/>
      </c>
      <c r="R251">
        <f>COUNTA(F251:M251)</f>
        <v/>
      </c>
      <c r="S251">
        <f>IF(OR($D251="",$B251="",Housemates!$B$8=""),0,IF($R251&gt;0,IF(F251="",0,IF(ISNUMBER(F251),F251,1)),IF($C251="Paying back",0,IF(AND(OR(Housemates!$C$8="",Housemates!$C$8&lt;=$B251),OR(Housemates!$D$8="",Housemates!$D$8&gt;=$B251)),IF($Q251=0,1,INDEX(Bills!$AA$6:$AA$25,$Q251)),0))))</f>
        <v/>
      </c>
      <c r="T251">
        <f>IF(OR($D251="",$B251="",Housemates!$B$9=""),0,IF($R251&gt;0,IF(G251="",0,IF(ISNUMBER(G251),G251,1)),IF($C251="Paying back",0,IF(AND(OR(Housemates!$C$9="",Housemates!$C$9&lt;=$B251),OR(Housemates!$D$9="",Housemates!$D$9&gt;=$B251)),IF($Q251=0,1,INDEX(Bills!$AB$6:$AB$25,$Q251)),0))))</f>
        <v/>
      </c>
      <c r="U251">
        <f>IF(OR($D251="",$B251="",Housemates!$B$10=""),0,IF($R251&gt;0,IF(H251="",0,IF(ISNUMBER(H251),H251,1)),IF($C251="Paying back",0,IF(AND(OR(Housemates!$C$10="",Housemates!$C$10&lt;=$B251),OR(Housemates!$D$10="",Housemates!$D$10&gt;=$B251)),IF($Q251=0,1,INDEX(Bills!$AC$6:$AC$25,$Q251)),0))))</f>
        <v/>
      </c>
      <c r="V251">
        <f>IF(OR($D251="",$B251="",Housemates!$B$11=""),0,IF($R251&gt;0,IF(I251="",0,IF(ISNUMBER(I251),I251,1)),IF($C251="Paying back",0,IF(AND(OR(Housemates!$C$11="",Housemates!$C$11&lt;=$B251),OR(Housemates!$D$11="",Housemates!$D$11&gt;=$B251)),IF($Q251=0,1,INDEX(Bills!$AD$6:$AD$25,$Q251)),0))))</f>
        <v/>
      </c>
      <c r="W251">
        <f>IF(OR($D251="",$B251="",Housemates!$B$12=""),0,IF($R251&gt;0,IF(J251="",0,IF(ISNUMBER(J251),J251,1)),IF($C251="Paying back",0,IF(AND(OR(Housemates!$C$12="",Housemates!$C$12&lt;=$B251),OR(Housemates!$D$12="",Housemates!$D$12&gt;=$B251)),IF($Q251=0,1,INDEX(Bills!$AE$6:$AE$25,$Q251)),0))))</f>
        <v/>
      </c>
      <c r="X251">
        <f>IF(OR($D251="",$B251="",Housemates!$B$13=""),0,IF($R251&gt;0,IF(K251="",0,IF(ISNUMBER(K251),K251,1)),IF($C251="Paying back",0,IF(AND(OR(Housemates!$C$13="",Housemates!$C$13&lt;=$B251),OR(Housemates!$D$13="",Housemates!$D$13&gt;=$B251)),IF($Q251=0,1,INDEX(Bills!$AF$6:$AF$25,$Q251)),0))))</f>
        <v/>
      </c>
      <c r="Y251">
        <f>IF(OR($D251="",$B251="",Housemates!$B$14=""),0,IF($R251&gt;0,IF(L251="",0,IF(ISNUMBER(L251),L251,1)),IF($C251="Paying back",0,IF(AND(OR(Housemates!$C$14="",Housemates!$C$14&lt;=$B251),OR(Housemates!$D$14="",Housemates!$D$14&gt;=$B251)),IF($Q251=0,1,INDEX(Bills!$AG$6:$AG$25,$Q251)),0))))</f>
        <v/>
      </c>
      <c r="Z251">
        <f>IF(OR($D251="",$B251="",Housemates!$B$15=""),0,IF($R251&gt;0,IF(M251="",0,IF(ISNUMBER(M251),M251,1)),IF($C251="Paying back",0,IF(AND(OR(Housemates!$C$15="",Housemates!$C$15&lt;=$B251),OR(Housemates!$D$15="",Housemates!$D$15&gt;=$B251)),IF($Q251=0,1,INDEX(Bills!$AH$6:$AH$25,$Q251)),0))))</f>
        <v/>
      </c>
      <c r="AA251">
        <f>SUM(S251:Z251)</f>
        <v/>
      </c>
      <c r="AB251">
        <f>IF(AA251=0,0,D251*S251/AA251)</f>
        <v/>
      </c>
      <c r="AC251">
        <f>IF(AA251=0,0,D251*T251/AA251)</f>
        <v/>
      </c>
      <c r="AD251">
        <f>IF(AA251=0,0,D251*U251/AA251)</f>
        <v/>
      </c>
      <c r="AE251">
        <f>IF(AA251=0,0,D251*V251/AA251)</f>
        <v/>
      </c>
      <c r="AF251">
        <f>IF(AA251=0,0,D251*W251/AA251)</f>
        <v/>
      </c>
      <c r="AG251">
        <f>IF(AA251=0,0,D251*X251/AA251)</f>
        <v/>
      </c>
      <c r="AH251">
        <f>IF(AA251=0,0,D251*Y251/AA251)</f>
        <v/>
      </c>
      <c r="AI251">
        <f>IF(AA251=0,0,D251*Z251/AA251)</f>
        <v/>
      </c>
      <c r="AJ251">
        <f>IF(OR(C251="",B251=""),"",C251&amp;"|"&amp;(YEAR(B251)*100+MONTH(B251)))</f>
        <v/>
      </c>
    </row>
    <row r="252">
      <c r="A252" s="1" t="n"/>
      <c r="B252" s="23" t="n"/>
      <c r="C252" s="24" t="n"/>
      <c r="D252" s="25" t="n"/>
      <c r="E252" s="26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1">
        <f>IF(D252="","",IF(B252="","No date",IF(AND(C252="Paying back",R252=0),"To whom?",IF(AA252=0,"Nobody",IF(C252="Paying back","To "&amp;INDEX(Housemates!$B$8:$B$15,MATCH(MAX(S252:Z252),S252:Z252,0)),IF(R252&gt;0,IF(COUNTIF(S252:Z252,"&gt;0")=1,"1 person",COUNTIF(S252:Z252,"&gt;0")&amp;" people"),IF(Q252=0,"Everyone",INDEX(Bills!$Q$6:$Q$25,Q252))))))))</f>
        <v/>
      </c>
      <c r="O252" s="18">
        <f>IF(D252="","",IF(C252="Paying back","Paying back",IF(Q252=0,"Other",IF(INDEX(Bills!$C$6:$C$25,Q252)="","Other",INDEX(Bills!$C$6:$C$25,Q252)))))</f>
        <v/>
      </c>
      <c r="P252" s="1" t="n"/>
      <c r="Q252">
        <f>IF(C252="",0,IFERROR(MATCH(C252,Bills!$B$6:$B$25,0),0))</f>
        <v/>
      </c>
      <c r="R252">
        <f>COUNTA(F252:M252)</f>
        <v/>
      </c>
      <c r="S252">
        <f>IF(OR($D252="",$B252="",Housemates!$B$8=""),0,IF($R252&gt;0,IF(F252="",0,IF(ISNUMBER(F252),F252,1)),IF($C252="Paying back",0,IF(AND(OR(Housemates!$C$8="",Housemates!$C$8&lt;=$B252),OR(Housemates!$D$8="",Housemates!$D$8&gt;=$B252)),IF($Q252=0,1,INDEX(Bills!$AA$6:$AA$25,$Q252)),0))))</f>
        <v/>
      </c>
      <c r="T252">
        <f>IF(OR($D252="",$B252="",Housemates!$B$9=""),0,IF($R252&gt;0,IF(G252="",0,IF(ISNUMBER(G252),G252,1)),IF($C252="Paying back",0,IF(AND(OR(Housemates!$C$9="",Housemates!$C$9&lt;=$B252),OR(Housemates!$D$9="",Housemates!$D$9&gt;=$B252)),IF($Q252=0,1,INDEX(Bills!$AB$6:$AB$25,$Q252)),0))))</f>
        <v/>
      </c>
      <c r="U252">
        <f>IF(OR($D252="",$B252="",Housemates!$B$10=""),0,IF($R252&gt;0,IF(H252="",0,IF(ISNUMBER(H252),H252,1)),IF($C252="Paying back",0,IF(AND(OR(Housemates!$C$10="",Housemates!$C$10&lt;=$B252),OR(Housemates!$D$10="",Housemates!$D$10&gt;=$B252)),IF($Q252=0,1,INDEX(Bills!$AC$6:$AC$25,$Q252)),0))))</f>
        <v/>
      </c>
      <c r="V252">
        <f>IF(OR($D252="",$B252="",Housemates!$B$11=""),0,IF($R252&gt;0,IF(I252="",0,IF(ISNUMBER(I252),I252,1)),IF($C252="Paying back",0,IF(AND(OR(Housemates!$C$11="",Housemates!$C$11&lt;=$B252),OR(Housemates!$D$11="",Housemates!$D$11&gt;=$B252)),IF($Q252=0,1,INDEX(Bills!$AD$6:$AD$25,$Q252)),0))))</f>
        <v/>
      </c>
      <c r="W252">
        <f>IF(OR($D252="",$B252="",Housemates!$B$12=""),0,IF($R252&gt;0,IF(J252="",0,IF(ISNUMBER(J252),J252,1)),IF($C252="Paying back",0,IF(AND(OR(Housemates!$C$12="",Housemates!$C$12&lt;=$B252),OR(Housemates!$D$12="",Housemates!$D$12&gt;=$B252)),IF($Q252=0,1,INDEX(Bills!$AE$6:$AE$25,$Q252)),0))))</f>
        <v/>
      </c>
      <c r="X252">
        <f>IF(OR($D252="",$B252="",Housemates!$B$13=""),0,IF($R252&gt;0,IF(K252="",0,IF(ISNUMBER(K252),K252,1)),IF($C252="Paying back",0,IF(AND(OR(Housemates!$C$13="",Housemates!$C$13&lt;=$B252),OR(Housemates!$D$13="",Housemates!$D$13&gt;=$B252)),IF($Q252=0,1,INDEX(Bills!$AF$6:$AF$25,$Q252)),0))))</f>
        <v/>
      </c>
      <c r="Y252">
        <f>IF(OR($D252="",$B252="",Housemates!$B$14=""),0,IF($R252&gt;0,IF(L252="",0,IF(ISNUMBER(L252),L252,1)),IF($C252="Paying back",0,IF(AND(OR(Housemates!$C$14="",Housemates!$C$14&lt;=$B252),OR(Housemates!$D$14="",Housemates!$D$14&gt;=$B252)),IF($Q252=0,1,INDEX(Bills!$AG$6:$AG$25,$Q252)),0))))</f>
        <v/>
      </c>
      <c r="Z252">
        <f>IF(OR($D252="",$B252="",Housemates!$B$15=""),0,IF($R252&gt;0,IF(M252="",0,IF(ISNUMBER(M252),M252,1)),IF($C252="Paying back",0,IF(AND(OR(Housemates!$C$15="",Housemates!$C$15&lt;=$B252),OR(Housemates!$D$15="",Housemates!$D$15&gt;=$B252)),IF($Q252=0,1,INDEX(Bills!$AH$6:$AH$25,$Q252)),0))))</f>
        <v/>
      </c>
      <c r="AA252">
        <f>SUM(S252:Z252)</f>
        <v/>
      </c>
      <c r="AB252">
        <f>IF(AA252=0,0,D252*S252/AA252)</f>
        <v/>
      </c>
      <c r="AC252">
        <f>IF(AA252=0,0,D252*T252/AA252)</f>
        <v/>
      </c>
      <c r="AD252">
        <f>IF(AA252=0,0,D252*U252/AA252)</f>
        <v/>
      </c>
      <c r="AE252">
        <f>IF(AA252=0,0,D252*V252/AA252)</f>
        <v/>
      </c>
      <c r="AF252">
        <f>IF(AA252=0,0,D252*W252/AA252)</f>
        <v/>
      </c>
      <c r="AG252">
        <f>IF(AA252=0,0,D252*X252/AA252)</f>
        <v/>
      </c>
      <c r="AH252">
        <f>IF(AA252=0,0,D252*Y252/AA252)</f>
        <v/>
      </c>
      <c r="AI252">
        <f>IF(AA252=0,0,D252*Z252/AA252)</f>
        <v/>
      </c>
      <c r="AJ252">
        <f>IF(OR(C252="",B252=""),"",C252&amp;"|"&amp;(YEAR(B252)*100+MONTH(B252)))</f>
        <v/>
      </c>
    </row>
    <row r="253">
      <c r="A253" s="1" t="n"/>
      <c r="B253" s="23" t="n"/>
      <c r="C253" s="24" t="n"/>
      <c r="D253" s="25" t="n"/>
      <c r="E253" s="26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1">
        <f>IF(D253="","",IF(B253="","No date",IF(AND(C253="Paying back",R253=0),"To whom?",IF(AA253=0,"Nobody",IF(C253="Paying back","To "&amp;INDEX(Housemates!$B$8:$B$15,MATCH(MAX(S253:Z253),S253:Z253,0)),IF(R253&gt;0,IF(COUNTIF(S253:Z253,"&gt;0")=1,"1 person",COUNTIF(S253:Z253,"&gt;0")&amp;" people"),IF(Q253=0,"Everyone",INDEX(Bills!$Q$6:$Q$25,Q253))))))))</f>
        <v/>
      </c>
      <c r="O253" s="18">
        <f>IF(D253="","",IF(C253="Paying back","Paying back",IF(Q253=0,"Other",IF(INDEX(Bills!$C$6:$C$25,Q253)="","Other",INDEX(Bills!$C$6:$C$25,Q253)))))</f>
        <v/>
      </c>
      <c r="P253" s="1" t="n"/>
      <c r="Q253">
        <f>IF(C253="",0,IFERROR(MATCH(C253,Bills!$B$6:$B$25,0),0))</f>
        <v/>
      </c>
      <c r="R253">
        <f>COUNTA(F253:M253)</f>
        <v/>
      </c>
      <c r="S253">
        <f>IF(OR($D253="",$B253="",Housemates!$B$8=""),0,IF($R253&gt;0,IF(F253="",0,IF(ISNUMBER(F253),F253,1)),IF($C253="Paying back",0,IF(AND(OR(Housemates!$C$8="",Housemates!$C$8&lt;=$B253),OR(Housemates!$D$8="",Housemates!$D$8&gt;=$B253)),IF($Q253=0,1,INDEX(Bills!$AA$6:$AA$25,$Q253)),0))))</f>
        <v/>
      </c>
      <c r="T253">
        <f>IF(OR($D253="",$B253="",Housemates!$B$9=""),0,IF($R253&gt;0,IF(G253="",0,IF(ISNUMBER(G253),G253,1)),IF($C253="Paying back",0,IF(AND(OR(Housemates!$C$9="",Housemates!$C$9&lt;=$B253),OR(Housemates!$D$9="",Housemates!$D$9&gt;=$B253)),IF($Q253=0,1,INDEX(Bills!$AB$6:$AB$25,$Q253)),0))))</f>
        <v/>
      </c>
      <c r="U253">
        <f>IF(OR($D253="",$B253="",Housemates!$B$10=""),0,IF($R253&gt;0,IF(H253="",0,IF(ISNUMBER(H253),H253,1)),IF($C253="Paying back",0,IF(AND(OR(Housemates!$C$10="",Housemates!$C$10&lt;=$B253),OR(Housemates!$D$10="",Housemates!$D$10&gt;=$B253)),IF($Q253=0,1,INDEX(Bills!$AC$6:$AC$25,$Q253)),0))))</f>
        <v/>
      </c>
      <c r="V253">
        <f>IF(OR($D253="",$B253="",Housemates!$B$11=""),0,IF($R253&gt;0,IF(I253="",0,IF(ISNUMBER(I253),I253,1)),IF($C253="Paying back",0,IF(AND(OR(Housemates!$C$11="",Housemates!$C$11&lt;=$B253),OR(Housemates!$D$11="",Housemates!$D$11&gt;=$B253)),IF($Q253=0,1,INDEX(Bills!$AD$6:$AD$25,$Q253)),0))))</f>
        <v/>
      </c>
      <c r="W253">
        <f>IF(OR($D253="",$B253="",Housemates!$B$12=""),0,IF($R253&gt;0,IF(J253="",0,IF(ISNUMBER(J253),J253,1)),IF($C253="Paying back",0,IF(AND(OR(Housemates!$C$12="",Housemates!$C$12&lt;=$B253),OR(Housemates!$D$12="",Housemates!$D$12&gt;=$B253)),IF($Q253=0,1,INDEX(Bills!$AE$6:$AE$25,$Q253)),0))))</f>
        <v/>
      </c>
      <c r="X253">
        <f>IF(OR($D253="",$B253="",Housemates!$B$13=""),0,IF($R253&gt;0,IF(K253="",0,IF(ISNUMBER(K253),K253,1)),IF($C253="Paying back",0,IF(AND(OR(Housemates!$C$13="",Housemates!$C$13&lt;=$B253),OR(Housemates!$D$13="",Housemates!$D$13&gt;=$B253)),IF($Q253=0,1,INDEX(Bills!$AF$6:$AF$25,$Q253)),0))))</f>
        <v/>
      </c>
      <c r="Y253">
        <f>IF(OR($D253="",$B253="",Housemates!$B$14=""),0,IF($R253&gt;0,IF(L253="",0,IF(ISNUMBER(L253),L253,1)),IF($C253="Paying back",0,IF(AND(OR(Housemates!$C$14="",Housemates!$C$14&lt;=$B253),OR(Housemates!$D$14="",Housemates!$D$14&gt;=$B253)),IF($Q253=0,1,INDEX(Bills!$AG$6:$AG$25,$Q253)),0))))</f>
        <v/>
      </c>
      <c r="Z253">
        <f>IF(OR($D253="",$B253="",Housemates!$B$15=""),0,IF($R253&gt;0,IF(M253="",0,IF(ISNUMBER(M253),M253,1)),IF($C253="Paying back",0,IF(AND(OR(Housemates!$C$15="",Housemates!$C$15&lt;=$B253),OR(Housemates!$D$15="",Housemates!$D$15&gt;=$B253)),IF($Q253=0,1,INDEX(Bills!$AH$6:$AH$25,$Q253)),0))))</f>
        <v/>
      </c>
      <c r="AA253">
        <f>SUM(S253:Z253)</f>
        <v/>
      </c>
      <c r="AB253">
        <f>IF(AA253=0,0,D253*S253/AA253)</f>
        <v/>
      </c>
      <c r="AC253">
        <f>IF(AA253=0,0,D253*T253/AA253)</f>
        <v/>
      </c>
      <c r="AD253">
        <f>IF(AA253=0,0,D253*U253/AA253)</f>
        <v/>
      </c>
      <c r="AE253">
        <f>IF(AA253=0,0,D253*V253/AA253)</f>
        <v/>
      </c>
      <c r="AF253">
        <f>IF(AA253=0,0,D253*W253/AA253)</f>
        <v/>
      </c>
      <c r="AG253">
        <f>IF(AA253=0,0,D253*X253/AA253)</f>
        <v/>
      </c>
      <c r="AH253">
        <f>IF(AA253=0,0,D253*Y253/AA253)</f>
        <v/>
      </c>
      <c r="AI253">
        <f>IF(AA253=0,0,D253*Z253/AA253)</f>
        <v/>
      </c>
      <c r="AJ253">
        <f>IF(OR(C253="",B253=""),"",C253&amp;"|"&amp;(YEAR(B253)*100+MONTH(B253)))</f>
        <v/>
      </c>
    </row>
    <row r="254">
      <c r="A254" s="1" t="n"/>
      <c r="B254" s="23" t="n"/>
      <c r="C254" s="24" t="n"/>
      <c r="D254" s="25" t="n"/>
      <c r="E254" s="26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1">
        <f>IF(D254="","",IF(B254="","No date",IF(AND(C254="Paying back",R254=0),"To whom?",IF(AA254=0,"Nobody",IF(C254="Paying back","To "&amp;INDEX(Housemates!$B$8:$B$15,MATCH(MAX(S254:Z254),S254:Z254,0)),IF(R254&gt;0,IF(COUNTIF(S254:Z254,"&gt;0")=1,"1 person",COUNTIF(S254:Z254,"&gt;0")&amp;" people"),IF(Q254=0,"Everyone",INDEX(Bills!$Q$6:$Q$25,Q254))))))))</f>
        <v/>
      </c>
      <c r="O254" s="18">
        <f>IF(D254="","",IF(C254="Paying back","Paying back",IF(Q254=0,"Other",IF(INDEX(Bills!$C$6:$C$25,Q254)="","Other",INDEX(Bills!$C$6:$C$25,Q254)))))</f>
        <v/>
      </c>
      <c r="P254" s="1" t="n"/>
      <c r="Q254">
        <f>IF(C254="",0,IFERROR(MATCH(C254,Bills!$B$6:$B$25,0),0))</f>
        <v/>
      </c>
      <c r="R254">
        <f>COUNTA(F254:M254)</f>
        <v/>
      </c>
      <c r="S254">
        <f>IF(OR($D254="",$B254="",Housemates!$B$8=""),0,IF($R254&gt;0,IF(F254="",0,IF(ISNUMBER(F254),F254,1)),IF($C254="Paying back",0,IF(AND(OR(Housemates!$C$8="",Housemates!$C$8&lt;=$B254),OR(Housemates!$D$8="",Housemates!$D$8&gt;=$B254)),IF($Q254=0,1,INDEX(Bills!$AA$6:$AA$25,$Q254)),0))))</f>
        <v/>
      </c>
      <c r="T254">
        <f>IF(OR($D254="",$B254="",Housemates!$B$9=""),0,IF($R254&gt;0,IF(G254="",0,IF(ISNUMBER(G254),G254,1)),IF($C254="Paying back",0,IF(AND(OR(Housemates!$C$9="",Housemates!$C$9&lt;=$B254),OR(Housemates!$D$9="",Housemates!$D$9&gt;=$B254)),IF($Q254=0,1,INDEX(Bills!$AB$6:$AB$25,$Q254)),0))))</f>
        <v/>
      </c>
      <c r="U254">
        <f>IF(OR($D254="",$B254="",Housemates!$B$10=""),0,IF($R254&gt;0,IF(H254="",0,IF(ISNUMBER(H254),H254,1)),IF($C254="Paying back",0,IF(AND(OR(Housemates!$C$10="",Housemates!$C$10&lt;=$B254),OR(Housemates!$D$10="",Housemates!$D$10&gt;=$B254)),IF($Q254=0,1,INDEX(Bills!$AC$6:$AC$25,$Q254)),0))))</f>
        <v/>
      </c>
      <c r="V254">
        <f>IF(OR($D254="",$B254="",Housemates!$B$11=""),0,IF($R254&gt;0,IF(I254="",0,IF(ISNUMBER(I254),I254,1)),IF($C254="Paying back",0,IF(AND(OR(Housemates!$C$11="",Housemates!$C$11&lt;=$B254),OR(Housemates!$D$11="",Housemates!$D$11&gt;=$B254)),IF($Q254=0,1,INDEX(Bills!$AD$6:$AD$25,$Q254)),0))))</f>
        <v/>
      </c>
      <c r="W254">
        <f>IF(OR($D254="",$B254="",Housemates!$B$12=""),0,IF($R254&gt;0,IF(J254="",0,IF(ISNUMBER(J254),J254,1)),IF($C254="Paying back",0,IF(AND(OR(Housemates!$C$12="",Housemates!$C$12&lt;=$B254),OR(Housemates!$D$12="",Housemates!$D$12&gt;=$B254)),IF($Q254=0,1,INDEX(Bills!$AE$6:$AE$25,$Q254)),0))))</f>
        <v/>
      </c>
      <c r="X254">
        <f>IF(OR($D254="",$B254="",Housemates!$B$13=""),0,IF($R254&gt;0,IF(K254="",0,IF(ISNUMBER(K254),K254,1)),IF($C254="Paying back",0,IF(AND(OR(Housemates!$C$13="",Housemates!$C$13&lt;=$B254),OR(Housemates!$D$13="",Housemates!$D$13&gt;=$B254)),IF($Q254=0,1,INDEX(Bills!$AF$6:$AF$25,$Q254)),0))))</f>
        <v/>
      </c>
      <c r="Y254">
        <f>IF(OR($D254="",$B254="",Housemates!$B$14=""),0,IF($R254&gt;0,IF(L254="",0,IF(ISNUMBER(L254),L254,1)),IF($C254="Paying back",0,IF(AND(OR(Housemates!$C$14="",Housemates!$C$14&lt;=$B254),OR(Housemates!$D$14="",Housemates!$D$14&gt;=$B254)),IF($Q254=0,1,INDEX(Bills!$AG$6:$AG$25,$Q254)),0))))</f>
        <v/>
      </c>
      <c r="Z254">
        <f>IF(OR($D254="",$B254="",Housemates!$B$15=""),0,IF($R254&gt;0,IF(M254="",0,IF(ISNUMBER(M254),M254,1)),IF($C254="Paying back",0,IF(AND(OR(Housemates!$C$15="",Housemates!$C$15&lt;=$B254),OR(Housemates!$D$15="",Housemates!$D$15&gt;=$B254)),IF($Q254=0,1,INDEX(Bills!$AH$6:$AH$25,$Q254)),0))))</f>
        <v/>
      </c>
      <c r="AA254">
        <f>SUM(S254:Z254)</f>
        <v/>
      </c>
      <c r="AB254">
        <f>IF(AA254=0,0,D254*S254/AA254)</f>
        <v/>
      </c>
      <c r="AC254">
        <f>IF(AA254=0,0,D254*T254/AA254)</f>
        <v/>
      </c>
      <c r="AD254">
        <f>IF(AA254=0,0,D254*U254/AA254)</f>
        <v/>
      </c>
      <c r="AE254">
        <f>IF(AA254=0,0,D254*V254/AA254)</f>
        <v/>
      </c>
      <c r="AF254">
        <f>IF(AA254=0,0,D254*W254/AA254)</f>
        <v/>
      </c>
      <c r="AG254">
        <f>IF(AA254=0,0,D254*X254/AA254)</f>
        <v/>
      </c>
      <c r="AH254">
        <f>IF(AA254=0,0,D254*Y254/AA254)</f>
        <v/>
      </c>
      <c r="AI254">
        <f>IF(AA254=0,0,D254*Z254/AA254)</f>
        <v/>
      </c>
      <c r="AJ254">
        <f>IF(OR(C254="",B254=""),"",C254&amp;"|"&amp;(YEAR(B254)*100+MONTH(B254)))</f>
        <v/>
      </c>
    </row>
    <row r="255">
      <c r="A255" s="1" t="n"/>
      <c r="B255" s="23" t="n"/>
      <c r="C255" s="24" t="n"/>
      <c r="D255" s="25" t="n"/>
      <c r="E255" s="26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1">
        <f>IF(D255="","",IF(B255="","No date",IF(AND(C255="Paying back",R255=0),"To whom?",IF(AA255=0,"Nobody",IF(C255="Paying back","To "&amp;INDEX(Housemates!$B$8:$B$15,MATCH(MAX(S255:Z255),S255:Z255,0)),IF(R255&gt;0,IF(COUNTIF(S255:Z255,"&gt;0")=1,"1 person",COUNTIF(S255:Z255,"&gt;0")&amp;" people"),IF(Q255=0,"Everyone",INDEX(Bills!$Q$6:$Q$25,Q255))))))))</f>
        <v/>
      </c>
      <c r="O255" s="18">
        <f>IF(D255="","",IF(C255="Paying back","Paying back",IF(Q255=0,"Other",IF(INDEX(Bills!$C$6:$C$25,Q255)="","Other",INDEX(Bills!$C$6:$C$25,Q255)))))</f>
        <v/>
      </c>
      <c r="P255" s="1" t="n"/>
      <c r="Q255">
        <f>IF(C255="",0,IFERROR(MATCH(C255,Bills!$B$6:$B$25,0),0))</f>
        <v/>
      </c>
      <c r="R255">
        <f>COUNTA(F255:M255)</f>
        <v/>
      </c>
      <c r="S255">
        <f>IF(OR($D255="",$B255="",Housemates!$B$8=""),0,IF($R255&gt;0,IF(F255="",0,IF(ISNUMBER(F255),F255,1)),IF($C255="Paying back",0,IF(AND(OR(Housemates!$C$8="",Housemates!$C$8&lt;=$B255),OR(Housemates!$D$8="",Housemates!$D$8&gt;=$B255)),IF($Q255=0,1,INDEX(Bills!$AA$6:$AA$25,$Q255)),0))))</f>
        <v/>
      </c>
      <c r="T255">
        <f>IF(OR($D255="",$B255="",Housemates!$B$9=""),0,IF($R255&gt;0,IF(G255="",0,IF(ISNUMBER(G255),G255,1)),IF($C255="Paying back",0,IF(AND(OR(Housemates!$C$9="",Housemates!$C$9&lt;=$B255),OR(Housemates!$D$9="",Housemates!$D$9&gt;=$B255)),IF($Q255=0,1,INDEX(Bills!$AB$6:$AB$25,$Q255)),0))))</f>
        <v/>
      </c>
      <c r="U255">
        <f>IF(OR($D255="",$B255="",Housemates!$B$10=""),0,IF($R255&gt;0,IF(H255="",0,IF(ISNUMBER(H255),H255,1)),IF($C255="Paying back",0,IF(AND(OR(Housemates!$C$10="",Housemates!$C$10&lt;=$B255),OR(Housemates!$D$10="",Housemates!$D$10&gt;=$B255)),IF($Q255=0,1,INDEX(Bills!$AC$6:$AC$25,$Q255)),0))))</f>
        <v/>
      </c>
      <c r="V255">
        <f>IF(OR($D255="",$B255="",Housemates!$B$11=""),0,IF($R255&gt;0,IF(I255="",0,IF(ISNUMBER(I255),I255,1)),IF($C255="Paying back",0,IF(AND(OR(Housemates!$C$11="",Housemates!$C$11&lt;=$B255),OR(Housemates!$D$11="",Housemates!$D$11&gt;=$B255)),IF($Q255=0,1,INDEX(Bills!$AD$6:$AD$25,$Q255)),0))))</f>
        <v/>
      </c>
      <c r="W255">
        <f>IF(OR($D255="",$B255="",Housemates!$B$12=""),0,IF($R255&gt;0,IF(J255="",0,IF(ISNUMBER(J255),J255,1)),IF($C255="Paying back",0,IF(AND(OR(Housemates!$C$12="",Housemates!$C$12&lt;=$B255),OR(Housemates!$D$12="",Housemates!$D$12&gt;=$B255)),IF($Q255=0,1,INDEX(Bills!$AE$6:$AE$25,$Q255)),0))))</f>
        <v/>
      </c>
      <c r="X255">
        <f>IF(OR($D255="",$B255="",Housemates!$B$13=""),0,IF($R255&gt;0,IF(K255="",0,IF(ISNUMBER(K255),K255,1)),IF($C255="Paying back",0,IF(AND(OR(Housemates!$C$13="",Housemates!$C$13&lt;=$B255),OR(Housemates!$D$13="",Housemates!$D$13&gt;=$B255)),IF($Q255=0,1,INDEX(Bills!$AF$6:$AF$25,$Q255)),0))))</f>
        <v/>
      </c>
      <c r="Y255">
        <f>IF(OR($D255="",$B255="",Housemates!$B$14=""),0,IF($R255&gt;0,IF(L255="",0,IF(ISNUMBER(L255),L255,1)),IF($C255="Paying back",0,IF(AND(OR(Housemates!$C$14="",Housemates!$C$14&lt;=$B255),OR(Housemates!$D$14="",Housemates!$D$14&gt;=$B255)),IF($Q255=0,1,INDEX(Bills!$AG$6:$AG$25,$Q255)),0))))</f>
        <v/>
      </c>
      <c r="Z255">
        <f>IF(OR($D255="",$B255="",Housemates!$B$15=""),0,IF($R255&gt;0,IF(M255="",0,IF(ISNUMBER(M255),M255,1)),IF($C255="Paying back",0,IF(AND(OR(Housemates!$C$15="",Housemates!$C$15&lt;=$B255),OR(Housemates!$D$15="",Housemates!$D$15&gt;=$B255)),IF($Q255=0,1,INDEX(Bills!$AH$6:$AH$25,$Q255)),0))))</f>
        <v/>
      </c>
      <c r="AA255">
        <f>SUM(S255:Z255)</f>
        <v/>
      </c>
      <c r="AB255">
        <f>IF(AA255=0,0,D255*S255/AA255)</f>
        <v/>
      </c>
      <c r="AC255">
        <f>IF(AA255=0,0,D255*T255/AA255)</f>
        <v/>
      </c>
      <c r="AD255">
        <f>IF(AA255=0,0,D255*U255/AA255)</f>
        <v/>
      </c>
      <c r="AE255">
        <f>IF(AA255=0,0,D255*V255/AA255)</f>
        <v/>
      </c>
      <c r="AF255">
        <f>IF(AA255=0,0,D255*W255/AA255)</f>
        <v/>
      </c>
      <c r="AG255">
        <f>IF(AA255=0,0,D255*X255/AA255)</f>
        <v/>
      </c>
      <c r="AH255">
        <f>IF(AA255=0,0,D255*Y255/AA255)</f>
        <v/>
      </c>
      <c r="AI255">
        <f>IF(AA255=0,0,D255*Z255/AA255)</f>
        <v/>
      </c>
      <c r="AJ255">
        <f>IF(OR(C255="",B255=""),"",C255&amp;"|"&amp;(YEAR(B255)*100+MONTH(B255)))</f>
        <v/>
      </c>
    </row>
    <row r="256">
      <c r="A256" s="1" t="n"/>
      <c r="B256" s="23" t="n"/>
      <c r="C256" s="24" t="n"/>
      <c r="D256" s="25" t="n"/>
      <c r="E256" s="26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1">
        <f>IF(D256="","",IF(B256="","No date",IF(AND(C256="Paying back",R256=0),"To whom?",IF(AA256=0,"Nobody",IF(C256="Paying back","To "&amp;INDEX(Housemates!$B$8:$B$15,MATCH(MAX(S256:Z256),S256:Z256,0)),IF(R256&gt;0,IF(COUNTIF(S256:Z256,"&gt;0")=1,"1 person",COUNTIF(S256:Z256,"&gt;0")&amp;" people"),IF(Q256=0,"Everyone",INDEX(Bills!$Q$6:$Q$25,Q256))))))))</f>
        <v/>
      </c>
      <c r="O256" s="18">
        <f>IF(D256="","",IF(C256="Paying back","Paying back",IF(Q256=0,"Other",IF(INDEX(Bills!$C$6:$C$25,Q256)="","Other",INDEX(Bills!$C$6:$C$25,Q256)))))</f>
        <v/>
      </c>
      <c r="P256" s="1" t="n"/>
      <c r="Q256">
        <f>IF(C256="",0,IFERROR(MATCH(C256,Bills!$B$6:$B$25,0),0))</f>
        <v/>
      </c>
      <c r="R256">
        <f>COUNTA(F256:M256)</f>
        <v/>
      </c>
      <c r="S256">
        <f>IF(OR($D256="",$B256="",Housemates!$B$8=""),0,IF($R256&gt;0,IF(F256="",0,IF(ISNUMBER(F256),F256,1)),IF($C256="Paying back",0,IF(AND(OR(Housemates!$C$8="",Housemates!$C$8&lt;=$B256),OR(Housemates!$D$8="",Housemates!$D$8&gt;=$B256)),IF($Q256=0,1,INDEX(Bills!$AA$6:$AA$25,$Q256)),0))))</f>
        <v/>
      </c>
      <c r="T256">
        <f>IF(OR($D256="",$B256="",Housemates!$B$9=""),0,IF($R256&gt;0,IF(G256="",0,IF(ISNUMBER(G256),G256,1)),IF($C256="Paying back",0,IF(AND(OR(Housemates!$C$9="",Housemates!$C$9&lt;=$B256),OR(Housemates!$D$9="",Housemates!$D$9&gt;=$B256)),IF($Q256=0,1,INDEX(Bills!$AB$6:$AB$25,$Q256)),0))))</f>
        <v/>
      </c>
      <c r="U256">
        <f>IF(OR($D256="",$B256="",Housemates!$B$10=""),0,IF($R256&gt;0,IF(H256="",0,IF(ISNUMBER(H256),H256,1)),IF($C256="Paying back",0,IF(AND(OR(Housemates!$C$10="",Housemates!$C$10&lt;=$B256),OR(Housemates!$D$10="",Housemates!$D$10&gt;=$B256)),IF($Q256=0,1,INDEX(Bills!$AC$6:$AC$25,$Q256)),0))))</f>
        <v/>
      </c>
      <c r="V256">
        <f>IF(OR($D256="",$B256="",Housemates!$B$11=""),0,IF($R256&gt;0,IF(I256="",0,IF(ISNUMBER(I256),I256,1)),IF($C256="Paying back",0,IF(AND(OR(Housemates!$C$11="",Housemates!$C$11&lt;=$B256),OR(Housemates!$D$11="",Housemates!$D$11&gt;=$B256)),IF($Q256=0,1,INDEX(Bills!$AD$6:$AD$25,$Q256)),0))))</f>
        <v/>
      </c>
      <c r="W256">
        <f>IF(OR($D256="",$B256="",Housemates!$B$12=""),0,IF($R256&gt;0,IF(J256="",0,IF(ISNUMBER(J256),J256,1)),IF($C256="Paying back",0,IF(AND(OR(Housemates!$C$12="",Housemates!$C$12&lt;=$B256),OR(Housemates!$D$12="",Housemates!$D$12&gt;=$B256)),IF($Q256=0,1,INDEX(Bills!$AE$6:$AE$25,$Q256)),0))))</f>
        <v/>
      </c>
      <c r="X256">
        <f>IF(OR($D256="",$B256="",Housemates!$B$13=""),0,IF($R256&gt;0,IF(K256="",0,IF(ISNUMBER(K256),K256,1)),IF($C256="Paying back",0,IF(AND(OR(Housemates!$C$13="",Housemates!$C$13&lt;=$B256),OR(Housemates!$D$13="",Housemates!$D$13&gt;=$B256)),IF($Q256=0,1,INDEX(Bills!$AF$6:$AF$25,$Q256)),0))))</f>
        <v/>
      </c>
      <c r="Y256">
        <f>IF(OR($D256="",$B256="",Housemates!$B$14=""),0,IF($R256&gt;0,IF(L256="",0,IF(ISNUMBER(L256),L256,1)),IF($C256="Paying back",0,IF(AND(OR(Housemates!$C$14="",Housemates!$C$14&lt;=$B256),OR(Housemates!$D$14="",Housemates!$D$14&gt;=$B256)),IF($Q256=0,1,INDEX(Bills!$AG$6:$AG$25,$Q256)),0))))</f>
        <v/>
      </c>
      <c r="Z256">
        <f>IF(OR($D256="",$B256="",Housemates!$B$15=""),0,IF($R256&gt;0,IF(M256="",0,IF(ISNUMBER(M256),M256,1)),IF($C256="Paying back",0,IF(AND(OR(Housemates!$C$15="",Housemates!$C$15&lt;=$B256),OR(Housemates!$D$15="",Housemates!$D$15&gt;=$B256)),IF($Q256=0,1,INDEX(Bills!$AH$6:$AH$25,$Q256)),0))))</f>
        <v/>
      </c>
      <c r="AA256">
        <f>SUM(S256:Z256)</f>
        <v/>
      </c>
      <c r="AB256">
        <f>IF(AA256=0,0,D256*S256/AA256)</f>
        <v/>
      </c>
      <c r="AC256">
        <f>IF(AA256=0,0,D256*T256/AA256)</f>
        <v/>
      </c>
      <c r="AD256">
        <f>IF(AA256=0,0,D256*U256/AA256)</f>
        <v/>
      </c>
      <c r="AE256">
        <f>IF(AA256=0,0,D256*V256/AA256)</f>
        <v/>
      </c>
      <c r="AF256">
        <f>IF(AA256=0,0,D256*W256/AA256)</f>
        <v/>
      </c>
      <c r="AG256">
        <f>IF(AA256=0,0,D256*X256/AA256)</f>
        <v/>
      </c>
      <c r="AH256">
        <f>IF(AA256=0,0,D256*Y256/AA256)</f>
        <v/>
      </c>
      <c r="AI256">
        <f>IF(AA256=0,0,D256*Z256/AA256)</f>
        <v/>
      </c>
      <c r="AJ256">
        <f>IF(OR(C256="",B256=""),"",C256&amp;"|"&amp;(YEAR(B256)*100+MONTH(B256)))</f>
        <v/>
      </c>
    </row>
    <row r="257">
      <c r="A257" s="1" t="n"/>
      <c r="B257" s="23" t="n"/>
      <c r="C257" s="24" t="n"/>
      <c r="D257" s="25" t="n"/>
      <c r="E257" s="26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1">
        <f>IF(D257="","",IF(B257="","No date",IF(AND(C257="Paying back",R257=0),"To whom?",IF(AA257=0,"Nobody",IF(C257="Paying back","To "&amp;INDEX(Housemates!$B$8:$B$15,MATCH(MAX(S257:Z257),S257:Z257,0)),IF(R257&gt;0,IF(COUNTIF(S257:Z257,"&gt;0")=1,"1 person",COUNTIF(S257:Z257,"&gt;0")&amp;" people"),IF(Q257=0,"Everyone",INDEX(Bills!$Q$6:$Q$25,Q257))))))))</f>
        <v/>
      </c>
      <c r="O257" s="18">
        <f>IF(D257="","",IF(C257="Paying back","Paying back",IF(Q257=0,"Other",IF(INDEX(Bills!$C$6:$C$25,Q257)="","Other",INDEX(Bills!$C$6:$C$25,Q257)))))</f>
        <v/>
      </c>
      <c r="P257" s="1" t="n"/>
      <c r="Q257">
        <f>IF(C257="",0,IFERROR(MATCH(C257,Bills!$B$6:$B$25,0),0))</f>
        <v/>
      </c>
      <c r="R257">
        <f>COUNTA(F257:M257)</f>
        <v/>
      </c>
      <c r="S257">
        <f>IF(OR($D257="",$B257="",Housemates!$B$8=""),0,IF($R257&gt;0,IF(F257="",0,IF(ISNUMBER(F257),F257,1)),IF($C257="Paying back",0,IF(AND(OR(Housemates!$C$8="",Housemates!$C$8&lt;=$B257),OR(Housemates!$D$8="",Housemates!$D$8&gt;=$B257)),IF($Q257=0,1,INDEX(Bills!$AA$6:$AA$25,$Q257)),0))))</f>
        <v/>
      </c>
      <c r="T257">
        <f>IF(OR($D257="",$B257="",Housemates!$B$9=""),0,IF($R257&gt;0,IF(G257="",0,IF(ISNUMBER(G257),G257,1)),IF($C257="Paying back",0,IF(AND(OR(Housemates!$C$9="",Housemates!$C$9&lt;=$B257),OR(Housemates!$D$9="",Housemates!$D$9&gt;=$B257)),IF($Q257=0,1,INDEX(Bills!$AB$6:$AB$25,$Q257)),0))))</f>
        <v/>
      </c>
      <c r="U257">
        <f>IF(OR($D257="",$B257="",Housemates!$B$10=""),0,IF($R257&gt;0,IF(H257="",0,IF(ISNUMBER(H257),H257,1)),IF($C257="Paying back",0,IF(AND(OR(Housemates!$C$10="",Housemates!$C$10&lt;=$B257),OR(Housemates!$D$10="",Housemates!$D$10&gt;=$B257)),IF($Q257=0,1,INDEX(Bills!$AC$6:$AC$25,$Q257)),0))))</f>
        <v/>
      </c>
      <c r="V257">
        <f>IF(OR($D257="",$B257="",Housemates!$B$11=""),0,IF($R257&gt;0,IF(I257="",0,IF(ISNUMBER(I257),I257,1)),IF($C257="Paying back",0,IF(AND(OR(Housemates!$C$11="",Housemates!$C$11&lt;=$B257),OR(Housemates!$D$11="",Housemates!$D$11&gt;=$B257)),IF($Q257=0,1,INDEX(Bills!$AD$6:$AD$25,$Q257)),0))))</f>
        <v/>
      </c>
      <c r="W257">
        <f>IF(OR($D257="",$B257="",Housemates!$B$12=""),0,IF($R257&gt;0,IF(J257="",0,IF(ISNUMBER(J257),J257,1)),IF($C257="Paying back",0,IF(AND(OR(Housemates!$C$12="",Housemates!$C$12&lt;=$B257),OR(Housemates!$D$12="",Housemates!$D$12&gt;=$B257)),IF($Q257=0,1,INDEX(Bills!$AE$6:$AE$25,$Q257)),0))))</f>
        <v/>
      </c>
      <c r="X257">
        <f>IF(OR($D257="",$B257="",Housemates!$B$13=""),0,IF($R257&gt;0,IF(K257="",0,IF(ISNUMBER(K257),K257,1)),IF($C257="Paying back",0,IF(AND(OR(Housemates!$C$13="",Housemates!$C$13&lt;=$B257),OR(Housemates!$D$13="",Housemates!$D$13&gt;=$B257)),IF($Q257=0,1,INDEX(Bills!$AF$6:$AF$25,$Q257)),0))))</f>
        <v/>
      </c>
      <c r="Y257">
        <f>IF(OR($D257="",$B257="",Housemates!$B$14=""),0,IF($R257&gt;0,IF(L257="",0,IF(ISNUMBER(L257),L257,1)),IF($C257="Paying back",0,IF(AND(OR(Housemates!$C$14="",Housemates!$C$14&lt;=$B257),OR(Housemates!$D$14="",Housemates!$D$14&gt;=$B257)),IF($Q257=0,1,INDEX(Bills!$AG$6:$AG$25,$Q257)),0))))</f>
        <v/>
      </c>
      <c r="Z257">
        <f>IF(OR($D257="",$B257="",Housemates!$B$15=""),0,IF($R257&gt;0,IF(M257="",0,IF(ISNUMBER(M257),M257,1)),IF($C257="Paying back",0,IF(AND(OR(Housemates!$C$15="",Housemates!$C$15&lt;=$B257),OR(Housemates!$D$15="",Housemates!$D$15&gt;=$B257)),IF($Q257=0,1,INDEX(Bills!$AH$6:$AH$25,$Q257)),0))))</f>
        <v/>
      </c>
      <c r="AA257">
        <f>SUM(S257:Z257)</f>
        <v/>
      </c>
      <c r="AB257">
        <f>IF(AA257=0,0,D257*S257/AA257)</f>
        <v/>
      </c>
      <c r="AC257">
        <f>IF(AA257=0,0,D257*T257/AA257)</f>
        <v/>
      </c>
      <c r="AD257">
        <f>IF(AA257=0,0,D257*U257/AA257)</f>
        <v/>
      </c>
      <c r="AE257">
        <f>IF(AA257=0,0,D257*V257/AA257)</f>
        <v/>
      </c>
      <c r="AF257">
        <f>IF(AA257=0,0,D257*W257/AA257)</f>
        <v/>
      </c>
      <c r="AG257">
        <f>IF(AA257=0,0,D257*X257/AA257)</f>
        <v/>
      </c>
      <c r="AH257">
        <f>IF(AA257=0,0,D257*Y257/AA257)</f>
        <v/>
      </c>
      <c r="AI257">
        <f>IF(AA257=0,0,D257*Z257/AA257)</f>
        <v/>
      </c>
      <c r="AJ257">
        <f>IF(OR(C257="",B257=""),"",C257&amp;"|"&amp;(YEAR(B257)*100+MONTH(B257)))</f>
        <v/>
      </c>
    </row>
    <row r="258">
      <c r="A258" s="1" t="n"/>
      <c r="B258" s="23" t="n"/>
      <c r="C258" s="24" t="n"/>
      <c r="D258" s="25" t="n"/>
      <c r="E258" s="26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1">
        <f>IF(D258="","",IF(B258="","No date",IF(AND(C258="Paying back",R258=0),"To whom?",IF(AA258=0,"Nobody",IF(C258="Paying back","To "&amp;INDEX(Housemates!$B$8:$B$15,MATCH(MAX(S258:Z258),S258:Z258,0)),IF(R258&gt;0,IF(COUNTIF(S258:Z258,"&gt;0")=1,"1 person",COUNTIF(S258:Z258,"&gt;0")&amp;" people"),IF(Q258=0,"Everyone",INDEX(Bills!$Q$6:$Q$25,Q258))))))))</f>
        <v/>
      </c>
      <c r="O258" s="18">
        <f>IF(D258="","",IF(C258="Paying back","Paying back",IF(Q258=0,"Other",IF(INDEX(Bills!$C$6:$C$25,Q258)="","Other",INDEX(Bills!$C$6:$C$25,Q258)))))</f>
        <v/>
      </c>
      <c r="P258" s="1" t="n"/>
      <c r="Q258">
        <f>IF(C258="",0,IFERROR(MATCH(C258,Bills!$B$6:$B$25,0),0))</f>
        <v/>
      </c>
      <c r="R258">
        <f>COUNTA(F258:M258)</f>
        <v/>
      </c>
      <c r="S258">
        <f>IF(OR($D258="",$B258="",Housemates!$B$8=""),0,IF($R258&gt;0,IF(F258="",0,IF(ISNUMBER(F258),F258,1)),IF($C258="Paying back",0,IF(AND(OR(Housemates!$C$8="",Housemates!$C$8&lt;=$B258),OR(Housemates!$D$8="",Housemates!$D$8&gt;=$B258)),IF($Q258=0,1,INDEX(Bills!$AA$6:$AA$25,$Q258)),0))))</f>
        <v/>
      </c>
      <c r="T258">
        <f>IF(OR($D258="",$B258="",Housemates!$B$9=""),0,IF($R258&gt;0,IF(G258="",0,IF(ISNUMBER(G258),G258,1)),IF($C258="Paying back",0,IF(AND(OR(Housemates!$C$9="",Housemates!$C$9&lt;=$B258),OR(Housemates!$D$9="",Housemates!$D$9&gt;=$B258)),IF($Q258=0,1,INDEX(Bills!$AB$6:$AB$25,$Q258)),0))))</f>
        <v/>
      </c>
      <c r="U258">
        <f>IF(OR($D258="",$B258="",Housemates!$B$10=""),0,IF($R258&gt;0,IF(H258="",0,IF(ISNUMBER(H258),H258,1)),IF($C258="Paying back",0,IF(AND(OR(Housemates!$C$10="",Housemates!$C$10&lt;=$B258),OR(Housemates!$D$10="",Housemates!$D$10&gt;=$B258)),IF($Q258=0,1,INDEX(Bills!$AC$6:$AC$25,$Q258)),0))))</f>
        <v/>
      </c>
      <c r="V258">
        <f>IF(OR($D258="",$B258="",Housemates!$B$11=""),0,IF($R258&gt;0,IF(I258="",0,IF(ISNUMBER(I258),I258,1)),IF($C258="Paying back",0,IF(AND(OR(Housemates!$C$11="",Housemates!$C$11&lt;=$B258),OR(Housemates!$D$11="",Housemates!$D$11&gt;=$B258)),IF($Q258=0,1,INDEX(Bills!$AD$6:$AD$25,$Q258)),0))))</f>
        <v/>
      </c>
      <c r="W258">
        <f>IF(OR($D258="",$B258="",Housemates!$B$12=""),0,IF($R258&gt;0,IF(J258="",0,IF(ISNUMBER(J258),J258,1)),IF($C258="Paying back",0,IF(AND(OR(Housemates!$C$12="",Housemates!$C$12&lt;=$B258),OR(Housemates!$D$12="",Housemates!$D$12&gt;=$B258)),IF($Q258=0,1,INDEX(Bills!$AE$6:$AE$25,$Q258)),0))))</f>
        <v/>
      </c>
      <c r="X258">
        <f>IF(OR($D258="",$B258="",Housemates!$B$13=""),0,IF($R258&gt;0,IF(K258="",0,IF(ISNUMBER(K258),K258,1)),IF($C258="Paying back",0,IF(AND(OR(Housemates!$C$13="",Housemates!$C$13&lt;=$B258),OR(Housemates!$D$13="",Housemates!$D$13&gt;=$B258)),IF($Q258=0,1,INDEX(Bills!$AF$6:$AF$25,$Q258)),0))))</f>
        <v/>
      </c>
      <c r="Y258">
        <f>IF(OR($D258="",$B258="",Housemates!$B$14=""),0,IF($R258&gt;0,IF(L258="",0,IF(ISNUMBER(L258),L258,1)),IF($C258="Paying back",0,IF(AND(OR(Housemates!$C$14="",Housemates!$C$14&lt;=$B258),OR(Housemates!$D$14="",Housemates!$D$14&gt;=$B258)),IF($Q258=0,1,INDEX(Bills!$AG$6:$AG$25,$Q258)),0))))</f>
        <v/>
      </c>
      <c r="Z258">
        <f>IF(OR($D258="",$B258="",Housemates!$B$15=""),0,IF($R258&gt;0,IF(M258="",0,IF(ISNUMBER(M258),M258,1)),IF($C258="Paying back",0,IF(AND(OR(Housemates!$C$15="",Housemates!$C$15&lt;=$B258),OR(Housemates!$D$15="",Housemates!$D$15&gt;=$B258)),IF($Q258=0,1,INDEX(Bills!$AH$6:$AH$25,$Q258)),0))))</f>
        <v/>
      </c>
      <c r="AA258">
        <f>SUM(S258:Z258)</f>
        <v/>
      </c>
      <c r="AB258">
        <f>IF(AA258=0,0,D258*S258/AA258)</f>
        <v/>
      </c>
      <c r="AC258">
        <f>IF(AA258=0,0,D258*T258/AA258)</f>
        <v/>
      </c>
      <c r="AD258">
        <f>IF(AA258=0,0,D258*U258/AA258)</f>
        <v/>
      </c>
      <c r="AE258">
        <f>IF(AA258=0,0,D258*V258/AA258)</f>
        <v/>
      </c>
      <c r="AF258">
        <f>IF(AA258=0,0,D258*W258/AA258)</f>
        <v/>
      </c>
      <c r="AG258">
        <f>IF(AA258=0,0,D258*X258/AA258)</f>
        <v/>
      </c>
      <c r="AH258">
        <f>IF(AA258=0,0,D258*Y258/AA258)</f>
        <v/>
      </c>
      <c r="AI258">
        <f>IF(AA258=0,0,D258*Z258/AA258)</f>
        <v/>
      </c>
      <c r="AJ258">
        <f>IF(OR(C258="",B258=""),"",C258&amp;"|"&amp;(YEAR(B258)*100+MONTH(B258)))</f>
        <v/>
      </c>
    </row>
    <row r="259">
      <c r="A259" s="1" t="n"/>
      <c r="B259" s="23" t="n"/>
      <c r="C259" s="24" t="n"/>
      <c r="D259" s="25" t="n"/>
      <c r="E259" s="26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1">
        <f>IF(D259="","",IF(B259="","No date",IF(AND(C259="Paying back",R259=0),"To whom?",IF(AA259=0,"Nobody",IF(C259="Paying back","To "&amp;INDEX(Housemates!$B$8:$B$15,MATCH(MAX(S259:Z259),S259:Z259,0)),IF(R259&gt;0,IF(COUNTIF(S259:Z259,"&gt;0")=1,"1 person",COUNTIF(S259:Z259,"&gt;0")&amp;" people"),IF(Q259=0,"Everyone",INDEX(Bills!$Q$6:$Q$25,Q259))))))))</f>
        <v/>
      </c>
      <c r="O259" s="18">
        <f>IF(D259="","",IF(C259="Paying back","Paying back",IF(Q259=0,"Other",IF(INDEX(Bills!$C$6:$C$25,Q259)="","Other",INDEX(Bills!$C$6:$C$25,Q259)))))</f>
        <v/>
      </c>
      <c r="P259" s="1" t="n"/>
      <c r="Q259">
        <f>IF(C259="",0,IFERROR(MATCH(C259,Bills!$B$6:$B$25,0),0))</f>
        <v/>
      </c>
      <c r="R259">
        <f>COUNTA(F259:M259)</f>
        <v/>
      </c>
      <c r="S259">
        <f>IF(OR($D259="",$B259="",Housemates!$B$8=""),0,IF($R259&gt;0,IF(F259="",0,IF(ISNUMBER(F259),F259,1)),IF($C259="Paying back",0,IF(AND(OR(Housemates!$C$8="",Housemates!$C$8&lt;=$B259),OR(Housemates!$D$8="",Housemates!$D$8&gt;=$B259)),IF($Q259=0,1,INDEX(Bills!$AA$6:$AA$25,$Q259)),0))))</f>
        <v/>
      </c>
      <c r="T259">
        <f>IF(OR($D259="",$B259="",Housemates!$B$9=""),0,IF($R259&gt;0,IF(G259="",0,IF(ISNUMBER(G259),G259,1)),IF($C259="Paying back",0,IF(AND(OR(Housemates!$C$9="",Housemates!$C$9&lt;=$B259),OR(Housemates!$D$9="",Housemates!$D$9&gt;=$B259)),IF($Q259=0,1,INDEX(Bills!$AB$6:$AB$25,$Q259)),0))))</f>
        <v/>
      </c>
      <c r="U259">
        <f>IF(OR($D259="",$B259="",Housemates!$B$10=""),0,IF($R259&gt;0,IF(H259="",0,IF(ISNUMBER(H259),H259,1)),IF($C259="Paying back",0,IF(AND(OR(Housemates!$C$10="",Housemates!$C$10&lt;=$B259),OR(Housemates!$D$10="",Housemates!$D$10&gt;=$B259)),IF($Q259=0,1,INDEX(Bills!$AC$6:$AC$25,$Q259)),0))))</f>
        <v/>
      </c>
      <c r="V259">
        <f>IF(OR($D259="",$B259="",Housemates!$B$11=""),0,IF($R259&gt;0,IF(I259="",0,IF(ISNUMBER(I259),I259,1)),IF($C259="Paying back",0,IF(AND(OR(Housemates!$C$11="",Housemates!$C$11&lt;=$B259),OR(Housemates!$D$11="",Housemates!$D$11&gt;=$B259)),IF($Q259=0,1,INDEX(Bills!$AD$6:$AD$25,$Q259)),0))))</f>
        <v/>
      </c>
      <c r="W259">
        <f>IF(OR($D259="",$B259="",Housemates!$B$12=""),0,IF($R259&gt;0,IF(J259="",0,IF(ISNUMBER(J259),J259,1)),IF($C259="Paying back",0,IF(AND(OR(Housemates!$C$12="",Housemates!$C$12&lt;=$B259),OR(Housemates!$D$12="",Housemates!$D$12&gt;=$B259)),IF($Q259=0,1,INDEX(Bills!$AE$6:$AE$25,$Q259)),0))))</f>
        <v/>
      </c>
      <c r="X259">
        <f>IF(OR($D259="",$B259="",Housemates!$B$13=""),0,IF($R259&gt;0,IF(K259="",0,IF(ISNUMBER(K259),K259,1)),IF($C259="Paying back",0,IF(AND(OR(Housemates!$C$13="",Housemates!$C$13&lt;=$B259),OR(Housemates!$D$13="",Housemates!$D$13&gt;=$B259)),IF($Q259=0,1,INDEX(Bills!$AF$6:$AF$25,$Q259)),0))))</f>
        <v/>
      </c>
      <c r="Y259">
        <f>IF(OR($D259="",$B259="",Housemates!$B$14=""),0,IF($R259&gt;0,IF(L259="",0,IF(ISNUMBER(L259),L259,1)),IF($C259="Paying back",0,IF(AND(OR(Housemates!$C$14="",Housemates!$C$14&lt;=$B259),OR(Housemates!$D$14="",Housemates!$D$14&gt;=$B259)),IF($Q259=0,1,INDEX(Bills!$AG$6:$AG$25,$Q259)),0))))</f>
        <v/>
      </c>
      <c r="Z259">
        <f>IF(OR($D259="",$B259="",Housemates!$B$15=""),0,IF($R259&gt;0,IF(M259="",0,IF(ISNUMBER(M259),M259,1)),IF($C259="Paying back",0,IF(AND(OR(Housemates!$C$15="",Housemates!$C$15&lt;=$B259),OR(Housemates!$D$15="",Housemates!$D$15&gt;=$B259)),IF($Q259=0,1,INDEX(Bills!$AH$6:$AH$25,$Q259)),0))))</f>
        <v/>
      </c>
      <c r="AA259">
        <f>SUM(S259:Z259)</f>
        <v/>
      </c>
      <c r="AB259">
        <f>IF(AA259=0,0,D259*S259/AA259)</f>
        <v/>
      </c>
      <c r="AC259">
        <f>IF(AA259=0,0,D259*T259/AA259)</f>
        <v/>
      </c>
      <c r="AD259">
        <f>IF(AA259=0,0,D259*U259/AA259)</f>
        <v/>
      </c>
      <c r="AE259">
        <f>IF(AA259=0,0,D259*V259/AA259)</f>
        <v/>
      </c>
      <c r="AF259">
        <f>IF(AA259=0,0,D259*W259/AA259)</f>
        <v/>
      </c>
      <c r="AG259">
        <f>IF(AA259=0,0,D259*X259/AA259)</f>
        <v/>
      </c>
      <c r="AH259">
        <f>IF(AA259=0,0,D259*Y259/AA259)</f>
        <v/>
      </c>
      <c r="AI259">
        <f>IF(AA259=0,0,D259*Z259/AA259)</f>
        <v/>
      </c>
      <c r="AJ259">
        <f>IF(OR(C259="",B259=""),"",C259&amp;"|"&amp;(YEAR(B259)*100+MONTH(B259)))</f>
        <v/>
      </c>
    </row>
    <row r="260">
      <c r="A260" s="1" t="n"/>
      <c r="B260" s="23" t="n"/>
      <c r="C260" s="24" t="n"/>
      <c r="D260" s="25" t="n"/>
      <c r="E260" s="26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1">
        <f>IF(D260="","",IF(B260="","No date",IF(AND(C260="Paying back",R260=0),"To whom?",IF(AA260=0,"Nobody",IF(C260="Paying back","To "&amp;INDEX(Housemates!$B$8:$B$15,MATCH(MAX(S260:Z260),S260:Z260,0)),IF(R260&gt;0,IF(COUNTIF(S260:Z260,"&gt;0")=1,"1 person",COUNTIF(S260:Z260,"&gt;0")&amp;" people"),IF(Q260=0,"Everyone",INDEX(Bills!$Q$6:$Q$25,Q260))))))))</f>
        <v/>
      </c>
      <c r="O260" s="18">
        <f>IF(D260="","",IF(C260="Paying back","Paying back",IF(Q260=0,"Other",IF(INDEX(Bills!$C$6:$C$25,Q260)="","Other",INDEX(Bills!$C$6:$C$25,Q260)))))</f>
        <v/>
      </c>
      <c r="P260" s="1" t="n"/>
      <c r="Q260">
        <f>IF(C260="",0,IFERROR(MATCH(C260,Bills!$B$6:$B$25,0),0))</f>
        <v/>
      </c>
      <c r="R260">
        <f>COUNTA(F260:M260)</f>
        <v/>
      </c>
      <c r="S260">
        <f>IF(OR($D260="",$B260="",Housemates!$B$8=""),0,IF($R260&gt;0,IF(F260="",0,IF(ISNUMBER(F260),F260,1)),IF($C260="Paying back",0,IF(AND(OR(Housemates!$C$8="",Housemates!$C$8&lt;=$B260),OR(Housemates!$D$8="",Housemates!$D$8&gt;=$B260)),IF($Q260=0,1,INDEX(Bills!$AA$6:$AA$25,$Q260)),0))))</f>
        <v/>
      </c>
      <c r="T260">
        <f>IF(OR($D260="",$B260="",Housemates!$B$9=""),0,IF($R260&gt;0,IF(G260="",0,IF(ISNUMBER(G260),G260,1)),IF($C260="Paying back",0,IF(AND(OR(Housemates!$C$9="",Housemates!$C$9&lt;=$B260),OR(Housemates!$D$9="",Housemates!$D$9&gt;=$B260)),IF($Q260=0,1,INDEX(Bills!$AB$6:$AB$25,$Q260)),0))))</f>
        <v/>
      </c>
      <c r="U260">
        <f>IF(OR($D260="",$B260="",Housemates!$B$10=""),0,IF($R260&gt;0,IF(H260="",0,IF(ISNUMBER(H260),H260,1)),IF($C260="Paying back",0,IF(AND(OR(Housemates!$C$10="",Housemates!$C$10&lt;=$B260),OR(Housemates!$D$10="",Housemates!$D$10&gt;=$B260)),IF($Q260=0,1,INDEX(Bills!$AC$6:$AC$25,$Q260)),0))))</f>
        <v/>
      </c>
      <c r="V260">
        <f>IF(OR($D260="",$B260="",Housemates!$B$11=""),0,IF($R260&gt;0,IF(I260="",0,IF(ISNUMBER(I260),I260,1)),IF($C260="Paying back",0,IF(AND(OR(Housemates!$C$11="",Housemates!$C$11&lt;=$B260),OR(Housemates!$D$11="",Housemates!$D$11&gt;=$B260)),IF($Q260=0,1,INDEX(Bills!$AD$6:$AD$25,$Q260)),0))))</f>
        <v/>
      </c>
      <c r="W260">
        <f>IF(OR($D260="",$B260="",Housemates!$B$12=""),0,IF($R260&gt;0,IF(J260="",0,IF(ISNUMBER(J260),J260,1)),IF($C260="Paying back",0,IF(AND(OR(Housemates!$C$12="",Housemates!$C$12&lt;=$B260),OR(Housemates!$D$12="",Housemates!$D$12&gt;=$B260)),IF($Q260=0,1,INDEX(Bills!$AE$6:$AE$25,$Q260)),0))))</f>
        <v/>
      </c>
      <c r="X260">
        <f>IF(OR($D260="",$B260="",Housemates!$B$13=""),0,IF($R260&gt;0,IF(K260="",0,IF(ISNUMBER(K260),K260,1)),IF($C260="Paying back",0,IF(AND(OR(Housemates!$C$13="",Housemates!$C$13&lt;=$B260),OR(Housemates!$D$13="",Housemates!$D$13&gt;=$B260)),IF($Q260=0,1,INDEX(Bills!$AF$6:$AF$25,$Q260)),0))))</f>
        <v/>
      </c>
      <c r="Y260">
        <f>IF(OR($D260="",$B260="",Housemates!$B$14=""),0,IF($R260&gt;0,IF(L260="",0,IF(ISNUMBER(L260),L260,1)),IF($C260="Paying back",0,IF(AND(OR(Housemates!$C$14="",Housemates!$C$14&lt;=$B260),OR(Housemates!$D$14="",Housemates!$D$14&gt;=$B260)),IF($Q260=0,1,INDEX(Bills!$AG$6:$AG$25,$Q260)),0))))</f>
        <v/>
      </c>
      <c r="Z260">
        <f>IF(OR($D260="",$B260="",Housemates!$B$15=""),0,IF($R260&gt;0,IF(M260="",0,IF(ISNUMBER(M260),M260,1)),IF($C260="Paying back",0,IF(AND(OR(Housemates!$C$15="",Housemates!$C$15&lt;=$B260),OR(Housemates!$D$15="",Housemates!$D$15&gt;=$B260)),IF($Q260=0,1,INDEX(Bills!$AH$6:$AH$25,$Q260)),0))))</f>
        <v/>
      </c>
      <c r="AA260">
        <f>SUM(S260:Z260)</f>
        <v/>
      </c>
      <c r="AB260">
        <f>IF(AA260=0,0,D260*S260/AA260)</f>
        <v/>
      </c>
      <c r="AC260">
        <f>IF(AA260=0,0,D260*T260/AA260)</f>
        <v/>
      </c>
      <c r="AD260">
        <f>IF(AA260=0,0,D260*U260/AA260)</f>
        <v/>
      </c>
      <c r="AE260">
        <f>IF(AA260=0,0,D260*V260/AA260)</f>
        <v/>
      </c>
      <c r="AF260">
        <f>IF(AA260=0,0,D260*W260/AA260)</f>
        <v/>
      </c>
      <c r="AG260">
        <f>IF(AA260=0,0,D260*X260/AA260)</f>
        <v/>
      </c>
      <c r="AH260">
        <f>IF(AA260=0,0,D260*Y260/AA260)</f>
        <v/>
      </c>
      <c r="AI260">
        <f>IF(AA260=0,0,D260*Z260/AA260)</f>
        <v/>
      </c>
      <c r="AJ260">
        <f>IF(OR(C260="",B260=""),"",C260&amp;"|"&amp;(YEAR(B260)*100+MONTH(B260)))</f>
        <v/>
      </c>
    </row>
    <row r="261">
      <c r="A261" s="1" t="n"/>
      <c r="B261" s="23" t="n"/>
      <c r="C261" s="24" t="n"/>
      <c r="D261" s="25" t="n"/>
      <c r="E261" s="26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1">
        <f>IF(D261="","",IF(B261="","No date",IF(AND(C261="Paying back",R261=0),"To whom?",IF(AA261=0,"Nobody",IF(C261="Paying back","To "&amp;INDEX(Housemates!$B$8:$B$15,MATCH(MAX(S261:Z261),S261:Z261,0)),IF(R261&gt;0,IF(COUNTIF(S261:Z261,"&gt;0")=1,"1 person",COUNTIF(S261:Z261,"&gt;0")&amp;" people"),IF(Q261=0,"Everyone",INDEX(Bills!$Q$6:$Q$25,Q261))))))))</f>
        <v/>
      </c>
      <c r="O261" s="18">
        <f>IF(D261="","",IF(C261="Paying back","Paying back",IF(Q261=0,"Other",IF(INDEX(Bills!$C$6:$C$25,Q261)="","Other",INDEX(Bills!$C$6:$C$25,Q261)))))</f>
        <v/>
      </c>
      <c r="P261" s="1" t="n"/>
      <c r="Q261">
        <f>IF(C261="",0,IFERROR(MATCH(C261,Bills!$B$6:$B$25,0),0))</f>
        <v/>
      </c>
      <c r="R261">
        <f>COUNTA(F261:M261)</f>
        <v/>
      </c>
      <c r="S261">
        <f>IF(OR($D261="",$B261="",Housemates!$B$8=""),0,IF($R261&gt;0,IF(F261="",0,IF(ISNUMBER(F261),F261,1)),IF($C261="Paying back",0,IF(AND(OR(Housemates!$C$8="",Housemates!$C$8&lt;=$B261),OR(Housemates!$D$8="",Housemates!$D$8&gt;=$B261)),IF($Q261=0,1,INDEX(Bills!$AA$6:$AA$25,$Q261)),0))))</f>
        <v/>
      </c>
      <c r="T261">
        <f>IF(OR($D261="",$B261="",Housemates!$B$9=""),0,IF($R261&gt;0,IF(G261="",0,IF(ISNUMBER(G261),G261,1)),IF($C261="Paying back",0,IF(AND(OR(Housemates!$C$9="",Housemates!$C$9&lt;=$B261),OR(Housemates!$D$9="",Housemates!$D$9&gt;=$B261)),IF($Q261=0,1,INDEX(Bills!$AB$6:$AB$25,$Q261)),0))))</f>
        <v/>
      </c>
      <c r="U261">
        <f>IF(OR($D261="",$B261="",Housemates!$B$10=""),0,IF($R261&gt;0,IF(H261="",0,IF(ISNUMBER(H261),H261,1)),IF($C261="Paying back",0,IF(AND(OR(Housemates!$C$10="",Housemates!$C$10&lt;=$B261),OR(Housemates!$D$10="",Housemates!$D$10&gt;=$B261)),IF($Q261=0,1,INDEX(Bills!$AC$6:$AC$25,$Q261)),0))))</f>
        <v/>
      </c>
      <c r="V261">
        <f>IF(OR($D261="",$B261="",Housemates!$B$11=""),0,IF($R261&gt;0,IF(I261="",0,IF(ISNUMBER(I261),I261,1)),IF($C261="Paying back",0,IF(AND(OR(Housemates!$C$11="",Housemates!$C$11&lt;=$B261),OR(Housemates!$D$11="",Housemates!$D$11&gt;=$B261)),IF($Q261=0,1,INDEX(Bills!$AD$6:$AD$25,$Q261)),0))))</f>
        <v/>
      </c>
      <c r="W261">
        <f>IF(OR($D261="",$B261="",Housemates!$B$12=""),0,IF($R261&gt;0,IF(J261="",0,IF(ISNUMBER(J261),J261,1)),IF($C261="Paying back",0,IF(AND(OR(Housemates!$C$12="",Housemates!$C$12&lt;=$B261),OR(Housemates!$D$12="",Housemates!$D$12&gt;=$B261)),IF($Q261=0,1,INDEX(Bills!$AE$6:$AE$25,$Q261)),0))))</f>
        <v/>
      </c>
      <c r="X261">
        <f>IF(OR($D261="",$B261="",Housemates!$B$13=""),0,IF($R261&gt;0,IF(K261="",0,IF(ISNUMBER(K261),K261,1)),IF($C261="Paying back",0,IF(AND(OR(Housemates!$C$13="",Housemates!$C$13&lt;=$B261),OR(Housemates!$D$13="",Housemates!$D$13&gt;=$B261)),IF($Q261=0,1,INDEX(Bills!$AF$6:$AF$25,$Q261)),0))))</f>
        <v/>
      </c>
      <c r="Y261">
        <f>IF(OR($D261="",$B261="",Housemates!$B$14=""),0,IF($R261&gt;0,IF(L261="",0,IF(ISNUMBER(L261),L261,1)),IF($C261="Paying back",0,IF(AND(OR(Housemates!$C$14="",Housemates!$C$14&lt;=$B261),OR(Housemates!$D$14="",Housemates!$D$14&gt;=$B261)),IF($Q261=0,1,INDEX(Bills!$AG$6:$AG$25,$Q261)),0))))</f>
        <v/>
      </c>
      <c r="Z261">
        <f>IF(OR($D261="",$B261="",Housemates!$B$15=""),0,IF($R261&gt;0,IF(M261="",0,IF(ISNUMBER(M261),M261,1)),IF($C261="Paying back",0,IF(AND(OR(Housemates!$C$15="",Housemates!$C$15&lt;=$B261),OR(Housemates!$D$15="",Housemates!$D$15&gt;=$B261)),IF($Q261=0,1,INDEX(Bills!$AH$6:$AH$25,$Q261)),0))))</f>
        <v/>
      </c>
      <c r="AA261">
        <f>SUM(S261:Z261)</f>
        <v/>
      </c>
      <c r="AB261">
        <f>IF(AA261=0,0,D261*S261/AA261)</f>
        <v/>
      </c>
      <c r="AC261">
        <f>IF(AA261=0,0,D261*T261/AA261)</f>
        <v/>
      </c>
      <c r="AD261">
        <f>IF(AA261=0,0,D261*U261/AA261)</f>
        <v/>
      </c>
      <c r="AE261">
        <f>IF(AA261=0,0,D261*V261/AA261)</f>
        <v/>
      </c>
      <c r="AF261">
        <f>IF(AA261=0,0,D261*W261/AA261)</f>
        <v/>
      </c>
      <c r="AG261">
        <f>IF(AA261=0,0,D261*X261/AA261)</f>
        <v/>
      </c>
      <c r="AH261">
        <f>IF(AA261=0,0,D261*Y261/AA261)</f>
        <v/>
      </c>
      <c r="AI261">
        <f>IF(AA261=0,0,D261*Z261/AA261)</f>
        <v/>
      </c>
      <c r="AJ261">
        <f>IF(OR(C261="",B261=""),"",C261&amp;"|"&amp;(YEAR(B261)*100+MONTH(B261)))</f>
        <v/>
      </c>
    </row>
    <row r="262">
      <c r="A262" s="1" t="n"/>
      <c r="B262" s="23" t="n"/>
      <c r="C262" s="24" t="n"/>
      <c r="D262" s="25" t="n"/>
      <c r="E262" s="26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1">
        <f>IF(D262="","",IF(B262="","No date",IF(AND(C262="Paying back",R262=0),"To whom?",IF(AA262=0,"Nobody",IF(C262="Paying back","To "&amp;INDEX(Housemates!$B$8:$B$15,MATCH(MAX(S262:Z262),S262:Z262,0)),IF(R262&gt;0,IF(COUNTIF(S262:Z262,"&gt;0")=1,"1 person",COUNTIF(S262:Z262,"&gt;0")&amp;" people"),IF(Q262=0,"Everyone",INDEX(Bills!$Q$6:$Q$25,Q262))))))))</f>
        <v/>
      </c>
      <c r="O262" s="18">
        <f>IF(D262="","",IF(C262="Paying back","Paying back",IF(Q262=0,"Other",IF(INDEX(Bills!$C$6:$C$25,Q262)="","Other",INDEX(Bills!$C$6:$C$25,Q262)))))</f>
        <v/>
      </c>
      <c r="P262" s="1" t="n"/>
      <c r="Q262">
        <f>IF(C262="",0,IFERROR(MATCH(C262,Bills!$B$6:$B$25,0),0))</f>
        <v/>
      </c>
      <c r="R262">
        <f>COUNTA(F262:M262)</f>
        <v/>
      </c>
      <c r="S262">
        <f>IF(OR($D262="",$B262="",Housemates!$B$8=""),0,IF($R262&gt;0,IF(F262="",0,IF(ISNUMBER(F262),F262,1)),IF($C262="Paying back",0,IF(AND(OR(Housemates!$C$8="",Housemates!$C$8&lt;=$B262),OR(Housemates!$D$8="",Housemates!$D$8&gt;=$B262)),IF($Q262=0,1,INDEX(Bills!$AA$6:$AA$25,$Q262)),0))))</f>
        <v/>
      </c>
      <c r="T262">
        <f>IF(OR($D262="",$B262="",Housemates!$B$9=""),0,IF($R262&gt;0,IF(G262="",0,IF(ISNUMBER(G262),G262,1)),IF($C262="Paying back",0,IF(AND(OR(Housemates!$C$9="",Housemates!$C$9&lt;=$B262),OR(Housemates!$D$9="",Housemates!$D$9&gt;=$B262)),IF($Q262=0,1,INDEX(Bills!$AB$6:$AB$25,$Q262)),0))))</f>
        <v/>
      </c>
      <c r="U262">
        <f>IF(OR($D262="",$B262="",Housemates!$B$10=""),0,IF($R262&gt;0,IF(H262="",0,IF(ISNUMBER(H262),H262,1)),IF($C262="Paying back",0,IF(AND(OR(Housemates!$C$10="",Housemates!$C$10&lt;=$B262),OR(Housemates!$D$10="",Housemates!$D$10&gt;=$B262)),IF($Q262=0,1,INDEX(Bills!$AC$6:$AC$25,$Q262)),0))))</f>
        <v/>
      </c>
      <c r="V262">
        <f>IF(OR($D262="",$B262="",Housemates!$B$11=""),0,IF($R262&gt;0,IF(I262="",0,IF(ISNUMBER(I262),I262,1)),IF($C262="Paying back",0,IF(AND(OR(Housemates!$C$11="",Housemates!$C$11&lt;=$B262),OR(Housemates!$D$11="",Housemates!$D$11&gt;=$B262)),IF($Q262=0,1,INDEX(Bills!$AD$6:$AD$25,$Q262)),0))))</f>
        <v/>
      </c>
      <c r="W262">
        <f>IF(OR($D262="",$B262="",Housemates!$B$12=""),0,IF($R262&gt;0,IF(J262="",0,IF(ISNUMBER(J262),J262,1)),IF($C262="Paying back",0,IF(AND(OR(Housemates!$C$12="",Housemates!$C$12&lt;=$B262),OR(Housemates!$D$12="",Housemates!$D$12&gt;=$B262)),IF($Q262=0,1,INDEX(Bills!$AE$6:$AE$25,$Q262)),0))))</f>
        <v/>
      </c>
      <c r="X262">
        <f>IF(OR($D262="",$B262="",Housemates!$B$13=""),0,IF($R262&gt;0,IF(K262="",0,IF(ISNUMBER(K262),K262,1)),IF($C262="Paying back",0,IF(AND(OR(Housemates!$C$13="",Housemates!$C$13&lt;=$B262),OR(Housemates!$D$13="",Housemates!$D$13&gt;=$B262)),IF($Q262=0,1,INDEX(Bills!$AF$6:$AF$25,$Q262)),0))))</f>
        <v/>
      </c>
      <c r="Y262">
        <f>IF(OR($D262="",$B262="",Housemates!$B$14=""),0,IF($R262&gt;0,IF(L262="",0,IF(ISNUMBER(L262),L262,1)),IF($C262="Paying back",0,IF(AND(OR(Housemates!$C$14="",Housemates!$C$14&lt;=$B262),OR(Housemates!$D$14="",Housemates!$D$14&gt;=$B262)),IF($Q262=0,1,INDEX(Bills!$AG$6:$AG$25,$Q262)),0))))</f>
        <v/>
      </c>
      <c r="Z262">
        <f>IF(OR($D262="",$B262="",Housemates!$B$15=""),0,IF($R262&gt;0,IF(M262="",0,IF(ISNUMBER(M262),M262,1)),IF($C262="Paying back",0,IF(AND(OR(Housemates!$C$15="",Housemates!$C$15&lt;=$B262),OR(Housemates!$D$15="",Housemates!$D$15&gt;=$B262)),IF($Q262=0,1,INDEX(Bills!$AH$6:$AH$25,$Q262)),0))))</f>
        <v/>
      </c>
      <c r="AA262">
        <f>SUM(S262:Z262)</f>
        <v/>
      </c>
      <c r="AB262">
        <f>IF(AA262=0,0,D262*S262/AA262)</f>
        <v/>
      </c>
      <c r="AC262">
        <f>IF(AA262=0,0,D262*T262/AA262)</f>
        <v/>
      </c>
      <c r="AD262">
        <f>IF(AA262=0,0,D262*U262/AA262)</f>
        <v/>
      </c>
      <c r="AE262">
        <f>IF(AA262=0,0,D262*V262/AA262)</f>
        <v/>
      </c>
      <c r="AF262">
        <f>IF(AA262=0,0,D262*W262/AA262)</f>
        <v/>
      </c>
      <c r="AG262">
        <f>IF(AA262=0,0,D262*X262/AA262)</f>
        <v/>
      </c>
      <c r="AH262">
        <f>IF(AA262=0,0,D262*Y262/AA262)</f>
        <v/>
      </c>
      <c r="AI262">
        <f>IF(AA262=0,0,D262*Z262/AA262)</f>
        <v/>
      </c>
      <c r="AJ262">
        <f>IF(OR(C262="",B262=""),"",C262&amp;"|"&amp;(YEAR(B262)*100+MONTH(B262)))</f>
        <v/>
      </c>
    </row>
    <row r="263">
      <c r="A263" s="1" t="n"/>
      <c r="B263" s="23" t="n"/>
      <c r="C263" s="24" t="n"/>
      <c r="D263" s="25" t="n"/>
      <c r="E263" s="26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1">
        <f>IF(D263="","",IF(B263="","No date",IF(AND(C263="Paying back",R263=0),"To whom?",IF(AA263=0,"Nobody",IF(C263="Paying back","To "&amp;INDEX(Housemates!$B$8:$B$15,MATCH(MAX(S263:Z263),S263:Z263,0)),IF(R263&gt;0,IF(COUNTIF(S263:Z263,"&gt;0")=1,"1 person",COUNTIF(S263:Z263,"&gt;0")&amp;" people"),IF(Q263=0,"Everyone",INDEX(Bills!$Q$6:$Q$25,Q263))))))))</f>
        <v/>
      </c>
      <c r="O263" s="18">
        <f>IF(D263="","",IF(C263="Paying back","Paying back",IF(Q263=0,"Other",IF(INDEX(Bills!$C$6:$C$25,Q263)="","Other",INDEX(Bills!$C$6:$C$25,Q263)))))</f>
        <v/>
      </c>
      <c r="P263" s="1" t="n"/>
      <c r="Q263">
        <f>IF(C263="",0,IFERROR(MATCH(C263,Bills!$B$6:$B$25,0),0))</f>
        <v/>
      </c>
      <c r="R263">
        <f>COUNTA(F263:M263)</f>
        <v/>
      </c>
      <c r="S263">
        <f>IF(OR($D263="",$B263="",Housemates!$B$8=""),0,IF($R263&gt;0,IF(F263="",0,IF(ISNUMBER(F263),F263,1)),IF($C263="Paying back",0,IF(AND(OR(Housemates!$C$8="",Housemates!$C$8&lt;=$B263),OR(Housemates!$D$8="",Housemates!$D$8&gt;=$B263)),IF($Q263=0,1,INDEX(Bills!$AA$6:$AA$25,$Q263)),0))))</f>
        <v/>
      </c>
      <c r="T263">
        <f>IF(OR($D263="",$B263="",Housemates!$B$9=""),0,IF($R263&gt;0,IF(G263="",0,IF(ISNUMBER(G263),G263,1)),IF($C263="Paying back",0,IF(AND(OR(Housemates!$C$9="",Housemates!$C$9&lt;=$B263),OR(Housemates!$D$9="",Housemates!$D$9&gt;=$B263)),IF($Q263=0,1,INDEX(Bills!$AB$6:$AB$25,$Q263)),0))))</f>
        <v/>
      </c>
      <c r="U263">
        <f>IF(OR($D263="",$B263="",Housemates!$B$10=""),0,IF($R263&gt;0,IF(H263="",0,IF(ISNUMBER(H263),H263,1)),IF($C263="Paying back",0,IF(AND(OR(Housemates!$C$10="",Housemates!$C$10&lt;=$B263),OR(Housemates!$D$10="",Housemates!$D$10&gt;=$B263)),IF($Q263=0,1,INDEX(Bills!$AC$6:$AC$25,$Q263)),0))))</f>
        <v/>
      </c>
      <c r="V263">
        <f>IF(OR($D263="",$B263="",Housemates!$B$11=""),0,IF($R263&gt;0,IF(I263="",0,IF(ISNUMBER(I263),I263,1)),IF($C263="Paying back",0,IF(AND(OR(Housemates!$C$11="",Housemates!$C$11&lt;=$B263),OR(Housemates!$D$11="",Housemates!$D$11&gt;=$B263)),IF($Q263=0,1,INDEX(Bills!$AD$6:$AD$25,$Q263)),0))))</f>
        <v/>
      </c>
      <c r="W263">
        <f>IF(OR($D263="",$B263="",Housemates!$B$12=""),0,IF($R263&gt;0,IF(J263="",0,IF(ISNUMBER(J263),J263,1)),IF($C263="Paying back",0,IF(AND(OR(Housemates!$C$12="",Housemates!$C$12&lt;=$B263),OR(Housemates!$D$12="",Housemates!$D$12&gt;=$B263)),IF($Q263=0,1,INDEX(Bills!$AE$6:$AE$25,$Q263)),0))))</f>
        <v/>
      </c>
      <c r="X263">
        <f>IF(OR($D263="",$B263="",Housemates!$B$13=""),0,IF($R263&gt;0,IF(K263="",0,IF(ISNUMBER(K263),K263,1)),IF($C263="Paying back",0,IF(AND(OR(Housemates!$C$13="",Housemates!$C$13&lt;=$B263),OR(Housemates!$D$13="",Housemates!$D$13&gt;=$B263)),IF($Q263=0,1,INDEX(Bills!$AF$6:$AF$25,$Q263)),0))))</f>
        <v/>
      </c>
      <c r="Y263">
        <f>IF(OR($D263="",$B263="",Housemates!$B$14=""),0,IF($R263&gt;0,IF(L263="",0,IF(ISNUMBER(L263),L263,1)),IF($C263="Paying back",0,IF(AND(OR(Housemates!$C$14="",Housemates!$C$14&lt;=$B263),OR(Housemates!$D$14="",Housemates!$D$14&gt;=$B263)),IF($Q263=0,1,INDEX(Bills!$AG$6:$AG$25,$Q263)),0))))</f>
        <v/>
      </c>
      <c r="Z263">
        <f>IF(OR($D263="",$B263="",Housemates!$B$15=""),0,IF($R263&gt;0,IF(M263="",0,IF(ISNUMBER(M263),M263,1)),IF($C263="Paying back",0,IF(AND(OR(Housemates!$C$15="",Housemates!$C$15&lt;=$B263),OR(Housemates!$D$15="",Housemates!$D$15&gt;=$B263)),IF($Q263=0,1,INDEX(Bills!$AH$6:$AH$25,$Q263)),0))))</f>
        <v/>
      </c>
      <c r="AA263">
        <f>SUM(S263:Z263)</f>
        <v/>
      </c>
      <c r="AB263">
        <f>IF(AA263=0,0,D263*S263/AA263)</f>
        <v/>
      </c>
      <c r="AC263">
        <f>IF(AA263=0,0,D263*T263/AA263)</f>
        <v/>
      </c>
      <c r="AD263">
        <f>IF(AA263=0,0,D263*U263/AA263)</f>
        <v/>
      </c>
      <c r="AE263">
        <f>IF(AA263=0,0,D263*V263/AA263)</f>
        <v/>
      </c>
      <c r="AF263">
        <f>IF(AA263=0,0,D263*W263/AA263)</f>
        <v/>
      </c>
      <c r="AG263">
        <f>IF(AA263=0,0,D263*X263/AA263)</f>
        <v/>
      </c>
      <c r="AH263">
        <f>IF(AA263=0,0,D263*Y263/AA263)</f>
        <v/>
      </c>
      <c r="AI263">
        <f>IF(AA263=0,0,D263*Z263/AA263)</f>
        <v/>
      </c>
      <c r="AJ263">
        <f>IF(OR(C263="",B263=""),"",C263&amp;"|"&amp;(YEAR(B263)*100+MONTH(B263)))</f>
        <v/>
      </c>
    </row>
    <row r="264">
      <c r="A264" s="1" t="n"/>
      <c r="B264" s="23" t="n"/>
      <c r="C264" s="24" t="n"/>
      <c r="D264" s="25" t="n"/>
      <c r="E264" s="26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1">
        <f>IF(D264="","",IF(B264="","No date",IF(AND(C264="Paying back",R264=0),"To whom?",IF(AA264=0,"Nobody",IF(C264="Paying back","To "&amp;INDEX(Housemates!$B$8:$B$15,MATCH(MAX(S264:Z264),S264:Z264,0)),IF(R264&gt;0,IF(COUNTIF(S264:Z264,"&gt;0")=1,"1 person",COUNTIF(S264:Z264,"&gt;0")&amp;" people"),IF(Q264=0,"Everyone",INDEX(Bills!$Q$6:$Q$25,Q264))))))))</f>
        <v/>
      </c>
      <c r="O264" s="18">
        <f>IF(D264="","",IF(C264="Paying back","Paying back",IF(Q264=0,"Other",IF(INDEX(Bills!$C$6:$C$25,Q264)="","Other",INDEX(Bills!$C$6:$C$25,Q264)))))</f>
        <v/>
      </c>
      <c r="P264" s="1" t="n"/>
      <c r="Q264">
        <f>IF(C264="",0,IFERROR(MATCH(C264,Bills!$B$6:$B$25,0),0))</f>
        <v/>
      </c>
      <c r="R264">
        <f>COUNTA(F264:M264)</f>
        <v/>
      </c>
      <c r="S264">
        <f>IF(OR($D264="",$B264="",Housemates!$B$8=""),0,IF($R264&gt;0,IF(F264="",0,IF(ISNUMBER(F264),F264,1)),IF($C264="Paying back",0,IF(AND(OR(Housemates!$C$8="",Housemates!$C$8&lt;=$B264),OR(Housemates!$D$8="",Housemates!$D$8&gt;=$B264)),IF($Q264=0,1,INDEX(Bills!$AA$6:$AA$25,$Q264)),0))))</f>
        <v/>
      </c>
      <c r="T264">
        <f>IF(OR($D264="",$B264="",Housemates!$B$9=""),0,IF($R264&gt;0,IF(G264="",0,IF(ISNUMBER(G264),G264,1)),IF($C264="Paying back",0,IF(AND(OR(Housemates!$C$9="",Housemates!$C$9&lt;=$B264),OR(Housemates!$D$9="",Housemates!$D$9&gt;=$B264)),IF($Q264=0,1,INDEX(Bills!$AB$6:$AB$25,$Q264)),0))))</f>
        <v/>
      </c>
      <c r="U264">
        <f>IF(OR($D264="",$B264="",Housemates!$B$10=""),0,IF($R264&gt;0,IF(H264="",0,IF(ISNUMBER(H264),H264,1)),IF($C264="Paying back",0,IF(AND(OR(Housemates!$C$10="",Housemates!$C$10&lt;=$B264),OR(Housemates!$D$10="",Housemates!$D$10&gt;=$B264)),IF($Q264=0,1,INDEX(Bills!$AC$6:$AC$25,$Q264)),0))))</f>
        <v/>
      </c>
      <c r="V264">
        <f>IF(OR($D264="",$B264="",Housemates!$B$11=""),0,IF($R264&gt;0,IF(I264="",0,IF(ISNUMBER(I264),I264,1)),IF($C264="Paying back",0,IF(AND(OR(Housemates!$C$11="",Housemates!$C$11&lt;=$B264),OR(Housemates!$D$11="",Housemates!$D$11&gt;=$B264)),IF($Q264=0,1,INDEX(Bills!$AD$6:$AD$25,$Q264)),0))))</f>
        <v/>
      </c>
      <c r="W264">
        <f>IF(OR($D264="",$B264="",Housemates!$B$12=""),0,IF($R264&gt;0,IF(J264="",0,IF(ISNUMBER(J264),J264,1)),IF($C264="Paying back",0,IF(AND(OR(Housemates!$C$12="",Housemates!$C$12&lt;=$B264),OR(Housemates!$D$12="",Housemates!$D$12&gt;=$B264)),IF($Q264=0,1,INDEX(Bills!$AE$6:$AE$25,$Q264)),0))))</f>
        <v/>
      </c>
      <c r="X264">
        <f>IF(OR($D264="",$B264="",Housemates!$B$13=""),0,IF($R264&gt;0,IF(K264="",0,IF(ISNUMBER(K264),K264,1)),IF($C264="Paying back",0,IF(AND(OR(Housemates!$C$13="",Housemates!$C$13&lt;=$B264),OR(Housemates!$D$13="",Housemates!$D$13&gt;=$B264)),IF($Q264=0,1,INDEX(Bills!$AF$6:$AF$25,$Q264)),0))))</f>
        <v/>
      </c>
      <c r="Y264">
        <f>IF(OR($D264="",$B264="",Housemates!$B$14=""),0,IF($R264&gt;0,IF(L264="",0,IF(ISNUMBER(L264),L264,1)),IF($C264="Paying back",0,IF(AND(OR(Housemates!$C$14="",Housemates!$C$14&lt;=$B264),OR(Housemates!$D$14="",Housemates!$D$14&gt;=$B264)),IF($Q264=0,1,INDEX(Bills!$AG$6:$AG$25,$Q264)),0))))</f>
        <v/>
      </c>
      <c r="Z264">
        <f>IF(OR($D264="",$B264="",Housemates!$B$15=""),0,IF($R264&gt;0,IF(M264="",0,IF(ISNUMBER(M264),M264,1)),IF($C264="Paying back",0,IF(AND(OR(Housemates!$C$15="",Housemates!$C$15&lt;=$B264),OR(Housemates!$D$15="",Housemates!$D$15&gt;=$B264)),IF($Q264=0,1,INDEX(Bills!$AH$6:$AH$25,$Q264)),0))))</f>
        <v/>
      </c>
      <c r="AA264">
        <f>SUM(S264:Z264)</f>
        <v/>
      </c>
      <c r="AB264">
        <f>IF(AA264=0,0,D264*S264/AA264)</f>
        <v/>
      </c>
      <c r="AC264">
        <f>IF(AA264=0,0,D264*T264/AA264)</f>
        <v/>
      </c>
      <c r="AD264">
        <f>IF(AA264=0,0,D264*U264/AA264)</f>
        <v/>
      </c>
      <c r="AE264">
        <f>IF(AA264=0,0,D264*V264/AA264)</f>
        <v/>
      </c>
      <c r="AF264">
        <f>IF(AA264=0,0,D264*W264/AA264)</f>
        <v/>
      </c>
      <c r="AG264">
        <f>IF(AA264=0,0,D264*X264/AA264)</f>
        <v/>
      </c>
      <c r="AH264">
        <f>IF(AA264=0,0,D264*Y264/AA264)</f>
        <v/>
      </c>
      <c r="AI264">
        <f>IF(AA264=0,0,D264*Z264/AA264)</f>
        <v/>
      </c>
      <c r="AJ264">
        <f>IF(OR(C264="",B264=""),"",C264&amp;"|"&amp;(YEAR(B264)*100+MONTH(B264)))</f>
        <v/>
      </c>
    </row>
    <row r="265">
      <c r="A265" s="1" t="n"/>
      <c r="B265" s="23" t="n"/>
      <c r="C265" s="24" t="n"/>
      <c r="D265" s="25" t="n"/>
      <c r="E265" s="26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1">
        <f>IF(D265="","",IF(B265="","No date",IF(AND(C265="Paying back",R265=0),"To whom?",IF(AA265=0,"Nobody",IF(C265="Paying back","To "&amp;INDEX(Housemates!$B$8:$B$15,MATCH(MAX(S265:Z265),S265:Z265,0)),IF(R265&gt;0,IF(COUNTIF(S265:Z265,"&gt;0")=1,"1 person",COUNTIF(S265:Z265,"&gt;0")&amp;" people"),IF(Q265=0,"Everyone",INDEX(Bills!$Q$6:$Q$25,Q265))))))))</f>
        <v/>
      </c>
      <c r="O265" s="18">
        <f>IF(D265="","",IF(C265="Paying back","Paying back",IF(Q265=0,"Other",IF(INDEX(Bills!$C$6:$C$25,Q265)="","Other",INDEX(Bills!$C$6:$C$25,Q265)))))</f>
        <v/>
      </c>
      <c r="P265" s="1" t="n"/>
      <c r="Q265">
        <f>IF(C265="",0,IFERROR(MATCH(C265,Bills!$B$6:$B$25,0),0))</f>
        <v/>
      </c>
      <c r="R265">
        <f>COUNTA(F265:M265)</f>
        <v/>
      </c>
      <c r="S265">
        <f>IF(OR($D265="",$B265="",Housemates!$B$8=""),0,IF($R265&gt;0,IF(F265="",0,IF(ISNUMBER(F265),F265,1)),IF($C265="Paying back",0,IF(AND(OR(Housemates!$C$8="",Housemates!$C$8&lt;=$B265),OR(Housemates!$D$8="",Housemates!$D$8&gt;=$B265)),IF($Q265=0,1,INDEX(Bills!$AA$6:$AA$25,$Q265)),0))))</f>
        <v/>
      </c>
      <c r="T265">
        <f>IF(OR($D265="",$B265="",Housemates!$B$9=""),0,IF($R265&gt;0,IF(G265="",0,IF(ISNUMBER(G265),G265,1)),IF($C265="Paying back",0,IF(AND(OR(Housemates!$C$9="",Housemates!$C$9&lt;=$B265),OR(Housemates!$D$9="",Housemates!$D$9&gt;=$B265)),IF($Q265=0,1,INDEX(Bills!$AB$6:$AB$25,$Q265)),0))))</f>
        <v/>
      </c>
      <c r="U265">
        <f>IF(OR($D265="",$B265="",Housemates!$B$10=""),0,IF($R265&gt;0,IF(H265="",0,IF(ISNUMBER(H265),H265,1)),IF($C265="Paying back",0,IF(AND(OR(Housemates!$C$10="",Housemates!$C$10&lt;=$B265),OR(Housemates!$D$10="",Housemates!$D$10&gt;=$B265)),IF($Q265=0,1,INDEX(Bills!$AC$6:$AC$25,$Q265)),0))))</f>
        <v/>
      </c>
      <c r="V265">
        <f>IF(OR($D265="",$B265="",Housemates!$B$11=""),0,IF($R265&gt;0,IF(I265="",0,IF(ISNUMBER(I265),I265,1)),IF($C265="Paying back",0,IF(AND(OR(Housemates!$C$11="",Housemates!$C$11&lt;=$B265),OR(Housemates!$D$11="",Housemates!$D$11&gt;=$B265)),IF($Q265=0,1,INDEX(Bills!$AD$6:$AD$25,$Q265)),0))))</f>
        <v/>
      </c>
      <c r="W265">
        <f>IF(OR($D265="",$B265="",Housemates!$B$12=""),0,IF($R265&gt;0,IF(J265="",0,IF(ISNUMBER(J265),J265,1)),IF($C265="Paying back",0,IF(AND(OR(Housemates!$C$12="",Housemates!$C$12&lt;=$B265),OR(Housemates!$D$12="",Housemates!$D$12&gt;=$B265)),IF($Q265=0,1,INDEX(Bills!$AE$6:$AE$25,$Q265)),0))))</f>
        <v/>
      </c>
      <c r="X265">
        <f>IF(OR($D265="",$B265="",Housemates!$B$13=""),0,IF($R265&gt;0,IF(K265="",0,IF(ISNUMBER(K265),K265,1)),IF($C265="Paying back",0,IF(AND(OR(Housemates!$C$13="",Housemates!$C$13&lt;=$B265),OR(Housemates!$D$13="",Housemates!$D$13&gt;=$B265)),IF($Q265=0,1,INDEX(Bills!$AF$6:$AF$25,$Q265)),0))))</f>
        <v/>
      </c>
      <c r="Y265">
        <f>IF(OR($D265="",$B265="",Housemates!$B$14=""),0,IF($R265&gt;0,IF(L265="",0,IF(ISNUMBER(L265),L265,1)),IF($C265="Paying back",0,IF(AND(OR(Housemates!$C$14="",Housemates!$C$14&lt;=$B265),OR(Housemates!$D$14="",Housemates!$D$14&gt;=$B265)),IF($Q265=0,1,INDEX(Bills!$AG$6:$AG$25,$Q265)),0))))</f>
        <v/>
      </c>
      <c r="Z265">
        <f>IF(OR($D265="",$B265="",Housemates!$B$15=""),0,IF($R265&gt;0,IF(M265="",0,IF(ISNUMBER(M265),M265,1)),IF($C265="Paying back",0,IF(AND(OR(Housemates!$C$15="",Housemates!$C$15&lt;=$B265),OR(Housemates!$D$15="",Housemates!$D$15&gt;=$B265)),IF($Q265=0,1,INDEX(Bills!$AH$6:$AH$25,$Q265)),0))))</f>
        <v/>
      </c>
      <c r="AA265">
        <f>SUM(S265:Z265)</f>
        <v/>
      </c>
      <c r="AB265">
        <f>IF(AA265=0,0,D265*S265/AA265)</f>
        <v/>
      </c>
      <c r="AC265">
        <f>IF(AA265=0,0,D265*T265/AA265)</f>
        <v/>
      </c>
      <c r="AD265">
        <f>IF(AA265=0,0,D265*U265/AA265)</f>
        <v/>
      </c>
      <c r="AE265">
        <f>IF(AA265=0,0,D265*V265/AA265)</f>
        <v/>
      </c>
      <c r="AF265">
        <f>IF(AA265=0,0,D265*W265/AA265)</f>
        <v/>
      </c>
      <c r="AG265">
        <f>IF(AA265=0,0,D265*X265/AA265)</f>
        <v/>
      </c>
      <c r="AH265">
        <f>IF(AA265=0,0,D265*Y265/AA265)</f>
        <v/>
      </c>
      <c r="AI265">
        <f>IF(AA265=0,0,D265*Z265/AA265)</f>
        <v/>
      </c>
      <c r="AJ265">
        <f>IF(OR(C265="",B265=""),"",C265&amp;"|"&amp;(YEAR(B265)*100+MONTH(B265)))</f>
        <v/>
      </c>
    </row>
    <row r="266">
      <c r="A266" s="1" t="n"/>
      <c r="B266" s="23" t="n"/>
      <c r="C266" s="24" t="n"/>
      <c r="D266" s="25" t="n"/>
      <c r="E266" s="26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1">
        <f>IF(D266="","",IF(B266="","No date",IF(AND(C266="Paying back",R266=0),"To whom?",IF(AA266=0,"Nobody",IF(C266="Paying back","To "&amp;INDEX(Housemates!$B$8:$B$15,MATCH(MAX(S266:Z266),S266:Z266,0)),IF(R266&gt;0,IF(COUNTIF(S266:Z266,"&gt;0")=1,"1 person",COUNTIF(S266:Z266,"&gt;0")&amp;" people"),IF(Q266=0,"Everyone",INDEX(Bills!$Q$6:$Q$25,Q266))))))))</f>
        <v/>
      </c>
      <c r="O266" s="18">
        <f>IF(D266="","",IF(C266="Paying back","Paying back",IF(Q266=0,"Other",IF(INDEX(Bills!$C$6:$C$25,Q266)="","Other",INDEX(Bills!$C$6:$C$25,Q266)))))</f>
        <v/>
      </c>
      <c r="P266" s="1" t="n"/>
      <c r="Q266">
        <f>IF(C266="",0,IFERROR(MATCH(C266,Bills!$B$6:$B$25,0),0))</f>
        <v/>
      </c>
      <c r="R266">
        <f>COUNTA(F266:M266)</f>
        <v/>
      </c>
      <c r="S266">
        <f>IF(OR($D266="",$B266="",Housemates!$B$8=""),0,IF($R266&gt;0,IF(F266="",0,IF(ISNUMBER(F266),F266,1)),IF($C266="Paying back",0,IF(AND(OR(Housemates!$C$8="",Housemates!$C$8&lt;=$B266),OR(Housemates!$D$8="",Housemates!$D$8&gt;=$B266)),IF($Q266=0,1,INDEX(Bills!$AA$6:$AA$25,$Q266)),0))))</f>
        <v/>
      </c>
      <c r="T266">
        <f>IF(OR($D266="",$B266="",Housemates!$B$9=""),0,IF($R266&gt;0,IF(G266="",0,IF(ISNUMBER(G266),G266,1)),IF($C266="Paying back",0,IF(AND(OR(Housemates!$C$9="",Housemates!$C$9&lt;=$B266),OR(Housemates!$D$9="",Housemates!$D$9&gt;=$B266)),IF($Q266=0,1,INDEX(Bills!$AB$6:$AB$25,$Q266)),0))))</f>
        <v/>
      </c>
      <c r="U266">
        <f>IF(OR($D266="",$B266="",Housemates!$B$10=""),0,IF($R266&gt;0,IF(H266="",0,IF(ISNUMBER(H266),H266,1)),IF($C266="Paying back",0,IF(AND(OR(Housemates!$C$10="",Housemates!$C$10&lt;=$B266),OR(Housemates!$D$10="",Housemates!$D$10&gt;=$B266)),IF($Q266=0,1,INDEX(Bills!$AC$6:$AC$25,$Q266)),0))))</f>
        <v/>
      </c>
      <c r="V266">
        <f>IF(OR($D266="",$B266="",Housemates!$B$11=""),0,IF($R266&gt;0,IF(I266="",0,IF(ISNUMBER(I266),I266,1)),IF($C266="Paying back",0,IF(AND(OR(Housemates!$C$11="",Housemates!$C$11&lt;=$B266),OR(Housemates!$D$11="",Housemates!$D$11&gt;=$B266)),IF($Q266=0,1,INDEX(Bills!$AD$6:$AD$25,$Q266)),0))))</f>
        <v/>
      </c>
      <c r="W266">
        <f>IF(OR($D266="",$B266="",Housemates!$B$12=""),0,IF($R266&gt;0,IF(J266="",0,IF(ISNUMBER(J266),J266,1)),IF($C266="Paying back",0,IF(AND(OR(Housemates!$C$12="",Housemates!$C$12&lt;=$B266),OR(Housemates!$D$12="",Housemates!$D$12&gt;=$B266)),IF($Q266=0,1,INDEX(Bills!$AE$6:$AE$25,$Q266)),0))))</f>
        <v/>
      </c>
      <c r="X266">
        <f>IF(OR($D266="",$B266="",Housemates!$B$13=""),0,IF($R266&gt;0,IF(K266="",0,IF(ISNUMBER(K266),K266,1)),IF($C266="Paying back",0,IF(AND(OR(Housemates!$C$13="",Housemates!$C$13&lt;=$B266),OR(Housemates!$D$13="",Housemates!$D$13&gt;=$B266)),IF($Q266=0,1,INDEX(Bills!$AF$6:$AF$25,$Q266)),0))))</f>
        <v/>
      </c>
      <c r="Y266">
        <f>IF(OR($D266="",$B266="",Housemates!$B$14=""),0,IF($R266&gt;0,IF(L266="",0,IF(ISNUMBER(L266),L266,1)),IF($C266="Paying back",0,IF(AND(OR(Housemates!$C$14="",Housemates!$C$14&lt;=$B266),OR(Housemates!$D$14="",Housemates!$D$14&gt;=$B266)),IF($Q266=0,1,INDEX(Bills!$AG$6:$AG$25,$Q266)),0))))</f>
        <v/>
      </c>
      <c r="Z266">
        <f>IF(OR($D266="",$B266="",Housemates!$B$15=""),0,IF($R266&gt;0,IF(M266="",0,IF(ISNUMBER(M266),M266,1)),IF($C266="Paying back",0,IF(AND(OR(Housemates!$C$15="",Housemates!$C$15&lt;=$B266),OR(Housemates!$D$15="",Housemates!$D$15&gt;=$B266)),IF($Q266=0,1,INDEX(Bills!$AH$6:$AH$25,$Q266)),0))))</f>
        <v/>
      </c>
      <c r="AA266">
        <f>SUM(S266:Z266)</f>
        <v/>
      </c>
      <c r="AB266">
        <f>IF(AA266=0,0,D266*S266/AA266)</f>
        <v/>
      </c>
      <c r="AC266">
        <f>IF(AA266=0,0,D266*T266/AA266)</f>
        <v/>
      </c>
      <c r="AD266">
        <f>IF(AA266=0,0,D266*U266/AA266)</f>
        <v/>
      </c>
      <c r="AE266">
        <f>IF(AA266=0,0,D266*V266/AA266)</f>
        <v/>
      </c>
      <c r="AF266">
        <f>IF(AA266=0,0,D266*W266/AA266)</f>
        <v/>
      </c>
      <c r="AG266">
        <f>IF(AA266=0,0,D266*X266/AA266)</f>
        <v/>
      </c>
      <c r="AH266">
        <f>IF(AA266=0,0,D266*Y266/AA266)</f>
        <v/>
      </c>
      <c r="AI266">
        <f>IF(AA266=0,0,D266*Z266/AA266)</f>
        <v/>
      </c>
      <c r="AJ266">
        <f>IF(OR(C266="",B266=""),"",C266&amp;"|"&amp;(YEAR(B266)*100+MONTH(B266)))</f>
        <v/>
      </c>
    </row>
    <row r="267">
      <c r="A267" s="1" t="n"/>
      <c r="B267" s="23" t="n"/>
      <c r="C267" s="24" t="n"/>
      <c r="D267" s="25" t="n"/>
      <c r="E267" s="26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1">
        <f>IF(D267="","",IF(B267="","No date",IF(AND(C267="Paying back",R267=0),"To whom?",IF(AA267=0,"Nobody",IF(C267="Paying back","To "&amp;INDEX(Housemates!$B$8:$B$15,MATCH(MAX(S267:Z267),S267:Z267,0)),IF(R267&gt;0,IF(COUNTIF(S267:Z267,"&gt;0")=1,"1 person",COUNTIF(S267:Z267,"&gt;0")&amp;" people"),IF(Q267=0,"Everyone",INDEX(Bills!$Q$6:$Q$25,Q267))))))))</f>
        <v/>
      </c>
      <c r="O267" s="18">
        <f>IF(D267="","",IF(C267="Paying back","Paying back",IF(Q267=0,"Other",IF(INDEX(Bills!$C$6:$C$25,Q267)="","Other",INDEX(Bills!$C$6:$C$25,Q267)))))</f>
        <v/>
      </c>
      <c r="P267" s="1" t="n"/>
      <c r="Q267">
        <f>IF(C267="",0,IFERROR(MATCH(C267,Bills!$B$6:$B$25,0),0))</f>
        <v/>
      </c>
      <c r="R267">
        <f>COUNTA(F267:M267)</f>
        <v/>
      </c>
      <c r="S267">
        <f>IF(OR($D267="",$B267="",Housemates!$B$8=""),0,IF($R267&gt;0,IF(F267="",0,IF(ISNUMBER(F267),F267,1)),IF($C267="Paying back",0,IF(AND(OR(Housemates!$C$8="",Housemates!$C$8&lt;=$B267),OR(Housemates!$D$8="",Housemates!$D$8&gt;=$B267)),IF($Q267=0,1,INDEX(Bills!$AA$6:$AA$25,$Q267)),0))))</f>
        <v/>
      </c>
      <c r="T267">
        <f>IF(OR($D267="",$B267="",Housemates!$B$9=""),0,IF($R267&gt;0,IF(G267="",0,IF(ISNUMBER(G267),G267,1)),IF($C267="Paying back",0,IF(AND(OR(Housemates!$C$9="",Housemates!$C$9&lt;=$B267),OR(Housemates!$D$9="",Housemates!$D$9&gt;=$B267)),IF($Q267=0,1,INDEX(Bills!$AB$6:$AB$25,$Q267)),0))))</f>
        <v/>
      </c>
      <c r="U267">
        <f>IF(OR($D267="",$B267="",Housemates!$B$10=""),0,IF($R267&gt;0,IF(H267="",0,IF(ISNUMBER(H267),H267,1)),IF($C267="Paying back",0,IF(AND(OR(Housemates!$C$10="",Housemates!$C$10&lt;=$B267),OR(Housemates!$D$10="",Housemates!$D$10&gt;=$B267)),IF($Q267=0,1,INDEX(Bills!$AC$6:$AC$25,$Q267)),0))))</f>
        <v/>
      </c>
      <c r="V267">
        <f>IF(OR($D267="",$B267="",Housemates!$B$11=""),0,IF($R267&gt;0,IF(I267="",0,IF(ISNUMBER(I267),I267,1)),IF($C267="Paying back",0,IF(AND(OR(Housemates!$C$11="",Housemates!$C$11&lt;=$B267),OR(Housemates!$D$11="",Housemates!$D$11&gt;=$B267)),IF($Q267=0,1,INDEX(Bills!$AD$6:$AD$25,$Q267)),0))))</f>
        <v/>
      </c>
      <c r="W267">
        <f>IF(OR($D267="",$B267="",Housemates!$B$12=""),0,IF($R267&gt;0,IF(J267="",0,IF(ISNUMBER(J267),J267,1)),IF($C267="Paying back",0,IF(AND(OR(Housemates!$C$12="",Housemates!$C$12&lt;=$B267),OR(Housemates!$D$12="",Housemates!$D$12&gt;=$B267)),IF($Q267=0,1,INDEX(Bills!$AE$6:$AE$25,$Q267)),0))))</f>
        <v/>
      </c>
      <c r="X267">
        <f>IF(OR($D267="",$B267="",Housemates!$B$13=""),0,IF($R267&gt;0,IF(K267="",0,IF(ISNUMBER(K267),K267,1)),IF($C267="Paying back",0,IF(AND(OR(Housemates!$C$13="",Housemates!$C$13&lt;=$B267),OR(Housemates!$D$13="",Housemates!$D$13&gt;=$B267)),IF($Q267=0,1,INDEX(Bills!$AF$6:$AF$25,$Q267)),0))))</f>
        <v/>
      </c>
      <c r="Y267">
        <f>IF(OR($D267="",$B267="",Housemates!$B$14=""),0,IF($R267&gt;0,IF(L267="",0,IF(ISNUMBER(L267),L267,1)),IF($C267="Paying back",0,IF(AND(OR(Housemates!$C$14="",Housemates!$C$14&lt;=$B267),OR(Housemates!$D$14="",Housemates!$D$14&gt;=$B267)),IF($Q267=0,1,INDEX(Bills!$AG$6:$AG$25,$Q267)),0))))</f>
        <v/>
      </c>
      <c r="Z267">
        <f>IF(OR($D267="",$B267="",Housemates!$B$15=""),0,IF($R267&gt;0,IF(M267="",0,IF(ISNUMBER(M267),M267,1)),IF($C267="Paying back",0,IF(AND(OR(Housemates!$C$15="",Housemates!$C$15&lt;=$B267),OR(Housemates!$D$15="",Housemates!$D$15&gt;=$B267)),IF($Q267=0,1,INDEX(Bills!$AH$6:$AH$25,$Q267)),0))))</f>
        <v/>
      </c>
      <c r="AA267">
        <f>SUM(S267:Z267)</f>
        <v/>
      </c>
      <c r="AB267">
        <f>IF(AA267=0,0,D267*S267/AA267)</f>
        <v/>
      </c>
      <c r="AC267">
        <f>IF(AA267=0,0,D267*T267/AA267)</f>
        <v/>
      </c>
      <c r="AD267">
        <f>IF(AA267=0,0,D267*U267/AA267)</f>
        <v/>
      </c>
      <c r="AE267">
        <f>IF(AA267=0,0,D267*V267/AA267)</f>
        <v/>
      </c>
      <c r="AF267">
        <f>IF(AA267=0,0,D267*W267/AA267)</f>
        <v/>
      </c>
      <c r="AG267">
        <f>IF(AA267=0,0,D267*X267/AA267)</f>
        <v/>
      </c>
      <c r="AH267">
        <f>IF(AA267=0,0,D267*Y267/AA267)</f>
        <v/>
      </c>
      <c r="AI267">
        <f>IF(AA267=0,0,D267*Z267/AA267)</f>
        <v/>
      </c>
      <c r="AJ267">
        <f>IF(OR(C267="",B267=""),"",C267&amp;"|"&amp;(YEAR(B267)*100+MONTH(B267)))</f>
        <v/>
      </c>
    </row>
    <row r="268">
      <c r="A268" s="1" t="n"/>
      <c r="B268" s="23" t="n"/>
      <c r="C268" s="24" t="n"/>
      <c r="D268" s="25" t="n"/>
      <c r="E268" s="26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1">
        <f>IF(D268="","",IF(B268="","No date",IF(AND(C268="Paying back",R268=0),"To whom?",IF(AA268=0,"Nobody",IF(C268="Paying back","To "&amp;INDEX(Housemates!$B$8:$B$15,MATCH(MAX(S268:Z268),S268:Z268,0)),IF(R268&gt;0,IF(COUNTIF(S268:Z268,"&gt;0")=1,"1 person",COUNTIF(S268:Z268,"&gt;0")&amp;" people"),IF(Q268=0,"Everyone",INDEX(Bills!$Q$6:$Q$25,Q268))))))))</f>
        <v/>
      </c>
      <c r="O268" s="18">
        <f>IF(D268="","",IF(C268="Paying back","Paying back",IF(Q268=0,"Other",IF(INDEX(Bills!$C$6:$C$25,Q268)="","Other",INDEX(Bills!$C$6:$C$25,Q268)))))</f>
        <v/>
      </c>
      <c r="P268" s="1" t="n"/>
      <c r="Q268">
        <f>IF(C268="",0,IFERROR(MATCH(C268,Bills!$B$6:$B$25,0),0))</f>
        <v/>
      </c>
      <c r="R268">
        <f>COUNTA(F268:M268)</f>
        <v/>
      </c>
      <c r="S268">
        <f>IF(OR($D268="",$B268="",Housemates!$B$8=""),0,IF($R268&gt;0,IF(F268="",0,IF(ISNUMBER(F268),F268,1)),IF($C268="Paying back",0,IF(AND(OR(Housemates!$C$8="",Housemates!$C$8&lt;=$B268),OR(Housemates!$D$8="",Housemates!$D$8&gt;=$B268)),IF($Q268=0,1,INDEX(Bills!$AA$6:$AA$25,$Q268)),0))))</f>
        <v/>
      </c>
      <c r="T268">
        <f>IF(OR($D268="",$B268="",Housemates!$B$9=""),0,IF($R268&gt;0,IF(G268="",0,IF(ISNUMBER(G268),G268,1)),IF($C268="Paying back",0,IF(AND(OR(Housemates!$C$9="",Housemates!$C$9&lt;=$B268),OR(Housemates!$D$9="",Housemates!$D$9&gt;=$B268)),IF($Q268=0,1,INDEX(Bills!$AB$6:$AB$25,$Q268)),0))))</f>
        <v/>
      </c>
      <c r="U268">
        <f>IF(OR($D268="",$B268="",Housemates!$B$10=""),0,IF($R268&gt;0,IF(H268="",0,IF(ISNUMBER(H268),H268,1)),IF($C268="Paying back",0,IF(AND(OR(Housemates!$C$10="",Housemates!$C$10&lt;=$B268),OR(Housemates!$D$10="",Housemates!$D$10&gt;=$B268)),IF($Q268=0,1,INDEX(Bills!$AC$6:$AC$25,$Q268)),0))))</f>
        <v/>
      </c>
      <c r="V268">
        <f>IF(OR($D268="",$B268="",Housemates!$B$11=""),0,IF($R268&gt;0,IF(I268="",0,IF(ISNUMBER(I268),I268,1)),IF($C268="Paying back",0,IF(AND(OR(Housemates!$C$11="",Housemates!$C$11&lt;=$B268),OR(Housemates!$D$11="",Housemates!$D$11&gt;=$B268)),IF($Q268=0,1,INDEX(Bills!$AD$6:$AD$25,$Q268)),0))))</f>
        <v/>
      </c>
      <c r="W268">
        <f>IF(OR($D268="",$B268="",Housemates!$B$12=""),0,IF($R268&gt;0,IF(J268="",0,IF(ISNUMBER(J268),J268,1)),IF($C268="Paying back",0,IF(AND(OR(Housemates!$C$12="",Housemates!$C$12&lt;=$B268),OR(Housemates!$D$12="",Housemates!$D$12&gt;=$B268)),IF($Q268=0,1,INDEX(Bills!$AE$6:$AE$25,$Q268)),0))))</f>
        <v/>
      </c>
      <c r="X268">
        <f>IF(OR($D268="",$B268="",Housemates!$B$13=""),0,IF($R268&gt;0,IF(K268="",0,IF(ISNUMBER(K268),K268,1)),IF($C268="Paying back",0,IF(AND(OR(Housemates!$C$13="",Housemates!$C$13&lt;=$B268),OR(Housemates!$D$13="",Housemates!$D$13&gt;=$B268)),IF($Q268=0,1,INDEX(Bills!$AF$6:$AF$25,$Q268)),0))))</f>
        <v/>
      </c>
      <c r="Y268">
        <f>IF(OR($D268="",$B268="",Housemates!$B$14=""),0,IF($R268&gt;0,IF(L268="",0,IF(ISNUMBER(L268),L268,1)),IF($C268="Paying back",0,IF(AND(OR(Housemates!$C$14="",Housemates!$C$14&lt;=$B268),OR(Housemates!$D$14="",Housemates!$D$14&gt;=$B268)),IF($Q268=0,1,INDEX(Bills!$AG$6:$AG$25,$Q268)),0))))</f>
        <v/>
      </c>
      <c r="Z268">
        <f>IF(OR($D268="",$B268="",Housemates!$B$15=""),0,IF($R268&gt;0,IF(M268="",0,IF(ISNUMBER(M268),M268,1)),IF($C268="Paying back",0,IF(AND(OR(Housemates!$C$15="",Housemates!$C$15&lt;=$B268),OR(Housemates!$D$15="",Housemates!$D$15&gt;=$B268)),IF($Q268=0,1,INDEX(Bills!$AH$6:$AH$25,$Q268)),0))))</f>
        <v/>
      </c>
      <c r="AA268">
        <f>SUM(S268:Z268)</f>
        <v/>
      </c>
      <c r="AB268">
        <f>IF(AA268=0,0,D268*S268/AA268)</f>
        <v/>
      </c>
      <c r="AC268">
        <f>IF(AA268=0,0,D268*T268/AA268)</f>
        <v/>
      </c>
      <c r="AD268">
        <f>IF(AA268=0,0,D268*U268/AA268)</f>
        <v/>
      </c>
      <c r="AE268">
        <f>IF(AA268=0,0,D268*V268/AA268)</f>
        <v/>
      </c>
      <c r="AF268">
        <f>IF(AA268=0,0,D268*W268/AA268)</f>
        <v/>
      </c>
      <c r="AG268">
        <f>IF(AA268=0,0,D268*X268/AA268)</f>
        <v/>
      </c>
      <c r="AH268">
        <f>IF(AA268=0,0,D268*Y268/AA268)</f>
        <v/>
      </c>
      <c r="AI268">
        <f>IF(AA268=0,0,D268*Z268/AA268)</f>
        <v/>
      </c>
      <c r="AJ268">
        <f>IF(OR(C268="",B268=""),"",C268&amp;"|"&amp;(YEAR(B268)*100+MONTH(B268)))</f>
        <v/>
      </c>
    </row>
    <row r="269">
      <c r="A269" s="1" t="n"/>
      <c r="B269" s="23" t="n"/>
      <c r="C269" s="24" t="n"/>
      <c r="D269" s="25" t="n"/>
      <c r="E269" s="26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1">
        <f>IF(D269="","",IF(B269="","No date",IF(AND(C269="Paying back",R269=0),"To whom?",IF(AA269=0,"Nobody",IF(C269="Paying back","To "&amp;INDEX(Housemates!$B$8:$B$15,MATCH(MAX(S269:Z269),S269:Z269,0)),IF(R269&gt;0,IF(COUNTIF(S269:Z269,"&gt;0")=1,"1 person",COUNTIF(S269:Z269,"&gt;0")&amp;" people"),IF(Q269=0,"Everyone",INDEX(Bills!$Q$6:$Q$25,Q269))))))))</f>
        <v/>
      </c>
      <c r="O269" s="18">
        <f>IF(D269="","",IF(C269="Paying back","Paying back",IF(Q269=0,"Other",IF(INDEX(Bills!$C$6:$C$25,Q269)="","Other",INDEX(Bills!$C$6:$C$25,Q269)))))</f>
        <v/>
      </c>
      <c r="P269" s="1" t="n"/>
      <c r="Q269">
        <f>IF(C269="",0,IFERROR(MATCH(C269,Bills!$B$6:$B$25,0),0))</f>
        <v/>
      </c>
      <c r="R269">
        <f>COUNTA(F269:M269)</f>
        <v/>
      </c>
      <c r="S269">
        <f>IF(OR($D269="",$B269="",Housemates!$B$8=""),0,IF($R269&gt;0,IF(F269="",0,IF(ISNUMBER(F269),F269,1)),IF($C269="Paying back",0,IF(AND(OR(Housemates!$C$8="",Housemates!$C$8&lt;=$B269),OR(Housemates!$D$8="",Housemates!$D$8&gt;=$B269)),IF($Q269=0,1,INDEX(Bills!$AA$6:$AA$25,$Q269)),0))))</f>
        <v/>
      </c>
      <c r="T269">
        <f>IF(OR($D269="",$B269="",Housemates!$B$9=""),0,IF($R269&gt;0,IF(G269="",0,IF(ISNUMBER(G269),G269,1)),IF($C269="Paying back",0,IF(AND(OR(Housemates!$C$9="",Housemates!$C$9&lt;=$B269),OR(Housemates!$D$9="",Housemates!$D$9&gt;=$B269)),IF($Q269=0,1,INDEX(Bills!$AB$6:$AB$25,$Q269)),0))))</f>
        <v/>
      </c>
      <c r="U269">
        <f>IF(OR($D269="",$B269="",Housemates!$B$10=""),0,IF($R269&gt;0,IF(H269="",0,IF(ISNUMBER(H269),H269,1)),IF($C269="Paying back",0,IF(AND(OR(Housemates!$C$10="",Housemates!$C$10&lt;=$B269),OR(Housemates!$D$10="",Housemates!$D$10&gt;=$B269)),IF($Q269=0,1,INDEX(Bills!$AC$6:$AC$25,$Q269)),0))))</f>
        <v/>
      </c>
      <c r="V269">
        <f>IF(OR($D269="",$B269="",Housemates!$B$11=""),0,IF($R269&gt;0,IF(I269="",0,IF(ISNUMBER(I269),I269,1)),IF($C269="Paying back",0,IF(AND(OR(Housemates!$C$11="",Housemates!$C$11&lt;=$B269),OR(Housemates!$D$11="",Housemates!$D$11&gt;=$B269)),IF($Q269=0,1,INDEX(Bills!$AD$6:$AD$25,$Q269)),0))))</f>
        <v/>
      </c>
      <c r="W269">
        <f>IF(OR($D269="",$B269="",Housemates!$B$12=""),0,IF($R269&gt;0,IF(J269="",0,IF(ISNUMBER(J269),J269,1)),IF($C269="Paying back",0,IF(AND(OR(Housemates!$C$12="",Housemates!$C$12&lt;=$B269),OR(Housemates!$D$12="",Housemates!$D$12&gt;=$B269)),IF($Q269=0,1,INDEX(Bills!$AE$6:$AE$25,$Q269)),0))))</f>
        <v/>
      </c>
      <c r="X269">
        <f>IF(OR($D269="",$B269="",Housemates!$B$13=""),0,IF($R269&gt;0,IF(K269="",0,IF(ISNUMBER(K269),K269,1)),IF($C269="Paying back",0,IF(AND(OR(Housemates!$C$13="",Housemates!$C$13&lt;=$B269),OR(Housemates!$D$13="",Housemates!$D$13&gt;=$B269)),IF($Q269=0,1,INDEX(Bills!$AF$6:$AF$25,$Q269)),0))))</f>
        <v/>
      </c>
      <c r="Y269">
        <f>IF(OR($D269="",$B269="",Housemates!$B$14=""),0,IF($R269&gt;0,IF(L269="",0,IF(ISNUMBER(L269),L269,1)),IF($C269="Paying back",0,IF(AND(OR(Housemates!$C$14="",Housemates!$C$14&lt;=$B269),OR(Housemates!$D$14="",Housemates!$D$14&gt;=$B269)),IF($Q269=0,1,INDEX(Bills!$AG$6:$AG$25,$Q269)),0))))</f>
        <v/>
      </c>
      <c r="Z269">
        <f>IF(OR($D269="",$B269="",Housemates!$B$15=""),0,IF($R269&gt;0,IF(M269="",0,IF(ISNUMBER(M269),M269,1)),IF($C269="Paying back",0,IF(AND(OR(Housemates!$C$15="",Housemates!$C$15&lt;=$B269),OR(Housemates!$D$15="",Housemates!$D$15&gt;=$B269)),IF($Q269=0,1,INDEX(Bills!$AH$6:$AH$25,$Q269)),0))))</f>
        <v/>
      </c>
      <c r="AA269">
        <f>SUM(S269:Z269)</f>
        <v/>
      </c>
      <c r="AB269">
        <f>IF(AA269=0,0,D269*S269/AA269)</f>
        <v/>
      </c>
      <c r="AC269">
        <f>IF(AA269=0,0,D269*T269/AA269)</f>
        <v/>
      </c>
      <c r="AD269">
        <f>IF(AA269=0,0,D269*U269/AA269)</f>
        <v/>
      </c>
      <c r="AE269">
        <f>IF(AA269=0,0,D269*V269/AA269)</f>
        <v/>
      </c>
      <c r="AF269">
        <f>IF(AA269=0,0,D269*W269/AA269)</f>
        <v/>
      </c>
      <c r="AG269">
        <f>IF(AA269=0,0,D269*X269/AA269)</f>
        <v/>
      </c>
      <c r="AH269">
        <f>IF(AA269=0,0,D269*Y269/AA269)</f>
        <v/>
      </c>
      <c r="AI269">
        <f>IF(AA269=0,0,D269*Z269/AA269)</f>
        <v/>
      </c>
      <c r="AJ269">
        <f>IF(OR(C269="",B269=""),"",C269&amp;"|"&amp;(YEAR(B269)*100+MONTH(B269)))</f>
        <v/>
      </c>
    </row>
    <row r="270">
      <c r="A270" s="1" t="n"/>
      <c r="B270" s="23" t="n"/>
      <c r="C270" s="24" t="n"/>
      <c r="D270" s="25" t="n"/>
      <c r="E270" s="26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1">
        <f>IF(D270="","",IF(B270="","No date",IF(AND(C270="Paying back",R270=0),"To whom?",IF(AA270=0,"Nobody",IF(C270="Paying back","To "&amp;INDEX(Housemates!$B$8:$B$15,MATCH(MAX(S270:Z270),S270:Z270,0)),IF(R270&gt;0,IF(COUNTIF(S270:Z270,"&gt;0")=1,"1 person",COUNTIF(S270:Z270,"&gt;0")&amp;" people"),IF(Q270=0,"Everyone",INDEX(Bills!$Q$6:$Q$25,Q270))))))))</f>
        <v/>
      </c>
      <c r="O270" s="18">
        <f>IF(D270="","",IF(C270="Paying back","Paying back",IF(Q270=0,"Other",IF(INDEX(Bills!$C$6:$C$25,Q270)="","Other",INDEX(Bills!$C$6:$C$25,Q270)))))</f>
        <v/>
      </c>
      <c r="P270" s="1" t="n"/>
      <c r="Q270">
        <f>IF(C270="",0,IFERROR(MATCH(C270,Bills!$B$6:$B$25,0),0))</f>
        <v/>
      </c>
      <c r="R270">
        <f>COUNTA(F270:M270)</f>
        <v/>
      </c>
      <c r="S270">
        <f>IF(OR($D270="",$B270="",Housemates!$B$8=""),0,IF($R270&gt;0,IF(F270="",0,IF(ISNUMBER(F270),F270,1)),IF($C270="Paying back",0,IF(AND(OR(Housemates!$C$8="",Housemates!$C$8&lt;=$B270),OR(Housemates!$D$8="",Housemates!$D$8&gt;=$B270)),IF($Q270=0,1,INDEX(Bills!$AA$6:$AA$25,$Q270)),0))))</f>
        <v/>
      </c>
      <c r="T270">
        <f>IF(OR($D270="",$B270="",Housemates!$B$9=""),0,IF($R270&gt;0,IF(G270="",0,IF(ISNUMBER(G270),G270,1)),IF($C270="Paying back",0,IF(AND(OR(Housemates!$C$9="",Housemates!$C$9&lt;=$B270),OR(Housemates!$D$9="",Housemates!$D$9&gt;=$B270)),IF($Q270=0,1,INDEX(Bills!$AB$6:$AB$25,$Q270)),0))))</f>
        <v/>
      </c>
      <c r="U270">
        <f>IF(OR($D270="",$B270="",Housemates!$B$10=""),0,IF($R270&gt;0,IF(H270="",0,IF(ISNUMBER(H270),H270,1)),IF($C270="Paying back",0,IF(AND(OR(Housemates!$C$10="",Housemates!$C$10&lt;=$B270),OR(Housemates!$D$10="",Housemates!$D$10&gt;=$B270)),IF($Q270=0,1,INDEX(Bills!$AC$6:$AC$25,$Q270)),0))))</f>
        <v/>
      </c>
      <c r="V270">
        <f>IF(OR($D270="",$B270="",Housemates!$B$11=""),0,IF($R270&gt;0,IF(I270="",0,IF(ISNUMBER(I270),I270,1)),IF($C270="Paying back",0,IF(AND(OR(Housemates!$C$11="",Housemates!$C$11&lt;=$B270),OR(Housemates!$D$11="",Housemates!$D$11&gt;=$B270)),IF($Q270=0,1,INDEX(Bills!$AD$6:$AD$25,$Q270)),0))))</f>
        <v/>
      </c>
      <c r="W270">
        <f>IF(OR($D270="",$B270="",Housemates!$B$12=""),0,IF($R270&gt;0,IF(J270="",0,IF(ISNUMBER(J270),J270,1)),IF($C270="Paying back",0,IF(AND(OR(Housemates!$C$12="",Housemates!$C$12&lt;=$B270),OR(Housemates!$D$12="",Housemates!$D$12&gt;=$B270)),IF($Q270=0,1,INDEX(Bills!$AE$6:$AE$25,$Q270)),0))))</f>
        <v/>
      </c>
      <c r="X270">
        <f>IF(OR($D270="",$B270="",Housemates!$B$13=""),0,IF($R270&gt;0,IF(K270="",0,IF(ISNUMBER(K270),K270,1)),IF($C270="Paying back",0,IF(AND(OR(Housemates!$C$13="",Housemates!$C$13&lt;=$B270),OR(Housemates!$D$13="",Housemates!$D$13&gt;=$B270)),IF($Q270=0,1,INDEX(Bills!$AF$6:$AF$25,$Q270)),0))))</f>
        <v/>
      </c>
      <c r="Y270">
        <f>IF(OR($D270="",$B270="",Housemates!$B$14=""),0,IF($R270&gt;0,IF(L270="",0,IF(ISNUMBER(L270),L270,1)),IF($C270="Paying back",0,IF(AND(OR(Housemates!$C$14="",Housemates!$C$14&lt;=$B270),OR(Housemates!$D$14="",Housemates!$D$14&gt;=$B270)),IF($Q270=0,1,INDEX(Bills!$AG$6:$AG$25,$Q270)),0))))</f>
        <v/>
      </c>
      <c r="Z270">
        <f>IF(OR($D270="",$B270="",Housemates!$B$15=""),0,IF($R270&gt;0,IF(M270="",0,IF(ISNUMBER(M270),M270,1)),IF($C270="Paying back",0,IF(AND(OR(Housemates!$C$15="",Housemates!$C$15&lt;=$B270),OR(Housemates!$D$15="",Housemates!$D$15&gt;=$B270)),IF($Q270=0,1,INDEX(Bills!$AH$6:$AH$25,$Q270)),0))))</f>
        <v/>
      </c>
      <c r="AA270">
        <f>SUM(S270:Z270)</f>
        <v/>
      </c>
      <c r="AB270">
        <f>IF(AA270=0,0,D270*S270/AA270)</f>
        <v/>
      </c>
      <c r="AC270">
        <f>IF(AA270=0,0,D270*T270/AA270)</f>
        <v/>
      </c>
      <c r="AD270">
        <f>IF(AA270=0,0,D270*U270/AA270)</f>
        <v/>
      </c>
      <c r="AE270">
        <f>IF(AA270=0,0,D270*V270/AA270)</f>
        <v/>
      </c>
      <c r="AF270">
        <f>IF(AA270=0,0,D270*W270/AA270)</f>
        <v/>
      </c>
      <c r="AG270">
        <f>IF(AA270=0,0,D270*X270/AA270)</f>
        <v/>
      </c>
      <c r="AH270">
        <f>IF(AA270=0,0,D270*Y270/AA270)</f>
        <v/>
      </c>
      <c r="AI270">
        <f>IF(AA270=0,0,D270*Z270/AA270)</f>
        <v/>
      </c>
      <c r="AJ270">
        <f>IF(OR(C270="",B270=""),"",C270&amp;"|"&amp;(YEAR(B270)*100+MONTH(B270)))</f>
        <v/>
      </c>
    </row>
    <row r="271">
      <c r="A271" s="1" t="n"/>
      <c r="B271" s="23" t="n"/>
      <c r="C271" s="24" t="n"/>
      <c r="D271" s="25" t="n"/>
      <c r="E271" s="26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1">
        <f>IF(D271="","",IF(B271="","No date",IF(AND(C271="Paying back",R271=0),"To whom?",IF(AA271=0,"Nobody",IF(C271="Paying back","To "&amp;INDEX(Housemates!$B$8:$B$15,MATCH(MAX(S271:Z271),S271:Z271,0)),IF(R271&gt;0,IF(COUNTIF(S271:Z271,"&gt;0")=1,"1 person",COUNTIF(S271:Z271,"&gt;0")&amp;" people"),IF(Q271=0,"Everyone",INDEX(Bills!$Q$6:$Q$25,Q271))))))))</f>
        <v/>
      </c>
      <c r="O271" s="18">
        <f>IF(D271="","",IF(C271="Paying back","Paying back",IF(Q271=0,"Other",IF(INDEX(Bills!$C$6:$C$25,Q271)="","Other",INDEX(Bills!$C$6:$C$25,Q271)))))</f>
        <v/>
      </c>
      <c r="P271" s="1" t="n"/>
      <c r="Q271">
        <f>IF(C271="",0,IFERROR(MATCH(C271,Bills!$B$6:$B$25,0),0))</f>
        <v/>
      </c>
      <c r="R271">
        <f>COUNTA(F271:M271)</f>
        <v/>
      </c>
      <c r="S271">
        <f>IF(OR($D271="",$B271="",Housemates!$B$8=""),0,IF($R271&gt;0,IF(F271="",0,IF(ISNUMBER(F271),F271,1)),IF($C271="Paying back",0,IF(AND(OR(Housemates!$C$8="",Housemates!$C$8&lt;=$B271),OR(Housemates!$D$8="",Housemates!$D$8&gt;=$B271)),IF($Q271=0,1,INDEX(Bills!$AA$6:$AA$25,$Q271)),0))))</f>
        <v/>
      </c>
      <c r="T271">
        <f>IF(OR($D271="",$B271="",Housemates!$B$9=""),0,IF($R271&gt;0,IF(G271="",0,IF(ISNUMBER(G271),G271,1)),IF($C271="Paying back",0,IF(AND(OR(Housemates!$C$9="",Housemates!$C$9&lt;=$B271),OR(Housemates!$D$9="",Housemates!$D$9&gt;=$B271)),IF($Q271=0,1,INDEX(Bills!$AB$6:$AB$25,$Q271)),0))))</f>
        <v/>
      </c>
      <c r="U271">
        <f>IF(OR($D271="",$B271="",Housemates!$B$10=""),0,IF($R271&gt;0,IF(H271="",0,IF(ISNUMBER(H271),H271,1)),IF($C271="Paying back",0,IF(AND(OR(Housemates!$C$10="",Housemates!$C$10&lt;=$B271),OR(Housemates!$D$10="",Housemates!$D$10&gt;=$B271)),IF($Q271=0,1,INDEX(Bills!$AC$6:$AC$25,$Q271)),0))))</f>
        <v/>
      </c>
      <c r="V271">
        <f>IF(OR($D271="",$B271="",Housemates!$B$11=""),0,IF($R271&gt;0,IF(I271="",0,IF(ISNUMBER(I271),I271,1)),IF($C271="Paying back",0,IF(AND(OR(Housemates!$C$11="",Housemates!$C$11&lt;=$B271),OR(Housemates!$D$11="",Housemates!$D$11&gt;=$B271)),IF($Q271=0,1,INDEX(Bills!$AD$6:$AD$25,$Q271)),0))))</f>
        <v/>
      </c>
      <c r="W271">
        <f>IF(OR($D271="",$B271="",Housemates!$B$12=""),0,IF($R271&gt;0,IF(J271="",0,IF(ISNUMBER(J271),J271,1)),IF($C271="Paying back",0,IF(AND(OR(Housemates!$C$12="",Housemates!$C$12&lt;=$B271),OR(Housemates!$D$12="",Housemates!$D$12&gt;=$B271)),IF($Q271=0,1,INDEX(Bills!$AE$6:$AE$25,$Q271)),0))))</f>
        <v/>
      </c>
      <c r="X271">
        <f>IF(OR($D271="",$B271="",Housemates!$B$13=""),0,IF($R271&gt;0,IF(K271="",0,IF(ISNUMBER(K271),K271,1)),IF($C271="Paying back",0,IF(AND(OR(Housemates!$C$13="",Housemates!$C$13&lt;=$B271),OR(Housemates!$D$13="",Housemates!$D$13&gt;=$B271)),IF($Q271=0,1,INDEX(Bills!$AF$6:$AF$25,$Q271)),0))))</f>
        <v/>
      </c>
      <c r="Y271">
        <f>IF(OR($D271="",$B271="",Housemates!$B$14=""),0,IF($R271&gt;0,IF(L271="",0,IF(ISNUMBER(L271),L271,1)),IF($C271="Paying back",0,IF(AND(OR(Housemates!$C$14="",Housemates!$C$14&lt;=$B271),OR(Housemates!$D$14="",Housemates!$D$14&gt;=$B271)),IF($Q271=0,1,INDEX(Bills!$AG$6:$AG$25,$Q271)),0))))</f>
        <v/>
      </c>
      <c r="Z271">
        <f>IF(OR($D271="",$B271="",Housemates!$B$15=""),0,IF($R271&gt;0,IF(M271="",0,IF(ISNUMBER(M271),M271,1)),IF($C271="Paying back",0,IF(AND(OR(Housemates!$C$15="",Housemates!$C$15&lt;=$B271),OR(Housemates!$D$15="",Housemates!$D$15&gt;=$B271)),IF($Q271=0,1,INDEX(Bills!$AH$6:$AH$25,$Q271)),0))))</f>
        <v/>
      </c>
      <c r="AA271">
        <f>SUM(S271:Z271)</f>
        <v/>
      </c>
      <c r="AB271">
        <f>IF(AA271=0,0,D271*S271/AA271)</f>
        <v/>
      </c>
      <c r="AC271">
        <f>IF(AA271=0,0,D271*T271/AA271)</f>
        <v/>
      </c>
      <c r="AD271">
        <f>IF(AA271=0,0,D271*U271/AA271)</f>
        <v/>
      </c>
      <c r="AE271">
        <f>IF(AA271=0,0,D271*V271/AA271)</f>
        <v/>
      </c>
      <c r="AF271">
        <f>IF(AA271=0,0,D271*W271/AA271)</f>
        <v/>
      </c>
      <c r="AG271">
        <f>IF(AA271=0,0,D271*X271/AA271)</f>
        <v/>
      </c>
      <c r="AH271">
        <f>IF(AA271=0,0,D271*Y271/AA271)</f>
        <v/>
      </c>
      <c r="AI271">
        <f>IF(AA271=0,0,D271*Z271/AA271)</f>
        <v/>
      </c>
      <c r="AJ271">
        <f>IF(OR(C271="",B271=""),"",C271&amp;"|"&amp;(YEAR(B271)*100+MONTH(B271)))</f>
        <v/>
      </c>
    </row>
    <row r="272">
      <c r="A272" s="1" t="n"/>
      <c r="B272" s="23" t="n"/>
      <c r="C272" s="24" t="n"/>
      <c r="D272" s="25" t="n"/>
      <c r="E272" s="26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1">
        <f>IF(D272="","",IF(B272="","No date",IF(AND(C272="Paying back",R272=0),"To whom?",IF(AA272=0,"Nobody",IF(C272="Paying back","To "&amp;INDEX(Housemates!$B$8:$B$15,MATCH(MAX(S272:Z272),S272:Z272,0)),IF(R272&gt;0,IF(COUNTIF(S272:Z272,"&gt;0")=1,"1 person",COUNTIF(S272:Z272,"&gt;0")&amp;" people"),IF(Q272=0,"Everyone",INDEX(Bills!$Q$6:$Q$25,Q272))))))))</f>
        <v/>
      </c>
      <c r="O272" s="18">
        <f>IF(D272="","",IF(C272="Paying back","Paying back",IF(Q272=0,"Other",IF(INDEX(Bills!$C$6:$C$25,Q272)="","Other",INDEX(Bills!$C$6:$C$25,Q272)))))</f>
        <v/>
      </c>
      <c r="P272" s="1" t="n"/>
      <c r="Q272">
        <f>IF(C272="",0,IFERROR(MATCH(C272,Bills!$B$6:$B$25,0),0))</f>
        <v/>
      </c>
      <c r="R272">
        <f>COUNTA(F272:M272)</f>
        <v/>
      </c>
      <c r="S272">
        <f>IF(OR($D272="",$B272="",Housemates!$B$8=""),0,IF($R272&gt;0,IF(F272="",0,IF(ISNUMBER(F272),F272,1)),IF($C272="Paying back",0,IF(AND(OR(Housemates!$C$8="",Housemates!$C$8&lt;=$B272),OR(Housemates!$D$8="",Housemates!$D$8&gt;=$B272)),IF($Q272=0,1,INDEX(Bills!$AA$6:$AA$25,$Q272)),0))))</f>
        <v/>
      </c>
      <c r="T272">
        <f>IF(OR($D272="",$B272="",Housemates!$B$9=""),0,IF($R272&gt;0,IF(G272="",0,IF(ISNUMBER(G272),G272,1)),IF($C272="Paying back",0,IF(AND(OR(Housemates!$C$9="",Housemates!$C$9&lt;=$B272),OR(Housemates!$D$9="",Housemates!$D$9&gt;=$B272)),IF($Q272=0,1,INDEX(Bills!$AB$6:$AB$25,$Q272)),0))))</f>
        <v/>
      </c>
      <c r="U272">
        <f>IF(OR($D272="",$B272="",Housemates!$B$10=""),0,IF($R272&gt;0,IF(H272="",0,IF(ISNUMBER(H272),H272,1)),IF($C272="Paying back",0,IF(AND(OR(Housemates!$C$10="",Housemates!$C$10&lt;=$B272),OR(Housemates!$D$10="",Housemates!$D$10&gt;=$B272)),IF($Q272=0,1,INDEX(Bills!$AC$6:$AC$25,$Q272)),0))))</f>
        <v/>
      </c>
      <c r="V272">
        <f>IF(OR($D272="",$B272="",Housemates!$B$11=""),0,IF($R272&gt;0,IF(I272="",0,IF(ISNUMBER(I272),I272,1)),IF($C272="Paying back",0,IF(AND(OR(Housemates!$C$11="",Housemates!$C$11&lt;=$B272),OR(Housemates!$D$11="",Housemates!$D$11&gt;=$B272)),IF($Q272=0,1,INDEX(Bills!$AD$6:$AD$25,$Q272)),0))))</f>
        <v/>
      </c>
      <c r="W272">
        <f>IF(OR($D272="",$B272="",Housemates!$B$12=""),0,IF($R272&gt;0,IF(J272="",0,IF(ISNUMBER(J272),J272,1)),IF($C272="Paying back",0,IF(AND(OR(Housemates!$C$12="",Housemates!$C$12&lt;=$B272),OR(Housemates!$D$12="",Housemates!$D$12&gt;=$B272)),IF($Q272=0,1,INDEX(Bills!$AE$6:$AE$25,$Q272)),0))))</f>
        <v/>
      </c>
      <c r="X272">
        <f>IF(OR($D272="",$B272="",Housemates!$B$13=""),0,IF($R272&gt;0,IF(K272="",0,IF(ISNUMBER(K272),K272,1)),IF($C272="Paying back",0,IF(AND(OR(Housemates!$C$13="",Housemates!$C$13&lt;=$B272),OR(Housemates!$D$13="",Housemates!$D$13&gt;=$B272)),IF($Q272=0,1,INDEX(Bills!$AF$6:$AF$25,$Q272)),0))))</f>
        <v/>
      </c>
      <c r="Y272">
        <f>IF(OR($D272="",$B272="",Housemates!$B$14=""),0,IF($R272&gt;0,IF(L272="",0,IF(ISNUMBER(L272),L272,1)),IF($C272="Paying back",0,IF(AND(OR(Housemates!$C$14="",Housemates!$C$14&lt;=$B272),OR(Housemates!$D$14="",Housemates!$D$14&gt;=$B272)),IF($Q272=0,1,INDEX(Bills!$AG$6:$AG$25,$Q272)),0))))</f>
        <v/>
      </c>
      <c r="Z272">
        <f>IF(OR($D272="",$B272="",Housemates!$B$15=""),0,IF($R272&gt;0,IF(M272="",0,IF(ISNUMBER(M272),M272,1)),IF($C272="Paying back",0,IF(AND(OR(Housemates!$C$15="",Housemates!$C$15&lt;=$B272),OR(Housemates!$D$15="",Housemates!$D$15&gt;=$B272)),IF($Q272=0,1,INDEX(Bills!$AH$6:$AH$25,$Q272)),0))))</f>
        <v/>
      </c>
      <c r="AA272">
        <f>SUM(S272:Z272)</f>
        <v/>
      </c>
      <c r="AB272">
        <f>IF(AA272=0,0,D272*S272/AA272)</f>
        <v/>
      </c>
      <c r="AC272">
        <f>IF(AA272=0,0,D272*T272/AA272)</f>
        <v/>
      </c>
      <c r="AD272">
        <f>IF(AA272=0,0,D272*U272/AA272)</f>
        <v/>
      </c>
      <c r="AE272">
        <f>IF(AA272=0,0,D272*V272/AA272)</f>
        <v/>
      </c>
      <c r="AF272">
        <f>IF(AA272=0,0,D272*W272/AA272)</f>
        <v/>
      </c>
      <c r="AG272">
        <f>IF(AA272=0,0,D272*X272/AA272)</f>
        <v/>
      </c>
      <c r="AH272">
        <f>IF(AA272=0,0,D272*Y272/AA272)</f>
        <v/>
      </c>
      <c r="AI272">
        <f>IF(AA272=0,0,D272*Z272/AA272)</f>
        <v/>
      </c>
      <c r="AJ272">
        <f>IF(OR(C272="",B272=""),"",C272&amp;"|"&amp;(YEAR(B272)*100+MONTH(B272)))</f>
        <v/>
      </c>
    </row>
    <row r="273">
      <c r="A273" s="1" t="n"/>
      <c r="B273" s="23" t="n"/>
      <c r="C273" s="24" t="n"/>
      <c r="D273" s="25" t="n"/>
      <c r="E273" s="26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1">
        <f>IF(D273="","",IF(B273="","No date",IF(AND(C273="Paying back",R273=0),"To whom?",IF(AA273=0,"Nobody",IF(C273="Paying back","To "&amp;INDEX(Housemates!$B$8:$B$15,MATCH(MAX(S273:Z273),S273:Z273,0)),IF(R273&gt;0,IF(COUNTIF(S273:Z273,"&gt;0")=1,"1 person",COUNTIF(S273:Z273,"&gt;0")&amp;" people"),IF(Q273=0,"Everyone",INDEX(Bills!$Q$6:$Q$25,Q273))))))))</f>
        <v/>
      </c>
      <c r="O273" s="18">
        <f>IF(D273="","",IF(C273="Paying back","Paying back",IF(Q273=0,"Other",IF(INDEX(Bills!$C$6:$C$25,Q273)="","Other",INDEX(Bills!$C$6:$C$25,Q273)))))</f>
        <v/>
      </c>
      <c r="P273" s="1" t="n"/>
      <c r="Q273">
        <f>IF(C273="",0,IFERROR(MATCH(C273,Bills!$B$6:$B$25,0),0))</f>
        <v/>
      </c>
      <c r="R273">
        <f>COUNTA(F273:M273)</f>
        <v/>
      </c>
      <c r="S273">
        <f>IF(OR($D273="",$B273="",Housemates!$B$8=""),0,IF($R273&gt;0,IF(F273="",0,IF(ISNUMBER(F273),F273,1)),IF($C273="Paying back",0,IF(AND(OR(Housemates!$C$8="",Housemates!$C$8&lt;=$B273),OR(Housemates!$D$8="",Housemates!$D$8&gt;=$B273)),IF($Q273=0,1,INDEX(Bills!$AA$6:$AA$25,$Q273)),0))))</f>
        <v/>
      </c>
      <c r="T273">
        <f>IF(OR($D273="",$B273="",Housemates!$B$9=""),0,IF($R273&gt;0,IF(G273="",0,IF(ISNUMBER(G273),G273,1)),IF($C273="Paying back",0,IF(AND(OR(Housemates!$C$9="",Housemates!$C$9&lt;=$B273),OR(Housemates!$D$9="",Housemates!$D$9&gt;=$B273)),IF($Q273=0,1,INDEX(Bills!$AB$6:$AB$25,$Q273)),0))))</f>
        <v/>
      </c>
      <c r="U273">
        <f>IF(OR($D273="",$B273="",Housemates!$B$10=""),0,IF($R273&gt;0,IF(H273="",0,IF(ISNUMBER(H273),H273,1)),IF($C273="Paying back",0,IF(AND(OR(Housemates!$C$10="",Housemates!$C$10&lt;=$B273),OR(Housemates!$D$10="",Housemates!$D$10&gt;=$B273)),IF($Q273=0,1,INDEX(Bills!$AC$6:$AC$25,$Q273)),0))))</f>
        <v/>
      </c>
      <c r="V273">
        <f>IF(OR($D273="",$B273="",Housemates!$B$11=""),0,IF($R273&gt;0,IF(I273="",0,IF(ISNUMBER(I273),I273,1)),IF($C273="Paying back",0,IF(AND(OR(Housemates!$C$11="",Housemates!$C$11&lt;=$B273),OR(Housemates!$D$11="",Housemates!$D$11&gt;=$B273)),IF($Q273=0,1,INDEX(Bills!$AD$6:$AD$25,$Q273)),0))))</f>
        <v/>
      </c>
      <c r="W273">
        <f>IF(OR($D273="",$B273="",Housemates!$B$12=""),0,IF($R273&gt;0,IF(J273="",0,IF(ISNUMBER(J273),J273,1)),IF($C273="Paying back",0,IF(AND(OR(Housemates!$C$12="",Housemates!$C$12&lt;=$B273),OR(Housemates!$D$12="",Housemates!$D$12&gt;=$B273)),IF($Q273=0,1,INDEX(Bills!$AE$6:$AE$25,$Q273)),0))))</f>
        <v/>
      </c>
      <c r="X273">
        <f>IF(OR($D273="",$B273="",Housemates!$B$13=""),0,IF($R273&gt;0,IF(K273="",0,IF(ISNUMBER(K273),K273,1)),IF($C273="Paying back",0,IF(AND(OR(Housemates!$C$13="",Housemates!$C$13&lt;=$B273),OR(Housemates!$D$13="",Housemates!$D$13&gt;=$B273)),IF($Q273=0,1,INDEX(Bills!$AF$6:$AF$25,$Q273)),0))))</f>
        <v/>
      </c>
      <c r="Y273">
        <f>IF(OR($D273="",$B273="",Housemates!$B$14=""),0,IF($R273&gt;0,IF(L273="",0,IF(ISNUMBER(L273),L273,1)),IF($C273="Paying back",0,IF(AND(OR(Housemates!$C$14="",Housemates!$C$14&lt;=$B273),OR(Housemates!$D$14="",Housemates!$D$14&gt;=$B273)),IF($Q273=0,1,INDEX(Bills!$AG$6:$AG$25,$Q273)),0))))</f>
        <v/>
      </c>
      <c r="Z273">
        <f>IF(OR($D273="",$B273="",Housemates!$B$15=""),0,IF($R273&gt;0,IF(M273="",0,IF(ISNUMBER(M273),M273,1)),IF($C273="Paying back",0,IF(AND(OR(Housemates!$C$15="",Housemates!$C$15&lt;=$B273),OR(Housemates!$D$15="",Housemates!$D$15&gt;=$B273)),IF($Q273=0,1,INDEX(Bills!$AH$6:$AH$25,$Q273)),0))))</f>
        <v/>
      </c>
      <c r="AA273">
        <f>SUM(S273:Z273)</f>
        <v/>
      </c>
      <c r="AB273">
        <f>IF(AA273=0,0,D273*S273/AA273)</f>
        <v/>
      </c>
      <c r="AC273">
        <f>IF(AA273=0,0,D273*T273/AA273)</f>
        <v/>
      </c>
      <c r="AD273">
        <f>IF(AA273=0,0,D273*U273/AA273)</f>
        <v/>
      </c>
      <c r="AE273">
        <f>IF(AA273=0,0,D273*V273/AA273)</f>
        <v/>
      </c>
      <c r="AF273">
        <f>IF(AA273=0,0,D273*W273/AA273)</f>
        <v/>
      </c>
      <c r="AG273">
        <f>IF(AA273=0,0,D273*X273/AA273)</f>
        <v/>
      </c>
      <c r="AH273">
        <f>IF(AA273=0,0,D273*Y273/AA273)</f>
        <v/>
      </c>
      <c r="AI273">
        <f>IF(AA273=0,0,D273*Z273/AA273)</f>
        <v/>
      </c>
      <c r="AJ273">
        <f>IF(OR(C273="",B273=""),"",C273&amp;"|"&amp;(YEAR(B273)*100+MONTH(B273)))</f>
        <v/>
      </c>
    </row>
    <row r="274">
      <c r="A274" s="1" t="n"/>
      <c r="B274" s="23" t="n"/>
      <c r="C274" s="24" t="n"/>
      <c r="D274" s="25" t="n"/>
      <c r="E274" s="26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1">
        <f>IF(D274="","",IF(B274="","No date",IF(AND(C274="Paying back",R274=0),"To whom?",IF(AA274=0,"Nobody",IF(C274="Paying back","To "&amp;INDEX(Housemates!$B$8:$B$15,MATCH(MAX(S274:Z274),S274:Z274,0)),IF(R274&gt;0,IF(COUNTIF(S274:Z274,"&gt;0")=1,"1 person",COUNTIF(S274:Z274,"&gt;0")&amp;" people"),IF(Q274=0,"Everyone",INDEX(Bills!$Q$6:$Q$25,Q274))))))))</f>
        <v/>
      </c>
      <c r="O274" s="18">
        <f>IF(D274="","",IF(C274="Paying back","Paying back",IF(Q274=0,"Other",IF(INDEX(Bills!$C$6:$C$25,Q274)="","Other",INDEX(Bills!$C$6:$C$25,Q274)))))</f>
        <v/>
      </c>
      <c r="P274" s="1" t="n"/>
      <c r="Q274">
        <f>IF(C274="",0,IFERROR(MATCH(C274,Bills!$B$6:$B$25,0),0))</f>
        <v/>
      </c>
      <c r="R274">
        <f>COUNTA(F274:M274)</f>
        <v/>
      </c>
      <c r="S274">
        <f>IF(OR($D274="",$B274="",Housemates!$B$8=""),0,IF($R274&gt;0,IF(F274="",0,IF(ISNUMBER(F274),F274,1)),IF($C274="Paying back",0,IF(AND(OR(Housemates!$C$8="",Housemates!$C$8&lt;=$B274),OR(Housemates!$D$8="",Housemates!$D$8&gt;=$B274)),IF($Q274=0,1,INDEX(Bills!$AA$6:$AA$25,$Q274)),0))))</f>
        <v/>
      </c>
      <c r="T274">
        <f>IF(OR($D274="",$B274="",Housemates!$B$9=""),0,IF($R274&gt;0,IF(G274="",0,IF(ISNUMBER(G274),G274,1)),IF($C274="Paying back",0,IF(AND(OR(Housemates!$C$9="",Housemates!$C$9&lt;=$B274),OR(Housemates!$D$9="",Housemates!$D$9&gt;=$B274)),IF($Q274=0,1,INDEX(Bills!$AB$6:$AB$25,$Q274)),0))))</f>
        <v/>
      </c>
      <c r="U274">
        <f>IF(OR($D274="",$B274="",Housemates!$B$10=""),0,IF($R274&gt;0,IF(H274="",0,IF(ISNUMBER(H274),H274,1)),IF($C274="Paying back",0,IF(AND(OR(Housemates!$C$10="",Housemates!$C$10&lt;=$B274),OR(Housemates!$D$10="",Housemates!$D$10&gt;=$B274)),IF($Q274=0,1,INDEX(Bills!$AC$6:$AC$25,$Q274)),0))))</f>
        <v/>
      </c>
      <c r="V274">
        <f>IF(OR($D274="",$B274="",Housemates!$B$11=""),0,IF($R274&gt;0,IF(I274="",0,IF(ISNUMBER(I274),I274,1)),IF($C274="Paying back",0,IF(AND(OR(Housemates!$C$11="",Housemates!$C$11&lt;=$B274),OR(Housemates!$D$11="",Housemates!$D$11&gt;=$B274)),IF($Q274=0,1,INDEX(Bills!$AD$6:$AD$25,$Q274)),0))))</f>
        <v/>
      </c>
      <c r="W274">
        <f>IF(OR($D274="",$B274="",Housemates!$B$12=""),0,IF($R274&gt;0,IF(J274="",0,IF(ISNUMBER(J274),J274,1)),IF($C274="Paying back",0,IF(AND(OR(Housemates!$C$12="",Housemates!$C$12&lt;=$B274),OR(Housemates!$D$12="",Housemates!$D$12&gt;=$B274)),IF($Q274=0,1,INDEX(Bills!$AE$6:$AE$25,$Q274)),0))))</f>
        <v/>
      </c>
      <c r="X274">
        <f>IF(OR($D274="",$B274="",Housemates!$B$13=""),0,IF($R274&gt;0,IF(K274="",0,IF(ISNUMBER(K274),K274,1)),IF($C274="Paying back",0,IF(AND(OR(Housemates!$C$13="",Housemates!$C$13&lt;=$B274),OR(Housemates!$D$13="",Housemates!$D$13&gt;=$B274)),IF($Q274=0,1,INDEX(Bills!$AF$6:$AF$25,$Q274)),0))))</f>
        <v/>
      </c>
      <c r="Y274">
        <f>IF(OR($D274="",$B274="",Housemates!$B$14=""),0,IF($R274&gt;0,IF(L274="",0,IF(ISNUMBER(L274),L274,1)),IF($C274="Paying back",0,IF(AND(OR(Housemates!$C$14="",Housemates!$C$14&lt;=$B274),OR(Housemates!$D$14="",Housemates!$D$14&gt;=$B274)),IF($Q274=0,1,INDEX(Bills!$AG$6:$AG$25,$Q274)),0))))</f>
        <v/>
      </c>
      <c r="Z274">
        <f>IF(OR($D274="",$B274="",Housemates!$B$15=""),0,IF($R274&gt;0,IF(M274="",0,IF(ISNUMBER(M274),M274,1)),IF($C274="Paying back",0,IF(AND(OR(Housemates!$C$15="",Housemates!$C$15&lt;=$B274),OR(Housemates!$D$15="",Housemates!$D$15&gt;=$B274)),IF($Q274=0,1,INDEX(Bills!$AH$6:$AH$25,$Q274)),0))))</f>
        <v/>
      </c>
      <c r="AA274">
        <f>SUM(S274:Z274)</f>
        <v/>
      </c>
      <c r="AB274">
        <f>IF(AA274=0,0,D274*S274/AA274)</f>
        <v/>
      </c>
      <c r="AC274">
        <f>IF(AA274=0,0,D274*T274/AA274)</f>
        <v/>
      </c>
      <c r="AD274">
        <f>IF(AA274=0,0,D274*U274/AA274)</f>
        <v/>
      </c>
      <c r="AE274">
        <f>IF(AA274=0,0,D274*V274/AA274)</f>
        <v/>
      </c>
      <c r="AF274">
        <f>IF(AA274=0,0,D274*W274/AA274)</f>
        <v/>
      </c>
      <c r="AG274">
        <f>IF(AA274=0,0,D274*X274/AA274)</f>
        <v/>
      </c>
      <c r="AH274">
        <f>IF(AA274=0,0,D274*Y274/AA274)</f>
        <v/>
      </c>
      <c r="AI274">
        <f>IF(AA274=0,0,D274*Z274/AA274)</f>
        <v/>
      </c>
      <c r="AJ274">
        <f>IF(OR(C274="",B274=""),"",C274&amp;"|"&amp;(YEAR(B274)*100+MONTH(B274)))</f>
        <v/>
      </c>
    </row>
    <row r="275">
      <c r="A275" s="1" t="n"/>
      <c r="B275" s="23" t="n"/>
      <c r="C275" s="24" t="n"/>
      <c r="D275" s="25" t="n"/>
      <c r="E275" s="26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1">
        <f>IF(D275="","",IF(B275="","No date",IF(AND(C275="Paying back",R275=0),"To whom?",IF(AA275=0,"Nobody",IF(C275="Paying back","To "&amp;INDEX(Housemates!$B$8:$B$15,MATCH(MAX(S275:Z275),S275:Z275,0)),IF(R275&gt;0,IF(COUNTIF(S275:Z275,"&gt;0")=1,"1 person",COUNTIF(S275:Z275,"&gt;0")&amp;" people"),IF(Q275=0,"Everyone",INDEX(Bills!$Q$6:$Q$25,Q275))))))))</f>
        <v/>
      </c>
      <c r="O275" s="18">
        <f>IF(D275="","",IF(C275="Paying back","Paying back",IF(Q275=0,"Other",IF(INDEX(Bills!$C$6:$C$25,Q275)="","Other",INDEX(Bills!$C$6:$C$25,Q275)))))</f>
        <v/>
      </c>
      <c r="P275" s="1" t="n"/>
      <c r="Q275">
        <f>IF(C275="",0,IFERROR(MATCH(C275,Bills!$B$6:$B$25,0),0))</f>
        <v/>
      </c>
      <c r="R275">
        <f>COUNTA(F275:M275)</f>
        <v/>
      </c>
      <c r="S275">
        <f>IF(OR($D275="",$B275="",Housemates!$B$8=""),0,IF($R275&gt;0,IF(F275="",0,IF(ISNUMBER(F275),F275,1)),IF($C275="Paying back",0,IF(AND(OR(Housemates!$C$8="",Housemates!$C$8&lt;=$B275),OR(Housemates!$D$8="",Housemates!$D$8&gt;=$B275)),IF($Q275=0,1,INDEX(Bills!$AA$6:$AA$25,$Q275)),0))))</f>
        <v/>
      </c>
      <c r="T275">
        <f>IF(OR($D275="",$B275="",Housemates!$B$9=""),0,IF($R275&gt;0,IF(G275="",0,IF(ISNUMBER(G275),G275,1)),IF($C275="Paying back",0,IF(AND(OR(Housemates!$C$9="",Housemates!$C$9&lt;=$B275),OR(Housemates!$D$9="",Housemates!$D$9&gt;=$B275)),IF($Q275=0,1,INDEX(Bills!$AB$6:$AB$25,$Q275)),0))))</f>
        <v/>
      </c>
      <c r="U275">
        <f>IF(OR($D275="",$B275="",Housemates!$B$10=""),0,IF($R275&gt;0,IF(H275="",0,IF(ISNUMBER(H275),H275,1)),IF($C275="Paying back",0,IF(AND(OR(Housemates!$C$10="",Housemates!$C$10&lt;=$B275),OR(Housemates!$D$10="",Housemates!$D$10&gt;=$B275)),IF($Q275=0,1,INDEX(Bills!$AC$6:$AC$25,$Q275)),0))))</f>
        <v/>
      </c>
      <c r="V275">
        <f>IF(OR($D275="",$B275="",Housemates!$B$11=""),0,IF($R275&gt;0,IF(I275="",0,IF(ISNUMBER(I275),I275,1)),IF($C275="Paying back",0,IF(AND(OR(Housemates!$C$11="",Housemates!$C$11&lt;=$B275),OR(Housemates!$D$11="",Housemates!$D$11&gt;=$B275)),IF($Q275=0,1,INDEX(Bills!$AD$6:$AD$25,$Q275)),0))))</f>
        <v/>
      </c>
      <c r="W275">
        <f>IF(OR($D275="",$B275="",Housemates!$B$12=""),0,IF($R275&gt;0,IF(J275="",0,IF(ISNUMBER(J275),J275,1)),IF($C275="Paying back",0,IF(AND(OR(Housemates!$C$12="",Housemates!$C$12&lt;=$B275),OR(Housemates!$D$12="",Housemates!$D$12&gt;=$B275)),IF($Q275=0,1,INDEX(Bills!$AE$6:$AE$25,$Q275)),0))))</f>
        <v/>
      </c>
      <c r="X275">
        <f>IF(OR($D275="",$B275="",Housemates!$B$13=""),0,IF($R275&gt;0,IF(K275="",0,IF(ISNUMBER(K275),K275,1)),IF($C275="Paying back",0,IF(AND(OR(Housemates!$C$13="",Housemates!$C$13&lt;=$B275),OR(Housemates!$D$13="",Housemates!$D$13&gt;=$B275)),IF($Q275=0,1,INDEX(Bills!$AF$6:$AF$25,$Q275)),0))))</f>
        <v/>
      </c>
      <c r="Y275">
        <f>IF(OR($D275="",$B275="",Housemates!$B$14=""),0,IF($R275&gt;0,IF(L275="",0,IF(ISNUMBER(L275),L275,1)),IF($C275="Paying back",0,IF(AND(OR(Housemates!$C$14="",Housemates!$C$14&lt;=$B275),OR(Housemates!$D$14="",Housemates!$D$14&gt;=$B275)),IF($Q275=0,1,INDEX(Bills!$AG$6:$AG$25,$Q275)),0))))</f>
        <v/>
      </c>
      <c r="Z275">
        <f>IF(OR($D275="",$B275="",Housemates!$B$15=""),0,IF($R275&gt;0,IF(M275="",0,IF(ISNUMBER(M275),M275,1)),IF($C275="Paying back",0,IF(AND(OR(Housemates!$C$15="",Housemates!$C$15&lt;=$B275),OR(Housemates!$D$15="",Housemates!$D$15&gt;=$B275)),IF($Q275=0,1,INDEX(Bills!$AH$6:$AH$25,$Q275)),0))))</f>
        <v/>
      </c>
      <c r="AA275">
        <f>SUM(S275:Z275)</f>
        <v/>
      </c>
      <c r="AB275">
        <f>IF(AA275=0,0,D275*S275/AA275)</f>
        <v/>
      </c>
      <c r="AC275">
        <f>IF(AA275=0,0,D275*T275/AA275)</f>
        <v/>
      </c>
      <c r="AD275">
        <f>IF(AA275=0,0,D275*U275/AA275)</f>
        <v/>
      </c>
      <c r="AE275">
        <f>IF(AA275=0,0,D275*V275/AA275)</f>
        <v/>
      </c>
      <c r="AF275">
        <f>IF(AA275=0,0,D275*W275/AA275)</f>
        <v/>
      </c>
      <c r="AG275">
        <f>IF(AA275=0,0,D275*X275/AA275)</f>
        <v/>
      </c>
      <c r="AH275">
        <f>IF(AA275=0,0,D275*Y275/AA275)</f>
        <v/>
      </c>
      <c r="AI275">
        <f>IF(AA275=0,0,D275*Z275/AA275)</f>
        <v/>
      </c>
      <c r="AJ275">
        <f>IF(OR(C275="",B275=""),"",C275&amp;"|"&amp;(YEAR(B275)*100+MONTH(B275)))</f>
        <v/>
      </c>
    </row>
    <row r="276">
      <c r="A276" s="1" t="n"/>
      <c r="B276" s="23" t="n"/>
      <c r="C276" s="24" t="n"/>
      <c r="D276" s="25" t="n"/>
      <c r="E276" s="26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1">
        <f>IF(D276="","",IF(B276="","No date",IF(AND(C276="Paying back",R276=0),"To whom?",IF(AA276=0,"Nobody",IF(C276="Paying back","To "&amp;INDEX(Housemates!$B$8:$B$15,MATCH(MAX(S276:Z276),S276:Z276,0)),IF(R276&gt;0,IF(COUNTIF(S276:Z276,"&gt;0")=1,"1 person",COUNTIF(S276:Z276,"&gt;0")&amp;" people"),IF(Q276=0,"Everyone",INDEX(Bills!$Q$6:$Q$25,Q276))))))))</f>
        <v/>
      </c>
      <c r="O276" s="18">
        <f>IF(D276="","",IF(C276="Paying back","Paying back",IF(Q276=0,"Other",IF(INDEX(Bills!$C$6:$C$25,Q276)="","Other",INDEX(Bills!$C$6:$C$25,Q276)))))</f>
        <v/>
      </c>
      <c r="P276" s="1" t="n"/>
      <c r="Q276">
        <f>IF(C276="",0,IFERROR(MATCH(C276,Bills!$B$6:$B$25,0),0))</f>
        <v/>
      </c>
      <c r="R276">
        <f>COUNTA(F276:M276)</f>
        <v/>
      </c>
      <c r="S276">
        <f>IF(OR($D276="",$B276="",Housemates!$B$8=""),0,IF($R276&gt;0,IF(F276="",0,IF(ISNUMBER(F276),F276,1)),IF($C276="Paying back",0,IF(AND(OR(Housemates!$C$8="",Housemates!$C$8&lt;=$B276),OR(Housemates!$D$8="",Housemates!$D$8&gt;=$B276)),IF($Q276=0,1,INDEX(Bills!$AA$6:$AA$25,$Q276)),0))))</f>
        <v/>
      </c>
      <c r="T276">
        <f>IF(OR($D276="",$B276="",Housemates!$B$9=""),0,IF($R276&gt;0,IF(G276="",0,IF(ISNUMBER(G276),G276,1)),IF($C276="Paying back",0,IF(AND(OR(Housemates!$C$9="",Housemates!$C$9&lt;=$B276),OR(Housemates!$D$9="",Housemates!$D$9&gt;=$B276)),IF($Q276=0,1,INDEX(Bills!$AB$6:$AB$25,$Q276)),0))))</f>
        <v/>
      </c>
      <c r="U276">
        <f>IF(OR($D276="",$B276="",Housemates!$B$10=""),0,IF($R276&gt;0,IF(H276="",0,IF(ISNUMBER(H276),H276,1)),IF($C276="Paying back",0,IF(AND(OR(Housemates!$C$10="",Housemates!$C$10&lt;=$B276),OR(Housemates!$D$10="",Housemates!$D$10&gt;=$B276)),IF($Q276=0,1,INDEX(Bills!$AC$6:$AC$25,$Q276)),0))))</f>
        <v/>
      </c>
      <c r="V276">
        <f>IF(OR($D276="",$B276="",Housemates!$B$11=""),0,IF($R276&gt;0,IF(I276="",0,IF(ISNUMBER(I276),I276,1)),IF($C276="Paying back",0,IF(AND(OR(Housemates!$C$11="",Housemates!$C$11&lt;=$B276),OR(Housemates!$D$11="",Housemates!$D$11&gt;=$B276)),IF($Q276=0,1,INDEX(Bills!$AD$6:$AD$25,$Q276)),0))))</f>
        <v/>
      </c>
      <c r="W276">
        <f>IF(OR($D276="",$B276="",Housemates!$B$12=""),0,IF($R276&gt;0,IF(J276="",0,IF(ISNUMBER(J276),J276,1)),IF($C276="Paying back",0,IF(AND(OR(Housemates!$C$12="",Housemates!$C$12&lt;=$B276),OR(Housemates!$D$12="",Housemates!$D$12&gt;=$B276)),IF($Q276=0,1,INDEX(Bills!$AE$6:$AE$25,$Q276)),0))))</f>
        <v/>
      </c>
      <c r="X276">
        <f>IF(OR($D276="",$B276="",Housemates!$B$13=""),0,IF($R276&gt;0,IF(K276="",0,IF(ISNUMBER(K276),K276,1)),IF($C276="Paying back",0,IF(AND(OR(Housemates!$C$13="",Housemates!$C$13&lt;=$B276),OR(Housemates!$D$13="",Housemates!$D$13&gt;=$B276)),IF($Q276=0,1,INDEX(Bills!$AF$6:$AF$25,$Q276)),0))))</f>
        <v/>
      </c>
      <c r="Y276">
        <f>IF(OR($D276="",$B276="",Housemates!$B$14=""),0,IF($R276&gt;0,IF(L276="",0,IF(ISNUMBER(L276),L276,1)),IF($C276="Paying back",0,IF(AND(OR(Housemates!$C$14="",Housemates!$C$14&lt;=$B276),OR(Housemates!$D$14="",Housemates!$D$14&gt;=$B276)),IF($Q276=0,1,INDEX(Bills!$AG$6:$AG$25,$Q276)),0))))</f>
        <v/>
      </c>
      <c r="Z276">
        <f>IF(OR($D276="",$B276="",Housemates!$B$15=""),0,IF($R276&gt;0,IF(M276="",0,IF(ISNUMBER(M276),M276,1)),IF($C276="Paying back",0,IF(AND(OR(Housemates!$C$15="",Housemates!$C$15&lt;=$B276),OR(Housemates!$D$15="",Housemates!$D$15&gt;=$B276)),IF($Q276=0,1,INDEX(Bills!$AH$6:$AH$25,$Q276)),0))))</f>
        <v/>
      </c>
      <c r="AA276">
        <f>SUM(S276:Z276)</f>
        <v/>
      </c>
      <c r="AB276">
        <f>IF(AA276=0,0,D276*S276/AA276)</f>
        <v/>
      </c>
      <c r="AC276">
        <f>IF(AA276=0,0,D276*T276/AA276)</f>
        <v/>
      </c>
      <c r="AD276">
        <f>IF(AA276=0,0,D276*U276/AA276)</f>
        <v/>
      </c>
      <c r="AE276">
        <f>IF(AA276=0,0,D276*V276/AA276)</f>
        <v/>
      </c>
      <c r="AF276">
        <f>IF(AA276=0,0,D276*W276/AA276)</f>
        <v/>
      </c>
      <c r="AG276">
        <f>IF(AA276=0,0,D276*X276/AA276)</f>
        <v/>
      </c>
      <c r="AH276">
        <f>IF(AA276=0,0,D276*Y276/AA276)</f>
        <v/>
      </c>
      <c r="AI276">
        <f>IF(AA276=0,0,D276*Z276/AA276)</f>
        <v/>
      </c>
      <c r="AJ276">
        <f>IF(OR(C276="",B276=""),"",C276&amp;"|"&amp;(YEAR(B276)*100+MONTH(B276)))</f>
        <v/>
      </c>
    </row>
    <row r="277">
      <c r="A277" s="1" t="n"/>
      <c r="B277" s="23" t="n"/>
      <c r="C277" s="24" t="n"/>
      <c r="D277" s="25" t="n"/>
      <c r="E277" s="26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1">
        <f>IF(D277="","",IF(B277="","No date",IF(AND(C277="Paying back",R277=0),"To whom?",IF(AA277=0,"Nobody",IF(C277="Paying back","To "&amp;INDEX(Housemates!$B$8:$B$15,MATCH(MAX(S277:Z277),S277:Z277,0)),IF(R277&gt;0,IF(COUNTIF(S277:Z277,"&gt;0")=1,"1 person",COUNTIF(S277:Z277,"&gt;0")&amp;" people"),IF(Q277=0,"Everyone",INDEX(Bills!$Q$6:$Q$25,Q277))))))))</f>
        <v/>
      </c>
      <c r="O277" s="18">
        <f>IF(D277="","",IF(C277="Paying back","Paying back",IF(Q277=0,"Other",IF(INDEX(Bills!$C$6:$C$25,Q277)="","Other",INDEX(Bills!$C$6:$C$25,Q277)))))</f>
        <v/>
      </c>
      <c r="P277" s="1" t="n"/>
      <c r="Q277">
        <f>IF(C277="",0,IFERROR(MATCH(C277,Bills!$B$6:$B$25,0),0))</f>
        <v/>
      </c>
      <c r="R277">
        <f>COUNTA(F277:M277)</f>
        <v/>
      </c>
      <c r="S277">
        <f>IF(OR($D277="",$B277="",Housemates!$B$8=""),0,IF($R277&gt;0,IF(F277="",0,IF(ISNUMBER(F277),F277,1)),IF($C277="Paying back",0,IF(AND(OR(Housemates!$C$8="",Housemates!$C$8&lt;=$B277),OR(Housemates!$D$8="",Housemates!$D$8&gt;=$B277)),IF($Q277=0,1,INDEX(Bills!$AA$6:$AA$25,$Q277)),0))))</f>
        <v/>
      </c>
      <c r="T277">
        <f>IF(OR($D277="",$B277="",Housemates!$B$9=""),0,IF($R277&gt;0,IF(G277="",0,IF(ISNUMBER(G277),G277,1)),IF($C277="Paying back",0,IF(AND(OR(Housemates!$C$9="",Housemates!$C$9&lt;=$B277),OR(Housemates!$D$9="",Housemates!$D$9&gt;=$B277)),IF($Q277=0,1,INDEX(Bills!$AB$6:$AB$25,$Q277)),0))))</f>
        <v/>
      </c>
      <c r="U277">
        <f>IF(OR($D277="",$B277="",Housemates!$B$10=""),0,IF($R277&gt;0,IF(H277="",0,IF(ISNUMBER(H277),H277,1)),IF($C277="Paying back",0,IF(AND(OR(Housemates!$C$10="",Housemates!$C$10&lt;=$B277),OR(Housemates!$D$10="",Housemates!$D$10&gt;=$B277)),IF($Q277=0,1,INDEX(Bills!$AC$6:$AC$25,$Q277)),0))))</f>
        <v/>
      </c>
      <c r="V277">
        <f>IF(OR($D277="",$B277="",Housemates!$B$11=""),0,IF($R277&gt;0,IF(I277="",0,IF(ISNUMBER(I277),I277,1)),IF($C277="Paying back",0,IF(AND(OR(Housemates!$C$11="",Housemates!$C$11&lt;=$B277),OR(Housemates!$D$11="",Housemates!$D$11&gt;=$B277)),IF($Q277=0,1,INDEX(Bills!$AD$6:$AD$25,$Q277)),0))))</f>
        <v/>
      </c>
      <c r="W277">
        <f>IF(OR($D277="",$B277="",Housemates!$B$12=""),0,IF($R277&gt;0,IF(J277="",0,IF(ISNUMBER(J277),J277,1)),IF($C277="Paying back",0,IF(AND(OR(Housemates!$C$12="",Housemates!$C$12&lt;=$B277),OR(Housemates!$D$12="",Housemates!$D$12&gt;=$B277)),IF($Q277=0,1,INDEX(Bills!$AE$6:$AE$25,$Q277)),0))))</f>
        <v/>
      </c>
      <c r="X277">
        <f>IF(OR($D277="",$B277="",Housemates!$B$13=""),0,IF($R277&gt;0,IF(K277="",0,IF(ISNUMBER(K277),K277,1)),IF($C277="Paying back",0,IF(AND(OR(Housemates!$C$13="",Housemates!$C$13&lt;=$B277),OR(Housemates!$D$13="",Housemates!$D$13&gt;=$B277)),IF($Q277=0,1,INDEX(Bills!$AF$6:$AF$25,$Q277)),0))))</f>
        <v/>
      </c>
      <c r="Y277">
        <f>IF(OR($D277="",$B277="",Housemates!$B$14=""),0,IF($R277&gt;0,IF(L277="",0,IF(ISNUMBER(L277),L277,1)),IF($C277="Paying back",0,IF(AND(OR(Housemates!$C$14="",Housemates!$C$14&lt;=$B277),OR(Housemates!$D$14="",Housemates!$D$14&gt;=$B277)),IF($Q277=0,1,INDEX(Bills!$AG$6:$AG$25,$Q277)),0))))</f>
        <v/>
      </c>
      <c r="Z277">
        <f>IF(OR($D277="",$B277="",Housemates!$B$15=""),0,IF($R277&gt;0,IF(M277="",0,IF(ISNUMBER(M277),M277,1)),IF($C277="Paying back",0,IF(AND(OR(Housemates!$C$15="",Housemates!$C$15&lt;=$B277),OR(Housemates!$D$15="",Housemates!$D$15&gt;=$B277)),IF($Q277=0,1,INDEX(Bills!$AH$6:$AH$25,$Q277)),0))))</f>
        <v/>
      </c>
      <c r="AA277">
        <f>SUM(S277:Z277)</f>
        <v/>
      </c>
      <c r="AB277">
        <f>IF(AA277=0,0,D277*S277/AA277)</f>
        <v/>
      </c>
      <c r="AC277">
        <f>IF(AA277=0,0,D277*T277/AA277)</f>
        <v/>
      </c>
      <c r="AD277">
        <f>IF(AA277=0,0,D277*U277/AA277)</f>
        <v/>
      </c>
      <c r="AE277">
        <f>IF(AA277=0,0,D277*V277/AA277)</f>
        <v/>
      </c>
      <c r="AF277">
        <f>IF(AA277=0,0,D277*W277/AA277)</f>
        <v/>
      </c>
      <c r="AG277">
        <f>IF(AA277=0,0,D277*X277/AA277)</f>
        <v/>
      </c>
      <c r="AH277">
        <f>IF(AA277=0,0,D277*Y277/AA277)</f>
        <v/>
      </c>
      <c r="AI277">
        <f>IF(AA277=0,0,D277*Z277/AA277)</f>
        <v/>
      </c>
      <c r="AJ277">
        <f>IF(OR(C277="",B277=""),"",C277&amp;"|"&amp;(YEAR(B277)*100+MONTH(B277)))</f>
        <v/>
      </c>
    </row>
    <row r="278">
      <c r="A278" s="1" t="n"/>
      <c r="B278" s="23" t="n"/>
      <c r="C278" s="24" t="n"/>
      <c r="D278" s="25" t="n"/>
      <c r="E278" s="26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1">
        <f>IF(D278="","",IF(B278="","No date",IF(AND(C278="Paying back",R278=0),"To whom?",IF(AA278=0,"Nobody",IF(C278="Paying back","To "&amp;INDEX(Housemates!$B$8:$B$15,MATCH(MAX(S278:Z278),S278:Z278,0)),IF(R278&gt;0,IF(COUNTIF(S278:Z278,"&gt;0")=1,"1 person",COUNTIF(S278:Z278,"&gt;0")&amp;" people"),IF(Q278=0,"Everyone",INDEX(Bills!$Q$6:$Q$25,Q278))))))))</f>
        <v/>
      </c>
      <c r="O278" s="18">
        <f>IF(D278="","",IF(C278="Paying back","Paying back",IF(Q278=0,"Other",IF(INDEX(Bills!$C$6:$C$25,Q278)="","Other",INDEX(Bills!$C$6:$C$25,Q278)))))</f>
        <v/>
      </c>
      <c r="P278" s="1" t="n"/>
      <c r="Q278">
        <f>IF(C278="",0,IFERROR(MATCH(C278,Bills!$B$6:$B$25,0),0))</f>
        <v/>
      </c>
      <c r="R278">
        <f>COUNTA(F278:M278)</f>
        <v/>
      </c>
      <c r="S278">
        <f>IF(OR($D278="",$B278="",Housemates!$B$8=""),0,IF($R278&gt;0,IF(F278="",0,IF(ISNUMBER(F278),F278,1)),IF($C278="Paying back",0,IF(AND(OR(Housemates!$C$8="",Housemates!$C$8&lt;=$B278),OR(Housemates!$D$8="",Housemates!$D$8&gt;=$B278)),IF($Q278=0,1,INDEX(Bills!$AA$6:$AA$25,$Q278)),0))))</f>
        <v/>
      </c>
      <c r="T278">
        <f>IF(OR($D278="",$B278="",Housemates!$B$9=""),0,IF($R278&gt;0,IF(G278="",0,IF(ISNUMBER(G278),G278,1)),IF($C278="Paying back",0,IF(AND(OR(Housemates!$C$9="",Housemates!$C$9&lt;=$B278),OR(Housemates!$D$9="",Housemates!$D$9&gt;=$B278)),IF($Q278=0,1,INDEX(Bills!$AB$6:$AB$25,$Q278)),0))))</f>
        <v/>
      </c>
      <c r="U278">
        <f>IF(OR($D278="",$B278="",Housemates!$B$10=""),0,IF($R278&gt;0,IF(H278="",0,IF(ISNUMBER(H278),H278,1)),IF($C278="Paying back",0,IF(AND(OR(Housemates!$C$10="",Housemates!$C$10&lt;=$B278),OR(Housemates!$D$10="",Housemates!$D$10&gt;=$B278)),IF($Q278=0,1,INDEX(Bills!$AC$6:$AC$25,$Q278)),0))))</f>
        <v/>
      </c>
      <c r="V278">
        <f>IF(OR($D278="",$B278="",Housemates!$B$11=""),0,IF($R278&gt;0,IF(I278="",0,IF(ISNUMBER(I278),I278,1)),IF($C278="Paying back",0,IF(AND(OR(Housemates!$C$11="",Housemates!$C$11&lt;=$B278),OR(Housemates!$D$11="",Housemates!$D$11&gt;=$B278)),IF($Q278=0,1,INDEX(Bills!$AD$6:$AD$25,$Q278)),0))))</f>
        <v/>
      </c>
      <c r="W278">
        <f>IF(OR($D278="",$B278="",Housemates!$B$12=""),0,IF($R278&gt;0,IF(J278="",0,IF(ISNUMBER(J278),J278,1)),IF($C278="Paying back",0,IF(AND(OR(Housemates!$C$12="",Housemates!$C$12&lt;=$B278),OR(Housemates!$D$12="",Housemates!$D$12&gt;=$B278)),IF($Q278=0,1,INDEX(Bills!$AE$6:$AE$25,$Q278)),0))))</f>
        <v/>
      </c>
      <c r="X278">
        <f>IF(OR($D278="",$B278="",Housemates!$B$13=""),0,IF($R278&gt;0,IF(K278="",0,IF(ISNUMBER(K278),K278,1)),IF($C278="Paying back",0,IF(AND(OR(Housemates!$C$13="",Housemates!$C$13&lt;=$B278),OR(Housemates!$D$13="",Housemates!$D$13&gt;=$B278)),IF($Q278=0,1,INDEX(Bills!$AF$6:$AF$25,$Q278)),0))))</f>
        <v/>
      </c>
      <c r="Y278">
        <f>IF(OR($D278="",$B278="",Housemates!$B$14=""),0,IF($R278&gt;0,IF(L278="",0,IF(ISNUMBER(L278),L278,1)),IF($C278="Paying back",0,IF(AND(OR(Housemates!$C$14="",Housemates!$C$14&lt;=$B278),OR(Housemates!$D$14="",Housemates!$D$14&gt;=$B278)),IF($Q278=0,1,INDEX(Bills!$AG$6:$AG$25,$Q278)),0))))</f>
        <v/>
      </c>
      <c r="Z278">
        <f>IF(OR($D278="",$B278="",Housemates!$B$15=""),0,IF($R278&gt;0,IF(M278="",0,IF(ISNUMBER(M278),M278,1)),IF($C278="Paying back",0,IF(AND(OR(Housemates!$C$15="",Housemates!$C$15&lt;=$B278),OR(Housemates!$D$15="",Housemates!$D$15&gt;=$B278)),IF($Q278=0,1,INDEX(Bills!$AH$6:$AH$25,$Q278)),0))))</f>
        <v/>
      </c>
      <c r="AA278">
        <f>SUM(S278:Z278)</f>
        <v/>
      </c>
      <c r="AB278">
        <f>IF(AA278=0,0,D278*S278/AA278)</f>
        <v/>
      </c>
      <c r="AC278">
        <f>IF(AA278=0,0,D278*T278/AA278)</f>
        <v/>
      </c>
      <c r="AD278">
        <f>IF(AA278=0,0,D278*U278/AA278)</f>
        <v/>
      </c>
      <c r="AE278">
        <f>IF(AA278=0,0,D278*V278/AA278)</f>
        <v/>
      </c>
      <c r="AF278">
        <f>IF(AA278=0,0,D278*W278/AA278)</f>
        <v/>
      </c>
      <c r="AG278">
        <f>IF(AA278=0,0,D278*X278/AA278)</f>
        <v/>
      </c>
      <c r="AH278">
        <f>IF(AA278=0,0,D278*Y278/AA278)</f>
        <v/>
      </c>
      <c r="AI278">
        <f>IF(AA278=0,0,D278*Z278/AA278)</f>
        <v/>
      </c>
      <c r="AJ278">
        <f>IF(OR(C278="",B278=""),"",C278&amp;"|"&amp;(YEAR(B278)*100+MONTH(B278)))</f>
        <v/>
      </c>
    </row>
    <row r="279">
      <c r="A279" s="1" t="n"/>
      <c r="B279" s="23" t="n"/>
      <c r="C279" s="24" t="n"/>
      <c r="D279" s="25" t="n"/>
      <c r="E279" s="26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1">
        <f>IF(D279="","",IF(B279="","No date",IF(AND(C279="Paying back",R279=0),"To whom?",IF(AA279=0,"Nobody",IF(C279="Paying back","To "&amp;INDEX(Housemates!$B$8:$B$15,MATCH(MAX(S279:Z279),S279:Z279,0)),IF(R279&gt;0,IF(COUNTIF(S279:Z279,"&gt;0")=1,"1 person",COUNTIF(S279:Z279,"&gt;0")&amp;" people"),IF(Q279=0,"Everyone",INDEX(Bills!$Q$6:$Q$25,Q279))))))))</f>
        <v/>
      </c>
      <c r="O279" s="18">
        <f>IF(D279="","",IF(C279="Paying back","Paying back",IF(Q279=0,"Other",IF(INDEX(Bills!$C$6:$C$25,Q279)="","Other",INDEX(Bills!$C$6:$C$25,Q279)))))</f>
        <v/>
      </c>
      <c r="P279" s="1" t="n"/>
      <c r="Q279">
        <f>IF(C279="",0,IFERROR(MATCH(C279,Bills!$B$6:$B$25,0),0))</f>
        <v/>
      </c>
      <c r="R279">
        <f>COUNTA(F279:M279)</f>
        <v/>
      </c>
      <c r="S279">
        <f>IF(OR($D279="",$B279="",Housemates!$B$8=""),0,IF($R279&gt;0,IF(F279="",0,IF(ISNUMBER(F279),F279,1)),IF($C279="Paying back",0,IF(AND(OR(Housemates!$C$8="",Housemates!$C$8&lt;=$B279),OR(Housemates!$D$8="",Housemates!$D$8&gt;=$B279)),IF($Q279=0,1,INDEX(Bills!$AA$6:$AA$25,$Q279)),0))))</f>
        <v/>
      </c>
      <c r="T279">
        <f>IF(OR($D279="",$B279="",Housemates!$B$9=""),0,IF($R279&gt;0,IF(G279="",0,IF(ISNUMBER(G279),G279,1)),IF($C279="Paying back",0,IF(AND(OR(Housemates!$C$9="",Housemates!$C$9&lt;=$B279),OR(Housemates!$D$9="",Housemates!$D$9&gt;=$B279)),IF($Q279=0,1,INDEX(Bills!$AB$6:$AB$25,$Q279)),0))))</f>
        <v/>
      </c>
      <c r="U279">
        <f>IF(OR($D279="",$B279="",Housemates!$B$10=""),0,IF($R279&gt;0,IF(H279="",0,IF(ISNUMBER(H279),H279,1)),IF($C279="Paying back",0,IF(AND(OR(Housemates!$C$10="",Housemates!$C$10&lt;=$B279),OR(Housemates!$D$10="",Housemates!$D$10&gt;=$B279)),IF($Q279=0,1,INDEX(Bills!$AC$6:$AC$25,$Q279)),0))))</f>
        <v/>
      </c>
      <c r="V279">
        <f>IF(OR($D279="",$B279="",Housemates!$B$11=""),0,IF($R279&gt;0,IF(I279="",0,IF(ISNUMBER(I279),I279,1)),IF($C279="Paying back",0,IF(AND(OR(Housemates!$C$11="",Housemates!$C$11&lt;=$B279),OR(Housemates!$D$11="",Housemates!$D$11&gt;=$B279)),IF($Q279=0,1,INDEX(Bills!$AD$6:$AD$25,$Q279)),0))))</f>
        <v/>
      </c>
      <c r="W279">
        <f>IF(OR($D279="",$B279="",Housemates!$B$12=""),0,IF($R279&gt;0,IF(J279="",0,IF(ISNUMBER(J279),J279,1)),IF($C279="Paying back",0,IF(AND(OR(Housemates!$C$12="",Housemates!$C$12&lt;=$B279),OR(Housemates!$D$12="",Housemates!$D$12&gt;=$B279)),IF($Q279=0,1,INDEX(Bills!$AE$6:$AE$25,$Q279)),0))))</f>
        <v/>
      </c>
      <c r="X279">
        <f>IF(OR($D279="",$B279="",Housemates!$B$13=""),0,IF($R279&gt;0,IF(K279="",0,IF(ISNUMBER(K279),K279,1)),IF($C279="Paying back",0,IF(AND(OR(Housemates!$C$13="",Housemates!$C$13&lt;=$B279),OR(Housemates!$D$13="",Housemates!$D$13&gt;=$B279)),IF($Q279=0,1,INDEX(Bills!$AF$6:$AF$25,$Q279)),0))))</f>
        <v/>
      </c>
      <c r="Y279">
        <f>IF(OR($D279="",$B279="",Housemates!$B$14=""),0,IF($R279&gt;0,IF(L279="",0,IF(ISNUMBER(L279),L279,1)),IF($C279="Paying back",0,IF(AND(OR(Housemates!$C$14="",Housemates!$C$14&lt;=$B279),OR(Housemates!$D$14="",Housemates!$D$14&gt;=$B279)),IF($Q279=0,1,INDEX(Bills!$AG$6:$AG$25,$Q279)),0))))</f>
        <v/>
      </c>
      <c r="Z279">
        <f>IF(OR($D279="",$B279="",Housemates!$B$15=""),0,IF($R279&gt;0,IF(M279="",0,IF(ISNUMBER(M279),M279,1)),IF($C279="Paying back",0,IF(AND(OR(Housemates!$C$15="",Housemates!$C$15&lt;=$B279),OR(Housemates!$D$15="",Housemates!$D$15&gt;=$B279)),IF($Q279=0,1,INDEX(Bills!$AH$6:$AH$25,$Q279)),0))))</f>
        <v/>
      </c>
      <c r="AA279">
        <f>SUM(S279:Z279)</f>
        <v/>
      </c>
      <c r="AB279">
        <f>IF(AA279=0,0,D279*S279/AA279)</f>
        <v/>
      </c>
      <c r="AC279">
        <f>IF(AA279=0,0,D279*T279/AA279)</f>
        <v/>
      </c>
      <c r="AD279">
        <f>IF(AA279=0,0,D279*U279/AA279)</f>
        <v/>
      </c>
      <c r="AE279">
        <f>IF(AA279=0,0,D279*V279/AA279)</f>
        <v/>
      </c>
      <c r="AF279">
        <f>IF(AA279=0,0,D279*W279/AA279)</f>
        <v/>
      </c>
      <c r="AG279">
        <f>IF(AA279=0,0,D279*X279/AA279)</f>
        <v/>
      </c>
      <c r="AH279">
        <f>IF(AA279=0,0,D279*Y279/AA279)</f>
        <v/>
      </c>
      <c r="AI279">
        <f>IF(AA279=0,0,D279*Z279/AA279)</f>
        <v/>
      </c>
      <c r="AJ279">
        <f>IF(OR(C279="",B279=""),"",C279&amp;"|"&amp;(YEAR(B279)*100+MONTH(B279)))</f>
        <v/>
      </c>
    </row>
    <row r="280">
      <c r="A280" s="1" t="n"/>
      <c r="B280" s="23" t="n"/>
      <c r="C280" s="24" t="n"/>
      <c r="D280" s="25" t="n"/>
      <c r="E280" s="26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1">
        <f>IF(D280="","",IF(B280="","No date",IF(AND(C280="Paying back",R280=0),"To whom?",IF(AA280=0,"Nobody",IF(C280="Paying back","To "&amp;INDEX(Housemates!$B$8:$B$15,MATCH(MAX(S280:Z280),S280:Z280,0)),IF(R280&gt;0,IF(COUNTIF(S280:Z280,"&gt;0")=1,"1 person",COUNTIF(S280:Z280,"&gt;0")&amp;" people"),IF(Q280=0,"Everyone",INDEX(Bills!$Q$6:$Q$25,Q280))))))))</f>
        <v/>
      </c>
      <c r="O280" s="18">
        <f>IF(D280="","",IF(C280="Paying back","Paying back",IF(Q280=0,"Other",IF(INDEX(Bills!$C$6:$C$25,Q280)="","Other",INDEX(Bills!$C$6:$C$25,Q280)))))</f>
        <v/>
      </c>
      <c r="P280" s="1" t="n"/>
      <c r="Q280">
        <f>IF(C280="",0,IFERROR(MATCH(C280,Bills!$B$6:$B$25,0),0))</f>
        <v/>
      </c>
      <c r="R280">
        <f>COUNTA(F280:M280)</f>
        <v/>
      </c>
      <c r="S280">
        <f>IF(OR($D280="",$B280="",Housemates!$B$8=""),0,IF($R280&gt;0,IF(F280="",0,IF(ISNUMBER(F280),F280,1)),IF($C280="Paying back",0,IF(AND(OR(Housemates!$C$8="",Housemates!$C$8&lt;=$B280),OR(Housemates!$D$8="",Housemates!$D$8&gt;=$B280)),IF($Q280=0,1,INDEX(Bills!$AA$6:$AA$25,$Q280)),0))))</f>
        <v/>
      </c>
      <c r="T280">
        <f>IF(OR($D280="",$B280="",Housemates!$B$9=""),0,IF($R280&gt;0,IF(G280="",0,IF(ISNUMBER(G280),G280,1)),IF($C280="Paying back",0,IF(AND(OR(Housemates!$C$9="",Housemates!$C$9&lt;=$B280),OR(Housemates!$D$9="",Housemates!$D$9&gt;=$B280)),IF($Q280=0,1,INDEX(Bills!$AB$6:$AB$25,$Q280)),0))))</f>
        <v/>
      </c>
      <c r="U280">
        <f>IF(OR($D280="",$B280="",Housemates!$B$10=""),0,IF($R280&gt;0,IF(H280="",0,IF(ISNUMBER(H280),H280,1)),IF($C280="Paying back",0,IF(AND(OR(Housemates!$C$10="",Housemates!$C$10&lt;=$B280),OR(Housemates!$D$10="",Housemates!$D$10&gt;=$B280)),IF($Q280=0,1,INDEX(Bills!$AC$6:$AC$25,$Q280)),0))))</f>
        <v/>
      </c>
      <c r="V280">
        <f>IF(OR($D280="",$B280="",Housemates!$B$11=""),0,IF($R280&gt;0,IF(I280="",0,IF(ISNUMBER(I280),I280,1)),IF($C280="Paying back",0,IF(AND(OR(Housemates!$C$11="",Housemates!$C$11&lt;=$B280),OR(Housemates!$D$11="",Housemates!$D$11&gt;=$B280)),IF($Q280=0,1,INDEX(Bills!$AD$6:$AD$25,$Q280)),0))))</f>
        <v/>
      </c>
      <c r="W280">
        <f>IF(OR($D280="",$B280="",Housemates!$B$12=""),0,IF($R280&gt;0,IF(J280="",0,IF(ISNUMBER(J280),J280,1)),IF($C280="Paying back",0,IF(AND(OR(Housemates!$C$12="",Housemates!$C$12&lt;=$B280),OR(Housemates!$D$12="",Housemates!$D$12&gt;=$B280)),IF($Q280=0,1,INDEX(Bills!$AE$6:$AE$25,$Q280)),0))))</f>
        <v/>
      </c>
      <c r="X280">
        <f>IF(OR($D280="",$B280="",Housemates!$B$13=""),0,IF($R280&gt;0,IF(K280="",0,IF(ISNUMBER(K280),K280,1)),IF($C280="Paying back",0,IF(AND(OR(Housemates!$C$13="",Housemates!$C$13&lt;=$B280),OR(Housemates!$D$13="",Housemates!$D$13&gt;=$B280)),IF($Q280=0,1,INDEX(Bills!$AF$6:$AF$25,$Q280)),0))))</f>
        <v/>
      </c>
      <c r="Y280">
        <f>IF(OR($D280="",$B280="",Housemates!$B$14=""),0,IF($R280&gt;0,IF(L280="",0,IF(ISNUMBER(L280),L280,1)),IF($C280="Paying back",0,IF(AND(OR(Housemates!$C$14="",Housemates!$C$14&lt;=$B280),OR(Housemates!$D$14="",Housemates!$D$14&gt;=$B280)),IF($Q280=0,1,INDEX(Bills!$AG$6:$AG$25,$Q280)),0))))</f>
        <v/>
      </c>
      <c r="Z280">
        <f>IF(OR($D280="",$B280="",Housemates!$B$15=""),0,IF($R280&gt;0,IF(M280="",0,IF(ISNUMBER(M280),M280,1)),IF($C280="Paying back",0,IF(AND(OR(Housemates!$C$15="",Housemates!$C$15&lt;=$B280),OR(Housemates!$D$15="",Housemates!$D$15&gt;=$B280)),IF($Q280=0,1,INDEX(Bills!$AH$6:$AH$25,$Q280)),0))))</f>
        <v/>
      </c>
      <c r="AA280">
        <f>SUM(S280:Z280)</f>
        <v/>
      </c>
      <c r="AB280">
        <f>IF(AA280=0,0,D280*S280/AA280)</f>
        <v/>
      </c>
      <c r="AC280">
        <f>IF(AA280=0,0,D280*T280/AA280)</f>
        <v/>
      </c>
      <c r="AD280">
        <f>IF(AA280=0,0,D280*U280/AA280)</f>
        <v/>
      </c>
      <c r="AE280">
        <f>IF(AA280=0,0,D280*V280/AA280)</f>
        <v/>
      </c>
      <c r="AF280">
        <f>IF(AA280=0,0,D280*W280/AA280)</f>
        <v/>
      </c>
      <c r="AG280">
        <f>IF(AA280=0,0,D280*X280/AA280)</f>
        <v/>
      </c>
      <c r="AH280">
        <f>IF(AA280=0,0,D280*Y280/AA280)</f>
        <v/>
      </c>
      <c r="AI280">
        <f>IF(AA280=0,0,D280*Z280/AA280)</f>
        <v/>
      </c>
      <c r="AJ280">
        <f>IF(OR(C280="",B280=""),"",C280&amp;"|"&amp;(YEAR(B280)*100+MONTH(B280)))</f>
        <v/>
      </c>
    </row>
    <row r="281">
      <c r="A281" s="1" t="n"/>
      <c r="B281" s="23" t="n"/>
      <c r="C281" s="24" t="n"/>
      <c r="D281" s="25" t="n"/>
      <c r="E281" s="26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1">
        <f>IF(D281="","",IF(B281="","No date",IF(AND(C281="Paying back",R281=0),"To whom?",IF(AA281=0,"Nobody",IF(C281="Paying back","To "&amp;INDEX(Housemates!$B$8:$B$15,MATCH(MAX(S281:Z281),S281:Z281,0)),IF(R281&gt;0,IF(COUNTIF(S281:Z281,"&gt;0")=1,"1 person",COUNTIF(S281:Z281,"&gt;0")&amp;" people"),IF(Q281=0,"Everyone",INDEX(Bills!$Q$6:$Q$25,Q281))))))))</f>
        <v/>
      </c>
      <c r="O281" s="18">
        <f>IF(D281="","",IF(C281="Paying back","Paying back",IF(Q281=0,"Other",IF(INDEX(Bills!$C$6:$C$25,Q281)="","Other",INDEX(Bills!$C$6:$C$25,Q281)))))</f>
        <v/>
      </c>
      <c r="P281" s="1" t="n"/>
      <c r="Q281">
        <f>IF(C281="",0,IFERROR(MATCH(C281,Bills!$B$6:$B$25,0),0))</f>
        <v/>
      </c>
      <c r="R281">
        <f>COUNTA(F281:M281)</f>
        <v/>
      </c>
      <c r="S281">
        <f>IF(OR($D281="",$B281="",Housemates!$B$8=""),0,IF($R281&gt;0,IF(F281="",0,IF(ISNUMBER(F281),F281,1)),IF($C281="Paying back",0,IF(AND(OR(Housemates!$C$8="",Housemates!$C$8&lt;=$B281),OR(Housemates!$D$8="",Housemates!$D$8&gt;=$B281)),IF($Q281=0,1,INDEX(Bills!$AA$6:$AA$25,$Q281)),0))))</f>
        <v/>
      </c>
      <c r="T281">
        <f>IF(OR($D281="",$B281="",Housemates!$B$9=""),0,IF($R281&gt;0,IF(G281="",0,IF(ISNUMBER(G281),G281,1)),IF($C281="Paying back",0,IF(AND(OR(Housemates!$C$9="",Housemates!$C$9&lt;=$B281),OR(Housemates!$D$9="",Housemates!$D$9&gt;=$B281)),IF($Q281=0,1,INDEX(Bills!$AB$6:$AB$25,$Q281)),0))))</f>
        <v/>
      </c>
      <c r="U281">
        <f>IF(OR($D281="",$B281="",Housemates!$B$10=""),0,IF($R281&gt;0,IF(H281="",0,IF(ISNUMBER(H281),H281,1)),IF($C281="Paying back",0,IF(AND(OR(Housemates!$C$10="",Housemates!$C$10&lt;=$B281),OR(Housemates!$D$10="",Housemates!$D$10&gt;=$B281)),IF($Q281=0,1,INDEX(Bills!$AC$6:$AC$25,$Q281)),0))))</f>
        <v/>
      </c>
      <c r="V281">
        <f>IF(OR($D281="",$B281="",Housemates!$B$11=""),0,IF($R281&gt;0,IF(I281="",0,IF(ISNUMBER(I281),I281,1)),IF($C281="Paying back",0,IF(AND(OR(Housemates!$C$11="",Housemates!$C$11&lt;=$B281),OR(Housemates!$D$11="",Housemates!$D$11&gt;=$B281)),IF($Q281=0,1,INDEX(Bills!$AD$6:$AD$25,$Q281)),0))))</f>
        <v/>
      </c>
      <c r="W281">
        <f>IF(OR($D281="",$B281="",Housemates!$B$12=""),0,IF($R281&gt;0,IF(J281="",0,IF(ISNUMBER(J281),J281,1)),IF($C281="Paying back",0,IF(AND(OR(Housemates!$C$12="",Housemates!$C$12&lt;=$B281),OR(Housemates!$D$12="",Housemates!$D$12&gt;=$B281)),IF($Q281=0,1,INDEX(Bills!$AE$6:$AE$25,$Q281)),0))))</f>
        <v/>
      </c>
      <c r="X281">
        <f>IF(OR($D281="",$B281="",Housemates!$B$13=""),0,IF($R281&gt;0,IF(K281="",0,IF(ISNUMBER(K281),K281,1)),IF($C281="Paying back",0,IF(AND(OR(Housemates!$C$13="",Housemates!$C$13&lt;=$B281),OR(Housemates!$D$13="",Housemates!$D$13&gt;=$B281)),IF($Q281=0,1,INDEX(Bills!$AF$6:$AF$25,$Q281)),0))))</f>
        <v/>
      </c>
      <c r="Y281">
        <f>IF(OR($D281="",$B281="",Housemates!$B$14=""),0,IF($R281&gt;0,IF(L281="",0,IF(ISNUMBER(L281),L281,1)),IF($C281="Paying back",0,IF(AND(OR(Housemates!$C$14="",Housemates!$C$14&lt;=$B281),OR(Housemates!$D$14="",Housemates!$D$14&gt;=$B281)),IF($Q281=0,1,INDEX(Bills!$AG$6:$AG$25,$Q281)),0))))</f>
        <v/>
      </c>
      <c r="Z281">
        <f>IF(OR($D281="",$B281="",Housemates!$B$15=""),0,IF($R281&gt;0,IF(M281="",0,IF(ISNUMBER(M281),M281,1)),IF($C281="Paying back",0,IF(AND(OR(Housemates!$C$15="",Housemates!$C$15&lt;=$B281),OR(Housemates!$D$15="",Housemates!$D$15&gt;=$B281)),IF($Q281=0,1,INDEX(Bills!$AH$6:$AH$25,$Q281)),0))))</f>
        <v/>
      </c>
      <c r="AA281">
        <f>SUM(S281:Z281)</f>
        <v/>
      </c>
      <c r="AB281">
        <f>IF(AA281=0,0,D281*S281/AA281)</f>
        <v/>
      </c>
      <c r="AC281">
        <f>IF(AA281=0,0,D281*T281/AA281)</f>
        <v/>
      </c>
      <c r="AD281">
        <f>IF(AA281=0,0,D281*U281/AA281)</f>
        <v/>
      </c>
      <c r="AE281">
        <f>IF(AA281=0,0,D281*V281/AA281)</f>
        <v/>
      </c>
      <c r="AF281">
        <f>IF(AA281=0,0,D281*W281/AA281)</f>
        <v/>
      </c>
      <c r="AG281">
        <f>IF(AA281=0,0,D281*X281/AA281)</f>
        <v/>
      </c>
      <c r="AH281">
        <f>IF(AA281=0,0,D281*Y281/AA281)</f>
        <v/>
      </c>
      <c r="AI281">
        <f>IF(AA281=0,0,D281*Z281/AA281)</f>
        <v/>
      </c>
      <c r="AJ281">
        <f>IF(OR(C281="",B281=""),"",C281&amp;"|"&amp;(YEAR(B281)*100+MONTH(B281)))</f>
        <v/>
      </c>
    </row>
    <row r="282">
      <c r="A282" s="1" t="n"/>
      <c r="B282" s="23" t="n"/>
      <c r="C282" s="24" t="n"/>
      <c r="D282" s="25" t="n"/>
      <c r="E282" s="26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1">
        <f>IF(D282="","",IF(B282="","No date",IF(AND(C282="Paying back",R282=0),"To whom?",IF(AA282=0,"Nobody",IF(C282="Paying back","To "&amp;INDEX(Housemates!$B$8:$B$15,MATCH(MAX(S282:Z282),S282:Z282,0)),IF(R282&gt;0,IF(COUNTIF(S282:Z282,"&gt;0")=1,"1 person",COUNTIF(S282:Z282,"&gt;0")&amp;" people"),IF(Q282=0,"Everyone",INDEX(Bills!$Q$6:$Q$25,Q282))))))))</f>
        <v/>
      </c>
      <c r="O282" s="18">
        <f>IF(D282="","",IF(C282="Paying back","Paying back",IF(Q282=0,"Other",IF(INDEX(Bills!$C$6:$C$25,Q282)="","Other",INDEX(Bills!$C$6:$C$25,Q282)))))</f>
        <v/>
      </c>
      <c r="P282" s="1" t="n"/>
      <c r="Q282">
        <f>IF(C282="",0,IFERROR(MATCH(C282,Bills!$B$6:$B$25,0),0))</f>
        <v/>
      </c>
      <c r="R282">
        <f>COUNTA(F282:M282)</f>
        <v/>
      </c>
      <c r="S282">
        <f>IF(OR($D282="",$B282="",Housemates!$B$8=""),0,IF($R282&gt;0,IF(F282="",0,IF(ISNUMBER(F282),F282,1)),IF($C282="Paying back",0,IF(AND(OR(Housemates!$C$8="",Housemates!$C$8&lt;=$B282),OR(Housemates!$D$8="",Housemates!$D$8&gt;=$B282)),IF($Q282=0,1,INDEX(Bills!$AA$6:$AA$25,$Q282)),0))))</f>
        <v/>
      </c>
      <c r="T282">
        <f>IF(OR($D282="",$B282="",Housemates!$B$9=""),0,IF($R282&gt;0,IF(G282="",0,IF(ISNUMBER(G282),G282,1)),IF($C282="Paying back",0,IF(AND(OR(Housemates!$C$9="",Housemates!$C$9&lt;=$B282),OR(Housemates!$D$9="",Housemates!$D$9&gt;=$B282)),IF($Q282=0,1,INDEX(Bills!$AB$6:$AB$25,$Q282)),0))))</f>
        <v/>
      </c>
      <c r="U282">
        <f>IF(OR($D282="",$B282="",Housemates!$B$10=""),0,IF($R282&gt;0,IF(H282="",0,IF(ISNUMBER(H282),H282,1)),IF($C282="Paying back",0,IF(AND(OR(Housemates!$C$10="",Housemates!$C$10&lt;=$B282),OR(Housemates!$D$10="",Housemates!$D$10&gt;=$B282)),IF($Q282=0,1,INDEX(Bills!$AC$6:$AC$25,$Q282)),0))))</f>
        <v/>
      </c>
      <c r="V282">
        <f>IF(OR($D282="",$B282="",Housemates!$B$11=""),0,IF($R282&gt;0,IF(I282="",0,IF(ISNUMBER(I282),I282,1)),IF($C282="Paying back",0,IF(AND(OR(Housemates!$C$11="",Housemates!$C$11&lt;=$B282),OR(Housemates!$D$11="",Housemates!$D$11&gt;=$B282)),IF($Q282=0,1,INDEX(Bills!$AD$6:$AD$25,$Q282)),0))))</f>
        <v/>
      </c>
      <c r="W282">
        <f>IF(OR($D282="",$B282="",Housemates!$B$12=""),0,IF($R282&gt;0,IF(J282="",0,IF(ISNUMBER(J282),J282,1)),IF($C282="Paying back",0,IF(AND(OR(Housemates!$C$12="",Housemates!$C$12&lt;=$B282),OR(Housemates!$D$12="",Housemates!$D$12&gt;=$B282)),IF($Q282=0,1,INDEX(Bills!$AE$6:$AE$25,$Q282)),0))))</f>
        <v/>
      </c>
      <c r="X282">
        <f>IF(OR($D282="",$B282="",Housemates!$B$13=""),0,IF($R282&gt;0,IF(K282="",0,IF(ISNUMBER(K282),K282,1)),IF($C282="Paying back",0,IF(AND(OR(Housemates!$C$13="",Housemates!$C$13&lt;=$B282),OR(Housemates!$D$13="",Housemates!$D$13&gt;=$B282)),IF($Q282=0,1,INDEX(Bills!$AF$6:$AF$25,$Q282)),0))))</f>
        <v/>
      </c>
      <c r="Y282">
        <f>IF(OR($D282="",$B282="",Housemates!$B$14=""),0,IF($R282&gt;0,IF(L282="",0,IF(ISNUMBER(L282),L282,1)),IF($C282="Paying back",0,IF(AND(OR(Housemates!$C$14="",Housemates!$C$14&lt;=$B282),OR(Housemates!$D$14="",Housemates!$D$14&gt;=$B282)),IF($Q282=0,1,INDEX(Bills!$AG$6:$AG$25,$Q282)),0))))</f>
        <v/>
      </c>
      <c r="Z282">
        <f>IF(OR($D282="",$B282="",Housemates!$B$15=""),0,IF($R282&gt;0,IF(M282="",0,IF(ISNUMBER(M282),M282,1)),IF($C282="Paying back",0,IF(AND(OR(Housemates!$C$15="",Housemates!$C$15&lt;=$B282),OR(Housemates!$D$15="",Housemates!$D$15&gt;=$B282)),IF($Q282=0,1,INDEX(Bills!$AH$6:$AH$25,$Q282)),0))))</f>
        <v/>
      </c>
      <c r="AA282">
        <f>SUM(S282:Z282)</f>
        <v/>
      </c>
      <c r="AB282">
        <f>IF(AA282=0,0,D282*S282/AA282)</f>
        <v/>
      </c>
      <c r="AC282">
        <f>IF(AA282=0,0,D282*T282/AA282)</f>
        <v/>
      </c>
      <c r="AD282">
        <f>IF(AA282=0,0,D282*U282/AA282)</f>
        <v/>
      </c>
      <c r="AE282">
        <f>IF(AA282=0,0,D282*V282/AA282)</f>
        <v/>
      </c>
      <c r="AF282">
        <f>IF(AA282=0,0,D282*W282/AA282)</f>
        <v/>
      </c>
      <c r="AG282">
        <f>IF(AA282=0,0,D282*X282/AA282)</f>
        <v/>
      </c>
      <c r="AH282">
        <f>IF(AA282=0,0,D282*Y282/AA282)</f>
        <v/>
      </c>
      <c r="AI282">
        <f>IF(AA282=0,0,D282*Z282/AA282)</f>
        <v/>
      </c>
      <c r="AJ282">
        <f>IF(OR(C282="",B282=""),"",C282&amp;"|"&amp;(YEAR(B282)*100+MONTH(B282)))</f>
        <v/>
      </c>
    </row>
    <row r="283">
      <c r="A283" s="1" t="n"/>
      <c r="B283" s="23" t="n"/>
      <c r="C283" s="24" t="n"/>
      <c r="D283" s="25" t="n"/>
      <c r="E283" s="26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1">
        <f>IF(D283="","",IF(B283="","No date",IF(AND(C283="Paying back",R283=0),"To whom?",IF(AA283=0,"Nobody",IF(C283="Paying back","To "&amp;INDEX(Housemates!$B$8:$B$15,MATCH(MAX(S283:Z283),S283:Z283,0)),IF(R283&gt;0,IF(COUNTIF(S283:Z283,"&gt;0")=1,"1 person",COUNTIF(S283:Z283,"&gt;0")&amp;" people"),IF(Q283=0,"Everyone",INDEX(Bills!$Q$6:$Q$25,Q283))))))))</f>
        <v/>
      </c>
      <c r="O283" s="18">
        <f>IF(D283="","",IF(C283="Paying back","Paying back",IF(Q283=0,"Other",IF(INDEX(Bills!$C$6:$C$25,Q283)="","Other",INDEX(Bills!$C$6:$C$25,Q283)))))</f>
        <v/>
      </c>
      <c r="P283" s="1" t="n"/>
      <c r="Q283">
        <f>IF(C283="",0,IFERROR(MATCH(C283,Bills!$B$6:$B$25,0),0))</f>
        <v/>
      </c>
      <c r="R283">
        <f>COUNTA(F283:M283)</f>
        <v/>
      </c>
      <c r="S283">
        <f>IF(OR($D283="",$B283="",Housemates!$B$8=""),0,IF($R283&gt;0,IF(F283="",0,IF(ISNUMBER(F283),F283,1)),IF($C283="Paying back",0,IF(AND(OR(Housemates!$C$8="",Housemates!$C$8&lt;=$B283),OR(Housemates!$D$8="",Housemates!$D$8&gt;=$B283)),IF($Q283=0,1,INDEX(Bills!$AA$6:$AA$25,$Q283)),0))))</f>
        <v/>
      </c>
      <c r="T283">
        <f>IF(OR($D283="",$B283="",Housemates!$B$9=""),0,IF($R283&gt;0,IF(G283="",0,IF(ISNUMBER(G283),G283,1)),IF($C283="Paying back",0,IF(AND(OR(Housemates!$C$9="",Housemates!$C$9&lt;=$B283),OR(Housemates!$D$9="",Housemates!$D$9&gt;=$B283)),IF($Q283=0,1,INDEX(Bills!$AB$6:$AB$25,$Q283)),0))))</f>
        <v/>
      </c>
      <c r="U283">
        <f>IF(OR($D283="",$B283="",Housemates!$B$10=""),0,IF($R283&gt;0,IF(H283="",0,IF(ISNUMBER(H283),H283,1)),IF($C283="Paying back",0,IF(AND(OR(Housemates!$C$10="",Housemates!$C$10&lt;=$B283),OR(Housemates!$D$10="",Housemates!$D$10&gt;=$B283)),IF($Q283=0,1,INDEX(Bills!$AC$6:$AC$25,$Q283)),0))))</f>
        <v/>
      </c>
      <c r="V283">
        <f>IF(OR($D283="",$B283="",Housemates!$B$11=""),0,IF($R283&gt;0,IF(I283="",0,IF(ISNUMBER(I283),I283,1)),IF($C283="Paying back",0,IF(AND(OR(Housemates!$C$11="",Housemates!$C$11&lt;=$B283),OR(Housemates!$D$11="",Housemates!$D$11&gt;=$B283)),IF($Q283=0,1,INDEX(Bills!$AD$6:$AD$25,$Q283)),0))))</f>
        <v/>
      </c>
      <c r="W283">
        <f>IF(OR($D283="",$B283="",Housemates!$B$12=""),0,IF($R283&gt;0,IF(J283="",0,IF(ISNUMBER(J283),J283,1)),IF($C283="Paying back",0,IF(AND(OR(Housemates!$C$12="",Housemates!$C$12&lt;=$B283),OR(Housemates!$D$12="",Housemates!$D$12&gt;=$B283)),IF($Q283=0,1,INDEX(Bills!$AE$6:$AE$25,$Q283)),0))))</f>
        <v/>
      </c>
      <c r="X283">
        <f>IF(OR($D283="",$B283="",Housemates!$B$13=""),0,IF($R283&gt;0,IF(K283="",0,IF(ISNUMBER(K283),K283,1)),IF($C283="Paying back",0,IF(AND(OR(Housemates!$C$13="",Housemates!$C$13&lt;=$B283),OR(Housemates!$D$13="",Housemates!$D$13&gt;=$B283)),IF($Q283=0,1,INDEX(Bills!$AF$6:$AF$25,$Q283)),0))))</f>
        <v/>
      </c>
      <c r="Y283">
        <f>IF(OR($D283="",$B283="",Housemates!$B$14=""),0,IF($R283&gt;0,IF(L283="",0,IF(ISNUMBER(L283),L283,1)),IF($C283="Paying back",0,IF(AND(OR(Housemates!$C$14="",Housemates!$C$14&lt;=$B283),OR(Housemates!$D$14="",Housemates!$D$14&gt;=$B283)),IF($Q283=0,1,INDEX(Bills!$AG$6:$AG$25,$Q283)),0))))</f>
        <v/>
      </c>
      <c r="Z283">
        <f>IF(OR($D283="",$B283="",Housemates!$B$15=""),0,IF($R283&gt;0,IF(M283="",0,IF(ISNUMBER(M283),M283,1)),IF($C283="Paying back",0,IF(AND(OR(Housemates!$C$15="",Housemates!$C$15&lt;=$B283),OR(Housemates!$D$15="",Housemates!$D$15&gt;=$B283)),IF($Q283=0,1,INDEX(Bills!$AH$6:$AH$25,$Q283)),0))))</f>
        <v/>
      </c>
      <c r="AA283">
        <f>SUM(S283:Z283)</f>
        <v/>
      </c>
      <c r="AB283">
        <f>IF(AA283=0,0,D283*S283/AA283)</f>
        <v/>
      </c>
      <c r="AC283">
        <f>IF(AA283=0,0,D283*T283/AA283)</f>
        <v/>
      </c>
      <c r="AD283">
        <f>IF(AA283=0,0,D283*U283/AA283)</f>
        <v/>
      </c>
      <c r="AE283">
        <f>IF(AA283=0,0,D283*V283/AA283)</f>
        <v/>
      </c>
      <c r="AF283">
        <f>IF(AA283=0,0,D283*W283/AA283)</f>
        <v/>
      </c>
      <c r="AG283">
        <f>IF(AA283=0,0,D283*X283/AA283)</f>
        <v/>
      </c>
      <c r="AH283">
        <f>IF(AA283=0,0,D283*Y283/AA283)</f>
        <v/>
      </c>
      <c r="AI283">
        <f>IF(AA283=0,0,D283*Z283/AA283)</f>
        <v/>
      </c>
      <c r="AJ283">
        <f>IF(OR(C283="",B283=""),"",C283&amp;"|"&amp;(YEAR(B283)*100+MONTH(B283)))</f>
        <v/>
      </c>
    </row>
    <row r="284">
      <c r="A284" s="1" t="n"/>
      <c r="B284" s="23" t="n"/>
      <c r="C284" s="24" t="n"/>
      <c r="D284" s="25" t="n"/>
      <c r="E284" s="26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1">
        <f>IF(D284="","",IF(B284="","No date",IF(AND(C284="Paying back",R284=0),"To whom?",IF(AA284=0,"Nobody",IF(C284="Paying back","To "&amp;INDEX(Housemates!$B$8:$B$15,MATCH(MAX(S284:Z284),S284:Z284,0)),IF(R284&gt;0,IF(COUNTIF(S284:Z284,"&gt;0")=1,"1 person",COUNTIF(S284:Z284,"&gt;0")&amp;" people"),IF(Q284=0,"Everyone",INDEX(Bills!$Q$6:$Q$25,Q284))))))))</f>
        <v/>
      </c>
      <c r="O284" s="18">
        <f>IF(D284="","",IF(C284="Paying back","Paying back",IF(Q284=0,"Other",IF(INDEX(Bills!$C$6:$C$25,Q284)="","Other",INDEX(Bills!$C$6:$C$25,Q284)))))</f>
        <v/>
      </c>
      <c r="P284" s="1" t="n"/>
      <c r="Q284">
        <f>IF(C284="",0,IFERROR(MATCH(C284,Bills!$B$6:$B$25,0),0))</f>
        <v/>
      </c>
      <c r="R284">
        <f>COUNTA(F284:M284)</f>
        <v/>
      </c>
      <c r="S284">
        <f>IF(OR($D284="",$B284="",Housemates!$B$8=""),0,IF($R284&gt;0,IF(F284="",0,IF(ISNUMBER(F284),F284,1)),IF($C284="Paying back",0,IF(AND(OR(Housemates!$C$8="",Housemates!$C$8&lt;=$B284),OR(Housemates!$D$8="",Housemates!$D$8&gt;=$B284)),IF($Q284=0,1,INDEX(Bills!$AA$6:$AA$25,$Q284)),0))))</f>
        <v/>
      </c>
      <c r="T284">
        <f>IF(OR($D284="",$B284="",Housemates!$B$9=""),0,IF($R284&gt;0,IF(G284="",0,IF(ISNUMBER(G284),G284,1)),IF($C284="Paying back",0,IF(AND(OR(Housemates!$C$9="",Housemates!$C$9&lt;=$B284),OR(Housemates!$D$9="",Housemates!$D$9&gt;=$B284)),IF($Q284=0,1,INDEX(Bills!$AB$6:$AB$25,$Q284)),0))))</f>
        <v/>
      </c>
      <c r="U284">
        <f>IF(OR($D284="",$B284="",Housemates!$B$10=""),0,IF($R284&gt;0,IF(H284="",0,IF(ISNUMBER(H284),H284,1)),IF($C284="Paying back",0,IF(AND(OR(Housemates!$C$10="",Housemates!$C$10&lt;=$B284),OR(Housemates!$D$10="",Housemates!$D$10&gt;=$B284)),IF($Q284=0,1,INDEX(Bills!$AC$6:$AC$25,$Q284)),0))))</f>
        <v/>
      </c>
      <c r="V284">
        <f>IF(OR($D284="",$B284="",Housemates!$B$11=""),0,IF($R284&gt;0,IF(I284="",0,IF(ISNUMBER(I284),I284,1)),IF($C284="Paying back",0,IF(AND(OR(Housemates!$C$11="",Housemates!$C$11&lt;=$B284),OR(Housemates!$D$11="",Housemates!$D$11&gt;=$B284)),IF($Q284=0,1,INDEX(Bills!$AD$6:$AD$25,$Q284)),0))))</f>
        <v/>
      </c>
      <c r="W284">
        <f>IF(OR($D284="",$B284="",Housemates!$B$12=""),0,IF($R284&gt;0,IF(J284="",0,IF(ISNUMBER(J284),J284,1)),IF($C284="Paying back",0,IF(AND(OR(Housemates!$C$12="",Housemates!$C$12&lt;=$B284),OR(Housemates!$D$12="",Housemates!$D$12&gt;=$B284)),IF($Q284=0,1,INDEX(Bills!$AE$6:$AE$25,$Q284)),0))))</f>
        <v/>
      </c>
      <c r="X284">
        <f>IF(OR($D284="",$B284="",Housemates!$B$13=""),0,IF($R284&gt;0,IF(K284="",0,IF(ISNUMBER(K284),K284,1)),IF($C284="Paying back",0,IF(AND(OR(Housemates!$C$13="",Housemates!$C$13&lt;=$B284),OR(Housemates!$D$13="",Housemates!$D$13&gt;=$B284)),IF($Q284=0,1,INDEX(Bills!$AF$6:$AF$25,$Q284)),0))))</f>
        <v/>
      </c>
      <c r="Y284">
        <f>IF(OR($D284="",$B284="",Housemates!$B$14=""),0,IF($R284&gt;0,IF(L284="",0,IF(ISNUMBER(L284),L284,1)),IF($C284="Paying back",0,IF(AND(OR(Housemates!$C$14="",Housemates!$C$14&lt;=$B284),OR(Housemates!$D$14="",Housemates!$D$14&gt;=$B284)),IF($Q284=0,1,INDEX(Bills!$AG$6:$AG$25,$Q284)),0))))</f>
        <v/>
      </c>
      <c r="Z284">
        <f>IF(OR($D284="",$B284="",Housemates!$B$15=""),0,IF($R284&gt;0,IF(M284="",0,IF(ISNUMBER(M284),M284,1)),IF($C284="Paying back",0,IF(AND(OR(Housemates!$C$15="",Housemates!$C$15&lt;=$B284),OR(Housemates!$D$15="",Housemates!$D$15&gt;=$B284)),IF($Q284=0,1,INDEX(Bills!$AH$6:$AH$25,$Q284)),0))))</f>
        <v/>
      </c>
      <c r="AA284">
        <f>SUM(S284:Z284)</f>
        <v/>
      </c>
      <c r="AB284">
        <f>IF(AA284=0,0,D284*S284/AA284)</f>
        <v/>
      </c>
      <c r="AC284">
        <f>IF(AA284=0,0,D284*T284/AA284)</f>
        <v/>
      </c>
      <c r="AD284">
        <f>IF(AA284=0,0,D284*U284/AA284)</f>
        <v/>
      </c>
      <c r="AE284">
        <f>IF(AA284=0,0,D284*V284/AA284)</f>
        <v/>
      </c>
      <c r="AF284">
        <f>IF(AA284=0,0,D284*W284/AA284)</f>
        <v/>
      </c>
      <c r="AG284">
        <f>IF(AA284=0,0,D284*X284/AA284)</f>
        <v/>
      </c>
      <c r="AH284">
        <f>IF(AA284=0,0,D284*Y284/AA284)</f>
        <v/>
      </c>
      <c r="AI284">
        <f>IF(AA284=0,0,D284*Z284/AA284)</f>
        <v/>
      </c>
      <c r="AJ284">
        <f>IF(OR(C284="",B284=""),"",C284&amp;"|"&amp;(YEAR(B284)*100+MONTH(B284)))</f>
        <v/>
      </c>
    </row>
    <row r="285">
      <c r="A285" s="1" t="n"/>
      <c r="B285" s="23" t="n"/>
      <c r="C285" s="24" t="n"/>
      <c r="D285" s="25" t="n"/>
      <c r="E285" s="26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1">
        <f>IF(D285="","",IF(B285="","No date",IF(AND(C285="Paying back",R285=0),"To whom?",IF(AA285=0,"Nobody",IF(C285="Paying back","To "&amp;INDEX(Housemates!$B$8:$B$15,MATCH(MAX(S285:Z285),S285:Z285,0)),IF(R285&gt;0,IF(COUNTIF(S285:Z285,"&gt;0")=1,"1 person",COUNTIF(S285:Z285,"&gt;0")&amp;" people"),IF(Q285=0,"Everyone",INDEX(Bills!$Q$6:$Q$25,Q285))))))))</f>
        <v/>
      </c>
      <c r="O285" s="18">
        <f>IF(D285="","",IF(C285="Paying back","Paying back",IF(Q285=0,"Other",IF(INDEX(Bills!$C$6:$C$25,Q285)="","Other",INDEX(Bills!$C$6:$C$25,Q285)))))</f>
        <v/>
      </c>
      <c r="P285" s="1" t="n"/>
      <c r="Q285">
        <f>IF(C285="",0,IFERROR(MATCH(C285,Bills!$B$6:$B$25,0),0))</f>
        <v/>
      </c>
      <c r="R285">
        <f>COUNTA(F285:M285)</f>
        <v/>
      </c>
      <c r="S285">
        <f>IF(OR($D285="",$B285="",Housemates!$B$8=""),0,IF($R285&gt;0,IF(F285="",0,IF(ISNUMBER(F285),F285,1)),IF($C285="Paying back",0,IF(AND(OR(Housemates!$C$8="",Housemates!$C$8&lt;=$B285),OR(Housemates!$D$8="",Housemates!$D$8&gt;=$B285)),IF($Q285=0,1,INDEX(Bills!$AA$6:$AA$25,$Q285)),0))))</f>
        <v/>
      </c>
      <c r="T285">
        <f>IF(OR($D285="",$B285="",Housemates!$B$9=""),0,IF($R285&gt;0,IF(G285="",0,IF(ISNUMBER(G285),G285,1)),IF($C285="Paying back",0,IF(AND(OR(Housemates!$C$9="",Housemates!$C$9&lt;=$B285),OR(Housemates!$D$9="",Housemates!$D$9&gt;=$B285)),IF($Q285=0,1,INDEX(Bills!$AB$6:$AB$25,$Q285)),0))))</f>
        <v/>
      </c>
      <c r="U285">
        <f>IF(OR($D285="",$B285="",Housemates!$B$10=""),0,IF($R285&gt;0,IF(H285="",0,IF(ISNUMBER(H285),H285,1)),IF($C285="Paying back",0,IF(AND(OR(Housemates!$C$10="",Housemates!$C$10&lt;=$B285),OR(Housemates!$D$10="",Housemates!$D$10&gt;=$B285)),IF($Q285=0,1,INDEX(Bills!$AC$6:$AC$25,$Q285)),0))))</f>
        <v/>
      </c>
      <c r="V285">
        <f>IF(OR($D285="",$B285="",Housemates!$B$11=""),0,IF($R285&gt;0,IF(I285="",0,IF(ISNUMBER(I285),I285,1)),IF($C285="Paying back",0,IF(AND(OR(Housemates!$C$11="",Housemates!$C$11&lt;=$B285),OR(Housemates!$D$11="",Housemates!$D$11&gt;=$B285)),IF($Q285=0,1,INDEX(Bills!$AD$6:$AD$25,$Q285)),0))))</f>
        <v/>
      </c>
      <c r="W285">
        <f>IF(OR($D285="",$B285="",Housemates!$B$12=""),0,IF($R285&gt;0,IF(J285="",0,IF(ISNUMBER(J285),J285,1)),IF($C285="Paying back",0,IF(AND(OR(Housemates!$C$12="",Housemates!$C$12&lt;=$B285),OR(Housemates!$D$12="",Housemates!$D$12&gt;=$B285)),IF($Q285=0,1,INDEX(Bills!$AE$6:$AE$25,$Q285)),0))))</f>
        <v/>
      </c>
      <c r="X285">
        <f>IF(OR($D285="",$B285="",Housemates!$B$13=""),0,IF($R285&gt;0,IF(K285="",0,IF(ISNUMBER(K285),K285,1)),IF($C285="Paying back",0,IF(AND(OR(Housemates!$C$13="",Housemates!$C$13&lt;=$B285),OR(Housemates!$D$13="",Housemates!$D$13&gt;=$B285)),IF($Q285=0,1,INDEX(Bills!$AF$6:$AF$25,$Q285)),0))))</f>
        <v/>
      </c>
      <c r="Y285">
        <f>IF(OR($D285="",$B285="",Housemates!$B$14=""),0,IF($R285&gt;0,IF(L285="",0,IF(ISNUMBER(L285),L285,1)),IF($C285="Paying back",0,IF(AND(OR(Housemates!$C$14="",Housemates!$C$14&lt;=$B285),OR(Housemates!$D$14="",Housemates!$D$14&gt;=$B285)),IF($Q285=0,1,INDEX(Bills!$AG$6:$AG$25,$Q285)),0))))</f>
        <v/>
      </c>
      <c r="Z285">
        <f>IF(OR($D285="",$B285="",Housemates!$B$15=""),0,IF($R285&gt;0,IF(M285="",0,IF(ISNUMBER(M285),M285,1)),IF($C285="Paying back",0,IF(AND(OR(Housemates!$C$15="",Housemates!$C$15&lt;=$B285),OR(Housemates!$D$15="",Housemates!$D$15&gt;=$B285)),IF($Q285=0,1,INDEX(Bills!$AH$6:$AH$25,$Q285)),0))))</f>
        <v/>
      </c>
      <c r="AA285">
        <f>SUM(S285:Z285)</f>
        <v/>
      </c>
      <c r="AB285">
        <f>IF(AA285=0,0,D285*S285/AA285)</f>
        <v/>
      </c>
      <c r="AC285">
        <f>IF(AA285=0,0,D285*T285/AA285)</f>
        <v/>
      </c>
      <c r="AD285">
        <f>IF(AA285=0,0,D285*U285/AA285)</f>
        <v/>
      </c>
      <c r="AE285">
        <f>IF(AA285=0,0,D285*V285/AA285)</f>
        <v/>
      </c>
      <c r="AF285">
        <f>IF(AA285=0,0,D285*W285/AA285)</f>
        <v/>
      </c>
      <c r="AG285">
        <f>IF(AA285=0,0,D285*X285/AA285)</f>
        <v/>
      </c>
      <c r="AH285">
        <f>IF(AA285=0,0,D285*Y285/AA285)</f>
        <v/>
      </c>
      <c r="AI285">
        <f>IF(AA285=0,0,D285*Z285/AA285)</f>
        <v/>
      </c>
      <c r="AJ285">
        <f>IF(OR(C285="",B285=""),"",C285&amp;"|"&amp;(YEAR(B285)*100+MONTH(B285)))</f>
        <v/>
      </c>
    </row>
    <row r="286">
      <c r="A286" s="1" t="n"/>
      <c r="B286" s="23" t="n"/>
      <c r="C286" s="24" t="n"/>
      <c r="D286" s="25" t="n"/>
      <c r="E286" s="26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1">
        <f>IF(D286="","",IF(B286="","No date",IF(AND(C286="Paying back",R286=0),"To whom?",IF(AA286=0,"Nobody",IF(C286="Paying back","To "&amp;INDEX(Housemates!$B$8:$B$15,MATCH(MAX(S286:Z286),S286:Z286,0)),IF(R286&gt;0,IF(COUNTIF(S286:Z286,"&gt;0")=1,"1 person",COUNTIF(S286:Z286,"&gt;0")&amp;" people"),IF(Q286=0,"Everyone",INDEX(Bills!$Q$6:$Q$25,Q286))))))))</f>
        <v/>
      </c>
      <c r="O286" s="18">
        <f>IF(D286="","",IF(C286="Paying back","Paying back",IF(Q286=0,"Other",IF(INDEX(Bills!$C$6:$C$25,Q286)="","Other",INDEX(Bills!$C$6:$C$25,Q286)))))</f>
        <v/>
      </c>
      <c r="P286" s="1" t="n"/>
      <c r="Q286">
        <f>IF(C286="",0,IFERROR(MATCH(C286,Bills!$B$6:$B$25,0),0))</f>
        <v/>
      </c>
      <c r="R286">
        <f>COUNTA(F286:M286)</f>
        <v/>
      </c>
      <c r="S286">
        <f>IF(OR($D286="",$B286="",Housemates!$B$8=""),0,IF($R286&gt;0,IF(F286="",0,IF(ISNUMBER(F286),F286,1)),IF($C286="Paying back",0,IF(AND(OR(Housemates!$C$8="",Housemates!$C$8&lt;=$B286),OR(Housemates!$D$8="",Housemates!$D$8&gt;=$B286)),IF($Q286=0,1,INDEX(Bills!$AA$6:$AA$25,$Q286)),0))))</f>
        <v/>
      </c>
      <c r="T286">
        <f>IF(OR($D286="",$B286="",Housemates!$B$9=""),0,IF($R286&gt;0,IF(G286="",0,IF(ISNUMBER(G286),G286,1)),IF($C286="Paying back",0,IF(AND(OR(Housemates!$C$9="",Housemates!$C$9&lt;=$B286),OR(Housemates!$D$9="",Housemates!$D$9&gt;=$B286)),IF($Q286=0,1,INDEX(Bills!$AB$6:$AB$25,$Q286)),0))))</f>
        <v/>
      </c>
      <c r="U286">
        <f>IF(OR($D286="",$B286="",Housemates!$B$10=""),0,IF($R286&gt;0,IF(H286="",0,IF(ISNUMBER(H286),H286,1)),IF($C286="Paying back",0,IF(AND(OR(Housemates!$C$10="",Housemates!$C$10&lt;=$B286),OR(Housemates!$D$10="",Housemates!$D$10&gt;=$B286)),IF($Q286=0,1,INDEX(Bills!$AC$6:$AC$25,$Q286)),0))))</f>
        <v/>
      </c>
      <c r="V286">
        <f>IF(OR($D286="",$B286="",Housemates!$B$11=""),0,IF($R286&gt;0,IF(I286="",0,IF(ISNUMBER(I286),I286,1)),IF($C286="Paying back",0,IF(AND(OR(Housemates!$C$11="",Housemates!$C$11&lt;=$B286),OR(Housemates!$D$11="",Housemates!$D$11&gt;=$B286)),IF($Q286=0,1,INDEX(Bills!$AD$6:$AD$25,$Q286)),0))))</f>
        <v/>
      </c>
      <c r="W286">
        <f>IF(OR($D286="",$B286="",Housemates!$B$12=""),0,IF($R286&gt;0,IF(J286="",0,IF(ISNUMBER(J286),J286,1)),IF($C286="Paying back",0,IF(AND(OR(Housemates!$C$12="",Housemates!$C$12&lt;=$B286),OR(Housemates!$D$12="",Housemates!$D$12&gt;=$B286)),IF($Q286=0,1,INDEX(Bills!$AE$6:$AE$25,$Q286)),0))))</f>
        <v/>
      </c>
      <c r="X286">
        <f>IF(OR($D286="",$B286="",Housemates!$B$13=""),0,IF($R286&gt;0,IF(K286="",0,IF(ISNUMBER(K286),K286,1)),IF($C286="Paying back",0,IF(AND(OR(Housemates!$C$13="",Housemates!$C$13&lt;=$B286),OR(Housemates!$D$13="",Housemates!$D$13&gt;=$B286)),IF($Q286=0,1,INDEX(Bills!$AF$6:$AF$25,$Q286)),0))))</f>
        <v/>
      </c>
      <c r="Y286">
        <f>IF(OR($D286="",$B286="",Housemates!$B$14=""),0,IF($R286&gt;0,IF(L286="",0,IF(ISNUMBER(L286),L286,1)),IF($C286="Paying back",0,IF(AND(OR(Housemates!$C$14="",Housemates!$C$14&lt;=$B286),OR(Housemates!$D$14="",Housemates!$D$14&gt;=$B286)),IF($Q286=0,1,INDEX(Bills!$AG$6:$AG$25,$Q286)),0))))</f>
        <v/>
      </c>
      <c r="Z286">
        <f>IF(OR($D286="",$B286="",Housemates!$B$15=""),0,IF($R286&gt;0,IF(M286="",0,IF(ISNUMBER(M286),M286,1)),IF($C286="Paying back",0,IF(AND(OR(Housemates!$C$15="",Housemates!$C$15&lt;=$B286),OR(Housemates!$D$15="",Housemates!$D$15&gt;=$B286)),IF($Q286=0,1,INDEX(Bills!$AH$6:$AH$25,$Q286)),0))))</f>
        <v/>
      </c>
      <c r="AA286">
        <f>SUM(S286:Z286)</f>
        <v/>
      </c>
      <c r="AB286">
        <f>IF(AA286=0,0,D286*S286/AA286)</f>
        <v/>
      </c>
      <c r="AC286">
        <f>IF(AA286=0,0,D286*T286/AA286)</f>
        <v/>
      </c>
      <c r="AD286">
        <f>IF(AA286=0,0,D286*U286/AA286)</f>
        <v/>
      </c>
      <c r="AE286">
        <f>IF(AA286=0,0,D286*V286/AA286)</f>
        <v/>
      </c>
      <c r="AF286">
        <f>IF(AA286=0,0,D286*W286/AA286)</f>
        <v/>
      </c>
      <c r="AG286">
        <f>IF(AA286=0,0,D286*X286/AA286)</f>
        <v/>
      </c>
      <c r="AH286">
        <f>IF(AA286=0,0,D286*Y286/AA286)</f>
        <v/>
      </c>
      <c r="AI286">
        <f>IF(AA286=0,0,D286*Z286/AA286)</f>
        <v/>
      </c>
      <c r="AJ286">
        <f>IF(OR(C286="",B286=""),"",C286&amp;"|"&amp;(YEAR(B286)*100+MONTH(B286)))</f>
        <v/>
      </c>
    </row>
    <row r="287">
      <c r="A287" s="1" t="n"/>
      <c r="B287" s="23" t="n"/>
      <c r="C287" s="24" t="n"/>
      <c r="D287" s="25" t="n"/>
      <c r="E287" s="26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1">
        <f>IF(D287="","",IF(B287="","No date",IF(AND(C287="Paying back",R287=0),"To whom?",IF(AA287=0,"Nobody",IF(C287="Paying back","To "&amp;INDEX(Housemates!$B$8:$B$15,MATCH(MAX(S287:Z287),S287:Z287,0)),IF(R287&gt;0,IF(COUNTIF(S287:Z287,"&gt;0")=1,"1 person",COUNTIF(S287:Z287,"&gt;0")&amp;" people"),IF(Q287=0,"Everyone",INDEX(Bills!$Q$6:$Q$25,Q287))))))))</f>
        <v/>
      </c>
      <c r="O287" s="18">
        <f>IF(D287="","",IF(C287="Paying back","Paying back",IF(Q287=0,"Other",IF(INDEX(Bills!$C$6:$C$25,Q287)="","Other",INDEX(Bills!$C$6:$C$25,Q287)))))</f>
        <v/>
      </c>
      <c r="P287" s="1" t="n"/>
      <c r="Q287">
        <f>IF(C287="",0,IFERROR(MATCH(C287,Bills!$B$6:$B$25,0),0))</f>
        <v/>
      </c>
      <c r="R287">
        <f>COUNTA(F287:M287)</f>
        <v/>
      </c>
      <c r="S287">
        <f>IF(OR($D287="",$B287="",Housemates!$B$8=""),0,IF($R287&gt;0,IF(F287="",0,IF(ISNUMBER(F287),F287,1)),IF($C287="Paying back",0,IF(AND(OR(Housemates!$C$8="",Housemates!$C$8&lt;=$B287),OR(Housemates!$D$8="",Housemates!$D$8&gt;=$B287)),IF($Q287=0,1,INDEX(Bills!$AA$6:$AA$25,$Q287)),0))))</f>
        <v/>
      </c>
      <c r="T287">
        <f>IF(OR($D287="",$B287="",Housemates!$B$9=""),0,IF($R287&gt;0,IF(G287="",0,IF(ISNUMBER(G287),G287,1)),IF($C287="Paying back",0,IF(AND(OR(Housemates!$C$9="",Housemates!$C$9&lt;=$B287),OR(Housemates!$D$9="",Housemates!$D$9&gt;=$B287)),IF($Q287=0,1,INDEX(Bills!$AB$6:$AB$25,$Q287)),0))))</f>
        <v/>
      </c>
      <c r="U287">
        <f>IF(OR($D287="",$B287="",Housemates!$B$10=""),0,IF($R287&gt;0,IF(H287="",0,IF(ISNUMBER(H287),H287,1)),IF($C287="Paying back",0,IF(AND(OR(Housemates!$C$10="",Housemates!$C$10&lt;=$B287),OR(Housemates!$D$10="",Housemates!$D$10&gt;=$B287)),IF($Q287=0,1,INDEX(Bills!$AC$6:$AC$25,$Q287)),0))))</f>
        <v/>
      </c>
      <c r="V287">
        <f>IF(OR($D287="",$B287="",Housemates!$B$11=""),0,IF($R287&gt;0,IF(I287="",0,IF(ISNUMBER(I287),I287,1)),IF($C287="Paying back",0,IF(AND(OR(Housemates!$C$11="",Housemates!$C$11&lt;=$B287),OR(Housemates!$D$11="",Housemates!$D$11&gt;=$B287)),IF($Q287=0,1,INDEX(Bills!$AD$6:$AD$25,$Q287)),0))))</f>
        <v/>
      </c>
      <c r="W287">
        <f>IF(OR($D287="",$B287="",Housemates!$B$12=""),0,IF($R287&gt;0,IF(J287="",0,IF(ISNUMBER(J287),J287,1)),IF($C287="Paying back",0,IF(AND(OR(Housemates!$C$12="",Housemates!$C$12&lt;=$B287),OR(Housemates!$D$12="",Housemates!$D$12&gt;=$B287)),IF($Q287=0,1,INDEX(Bills!$AE$6:$AE$25,$Q287)),0))))</f>
        <v/>
      </c>
      <c r="X287">
        <f>IF(OR($D287="",$B287="",Housemates!$B$13=""),0,IF($R287&gt;0,IF(K287="",0,IF(ISNUMBER(K287),K287,1)),IF($C287="Paying back",0,IF(AND(OR(Housemates!$C$13="",Housemates!$C$13&lt;=$B287),OR(Housemates!$D$13="",Housemates!$D$13&gt;=$B287)),IF($Q287=0,1,INDEX(Bills!$AF$6:$AF$25,$Q287)),0))))</f>
        <v/>
      </c>
      <c r="Y287">
        <f>IF(OR($D287="",$B287="",Housemates!$B$14=""),0,IF($R287&gt;0,IF(L287="",0,IF(ISNUMBER(L287),L287,1)),IF($C287="Paying back",0,IF(AND(OR(Housemates!$C$14="",Housemates!$C$14&lt;=$B287),OR(Housemates!$D$14="",Housemates!$D$14&gt;=$B287)),IF($Q287=0,1,INDEX(Bills!$AG$6:$AG$25,$Q287)),0))))</f>
        <v/>
      </c>
      <c r="Z287">
        <f>IF(OR($D287="",$B287="",Housemates!$B$15=""),0,IF($R287&gt;0,IF(M287="",0,IF(ISNUMBER(M287),M287,1)),IF($C287="Paying back",0,IF(AND(OR(Housemates!$C$15="",Housemates!$C$15&lt;=$B287),OR(Housemates!$D$15="",Housemates!$D$15&gt;=$B287)),IF($Q287=0,1,INDEX(Bills!$AH$6:$AH$25,$Q287)),0))))</f>
        <v/>
      </c>
      <c r="AA287">
        <f>SUM(S287:Z287)</f>
        <v/>
      </c>
      <c r="AB287">
        <f>IF(AA287=0,0,D287*S287/AA287)</f>
        <v/>
      </c>
      <c r="AC287">
        <f>IF(AA287=0,0,D287*T287/AA287)</f>
        <v/>
      </c>
      <c r="AD287">
        <f>IF(AA287=0,0,D287*U287/AA287)</f>
        <v/>
      </c>
      <c r="AE287">
        <f>IF(AA287=0,0,D287*V287/AA287)</f>
        <v/>
      </c>
      <c r="AF287">
        <f>IF(AA287=0,0,D287*W287/AA287)</f>
        <v/>
      </c>
      <c r="AG287">
        <f>IF(AA287=0,0,D287*X287/AA287)</f>
        <v/>
      </c>
      <c r="AH287">
        <f>IF(AA287=0,0,D287*Y287/AA287)</f>
        <v/>
      </c>
      <c r="AI287">
        <f>IF(AA287=0,0,D287*Z287/AA287)</f>
        <v/>
      </c>
      <c r="AJ287">
        <f>IF(OR(C287="",B287=""),"",C287&amp;"|"&amp;(YEAR(B287)*100+MONTH(B287)))</f>
        <v/>
      </c>
    </row>
    <row r="288">
      <c r="A288" s="1" t="n"/>
      <c r="B288" s="23" t="n"/>
      <c r="C288" s="24" t="n"/>
      <c r="D288" s="25" t="n"/>
      <c r="E288" s="26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1">
        <f>IF(D288="","",IF(B288="","No date",IF(AND(C288="Paying back",R288=0),"To whom?",IF(AA288=0,"Nobody",IF(C288="Paying back","To "&amp;INDEX(Housemates!$B$8:$B$15,MATCH(MAX(S288:Z288),S288:Z288,0)),IF(R288&gt;0,IF(COUNTIF(S288:Z288,"&gt;0")=1,"1 person",COUNTIF(S288:Z288,"&gt;0")&amp;" people"),IF(Q288=0,"Everyone",INDEX(Bills!$Q$6:$Q$25,Q288))))))))</f>
        <v/>
      </c>
      <c r="O288" s="18">
        <f>IF(D288="","",IF(C288="Paying back","Paying back",IF(Q288=0,"Other",IF(INDEX(Bills!$C$6:$C$25,Q288)="","Other",INDEX(Bills!$C$6:$C$25,Q288)))))</f>
        <v/>
      </c>
      <c r="P288" s="1" t="n"/>
      <c r="Q288">
        <f>IF(C288="",0,IFERROR(MATCH(C288,Bills!$B$6:$B$25,0),0))</f>
        <v/>
      </c>
      <c r="R288">
        <f>COUNTA(F288:M288)</f>
        <v/>
      </c>
      <c r="S288">
        <f>IF(OR($D288="",$B288="",Housemates!$B$8=""),0,IF($R288&gt;0,IF(F288="",0,IF(ISNUMBER(F288),F288,1)),IF($C288="Paying back",0,IF(AND(OR(Housemates!$C$8="",Housemates!$C$8&lt;=$B288),OR(Housemates!$D$8="",Housemates!$D$8&gt;=$B288)),IF($Q288=0,1,INDEX(Bills!$AA$6:$AA$25,$Q288)),0))))</f>
        <v/>
      </c>
      <c r="T288">
        <f>IF(OR($D288="",$B288="",Housemates!$B$9=""),0,IF($R288&gt;0,IF(G288="",0,IF(ISNUMBER(G288),G288,1)),IF($C288="Paying back",0,IF(AND(OR(Housemates!$C$9="",Housemates!$C$9&lt;=$B288),OR(Housemates!$D$9="",Housemates!$D$9&gt;=$B288)),IF($Q288=0,1,INDEX(Bills!$AB$6:$AB$25,$Q288)),0))))</f>
        <v/>
      </c>
      <c r="U288">
        <f>IF(OR($D288="",$B288="",Housemates!$B$10=""),0,IF($R288&gt;0,IF(H288="",0,IF(ISNUMBER(H288),H288,1)),IF($C288="Paying back",0,IF(AND(OR(Housemates!$C$10="",Housemates!$C$10&lt;=$B288),OR(Housemates!$D$10="",Housemates!$D$10&gt;=$B288)),IF($Q288=0,1,INDEX(Bills!$AC$6:$AC$25,$Q288)),0))))</f>
        <v/>
      </c>
      <c r="V288">
        <f>IF(OR($D288="",$B288="",Housemates!$B$11=""),0,IF($R288&gt;0,IF(I288="",0,IF(ISNUMBER(I288),I288,1)),IF($C288="Paying back",0,IF(AND(OR(Housemates!$C$11="",Housemates!$C$11&lt;=$B288),OR(Housemates!$D$11="",Housemates!$D$11&gt;=$B288)),IF($Q288=0,1,INDEX(Bills!$AD$6:$AD$25,$Q288)),0))))</f>
        <v/>
      </c>
      <c r="W288">
        <f>IF(OR($D288="",$B288="",Housemates!$B$12=""),0,IF($R288&gt;0,IF(J288="",0,IF(ISNUMBER(J288),J288,1)),IF($C288="Paying back",0,IF(AND(OR(Housemates!$C$12="",Housemates!$C$12&lt;=$B288),OR(Housemates!$D$12="",Housemates!$D$12&gt;=$B288)),IF($Q288=0,1,INDEX(Bills!$AE$6:$AE$25,$Q288)),0))))</f>
        <v/>
      </c>
      <c r="X288">
        <f>IF(OR($D288="",$B288="",Housemates!$B$13=""),0,IF($R288&gt;0,IF(K288="",0,IF(ISNUMBER(K288),K288,1)),IF($C288="Paying back",0,IF(AND(OR(Housemates!$C$13="",Housemates!$C$13&lt;=$B288),OR(Housemates!$D$13="",Housemates!$D$13&gt;=$B288)),IF($Q288=0,1,INDEX(Bills!$AF$6:$AF$25,$Q288)),0))))</f>
        <v/>
      </c>
      <c r="Y288">
        <f>IF(OR($D288="",$B288="",Housemates!$B$14=""),0,IF($R288&gt;0,IF(L288="",0,IF(ISNUMBER(L288),L288,1)),IF($C288="Paying back",0,IF(AND(OR(Housemates!$C$14="",Housemates!$C$14&lt;=$B288),OR(Housemates!$D$14="",Housemates!$D$14&gt;=$B288)),IF($Q288=0,1,INDEX(Bills!$AG$6:$AG$25,$Q288)),0))))</f>
        <v/>
      </c>
      <c r="Z288">
        <f>IF(OR($D288="",$B288="",Housemates!$B$15=""),0,IF($R288&gt;0,IF(M288="",0,IF(ISNUMBER(M288),M288,1)),IF($C288="Paying back",0,IF(AND(OR(Housemates!$C$15="",Housemates!$C$15&lt;=$B288),OR(Housemates!$D$15="",Housemates!$D$15&gt;=$B288)),IF($Q288=0,1,INDEX(Bills!$AH$6:$AH$25,$Q288)),0))))</f>
        <v/>
      </c>
      <c r="AA288">
        <f>SUM(S288:Z288)</f>
        <v/>
      </c>
      <c r="AB288">
        <f>IF(AA288=0,0,D288*S288/AA288)</f>
        <v/>
      </c>
      <c r="AC288">
        <f>IF(AA288=0,0,D288*T288/AA288)</f>
        <v/>
      </c>
      <c r="AD288">
        <f>IF(AA288=0,0,D288*U288/AA288)</f>
        <v/>
      </c>
      <c r="AE288">
        <f>IF(AA288=0,0,D288*V288/AA288)</f>
        <v/>
      </c>
      <c r="AF288">
        <f>IF(AA288=0,0,D288*W288/AA288)</f>
        <v/>
      </c>
      <c r="AG288">
        <f>IF(AA288=0,0,D288*X288/AA288)</f>
        <v/>
      </c>
      <c r="AH288">
        <f>IF(AA288=0,0,D288*Y288/AA288)</f>
        <v/>
      </c>
      <c r="AI288">
        <f>IF(AA288=0,0,D288*Z288/AA288)</f>
        <v/>
      </c>
      <c r="AJ288">
        <f>IF(OR(C288="",B288=""),"",C288&amp;"|"&amp;(YEAR(B288)*100+MONTH(B288)))</f>
        <v/>
      </c>
    </row>
    <row r="289">
      <c r="A289" s="1" t="n"/>
      <c r="B289" s="23" t="n"/>
      <c r="C289" s="24" t="n"/>
      <c r="D289" s="25" t="n"/>
      <c r="E289" s="26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1">
        <f>IF(D289="","",IF(B289="","No date",IF(AND(C289="Paying back",R289=0),"To whom?",IF(AA289=0,"Nobody",IF(C289="Paying back","To "&amp;INDEX(Housemates!$B$8:$B$15,MATCH(MAX(S289:Z289),S289:Z289,0)),IF(R289&gt;0,IF(COUNTIF(S289:Z289,"&gt;0")=1,"1 person",COUNTIF(S289:Z289,"&gt;0")&amp;" people"),IF(Q289=0,"Everyone",INDEX(Bills!$Q$6:$Q$25,Q289))))))))</f>
        <v/>
      </c>
      <c r="O289" s="18">
        <f>IF(D289="","",IF(C289="Paying back","Paying back",IF(Q289=0,"Other",IF(INDEX(Bills!$C$6:$C$25,Q289)="","Other",INDEX(Bills!$C$6:$C$25,Q289)))))</f>
        <v/>
      </c>
      <c r="P289" s="1" t="n"/>
      <c r="Q289">
        <f>IF(C289="",0,IFERROR(MATCH(C289,Bills!$B$6:$B$25,0),0))</f>
        <v/>
      </c>
      <c r="R289">
        <f>COUNTA(F289:M289)</f>
        <v/>
      </c>
      <c r="S289">
        <f>IF(OR($D289="",$B289="",Housemates!$B$8=""),0,IF($R289&gt;0,IF(F289="",0,IF(ISNUMBER(F289),F289,1)),IF($C289="Paying back",0,IF(AND(OR(Housemates!$C$8="",Housemates!$C$8&lt;=$B289),OR(Housemates!$D$8="",Housemates!$D$8&gt;=$B289)),IF($Q289=0,1,INDEX(Bills!$AA$6:$AA$25,$Q289)),0))))</f>
        <v/>
      </c>
      <c r="T289">
        <f>IF(OR($D289="",$B289="",Housemates!$B$9=""),0,IF($R289&gt;0,IF(G289="",0,IF(ISNUMBER(G289),G289,1)),IF($C289="Paying back",0,IF(AND(OR(Housemates!$C$9="",Housemates!$C$9&lt;=$B289),OR(Housemates!$D$9="",Housemates!$D$9&gt;=$B289)),IF($Q289=0,1,INDEX(Bills!$AB$6:$AB$25,$Q289)),0))))</f>
        <v/>
      </c>
      <c r="U289">
        <f>IF(OR($D289="",$B289="",Housemates!$B$10=""),0,IF($R289&gt;0,IF(H289="",0,IF(ISNUMBER(H289),H289,1)),IF($C289="Paying back",0,IF(AND(OR(Housemates!$C$10="",Housemates!$C$10&lt;=$B289),OR(Housemates!$D$10="",Housemates!$D$10&gt;=$B289)),IF($Q289=0,1,INDEX(Bills!$AC$6:$AC$25,$Q289)),0))))</f>
        <v/>
      </c>
      <c r="V289">
        <f>IF(OR($D289="",$B289="",Housemates!$B$11=""),0,IF($R289&gt;0,IF(I289="",0,IF(ISNUMBER(I289),I289,1)),IF($C289="Paying back",0,IF(AND(OR(Housemates!$C$11="",Housemates!$C$11&lt;=$B289),OR(Housemates!$D$11="",Housemates!$D$11&gt;=$B289)),IF($Q289=0,1,INDEX(Bills!$AD$6:$AD$25,$Q289)),0))))</f>
        <v/>
      </c>
      <c r="W289">
        <f>IF(OR($D289="",$B289="",Housemates!$B$12=""),0,IF($R289&gt;0,IF(J289="",0,IF(ISNUMBER(J289),J289,1)),IF($C289="Paying back",0,IF(AND(OR(Housemates!$C$12="",Housemates!$C$12&lt;=$B289),OR(Housemates!$D$12="",Housemates!$D$12&gt;=$B289)),IF($Q289=0,1,INDEX(Bills!$AE$6:$AE$25,$Q289)),0))))</f>
        <v/>
      </c>
      <c r="X289">
        <f>IF(OR($D289="",$B289="",Housemates!$B$13=""),0,IF($R289&gt;0,IF(K289="",0,IF(ISNUMBER(K289),K289,1)),IF($C289="Paying back",0,IF(AND(OR(Housemates!$C$13="",Housemates!$C$13&lt;=$B289),OR(Housemates!$D$13="",Housemates!$D$13&gt;=$B289)),IF($Q289=0,1,INDEX(Bills!$AF$6:$AF$25,$Q289)),0))))</f>
        <v/>
      </c>
      <c r="Y289">
        <f>IF(OR($D289="",$B289="",Housemates!$B$14=""),0,IF($R289&gt;0,IF(L289="",0,IF(ISNUMBER(L289),L289,1)),IF($C289="Paying back",0,IF(AND(OR(Housemates!$C$14="",Housemates!$C$14&lt;=$B289),OR(Housemates!$D$14="",Housemates!$D$14&gt;=$B289)),IF($Q289=0,1,INDEX(Bills!$AG$6:$AG$25,$Q289)),0))))</f>
        <v/>
      </c>
      <c r="Z289">
        <f>IF(OR($D289="",$B289="",Housemates!$B$15=""),0,IF($R289&gt;0,IF(M289="",0,IF(ISNUMBER(M289),M289,1)),IF($C289="Paying back",0,IF(AND(OR(Housemates!$C$15="",Housemates!$C$15&lt;=$B289),OR(Housemates!$D$15="",Housemates!$D$15&gt;=$B289)),IF($Q289=0,1,INDEX(Bills!$AH$6:$AH$25,$Q289)),0))))</f>
        <v/>
      </c>
      <c r="AA289">
        <f>SUM(S289:Z289)</f>
        <v/>
      </c>
      <c r="AB289">
        <f>IF(AA289=0,0,D289*S289/AA289)</f>
        <v/>
      </c>
      <c r="AC289">
        <f>IF(AA289=0,0,D289*T289/AA289)</f>
        <v/>
      </c>
      <c r="AD289">
        <f>IF(AA289=0,0,D289*U289/AA289)</f>
        <v/>
      </c>
      <c r="AE289">
        <f>IF(AA289=0,0,D289*V289/AA289)</f>
        <v/>
      </c>
      <c r="AF289">
        <f>IF(AA289=0,0,D289*W289/AA289)</f>
        <v/>
      </c>
      <c r="AG289">
        <f>IF(AA289=0,0,D289*X289/AA289)</f>
        <v/>
      </c>
      <c r="AH289">
        <f>IF(AA289=0,0,D289*Y289/AA289)</f>
        <v/>
      </c>
      <c r="AI289">
        <f>IF(AA289=0,0,D289*Z289/AA289)</f>
        <v/>
      </c>
      <c r="AJ289">
        <f>IF(OR(C289="",B289=""),"",C289&amp;"|"&amp;(YEAR(B289)*100+MONTH(B289)))</f>
        <v/>
      </c>
    </row>
    <row r="290">
      <c r="A290" s="1" t="n"/>
      <c r="B290" s="23" t="n"/>
      <c r="C290" s="24" t="n"/>
      <c r="D290" s="25" t="n"/>
      <c r="E290" s="26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1">
        <f>IF(D290="","",IF(B290="","No date",IF(AND(C290="Paying back",R290=0),"To whom?",IF(AA290=0,"Nobody",IF(C290="Paying back","To "&amp;INDEX(Housemates!$B$8:$B$15,MATCH(MAX(S290:Z290),S290:Z290,0)),IF(R290&gt;0,IF(COUNTIF(S290:Z290,"&gt;0")=1,"1 person",COUNTIF(S290:Z290,"&gt;0")&amp;" people"),IF(Q290=0,"Everyone",INDEX(Bills!$Q$6:$Q$25,Q290))))))))</f>
        <v/>
      </c>
      <c r="O290" s="18">
        <f>IF(D290="","",IF(C290="Paying back","Paying back",IF(Q290=0,"Other",IF(INDEX(Bills!$C$6:$C$25,Q290)="","Other",INDEX(Bills!$C$6:$C$25,Q290)))))</f>
        <v/>
      </c>
      <c r="P290" s="1" t="n"/>
      <c r="Q290">
        <f>IF(C290="",0,IFERROR(MATCH(C290,Bills!$B$6:$B$25,0),0))</f>
        <v/>
      </c>
      <c r="R290">
        <f>COUNTA(F290:M290)</f>
        <v/>
      </c>
      <c r="S290">
        <f>IF(OR($D290="",$B290="",Housemates!$B$8=""),0,IF($R290&gt;0,IF(F290="",0,IF(ISNUMBER(F290),F290,1)),IF($C290="Paying back",0,IF(AND(OR(Housemates!$C$8="",Housemates!$C$8&lt;=$B290),OR(Housemates!$D$8="",Housemates!$D$8&gt;=$B290)),IF($Q290=0,1,INDEX(Bills!$AA$6:$AA$25,$Q290)),0))))</f>
        <v/>
      </c>
      <c r="T290">
        <f>IF(OR($D290="",$B290="",Housemates!$B$9=""),0,IF($R290&gt;0,IF(G290="",0,IF(ISNUMBER(G290),G290,1)),IF($C290="Paying back",0,IF(AND(OR(Housemates!$C$9="",Housemates!$C$9&lt;=$B290),OR(Housemates!$D$9="",Housemates!$D$9&gt;=$B290)),IF($Q290=0,1,INDEX(Bills!$AB$6:$AB$25,$Q290)),0))))</f>
        <v/>
      </c>
      <c r="U290">
        <f>IF(OR($D290="",$B290="",Housemates!$B$10=""),0,IF($R290&gt;0,IF(H290="",0,IF(ISNUMBER(H290),H290,1)),IF($C290="Paying back",0,IF(AND(OR(Housemates!$C$10="",Housemates!$C$10&lt;=$B290),OR(Housemates!$D$10="",Housemates!$D$10&gt;=$B290)),IF($Q290=0,1,INDEX(Bills!$AC$6:$AC$25,$Q290)),0))))</f>
        <v/>
      </c>
      <c r="V290">
        <f>IF(OR($D290="",$B290="",Housemates!$B$11=""),0,IF($R290&gt;0,IF(I290="",0,IF(ISNUMBER(I290),I290,1)),IF($C290="Paying back",0,IF(AND(OR(Housemates!$C$11="",Housemates!$C$11&lt;=$B290),OR(Housemates!$D$11="",Housemates!$D$11&gt;=$B290)),IF($Q290=0,1,INDEX(Bills!$AD$6:$AD$25,$Q290)),0))))</f>
        <v/>
      </c>
      <c r="W290">
        <f>IF(OR($D290="",$B290="",Housemates!$B$12=""),0,IF($R290&gt;0,IF(J290="",0,IF(ISNUMBER(J290),J290,1)),IF($C290="Paying back",0,IF(AND(OR(Housemates!$C$12="",Housemates!$C$12&lt;=$B290),OR(Housemates!$D$12="",Housemates!$D$12&gt;=$B290)),IF($Q290=0,1,INDEX(Bills!$AE$6:$AE$25,$Q290)),0))))</f>
        <v/>
      </c>
      <c r="X290">
        <f>IF(OR($D290="",$B290="",Housemates!$B$13=""),0,IF($R290&gt;0,IF(K290="",0,IF(ISNUMBER(K290),K290,1)),IF($C290="Paying back",0,IF(AND(OR(Housemates!$C$13="",Housemates!$C$13&lt;=$B290),OR(Housemates!$D$13="",Housemates!$D$13&gt;=$B290)),IF($Q290=0,1,INDEX(Bills!$AF$6:$AF$25,$Q290)),0))))</f>
        <v/>
      </c>
      <c r="Y290">
        <f>IF(OR($D290="",$B290="",Housemates!$B$14=""),0,IF($R290&gt;0,IF(L290="",0,IF(ISNUMBER(L290),L290,1)),IF($C290="Paying back",0,IF(AND(OR(Housemates!$C$14="",Housemates!$C$14&lt;=$B290),OR(Housemates!$D$14="",Housemates!$D$14&gt;=$B290)),IF($Q290=0,1,INDEX(Bills!$AG$6:$AG$25,$Q290)),0))))</f>
        <v/>
      </c>
      <c r="Z290">
        <f>IF(OR($D290="",$B290="",Housemates!$B$15=""),0,IF($R290&gt;0,IF(M290="",0,IF(ISNUMBER(M290),M290,1)),IF($C290="Paying back",0,IF(AND(OR(Housemates!$C$15="",Housemates!$C$15&lt;=$B290),OR(Housemates!$D$15="",Housemates!$D$15&gt;=$B290)),IF($Q290=0,1,INDEX(Bills!$AH$6:$AH$25,$Q290)),0))))</f>
        <v/>
      </c>
      <c r="AA290">
        <f>SUM(S290:Z290)</f>
        <v/>
      </c>
      <c r="AB290">
        <f>IF(AA290=0,0,D290*S290/AA290)</f>
        <v/>
      </c>
      <c r="AC290">
        <f>IF(AA290=0,0,D290*T290/AA290)</f>
        <v/>
      </c>
      <c r="AD290">
        <f>IF(AA290=0,0,D290*U290/AA290)</f>
        <v/>
      </c>
      <c r="AE290">
        <f>IF(AA290=0,0,D290*V290/AA290)</f>
        <v/>
      </c>
      <c r="AF290">
        <f>IF(AA290=0,0,D290*W290/AA290)</f>
        <v/>
      </c>
      <c r="AG290">
        <f>IF(AA290=0,0,D290*X290/AA290)</f>
        <v/>
      </c>
      <c r="AH290">
        <f>IF(AA290=0,0,D290*Y290/AA290)</f>
        <v/>
      </c>
      <c r="AI290">
        <f>IF(AA290=0,0,D290*Z290/AA290)</f>
        <v/>
      </c>
      <c r="AJ290">
        <f>IF(OR(C290="",B290=""),"",C290&amp;"|"&amp;(YEAR(B290)*100+MONTH(B290)))</f>
        <v/>
      </c>
    </row>
    <row r="291">
      <c r="A291" s="1" t="n"/>
      <c r="B291" s="23" t="n"/>
      <c r="C291" s="24" t="n"/>
      <c r="D291" s="25" t="n"/>
      <c r="E291" s="26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1">
        <f>IF(D291="","",IF(B291="","No date",IF(AND(C291="Paying back",R291=0),"To whom?",IF(AA291=0,"Nobody",IF(C291="Paying back","To "&amp;INDEX(Housemates!$B$8:$B$15,MATCH(MAX(S291:Z291),S291:Z291,0)),IF(R291&gt;0,IF(COUNTIF(S291:Z291,"&gt;0")=1,"1 person",COUNTIF(S291:Z291,"&gt;0")&amp;" people"),IF(Q291=0,"Everyone",INDEX(Bills!$Q$6:$Q$25,Q291))))))))</f>
        <v/>
      </c>
      <c r="O291" s="18">
        <f>IF(D291="","",IF(C291="Paying back","Paying back",IF(Q291=0,"Other",IF(INDEX(Bills!$C$6:$C$25,Q291)="","Other",INDEX(Bills!$C$6:$C$25,Q291)))))</f>
        <v/>
      </c>
      <c r="P291" s="1" t="n"/>
      <c r="Q291">
        <f>IF(C291="",0,IFERROR(MATCH(C291,Bills!$B$6:$B$25,0),0))</f>
        <v/>
      </c>
      <c r="R291">
        <f>COUNTA(F291:M291)</f>
        <v/>
      </c>
      <c r="S291">
        <f>IF(OR($D291="",$B291="",Housemates!$B$8=""),0,IF($R291&gt;0,IF(F291="",0,IF(ISNUMBER(F291),F291,1)),IF($C291="Paying back",0,IF(AND(OR(Housemates!$C$8="",Housemates!$C$8&lt;=$B291),OR(Housemates!$D$8="",Housemates!$D$8&gt;=$B291)),IF($Q291=0,1,INDEX(Bills!$AA$6:$AA$25,$Q291)),0))))</f>
        <v/>
      </c>
      <c r="T291">
        <f>IF(OR($D291="",$B291="",Housemates!$B$9=""),0,IF($R291&gt;0,IF(G291="",0,IF(ISNUMBER(G291),G291,1)),IF($C291="Paying back",0,IF(AND(OR(Housemates!$C$9="",Housemates!$C$9&lt;=$B291),OR(Housemates!$D$9="",Housemates!$D$9&gt;=$B291)),IF($Q291=0,1,INDEX(Bills!$AB$6:$AB$25,$Q291)),0))))</f>
        <v/>
      </c>
      <c r="U291">
        <f>IF(OR($D291="",$B291="",Housemates!$B$10=""),0,IF($R291&gt;0,IF(H291="",0,IF(ISNUMBER(H291),H291,1)),IF($C291="Paying back",0,IF(AND(OR(Housemates!$C$10="",Housemates!$C$10&lt;=$B291),OR(Housemates!$D$10="",Housemates!$D$10&gt;=$B291)),IF($Q291=0,1,INDEX(Bills!$AC$6:$AC$25,$Q291)),0))))</f>
        <v/>
      </c>
      <c r="V291">
        <f>IF(OR($D291="",$B291="",Housemates!$B$11=""),0,IF($R291&gt;0,IF(I291="",0,IF(ISNUMBER(I291),I291,1)),IF($C291="Paying back",0,IF(AND(OR(Housemates!$C$11="",Housemates!$C$11&lt;=$B291),OR(Housemates!$D$11="",Housemates!$D$11&gt;=$B291)),IF($Q291=0,1,INDEX(Bills!$AD$6:$AD$25,$Q291)),0))))</f>
        <v/>
      </c>
      <c r="W291">
        <f>IF(OR($D291="",$B291="",Housemates!$B$12=""),0,IF($R291&gt;0,IF(J291="",0,IF(ISNUMBER(J291),J291,1)),IF($C291="Paying back",0,IF(AND(OR(Housemates!$C$12="",Housemates!$C$12&lt;=$B291),OR(Housemates!$D$12="",Housemates!$D$12&gt;=$B291)),IF($Q291=0,1,INDEX(Bills!$AE$6:$AE$25,$Q291)),0))))</f>
        <v/>
      </c>
      <c r="X291">
        <f>IF(OR($D291="",$B291="",Housemates!$B$13=""),0,IF($R291&gt;0,IF(K291="",0,IF(ISNUMBER(K291),K291,1)),IF($C291="Paying back",0,IF(AND(OR(Housemates!$C$13="",Housemates!$C$13&lt;=$B291),OR(Housemates!$D$13="",Housemates!$D$13&gt;=$B291)),IF($Q291=0,1,INDEX(Bills!$AF$6:$AF$25,$Q291)),0))))</f>
        <v/>
      </c>
      <c r="Y291">
        <f>IF(OR($D291="",$B291="",Housemates!$B$14=""),0,IF($R291&gt;0,IF(L291="",0,IF(ISNUMBER(L291),L291,1)),IF($C291="Paying back",0,IF(AND(OR(Housemates!$C$14="",Housemates!$C$14&lt;=$B291),OR(Housemates!$D$14="",Housemates!$D$14&gt;=$B291)),IF($Q291=0,1,INDEX(Bills!$AG$6:$AG$25,$Q291)),0))))</f>
        <v/>
      </c>
      <c r="Z291">
        <f>IF(OR($D291="",$B291="",Housemates!$B$15=""),0,IF($R291&gt;0,IF(M291="",0,IF(ISNUMBER(M291),M291,1)),IF($C291="Paying back",0,IF(AND(OR(Housemates!$C$15="",Housemates!$C$15&lt;=$B291),OR(Housemates!$D$15="",Housemates!$D$15&gt;=$B291)),IF($Q291=0,1,INDEX(Bills!$AH$6:$AH$25,$Q291)),0))))</f>
        <v/>
      </c>
      <c r="AA291">
        <f>SUM(S291:Z291)</f>
        <v/>
      </c>
      <c r="AB291">
        <f>IF(AA291=0,0,D291*S291/AA291)</f>
        <v/>
      </c>
      <c r="AC291">
        <f>IF(AA291=0,0,D291*T291/AA291)</f>
        <v/>
      </c>
      <c r="AD291">
        <f>IF(AA291=0,0,D291*U291/AA291)</f>
        <v/>
      </c>
      <c r="AE291">
        <f>IF(AA291=0,0,D291*V291/AA291)</f>
        <v/>
      </c>
      <c r="AF291">
        <f>IF(AA291=0,0,D291*W291/AA291)</f>
        <v/>
      </c>
      <c r="AG291">
        <f>IF(AA291=0,0,D291*X291/AA291)</f>
        <v/>
      </c>
      <c r="AH291">
        <f>IF(AA291=0,0,D291*Y291/AA291)</f>
        <v/>
      </c>
      <c r="AI291">
        <f>IF(AA291=0,0,D291*Z291/AA291)</f>
        <v/>
      </c>
      <c r="AJ291">
        <f>IF(OR(C291="",B291=""),"",C291&amp;"|"&amp;(YEAR(B291)*100+MONTH(B291)))</f>
        <v/>
      </c>
    </row>
    <row r="292">
      <c r="A292" s="1" t="n"/>
      <c r="B292" s="23" t="n"/>
      <c r="C292" s="24" t="n"/>
      <c r="D292" s="25" t="n"/>
      <c r="E292" s="26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1">
        <f>IF(D292="","",IF(B292="","No date",IF(AND(C292="Paying back",R292=0),"To whom?",IF(AA292=0,"Nobody",IF(C292="Paying back","To "&amp;INDEX(Housemates!$B$8:$B$15,MATCH(MAX(S292:Z292),S292:Z292,0)),IF(R292&gt;0,IF(COUNTIF(S292:Z292,"&gt;0")=1,"1 person",COUNTIF(S292:Z292,"&gt;0")&amp;" people"),IF(Q292=0,"Everyone",INDEX(Bills!$Q$6:$Q$25,Q292))))))))</f>
        <v/>
      </c>
      <c r="O292" s="18">
        <f>IF(D292="","",IF(C292="Paying back","Paying back",IF(Q292=0,"Other",IF(INDEX(Bills!$C$6:$C$25,Q292)="","Other",INDEX(Bills!$C$6:$C$25,Q292)))))</f>
        <v/>
      </c>
      <c r="P292" s="1" t="n"/>
      <c r="Q292">
        <f>IF(C292="",0,IFERROR(MATCH(C292,Bills!$B$6:$B$25,0),0))</f>
        <v/>
      </c>
      <c r="R292">
        <f>COUNTA(F292:M292)</f>
        <v/>
      </c>
      <c r="S292">
        <f>IF(OR($D292="",$B292="",Housemates!$B$8=""),0,IF($R292&gt;0,IF(F292="",0,IF(ISNUMBER(F292),F292,1)),IF($C292="Paying back",0,IF(AND(OR(Housemates!$C$8="",Housemates!$C$8&lt;=$B292),OR(Housemates!$D$8="",Housemates!$D$8&gt;=$B292)),IF($Q292=0,1,INDEX(Bills!$AA$6:$AA$25,$Q292)),0))))</f>
        <v/>
      </c>
      <c r="T292">
        <f>IF(OR($D292="",$B292="",Housemates!$B$9=""),0,IF($R292&gt;0,IF(G292="",0,IF(ISNUMBER(G292),G292,1)),IF($C292="Paying back",0,IF(AND(OR(Housemates!$C$9="",Housemates!$C$9&lt;=$B292),OR(Housemates!$D$9="",Housemates!$D$9&gt;=$B292)),IF($Q292=0,1,INDEX(Bills!$AB$6:$AB$25,$Q292)),0))))</f>
        <v/>
      </c>
      <c r="U292">
        <f>IF(OR($D292="",$B292="",Housemates!$B$10=""),0,IF($R292&gt;0,IF(H292="",0,IF(ISNUMBER(H292),H292,1)),IF($C292="Paying back",0,IF(AND(OR(Housemates!$C$10="",Housemates!$C$10&lt;=$B292),OR(Housemates!$D$10="",Housemates!$D$10&gt;=$B292)),IF($Q292=0,1,INDEX(Bills!$AC$6:$AC$25,$Q292)),0))))</f>
        <v/>
      </c>
      <c r="V292">
        <f>IF(OR($D292="",$B292="",Housemates!$B$11=""),0,IF($R292&gt;0,IF(I292="",0,IF(ISNUMBER(I292),I292,1)),IF($C292="Paying back",0,IF(AND(OR(Housemates!$C$11="",Housemates!$C$11&lt;=$B292),OR(Housemates!$D$11="",Housemates!$D$11&gt;=$B292)),IF($Q292=0,1,INDEX(Bills!$AD$6:$AD$25,$Q292)),0))))</f>
        <v/>
      </c>
      <c r="W292">
        <f>IF(OR($D292="",$B292="",Housemates!$B$12=""),0,IF($R292&gt;0,IF(J292="",0,IF(ISNUMBER(J292),J292,1)),IF($C292="Paying back",0,IF(AND(OR(Housemates!$C$12="",Housemates!$C$12&lt;=$B292),OR(Housemates!$D$12="",Housemates!$D$12&gt;=$B292)),IF($Q292=0,1,INDEX(Bills!$AE$6:$AE$25,$Q292)),0))))</f>
        <v/>
      </c>
      <c r="X292">
        <f>IF(OR($D292="",$B292="",Housemates!$B$13=""),0,IF($R292&gt;0,IF(K292="",0,IF(ISNUMBER(K292),K292,1)),IF($C292="Paying back",0,IF(AND(OR(Housemates!$C$13="",Housemates!$C$13&lt;=$B292),OR(Housemates!$D$13="",Housemates!$D$13&gt;=$B292)),IF($Q292=0,1,INDEX(Bills!$AF$6:$AF$25,$Q292)),0))))</f>
        <v/>
      </c>
      <c r="Y292">
        <f>IF(OR($D292="",$B292="",Housemates!$B$14=""),0,IF($R292&gt;0,IF(L292="",0,IF(ISNUMBER(L292),L292,1)),IF($C292="Paying back",0,IF(AND(OR(Housemates!$C$14="",Housemates!$C$14&lt;=$B292),OR(Housemates!$D$14="",Housemates!$D$14&gt;=$B292)),IF($Q292=0,1,INDEX(Bills!$AG$6:$AG$25,$Q292)),0))))</f>
        <v/>
      </c>
      <c r="Z292">
        <f>IF(OR($D292="",$B292="",Housemates!$B$15=""),0,IF($R292&gt;0,IF(M292="",0,IF(ISNUMBER(M292),M292,1)),IF($C292="Paying back",0,IF(AND(OR(Housemates!$C$15="",Housemates!$C$15&lt;=$B292),OR(Housemates!$D$15="",Housemates!$D$15&gt;=$B292)),IF($Q292=0,1,INDEX(Bills!$AH$6:$AH$25,$Q292)),0))))</f>
        <v/>
      </c>
      <c r="AA292">
        <f>SUM(S292:Z292)</f>
        <v/>
      </c>
      <c r="AB292">
        <f>IF(AA292=0,0,D292*S292/AA292)</f>
        <v/>
      </c>
      <c r="AC292">
        <f>IF(AA292=0,0,D292*T292/AA292)</f>
        <v/>
      </c>
      <c r="AD292">
        <f>IF(AA292=0,0,D292*U292/AA292)</f>
        <v/>
      </c>
      <c r="AE292">
        <f>IF(AA292=0,0,D292*V292/AA292)</f>
        <v/>
      </c>
      <c r="AF292">
        <f>IF(AA292=0,0,D292*W292/AA292)</f>
        <v/>
      </c>
      <c r="AG292">
        <f>IF(AA292=0,0,D292*X292/AA292)</f>
        <v/>
      </c>
      <c r="AH292">
        <f>IF(AA292=0,0,D292*Y292/AA292)</f>
        <v/>
      </c>
      <c r="AI292">
        <f>IF(AA292=0,0,D292*Z292/AA292)</f>
        <v/>
      </c>
      <c r="AJ292">
        <f>IF(OR(C292="",B292=""),"",C292&amp;"|"&amp;(YEAR(B292)*100+MONTH(B292)))</f>
        <v/>
      </c>
    </row>
    <row r="293">
      <c r="A293" s="1" t="n"/>
      <c r="B293" s="23" t="n"/>
      <c r="C293" s="24" t="n"/>
      <c r="D293" s="25" t="n"/>
      <c r="E293" s="26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1">
        <f>IF(D293="","",IF(B293="","No date",IF(AND(C293="Paying back",R293=0),"To whom?",IF(AA293=0,"Nobody",IF(C293="Paying back","To "&amp;INDEX(Housemates!$B$8:$B$15,MATCH(MAX(S293:Z293),S293:Z293,0)),IF(R293&gt;0,IF(COUNTIF(S293:Z293,"&gt;0")=1,"1 person",COUNTIF(S293:Z293,"&gt;0")&amp;" people"),IF(Q293=0,"Everyone",INDEX(Bills!$Q$6:$Q$25,Q293))))))))</f>
        <v/>
      </c>
      <c r="O293" s="18">
        <f>IF(D293="","",IF(C293="Paying back","Paying back",IF(Q293=0,"Other",IF(INDEX(Bills!$C$6:$C$25,Q293)="","Other",INDEX(Bills!$C$6:$C$25,Q293)))))</f>
        <v/>
      </c>
      <c r="P293" s="1" t="n"/>
      <c r="Q293">
        <f>IF(C293="",0,IFERROR(MATCH(C293,Bills!$B$6:$B$25,0),0))</f>
        <v/>
      </c>
      <c r="R293">
        <f>COUNTA(F293:M293)</f>
        <v/>
      </c>
      <c r="S293">
        <f>IF(OR($D293="",$B293="",Housemates!$B$8=""),0,IF($R293&gt;0,IF(F293="",0,IF(ISNUMBER(F293),F293,1)),IF($C293="Paying back",0,IF(AND(OR(Housemates!$C$8="",Housemates!$C$8&lt;=$B293),OR(Housemates!$D$8="",Housemates!$D$8&gt;=$B293)),IF($Q293=0,1,INDEX(Bills!$AA$6:$AA$25,$Q293)),0))))</f>
        <v/>
      </c>
      <c r="T293">
        <f>IF(OR($D293="",$B293="",Housemates!$B$9=""),0,IF($R293&gt;0,IF(G293="",0,IF(ISNUMBER(G293),G293,1)),IF($C293="Paying back",0,IF(AND(OR(Housemates!$C$9="",Housemates!$C$9&lt;=$B293),OR(Housemates!$D$9="",Housemates!$D$9&gt;=$B293)),IF($Q293=0,1,INDEX(Bills!$AB$6:$AB$25,$Q293)),0))))</f>
        <v/>
      </c>
      <c r="U293">
        <f>IF(OR($D293="",$B293="",Housemates!$B$10=""),0,IF($R293&gt;0,IF(H293="",0,IF(ISNUMBER(H293),H293,1)),IF($C293="Paying back",0,IF(AND(OR(Housemates!$C$10="",Housemates!$C$10&lt;=$B293),OR(Housemates!$D$10="",Housemates!$D$10&gt;=$B293)),IF($Q293=0,1,INDEX(Bills!$AC$6:$AC$25,$Q293)),0))))</f>
        <v/>
      </c>
      <c r="V293">
        <f>IF(OR($D293="",$B293="",Housemates!$B$11=""),0,IF($R293&gt;0,IF(I293="",0,IF(ISNUMBER(I293),I293,1)),IF($C293="Paying back",0,IF(AND(OR(Housemates!$C$11="",Housemates!$C$11&lt;=$B293),OR(Housemates!$D$11="",Housemates!$D$11&gt;=$B293)),IF($Q293=0,1,INDEX(Bills!$AD$6:$AD$25,$Q293)),0))))</f>
        <v/>
      </c>
      <c r="W293">
        <f>IF(OR($D293="",$B293="",Housemates!$B$12=""),0,IF($R293&gt;0,IF(J293="",0,IF(ISNUMBER(J293),J293,1)),IF($C293="Paying back",0,IF(AND(OR(Housemates!$C$12="",Housemates!$C$12&lt;=$B293),OR(Housemates!$D$12="",Housemates!$D$12&gt;=$B293)),IF($Q293=0,1,INDEX(Bills!$AE$6:$AE$25,$Q293)),0))))</f>
        <v/>
      </c>
      <c r="X293">
        <f>IF(OR($D293="",$B293="",Housemates!$B$13=""),0,IF($R293&gt;0,IF(K293="",0,IF(ISNUMBER(K293),K293,1)),IF($C293="Paying back",0,IF(AND(OR(Housemates!$C$13="",Housemates!$C$13&lt;=$B293),OR(Housemates!$D$13="",Housemates!$D$13&gt;=$B293)),IF($Q293=0,1,INDEX(Bills!$AF$6:$AF$25,$Q293)),0))))</f>
        <v/>
      </c>
      <c r="Y293">
        <f>IF(OR($D293="",$B293="",Housemates!$B$14=""),0,IF($R293&gt;0,IF(L293="",0,IF(ISNUMBER(L293),L293,1)),IF($C293="Paying back",0,IF(AND(OR(Housemates!$C$14="",Housemates!$C$14&lt;=$B293),OR(Housemates!$D$14="",Housemates!$D$14&gt;=$B293)),IF($Q293=0,1,INDEX(Bills!$AG$6:$AG$25,$Q293)),0))))</f>
        <v/>
      </c>
      <c r="Z293">
        <f>IF(OR($D293="",$B293="",Housemates!$B$15=""),0,IF($R293&gt;0,IF(M293="",0,IF(ISNUMBER(M293),M293,1)),IF($C293="Paying back",0,IF(AND(OR(Housemates!$C$15="",Housemates!$C$15&lt;=$B293),OR(Housemates!$D$15="",Housemates!$D$15&gt;=$B293)),IF($Q293=0,1,INDEX(Bills!$AH$6:$AH$25,$Q293)),0))))</f>
        <v/>
      </c>
      <c r="AA293">
        <f>SUM(S293:Z293)</f>
        <v/>
      </c>
      <c r="AB293">
        <f>IF(AA293=0,0,D293*S293/AA293)</f>
        <v/>
      </c>
      <c r="AC293">
        <f>IF(AA293=0,0,D293*T293/AA293)</f>
        <v/>
      </c>
      <c r="AD293">
        <f>IF(AA293=0,0,D293*U293/AA293)</f>
        <v/>
      </c>
      <c r="AE293">
        <f>IF(AA293=0,0,D293*V293/AA293)</f>
        <v/>
      </c>
      <c r="AF293">
        <f>IF(AA293=0,0,D293*W293/AA293)</f>
        <v/>
      </c>
      <c r="AG293">
        <f>IF(AA293=0,0,D293*X293/AA293)</f>
        <v/>
      </c>
      <c r="AH293">
        <f>IF(AA293=0,0,D293*Y293/AA293)</f>
        <v/>
      </c>
      <c r="AI293">
        <f>IF(AA293=0,0,D293*Z293/AA293)</f>
        <v/>
      </c>
      <c r="AJ293">
        <f>IF(OR(C293="",B293=""),"",C293&amp;"|"&amp;(YEAR(B293)*100+MONTH(B293)))</f>
        <v/>
      </c>
    </row>
    <row r="294">
      <c r="A294" s="1" t="n"/>
      <c r="B294" s="23" t="n"/>
      <c r="C294" s="24" t="n"/>
      <c r="D294" s="25" t="n"/>
      <c r="E294" s="26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1">
        <f>IF(D294="","",IF(B294="","No date",IF(AND(C294="Paying back",R294=0),"To whom?",IF(AA294=0,"Nobody",IF(C294="Paying back","To "&amp;INDEX(Housemates!$B$8:$B$15,MATCH(MAX(S294:Z294),S294:Z294,0)),IF(R294&gt;0,IF(COUNTIF(S294:Z294,"&gt;0")=1,"1 person",COUNTIF(S294:Z294,"&gt;0")&amp;" people"),IF(Q294=0,"Everyone",INDEX(Bills!$Q$6:$Q$25,Q294))))))))</f>
        <v/>
      </c>
      <c r="O294" s="18">
        <f>IF(D294="","",IF(C294="Paying back","Paying back",IF(Q294=0,"Other",IF(INDEX(Bills!$C$6:$C$25,Q294)="","Other",INDEX(Bills!$C$6:$C$25,Q294)))))</f>
        <v/>
      </c>
      <c r="P294" s="1" t="n"/>
      <c r="Q294">
        <f>IF(C294="",0,IFERROR(MATCH(C294,Bills!$B$6:$B$25,0),0))</f>
        <v/>
      </c>
      <c r="R294">
        <f>COUNTA(F294:M294)</f>
        <v/>
      </c>
      <c r="S294">
        <f>IF(OR($D294="",$B294="",Housemates!$B$8=""),0,IF($R294&gt;0,IF(F294="",0,IF(ISNUMBER(F294),F294,1)),IF($C294="Paying back",0,IF(AND(OR(Housemates!$C$8="",Housemates!$C$8&lt;=$B294),OR(Housemates!$D$8="",Housemates!$D$8&gt;=$B294)),IF($Q294=0,1,INDEX(Bills!$AA$6:$AA$25,$Q294)),0))))</f>
        <v/>
      </c>
      <c r="T294">
        <f>IF(OR($D294="",$B294="",Housemates!$B$9=""),0,IF($R294&gt;0,IF(G294="",0,IF(ISNUMBER(G294),G294,1)),IF($C294="Paying back",0,IF(AND(OR(Housemates!$C$9="",Housemates!$C$9&lt;=$B294),OR(Housemates!$D$9="",Housemates!$D$9&gt;=$B294)),IF($Q294=0,1,INDEX(Bills!$AB$6:$AB$25,$Q294)),0))))</f>
        <v/>
      </c>
      <c r="U294">
        <f>IF(OR($D294="",$B294="",Housemates!$B$10=""),0,IF($R294&gt;0,IF(H294="",0,IF(ISNUMBER(H294),H294,1)),IF($C294="Paying back",0,IF(AND(OR(Housemates!$C$10="",Housemates!$C$10&lt;=$B294),OR(Housemates!$D$10="",Housemates!$D$10&gt;=$B294)),IF($Q294=0,1,INDEX(Bills!$AC$6:$AC$25,$Q294)),0))))</f>
        <v/>
      </c>
      <c r="V294">
        <f>IF(OR($D294="",$B294="",Housemates!$B$11=""),0,IF($R294&gt;0,IF(I294="",0,IF(ISNUMBER(I294),I294,1)),IF($C294="Paying back",0,IF(AND(OR(Housemates!$C$11="",Housemates!$C$11&lt;=$B294),OR(Housemates!$D$11="",Housemates!$D$11&gt;=$B294)),IF($Q294=0,1,INDEX(Bills!$AD$6:$AD$25,$Q294)),0))))</f>
        <v/>
      </c>
      <c r="W294">
        <f>IF(OR($D294="",$B294="",Housemates!$B$12=""),0,IF($R294&gt;0,IF(J294="",0,IF(ISNUMBER(J294),J294,1)),IF($C294="Paying back",0,IF(AND(OR(Housemates!$C$12="",Housemates!$C$12&lt;=$B294),OR(Housemates!$D$12="",Housemates!$D$12&gt;=$B294)),IF($Q294=0,1,INDEX(Bills!$AE$6:$AE$25,$Q294)),0))))</f>
        <v/>
      </c>
      <c r="X294">
        <f>IF(OR($D294="",$B294="",Housemates!$B$13=""),0,IF($R294&gt;0,IF(K294="",0,IF(ISNUMBER(K294),K294,1)),IF($C294="Paying back",0,IF(AND(OR(Housemates!$C$13="",Housemates!$C$13&lt;=$B294),OR(Housemates!$D$13="",Housemates!$D$13&gt;=$B294)),IF($Q294=0,1,INDEX(Bills!$AF$6:$AF$25,$Q294)),0))))</f>
        <v/>
      </c>
      <c r="Y294">
        <f>IF(OR($D294="",$B294="",Housemates!$B$14=""),0,IF($R294&gt;0,IF(L294="",0,IF(ISNUMBER(L294),L294,1)),IF($C294="Paying back",0,IF(AND(OR(Housemates!$C$14="",Housemates!$C$14&lt;=$B294),OR(Housemates!$D$14="",Housemates!$D$14&gt;=$B294)),IF($Q294=0,1,INDEX(Bills!$AG$6:$AG$25,$Q294)),0))))</f>
        <v/>
      </c>
      <c r="Z294">
        <f>IF(OR($D294="",$B294="",Housemates!$B$15=""),0,IF($R294&gt;0,IF(M294="",0,IF(ISNUMBER(M294),M294,1)),IF($C294="Paying back",0,IF(AND(OR(Housemates!$C$15="",Housemates!$C$15&lt;=$B294),OR(Housemates!$D$15="",Housemates!$D$15&gt;=$B294)),IF($Q294=0,1,INDEX(Bills!$AH$6:$AH$25,$Q294)),0))))</f>
        <v/>
      </c>
      <c r="AA294">
        <f>SUM(S294:Z294)</f>
        <v/>
      </c>
      <c r="AB294">
        <f>IF(AA294=0,0,D294*S294/AA294)</f>
        <v/>
      </c>
      <c r="AC294">
        <f>IF(AA294=0,0,D294*T294/AA294)</f>
        <v/>
      </c>
      <c r="AD294">
        <f>IF(AA294=0,0,D294*U294/AA294)</f>
        <v/>
      </c>
      <c r="AE294">
        <f>IF(AA294=0,0,D294*V294/AA294)</f>
        <v/>
      </c>
      <c r="AF294">
        <f>IF(AA294=0,0,D294*W294/AA294)</f>
        <v/>
      </c>
      <c r="AG294">
        <f>IF(AA294=0,0,D294*X294/AA294)</f>
        <v/>
      </c>
      <c r="AH294">
        <f>IF(AA294=0,0,D294*Y294/AA294)</f>
        <v/>
      </c>
      <c r="AI294">
        <f>IF(AA294=0,0,D294*Z294/AA294)</f>
        <v/>
      </c>
      <c r="AJ294">
        <f>IF(OR(C294="",B294=""),"",C294&amp;"|"&amp;(YEAR(B294)*100+MONTH(B294)))</f>
        <v/>
      </c>
    </row>
    <row r="295">
      <c r="A295" s="1" t="n"/>
      <c r="B295" s="23" t="n"/>
      <c r="C295" s="24" t="n"/>
      <c r="D295" s="25" t="n"/>
      <c r="E295" s="26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1">
        <f>IF(D295="","",IF(B295="","No date",IF(AND(C295="Paying back",R295=0),"To whom?",IF(AA295=0,"Nobody",IF(C295="Paying back","To "&amp;INDEX(Housemates!$B$8:$B$15,MATCH(MAX(S295:Z295),S295:Z295,0)),IF(R295&gt;0,IF(COUNTIF(S295:Z295,"&gt;0")=1,"1 person",COUNTIF(S295:Z295,"&gt;0")&amp;" people"),IF(Q295=0,"Everyone",INDEX(Bills!$Q$6:$Q$25,Q295))))))))</f>
        <v/>
      </c>
      <c r="O295" s="18">
        <f>IF(D295="","",IF(C295="Paying back","Paying back",IF(Q295=0,"Other",IF(INDEX(Bills!$C$6:$C$25,Q295)="","Other",INDEX(Bills!$C$6:$C$25,Q295)))))</f>
        <v/>
      </c>
      <c r="P295" s="1" t="n"/>
      <c r="Q295">
        <f>IF(C295="",0,IFERROR(MATCH(C295,Bills!$B$6:$B$25,0),0))</f>
        <v/>
      </c>
      <c r="R295">
        <f>COUNTA(F295:M295)</f>
        <v/>
      </c>
      <c r="S295">
        <f>IF(OR($D295="",$B295="",Housemates!$B$8=""),0,IF($R295&gt;0,IF(F295="",0,IF(ISNUMBER(F295),F295,1)),IF($C295="Paying back",0,IF(AND(OR(Housemates!$C$8="",Housemates!$C$8&lt;=$B295),OR(Housemates!$D$8="",Housemates!$D$8&gt;=$B295)),IF($Q295=0,1,INDEX(Bills!$AA$6:$AA$25,$Q295)),0))))</f>
        <v/>
      </c>
      <c r="T295">
        <f>IF(OR($D295="",$B295="",Housemates!$B$9=""),0,IF($R295&gt;0,IF(G295="",0,IF(ISNUMBER(G295),G295,1)),IF($C295="Paying back",0,IF(AND(OR(Housemates!$C$9="",Housemates!$C$9&lt;=$B295),OR(Housemates!$D$9="",Housemates!$D$9&gt;=$B295)),IF($Q295=0,1,INDEX(Bills!$AB$6:$AB$25,$Q295)),0))))</f>
        <v/>
      </c>
      <c r="U295">
        <f>IF(OR($D295="",$B295="",Housemates!$B$10=""),0,IF($R295&gt;0,IF(H295="",0,IF(ISNUMBER(H295),H295,1)),IF($C295="Paying back",0,IF(AND(OR(Housemates!$C$10="",Housemates!$C$10&lt;=$B295),OR(Housemates!$D$10="",Housemates!$D$10&gt;=$B295)),IF($Q295=0,1,INDEX(Bills!$AC$6:$AC$25,$Q295)),0))))</f>
        <v/>
      </c>
      <c r="V295">
        <f>IF(OR($D295="",$B295="",Housemates!$B$11=""),0,IF($R295&gt;0,IF(I295="",0,IF(ISNUMBER(I295),I295,1)),IF($C295="Paying back",0,IF(AND(OR(Housemates!$C$11="",Housemates!$C$11&lt;=$B295),OR(Housemates!$D$11="",Housemates!$D$11&gt;=$B295)),IF($Q295=0,1,INDEX(Bills!$AD$6:$AD$25,$Q295)),0))))</f>
        <v/>
      </c>
      <c r="W295">
        <f>IF(OR($D295="",$B295="",Housemates!$B$12=""),0,IF($R295&gt;0,IF(J295="",0,IF(ISNUMBER(J295),J295,1)),IF($C295="Paying back",0,IF(AND(OR(Housemates!$C$12="",Housemates!$C$12&lt;=$B295),OR(Housemates!$D$12="",Housemates!$D$12&gt;=$B295)),IF($Q295=0,1,INDEX(Bills!$AE$6:$AE$25,$Q295)),0))))</f>
        <v/>
      </c>
      <c r="X295">
        <f>IF(OR($D295="",$B295="",Housemates!$B$13=""),0,IF($R295&gt;0,IF(K295="",0,IF(ISNUMBER(K295),K295,1)),IF($C295="Paying back",0,IF(AND(OR(Housemates!$C$13="",Housemates!$C$13&lt;=$B295),OR(Housemates!$D$13="",Housemates!$D$13&gt;=$B295)),IF($Q295=0,1,INDEX(Bills!$AF$6:$AF$25,$Q295)),0))))</f>
        <v/>
      </c>
      <c r="Y295">
        <f>IF(OR($D295="",$B295="",Housemates!$B$14=""),0,IF($R295&gt;0,IF(L295="",0,IF(ISNUMBER(L295),L295,1)),IF($C295="Paying back",0,IF(AND(OR(Housemates!$C$14="",Housemates!$C$14&lt;=$B295),OR(Housemates!$D$14="",Housemates!$D$14&gt;=$B295)),IF($Q295=0,1,INDEX(Bills!$AG$6:$AG$25,$Q295)),0))))</f>
        <v/>
      </c>
      <c r="Z295">
        <f>IF(OR($D295="",$B295="",Housemates!$B$15=""),0,IF($R295&gt;0,IF(M295="",0,IF(ISNUMBER(M295),M295,1)),IF($C295="Paying back",0,IF(AND(OR(Housemates!$C$15="",Housemates!$C$15&lt;=$B295),OR(Housemates!$D$15="",Housemates!$D$15&gt;=$B295)),IF($Q295=0,1,INDEX(Bills!$AH$6:$AH$25,$Q295)),0))))</f>
        <v/>
      </c>
      <c r="AA295">
        <f>SUM(S295:Z295)</f>
        <v/>
      </c>
      <c r="AB295">
        <f>IF(AA295=0,0,D295*S295/AA295)</f>
        <v/>
      </c>
      <c r="AC295">
        <f>IF(AA295=0,0,D295*T295/AA295)</f>
        <v/>
      </c>
      <c r="AD295">
        <f>IF(AA295=0,0,D295*U295/AA295)</f>
        <v/>
      </c>
      <c r="AE295">
        <f>IF(AA295=0,0,D295*V295/AA295)</f>
        <v/>
      </c>
      <c r="AF295">
        <f>IF(AA295=0,0,D295*W295/AA295)</f>
        <v/>
      </c>
      <c r="AG295">
        <f>IF(AA295=0,0,D295*X295/AA295)</f>
        <v/>
      </c>
      <c r="AH295">
        <f>IF(AA295=0,0,D295*Y295/AA295)</f>
        <v/>
      </c>
      <c r="AI295">
        <f>IF(AA295=0,0,D295*Z295/AA295)</f>
        <v/>
      </c>
      <c r="AJ295">
        <f>IF(OR(C295="",B295=""),"",C295&amp;"|"&amp;(YEAR(B295)*100+MONTH(B295)))</f>
        <v/>
      </c>
    </row>
    <row r="296">
      <c r="A296" s="1" t="n"/>
      <c r="B296" s="23" t="n"/>
      <c r="C296" s="24" t="n"/>
      <c r="D296" s="25" t="n"/>
      <c r="E296" s="26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1">
        <f>IF(D296="","",IF(B296="","No date",IF(AND(C296="Paying back",R296=0),"To whom?",IF(AA296=0,"Nobody",IF(C296="Paying back","To "&amp;INDEX(Housemates!$B$8:$B$15,MATCH(MAX(S296:Z296),S296:Z296,0)),IF(R296&gt;0,IF(COUNTIF(S296:Z296,"&gt;0")=1,"1 person",COUNTIF(S296:Z296,"&gt;0")&amp;" people"),IF(Q296=0,"Everyone",INDEX(Bills!$Q$6:$Q$25,Q296))))))))</f>
        <v/>
      </c>
      <c r="O296" s="18">
        <f>IF(D296="","",IF(C296="Paying back","Paying back",IF(Q296=0,"Other",IF(INDEX(Bills!$C$6:$C$25,Q296)="","Other",INDEX(Bills!$C$6:$C$25,Q296)))))</f>
        <v/>
      </c>
      <c r="P296" s="1" t="n"/>
      <c r="Q296">
        <f>IF(C296="",0,IFERROR(MATCH(C296,Bills!$B$6:$B$25,0),0))</f>
        <v/>
      </c>
      <c r="R296">
        <f>COUNTA(F296:M296)</f>
        <v/>
      </c>
      <c r="S296">
        <f>IF(OR($D296="",$B296="",Housemates!$B$8=""),0,IF($R296&gt;0,IF(F296="",0,IF(ISNUMBER(F296),F296,1)),IF($C296="Paying back",0,IF(AND(OR(Housemates!$C$8="",Housemates!$C$8&lt;=$B296),OR(Housemates!$D$8="",Housemates!$D$8&gt;=$B296)),IF($Q296=0,1,INDEX(Bills!$AA$6:$AA$25,$Q296)),0))))</f>
        <v/>
      </c>
      <c r="T296">
        <f>IF(OR($D296="",$B296="",Housemates!$B$9=""),0,IF($R296&gt;0,IF(G296="",0,IF(ISNUMBER(G296),G296,1)),IF($C296="Paying back",0,IF(AND(OR(Housemates!$C$9="",Housemates!$C$9&lt;=$B296),OR(Housemates!$D$9="",Housemates!$D$9&gt;=$B296)),IF($Q296=0,1,INDEX(Bills!$AB$6:$AB$25,$Q296)),0))))</f>
        <v/>
      </c>
      <c r="U296">
        <f>IF(OR($D296="",$B296="",Housemates!$B$10=""),0,IF($R296&gt;0,IF(H296="",0,IF(ISNUMBER(H296),H296,1)),IF($C296="Paying back",0,IF(AND(OR(Housemates!$C$10="",Housemates!$C$10&lt;=$B296),OR(Housemates!$D$10="",Housemates!$D$10&gt;=$B296)),IF($Q296=0,1,INDEX(Bills!$AC$6:$AC$25,$Q296)),0))))</f>
        <v/>
      </c>
      <c r="V296">
        <f>IF(OR($D296="",$B296="",Housemates!$B$11=""),0,IF($R296&gt;0,IF(I296="",0,IF(ISNUMBER(I296),I296,1)),IF($C296="Paying back",0,IF(AND(OR(Housemates!$C$11="",Housemates!$C$11&lt;=$B296),OR(Housemates!$D$11="",Housemates!$D$11&gt;=$B296)),IF($Q296=0,1,INDEX(Bills!$AD$6:$AD$25,$Q296)),0))))</f>
        <v/>
      </c>
      <c r="W296">
        <f>IF(OR($D296="",$B296="",Housemates!$B$12=""),0,IF($R296&gt;0,IF(J296="",0,IF(ISNUMBER(J296),J296,1)),IF($C296="Paying back",0,IF(AND(OR(Housemates!$C$12="",Housemates!$C$12&lt;=$B296),OR(Housemates!$D$12="",Housemates!$D$12&gt;=$B296)),IF($Q296=0,1,INDEX(Bills!$AE$6:$AE$25,$Q296)),0))))</f>
        <v/>
      </c>
      <c r="X296">
        <f>IF(OR($D296="",$B296="",Housemates!$B$13=""),0,IF($R296&gt;0,IF(K296="",0,IF(ISNUMBER(K296),K296,1)),IF($C296="Paying back",0,IF(AND(OR(Housemates!$C$13="",Housemates!$C$13&lt;=$B296),OR(Housemates!$D$13="",Housemates!$D$13&gt;=$B296)),IF($Q296=0,1,INDEX(Bills!$AF$6:$AF$25,$Q296)),0))))</f>
        <v/>
      </c>
      <c r="Y296">
        <f>IF(OR($D296="",$B296="",Housemates!$B$14=""),0,IF($R296&gt;0,IF(L296="",0,IF(ISNUMBER(L296),L296,1)),IF($C296="Paying back",0,IF(AND(OR(Housemates!$C$14="",Housemates!$C$14&lt;=$B296),OR(Housemates!$D$14="",Housemates!$D$14&gt;=$B296)),IF($Q296=0,1,INDEX(Bills!$AG$6:$AG$25,$Q296)),0))))</f>
        <v/>
      </c>
      <c r="Z296">
        <f>IF(OR($D296="",$B296="",Housemates!$B$15=""),0,IF($R296&gt;0,IF(M296="",0,IF(ISNUMBER(M296),M296,1)),IF($C296="Paying back",0,IF(AND(OR(Housemates!$C$15="",Housemates!$C$15&lt;=$B296),OR(Housemates!$D$15="",Housemates!$D$15&gt;=$B296)),IF($Q296=0,1,INDEX(Bills!$AH$6:$AH$25,$Q296)),0))))</f>
        <v/>
      </c>
      <c r="AA296">
        <f>SUM(S296:Z296)</f>
        <v/>
      </c>
      <c r="AB296">
        <f>IF(AA296=0,0,D296*S296/AA296)</f>
        <v/>
      </c>
      <c r="AC296">
        <f>IF(AA296=0,0,D296*T296/AA296)</f>
        <v/>
      </c>
      <c r="AD296">
        <f>IF(AA296=0,0,D296*U296/AA296)</f>
        <v/>
      </c>
      <c r="AE296">
        <f>IF(AA296=0,0,D296*V296/AA296)</f>
        <v/>
      </c>
      <c r="AF296">
        <f>IF(AA296=0,0,D296*W296/AA296)</f>
        <v/>
      </c>
      <c r="AG296">
        <f>IF(AA296=0,0,D296*X296/AA296)</f>
        <v/>
      </c>
      <c r="AH296">
        <f>IF(AA296=0,0,D296*Y296/AA296)</f>
        <v/>
      </c>
      <c r="AI296">
        <f>IF(AA296=0,0,D296*Z296/AA296)</f>
        <v/>
      </c>
      <c r="AJ296">
        <f>IF(OR(C296="",B296=""),"",C296&amp;"|"&amp;(YEAR(B296)*100+MONTH(B296)))</f>
        <v/>
      </c>
    </row>
    <row r="297">
      <c r="A297" s="1" t="n"/>
      <c r="B297" s="23" t="n"/>
      <c r="C297" s="24" t="n"/>
      <c r="D297" s="25" t="n"/>
      <c r="E297" s="26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1">
        <f>IF(D297="","",IF(B297="","No date",IF(AND(C297="Paying back",R297=0),"To whom?",IF(AA297=0,"Nobody",IF(C297="Paying back","To "&amp;INDEX(Housemates!$B$8:$B$15,MATCH(MAX(S297:Z297),S297:Z297,0)),IF(R297&gt;0,IF(COUNTIF(S297:Z297,"&gt;0")=1,"1 person",COUNTIF(S297:Z297,"&gt;0")&amp;" people"),IF(Q297=0,"Everyone",INDEX(Bills!$Q$6:$Q$25,Q297))))))))</f>
        <v/>
      </c>
      <c r="O297" s="18">
        <f>IF(D297="","",IF(C297="Paying back","Paying back",IF(Q297=0,"Other",IF(INDEX(Bills!$C$6:$C$25,Q297)="","Other",INDEX(Bills!$C$6:$C$25,Q297)))))</f>
        <v/>
      </c>
      <c r="P297" s="1" t="n"/>
      <c r="Q297">
        <f>IF(C297="",0,IFERROR(MATCH(C297,Bills!$B$6:$B$25,0),0))</f>
        <v/>
      </c>
      <c r="R297">
        <f>COUNTA(F297:M297)</f>
        <v/>
      </c>
      <c r="S297">
        <f>IF(OR($D297="",$B297="",Housemates!$B$8=""),0,IF($R297&gt;0,IF(F297="",0,IF(ISNUMBER(F297),F297,1)),IF($C297="Paying back",0,IF(AND(OR(Housemates!$C$8="",Housemates!$C$8&lt;=$B297),OR(Housemates!$D$8="",Housemates!$D$8&gt;=$B297)),IF($Q297=0,1,INDEX(Bills!$AA$6:$AA$25,$Q297)),0))))</f>
        <v/>
      </c>
      <c r="T297">
        <f>IF(OR($D297="",$B297="",Housemates!$B$9=""),0,IF($R297&gt;0,IF(G297="",0,IF(ISNUMBER(G297),G297,1)),IF($C297="Paying back",0,IF(AND(OR(Housemates!$C$9="",Housemates!$C$9&lt;=$B297),OR(Housemates!$D$9="",Housemates!$D$9&gt;=$B297)),IF($Q297=0,1,INDEX(Bills!$AB$6:$AB$25,$Q297)),0))))</f>
        <v/>
      </c>
      <c r="U297">
        <f>IF(OR($D297="",$B297="",Housemates!$B$10=""),0,IF($R297&gt;0,IF(H297="",0,IF(ISNUMBER(H297),H297,1)),IF($C297="Paying back",0,IF(AND(OR(Housemates!$C$10="",Housemates!$C$10&lt;=$B297),OR(Housemates!$D$10="",Housemates!$D$10&gt;=$B297)),IF($Q297=0,1,INDEX(Bills!$AC$6:$AC$25,$Q297)),0))))</f>
        <v/>
      </c>
      <c r="V297">
        <f>IF(OR($D297="",$B297="",Housemates!$B$11=""),0,IF($R297&gt;0,IF(I297="",0,IF(ISNUMBER(I297),I297,1)),IF($C297="Paying back",0,IF(AND(OR(Housemates!$C$11="",Housemates!$C$11&lt;=$B297),OR(Housemates!$D$11="",Housemates!$D$11&gt;=$B297)),IF($Q297=0,1,INDEX(Bills!$AD$6:$AD$25,$Q297)),0))))</f>
        <v/>
      </c>
      <c r="W297">
        <f>IF(OR($D297="",$B297="",Housemates!$B$12=""),0,IF($R297&gt;0,IF(J297="",0,IF(ISNUMBER(J297),J297,1)),IF($C297="Paying back",0,IF(AND(OR(Housemates!$C$12="",Housemates!$C$12&lt;=$B297),OR(Housemates!$D$12="",Housemates!$D$12&gt;=$B297)),IF($Q297=0,1,INDEX(Bills!$AE$6:$AE$25,$Q297)),0))))</f>
        <v/>
      </c>
      <c r="X297">
        <f>IF(OR($D297="",$B297="",Housemates!$B$13=""),0,IF($R297&gt;0,IF(K297="",0,IF(ISNUMBER(K297),K297,1)),IF($C297="Paying back",0,IF(AND(OR(Housemates!$C$13="",Housemates!$C$13&lt;=$B297),OR(Housemates!$D$13="",Housemates!$D$13&gt;=$B297)),IF($Q297=0,1,INDEX(Bills!$AF$6:$AF$25,$Q297)),0))))</f>
        <v/>
      </c>
      <c r="Y297">
        <f>IF(OR($D297="",$B297="",Housemates!$B$14=""),0,IF($R297&gt;0,IF(L297="",0,IF(ISNUMBER(L297),L297,1)),IF($C297="Paying back",0,IF(AND(OR(Housemates!$C$14="",Housemates!$C$14&lt;=$B297),OR(Housemates!$D$14="",Housemates!$D$14&gt;=$B297)),IF($Q297=0,1,INDEX(Bills!$AG$6:$AG$25,$Q297)),0))))</f>
        <v/>
      </c>
      <c r="Z297">
        <f>IF(OR($D297="",$B297="",Housemates!$B$15=""),0,IF($R297&gt;0,IF(M297="",0,IF(ISNUMBER(M297),M297,1)),IF($C297="Paying back",0,IF(AND(OR(Housemates!$C$15="",Housemates!$C$15&lt;=$B297),OR(Housemates!$D$15="",Housemates!$D$15&gt;=$B297)),IF($Q297=0,1,INDEX(Bills!$AH$6:$AH$25,$Q297)),0))))</f>
        <v/>
      </c>
      <c r="AA297">
        <f>SUM(S297:Z297)</f>
        <v/>
      </c>
      <c r="AB297">
        <f>IF(AA297=0,0,D297*S297/AA297)</f>
        <v/>
      </c>
      <c r="AC297">
        <f>IF(AA297=0,0,D297*T297/AA297)</f>
        <v/>
      </c>
      <c r="AD297">
        <f>IF(AA297=0,0,D297*U297/AA297)</f>
        <v/>
      </c>
      <c r="AE297">
        <f>IF(AA297=0,0,D297*V297/AA297)</f>
        <v/>
      </c>
      <c r="AF297">
        <f>IF(AA297=0,0,D297*W297/AA297)</f>
        <v/>
      </c>
      <c r="AG297">
        <f>IF(AA297=0,0,D297*X297/AA297)</f>
        <v/>
      </c>
      <c r="AH297">
        <f>IF(AA297=0,0,D297*Y297/AA297)</f>
        <v/>
      </c>
      <c r="AI297">
        <f>IF(AA297=0,0,D297*Z297/AA297)</f>
        <v/>
      </c>
      <c r="AJ297">
        <f>IF(OR(C297="",B297=""),"",C297&amp;"|"&amp;(YEAR(B297)*100+MONTH(B297)))</f>
        <v/>
      </c>
    </row>
    <row r="298">
      <c r="A298" s="1" t="n"/>
      <c r="B298" s="23" t="n"/>
      <c r="C298" s="24" t="n"/>
      <c r="D298" s="25" t="n"/>
      <c r="E298" s="26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1">
        <f>IF(D298="","",IF(B298="","No date",IF(AND(C298="Paying back",R298=0),"To whom?",IF(AA298=0,"Nobody",IF(C298="Paying back","To "&amp;INDEX(Housemates!$B$8:$B$15,MATCH(MAX(S298:Z298),S298:Z298,0)),IF(R298&gt;0,IF(COUNTIF(S298:Z298,"&gt;0")=1,"1 person",COUNTIF(S298:Z298,"&gt;0")&amp;" people"),IF(Q298=0,"Everyone",INDEX(Bills!$Q$6:$Q$25,Q298))))))))</f>
        <v/>
      </c>
      <c r="O298" s="18">
        <f>IF(D298="","",IF(C298="Paying back","Paying back",IF(Q298=0,"Other",IF(INDEX(Bills!$C$6:$C$25,Q298)="","Other",INDEX(Bills!$C$6:$C$25,Q298)))))</f>
        <v/>
      </c>
      <c r="P298" s="1" t="n"/>
      <c r="Q298">
        <f>IF(C298="",0,IFERROR(MATCH(C298,Bills!$B$6:$B$25,0),0))</f>
        <v/>
      </c>
      <c r="R298">
        <f>COUNTA(F298:M298)</f>
        <v/>
      </c>
      <c r="S298">
        <f>IF(OR($D298="",$B298="",Housemates!$B$8=""),0,IF($R298&gt;0,IF(F298="",0,IF(ISNUMBER(F298),F298,1)),IF($C298="Paying back",0,IF(AND(OR(Housemates!$C$8="",Housemates!$C$8&lt;=$B298),OR(Housemates!$D$8="",Housemates!$D$8&gt;=$B298)),IF($Q298=0,1,INDEX(Bills!$AA$6:$AA$25,$Q298)),0))))</f>
        <v/>
      </c>
      <c r="T298">
        <f>IF(OR($D298="",$B298="",Housemates!$B$9=""),0,IF($R298&gt;0,IF(G298="",0,IF(ISNUMBER(G298),G298,1)),IF($C298="Paying back",0,IF(AND(OR(Housemates!$C$9="",Housemates!$C$9&lt;=$B298),OR(Housemates!$D$9="",Housemates!$D$9&gt;=$B298)),IF($Q298=0,1,INDEX(Bills!$AB$6:$AB$25,$Q298)),0))))</f>
        <v/>
      </c>
      <c r="U298">
        <f>IF(OR($D298="",$B298="",Housemates!$B$10=""),0,IF($R298&gt;0,IF(H298="",0,IF(ISNUMBER(H298),H298,1)),IF($C298="Paying back",0,IF(AND(OR(Housemates!$C$10="",Housemates!$C$10&lt;=$B298),OR(Housemates!$D$10="",Housemates!$D$10&gt;=$B298)),IF($Q298=0,1,INDEX(Bills!$AC$6:$AC$25,$Q298)),0))))</f>
        <v/>
      </c>
      <c r="V298">
        <f>IF(OR($D298="",$B298="",Housemates!$B$11=""),0,IF($R298&gt;0,IF(I298="",0,IF(ISNUMBER(I298),I298,1)),IF($C298="Paying back",0,IF(AND(OR(Housemates!$C$11="",Housemates!$C$11&lt;=$B298),OR(Housemates!$D$11="",Housemates!$D$11&gt;=$B298)),IF($Q298=0,1,INDEX(Bills!$AD$6:$AD$25,$Q298)),0))))</f>
        <v/>
      </c>
      <c r="W298">
        <f>IF(OR($D298="",$B298="",Housemates!$B$12=""),0,IF($R298&gt;0,IF(J298="",0,IF(ISNUMBER(J298),J298,1)),IF($C298="Paying back",0,IF(AND(OR(Housemates!$C$12="",Housemates!$C$12&lt;=$B298),OR(Housemates!$D$12="",Housemates!$D$12&gt;=$B298)),IF($Q298=0,1,INDEX(Bills!$AE$6:$AE$25,$Q298)),0))))</f>
        <v/>
      </c>
      <c r="X298">
        <f>IF(OR($D298="",$B298="",Housemates!$B$13=""),0,IF($R298&gt;0,IF(K298="",0,IF(ISNUMBER(K298),K298,1)),IF($C298="Paying back",0,IF(AND(OR(Housemates!$C$13="",Housemates!$C$13&lt;=$B298),OR(Housemates!$D$13="",Housemates!$D$13&gt;=$B298)),IF($Q298=0,1,INDEX(Bills!$AF$6:$AF$25,$Q298)),0))))</f>
        <v/>
      </c>
      <c r="Y298">
        <f>IF(OR($D298="",$B298="",Housemates!$B$14=""),0,IF($R298&gt;0,IF(L298="",0,IF(ISNUMBER(L298),L298,1)),IF($C298="Paying back",0,IF(AND(OR(Housemates!$C$14="",Housemates!$C$14&lt;=$B298),OR(Housemates!$D$14="",Housemates!$D$14&gt;=$B298)),IF($Q298=0,1,INDEX(Bills!$AG$6:$AG$25,$Q298)),0))))</f>
        <v/>
      </c>
      <c r="Z298">
        <f>IF(OR($D298="",$B298="",Housemates!$B$15=""),0,IF($R298&gt;0,IF(M298="",0,IF(ISNUMBER(M298),M298,1)),IF($C298="Paying back",0,IF(AND(OR(Housemates!$C$15="",Housemates!$C$15&lt;=$B298),OR(Housemates!$D$15="",Housemates!$D$15&gt;=$B298)),IF($Q298=0,1,INDEX(Bills!$AH$6:$AH$25,$Q298)),0))))</f>
        <v/>
      </c>
      <c r="AA298">
        <f>SUM(S298:Z298)</f>
        <v/>
      </c>
      <c r="AB298">
        <f>IF(AA298=0,0,D298*S298/AA298)</f>
        <v/>
      </c>
      <c r="AC298">
        <f>IF(AA298=0,0,D298*T298/AA298)</f>
        <v/>
      </c>
      <c r="AD298">
        <f>IF(AA298=0,0,D298*U298/AA298)</f>
        <v/>
      </c>
      <c r="AE298">
        <f>IF(AA298=0,0,D298*V298/AA298)</f>
        <v/>
      </c>
      <c r="AF298">
        <f>IF(AA298=0,0,D298*W298/AA298)</f>
        <v/>
      </c>
      <c r="AG298">
        <f>IF(AA298=0,0,D298*X298/AA298)</f>
        <v/>
      </c>
      <c r="AH298">
        <f>IF(AA298=0,0,D298*Y298/AA298)</f>
        <v/>
      </c>
      <c r="AI298">
        <f>IF(AA298=0,0,D298*Z298/AA298)</f>
        <v/>
      </c>
      <c r="AJ298">
        <f>IF(OR(C298="",B298=""),"",C298&amp;"|"&amp;(YEAR(B298)*100+MONTH(B298)))</f>
        <v/>
      </c>
    </row>
    <row r="299">
      <c r="A299" s="1" t="n"/>
      <c r="B299" s="23" t="n"/>
      <c r="C299" s="24" t="n"/>
      <c r="D299" s="25" t="n"/>
      <c r="E299" s="26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1">
        <f>IF(D299="","",IF(B299="","No date",IF(AND(C299="Paying back",R299=0),"To whom?",IF(AA299=0,"Nobody",IF(C299="Paying back","To "&amp;INDEX(Housemates!$B$8:$B$15,MATCH(MAX(S299:Z299),S299:Z299,0)),IF(R299&gt;0,IF(COUNTIF(S299:Z299,"&gt;0")=1,"1 person",COUNTIF(S299:Z299,"&gt;0")&amp;" people"),IF(Q299=0,"Everyone",INDEX(Bills!$Q$6:$Q$25,Q299))))))))</f>
        <v/>
      </c>
      <c r="O299" s="18">
        <f>IF(D299="","",IF(C299="Paying back","Paying back",IF(Q299=0,"Other",IF(INDEX(Bills!$C$6:$C$25,Q299)="","Other",INDEX(Bills!$C$6:$C$25,Q299)))))</f>
        <v/>
      </c>
      <c r="P299" s="1" t="n"/>
      <c r="Q299">
        <f>IF(C299="",0,IFERROR(MATCH(C299,Bills!$B$6:$B$25,0),0))</f>
        <v/>
      </c>
      <c r="R299">
        <f>COUNTA(F299:M299)</f>
        <v/>
      </c>
      <c r="S299">
        <f>IF(OR($D299="",$B299="",Housemates!$B$8=""),0,IF($R299&gt;0,IF(F299="",0,IF(ISNUMBER(F299),F299,1)),IF($C299="Paying back",0,IF(AND(OR(Housemates!$C$8="",Housemates!$C$8&lt;=$B299),OR(Housemates!$D$8="",Housemates!$D$8&gt;=$B299)),IF($Q299=0,1,INDEX(Bills!$AA$6:$AA$25,$Q299)),0))))</f>
        <v/>
      </c>
      <c r="T299">
        <f>IF(OR($D299="",$B299="",Housemates!$B$9=""),0,IF($R299&gt;0,IF(G299="",0,IF(ISNUMBER(G299),G299,1)),IF($C299="Paying back",0,IF(AND(OR(Housemates!$C$9="",Housemates!$C$9&lt;=$B299),OR(Housemates!$D$9="",Housemates!$D$9&gt;=$B299)),IF($Q299=0,1,INDEX(Bills!$AB$6:$AB$25,$Q299)),0))))</f>
        <v/>
      </c>
      <c r="U299">
        <f>IF(OR($D299="",$B299="",Housemates!$B$10=""),0,IF($R299&gt;0,IF(H299="",0,IF(ISNUMBER(H299),H299,1)),IF($C299="Paying back",0,IF(AND(OR(Housemates!$C$10="",Housemates!$C$10&lt;=$B299),OR(Housemates!$D$10="",Housemates!$D$10&gt;=$B299)),IF($Q299=0,1,INDEX(Bills!$AC$6:$AC$25,$Q299)),0))))</f>
        <v/>
      </c>
      <c r="V299">
        <f>IF(OR($D299="",$B299="",Housemates!$B$11=""),0,IF($R299&gt;0,IF(I299="",0,IF(ISNUMBER(I299),I299,1)),IF($C299="Paying back",0,IF(AND(OR(Housemates!$C$11="",Housemates!$C$11&lt;=$B299),OR(Housemates!$D$11="",Housemates!$D$11&gt;=$B299)),IF($Q299=0,1,INDEX(Bills!$AD$6:$AD$25,$Q299)),0))))</f>
        <v/>
      </c>
      <c r="W299">
        <f>IF(OR($D299="",$B299="",Housemates!$B$12=""),0,IF($R299&gt;0,IF(J299="",0,IF(ISNUMBER(J299),J299,1)),IF($C299="Paying back",0,IF(AND(OR(Housemates!$C$12="",Housemates!$C$12&lt;=$B299),OR(Housemates!$D$12="",Housemates!$D$12&gt;=$B299)),IF($Q299=0,1,INDEX(Bills!$AE$6:$AE$25,$Q299)),0))))</f>
        <v/>
      </c>
      <c r="X299">
        <f>IF(OR($D299="",$B299="",Housemates!$B$13=""),0,IF($R299&gt;0,IF(K299="",0,IF(ISNUMBER(K299),K299,1)),IF($C299="Paying back",0,IF(AND(OR(Housemates!$C$13="",Housemates!$C$13&lt;=$B299),OR(Housemates!$D$13="",Housemates!$D$13&gt;=$B299)),IF($Q299=0,1,INDEX(Bills!$AF$6:$AF$25,$Q299)),0))))</f>
        <v/>
      </c>
      <c r="Y299">
        <f>IF(OR($D299="",$B299="",Housemates!$B$14=""),0,IF($R299&gt;0,IF(L299="",0,IF(ISNUMBER(L299),L299,1)),IF($C299="Paying back",0,IF(AND(OR(Housemates!$C$14="",Housemates!$C$14&lt;=$B299),OR(Housemates!$D$14="",Housemates!$D$14&gt;=$B299)),IF($Q299=0,1,INDEX(Bills!$AG$6:$AG$25,$Q299)),0))))</f>
        <v/>
      </c>
      <c r="Z299">
        <f>IF(OR($D299="",$B299="",Housemates!$B$15=""),0,IF($R299&gt;0,IF(M299="",0,IF(ISNUMBER(M299),M299,1)),IF($C299="Paying back",0,IF(AND(OR(Housemates!$C$15="",Housemates!$C$15&lt;=$B299),OR(Housemates!$D$15="",Housemates!$D$15&gt;=$B299)),IF($Q299=0,1,INDEX(Bills!$AH$6:$AH$25,$Q299)),0))))</f>
        <v/>
      </c>
      <c r="AA299">
        <f>SUM(S299:Z299)</f>
        <v/>
      </c>
      <c r="AB299">
        <f>IF(AA299=0,0,D299*S299/AA299)</f>
        <v/>
      </c>
      <c r="AC299">
        <f>IF(AA299=0,0,D299*T299/AA299)</f>
        <v/>
      </c>
      <c r="AD299">
        <f>IF(AA299=0,0,D299*U299/AA299)</f>
        <v/>
      </c>
      <c r="AE299">
        <f>IF(AA299=0,0,D299*V299/AA299)</f>
        <v/>
      </c>
      <c r="AF299">
        <f>IF(AA299=0,0,D299*W299/AA299)</f>
        <v/>
      </c>
      <c r="AG299">
        <f>IF(AA299=0,0,D299*X299/AA299)</f>
        <v/>
      </c>
      <c r="AH299">
        <f>IF(AA299=0,0,D299*Y299/AA299)</f>
        <v/>
      </c>
      <c r="AI299">
        <f>IF(AA299=0,0,D299*Z299/AA299)</f>
        <v/>
      </c>
      <c r="AJ299">
        <f>IF(OR(C299="",B299=""),"",C299&amp;"|"&amp;(YEAR(B299)*100+MONTH(B299)))</f>
        <v/>
      </c>
    </row>
    <row r="300">
      <c r="A300" s="1" t="n"/>
      <c r="B300" s="23" t="n"/>
      <c r="C300" s="24" t="n"/>
      <c r="D300" s="25" t="n"/>
      <c r="E300" s="26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1">
        <f>IF(D300="","",IF(B300="","No date",IF(AND(C300="Paying back",R300=0),"To whom?",IF(AA300=0,"Nobody",IF(C300="Paying back","To "&amp;INDEX(Housemates!$B$8:$B$15,MATCH(MAX(S300:Z300),S300:Z300,0)),IF(R300&gt;0,IF(COUNTIF(S300:Z300,"&gt;0")=1,"1 person",COUNTIF(S300:Z300,"&gt;0")&amp;" people"),IF(Q300=0,"Everyone",INDEX(Bills!$Q$6:$Q$25,Q300))))))))</f>
        <v/>
      </c>
      <c r="O300" s="18">
        <f>IF(D300="","",IF(C300="Paying back","Paying back",IF(Q300=0,"Other",IF(INDEX(Bills!$C$6:$C$25,Q300)="","Other",INDEX(Bills!$C$6:$C$25,Q300)))))</f>
        <v/>
      </c>
      <c r="P300" s="1" t="n"/>
      <c r="Q300">
        <f>IF(C300="",0,IFERROR(MATCH(C300,Bills!$B$6:$B$25,0),0))</f>
        <v/>
      </c>
      <c r="R300">
        <f>COUNTA(F300:M300)</f>
        <v/>
      </c>
      <c r="S300">
        <f>IF(OR($D300="",$B300="",Housemates!$B$8=""),0,IF($R300&gt;0,IF(F300="",0,IF(ISNUMBER(F300),F300,1)),IF($C300="Paying back",0,IF(AND(OR(Housemates!$C$8="",Housemates!$C$8&lt;=$B300),OR(Housemates!$D$8="",Housemates!$D$8&gt;=$B300)),IF($Q300=0,1,INDEX(Bills!$AA$6:$AA$25,$Q300)),0))))</f>
        <v/>
      </c>
      <c r="T300">
        <f>IF(OR($D300="",$B300="",Housemates!$B$9=""),0,IF($R300&gt;0,IF(G300="",0,IF(ISNUMBER(G300),G300,1)),IF($C300="Paying back",0,IF(AND(OR(Housemates!$C$9="",Housemates!$C$9&lt;=$B300),OR(Housemates!$D$9="",Housemates!$D$9&gt;=$B300)),IF($Q300=0,1,INDEX(Bills!$AB$6:$AB$25,$Q300)),0))))</f>
        <v/>
      </c>
      <c r="U300">
        <f>IF(OR($D300="",$B300="",Housemates!$B$10=""),0,IF($R300&gt;0,IF(H300="",0,IF(ISNUMBER(H300),H300,1)),IF($C300="Paying back",0,IF(AND(OR(Housemates!$C$10="",Housemates!$C$10&lt;=$B300),OR(Housemates!$D$10="",Housemates!$D$10&gt;=$B300)),IF($Q300=0,1,INDEX(Bills!$AC$6:$AC$25,$Q300)),0))))</f>
        <v/>
      </c>
      <c r="V300">
        <f>IF(OR($D300="",$B300="",Housemates!$B$11=""),0,IF($R300&gt;0,IF(I300="",0,IF(ISNUMBER(I300),I300,1)),IF($C300="Paying back",0,IF(AND(OR(Housemates!$C$11="",Housemates!$C$11&lt;=$B300),OR(Housemates!$D$11="",Housemates!$D$11&gt;=$B300)),IF($Q300=0,1,INDEX(Bills!$AD$6:$AD$25,$Q300)),0))))</f>
        <v/>
      </c>
      <c r="W300">
        <f>IF(OR($D300="",$B300="",Housemates!$B$12=""),0,IF($R300&gt;0,IF(J300="",0,IF(ISNUMBER(J300),J300,1)),IF($C300="Paying back",0,IF(AND(OR(Housemates!$C$12="",Housemates!$C$12&lt;=$B300),OR(Housemates!$D$12="",Housemates!$D$12&gt;=$B300)),IF($Q300=0,1,INDEX(Bills!$AE$6:$AE$25,$Q300)),0))))</f>
        <v/>
      </c>
      <c r="X300">
        <f>IF(OR($D300="",$B300="",Housemates!$B$13=""),0,IF($R300&gt;0,IF(K300="",0,IF(ISNUMBER(K300),K300,1)),IF($C300="Paying back",0,IF(AND(OR(Housemates!$C$13="",Housemates!$C$13&lt;=$B300),OR(Housemates!$D$13="",Housemates!$D$13&gt;=$B300)),IF($Q300=0,1,INDEX(Bills!$AF$6:$AF$25,$Q300)),0))))</f>
        <v/>
      </c>
      <c r="Y300">
        <f>IF(OR($D300="",$B300="",Housemates!$B$14=""),0,IF($R300&gt;0,IF(L300="",0,IF(ISNUMBER(L300),L300,1)),IF($C300="Paying back",0,IF(AND(OR(Housemates!$C$14="",Housemates!$C$14&lt;=$B300),OR(Housemates!$D$14="",Housemates!$D$14&gt;=$B300)),IF($Q300=0,1,INDEX(Bills!$AG$6:$AG$25,$Q300)),0))))</f>
        <v/>
      </c>
      <c r="Z300">
        <f>IF(OR($D300="",$B300="",Housemates!$B$15=""),0,IF($R300&gt;0,IF(M300="",0,IF(ISNUMBER(M300),M300,1)),IF($C300="Paying back",0,IF(AND(OR(Housemates!$C$15="",Housemates!$C$15&lt;=$B300),OR(Housemates!$D$15="",Housemates!$D$15&gt;=$B300)),IF($Q300=0,1,INDEX(Bills!$AH$6:$AH$25,$Q300)),0))))</f>
        <v/>
      </c>
      <c r="AA300">
        <f>SUM(S300:Z300)</f>
        <v/>
      </c>
      <c r="AB300">
        <f>IF(AA300=0,0,D300*S300/AA300)</f>
        <v/>
      </c>
      <c r="AC300">
        <f>IF(AA300=0,0,D300*T300/AA300)</f>
        <v/>
      </c>
      <c r="AD300">
        <f>IF(AA300=0,0,D300*U300/AA300)</f>
        <v/>
      </c>
      <c r="AE300">
        <f>IF(AA300=0,0,D300*V300/AA300)</f>
        <v/>
      </c>
      <c r="AF300">
        <f>IF(AA300=0,0,D300*W300/AA300)</f>
        <v/>
      </c>
      <c r="AG300">
        <f>IF(AA300=0,0,D300*X300/AA300)</f>
        <v/>
      </c>
      <c r="AH300">
        <f>IF(AA300=0,0,D300*Y300/AA300)</f>
        <v/>
      </c>
      <c r="AI300">
        <f>IF(AA300=0,0,D300*Z300/AA300)</f>
        <v/>
      </c>
      <c r="AJ300">
        <f>IF(OR(C300="",B300=""),"",C300&amp;"|"&amp;(YEAR(B300)*100+MONTH(B300)))</f>
        <v/>
      </c>
    </row>
    <row r="301">
      <c r="A301" s="1" t="n"/>
      <c r="B301" s="23" t="n"/>
      <c r="C301" s="24" t="n"/>
      <c r="D301" s="25" t="n"/>
      <c r="E301" s="26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1">
        <f>IF(D301="","",IF(B301="","No date",IF(AND(C301="Paying back",R301=0),"To whom?",IF(AA301=0,"Nobody",IF(C301="Paying back","To "&amp;INDEX(Housemates!$B$8:$B$15,MATCH(MAX(S301:Z301),S301:Z301,0)),IF(R301&gt;0,IF(COUNTIF(S301:Z301,"&gt;0")=1,"1 person",COUNTIF(S301:Z301,"&gt;0")&amp;" people"),IF(Q301=0,"Everyone",INDEX(Bills!$Q$6:$Q$25,Q301))))))))</f>
        <v/>
      </c>
      <c r="O301" s="18">
        <f>IF(D301="","",IF(C301="Paying back","Paying back",IF(Q301=0,"Other",IF(INDEX(Bills!$C$6:$C$25,Q301)="","Other",INDEX(Bills!$C$6:$C$25,Q301)))))</f>
        <v/>
      </c>
      <c r="P301" s="1" t="n"/>
      <c r="Q301">
        <f>IF(C301="",0,IFERROR(MATCH(C301,Bills!$B$6:$B$25,0),0))</f>
        <v/>
      </c>
      <c r="R301">
        <f>COUNTA(F301:M301)</f>
        <v/>
      </c>
      <c r="S301">
        <f>IF(OR($D301="",$B301="",Housemates!$B$8=""),0,IF($R301&gt;0,IF(F301="",0,IF(ISNUMBER(F301),F301,1)),IF($C301="Paying back",0,IF(AND(OR(Housemates!$C$8="",Housemates!$C$8&lt;=$B301),OR(Housemates!$D$8="",Housemates!$D$8&gt;=$B301)),IF($Q301=0,1,INDEX(Bills!$AA$6:$AA$25,$Q301)),0))))</f>
        <v/>
      </c>
      <c r="T301">
        <f>IF(OR($D301="",$B301="",Housemates!$B$9=""),0,IF($R301&gt;0,IF(G301="",0,IF(ISNUMBER(G301),G301,1)),IF($C301="Paying back",0,IF(AND(OR(Housemates!$C$9="",Housemates!$C$9&lt;=$B301),OR(Housemates!$D$9="",Housemates!$D$9&gt;=$B301)),IF($Q301=0,1,INDEX(Bills!$AB$6:$AB$25,$Q301)),0))))</f>
        <v/>
      </c>
      <c r="U301">
        <f>IF(OR($D301="",$B301="",Housemates!$B$10=""),0,IF($R301&gt;0,IF(H301="",0,IF(ISNUMBER(H301),H301,1)),IF($C301="Paying back",0,IF(AND(OR(Housemates!$C$10="",Housemates!$C$10&lt;=$B301),OR(Housemates!$D$10="",Housemates!$D$10&gt;=$B301)),IF($Q301=0,1,INDEX(Bills!$AC$6:$AC$25,$Q301)),0))))</f>
        <v/>
      </c>
      <c r="V301">
        <f>IF(OR($D301="",$B301="",Housemates!$B$11=""),0,IF($R301&gt;0,IF(I301="",0,IF(ISNUMBER(I301),I301,1)),IF($C301="Paying back",0,IF(AND(OR(Housemates!$C$11="",Housemates!$C$11&lt;=$B301),OR(Housemates!$D$11="",Housemates!$D$11&gt;=$B301)),IF($Q301=0,1,INDEX(Bills!$AD$6:$AD$25,$Q301)),0))))</f>
        <v/>
      </c>
      <c r="W301">
        <f>IF(OR($D301="",$B301="",Housemates!$B$12=""),0,IF($R301&gt;0,IF(J301="",0,IF(ISNUMBER(J301),J301,1)),IF($C301="Paying back",0,IF(AND(OR(Housemates!$C$12="",Housemates!$C$12&lt;=$B301),OR(Housemates!$D$12="",Housemates!$D$12&gt;=$B301)),IF($Q301=0,1,INDEX(Bills!$AE$6:$AE$25,$Q301)),0))))</f>
        <v/>
      </c>
      <c r="X301">
        <f>IF(OR($D301="",$B301="",Housemates!$B$13=""),0,IF($R301&gt;0,IF(K301="",0,IF(ISNUMBER(K301),K301,1)),IF($C301="Paying back",0,IF(AND(OR(Housemates!$C$13="",Housemates!$C$13&lt;=$B301),OR(Housemates!$D$13="",Housemates!$D$13&gt;=$B301)),IF($Q301=0,1,INDEX(Bills!$AF$6:$AF$25,$Q301)),0))))</f>
        <v/>
      </c>
      <c r="Y301">
        <f>IF(OR($D301="",$B301="",Housemates!$B$14=""),0,IF($R301&gt;0,IF(L301="",0,IF(ISNUMBER(L301),L301,1)),IF($C301="Paying back",0,IF(AND(OR(Housemates!$C$14="",Housemates!$C$14&lt;=$B301),OR(Housemates!$D$14="",Housemates!$D$14&gt;=$B301)),IF($Q301=0,1,INDEX(Bills!$AG$6:$AG$25,$Q301)),0))))</f>
        <v/>
      </c>
      <c r="Z301">
        <f>IF(OR($D301="",$B301="",Housemates!$B$15=""),0,IF($R301&gt;0,IF(M301="",0,IF(ISNUMBER(M301),M301,1)),IF($C301="Paying back",0,IF(AND(OR(Housemates!$C$15="",Housemates!$C$15&lt;=$B301),OR(Housemates!$D$15="",Housemates!$D$15&gt;=$B301)),IF($Q301=0,1,INDEX(Bills!$AH$6:$AH$25,$Q301)),0))))</f>
        <v/>
      </c>
      <c r="AA301">
        <f>SUM(S301:Z301)</f>
        <v/>
      </c>
      <c r="AB301">
        <f>IF(AA301=0,0,D301*S301/AA301)</f>
        <v/>
      </c>
      <c r="AC301">
        <f>IF(AA301=0,0,D301*T301/AA301)</f>
        <v/>
      </c>
      <c r="AD301">
        <f>IF(AA301=0,0,D301*U301/AA301)</f>
        <v/>
      </c>
      <c r="AE301">
        <f>IF(AA301=0,0,D301*V301/AA301)</f>
        <v/>
      </c>
      <c r="AF301">
        <f>IF(AA301=0,0,D301*W301/AA301)</f>
        <v/>
      </c>
      <c r="AG301">
        <f>IF(AA301=0,0,D301*X301/AA301)</f>
        <v/>
      </c>
      <c r="AH301">
        <f>IF(AA301=0,0,D301*Y301/AA301)</f>
        <v/>
      </c>
      <c r="AI301">
        <f>IF(AA301=0,0,D301*Z301/AA301)</f>
        <v/>
      </c>
      <c r="AJ301">
        <f>IF(OR(C301="",B301=""),"",C301&amp;"|"&amp;(YEAR(B301)*100+MONTH(B301)))</f>
        <v/>
      </c>
    </row>
    <row r="302">
      <c r="A302" s="1" t="n"/>
      <c r="B302" s="23" t="n"/>
      <c r="C302" s="24" t="n"/>
      <c r="D302" s="25" t="n"/>
      <c r="E302" s="26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1">
        <f>IF(D302="","",IF(B302="","No date",IF(AND(C302="Paying back",R302=0),"To whom?",IF(AA302=0,"Nobody",IF(C302="Paying back","To "&amp;INDEX(Housemates!$B$8:$B$15,MATCH(MAX(S302:Z302),S302:Z302,0)),IF(R302&gt;0,IF(COUNTIF(S302:Z302,"&gt;0")=1,"1 person",COUNTIF(S302:Z302,"&gt;0")&amp;" people"),IF(Q302=0,"Everyone",INDEX(Bills!$Q$6:$Q$25,Q302))))))))</f>
        <v/>
      </c>
      <c r="O302" s="18">
        <f>IF(D302="","",IF(C302="Paying back","Paying back",IF(Q302=0,"Other",IF(INDEX(Bills!$C$6:$C$25,Q302)="","Other",INDEX(Bills!$C$6:$C$25,Q302)))))</f>
        <v/>
      </c>
      <c r="P302" s="1" t="n"/>
      <c r="Q302">
        <f>IF(C302="",0,IFERROR(MATCH(C302,Bills!$B$6:$B$25,0),0))</f>
        <v/>
      </c>
      <c r="R302">
        <f>COUNTA(F302:M302)</f>
        <v/>
      </c>
      <c r="S302">
        <f>IF(OR($D302="",$B302="",Housemates!$B$8=""),0,IF($R302&gt;0,IF(F302="",0,IF(ISNUMBER(F302),F302,1)),IF($C302="Paying back",0,IF(AND(OR(Housemates!$C$8="",Housemates!$C$8&lt;=$B302),OR(Housemates!$D$8="",Housemates!$D$8&gt;=$B302)),IF($Q302=0,1,INDEX(Bills!$AA$6:$AA$25,$Q302)),0))))</f>
        <v/>
      </c>
      <c r="T302">
        <f>IF(OR($D302="",$B302="",Housemates!$B$9=""),0,IF($R302&gt;0,IF(G302="",0,IF(ISNUMBER(G302),G302,1)),IF($C302="Paying back",0,IF(AND(OR(Housemates!$C$9="",Housemates!$C$9&lt;=$B302),OR(Housemates!$D$9="",Housemates!$D$9&gt;=$B302)),IF($Q302=0,1,INDEX(Bills!$AB$6:$AB$25,$Q302)),0))))</f>
        <v/>
      </c>
      <c r="U302">
        <f>IF(OR($D302="",$B302="",Housemates!$B$10=""),0,IF($R302&gt;0,IF(H302="",0,IF(ISNUMBER(H302),H302,1)),IF($C302="Paying back",0,IF(AND(OR(Housemates!$C$10="",Housemates!$C$10&lt;=$B302),OR(Housemates!$D$10="",Housemates!$D$10&gt;=$B302)),IF($Q302=0,1,INDEX(Bills!$AC$6:$AC$25,$Q302)),0))))</f>
        <v/>
      </c>
      <c r="V302">
        <f>IF(OR($D302="",$B302="",Housemates!$B$11=""),0,IF($R302&gt;0,IF(I302="",0,IF(ISNUMBER(I302),I302,1)),IF($C302="Paying back",0,IF(AND(OR(Housemates!$C$11="",Housemates!$C$11&lt;=$B302),OR(Housemates!$D$11="",Housemates!$D$11&gt;=$B302)),IF($Q302=0,1,INDEX(Bills!$AD$6:$AD$25,$Q302)),0))))</f>
        <v/>
      </c>
      <c r="W302">
        <f>IF(OR($D302="",$B302="",Housemates!$B$12=""),0,IF($R302&gt;0,IF(J302="",0,IF(ISNUMBER(J302),J302,1)),IF($C302="Paying back",0,IF(AND(OR(Housemates!$C$12="",Housemates!$C$12&lt;=$B302),OR(Housemates!$D$12="",Housemates!$D$12&gt;=$B302)),IF($Q302=0,1,INDEX(Bills!$AE$6:$AE$25,$Q302)),0))))</f>
        <v/>
      </c>
      <c r="X302">
        <f>IF(OR($D302="",$B302="",Housemates!$B$13=""),0,IF($R302&gt;0,IF(K302="",0,IF(ISNUMBER(K302),K302,1)),IF($C302="Paying back",0,IF(AND(OR(Housemates!$C$13="",Housemates!$C$13&lt;=$B302),OR(Housemates!$D$13="",Housemates!$D$13&gt;=$B302)),IF($Q302=0,1,INDEX(Bills!$AF$6:$AF$25,$Q302)),0))))</f>
        <v/>
      </c>
      <c r="Y302">
        <f>IF(OR($D302="",$B302="",Housemates!$B$14=""),0,IF($R302&gt;0,IF(L302="",0,IF(ISNUMBER(L302),L302,1)),IF($C302="Paying back",0,IF(AND(OR(Housemates!$C$14="",Housemates!$C$14&lt;=$B302),OR(Housemates!$D$14="",Housemates!$D$14&gt;=$B302)),IF($Q302=0,1,INDEX(Bills!$AG$6:$AG$25,$Q302)),0))))</f>
        <v/>
      </c>
      <c r="Z302">
        <f>IF(OR($D302="",$B302="",Housemates!$B$15=""),0,IF($R302&gt;0,IF(M302="",0,IF(ISNUMBER(M302),M302,1)),IF($C302="Paying back",0,IF(AND(OR(Housemates!$C$15="",Housemates!$C$15&lt;=$B302),OR(Housemates!$D$15="",Housemates!$D$15&gt;=$B302)),IF($Q302=0,1,INDEX(Bills!$AH$6:$AH$25,$Q302)),0))))</f>
        <v/>
      </c>
      <c r="AA302">
        <f>SUM(S302:Z302)</f>
        <v/>
      </c>
      <c r="AB302">
        <f>IF(AA302=0,0,D302*S302/AA302)</f>
        <v/>
      </c>
      <c r="AC302">
        <f>IF(AA302=0,0,D302*T302/AA302)</f>
        <v/>
      </c>
      <c r="AD302">
        <f>IF(AA302=0,0,D302*U302/AA302)</f>
        <v/>
      </c>
      <c r="AE302">
        <f>IF(AA302=0,0,D302*V302/AA302)</f>
        <v/>
      </c>
      <c r="AF302">
        <f>IF(AA302=0,0,D302*W302/AA302)</f>
        <v/>
      </c>
      <c r="AG302">
        <f>IF(AA302=0,0,D302*X302/AA302)</f>
        <v/>
      </c>
      <c r="AH302">
        <f>IF(AA302=0,0,D302*Y302/AA302)</f>
        <v/>
      </c>
      <c r="AI302">
        <f>IF(AA302=0,0,D302*Z302/AA302)</f>
        <v/>
      </c>
      <c r="AJ302">
        <f>IF(OR(C302="",B302=""),"",C302&amp;"|"&amp;(YEAR(B302)*100+MONTH(B302)))</f>
        <v/>
      </c>
    </row>
    <row r="303">
      <c r="A303" s="1" t="n"/>
      <c r="B303" s="23" t="n"/>
      <c r="C303" s="24" t="n"/>
      <c r="D303" s="25" t="n"/>
      <c r="E303" s="26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1">
        <f>IF(D303="","",IF(B303="","No date",IF(AND(C303="Paying back",R303=0),"To whom?",IF(AA303=0,"Nobody",IF(C303="Paying back","To "&amp;INDEX(Housemates!$B$8:$B$15,MATCH(MAX(S303:Z303),S303:Z303,0)),IF(R303&gt;0,IF(COUNTIF(S303:Z303,"&gt;0")=1,"1 person",COUNTIF(S303:Z303,"&gt;0")&amp;" people"),IF(Q303=0,"Everyone",INDEX(Bills!$Q$6:$Q$25,Q303))))))))</f>
        <v/>
      </c>
      <c r="O303" s="18">
        <f>IF(D303="","",IF(C303="Paying back","Paying back",IF(Q303=0,"Other",IF(INDEX(Bills!$C$6:$C$25,Q303)="","Other",INDEX(Bills!$C$6:$C$25,Q303)))))</f>
        <v/>
      </c>
      <c r="P303" s="1" t="n"/>
      <c r="Q303">
        <f>IF(C303="",0,IFERROR(MATCH(C303,Bills!$B$6:$B$25,0),0))</f>
        <v/>
      </c>
      <c r="R303">
        <f>COUNTA(F303:M303)</f>
        <v/>
      </c>
      <c r="S303">
        <f>IF(OR($D303="",$B303="",Housemates!$B$8=""),0,IF($R303&gt;0,IF(F303="",0,IF(ISNUMBER(F303),F303,1)),IF($C303="Paying back",0,IF(AND(OR(Housemates!$C$8="",Housemates!$C$8&lt;=$B303),OR(Housemates!$D$8="",Housemates!$D$8&gt;=$B303)),IF($Q303=0,1,INDEX(Bills!$AA$6:$AA$25,$Q303)),0))))</f>
        <v/>
      </c>
      <c r="T303">
        <f>IF(OR($D303="",$B303="",Housemates!$B$9=""),0,IF($R303&gt;0,IF(G303="",0,IF(ISNUMBER(G303),G303,1)),IF($C303="Paying back",0,IF(AND(OR(Housemates!$C$9="",Housemates!$C$9&lt;=$B303),OR(Housemates!$D$9="",Housemates!$D$9&gt;=$B303)),IF($Q303=0,1,INDEX(Bills!$AB$6:$AB$25,$Q303)),0))))</f>
        <v/>
      </c>
      <c r="U303">
        <f>IF(OR($D303="",$B303="",Housemates!$B$10=""),0,IF($R303&gt;0,IF(H303="",0,IF(ISNUMBER(H303),H303,1)),IF($C303="Paying back",0,IF(AND(OR(Housemates!$C$10="",Housemates!$C$10&lt;=$B303),OR(Housemates!$D$10="",Housemates!$D$10&gt;=$B303)),IF($Q303=0,1,INDEX(Bills!$AC$6:$AC$25,$Q303)),0))))</f>
        <v/>
      </c>
      <c r="V303">
        <f>IF(OR($D303="",$B303="",Housemates!$B$11=""),0,IF($R303&gt;0,IF(I303="",0,IF(ISNUMBER(I303),I303,1)),IF($C303="Paying back",0,IF(AND(OR(Housemates!$C$11="",Housemates!$C$11&lt;=$B303),OR(Housemates!$D$11="",Housemates!$D$11&gt;=$B303)),IF($Q303=0,1,INDEX(Bills!$AD$6:$AD$25,$Q303)),0))))</f>
        <v/>
      </c>
      <c r="W303">
        <f>IF(OR($D303="",$B303="",Housemates!$B$12=""),0,IF($R303&gt;0,IF(J303="",0,IF(ISNUMBER(J303),J303,1)),IF($C303="Paying back",0,IF(AND(OR(Housemates!$C$12="",Housemates!$C$12&lt;=$B303),OR(Housemates!$D$12="",Housemates!$D$12&gt;=$B303)),IF($Q303=0,1,INDEX(Bills!$AE$6:$AE$25,$Q303)),0))))</f>
        <v/>
      </c>
      <c r="X303">
        <f>IF(OR($D303="",$B303="",Housemates!$B$13=""),0,IF($R303&gt;0,IF(K303="",0,IF(ISNUMBER(K303),K303,1)),IF($C303="Paying back",0,IF(AND(OR(Housemates!$C$13="",Housemates!$C$13&lt;=$B303),OR(Housemates!$D$13="",Housemates!$D$13&gt;=$B303)),IF($Q303=0,1,INDEX(Bills!$AF$6:$AF$25,$Q303)),0))))</f>
        <v/>
      </c>
      <c r="Y303">
        <f>IF(OR($D303="",$B303="",Housemates!$B$14=""),0,IF($R303&gt;0,IF(L303="",0,IF(ISNUMBER(L303),L303,1)),IF($C303="Paying back",0,IF(AND(OR(Housemates!$C$14="",Housemates!$C$14&lt;=$B303),OR(Housemates!$D$14="",Housemates!$D$14&gt;=$B303)),IF($Q303=0,1,INDEX(Bills!$AG$6:$AG$25,$Q303)),0))))</f>
        <v/>
      </c>
      <c r="Z303">
        <f>IF(OR($D303="",$B303="",Housemates!$B$15=""),0,IF($R303&gt;0,IF(M303="",0,IF(ISNUMBER(M303),M303,1)),IF($C303="Paying back",0,IF(AND(OR(Housemates!$C$15="",Housemates!$C$15&lt;=$B303),OR(Housemates!$D$15="",Housemates!$D$15&gt;=$B303)),IF($Q303=0,1,INDEX(Bills!$AH$6:$AH$25,$Q303)),0))))</f>
        <v/>
      </c>
      <c r="AA303">
        <f>SUM(S303:Z303)</f>
        <v/>
      </c>
      <c r="AB303">
        <f>IF(AA303=0,0,D303*S303/AA303)</f>
        <v/>
      </c>
      <c r="AC303">
        <f>IF(AA303=0,0,D303*T303/AA303)</f>
        <v/>
      </c>
      <c r="AD303">
        <f>IF(AA303=0,0,D303*U303/AA303)</f>
        <v/>
      </c>
      <c r="AE303">
        <f>IF(AA303=0,0,D303*V303/AA303)</f>
        <v/>
      </c>
      <c r="AF303">
        <f>IF(AA303=0,0,D303*W303/AA303)</f>
        <v/>
      </c>
      <c r="AG303">
        <f>IF(AA303=0,0,D303*X303/AA303)</f>
        <v/>
      </c>
      <c r="AH303">
        <f>IF(AA303=0,0,D303*Y303/AA303)</f>
        <v/>
      </c>
      <c r="AI303">
        <f>IF(AA303=0,0,D303*Z303/AA303)</f>
        <v/>
      </c>
      <c r="AJ303">
        <f>IF(OR(C303="",B303=""),"",C303&amp;"|"&amp;(YEAR(B303)*100+MONTH(B303)))</f>
        <v/>
      </c>
    </row>
    <row r="304">
      <c r="A304" s="1" t="n"/>
      <c r="B304" s="23" t="n"/>
      <c r="C304" s="24" t="n"/>
      <c r="D304" s="25" t="n"/>
      <c r="E304" s="26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1">
        <f>IF(D304="","",IF(B304="","No date",IF(AND(C304="Paying back",R304=0),"To whom?",IF(AA304=0,"Nobody",IF(C304="Paying back","To "&amp;INDEX(Housemates!$B$8:$B$15,MATCH(MAX(S304:Z304),S304:Z304,0)),IF(R304&gt;0,IF(COUNTIF(S304:Z304,"&gt;0")=1,"1 person",COUNTIF(S304:Z304,"&gt;0")&amp;" people"),IF(Q304=0,"Everyone",INDEX(Bills!$Q$6:$Q$25,Q304))))))))</f>
        <v/>
      </c>
      <c r="O304" s="18">
        <f>IF(D304="","",IF(C304="Paying back","Paying back",IF(Q304=0,"Other",IF(INDEX(Bills!$C$6:$C$25,Q304)="","Other",INDEX(Bills!$C$6:$C$25,Q304)))))</f>
        <v/>
      </c>
      <c r="P304" s="1" t="n"/>
      <c r="Q304">
        <f>IF(C304="",0,IFERROR(MATCH(C304,Bills!$B$6:$B$25,0),0))</f>
        <v/>
      </c>
      <c r="R304">
        <f>COUNTA(F304:M304)</f>
        <v/>
      </c>
      <c r="S304">
        <f>IF(OR($D304="",$B304="",Housemates!$B$8=""),0,IF($R304&gt;0,IF(F304="",0,IF(ISNUMBER(F304),F304,1)),IF($C304="Paying back",0,IF(AND(OR(Housemates!$C$8="",Housemates!$C$8&lt;=$B304),OR(Housemates!$D$8="",Housemates!$D$8&gt;=$B304)),IF($Q304=0,1,INDEX(Bills!$AA$6:$AA$25,$Q304)),0))))</f>
        <v/>
      </c>
      <c r="T304">
        <f>IF(OR($D304="",$B304="",Housemates!$B$9=""),0,IF($R304&gt;0,IF(G304="",0,IF(ISNUMBER(G304),G304,1)),IF($C304="Paying back",0,IF(AND(OR(Housemates!$C$9="",Housemates!$C$9&lt;=$B304),OR(Housemates!$D$9="",Housemates!$D$9&gt;=$B304)),IF($Q304=0,1,INDEX(Bills!$AB$6:$AB$25,$Q304)),0))))</f>
        <v/>
      </c>
      <c r="U304">
        <f>IF(OR($D304="",$B304="",Housemates!$B$10=""),0,IF($R304&gt;0,IF(H304="",0,IF(ISNUMBER(H304),H304,1)),IF($C304="Paying back",0,IF(AND(OR(Housemates!$C$10="",Housemates!$C$10&lt;=$B304),OR(Housemates!$D$10="",Housemates!$D$10&gt;=$B304)),IF($Q304=0,1,INDEX(Bills!$AC$6:$AC$25,$Q304)),0))))</f>
        <v/>
      </c>
      <c r="V304">
        <f>IF(OR($D304="",$B304="",Housemates!$B$11=""),0,IF($R304&gt;0,IF(I304="",0,IF(ISNUMBER(I304),I304,1)),IF($C304="Paying back",0,IF(AND(OR(Housemates!$C$11="",Housemates!$C$11&lt;=$B304),OR(Housemates!$D$11="",Housemates!$D$11&gt;=$B304)),IF($Q304=0,1,INDEX(Bills!$AD$6:$AD$25,$Q304)),0))))</f>
        <v/>
      </c>
      <c r="W304">
        <f>IF(OR($D304="",$B304="",Housemates!$B$12=""),0,IF($R304&gt;0,IF(J304="",0,IF(ISNUMBER(J304),J304,1)),IF($C304="Paying back",0,IF(AND(OR(Housemates!$C$12="",Housemates!$C$12&lt;=$B304),OR(Housemates!$D$12="",Housemates!$D$12&gt;=$B304)),IF($Q304=0,1,INDEX(Bills!$AE$6:$AE$25,$Q304)),0))))</f>
        <v/>
      </c>
      <c r="X304">
        <f>IF(OR($D304="",$B304="",Housemates!$B$13=""),0,IF($R304&gt;0,IF(K304="",0,IF(ISNUMBER(K304),K304,1)),IF($C304="Paying back",0,IF(AND(OR(Housemates!$C$13="",Housemates!$C$13&lt;=$B304),OR(Housemates!$D$13="",Housemates!$D$13&gt;=$B304)),IF($Q304=0,1,INDEX(Bills!$AF$6:$AF$25,$Q304)),0))))</f>
        <v/>
      </c>
      <c r="Y304">
        <f>IF(OR($D304="",$B304="",Housemates!$B$14=""),0,IF($R304&gt;0,IF(L304="",0,IF(ISNUMBER(L304),L304,1)),IF($C304="Paying back",0,IF(AND(OR(Housemates!$C$14="",Housemates!$C$14&lt;=$B304),OR(Housemates!$D$14="",Housemates!$D$14&gt;=$B304)),IF($Q304=0,1,INDEX(Bills!$AG$6:$AG$25,$Q304)),0))))</f>
        <v/>
      </c>
      <c r="Z304">
        <f>IF(OR($D304="",$B304="",Housemates!$B$15=""),0,IF($R304&gt;0,IF(M304="",0,IF(ISNUMBER(M304),M304,1)),IF($C304="Paying back",0,IF(AND(OR(Housemates!$C$15="",Housemates!$C$15&lt;=$B304),OR(Housemates!$D$15="",Housemates!$D$15&gt;=$B304)),IF($Q304=0,1,INDEX(Bills!$AH$6:$AH$25,$Q304)),0))))</f>
        <v/>
      </c>
      <c r="AA304">
        <f>SUM(S304:Z304)</f>
        <v/>
      </c>
      <c r="AB304">
        <f>IF(AA304=0,0,D304*S304/AA304)</f>
        <v/>
      </c>
      <c r="AC304">
        <f>IF(AA304=0,0,D304*T304/AA304)</f>
        <v/>
      </c>
      <c r="AD304">
        <f>IF(AA304=0,0,D304*U304/AA304)</f>
        <v/>
      </c>
      <c r="AE304">
        <f>IF(AA304=0,0,D304*V304/AA304)</f>
        <v/>
      </c>
      <c r="AF304">
        <f>IF(AA304=0,0,D304*W304/AA304)</f>
        <v/>
      </c>
      <c r="AG304">
        <f>IF(AA304=0,0,D304*X304/AA304)</f>
        <v/>
      </c>
      <c r="AH304">
        <f>IF(AA304=0,0,D304*Y304/AA304)</f>
        <v/>
      </c>
      <c r="AI304">
        <f>IF(AA304=0,0,D304*Z304/AA304)</f>
        <v/>
      </c>
      <c r="AJ304">
        <f>IF(OR(C304="",B304=""),"",C304&amp;"|"&amp;(YEAR(B304)*100+MONTH(B304)))</f>
        <v/>
      </c>
    </row>
    <row r="305">
      <c r="A305" s="1" t="n"/>
      <c r="B305" s="23" t="n"/>
      <c r="C305" s="24" t="n"/>
      <c r="D305" s="25" t="n"/>
      <c r="E305" s="26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1">
        <f>IF(D305="","",IF(B305="","No date",IF(AND(C305="Paying back",R305=0),"To whom?",IF(AA305=0,"Nobody",IF(C305="Paying back","To "&amp;INDEX(Housemates!$B$8:$B$15,MATCH(MAX(S305:Z305),S305:Z305,0)),IF(R305&gt;0,IF(COUNTIF(S305:Z305,"&gt;0")=1,"1 person",COUNTIF(S305:Z305,"&gt;0")&amp;" people"),IF(Q305=0,"Everyone",INDEX(Bills!$Q$6:$Q$25,Q305))))))))</f>
        <v/>
      </c>
      <c r="O305" s="18">
        <f>IF(D305="","",IF(C305="Paying back","Paying back",IF(Q305=0,"Other",IF(INDEX(Bills!$C$6:$C$25,Q305)="","Other",INDEX(Bills!$C$6:$C$25,Q305)))))</f>
        <v/>
      </c>
      <c r="P305" s="1" t="n"/>
      <c r="Q305">
        <f>IF(C305="",0,IFERROR(MATCH(C305,Bills!$B$6:$B$25,0),0))</f>
        <v/>
      </c>
      <c r="R305">
        <f>COUNTA(F305:M305)</f>
        <v/>
      </c>
      <c r="S305">
        <f>IF(OR($D305="",$B305="",Housemates!$B$8=""),0,IF($R305&gt;0,IF(F305="",0,IF(ISNUMBER(F305),F305,1)),IF($C305="Paying back",0,IF(AND(OR(Housemates!$C$8="",Housemates!$C$8&lt;=$B305),OR(Housemates!$D$8="",Housemates!$D$8&gt;=$B305)),IF($Q305=0,1,INDEX(Bills!$AA$6:$AA$25,$Q305)),0))))</f>
        <v/>
      </c>
      <c r="T305">
        <f>IF(OR($D305="",$B305="",Housemates!$B$9=""),0,IF($R305&gt;0,IF(G305="",0,IF(ISNUMBER(G305),G305,1)),IF($C305="Paying back",0,IF(AND(OR(Housemates!$C$9="",Housemates!$C$9&lt;=$B305),OR(Housemates!$D$9="",Housemates!$D$9&gt;=$B305)),IF($Q305=0,1,INDEX(Bills!$AB$6:$AB$25,$Q305)),0))))</f>
        <v/>
      </c>
      <c r="U305">
        <f>IF(OR($D305="",$B305="",Housemates!$B$10=""),0,IF($R305&gt;0,IF(H305="",0,IF(ISNUMBER(H305),H305,1)),IF($C305="Paying back",0,IF(AND(OR(Housemates!$C$10="",Housemates!$C$10&lt;=$B305),OR(Housemates!$D$10="",Housemates!$D$10&gt;=$B305)),IF($Q305=0,1,INDEX(Bills!$AC$6:$AC$25,$Q305)),0))))</f>
        <v/>
      </c>
      <c r="V305">
        <f>IF(OR($D305="",$B305="",Housemates!$B$11=""),0,IF($R305&gt;0,IF(I305="",0,IF(ISNUMBER(I305),I305,1)),IF($C305="Paying back",0,IF(AND(OR(Housemates!$C$11="",Housemates!$C$11&lt;=$B305),OR(Housemates!$D$11="",Housemates!$D$11&gt;=$B305)),IF($Q305=0,1,INDEX(Bills!$AD$6:$AD$25,$Q305)),0))))</f>
        <v/>
      </c>
      <c r="W305">
        <f>IF(OR($D305="",$B305="",Housemates!$B$12=""),0,IF($R305&gt;0,IF(J305="",0,IF(ISNUMBER(J305),J305,1)),IF($C305="Paying back",0,IF(AND(OR(Housemates!$C$12="",Housemates!$C$12&lt;=$B305),OR(Housemates!$D$12="",Housemates!$D$12&gt;=$B305)),IF($Q305=0,1,INDEX(Bills!$AE$6:$AE$25,$Q305)),0))))</f>
        <v/>
      </c>
      <c r="X305">
        <f>IF(OR($D305="",$B305="",Housemates!$B$13=""),0,IF($R305&gt;0,IF(K305="",0,IF(ISNUMBER(K305),K305,1)),IF($C305="Paying back",0,IF(AND(OR(Housemates!$C$13="",Housemates!$C$13&lt;=$B305),OR(Housemates!$D$13="",Housemates!$D$13&gt;=$B305)),IF($Q305=0,1,INDEX(Bills!$AF$6:$AF$25,$Q305)),0))))</f>
        <v/>
      </c>
      <c r="Y305">
        <f>IF(OR($D305="",$B305="",Housemates!$B$14=""),0,IF($R305&gt;0,IF(L305="",0,IF(ISNUMBER(L305),L305,1)),IF($C305="Paying back",0,IF(AND(OR(Housemates!$C$14="",Housemates!$C$14&lt;=$B305),OR(Housemates!$D$14="",Housemates!$D$14&gt;=$B305)),IF($Q305=0,1,INDEX(Bills!$AG$6:$AG$25,$Q305)),0))))</f>
        <v/>
      </c>
      <c r="Z305">
        <f>IF(OR($D305="",$B305="",Housemates!$B$15=""),0,IF($R305&gt;0,IF(M305="",0,IF(ISNUMBER(M305),M305,1)),IF($C305="Paying back",0,IF(AND(OR(Housemates!$C$15="",Housemates!$C$15&lt;=$B305),OR(Housemates!$D$15="",Housemates!$D$15&gt;=$B305)),IF($Q305=0,1,INDEX(Bills!$AH$6:$AH$25,$Q305)),0))))</f>
        <v/>
      </c>
      <c r="AA305">
        <f>SUM(S305:Z305)</f>
        <v/>
      </c>
      <c r="AB305">
        <f>IF(AA305=0,0,D305*S305/AA305)</f>
        <v/>
      </c>
      <c r="AC305">
        <f>IF(AA305=0,0,D305*T305/AA305)</f>
        <v/>
      </c>
      <c r="AD305">
        <f>IF(AA305=0,0,D305*U305/AA305)</f>
        <v/>
      </c>
      <c r="AE305">
        <f>IF(AA305=0,0,D305*V305/AA305)</f>
        <v/>
      </c>
      <c r="AF305">
        <f>IF(AA305=0,0,D305*W305/AA305)</f>
        <v/>
      </c>
      <c r="AG305">
        <f>IF(AA305=0,0,D305*X305/AA305)</f>
        <v/>
      </c>
      <c r="AH305">
        <f>IF(AA305=0,0,D305*Y305/AA305)</f>
        <v/>
      </c>
      <c r="AI305">
        <f>IF(AA305=0,0,D305*Z305/AA305)</f>
        <v/>
      </c>
      <c r="AJ305">
        <f>IF(OR(C305="",B305=""),"",C305&amp;"|"&amp;(YEAR(B305)*100+MONTH(B305)))</f>
        <v/>
      </c>
    </row>
    <row r="306">
      <c r="A306" s="1" t="n"/>
      <c r="B306" s="23" t="n"/>
      <c r="C306" s="24" t="n"/>
      <c r="D306" s="25" t="n"/>
      <c r="E306" s="26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1">
        <f>IF(D306="","",IF(B306="","No date",IF(AND(C306="Paying back",R306=0),"To whom?",IF(AA306=0,"Nobody",IF(C306="Paying back","To "&amp;INDEX(Housemates!$B$8:$B$15,MATCH(MAX(S306:Z306),S306:Z306,0)),IF(R306&gt;0,IF(COUNTIF(S306:Z306,"&gt;0")=1,"1 person",COUNTIF(S306:Z306,"&gt;0")&amp;" people"),IF(Q306=0,"Everyone",INDEX(Bills!$Q$6:$Q$25,Q306))))))))</f>
        <v/>
      </c>
      <c r="O306" s="18">
        <f>IF(D306="","",IF(C306="Paying back","Paying back",IF(Q306=0,"Other",IF(INDEX(Bills!$C$6:$C$25,Q306)="","Other",INDEX(Bills!$C$6:$C$25,Q306)))))</f>
        <v/>
      </c>
      <c r="P306" s="1" t="n"/>
      <c r="Q306">
        <f>IF(C306="",0,IFERROR(MATCH(C306,Bills!$B$6:$B$25,0),0))</f>
        <v/>
      </c>
      <c r="R306">
        <f>COUNTA(F306:M306)</f>
        <v/>
      </c>
      <c r="S306">
        <f>IF(OR($D306="",$B306="",Housemates!$B$8=""),0,IF($R306&gt;0,IF(F306="",0,IF(ISNUMBER(F306),F306,1)),IF($C306="Paying back",0,IF(AND(OR(Housemates!$C$8="",Housemates!$C$8&lt;=$B306),OR(Housemates!$D$8="",Housemates!$D$8&gt;=$B306)),IF($Q306=0,1,INDEX(Bills!$AA$6:$AA$25,$Q306)),0))))</f>
        <v/>
      </c>
      <c r="T306">
        <f>IF(OR($D306="",$B306="",Housemates!$B$9=""),0,IF($R306&gt;0,IF(G306="",0,IF(ISNUMBER(G306),G306,1)),IF($C306="Paying back",0,IF(AND(OR(Housemates!$C$9="",Housemates!$C$9&lt;=$B306),OR(Housemates!$D$9="",Housemates!$D$9&gt;=$B306)),IF($Q306=0,1,INDEX(Bills!$AB$6:$AB$25,$Q306)),0))))</f>
        <v/>
      </c>
      <c r="U306">
        <f>IF(OR($D306="",$B306="",Housemates!$B$10=""),0,IF($R306&gt;0,IF(H306="",0,IF(ISNUMBER(H306),H306,1)),IF($C306="Paying back",0,IF(AND(OR(Housemates!$C$10="",Housemates!$C$10&lt;=$B306),OR(Housemates!$D$10="",Housemates!$D$10&gt;=$B306)),IF($Q306=0,1,INDEX(Bills!$AC$6:$AC$25,$Q306)),0))))</f>
        <v/>
      </c>
      <c r="V306">
        <f>IF(OR($D306="",$B306="",Housemates!$B$11=""),0,IF($R306&gt;0,IF(I306="",0,IF(ISNUMBER(I306),I306,1)),IF($C306="Paying back",0,IF(AND(OR(Housemates!$C$11="",Housemates!$C$11&lt;=$B306),OR(Housemates!$D$11="",Housemates!$D$11&gt;=$B306)),IF($Q306=0,1,INDEX(Bills!$AD$6:$AD$25,$Q306)),0))))</f>
        <v/>
      </c>
      <c r="W306">
        <f>IF(OR($D306="",$B306="",Housemates!$B$12=""),0,IF($R306&gt;0,IF(J306="",0,IF(ISNUMBER(J306),J306,1)),IF($C306="Paying back",0,IF(AND(OR(Housemates!$C$12="",Housemates!$C$12&lt;=$B306),OR(Housemates!$D$12="",Housemates!$D$12&gt;=$B306)),IF($Q306=0,1,INDEX(Bills!$AE$6:$AE$25,$Q306)),0))))</f>
        <v/>
      </c>
      <c r="X306">
        <f>IF(OR($D306="",$B306="",Housemates!$B$13=""),0,IF($R306&gt;0,IF(K306="",0,IF(ISNUMBER(K306),K306,1)),IF($C306="Paying back",0,IF(AND(OR(Housemates!$C$13="",Housemates!$C$13&lt;=$B306),OR(Housemates!$D$13="",Housemates!$D$13&gt;=$B306)),IF($Q306=0,1,INDEX(Bills!$AF$6:$AF$25,$Q306)),0))))</f>
        <v/>
      </c>
      <c r="Y306">
        <f>IF(OR($D306="",$B306="",Housemates!$B$14=""),0,IF($R306&gt;0,IF(L306="",0,IF(ISNUMBER(L306),L306,1)),IF($C306="Paying back",0,IF(AND(OR(Housemates!$C$14="",Housemates!$C$14&lt;=$B306),OR(Housemates!$D$14="",Housemates!$D$14&gt;=$B306)),IF($Q306=0,1,INDEX(Bills!$AG$6:$AG$25,$Q306)),0))))</f>
        <v/>
      </c>
      <c r="Z306">
        <f>IF(OR($D306="",$B306="",Housemates!$B$15=""),0,IF($R306&gt;0,IF(M306="",0,IF(ISNUMBER(M306),M306,1)),IF($C306="Paying back",0,IF(AND(OR(Housemates!$C$15="",Housemates!$C$15&lt;=$B306),OR(Housemates!$D$15="",Housemates!$D$15&gt;=$B306)),IF($Q306=0,1,INDEX(Bills!$AH$6:$AH$25,$Q306)),0))))</f>
        <v/>
      </c>
      <c r="AA306">
        <f>SUM(S306:Z306)</f>
        <v/>
      </c>
      <c r="AB306">
        <f>IF(AA306=0,0,D306*S306/AA306)</f>
        <v/>
      </c>
      <c r="AC306">
        <f>IF(AA306=0,0,D306*T306/AA306)</f>
        <v/>
      </c>
      <c r="AD306">
        <f>IF(AA306=0,0,D306*U306/AA306)</f>
        <v/>
      </c>
      <c r="AE306">
        <f>IF(AA306=0,0,D306*V306/AA306)</f>
        <v/>
      </c>
      <c r="AF306">
        <f>IF(AA306=0,0,D306*W306/AA306)</f>
        <v/>
      </c>
      <c r="AG306">
        <f>IF(AA306=0,0,D306*X306/AA306)</f>
        <v/>
      </c>
      <c r="AH306">
        <f>IF(AA306=0,0,D306*Y306/AA306)</f>
        <v/>
      </c>
      <c r="AI306">
        <f>IF(AA306=0,0,D306*Z306/AA306)</f>
        <v/>
      </c>
      <c r="AJ306">
        <f>IF(OR(C306="",B306=""),"",C306&amp;"|"&amp;(YEAR(B306)*100+MONTH(B306)))</f>
        <v/>
      </c>
    </row>
    <row r="307">
      <c r="A307" s="1" t="n"/>
      <c r="B307" s="23" t="n"/>
      <c r="C307" s="24" t="n"/>
      <c r="D307" s="25" t="n"/>
      <c r="E307" s="26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1">
        <f>IF(D307="","",IF(B307="","No date",IF(AND(C307="Paying back",R307=0),"To whom?",IF(AA307=0,"Nobody",IF(C307="Paying back","To "&amp;INDEX(Housemates!$B$8:$B$15,MATCH(MAX(S307:Z307),S307:Z307,0)),IF(R307&gt;0,IF(COUNTIF(S307:Z307,"&gt;0")=1,"1 person",COUNTIF(S307:Z307,"&gt;0")&amp;" people"),IF(Q307=0,"Everyone",INDEX(Bills!$Q$6:$Q$25,Q307))))))))</f>
        <v/>
      </c>
      <c r="O307" s="18">
        <f>IF(D307="","",IF(C307="Paying back","Paying back",IF(Q307=0,"Other",IF(INDEX(Bills!$C$6:$C$25,Q307)="","Other",INDEX(Bills!$C$6:$C$25,Q307)))))</f>
        <v/>
      </c>
      <c r="P307" s="1" t="n"/>
      <c r="Q307">
        <f>IF(C307="",0,IFERROR(MATCH(C307,Bills!$B$6:$B$25,0),0))</f>
        <v/>
      </c>
      <c r="R307">
        <f>COUNTA(F307:M307)</f>
        <v/>
      </c>
      <c r="S307">
        <f>IF(OR($D307="",$B307="",Housemates!$B$8=""),0,IF($R307&gt;0,IF(F307="",0,IF(ISNUMBER(F307),F307,1)),IF($C307="Paying back",0,IF(AND(OR(Housemates!$C$8="",Housemates!$C$8&lt;=$B307),OR(Housemates!$D$8="",Housemates!$D$8&gt;=$B307)),IF($Q307=0,1,INDEX(Bills!$AA$6:$AA$25,$Q307)),0))))</f>
        <v/>
      </c>
      <c r="T307">
        <f>IF(OR($D307="",$B307="",Housemates!$B$9=""),0,IF($R307&gt;0,IF(G307="",0,IF(ISNUMBER(G307),G307,1)),IF($C307="Paying back",0,IF(AND(OR(Housemates!$C$9="",Housemates!$C$9&lt;=$B307),OR(Housemates!$D$9="",Housemates!$D$9&gt;=$B307)),IF($Q307=0,1,INDEX(Bills!$AB$6:$AB$25,$Q307)),0))))</f>
        <v/>
      </c>
      <c r="U307">
        <f>IF(OR($D307="",$B307="",Housemates!$B$10=""),0,IF($R307&gt;0,IF(H307="",0,IF(ISNUMBER(H307),H307,1)),IF($C307="Paying back",0,IF(AND(OR(Housemates!$C$10="",Housemates!$C$10&lt;=$B307),OR(Housemates!$D$10="",Housemates!$D$10&gt;=$B307)),IF($Q307=0,1,INDEX(Bills!$AC$6:$AC$25,$Q307)),0))))</f>
        <v/>
      </c>
      <c r="V307">
        <f>IF(OR($D307="",$B307="",Housemates!$B$11=""),0,IF($R307&gt;0,IF(I307="",0,IF(ISNUMBER(I307),I307,1)),IF($C307="Paying back",0,IF(AND(OR(Housemates!$C$11="",Housemates!$C$11&lt;=$B307),OR(Housemates!$D$11="",Housemates!$D$11&gt;=$B307)),IF($Q307=0,1,INDEX(Bills!$AD$6:$AD$25,$Q307)),0))))</f>
        <v/>
      </c>
      <c r="W307">
        <f>IF(OR($D307="",$B307="",Housemates!$B$12=""),0,IF($R307&gt;0,IF(J307="",0,IF(ISNUMBER(J307),J307,1)),IF($C307="Paying back",0,IF(AND(OR(Housemates!$C$12="",Housemates!$C$12&lt;=$B307),OR(Housemates!$D$12="",Housemates!$D$12&gt;=$B307)),IF($Q307=0,1,INDEX(Bills!$AE$6:$AE$25,$Q307)),0))))</f>
        <v/>
      </c>
      <c r="X307">
        <f>IF(OR($D307="",$B307="",Housemates!$B$13=""),0,IF($R307&gt;0,IF(K307="",0,IF(ISNUMBER(K307),K307,1)),IF($C307="Paying back",0,IF(AND(OR(Housemates!$C$13="",Housemates!$C$13&lt;=$B307),OR(Housemates!$D$13="",Housemates!$D$13&gt;=$B307)),IF($Q307=0,1,INDEX(Bills!$AF$6:$AF$25,$Q307)),0))))</f>
        <v/>
      </c>
      <c r="Y307">
        <f>IF(OR($D307="",$B307="",Housemates!$B$14=""),0,IF($R307&gt;0,IF(L307="",0,IF(ISNUMBER(L307),L307,1)),IF($C307="Paying back",0,IF(AND(OR(Housemates!$C$14="",Housemates!$C$14&lt;=$B307),OR(Housemates!$D$14="",Housemates!$D$14&gt;=$B307)),IF($Q307=0,1,INDEX(Bills!$AG$6:$AG$25,$Q307)),0))))</f>
        <v/>
      </c>
      <c r="Z307">
        <f>IF(OR($D307="",$B307="",Housemates!$B$15=""),0,IF($R307&gt;0,IF(M307="",0,IF(ISNUMBER(M307),M307,1)),IF($C307="Paying back",0,IF(AND(OR(Housemates!$C$15="",Housemates!$C$15&lt;=$B307),OR(Housemates!$D$15="",Housemates!$D$15&gt;=$B307)),IF($Q307=0,1,INDEX(Bills!$AH$6:$AH$25,$Q307)),0))))</f>
        <v/>
      </c>
      <c r="AA307">
        <f>SUM(S307:Z307)</f>
        <v/>
      </c>
      <c r="AB307">
        <f>IF(AA307=0,0,D307*S307/AA307)</f>
        <v/>
      </c>
      <c r="AC307">
        <f>IF(AA307=0,0,D307*T307/AA307)</f>
        <v/>
      </c>
      <c r="AD307">
        <f>IF(AA307=0,0,D307*U307/AA307)</f>
        <v/>
      </c>
      <c r="AE307">
        <f>IF(AA307=0,0,D307*V307/AA307)</f>
        <v/>
      </c>
      <c r="AF307">
        <f>IF(AA307=0,0,D307*W307/AA307)</f>
        <v/>
      </c>
      <c r="AG307">
        <f>IF(AA307=0,0,D307*X307/AA307)</f>
        <v/>
      </c>
      <c r="AH307">
        <f>IF(AA307=0,0,D307*Y307/AA307)</f>
        <v/>
      </c>
      <c r="AI307">
        <f>IF(AA307=0,0,D307*Z307/AA307)</f>
        <v/>
      </c>
      <c r="AJ307">
        <f>IF(OR(C307="",B307=""),"",C307&amp;"|"&amp;(YEAR(B307)*100+MONTH(B307)))</f>
        <v/>
      </c>
    </row>
    <row r="308">
      <c r="A308" s="1" t="n"/>
      <c r="B308" s="23" t="n"/>
      <c r="C308" s="24" t="n"/>
      <c r="D308" s="25" t="n"/>
      <c r="E308" s="26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1">
        <f>IF(D308="","",IF(B308="","No date",IF(AND(C308="Paying back",R308=0),"To whom?",IF(AA308=0,"Nobody",IF(C308="Paying back","To "&amp;INDEX(Housemates!$B$8:$B$15,MATCH(MAX(S308:Z308),S308:Z308,0)),IF(R308&gt;0,IF(COUNTIF(S308:Z308,"&gt;0")=1,"1 person",COUNTIF(S308:Z308,"&gt;0")&amp;" people"),IF(Q308=0,"Everyone",INDEX(Bills!$Q$6:$Q$25,Q308))))))))</f>
        <v/>
      </c>
      <c r="O308" s="18">
        <f>IF(D308="","",IF(C308="Paying back","Paying back",IF(Q308=0,"Other",IF(INDEX(Bills!$C$6:$C$25,Q308)="","Other",INDEX(Bills!$C$6:$C$25,Q308)))))</f>
        <v/>
      </c>
      <c r="P308" s="1" t="n"/>
      <c r="Q308">
        <f>IF(C308="",0,IFERROR(MATCH(C308,Bills!$B$6:$B$25,0),0))</f>
        <v/>
      </c>
      <c r="R308">
        <f>COUNTA(F308:M308)</f>
        <v/>
      </c>
      <c r="S308">
        <f>IF(OR($D308="",$B308="",Housemates!$B$8=""),0,IF($R308&gt;0,IF(F308="",0,IF(ISNUMBER(F308),F308,1)),IF($C308="Paying back",0,IF(AND(OR(Housemates!$C$8="",Housemates!$C$8&lt;=$B308),OR(Housemates!$D$8="",Housemates!$D$8&gt;=$B308)),IF($Q308=0,1,INDEX(Bills!$AA$6:$AA$25,$Q308)),0))))</f>
        <v/>
      </c>
      <c r="T308">
        <f>IF(OR($D308="",$B308="",Housemates!$B$9=""),0,IF($R308&gt;0,IF(G308="",0,IF(ISNUMBER(G308),G308,1)),IF($C308="Paying back",0,IF(AND(OR(Housemates!$C$9="",Housemates!$C$9&lt;=$B308),OR(Housemates!$D$9="",Housemates!$D$9&gt;=$B308)),IF($Q308=0,1,INDEX(Bills!$AB$6:$AB$25,$Q308)),0))))</f>
        <v/>
      </c>
      <c r="U308">
        <f>IF(OR($D308="",$B308="",Housemates!$B$10=""),0,IF($R308&gt;0,IF(H308="",0,IF(ISNUMBER(H308),H308,1)),IF($C308="Paying back",0,IF(AND(OR(Housemates!$C$10="",Housemates!$C$10&lt;=$B308),OR(Housemates!$D$10="",Housemates!$D$10&gt;=$B308)),IF($Q308=0,1,INDEX(Bills!$AC$6:$AC$25,$Q308)),0))))</f>
        <v/>
      </c>
      <c r="V308">
        <f>IF(OR($D308="",$B308="",Housemates!$B$11=""),0,IF($R308&gt;0,IF(I308="",0,IF(ISNUMBER(I308),I308,1)),IF($C308="Paying back",0,IF(AND(OR(Housemates!$C$11="",Housemates!$C$11&lt;=$B308),OR(Housemates!$D$11="",Housemates!$D$11&gt;=$B308)),IF($Q308=0,1,INDEX(Bills!$AD$6:$AD$25,$Q308)),0))))</f>
        <v/>
      </c>
      <c r="W308">
        <f>IF(OR($D308="",$B308="",Housemates!$B$12=""),0,IF($R308&gt;0,IF(J308="",0,IF(ISNUMBER(J308),J308,1)),IF($C308="Paying back",0,IF(AND(OR(Housemates!$C$12="",Housemates!$C$12&lt;=$B308),OR(Housemates!$D$12="",Housemates!$D$12&gt;=$B308)),IF($Q308=0,1,INDEX(Bills!$AE$6:$AE$25,$Q308)),0))))</f>
        <v/>
      </c>
      <c r="X308">
        <f>IF(OR($D308="",$B308="",Housemates!$B$13=""),0,IF($R308&gt;0,IF(K308="",0,IF(ISNUMBER(K308),K308,1)),IF($C308="Paying back",0,IF(AND(OR(Housemates!$C$13="",Housemates!$C$13&lt;=$B308),OR(Housemates!$D$13="",Housemates!$D$13&gt;=$B308)),IF($Q308=0,1,INDEX(Bills!$AF$6:$AF$25,$Q308)),0))))</f>
        <v/>
      </c>
      <c r="Y308">
        <f>IF(OR($D308="",$B308="",Housemates!$B$14=""),0,IF($R308&gt;0,IF(L308="",0,IF(ISNUMBER(L308),L308,1)),IF($C308="Paying back",0,IF(AND(OR(Housemates!$C$14="",Housemates!$C$14&lt;=$B308),OR(Housemates!$D$14="",Housemates!$D$14&gt;=$B308)),IF($Q308=0,1,INDEX(Bills!$AG$6:$AG$25,$Q308)),0))))</f>
        <v/>
      </c>
      <c r="Z308">
        <f>IF(OR($D308="",$B308="",Housemates!$B$15=""),0,IF($R308&gt;0,IF(M308="",0,IF(ISNUMBER(M308),M308,1)),IF($C308="Paying back",0,IF(AND(OR(Housemates!$C$15="",Housemates!$C$15&lt;=$B308),OR(Housemates!$D$15="",Housemates!$D$15&gt;=$B308)),IF($Q308=0,1,INDEX(Bills!$AH$6:$AH$25,$Q308)),0))))</f>
        <v/>
      </c>
      <c r="AA308">
        <f>SUM(S308:Z308)</f>
        <v/>
      </c>
      <c r="AB308">
        <f>IF(AA308=0,0,D308*S308/AA308)</f>
        <v/>
      </c>
      <c r="AC308">
        <f>IF(AA308=0,0,D308*T308/AA308)</f>
        <v/>
      </c>
      <c r="AD308">
        <f>IF(AA308=0,0,D308*U308/AA308)</f>
        <v/>
      </c>
      <c r="AE308">
        <f>IF(AA308=0,0,D308*V308/AA308)</f>
        <v/>
      </c>
      <c r="AF308">
        <f>IF(AA308=0,0,D308*W308/AA308)</f>
        <v/>
      </c>
      <c r="AG308">
        <f>IF(AA308=0,0,D308*X308/AA308)</f>
        <v/>
      </c>
      <c r="AH308">
        <f>IF(AA308=0,0,D308*Y308/AA308)</f>
        <v/>
      </c>
      <c r="AI308">
        <f>IF(AA308=0,0,D308*Z308/AA308)</f>
        <v/>
      </c>
      <c r="AJ308">
        <f>IF(OR(C308="",B308=""),"",C308&amp;"|"&amp;(YEAR(B308)*100+MONTH(B308)))</f>
        <v/>
      </c>
    </row>
    <row r="309">
      <c r="A309" s="1" t="n"/>
      <c r="B309" s="23" t="n"/>
      <c r="C309" s="24" t="n"/>
      <c r="D309" s="25" t="n"/>
      <c r="E309" s="26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1">
        <f>IF(D309="","",IF(B309="","No date",IF(AND(C309="Paying back",R309=0),"To whom?",IF(AA309=0,"Nobody",IF(C309="Paying back","To "&amp;INDEX(Housemates!$B$8:$B$15,MATCH(MAX(S309:Z309),S309:Z309,0)),IF(R309&gt;0,IF(COUNTIF(S309:Z309,"&gt;0")=1,"1 person",COUNTIF(S309:Z309,"&gt;0")&amp;" people"),IF(Q309=0,"Everyone",INDEX(Bills!$Q$6:$Q$25,Q309))))))))</f>
        <v/>
      </c>
      <c r="O309" s="18">
        <f>IF(D309="","",IF(C309="Paying back","Paying back",IF(Q309=0,"Other",IF(INDEX(Bills!$C$6:$C$25,Q309)="","Other",INDEX(Bills!$C$6:$C$25,Q309)))))</f>
        <v/>
      </c>
      <c r="P309" s="1" t="n"/>
      <c r="Q309">
        <f>IF(C309="",0,IFERROR(MATCH(C309,Bills!$B$6:$B$25,0),0))</f>
        <v/>
      </c>
      <c r="R309">
        <f>COUNTA(F309:M309)</f>
        <v/>
      </c>
      <c r="S309">
        <f>IF(OR($D309="",$B309="",Housemates!$B$8=""),0,IF($R309&gt;0,IF(F309="",0,IF(ISNUMBER(F309),F309,1)),IF($C309="Paying back",0,IF(AND(OR(Housemates!$C$8="",Housemates!$C$8&lt;=$B309),OR(Housemates!$D$8="",Housemates!$D$8&gt;=$B309)),IF($Q309=0,1,INDEX(Bills!$AA$6:$AA$25,$Q309)),0))))</f>
        <v/>
      </c>
      <c r="T309">
        <f>IF(OR($D309="",$B309="",Housemates!$B$9=""),0,IF($R309&gt;0,IF(G309="",0,IF(ISNUMBER(G309),G309,1)),IF($C309="Paying back",0,IF(AND(OR(Housemates!$C$9="",Housemates!$C$9&lt;=$B309),OR(Housemates!$D$9="",Housemates!$D$9&gt;=$B309)),IF($Q309=0,1,INDEX(Bills!$AB$6:$AB$25,$Q309)),0))))</f>
        <v/>
      </c>
      <c r="U309">
        <f>IF(OR($D309="",$B309="",Housemates!$B$10=""),0,IF($R309&gt;0,IF(H309="",0,IF(ISNUMBER(H309),H309,1)),IF($C309="Paying back",0,IF(AND(OR(Housemates!$C$10="",Housemates!$C$10&lt;=$B309),OR(Housemates!$D$10="",Housemates!$D$10&gt;=$B309)),IF($Q309=0,1,INDEX(Bills!$AC$6:$AC$25,$Q309)),0))))</f>
        <v/>
      </c>
      <c r="V309">
        <f>IF(OR($D309="",$B309="",Housemates!$B$11=""),0,IF($R309&gt;0,IF(I309="",0,IF(ISNUMBER(I309),I309,1)),IF($C309="Paying back",0,IF(AND(OR(Housemates!$C$11="",Housemates!$C$11&lt;=$B309),OR(Housemates!$D$11="",Housemates!$D$11&gt;=$B309)),IF($Q309=0,1,INDEX(Bills!$AD$6:$AD$25,$Q309)),0))))</f>
        <v/>
      </c>
      <c r="W309">
        <f>IF(OR($D309="",$B309="",Housemates!$B$12=""),0,IF($R309&gt;0,IF(J309="",0,IF(ISNUMBER(J309),J309,1)),IF($C309="Paying back",0,IF(AND(OR(Housemates!$C$12="",Housemates!$C$12&lt;=$B309),OR(Housemates!$D$12="",Housemates!$D$12&gt;=$B309)),IF($Q309=0,1,INDEX(Bills!$AE$6:$AE$25,$Q309)),0))))</f>
        <v/>
      </c>
      <c r="X309">
        <f>IF(OR($D309="",$B309="",Housemates!$B$13=""),0,IF($R309&gt;0,IF(K309="",0,IF(ISNUMBER(K309),K309,1)),IF($C309="Paying back",0,IF(AND(OR(Housemates!$C$13="",Housemates!$C$13&lt;=$B309),OR(Housemates!$D$13="",Housemates!$D$13&gt;=$B309)),IF($Q309=0,1,INDEX(Bills!$AF$6:$AF$25,$Q309)),0))))</f>
        <v/>
      </c>
      <c r="Y309">
        <f>IF(OR($D309="",$B309="",Housemates!$B$14=""),0,IF($R309&gt;0,IF(L309="",0,IF(ISNUMBER(L309),L309,1)),IF($C309="Paying back",0,IF(AND(OR(Housemates!$C$14="",Housemates!$C$14&lt;=$B309),OR(Housemates!$D$14="",Housemates!$D$14&gt;=$B309)),IF($Q309=0,1,INDEX(Bills!$AG$6:$AG$25,$Q309)),0))))</f>
        <v/>
      </c>
      <c r="Z309">
        <f>IF(OR($D309="",$B309="",Housemates!$B$15=""),0,IF($R309&gt;0,IF(M309="",0,IF(ISNUMBER(M309),M309,1)),IF($C309="Paying back",0,IF(AND(OR(Housemates!$C$15="",Housemates!$C$15&lt;=$B309),OR(Housemates!$D$15="",Housemates!$D$15&gt;=$B309)),IF($Q309=0,1,INDEX(Bills!$AH$6:$AH$25,$Q309)),0))))</f>
        <v/>
      </c>
      <c r="AA309">
        <f>SUM(S309:Z309)</f>
        <v/>
      </c>
      <c r="AB309">
        <f>IF(AA309=0,0,D309*S309/AA309)</f>
        <v/>
      </c>
      <c r="AC309">
        <f>IF(AA309=0,0,D309*T309/AA309)</f>
        <v/>
      </c>
      <c r="AD309">
        <f>IF(AA309=0,0,D309*U309/AA309)</f>
        <v/>
      </c>
      <c r="AE309">
        <f>IF(AA309=0,0,D309*V309/AA309)</f>
        <v/>
      </c>
      <c r="AF309">
        <f>IF(AA309=0,0,D309*W309/AA309)</f>
        <v/>
      </c>
      <c r="AG309">
        <f>IF(AA309=0,0,D309*X309/AA309)</f>
        <v/>
      </c>
      <c r="AH309">
        <f>IF(AA309=0,0,D309*Y309/AA309)</f>
        <v/>
      </c>
      <c r="AI309">
        <f>IF(AA309=0,0,D309*Z309/AA309)</f>
        <v/>
      </c>
      <c r="AJ309">
        <f>IF(OR(C309="",B309=""),"",C309&amp;"|"&amp;(YEAR(B309)*100+MONTH(B309)))</f>
        <v/>
      </c>
    </row>
    <row r="310">
      <c r="A310" s="1" t="n"/>
      <c r="B310" s="23" t="n"/>
      <c r="C310" s="24" t="n"/>
      <c r="D310" s="25" t="n"/>
      <c r="E310" s="26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1">
        <f>IF(D310="","",IF(B310="","No date",IF(AND(C310="Paying back",R310=0),"To whom?",IF(AA310=0,"Nobody",IF(C310="Paying back","To "&amp;INDEX(Housemates!$B$8:$B$15,MATCH(MAX(S310:Z310),S310:Z310,0)),IF(R310&gt;0,IF(COUNTIF(S310:Z310,"&gt;0")=1,"1 person",COUNTIF(S310:Z310,"&gt;0")&amp;" people"),IF(Q310=0,"Everyone",INDEX(Bills!$Q$6:$Q$25,Q310))))))))</f>
        <v/>
      </c>
      <c r="O310" s="18">
        <f>IF(D310="","",IF(C310="Paying back","Paying back",IF(Q310=0,"Other",IF(INDEX(Bills!$C$6:$C$25,Q310)="","Other",INDEX(Bills!$C$6:$C$25,Q310)))))</f>
        <v/>
      </c>
      <c r="P310" s="1" t="n"/>
      <c r="Q310">
        <f>IF(C310="",0,IFERROR(MATCH(C310,Bills!$B$6:$B$25,0),0))</f>
        <v/>
      </c>
      <c r="R310">
        <f>COUNTA(F310:M310)</f>
        <v/>
      </c>
      <c r="S310">
        <f>IF(OR($D310="",$B310="",Housemates!$B$8=""),0,IF($R310&gt;0,IF(F310="",0,IF(ISNUMBER(F310),F310,1)),IF($C310="Paying back",0,IF(AND(OR(Housemates!$C$8="",Housemates!$C$8&lt;=$B310),OR(Housemates!$D$8="",Housemates!$D$8&gt;=$B310)),IF($Q310=0,1,INDEX(Bills!$AA$6:$AA$25,$Q310)),0))))</f>
        <v/>
      </c>
      <c r="T310">
        <f>IF(OR($D310="",$B310="",Housemates!$B$9=""),0,IF($R310&gt;0,IF(G310="",0,IF(ISNUMBER(G310),G310,1)),IF($C310="Paying back",0,IF(AND(OR(Housemates!$C$9="",Housemates!$C$9&lt;=$B310),OR(Housemates!$D$9="",Housemates!$D$9&gt;=$B310)),IF($Q310=0,1,INDEX(Bills!$AB$6:$AB$25,$Q310)),0))))</f>
        <v/>
      </c>
      <c r="U310">
        <f>IF(OR($D310="",$B310="",Housemates!$B$10=""),0,IF($R310&gt;0,IF(H310="",0,IF(ISNUMBER(H310),H310,1)),IF($C310="Paying back",0,IF(AND(OR(Housemates!$C$10="",Housemates!$C$10&lt;=$B310),OR(Housemates!$D$10="",Housemates!$D$10&gt;=$B310)),IF($Q310=0,1,INDEX(Bills!$AC$6:$AC$25,$Q310)),0))))</f>
        <v/>
      </c>
      <c r="V310">
        <f>IF(OR($D310="",$B310="",Housemates!$B$11=""),0,IF($R310&gt;0,IF(I310="",0,IF(ISNUMBER(I310),I310,1)),IF($C310="Paying back",0,IF(AND(OR(Housemates!$C$11="",Housemates!$C$11&lt;=$B310),OR(Housemates!$D$11="",Housemates!$D$11&gt;=$B310)),IF($Q310=0,1,INDEX(Bills!$AD$6:$AD$25,$Q310)),0))))</f>
        <v/>
      </c>
      <c r="W310">
        <f>IF(OR($D310="",$B310="",Housemates!$B$12=""),0,IF($R310&gt;0,IF(J310="",0,IF(ISNUMBER(J310),J310,1)),IF($C310="Paying back",0,IF(AND(OR(Housemates!$C$12="",Housemates!$C$12&lt;=$B310),OR(Housemates!$D$12="",Housemates!$D$12&gt;=$B310)),IF($Q310=0,1,INDEX(Bills!$AE$6:$AE$25,$Q310)),0))))</f>
        <v/>
      </c>
      <c r="X310">
        <f>IF(OR($D310="",$B310="",Housemates!$B$13=""),0,IF($R310&gt;0,IF(K310="",0,IF(ISNUMBER(K310),K310,1)),IF($C310="Paying back",0,IF(AND(OR(Housemates!$C$13="",Housemates!$C$13&lt;=$B310),OR(Housemates!$D$13="",Housemates!$D$13&gt;=$B310)),IF($Q310=0,1,INDEX(Bills!$AF$6:$AF$25,$Q310)),0))))</f>
        <v/>
      </c>
      <c r="Y310">
        <f>IF(OR($D310="",$B310="",Housemates!$B$14=""),0,IF($R310&gt;0,IF(L310="",0,IF(ISNUMBER(L310),L310,1)),IF($C310="Paying back",0,IF(AND(OR(Housemates!$C$14="",Housemates!$C$14&lt;=$B310),OR(Housemates!$D$14="",Housemates!$D$14&gt;=$B310)),IF($Q310=0,1,INDEX(Bills!$AG$6:$AG$25,$Q310)),0))))</f>
        <v/>
      </c>
      <c r="Z310">
        <f>IF(OR($D310="",$B310="",Housemates!$B$15=""),0,IF($R310&gt;0,IF(M310="",0,IF(ISNUMBER(M310),M310,1)),IF($C310="Paying back",0,IF(AND(OR(Housemates!$C$15="",Housemates!$C$15&lt;=$B310),OR(Housemates!$D$15="",Housemates!$D$15&gt;=$B310)),IF($Q310=0,1,INDEX(Bills!$AH$6:$AH$25,$Q310)),0))))</f>
        <v/>
      </c>
      <c r="AA310">
        <f>SUM(S310:Z310)</f>
        <v/>
      </c>
      <c r="AB310">
        <f>IF(AA310=0,0,D310*S310/AA310)</f>
        <v/>
      </c>
      <c r="AC310">
        <f>IF(AA310=0,0,D310*T310/AA310)</f>
        <v/>
      </c>
      <c r="AD310">
        <f>IF(AA310=0,0,D310*U310/AA310)</f>
        <v/>
      </c>
      <c r="AE310">
        <f>IF(AA310=0,0,D310*V310/AA310)</f>
        <v/>
      </c>
      <c r="AF310">
        <f>IF(AA310=0,0,D310*W310/AA310)</f>
        <v/>
      </c>
      <c r="AG310">
        <f>IF(AA310=0,0,D310*X310/AA310)</f>
        <v/>
      </c>
      <c r="AH310">
        <f>IF(AA310=0,0,D310*Y310/AA310)</f>
        <v/>
      </c>
      <c r="AI310">
        <f>IF(AA310=0,0,D310*Z310/AA310)</f>
        <v/>
      </c>
      <c r="AJ310">
        <f>IF(OR(C310="",B310=""),"",C310&amp;"|"&amp;(YEAR(B310)*100+MONTH(B310)))</f>
        <v/>
      </c>
    </row>
    <row r="311">
      <c r="A311" s="1" t="n"/>
      <c r="B311" s="23" t="n"/>
      <c r="C311" s="24" t="n"/>
      <c r="D311" s="25" t="n"/>
      <c r="E311" s="26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1">
        <f>IF(D311="","",IF(B311="","No date",IF(AND(C311="Paying back",R311=0),"To whom?",IF(AA311=0,"Nobody",IF(C311="Paying back","To "&amp;INDEX(Housemates!$B$8:$B$15,MATCH(MAX(S311:Z311),S311:Z311,0)),IF(R311&gt;0,IF(COUNTIF(S311:Z311,"&gt;0")=1,"1 person",COUNTIF(S311:Z311,"&gt;0")&amp;" people"),IF(Q311=0,"Everyone",INDEX(Bills!$Q$6:$Q$25,Q311))))))))</f>
        <v/>
      </c>
      <c r="O311" s="18">
        <f>IF(D311="","",IF(C311="Paying back","Paying back",IF(Q311=0,"Other",IF(INDEX(Bills!$C$6:$C$25,Q311)="","Other",INDEX(Bills!$C$6:$C$25,Q311)))))</f>
        <v/>
      </c>
      <c r="P311" s="1" t="n"/>
      <c r="Q311">
        <f>IF(C311="",0,IFERROR(MATCH(C311,Bills!$B$6:$B$25,0),0))</f>
        <v/>
      </c>
      <c r="R311">
        <f>COUNTA(F311:M311)</f>
        <v/>
      </c>
      <c r="S311">
        <f>IF(OR($D311="",$B311="",Housemates!$B$8=""),0,IF($R311&gt;0,IF(F311="",0,IF(ISNUMBER(F311),F311,1)),IF($C311="Paying back",0,IF(AND(OR(Housemates!$C$8="",Housemates!$C$8&lt;=$B311),OR(Housemates!$D$8="",Housemates!$D$8&gt;=$B311)),IF($Q311=0,1,INDEX(Bills!$AA$6:$AA$25,$Q311)),0))))</f>
        <v/>
      </c>
      <c r="T311">
        <f>IF(OR($D311="",$B311="",Housemates!$B$9=""),0,IF($R311&gt;0,IF(G311="",0,IF(ISNUMBER(G311),G311,1)),IF($C311="Paying back",0,IF(AND(OR(Housemates!$C$9="",Housemates!$C$9&lt;=$B311),OR(Housemates!$D$9="",Housemates!$D$9&gt;=$B311)),IF($Q311=0,1,INDEX(Bills!$AB$6:$AB$25,$Q311)),0))))</f>
        <v/>
      </c>
      <c r="U311">
        <f>IF(OR($D311="",$B311="",Housemates!$B$10=""),0,IF($R311&gt;0,IF(H311="",0,IF(ISNUMBER(H311),H311,1)),IF($C311="Paying back",0,IF(AND(OR(Housemates!$C$10="",Housemates!$C$10&lt;=$B311),OR(Housemates!$D$10="",Housemates!$D$10&gt;=$B311)),IF($Q311=0,1,INDEX(Bills!$AC$6:$AC$25,$Q311)),0))))</f>
        <v/>
      </c>
      <c r="V311">
        <f>IF(OR($D311="",$B311="",Housemates!$B$11=""),0,IF($R311&gt;0,IF(I311="",0,IF(ISNUMBER(I311),I311,1)),IF($C311="Paying back",0,IF(AND(OR(Housemates!$C$11="",Housemates!$C$11&lt;=$B311),OR(Housemates!$D$11="",Housemates!$D$11&gt;=$B311)),IF($Q311=0,1,INDEX(Bills!$AD$6:$AD$25,$Q311)),0))))</f>
        <v/>
      </c>
      <c r="W311">
        <f>IF(OR($D311="",$B311="",Housemates!$B$12=""),0,IF($R311&gt;0,IF(J311="",0,IF(ISNUMBER(J311),J311,1)),IF($C311="Paying back",0,IF(AND(OR(Housemates!$C$12="",Housemates!$C$12&lt;=$B311),OR(Housemates!$D$12="",Housemates!$D$12&gt;=$B311)),IF($Q311=0,1,INDEX(Bills!$AE$6:$AE$25,$Q311)),0))))</f>
        <v/>
      </c>
      <c r="X311">
        <f>IF(OR($D311="",$B311="",Housemates!$B$13=""),0,IF($R311&gt;0,IF(K311="",0,IF(ISNUMBER(K311),K311,1)),IF($C311="Paying back",0,IF(AND(OR(Housemates!$C$13="",Housemates!$C$13&lt;=$B311),OR(Housemates!$D$13="",Housemates!$D$13&gt;=$B311)),IF($Q311=0,1,INDEX(Bills!$AF$6:$AF$25,$Q311)),0))))</f>
        <v/>
      </c>
      <c r="Y311">
        <f>IF(OR($D311="",$B311="",Housemates!$B$14=""),0,IF($R311&gt;0,IF(L311="",0,IF(ISNUMBER(L311),L311,1)),IF($C311="Paying back",0,IF(AND(OR(Housemates!$C$14="",Housemates!$C$14&lt;=$B311),OR(Housemates!$D$14="",Housemates!$D$14&gt;=$B311)),IF($Q311=0,1,INDEX(Bills!$AG$6:$AG$25,$Q311)),0))))</f>
        <v/>
      </c>
      <c r="Z311">
        <f>IF(OR($D311="",$B311="",Housemates!$B$15=""),0,IF($R311&gt;0,IF(M311="",0,IF(ISNUMBER(M311),M311,1)),IF($C311="Paying back",0,IF(AND(OR(Housemates!$C$15="",Housemates!$C$15&lt;=$B311),OR(Housemates!$D$15="",Housemates!$D$15&gt;=$B311)),IF($Q311=0,1,INDEX(Bills!$AH$6:$AH$25,$Q311)),0))))</f>
        <v/>
      </c>
      <c r="AA311">
        <f>SUM(S311:Z311)</f>
        <v/>
      </c>
      <c r="AB311">
        <f>IF(AA311=0,0,D311*S311/AA311)</f>
        <v/>
      </c>
      <c r="AC311">
        <f>IF(AA311=0,0,D311*T311/AA311)</f>
        <v/>
      </c>
      <c r="AD311">
        <f>IF(AA311=0,0,D311*U311/AA311)</f>
        <v/>
      </c>
      <c r="AE311">
        <f>IF(AA311=0,0,D311*V311/AA311)</f>
        <v/>
      </c>
      <c r="AF311">
        <f>IF(AA311=0,0,D311*W311/AA311)</f>
        <v/>
      </c>
      <c r="AG311">
        <f>IF(AA311=0,0,D311*X311/AA311)</f>
        <v/>
      </c>
      <c r="AH311">
        <f>IF(AA311=0,0,D311*Y311/AA311)</f>
        <v/>
      </c>
      <c r="AI311">
        <f>IF(AA311=0,0,D311*Z311/AA311)</f>
        <v/>
      </c>
      <c r="AJ311">
        <f>IF(OR(C311="",B311=""),"",C311&amp;"|"&amp;(YEAR(B311)*100+MONTH(B311)))</f>
        <v/>
      </c>
    </row>
    <row r="312">
      <c r="A312" s="1" t="n"/>
      <c r="B312" s="23" t="n"/>
      <c r="C312" s="24" t="n"/>
      <c r="D312" s="25" t="n"/>
      <c r="E312" s="26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1">
        <f>IF(D312="","",IF(B312="","No date",IF(AND(C312="Paying back",R312=0),"To whom?",IF(AA312=0,"Nobody",IF(C312="Paying back","To "&amp;INDEX(Housemates!$B$8:$B$15,MATCH(MAX(S312:Z312),S312:Z312,0)),IF(R312&gt;0,IF(COUNTIF(S312:Z312,"&gt;0")=1,"1 person",COUNTIF(S312:Z312,"&gt;0")&amp;" people"),IF(Q312=0,"Everyone",INDEX(Bills!$Q$6:$Q$25,Q312))))))))</f>
        <v/>
      </c>
      <c r="O312" s="18">
        <f>IF(D312="","",IF(C312="Paying back","Paying back",IF(Q312=0,"Other",IF(INDEX(Bills!$C$6:$C$25,Q312)="","Other",INDEX(Bills!$C$6:$C$25,Q312)))))</f>
        <v/>
      </c>
      <c r="P312" s="1" t="n"/>
      <c r="Q312">
        <f>IF(C312="",0,IFERROR(MATCH(C312,Bills!$B$6:$B$25,0),0))</f>
        <v/>
      </c>
      <c r="R312">
        <f>COUNTA(F312:M312)</f>
        <v/>
      </c>
      <c r="S312">
        <f>IF(OR($D312="",$B312="",Housemates!$B$8=""),0,IF($R312&gt;0,IF(F312="",0,IF(ISNUMBER(F312),F312,1)),IF($C312="Paying back",0,IF(AND(OR(Housemates!$C$8="",Housemates!$C$8&lt;=$B312),OR(Housemates!$D$8="",Housemates!$D$8&gt;=$B312)),IF($Q312=0,1,INDEX(Bills!$AA$6:$AA$25,$Q312)),0))))</f>
        <v/>
      </c>
      <c r="T312">
        <f>IF(OR($D312="",$B312="",Housemates!$B$9=""),0,IF($R312&gt;0,IF(G312="",0,IF(ISNUMBER(G312),G312,1)),IF($C312="Paying back",0,IF(AND(OR(Housemates!$C$9="",Housemates!$C$9&lt;=$B312),OR(Housemates!$D$9="",Housemates!$D$9&gt;=$B312)),IF($Q312=0,1,INDEX(Bills!$AB$6:$AB$25,$Q312)),0))))</f>
        <v/>
      </c>
      <c r="U312">
        <f>IF(OR($D312="",$B312="",Housemates!$B$10=""),0,IF($R312&gt;0,IF(H312="",0,IF(ISNUMBER(H312),H312,1)),IF($C312="Paying back",0,IF(AND(OR(Housemates!$C$10="",Housemates!$C$10&lt;=$B312),OR(Housemates!$D$10="",Housemates!$D$10&gt;=$B312)),IF($Q312=0,1,INDEX(Bills!$AC$6:$AC$25,$Q312)),0))))</f>
        <v/>
      </c>
      <c r="V312">
        <f>IF(OR($D312="",$B312="",Housemates!$B$11=""),0,IF($R312&gt;0,IF(I312="",0,IF(ISNUMBER(I312),I312,1)),IF($C312="Paying back",0,IF(AND(OR(Housemates!$C$11="",Housemates!$C$11&lt;=$B312),OR(Housemates!$D$11="",Housemates!$D$11&gt;=$B312)),IF($Q312=0,1,INDEX(Bills!$AD$6:$AD$25,$Q312)),0))))</f>
        <v/>
      </c>
      <c r="W312">
        <f>IF(OR($D312="",$B312="",Housemates!$B$12=""),0,IF($R312&gt;0,IF(J312="",0,IF(ISNUMBER(J312),J312,1)),IF($C312="Paying back",0,IF(AND(OR(Housemates!$C$12="",Housemates!$C$12&lt;=$B312),OR(Housemates!$D$12="",Housemates!$D$12&gt;=$B312)),IF($Q312=0,1,INDEX(Bills!$AE$6:$AE$25,$Q312)),0))))</f>
        <v/>
      </c>
      <c r="X312">
        <f>IF(OR($D312="",$B312="",Housemates!$B$13=""),0,IF($R312&gt;0,IF(K312="",0,IF(ISNUMBER(K312),K312,1)),IF($C312="Paying back",0,IF(AND(OR(Housemates!$C$13="",Housemates!$C$13&lt;=$B312),OR(Housemates!$D$13="",Housemates!$D$13&gt;=$B312)),IF($Q312=0,1,INDEX(Bills!$AF$6:$AF$25,$Q312)),0))))</f>
        <v/>
      </c>
      <c r="Y312">
        <f>IF(OR($D312="",$B312="",Housemates!$B$14=""),0,IF($R312&gt;0,IF(L312="",0,IF(ISNUMBER(L312),L312,1)),IF($C312="Paying back",0,IF(AND(OR(Housemates!$C$14="",Housemates!$C$14&lt;=$B312),OR(Housemates!$D$14="",Housemates!$D$14&gt;=$B312)),IF($Q312=0,1,INDEX(Bills!$AG$6:$AG$25,$Q312)),0))))</f>
        <v/>
      </c>
      <c r="Z312">
        <f>IF(OR($D312="",$B312="",Housemates!$B$15=""),0,IF($R312&gt;0,IF(M312="",0,IF(ISNUMBER(M312),M312,1)),IF($C312="Paying back",0,IF(AND(OR(Housemates!$C$15="",Housemates!$C$15&lt;=$B312),OR(Housemates!$D$15="",Housemates!$D$15&gt;=$B312)),IF($Q312=0,1,INDEX(Bills!$AH$6:$AH$25,$Q312)),0))))</f>
        <v/>
      </c>
      <c r="AA312">
        <f>SUM(S312:Z312)</f>
        <v/>
      </c>
      <c r="AB312">
        <f>IF(AA312=0,0,D312*S312/AA312)</f>
        <v/>
      </c>
      <c r="AC312">
        <f>IF(AA312=0,0,D312*T312/AA312)</f>
        <v/>
      </c>
      <c r="AD312">
        <f>IF(AA312=0,0,D312*U312/AA312)</f>
        <v/>
      </c>
      <c r="AE312">
        <f>IF(AA312=0,0,D312*V312/AA312)</f>
        <v/>
      </c>
      <c r="AF312">
        <f>IF(AA312=0,0,D312*W312/AA312)</f>
        <v/>
      </c>
      <c r="AG312">
        <f>IF(AA312=0,0,D312*X312/AA312)</f>
        <v/>
      </c>
      <c r="AH312">
        <f>IF(AA312=0,0,D312*Y312/AA312)</f>
        <v/>
      </c>
      <c r="AI312">
        <f>IF(AA312=0,0,D312*Z312/AA312)</f>
        <v/>
      </c>
      <c r="AJ312">
        <f>IF(OR(C312="",B312=""),"",C312&amp;"|"&amp;(YEAR(B312)*100+MONTH(B312)))</f>
        <v/>
      </c>
    </row>
    <row r="313">
      <c r="A313" s="1" t="n"/>
      <c r="B313" s="23" t="n"/>
      <c r="C313" s="24" t="n"/>
      <c r="D313" s="25" t="n"/>
      <c r="E313" s="26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1">
        <f>IF(D313="","",IF(B313="","No date",IF(AND(C313="Paying back",R313=0),"To whom?",IF(AA313=0,"Nobody",IF(C313="Paying back","To "&amp;INDEX(Housemates!$B$8:$B$15,MATCH(MAX(S313:Z313),S313:Z313,0)),IF(R313&gt;0,IF(COUNTIF(S313:Z313,"&gt;0")=1,"1 person",COUNTIF(S313:Z313,"&gt;0")&amp;" people"),IF(Q313=0,"Everyone",INDEX(Bills!$Q$6:$Q$25,Q313))))))))</f>
        <v/>
      </c>
      <c r="O313" s="18">
        <f>IF(D313="","",IF(C313="Paying back","Paying back",IF(Q313=0,"Other",IF(INDEX(Bills!$C$6:$C$25,Q313)="","Other",INDEX(Bills!$C$6:$C$25,Q313)))))</f>
        <v/>
      </c>
      <c r="P313" s="1" t="n"/>
      <c r="Q313">
        <f>IF(C313="",0,IFERROR(MATCH(C313,Bills!$B$6:$B$25,0),0))</f>
        <v/>
      </c>
      <c r="R313">
        <f>COUNTA(F313:M313)</f>
        <v/>
      </c>
      <c r="S313">
        <f>IF(OR($D313="",$B313="",Housemates!$B$8=""),0,IF($R313&gt;0,IF(F313="",0,IF(ISNUMBER(F313),F313,1)),IF($C313="Paying back",0,IF(AND(OR(Housemates!$C$8="",Housemates!$C$8&lt;=$B313),OR(Housemates!$D$8="",Housemates!$D$8&gt;=$B313)),IF($Q313=0,1,INDEX(Bills!$AA$6:$AA$25,$Q313)),0))))</f>
        <v/>
      </c>
      <c r="T313">
        <f>IF(OR($D313="",$B313="",Housemates!$B$9=""),0,IF($R313&gt;0,IF(G313="",0,IF(ISNUMBER(G313),G313,1)),IF($C313="Paying back",0,IF(AND(OR(Housemates!$C$9="",Housemates!$C$9&lt;=$B313),OR(Housemates!$D$9="",Housemates!$D$9&gt;=$B313)),IF($Q313=0,1,INDEX(Bills!$AB$6:$AB$25,$Q313)),0))))</f>
        <v/>
      </c>
      <c r="U313">
        <f>IF(OR($D313="",$B313="",Housemates!$B$10=""),0,IF($R313&gt;0,IF(H313="",0,IF(ISNUMBER(H313),H313,1)),IF($C313="Paying back",0,IF(AND(OR(Housemates!$C$10="",Housemates!$C$10&lt;=$B313),OR(Housemates!$D$10="",Housemates!$D$10&gt;=$B313)),IF($Q313=0,1,INDEX(Bills!$AC$6:$AC$25,$Q313)),0))))</f>
        <v/>
      </c>
      <c r="V313">
        <f>IF(OR($D313="",$B313="",Housemates!$B$11=""),0,IF($R313&gt;0,IF(I313="",0,IF(ISNUMBER(I313),I313,1)),IF($C313="Paying back",0,IF(AND(OR(Housemates!$C$11="",Housemates!$C$11&lt;=$B313),OR(Housemates!$D$11="",Housemates!$D$11&gt;=$B313)),IF($Q313=0,1,INDEX(Bills!$AD$6:$AD$25,$Q313)),0))))</f>
        <v/>
      </c>
      <c r="W313">
        <f>IF(OR($D313="",$B313="",Housemates!$B$12=""),0,IF($R313&gt;0,IF(J313="",0,IF(ISNUMBER(J313),J313,1)),IF($C313="Paying back",0,IF(AND(OR(Housemates!$C$12="",Housemates!$C$12&lt;=$B313),OR(Housemates!$D$12="",Housemates!$D$12&gt;=$B313)),IF($Q313=0,1,INDEX(Bills!$AE$6:$AE$25,$Q313)),0))))</f>
        <v/>
      </c>
      <c r="X313">
        <f>IF(OR($D313="",$B313="",Housemates!$B$13=""),0,IF($R313&gt;0,IF(K313="",0,IF(ISNUMBER(K313),K313,1)),IF($C313="Paying back",0,IF(AND(OR(Housemates!$C$13="",Housemates!$C$13&lt;=$B313),OR(Housemates!$D$13="",Housemates!$D$13&gt;=$B313)),IF($Q313=0,1,INDEX(Bills!$AF$6:$AF$25,$Q313)),0))))</f>
        <v/>
      </c>
      <c r="Y313">
        <f>IF(OR($D313="",$B313="",Housemates!$B$14=""),0,IF($R313&gt;0,IF(L313="",0,IF(ISNUMBER(L313),L313,1)),IF($C313="Paying back",0,IF(AND(OR(Housemates!$C$14="",Housemates!$C$14&lt;=$B313),OR(Housemates!$D$14="",Housemates!$D$14&gt;=$B313)),IF($Q313=0,1,INDEX(Bills!$AG$6:$AG$25,$Q313)),0))))</f>
        <v/>
      </c>
      <c r="Z313">
        <f>IF(OR($D313="",$B313="",Housemates!$B$15=""),0,IF($R313&gt;0,IF(M313="",0,IF(ISNUMBER(M313),M313,1)),IF($C313="Paying back",0,IF(AND(OR(Housemates!$C$15="",Housemates!$C$15&lt;=$B313),OR(Housemates!$D$15="",Housemates!$D$15&gt;=$B313)),IF($Q313=0,1,INDEX(Bills!$AH$6:$AH$25,$Q313)),0))))</f>
        <v/>
      </c>
      <c r="AA313">
        <f>SUM(S313:Z313)</f>
        <v/>
      </c>
      <c r="AB313">
        <f>IF(AA313=0,0,D313*S313/AA313)</f>
        <v/>
      </c>
      <c r="AC313">
        <f>IF(AA313=0,0,D313*T313/AA313)</f>
        <v/>
      </c>
      <c r="AD313">
        <f>IF(AA313=0,0,D313*U313/AA313)</f>
        <v/>
      </c>
      <c r="AE313">
        <f>IF(AA313=0,0,D313*V313/AA313)</f>
        <v/>
      </c>
      <c r="AF313">
        <f>IF(AA313=0,0,D313*W313/AA313)</f>
        <v/>
      </c>
      <c r="AG313">
        <f>IF(AA313=0,0,D313*X313/AA313)</f>
        <v/>
      </c>
      <c r="AH313">
        <f>IF(AA313=0,0,D313*Y313/AA313)</f>
        <v/>
      </c>
      <c r="AI313">
        <f>IF(AA313=0,0,D313*Z313/AA313)</f>
        <v/>
      </c>
      <c r="AJ313">
        <f>IF(OR(C313="",B313=""),"",C313&amp;"|"&amp;(YEAR(B313)*100+MONTH(B313)))</f>
        <v/>
      </c>
    </row>
    <row r="314">
      <c r="A314" s="1" t="n"/>
      <c r="B314" s="23" t="n"/>
      <c r="C314" s="24" t="n"/>
      <c r="D314" s="25" t="n"/>
      <c r="E314" s="26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1">
        <f>IF(D314="","",IF(B314="","No date",IF(AND(C314="Paying back",R314=0),"To whom?",IF(AA314=0,"Nobody",IF(C314="Paying back","To "&amp;INDEX(Housemates!$B$8:$B$15,MATCH(MAX(S314:Z314),S314:Z314,0)),IF(R314&gt;0,IF(COUNTIF(S314:Z314,"&gt;0")=1,"1 person",COUNTIF(S314:Z314,"&gt;0")&amp;" people"),IF(Q314=0,"Everyone",INDEX(Bills!$Q$6:$Q$25,Q314))))))))</f>
        <v/>
      </c>
      <c r="O314" s="18">
        <f>IF(D314="","",IF(C314="Paying back","Paying back",IF(Q314=0,"Other",IF(INDEX(Bills!$C$6:$C$25,Q314)="","Other",INDEX(Bills!$C$6:$C$25,Q314)))))</f>
        <v/>
      </c>
      <c r="P314" s="1" t="n"/>
      <c r="Q314">
        <f>IF(C314="",0,IFERROR(MATCH(C314,Bills!$B$6:$B$25,0),0))</f>
        <v/>
      </c>
      <c r="R314">
        <f>COUNTA(F314:M314)</f>
        <v/>
      </c>
      <c r="S314">
        <f>IF(OR($D314="",$B314="",Housemates!$B$8=""),0,IF($R314&gt;0,IF(F314="",0,IF(ISNUMBER(F314),F314,1)),IF($C314="Paying back",0,IF(AND(OR(Housemates!$C$8="",Housemates!$C$8&lt;=$B314),OR(Housemates!$D$8="",Housemates!$D$8&gt;=$B314)),IF($Q314=0,1,INDEX(Bills!$AA$6:$AA$25,$Q314)),0))))</f>
        <v/>
      </c>
      <c r="T314">
        <f>IF(OR($D314="",$B314="",Housemates!$B$9=""),0,IF($R314&gt;0,IF(G314="",0,IF(ISNUMBER(G314),G314,1)),IF($C314="Paying back",0,IF(AND(OR(Housemates!$C$9="",Housemates!$C$9&lt;=$B314),OR(Housemates!$D$9="",Housemates!$D$9&gt;=$B314)),IF($Q314=0,1,INDEX(Bills!$AB$6:$AB$25,$Q314)),0))))</f>
        <v/>
      </c>
      <c r="U314">
        <f>IF(OR($D314="",$B314="",Housemates!$B$10=""),0,IF($R314&gt;0,IF(H314="",0,IF(ISNUMBER(H314),H314,1)),IF($C314="Paying back",0,IF(AND(OR(Housemates!$C$10="",Housemates!$C$10&lt;=$B314),OR(Housemates!$D$10="",Housemates!$D$10&gt;=$B314)),IF($Q314=0,1,INDEX(Bills!$AC$6:$AC$25,$Q314)),0))))</f>
        <v/>
      </c>
      <c r="V314">
        <f>IF(OR($D314="",$B314="",Housemates!$B$11=""),0,IF($R314&gt;0,IF(I314="",0,IF(ISNUMBER(I314),I314,1)),IF($C314="Paying back",0,IF(AND(OR(Housemates!$C$11="",Housemates!$C$11&lt;=$B314),OR(Housemates!$D$11="",Housemates!$D$11&gt;=$B314)),IF($Q314=0,1,INDEX(Bills!$AD$6:$AD$25,$Q314)),0))))</f>
        <v/>
      </c>
      <c r="W314">
        <f>IF(OR($D314="",$B314="",Housemates!$B$12=""),0,IF($R314&gt;0,IF(J314="",0,IF(ISNUMBER(J314),J314,1)),IF($C314="Paying back",0,IF(AND(OR(Housemates!$C$12="",Housemates!$C$12&lt;=$B314),OR(Housemates!$D$12="",Housemates!$D$12&gt;=$B314)),IF($Q314=0,1,INDEX(Bills!$AE$6:$AE$25,$Q314)),0))))</f>
        <v/>
      </c>
      <c r="X314">
        <f>IF(OR($D314="",$B314="",Housemates!$B$13=""),0,IF($R314&gt;0,IF(K314="",0,IF(ISNUMBER(K314),K314,1)),IF($C314="Paying back",0,IF(AND(OR(Housemates!$C$13="",Housemates!$C$13&lt;=$B314),OR(Housemates!$D$13="",Housemates!$D$13&gt;=$B314)),IF($Q314=0,1,INDEX(Bills!$AF$6:$AF$25,$Q314)),0))))</f>
        <v/>
      </c>
      <c r="Y314">
        <f>IF(OR($D314="",$B314="",Housemates!$B$14=""),0,IF($R314&gt;0,IF(L314="",0,IF(ISNUMBER(L314),L314,1)),IF($C314="Paying back",0,IF(AND(OR(Housemates!$C$14="",Housemates!$C$14&lt;=$B314),OR(Housemates!$D$14="",Housemates!$D$14&gt;=$B314)),IF($Q314=0,1,INDEX(Bills!$AG$6:$AG$25,$Q314)),0))))</f>
        <v/>
      </c>
      <c r="Z314">
        <f>IF(OR($D314="",$B314="",Housemates!$B$15=""),0,IF($R314&gt;0,IF(M314="",0,IF(ISNUMBER(M314),M314,1)),IF($C314="Paying back",0,IF(AND(OR(Housemates!$C$15="",Housemates!$C$15&lt;=$B314),OR(Housemates!$D$15="",Housemates!$D$15&gt;=$B314)),IF($Q314=0,1,INDEX(Bills!$AH$6:$AH$25,$Q314)),0))))</f>
        <v/>
      </c>
      <c r="AA314">
        <f>SUM(S314:Z314)</f>
        <v/>
      </c>
      <c r="AB314">
        <f>IF(AA314=0,0,D314*S314/AA314)</f>
        <v/>
      </c>
      <c r="AC314">
        <f>IF(AA314=0,0,D314*T314/AA314)</f>
        <v/>
      </c>
      <c r="AD314">
        <f>IF(AA314=0,0,D314*U314/AA314)</f>
        <v/>
      </c>
      <c r="AE314">
        <f>IF(AA314=0,0,D314*V314/AA314)</f>
        <v/>
      </c>
      <c r="AF314">
        <f>IF(AA314=0,0,D314*W314/AA314)</f>
        <v/>
      </c>
      <c r="AG314">
        <f>IF(AA314=0,0,D314*X314/AA314)</f>
        <v/>
      </c>
      <c r="AH314">
        <f>IF(AA314=0,0,D314*Y314/AA314)</f>
        <v/>
      </c>
      <c r="AI314">
        <f>IF(AA314=0,0,D314*Z314/AA314)</f>
        <v/>
      </c>
      <c r="AJ314">
        <f>IF(OR(C314="",B314=""),"",C314&amp;"|"&amp;(YEAR(B314)*100+MONTH(B314)))</f>
        <v/>
      </c>
    </row>
    <row r="315">
      <c r="A315" s="1" t="n"/>
      <c r="B315" s="23" t="n"/>
      <c r="C315" s="24" t="n"/>
      <c r="D315" s="25" t="n"/>
      <c r="E315" s="26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1">
        <f>IF(D315="","",IF(B315="","No date",IF(AND(C315="Paying back",R315=0),"To whom?",IF(AA315=0,"Nobody",IF(C315="Paying back","To "&amp;INDEX(Housemates!$B$8:$B$15,MATCH(MAX(S315:Z315),S315:Z315,0)),IF(R315&gt;0,IF(COUNTIF(S315:Z315,"&gt;0")=1,"1 person",COUNTIF(S315:Z315,"&gt;0")&amp;" people"),IF(Q315=0,"Everyone",INDEX(Bills!$Q$6:$Q$25,Q315))))))))</f>
        <v/>
      </c>
      <c r="O315" s="18">
        <f>IF(D315="","",IF(C315="Paying back","Paying back",IF(Q315=0,"Other",IF(INDEX(Bills!$C$6:$C$25,Q315)="","Other",INDEX(Bills!$C$6:$C$25,Q315)))))</f>
        <v/>
      </c>
      <c r="P315" s="1" t="n"/>
      <c r="Q315">
        <f>IF(C315="",0,IFERROR(MATCH(C315,Bills!$B$6:$B$25,0),0))</f>
        <v/>
      </c>
      <c r="R315">
        <f>COUNTA(F315:M315)</f>
        <v/>
      </c>
      <c r="S315">
        <f>IF(OR($D315="",$B315="",Housemates!$B$8=""),0,IF($R315&gt;0,IF(F315="",0,IF(ISNUMBER(F315),F315,1)),IF($C315="Paying back",0,IF(AND(OR(Housemates!$C$8="",Housemates!$C$8&lt;=$B315),OR(Housemates!$D$8="",Housemates!$D$8&gt;=$B315)),IF($Q315=0,1,INDEX(Bills!$AA$6:$AA$25,$Q315)),0))))</f>
        <v/>
      </c>
      <c r="T315">
        <f>IF(OR($D315="",$B315="",Housemates!$B$9=""),0,IF($R315&gt;0,IF(G315="",0,IF(ISNUMBER(G315),G315,1)),IF($C315="Paying back",0,IF(AND(OR(Housemates!$C$9="",Housemates!$C$9&lt;=$B315),OR(Housemates!$D$9="",Housemates!$D$9&gt;=$B315)),IF($Q315=0,1,INDEX(Bills!$AB$6:$AB$25,$Q315)),0))))</f>
        <v/>
      </c>
      <c r="U315">
        <f>IF(OR($D315="",$B315="",Housemates!$B$10=""),0,IF($R315&gt;0,IF(H315="",0,IF(ISNUMBER(H315),H315,1)),IF($C315="Paying back",0,IF(AND(OR(Housemates!$C$10="",Housemates!$C$10&lt;=$B315),OR(Housemates!$D$10="",Housemates!$D$10&gt;=$B315)),IF($Q315=0,1,INDEX(Bills!$AC$6:$AC$25,$Q315)),0))))</f>
        <v/>
      </c>
      <c r="V315">
        <f>IF(OR($D315="",$B315="",Housemates!$B$11=""),0,IF($R315&gt;0,IF(I315="",0,IF(ISNUMBER(I315),I315,1)),IF($C315="Paying back",0,IF(AND(OR(Housemates!$C$11="",Housemates!$C$11&lt;=$B315),OR(Housemates!$D$11="",Housemates!$D$11&gt;=$B315)),IF($Q315=0,1,INDEX(Bills!$AD$6:$AD$25,$Q315)),0))))</f>
        <v/>
      </c>
      <c r="W315">
        <f>IF(OR($D315="",$B315="",Housemates!$B$12=""),0,IF($R315&gt;0,IF(J315="",0,IF(ISNUMBER(J315),J315,1)),IF($C315="Paying back",0,IF(AND(OR(Housemates!$C$12="",Housemates!$C$12&lt;=$B315),OR(Housemates!$D$12="",Housemates!$D$12&gt;=$B315)),IF($Q315=0,1,INDEX(Bills!$AE$6:$AE$25,$Q315)),0))))</f>
        <v/>
      </c>
      <c r="X315">
        <f>IF(OR($D315="",$B315="",Housemates!$B$13=""),0,IF($R315&gt;0,IF(K315="",0,IF(ISNUMBER(K315),K315,1)),IF($C315="Paying back",0,IF(AND(OR(Housemates!$C$13="",Housemates!$C$13&lt;=$B315),OR(Housemates!$D$13="",Housemates!$D$13&gt;=$B315)),IF($Q315=0,1,INDEX(Bills!$AF$6:$AF$25,$Q315)),0))))</f>
        <v/>
      </c>
      <c r="Y315">
        <f>IF(OR($D315="",$B315="",Housemates!$B$14=""),0,IF($R315&gt;0,IF(L315="",0,IF(ISNUMBER(L315),L315,1)),IF($C315="Paying back",0,IF(AND(OR(Housemates!$C$14="",Housemates!$C$14&lt;=$B315),OR(Housemates!$D$14="",Housemates!$D$14&gt;=$B315)),IF($Q315=0,1,INDEX(Bills!$AG$6:$AG$25,$Q315)),0))))</f>
        <v/>
      </c>
      <c r="Z315">
        <f>IF(OR($D315="",$B315="",Housemates!$B$15=""),0,IF($R315&gt;0,IF(M315="",0,IF(ISNUMBER(M315),M315,1)),IF($C315="Paying back",0,IF(AND(OR(Housemates!$C$15="",Housemates!$C$15&lt;=$B315),OR(Housemates!$D$15="",Housemates!$D$15&gt;=$B315)),IF($Q315=0,1,INDEX(Bills!$AH$6:$AH$25,$Q315)),0))))</f>
        <v/>
      </c>
      <c r="AA315">
        <f>SUM(S315:Z315)</f>
        <v/>
      </c>
      <c r="AB315">
        <f>IF(AA315=0,0,D315*S315/AA315)</f>
        <v/>
      </c>
      <c r="AC315">
        <f>IF(AA315=0,0,D315*T315/AA315)</f>
        <v/>
      </c>
      <c r="AD315">
        <f>IF(AA315=0,0,D315*U315/AA315)</f>
        <v/>
      </c>
      <c r="AE315">
        <f>IF(AA315=0,0,D315*V315/AA315)</f>
        <v/>
      </c>
      <c r="AF315">
        <f>IF(AA315=0,0,D315*W315/AA315)</f>
        <v/>
      </c>
      <c r="AG315">
        <f>IF(AA315=0,0,D315*X315/AA315)</f>
        <v/>
      </c>
      <c r="AH315">
        <f>IF(AA315=0,0,D315*Y315/AA315)</f>
        <v/>
      </c>
      <c r="AI315">
        <f>IF(AA315=0,0,D315*Z315/AA315)</f>
        <v/>
      </c>
      <c r="AJ315">
        <f>IF(OR(C315="",B315=""),"",C315&amp;"|"&amp;(YEAR(B315)*100+MONTH(B315)))</f>
        <v/>
      </c>
    </row>
    <row r="316">
      <c r="A316" s="1" t="n"/>
      <c r="B316" s="23" t="n"/>
      <c r="C316" s="24" t="n"/>
      <c r="D316" s="25" t="n"/>
      <c r="E316" s="26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1">
        <f>IF(D316="","",IF(B316="","No date",IF(AND(C316="Paying back",R316=0),"To whom?",IF(AA316=0,"Nobody",IF(C316="Paying back","To "&amp;INDEX(Housemates!$B$8:$B$15,MATCH(MAX(S316:Z316),S316:Z316,0)),IF(R316&gt;0,IF(COUNTIF(S316:Z316,"&gt;0")=1,"1 person",COUNTIF(S316:Z316,"&gt;0")&amp;" people"),IF(Q316=0,"Everyone",INDEX(Bills!$Q$6:$Q$25,Q316))))))))</f>
        <v/>
      </c>
      <c r="O316" s="18">
        <f>IF(D316="","",IF(C316="Paying back","Paying back",IF(Q316=0,"Other",IF(INDEX(Bills!$C$6:$C$25,Q316)="","Other",INDEX(Bills!$C$6:$C$25,Q316)))))</f>
        <v/>
      </c>
      <c r="P316" s="1" t="n"/>
      <c r="Q316">
        <f>IF(C316="",0,IFERROR(MATCH(C316,Bills!$B$6:$B$25,0),0))</f>
        <v/>
      </c>
      <c r="R316">
        <f>COUNTA(F316:M316)</f>
        <v/>
      </c>
      <c r="S316">
        <f>IF(OR($D316="",$B316="",Housemates!$B$8=""),0,IF($R316&gt;0,IF(F316="",0,IF(ISNUMBER(F316),F316,1)),IF($C316="Paying back",0,IF(AND(OR(Housemates!$C$8="",Housemates!$C$8&lt;=$B316),OR(Housemates!$D$8="",Housemates!$D$8&gt;=$B316)),IF($Q316=0,1,INDEX(Bills!$AA$6:$AA$25,$Q316)),0))))</f>
        <v/>
      </c>
      <c r="T316">
        <f>IF(OR($D316="",$B316="",Housemates!$B$9=""),0,IF($R316&gt;0,IF(G316="",0,IF(ISNUMBER(G316),G316,1)),IF($C316="Paying back",0,IF(AND(OR(Housemates!$C$9="",Housemates!$C$9&lt;=$B316),OR(Housemates!$D$9="",Housemates!$D$9&gt;=$B316)),IF($Q316=0,1,INDEX(Bills!$AB$6:$AB$25,$Q316)),0))))</f>
        <v/>
      </c>
      <c r="U316">
        <f>IF(OR($D316="",$B316="",Housemates!$B$10=""),0,IF($R316&gt;0,IF(H316="",0,IF(ISNUMBER(H316),H316,1)),IF($C316="Paying back",0,IF(AND(OR(Housemates!$C$10="",Housemates!$C$10&lt;=$B316),OR(Housemates!$D$10="",Housemates!$D$10&gt;=$B316)),IF($Q316=0,1,INDEX(Bills!$AC$6:$AC$25,$Q316)),0))))</f>
        <v/>
      </c>
      <c r="V316">
        <f>IF(OR($D316="",$B316="",Housemates!$B$11=""),0,IF($R316&gt;0,IF(I316="",0,IF(ISNUMBER(I316),I316,1)),IF($C316="Paying back",0,IF(AND(OR(Housemates!$C$11="",Housemates!$C$11&lt;=$B316),OR(Housemates!$D$11="",Housemates!$D$11&gt;=$B316)),IF($Q316=0,1,INDEX(Bills!$AD$6:$AD$25,$Q316)),0))))</f>
        <v/>
      </c>
      <c r="W316">
        <f>IF(OR($D316="",$B316="",Housemates!$B$12=""),0,IF($R316&gt;0,IF(J316="",0,IF(ISNUMBER(J316),J316,1)),IF($C316="Paying back",0,IF(AND(OR(Housemates!$C$12="",Housemates!$C$12&lt;=$B316),OR(Housemates!$D$12="",Housemates!$D$12&gt;=$B316)),IF($Q316=0,1,INDEX(Bills!$AE$6:$AE$25,$Q316)),0))))</f>
        <v/>
      </c>
      <c r="X316">
        <f>IF(OR($D316="",$B316="",Housemates!$B$13=""),0,IF($R316&gt;0,IF(K316="",0,IF(ISNUMBER(K316),K316,1)),IF($C316="Paying back",0,IF(AND(OR(Housemates!$C$13="",Housemates!$C$13&lt;=$B316),OR(Housemates!$D$13="",Housemates!$D$13&gt;=$B316)),IF($Q316=0,1,INDEX(Bills!$AF$6:$AF$25,$Q316)),0))))</f>
        <v/>
      </c>
      <c r="Y316">
        <f>IF(OR($D316="",$B316="",Housemates!$B$14=""),0,IF($R316&gt;0,IF(L316="",0,IF(ISNUMBER(L316),L316,1)),IF($C316="Paying back",0,IF(AND(OR(Housemates!$C$14="",Housemates!$C$14&lt;=$B316),OR(Housemates!$D$14="",Housemates!$D$14&gt;=$B316)),IF($Q316=0,1,INDEX(Bills!$AG$6:$AG$25,$Q316)),0))))</f>
        <v/>
      </c>
      <c r="Z316">
        <f>IF(OR($D316="",$B316="",Housemates!$B$15=""),0,IF($R316&gt;0,IF(M316="",0,IF(ISNUMBER(M316),M316,1)),IF($C316="Paying back",0,IF(AND(OR(Housemates!$C$15="",Housemates!$C$15&lt;=$B316),OR(Housemates!$D$15="",Housemates!$D$15&gt;=$B316)),IF($Q316=0,1,INDEX(Bills!$AH$6:$AH$25,$Q316)),0))))</f>
        <v/>
      </c>
      <c r="AA316">
        <f>SUM(S316:Z316)</f>
        <v/>
      </c>
      <c r="AB316">
        <f>IF(AA316=0,0,D316*S316/AA316)</f>
        <v/>
      </c>
      <c r="AC316">
        <f>IF(AA316=0,0,D316*T316/AA316)</f>
        <v/>
      </c>
      <c r="AD316">
        <f>IF(AA316=0,0,D316*U316/AA316)</f>
        <v/>
      </c>
      <c r="AE316">
        <f>IF(AA316=0,0,D316*V316/AA316)</f>
        <v/>
      </c>
      <c r="AF316">
        <f>IF(AA316=0,0,D316*W316/AA316)</f>
        <v/>
      </c>
      <c r="AG316">
        <f>IF(AA316=0,0,D316*X316/AA316)</f>
        <v/>
      </c>
      <c r="AH316">
        <f>IF(AA316=0,0,D316*Y316/AA316)</f>
        <v/>
      </c>
      <c r="AI316">
        <f>IF(AA316=0,0,D316*Z316/AA316)</f>
        <v/>
      </c>
      <c r="AJ316">
        <f>IF(OR(C316="",B316=""),"",C316&amp;"|"&amp;(YEAR(B316)*100+MONTH(B316)))</f>
        <v/>
      </c>
    </row>
    <row r="317">
      <c r="A317" s="1" t="n"/>
      <c r="B317" s="23" t="n"/>
      <c r="C317" s="24" t="n"/>
      <c r="D317" s="25" t="n"/>
      <c r="E317" s="26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1">
        <f>IF(D317="","",IF(B317="","No date",IF(AND(C317="Paying back",R317=0),"To whom?",IF(AA317=0,"Nobody",IF(C317="Paying back","To "&amp;INDEX(Housemates!$B$8:$B$15,MATCH(MAX(S317:Z317),S317:Z317,0)),IF(R317&gt;0,IF(COUNTIF(S317:Z317,"&gt;0")=1,"1 person",COUNTIF(S317:Z317,"&gt;0")&amp;" people"),IF(Q317=0,"Everyone",INDEX(Bills!$Q$6:$Q$25,Q317))))))))</f>
        <v/>
      </c>
      <c r="O317" s="18">
        <f>IF(D317="","",IF(C317="Paying back","Paying back",IF(Q317=0,"Other",IF(INDEX(Bills!$C$6:$C$25,Q317)="","Other",INDEX(Bills!$C$6:$C$25,Q317)))))</f>
        <v/>
      </c>
      <c r="P317" s="1" t="n"/>
      <c r="Q317">
        <f>IF(C317="",0,IFERROR(MATCH(C317,Bills!$B$6:$B$25,0),0))</f>
        <v/>
      </c>
      <c r="R317">
        <f>COUNTA(F317:M317)</f>
        <v/>
      </c>
      <c r="S317">
        <f>IF(OR($D317="",$B317="",Housemates!$B$8=""),0,IF($R317&gt;0,IF(F317="",0,IF(ISNUMBER(F317),F317,1)),IF($C317="Paying back",0,IF(AND(OR(Housemates!$C$8="",Housemates!$C$8&lt;=$B317),OR(Housemates!$D$8="",Housemates!$D$8&gt;=$B317)),IF($Q317=0,1,INDEX(Bills!$AA$6:$AA$25,$Q317)),0))))</f>
        <v/>
      </c>
      <c r="T317">
        <f>IF(OR($D317="",$B317="",Housemates!$B$9=""),0,IF($R317&gt;0,IF(G317="",0,IF(ISNUMBER(G317),G317,1)),IF($C317="Paying back",0,IF(AND(OR(Housemates!$C$9="",Housemates!$C$9&lt;=$B317),OR(Housemates!$D$9="",Housemates!$D$9&gt;=$B317)),IF($Q317=0,1,INDEX(Bills!$AB$6:$AB$25,$Q317)),0))))</f>
        <v/>
      </c>
      <c r="U317">
        <f>IF(OR($D317="",$B317="",Housemates!$B$10=""),0,IF($R317&gt;0,IF(H317="",0,IF(ISNUMBER(H317),H317,1)),IF($C317="Paying back",0,IF(AND(OR(Housemates!$C$10="",Housemates!$C$10&lt;=$B317),OR(Housemates!$D$10="",Housemates!$D$10&gt;=$B317)),IF($Q317=0,1,INDEX(Bills!$AC$6:$AC$25,$Q317)),0))))</f>
        <v/>
      </c>
      <c r="V317">
        <f>IF(OR($D317="",$B317="",Housemates!$B$11=""),0,IF($R317&gt;0,IF(I317="",0,IF(ISNUMBER(I317),I317,1)),IF($C317="Paying back",0,IF(AND(OR(Housemates!$C$11="",Housemates!$C$11&lt;=$B317),OR(Housemates!$D$11="",Housemates!$D$11&gt;=$B317)),IF($Q317=0,1,INDEX(Bills!$AD$6:$AD$25,$Q317)),0))))</f>
        <v/>
      </c>
      <c r="W317">
        <f>IF(OR($D317="",$B317="",Housemates!$B$12=""),0,IF($R317&gt;0,IF(J317="",0,IF(ISNUMBER(J317),J317,1)),IF($C317="Paying back",0,IF(AND(OR(Housemates!$C$12="",Housemates!$C$12&lt;=$B317),OR(Housemates!$D$12="",Housemates!$D$12&gt;=$B317)),IF($Q317=0,1,INDEX(Bills!$AE$6:$AE$25,$Q317)),0))))</f>
        <v/>
      </c>
      <c r="X317">
        <f>IF(OR($D317="",$B317="",Housemates!$B$13=""),0,IF($R317&gt;0,IF(K317="",0,IF(ISNUMBER(K317),K317,1)),IF($C317="Paying back",0,IF(AND(OR(Housemates!$C$13="",Housemates!$C$13&lt;=$B317),OR(Housemates!$D$13="",Housemates!$D$13&gt;=$B317)),IF($Q317=0,1,INDEX(Bills!$AF$6:$AF$25,$Q317)),0))))</f>
        <v/>
      </c>
      <c r="Y317">
        <f>IF(OR($D317="",$B317="",Housemates!$B$14=""),0,IF($R317&gt;0,IF(L317="",0,IF(ISNUMBER(L317),L317,1)),IF($C317="Paying back",0,IF(AND(OR(Housemates!$C$14="",Housemates!$C$14&lt;=$B317),OR(Housemates!$D$14="",Housemates!$D$14&gt;=$B317)),IF($Q317=0,1,INDEX(Bills!$AG$6:$AG$25,$Q317)),0))))</f>
        <v/>
      </c>
      <c r="Z317">
        <f>IF(OR($D317="",$B317="",Housemates!$B$15=""),0,IF($R317&gt;0,IF(M317="",0,IF(ISNUMBER(M317),M317,1)),IF($C317="Paying back",0,IF(AND(OR(Housemates!$C$15="",Housemates!$C$15&lt;=$B317),OR(Housemates!$D$15="",Housemates!$D$15&gt;=$B317)),IF($Q317=0,1,INDEX(Bills!$AH$6:$AH$25,$Q317)),0))))</f>
        <v/>
      </c>
      <c r="AA317">
        <f>SUM(S317:Z317)</f>
        <v/>
      </c>
      <c r="AB317">
        <f>IF(AA317=0,0,D317*S317/AA317)</f>
        <v/>
      </c>
      <c r="AC317">
        <f>IF(AA317=0,0,D317*T317/AA317)</f>
        <v/>
      </c>
      <c r="AD317">
        <f>IF(AA317=0,0,D317*U317/AA317)</f>
        <v/>
      </c>
      <c r="AE317">
        <f>IF(AA317=0,0,D317*V317/AA317)</f>
        <v/>
      </c>
      <c r="AF317">
        <f>IF(AA317=0,0,D317*W317/AA317)</f>
        <v/>
      </c>
      <c r="AG317">
        <f>IF(AA317=0,0,D317*X317/AA317)</f>
        <v/>
      </c>
      <c r="AH317">
        <f>IF(AA317=0,0,D317*Y317/AA317)</f>
        <v/>
      </c>
      <c r="AI317">
        <f>IF(AA317=0,0,D317*Z317/AA317)</f>
        <v/>
      </c>
      <c r="AJ317">
        <f>IF(OR(C317="",B317=""),"",C317&amp;"|"&amp;(YEAR(B317)*100+MONTH(B317)))</f>
        <v/>
      </c>
    </row>
    <row r="318">
      <c r="A318" s="1" t="n"/>
      <c r="B318" s="23" t="n"/>
      <c r="C318" s="24" t="n"/>
      <c r="D318" s="25" t="n"/>
      <c r="E318" s="26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1">
        <f>IF(D318="","",IF(B318="","No date",IF(AND(C318="Paying back",R318=0),"To whom?",IF(AA318=0,"Nobody",IF(C318="Paying back","To "&amp;INDEX(Housemates!$B$8:$B$15,MATCH(MAX(S318:Z318),S318:Z318,0)),IF(R318&gt;0,IF(COUNTIF(S318:Z318,"&gt;0")=1,"1 person",COUNTIF(S318:Z318,"&gt;0")&amp;" people"),IF(Q318=0,"Everyone",INDEX(Bills!$Q$6:$Q$25,Q318))))))))</f>
        <v/>
      </c>
      <c r="O318" s="18">
        <f>IF(D318="","",IF(C318="Paying back","Paying back",IF(Q318=0,"Other",IF(INDEX(Bills!$C$6:$C$25,Q318)="","Other",INDEX(Bills!$C$6:$C$25,Q318)))))</f>
        <v/>
      </c>
      <c r="P318" s="1" t="n"/>
      <c r="Q318">
        <f>IF(C318="",0,IFERROR(MATCH(C318,Bills!$B$6:$B$25,0),0))</f>
        <v/>
      </c>
      <c r="R318">
        <f>COUNTA(F318:M318)</f>
        <v/>
      </c>
      <c r="S318">
        <f>IF(OR($D318="",$B318="",Housemates!$B$8=""),0,IF($R318&gt;0,IF(F318="",0,IF(ISNUMBER(F318),F318,1)),IF($C318="Paying back",0,IF(AND(OR(Housemates!$C$8="",Housemates!$C$8&lt;=$B318),OR(Housemates!$D$8="",Housemates!$D$8&gt;=$B318)),IF($Q318=0,1,INDEX(Bills!$AA$6:$AA$25,$Q318)),0))))</f>
        <v/>
      </c>
      <c r="T318">
        <f>IF(OR($D318="",$B318="",Housemates!$B$9=""),0,IF($R318&gt;0,IF(G318="",0,IF(ISNUMBER(G318),G318,1)),IF($C318="Paying back",0,IF(AND(OR(Housemates!$C$9="",Housemates!$C$9&lt;=$B318),OR(Housemates!$D$9="",Housemates!$D$9&gt;=$B318)),IF($Q318=0,1,INDEX(Bills!$AB$6:$AB$25,$Q318)),0))))</f>
        <v/>
      </c>
      <c r="U318">
        <f>IF(OR($D318="",$B318="",Housemates!$B$10=""),0,IF($R318&gt;0,IF(H318="",0,IF(ISNUMBER(H318),H318,1)),IF($C318="Paying back",0,IF(AND(OR(Housemates!$C$10="",Housemates!$C$10&lt;=$B318),OR(Housemates!$D$10="",Housemates!$D$10&gt;=$B318)),IF($Q318=0,1,INDEX(Bills!$AC$6:$AC$25,$Q318)),0))))</f>
        <v/>
      </c>
      <c r="V318">
        <f>IF(OR($D318="",$B318="",Housemates!$B$11=""),0,IF($R318&gt;0,IF(I318="",0,IF(ISNUMBER(I318),I318,1)),IF($C318="Paying back",0,IF(AND(OR(Housemates!$C$11="",Housemates!$C$11&lt;=$B318),OR(Housemates!$D$11="",Housemates!$D$11&gt;=$B318)),IF($Q318=0,1,INDEX(Bills!$AD$6:$AD$25,$Q318)),0))))</f>
        <v/>
      </c>
      <c r="W318">
        <f>IF(OR($D318="",$B318="",Housemates!$B$12=""),0,IF($R318&gt;0,IF(J318="",0,IF(ISNUMBER(J318),J318,1)),IF($C318="Paying back",0,IF(AND(OR(Housemates!$C$12="",Housemates!$C$12&lt;=$B318),OR(Housemates!$D$12="",Housemates!$D$12&gt;=$B318)),IF($Q318=0,1,INDEX(Bills!$AE$6:$AE$25,$Q318)),0))))</f>
        <v/>
      </c>
      <c r="X318">
        <f>IF(OR($D318="",$B318="",Housemates!$B$13=""),0,IF($R318&gt;0,IF(K318="",0,IF(ISNUMBER(K318),K318,1)),IF($C318="Paying back",0,IF(AND(OR(Housemates!$C$13="",Housemates!$C$13&lt;=$B318),OR(Housemates!$D$13="",Housemates!$D$13&gt;=$B318)),IF($Q318=0,1,INDEX(Bills!$AF$6:$AF$25,$Q318)),0))))</f>
        <v/>
      </c>
      <c r="Y318">
        <f>IF(OR($D318="",$B318="",Housemates!$B$14=""),0,IF($R318&gt;0,IF(L318="",0,IF(ISNUMBER(L318),L318,1)),IF($C318="Paying back",0,IF(AND(OR(Housemates!$C$14="",Housemates!$C$14&lt;=$B318),OR(Housemates!$D$14="",Housemates!$D$14&gt;=$B318)),IF($Q318=0,1,INDEX(Bills!$AG$6:$AG$25,$Q318)),0))))</f>
        <v/>
      </c>
      <c r="Z318">
        <f>IF(OR($D318="",$B318="",Housemates!$B$15=""),0,IF($R318&gt;0,IF(M318="",0,IF(ISNUMBER(M318),M318,1)),IF($C318="Paying back",0,IF(AND(OR(Housemates!$C$15="",Housemates!$C$15&lt;=$B318),OR(Housemates!$D$15="",Housemates!$D$15&gt;=$B318)),IF($Q318=0,1,INDEX(Bills!$AH$6:$AH$25,$Q318)),0))))</f>
        <v/>
      </c>
      <c r="AA318">
        <f>SUM(S318:Z318)</f>
        <v/>
      </c>
      <c r="AB318">
        <f>IF(AA318=0,0,D318*S318/AA318)</f>
        <v/>
      </c>
      <c r="AC318">
        <f>IF(AA318=0,0,D318*T318/AA318)</f>
        <v/>
      </c>
      <c r="AD318">
        <f>IF(AA318=0,0,D318*U318/AA318)</f>
        <v/>
      </c>
      <c r="AE318">
        <f>IF(AA318=0,0,D318*V318/AA318)</f>
        <v/>
      </c>
      <c r="AF318">
        <f>IF(AA318=0,0,D318*W318/AA318)</f>
        <v/>
      </c>
      <c r="AG318">
        <f>IF(AA318=0,0,D318*X318/AA318)</f>
        <v/>
      </c>
      <c r="AH318">
        <f>IF(AA318=0,0,D318*Y318/AA318)</f>
        <v/>
      </c>
      <c r="AI318">
        <f>IF(AA318=0,0,D318*Z318/AA318)</f>
        <v/>
      </c>
      <c r="AJ318">
        <f>IF(OR(C318="",B318=""),"",C318&amp;"|"&amp;(YEAR(B318)*100+MONTH(B318)))</f>
        <v/>
      </c>
    </row>
    <row r="319">
      <c r="A319" s="1" t="n"/>
      <c r="B319" s="23" t="n"/>
      <c r="C319" s="24" t="n"/>
      <c r="D319" s="25" t="n"/>
      <c r="E319" s="26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1">
        <f>IF(D319="","",IF(B319="","No date",IF(AND(C319="Paying back",R319=0),"To whom?",IF(AA319=0,"Nobody",IF(C319="Paying back","To "&amp;INDEX(Housemates!$B$8:$B$15,MATCH(MAX(S319:Z319),S319:Z319,0)),IF(R319&gt;0,IF(COUNTIF(S319:Z319,"&gt;0")=1,"1 person",COUNTIF(S319:Z319,"&gt;0")&amp;" people"),IF(Q319=0,"Everyone",INDEX(Bills!$Q$6:$Q$25,Q319))))))))</f>
        <v/>
      </c>
      <c r="O319" s="18">
        <f>IF(D319="","",IF(C319="Paying back","Paying back",IF(Q319=0,"Other",IF(INDEX(Bills!$C$6:$C$25,Q319)="","Other",INDEX(Bills!$C$6:$C$25,Q319)))))</f>
        <v/>
      </c>
      <c r="P319" s="1" t="n"/>
      <c r="Q319">
        <f>IF(C319="",0,IFERROR(MATCH(C319,Bills!$B$6:$B$25,0),0))</f>
        <v/>
      </c>
      <c r="R319">
        <f>COUNTA(F319:M319)</f>
        <v/>
      </c>
      <c r="S319">
        <f>IF(OR($D319="",$B319="",Housemates!$B$8=""),0,IF($R319&gt;0,IF(F319="",0,IF(ISNUMBER(F319),F319,1)),IF($C319="Paying back",0,IF(AND(OR(Housemates!$C$8="",Housemates!$C$8&lt;=$B319),OR(Housemates!$D$8="",Housemates!$D$8&gt;=$B319)),IF($Q319=0,1,INDEX(Bills!$AA$6:$AA$25,$Q319)),0))))</f>
        <v/>
      </c>
      <c r="T319">
        <f>IF(OR($D319="",$B319="",Housemates!$B$9=""),0,IF($R319&gt;0,IF(G319="",0,IF(ISNUMBER(G319),G319,1)),IF($C319="Paying back",0,IF(AND(OR(Housemates!$C$9="",Housemates!$C$9&lt;=$B319),OR(Housemates!$D$9="",Housemates!$D$9&gt;=$B319)),IF($Q319=0,1,INDEX(Bills!$AB$6:$AB$25,$Q319)),0))))</f>
        <v/>
      </c>
      <c r="U319">
        <f>IF(OR($D319="",$B319="",Housemates!$B$10=""),0,IF($R319&gt;0,IF(H319="",0,IF(ISNUMBER(H319),H319,1)),IF($C319="Paying back",0,IF(AND(OR(Housemates!$C$10="",Housemates!$C$10&lt;=$B319),OR(Housemates!$D$10="",Housemates!$D$10&gt;=$B319)),IF($Q319=0,1,INDEX(Bills!$AC$6:$AC$25,$Q319)),0))))</f>
        <v/>
      </c>
      <c r="V319">
        <f>IF(OR($D319="",$B319="",Housemates!$B$11=""),0,IF($R319&gt;0,IF(I319="",0,IF(ISNUMBER(I319),I319,1)),IF($C319="Paying back",0,IF(AND(OR(Housemates!$C$11="",Housemates!$C$11&lt;=$B319),OR(Housemates!$D$11="",Housemates!$D$11&gt;=$B319)),IF($Q319=0,1,INDEX(Bills!$AD$6:$AD$25,$Q319)),0))))</f>
        <v/>
      </c>
      <c r="W319">
        <f>IF(OR($D319="",$B319="",Housemates!$B$12=""),0,IF($R319&gt;0,IF(J319="",0,IF(ISNUMBER(J319),J319,1)),IF($C319="Paying back",0,IF(AND(OR(Housemates!$C$12="",Housemates!$C$12&lt;=$B319),OR(Housemates!$D$12="",Housemates!$D$12&gt;=$B319)),IF($Q319=0,1,INDEX(Bills!$AE$6:$AE$25,$Q319)),0))))</f>
        <v/>
      </c>
      <c r="X319">
        <f>IF(OR($D319="",$B319="",Housemates!$B$13=""),0,IF($R319&gt;0,IF(K319="",0,IF(ISNUMBER(K319),K319,1)),IF($C319="Paying back",0,IF(AND(OR(Housemates!$C$13="",Housemates!$C$13&lt;=$B319),OR(Housemates!$D$13="",Housemates!$D$13&gt;=$B319)),IF($Q319=0,1,INDEX(Bills!$AF$6:$AF$25,$Q319)),0))))</f>
        <v/>
      </c>
      <c r="Y319">
        <f>IF(OR($D319="",$B319="",Housemates!$B$14=""),0,IF($R319&gt;0,IF(L319="",0,IF(ISNUMBER(L319),L319,1)),IF($C319="Paying back",0,IF(AND(OR(Housemates!$C$14="",Housemates!$C$14&lt;=$B319),OR(Housemates!$D$14="",Housemates!$D$14&gt;=$B319)),IF($Q319=0,1,INDEX(Bills!$AG$6:$AG$25,$Q319)),0))))</f>
        <v/>
      </c>
      <c r="Z319">
        <f>IF(OR($D319="",$B319="",Housemates!$B$15=""),0,IF($R319&gt;0,IF(M319="",0,IF(ISNUMBER(M319),M319,1)),IF($C319="Paying back",0,IF(AND(OR(Housemates!$C$15="",Housemates!$C$15&lt;=$B319),OR(Housemates!$D$15="",Housemates!$D$15&gt;=$B319)),IF($Q319=0,1,INDEX(Bills!$AH$6:$AH$25,$Q319)),0))))</f>
        <v/>
      </c>
      <c r="AA319">
        <f>SUM(S319:Z319)</f>
        <v/>
      </c>
      <c r="AB319">
        <f>IF(AA319=0,0,D319*S319/AA319)</f>
        <v/>
      </c>
      <c r="AC319">
        <f>IF(AA319=0,0,D319*T319/AA319)</f>
        <v/>
      </c>
      <c r="AD319">
        <f>IF(AA319=0,0,D319*U319/AA319)</f>
        <v/>
      </c>
      <c r="AE319">
        <f>IF(AA319=0,0,D319*V319/AA319)</f>
        <v/>
      </c>
      <c r="AF319">
        <f>IF(AA319=0,0,D319*W319/AA319)</f>
        <v/>
      </c>
      <c r="AG319">
        <f>IF(AA319=0,0,D319*X319/AA319)</f>
        <v/>
      </c>
      <c r="AH319">
        <f>IF(AA319=0,0,D319*Y319/AA319)</f>
        <v/>
      </c>
      <c r="AI319">
        <f>IF(AA319=0,0,D319*Z319/AA319)</f>
        <v/>
      </c>
      <c r="AJ319">
        <f>IF(OR(C319="",B319=""),"",C319&amp;"|"&amp;(YEAR(B319)*100+MONTH(B319)))</f>
        <v/>
      </c>
    </row>
    <row r="320">
      <c r="A320" s="1" t="n"/>
      <c r="B320" s="23" t="n"/>
      <c r="C320" s="24" t="n"/>
      <c r="D320" s="25" t="n"/>
      <c r="E320" s="26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1">
        <f>IF(D320="","",IF(B320="","No date",IF(AND(C320="Paying back",R320=0),"To whom?",IF(AA320=0,"Nobody",IF(C320="Paying back","To "&amp;INDEX(Housemates!$B$8:$B$15,MATCH(MAX(S320:Z320),S320:Z320,0)),IF(R320&gt;0,IF(COUNTIF(S320:Z320,"&gt;0")=1,"1 person",COUNTIF(S320:Z320,"&gt;0")&amp;" people"),IF(Q320=0,"Everyone",INDEX(Bills!$Q$6:$Q$25,Q320))))))))</f>
        <v/>
      </c>
      <c r="O320" s="18">
        <f>IF(D320="","",IF(C320="Paying back","Paying back",IF(Q320=0,"Other",IF(INDEX(Bills!$C$6:$C$25,Q320)="","Other",INDEX(Bills!$C$6:$C$25,Q320)))))</f>
        <v/>
      </c>
      <c r="P320" s="1" t="n"/>
      <c r="Q320">
        <f>IF(C320="",0,IFERROR(MATCH(C320,Bills!$B$6:$B$25,0),0))</f>
        <v/>
      </c>
      <c r="R320">
        <f>COUNTA(F320:M320)</f>
        <v/>
      </c>
      <c r="S320">
        <f>IF(OR($D320="",$B320="",Housemates!$B$8=""),0,IF($R320&gt;0,IF(F320="",0,IF(ISNUMBER(F320),F320,1)),IF($C320="Paying back",0,IF(AND(OR(Housemates!$C$8="",Housemates!$C$8&lt;=$B320),OR(Housemates!$D$8="",Housemates!$D$8&gt;=$B320)),IF($Q320=0,1,INDEX(Bills!$AA$6:$AA$25,$Q320)),0))))</f>
        <v/>
      </c>
      <c r="T320">
        <f>IF(OR($D320="",$B320="",Housemates!$B$9=""),0,IF($R320&gt;0,IF(G320="",0,IF(ISNUMBER(G320),G320,1)),IF($C320="Paying back",0,IF(AND(OR(Housemates!$C$9="",Housemates!$C$9&lt;=$B320),OR(Housemates!$D$9="",Housemates!$D$9&gt;=$B320)),IF($Q320=0,1,INDEX(Bills!$AB$6:$AB$25,$Q320)),0))))</f>
        <v/>
      </c>
      <c r="U320">
        <f>IF(OR($D320="",$B320="",Housemates!$B$10=""),0,IF($R320&gt;0,IF(H320="",0,IF(ISNUMBER(H320),H320,1)),IF($C320="Paying back",0,IF(AND(OR(Housemates!$C$10="",Housemates!$C$10&lt;=$B320),OR(Housemates!$D$10="",Housemates!$D$10&gt;=$B320)),IF($Q320=0,1,INDEX(Bills!$AC$6:$AC$25,$Q320)),0))))</f>
        <v/>
      </c>
      <c r="V320">
        <f>IF(OR($D320="",$B320="",Housemates!$B$11=""),0,IF($R320&gt;0,IF(I320="",0,IF(ISNUMBER(I320),I320,1)),IF($C320="Paying back",0,IF(AND(OR(Housemates!$C$11="",Housemates!$C$11&lt;=$B320),OR(Housemates!$D$11="",Housemates!$D$11&gt;=$B320)),IF($Q320=0,1,INDEX(Bills!$AD$6:$AD$25,$Q320)),0))))</f>
        <v/>
      </c>
      <c r="W320">
        <f>IF(OR($D320="",$B320="",Housemates!$B$12=""),0,IF($R320&gt;0,IF(J320="",0,IF(ISNUMBER(J320),J320,1)),IF($C320="Paying back",0,IF(AND(OR(Housemates!$C$12="",Housemates!$C$12&lt;=$B320),OR(Housemates!$D$12="",Housemates!$D$12&gt;=$B320)),IF($Q320=0,1,INDEX(Bills!$AE$6:$AE$25,$Q320)),0))))</f>
        <v/>
      </c>
      <c r="X320">
        <f>IF(OR($D320="",$B320="",Housemates!$B$13=""),0,IF($R320&gt;0,IF(K320="",0,IF(ISNUMBER(K320),K320,1)),IF($C320="Paying back",0,IF(AND(OR(Housemates!$C$13="",Housemates!$C$13&lt;=$B320),OR(Housemates!$D$13="",Housemates!$D$13&gt;=$B320)),IF($Q320=0,1,INDEX(Bills!$AF$6:$AF$25,$Q320)),0))))</f>
        <v/>
      </c>
      <c r="Y320">
        <f>IF(OR($D320="",$B320="",Housemates!$B$14=""),0,IF($R320&gt;0,IF(L320="",0,IF(ISNUMBER(L320),L320,1)),IF($C320="Paying back",0,IF(AND(OR(Housemates!$C$14="",Housemates!$C$14&lt;=$B320),OR(Housemates!$D$14="",Housemates!$D$14&gt;=$B320)),IF($Q320=0,1,INDEX(Bills!$AG$6:$AG$25,$Q320)),0))))</f>
        <v/>
      </c>
      <c r="Z320">
        <f>IF(OR($D320="",$B320="",Housemates!$B$15=""),0,IF($R320&gt;0,IF(M320="",0,IF(ISNUMBER(M320),M320,1)),IF($C320="Paying back",0,IF(AND(OR(Housemates!$C$15="",Housemates!$C$15&lt;=$B320),OR(Housemates!$D$15="",Housemates!$D$15&gt;=$B320)),IF($Q320=0,1,INDEX(Bills!$AH$6:$AH$25,$Q320)),0))))</f>
        <v/>
      </c>
      <c r="AA320">
        <f>SUM(S320:Z320)</f>
        <v/>
      </c>
      <c r="AB320">
        <f>IF(AA320=0,0,D320*S320/AA320)</f>
        <v/>
      </c>
      <c r="AC320">
        <f>IF(AA320=0,0,D320*T320/AA320)</f>
        <v/>
      </c>
      <c r="AD320">
        <f>IF(AA320=0,0,D320*U320/AA320)</f>
        <v/>
      </c>
      <c r="AE320">
        <f>IF(AA320=0,0,D320*V320/AA320)</f>
        <v/>
      </c>
      <c r="AF320">
        <f>IF(AA320=0,0,D320*W320/AA320)</f>
        <v/>
      </c>
      <c r="AG320">
        <f>IF(AA320=0,0,D320*X320/AA320)</f>
        <v/>
      </c>
      <c r="AH320">
        <f>IF(AA320=0,0,D320*Y320/AA320)</f>
        <v/>
      </c>
      <c r="AI320">
        <f>IF(AA320=0,0,D320*Z320/AA320)</f>
        <v/>
      </c>
      <c r="AJ320">
        <f>IF(OR(C320="",B320=""),"",C320&amp;"|"&amp;(YEAR(B320)*100+MONTH(B320)))</f>
        <v/>
      </c>
    </row>
    <row r="321">
      <c r="A321" s="1" t="n"/>
      <c r="B321" s="23" t="n"/>
      <c r="C321" s="24" t="n"/>
      <c r="D321" s="25" t="n"/>
      <c r="E321" s="26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1">
        <f>IF(D321="","",IF(B321="","No date",IF(AND(C321="Paying back",R321=0),"To whom?",IF(AA321=0,"Nobody",IF(C321="Paying back","To "&amp;INDEX(Housemates!$B$8:$B$15,MATCH(MAX(S321:Z321),S321:Z321,0)),IF(R321&gt;0,IF(COUNTIF(S321:Z321,"&gt;0")=1,"1 person",COUNTIF(S321:Z321,"&gt;0")&amp;" people"),IF(Q321=0,"Everyone",INDEX(Bills!$Q$6:$Q$25,Q321))))))))</f>
        <v/>
      </c>
      <c r="O321" s="18">
        <f>IF(D321="","",IF(C321="Paying back","Paying back",IF(Q321=0,"Other",IF(INDEX(Bills!$C$6:$C$25,Q321)="","Other",INDEX(Bills!$C$6:$C$25,Q321)))))</f>
        <v/>
      </c>
      <c r="P321" s="1" t="n"/>
      <c r="Q321">
        <f>IF(C321="",0,IFERROR(MATCH(C321,Bills!$B$6:$B$25,0),0))</f>
        <v/>
      </c>
      <c r="R321">
        <f>COUNTA(F321:M321)</f>
        <v/>
      </c>
      <c r="S321">
        <f>IF(OR($D321="",$B321="",Housemates!$B$8=""),0,IF($R321&gt;0,IF(F321="",0,IF(ISNUMBER(F321),F321,1)),IF($C321="Paying back",0,IF(AND(OR(Housemates!$C$8="",Housemates!$C$8&lt;=$B321),OR(Housemates!$D$8="",Housemates!$D$8&gt;=$B321)),IF($Q321=0,1,INDEX(Bills!$AA$6:$AA$25,$Q321)),0))))</f>
        <v/>
      </c>
      <c r="T321">
        <f>IF(OR($D321="",$B321="",Housemates!$B$9=""),0,IF($R321&gt;0,IF(G321="",0,IF(ISNUMBER(G321),G321,1)),IF($C321="Paying back",0,IF(AND(OR(Housemates!$C$9="",Housemates!$C$9&lt;=$B321),OR(Housemates!$D$9="",Housemates!$D$9&gt;=$B321)),IF($Q321=0,1,INDEX(Bills!$AB$6:$AB$25,$Q321)),0))))</f>
        <v/>
      </c>
      <c r="U321">
        <f>IF(OR($D321="",$B321="",Housemates!$B$10=""),0,IF($R321&gt;0,IF(H321="",0,IF(ISNUMBER(H321),H321,1)),IF($C321="Paying back",0,IF(AND(OR(Housemates!$C$10="",Housemates!$C$10&lt;=$B321),OR(Housemates!$D$10="",Housemates!$D$10&gt;=$B321)),IF($Q321=0,1,INDEX(Bills!$AC$6:$AC$25,$Q321)),0))))</f>
        <v/>
      </c>
      <c r="V321">
        <f>IF(OR($D321="",$B321="",Housemates!$B$11=""),0,IF($R321&gt;0,IF(I321="",0,IF(ISNUMBER(I321),I321,1)),IF($C321="Paying back",0,IF(AND(OR(Housemates!$C$11="",Housemates!$C$11&lt;=$B321),OR(Housemates!$D$11="",Housemates!$D$11&gt;=$B321)),IF($Q321=0,1,INDEX(Bills!$AD$6:$AD$25,$Q321)),0))))</f>
        <v/>
      </c>
      <c r="W321">
        <f>IF(OR($D321="",$B321="",Housemates!$B$12=""),0,IF($R321&gt;0,IF(J321="",0,IF(ISNUMBER(J321),J321,1)),IF($C321="Paying back",0,IF(AND(OR(Housemates!$C$12="",Housemates!$C$12&lt;=$B321),OR(Housemates!$D$12="",Housemates!$D$12&gt;=$B321)),IF($Q321=0,1,INDEX(Bills!$AE$6:$AE$25,$Q321)),0))))</f>
        <v/>
      </c>
      <c r="X321">
        <f>IF(OR($D321="",$B321="",Housemates!$B$13=""),0,IF($R321&gt;0,IF(K321="",0,IF(ISNUMBER(K321),K321,1)),IF($C321="Paying back",0,IF(AND(OR(Housemates!$C$13="",Housemates!$C$13&lt;=$B321),OR(Housemates!$D$13="",Housemates!$D$13&gt;=$B321)),IF($Q321=0,1,INDEX(Bills!$AF$6:$AF$25,$Q321)),0))))</f>
        <v/>
      </c>
      <c r="Y321">
        <f>IF(OR($D321="",$B321="",Housemates!$B$14=""),0,IF($R321&gt;0,IF(L321="",0,IF(ISNUMBER(L321),L321,1)),IF($C321="Paying back",0,IF(AND(OR(Housemates!$C$14="",Housemates!$C$14&lt;=$B321),OR(Housemates!$D$14="",Housemates!$D$14&gt;=$B321)),IF($Q321=0,1,INDEX(Bills!$AG$6:$AG$25,$Q321)),0))))</f>
        <v/>
      </c>
      <c r="Z321">
        <f>IF(OR($D321="",$B321="",Housemates!$B$15=""),0,IF($R321&gt;0,IF(M321="",0,IF(ISNUMBER(M321),M321,1)),IF($C321="Paying back",0,IF(AND(OR(Housemates!$C$15="",Housemates!$C$15&lt;=$B321),OR(Housemates!$D$15="",Housemates!$D$15&gt;=$B321)),IF($Q321=0,1,INDEX(Bills!$AH$6:$AH$25,$Q321)),0))))</f>
        <v/>
      </c>
      <c r="AA321">
        <f>SUM(S321:Z321)</f>
        <v/>
      </c>
      <c r="AB321">
        <f>IF(AA321=0,0,D321*S321/AA321)</f>
        <v/>
      </c>
      <c r="AC321">
        <f>IF(AA321=0,0,D321*T321/AA321)</f>
        <v/>
      </c>
      <c r="AD321">
        <f>IF(AA321=0,0,D321*U321/AA321)</f>
        <v/>
      </c>
      <c r="AE321">
        <f>IF(AA321=0,0,D321*V321/AA321)</f>
        <v/>
      </c>
      <c r="AF321">
        <f>IF(AA321=0,0,D321*W321/AA321)</f>
        <v/>
      </c>
      <c r="AG321">
        <f>IF(AA321=0,0,D321*X321/AA321)</f>
        <v/>
      </c>
      <c r="AH321">
        <f>IF(AA321=0,0,D321*Y321/AA321)</f>
        <v/>
      </c>
      <c r="AI321">
        <f>IF(AA321=0,0,D321*Z321/AA321)</f>
        <v/>
      </c>
      <c r="AJ321">
        <f>IF(OR(C321="",B321=""),"",C321&amp;"|"&amp;(YEAR(B321)*100+MONTH(B321)))</f>
        <v/>
      </c>
    </row>
    <row r="322">
      <c r="A322" s="1" t="n"/>
      <c r="B322" s="23" t="n"/>
      <c r="C322" s="24" t="n"/>
      <c r="D322" s="25" t="n"/>
      <c r="E322" s="26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1">
        <f>IF(D322="","",IF(B322="","No date",IF(AND(C322="Paying back",R322=0),"To whom?",IF(AA322=0,"Nobody",IF(C322="Paying back","To "&amp;INDEX(Housemates!$B$8:$B$15,MATCH(MAX(S322:Z322),S322:Z322,0)),IF(R322&gt;0,IF(COUNTIF(S322:Z322,"&gt;0")=1,"1 person",COUNTIF(S322:Z322,"&gt;0")&amp;" people"),IF(Q322=0,"Everyone",INDEX(Bills!$Q$6:$Q$25,Q322))))))))</f>
        <v/>
      </c>
      <c r="O322" s="18">
        <f>IF(D322="","",IF(C322="Paying back","Paying back",IF(Q322=0,"Other",IF(INDEX(Bills!$C$6:$C$25,Q322)="","Other",INDEX(Bills!$C$6:$C$25,Q322)))))</f>
        <v/>
      </c>
      <c r="P322" s="1" t="n"/>
      <c r="Q322">
        <f>IF(C322="",0,IFERROR(MATCH(C322,Bills!$B$6:$B$25,0),0))</f>
        <v/>
      </c>
      <c r="R322">
        <f>COUNTA(F322:M322)</f>
        <v/>
      </c>
      <c r="S322">
        <f>IF(OR($D322="",$B322="",Housemates!$B$8=""),0,IF($R322&gt;0,IF(F322="",0,IF(ISNUMBER(F322),F322,1)),IF($C322="Paying back",0,IF(AND(OR(Housemates!$C$8="",Housemates!$C$8&lt;=$B322),OR(Housemates!$D$8="",Housemates!$D$8&gt;=$B322)),IF($Q322=0,1,INDEX(Bills!$AA$6:$AA$25,$Q322)),0))))</f>
        <v/>
      </c>
      <c r="T322">
        <f>IF(OR($D322="",$B322="",Housemates!$B$9=""),0,IF($R322&gt;0,IF(G322="",0,IF(ISNUMBER(G322),G322,1)),IF($C322="Paying back",0,IF(AND(OR(Housemates!$C$9="",Housemates!$C$9&lt;=$B322),OR(Housemates!$D$9="",Housemates!$D$9&gt;=$B322)),IF($Q322=0,1,INDEX(Bills!$AB$6:$AB$25,$Q322)),0))))</f>
        <v/>
      </c>
      <c r="U322">
        <f>IF(OR($D322="",$B322="",Housemates!$B$10=""),0,IF($R322&gt;0,IF(H322="",0,IF(ISNUMBER(H322),H322,1)),IF($C322="Paying back",0,IF(AND(OR(Housemates!$C$10="",Housemates!$C$10&lt;=$B322),OR(Housemates!$D$10="",Housemates!$D$10&gt;=$B322)),IF($Q322=0,1,INDEX(Bills!$AC$6:$AC$25,$Q322)),0))))</f>
        <v/>
      </c>
      <c r="V322">
        <f>IF(OR($D322="",$B322="",Housemates!$B$11=""),0,IF($R322&gt;0,IF(I322="",0,IF(ISNUMBER(I322),I322,1)),IF($C322="Paying back",0,IF(AND(OR(Housemates!$C$11="",Housemates!$C$11&lt;=$B322),OR(Housemates!$D$11="",Housemates!$D$11&gt;=$B322)),IF($Q322=0,1,INDEX(Bills!$AD$6:$AD$25,$Q322)),0))))</f>
        <v/>
      </c>
      <c r="W322">
        <f>IF(OR($D322="",$B322="",Housemates!$B$12=""),0,IF($R322&gt;0,IF(J322="",0,IF(ISNUMBER(J322),J322,1)),IF($C322="Paying back",0,IF(AND(OR(Housemates!$C$12="",Housemates!$C$12&lt;=$B322),OR(Housemates!$D$12="",Housemates!$D$12&gt;=$B322)),IF($Q322=0,1,INDEX(Bills!$AE$6:$AE$25,$Q322)),0))))</f>
        <v/>
      </c>
      <c r="X322">
        <f>IF(OR($D322="",$B322="",Housemates!$B$13=""),0,IF($R322&gt;0,IF(K322="",0,IF(ISNUMBER(K322),K322,1)),IF($C322="Paying back",0,IF(AND(OR(Housemates!$C$13="",Housemates!$C$13&lt;=$B322),OR(Housemates!$D$13="",Housemates!$D$13&gt;=$B322)),IF($Q322=0,1,INDEX(Bills!$AF$6:$AF$25,$Q322)),0))))</f>
        <v/>
      </c>
      <c r="Y322">
        <f>IF(OR($D322="",$B322="",Housemates!$B$14=""),0,IF($R322&gt;0,IF(L322="",0,IF(ISNUMBER(L322),L322,1)),IF($C322="Paying back",0,IF(AND(OR(Housemates!$C$14="",Housemates!$C$14&lt;=$B322),OR(Housemates!$D$14="",Housemates!$D$14&gt;=$B322)),IF($Q322=0,1,INDEX(Bills!$AG$6:$AG$25,$Q322)),0))))</f>
        <v/>
      </c>
      <c r="Z322">
        <f>IF(OR($D322="",$B322="",Housemates!$B$15=""),0,IF($R322&gt;0,IF(M322="",0,IF(ISNUMBER(M322),M322,1)),IF($C322="Paying back",0,IF(AND(OR(Housemates!$C$15="",Housemates!$C$15&lt;=$B322),OR(Housemates!$D$15="",Housemates!$D$15&gt;=$B322)),IF($Q322=0,1,INDEX(Bills!$AH$6:$AH$25,$Q322)),0))))</f>
        <v/>
      </c>
      <c r="AA322">
        <f>SUM(S322:Z322)</f>
        <v/>
      </c>
      <c r="AB322">
        <f>IF(AA322=0,0,D322*S322/AA322)</f>
        <v/>
      </c>
      <c r="AC322">
        <f>IF(AA322=0,0,D322*T322/AA322)</f>
        <v/>
      </c>
      <c r="AD322">
        <f>IF(AA322=0,0,D322*U322/AA322)</f>
        <v/>
      </c>
      <c r="AE322">
        <f>IF(AA322=0,0,D322*V322/AA322)</f>
        <v/>
      </c>
      <c r="AF322">
        <f>IF(AA322=0,0,D322*W322/AA322)</f>
        <v/>
      </c>
      <c r="AG322">
        <f>IF(AA322=0,0,D322*X322/AA322)</f>
        <v/>
      </c>
      <c r="AH322">
        <f>IF(AA322=0,0,D322*Y322/AA322)</f>
        <v/>
      </c>
      <c r="AI322">
        <f>IF(AA322=0,0,D322*Z322/AA322)</f>
        <v/>
      </c>
      <c r="AJ322">
        <f>IF(OR(C322="",B322=""),"",C322&amp;"|"&amp;(YEAR(B322)*100+MONTH(B322)))</f>
        <v/>
      </c>
    </row>
    <row r="323">
      <c r="A323" s="1" t="n"/>
      <c r="B323" s="23" t="n"/>
      <c r="C323" s="24" t="n"/>
      <c r="D323" s="25" t="n"/>
      <c r="E323" s="26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1">
        <f>IF(D323="","",IF(B323="","No date",IF(AND(C323="Paying back",R323=0),"To whom?",IF(AA323=0,"Nobody",IF(C323="Paying back","To "&amp;INDEX(Housemates!$B$8:$B$15,MATCH(MAX(S323:Z323),S323:Z323,0)),IF(R323&gt;0,IF(COUNTIF(S323:Z323,"&gt;0")=1,"1 person",COUNTIF(S323:Z323,"&gt;0")&amp;" people"),IF(Q323=0,"Everyone",INDEX(Bills!$Q$6:$Q$25,Q323))))))))</f>
        <v/>
      </c>
      <c r="O323" s="18">
        <f>IF(D323="","",IF(C323="Paying back","Paying back",IF(Q323=0,"Other",IF(INDEX(Bills!$C$6:$C$25,Q323)="","Other",INDEX(Bills!$C$6:$C$25,Q323)))))</f>
        <v/>
      </c>
      <c r="P323" s="1" t="n"/>
      <c r="Q323">
        <f>IF(C323="",0,IFERROR(MATCH(C323,Bills!$B$6:$B$25,0),0))</f>
        <v/>
      </c>
      <c r="R323">
        <f>COUNTA(F323:M323)</f>
        <v/>
      </c>
      <c r="S323">
        <f>IF(OR($D323="",$B323="",Housemates!$B$8=""),0,IF($R323&gt;0,IF(F323="",0,IF(ISNUMBER(F323),F323,1)),IF($C323="Paying back",0,IF(AND(OR(Housemates!$C$8="",Housemates!$C$8&lt;=$B323),OR(Housemates!$D$8="",Housemates!$D$8&gt;=$B323)),IF($Q323=0,1,INDEX(Bills!$AA$6:$AA$25,$Q323)),0))))</f>
        <v/>
      </c>
      <c r="T323">
        <f>IF(OR($D323="",$B323="",Housemates!$B$9=""),0,IF($R323&gt;0,IF(G323="",0,IF(ISNUMBER(G323),G323,1)),IF($C323="Paying back",0,IF(AND(OR(Housemates!$C$9="",Housemates!$C$9&lt;=$B323),OR(Housemates!$D$9="",Housemates!$D$9&gt;=$B323)),IF($Q323=0,1,INDEX(Bills!$AB$6:$AB$25,$Q323)),0))))</f>
        <v/>
      </c>
      <c r="U323">
        <f>IF(OR($D323="",$B323="",Housemates!$B$10=""),0,IF($R323&gt;0,IF(H323="",0,IF(ISNUMBER(H323),H323,1)),IF($C323="Paying back",0,IF(AND(OR(Housemates!$C$10="",Housemates!$C$10&lt;=$B323),OR(Housemates!$D$10="",Housemates!$D$10&gt;=$B323)),IF($Q323=0,1,INDEX(Bills!$AC$6:$AC$25,$Q323)),0))))</f>
        <v/>
      </c>
      <c r="V323">
        <f>IF(OR($D323="",$B323="",Housemates!$B$11=""),0,IF($R323&gt;0,IF(I323="",0,IF(ISNUMBER(I323),I323,1)),IF($C323="Paying back",0,IF(AND(OR(Housemates!$C$11="",Housemates!$C$11&lt;=$B323),OR(Housemates!$D$11="",Housemates!$D$11&gt;=$B323)),IF($Q323=0,1,INDEX(Bills!$AD$6:$AD$25,$Q323)),0))))</f>
        <v/>
      </c>
      <c r="W323">
        <f>IF(OR($D323="",$B323="",Housemates!$B$12=""),0,IF($R323&gt;0,IF(J323="",0,IF(ISNUMBER(J323),J323,1)),IF($C323="Paying back",0,IF(AND(OR(Housemates!$C$12="",Housemates!$C$12&lt;=$B323),OR(Housemates!$D$12="",Housemates!$D$12&gt;=$B323)),IF($Q323=0,1,INDEX(Bills!$AE$6:$AE$25,$Q323)),0))))</f>
        <v/>
      </c>
      <c r="X323">
        <f>IF(OR($D323="",$B323="",Housemates!$B$13=""),0,IF($R323&gt;0,IF(K323="",0,IF(ISNUMBER(K323),K323,1)),IF($C323="Paying back",0,IF(AND(OR(Housemates!$C$13="",Housemates!$C$13&lt;=$B323),OR(Housemates!$D$13="",Housemates!$D$13&gt;=$B323)),IF($Q323=0,1,INDEX(Bills!$AF$6:$AF$25,$Q323)),0))))</f>
        <v/>
      </c>
      <c r="Y323">
        <f>IF(OR($D323="",$B323="",Housemates!$B$14=""),0,IF($R323&gt;0,IF(L323="",0,IF(ISNUMBER(L323),L323,1)),IF($C323="Paying back",0,IF(AND(OR(Housemates!$C$14="",Housemates!$C$14&lt;=$B323),OR(Housemates!$D$14="",Housemates!$D$14&gt;=$B323)),IF($Q323=0,1,INDEX(Bills!$AG$6:$AG$25,$Q323)),0))))</f>
        <v/>
      </c>
      <c r="Z323">
        <f>IF(OR($D323="",$B323="",Housemates!$B$15=""),0,IF($R323&gt;0,IF(M323="",0,IF(ISNUMBER(M323),M323,1)),IF($C323="Paying back",0,IF(AND(OR(Housemates!$C$15="",Housemates!$C$15&lt;=$B323),OR(Housemates!$D$15="",Housemates!$D$15&gt;=$B323)),IF($Q323=0,1,INDEX(Bills!$AH$6:$AH$25,$Q323)),0))))</f>
        <v/>
      </c>
      <c r="AA323">
        <f>SUM(S323:Z323)</f>
        <v/>
      </c>
      <c r="AB323">
        <f>IF(AA323=0,0,D323*S323/AA323)</f>
        <v/>
      </c>
      <c r="AC323">
        <f>IF(AA323=0,0,D323*T323/AA323)</f>
        <v/>
      </c>
      <c r="AD323">
        <f>IF(AA323=0,0,D323*U323/AA323)</f>
        <v/>
      </c>
      <c r="AE323">
        <f>IF(AA323=0,0,D323*V323/AA323)</f>
        <v/>
      </c>
      <c r="AF323">
        <f>IF(AA323=0,0,D323*W323/AA323)</f>
        <v/>
      </c>
      <c r="AG323">
        <f>IF(AA323=0,0,D323*X323/AA323)</f>
        <v/>
      </c>
      <c r="AH323">
        <f>IF(AA323=0,0,D323*Y323/AA323)</f>
        <v/>
      </c>
      <c r="AI323">
        <f>IF(AA323=0,0,D323*Z323/AA323)</f>
        <v/>
      </c>
      <c r="AJ323">
        <f>IF(OR(C323="",B323=""),"",C323&amp;"|"&amp;(YEAR(B323)*100+MONTH(B323)))</f>
        <v/>
      </c>
    </row>
    <row r="324">
      <c r="A324" s="1" t="n"/>
      <c r="B324" s="23" t="n"/>
      <c r="C324" s="24" t="n"/>
      <c r="D324" s="25" t="n"/>
      <c r="E324" s="26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1">
        <f>IF(D324="","",IF(B324="","No date",IF(AND(C324="Paying back",R324=0),"To whom?",IF(AA324=0,"Nobody",IF(C324="Paying back","To "&amp;INDEX(Housemates!$B$8:$B$15,MATCH(MAX(S324:Z324),S324:Z324,0)),IF(R324&gt;0,IF(COUNTIF(S324:Z324,"&gt;0")=1,"1 person",COUNTIF(S324:Z324,"&gt;0")&amp;" people"),IF(Q324=0,"Everyone",INDEX(Bills!$Q$6:$Q$25,Q324))))))))</f>
        <v/>
      </c>
      <c r="O324" s="18">
        <f>IF(D324="","",IF(C324="Paying back","Paying back",IF(Q324=0,"Other",IF(INDEX(Bills!$C$6:$C$25,Q324)="","Other",INDEX(Bills!$C$6:$C$25,Q324)))))</f>
        <v/>
      </c>
      <c r="P324" s="1" t="n"/>
      <c r="Q324">
        <f>IF(C324="",0,IFERROR(MATCH(C324,Bills!$B$6:$B$25,0),0))</f>
        <v/>
      </c>
      <c r="R324">
        <f>COUNTA(F324:M324)</f>
        <v/>
      </c>
      <c r="S324">
        <f>IF(OR($D324="",$B324="",Housemates!$B$8=""),0,IF($R324&gt;0,IF(F324="",0,IF(ISNUMBER(F324),F324,1)),IF($C324="Paying back",0,IF(AND(OR(Housemates!$C$8="",Housemates!$C$8&lt;=$B324),OR(Housemates!$D$8="",Housemates!$D$8&gt;=$B324)),IF($Q324=0,1,INDEX(Bills!$AA$6:$AA$25,$Q324)),0))))</f>
        <v/>
      </c>
      <c r="T324">
        <f>IF(OR($D324="",$B324="",Housemates!$B$9=""),0,IF($R324&gt;0,IF(G324="",0,IF(ISNUMBER(G324),G324,1)),IF($C324="Paying back",0,IF(AND(OR(Housemates!$C$9="",Housemates!$C$9&lt;=$B324),OR(Housemates!$D$9="",Housemates!$D$9&gt;=$B324)),IF($Q324=0,1,INDEX(Bills!$AB$6:$AB$25,$Q324)),0))))</f>
        <v/>
      </c>
      <c r="U324">
        <f>IF(OR($D324="",$B324="",Housemates!$B$10=""),0,IF($R324&gt;0,IF(H324="",0,IF(ISNUMBER(H324),H324,1)),IF($C324="Paying back",0,IF(AND(OR(Housemates!$C$10="",Housemates!$C$10&lt;=$B324),OR(Housemates!$D$10="",Housemates!$D$10&gt;=$B324)),IF($Q324=0,1,INDEX(Bills!$AC$6:$AC$25,$Q324)),0))))</f>
        <v/>
      </c>
      <c r="V324">
        <f>IF(OR($D324="",$B324="",Housemates!$B$11=""),0,IF($R324&gt;0,IF(I324="",0,IF(ISNUMBER(I324),I324,1)),IF($C324="Paying back",0,IF(AND(OR(Housemates!$C$11="",Housemates!$C$11&lt;=$B324),OR(Housemates!$D$11="",Housemates!$D$11&gt;=$B324)),IF($Q324=0,1,INDEX(Bills!$AD$6:$AD$25,$Q324)),0))))</f>
        <v/>
      </c>
      <c r="W324">
        <f>IF(OR($D324="",$B324="",Housemates!$B$12=""),0,IF($R324&gt;0,IF(J324="",0,IF(ISNUMBER(J324),J324,1)),IF($C324="Paying back",0,IF(AND(OR(Housemates!$C$12="",Housemates!$C$12&lt;=$B324),OR(Housemates!$D$12="",Housemates!$D$12&gt;=$B324)),IF($Q324=0,1,INDEX(Bills!$AE$6:$AE$25,$Q324)),0))))</f>
        <v/>
      </c>
      <c r="X324">
        <f>IF(OR($D324="",$B324="",Housemates!$B$13=""),0,IF($R324&gt;0,IF(K324="",0,IF(ISNUMBER(K324),K324,1)),IF($C324="Paying back",0,IF(AND(OR(Housemates!$C$13="",Housemates!$C$13&lt;=$B324),OR(Housemates!$D$13="",Housemates!$D$13&gt;=$B324)),IF($Q324=0,1,INDEX(Bills!$AF$6:$AF$25,$Q324)),0))))</f>
        <v/>
      </c>
      <c r="Y324">
        <f>IF(OR($D324="",$B324="",Housemates!$B$14=""),0,IF($R324&gt;0,IF(L324="",0,IF(ISNUMBER(L324),L324,1)),IF($C324="Paying back",0,IF(AND(OR(Housemates!$C$14="",Housemates!$C$14&lt;=$B324),OR(Housemates!$D$14="",Housemates!$D$14&gt;=$B324)),IF($Q324=0,1,INDEX(Bills!$AG$6:$AG$25,$Q324)),0))))</f>
        <v/>
      </c>
      <c r="Z324">
        <f>IF(OR($D324="",$B324="",Housemates!$B$15=""),0,IF($R324&gt;0,IF(M324="",0,IF(ISNUMBER(M324),M324,1)),IF($C324="Paying back",0,IF(AND(OR(Housemates!$C$15="",Housemates!$C$15&lt;=$B324),OR(Housemates!$D$15="",Housemates!$D$15&gt;=$B324)),IF($Q324=0,1,INDEX(Bills!$AH$6:$AH$25,$Q324)),0))))</f>
        <v/>
      </c>
      <c r="AA324">
        <f>SUM(S324:Z324)</f>
        <v/>
      </c>
      <c r="AB324">
        <f>IF(AA324=0,0,D324*S324/AA324)</f>
        <v/>
      </c>
      <c r="AC324">
        <f>IF(AA324=0,0,D324*T324/AA324)</f>
        <v/>
      </c>
      <c r="AD324">
        <f>IF(AA324=0,0,D324*U324/AA324)</f>
        <v/>
      </c>
      <c r="AE324">
        <f>IF(AA324=0,0,D324*V324/AA324)</f>
        <v/>
      </c>
      <c r="AF324">
        <f>IF(AA324=0,0,D324*W324/AA324)</f>
        <v/>
      </c>
      <c r="AG324">
        <f>IF(AA324=0,0,D324*X324/AA324)</f>
        <v/>
      </c>
      <c r="AH324">
        <f>IF(AA324=0,0,D324*Y324/AA324)</f>
        <v/>
      </c>
      <c r="AI324">
        <f>IF(AA324=0,0,D324*Z324/AA324)</f>
        <v/>
      </c>
      <c r="AJ324">
        <f>IF(OR(C324="",B324=""),"",C324&amp;"|"&amp;(YEAR(B324)*100+MONTH(B324)))</f>
        <v/>
      </c>
    </row>
    <row r="325">
      <c r="A325" s="1" t="n"/>
      <c r="B325" s="23" t="n"/>
      <c r="C325" s="24" t="n"/>
      <c r="D325" s="25" t="n"/>
      <c r="E325" s="26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1">
        <f>IF(D325="","",IF(B325="","No date",IF(AND(C325="Paying back",R325=0),"To whom?",IF(AA325=0,"Nobody",IF(C325="Paying back","To "&amp;INDEX(Housemates!$B$8:$B$15,MATCH(MAX(S325:Z325),S325:Z325,0)),IF(R325&gt;0,IF(COUNTIF(S325:Z325,"&gt;0")=1,"1 person",COUNTIF(S325:Z325,"&gt;0")&amp;" people"),IF(Q325=0,"Everyone",INDEX(Bills!$Q$6:$Q$25,Q325))))))))</f>
        <v/>
      </c>
      <c r="O325" s="18">
        <f>IF(D325="","",IF(C325="Paying back","Paying back",IF(Q325=0,"Other",IF(INDEX(Bills!$C$6:$C$25,Q325)="","Other",INDEX(Bills!$C$6:$C$25,Q325)))))</f>
        <v/>
      </c>
      <c r="P325" s="1" t="n"/>
      <c r="Q325">
        <f>IF(C325="",0,IFERROR(MATCH(C325,Bills!$B$6:$B$25,0),0))</f>
        <v/>
      </c>
      <c r="R325">
        <f>COUNTA(F325:M325)</f>
        <v/>
      </c>
      <c r="S325">
        <f>IF(OR($D325="",$B325="",Housemates!$B$8=""),0,IF($R325&gt;0,IF(F325="",0,IF(ISNUMBER(F325),F325,1)),IF($C325="Paying back",0,IF(AND(OR(Housemates!$C$8="",Housemates!$C$8&lt;=$B325),OR(Housemates!$D$8="",Housemates!$D$8&gt;=$B325)),IF($Q325=0,1,INDEX(Bills!$AA$6:$AA$25,$Q325)),0))))</f>
        <v/>
      </c>
      <c r="T325">
        <f>IF(OR($D325="",$B325="",Housemates!$B$9=""),0,IF($R325&gt;0,IF(G325="",0,IF(ISNUMBER(G325),G325,1)),IF($C325="Paying back",0,IF(AND(OR(Housemates!$C$9="",Housemates!$C$9&lt;=$B325),OR(Housemates!$D$9="",Housemates!$D$9&gt;=$B325)),IF($Q325=0,1,INDEX(Bills!$AB$6:$AB$25,$Q325)),0))))</f>
        <v/>
      </c>
      <c r="U325">
        <f>IF(OR($D325="",$B325="",Housemates!$B$10=""),0,IF($R325&gt;0,IF(H325="",0,IF(ISNUMBER(H325),H325,1)),IF($C325="Paying back",0,IF(AND(OR(Housemates!$C$10="",Housemates!$C$10&lt;=$B325),OR(Housemates!$D$10="",Housemates!$D$10&gt;=$B325)),IF($Q325=0,1,INDEX(Bills!$AC$6:$AC$25,$Q325)),0))))</f>
        <v/>
      </c>
      <c r="V325">
        <f>IF(OR($D325="",$B325="",Housemates!$B$11=""),0,IF($R325&gt;0,IF(I325="",0,IF(ISNUMBER(I325),I325,1)),IF($C325="Paying back",0,IF(AND(OR(Housemates!$C$11="",Housemates!$C$11&lt;=$B325),OR(Housemates!$D$11="",Housemates!$D$11&gt;=$B325)),IF($Q325=0,1,INDEX(Bills!$AD$6:$AD$25,$Q325)),0))))</f>
        <v/>
      </c>
      <c r="W325">
        <f>IF(OR($D325="",$B325="",Housemates!$B$12=""),0,IF($R325&gt;0,IF(J325="",0,IF(ISNUMBER(J325),J325,1)),IF($C325="Paying back",0,IF(AND(OR(Housemates!$C$12="",Housemates!$C$12&lt;=$B325),OR(Housemates!$D$12="",Housemates!$D$12&gt;=$B325)),IF($Q325=0,1,INDEX(Bills!$AE$6:$AE$25,$Q325)),0))))</f>
        <v/>
      </c>
      <c r="X325">
        <f>IF(OR($D325="",$B325="",Housemates!$B$13=""),0,IF($R325&gt;0,IF(K325="",0,IF(ISNUMBER(K325),K325,1)),IF($C325="Paying back",0,IF(AND(OR(Housemates!$C$13="",Housemates!$C$13&lt;=$B325),OR(Housemates!$D$13="",Housemates!$D$13&gt;=$B325)),IF($Q325=0,1,INDEX(Bills!$AF$6:$AF$25,$Q325)),0))))</f>
        <v/>
      </c>
      <c r="Y325">
        <f>IF(OR($D325="",$B325="",Housemates!$B$14=""),0,IF($R325&gt;0,IF(L325="",0,IF(ISNUMBER(L325),L325,1)),IF($C325="Paying back",0,IF(AND(OR(Housemates!$C$14="",Housemates!$C$14&lt;=$B325),OR(Housemates!$D$14="",Housemates!$D$14&gt;=$B325)),IF($Q325=0,1,INDEX(Bills!$AG$6:$AG$25,$Q325)),0))))</f>
        <v/>
      </c>
      <c r="Z325">
        <f>IF(OR($D325="",$B325="",Housemates!$B$15=""),0,IF($R325&gt;0,IF(M325="",0,IF(ISNUMBER(M325),M325,1)),IF($C325="Paying back",0,IF(AND(OR(Housemates!$C$15="",Housemates!$C$15&lt;=$B325),OR(Housemates!$D$15="",Housemates!$D$15&gt;=$B325)),IF($Q325=0,1,INDEX(Bills!$AH$6:$AH$25,$Q325)),0))))</f>
        <v/>
      </c>
      <c r="AA325">
        <f>SUM(S325:Z325)</f>
        <v/>
      </c>
      <c r="AB325">
        <f>IF(AA325=0,0,D325*S325/AA325)</f>
        <v/>
      </c>
      <c r="AC325">
        <f>IF(AA325=0,0,D325*T325/AA325)</f>
        <v/>
      </c>
      <c r="AD325">
        <f>IF(AA325=0,0,D325*U325/AA325)</f>
        <v/>
      </c>
      <c r="AE325">
        <f>IF(AA325=0,0,D325*V325/AA325)</f>
        <v/>
      </c>
      <c r="AF325">
        <f>IF(AA325=0,0,D325*W325/AA325)</f>
        <v/>
      </c>
      <c r="AG325">
        <f>IF(AA325=0,0,D325*X325/AA325)</f>
        <v/>
      </c>
      <c r="AH325">
        <f>IF(AA325=0,0,D325*Y325/AA325)</f>
        <v/>
      </c>
      <c r="AI325">
        <f>IF(AA325=0,0,D325*Z325/AA325)</f>
        <v/>
      </c>
      <c r="AJ325">
        <f>IF(OR(C325="",B325=""),"",C325&amp;"|"&amp;(YEAR(B325)*100+MONTH(B325)))</f>
        <v/>
      </c>
    </row>
    <row r="326">
      <c r="A326" s="1" t="n"/>
      <c r="B326" s="23" t="n"/>
      <c r="C326" s="24" t="n"/>
      <c r="D326" s="25" t="n"/>
      <c r="E326" s="26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1">
        <f>IF(D326="","",IF(B326="","No date",IF(AND(C326="Paying back",R326=0),"To whom?",IF(AA326=0,"Nobody",IF(C326="Paying back","To "&amp;INDEX(Housemates!$B$8:$B$15,MATCH(MAX(S326:Z326),S326:Z326,0)),IF(R326&gt;0,IF(COUNTIF(S326:Z326,"&gt;0")=1,"1 person",COUNTIF(S326:Z326,"&gt;0")&amp;" people"),IF(Q326=0,"Everyone",INDEX(Bills!$Q$6:$Q$25,Q326))))))))</f>
        <v/>
      </c>
      <c r="O326" s="18">
        <f>IF(D326="","",IF(C326="Paying back","Paying back",IF(Q326=0,"Other",IF(INDEX(Bills!$C$6:$C$25,Q326)="","Other",INDEX(Bills!$C$6:$C$25,Q326)))))</f>
        <v/>
      </c>
      <c r="P326" s="1" t="n"/>
      <c r="Q326">
        <f>IF(C326="",0,IFERROR(MATCH(C326,Bills!$B$6:$B$25,0),0))</f>
        <v/>
      </c>
      <c r="R326">
        <f>COUNTA(F326:M326)</f>
        <v/>
      </c>
      <c r="S326">
        <f>IF(OR($D326="",$B326="",Housemates!$B$8=""),0,IF($R326&gt;0,IF(F326="",0,IF(ISNUMBER(F326),F326,1)),IF($C326="Paying back",0,IF(AND(OR(Housemates!$C$8="",Housemates!$C$8&lt;=$B326),OR(Housemates!$D$8="",Housemates!$D$8&gt;=$B326)),IF($Q326=0,1,INDEX(Bills!$AA$6:$AA$25,$Q326)),0))))</f>
        <v/>
      </c>
      <c r="T326">
        <f>IF(OR($D326="",$B326="",Housemates!$B$9=""),0,IF($R326&gt;0,IF(G326="",0,IF(ISNUMBER(G326),G326,1)),IF($C326="Paying back",0,IF(AND(OR(Housemates!$C$9="",Housemates!$C$9&lt;=$B326),OR(Housemates!$D$9="",Housemates!$D$9&gt;=$B326)),IF($Q326=0,1,INDEX(Bills!$AB$6:$AB$25,$Q326)),0))))</f>
        <v/>
      </c>
      <c r="U326">
        <f>IF(OR($D326="",$B326="",Housemates!$B$10=""),0,IF($R326&gt;0,IF(H326="",0,IF(ISNUMBER(H326),H326,1)),IF($C326="Paying back",0,IF(AND(OR(Housemates!$C$10="",Housemates!$C$10&lt;=$B326),OR(Housemates!$D$10="",Housemates!$D$10&gt;=$B326)),IF($Q326=0,1,INDEX(Bills!$AC$6:$AC$25,$Q326)),0))))</f>
        <v/>
      </c>
      <c r="V326">
        <f>IF(OR($D326="",$B326="",Housemates!$B$11=""),0,IF($R326&gt;0,IF(I326="",0,IF(ISNUMBER(I326),I326,1)),IF($C326="Paying back",0,IF(AND(OR(Housemates!$C$11="",Housemates!$C$11&lt;=$B326),OR(Housemates!$D$11="",Housemates!$D$11&gt;=$B326)),IF($Q326=0,1,INDEX(Bills!$AD$6:$AD$25,$Q326)),0))))</f>
        <v/>
      </c>
      <c r="W326">
        <f>IF(OR($D326="",$B326="",Housemates!$B$12=""),0,IF($R326&gt;0,IF(J326="",0,IF(ISNUMBER(J326),J326,1)),IF($C326="Paying back",0,IF(AND(OR(Housemates!$C$12="",Housemates!$C$12&lt;=$B326),OR(Housemates!$D$12="",Housemates!$D$12&gt;=$B326)),IF($Q326=0,1,INDEX(Bills!$AE$6:$AE$25,$Q326)),0))))</f>
        <v/>
      </c>
      <c r="X326">
        <f>IF(OR($D326="",$B326="",Housemates!$B$13=""),0,IF($R326&gt;0,IF(K326="",0,IF(ISNUMBER(K326),K326,1)),IF($C326="Paying back",0,IF(AND(OR(Housemates!$C$13="",Housemates!$C$13&lt;=$B326),OR(Housemates!$D$13="",Housemates!$D$13&gt;=$B326)),IF($Q326=0,1,INDEX(Bills!$AF$6:$AF$25,$Q326)),0))))</f>
        <v/>
      </c>
      <c r="Y326">
        <f>IF(OR($D326="",$B326="",Housemates!$B$14=""),0,IF($R326&gt;0,IF(L326="",0,IF(ISNUMBER(L326),L326,1)),IF($C326="Paying back",0,IF(AND(OR(Housemates!$C$14="",Housemates!$C$14&lt;=$B326),OR(Housemates!$D$14="",Housemates!$D$14&gt;=$B326)),IF($Q326=0,1,INDEX(Bills!$AG$6:$AG$25,$Q326)),0))))</f>
        <v/>
      </c>
      <c r="Z326">
        <f>IF(OR($D326="",$B326="",Housemates!$B$15=""),0,IF($R326&gt;0,IF(M326="",0,IF(ISNUMBER(M326),M326,1)),IF($C326="Paying back",0,IF(AND(OR(Housemates!$C$15="",Housemates!$C$15&lt;=$B326),OR(Housemates!$D$15="",Housemates!$D$15&gt;=$B326)),IF($Q326=0,1,INDEX(Bills!$AH$6:$AH$25,$Q326)),0))))</f>
        <v/>
      </c>
      <c r="AA326">
        <f>SUM(S326:Z326)</f>
        <v/>
      </c>
      <c r="AB326">
        <f>IF(AA326=0,0,D326*S326/AA326)</f>
        <v/>
      </c>
      <c r="AC326">
        <f>IF(AA326=0,0,D326*T326/AA326)</f>
        <v/>
      </c>
      <c r="AD326">
        <f>IF(AA326=0,0,D326*U326/AA326)</f>
        <v/>
      </c>
      <c r="AE326">
        <f>IF(AA326=0,0,D326*V326/AA326)</f>
        <v/>
      </c>
      <c r="AF326">
        <f>IF(AA326=0,0,D326*W326/AA326)</f>
        <v/>
      </c>
      <c r="AG326">
        <f>IF(AA326=0,0,D326*X326/AA326)</f>
        <v/>
      </c>
      <c r="AH326">
        <f>IF(AA326=0,0,D326*Y326/AA326)</f>
        <v/>
      </c>
      <c r="AI326">
        <f>IF(AA326=0,0,D326*Z326/AA326)</f>
        <v/>
      </c>
      <c r="AJ326">
        <f>IF(OR(C326="",B326=""),"",C326&amp;"|"&amp;(YEAR(B326)*100+MONTH(B326)))</f>
        <v/>
      </c>
    </row>
    <row r="327">
      <c r="A327" s="1" t="n"/>
      <c r="B327" s="23" t="n"/>
      <c r="C327" s="24" t="n"/>
      <c r="D327" s="25" t="n"/>
      <c r="E327" s="26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1">
        <f>IF(D327="","",IF(B327="","No date",IF(AND(C327="Paying back",R327=0),"To whom?",IF(AA327=0,"Nobody",IF(C327="Paying back","To "&amp;INDEX(Housemates!$B$8:$B$15,MATCH(MAX(S327:Z327),S327:Z327,0)),IF(R327&gt;0,IF(COUNTIF(S327:Z327,"&gt;0")=1,"1 person",COUNTIF(S327:Z327,"&gt;0")&amp;" people"),IF(Q327=0,"Everyone",INDEX(Bills!$Q$6:$Q$25,Q327))))))))</f>
        <v/>
      </c>
      <c r="O327" s="18">
        <f>IF(D327="","",IF(C327="Paying back","Paying back",IF(Q327=0,"Other",IF(INDEX(Bills!$C$6:$C$25,Q327)="","Other",INDEX(Bills!$C$6:$C$25,Q327)))))</f>
        <v/>
      </c>
      <c r="P327" s="1" t="n"/>
      <c r="Q327">
        <f>IF(C327="",0,IFERROR(MATCH(C327,Bills!$B$6:$B$25,0),0))</f>
        <v/>
      </c>
      <c r="R327">
        <f>COUNTA(F327:M327)</f>
        <v/>
      </c>
      <c r="S327">
        <f>IF(OR($D327="",$B327="",Housemates!$B$8=""),0,IF($R327&gt;0,IF(F327="",0,IF(ISNUMBER(F327),F327,1)),IF($C327="Paying back",0,IF(AND(OR(Housemates!$C$8="",Housemates!$C$8&lt;=$B327),OR(Housemates!$D$8="",Housemates!$D$8&gt;=$B327)),IF($Q327=0,1,INDEX(Bills!$AA$6:$AA$25,$Q327)),0))))</f>
        <v/>
      </c>
      <c r="T327">
        <f>IF(OR($D327="",$B327="",Housemates!$B$9=""),0,IF($R327&gt;0,IF(G327="",0,IF(ISNUMBER(G327),G327,1)),IF($C327="Paying back",0,IF(AND(OR(Housemates!$C$9="",Housemates!$C$9&lt;=$B327),OR(Housemates!$D$9="",Housemates!$D$9&gt;=$B327)),IF($Q327=0,1,INDEX(Bills!$AB$6:$AB$25,$Q327)),0))))</f>
        <v/>
      </c>
      <c r="U327">
        <f>IF(OR($D327="",$B327="",Housemates!$B$10=""),0,IF($R327&gt;0,IF(H327="",0,IF(ISNUMBER(H327),H327,1)),IF($C327="Paying back",0,IF(AND(OR(Housemates!$C$10="",Housemates!$C$10&lt;=$B327),OR(Housemates!$D$10="",Housemates!$D$10&gt;=$B327)),IF($Q327=0,1,INDEX(Bills!$AC$6:$AC$25,$Q327)),0))))</f>
        <v/>
      </c>
      <c r="V327">
        <f>IF(OR($D327="",$B327="",Housemates!$B$11=""),0,IF($R327&gt;0,IF(I327="",0,IF(ISNUMBER(I327),I327,1)),IF($C327="Paying back",0,IF(AND(OR(Housemates!$C$11="",Housemates!$C$11&lt;=$B327),OR(Housemates!$D$11="",Housemates!$D$11&gt;=$B327)),IF($Q327=0,1,INDEX(Bills!$AD$6:$AD$25,$Q327)),0))))</f>
        <v/>
      </c>
      <c r="W327">
        <f>IF(OR($D327="",$B327="",Housemates!$B$12=""),0,IF($R327&gt;0,IF(J327="",0,IF(ISNUMBER(J327),J327,1)),IF($C327="Paying back",0,IF(AND(OR(Housemates!$C$12="",Housemates!$C$12&lt;=$B327),OR(Housemates!$D$12="",Housemates!$D$12&gt;=$B327)),IF($Q327=0,1,INDEX(Bills!$AE$6:$AE$25,$Q327)),0))))</f>
        <v/>
      </c>
      <c r="X327">
        <f>IF(OR($D327="",$B327="",Housemates!$B$13=""),0,IF($R327&gt;0,IF(K327="",0,IF(ISNUMBER(K327),K327,1)),IF($C327="Paying back",0,IF(AND(OR(Housemates!$C$13="",Housemates!$C$13&lt;=$B327),OR(Housemates!$D$13="",Housemates!$D$13&gt;=$B327)),IF($Q327=0,1,INDEX(Bills!$AF$6:$AF$25,$Q327)),0))))</f>
        <v/>
      </c>
      <c r="Y327">
        <f>IF(OR($D327="",$B327="",Housemates!$B$14=""),0,IF($R327&gt;0,IF(L327="",0,IF(ISNUMBER(L327),L327,1)),IF($C327="Paying back",0,IF(AND(OR(Housemates!$C$14="",Housemates!$C$14&lt;=$B327),OR(Housemates!$D$14="",Housemates!$D$14&gt;=$B327)),IF($Q327=0,1,INDEX(Bills!$AG$6:$AG$25,$Q327)),0))))</f>
        <v/>
      </c>
      <c r="Z327">
        <f>IF(OR($D327="",$B327="",Housemates!$B$15=""),0,IF($R327&gt;0,IF(M327="",0,IF(ISNUMBER(M327),M327,1)),IF($C327="Paying back",0,IF(AND(OR(Housemates!$C$15="",Housemates!$C$15&lt;=$B327),OR(Housemates!$D$15="",Housemates!$D$15&gt;=$B327)),IF($Q327=0,1,INDEX(Bills!$AH$6:$AH$25,$Q327)),0))))</f>
        <v/>
      </c>
      <c r="AA327">
        <f>SUM(S327:Z327)</f>
        <v/>
      </c>
      <c r="AB327">
        <f>IF(AA327=0,0,D327*S327/AA327)</f>
        <v/>
      </c>
      <c r="AC327">
        <f>IF(AA327=0,0,D327*T327/AA327)</f>
        <v/>
      </c>
      <c r="AD327">
        <f>IF(AA327=0,0,D327*U327/AA327)</f>
        <v/>
      </c>
      <c r="AE327">
        <f>IF(AA327=0,0,D327*V327/AA327)</f>
        <v/>
      </c>
      <c r="AF327">
        <f>IF(AA327=0,0,D327*W327/AA327)</f>
        <v/>
      </c>
      <c r="AG327">
        <f>IF(AA327=0,0,D327*X327/AA327)</f>
        <v/>
      </c>
      <c r="AH327">
        <f>IF(AA327=0,0,D327*Y327/AA327)</f>
        <v/>
      </c>
      <c r="AI327">
        <f>IF(AA327=0,0,D327*Z327/AA327)</f>
        <v/>
      </c>
      <c r="AJ327">
        <f>IF(OR(C327="",B327=""),"",C327&amp;"|"&amp;(YEAR(B327)*100+MONTH(B327)))</f>
        <v/>
      </c>
    </row>
    <row r="328">
      <c r="A328" s="1" t="n"/>
      <c r="B328" s="23" t="n"/>
      <c r="C328" s="24" t="n"/>
      <c r="D328" s="25" t="n"/>
      <c r="E328" s="26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1">
        <f>IF(D328="","",IF(B328="","No date",IF(AND(C328="Paying back",R328=0),"To whom?",IF(AA328=0,"Nobody",IF(C328="Paying back","To "&amp;INDEX(Housemates!$B$8:$B$15,MATCH(MAX(S328:Z328),S328:Z328,0)),IF(R328&gt;0,IF(COUNTIF(S328:Z328,"&gt;0")=1,"1 person",COUNTIF(S328:Z328,"&gt;0")&amp;" people"),IF(Q328=0,"Everyone",INDEX(Bills!$Q$6:$Q$25,Q328))))))))</f>
        <v/>
      </c>
      <c r="O328" s="18">
        <f>IF(D328="","",IF(C328="Paying back","Paying back",IF(Q328=0,"Other",IF(INDEX(Bills!$C$6:$C$25,Q328)="","Other",INDEX(Bills!$C$6:$C$25,Q328)))))</f>
        <v/>
      </c>
      <c r="P328" s="1" t="n"/>
      <c r="Q328">
        <f>IF(C328="",0,IFERROR(MATCH(C328,Bills!$B$6:$B$25,0),0))</f>
        <v/>
      </c>
      <c r="R328">
        <f>COUNTA(F328:M328)</f>
        <v/>
      </c>
      <c r="S328">
        <f>IF(OR($D328="",$B328="",Housemates!$B$8=""),0,IF($R328&gt;0,IF(F328="",0,IF(ISNUMBER(F328),F328,1)),IF($C328="Paying back",0,IF(AND(OR(Housemates!$C$8="",Housemates!$C$8&lt;=$B328),OR(Housemates!$D$8="",Housemates!$D$8&gt;=$B328)),IF($Q328=0,1,INDEX(Bills!$AA$6:$AA$25,$Q328)),0))))</f>
        <v/>
      </c>
      <c r="T328">
        <f>IF(OR($D328="",$B328="",Housemates!$B$9=""),0,IF($R328&gt;0,IF(G328="",0,IF(ISNUMBER(G328),G328,1)),IF($C328="Paying back",0,IF(AND(OR(Housemates!$C$9="",Housemates!$C$9&lt;=$B328),OR(Housemates!$D$9="",Housemates!$D$9&gt;=$B328)),IF($Q328=0,1,INDEX(Bills!$AB$6:$AB$25,$Q328)),0))))</f>
        <v/>
      </c>
      <c r="U328">
        <f>IF(OR($D328="",$B328="",Housemates!$B$10=""),0,IF($R328&gt;0,IF(H328="",0,IF(ISNUMBER(H328),H328,1)),IF($C328="Paying back",0,IF(AND(OR(Housemates!$C$10="",Housemates!$C$10&lt;=$B328),OR(Housemates!$D$10="",Housemates!$D$10&gt;=$B328)),IF($Q328=0,1,INDEX(Bills!$AC$6:$AC$25,$Q328)),0))))</f>
        <v/>
      </c>
      <c r="V328">
        <f>IF(OR($D328="",$B328="",Housemates!$B$11=""),0,IF($R328&gt;0,IF(I328="",0,IF(ISNUMBER(I328),I328,1)),IF($C328="Paying back",0,IF(AND(OR(Housemates!$C$11="",Housemates!$C$11&lt;=$B328),OR(Housemates!$D$11="",Housemates!$D$11&gt;=$B328)),IF($Q328=0,1,INDEX(Bills!$AD$6:$AD$25,$Q328)),0))))</f>
        <v/>
      </c>
      <c r="W328">
        <f>IF(OR($D328="",$B328="",Housemates!$B$12=""),0,IF($R328&gt;0,IF(J328="",0,IF(ISNUMBER(J328),J328,1)),IF($C328="Paying back",0,IF(AND(OR(Housemates!$C$12="",Housemates!$C$12&lt;=$B328),OR(Housemates!$D$12="",Housemates!$D$12&gt;=$B328)),IF($Q328=0,1,INDEX(Bills!$AE$6:$AE$25,$Q328)),0))))</f>
        <v/>
      </c>
      <c r="X328">
        <f>IF(OR($D328="",$B328="",Housemates!$B$13=""),0,IF($R328&gt;0,IF(K328="",0,IF(ISNUMBER(K328),K328,1)),IF($C328="Paying back",0,IF(AND(OR(Housemates!$C$13="",Housemates!$C$13&lt;=$B328),OR(Housemates!$D$13="",Housemates!$D$13&gt;=$B328)),IF($Q328=0,1,INDEX(Bills!$AF$6:$AF$25,$Q328)),0))))</f>
        <v/>
      </c>
      <c r="Y328">
        <f>IF(OR($D328="",$B328="",Housemates!$B$14=""),0,IF($R328&gt;0,IF(L328="",0,IF(ISNUMBER(L328),L328,1)),IF($C328="Paying back",0,IF(AND(OR(Housemates!$C$14="",Housemates!$C$14&lt;=$B328),OR(Housemates!$D$14="",Housemates!$D$14&gt;=$B328)),IF($Q328=0,1,INDEX(Bills!$AG$6:$AG$25,$Q328)),0))))</f>
        <v/>
      </c>
      <c r="Z328">
        <f>IF(OR($D328="",$B328="",Housemates!$B$15=""),0,IF($R328&gt;0,IF(M328="",0,IF(ISNUMBER(M328),M328,1)),IF($C328="Paying back",0,IF(AND(OR(Housemates!$C$15="",Housemates!$C$15&lt;=$B328),OR(Housemates!$D$15="",Housemates!$D$15&gt;=$B328)),IF($Q328=0,1,INDEX(Bills!$AH$6:$AH$25,$Q328)),0))))</f>
        <v/>
      </c>
      <c r="AA328">
        <f>SUM(S328:Z328)</f>
        <v/>
      </c>
      <c r="AB328">
        <f>IF(AA328=0,0,D328*S328/AA328)</f>
        <v/>
      </c>
      <c r="AC328">
        <f>IF(AA328=0,0,D328*T328/AA328)</f>
        <v/>
      </c>
      <c r="AD328">
        <f>IF(AA328=0,0,D328*U328/AA328)</f>
        <v/>
      </c>
      <c r="AE328">
        <f>IF(AA328=0,0,D328*V328/AA328)</f>
        <v/>
      </c>
      <c r="AF328">
        <f>IF(AA328=0,0,D328*W328/AA328)</f>
        <v/>
      </c>
      <c r="AG328">
        <f>IF(AA328=0,0,D328*X328/AA328)</f>
        <v/>
      </c>
      <c r="AH328">
        <f>IF(AA328=0,0,D328*Y328/AA328)</f>
        <v/>
      </c>
      <c r="AI328">
        <f>IF(AA328=0,0,D328*Z328/AA328)</f>
        <v/>
      </c>
      <c r="AJ328">
        <f>IF(OR(C328="",B328=""),"",C328&amp;"|"&amp;(YEAR(B328)*100+MONTH(B328)))</f>
        <v/>
      </c>
    </row>
    <row r="329">
      <c r="A329" s="1" t="n"/>
      <c r="B329" s="23" t="n"/>
      <c r="C329" s="24" t="n"/>
      <c r="D329" s="25" t="n"/>
      <c r="E329" s="26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1">
        <f>IF(D329="","",IF(B329="","No date",IF(AND(C329="Paying back",R329=0),"To whom?",IF(AA329=0,"Nobody",IF(C329="Paying back","To "&amp;INDEX(Housemates!$B$8:$B$15,MATCH(MAX(S329:Z329),S329:Z329,0)),IF(R329&gt;0,IF(COUNTIF(S329:Z329,"&gt;0")=1,"1 person",COUNTIF(S329:Z329,"&gt;0")&amp;" people"),IF(Q329=0,"Everyone",INDEX(Bills!$Q$6:$Q$25,Q329))))))))</f>
        <v/>
      </c>
      <c r="O329" s="18">
        <f>IF(D329="","",IF(C329="Paying back","Paying back",IF(Q329=0,"Other",IF(INDEX(Bills!$C$6:$C$25,Q329)="","Other",INDEX(Bills!$C$6:$C$25,Q329)))))</f>
        <v/>
      </c>
      <c r="P329" s="1" t="n"/>
      <c r="Q329">
        <f>IF(C329="",0,IFERROR(MATCH(C329,Bills!$B$6:$B$25,0),0))</f>
        <v/>
      </c>
      <c r="R329">
        <f>COUNTA(F329:M329)</f>
        <v/>
      </c>
      <c r="S329">
        <f>IF(OR($D329="",$B329="",Housemates!$B$8=""),0,IF($R329&gt;0,IF(F329="",0,IF(ISNUMBER(F329),F329,1)),IF($C329="Paying back",0,IF(AND(OR(Housemates!$C$8="",Housemates!$C$8&lt;=$B329),OR(Housemates!$D$8="",Housemates!$D$8&gt;=$B329)),IF($Q329=0,1,INDEX(Bills!$AA$6:$AA$25,$Q329)),0))))</f>
        <v/>
      </c>
      <c r="T329">
        <f>IF(OR($D329="",$B329="",Housemates!$B$9=""),0,IF($R329&gt;0,IF(G329="",0,IF(ISNUMBER(G329),G329,1)),IF($C329="Paying back",0,IF(AND(OR(Housemates!$C$9="",Housemates!$C$9&lt;=$B329),OR(Housemates!$D$9="",Housemates!$D$9&gt;=$B329)),IF($Q329=0,1,INDEX(Bills!$AB$6:$AB$25,$Q329)),0))))</f>
        <v/>
      </c>
      <c r="U329">
        <f>IF(OR($D329="",$B329="",Housemates!$B$10=""),0,IF($R329&gt;0,IF(H329="",0,IF(ISNUMBER(H329),H329,1)),IF($C329="Paying back",0,IF(AND(OR(Housemates!$C$10="",Housemates!$C$10&lt;=$B329),OR(Housemates!$D$10="",Housemates!$D$10&gt;=$B329)),IF($Q329=0,1,INDEX(Bills!$AC$6:$AC$25,$Q329)),0))))</f>
        <v/>
      </c>
      <c r="V329">
        <f>IF(OR($D329="",$B329="",Housemates!$B$11=""),0,IF($R329&gt;0,IF(I329="",0,IF(ISNUMBER(I329),I329,1)),IF($C329="Paying back",0,IF(AND(OR(Housemates!$C$11="",Housemates!$C$11&lt;=$B329),OR(Housemates!$D$11="",Housemates!$D$11&gt;=$B329)),IF($Q329=0,1,INDEX(Bills!$AD$6:$AD$25,$Q329)),0))))</f>
        <v/>
      </c>
      <c r="W329">
        <f>IF(OR($D329="",$B329="",Housemates!$B$12=""),0,IF($R329&gt;0,IF(J329="",0,IF(ISNUMBER(J329),J329,1)),IF($C329="Paying back",0,IF(AND(OR(Housemates!$C$12="",Housemates!$C$12&lt;=$B329),OR(Housemates!$D$12="",Housemates!$D$12&gt;=$B329)),IF($Q329=0,1,INDEX(Bills!$AE$6:$AE$25,$Q329)),0))))</f>
        <v/>
      </c>
      <c r="X329">
        <f>IF(OR($D329="",$B329="",Housemates!$B$13=""),0,IF($R329&gt;0,IF(K329="",0,IF(ISNUMBER(K329),K329,1)),IF($C329="Paying back",0,IF(AND(OR(Housemates!$C$13="",Housemates!$C$13&lt;=$B329),OR(Housemates!$D$13="",Housemates!$D$13&gt;=$B329)),IF($Q329=0,1,INDEX(Bills!$AF$6:$AF$25,$Q329)),0))))</f>
        <v/>
      </c>
      <c r="Y329">
        <f>IF(OR($D329="",$B329="",Housemates!$B$14=""),0,IF($R329&gt;0,IF(L329="",0,IF(ISNUMBER(L329),L329,1)),IF($C329="Paying back",0,IF(AND(OR(Housemates!$C$14="",Housemates!$C$14&lt;=$B329),OR(Housemates!$D$14="",Housemates!$D$14&gt;=$B329)),IF($Q329=0,1,INDEX(Bills!$AG$6:$AG$25,$Q329)),0))))</f>
        <v/>
      </c>
      <c r="Z329">
        <f>IF(OR($D329="",$B329="",Housemates!$B$15=""),0,IF($R329&gt;0,IF(M329="",0,IF(ISNUMBER(M329),M329,1)),IF($C329="Paying back",0,IF(AND(OR(Housemates!$C$15="",Housemates!$C$15&lt;=$B329),OR(Housemates!$D$15="",Housemates!$D$15&gt;=$B329)),IF($Q329=0,1,INDEX(Bills!$AH$6:$AH$25,$Q329)),0))))</f>
        <v/>
      </c>
      <c r="AA329">
        <f>SUM(S329:Z329)</f>
        <v/>
      </c>
      <c r="AB329">
        <f>IF(AA329=0,0,D329*S329/AA329)</f>
        <v/>
      </c>
      <c r="AC329">
        <f>IF(AA329=0,0,D329*T329/AA329)</f>
        <v/>
      </c>
      <c r="AD329">
        <f>IF(AA329=0,0,D329*U329/AA329)</f>
        <v/>
      </c>
      <c r="AE329">
        <f>IF(AA329=0,0,D329*V329/AA329)</f>
        <v/>
      </c>
      <c r="AF329">
        <f>IF(AA329=0,0,D329*W329/AA329)</f>
        <v/>
      </c>
      <c r="AG329">
        <f>IF(AA329=0,0,D329*X329/AA329)</f>
        <v/>
      </c>
      <c r="AH329">
        <f>IF(AA329=0,0,D329*Y329/AA329)</f>
        <v/>
      </c>
      <c r="AI329">
        <f>IF(AA329=0,0,D329*Z329/AA329)</f>
        <v/>
      </c>
      <c r="AJ329">
        <f>IF(OR(C329="",B329=""),"",C329&amp;"|"&amp;(YEAR(B329)*100+MONTH(B329)))</f>
        <v/>
      </c>
    </row>
    <row r="330">
      <c r="A330" s="1" t="n"/>
      <c r="B330" s="23" t="n"/>
      <c r="C330" s="24" t="n"/>
      <c r="D330" s="25" t="n"/>
      <c r="E330" s="26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1">
        <f>IF(D330="","",IF(B330="","No date",IF(AND(C330="Paying back",R330=0),"To whom?",IF(AA330=0,"Nobody",IF(C330="Paying back","To "&amp;INDEX(Housemates!$B$8:$B$15,MATCH(MAX(S330:Z330),S330:Z330,0)),IF(R330&gt;0,IF(COUNTIF(S330:Z330,"&gt;0")=1,"1 person",COUNTIF(S330:Z330,"&gt;0")&amp;" people"),IF(Q330=0,"Everyone",INDEX(Bills!$Q$6:$Q$25,Q330))))))))</f>
        <v/>
      </c>
      <c r="O330" s="18">
        <f>IF(D330="","",IF(C330="Paying back","Paying back",IF(Q330=0,"Other",IF(INDEX(Bills!$C$6:$C$25,Q330)="","Other",INDEX(Bills!$C$6:$C$25,Q330)))))</f>
        <v/>
      </c>
      <c r="P330" s="1" t="n"/>
      <c r="Q330">
        <f>IF(C330="",0,IFERROR(MATCH(C330,Bills!$B$6:$B$25,0),0))</f>
        <v/>
      </c>
      <c r="R330">
        <f>COUNTA(F330:M330)</f>
        <v/>
      </c>
      <c r="S330">
        <f>IF(OR($D330="",$B330="",Housemates!$B$8=""),0,IF($R330&gt;0,IF(F330="",0,IF(ISNUMBER(F330),F330,1)),IF($C330="Paying back",0,IF(AND(OR(Housemates!$C$8="",Housemates!$C$8&lt;=$B330),OR(Housemates!$D$8="",Housemates!$D$8&gt;=$B330)),IF($Q330=0,1,INDEX(Bills!$AA$6:$AA$25,$Q330)),0))))</f>
        <v/>
      </c>
      <c r="T330">
        <f>IF(OR($D330="",$B330="",Housemates!$B$9=""),0,IF($R330&gt;0,IF(G330="",0,IF(ISNUMBER(G330),G330,1)),IF($C330="Paying back",0,IF(AND(OR(Housemates!$C$9="",Housemates!$C$9&lt;=$B330),OR(Housemates!$D$9="",Housemates!$D$9&gt;=$B330)),IF($Q330=0,1,INDEX(Bills!$AB$6:$AB$25,$Q330)),0))))</f>
        <v/>
      </c>
      <c r="U330">
        <f>IF(OR($D330="",$B330="",Housemates!$B$10=""),0,IF($R330&gt;0,IF(H330="",0,IF(ISNUMBER(H330),H330,1)),IF($C330="Paying back",0,IF(AND(OR(Housemates!$C$10="",Housemates!$C$10&lt;=$B330),OR(Housemates!$D$10="",Housemates!$D$10&gt;=$B330)),IF($Q330=0,1,INDEX(Bills!$AC$6:$AC$25,$Q330)),0))))</f>
        <v/>
      </c>
      <c r="V330">
        <f>IF(OR($D330="",$B330="",Housemates!$B$11=""),0,IF($R330&gt;0,IF(I330="",0,IF(ISNUMBER(I330),I330,1)),IF($C330="Paying back",0,IF(AND(OR(Housemates!$C$11="",Housemates!$C$11&lt;=$B330),OR(Housemates!$D$11="",Housemates!$D$11&gt;=$B330)),IF($Q330=0,1,INDEX(Bills!$AD$6:$AD$25,$Q330)),0))))</f>
        <v/>
      </c>
      <c r="W330">
        <f>IF(OR($D330="",$B330="",Housemates!$B$12=""),0,IF($R330&gt;0,IF(J330="",0,IF(ISNUMBER(J330),J330,1)),IF($C330="Paying back",0,IF(AND(OR(Housemates!$C$12="",Housemates!$C$12&lt;=$B330),OR(Housemates!$D$12="",Housemates!$D$12&gt;=$B330)),IF($Q330=0,1,INDEX(Bills!$AE$6:$AE$25,$Q330)),0))))</f>
        <v/>
      </c>
      <c r="X330">
        <f>IF(OR($D330="",$B330="",Housemates!$B$13=""),0,IF($R330&gt;0,IF(K330="",0,IF(ISNUMBER(K330),K330,1)),IF($C330="Paying back",0,IF(AND(OR(Housemates!$C$13="",Housemates!$C$13&lt;=$B330),OR(Housemates!$D$13="",Housemates!$D$13&gt;=$B330)),IF($Q330=0,1,INDEX(Bills!$AF$6:$AF$25,$Q330)),0))))</f>
        <v/>
      </c>
      <c r="Y330">
        <f>IF(OR($D330="",$B330="",Housemates!$B$14=""),0,IF($R330&gt;0,IF(L330="",0,IF(ISNUMBER(L330),L330,1)),IF($C330="Paying back",0,IF(AND(OR(Housemates!$C$14="",Housemates!$C$14&lt;=$B330),OR(Housemates!$D$14="",Housemates!$D$14&gt;=$B330)),IF($Q330=0,1,INDEX(Bills!$AG$6:$AG$25,$Q330)),0))))</f>
        <v/>
      </c>
      <c r="Z330">
        <f>IF(OR($D330="",$B330="",Housemates!$B$15=""),0,IF($R330&gt;0,IF(M330="",0,IF(ISNUMBER(M330),M330,1)),IF($C330="Paying back",0,IF(AND(OR(Housemates!$C$15="",Housemates!$C$15&lt;=$B330),OR(Housemates!$D$15="",Housemates!$D$15&gt;=$B330)),IF($Q330=0,1,INDEX(Bills!$AH$6:$AH$25,$Q330)),0))))</f>
        <v/>
      </c>
      <c r="AA330">
        <f>SUM(S330:Z330)</f>
        <v/>
      </c>
      <c r="AB330">
        <f>IF(AA330=0,0,D330*S330/AA330)</f>
        <v/>
      </c>
      <c r="AC330">
        <f>IF(AA330=0,0,D330*T330/AA330)</f>
        <v/>
      </c>
      <c r="AD330">
        <f>IF(AA330=0,0,D330*U330/AA330)</f>
        <v/>
      </c>
      <c r="AE330">
        <f>IF(AA330=0,0,D330*V330/AA330)</f>
        <v/>
      </c>
      <c r="AF330">
        <f>IF(AA330=0,0,D330*W330/AA330)</f>
        <v/>
      </c>
      <c r="AG330">
        <f>IF(AA330=0,0,D330*X330/AA330)</f>
        <v/>
      </c>
      <c r="AH330">
        <f>IF(AA330=0,0,D330*Y330/AA330)</f>
        <v/>
      </c>
      <c r="AI330">
        <f>IF(AA330=0,0,D330*Z330/AA330)</f>
        <v/>
      </c>
      <c r="AJ330">
        <f>IF(OR(C330="",B330=""),"",C330&amp;"|"&amp;(YEAR(B330)*100+MONTH(B330)))</f>
        <v/>
      </c>
    </row>
    <row r="331">
      <c r="A331" s="1" t="n"/>
      <c r="B331" s="23" t="n"/>
      <c r="C331" s="24" t="n"/>
      <c r="D331" s="25" t="n"/>
      <c r="E331" s="26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1">
        <f>IF(D331="","",IF(B331="","No date",IF(AND(C331="Paying back",R331=0),"To whom?",IF(AA331=0,"Nobody",IF(C331="Paying back","To "&amp;INDEX(Housemates!$B$8:$B$15,MATCH(MAX(S331:Z331),S331:Z331,0)),IF(R331&gt;0,IF(COUNTIF(S331:Z331,"&gt;0")=1,"1 person",COUNTIF(S331:Z331,"&gt;0")&amp;" people"),IF(Q331=0,"Everyone",INDEX(Bills!$Q$6:$Q$25,Q331))))))))</f>
        <v/>
      </c>
      <c r="O331" s="18">
        <f>IF(D331="","",IF(C331="Paying back","Paying back",IF(Q331=0,"Other",IF(INDEX(Bills!$C$6:$C$25,Q331)="","Other",INDEX(Bills!$C$6:$C$25,Q331)))))</f>
        <v/>
      </c>
      <c r="P331" s="1" t="n"/>
      <c r="Q331">
        <f>IF(C331="",0,IFERROR(MATCH(C331,Bills!$B$6:$B$25,0),0))</f>
        <v/>
      </c>
      <c r="R331">
        <f>COUNTA(F331:M331)</f>
        <v/>
      </c>
      <c r="S331">
        <f>IF(OR($D331="",$B331="",Housemates!$B$8=""),0,IF($R331&gt;0,IF(F331="",0,IF(ISNUMBER(F331),F331,1)),IF($C331="Paying back",0,IF(AND(OR(Housemates!$C$8="",Housemates!$C$8&lt;=$B331),OR(Housemates!$D$8="",Housemates!$D$8&gt;=$B331)),IF($Q331=0,1,INDEX(Bills!$AA$6:$AA$25,$Q331)),0))))</f>
        <v/>
      </c>
      <c r="T331">
        <f>IF(OR($D331="",$B331="",Housemates!$B$9=""),0,IF($R331&gt;0,IF(G331="",0,IF(ISNUMBER(G331),G331,1)),IF($C331="Paying back",0,IF(AND(OR(Housemates!$C$9="",Housemates!$C$9&lt;=$B331),OR(Housemates!$D$9="",Housemates!$D$9&gt;=$B331)),IF($Q331=0,1,INDEX(Bills!$AB$6:$AB$25,$Q331)),0))))</f>
        <v/>
      </c>
      <c r="U331">
        <f>IF(OR($D331="",$B331="",Housemates!$B$10=""),0,IF($R331&gt;0,IF(H331="",0,IF(ISNUMBER(H331),H331,1)),IF($C331="Paying back",0,IF(AND(OR(Housemates!$C$10="",Housemates!$C$10&lt;=$B331),OR(Housemates!$D$10="",Housemates!$D$10&gt;=$B331)),IF($Q331=0,1,INDEX(Bills!$AC$6:$AC$25,$Q331)),0))))</f>
        <v/>
      </c>
      <c r="V331">
        <f>IF(OR($D331="",$B331="",Housemates!$B$11=""),0,IF($R331&gt;0,IF(I331="",0,IF(ISNUMBER(I331),I331,1)),IF($C331="Paying back",0,IF(AND(OR(Housemates!$C$11="",Housemates!$C$11&lt;=$B331),OR(Housemates!$D$11="",Housemates!$D$11&gt;=$B331)),IF($Q331=0,1,INDEX(Bills!$AD$6:$AD$25,$Q331)),0))))</f>
        <v/>
      </c>
      <c r="W331">
        <f>IF(OR($D331="",$B331="",Housemates!$B$12=""),0,IF($R331&gt;0,IF(J331="",0,IF(ISNUMBER(J331),J331,1)),IF($C331="Paying back",0,IF(AND(OR(Housemates!$C$12="",Housemates!$C$12&lt;=$B331),OR(Housemates!$D$12="",Housemates!$D$12&gt;=$B331)),IF($Q331=0,1,INDEX(Bills!$AE$6:$AE$25,$Q331)),0))))</f>
        <v/>
      </c>
      <c r="X331">
        <f>IF(OR($D331="",$B331="",Housemates!$B$13=""),0,IF($R331&gt;0,IF(K331="",0,IF(ISNUMBER(K331),K331,1)),IF($C331="Paying back",0,IF(AND(OR(Housemates!$C$13="",Housemates!$C$13&lt;=$B331),OR(Housemates!$D$13="",Housemates!$D$13&gt;=$B331)),IF($Q331=0,1,INDEX(Bills!$AF$6:$AF$25,$Q331)),0))))</f>
        <v/>
      </c>
      <c r="Y331">
        <f>IF(OR($D331="",$B331="",Housemates!$B$14=""),0,IF($R331&gt;0,IF(L331="",0,IF(ISNUMBER(L331),L331,1)),IF($C331="Paying back",0,IF(AND(OR(Housemates!$C$14="",Housemates!$C$14&lt;=$B331),OR(Housemates!$D$14="",Housemates!$D$14&gt;=$B331)),IF($Q331=0,1,INDEX(Bills!$AG$6:$AG$25,$Q331)),0))))</f>
        <v/>
      </c>
      <c r="Z331">
        <f>IF(OR($D331="",$B331="",Housemates!$B$15=""),0,IF($R331&gt;0,IF(M331="",0,IF(ISNUMBER(M331),M331,1)),IF($C331="Paying back",0,IF(AND(OR(Housemates!$C$15="",Housemates!$C$15&lt;=$B331),OR(Housemates!$D$15="",Housemates!$D$15&gt;=$B331)),IF($Q331=0,1,INDEX(Bills!$AH$6:$AH$25,$Q331)),0))))</f>
        <v/>
      </c>
      <c r="AA331">
        <f>SUM(S331:Z331)</f>
        <v/>
      </c>
      <c r="AB331">
        <f>IF(AA331=0,0,D331*S331/AA331)</f>
        <v/>
      </c>
      <c r="AC331">
        <f>IF(AA331=0,0,D331*T331/AA331)</f>
        <v/>
      </c>
      <c r="AD331">
        <f>IF(AA331=0,0,D331*U331/AA331)</f>
        <v/>
      </c>
      <c r="AE331">
        <f>IF(AA331=0,0,D331*V331/AA331)</f>
        <v/>
      </c>
      <c r="AF331">
        <f>IF(AA331=0,0,D331*W331/AA331)</f>
        <v/>
      </c>
      <c r="AG331">
        <f>IF(AA331=0,0,D331*X331/AA331)</f>
        <v/>
      </c>
      <c r="AH331">
        <f>IF(AA331=0,0,D331*Y331/AA331)</f>
        <v/>
      </c>
      <c r="AI331">
        <f>IF(AA331=0,0,D331*Z331/AA331)</f>
        <v/>
      </c>
      <c r="AJ331">
        <f>IF(OR(C331="",B331=""),"",C331&amp;"|"&amp;(YEAR(B331)*100+MONTH(B331)))</f>
        <v/>
      </c>
    </row>
    <row r="332">
      <c r="A332" s="1" t="n"/>
      <c r="B332" s="23" t="n"/>
      <c r="C332" s="24" t="n"/>
      <c r="D332" s="25" t="n"/>
      <c r="E332" s="26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1">
        <f>IF(D332="","",IF(B332="","No date",IF(AND(C332="Paying back",R332=0),"To whom?",IF(AA332=0,"Nobody",IF(C332="Paying back","To "&amp;INDEX(Housemates!$B$8:$B$15,MATCH(MAX(S332:Z332),S332:Z332,0)),IF(R332&gt;0,IF(COUNTIF(S332:Z332,"&gt;0")=1,"1 person",COUNTIF(S332:Z332,"&gt;0")&amp;" people"),IF(Q332=0,"Everyone",INDEX(Bills!$Q$6:$Q$25,Q332))))))))</f>
        <v/>
      </c>
      <c r="O332" s="18">
        <f>IF(D332="","",IF(C332="Paying back","Paying back",IF(Q332=0,"Other",IF(INDEX(Bills!$C$6:$C$25,Q332)="","Other",INDEX(Bills!$C$6:$C$25,Q332)))))</f>
        <v/>
      </c>
      <c r="P332" s="1" t="n"/>
      <c r="Q332">
        <f>IF(C332="",0,IFERROR(MATCH(C332,Bills!$B$6:$B$25,0),0))</f>
        <v/>
      </c>
      <c r="R332">
        <f>COUNTA(F332:M332)</f>
        <v/>
      </c>
      <c r="S332">
        <f>IF(OR($D332="",$B332="",Housemates!$B$8=""),0,IF($R332&gt;0,IF(F332="",0,IF(ISNUMBER(F332),F332,1)),IF($C332="Paying back",0,IF(AND(OR(Housemates!$C$8="",Housemates!$C$8&lt;=$B332),OR(Housemates!$D$8="",Housemates!$D$8&gt;=$B332)),IF($Q332=0,1,INDEX(Bills!$AA$6:$AA$25,$Q332)),0))))</f>
        <v/>
      </c>
      <c r="T332">
        <f>IF(OR($D332="",$B332="",Housemates!$B$9=""),0,IF($R332&gt;0,IF(G332="",0,IF(ISNUMBER(G332),G332,1)),IF($C332="Paying back",0,IF(AND(OR(Housemates!$C$9="",Housemates!$C$9&lt;=$B332),OR(Housemates!$D$9="",Housemates!$D$9&gt;=$B332)),IF($Q332=0,1,INDEX(Bills!$AB$6:$AB$25,$Q332)),0))))</f>
        <v/>
      </c>
      <c r="U332">
        <f>IF(OR($D332="",$B332="",Housemates!$B$10=""),0,IF($R332&gt;0,IF(H332="",0,IF(ISNUMBER(H332),H332,1)),IF($C332="Paying back",0,IF(AND(OR(Housemates!$C$10="",Housemates!$C$10&lt;=$B332),OR(Housemates!$D$10="",Housemates!$D$10&gt;=$B332)),IF($Q332=0,1,INDEX(Bills!$AC$6:$AC$25,$Q332)),0))))</f>
        <v/>
      </c>
      <c r="V332">
        <f>IF(OR($D332="",$B332="",Housemates!$B$11=""),0,IF($R332&gt;0,IF(I332="",0,IF(ISNUMBER(I332),I332,1)),IF($C332="Paying back",0,IF(AND(OR(Housemates!$C$11="",Housemates!$C$11&lt;=$B332),OR(Housemates!$D$11="",Housemates!$D$11&gt;=$B332)),IF($Q332=0,1,INDEX(Bills!$AD$6:$AD$25,$Q332)),0))))</f>
        <v/>
      </c>
      <c r="W332">
        <f>IF(OR($D332="",$B332="",Housemates!$B$12=""),0,IF($R332&gt;0,IF(J332="",0,IF(ISNUMBER(J332),J332,1)),IF($C332="Paying back",0,IF(AND(OR(Housemates!$C$12="",Housemates!$C$12&lt;=$B332),OR(Housemates!$D$12="",Housemates!$D$12&gt;=$B332)),IF($Q332=0,1,INDEX(Bills!$AE$6:$AE$25,$Q332)),0))))</f>
        <v/>
      </c>
      <c r="X332">
        <f>IF(OR($D332="",$B332="",Housemates!$B$13=""),0,IF($R332&gt;0,IF(K332="",0,IF(ISNUMBER(K332),K332,1)),IF($C332="Paying back",0,IF(AND(OR(Housemates!$C$13="",Housemates!$C$13&lt;=$B332),OR(Housemates!$D$13="",Housemates!$D$13&gt;=$B332)),IF($Q332=0,1,INDEX(Bills!$AF$6:$AF$25,$Q332)),0))))</f>
        <v/>
      </c>
      <c r="Y332">
        <f>IF(OR($D332="",$B332="",Housemates!$B$14=""),0,IF($R332&gt;0,IF(L332="",0,IF(ISNUMBER(L332),L332,1)),IF($C332="Paying back",0,IF(AND(OR(Housemates!$C$14="",Housemates!$C$14&lt;=$B332),OR(Housemates!$D$14="",Housemates!$D$14&gt;=$B332)),IF($Q332=0,1,INDEX(Bills!$AG$6:$AG$25,$Q332)),0))))</f>
        <v/>
      </c>
      <c r="Z332">
        <f>IF(OR($D332="",$B332="",Housemates!$B$15=""),0,IF($R332&gt;0,IF(M332="",0,IF(ISNUMBER(M332),M332,1)),IF($C332="Paying back",0,IF(AND(OR(Housemates!$C$15="",Housemates!$C$15&lt;=$B332),OR(Housemates!$D$15="",Housemates!$D$15&gt;=$B332)),IF($Q332=0,1,INDEX(Bills!$AH$6:$AH$25,$Q332)),0))))</f>
        <v/>
      </c>
      <c r="AA332">
        <f>SUM(S332:Z332)</f>
        <v/>
      </c>
      <c r="AB332">
        <f>IF(AA332=0,0,D332*S332/AA332)</f>
        <v/>
      </c>
      <c r="AC332">
        <f>IF(AA332=0,0,D332*T332/AA332)</f>
        <v/>
      </c>
      <c r="AD332">
        <f>IF(AA332=0,0,D332*U332/AA332)</f>
        <v/>
      </c>
      <c r="AE332">
        <f>IF(AA332=0,0,D332*V332/AA332)</f>
        <v/>
      </c>
      <c r="AF332">
        <f>IF(AA332=0,0,D332*W332/AA332)</f>
        <v/>
      </c>
      <c r="AG332">
        <f>IF(AA332=0,0,D332*X332/AA332)</f>
        <v/>
      </c>
      <c r="AH332">
        <f>IF(AA332=0,0,D332*Y332/AA332)</f>
        <v/>
      </c>
      <c r="AI332">
        <f>IF(AA332=0,0,D332*Z332/AA332)</f>
        <v/>
      </c>
      <c r="AJ332">
        <f>IF(OR(C332="",B332=""),"",C332&amp;"|"&amp;(YEAR(B332)*100+MONTH(B332)))</f>
        <v/>
      </c>
    </row>
    <row r="333">
      <c r="A333" s="1" t="n"/>
      <c r="B333" s="23" t="n"/>
      <c r="C333" s="24" t="n"/>
      <c r="D333" s="25" t="n"/>
      <c r="E333" s="26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1">
        <f>IF(D333="","",IF(B333="","No date",IF(AND(C333="Paying back",R333=0),"To whom?",IF(AA333=0,"Nobody",IF(C333="Paying back","To "&amp;INDEX(Housemates!$B$8:$B$15,MATCH(MAX(S333:Z333),S333:Z333,0)),IF(R333&gt;0,IF(COUNTIF(S333:Z333,"&gt;0")=1,"1 person",COUNTIF(S333:Z333,"&gt;0")&amp;" people"),IF(Q333=0,"Everyone",INDEX(Bills!$Q$6:$Q$25,Q333))))))))</f>
        <v/>
      </c>
      <c r="O333" s="18">
        <f>IF(D333="","",IF(C333="Paying back","Paying back",IF(Q333=0,"Other",IF(INDEX(Bills!$C$6:$C$25,Q333)="","Other",INDEX(Bills!$C$6:$C$25,Q333)))))</f>
        <v/>
      </c>
      <c r="P333" s="1" t="n"/>
      <c r="Q333">
        <f>IF(C333="",0,IFERROR(MATCH(C333,Bills!$B$6:$B$25,0),0))</f>
        <v/>
      </c>
      <c r="R333">
        <f>COUNTA(F333:M333)</f>
        <v/>
      </c>
      <c r="S333">
        <f>IF(OR($D333="",$B333="",Housemates!$B$8=""),0,IF($R333&gt;0,IF(F333="",0,IF(ISNUMBER(F333),F333,1)),IF($C333="Paying back",0,IF(AND(OR(Housemates!$C$8="",Housemates!$C$8&lt;=$B333),OR(Housemates!$D$8="",Housemates!$D$8&gt;=$B333)),IF($Q333=0,1,INDEX(Bills!$AA$6:$AA$25,$Q333)),0))))</f>
        <v/>
      </c>
      <c r="T333">
        <f>IF(OR($D333="",$B333="",Housemates!$B$9=""),0,IF($R333&gt;0,IF(G333="",0,IF(ISNUMBER(G333),G333,1)),IF($C333="Paying back",0,IF(AND(OR(Housemates!$C$9="",Housemates!$C$9&lt;=$B333),OR(Housemates!$D$9="",Housemates!$D$9&gt;=$B333)),IF($Q333=0,1,INDEX(Bills!$AB$6:$AB$25,$Q333)),0))))</f>
        <v/>
      </c>
      <c r="U333">
        <f>IF(OR($D333="",$B333="",Housemates!$B$10=""),0,IF($R333&gt;0,IF(H333="",0,IF(ISNUMBER(H333),H333,1)),IF($C333="Paying back",0,IF(AND(OR(Housemates!$C$10="",Housemates!$C$10&lt;=$B333),OR(Housemates!$D$10="",Housemates!$D$10&gt;=$B333)),IF($Q333=0,1,INDEX(Bills!$AC$6:$AC$25,$Q333)),0))))</f>
        <v/>
      </c>
      <c r="V333">
        <f>IF(OR($D333="",$B333="",Housemates!$B$11=""),0,IF($R333&gt;0,IF(I333="",0,IF(ISNUMBER(I333),I333,1)),IF($C333="Paying back",0,IF(AND(OR(Housemates!$C$11="",Housemates!$C$11&lt;=$B333),OR(Housemates!$D$11="",Housemates!$D$11&gt;=$B333)),IF($Q333=0,1,INDEX(Bills!$AD$6:$AD$25,$Q333)),0))))</f>
        <v/>
      </c>
      <c r="W333">
        <f>IF(OR($D333="",$B333="",Housemates!$B$12=""),0,IF($R333&gt;0,IF(J333="",0,IF(ISNUMBER(J333),J333,1)),IF($C333="Paying back",0,IF(AND(OR(Housemates!$C$12="",Housemates!$C$12&lt;=$B333),OR(Housemates!$D$12="",Housemates!$D$12&gt;=$B333)),IF($Q333=0,1,INDEX(Bills!$AE$6:$AE$25,$Q333)),0))))</f>
        <v/>
      </c>
      <c r="X333">
        <f>IF(OR($D333="",$B333="",Housemates!$B$13=""),0,IF($R333&gt;0,IF(K333="",0,IF(ISNUMBER(K333),K333,1)),IF($C333="Paying back",0,IF(AND(OR(Housemates!$C$13="",Housemates!$C$13&lt;=$B333),OR(Housemates!$D$13="",Housemates!$D$13&gt;=$B333)),IF($Q333=0,1,INDEX(Bills!$AF$6:$AF$25,$Q333)),0))))</f>
        <v/>
      </c>
      <c r="Y333">
        <f>IF(OR($D333="",$B333="",Housemates!$B$14=""),0,IF($R333&gt;0,IF(L333="",0,IF(ISNUMBER(L333),L333,1)),IF($C333="Paying back",0,IF(AND(OR(Housemates!$C$14="",Housemates!$C$14&lt;=$B333),OR(Housemates!$D$14="",Housemates!$D$14&gt;=$B333)),IF($Q333=0,1,INDEX(Bills!$AG$6:$AG$25,$Q333)),0))))</f>
        <v/>
      </c>
      <c r="Z333">
        <f>IF(OR($D333="",$B333="",Housemates!$B$15=""),0,IF($R333&gt;0,IF(M333="",0,IF(ISNUMBER(M333),M333,1)),IF($C333="Paying back",0,IF(AND(OR(Housemates!$C$15="",Housemates!$C$15&lt;=$B333),OR(Housemates!$D$15="",Housemates!$D$15&gt;=$B333)),IF($Q333=0,1,INDEX(Bills!$AH$6:$AH$25,$Q333)),0))))</f>
        <v/>
      </c>
      <c r="AA333">
        <f>SUM(S333:Z333)</f>
        <v/>
      </c>
      <c r="AB333">
        <f>IF(AA333=0,0,D333*S333/AA333)</f>
        <v/>
      </c>
      <c r="AC333">
        <f>IF(AA333=0,0,D333*T333/AA333)</f>
        <v/>
      </c>
      <c r="AD333">
        <f>IF(AA333=0,0,D333*U333/AA333)</f>
        <v/>
      </c>
      <c r="AE333">
        <f>IF(AA333=0,0,D333*V333/AA333)</f>
        <v/>
      </c>
      <c r="AF333">
        <f>IF(AA333=0,0,D333*W333/AA333)</f>
        <v/>
      </c>
      <c r="AG333">
        <f>IF(AA333=0,0,D333*X333/AA333)</f>
        <v/>
      </c>
      <c r="AH333">
        <f>IF(AA333=0,0,D333*Y333/AA333)</f>
        <v/>
      </c>
      <c r="AI333">
        <f>IF(AA333=0,0,D333*Z333/AA333)</f>
        <v/>
      </c>
      <c r="AJ333">
        <f>IF(OR(C333="",B333=""),"",C333&amp;"|"&amp;(YEAR(B333)*100+MONTH(B333)))</f>
        <v/>
      </c>
    </row>
    <row r="334">
      <c r="A334" s="1" t="n"/>
      <c r="B334" s="23" t="n"/>
      <c r="C334" s="24" t="n"/>
      <c r="D334" s="25" t="n"/>
      <c r="E334" s="26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1">
        <f>IF(D334="","",IF(B334="","No date",IF(AND(C334="Paying back",R334=0),"To whom?",IF(AA334=0,"Nobody",IF(C334="Paying back","To "&amp;INDEX(Housemates!$B$8:$B$15,MATCH(MAX(S334:Z334),S334:Z334,0)),IF(R334&gt;0,IF(COUNTIF(S334:Z334,"&gt;0")=1,"1 person",COUNTIF(S334:Z334,"&gt;0")&amp;" people"),IF(Q334=0,"Everyone",INDEX(Bills!$Q$6:$Q$25,Q334))))))))</f>
        <v/>
      </c>
      <c r="O334" s="18">
        <f>IF(D334="","",IF(C334="Paying back","Paying back",IF(Q334=0,"Other",IF(INDEX(Bills!$C$6:$C$25,Q334)="","Other",INDEX(Bills!$C$6:$C$25,Q334)))))</f>
        <v/>
      </c>
      <c r="P334" s="1" t="n"/>
      <c r="Q334">
        <f>IF(C334="",0,IFERROR(MATCH(C334,Bills!$B$6:$B$25,0),0))</f>
        <v/>
      </c>
      <c r="R334">
        <f>COUNTA(F334:M334)</f>
        <v/>
      </c>
      <c r="S334">
        <f>IF(OR($D334="",$B334="",Housemates!$B$8=""),0,IF($R334&gt;0,IF(F334="",0,IF(ISNUMBER(F334),F334,1)),IF($C334="Paying back",0,IF(AND(OR(Housemates!$C$8="",Housemates!$C$8&lt;=$B334),OR(Housemates!$D$8="",Housemates!$D$8&gt;=$B334)),IF($Q334=0,1,INDEX(Bills!$AA$6:$AA$25,$Q334)),0))))</f>
        <v/>
      </c>
      <c r="T334">
        <f>IF(OR($D334="",$B334="",Housemates!$B$9=""),0,IF($R334&gt;0,IF(G334="",0,IF(ISNUMBER(G334),G334,1)),IF($C334="Paying back",0,IF(AND(OR(Housemates!$C$9="",Housemates!$C$9&lt;=$B334),OR(Housemates!$D$9="",Housemates!$D$9&gt;=$B334)),IF($Q334=0,1,INDEX(Bills!$AB$6:$AB$25,$Q334)),0))))</f>
        <v/>
      </c>
      <c r="U334">
        <f>IF(OR($D334="",$B334="",Housemates!$B$10=""),0,IF($R334&gt;0,IF(H334="",0,IF(ISNUMBER(H334),H334,1)),IF($C334="Paying back",0,IF(AND(OR(Housemates!$C$10="",Housemates!$C$10&lt;=$B334),OR(Housemates!$D$10="",Housemates!$D$10&gt;=$B334)),IF($Q334=0,1,INDEX(Bills!$AC$6:$AC$25,$Q334)),0))))</f>
        <v/>
      </c>
      <c r="V334">
        <f>IF(OR($D334="",$B334="",Housemates!$B$11=""),0,IF($R334&gt;0,IF(I334="",0,IF(ISNUMBER(I334),I334,1)),IF($C334="Paying back",0,IF(AND(OR(Housemates!$C$11="",Housemates!$C$11&lt;=$B334),OR(Housemates!$D$11="",Housemates!$D$11&gt;=$B334)),IF($Q334=0,1,INDEX(Bills!$AD$6:$AD$25,$Q334)),0))))</f>
        <v/>
      </c>
      <c r="W334">
        <f>IF(OR($D334="",$B334="",Housemates!$B$12=""),0,IF($R334&gt;0,IF(J334="",0,IF(ISNUMBER(J334),J334,1)),IF($C334="Paying back",0,IF(AND(OR(Housemates!$C$12="",Housemates!$C$12&lt;=$B334),OR(Housemates!$D$12="",Housemates!$D$12&gt;=$B334)),IF($Q334=0,1,INDEX(Bills!$AE$6:$AE$25,$Q334)),0))))</f>
        <v/>
      </c>
      <c r="X334">
        <f>IF(OR($D334="",$B334="",Housemates!$B$13=""),0,IF($R334&gt;0,IF(K334="",0,IF(ISNUMBER(K334),K334,1)),IF($C334="Paying back",0,IF(AND(OR(Housemates!$C$13="",Housemates!$C$13&lt;=$B334),OR(Housemates!$D$13="",Housemates!$D$13&gt;=$B334)),IF($Q334=0,1,INDEX(Bills!$AF$6:$AF$25,$Q334)),0))))</f>
        <v/>
      </c>
      <c r="Y334">
        <f>IF(OR($D334="",$B334="",Housemates!$B$14=""),0,IF($R334&gt;0,IF(L334="",0,IF(ISNUMBER(L334),L334,1)),IF($C334="Paying back",0,IF(AND(OR(Housemates!$C$14="",Housemates!$C$14&lt;=$B334),OR(Housemates!$D$14="",Housemates!$D$14&gt;=$B334)),IF($Q334=0,1,INDEX(Bills!$AG$6:$AG$25,$Q334)),0))))</f>
        <v/>
      </c>
      <c r="Z334">
        <f>IF(OR($D334="",$B334="",Housemates!$B$15=""),0,IF($R334&gt;0,IF(M334="",0,IF(ISNUMBER(M334),M334,1)),IF($C334="Paying back",0,IF(AND(OR(Housemates!$C$15="",Housemates!$C$15&lt;=$B334),OR(Housemates!$D$15="",Housemates!$D$15&gt;=$B334)),IF($Q334=0,1,INDEX(Bills!$AH$6:$AH$25,$Q334)),0))))</f>
        <v/>
      </c>
      <c r="AA334">
        <f>SUM(S334:Z334)</f>
        <v/>
      </c>
      <c r="AB334">
        <f>IF(AA334=0,0,D334*S334/AA334)</f>
        <v/>
      </c>
      <c r="AC334">
        <f>IF(AA334=0,0,D334*T334/AA334)</f>
        <v/>
      </c>
      <c r="AD334">
        <f>IF(AA334=0,0,D334*U334/AA334)</f>
        <v/>
      </c>
      <c r="AE334">
        <f>IF(AA334=0,0,D334*V334/AA334)</f>
        <v/>
      </c>
      <c r="AF334">
        <f>IF(AA334=0,0,D334*W334/AA334)</f>
        <v/>
      </c>
      <c r="AG334">
        <f>IF(AA334=0,0,D334*X334/AA334)</f>
        <v/>
      </c>
      <c r="AH334">
        <f>IF(AA334=0,0,D334*Y334/AA334)</f>
        <v/>
      </c>
      <c r="AI334">
        <f>IF(AA334=0,0,D334*Z334/AA334)</f>
        <v/>
      </c>
      <c r="AJ334">
        <f>IF(OR(C334="",B334=""),"",C334&amp;"|"&amp;(YEAR(B334)*100+MONTH(B334)))</f>
        <v/>
      </c>
    </row>
    <row r="335">
      <c r="A335" s="1" t="n"/>
      <c r="B335" s="23" t="n"/>
      <c r="C335" s="24" t="n"/>
      <c r="D335" s="25" t="n"/>
      <c r="E335" s="26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1">
        <f>IF(D335="","",IF(B335="","No date",IF(AND(C335="Paying back",R335=0),"To whom?",IF(AA335=0,"Nobody",IF(C335="Paying back","To "&amp;INDEX(Housemates!$B$8:$B$15,MATCH(MAX(S335:Z335),S335:Z335,0)),IF(R335&gt;0,IF(COUNTIF(S335:Z335,"&gt;0")=1,"1 person",COUNTIF(S335:Z335,"&gt;0")&amp;" people"),IF(Q335=0,"Everyone",INDEX(Bills!$Q$6:$Q$25,Q335))))))))</f>
        <v/>
      </c>
      <c r="O335" s="18">
        <f>IF(D335="","",IF(C335="Paying back","Paying back",IF(Q335=0,"Other",IF(INDEX(Bills!$C$6:$C$25,Q335)="","Other",INDEX(Bills!$C$6:$C$25,Q335)))))</f>
        <v/>
      </c>
      <c r="P335" s="1" t="n"/>
      <c r="Q335">
        <f>IF(C335="",0,IFERROR(MATCH(C335,Bills!$B$6:$B$25,0),0))</f>
        <v/>
      </c>
      <c r="R335">
        <f>COUNTA(F335:M335)</f>
        <v/>
      </c>
      <c r="S335">
        <f>IF(OR($D335="",$B335="",Housemates!$B$8=""),0,IF($R335&gt;0,IF(F335="",0,IF(ISNUMBER(F335),F335,1)),IF($C335="Paying back",0,IF(AND(OR(Housemates!$C$8="",Housemates!$C$8&lt;=$B335),OR(Housemates!$D$8="",Housemates!$D$8&gt;=$B335)),IF($Q335=0,1,INDEX(Bills!$AA$6:$AA$25,$Q335)),0))))</f>
        <v/>
      </c>
      <c r="T335">
        <f>IF(OR($D335="",$B335="",Housemates!$B$9=""),0,IF($R335&gt;0,IF(G335="",0,IF(ISNUMBER(G335),G335,1)),IF($C335="Paying back",0,IF(AND(OR(Housemates!$C$9="",Housemates!$C$9&lt;=$B335),OR(Housemates!$D$9="",Housemates!$D$9&gt;=$B335)),IF($Q335=0,1,INDEX(Bills!$AB$6:$AB$25,$Q335)),0))))</f>
        <v/>
      </c>
      <c r="U335">
        <f>IF(OR($D335="",$B335="",Housemates!$B$10=""),0,IF($R335&gt;0,IF(H335="",0,IF(ISNUMBER(H335),H335,1)),IF($C335="Paying back",0,IF(AND(OR(Housemates!$C$10="",Housemates!$C$10&lt;=$B335),OR(Housemates!$D$10="",Housemates!$D$10&gt;=$B335)),IF($Q335=0,1,INDEX(Bills!$AC$6:$AC$25,$Q335)),0))))</f>
        <v/>
      </c>
      <c r="V335">
        <f>IF(OR($D335="",$B335="",Housemates!$B$11=""),0,IF($R335&gt;0,IF(I335="",0,IF(ISNUMBER(I335),I335,1)),IF($C335="Paying back",0,IF(AND(OR(Housemates!$C$11="",Housemates!$C$11&lt;=$B335),OR(Housemates!$D$11="",Housemates!$D$11&gt;=$B335)),IF($Q335=0,1,INDEX(Bills!$AD$6:$AD$25,$Q335)),0))))</f>
        <v/>
      </c>
      <c r="W335">
        <f>IF(OR($D335="",$B335="",Housemates!$B$12=""),0,IF($R335&gt;0,IF(J335="",0,IF(ISNUMBER(J335),J335,1)),IF($C335="Paying back",0,IF(AND(OR(Housemates!$C$12="",Housemates!$C$12&lt;=$B335),OR(Housemates!$D$12="",Housemates!$D$12&gt;=$B335)),IF($Q335=0,1,INDEX(Bills!$AE$6:$AE$25,$Q335)),0))))</f>
        <v/>
      </c>
      <c r="X335">
        <f>IF(OR($D335="",$B335="",Housemates!$B$13=""),0,IF($R335&gt;0,IF(K335="",0,IF(ISNUMBER(K335),K335,1)),IF($C335="Paying back",0,IF(AND(OR(Housemates!$C$13="",Housemates!$C$13&lt;=$B335),OR(Housemates!$D$13="",Housemates!$D$13&gt;=$B335)),IF($Q335=0,1,INDEX(Bills!$AF$6:$AF$25,$Q335)),0))))</f>
        <v/>
      </c>
      <c r="Y335">
        <f>IF(OR($D335="",$B335="",Housemates!$B$14=""),0,IF($R335&gt;0,IF(L335="",0,IF(ISNUMBER(L335),L335,1)),IF($C335="Paying back",0,IF(AND(OR(Housemates!$C$14="",Housemates!$C$14&lt;=$B335),OR(Housemates!$D$14="",Housemates!$D$14&gt;=$B335)),IF($Q335=0,1,INDEX(Bills!$AG$6:$AG$25,$Q335)),0))))</f>
        <v/>
      </c>
      <c r="Z335">
        <f>IF(OR($D335="",$B335="",Housemates!$B$15=""),0,IF($R335&gt;0,IF(M335="",0,IF(ISNUMBER(M335),M335,1)),IF($C335="Paying back",0,IF(AND(OR(Housemates!$C$15="",Housemates!$C$15&lt;=$B335),OR(Housemates!$D$15="",Housemates!$D$15&gt;=$B335)),IF($Q335=0,1,INDEX(Bills!$AH$6:$AH$25,$Q335)),0))))</f>
        <v/>
      </c>
      <c r="AA335">
        <f>SUM(S335:Z335)</f>
        <v/>
      </c>
      <c r="AB335">
        <f>IF(AA335=0,0,D335*S335/AA335)</f>
        <v/>
      </c>
      <c r="AC335">
        <f>IF(AA335=0,0,D335*T335/AA335)</f>
        <v/>
      </c>
      <c r="AD335">
        <f>IF(AA335=0,0,D335*U335/AA335)</f>
        <v/>
      </c>
      <c r="AE335">
        <f>IF(AA335=0,0,D335*V335/AA335)</f>
        <v/>
      </c>
      <c r="AF335">
        <f>IF(AA335=0,0,D335*W335/AA335)</f>
        <v/>
      </c>
      <c r="AG335">
        <f>IF(AA335=0,0,D335*X335/AA335)</f>
        <v/>
      </c>
      <c r="AH335">
        <f>IF(AA335=0,0,D335*Y335/AA335)</f>
        <v/>
      </c>
      <c r="AI335">
        <f>IF(AA335=0,0,D335*Z335/AA335)</f>
        <v/>
      </c>
      <c r="AJ335">
        <f>IF(OR(C335="",B335=""),"",C335&amp;"|"&amp;(YEAR(B335)*100+MONTH(B335)))</f>
        <v/>
      </c>
    </row>
    <row r="336">
      <c r="A336" s="1" t="n"/>
      <c r="B336" s="23" t="n"/>
      <c r="C336" s="24" t="n"/>
      <c r="D336" s="25" t="n"/>
      <c r="E336" s="26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1">
        <f>IF(D336="","",IF(B336="","No date",IF(AND(C336="Paying back",R336=0),"To whom?",IF(AA336=0,"Nobody",IF(C336="Paying back","To "&amp;INDEX(Housemates!$B$8:$B$15,MATCH(MAX(S336:Z336),S336:Z336,0)),IF(R336&gt;0,IF(COUNTIF(S336:Z336,"&gt;0")=1,"1 person",COUNTIF(S336:Z336,"&gt;0")&amp;" people"),IF(Q336=0,"Everyone",INDEX(Bills!$Q$6:$Q$25,Q336))))))))</f>
        <v/>
      </c>
      <c r="O336" s="18">
        <f>IF(D336="","",IF(C336="Paying back","Paying back",IF(Q336=0,"Other",IF(INDEX(Bills!$C$6:$C$25,Q336)="","Other",INDEX(Bills!$C$6:$C$25,Q336)))))</f>
        <v/>
      </c>
      <c r="P336" s="1" t="n"/>
      <c r="Q336">
        <f>IF(C336="",0,IFERROR(MATCH(C336,Bills!$B$6:$B$25,0),0))</f>
        <v/>
      </c>
      <c r="R336">
        <f>COUNTA(F336:M336)</f>
        <v/>
      </c>
      <c r="S336">
        <f>IF(OR($D336="",$B336="",Housemates!$B$8=""),0,IF($R336&gt;0,IF(F336="",0,IF(ISNUMBER(F336),F336,1)),IF($C336="Paying back",0,IF(AND(OR(Housemates!$C$8="",Housemates!$C$8&lt;=$B336),OR(Housemates!$D$8="",Housemates!$D$8&gt;=$B336)),IF($Q336=0,1,INDEX(Bills!$AA$6:$AA$25,$Q336)),0))))</f>
        <v/>
      </c>
      <c r="T336">
        <f>IF(OR($D336="",$B336="",Housemates!$B$9=""),0,IF($R336&gt;0,IF(G336="",0,IF(ISNUMBER(G336),G336,1)),IF($C336="Paying back",0,IF(AND(OR(Housemates!$C$9="",Housemates!$C$9&lt;=$B336),OR(Housemates!$D$9="",Housemates!$D$9&gt;=$B336)),IF($Q336=0,1,INDEX(Bills!$AB$6:$AB$25,$Q336)),0))))</f>
        <v/>
      </c>
      <c r="U336">
        <f>IF(OR($D336="",$B336="",Housemates!$B$10=""),0,IF($R336&gt;0,IF(H336="",0,IF(ISNUMBER(H336),H336,1)),IF($C336="Paying back",0,IF(AND(OR(Housemates!$C$10="",Housemates!$C$10&lt;=$B336),OR(Housemates!$D$10="",Housemates!$D$10&gt;=$B336)),IF($Q336=0,1,INDEX(Bills!$AC$6:$AC$25,$Q336)),0))))</f>
        <v/>
      </c>
      <c r="V336">
        <f>IF(OR($D336="",$B336="",Housemates!$B$11=""),0,IF($R336&gt;0,IF(I336="",0,IF(ISNUMBER(I336),I336,1)),IF($C336="Paying back",0,IF(AND(OR(Housemates!$C$11="",Housemates!$C$11&lt;=$B336),OR(Housemates!$D$11="",Housemates!$D$11&gt;=$B336)),IF($Q336=0,1,INDEX(Bills!$AD$6:$AD$25,$Q336)),0))))</f>
        <v/>
      </c>
      <c r="W336">
        <f>IF(OR($D336="",$B336="",Housemates!$B$12=""),0,IF($R336&gt;0,IF(J336="",0,IF(ISNUMBER(J336),J336,1)),IF($C336="Paying back",0,IF(AND(OR(Housemates!$C$12="",Housemates!$C$12&lt;=$B336),OR(Housemates!$D$12="",Housemates!$D$12&gt;=$B336)),IF($Q336=0,1,INDEX(Bills!$AE$6:$AE$25,$Q336)),0))))</f>
        <v/>
      </c>
      <c r="X336">
        <f>IF(OR($D336="",$B336="",Housemates!$B$13=""),0,IF($R336&gt;0,IF(K336="",0,IF(ISNUMBER(K336),K336,1)),IF($C336="Paying back",0,IF(AND(OR(Housemates!$C$13="",Housemates!$C$13&lt;=$B336),OR(Housemates!$D$13="",Housemates!$D$13&gt;=$B336)),IF($Q336=0,1,INDEX(Bills!$AF$6:$AF$25,$Q336)),0))))</f>
        <v/>
      </c>
      <c r="Y336">
        <f>IF(OR($D336="",$B336="",Housemates!$B$14=""),0,IF($R336&gt;0,IF(L336="",0,IF(ISNUMBER(L336),L336,1)),IF($C336="Paying back",0,IF(AND(OR(Housemates!$C$14="",Housemates!$C$14&lt;=$B336),OR(Housemates!$D$14="",Housemates!$D$14&gt;=$B336)),IF($Q336=0,1,INDEX(Bills!$AG$6:$AG$25,$Q336)),0))))</f>
        <v/>
      </c>
      <c r="Z336">
        <f>IF(OR($D336="",$B336="",Housemates!$B$15=""),0,IF($R336&gt;0,IF(M336="",0,IF(ISNUMBER(M336),M336,1)),IF($C336="Paying back",0,IF(AND(OR(Housemates!$C$15="",Housemates!$C$15&lt;=$B336),OR(Housemates!$D$15="",Housemates!$D$15&gt;=$B336)),IF($Q336=0,1,INDEX(Bills!$AH$6:$AH$25,$Q336)),0))))</f>
        <v/>
      </c>
      <c r="AA336">
        <f>SUM(S336:Z336)</f>
        <v/>
      </c>
      <c r="AB336">
        <f>IF(AA336=0,0,D336*S336/AA336)</f>
        <v/>
      </c>
      <c r="AC336">
        <f>IF(AA336=0,0,D336*T336/AA336)</f>
        <v/>
      </c>
      <c r="AD336">
        <f>IF(AA336=0,0,D336*U336/AA336)</f>
        <v/>
      </c>
      <c r="AE336">
        <f>IF(AA336=0,0,D336*V336/AA336)</f>
        <v/>
      </c>
      <c r="AF336">
        <f>IF(AA336=0,0,D336*W336/AA336)</f>
        <v/>
      </c>
      <c r="AG336">
        <f>IF(AA336=0,0,D336*X336/AA336)</f>
        <v/>
      </c>
      <c r="AH336">
        <f>IF(AA336=0,0,D336*Y336/AA336)</f>
        <v/>
      </c>
      <c r="AI336">
        <f>IF(AA336=0,0,D336*Z336/AA336)</f>
        <v/>
      </c>
      <c r="AJ336">
        <f>IF(OR(C336="",B336=""),"",C336&amp;"|"&amp;(YEAR(B336)*100+MONTH(B336)))</f>
        <v/>
      </c>
    </row>
    <row r="337">
      <c r="A337" s="1" t="n"/>
      <c r="B337" s="23" t="n"/>
      <c r="C337" s="24" t="n"/>
      <c r="D337" s="25" t="n"/>
      <c r="E337" s="26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1">
        <f>IF(D337="","",IF(B337="","No date",IF(AND(C337="Paying back",R337=0),"To whom?",IF(AA337=0,"Nobody",IF(C337="Paying back","To "&amp;INDEX(Housemates!$B$8:$B$15,MATCH(MAX(S337:Z337),S337:Z337,0)),IF(R337&gt;0,IF(COUNTIF(S337:Z337,"&gt;0")=1,"1 person",COUNTIF(S337:Z337,"&gt;0")&amp;" people"),IF(Q337=0,"Everyone",INDEX(Bills!$Q$6:$Q$25,Q337))))))))</f>
        <v/>
      </c>
      <c r="O337" s="18">
        <f>IF(D337="","",IF(C337="Paying back","Paying back",IF(Q337=0,"Other",IF(INDEX(Bills!$C$6:$C$25,Q337)="","Other",INDEX(Bills!$C$6:$C$25,Q337)))))</f>
        <v/>
      </c>
      <c r="P337" s="1" t="n"/>
      <c r="Q337">
        <f>IF(C337="",0,IFERROR(MATCH(C337,Bills!$B$6:$B$25,0),0))</f>
        <v/>
      </c>
      <c r="R337">
        <f>COUNTA(F337:M337)</f>
        <v/>
      </c>
      <c r="S337">
        <f>IF(OR($D337="",$B337="",Housemates!$B$8=""),0,IF($R337&gt;0,IF(F337="",0,IF(ISNUMBER(F337),F337,1)),IF($C337="Paying back",0,IF(AND(OR(Housemates!$C$8="",Housemates!$C$8&lt;=$B337),OR(Housemates!$D$8="",Housemates!$D$8&gt;=$B337)),IF($Q337=0,1,INDEX(Bills!$AA$6:$AA$25,$Q337)),0))))</f>
        <v/>
      </c>
      <c r="T337">
        <f>IF(OR($D337="",$B337="",Housemates!$B$9=""),0,IF($R337&gt;0,IF(G337="",0,IF(ISNUMBER(G337),G337,1)),IF($C337="Paying back",0,IF(AND(OR(Housemates!$C$9="",Housemates!$C$9&lt;=$B337),OR(Housemates!$D$9="",Housemates!$D$9&gt;=$B337)),IF($Q337=0,1,INDEX(Bills!$AB$6:$AB$25,$Q337)),0))))</f>
        <v/>
      </c>
      <c r="U337">
        <f>IF(OR($D337="",$B337="",Housemates!$B$10=""),0,IF($R337&gt;0,IF(H337="",0,IF(ISNUMBER(H337),H337,1)),IF($C337="Paying back",0,IF(AND(OR(Housemates!$C$10="",Housemates!$C$10&lt;=$B337),OR(Housemates!$D$10="",Housemates!$D$10&gt;=$B337)),IF($Q337=0,1,INDEX(Bills!$AC$6:$AC$25,$Q337)),0))))</f>
        <v/>
      </c>
      <c r="V337">
        <f>IF(OR($D337="",$B337="",Housemates!$B$11=""),0,IF($R337&gt;0,IF(I337="",0,IF(ISNUMBER(I337),I337,1)),IF($C337="Paying back",0,IF(AND(OR(Housemates!$C$11="",Housemates!$C$11&lt;=$B337),OR(Housemates!$D$11="",Housemates!$D$11&gt;=$B337)),IF($Q337=0,1,INDEX(Bills!$AD$6:$AD$25,$Q337)),0))))</f>
        <v/>
      </c>
      <c r="W337">
        <f>IF(OR($D337="",$B337="",Housemates!$B$12=""),0,IF($R337&gt;0,IF(J337="",0,IF(ISNUMBER(J337),J337,1)),IF($C337="Paying back",0,IF(AND(OR(Housemates!$C$12="",Housemates!$C$12&lt;=$B337),OR(Housemates!$D$12="",Housemates!$D$12&gt;=$B337)),IF($Q337=0,1,INDEX(Bills!$AE$6:$AE$25,$Q337)),0))))</f>
        <v/>
      </c>
      <c r="X337">
        <f>IF(OR($D337="",$B337="",Housemates!$B$13=""),0,IF($R337&gt;0,IF(K337="",0,IF(ISNUMBER(K337),K337,1)),IF($C337="Paying back",0,IF(AND(OR(Housemates!$C$13="",Housemates!$C$13&lt;=$B337),OR(Housemates!$D$13="",Housemates!$D$13&gt;=$B337)),IF($Q337=0,1,INDEX(Bills!$AF$6:$AF$25,$Q337)),0))))</f>
        <v/>
      </c>
      <c r="Y337">
        <f>IF(OR($D337="",$B337="",Housemates!$B$14=""),0,IF($R337&gt;0,IF(L337="",0,IF(ISNUMBER(L337),L337,1)),IF($C337="Paying back",0,IF(AND(OR(Housemates!$C$14="",Housemates!$C$14&lt;=$B337),OR(Housemates!$D$14="",Housemates!$D$14&gt;=$B337)),IF($Q337=0,1,INDEX(Bills!$AG$6:$AG$25,$Q337)),0))))</f>
        <v/>
      </c>
      <c r="Z337">
        <f>IF(OR($D337="",$B337="",Housemates!$B$15=""),0,IF($R337&gt;0,IF(M337="",0,IF(ISNUMBER(M337),M337,1)),IF($C337="Paying back",0,IF(AND(OR(Housemates!$C$15="",Housemates!$C$15&lt;=$B337),OR(Housemates!$D$15="",Housemates!$D$15&gt;=$B337)),IF($Q337=0,1,INDEX(Bills!$AH$6:$AH$25,$Q337)),0))))</f>
        <v/>
      </c>
      <c r="AA337">
        <f>SUM(S337:Z337)</f>
        <v/>
      </c>
      <c r="AB337">
        <f>IF(AA337=0,0,D337*S337/AA337)</f>
        <v/>
      </c>
      <c r="AC337">
        <f>IF(AA337=0,0,D337*T337/AA337)</f>
        <v/>
      </c>
      <c r="AD337">
        <f>IF(AA337=0,0,D337*U337/AA337)</f>
        <v/>
      </c>
      <c r="AE337">
        <f>IF(AA337=0,0,D337*V337/AA337)</f>
        <v/>
      </c>
      <c r="AF337">
        <f>IF(AA337=0,0,D337*W337/AA337)</f>
        <v/>
      </c>
      <c r="AG337">
        <f>IF(AA337=0,0,D337*X337/AA337)</f>
        <v/>
      </c>
      <c r="AH337">
        <f>IF(AA337=0,0,D337*Y337/AA337)</f>
        <v/>
      </c>
      <c r="AI337">
        <f>IF(AA337=0,0,D337*Z337/AA337)</f>
        <v/>
      </c>
      <c r="AJ337">
        <f>IF(OR(C337="",B337=""),"",C337&amp;"|"&amp;(YEAR(B337)*100+MONTH(B337)))</f>
        <v/>
      </c>
    </row>
    <row r="338">
      <c r="A338" s="1" t="n"/>
      <c r="B338" s="23" t="n"/>
      <c r="C338" s="24" t="n"/>
      <c r="D338" s="25" t="n"/>
      <c r="E338" s="26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1">
        <f>IF(D338="","",IF(B338="","No date",IF(AND(C338="Paying back",R338=0),"To whom?",IF(AA338=0,"Nobody",IF(C338="Paying back","To "&amp;INDEX(Housemates!$B$8:$B$15,MATCH(MAX(S338:Z338),S338:Z338,0)),IF(R338&gt;0,IF(COUNTIF(S338:Z338,"&gt;0")=1,"1 person",COUNTIF(S338:Z338,"&gt;0")&amp;" people"),IF(Q338=0,"Everyone",INDEX(Bills!$Q$6:$Q$25,Q338))))))))</f>
        <v/>
      </c>
      <c r="O338" s="18">
        <f>IF(D338="","",IF(C338="Paying back","Paying back",IF(Q338=0,"Other",IF(INDEX(Bills!$C$6:$C$25,Q338)="","Other",INDEX(Bills!$C$6:$C$25,Q338)))))</f>
        <v/>
      </c>
      <c r="P338" s="1" t="n"/>
      <c r="Q338">
        <f>IF(C338="",0,IFERROR(MATCH(C338,Bills!$B$6:$B$25,0),0))</f>
        <v/>
      </c>
      <c r="R338">
        <f>COUNTA(F338:M338)</f>
        <v/>
      </c>
      <c r="S338">
        <f>IF(OR($D338="",$B338="",Housemates!$B$8=""),0,IF($R338&gt;0,IF(F338="",0,IF(ISNUMBER(F338),F338,1)),IF($C338="Paying back",0,IF(AND(OR(Housemates!$C$8="",Housemates!$C$8&lt;=$B338),OR(Housemates!$D$8="",Housemates!$D$8&gt;=$B338)),IF($Q338=0,1,INDEX(Bills!$AA$6:$AA$25,$Q338)),0))))</f>
        <v/>
      </c>
      <c r="T338">
        <f>IF(OR($D338="",$B338="",Housemates!$B$9=""),0,IF($R338&gt;0,IF(G338="",0,IF(ISNUMBER(G338),G338,1)),IF($C338="Paying back",0,IF(AND(OR(Housemates!$C$9="",Housemates!$C$9&lt;=$B338),OR(Housemates!$D$9="",Housemates!$D$9&gt;=$B338)),IF($Q338=0,1,INDEX(Bills!$AB$6:$AB$25,$Q338)),0))))</f>
        <v/>
      </c>
      <c r="U338">
        <f>IF(OR($D338="",$B338="",Housemates!$B$10=""),0,IF($R338&gt;0,IF(H338="",0,IF(ISNUMBER(H338),H338,1)),IF($C338="Paying back",0,IF(AND(OR(Housemates!$C$10="",Housemates!$C$10&lt;=$B338),OR(Housemates!$D$10="",Housemates!$D$10&gt;=$B338)),IF($Q338=0,1,INDEX(Bills!$AC$6:$AC$25,$Q338)),0))))</f>
        <v/>
      </c>
      <c r="V338">
        <f>IF(OR($D338="",$B338="",Housemates!$B$11=""),0,IF($R338&gt;0,IF(I338="",0,IF(ISNUMBER(I338),I338,1)),IF($C338="Paying back",0,IF(AND(OR(Housemates!$C$11="",Housemates!$C$11&lt;=$B338),OR(Housemates!$D$11="",Housemates!$D$11&gt;=$B338)),IF($Q338=0,1,INDEX(Bills!$AD$6:$AD$25,$Q338)),0))))</f>
        <v/>
      </c>
      <c r="W338">
        <f>IF(OR($D338="",$B338="",Housemates!$B$12=""),0,IF($R338&gt;0,IF(J338="",0,IF(ISNUMBER(J338),J338,1)),IF($C338="Paying back",0,IF(AND(OR(Housemates!$C$12="",Housemates!$C$12&lt;=$B338),OR(Housemates!$D$12="",Housemates!$D$12&gt;=$B338)),IF($Q338=0,1,INDEX(Bills!$AE$6:$AE$25,$Q338)),0))))</f>
        <v/>
      </c>
      <c r="X338">
        <f>IF(OR($D338="",$B338="",Housemates!$B$13=""),0,IF($R338&gt;0,IF(K338="",0,IF(ISNUMBER(K338),K338,1)),IF($C338="Paying back",0,IF(AND(OR(Housemates!$C$13="",Housemates!$C$13&lt;=$B338),OR(Housemates!$D$13="",Housemates!$D$13&gt;=$B338)),IF($Q338=0,1,INDEX(Bills!$AF$6:$AF$25,$Q338)),0))))</f>
        <v/>
      </c>
      <c r="Y338">
        <f>IF(OR($D338="",$B338="",Housemates!$B$14=""),0,IF($R338&gt;0,IF(L338="",0,IF(ISNUMBER(L338),L338,1)),IF($C338="Paying back",0,IF(AND(OR(Housemates!$C$14="",Housemates!$C$14&lt;=$B338),OR(Housemates!$D$14="",Housemates!$D$14&gt;=$B338)),IF($Q338=0,1,INDEX(Bills!$AG$6:$AG$25,$Q338)),0))))</f>
        <v/>
      </c>
      <c r="Z338">
        <f>IF(OR($D338="",$B338="",Housemates!$B$15=""),0,IF($R338&gt;0,IF(M338="",0,IF(ISNUMBER(M338),M338,1)),IF($C338="Paying back",0,IF(AND(OR(Housemates!$C$15="",Housemates!$C$15&lt;=$B338),OR(Housemates!$D$15="",Housemates!$D$15&gt;=$B338)),IF($Q338=0,1,INDEX(Bills!$AH$6:$AH$25,$Q338)),0))))</f>
        <v/>
      </c>
      <c r="AA338">
        <f>SUM(S338:Z338)</f>
        <v/>
      </c>
      <c r="AB338">
        <f>IF(AA338=0,0,D338*S338/AA338)</f>
        <v/>
      </c>
      <c r="AC338">
        <f>IF(AA338=0,0,D338*T338/AA338)</f>
        <v/>
      </c>
      <c r="AD338">
        <f>IF(AA338=0,0,D338*U338/AA338)</f>
        <v/>
      </c>
      <c r="AE338">
        <f>IF(AA338=0,0,D338*V338/AA338)</f>
        <v/>
      </c>
      <c r="AF338">
        <f>IF(AA338=0,0,D338*W338/AA338)</f>
        <v/>
      </c>
      <c r="AG338">
        <f>IF(AA338=0,0,D338*X338/AA338)</f>
        <v/>
      </c>
      <c r="AH338">
        <f>IF(AA338=0,0,D338*Y338/AA338)</f>
        <v/>
      </c>
      <c r="AI338">
        <f>IF(AA338=0,0,D338*Z338/AA338)</f>
        <v/>
      </c>
      <c r="AJ338">
        <f>IF(OR(C338="",B338=""),"",C338&amp;"|"&amp;(YEAR(B338)*100+MONTH(B338)))</f>
        <v/>
      </c>
    </row>
    <row r="339">
      <c r="A339" s="1" t="n"/>
      <c r="B339" s="23" t="n"/>
      <c r="C339" s="24" t="n"/>
      <c r="D339" s="25" t="n"/>
      <c r="E339" s="26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1">
        <f>IF(D339="","",IF(B339="","No date",IF(AND(C339="Paying back",R339=0),"To whom?",IF(AA339=0,"Nobody",IF(C339="Paying back","To "&amp;INDEX(Housemates!$B$8:$B$15,MATCH(MAX(S339:Z339),S339:Z339,0)),IF(R339&gt;0,IF(COUNTIF(S339:Z339,"&gt;0")=1,"1 person",COUNTIF(S339:Z339,"&gt;0")&amp;" people"),IF(Q339=0,"Everyone",INDEX(Bills!$Q$6:$Q$25,Q339))))))))</f>
        <v/>
      </c>
      <c r="O339" s="18">
        <f>IF(D339="","",IF(C339="Paying back","Paying back",IF(Q339=0,"Other",IF(INDEX(Bills!$C$6:$C$25,Q339)="","Other",INDEX(Bills!$C$6:$C$25,Q339)))))</f>
        <v/>
      </c>
      <c r="P339" s="1" t="n"/>
      <c r="Q339">
        <f>IF(C339="",0,IFERROR(MATCH(C339,Bills!$B$6:$B$25,0),0))</f>
        <v/>
      </c>
      <c r="R339">
        <f>COUNTA(F339:M339)</f>
        <v/>
      </c>
      <c r="S339">
        <f>IF(OR($D339="",$B339="",Housemates!$B$8=""),0,IF($R339&gt;0,IF(F339="",0,IF(ISNUMBER(F339),F339,1)),IF($C339="Paying back",0,IF(AND(OR(Housemates!$C$8="",Housemates!$C$8&lt;=$B339),OR(Housemates!$D$8="",Housemates!$D$8&gt;=$B339)),IF($Q339=0,1,INDEX(Bills!$AA$6:$AA$25,$Q339)),0))))</f>
        <v/>
      </c>
      <c r="T339">
        <f>IF(OR($D339="",$B339="",Housemates!$B$9=""),0,IF($R339&gt;0,IF(G339="",0,IF(ISNUMBER(G339),G339,1)),IF($C339="Paying back",0,IF(AND(OR(Housemates!$C$9="",Housemates!$C$9&lt;=$B339),OR(Housemates!$D$9="",Housemates!$D$9&gt;=$B339)),IF($Q339=0,1,INDEX(Bills!$AB$6:$AB$25,$Q339)),0))))</f>
        <v/>
      </c>
      <c r="U339">
        <f>IF(OR($D339="",$B339="",Housemates!$B$10=""),0,IF($R339&gt;0,IF(H339="",0,IF(ISNUMBER(H339),H339,1)),IF($C339="Paying back",0,IF(AND(OR(Housemates!$C$10="",Housemates!$C$10&lt;=$B339),OR(Housemates!$D$10="",Housemates!$D$10&gt;=$B339)),IF($Q339=0,1,INDEX(Bills!$AC$6:$AC$25,$Q339)),0))))</f>
        <v/>
      </c>
      <c r="V339">
        <f>IF(OR($D339="",$B339="",Housemates!$B$11=""),0,IF($R339&gt;0,IF(I339="",0,IF(ISNUMBER(I339),I339,1)),IF($C339="Paying back",0,IF(AND(OR(Housemates!$C$11="",Housemates!$C$11&lt;=$B339),OR(Housemates!$D$11="",Housemates!$D$11&gt;=$B339)),IF($Q339=0,1,INDEX(Bills!$AD$6:$AD$25,$Q339)),0))))</f>
        <v/>
      </c>
      <c r="W339">
        <f>IF(OR($D339="",$B339="",Housemates!$B$12=""),0,IF($R339&gt;0,IF(J339="",0,IF(ISNUMBER(J339),J339,1)),IF($C339="Paying back",0,IF(AND(OR(Housemates!$C$12="",Housemates!$C$12&lt;=$B339),OR(Housemates!$D$12="",Housemates!$D$12&gt;=$B339)),IF($Q339=0,1,INDEX(Bills!$AE$6:$AE$25,$Q339)),0))))</f>
        <v/>
      </c>
      <c r="X339">
        <f>IF(OR($D339="",$B339="",Housemates!$B$13=""),0,IF($R339&gt;0,IF(K339="",0,IF(ISNUMBER(K339),K339,1)),IF($C339="Paying back",0,IF(AND(OR(Housemates!$C$13="",Housemates!$C$13&lt;=$B339),OR(Housemates!$D$13="",Housemates!$D$13&gt;=$B339)),IF($Q339=0,1,INDEX(Bills!$AF$6:$AF$25,$Q339)),0))))</f>
        <v/>
      </c>
      <c r="Y339">
        <f>IF(OR($D339="",$B339="",Housemates!$B$14=""),0,IF($R339&gt;0,IF(L339="",0,IF(ISNUMBER(L339),L339,1)),IF($C339="Paying back",0,IF(AND(OR(Housemates!$C$14="",Housemates!$C$14&lt;=$B339),OR(Housemates!$D$14="",Housemates!$D$14&gt;=$B339)),IF($Q339=0,1,INDEX(Bills!$AG$6:$AG$25,$Q339)),0))))</f>
        <v/>
      </c>
      <c r="Z339">
        <f>IF(OR($D339="",$B339="",Housemates!$B$15=""),0,IF($R339&gt;0,IF(M339="",0,IF(ISNUMBER(M339),M339,1)),IF($C339="Paying back",0,IF(AND(OR(Housemates!$C$15="",Housemates!$C$15&lt;=$B339),OR(Housemates!$D$15="",Housemates!$D$15&gt;=$B339)),IF($Q339=0,1,INDEX(Bills!$AH$6:$AH$25,$Q339)),0))))</f>
        <v/>
      </c>
      <c r="AA339">
        <f>SUM(S339:Z339)</f>
        <v/>
      </c>
      <c r="AB339">
        <f>IF(AA339=0,0,D339*S339/AA339)</f>
        <v/>
      </c>
      <c r="AC339">
        <f>IF(AA339=0,0,D339*T339/AA339)</f>
        <v/>
      </c>
      <c r="AD339">
        <f>IF(AA339=0,0,D339*U339/AA339)</f>
        <v/>
      </c>
      <c r="AE339">
        <f>IF(AA339=0,0,D339*V339/AA339)</f>
        <v/>
      </c>
      <c r="AF339">
        <f>IF(AA339=0,0,D339*W339/AA339)</f>
        <v/>
      </c>
      <c r="AG339">
        <f>IF(AA339=0,0,D339*X339/AA339)</f>
        <v/>
      </c>
      <c r="AH339">
        <f>IF(AA339=0,0,D339*Y339/AA339)</f>
        <v/>
      </c>
      <c r="AI339">
        <f>IF(AA339=0,0,D339*Z339/AA339)</f>
        <v/>
      </c>
      <c r="AJ339">
        <f>IF(OR(C339="",B339=""),"",C339&amp;"|"&amp;(YEAR(B339)*100+MONTH(B339)))</f>
        <v/>
      </c>
    </row>
    <row r="340">
      <c r="A340" s="1" t="n"/>
      <c r="B340" s="23" t="n"/>
      <c r="C340" s="24" t="n"/>
      <c r="D340" s="25" t="n"/>
      <c r="E340" s="26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1">
        <f>IF(D340="","",IF(B340="","No date",IF(AND(C340="Paying back",R340=0),"To whom?",IF(AA340=0,"Nobody",IF(C340="Paying back","To "&amp;INDEX(Housemates!$B$8:$B$15,MATCH(MAX(S340:Z340),S340:Z340,0)),IF(R340&gt;0,IF(COUNTIF(S340:Z340,"&gt;0")=1,"1 person",COUNTIF(S340:Z340,"&gt;0")&amp;" people"),IF(Q340=0,"Everyone",INDEX(Bills!$Q$6:$Q$25,Q340))))))))</f>
        <v/>
      </c>
      <c r="O340" s="18">
        <f>IF(D340="","",IF(C340="Paying back","Paying back",IF(Q340=0,"Other",IF(INDEX(Bills!$C$6:$C$25,Q340)="","Other",INDEX(Bills!$C$6:$C$25,Q340)))))</f>
        <v/>
      </c>
      <c r="P340" s="1" t="n"/>
      <c r="Q340">
        <f>IF(C340="",0,IFERROR(MATCH(C340,Bills!$B$6:$B$25,0),0))</f>
        <v/>
      </c>
      <c r="R340">
        <f>COUNTA(F340:M340)</f>
        <v/>
      </c>
      <c r="S340">
        <f>IF(OR($D340="",$B340="",Housemates!$B$8=""),0,IF($R340&gt;0,IF(F340="",0,IF(ISNUMBER(F340),F340,1)),IF($C340="Paying back",0,IF(AND(OR(Housemates!$C$8="",Housemates!$C$8&lt;=$B340),OR(Housemates!$D$8="",Housemates!$D$8&gt;=$B340)),IF($Q340=0,1,INDEX(Bills!$AA$6:$AA$25,$Q340)),0))))</f>
        <v/>
      </c>
      <c r="T340">
        <f>IF(OR($D340="",$B340="",Housemates!$B$9=""),0,IF($R340&gt;0,IF(G340="",0,IF(ISNUMBER(G340),G340,1)),IF($C340="Paying back",0,IF(AND(OR(Housemates!$C$9="",Housemates!$C$9&lt;=$B340),OR(Housemates!$D$9="",Housemates!$D$9&gt;=$B340)),IF($Q340=0,1,INDEX(Bills!$AB$6:$AB$25,$Q340)),0))))</f>
        <v/>
      </c>
      <c r="U340">
        <f>IF(OR($D340="",$B340="",Housemates!$B$10=""),0,IF($R340&gt;0,IF(H340="",0,IF(ISNUMBER(H340),H340,1)),IF($C340="Paying back",0,IF(AND(OR(Housemates!$C$10="",Housemates!$C$10&lt;=$B340),OR(Housemates!$D$10="",Housemates!$D$10&gt;=$B340)),IF($Q340=0,1,INDEX(Bills!$AC$6:$AC$25,$Q340)),0))))</f>
        <v/>
      </c>
      <c r="V340">
        <f>IF(OR($D340="",$B340="",Housemates!$B$11=""),0,IF($R340&gt;0,IF(I340="",0,IF(ISNUMBER(I340),I340,1)),IF($C340="Paying back",0,IF(AND(OR(Housemates!$C$11="",Housemates!$C$11&lt;=$B340),OR(Housemates!$D$11="",Housemates!$D$11&gt;=$B340)),IF($Q340=0,1,INDEX(Bills!$AD$6:$AD$25,$Q340)),0))))</f>
        <v/>
      </c>
      <c r="W340">
        <f>IF(OR($D340="",$B340="",Housemates!$B$12=""),0,IF($R340&gt;0,IF(J340="",0,IF(ISNUMBER(J340),J340,1)),IF($C340="Paying back",0,IF(AND(OR(Housemates!$C$12="",Housemates!$C$12&lt;=$B340),OR(Housemates!$D$12="",Housemates!$D$12&gt;=$B340)),IF($Q340=0,1,INDEX(Bills!$AE$6:$AE$25,$Q340)),0))))</f>
        <v/>
      </c>
      <c r="X340">
        <f>IF(OR($D340="",$B340="",Housemates!$B$13=""),0,IF($R340&gt;0,IF(K340="",0,IF(ISNUMBER(K340),K340,1)),IF($C340="Paying back",0,IF(AND(OR(Housemates!$C$13="",Housemates!$C$13&lt;=$B340),OR(Housemates!$D$13="",Housemates!$D$13&gt;=$B340)),IF($Q340=0,1,INDEX(Bills!$AF$6:$AF$25,$Q340)),0))))</f>
        <v/>
      </c>
      <c r="Y340">
        <f>IF(OR($D340="",$B340="",Housemates!$B$14=""),0,IF($R340&gt;0,IF(L340="",0,IF(ISNUMBER(L340),L340,1)),IF($C340="Paying back",0,IF(AND(OR(Housemates!$C$14="",Housemates!$C$14&lt;=$B340),OR(Housemates!$D$14="",Housemates!$D$14&gt;=$B340)),IF($Q340=0,1,INDEX(Bills!$AG$6:$AG$25,$Q340)),0))))</f>
        <v/>
      </c>
      <c r="Z340">
        <f>IF(OR($D340="",$B340="",Housemates!$B$15=""),0,IF($R340&gt;0,IF(M340="",0,IF(ISNUMBER(M340),M340,1)),IF($C340="Paying back",0,IF(AND(OR(Housemates!$C$15="",Housemates!$C$15&lt;=$B340),OR(Housemates!$D$15="",Housemates!$D$15&gt;=$B340)),IF($Q340=0,1,INDEX(Bills!$AH$6:$AH$25,$Q340)),0))))</f>
        <v/>
      </c>
      <c r="AA340">
        <f>SUM(S340:Z340)</f>
        <v/>
      </c>
      <c r="AB340">
        <f>IF(AA340=0,0,D340*S340/AA340)</f>
        <v/>
      </c>
      <c r="AC340">
        <f>IF(AA340=0,0,D340*T340/AA340)</f>
        <v/>
      </c>
      <c r="AD340">
        <f>IF(AA340=0,0,D340*U340/AA340)</f>
        <v/>
      </c>
      <c r="AE340">
        <f>IF(AA340=0,0,D340*V340/AA340)</f>
        <v/>
      </c>
      <c r="AF340">
        <f>IF(AA340=0,0,D340*W340/AA340)</f>
        <v/>
      </c>
      <c r="AG340">
        <f>IF(AA340=0,0,D340*X340/AA340)</f>
        <v/>
      </c>
      <c r="AH340">
        <f>IF(AA340=0,0,D340*Y340/AA340)</f>
        <v/>
      </c>
      <c r="AI340">
        <f>IF(AA340=0,0,D340*Z340/AA340)</f>
        <v/>
      </c>
      <c r="AJ340">
        <f>IF(OR(C340="",B340=""),"",C340&amp;"|"&amp;(YEAR(B340)*100+MONTH(B340)))</f>
        <v/>
      </c>
    </row>
    <row r="341">
      <c r="A341" s="1" t="n"/>
      <c r="B341" s="23" t="n"/>
      <c r="C341" s="24" t="n"/>
      <c r="D341" s="25" t="n"/>
      <c r="E341" s="26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1">
        <f>IF(D341="","",IF(B341="","No date",IF(AND(C341="Paying back",R341=0),"To whom?",IF(AA341=0,"Nobody",IF(C341="Paying back","To "&amp;INDEX(Housemates!$B$8:$B$15,MATCH(MAX(S341:Z341),S341:Z341,0)),IF(R341&gt;0,IF(COUNTIF(S341:Z341,"&gt;0")=1,"1 person",COUNTIF(S341:Z341,"&gt;0")&amp;" people"),IF(Q341=0,"Everyone",INDEX(Bills!$Q$6:$Q$25,Q341))))))))</f>
        <v/>
      </c>
      <c r="O341" s="18">
        <f>IF(D341="","",IF(C341="Paying back","Paying back",IF(Q341=0,"Other",IF(INDEX(Bills!$C$6:$C$25,Q341)="","Other",INDEX(Bills!$C$6:$C$25,Q341)))))</f>
        <v/>
      </c>
      <c r="P341" s="1" t="n"/>
      <c r="Q341">
        <f>IF(C341="",0,IFERROR(MATCH(C341,Bills!$B$6:$B$25,0),0))</f>
        <v/>
      </c>
      <c r="R341">
        <f>COUNTA(F341:M341)</f>
        <v/>
      </c>
      <c r="S341">
        <f>IF(OR($D341="",$B341="",Housemates!$B$8=""),0,IF($R341&gt;0,IF(F341="",0,IF(ISNUMBER(F341),F341,1)),IF($C341="Paying back",0,IF(AND(OR(Housemates!$C$8="",Housemates!$C$8&lt;=$B341),OR(Housemates!$D$8="",Housemates!$D$8&gt;=$B341)),IF($Q341=0,1,INDEX(Bills!$AA$6:$AA$25,$Q341)),0))))</f>
        <v/>
      </c>
      <c r="T341">
        <f>IF(OR($D341="",$B341="",Housemates!$B$9=""),0,IF($R341&gt;0,IF(G341="",0,IF(ISNUMBER(G341),G341,1)),IF($C341="Paying back",0,IF(AND(OR(Housemates!$C$9="",Housemates!$C$9&lt;=$B341),OR(Housemates!$D$9="",Housemates!$D$9&gt;=$B341)),IF($Q341=0,1,INDEX(Bills!$AB$6:$AB$25,$Q341)),0))))</f>
        <v/>
      </c>
      <c r="U341">
        <f>IF(OR($D341="",$B341="",Housemates!$B$10=""),0,IF($R341&gt;0,IF(H341="",0,IF(ISNUMBER(H341),H341,1)),IF($C341="Paying back",0,IF(AND(OR(Housemates!$C$10="",Housemates!$C$10&lt;=$B341),OR(Housemates!$D$10="",Housemates!$D$10&gt;=$B341)),IF($Q341=0,1,INDEX(Bills!$AC$6:$AC$25,$Q341)),0))))</f>
        <v/>
      </c>
      <c r="V341">
        <f>IF(OR($D341="",$B341="",Housemates!$B$11=""),0,IF($R341&gt;0,IF(I341="",0,IF(ISNUMBER(I341),I341,1)),IF($C341="Paying back",0,IF(AND(OR(Housemates!$C$11="",Housemates!$C$11&lt;=$B341),OR(Housemates!$D$11="",Housemates!$D$11&gt;=$B341)),IF($Q341=0,1,INDEX(Bills!$AD$6:$AD$25,$Q341)),0))))</f>
        <v/>
      </c>
      <c r="W341">
        <f>IF(OR($D341="",$B341="",Housemates!$B$12=""),0,IF($R341&gt;0,IF(J341="",0,IF(ISNUMBER(J341),J341,1)),IF($C341="Paying back",0,IF(AND(OR(Housemates!$C$12="",Housemates!$C$12&lt;=$B341),OR(Housemates!$D$12="",Housemates!$D$12&gt;=$B341)),IF($Q341=0,1,INDEX(Bills!$AE$6:$AE$25,$Q341)),0))))</f>
        <v/>
      </c>
      <c r="X341">
        <f>IF(OR($D341="",$B341="",Housemates!$B$13=""),0,IF($R341&gt;0,IF(K341="",0,IF(ISNUMBER(K341),K341,1)),IF($C341="Paying back",0,IF(AND(OR(Housemates!$C$13="",Housemates!$C$13&lt;=$B341),OR(Housemates!$D$13="",Housemates!$D$13&gt;=$B341)),IF($Q341=0,1,INDEX(Bills!$AF$6:$AF$25,$Q341)),0))))</f>
        <v/>
      </c>
      <c r="Y341">
        <f>IF(OR($D341="",$B341="",Housemates!$B$14=""),0,IF($R341&gt;0,IF(L341="",0,IF(ISNUMBER(L341),L341,1)),IF($C341="Paying back",0,IF(AND(OR(Housemates!$C$14="",Housemates!$C$14&lt;=$B341),OR(Housemates!$D$14="",Housemates!$D$14&gt;=$B341)),IF($Q341=0,1,INDEX(Bills!$AG$6:$AG$25,$Q341)),0))))</f>
        <v/>
      </c>
      <c r="Z341">
        <f>IF(OR($D341="",$B341="",Housemates!$B$15=""),0,IF($R341&gt;0,IF(M341="",0,IF(ISNUMBER(M341),M341,1)),IF($C341="Paying back",0,IF(AND(OR(Housemates!$C$15="",Housemates!$C$15&lt;=$B341),OR(Housemates!$D$15="",Housemates!$D$15&gt;=$B341)),IF($Q341=0,1,INDEX(Bills!$AH$6:$AH$25,$Q341)),0))))</f>
        <v/>
      </c>
      <c r="AA341">
        <f>SUM(S341:Z341)</f>
        <v/>
      </c>
      <c r="AB341">
        <f>IF(AA341=0,0,D341*S341/AA341)</f>
        <v/>
      </c>
      <c r="AC341">
        <f>IF(AA341=0,0,D341*T341/AA341)</f>
        <v/>
      </c>
      <c r="AD341">
        <f>IF(AA341=0,0,D341*U341/AA341)</f>
        <v/>
      </c>
      <c r="AE341">
        <f>IF(AA341=0,0,D341*V341/AA341)</f>
        <v/>
      </c>
      <c r="AF341">
        <f>IF(AA341=0,0,D341*W341/AA341)</f>
        <v/>
      </c>
      <c r="AG341">
        <f>IF(AA341=0,0,D341*X341/AA341)</f>
        <v/>
      </c>
      <c r="AH341">
        <f>IF(AA341=0,0,D341*Y341/AA341)</f>
        <v/>
      </c>
      <c r="AI341">
        <f>IF(AA341=0,0,D341*Z341/AA341)</f>
        <v/>
      </c>
      <c r="AJ341">
        <f>IF(OR(C341="",B341=""),"",C341&amp;"|"&amp;(YEAR(B341)*100+MONTH(B341)))</f>
        <v/>
      </c>
    </row>
    <row r="342">
      <c r="A342" s="1" t="n"/>
      <c r="B342" s="23" t="n"/>
      <c r="C342" s="24" t="n"/>
      <c r="D342" s="25" t="n"/>
      <c r="E342" s="26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1">
        <f>IF(D342="","",IF(B342="","No date",IF(AND(C342="Paying back",R342=0),"To whom?",IF(AA342=0,"Nobody",IF(C342="Paying back","To "&amp;INDEX(Housemates!$B$8:$B$15,MATCH(MAX(S342:Z342),S342:Z342,0)),IF(R342&gt;0,IF(COUNTIF(S342:Z342,"&gt;0")=1,"1 person",COUNTIF(S342:Z342,"&gt;0")&amp;" people"),IF(Q342=0,"Everyone",INDEX(Bills!$Q$6:$Q$25,Q342))))))))</f>
        <v/>
      </c>
      <c r="O342" s="18">
        <f>IF(D342="","",IF(C342="Paying back","Paying back",IF(Q342=0,"Other",IF(INDEX(Bills!$C$6:$C$25,Q342)="","Other",INDEX(Bills!$C$6:$C$25,Q342)))))</f>
        <v/>
      </c>
      <c r="P342" s="1" t="n"/>
      <c r="Q342">
        <f>IF(C342="",0,IFERROR(MATCH(C342,Bills!$B$6:$B$25,0),0))</f>
        <v/>
      </c>
      <c r="R342">
        <f>COUNTA(F342:M342)</f>
        <v/>
      </c>
      <c r="S342">
        <f>IF(OR($D342="",$B342="",Housemates!$B$8=""),0,IF($R342&gt;0,IF(F342="",0,IF(ISNUMBER(F342),F342,1)),IF($C342="Paying back",0,IF(AND(OR(Housemates!$C$8="",Housemates!$C$8&lt;=$B342),OR(Housemates!$D$8="",Housemates!$D$8&gt;=$B342)),IF($Q342=0,1,INDEX(Bills!$AA$6:$AA$25,$Q342)),0))))</f>
        <v/>
      </c>
      <c r="T342">
        <f>IF(OR($D342="",$B342="",Housemates!$B$9=""),0,IF($R342&gt;0,IF(G342="",0,IF(ISNUMBER(G342),G342,1)),IF($C342="Paying back",0,IF(AND(OR(Housemates!$C$9="",Housemates!$C$9&lt;=$B342),OR(Housemates!$D$9="",Housemates!$D$9&gt;=$B342)),IF($Q342=0,1,INDEX(Bills!$AB$6:$AB$25,$Q342)),0))))</f>
        <v/>
      </c>
      <c r="U342">
        <f>IF(OR($D342="",$B342="",Housemates!$B$10=""),0,IF($R342&gt;0,IF(H342="",0,IF(ISNUMBER(H342),H342,1)),IF($C342="Paying back",0,IF(AND(OR(Housemates!$C$10="",Housemates!$C$10&lt;=$B342),OR(Housemates!$D$10="",Housemates!$D$10&gt;=$B342)),IF($Q342=0,1,INDEX(Bills!$AC$6:$AC$25,$Q342)),0))))</f>
        <v/>
      </c>
      <c r="V342">
        <f>IF(OR($D342="",$B342="",Housemates!$B$11=""),0,IF($R342&gt;0,IF(I342="",0,IF(ISNUMBER(I342),I342,1)),IF($C342="Paying back",0,IF(AND(OR(Housemates!$C$11="",Housemates!$C$11&lt;=$B342),OR(Housemates!$D$11="",Housemates!$D$11&gt;=$B342)),IF($Q342=0,1,INDEX(Bills!$AD$6:$AD$25,$Q342)),0))))</f>
        <v/>
      </c>
      <c r="W342">
        <f>IF(OR($D342="",$B342="",Housemates!$B$12=""),0,IF($R342&gt;0,IF(J342="",0,IF(ISNUMBER(J342),J342,1)),IF($C342="Paying back",0,IF(AND(OR(Housemates!$C$12="",Housemates!$C$12&lt;=$B342),OR(Housemates!$D$12="",Housemates!$D$12&gt;=$B342)),IF($Q342=0,1,INDEX(Bills!$AE$6:$AE$25,$Q342)),0))))</f>
        <v/>
      </c>
      <c r="X342">
        <f>IF(OR($D342="",$B342="",Housemates!$B$13=""),0,IF($R342&gt;0,IF(K342="",0,IF(ISNUMBER(K342),K342,1)),IF($C342="Paying back",0,IF(AND(OR(Housemates!$C$13="",Housemates!$C$13&lt;=$B342),OR(Housemates!$D$13="",Housemates!$D$13&gt;=$B342)),IF($Q342=0,1,INDEX(Bills!$AF$6:$AF$25,$Q342)),0))))</f>
        <v/>
      </c>
      <c r="Y342">
        <f>IF(OR($D342="",$B342="",Housemates!$B$14=""),0,IF($R342&gt;0,IF(L342="",0,IF(ISNUMBER(L342),L342,1)),IF($C342="Paying back",0,IF(AND(OR(Housemates!$C$14="",Housemates!$C$14&lt;=$B342),OR(Housemates!$D$14="",Housemates!$D$14&gt;=$B342)),IF($Q342=0,1,INDEX(Bills!$AG$6:$AG$25,$Q342)),0))))</f>
        <v/>
      </c>
      <c r="Z342">
        <f>IF(OR($D342="",$B342="",Housemates!$B$15=""),0,IF($R342&gt;0,IF(M342="",0,IF(ISNUMBER(M342),M342,1)),IF($C342="Paying back",0,IF(AND(OR(Housemates!$C$15="",Housemates!$C$15&lt;=$B342),OR(Housemates!$D$15="",Housemates!$D$15&gt;=$B342)),IF($Q342=0,1,INDEX(Bills!$AH$6:$AH$25,$Q342)),0))))</f>
        <v/>
      </c>
      <c r="AA342">
        <f>SUM(S342:Z342)</f>
        <v/>
      </c>
      <c r="AB342">
        <f>IF(AA342=0,0,D342*S342/AA342)</f>
        <v/>
      </c>
      <c r="AC342">
        <f>IF(AA342=0,0,D342*T342/AA342)</f>
        <v/>
      </c>
      <c r="AD342">
        <f>IF(AA342=0,0,D342*U342/AA342)</f>
        <v/>
      </c>
      <c r="AE342">
        <f>IF(AA342=0,0,D342*V342/AA342)</f>
        <v/>
      </c>
      <c r="AF342">
        <f>IF(AA342=0,0,D342*W342/AA342)</f>
        <v/>
      </c>
      <c r="AG342">
        <f>IF(AA342=0,0,D342*X342/AA342)</f>
        <v/>
      </c>
      <c r="AH342">
        <f>IF(AA342=0,0,D342*Y342/AA342)</f>
        <v/>
      </c>
      <c r="AI342">
        <f>IF(AA342=0,0,D342*Z342/AA342)</f>
        <v/>
      </c>
      <c r="AJ342">
        <f>IF(OR(C342="",B342=""),"",C342&amp;"|"&amp;(YEAR(B342)*100+MONTH(B342)))</f>
        <v/>
      </c>
    </row>
    <row r="343">
      <c r="A343" s="1" t="n"/>
      <c r="B343" s="23" t="n"/>
      <c r="C343" s="24" t="n"/>
      <c r="D343" s="25" t="n"/>
      <c r="E343" s="26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1">
        <f>IF(D343="","",IF(B343="","No date",IF(AND(C343="Paying back",R343=0),"To whom?",IF(AA343=0,"Nobody",IF(C343="Paying back","To "&amp;INDEX(Housemates!$B$8:$B$15,MATCH(MAX(S343:Z343),S343:Z343,0)),IF(R343&gt;0,IF(COUNTIF(S343:Z343,"&gt;0")=1,"1 person",COUNTIF(S343:Z343,"&gt;0")&amp;" people"),IF(Q343=0,"Everyone",INDEX(Bills!$Q$6:$Q$25,Q343))))))))</f>
        <v/>
      </c>
      <c r="O343" s="18">
        <f>IF(D343="","",IF(C343="Paying back","Paying back",IF(Q343=0,"Other",IF(INDEX(Bills!$C$6:$C$25,Q343)="","Other",INDEX(Bills!$C$6:$C$25,Q343)))))</f>
        <v/>
      </c>
      <c r="P343" s="1" t="n"/>
      <c r="Q343">
        <f>IF(C343="",0,IFERROR(MATCH(C343,Bills!$B$6:$B$25,0),0))</f>
        <v/>
      </c>
      <c r="R343">
        <f>COUNTA(F343:M343)</f>
        <v/>
      </c>
      <c r="S343">
        <f>IF(OR($D343="",$B343="",Housemates!$B$8=""),0,IF($R343&gt;0,IF(F343="",0,IF(ISNUMBER(F343),F343,1)),IF($C343="Paying back",0,IF(AND(OR(Housemates!$C$8="",Housemates!$C$8&lt;=$B343),OR(Housemates!$D$8="",Housemates!$D$8&gt;=$B343)),IF($Q343=0,1,INDEX(Bills!$AA$6:$AA$25,$Q343)),0))))</f>
        <v/>
      </c>
      <c r="T343">
        <f>IF(OR($D343="",$B343="",Housemates!$B$9=""),0,IF($R343&gt;0,IF(G343="",0,IF(ISNUMBER(G343),G343,1)),IF($C343="Paying back",0,IF(AND(OR(Housemates!$C$9="",Housemates!$C$9&lt;=$B343),OR(Housemates!$D$9="",Housemates!$D$9&gt;=$B343)),IF($Q343=0,1,INDEX(Bills!$AB$6:$AB$25,$Q343)),0))))</f>
        <v/>
      </c>
      <c r="U343">
        <f>IF(OR($D343="",$B343="",Housemates!$B$10=""),0,IF($R343&gt;0,IF(H343="",0,IF(ISNUMBER(H343),H343,1)),IF($C343="Paying back",0,IF(AND(OR(Housemates!$C$10="",Housemates!$C$10&lt;=$B343),OR(Housemates!$D$10="",Housemates!$D$10&gt;=$B343)),IF($Q343=0,1,INDEX(Bills!$AC$6:$AC$25,$Q343)),0))))</f>
        <v/>
      </c>
      <c r="V343">
        <f>IF(OR($D343="",$B343="",Housemates!$B$11=""),0,IF($R343&gt;0,IF(I343="",0,IF(ISNUMBER(I343),I343,1)),IF($C343="Paying back",0,IF(AND(OR(Housemates!$C$11="",Housemates!$C$11&lt;=$B343),OR(Housemates!$D$11="",Housemates!$D$11&gt;=$B343)),IF($Q343=0,1,INDEX(Bills!$AD$6:$AD$25,$Q343)),0))))</f>
        <v/>
      </c>
      <c r="W343">
        <f>IF(OR($D343="",$B343="",Housemates!$B$12=""),0,IF($R343&gt;0,IF(J343="",0,IF(ISNUMBER(J343),J343,1)),IF($C343="Paying back",0,IF(AND(OR(Housemates!$C$12="",Housemates!$C$12&lt;=$B343),OR(Housemates!$D$12="",Housemates!$D$12&gt;=$B343)),IF($Q343=0,1,INDEX(Bills!$AE$6:$AE$25,$Q343)),0))))</f>
        <v/>
      </c>
      <c r="X343">
        <f>IF(OR($D343="",$B343="",Housemates!$B$13=""),0,IF($R343&gt;0,IF(K343="",0,IF(ISNUMBER(K343),K343,1)),IF($C343="Paying back",0,IF(AND(OR(Housemates!$C$13="",Housemates!$C$13&lt;=$B343),OR(Housemates!$D$13="",Housemates!$D$13&gt;=$B343)),IF($Q343=0,1,INDEX(Bills!$AF$6:$AF$25,$Q343)),0))))</f>
        <v/>
      </c>
      <c r="Y343">
        <f>IF(OR($D343="",$B343="",Housemates!$B$14=""),0,IF($R343&gt;0,IF(L343="",0,IF(ISNUMBER(L343),L343,1)),IF($C343="Paying back",0,IF(AND(OR(Housemates!$C$14="",Housemates!$C$14&lt;=$B343),OR(Housemates!$D$14="",Housemates!$D$14&gt;=$B343)),IF($Q343=0,1,INDEX(Bills!$AG$6:$AG$25,$Q343)),0))))</f>
        <v/>
      </c>
      <c r="Z343">
        <f>IF(OR($D343="",$B343="",Housemates!$B$15=""),0,IF($R343&gt;0,IF(M343="",0,IF(ISNUMBER(M343),M343,1)),IF($C343="Paying back",0,IF(AND(OR(Housemates!$C$15="",Housemates!$C$15&lt;=$B343),OR(Housemates!$D$15="",Housemates!$D$15&gt;=$B343)),IF($Q343=0,1,INDEX(Bills!$AH$6:$AH$25,$Q343)),0))))</f>
        <v/>
      </c>
      <c r="AA343">
        <f>SUM(S343:Z343)</f>
        <v/>
      </c>
      <c r="AB343">
        <f>IF(AA343=0,0,D343*S343/AA343)</f>
        <v/>
      </c>
      <c r="AC343">
        <f>IF(AA343=0,0,D343*T343/AA343)</f>
        <v/>
      </c>
      <c r="AD343">
        <f>IF(AA343=0,0,D343*U343/AA343)</f>
        <v/>
      </c>
      <c r="AE343">
        <f>IF(AA343=0,0,D343*V343/AA343)</f>
        <v/>
      </c>
      <c r="AF343">
        <f>IF(AA343=0,0,D343*W343/AA343)</f>
        <v/>
      </c>
      <c r="AG343">
        <f>IF(AA343=0,0,D343*X343/AA343)</f>
        <v/>
      </c>
      <c r="AH343">
        <f>IF(AA343=0,0,D343*Y343/AA343)</f>
        <v/>
      </c>
      <c r="AI343">
        <f>IF(AA343=0,0,D343*Z343/AA343)</f>
        <v/>
      </c>
      <c r="AJ343">
        <f>IF(OR(C343="",B343=""),"",C343&amp;"|"&amp;(YEAR(B343)*100+MONTH(B343)))</f>
        <v/>
      </c>
    </row>
    <row r="344">
      <c r="A344" s="1" t="n"/>
      <c r="B344" s="23" t="n"/>
      <c r="C344" s="24" t="n"/>
      <c r="D344" s="25" t="n"/>
      <c r="E344" s="26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1">
        <f>IF(D344="","",IF(B344="","No date",IF(AND(C344="Paying back",R344=0),"To whom?",IF(AA344=0,"Nobody",IF(C344="Paying back","To "&amp;INDEX(Housemates!$B$8:$B$15,MATCH(MAX(S344:Z344),S344:Z344,0)),IF(R344&gt;0,IF(COUNTIF(S344:Z344,"&gt;0")=1,"1 person",COUNTIF(S344:Z344,"&gt;0")&amp;" people"),IF(Q344=0,"Everyone",INDEX(Bills!$Q$6:$Q$25,Q344))))))))</f>
        <v/>
      </c>
      <c r="O344" s="18">
        <f>IF(D344="","",IF(C344="Paying back","Paying back",IF(Q344=0,"Other",IF(INDEX(Bills!$C$6:$C$25,Q344)="","Other",INDEX(Bills!$C$6:$C$25,Q344)))))</f>
        <v/>
      </c>
      <c r="P344" s="1" t="n"/>
      <c r="Q344">
        <f>IF(C344="",0,IFERROR(MATCH(C344,Bills!$B$6:$B$25,0),0))</f>
        <v/>
      </c>
      <c r="R344">
        <f>COUNTA(F344:M344)</f>
        <v/>
      </c>
      <c r="S344">
        <f>IF(OR($D344="",$B344="",Housemates!$B$8=""),0,IF($R344&gt;0,IF(F344="",0,IF(ISNUMBER(F344),F344,1)),IF($C344="Paying back",0,IF(AND(OR(Housemates!$C$8="",Housemates!$C$8&lt;=$B344),OR(Housemates!$D$8="",Housemates!$D$8&gt;=$B344)),IF($Q344=0,1,INDEX(Bills!$AA$6:$AA$25,$Q344)),0))))</f>
        <v/>
      </c>
      <c r="T344">
        <f>IF(OR($D344="",$B344="",Housemates!$B$9=""),0,IF($R344&gt;0,IF(G344="",0,IF(ISNUMBER(G344),G344,1)),IF($C344="Paying back",0,IF(AND(OR(Housemates!$C$9="",Housemates!$C$9&lt;=$B344),OR(Housemates!$D$9="",Housemates!$D$9&gt;=$B344)),IF($Q344=0,1,INDEX(Bills!$AB$6:$AB$25,$Q344)),0))))</f>
        <v/>
      </c>
      <c r="U344">
        <f>IF(OR($D344="",$B344="",Housemates!$B$10=""),0,IF($R344&gt;0,IF(H344="",0,IF(ISNUMBER(H344),H344,1)),IF($C344="Paying back",0,IF(AND(OR(Housemates!$C$10="",Housemates!$C$10&lt;=$B344),OR(Housemates!$D$10="",Housemates!$D$10&gt;=$B344)),IF($Q344=0,1,INDEX(Bills!$AC$6:$AC$25,$Q344)),0))))</f>
        <v/>
      </c>
      <c r="V344">
        <f>IF(OR($D344="",$B344="",Housemates!$B$11=""),0,IF($R344&gt;0,IF(I344="",0,IF(ISNUMBER(I344),I344,1)),IF($C344="Paying back",0,IF(AND(OR(Housemates!$C$11="",Housemates!$C$11&lt;=$B344),OR(Housemates!$D$11="",Housemates!$D$11&gt;=$B344)),IF($Q344=0,1,INDEX(Bills!$AD$6:$AD$25,$Q344)),0))))</f>
        <v/>
      </c>
      <c r="W344">
        <f>IF(OR($D344="",$B344="",Housemates!$B$12=""),0,IF($R344&gt;0,IF(J344="",0,IF(ISNUMBER(J344),J344,1)),IF($C344="Paying back",0,IF(AND(OR(Housemates!$C$12="",Housemates!$C$12&lt;=$B344),OR(Housemates!$D$12="",Housemates!$D$12&gt;=$B344)),IF($Q344=0,1,INDEX(Bills!$AE$6:$AE$25,$Q344)),0))))</f>
        <v/>
      </c>
      <c r="X344">
        <f>IF(OR($D344="",$B344="",Housemates!$B$13=""),0,IF($R344&gt;0,IF(K344="",0,IF(ISNUMBER(K344),K344,1)),IF($C344="Paying back",0,IF(AND(OR(Housemates!$C$13="",Housemates!$C$13&lt;=$B344),OR(Housemates!$D$13="",Housemates!$D$13&gt;=$B344)),IF($Q344=0,1,INDEX(Bills!$AF$6:$AF$25,$Q344)),0))))</f>
        <v/>
      </c>
      <c r="Y344">
        <f>IF(OR($D344="",$B344="",Housemates!$B$14=""),0,IF($R344&gt;0,IF(L344="",0,IF(ISNUMBER(L344),L344,1)),IF($C344="Paying back",0,IF(AND(OR(Housemates!$C$14="",Housemates!$C$14&lt;=$B344),OR(Housemates!$D$14="",Housemates!$D$14&gt;=$B344)),IF($Q344=0,1,INDEX(Bills!$AG$6:$AG$25,$Q344)),0))))</f>
        <v/>
      </c>
      <c r="Z344">
        <f>IF(OR($D344="",$B344="",Housemates!$B$15=""),0,IF($R344&gt;0,IF(M344="",0,IF(ISNUMBER(M344),M344,1)),IF($C344="Paying back",0,IF(AND(OR(Housemates!$C$15="",Housemates!$C$15&lt;=$B344),OR(Housemates!$D$15="",Housemates!$D$15&gt;=$B344)),IF($Q344=0,1,INDEX(Bills!$AH$6:$AH$25,$Q344)),0))))</f>
        <v/>
      </c>
      <c r="AA344">
        <f>SUM(S344:Z344)</f>
        <v/>
      </c>
      <c r="AB344">
        <f>IF(AA344=0,0,D344*S344/AA344)</f>
        <v/>
      </c>
      <c r="AC344">
        <f>IF(AA344=0,0,D344*T344/AA344)</f>
        <v/>
      </c>
      <c r="AD344">
        <f>IF(AA344=0,0,D344*U344/AA344)</f>
        <v/>
      </c>
      <c r="AE344">
        <f>IF(AA344=0,0,D344*V344/AA344)</f>
        <v/>
      </c>
      <c r="AF344">
        <f>IF(AA344=0,0,D344*W344/AA344)</f>
        <v/>
      </c>
      <c r="AG344">
        <f>IF(AA344=0,0,D344*X344/AA344)</f>
        <v/>
      </c>
      <c r="AH344">
        <f>IF(AA344=0,0,D344*Y344/AA344)</f>
        <v/>
      </c>
      <c r="AI344">
        <f>IF(AA344=0,0,D344*Z344/AA344)</f>
        <v/>
      </c>
      <c r="AJ344">
        <f>IF(OR(C344="",B344=""),"",C344&amp;"|"&amp;(YEAR(B344)*100+MONTH(B344)))</f>
        <v/>
      </c>
    </row>
    <row r="345">
      <c r="A345" s="1" t="n"/>
      <c r="B345" s="23" t="n"/>
      <c r="C345" s="24" t="n"/>
      <c r="D345" s="25" t="n"/>
      <c r="E345" s="26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1">
        <f>IF(D345="","",IF(B345="","No date",IF(AND(C345="Paying back",R345=0),"To whom?",IF(AA345=0,"Nobody",IF(C345="Paying back","To "&amp;INDEX(Housemates!$B$8:$B$15,MATCH(MAX(S345:Z345),S345:Z345,0)),IF(R345&gt;0,IF(COUNTIF(S345:Z345,"&gt;0")=1,"1 person",COUNTIF(S345:Z345,"&gt;0")&amp;" people"),IF(Q345=0,"Everyone",INDEX(Bills!$Q$6:$Q$25,Q345))))))))</f>
        <v/>
      </c>
      <c r="O345" s="18">
        <f>IF(D345="","",IF(C345="Paying back","Paying back",IF(Q345=0,"Other",IF(INDEX(Bills!$C$6:$C$25,Q345)="","Other",INDEX(Bills!$C$6:$C$25,Q345)))))</f>
        <v/>
      </c>
      <c r="P345" s="1" t="n"/>
      <c r="Q345">
        <f>IF(C345="",0,IFERROR(MATCH(C345,Bills!$B$6:$B$25,0),0))</f>
        <v/>
      </c>
      <c r="R345">
        <f>COUNTA(F345:M345)</f>
        <v/>
      </c>
      <c r="S345">
        <f>IF(OR($D345="",$B345="",Housemates!$B$8=""),0,IF($R345&gt;0,IF(F345="",0,IF(ISNUMBER(F345),F345,1)),IF($C345="Paying back",0,IF(AND(OR(Housemates!$C$8="",Housemates!$C$8&lt;=$B345),OR(Housemates!$D$8="",Housemates!$D$8&gt;=$B345)),IF($Q345=0,1,INDEX(Bills!$AA$6:$AA$25,$Q345)),0))))</f>
        <v/>
      </c>
      <c r="T345">
        <f>IF(OR($D345="",$B345="",Housemates!$B$9=""),0,IF($R345&gt;0,IF(G345="",0,IF(ISNUMBER(G345),G345,1)),IF($C345="Paying back",0,IF(AND(OR(Housemates!$C$9="",Housemates!$C$9&lt;=$B345),OR(Housemates!$D$9="",Housemates!$D$9&gt;=$B345)),IF($Q345=0,1,INDEX(Bills!$AB$6:$AB$25,$Q345)),0))))</f>
        <v/>
      </c>
      <c r="U345">
        <f>IF(OR($D345="",$B345="",Housemates!$B$10=""),0,IF($R345&gt;0,IF(H345="",0,IF(ISNUMBER(H345),H345,1)),IF($C345="Paying back",0,IF(AND(OR(Housemates!$C$10="",Housemates!$C$10&lt;=$B345),OR(Housemates!$D$10="",Housemates!$D$10&gt;=$B345)),IF($Q345=0,1,INDEX(Bills!$AC$6:$AC$25,$Q345)),0))))</f>
        <v/>
      </c>
      <c r="V345">
        <f>IF(OR($D345="",$B345="",Housemates!$B$11=""),0,IF($R345&gt;0,IF(I345="",0,IF(ISNUMBER(I345),I345,1)),IF($C345="Paying back",0,IF(AND(OR(Housemates!$C$11="",Housemates!$C$11&lt;=$B345),OR(Housemates!$D$11="",Housemates!$D$11&gt;=$B345)),IF($Q345=0,1,INDEX(Bills!$AD$6:$AD$25,$Q345)),0))))</f>
        <v/>
      </c>
      <c r="W345">
        <f>IF(OR($D345="",$B345="",Housemates!$B$12=""),0,IF($R345&gt;0,IF(J345="",0,IF(ISNUMBER(J345),J345,1)),IF($C345="Paying back",0,IF(AND(OR(Housemates!$C$12="",Housemates!$C$12&lt;=$B345),OR(Housemates!$D$12="",Housemates!$D$12&gt;=$B345)),IF($Q345=0,1,INDEX(Bills!$AE$6:$AE$25,$Q345)),0))))</f>
        <v/>
      </c>
      <c r="X345">
        <f>IF(OR($D345="",$B345="",Housemates!$B$13=""),0,IF($R345&gt;0,IF(K345="",0,IF(ISNUMBER(K345),K345,1)),IF($C345="Paying back",0,IF(AND(OR(Housemates!$C$13="",Housemates!$C$13&lt;=$B345),OR(Housemates!$D$13="",Housemates!$D$13&gt;=$B345)),IF($Q345=0,1,INDEX(Bills!$AF$6:$AF$25,$Q345)),0))))</f>
        <v/>
      </c>
      <c r="Y345">
        <f>IF(OR($D345="",$B345="",Housemates!$B$14=""),0,IF($R345&gt;0,IF(L345="",0,IF(ISNUMBER(L345),L345,1)),IF($C345="Paying back",0,IF(AND(OR(Housemates!$C$14="",Housemates!$C$14&lt;=$B345),OR(Housemates!$D$14="",Housemates!$D$14&gt;=$B345)),IF($Q345=0,1,INDEX(Bills!$AG$6:$AG$25,$Q345)),0))))</f>
        <v/>
      </c>
      <c r="Z345">
        <f>IF(OR($D345="",$B345="",Housemates!$B$15=""),0,IF($R345&gt;0,IF(M345="",0,IF(ISNUMBER(M345),M345,1)),IF($C345="Paying back",0,IF(AND(OR(Housemates!$C$15="",Housemates!$C$15&lt;=$B345),OR(Housemates!$D$15="",Housemates!$D$15&gt;=$B345)),IF($Q345=0,1,INDEX(Bills!$AH$6:$AH$25,$Q345)),0))))</f>
        <v/>
      </c>
      <c r="AA345">
        <f>SUM(S345:Z345)</f>
        <v/>
      </c>
      <c r="AB345">
        <f>IF(AA345=0,0,D345*S345/AA345)</f>
        <v/>
      </c>
      <c r="AC345">
        <f>IF(AA345=0,0,D345*T345/AA345)</f>
        <v/>
      </c>
      <c r="AD345">
        <f>IF(AA345=0,0,D345*U345/AA345)</f>
        <v/>
      </c>
      <c r="AE345">
        <f>IF(AA345=0,0,D345*V345/AA345)</f>
        <v/>
      </c>
      <c r="AF345">
        <f>IF(AA345=0,0,D345*W345/AA345)</f>
        <v/>
      </c>
      <c r="AG345">
        <f>IF(AA345=0,0,D345*X345/AA345)</f>
        <v/>
      </c>
      <c r="AH345">
        <f>IF(AA345=0,0,D345*Y345/AA345)</f>
        <v/>
      </c>
      <c r="AI345">
        <f>IF(AA345=0,0,D345*Z345/AA345)</f>
        <v/>
      </c>
      <c r="AJ345">
        <f>IF(OR(C345="",B345=""),"",C345&amp;"|"&amp;(YEAR(B345)*100+MONTH(B345)))</f>
        <v/>
      </c>
    </row>
    <row r="346">
      <c r="A346" s="1" t="n"/>
      <c r="B346" s="23" t="n"/>
      <c r="C346" s="24" t="n"/>
      <c r="D346" s="25" t="n"/>
      <c r="E346" s="26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1">
        <f>IF(D346="","",IF(B346="","No date",IF(AND(C346="Paying back",R346=0),"To whom?",IF(AA346=0,"Nobody",IF(C346="Paying back","To "&amp;INDEX(Housemates!$B$8:$B$15,MATCH(MAX(S346:Z346),S346:Z346,0)),IF(R346&gt;0,IF(COUNTIF(S346:Z346,"&gt;0")=1,"1 person",COUNTIF(S346:Z346,"&gt;0")&amp;" people"),IF(Q346=0,"Everyone",INDEX(Bills!$Q$6:$Q$25,Q346))))))))</f>
        <v/>
      </c>
      <c r="O346" s="18">
        <f>IF(D346="","",IF(C346="Paying back","Paying back",IF(Q346=0,"Other",IF(INDEX(Bills!$C$6:$C$25,Q346)="","Other",INDEX(Bills!$C$6:$C$25,Q346)))))</f>
        <v/>
      </c>
      <c r="P346" s="1" t="n"/>
      <c r="Q346">
        <f>IF(C346="",0,IFERROR(MATCH(C346,Bills!$B$6:$B$25,0),0))</f>
        <v/>
      </c>
      <c r="R346">
        <f>COUNTA(F346:M346)</f>
        <v/>
      </c>
      <c r="S346">
        <f>IF(OR($D346="",$B346="",Housemates!$B$8=""),0,IF($R346&gt;0,IF(F346="",0,IF(ISNUMBER(F346),F346,1)),IF($C346="Paying back",0,IF(AND(OR(Housemates!$C$8="",Housemates!$C$8&lt;=$B346),OR(Housemates!$D$8="",Housemates!$D$8&gt;=$B346)),IF($Q346=0,1,INDEX(Bills!$AA$6:$AA$25,$Q346)),0))))</f>
        <v/>
      </c>
      <c r="T346">
        <f>IF(OR($D346="",$B346="",Housemates!$B$9=""),0,IF($R346&gt;0,IF(G346="",0,IF(ISNUMBER(G346),G346,1)),IF($C346="Paying back",0,IF(AND(OR(Housemates!$C$9="",Housemates!$C$9&lt;=$B346),OR(Housemates!$D$9="",Housemates!$D$9&gt;=$B346)),IF($Q346=0,1,INDEX(Bills!$AB$6:$AB$25,$Q346)),0))))</f>
        <v/>
      </c>
      <c r="U346">
        <f>IF(OR($D346="",$B346="",Housemates!$B$10=""),0,IF($R346&gt;0,IF(H346="",0,IF(ISNUMBER(H346),H346,1)),IF($C346="Paying back",0,IF(AND(OR(Housemates!$C$10="",Housemates!$C$10&lt;=$B346),OR(Housemates!$D$10="",Housemates!$D$10&gt;=$B346)),IF($Q346=0,1,INDEX(Bills!$AC$6:$AC$25,$Q346)),0))))</f>
        <v/>
      </c>
      <c r="V346">
        <f>IF(OR($D346="",$B346="",Housemates!$B$11=""),0,IF($R346&gt;0,IF(I346="",0,IF(ISNUMBER(I346),I346,1)),IF($C346="Paying back",0,IF(AND(OR(Housemates!$C$11="",Housemates!$C$11&lt;=$B346),OR(Housemates!$D$11="",Housemates!$D$11&gt;=$B346)),IF($Q346=0,1,INDEX(Bills!$AD$6:$AD$25,$Q346)),0))))</f>
        <v/>
      </c>
      <c r="W346">
        <f>IF(OR($D346="",$B346="",Housemates!$B$12=""),0,IF($R346&gt;0,IF(J346="",0,IF(ISNUMBER(J346),J346,1)),IF($C346="Paying back",0,IF(AND(OR(Housemates!$C$12="",Housemates!$C$12&lt;=$B346),OR(Housemates!$D$12="",Housemates!$D$12&gt;=$B346)),IF($Q346=0,1,INDEX(Bills!$AE$6:$AE$25,$Q346)),0))))</f>
        <v/>
      </c>
      <c r="X346">
        <f>IF(OR($D346="",$B346="",Housemates!$B$13=""),0,IF($R346&gt;0,IF(K346="",0,IF(ISNUMBER(K346),K346,1)),IF($C346="Paying back",0,IF(AND(OR(Housemates!$C$13="",Housemates!$C$13&lt;=$B346),OR(Housemates!$D$13="",Housemates!$D$13&gt;=$B346)),IF($Q346=0,1,INDEX(Bills!$AF$6:$AF$25,$Q346)),0))))</f>
        <v/>
      </c>
      <c r="Y346">
        <f>IF(OR($D346="",$B346="",Housemates!$B$14=""),0,IF($R346&gt;0,IF(L346="",0,IF(ISNUMBER(L346),L346,1)),IF($C346="Paying back",0,IF(AND(OR(Housemates!$C$14="",Housemates!$C$14&lt;=$B346),OR(Housemates!$D$14="",Housemates!$D$14&gt;=$B346)),IF($Q346=0,1,INDEX(Bills!$AG$6:$AG$25,$Q346)),0))))</f>
        <v/>
      </c>
      <c r="Z346">
        <f>IF(OR($D346="",$B346="",Housemates!$B$15=""),0,IF($R346&gt;0,IF(M346="",0,IF(ISNUMBER(M346),M346,1)),IF($C346="Paying back",0,IF(AND(OR(Housemates!$C$15="",Housemates!$C$15&lt;=$B346),OR(Housemates!$D$15="",Housemates!$D$15&gt;=$B346)),IF($Q346=0,1,INDEX(Bills!$AH$6:$AH$25,$Q346)),0))))</f>
        <v/>
      </c>
      <c r="AA346">
        <f>SUM(S346:Z346)</f>
        <v/>
      </c>
      <c r="AB346">
        <f>IF(AA346=0,0,D346*S346/AA346)</f>
        <v/>
      </c>
      <c r="AC346">
        <f>IF(AA346=0,0,D346*T346/AA346)</f>
        <v/>
      </c>
      <c r="AD346">
        <f>IF(AA346=0,0,D346*U346/AA346)</f>
        <v/>
      </c>
      <c r="AE346">
        <f>IF(AA346=0,0,D346*V346/AA346)</f>
        <v/>
      </c>
      <c r="AF346">
        <f>IF(AA346=0,0,D346*W346/AA346)</f>
        <v/>
      </c>
      <c r="AG346">
        <f>IF(AA346=0,0,D346*X346/AA346)</f>
        <v/>
      </c>
      <c r="AH346">
        <f>IF(AA346=0,0,D346*Y346/AA346)</f>
        <v/>
      </c>
      <c r="AI346">
        <f>IF(AA346=0,0,D346*Z346/AA346)</f>
        <v/>
      </c>
      <c r="AJ346">
        <f>IF(OR(C346="",B346=""),"",C346&amp;"|"&amp;(YEAR(B346)*100+MONTH(B346)))</f>
        <v/>
      </c>
    </row>
    <row r="347">
      <c r="A347" s="1" t="n"/>
      <c r="B347" s="23" t="n"/>
      <c r="C347" s="24" t="n"/>
      <c r="D347" s="25" t="n"/>
      <c r="E347" s="26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1">
        <f>IF(D347="","",IF(B347="","No date",IF(AND(C347="Paying back",R347=0),"To whom?",IF(AA347=0,"Nobody",IF(C347="Paying back","To "&amp;INDEX(Housemates!$B$8:$B$15,MATCH(MAX(S347:Z347),S347:Z347,0)),IF(R347&gt;0,IF(COUNTIF(S347:Z347,"&gt;0")=1,"1 person",COUNTIF(S347:Z347,"&gt;0")&amp;" people"),IF(Q347=0,"Everyone",INDEX(Bills!$Q$6:$Q$25,Q347))))))))</f>
        <v/>
      </c>
      <c r="O347" s="18">
        <f>IF(D347="","",IF(C347="Paying back","Paying back",IF(Q347=0,"Other",IF(INDEX(Bills!$C$6:$C$25,Q347)="","Other",INDEX(Bills!$C$6:$C$25,Q347)))))</f>
        <v/>
      </c>
      <c r="P347" s="1" t="n"/>
      <c r="Q347">
        <f>IF(C347="",0,IFERROR(MATCH(C347,Bills!$B$6:$B$25,0),0))</f>
        <v/>
      </c>
      <c r="R347">
        <f>COUNTA(F347:M347)</f>
        <v/>
      </c>
      <c r="S347">
        <f>IF(OR($D347="",$B347="",Housemates!$B$8=""),0,IF($R347&gt;0,IF(F347="",0,IF(ISNUMBER(F347),F347,1)),IF($C347="Paying back",0,IF(AND(OR(Housemates!$C$8="",Housemates!$C$8&lt;=$B347),OR(Housemates!$D$8="",Housemates!$D$8&gt;=$B347)),IF($Q347=0,1,INDEX(Bills!$AA$6:$AA$25,$Q347)),0))))</f>
        <v/>
      </c>
      <c r="T347">
        <f>IF(OR($D347="",$B347="",Housemates!$B$9=""),0,IF($R347&gt;0,IF(G347="",0,IF(ISNUMBER(G347),G347,1)),IF($C347="Paying back",0,IF(AND(OR(Housemates!$C$9="",Housemates!$C$9&lt;=$B347),OR(Housemates!$D$9="",Housemates!$D$9&gt;=$B347)),IF($Q347=0,1,INDEX(Bills!$AB$6:$AB$25,$Q347)),0))))</f>
        <v/>
      </c>
      <c r="U347">
        <f>IF(OR($D347="",$B347="",Housemates!$B$10=""),0,IF($R347&gt;0,IF(H347="",0,IF(ISNUMBER(H347),H347,1)),IF($C347="Paying back",0,IF(AND(OR(Housemates!$C$10="",Housemates!$C$10&lt;=$B347),OR(Housemates!$D$10="",Housemates!$D$10&gt;=$B347)),IF($Q347=0,1,INDEX(Bills!$AC$6:$AC$25,$Q347)),0))))</f>
        <v/>
      </c>
      <c r="V347">
        <f>IF(OR($D347="",$B347="",Housemates!$B$11=""),0,IF($R347&gt;0,IF(I347="",0,IF(ISNUMBER(I347),I347,1)),IF($C347="Paying back",0,IF(AND(OR(Housemates!$C$11="",Housemates!$C$11&lt;=$B347),OR(Housemates!$D$11="",Housemates!$D$11&gt;=$B347)),IF($Q347=0,1,INDEX(Bills!$AD$6:$AD$25,$Q347)),0))))</f>
        <v/>
      </c>
      <c r="W347">
        <f>IF(OR($D347="",$B347="",Housemates!$B$12=""),0,IF($R347&gt;0,IF(J347="",0,IF(ISNUMBER(J347),J347,1)),IF($C347="Paying back",0,IF(AND(OR(Housemates!$C$12="",Housemates!$C$12&lt;=$B347),OR(Housemates!$D$12="",Housemates!$D$12&gt;=$B347)),IF($Q347=0,1,INDEX(Bills!$AE$6:$AE$25,$Q347)),0))))</f>
        <v/>
      </c>
      <c r="X347">
        <f>IF(OR($D347="",$B347="",Housemates!$B$13=""),0,IF($R347&gt;0,IF(K347="",0,IF(ISNUMBER(K347),K347,1)),IF($C347="Paying back",0,IF(AND(OR(Housemates!$C$13="",Housemates!$C$13&lt;=$B347),OR(Housemates!$D$13="",Housemates!$D$13&gt;=$B347)),IF($Q347=0,1,INDEX(Bills!$AF$6:$AF$25,$Q347)),0))))</f>
        <v/>
      </c>
      <c r="Y347">
        <f>IF(OR($D347="",$B347="",Housemates!$B$14=""),0,IF($R347&gt;0,IF(L347="",0,IF(ISNUMBER(L347),L347,1)),IF($C347="Paying back",0,IF(AND(OR(Housemates!$C$14="",Housemates!$C$14&lt;=$B347),OR(Housemates!$D$14="",Housemates!$D$14&gt;=$B347)),IF($Q347=0,1,INDEX(Bills!$AG$6:$AG$25,$Q347)),0))))</f>
        <v/>
      </c>
      <c r="Z347">
        <f>IF(OR($D347="",$B347="",Housemates!$B$15=""),0,IF($R347&gt;0,IF(M347="",0,IF(ISNUMBER(M347),M347,1)),IF($C347="Paying back",0,IF(AND(OR(Housemates!$C$15="",Housemates!$C$15&lt;=$B347),OR(Housemates!$D$15="",Housemates!$D$15&gt;=$B347)),IF($Q347=0,1,INDEX(Bills!$AH$6:$AH$25,$Q347)),0))))</f>
        <v/>
      </c>
      <c r="AA347">
        <f>SUM(S347:Z347)</f>
        <v/>
      </c>
      <c r="AB347">
        <f>IF(AA347=0,0,D347*S347/AA347)</f>
        <v/>
      </c>
      <c r="AC347">
        <f>IF(AA347=0,0,D347*T347/AA347)</f>
        <v/>
      </c>
      <c r="AD347">
        <f>IF(AA347=0,0,D347*U347/AA347)</f>
        <v/>
      </c>
      <c r="AE347">
        <f>IF(AA347=0,0,D347*V347/AA347)</f>
        <v/>
      </c>
      <c r="AF347">
        <f>IF(AA347=0,0,D347*W347/AA347)</f>
        <v/>
      </c>
      <c r="AG347">
        <f>IF(AA347=0,0,D347*X347/AA347)</f>
        <v/>
      </c>
      <c r="AH347">
        <f>IF(AA347=0,0,D347*Y347/AA347)</f>
        <v/>
      </c>
      <c r="AI347">
        <f>IF(AA347=0,0,D347*Z347/AA347)</f>
        <v/>
      </c>
      <c r="AJ347">
        <f>IF(OR(C347="",B347=""),"",C347&amp;"|"&amp;(YEAR(B347)*100+MONTH(B347)))</f>
        <v/>
      </c>
    </row>
    <row r="348">
      <c r="A348" s="1" t="n"/>
      <c r="B348" s="23" t="n"/>
      <c r="C348" s="24" t="n"/>
      <c r="D348" s="25" t="n"/>
      <c r="E348" s="26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1">
        <f>IF(D348="","",IF(B348="","No date",IF(AND(C348="Paying back",R348=0),"To whom?",IF(AA348=0,"Nobody",IF(C348="Paying back","To "&amp;INDEX(Housemates!$B$8:$B$15,MATCH(MAX(S348:Z348),S348:Z348,0)),IF(R348&gt;0,IF(COUNTIF(S348:Z348,"&gt;0")=1,"1 person",COUNTIF(S348:Z348,"&gt;0")&amp;" people"),IF(Q348=0,"Everyone",INDEX(Bills!$Q$6:$Q$25,Q348))))))))</f>
        <v/>
      </c>
      <c r="O348" s="18">
        <f>IF(D348="","",IF(C348="Paying back","Paying back",IF(Q348=0,"Other",IF(INDEX(Bills!$C$6:$C$25,Q348)="","Other",INDEX(Bills!$C$6:$C$25,Q348)))))</f>
        <v/>
      </c>
      <c r="P348" s="1" t="n"/>
      <c r="Q348">
        <f>IF(C348="",0,IFERROR(MATCH(C348,Bills!$B$6:$B$25,0),0))</f>
        <v/>
      </c>
      <c r="R348">
        <f>COUNTA(F348:M348)</f>
        <v/>
      </c>
      <c r="S348">
        <f>IF(OR($D348="",$B348="",Housemates!$B$8=""),0,IF($R348&gt;0,IF(F348="",0,IF(ISNUMBER(F348),F348,1)),IF($C348="Paying back",0,IF(AND(OR(Housemates!$C$8="",Housemates!$C$8&lt;=$B348),OR(Housemates!$D$8="",Housemates!$D$8&gt;=$B348)),IF($Q348=0,1,INDEX(Bills!$AA$6:$AA$25,$Q348)),0))))</f>
        <v/>
      </c>
      <c r="T348">
        <f>IF(OR($D348="",$B348="",Housemates!$B$9=""),0,IF($R348&gt;0,IF(G348="",0,IF(ISNUMBER(G348),G348,1)),IF($C348="Paying back",0,IF(AND(OR(Housemates!$C$9="",Housemates!$C$9&lt;=$B348),OR(Housemates!$D$9="",Housemates!$D$9&gt;=$B348)),IF($Q348=0,1,INDEX(Bills!$AB$6:$AB$25,$Q348)),0))))</f>
        <v/>
      </c>
      <c r="U348">
        <f>IF(OR($D348="",$B348="",Housemates!$B$10=""),0,IF($R348&gt;0,IF(H348="",0,IF(ISNUMBER(H348),H348,1)),IF($C348="Paying back",0,IF(AND(OR(Housemates!$C$10="",Housemates!$C$10&lt;=$B348),OR(Housemates!$D$10="",Housemates!$D$10&gt;=$B348)),IF($Q348=0,1,INDEX(Bills!$AC$6:$AC$25,$Q348)),0))))</f>
        <v/>
      </c>
      <c r="V348">
        <f>IF(OR($D348="",$B348="",Housemates!$B$11=""),0,IF($R348&gt;0,IF(I348="",0,IF(ISNUMBER(I348),I348,1)),IF($C348="Paying back",0,IF(AND(OR(Housemates!$C$11="",Housemates!$C$11&lt;=$B348),OR(Housemates!$D$11="",Housemates!$D$11&gt;=$B348)),IF($Q348=0,1,INDEX(Bills!$AD$6:$AD$25,$Q348)),0))))</f>
        <v/>
      </c>
      <c r="W348">
        <f>IF(OR($D348="",$B348="",Housemates!$B$12=""),0,IF($R348&gt;0,IF(J348="",0,IF(ISNUMBER(J348),J348,1)),IF($C348="Paying back",0,IF(AND(OR(Housemates!$C$12="",Housemates!$C$12&lt;=$B348),OR(Housemates!$D$12="",Housemates!$D$12&gt;=$B348)),IF($Q348=0,1,INDEX(Bills!$AE$6:$AE$25,$Q348)),0))))</f>
        <v/>
      </c>
      <c r="X348">
        <f>IF(OR($D348="",$B348="",Housemates!$B$13=""),0,IF($R348&gt;0,IF(K348="",0,IF(ISNUMBER(K348),K348,1)),IF($C348="Paying back",0,IF(AND(OR(Housemates!$C$13="",Housemates!$C$13&lt;=$B348),OR(Housemates!$D$13="",Housemates!$D$13&gt;=$B348)),IF($Q348=0,1,INDEX(Bills!$AF$6:$AF$25,$Q348)),0))))</f>
        <v/>
      </c>
      <c r="Y348">
        <f>IF(OR($D348="",$B348="",Housemates!$B$14=""),0,IF($R348&gt;0,IF(L348="",0,IF(ISNUMBER(L348),L348,1)),IF($C348="Paying back",0,IF(AND(OR(Housemates!$C$14="",Housemates!$C$14&lt;=$B348),OR(Housemates!$D$14="",Housemates!$D$14&gt;=$B348)),IF($Q348=0,1,INDEX(Bills!$AG$6:$AG$25,$Q348)),0))))</f>
        <v/>
      </c>
      <c r="Z348">
        <f>IF(OR($D348="",$B348="",Housemates!$B$15=""),0,IF($R348&gt;0,IF(M348="",0,IF(ISNUMBER(M348),M348,1)),IF($C348="Paying back",0,IF(AND(OR(Housemates!$C$15="",Housemates!$C$15&lt;=$B348),OR(Housemates!$D$15="",Housemates!$D$15&gt;=$B348)),IF($Q348=0,1,INDEX(Bills!$AH$6:$AH$25,$Q348)),0))))</f>
        <v/>
      </c>
      <c r="AA348">
        <f>SUM(S348:Z348)</f>
        <v/>
      </c>
      <c r="AB348">
        <f>IF(AA348=0,0,D348*S348/AA348)</f>
        <v/>
      </c>
      <c r="AC348">
        <f>IF(AA348=0,0,D348*T348/AA348)</f>
        <v/>
      </c>
      <c r="AD348">
        <f>IF(AA348=0,0,D348*U348/AA348)</f>
        <v/>
      </c>
      <c r="AE348">
        <f>IF(AA348=0,0,D348*V348/AA348)</f>
        <v/>
      </c>
      <c r="AF348">
        <f>IF(AA348=0,0,D348*W348/AA348)</f>
        <v/>
      </c>
      <c r="AG348">
        <f>IF(AA348=0,0,D348*X348/AA348)</f>
        <v/>
      </c>
      <c r="AH348">
        <f>IF(AA348=0,0,D348*Y348/AA348)</f>
        <v/>
      </c>
      <c r="AI348">
        <f>IF(AA348=0,0,D348*Z348/AA348)</f>
        <v/>
      </c>
      <c r="AJ348">
        <f>IF(OR(C348="",B348=""),"",C348&amp;"|"&amp;(YEAR(B348)*100+MONTH(B348)))</f>
        <v/>
      </c>
    </row>
    <row r="349">
      <c r="A349" s="1" t="n"/>
      <c r="B349" s="23" t="n"/>
      <c r="C349" s="24" t="n"/>
      <c r="D349" s="25" t="n"/>
      <c r="E349" s="26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1">
        <f>IF(D349="","",IF(B349="","No date",IF(AND(C349="Paying back",R349=0),"To whom?",IF(AA349=0,"Nobody",IF(C349="Paying back","To "&amp;INDEX(Housemates!$B$8:$B$15,MATCH(MAX(S349:Z349),S349:Z349,0)),IF(R349&gt;0,IF(COUNTIF(S349:Z349,"&gt;0")=1,"1 person",COUNTIF(S349:Z349,"&gt;0")&amp;" people"),IF(Q349=0,"Everyone",INDEX(Bills!$Q$6:$Q$25,Q349))))))))</f>
        <v/>
      </c>
      <c r="O349" s="18">
        <f>IF(D349="","",IF(C349="Paying back","Paying back",IF(Q349=0,"Other",IF(INDEX(Bills!$C$6:$C$25,Q349)="","Other",INDEX(Bills!$C$6:$C$25,Q349)))))</f>
        <v/>
      </c>
      <c r="P349" s="1" t="n"/>
      <c r="Q349">
        <f>IF(C349="",0,IFERROR(MATCH(C349,Bills!$B$6:$B$25,0),0))</f>
        <v/>
      </c>
      <c r="R349">
        <f>COUNTA(F349:M349)</f>
        <v/>
      </c>
      <c r="S349">
        <f>IF(OR($D349="",$B349="",Housemates!$B$8=""),0,IF($R349&gt;0,IF(F349="",0,IF(ISNUMBER(F349),F349,1)),IF($C349="Paying back",0,IF(AND(OR(Housemates!$C$8="",Housemates!$C$8&lt;=$B349),OR(Housemates!$D$8="",Housemates!$D$8&gt;=$B349)),IF($Q349=0,1,INDEX(Bills!$AA$6:$AA$25,$Q349)),0))))</f>
        <v/>
      </c>
      <c r="T349">
        <f>IF(OR($D349="",$B349="",Housemates!$B$9=""),0,IF($R349&gt;0,IF(G349="",0,IF(ISNUMBER(G349),G349,1)),IF($C349="Paying back",0,IF(AND(OR(Housemates!$C$9="",Housemates!$C$9&lt;=$B349),OR(Housemates!$D$9="",Housemates!$D$9&gt;=$B349)),IF($Q349=0,1,INDEX(Bills!$AB$6:$AB$25,$Q349)),0))))</f>
        <v/>
      </c>
      <c r="U349">
        <f>IF(OR($D349="",$B349="",Housemates!$B$10=""),0,IF($R349&gt;0,IF(H349="",0,IF(ISNUMBER(H349),H349,1)),IF($C349="Paying back",0,IF(AND(OR(Housemates!$C$10="",Housemates!$C$10&lt;=$B349),OR(Housemates!$D$10="",Housemates!$D$10&gt;=$B349)),IF($Q349=0,1,INDEX(Bills!$AC$6:$AC$25,$Q349)),0))))</f>
        <v/>
      </c>
      <c r="V349">
        <f>IF(OR($D349="",$B349="",Housemates!$B$11=""),0,IF($R349&gt;0,IF(I349="",0,IF(ISNUMBER(I349),I349,1)),IF($C349="Paying back",0,IF(AND(OR(Housemates!$C$11="",Housemates!$C$11&lt;=$B349),OR(Housemates!$D$11="",Housemates!$D$11&gt;=$B349)),IF($Q349=0,1,INDEX(Bills!$AD$6:$AD$25,$Q349)),0))))</f>
        <v/>
      </c>
      <c r="W349">
        <f>IF(OR($D349="",$B349="",Housemates!$B$12=""),0,IF($R349&gt;0,IF(J349="",0,IF(ISNUMBER(J349),J349,1)),IF($C349="Paying back",0,IF(AND(OR(Housemates!$C$12="",Housemates!$C$12&lt;=$B349),OR(Housemates!$D$12="",Housemates!$D$12&gt;=$B349)),IF($Q349=0,1,INDEX(Bills!$AE$6:$AE$25,$Q349)),0))))</f>
        <v/>
      </c>
      <c r="X349">
        <f>IF(OR($D349="",$B349="",Housemates!$B$13=""),0,IF($R349&gt;0,IF(K349="",0,IF(ISNUMBER(K349),K349,1)),IF($C349="Paying back",0,IF(AND(OR(Housemates!$C$13="",Housemates!$C$13&lt;=$B349),OR(Housemates!$D$13="",Housemates!$D$13&gt;=$B349)),IF($Q349=0,1,INDEX(Bills!$AF$6:$AF$25,$Q349)),0))))</f>
        <v/>
      </c>
      <c r="Y349">
        <f>IF(OR($D349="",$B349="",Housemates!$B$14=""),0,IF($R349&gt;0,IF(L349="",0,IF(ISNUMBER(L349),L349,1)),IF($C349="Paying back",0,IF(AND(OR(Housemates!$C$14="",Housemates!$C$14&lt;=$B349),OR(Housemates!$D$14="",Housemates!$D$14&gt;=$B349)),IF($Q349=0,1,INDEX(Bills!$AG$6:$AG$25,$Q349)),0))))</f>
        <v/>
      </c>
      <c r="Z349">
        <f>IF(OR($D349="",$B349="",Housemates!$B$15=""),0,IF($R349&gt;0,IF(M349="",0,IF(ISNUMBER(M349),M349,1)),IF($C349="Paying back",0,IF(AND(OR(Housemates!$C$15="",Housemates!$C$15&lt;=$B349),OR(Housemates!$D$15="",Housemates!$D$15&gt;=$B349)),IF($Q349=0,1,INDEX(Bills!$AH$6:$AH$25,$Q349)),0))))</f>
        <v/>
      </c>
      <c r="AA349">
        <f>SUM(S349:Z349)</f>
        <v/>
      </c>
      <c r="AB349">
        <f>IF(AA349=0,0,D349*S349/AA349)</f>
        <v/>
      </c>
      <c r="AC349">
        <f>IF(AA349=0,0,D349*T349/AA349)</f>
        <v/>
      </c>
      <c r="AD349">
        <f>IF(AA349=0,0,D349*U349/AA349)</f>
        <v/>
      </c>
      <c r="AE349">
        <f>IF(AA349=0,0,D349*V349/AA349)</f>
        <v/>
      </c>
      <c r="AF349">
        <f>IF(AA349=0,0,D349*W349/AA349)</f>
        <v/>
      </c>
      <c r="AG349">
        <f>IF(AA349=0,0,D349*X349/AA349)</f>
        <v/>
      </c>
      <c r="AH349">
        <f>IF(AA349=0,0,D349*Y349/AA349)</f>
        <v/>
      </c>
      <c r="AI349">
        <f>IF(AA349=0,0,D349*Z349/AA349)</f>
        <v/>
      </c>
      <c r="AJ349">
        <f>IF(OR(C349="",B349=""),"",C349&amp;"|"&amp;(YEAR(B349)*100+MONTH(B349)))</f>
        <v/>
      </c>
    </row>
    <row r="350">
      <c r="A350" s="1" t="n"/>
      <c r="B350" s="23" t="n"/>
      <c r="C350" s="24" t="n"/>
      <c r="D350" s="25" t="n"/>
      <c r="E350" s="26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1">
        <f>IF(D350="","",IF(B350="","No date",IF(AND(C350="Paying back",R350=0),"To whom?",IF(AA350=0,"Nobody",IF(C350="Paying back","To "&amp;INDEX(Housemates!$B$8:$B$15,MATCH(MAX(S350:Z350),S350:Z350,0)),IF(R350&gt;0,IF(COUNTIF(S350:Z350,"&gt;0")=1,"1 person",COUNTIF(S350:Z350,"&gt;0")&amp;" people"),IF(Q350=0,"Everyone",INDEX(Bills!$Q$6:$Q$25,Q350))))))))</f>
        <v/>
      </c>
      <c r="O350" s="18">
        <f>IF(D350="","",IF(C350="Paying back","Paying back",IF(Q350=0,"Other",IF(INDEX(Bills!$C$6:$C$25,Q350)="","Other",INDEX(Bills!$C$6:$C$25,Q350)))))</f>
        <v/>
      </c>
      <c r="P350" s="1" t="n"/>
      <c r="Q350">
        <f>IF(C350="",0,IFERROR(MATCH(C350,Bills!$B$6:$B$25,0),0))</f>
        <v/>
      </c>
      <c r="R350">
        <f>COUNTA(F350:M350)</f>
        <v/>
      </c>
      <c r="S350">
        <f>IF(OR($D350="",$B350="",Housemates!$B$8=""),0,IF($R350&gt;0,IF(F350="",0,IF(ISNUMBER(F350),F350,1)),IF($C350="Paying back",0,IF(AND(OR(Housemates!$C$8="",Housemates!$C$8&lt;=$B350),OR(Housemates!$D$8="",Housemates!$D$8&gt;=$B350)),IF($Q350=0,1,INDEX(Bills!$AA$6:$AA$25,$Q350)),0))))</f>
        <v/>
      </c>
      <c r="T350">
        <f>IF(OR($D350="",$B350="",Housemates!$B$9=""),0,IF($R350&gt;0,IF(G350="",0,IF(ISNUMBER(G350),G350,1)),IF($C350="Paying back",0,IF(AND(OR(Housemates!$C$9="",Housemates!$C$9&lt;=$B350),OR(Housemates!$D$9="",Housemates!$D$9&gt;=$B350)),IF($Q350=0,1,INDEX(Bills!$AB$6:$AB$25,$Q350)),0))))</f>
        <v/>
      </c>
      <c r="U350">
        <f>IF(OR($D350="",$B350="",Housemates!$B$10=""),0,IF($R350&gt;0,IF(H350="",0,IF(ISNUMBER(H350),H350,1)),IF($C350="Paying back",0,IF(AND(OR(Housemates!$C$10="",Housemates!$C$10&lt;=$B350),OR(Housemates!$D$10="",Housemates!$D$10&gt;=$B350)),IF($Q350=0,1,INDEX(Bills!$AC$6:$AC$25,$Q350)),0))))</f>
        <v/>
      </c>
      <c r="V350">
        <f>IF(OR($D350="",$B350="",Housemates!$B$11=""),0,IF($R350&gt;0,IF(I350="",0,IF(ISNUMBER(I350),I350,1)),IF($C350="Paying back",0,IF(AND(OR(Housemates!$C$11="",Housemates!$C$11&lt;=$B350),OR(Housemates!$D$11="",Housemates!$D$11&gt;=$B350)),IF($Q350=0,1,INDEX(Bills!$AD$6:$AD$25,$Q350)),0))))</f>
        <v/>
      </c>
      <c r="W350">
        <f>IF(OR($D350="",$B350="",Housemates!$B$12=""),0,IF($R350&gt;0,IF(J350="",0,IF(ISNUMBER(J350),J350,1)),IF($C350="Paying back",0,IF(AND(OR(Housemates!$C$12="",Housemates!$C$12&lt;=$B350),OR(Housemates!$D$12="",Housemates!$D$12&gt;=$B350)),IF($Q350=0,1,INDEX(Bills!$AE$6:$AE$25,$Q350)),0))))</f>
        <v/>
      </c>
      <c r="X350">
        <f>IF(OR($D350="",$B350="",Housemates!$B$13=""),0,IF($R350&gt;0,IF(K350="",0,IF(ISNUMBER(K350),K350,1)),IF($C350="Paying back",0,IF(AND(OR(Housemates!$C$13="",Housemates!$C$13&lt;=$B350),OR(Housemates!$D$13="",Housemates!$D$13&gt;=$B350)),IF($Q350=0,1,INDEX(Bills!$AF$6:$AF$25,$Q350)),0))))</f>
        <v/>
      </c>
      <c r="Y350">
        <f>IF(OR($D350="",$B350="",Housemates!$B$14=""),0,IF($R350&gt;0,IF(L350="",0,IF(ISNUMBER(L350),L350,1)),IF($C350="Paying back",0,IF(AND(OR(Housemates!$C$14="",Housemates!$C$14&lt;=$B350),OR(Housemates!$D$14="",Housemates!$D$14&gt;=$B350)),IF($Q350=0,1,INDEX(Bills!$AG$6:$AG$25,$Q350)),0))))</f>
        <v/>
      </c>
      <c r="Z350">
        <f>IF(OR($D350="",$B350="",Housemates!$B$15=""),0,IF($R350&gt;0,IF(M350="",0,IF(ISNUMBER(M350),M350,1)),IF($C350="Paying back",0,IF(AND(OR(Housemates!$C$15="",Housemates!$C$15&lt;=$B350),OR(Housemates!$D$15="",Housemates!$D$15&gt;=$B350)),IF($Q350=0,1,INDEX(Bills!$AH$6:$AH$25,$Q350)),0))))</f>
        <v/>
      </c>
      <c r="AA350">
        <f>SUM(S350:Z350)</f>
        <v/>
      </c>
      <c r="AB350">
        <f>IF(AA350=0,0,D350*S350/AA350)</f>
        <v/>
      </c>
      <c r="AC350">
        <f>IF(AA350=0,0,D350*T350/AA350)</f>
        <v/>
      </c>
      <c r="AD350">
        <f>IF(AA350=0,0,D350*U350/AA350)</f>
        <v/>
      </c>
      <c r="AE350">
        <f>IF(AA350=0,0,D350*V350/AA350)</f>
        <v/>
      </c>
      <c r="AF350">
        <f>IF(AA350=0,0,D350*W350/AA350)</f>
        <v/>
      </c>
      <c r="AG350">
        <f>IF(AA350=0,0,D350*X350/AA350)</f>
        <v/>
      </c>
      <c r="AH350">
        <f>IF(AA350=0,0,D350*Y350/AA350)</f>
        <v/>
      </c>
      <c r="AI350">
        <f>IF(AA350=0,0,D350*Z350/AA350)</f>
        <v/>
      </c>
      <c r="AJ350">
        <f>IF(OR(C350="",B350=""),"",C350&amp;"|"&amp;(YEAR(B350)*100+MONTH(B350)))</f>
        <v/>
      </c>
    </row>
    <row r="351">
      <c r="A351" s="1" t="n"/>
      <c r="B351" s="23" t="n"/>
      <c r="C351" s="24" t="n"/>
      <c r="D351" s="25" t="n"/>
      <c r="E351" s="26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1">
        <f>IF(D351="","",IF(B351="","No date",IF(AND(C351="Paying back",R351=0),"To whom?",IF(AA351=0,"Nobody",IF(C351="Paying back","To "&amp;INDEX(Housemates!$B$8:$B$15,MATCH(MAX(S351:Z351),S351:Z351,0)),IF(R351&gt;0,IF(COUNTIF(S351:Z351,"&gt;0")=1,"1 person",COUNTIF(S351:Z351,"&gt;0")&amp;" people"),IF(Q351=0,"Everyone",INDEX(Bills!$Q$6:$Q$25,Q351))))))))</f>
        <v/>
      </c>
      <c r="O351" s="18">
        <f>IF(D351="","",IF(C351="Paying back","Paying back",IF(Q351=0,"Other",IF(INDEX(Bills!$C$6:$C$25,Q351)="","Other",INDEX(Bills!$C$6:$C$25,Q351)))))</f>
        <v/>
      </c>
      <c r="P351" s="1" t="n"/>
      <c r="Q351">
        <f>IF(C351="",0,IFERROR(MATCH(C351,Bills!$B$6:$B$25,0),0))</f>
        <v/>
      </c>
      <c r="R351">
        <f>COUNTA(F351:M351)</f>
        <v/>
      </c>
      <c r="S351">
        <f>IF(OR($D351="",$B351="",Housemates!$B$8=""),0,IF($R351&gt;0,IF(F351="",0,IF(ISNUMBER(F351),F351,1)),IF($C351="Paying back",0,IF(AND(OR(Housemates!$C$8="",Housemates!$C$8&lt;=$B351),OR(Housemates!$D$8="",Housemates!$D$8&gt;=$B351)),IF($Q351=0,1,INDEX(Bills!$AA$6:$AA$25,$Q351)),0))))</f>
        <v/>
      </c>
      <c r="T351">
        <f>IF(OR($D351="",$B351="",Housemates!$B$9=""),0,IF($R351&gt;0,IF(G351="",0,IF(ISNUMBER(G351),G351,1)),IF($C351="Paying back",0,IF(AND(OR(Housemates!$C$9="",Housemates!$C$9&lt;=$B351),OR(Housemates!$D$9="",Housemates!$D$9&gt;=$B351)),IF($Q351=0,1,INDEX(Bills!$AB$6:$AB$25,$Q351)),0))))</f>
        <v/>
      </c>
      <c r="U351">
        <f>IF(OR($D351="",$B351="",Housemates!$B$10=""),0,IF($R351&gt;0,IF(H351="",0,IF(ISNUMBER(H351),H351,1)),IF($C351="Paying back",0,IF(AND(OR(Housemates!$C$10="",Housemates!$C$10&lt;=$B351),OR(Housemates!$D$10="",Housemates!$D$10&gt;=$B351)),IF($Q351=0,1,INDEX(Bills!$AC$6:$AC$25,$Q351)),0))))</f>
        <v/>
      </c>
      <c r="V351">
        <f>IF(OR($D351="",$B351="",Housemates!$B$11=""),0,IF($R351&gt;0,IF(I351="",0,IF(ISNUMBER(I351),I351,1)),IF($C351="Paying back",0,IF(AND(OR(Housemates!$C$11="",Housemates!$C$11&lt;=$B351),OR(Housemates!$D$11="",Housemates!$D$11&gt;=$B351)),IF($Q351=0,1,INDEX(Bills!$AD$6:$AD$25,$Q351)),0))))</f>
        <v/>
      </c>
      <c r="W351">
        <f>IF(OR($D351="",$B351="",Housemates!$B$12=""),0,IF($R351&gt;0,IF(J351="",0,IF(ISNUMBER(J351),J351,1)),IF($C351="Paying back",0,IF(AND(OR(Housemates!$C$12="",Housemates!$C$12&lt;=$B351),OR(Housemates!$D$12="",Housemates!$D$12&gt;=$B351)),IF($Q351=0,1,INDEX(Bills!$AE$6:$AE$25,$Q351)),0))))</f>
        <v/>
      </c>
      <c r="X351">
        <f>IF(OR($D351="",$B351="",Housemates!$B$13=""),0,IF($R351&gt;0,IF(K351="",0,IF(ISNUMBER(K351),K351,1)),IF($C351="Paying back",0,IF(AND(OR(Housemates!$C$13="",Housemates!$C$13&lt;=$B351),OR(Housemates!$D$13="",Housemates!$D$13&gt;=$B351)),IF($Q351=0,1,INDEX(Bills!$AF$6:$AF$25,$Q351)),0))))</f>
        <v/>
      </c>
      <c r="Y351">
        <f>IF(OR($D351="",$B351="",Housemates!$B$14=""),0,IF($R351&gt;0,IF(L351="",0,IF(ISNUMBER(L351),L351,1)),IF($C351="Paying back",0,IF(AND(OR(Housemates!$C$14="",Housemates!$C$14&lt;=$B351),OR(Housemates!$D$14="",Housemates!$D$14&gt;=$B351)),IF($Q351=0,1,INDEX(Bills!$AG$6:$AG$25,$Q351)),0))))</f>
        <v/>
      </c>
      <c r="Z351">
        <f>IF(OR($D351="",$B351="",Housemates!$B$15=""),0,IF($R351&gt;0,IF(M351="",0,IF(ISNUMBER(M351),M351,1)),IF($C351="Paying back",0,IF(AND(OR(Housemates!$C$15="",Housemates!$C$15&lt;=$B351),OR(Housemates!$D$15="",Housemates!$D$15&gt;=$B351)),IF($Q351=0,1,INDEX(Bills!$AH$6:$AH$25,$Q351)),0))))</f>
        <v/>
      </c>
      <c r="AA351">
        <f>SUM(S351:Z351)</f>
        <v/>
      </c>
      <c r="AB351">
        <f>IF(AA351=0,0,D351*S351/AA351)</f>
        <v/>
      </c>
      <c r="AC351">
        <f>IF(AA351=0,0,D351*T351/AA351)</f>
        <v/>
      </c>
      <c r="AD351">
        <f>IF(AA351=0,0,D351*U351/AA351)</f>
        <v/>
      </c>
      <c r="AE351">
        <f>IF(AA351=0,0,D351*V351/AA351)</f>
        <v/>
      </c>
      <c r="AF351">
        <f>IF(AA351=0,0,D351*W351/AA351)</f>
        <v/>
      </c>
      <c r="AG351">
        <f>IF(AA351=0,0,D351*X351/AA351)</f>
        <v/>
      </c>
      <c r="AH351">
        <f>IF(AA351=0,0,D351*Y351/AA351)</f>
        <v/>
      </c>
      <c r="AI351">
        <f>IF(AA351=0,0,D351*Z351/AA351)</f>
        <v/>
      </c>
      <c r="AJ351">
        <f>IF(OR(C351="",B351=""),"",C351&amp;"|"&amp;(YEAR(B351)*100+MONTH(B351)))</f>
        <v/>
      </c>
    </row>
    <row r="352">
      <c r="A352" s="1" t="n"/>
      <c r="B352" s="23" t="n"/>
      <c r="C352" s="24" t="n"/>
      <c r="D352" s="25" t="n"/>
      <c r="E352" s="26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1">
        <f>IF(D352="","",IF(B352="","No date",IF(AND(C352="Paying back",R352=0),"To whom?",IF(AA352=0,"Nobody",IF(C352="Paying back","To "&amp;INDEX(Housemates!$B$8:$B$15,MATCH(MAX(S352:Z352),S352:Z352,0)),IF(R352&gt;0,IF(COUNTIF(S352:Z352,"&gt;0")=1,"1 person",COUNTIF(S352:Z352,"&gt;0")&amp;" people"),IF(Q352=0,"Everyone",INDEX(Bills!$Q$6:$Q$25,Q352))))))))</f>
        <v/>
      </c>
      <c r="O352" s="18">
        <f>IF(D352="","",IF(C352="Paying back","Paying back",IF(Q352=0,"Other",IF(INDEX(Bills!$C$6:$C$25,Q352)="","Other",INDEX(Bills!$C$6:$C$25,Q352)))))</f>
        <v/>
      </c>
      <c r="P352" s="1" t="n"/>
      <c r="Q352">
        <f>IF(C352="",0,IFERROR(MATCH(C352,Bills!$B$6:$B$25,0),0))</f>
        <v/>
      </c>
      <c r="R352">
        <f>COUNTA(F352:M352)</f>
        <v/>
      </c>
      <c r="S352">
        <f>IF(OR($D352="",$B352="",Housemates!$B$8=""),0,IF($R352&gt;0,IF(F352="",0,IF(ISNUMBER(F352),F352,1)),IF($C352="Paying back",0,IF(AND(OR(Housemates!$C$8="",Housemates!$C$8&lt;=$B352),OR(Housemates!$D$8="",Housemates!$D$8&gt;=$B352)),IF($Q352=0,1,INDEX(Bills!$AA$6:$AA$25,$Q352)),0))))</f>
        <v/>
      </c>
      <c r="T352">
        <f>IF(OR($D352="",$B352="",Housemates!$B$9=""),0,IF($R352&gt;0,IF(G352="",0,IF(ISNUMBER(G352),G352,1)),IF($C352="Paying back",0,IF(AND(OR(Housemates!$C$9="",Housemates!$C$9&lt;=$B352),OR(Housemates!$D$9="",Housemates!$D$9&gt;=$B352)),IF($Q352=0,1,INDEX(Bills!$AB$6:$AB$25,$Q352)),0))))</f>
        <v/>
      </c>
      <c r="U352">
        <f>IF(OR($D352="",$B352="",Housemates!$B$10=""),0,IF($R352&gt;0,IF(H352="",0,IF(ISNUMBER(H352),H352,1)),IF($C352="Paying back",0,IF(AND(OR(Housemates!$C$10="",Housemates!$C$10&lt;=$B352),OR(Housemates!$D$10="",Housemates!$D$10&gt;=$B352)),IF($Q352=0,1,INDEX(Bills!$AC$6:$AC$25,$Q352)),0))))</f>
        <v/>
      </c>
      <c r="V352">
        <f>IF(OR($D352="",$B352="",Housemates!$B$11=""),0,IF($R352&gt;0,IF(I352="",0,IF(ISNUMBER(I352),I352,1)),IF($C352="Paying back",0,IF(AND(OR(Housemates!$C$11="",Housemates!$C$11&lt;=$B352),OR(Housemates!$D$11="",Housemates!$D$11&gt;=$B352)),IF($Q352=0,1,INDEX(Bills!$AD$6:$AD$25,$Q352)),0))))</f>
        <v/>
      </c>
      <c r="W352">
        <f>IF(OR($D352="",$B352="",Housemates!$B$12=""),0,IF($R352&gt;0,IF(J352="",0,IF(ISNUMBER(J352),J352,1)),IF($C352="Paying back",0,IF(AND(OR(Housemates!$C$12="",Housemates!$C$12&lt;=$B352),OR(Housemates!$D$12="",Housemates!$D$12&gt;=$B352)),IF($Q352=0,1,INDEX(Bills!$AE$6:$AE$25,$Q352)),0))))</f>
        <v/>
      </c>
      <c r="X352">
        <f>IF(OR($D352="",$B352="",Housemates!$B$13=""),0,IF($R352&gt;0,IF(K352="",0,IF(ISNUMBER(K352),K352,1)),IF($C352="Paying back",0,IF(AND(OR(Housemates!$C$13="",Housemates!$C$13&lt;=$B352),OR(Housemates!$D$13="",Housemates!$D$13&gt;=$B352)),IF($Q352=0,1,INDEX(Bills!$AF$6:$AF$25,$Q352)),0))))</f>
        <v/>
      </c>
      <c r="Y352">
        <f>IF(OR($D352="",$B352="",Housemates!$B$14=""),0,IF($R352&gt;0,IF(L352="",0,IF(ISNUMBER(L352),L352,1)),IF($C352="Paying back",0,IF(AND(OR(Housemates!$C$14="",Housemates!$C$14&lt;=$B352),OR(Housemates!$D$14="",Housemates!$D$14&gt;=$B352)),IF($Q352=0,1,INDEX(Bills!$AG$6:$AG$25,$Q352)),0))))</f>
        <v/>
      </c>
      <c r="Z352">
        <f>IF(OR($D352="",$B352="",Housemates!$B$15=""),0,IF($R352&gt;0,IF(M352="",0,IF(ISNUMBER(M352),M352,1)),IF($C352="Paying back",0,IF(AND(OR(Housemates!$C$15="",Housemates!$C$15&lt;=$B352),OR(Housemates!$D$15="",Housemates!$D$15&gt;=$B352)),IF($Q352=0,1,INDEX(Bills!$AH$6:$AH$25,$Q352)),0))))</f>
        <v/>
      </c>
      <c r="AA352">
        <f>SUM(S352:Z352)</f>
        <v/>
      </c>
      <c r="AB352">
        <f>IF(AA352=0,0,D352*S352/AA352)</f>
        <v/>
      </c>
      <c r="AC352">
        <f>IF(AA352=0,0,D352*T352/AA352)</f>
        <v/>
      </c>
      <c r="AD352">
        <f>IF(AA352=0,0,D352*U352/AA352)</f>
        <v/>
      </c>
      <c r="AE352">
        <f>IF(AA352=0,0,D352*V352/AA352)</f>
        <v/>
      </c>
      <c r="AF352">
        <f>IF(AA352=0,0,D352*W352/AA352)</f>
        <v/>
      </c>
      <c r="AG352">
        <f>IF(AA352=0,0,D352*X352/AA352)</f>
        <v/>
      </c>
      <c r="AH352">
        <f>IF(AA352=0,0,D352*Y352/AA352)</f>
        <v/>
      </c>
      <c r="AI352">
        <f>IF(AA352=0,0,D352*Z352/AA352)</f>
        <v/>
      </c>
      <c r="AJ352">
        <f>IF(OR(C352="",B352=""),"",C352&amp;"|"&amp;(YEAR(B352)*100+MONTH(B352)))</f>
        <v/>
      </c>
    </row>
    <row r="353">
      <c r="A353" s="1" t="n"/>
      <c r="B353" s="23" t="n"/>
      <c r="C353" s="24" t="n"/>
      <c r="D353" s="25" t="n"/>
      <c r="E353" s="26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1">
        <f>IF(D353="","",IF(B353="","No date",IF(AND(C353="Paying back",R353=0),"To whom?",IF(AA353=0,"Nobody",IF(C353="Paying back","To "&amp;INDEX(Housemates!$B$8:$B$15,MATCH(MAX(S353:Z353),S353:Z353,0)),IF(R353&gt;0,IF(COUNTIF(S353:Z353,"&gt;0")=1,"1 person",COUNTIF(S353:Z353,"&gt;0")&amp;" people"),IF(Q353=0,"Everyone",INDEX(Bills!$Q$6:$Q$25,Q353))))))))</f>
        <v/>
      </c>
      <c r="O353" s="18">
        <f>IF(D353="","",IF(C353="Paying back","Paying back",IF(Q353=0,"Other",IF(INDEX(Bills!$C$6:$C$25,Q353)="","Other",INDEX(Bills!$C$6:$C$25,Q353)))))</f>
        <v/>
      </c>
      <c r="P353" s="1" t="n"/>
      <c r="Q353">
        <f>IF(C353="",0,IFERROR(MATCH(C353,Bills!$B$6:$B$25,0),0))</f>
        <v/>
      </c>
      <c r="R353">
        <f>COUNTA(F353:M353)</f>
        <v/>
      </c>
      <c r="S353">
        <f>IF(OR($D353="",$B353="",Housemates!$B$8=""),0,IF($R353&gt;0,IF(F353="",0,IF(ISNUMBER(F353),F353,1)),IF($C353="Paying back",0,IF(AND(OR(Housemates!$C$8="",Housemates!$C$8&lt;=$B353),OR(Housemates!$D$8="",Housemates!$D$8&gt;=$B353)),IF($Q353=0,1,INDEX(Bills!$AA$6:$AA$25,$Q353)),0))))</f>
        <v/>
      </c>
      <c r="T353">
        <f>IF(OR($D353="",$B353="",Housemates!$B$9=""),0,IF($R353&gt;0,IF(G353="",0,IF(ISNUMBER(G353),G353,1)),IF($C353="Paying back",0,IF(AND(OR(Housemates!$C$9="",Housemates!$C$9&lt;=$B353),OR(Housemates!$D$9="",Housemates!$D$9&gt;=$B353)),IF($Q353=0,1,INDEX(Bills!$AB$6:$AB$25,$Q353)),0))))</f>
        <v/>
      </c>
      <c r="U353">
        <f>IF(OR($D353="",$B353="",Housemates!$B$10=""),0,IF($R353&gt;0,IF(H353="",0,IF(ISNUMBER(H353),H353,1)),IF($C353="Paying back",0,IF(AND(OR(Housemates!$C$10="",Housemates!$C$10&lt;=$B353),OR(Housemates!$D$10="",Housemates!$D$10&gt;=$B353)),IF($Q353=0,1,INDEX(Bills!$AC$6:$AC$25,$Q353)),0))))</f>
        <v/>
      </c>
      <c r="V353">
        <f>IF(OR($D353="",$B353="",Housemates!$B$11=""),0,IF($R353&gt;0,IF(I353="",0,IF(ISNUMBER(I353),I353,1)),IF($C353="Paying back",0,IF(AND(OR(Housemates!$C$11="",Housemates!$C$11&lt;=$B353),OR(Housemates!$D$11="",Housemates!$D$11&gt;=$B353)),IF($Q353=0,1,INDEX(Bills!$AD$6:$AD$25,$Q353)),0))))</f>
        <v/>
      </c>
      <c r="W353">
        <f>IF(OR($D353="",$B353="",Housemates!$B$12=""),0,IF($R353&gt;0,IF(J353="",0,IF(ISNUMBER(J353),J353,1)),IF($C353="Paying back",0,IF(AND(OR(Housemates!$C$12="",Housemates!$C$12&lt;=$B353),OR(Housemates!$D$12="",Housemates!$D$12&gt;=$B353)),IF($Q353=0,1,INDEX(Bills!$AE$6:$AE$25,$Q353)),0))))</f>
        <v/>
      </c>
      <c r="X353">
        <f>IF(OR($D353="",$B353="",Housemates!$B$13=""),0,IF($R353&gt;0,IF(K353="",0,IF(ISNUMBER(K353),K353,1)),IF($C353="Paying back",0,IF(AND(OR(Housemates!$C$13="",Housemates!$C$13&lt;=$B353),OR(Housemates!$D$13="",Housemates!$D$13&gt;=$B353)),IF($Q353=0,1,INDEX(Bills!$AF$6:$AF$25,$Q353)),0))))</f>
        <v/>
      </c>
      <c r="Y353">
        <f>IF(OR($D353="",$B353="",Housemates!$B$14=""),0,IF($R353&gt;0,IF(L353="",0,IF(ISNUMBER(L353),L353,1)),IF($C353="Paying back",0,IF(AND(OR(Housemates!$C$14="",Housemates!$C$14&lt;=$B353),OR(Housemates!$D$14="",Housemates!$D$14&gt;=$B353)),IF($Q353=0,1,INDEX(Bills!$AG$6:$AG$25,$Q353)),0))))</f>
        <v/>
      </c>
      <c r="Z353">
        <f>IF(OR($D353="",$B353="",Housemates!$B$15=""),0,IF($R353&gt;0,IF(M353="",0,IF(ISNUMBER(M353),M353,1)),IF($C353="Paying back",0,IF(AND(OR(Housemates!$C$15="",Housemates!$C$15&lt;=$B353),OR(Housemates!$D$15="",Housemates!$D$15&gt;=$B353)),IF($Q353=0,1,INDEX(Bills!$AH$6:$AH$25,$Q353)),0))))</f>
        <v/>
      </c>
      <c r="AA353">
        <f>SUM(S353:Z353)</f>
        <v/>
      </c>
      <c r="AB353">
        <f>IF(AA353=0,0,D353*S353/AA353)</f>
        <v/>
      </c>
      <c r="AC353">
        <f>IF(AA353=0,0,D353*T353/AA353)</f>
        <v/>
      </c>
      <c r="AD353">
        <f>IF(AA353=0,0,D353*U353/AA353)</f>
        <v/>
      </c>
      <c r="AE353">
        <f>IF(AA353=0,0,D353*V353/AA353)</f>
        <v/>
      </c>
      <c r="AF353">
        <f>IF(AA353=0,0,D353*W353/AA353)</f>
        <v/>
      </c>
      <c r="AG353">
        <f>IF(AA353=0,0,D353*X353/AA353)</f>
        <v/>
      </c>
      <c r="AH353">
        <f>IF(AA353=0,0,D353*Y353/AA353)</f>
        <v/>
      </c>
      <c r="AI353">
        <f>IF(AA353=0,0,D353*Z353/AA353)</f>
        <v/>
      </c>
      <c r="AJ353">
        <f>IF(OR(C353="",B353=""),"",C353&amp;"|"&amp;(YEAR(B353)*100+MONTH(B353)))</f>
        <v/>
      </c>
    </row>
    <row r="354">
      <c r="A354" s="1" t="n"/>
      <c r="B354" s="23" t="n"/>
      <c r="C354" s="24" t="n"/>
      <c r="D354" s="25" t="n"/>
      <c r="E354" s="26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1">
        <f>IF(D354="","",IF(B354="","No date",IF(AND(C354="Paying back",R354=0),"To whom?",IF(AA354=0,"Nobody",IF(C354="Paying back","To "&amp;INDEX(Housemates!$B$8:$B$15,MATCH(MAX(S354:Z354),S354:Z354,0)),IF(R354&gt;0,IF(COUNTIF(S354:Z354,"&gt;0")=1,"1 person",COUNTIF(S354:Z354,"&gt;0")&amp;" people"),IF(Q354=0,"Everyone",INDEX(Bills!$Q$6:$Q$25,Q354))))))))</f>
        <v/>
      </c>
      <c r="O354" s="18">
        <f>IF(D354="","",IF(C354="Paying back","Paying back",IF(Q354=0,"Other",IF(INDEX(Bills!$C$6:$C$25,Q354)="","Other",INDEX(Bills!$C$6:$C$25,Q354)))))</f>
        <v/>
      </c>
      <c r="P354" s="1" t="n"/>
      <c r="Q354">
        <f>IF(C354="",0,IFERROR(MATCH(C354,Bills!$B$6:$B$25,0),0))</f>
        <v/>
      </c>
      <c r="R354">
        <f>COUNTA(F354:M354)</f>
        <v/>
      </c>
      <c r="S354">
        <f>IF(OR($D354="",$B354="",Housemates!$B$8=""),0,IF($R354&gt;0,IF(F354="",0,IF(ISNUMBER(F354),F354,1)),IF($C354="Paying back",0,IF(AND(OR(Housemates!$C$8="",Housemates!$C$8&lt;=$B354),OR(Housemates!$D$8="",Housemates!$D$8&gt;=$B354)),IF($Q354=0,1,INDEX(Bills!$AA$6:$AA$25,$Q354)),0))))</f>
        <v/>
      </c>
      <c r="T354">
        <f>IF(OR($D354="",$B354="",Housemates!$B$9=""),0,IF($R354&gt;0,IF(G354="",0,IF(ISNUMBER(G354),G354,1)),IF($C354="Paying back",0,IF(AND(OR(Housemates!$C$9="",Housemates!$C$9&lt;=$B354),OR(Housemates!$D$9="",Housemates!$D$9&gt;=$B354)),IF($Q354=0,1,INDEX(Bills!$AB$6:$AB$25,$Q354)),0))))</f>
        <v/>
      </c>
      <c r="U354">
        <f>IF(OR($D354="",$B354="",Housemates!$B$10=""),0,IF($R354&gt;0,IF(H354="",0,IF(ISNUMBER(H354),H354,1)),IF($C354="Paying back",0,IF(AND(OR(Housemates!$C$10="",Housemates!$C$10&lt;=$B354),OR(Housemates!$D$10="",Housemates!$D$10&gt;=$B354)),IF($Q354=0,1,INDEX(Bills!$AC$6:$AC$25,$Q354)),0))))</f>
        <v/>
      </c>
      <c r="V354">
        <f>IF(OR($D354="",$B354="",Housemates!$B$11=""),0,IF($R354&gt;0,IF(I354="",0,IF(ISNUMBER(I354),I354,1)),IF($C354="Paying back",0,IF(AND(OR(Housemates!$C$11="",Housemates!$C$11&lt;=$B354),OR(Housemates!$D$11="",Housemates!$D$11&gt;=$B354)),IF($Q354=0,1,INDEX(Bills!$AD$6:$AD$25,$Q354)),0))))</f>
        <v/>
      </c>
      <c r="W354">
        <f>IF(OR($D354="",$B354="",Housemates!$B$12=""),0,IF($R354&gt;0,IF(J354="",0,IF(ISNUMBER(J354),J354,1)),IF($C354="Paying back",0,IF(AND(OR(Housemates!$C$12="",Housemates!$C$12&lt;=$B354),OR(Housemates!$D$12="",Housemates!$D$12&gt;=$B354)),IF($Q354=0,1,INDEX(Bills!$AE$6:$AE$25,$Q354)),0))))</f>
        <v/>
      </c>
      <c r="X354">
        <f>IF(OR($D354="",$B354="",Housemates!$B$13=""),0,IF($R354&gt;0,IF(K354="",0,IF(ISNUMBER(K354),K354,1)),IF($C354="Paying back",0,IF(AND(OR(Housemates!$C$13="",Housemates!$C$13&lt;=$B354),OR(Housemates!$D$13="",Housemates!$D$13&gt;=$B354)),IF($Q354=0,1,INDEX(Bills!$AF$6:$AF$25,$Q354)),0))))</f>
        <v/>
      </c>
      <c r="Y354">
        <f>IF(OR($D354="",$B354="",Housemates!$B$14=""),0,IF($R354&gt;0,IF(L354="",0,IF(ISNUMBER(L354),L354,1)),IF($C354="Paying back",0,IF(AND(OR(Housemates!$C$14="",Housemates!$C$14&lt;=$B354),OR(Housemates!$D$14="",Housemates!$D$14&gt;=$B354)),IF($Q354=0,1,INDEX(Bills!$AG$6:$AG$25,$Q354)),0))))</f>
        <v/>
      </c>
      <c r="Z354">
        <f>IF(OR($D354="",$B354="",Housemates!$B$15=""),0,IF($R354&gt;0,IF(M354="",0,IF(ISNUMBER(M354),M354,1)),IF($C354="Paying back",0,IF(AND(OR(Housemates!$C$15="",Housemates!$C$15&lt;=$B354),OR(Housemates!$D$15="",Housemates!$D$15&gt;=$B354)),IF($Q354=0,1,INDEX(Bills!$AH$6:$AH$25,$Q354)),0))))</f>
        <v/>
      </c>
      <c r="AA354">
        <f>SUM(S354:Z354)</f>
        <v/>
      </c>
      <c r="AB354">
        <f>IF(AA354=0,0,D354*S354/AA354)</f>
        <v/>
      </c>
      <c r="AC354">
        <f>IF(AA354=0,0,D354*T354/AA354)</f>
        <v/>
      </c>
      <c r="AD354">
        <f>IF(AA354=0,0,D354*U354/AA354)</f>
        <v/>
      </c>
      <c r="AE354">
        <f>IF(AA354=0,0,D354*V354/AA354)</f>
        <v/>
      </c>
      <c r="AF354">
        <f>IF(AA354=0,0,D354*W354/AA354)</f>
        <v/>
      </c>
      <c r="AG354">
        <f>IF(AA354=0,0,D354*X354/AA354)</f>
        <v/>
      </c>
      <c r="AH354">
        <f>IF(AA354=0,0,D354*Y354/AA354)</f>
        <v/>
      </c>
      <c r="AI354">
        <f>IF(AA354=0,0,D354*Z354/AA354)</f>
        <v/>
      </c>
      <c r="AJ354">
        <f>IF(OR(C354="",B354=""),"",C354&amp;"|"&amp;(YEAR(B354)*100+MONTH(B354)))</f>
        <v/>
      </c>
    </row>
    <row r="355">
      <c r="A355" s="1" t="n"/>
      <c r="B355" s="23" t="n"/>
      <c r="C355" s="24" t="n"/>
      <c r="D355" s="25" t="n"/>
      <c r="E355" s="26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1">
        <f>IF(D355="","",IF(B355="","No date",IF(AND(C355="Paying back",R355=0),"To whom?",IF(AA355=0,"Nobody",IF(C355="Paying back","To "&amp;INDEX(Housemates!$B$8:$B$15,MATCH(MAX(S355:Z355),S355:Z355,0)),IF(R355&gt;0,IF(COUNTIF(S355:Z355,"&gt;0")=1,"1 person",COUNTIF(S355:Z355,"&gt;0")&amp;" people"),IF(Q355=0,"Everyone",INDEX(Bills!$Q$6:$Q$25,Q355))))))))</f>
        <v/>
      </c>
      <c r="O355" s="18">
        <f>IF(D355="","",IF(C355="Paying back","Paying back",IF(Q355=0,"Other",IF(INDEX(Bills!$C$6:$C$25,Q355)="","Other",INDEX(Bills!$C$6:$C$25,Q355)))))</f>
        <v/>
      </c>
      <c r="P355" s="1" t="n"/>
      <c r="Q355">
        <f>IF(C355="",0,IFERROR(MATCH(C355,Bills!$B$6:$B$25,0),0))</f>
        <v/>
      </c>
      <c r="R355">
        <f>COUNTA(F355:M355)</f>
        <v/>
      </c>
      <c r="S355">
        <f>IF(OR($D355="",$B355="",Housemates!$B$8=""),0,IF($R355&gt;0,IF(F355="",0,IF(ISNUMBER(F355),F355,1)),IF($C355="Paying back",0,IF(AND(OR(Housemates!$C$8="",Housemates!$C$8&lt;=$B355),OR(Housemates!$D$8="",Housemates!$D$8&gt;=$B355)),IF($Q355=0,1,INDEX(Bills!$AA$6:$AA$25,$Q355)),0))))</f>
        <v/>
      </c>
      <c r="T355">
        <f>IF(OR($D355="",$B355="",Housemates!$B$9=""),0,IF($R355&gt;0,IF(G355="",0,IF(ISNUMBER(G355),G355,1)),IF($C355="Paying back",0,IF(AND(OR(Housemates!$C$9="",Housemates!$C$9&lt;=$B355),OR(Housemates!$D$9="",Housemates!$D$9&gt;=$B355)),IF($Q355=0,1,INDEX(Bills!$AB$6:$AB$25,$Q355)),0))))</f>
        <v/>
      </c>
      <c r="U355">
        <f>IF(OR($D355="",$B355="",Housemates!$B$10=""),0,IF($R355&gt;0,IF(H355="",0,IF(ISNUMBER(H355),H355,1)),IF($C355="Paying back",0,IF(AND(OR(Housemates!$C$10="",Housemates!$C$10&lt;=$B355),OR(Housemates!$D$10="",Housemates!$D$10&gt;=$B355)),IF($Q355=0,1,INDEX(Bills!$AC$6:$AC$25,$Q355)),0))))</f>
        <v/>
      </c>
      <c r="V355">
        <f>IF(OR($D355="",$B355="",Housemates!$B$11=""),0,IF($R355&gt;0,IF(I355="",0,IF(ISNUMBER(I355),I355,1)),IF($C355="Paying back",0,IF(AND(OR(Housemates!$C$11="",Housemates!$C$11&lt;=$B355),OR(Housemates!$D$11="",Housemates!$D$11&gt;=$B355)),IF($Q355=0,1,INDEX(Bills!$AD$6:$AD$25,$Q355)),0))))</f>
        <v/>
      </c>
      <c r="W355">
        <f>IF(OR($D355="",$B355="",Housemates!$B$12=""),0,IF($R355&gt;0,IF(J355="",0,IF(ISNUMBER(J355),J355,1)),IF($C355="Paying back",0,IF(AND(OR(Housemates!$C$12="",Housemates!$C$12&lt;=$B355),OR(Housemates!$D$12="",Housemates!$D$12&gt;=$B355)),IF($Q355=0,1,INDEX(Bills!$AE$6:$AE$25,$Q355)),0))))</f>
        <v/>
      </c>
      <c r="X355">
        <f>IF(OR($D355="",$B355="",Housemates!$B$13=""),0,IF($R355&gt;0,IF(K355="",0,IF(ISNUMBER(K355),K355,1)),IF($C355="Paying back",0,IF(AND(OR(Housemates!$C$13="",Housemates!$C$13&lt;=$B355),OR(Housemates!$D$13="",Housemates!$D$13&gt;=$B355)),IF($Q355=0,1,INDEX(Bills!$AF$6:$AF$25,$Q355)),0))))</f>
        <v/>
      </c>
      <c r="Y355">
        <f>IF(OR($D355="",$B355="",Housemates!$B$14=""),0,IF($R355&gt;0,IF(L355="",0,IF(ISNUMBER(L355),L355,1)),IF($C355="Paying back",0,IF(AND(OR(Housemates!$C$14="",Housemates!$C$14&lt;=$B355),OR(Housemates!$D$14="",Housemates!$D$14&gt;=$B355)),IF($Q355=0,1,INDEX(Bills!$AG$6:$AG$25,$Q355)),0))))</f>
        <v/>
      </c>
      <c r="Z355">
        <f>IF(OR($D355="",$B355="",Housemates!$B$15=""),0,IF($R355&gt;0,IF(M355="",0,IF(ISNUMBER(M355),M355,1)),IF($C355="Paying back",0,IF(AND(OR(Housemates!$C$15="",Housemates!$C$15&lt;=$B355),OR(Housemates!$D$15="",Housemates!$D$15&gt;=$B355)),IF($Q355=0,1,INDEX(Bills!$AH$6:$AH$25,$Q355)),0))))</f>
        <v/>
      </c>
      <c r="AA355">
        <f>SUM(S355:Z355)</f>
        <v/>
      </c>
      <c r="AB355">
        <f>IF(AA355=0,0,D355*S355/AA355)</f>
        <v/>
      </c>
      <c r="AC355">
        <f>IF(AA355=0,0,D355*T355/AA355)</f>
        <v/>
      </c>
      <c r="AD355">
        <f>IF(AA355=0,0,D355*U355/AA355)</f>
        <v/>
      </c>
      <c r="AE355">
        <f>IF(AA355=0,0,D355*V355/AA355)</f>
        <v/>
      </c>
      <c r="AF355">
        <f>IF(AA355=0,0,D355*W355/AA355)</f>
        <v/>
      </c>
      <c r="AG355">
        <f>IF(AA355=0,0,D355*X355/AA355)</f>
        <v/>
      </c>
      <c r="AH355">
        <f>IF(AA355=0,0,D355*Y355/AA355)</f>
        <v/>
      </c>
      <c r="AI355">
        <f>IF(AA355=0,0,D355*Z355/AA355)</f>
        <v/>
      </c>
      <c r="AJ355">
        <f>IF(OR(C355="",B355=""),"",C355&amp;"|"&amp;(YEAR(B355)*100+MONTH(B355)))</f>
        <v/>
      </c>
    </row>
    <row r="356">
      <c r="A356" s="1" t="n"/>
      <c r="B356" s="23" t="n"/>
      <c r="C356" s="24" t="n"/>
      <c r="D356" s="25" t="n"/>
      <c r="E356" s="26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1">
        <f>IF(D356="","",IF(B356="","No date",IF(AND(C356="Paying back",R356=0),"To whom?",IF(AA356=0,"Nobody",IF(C356="Paying back","To "&amp;INDEX(Housemates!$B$8:$B$15,MATCH(MAX(S356:Z356),S356:Z356,0)),IF(R356&gt;0,IF(COUNTIF(S356:Z356,"&gt;0")=1,"1 person",COUNTIF(S356:Z356,"&gt;0")&amp;" people"),IF(Q356=0,"Everyone",INDEX(Bills!$Q$6:$Q$25,Q356))))))))</f>
        <v/>
      </c>
      <c r="O356" s="18">
        <f>IF(D356="","",IF(C356="Paying back","Paying back",IF(Q356=0,"Other",IF(INDEX(Bills!$C$6:$C$25,Q356)="","Other",INDEX(Bills!$C$6:$C$25,Q356)))))</f>
        <v/>
      </c>
      <c r="P356" s="1" t="n"/>
      <c r="Q356">
        <f>IF(C356="",0,IFERROR(MATCH(C356,Bills!$B$6:$B$25,0),0))</f>
        <v/>
      </c>
      <c r="R356">
        <f>COUNTA(F356:M356)</f>
        <v/>
      </c>
      <c r="S356">
        <f>IF(OR($D356="",$B356="",Housemates!$B$8=""),0,IF($R356&gt;0,IF(F356="",0,IF(ISNUMBER(F356),F356,1)),IF($C356="Paying back",0,IF(AND(OR(Housemates!$C$8="",Housemates!$C$8&lt;=$B356),OR(Housemates!$D$8="",Housemates!$D$8&gt;=$B356)),IF($Q356=0,1,INDEX(Bills!$AA$6:$AA$25,$Q356)),0))))</f>
        <v/>
      </c>
      <c r="T356">
        <f>IF(OR($D356="",$B356="",Housemates!$B$9=""),0,IF($R356&gt;0,IF(G356="",0,IF(ISNUMBER(G356),G356,1)),IF($C356="Paying back",0,IF(AND(OR(Housemates!$C$9="",Housemates!$C$9&lt;=$B356),OR(Housemates!$D$9="",Housemates!$D$9&gt;=$B356)),IF($Q356=0,1,INDEX(Bills!$AB$6:$AB$25,$Q356)),0))))</f>
        <v/>
      </c>
      <c r="U356">
        <f>IF(OR($D356="",$B356="",Housemates!$B$10=""),0,IF($R356&gt;0,IF(H356="",0,IF(ISNUMBER(H356),H356,1)),IF($C356="Paying back",0,IF(AND(OR(Housemates!$C$10="",Housemates!$C$10&lt;=$B356),OR(Housemates!$D$10="",Housemates!$D$10&gt;=$B356)),IF($Q356=0,1,INDEX(Bills!$AC$6:$AC$25,$Q356)),0))))</f>
        <v/>
      </c>
      <c r="V356">
        <f>IF(OR($D356="",$B356="",Housemates!$B$11=""),0,IF($R356&gt;0,IF(I356="",0,IF(ISNUMBER(I356),I356,1)),IF($C356="Paying back",0,IF(AND(OR(Housemates!$C$11="",Housemates!$C$11&lt;=$B356),OR(Housemates!$D$11="",Housemates!$D$11&gt;=$B356)),IF($Q356=0,1,INDEX(Bills!$AD$6:$AD$25,$Q356)),0))))</f>
        <v/>
      </c>
      <c r="W356">
        <f>IF(OR($D356="",$B356="",Housemates!$B$12=""),0,IF($R356&gt;0,IF(J356="",0,IF(ISNUMBER(J356),J356,1)),IF($C356="Paying back",0,IF(AND(OR(Housemates!$C$12="",Housemates!$C$12&lt;=$B356),OR(Housemates!$D$12="",Housemates!$D$12&gt;=$B356)),IF($Q356=0,1,INDEX(Bills!$AE$6:$AE$25,$Q356)),0))))</f>
        <v/>
      </c>
      <c r="X356">
        <f>IF(OR($D356="",$B356="",Housemates!$B$13=""),0,IF($R356&gt;0,IF(K356="",0,IF(ISNUMBER(K356),K356,1)),IF($C356="Paying back",0,IF(AND(OR(Housemates!$C$13="",Housemates!$C$13&lt;=$B356),OR(Housemates!$D$13="",Housemates!$D$13&gt;=$B356)),IF($Q356=0,1,INDEX(Bills!$AF$6:$AF$25,$Q356)),0))))</f>
        <v/>
      </c>
      <c r="Y356">
        <f>IF(OR($D356="",$B356="",Housemates!$B$14=""),0,IF($R356&gt;0,IF(L356="",0,IF(ISNUMBER(L356),L356,1)),IF($C356="Paying back",0,IF(AND(OR(Housemates!$C$14="",Housemates!$C$14&lt;=$B356),OR(Housemates!$D$14="",Housemates!$D$14&gt;=$B356)),IF($Q356=0,1,INDEX(Bills!$AG$6:$AG$25,$Q356)),0))))</f>
        <v/>
      </c>
      <c r="Z356">
        <f>IF(OR($D356="",$B356="",Housemates!$B$15=""),0,IF($R356&gt;0,IF(M356="",0,IF(ISNUMBER(M356),M356,1)),IF($C356="Paying back",0,IF(AND(OR(Housemates!$C$15="",Housemates!$C$15&lt;=$B356),OR(Housemates!$D$15="",Housemates!$D$15&gt;=$B356)),IF($Q356=0,1,INDEX(Bills!$AH$6:$AH$25,$Q356)),0))))</f>
        <v/>
      </c>
      <c r="AA356">
        <f>SUM(S356:Z356)</f>
        <v/>
      </c>
      <c r="AB356">
        <f>IF(AA356=0,0,D356*S356/AA356)</f>
        <v/>
      </c>
      <c r="AC356">
        <f>IF(AA356=0,0,D356*T356/AA356)</f>
        <v/>
      </c>
      <c r="AD356">
        <f>IF(AA356=0,0,D356*U356/AA356)</f>
        <v/>
      </c>
      <c r="AE356">
        <f>IF(AA356=0,0,D356*V356/AA356)</f>
        <v/>
      </c>
      <c r="AF356">
        <f>IF(AA356=0,0,D356*W356/AA356)</f>
        <v/>
      </c>
      <c r="AG356">
        <f>IF(AA356=0,0,D356*X356/AA356)</f>
        <v/>
      </c>
      <c r="AH356">
        <f>IF(AA356=0,0,D356*Y356/AA356)</f>
        <v/>
      </c>
      <c r="AI356">
        <f>IF(AA356=0,0,D356*Z356/AA356)</f>
        <v/>
      </c>
      <c r="AJ356">
        <f>IF(OR(C356="",B356=""),"",C356&amp;"|"&amp;(YEAR(B356)*100+MONTH(B356)))</f>
        <v/>
      </c>
    </row>
    <row r="357">
      <c r="A357" s="1" t="n"/>
      <c r="B357" s="23" t="n"/>
      <c r="C357" s="24" t="n"/>
      <c r="D357" s="25" t="n"/>
      <c r="E357" s="26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1">
        <f>IF(D357="","",IF(B357="","No date",IF(AND(C357="Paying back",R357=0),"To whom?",IF(AA357=0,"Nobody",IF(C357="Paying back","To "&amp;INDEX(Housemates!$B$8:$B$15,MATCH(MAX(S357:Z357),S357:Z357,0)),IF(R357&gt;0,IF(COUNTIF(S357:Z357,"&gt;0")=1,"1 person",COUNTIF(S357:Z357,"&gt;0")&amp;" people"),IF(Q357=0,"Everyone",INDEX(Bills!$Q$6:$Q$25,Q357))))))))</f>
        <v/>
      </c>
      <c r="O357" s="18">
        <f>IF(D357="","",IF(C357="Paying back","Paying back",IF(Q357=0,"Other",IF(INDEX(Bills!$C$6:$C$25,Q357)="","Other",INDEX(Bills!$C$6:$C$25,Q357)))))</f>
        <v/>
      </c>
      <c r="P357" s="1" t="n"/>
      <c r="Q357">
        <f>IF(C357="",0,IFERROR(MATCH(C357,Bills!$B$6:$B$25,0),0))</f>
        <v/>
      </c>
      <c r="R357">
        <f>COUNTA(F357:M357)</f>
        <v/>
      </c>
      <c r="S357">
        <f>IF(OR($D357="",$B357="",Housemates!$B$8=""),0,IF($R357&gt;0,IF(F357="",0,IF(ISNUMBER(F357),F357,1)),IF($C357="Paying back",0,IF(AND(OR(Housemates!$C$8="",Housemates!$C$8&lt;=$B357),OR(Housemates!$D$8="",Housemates!$D$8&gt;=$B357)),IF($Q357=0,1,INDEX(Bills!$AA$6:$AA$25,$Q357)),0))))</f>
        <v/>
      </c>
      <c r="T357">
        <f>IF(OR($D357="",$B357="",Housemates!$B$9=""),0,IF($R357&gt;0,IF(G357="",0,IF(ISNUMBER(G357),G357,1)),IF($C357="Paying back",0,IF(AND(OR(Housemates!$C$9="",Housemates!$C$9&lt;=$B357),OR(Housemates!$D$9="",Housemates!$D$9&gt;=$B357)),IF($Q357=0,1,INDEX(Bills!$AB$6:$AB$25,$Q357)),0))))</f>
        <v/>
      </c>
      <c r="U357">
        <f>IF(OR($D357="",$B357="",Housemates!$B$10=""),0,IF($R357&gt;0,IF(H357="",0,IF(ISNUMBER(H357),H357,1)),IF($C357="Paying back",0,IF(AND(OR(Housemates!$C$10="",Housemates!$C$10&lt;=$B357),OR(Housemates!$D$10="",Housemates!$D$10&gt;=$B357)),IF($Q357=0,1,INDEX(Bills!$AC$6:$AC$25,$Q357)),0))))</f>
        <v/>
      </c>
      <c r="V357">
        <f>IF(OR($D357="",$B357="",Housemates!$B$11=""),0,IF($R357&gt;0,IF(I357="",0,IF(ISNUMBER(I357),I357,1)),IF($C357="Paying back",0,IF(AND(OR(Housemates!$C$11="",Housemates!$C$11&lt;=$B357),OR(Housemates!$D$11="",Housemates!$D$11&gt;=$B357)),IF($Q357=0,1,INDEX(Bills!$AD$6:$AD$25,$Q357)),0))))</f>
        <v/>
      </c>
      <c r="W357">
        <f>IF(OR($D357="",$B357="",Housemates!$B$12=""),0,IF($R357&gt;0,IF(J357="",0,IF(ISNUMBER(J357),J357,1)),IF($C357="Paying back",0,IF(AND(OR(Housemates!$C$12="",Housemates!$C$12&lt;=$B357),OR(Housemates!$D$12="",Housemates!$D$12&gt;=$B357)),IF($Q357=0,1,INDEX(Bills!$AE$6:$AE$25,$Q357)),0))))</f>
        <v/>
      </c>
      <c r="X357">
        <f>IF(OR($D357="",$B357="",Housemates!$B$13=""),0,IF($R357&gt;0,IF(K357="",0,IF(ISNUMBER(K357),K357,1)),IF($C357="Paying back",0,IF(AND(OR(Housemates!$C$13="",Housemates!$C$13&lt;=$B357),OR(Housemates!$D$13="",Housemates!$D$13&gt;=$B357)),IF($Q357=0,1,INDEX(Bills!$AF$6:$AF$25,$Q357)),0))))</f>
        <v/>
      </c>
      <c r="Y357">
        <f>IF(OR($D357="",$B357="",Housemates!$B$14=""),0,IF($R357&gt;0,IF(L357="",0,IF(ISNUMBER(L357),L357,1)),IF($C357="Paying back",0,IF(AND(OR(Housemates!$C$14="",Housemates!$C$14&lt;=$B357),OR(Housemates!$D$14="",Housemates!$D$14&gt;=$B357)),IF($Q357=0,1,INDEX(Bills!$AG$6:$AG$25,$Q357)),0))))</f>
        <v/>
      </c>
      <c r="Z357">
        <f>IF(OR($D357="",$B357="",Housemates!$B$15=""),0,IF($R357&gt;0,IF(M357="",0,IF(ISNUMBER(M357),M357,1)),IF($C357="Paying back",0,IF(AND(OR(Housemates!$C$15="",Housemates!$C$15&lt;=$B357),OR(Housemates!$D$15="",Housemates!$D$15&gt;=$B357)),IF($Q357=0,1,INDEX(Bills!$AH$6:$AH$25,$Q357)),0))))</f>
        <v/>
      </c>
      <c r="AA357">
        <f>SUM(S357:Z357)</f>
        <v/>
      </c>
      <c r="AB357">
        <f>IF(AA357=0,0,D357*S357/AA357)</f>
        <v/>
      </c>
      <c r="AC357">
        <f>IF(AA357=0,0,D357*T357/AA357)</f>
        <v/>
      </c>
      <c r="AD357">
        <f>IF(AA357=0,0,D357*U357/AA357)</f>
        <v/>
      </c>
      <c r="AE357">
        <f>IF(AA357=0,0,D357*V357/AA357)</f>
        <v/>
      </c>
      <c r="AF357">
        <f>IF(AA357=0,0,D357*W357/AA357)</f>
        <v/>
      </c>
      <c r="AG357">
        <f>IF(AA357=0,0,D357*X357/AA357)</f>
        <v/>
      </c>
      <c r="AH357">
        <f>IF(AA357=0,0,D357*Y357/AA357)</f>
        <v/>
      </c>
      <c r="AI357">
        <f>IF(AA357=0,0,D357*Z357/AA357)</f>
        <v/>
      </c>
      <c r="AJ357">
        <f>IF(OR(C357="",B357=""),"",C357&amp;"|"&amp;(YEAR(B357)*100+MONTH(B357)))</f>
        <v/>
      </c>
    </row>
    <row r="358">
      <c r="A358" s="1" t="n"/>
      <c r="B358" s="23" t="n"/>
      <c r="C358" s="24" t="n"/>
      <c r="D358" s="25" t="n"/>
      <c r="E358" s="26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1">
        <f>IF(D358="","",IF(B358="","No date",IF(AND(C358="Paying back",R358=0),"To whom?",IF(AA358=0,"Nobody",IF(C358="Paying back","To "&amp;INDEX(Housemates!$B$8:$B$15,MATCH(MAX(S358:Z358),S358:Z358,0)),IF(R358&gt;0,IF(COUNTIF(S358:Z358,"&gt;0")=1,"1 person",COUNTIF(S358:Z358,"&gt;0")&amp;" people"),IF(Q358=0,"Everyone",INDEX(Bills!$Q$6:$Q$25,Q358))))))))</f>
        <v/>
      </c>
      <c r="O358" s="18">
        <f>IF(D358="","",IF(C358="Paying back","Paying back",IF(Q358=0,"Other",IF(INDEX(Bills!$C$6:$C$25,Q358)="","Other",INDEX(Bills!$C$6:$C$25,Q358)))))</f>
        <v/>
      </c>
      <c r="P358" s="1" t="n"/>
      <c r="Q358">
        <f>IF(C358="",0,IFERROR(MATCH(C358,Bills!$B$6:$B$25,0),0))</f>
        <v/>
      </c>
      <c r="R358">
        <f>COUNTA(F358:M358)</f>
        <v/>
      </c>
      <c r="S358">
        <f>IF(OR($D358="",$B358="",Housemates!$B$8=""),0,IF($R358&gt;0,IF(F358="",0,IF(ISNUMBER(F358),F358,1)),IF($C358="Paying back",0,IF(AND(OR(Housemates!$C$8="",Housemates!$C$8&lt;=$B358),OR(Housemates!$D$8="",Housemates!$D$8&gt;=$B358)),IF($Q358=0,1,INDEX(Bills!$AA$6:$AA$25,$Q358)),0))))</f>
        <v/>
      </c>
      <c r="T358">
        <f>IF(OR($D358="",$B358="",Housemates!$B$9=""),0,IF($R358&gt;0,IF(G358="",0,IF(ISNUMBER(G358),G358,1)),IF($C358="Paying back",0,IF(AND(OR(Housemates!$C$9="",Housemates!$C$9&lt;=$B358),OR(Housemates!$D$9="",Housemates!$D$9&gt;=$B358)),IF($Q358=0,1,INDEX(Bills!$AB$6:$AB$25,$Q358)),0))))</f>
        <v/>
      </c>
      <c r="U358">
        <f>IF(OR($D358="",$B358="",Housemates!$B$10=""),0,IF($R358&gt;0,IF(H358="",0,IF(ISNUMBER(H358),H358,1)),IF($C358="Paying back",0,IF(AND(OR(Housemates!$C$10="",Housemates!$C$10&lt;=$B358),OR(Housemates!$D$10="",Housemates!$D$10&gt;=$B358)),IF($Q358=0,1,INDEX(Bills!$AC$6:$AC$25,$Q358)),0))))</f>
        <v/>
      </c>
      <c r="V358">
        <f>IF(OR($D358="",$B358="",Housemates!$B$11=""),0,IF($R358&gt;0,IF(I358="",0,IF(ISNUMBER(I358),I358,1)),IF($C358="Paying back",0,IF(AND(OR(Housemates!$C$11="",Housemates!$C$11&lt;=$B358),OR(Housemates!$D$11="",Housemates!$D$11&gt;=$B358)),IF($Q358=0,1,INDEX(Bills!$AD$6:$AD$25,$Q358)),0))))</f>
        <v/>
      </c>
      <c r="W358">
        <f>IF(OR($D358="",$B358="",Housemates!$B$12=""),0,IF($R358&gt;0,IF(J358="",0,IF(ISNUMBER(J358),J358,1)),IF($C358="Paying back",0,IF(AND(OR(Housemates!$C$12="",Housemates!$C$12&lt;=$B358),OR(Housemates!$D$12="",Housemates!$D$12&gt;=$B358)),IF($Q358=0,1,INDEX(Bills!$AE$6:$AE$25,$Q358)),0))))</f>
        <v/>
      </c>
      <c r="X358">
        <f>IF(OR($D358="",$B358="",Housemates!$B$13=""),0,IF($R358&gt;0,IF(K358="",0,IF(ISNUMBER(K358),K358,1)),IF($C358="Paying back",0,IF(AND(OR(Housemates!$C$13="",Housemates!$C$13&lt;=$B358),OR(Housemates!$D$13="",Housemates!$D$13&gt;=$B358)),IF($Q358=0,1,INDEX(Bills!$AF$6:$AF$25,$Q358)),0))))</f>
        <v/>
      </c>
      <c r="Y358">
        <f>IF(OR($D358="",$B358="",Housemates!$B$14=""),0,IF($R358&gt;0,IF(L358="",0,IF(ISNUMBER(L358),L358,1)),IF($C358="Paying back",0,IF(AND(OR(Housemates!$C$14="",Housemates!$C$14&lt;=$B358),OR(Housemates!$D$14="",Housemates!$D$14&gt;=$B358)),IF($Q358=0,1,INDEX(Bills!$AG$6:$AG$25,$Q358)),0))))</f>
        <v/>
      </c>
      <c r="Z358">
        <f>IF(OR($D358="",$B358="",Housemates!$B$15=""),0,IF($R358&gt;0,IF(M358="",0,IF(ISNUMBER(M358),M358,1)),IF($C358="Paying back",0,IF(AND(OR(Housemates!$C$15="",Housemates!$C$15&lt;=$B358),OR(Housemates!$D$15="",Housemates!$D$15&gt;=$B358)),IF($Q358=0,1,INDEX(Bills!$AH$6:$AH$25,$Q358)),0))))</f>
        <v/>
      </c>
      <c r="AA358">
        <f>SUM(S358:Z358)</f>
        <v/>
      </c>
      <c r="AB358">
        <f>IF(AA358=0,0,D358*S358/AA358)</f>
        <v/>
      </c>
      <c r="AC358">
        <f>IF(AA358=0,0,D358*T358/AA358)</f>
        <v/>
      </c>
      <c r="AD358">
        <f>IF(AA358=0,0,D358*U358/AA358)</f>
        <v/>
      </c>
      <c r="AE358">
        <f>IF(AA358=0,0,D358*V358/AA358)</f>
        <v/>
      </c>
      <c r="AF358">
        <f>IF(AA358=0,0,D358*W358/AA358)</f>
        <v/>
      </c>
      <c r="AG358">
        <f>IF(AA358=0,0,D358*X358/AA358)</f>
        <v/>
      </c>
      <c r="AH358">
        <f>IF(AA358=0,0,D358*Y358/AA358)</f>
        <v/>
      </c>
      <c r="AI358">
        <f>IF(AA358=0,0,D358*Z358/AA358)</f>
        <v/>
      </c>
      <c r="AJ358">
        <f>IF(OR(C358="",B358=""),"",C358&amp;"|"&amp;(YEAR(B358)*100+MONTH(B358)))</f>
        <v/>
      </c>
    </row>
    <row r="359">
      <c r="A359" s="1" t="n"/>
      <c r="B359" s="23" t="n"/>
      <c r="C359" s="24" t="n"/>
      <c r="D359" s="25" t="n"/>
      <c r="E359" s="26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1">
        <f>IF(D359="","",IF(B359="","No date",IF(AND(C359="Paying back",R359=0),"To whom?",IF(AA359=0,"Nobody",IF(C359="Paying back","To "&amp;INDEX(Housemates!$B$8:$B$15,MATCH(MAX(S359:Z359),S359:Z359,0)),IF(R359&gt;0,IF(COUNTIF(S359:Z359,"&gt;0")=1,"1 person",COUNTIF(S359:Z359,"&gt;0")&amp;" people"),IF(Q359=0,"Everyone",INDEX(Bills!$Q$6:$Q$25,Q359))))))))</f>
        <v/>
      </c>
      <c r="O359" s="18">
        <f>IF(D359="","",IF(C359="Paying back","Paying back",IF(Q359=0,"Other",IF(INDEX(Bills!$C$6:$C$25,Q359)="","Other",INDEX(Bills!$C$6:$C$25,Q359)))))</f>
        <v/>
      </c>
      <c r="P359" s="1" t="n"/>
      <c r="Q359">
        <f>IF(C359="",0,IFERROR(MATCH(C359,Bills!$B$6:$B$25,0),0))</f>
        <v/>
      </c>
      <c r="R359">
        <f>COUNTA(F359:M359)</f>
        <v/>
      </c>
      <c r="S359">
        <f>IF(OR($D359="",$B359="",Housemates!$B$8=""),0,IF($R359&gt;0,IF(F359="",0,IF(ISNUMBER(F359),F359,1)),IF($C359="Paying back",0,IF(AND(OR(Housemates!$C$8="",Housemates!$C$8&lt;=$B359),OR(Housemates!$D$8="",Housemates!$D$8&gt;=$B359)),IF($Q359=0,1,INDEX(Bills!$AA$6:$AA$25,$Q359)),0))))</f>
        <v/>
      </c>
      <c r="T359">
        <f>IF(OR($D359="",$B359="",Housemates!$B$9=""),0,IF($R359&gt;0,IF(G359="",0,IF(ISNUMBER(G359),G359,1)),IF($C359="Paying back",0,IF(AND(OR(Housemates!$C$9="",Housemates!$C$9&lt;=$B359),OR(Housemates!$D$9="",Housemates!$D$9&gt;=$B359)),IF($Q359=0,1,INDEX(Bills!$AB$6:$AB$25,$Q359)),0))))</f>
        <v/>
      </c>
      <c r="U359">
        <f>IF(OR($D359="",$B359="",Housemates!$B$10=""),0,IF($R359&gt;0,IF(H359="",0,IF(ISNUMBER(H359),H359,1)),IF($C359="Paying back",0,IF(AND(OR(Housemates!$C$10="",Housemates!$C$10&lt;=$B359),OR(Housemates!$D$10="",Housemates!$D$10&gt;=$B359)),IF($Q359=0,1,INDEX(Bills!$AC$6:$AC$25,$Q359)),0))))</f>
        <v/>
      </c>
      <c r="V359">
        <f>IF(OR($D359="",$B359="",Housemates!$B$11=""),0,IF($R359&gt;0,IF(I359="",0,IF(ISNUMBER(I359),I359,1)),IF($C359="Paying back",0,IF(AND(OR(Housemates!$C$11="",Housemates!$C$11&lt;=$B359),OR(Housemates!$D$11="",Housemates!$D$11&gt;=$B359)),IF($Q359=0,1,INDEX(Bills!$AD$6:$AD$25,$Q359)),0))))</f>
        <v/>
      </c>
      <c r="W359">
        <f>IF(OR($D359="",$B359="",Housemates!$B$12=""),0,IF($R359&gt;0,IF(J359="",0,IF(ISNUMBER(J359),J359,1)),IF($C359="Paying back",0,IF(AND(OR(Housemates!$C$12="",Housemates!$C$12&lt;=$B359),OR(Housemates!$D$12="",Housemates!$D$12&gt;=$B359)),IF($Q359=0,1,INDEX(Bills!$AE$6:$AE$25,$Q359)),0))))</f>
        <v/>
      </c>
      <c r="X359">
        <f>IF(OR($D359="",$B359="",Housemates!$B$13=""),0,IF($R359&gt;0,IF(K359="",0,IF(ISNUMBER(K359),K359,1)),IF($C359="Paying back",0,IF(AND(OR(Housemates!$C$13="",Housemates!$C$13&lt;=$B359),OR(Housemates!$D$13="",Housemates!$D$13&gt;=$B359)),IF($Q359=0,1,INDEX(Bills!$AF$6:$AF$25,$Q359)),0))))</f>
        <v/>
      </c>
      <c r="Y359">
        <f>IF(OR($D359="",$B359="",Housemates!$B$14=""),0,IF($R359&gt;0,IF(L359="",0,IF(ISNUMBER(L359),L359,1)),IF($C359="Paying back",0,IF(AND(OR(Housemates!$C$14="",Housemates!$C$14&lt;=$B359),OR(Housemates!$D$14="",Housemates!$D$14&gt;=$B359)),IF($Q359=0,1,INDEX(Bills!$AG$6:$AG$25,$Q359)),0))))</f>
        <v/>
      </c>
      <c r="Z359">
        <f>IF(OR($D359="",$B359="",Housemates!$B$15=""),0,IF($R359&gt;0,IF(M359="",0,IF(ISNUMBER(M359),M359,1)),IF($C359="Paying back",0,IF(AND(OR(Housemates!$C$15="",Housemates!$C$15&lt;=$B359),OR(Housemates!$D$15="",Housemates!$D$15&gt;=$B359)),IF($Q359=0,1,INDEX(Bills!$AH$6:$AH$25,$Q359)),0))))</f>
        <v/>
      </c>
      <c r="AA359">
        <f>SUM(S359:Z359)</f>
        <v/>
      </c>
      <c r="AB359">
        <f>IF(AA359=0,0,D359*S359/AA359)</f>
        <v/>
      </c>
      <c r="AC359">
        <f>IF(AA359=0,0,D359*T359/AA359)</f>
        <v/>
      </c>
      <c r="AD359">
        <f>IF(AA359=0,0,D359*U359/AA359)</f>
        <v/>
      </c>
      <c r="AE359">
        <f>IF(AA359=0,0,D359*V359/AA359)</f>
        <v/>
      </c>
      <c r="AF359">
        <f>IF(AA359=0,0,D359*W359/AA359)</f>
        <v/>
      </c>
      <c r="AG359">
        <f>IF(AA359=0,0,D359*X359/AA359)</f>
        <v/>
      </c>
      <c r="AH359">
        <f>IF(AA359=0,0,D359*Y359/AA359)</f>
        <v/>
      </c>
      <c r="AI359">
        <f>IF(AA359=0,0,D359*Z359/AA359)</f>
        <v/>
      </c>
      <c r="AJ359">
        <f>IF(OR(C359="",B359=""),"",C359&amp;"|"&amp;(YEAR(B359)*100+MONTH(B359)))</f>
        <v/>
      </c>
    </row>
    <row r="360">
      <c r="A360" s="1" t="n"/>
      <c r="B360" s="23" t="n"/>
      <c r="C360" s="24" t="n"/>
      <c r="D360" s="25" t="n"/>
      <c r="E360" s="26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1">
        <f>IF(D360="","",IF(B360="","No date",IF(AND(C360="Paying back",R360=0),"To whom?",IF(AA360=0,"Nobody",IF(C360="Paying back","To "&amp;INDEX(Housemates!$B$8:$B$15,MATCH(MAX(S360:Z360),S360:Z360,0)),IF(R360&gt;0,IF(COUNTIF(S360:Z360,"&gt;0")=1,"1 person",COUNTIF(S360:Z360,"&gt;0")&amp;" people"),IF(Q360=0,"Everyone",INDEX(Bills!$Q$6:$Q$25,Q360))))))))</f>
        <v/>
      </c>
      <c r="O360" s="18">
        <f>IF(D360="","",IF(C360="Paying back","Paying back",IF(Q360=0,"Other",IF(INDEX(Bills!$C$6:$C$25,Q360)="","Other",INDEX(Bills!$C$6:$C$25,Q360)))))</f>
        <v/>
      </c>
      <c r="P360" s="1" t="n"/>
      <c r="Q360">
        <f>IF(C360="",0,IFERROR(MATCH(C360,Bills!$B$6:$B$25,0),0))</f>
        <v/>
      </c>
      <c r="R360">
        <f>COUNTA(F360:M360)</f>
        <v/>
      </c>
      <c r="S360">
        <f>IF(OR($D360="",$B360="",Housemates!$B$8=""),0,IF($R360&gt;0,IF(F360="",0,IF(ISNUMBER(F360),F360,1)),IF($C360="Paying back",0,IF(AND(OR(Housemates!$C$8="",Housemates!$C$8&lt;=$B360),OR(Housemates!$D$8="",Housemates!$D$8&gt;=$B360)),IF($Q360=0,1,INDEX(Bills!$AA$6:$AA$25,$Q360)),0))))</f>
        <v/>
      </c>
      <c r="T360">
        <f>IF(OR($D360="",$B360="",Housemates!$B$9=""),0,IF($R360&gt;0,IF(G360="",0,IF(ISNUMBER(G360),G360,1)),IF($C360="Paying back",0,IF(AND(OR(Housemates!$C$9="",Housemates!$C$9&lt;=$B360),OR(Housemates!$D$9="",Housemates!$D$9&gt;=$B360)),IF($Q360=0,1,INDEX(Bills!$AB$6:$AB$25,$Q360)),0))))</f>
        <v/>
      </c>
      <c r="U360">
        <f>IF(OR($D360="",$B360="",Housemates!$B$10=""),0,IF($R360&gt;0,IF(H360="",0,IF(ISNUMBER(H360),H360,1)),IF($C360="Paying back",0,IF(AND(OR(Housemates!$C$10="",Housemates!$C$10&lt;=$B360),OR(Housemates!$D$10="",Housemates!$D$10&gt;=$B360)),IF($Q360=0,1,INDEX(Bills!$AC$6:$AC$25,$Q360)),0))))</f>
        <v/>
      </c>
      <c r="V360">
        <f>IF(OR($D360="",$B360="",Housemates!$B$11=""),0,IF($R360&gt;0,IF(I360="",0,IF(ISNUMBER(I360),I360,1)),IF($C360="Paying back",0,IF(AND(OR(Housemates!$C$11="",Housemates!$C$11&lt;=$B360),OR(Housemates!$D$11="",Housemates!$D$11&gt;=$B360)),IF($Q360=0,1,INDEX(Bills!$AD$6:$AD$25,$Q360)),0))))</f>
        <v/>
      </c>
      <c r="W360">
        <f>IF(OR($D360="",$B360="",Housemates!$B$12=""),0,IF($R360&gt;0,IF(J360="",0,IF(ISNUMBER(J360),J360,1)),IF($C360="Paying back",0,IF(AND(OR(Housemates!$C$12="",Housemates!$C$12&lt;=$B360),OR(Housemates!$D$12="",Housemates!$D$12&gt;=$B360)),IF($Q360=0,1,INDEX(Bills!$AE$6:$AE$25,$Q360)),0))))</f>
        <v/>
      </c>
      <c r="X360">
        <f>IF(OR($D360="",$B360="",Housemates!$B$13=""),0,IF($R360&gt;0,IF(K360="",0,IF(ISNUMBER(K360),K360,1)),IF($C360="Paying back",0,IF(AND(OR(Housemates!$C$13="",Housemates!$C$13&lt;=$B360),OR(Housemates!$D$13="",Housemates!$D$13&gt;=$B360)),IF($Q360=0,1,INDEX(Bills!$AF$6:$AF$25,$Q360)),0))))</f>
        <v/>
      </c>
      <c r="Y360">
        <f>IF(OR($D360="",$B360="",Housemates!$B$14=""),0,IF($R360&gt;0,IF(L360="",0,IF(ISNUMBER(L360),L360,1)),IF($C360="Paying back",0,IF(AND(OR(Housemates!$C$14="",Housemates!$C$14&lt;=$B360),OR(Housemates!$D$14="",Housemates!$D$14&gt;=$B360)),IF($Q360=0,1,INDEX(Bills!$AG$6:$AG$25,$Q360)),0))))</f>
        <v/>
      </c>
      <c r="Z360">
        <f>IF(OR($D360="",$B360="",Housemates!$B$15=""),0,IF($R360&gt;0,IF(M360="",0,IF(ISNUMBER(M360),M360,1)),IF($C360="Paying back",0,IF(AND(OR(Housemates!$C$15="",Housemates!$C$15&lt;=$B360),OR(Housemates!$D$15="",Housemates!$D$15&gt;=$B360)),IF($Q360=0,1,INDEX(Bills!$AH$6:$AH$25,$Q360)),0))))</f>
        <v/>
      </c>
      <c r="AA360">
        <f>SUM(S360:Z360)</f>
        <v/>
      </c>
      <c r="AB360">
        <f>IF(AA360=0,0,D360*S360/AA360)</f>
        <v/>
      </c>
      <c r="AC360">
        <f>IF(AA360=0,0,D360*T360/AA360)</f>
        <v/>
      </c>
      <c r="AD360">
        <f>IF(AA360=0,0,D360*U360/AA360)</f>
        <v/>
      </c>
      <c r="AE360">
        <f>IF(AA360=0,0,D360*V360/AA360)</f>
        <v/>
      </c>
      <c r="AF360">
        <f>IF(AA360=0,0,D360*W360/AA360)</f>
        <v/>
      </c>
      <c r="AG360">
        <f>IF(AA360=0,0,D360*X360/AA360)</f>
        <v/>
      </c>
      <c r="AH360">
        <f>IF(AA360=0,0,D360*Y360/AA360)</f>
        <v/>
      </c>
      <c r="AI360">
        <f>IF(AA360=0,0,D360*Z360/AA360)</f>
        <v/>
      </c>
      <c r="AJ360">
        <f>IF(OR(C360="",B360=""),"",C360&amp;"|"&amp;(YEAR(B360)*100+MONTH(B360)))</f>
        <v/>
      </c>
    </row>
    <row r="361">
      <c r="A361" s="1" t="n"/>
      <c r="B361" s="23" t="n"/>
      <c r="C361" s="24" t="n"/>
      <c r="D361" s="25" t="n"/>
      <c r="E361" s="26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1">
        <f>IF(D361="","",IF(B361="","No date",IF(AND(C361="Paying back",R361=0),"To whom?",IF(AA361=0,"Nobody",IF(C361="Paying back","To "&amp;INDEX(Housemates!$B$8:$B$15,MATCH(MAX(S361:Z361),S361:Z361,0)),IF(R361&gt;0,IF(COUNTIF(S361:Z361,"&gt;0")=1,"1 person",COUNTIF(S361:Z361,"&gt;0")&amp;" people"),IF(Q361=0,"Everyone",INDEX(Bills!$Q$6:$Q$25,Q361))))))))</f>
        <v/>
      </c>
      <c r="O361" s="18">
        <f>IF(D361="","",IF(C361="Paying back","Paying back",IF(Q361=0,"Other",IF(INDEX(Bills!$C$6:$C$25,Q361)="","Other",INDEX(Bills!$C$6:$C$25,Q361)))))</f>
        <v/>
      </c>
      <c r="P361" s="1" t="n"/>
      <c r="Q361">
        <f>IF(C361="",0,IFERROR(MATCH(C361,Bills!$B$6:$B$25,0),0))</f>
        <v/>
      </c>
      <c r="R361">
        <f>COUNTA(F361:M361)</f>
        <v/>
      </c>
      <c r="S361">
        <f>IF(OR($D361="",$B361="",Housemates!$B$8=""),0,IF($R361&gt;0,IF(F361="",0,IF(ISNUMBER(F361),F361,1)),IF($C361="Paying back",0,IF(AND(OR(Housemates!$C$8="",Housemates!$C$8&lt;=$B361),OR(Housemates!$D$8="",Housemates!$D$8&gt;=$B361)),IF($Q361=0,1,INDEX(Bills!$AA$6:$AA$25,$Q361)),0))))</f>
        <v/>
      </c>
      <c r="T361">
        <f>IF(OR($D361="",$B361="",Housemates!$B$9=""),0,IF($R361&gt;0,IF(G361="",0,IF(ISNUMBER(G361),G361,1)),IF($C361="Paying back",0,IF(AND(OR(Housemates!$C$9="",Housemates!$C$9&lt;=$B361),OR(Housemates!$D$9="",Housemates!$D$9&gt;=$B361)),IF($Q361=0,1,INDEX(Bills!$AB$6:$AB$25,$Q361)),0))))</f>
        <v/>
      </c>
      <c r="U361">
        <f>IF(OR($D361="",$B361="",Housemates!$B$10=""),0,IF($R361&gt;0,IF(H361="",0,IF(ISNUMBER(H361),H361,1)),IF($C361="Paying back",0,IF(AND(OR(Housemates!$C$10="",Housemates!$C$10&lt;=$B361),OR(Housemates!$D$10="",Housemates!$D$10&gt;=$B361)),IF($Q361=0,1,INDEX(Bills!$AC$6:$AC$25,$Q361)),0))))</f>
        <v/>
      </c>
      <c r="V361">
        <f>IF(OR($D361="",$B361="",Housemates!$B$11=""),0,IF($R361&gt;0,IF(I361="",0,IF(ISNUMBER(I361),I361,1)),IF($C361="Paying back",0,IF(AND(OR(Housemates!$C$11="",Housemates!$C$11&lt;=$B361),OR(Housemates!$D$11="",Housemates!$D$11&gt;=$B361)),IF($Q361=0,1,INDEX(Bills!$AD$6:$AD$25,$Q361)),0))))</f>
        <v/>
      </c>
      <c r="W361">
        <f>IF(OR($D361="",$B361="",Housemates!$B$12=""),0,IF($R361&gt;0,IF(J361="",0,IF(ISNUMBER(J361),J361,1)),IF($C361="Paying back",0,IF(AND(OR(Housemates!$C$12="",Housemates!$C$12&lt;=$B361),OR(Housemates!$D$12="",Housemates!$D$12&gt;=$B361)),IF($Q361=0,1,INDEX(Bills!$AE$6:$AE$25,$Q361)),0))))</f>
        <v/>
      </c>
      <c r="X361">
        <f>IF(OR($D361="",$B361="",Housemates!$B$13=""),0,IF($R361&gt;0,IF(K361="",0,IF(ISNUMBER(K361),K361,1)),IF($C361="Paying back",0,IF(AND(OR(Housemates!$C$13="",Housemates!$C$13&lt;=$B361),OR(Housemates!$D$13="",Housemates!$D$13&gt;=$B361)),IF($Q361=0,1,INDEX(Bills!$AF$6:$AF$25,$Q361)),0))))</f>
        <v/>
      </c>
      <c r="Y361">
        <f>IF(OR($D361="",$B361="",Housemates!$B$14=""),0,IF($R361&gt;0,IF(L361="",0,IF(ISNUMBER(L361),L361,1)),IF($C361="Paying back",0,IF(AND(OR(Housemates!$C$14="",Housemates!$C$14&lt;=$B361),OR(Housemates!$D$14="",Housemates!$D$14&gt;=$B361)),IF($Q361=0,1,INDEX(Bills!$AG$6:$AG$25,$Q361)),0))))</f>
        <v/>
      </c>
      <c r="Z361">
        <f>IF(OR($D361="",$B361="",Housemates!$B$15=""),0,IF($R361&gt;0,IF(M361="",0,IF(ISNUMBER(M361),M361,1)),IF($C361="Paying back",0,IF(AND(OR(Housemates!$C$15="",Housemates!$C$15&lt;=$B361),OR(Housemates!$D$15="",Housemates!$D$15&gt;=$B361)),IF($Q361=0,1,INDEX(Bills!$AH$6:$AH$25,$Q361)),0))))</f>
        <v/>
      </c>
      <c r="AA361">
        <f>SUM(S361:Z361)</f>
        <v/>
      </c>
      <c r="AB361">
        <f>IF(AA361=0,0,D361*S361/AA361)</f>
        <v/>
      </c>
      <c r="AC361">
        <f>IF(AA361=0,0,D361*T361/AA361)</f>
        <v/>
      </c>
      <c r="AD361">
        <f>IF(AA361=0,0,D361*U361/AA361)</f>
        <v/>
      </c>
      <c r="AE361">
        <f>IF(AA361=0,0,D361*V361/AA361)</f>
        <v/>
      </c>
      <c r="AF361">
        <f>IF(AA361=0,0,D361*W361/AA361)</f>
        <v/>
      </c>
      <c r="AG361">
        <f>IF(AA361=0,0,D361*X361/AA361)</f>
        <v/>
      </c>
      <c r="AH361">
        <f>IF(AA361=0,0,D361*Y361/AA361)</f>
        <v/>
      </c>
      <c r="AI361">
        <f>IF(AA361=0,0,D361*Z361/AA361)</f>
        <v/>
      </c>
      <c r="AJ361">
        <f>IF(OR(C361="",B361=""),"",C361&amp;"|"&amp;(YEAR(B361)*100+MONTH(B361)))</f>
        <v/>
      </c>
    </row>
    <row r="362">
      <c r="A362" s="1" t="n"/>
      <c r="B362" s="23" t="n"/>
      <c r="C362" s="24" t="n"/>
      <c r="D362" s="25" t="n"/>
      <c r="E362" s="26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1">
        <f>IF(D362="","",IF(B362="","No date",IF(AND(C362="Paying back",R362=0),"To whom?",IF(AA362=0,"Nobody",IF(C362="Paying back","To "&amp;INDEX(Housemates!$B$8:$B$15,MATCH(MAX(S362:Z362),S362:Z362,0)),IF(R362&gt;0,IF(COUNTIF(S362:Z362,"&gt;0")=1,"1 person",COUNTIF(S362:Z362,"&gt;0")&amp;" people"),IF(Q362=0,"Everyone",INDEX(Bills!$Q$6:$Q$25,Q362))))))))</f>
        <v/>
      </c>
      <c r="O362" s="18">
        <f>IF(D362="","",IF(C362="Paying back","Paying back",IF(Q362=0,"Other",IF(INDEX(Bills!$C$6:$C$25,Q362)="","Other",INDEX(Bills!$C$6:$C$25,Q362)))))</f>
        <v/>
      </c>
      <c r="P362" s="1" t="n"/>
      <c r="Q362">
        <f>IF(C362="",0,IFERROR(MATCH(C362,Bills!$B$6:$B$25,0),0))</f>
        <v/>
      </c>
      <c r="R362">
        <f>COUNTA(F362:M362)</f>
        <v/>
      </c>
      <c r="S362">
        <f>IF(OR($D362="",$B362="",Housemates!$B$8=""),0,IF($R362&gt;0,IF(F362="",0,IF(ISNUMBER(F362),F362,1)),IF($C362="Paying back",0,IF(AND(OR(Housemates!$C$8="",Housemates!$C$8&lt;=$B362),OR(Housemates!$D$8="",Housemates!$D$8&gt;=$B362)),IF($Q362=0,1,INDEX(Bills!$AA$6:$AA$25,$Q362)),0))))</f>
        <v/>
      </c>
      <c r="T362">
        <f>IF(OR($D362="",$B362="",Housemates!$B$9=""),0,IF($R362&gt;0,IF(G362="",0,IF(ISNUMBER(G362),G362,1)),IF($C362="Paying back",0,IF(AND(OR(Housemates!$C$9="",Housemates!$C$9&lt;=$B362),OR(Housemates!$D$9="",Housemates!$D$9&gt;=$B362)),IF($Q362=0,1,INDEX(Bills!$AB$6:$AB$25,$Q362)),0))))</f>
        <v/>
      </c>
      <c r="U362">
        <f>IF(OR($D362="",$B362="",Housemates!$B$10=""),0,IF($R362&gt;0,IF(H362="",0,IF(ISNUMBER(H362),H362,1)),IF($C362="Paying back",0,IF(AND(OR(Housemates!$C$10="",Housemates!$C$10&lt;=$B362),OR(Housemates!$D$10="",Housemates!$D$10&gt;=$B362)),IF($Q362=0,1,INDEX(Bills!$AC$6:$AC$25,$Q362)),0))))</f>
        <v/>
      </c>
      <c r="V362">
        <f>IF(OR($D362="",$B362="",Housemates!$B$11=""),0,IF($R362&gt;0,IF(I362="",0,IF(ISNUMBER(I362),I362,1)),IF($C362="Paying back",0,IF(AND(OR(Housemates!$C$11="",Housemates!$C$11&lt;=$B362),OR(Housemates!$D$11="",Housemates!$D$11&gt;=$B362)),IF($Q362=0,1,INDEX(Bills!$AD$6:$AD$25,$Q362)),0))))</f>
        <v/>
      </c>
      <c r="W362">
        <f>IF(OR($D362="",$B362="",Housemates!$B$12=""),0,IF($R362&gt;0,IF(J362="",0,IF(ISNUMBER(J362),J362,1)),IF($C362="Paying back",0,IF(AND(OR(Housemates!$C$12="",Housemates!$C$12&lt;=$B362),OR(Housemates!$D$12="",Housemates!$D$12&gt;=$B362)),IF($Q362=0,1,INDEX(Bills!$AE$6:$AE$25,$Q362)),0))))</f>
        <v/>
      </c>
      <c r="X362">
        <f>IF(OR($D362="",$B362="",Housemates!$B$13=""),0,IF($R362&gt;0,IF(K362="",0,IF(ISNUMBER(K362),K362,1)),IF($C362="Paying back",0,IF(AND(OR(Housemates!$C$13="",Housemates!$C$13&lt;=$B362),OR(Housemates!$D$13="",Housemates!$D$13&gt;=$B362)),IF($Q362=0,1,INDEX(Bills!$AF$6:$AF$25,$Q362)),0))))</f>
        <v/>
      </c>
      <c r="Y362">
        <f>IF(OR($D362="",$B362="",Housemates!$B$14=""),0,IF($R362&gt;0,IF(L362="",0,IF(ISNUMBER(L362),L362,1)),IF($C362="Paying back",0,IF(AND(OR(Housemates!$C$14="",Housemates!$C$14&lt;=$B362),OR(Housemates!$D$14="",Housemates!$D$14&gt;=$B362)),IF($Q362=0,1,INDEX(Bills!$AG$6:$AG$25,$Q362)),0))))</f>
        <v/>
      </c>
      <c r="Z362">
        <f>IF(OR($D362="",$B362="",Housemates!$B$15=""),0,IF($R362&gt;0,IF(M362="",0,IF(ISNUMBER(M362),M362,1)),IF($C362="Paying back",0,IF(AND(OR(Housemates!$C$15="",Housemates!$C$15&lt;=$B362),OR(Housemates!$D$15="",Housemates!$D$15&gt;=$B362)),IF($Q362=0,1,INDEX(Bills!$AH$6:$AH$25,$Q362)),0))))</f>
        <v/>
      </c>
      <c r="AA362">
        <f>SUM(S362:Z362)</f>
        <v/>
      </c>
      <c r="AB362">
        <f>IF(AA362=0,0,D362*S362/AA362)</f>
        <v/>
      </c>
      <c r="AC362">
        <f>IF(AA362=0,0,D362*T362/AA362)</f>
        <v/>
      </c>
      <c r="AD362">
        <f>IF(AA362=0,0,D362*U362/AA362)</f>
        <v/>
      </c>
      <c r="AE362">
        <f>IF(AA362=0,0,D362*V362/AA362)</f>
        <v/>
      </c>
      <c r="AF362">
        <f>IF(AA362=0,0,D362*W362/AA362)</f>
        <v/>
      </c>
      <c r="AG362">
        <f>IF(AA362=0,0,D362*X362/AA362)</f>
        <v/>
      </c>
      <c r="AH362">
        <f>IF(AA362=0,0,D362*Y362/AA362)</f>
        <v/>
      </c>
      <c r="AI362">
        <f>IF(AA362=0,0,D362*Z362/AA362)</f>
        <v/>
      </c>
      <c r="AJ362">
        <f>IF(OR(C362="",B362=""),"",C362&amp;"|"&amp;(YEAR(B362)*100+MONTH(B362)))</f>
        <v/>
      </c>
    </row>
    <row r="363">
      <c r="A363" s="1" t="n"/>
      <c r="B363" s="23" t="n"/>
      <c r="C363" s="24" t="n"/>
      <c r="D363" s="25" t="n"/>
      <c r="E363" s="26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1">
        <f>IF(D363="","",IF(B363="","No date",IF(AND(C363="Paying back",R363=0),"To whom?",IF(AA363=0,"Nobody",IF(C363="Paying back","To "&amp;INDEX(Housemates!$B$8:$B$15,MATCH(MAX(S363:Z363),S363:Z363,0)),IF(R363&gt;0,IF(COUNTIF(S363:Z363,"&gt;0")=1,"1 person",COUNTIF(S363:Z363,"&gt;0")&amp;" people"),IF(Q363=0,"Everyone",INDEX(Bills!$Q$6:$Q$25,Q363))))))))</f>
        <v/>
      </c>
      <c r="O363" s="18">
        <f>IF(D363="","",IF(C363="Paying back","Paying back",IF(Q363=0,"Other",IF(INDEX(Bills!$C$6:$C$25,Q363)="","Other",INDEX(Bills!$C$6:$C$25,Q363)))))</f>
        <v/>
      </c>
      <c r="P363" s="1" t="n"/>
      <c r="Q363">
        <f>IF(C363="",0,IFERROR(MATCH(C363,Bills!$B$6:$B$25,0),0))</f>
        <v/>
      </c>
      <c r="R363">
        <f>COUNTA(F363:M363)</f>
        <v/>
      </c>
      <c r="S363">
        <f>IF(OR($D363="",$B363="",Housemates!$B$8=""),0,IF($R363&gt;0,IF(F363="",0,IF(ISNUMBER(F363),F363,1)),IF($C363="Paying back",0,IF(AND(OR(Housemates!$C$8="",Housemates!$C$8&lt;=$B363),OR(Housemates!$D$8="",Housemates!$D$8&gt;=$B363)),IF($Q363=0,1,INDEX(Bills!$AA$6:$AA$25,$Q363)),0))))</f>
        <v/>
      </c>
      <c r="T363">
        <f>IF(OR($D363="",$B363="",Housemates!$B$9=""),0,IF($R363&gt;0,IF(G363="",0,IF(ISNUMBER(G363),G363,1)),IF($C363="Paying back",0,IF(AND(OR(Housemates!$C$9="",Housemates!$C$9&lt;=$B363),OR(Housemates!$D$9="",Housemates!$D$9&gt;=$B363)),IF($Q363=0,1,INDEX(Bills!$AB$6:$AB$25,$Q363)),0))))</f>
        <v/>
      </c>
      <c r="U363">
        <f>IF(OR($D363="",$B363="",Housemates!$B$10=""),0,IF($R363&gt;0,IF(H363="",0,IF(ISNUMBER(H363),H363,1)),IF($C363="Paying back",0,IF(AND(OR(Housemates!$C$10="",Housemates!$C$10&lt;=$B363),OR(Housemates!$D$10="",Housemates!$D$10&gt;=$B363)),IF($Q363=0,1,INDEX(Bills!$AC$6:$AC$25,$Q363)),0))))</f>
        <v/>
      </c>
      <c r="V363">
        <f>IF(OR($D363="",$B363="",Housemates!$B$11=""),0,IF($R363&gt;0,IF(I363="",0,IF(ISNUMBER(I363),I363,1)),IF($C363="Paying back",0,IF(AND(OR(Housemates!$C$11="",Housemates!$C$11&lt;=$B363),OR(Housemates!$D$11="",Housemates!$D$11&gt;=$B363)),IF($Q363=0,1,INDEX(Bills!$AD$6:$AD$25,$Q363)),0))))</f>
        <v/>
      </c>
      <c r="W363">
        <f>IF(OR($D363="",$B363="",Housemates!$B$12=""),0,IF($R363&gt;0,IF(J363="",0,IF(ISNUMBER(J363),J363,1)),IF($C363="Paying back",0,IF(AND(OR(Housemates!$C$12="",Housemates!$C$12&lt;=$B363),OR(Housemates!$D$12="",Housemates!$D$12&gt;=$B363)),IF($Q363=0,1,INDEX(Bills!$AE$6:$AE$25,$Q363)),0))))</f>
        <v/>
      </c>
      <c r="X363">
        <f>IF(OR($D363="",$B363="",Housemates!$B$13=""),0,IF($R363&gt;0,IF(K363="",0,IF(ISNUMBER(K363),K363,1)),IF($C363="Paying back",0,IF(AND(OR(Housemates!$C$13="",Housemates!$C$13&lt;=$B363),OR(Housemates!$D$13="",Housemates!$D$13&gt;=$B363)),IF($Q363=0,1,INDEX(Bills!$AF$6:$AF$25,$Q363)),0))))</f>
        <v/>
      </c>
      <c r="Y363">
        <f>IF(OR($D363="",$B363="",Housemates!$B$14=""),0,IF($R363&gt;0,IF(L363="",0,IF(ISNUMBER(L363),L363,1)),IF($C363="Paying back",0,IF(AND(OR(Housemates!$C$14="",Housemates!$C$14&lt;=$B363),OR(Housemates!$D$14="",Housemates!$D$14&gt;=$B363)),IF($Q363=0,1,INDEX(Bills!$AG$6:$AG$25,$Q363)),0))))</f>
        <v/>
      </c>
      <c r="Z363">
        <f>IF(OR($D363="",$B363="",Housemates!$B$15=""),0,IF($R363&gt;0,IF(M363="",0,IF(ISNUMBER(M363),M363,1)),IF($C363="Paying back",0,IF(AND(OR(Housemates!$C$15="",Housemates!$C$15&lt;=$B363),OR(Housemates!$D$15="",Housemates!$D$15&gt;=$B363)),IF($Q363=0,1,INDEX(Bills!$AH$6:$AH$25,$Q363)),0))))</f>
        <v/>
      </c>
      <c r="AA363">
        <f>SUM(S363:Z363)</f>
        <v/>
      </c>
      <c r="AB363">
        <f>IF(AA363=0,0,D363*S363/AA363)</f>
        <v/>
      </c>
      <c r="AC363">
        <f>IF(AA363=0,0,D363*T363/AA363)</f>
        <v/>
      </c>
      <c r="AD363">
        <f>IF(AA363=0,0,D363*U363/AA363)</f>
        <v/>
      </c>
      <c r="AE363">
        <f>IF(AA363=0,0,D363*V363/AA363)</f>
        <v/>
      </c>
      <c r="AF363">
        <f>IF(AA363=0,0,D363*W363/AA363)</f>
        <v/>
      </c>
      <c r="AG363">
        <f>IF(AA363=0,0,D363*X363/AA363)</f>
        <v/>
      </c>
      <c r="AH363">
        <f>IF(AA363=0,0,D363*Y363/AA363)</f>
        <v/>
      </c>
      <c r="AI363">
        <f>IF(AA363=0,0,D363*Z363/AA363)</f>
        <v/>
      </c>
      <c r="AJ363">
        <f>IF(OR(C363="",B363=""),"",C363&amp;"|"&amp;(YEAR(B363)*100+MONTH(B363)))</f>
        <v/>
      </c>
    </row>
    <row r="364">
      <c r="A364" s="1" t="n"/>
      <c r="B364" s="23" t="n"/>
      <c r="C364" s="24" t="n"/>
      <c r="D364" s="25" t="n"/>
      <c r="E364" s="26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1">
        <f>IF(D364="","",IF(B364="","No date",IF(AND(C364="Paying back",R364=0),"To whom?",IF(AA364=0,"Nobody",IF(C364="Paying back","To "&amp;INDEX(Housemates!$B$8:$B$15,MATCH(MAX(S364:Z364),S364:Z364,0)),IF(R364&gt;0,IF(COUNTIF(S364:Z364,"&gt;0")=1,"1 person",COUNTIF(S364:Z364,"&gt;0")&amp;" people"),IF(Q364=0,"Everyone",INDEX(Bills!$Q$6:$Q$25,Q364))))))))</f>
        <v/>
      </c>
      <c r="O364" s="18">
        <f>IF(D364="","",IF(C364="Paying back","Paying back",IF(Q364=0,"Other",IF(INDEX(Bills!$C$6:$C$25,Q364)="","Other",INDEX(Bills!$C$6:$C$25,Q364)))))</f>
        <v/>
      </c>
      <c r="P364" s="1" t="n"/>
      <c r="Q364">
        <f>IF(C364="",0,IFERROR(MATCH(C364,Bills!$B$6:$B$25,0),0))</f>
        <v/>
      </c>
      <c r="R364">
        <f>COUNTA(F364:M364)</f>
        <v/>
      </c>
      <c r="S364">
        <f>IF(OR($D364="",$B364="",Housemates!$B$8=""),0,IF($R364&gt;0,IF(F364="",0,IF(ISNUMBER(F364),F364,1)),IF($C364="Paying back",0,IF(AND(OR(Housemates!$C$8="",Housemates!$C$8&lt;=$B364),OR(Housemates!$D$8="",Housemates!$D$8&gt;=$B364)),IF($Q364=0,1,INDEX(Bills!$AA$6:$AA$25,$Q364)),0))))</f>
        <v/>
      </c>
      <c r="T364">
        <f>IF(OR($D364="",$B364="",Housemates!$B$9=""),0,IF($R364&gt;0,IF(G364="",0,IF(ISNUMBER(G364),G364,1)),IF($C364="Paying back",0,IF(AND(OR(Housemates!$C$9="",Housemates!$C$9&lt;=$B364),OR(Housemates!$D$9="",Housemates!$D$9&gt;=$B364)),IF($Q364=0,1,INDEX(Bills!$AB$6:$AB$25,$Q364)),0))))</f>
        <v/>
      </c>
      <c r="U364">
        <f>IF(OR($D364="",$B364="",Housemates!$B$10=""),0,IF($R364&gt;0,IF(H364="",0,IF(ISNUMBER(H364),H364,1)),IF($C364="Paying back",0,IF(AND(OR(Housemates!$C$10="",Housemates!$C$10&lt;=$B364),OR(Housemates!$D$10="",Housemates!$D$10&gt;=$B364)),IF($Q364=0,1,INDEX(Bills!$AC$6:$AC$25,$Q364)),0))))</f>
        <v/>
      </c>
      <c r="V364">
        <f>IF(OR($D364="",$B364="",Housemates!$B$11=""),0,IF($R364&gt;0,IF(I364="",0,IF(ISNUMBER(I364),I364,1)),IF($C364="Paying back",0,IF(AND(OR(Housemates!$C$11="",Housemates!$C$11&lt;=$B364),OR(Housemates!$D$11="",Housemates!$D$11&gt;=$B364)),IF($Q364=0,1,INDEX(Bills!$AD$6:$AD$25,$Q364)),0))))</f>
        <v/>
      </c>
      <c r="W364">
        <f>IF(OR($D364="",$B364="",Housemates!$B$12=""),0,IF($R364&gt;0,IF(J364="",0,IF(ISNUMBER(J364),J364,1)),IF($C364="Paying back",0,IF(AND(OR(Housemates!$C$12="",Housemates!$C$12&lt;=$B364),OR(Housemates!$D$12="",Housemates!$D$12&gt;=$B364)),IF($Q364=0,1,INDEX(Bills!$AE$6:$AE$25,$Q364)),0))))</f>
        <v/>
      </c>
      <c r="X364">
        <f>IF(OR($D364="",$B364="",Housemates!$B$13=""),0,IF($R364&gt;0,IF(K364="",0,IF(ISNUMBER(K364),K364,1)),IF($C364="Paying back",0,IF(AND(OR(Housemates!$C$13="",Housemates!$C$13&lt;=$B364),OR(Housemates!$D$13="",Housemates!$D$13&gt;=$B364)),IF($Q364=0,1,INDEX(Bills!$AF$6:$AF$25,$Q364)),0))))</f>
        <v/>
      </c>
      <c r="Y364">
        <f>IF(OR($D364="",$B364="",Housemates!$B$14=""),0,IF($R364&gt;0,IF(L364="",0,IF(ISNUMBER(L364),L364,1)),IF($C364="Paying back",0,IF(AND(OR(Housemates!$C$14="",Housemates!$C$14&lt;=$B364),OR(Housemates!$D$14="",Housemates!$D$14&gt;=$B364)),IF($Q364=0,1,INDEX(Bills!$AG$6:$AG$25,$Q364)),0))))</f>
        <v/>
      </c>
      <c r="Z364">
        <f>IF(OR($D364="",$B364="",Housemates!$B$15=""),0,IF($R364&gt;0,IF(M364="",0,IF(ISNUMBER(M364),M364,1)),IF($C364="Paying back",0,IF(AND(OR(Housemates!$C$15="",Housemates!$C$15&lt;=$B364),OR(Housemates!$D$15="",Housemates!$D$15&gt;=$B364)),IF($Q364=0,1,INDEX(Bills!$AH$6:$AH$25,$Q364)),0))))</f>
        <v/>
      </c>
      <c r="AA364">
        <f>SUM(S364:Z364)</f>
        <v/>
      </c>
      <c r="AB364">
        <f>IF(AA364=0,0,D364*S364/AA364)</f>
        <v/>
      </c>
      <c r="AC364">
        <f>IF(AA364=0,0,D364*T364/AA364)</f>
        <v/>
      </c>
      <c r="AD364">
        <f>IF(AA364=0,0,D364*U364/AA364)</f>
        <v/>
      </c>
      <c r="AE364">
        <f>IF(AA364=0,0,D364*V364/AA364)</f>
        <v/>
      </c>
      <c r="AF364">
        <f>IF(AA364=0,0,D364*W364/AA364)</f>
        <v/>
      </c>
      <c r="AG364">
        <f>IF(AA364=0,0,D364*X364/AA364)</f>
        <v/>
      </c>
      <c r="AH364">
        <f>IF(AA364=0,0,D364*Y364/AA364)</f>
        <v/>
      </c>
      <c r="AI364">
        <f>IF(AA364=0,0,D364*Z364/AA364)</f>
        <v/>
      </c>
      <c r="AJ364">
        <f>IF(OR(C364="",B364=""),"",C364&amp;"|"&amp;(YEAR(B364)*100+MONTH(B364)))</f>
        <v/>
      </c>
    </row>
    <row r="365">
      <c r="A365" s="1" t="n"/>
      <c r="B365" s="23" t="n"/>
      <c r="C365" s="24" t="n"/>
      <c r="D365" s="25" t="n"/>
      <c r="E365" s="26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1">
        <f>IF(D365="","",IF(B365="","No date",IF(AND(C365="Paying back",R365=0),"To whom?",IF(AA365=0,"Nobody",IF(C365="Paying back","To "&amp;INDEX(Housemates!$B$8:$B$15,MATCH(MAX(S365:Z365),S365:Z365,0)),IF(R365&gt;0,IF(COUNTIF(S365:Z365,"&gt;0")=1,"1 person",COUNTIF(S365:Z365,"&gt;0")&amp;" people"),IF(Q365=0,"Everyone",INDEX(Bills!$Q$6:$Q$25,Q365))))))))</f>
        <v/>
      </c>
      <c r="O365" s="18">
        <f>IF(D365="","",IF(C365="Paying back","Paying back",IF(Q365=0,"Other",IF(INDEX(Bills!$C$6:$C$25,Q365)="","Other",INDEX(Bills!$C$6:$C$25,Q365)))))</f>
        <v/>
      </c>
      <c r="P365" s="1" t="n"/>
      <c r="Q365">
        <f>IF(C365="",0,IFERROR(MATCH(C365,Bills!$B$6:$B$25,0),0))</f>
        <v/>
      </c>
      <c r="R365">
        <f>COUNTA(F365:M365)</f>
        <v/>
      </c>
      <c r="S365">
        <f>IF(OR($D365="",$B365="",Housemates!$B$8=""),0,IF($R365&gt;0,IF(F365="",0,IF(ISNUMBER(F365),F365,1)),IF($C365="Paying back",0,IF(AND(OR(Housemates!$C$8="",Housemates!$C$8&lt;=$B365),OR(Housemates!$D$8="",Housemates!$D$8&gt;=$B365)),IF($Q365=0,1,INDEX(Bills!$AA$6:$AA$25,$Q365)),0))))</f>
        <v/>
      </c>
      <c r="T365">
        <f>IF(OR($D365="",$B365="",Housemates!$B$9=""),0,IF($R365&gt;0,IF(G365="",0,IF(ISNUMBER(G365),G365,1)),IF($C365="Paying back",0,IF(AND(OR(Housemates!$C$9="",Housemates!$C$9&lt;=$B365),OR(Housemates!$D$9="",Housemates!$D$9&gt;=$B365)),IF($Q365=0,1,INDEX(Bills!$AB$6:$AB$25,$Q365)),0))))</f>
        <v/>
      </c>
      <c r="U365">
        <f>IF(OR($D365="",$B365="",Housemates!$B$10=""),0,IF($R365&gt;0,IF(H365="",0,IF(ISNUMBER(H365),H365,1)),IF($C365="Paying back",0,IF(AND(OR(Housemates!$C$10="",Housemates!$C$10&lt;=$B365),OR(Housemates!$D$10="",Housemates!$D$10&gt;=$B365)),IF($Q365=0,1,INDEX(Bills!$AC$6:$AC$25,$Q365)),0))))</f>
        <v/>
      </c>
      <c r="V365">
        <f>IF(OR($D365="",$B365="",Housemates!$B$11=""),0,IF($R365&gt;0,IF(I365="",0,IF(ISNUMBER(I365),I365,1)),IF($C365="Paying back",0,IF(AND(OR(Housemates!$C$11="",Housemates!$C$11&lt;=$B365),OR(Housemates!$D$11="",Housemates!$D$11&gt;=$B365)),IF($Q365=0,1,INDEX(Bills!$AD$6:$AD$25,$Q365)),0))))</f>
        <v/>
      </c>
      <c r="W365">
        <f>IF(OR($D365="",$B365="",Housemates!$B$12=""),0,IF($R365&gt;0,IF(J365="",0,IF(ISNUMBER(J365),J365,1)),IF($C365="Paying back",0,IF(AND(OR(Housemates!$C$12="",Housemates!$C$12&lt;=$B365),OR(Housemates!$D$12="",Housemates!$D$12&gt;=$B365)),IF($Q365=0,1,INDEX(Bills!$AE$6:$AE$25,$Q365)),0))))</f>
        <v/>
      </c>
      <c r="X365">
        <f>IF(OR($D365="",$B365="",Housemates!$B$13=""),0,IF($R365&gt;0,IF(K365="",0,IF(ISNUMBER(K365),K365,1)),IF($C365="Paying back",0,IF(AND(OR(Housemates!$C$13="",Housemates!$C$13&lt;=$B365),OR(Housemates!$D$13="",Housemates!$D$13&gt;=$B365)),IF($Q365=0,1,INDEX(Bills!$AF$6:$AF$25,$Q365)),0))))</f>
        <v/>
      </c>
      <c r="Y365">
        <f>IF(OR($D365="",$B365="",Housemates!$B$14=""),0,IF($R365&gt;0,IF(L365="",0,IF(ISNUMBER(L365),L365,1)),IF($C365="Paying back",0,IF(AND(OR(Housemates!$C$14="",Housemates!$C$14&lt;=$B365),OR(Housemates!$D$14="",Housemates!$D$14&gt;=$B365)),IF($Q365=0,1,INDEX(Bills!$AG$6:$AG$25,$Q365)),0))))</f>
        <v/>
      </c>
      <c r="Z365">
        <f>IF(OR($D365="",$B365="",Housemates!$B$15=""),0,IF($R365&gt;0,IF(M365="",0,IF(ISNUMBER(M365),M365,1)),IF($C365="Paying back",0,IF(AND(OR(Housemates!$C$15="",Housemates!$C$15&lt;=$B365),OR(Housemates!$D$15="",Housemates!$D$15&gt;=$B365)),IF($Q365=0,1,INDEX(Bills!$AH$6:$AH$25,$Q365)),0))))</f>
        <v/>
      </c>
      <c r="AA365">
        <f>SUM(S365:Z365)</f>
        <v/>
      </c>
      <c r="AB365">
        <f>IF(AA365=0,0,D365*S365/AA365)</f>
        <v/>
      </c>
      <c r="AC365">
        <f>IF(AA365=0,0,D365*T365/AA365)</f>
        <v/>
      </c>
      <c r="AD365">
        <f>IF(AA365=0,0,D365*U365/AA365)</f>
        <v/>
      </c>
      <c r="AE365">
        <f>IF(AA365=0,0,D365*V365/AA365)</f>
        <v/>
      </c>
      <c r="AF365">
        <f>IF(AA365=0,0,D365*W365/AA365)</f>
        <v/>
      </c>
      <c r="AG365">
        <f>IF(AA365=0,0,D365*X365/AA365)</f>
        <v/>
      </c>
      <c r="AH365">
        <f>IF(AA365=0,0,D365*Y365/AA365)</f>
        <v/>
      </c>
      <c r="AI365">
        <f>IF(AA365=0,0,D365*Z365/AA365)</f>
        <v/>
      </c>
      <c r="AJ365">
        <f>IF(OR(C365="",B365=""),"",C365&amp;"|"&amp;(YEAR(B365)*100+MONTH(B365)))</f>
        <v/>
      </c>
    </row>
    <row r="366">
      <c r="A366" s="1" t="n"/>
      <c r="B366" s="23" t="n"/>
      <c r="C366" s="24" t="n"/>
      <c r="D366" s="25" t="n"/>
      <c r="E366" s="26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1">
        <f>IF(D366="","",IF(B366="","No date",IF(AND(C366="Paying back",R366=0),"To whom?",IF(AA366=0,"Nobody",IF(C366="Paying back","To "&amp;INDEX(Housemates!$B$8:$B$15,MATCH(MAX(S366:Z366),S366:Z366,0)),IF(R366&gt;0,IF(COUNTIF(S366:Z366,"&gt;0")=1,"1 person",COUNTIF(S366:Z366,"&gt;0")&amp;" people"),IF(Q366=0,"Everyone",INDEX(Bills!$Q$6:$Q$25,Q366))))))))</f>
        <v/>
      </c>
      <c r="O366" s="18">
        <f>IF(D366="","",IF(C366="Paying back","Paying back",IF(Q366=0,"Other",IF(INDEX(Bills!$C$6:$C$25,Q366)="","Other",INDEX(Bills!$C$6:$C$25,Q366)))))</f>
        <v/>
      </c>
      <c r="P366" s="1" t="n"/>
      <c r="Q366">
        <f>IF(C366="",0,IFERROR(MATCH(C366,Bills!$B$6:$B$25,0),0))</f>
        <v/>
      </c>
      <c r="R366">
        <f>COUNTA(F366:M366)</f>
        <v/>
      </c>
      <c r="S366">
        <f>IF(OR($D366="",$B366="",Housemates!$B$8=""),0,IF($R366&gt;0,IF(F366="",0,IF(ISNUMBER(F366),F366,1)),IF($C366="Paying back",0,IF(AND(OR(Housemates!$C$8="",Housemates!$C$8&lt;=$B366),OR(Housemates!$D$8="",Housemates!$D$8&gt;=$B366)),IF($Q366=0,1,INDEX(Bills!$AA$6:$AA$25,$Q366)),0))))</f>
        <v/>
      </c>
      <c r="T366">
        <f>IF(OR($D366="",$B366="",Housemates!$B$9=""),0,IF($R366&gt;0,IF(G366="",0,IF(ISNUMBER(G366),G366,1)),IF($C366="Paying back",0,IF(AND(OR(Housemates!$C$9="",Housemates!$C$9&lt;=$B366),OR(Housemates!$D$9="",Housemates!$D$9&gt;=$B366)),IF($Q366=0,1,INDEX(Bills!$AB$6:$AB$25,$Q366)),0))))</f>
        <v/>
      </c>
      <c r="U366">
        <f>IF(OR($D366="",$B366="",Housemates!$B$10=""),0,IF($R366&gt;0,IF(H366="",0,IF(ISNUMBER(H366),H366,1)),IF($C366="Paying back",0,IF(AND(OR(Housemates!$C$10="",Housemates!$C$10&lt;=$B366),OR(Housemates!$D$10="",Housemates!$D$10&gt;=$B366)),IF($Q366=0,1,INDEX(Bills!$AC$6:$AC$25,$Q366)),0))))</f>
        <v/>
      </c>
      <c r="V366">
        <f>IF(OR($D366="",$B366="",Housemates!$B$11=""),0,IF($R366&gt;0,IF(I366="",0,IF(ISNUMBER(I366),I366,1)),IF($C366="Paying back",0,IF(AND(OR(Housemates!$C$11="",Housemates!$C$11&lt;=$B366),OR(Housemates!$D$11="",Housemates!$D$11&gt;=$B366)),IF($Q366=0,1,INDEX(Bills!$AD$6:$AD$25,$Q366)),0))))</f>
        <v/>
      </c>
      <c r="W366">
        <f>IF(OR($D366="",$B366="",Housemates!$B$12=""),0,IF($R366&gt;0,IF(J366="",0,IF(ISNUMBER(J366),J366,1)),IF($C366="Paying back",0,IF(AND(OR(Housemates!$C$12="",Housemates!$C$12&lt;=$B366),OR(Housemates!$D$12="",Housemates!$D$12&gt;=$B366)),IF($Q366=0,1,INDEX(Bills!$AE$6:$AE$25,$Q366)),0))))</f>
        <v/>
      </c>
      <c r="X366">
        <f>IF(OR($D366="",$B366="",Housemates!$B$13=""),0,IF($R366&gt;0,IF(K366="",0,IF(ISNUMBER(K366),K366,1)),IF($C366="Paying back",0,IF(AND(OR(Housemates!$C$13="",Housemates!$C$13&lt;=$B366),OR(Housemates!$D$13="",Housemates!$D$13&gt;=$B366)),IF($Q366=0,1,INDEX(Bills!$AF$6:$AF$25,$Q366)),0))))</f>
        <v/>
      </c>
      <c r="Y366">
        <f>IF(OR($D366="",$B366="",Housemates!$B$14=""),0,IF($R366&gt;0,IF(L366="",0,IF(ISNUMBER(L366),L366,1)),IF($C366="Paying back",0,IF(AND(OR(Housemates!$C$14="",Housemates!$C$14&lt;=$B366),OR(Housemates!$D$14="",Housemates!$D$14&gt;=$B366)),IF($Q366=0,1,INDEX(Bills!$AG$6:$AG$25,$Q366)),0))))</f>
        <v/>
      </c>
      <c r="Z366">
        <f>IF(OR($D366="",$B366="",Housemates!$B$15=""),0,IF($R366&gt;0,IF(M366="",0,IF(ISNUMBER(M366),M366,1)),IF($C366="Paying back",0,IF(AND(OR(Housemates!$C$15="",Housemates!$C$15&lt;=$B366),OR(Housemates!$D$15="",Housemates!$D$15&gt;=$B366)),IF($Q366=0,1,INDEX(Bills!$AH$6:$AH$25,$Q366)),0))))</f>
        <v/>
      </c>
      <c r="AA366">
        <f>SUM(S366:Z366)</f>
        <v/>
      </c>
      <c r="AB366">
        <f>IF(AA366=0,0,D366*S366/AA366)</f>
        <v/>
      </c>
      <c r="AC366">
        <f>IF(AA366=0,0,D366*T366/AA366)</f>
        <v/>
      </c>
      <c r="AD366">
        <f>IF(AA366=0,0,D366*U366/AA366)</f>
        <v/>
      </c>
      <c r="AE366">
        <f>IF(AA366=0,0,D366*V366/AA366)</f>
        <v/>
      </c>
      <c r="AF366">
        <f>IF(AA366=0,0,D366*W366/AA366)</f>
        <v/>
      </c>
      <c r="AG366">
        <f>IF(AA366=0,0,D366*X366/AA366)</f>
        <v/>
      </c>
      <c r="AH366">
        <f>IF(AA366=0,0,D366*Y366/AA366)</f>
        <v/>
      </c>
      <c r="AI366">
        <f>IF(AA366=0,0,D366*Z366/AA366)</f>
        <v/>
      </c>
      <c r="AJ366">
        <f>IF(OR(C366="",B366=""),"",C366&amp;"|"&amp;(YEAR(B366)*100+MONTH(B366)))</f>
        <v/>
      </c>
    </row>
    <row r="367">
      <c r="A367" s="1" t="n"/>
      <c r="B367" s="23" t="n"/>
      <c r="C367" s="24" t="n"/>
      <c r="D367" s="25" t="n"/>
      <c r="E367" s="26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1">
        <f>IF(D367="","",IF(B367="","No date",IF(AND(C367="Paying back",R367=0),"To whom?",IF(AA367=0,"Nobody",IF(C367="Paying back","To "&amp;INDEX(Housemates!$B$8:$B$15,MATCH(MAX(S367:Z367),S367:Z367,0)),IF(R367&gt;0,IF(COUNTIF(S367:Z367,"&gt;0")=1,"1 person",COUNTIF(S367:Z367,"&gt;0")&amp;" people"),IF(Q367=0,"Everyone",INDEX(Bills!$Q$6:$Q$25,Q367))))))))</f>
        <v/>
      </c>
      <c r="O367" s="18">
        <f>IF(D367="","",IF(C367="Paying back","Paying back",IF(Q367=0,"Other",IF(INDEX(Bills!$C$6:$C$25,Q367)="","Other",INDEX(Bills!$C$6:$C$25,Q367)))))</f>
        <v/>
      </c>
      <c r="P367" s="1" t="n"/>
      <c r="Q367">
        <f>IF(C367="",0,IFERROR(MATCH(C367,Bills!$B$6:$B$25,0),0))</f>
        <v/>
      </c>
      <c r="R367">
        <f>COUNTA(F367:M367)</f>
        <v/>
      </c>
      <c r="S367">
        <f>IF(OR($D367="",$B367="",Housemates!$B$8=""),0,IF($R367&gt;0,IF(F367="",0,IF(ISNUMBER(F367),F367,1)),IF($C367="Paying back",0,IF(AND(OR(Housemates!$C$8="",Housemates!$C$8&lt;=$B367),OR(Housemates!$D$8="",Housemates!$D$8&gt;=$B367)),IF($Q367=0,1,INDEX(Bills!$AA$6:$AA$25,$Q367)),0))))</f>
        <v/>
      </c>
      <c r="T367">
        <f>IF(OR($D367="",$B367="",Housemates!$B$9=""),0,IF($R367&gt;0,IF(G367="",0,IF(ISNUMBER(G367),G367,1)),IF($C367="Paying back",0,IF(AND(OR(Housemates!$C$9="",Housemates!$C$9&lt;=$B367),OR(Housemates!$D$9="",Housemates!$D$9&gt;=$B367)),IF($Q367=0,1,INDEX(Bills!$AB$6:$AB$25,$Q367)),0))))</f>
        <v/>
      </c>
      <c r="U367">
        <f>IF(OR($D367="",$B367="",Housemates!$B$10=""),0,IF($R367&gt;0,IF(H367="",0,IF(ISNUMBER(H367),H367,1)),IF($C367="Paying back",0,IF(AND(OR(Housemates!$C$10="",Housemates!$C$10&lt;=$B367),OR(Housemates!$D$10="",Housemates!$D$10&gt;=$B367)),IF($Q367=0,1,INDEX(Bills!$AC$6:$AC$25,$Q367)),0))))</f>
        <v/>
      </c>
      <c r="V367">
        <f>IF(OR($D367="",$B367="",Housemates!$B$11=""),0,IF($R367&gt;0,IF(I367="",0,IF(ISNUMBER(I367),I367,1)),IF($C367="Paying back",0,IF(AND(OR(Housemates!$C$11="",Housemates!$C$11&lt;=$B367),OR(Housemates!$D$11="",Housemates!$D$11&gt;=$B367)),IF($Q367=0,1,INDEX(Bills!$AD$6:$AD$25,$Q367)),0))))</f>
        <v/>
      </c>
      <c r="W367">
        <f>IF(OR($D367="",$B367="",Housemates!$B$12=""),0,IF($R367&gt;0,IF(J367="",0,IF(ISNUMBER(J367),J367,1)),IF($C367="Paying back",0,IF(AND(OR(Housemates!$C$12="",Housemates!$C$12&lt;=$B367),OR(Housemates!$D$12="",Housemates!$D$12&gt;=$B367)),IF($Q367=0,1,INDEX(Bills!$AE$6:$AE$25,$Q367)),0))))</f>
        <v/>
      </c>
      <c r="X367">
        <f>IF(OR($D367="",$B367="",Housemates!$B$13=""),0,IF($R367&gt;0,IF(K367="",0,IF(ISNUMBER(K367),K367,1)),IF($C367="Paying back",0,IF(AND(OR(Housemates!$C$13="",Housemates!$C$13&lt;=$B367),OR(Housemates!$D$13="",Housemates!$D$13&gt;=$B367)),IF($Q367=0,1,INDEX(Bills!$AF$6:$AF$25,$Q367)),0))))</f>
        <v/>
      </c>
      <c r="Y367">
        <f>IF(OR($D367="",$B367="",Housemates!$B$14=""),0,IF($R367&gt;0,IF(L367="",0,IF(ISNUMBER(L367),L367,1)),IF($C367="Paying back",0,IF(AND(OR(Housemates!$C$14="",Housemates!$C$14&lt;=$B367),OR(Housemates!$D$14="",Housemates!$D$14&gt;=$B367)),IF($Q367=0,1,INDEX(Bills!$AG$6:$AG$25,$Q367)),0))))</f>
        <v/>
      </c>
      <c r="Z367">
        <f>IF(OR($D367="",$B367="",Housemates!$B$15=""),0,IF($R367&gt;0,IF(M367="",0,IF(ISNUMBER(M367),M367,1)),IF($C367="Paying back",0,IF(AND(OR(Housemates!$C$15="",Housemates!$C$15&lt;=$B367),OR(Housemates!$D$15="",Housemates!$D$15&gt;=$B367)),IF($Q367=0,1,INDEX(Bills!$AH$6:$AH$25,$Q367)),0))))</f>
        <v/>
      </c>
      <c r="AA367">
        <f>SUM(S367:Z367)</f>
        <v/>
      </c>
      <c r="AB367">
        <f>IF(AA367=0,0,D367*S367/AA367)</f>
        <v/>
      </c>
      <c r="AC367">
        <f>IF(AA367=0,0,D367*T367/AA367)</f>
        <v/>
      </c>
      <c r="AD367">
        <f>IF(AA367=0,0,D367*U367/AA367)</f>
        <v/>
      </c>
      <c r="AE367">
        <f>IF(AA367=0,0,D367*V367/AA367)</f>
        <v/>
      </c>
      <c r="AF367">
        <f>IF(AA367=0,0,D367*W367/AA367)</f>
        <v/>
      </c>
      <c r="AG367">
        <f>IF(AA367=0,0,D367*X367/AA367)</f>
        <v/>
      </c>
      <c r="AH367">
        <f>IF(AA367=0,0,D367*Y367/AA367)</f>
        <v/>
      </c>
      <c r="AI367">
        <f>IF(AA367=0,0,D367*Z367/AA367)</f>
        <v/>
      </c>
      <c r="AJ367">
        <f>IF(OR(C367="",B367=""),"",C367&amp;"|"&amp;(YEAR(B367)*100+MONTH(B367)))</f>
        <v/>
      </c>
    </row>
    <row r="368">
      <c r="A368" s="1" t="n"/>
      <c r="B368" s="23" t="n"/>
      <c r="C368" s="24" t="n"/>
      <c r="D368" s="25" t="n"/>
      <c r="E368" s="26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1">
        <f>IF(D368="","",IF(B368="","No date",IF(AND(C368="Paying back",R368=0),"To whom?",IF(AA368=0,"Nobody",IF(C368="Paying back","To "&amp;INDEX(Housemates!$B$8:$B$15,MATCH(MAX(S368:Z368),S368:Z368,0)),IF(R368&gt;0,IF(COUNTIF(S368:Z368,"&gt;0")=1,"1 person",COUNTIF(S368:Z368,"&gt;0")&amp;" people"),IF(Q368=0,"Everyone",INDEX(Bills!$Q$6:$Q$25,Q368))))))))</f>
        <v/>
      </c>
      <c r="O368" s="18">
        <f>IF(D368="","",IF(C368="Paying back","Paying back",IF(Q368=0,"Other",IF(INDEX(Bills!$C$6:$C$25,Q368)="","Other",INDEX(Bills!$C$6:$C$25,Q368)))))</f>
        <v/>
      </c>
      <c r="P368" s="1" t="n"/>
      <c r="Q368">
        <f>IF(C368="",0,IFERROR(MATCH(C368,Bills!$B$6:$B$25,0),0))</f>
        <v/>
      </c>
      <c r="R368">
        <f>COUNTA(F368:M368)</f>
        <v/>
      </c>
      <c r="S368">
        <f>IF(OR($D368="",$B368="",Housemates!$B$8=""),0,IF($R368&gt;0,IF(F368="",0,IF(ISNUMBER(F368),F368,1)),IF($C368="Paying back",0,IF(AND(OR(Housemates!$C$8="",Housemates!$C$8&lt;=$B368),OR(Housemates!$D$8="",Housemates!$D$8&gt;=$B368)),IF($Q368=0,1,INDEX(Bills!$AA$6:$AA$25,$Q368)),0))))</f>
        <v/>
      </c>
      <c r="T368">
        <f>IF(OR($D368="",$B368="",Housemates!$B$9=""),0,IF($R368&gt;0,IF(G368="",0,IF(ISNUMBER(G368),G368,1)),IF($C368="Paying back",0,IF(AND(OR(Housemates!$C$9="",Housemates!$C$9&lt;=$B368),OR(Housemates!$D$9="",Housemates!$D$9&gt;=$B368)),IF($Q368=0,1,INDEX(Bills!$AB$6:$AB$25,$Q368)),0))))</f>
        <v/>
      </c>
      <c r="U368">
        <f>IF(OR($D368="",$B368="",Housemates!$B$10=""),0,IF($R368&gt;0,IF(H368="",0,IF(ISNUMBER(H368),H368,1)),IF($C368="Paying back",0,IF(AND(OR(Housemates!$C$10="",Housemates!$C$10&lt;=$B368),OR(Housemates!$D$10="",Housemates!$D$10&gt;=$B368)),IF($Q368=0,1,INDEX(Bills!$AC$6:$AC$25,$Q368)),0))))</f>
        <v/>
      </c>
      <c r="V368">
        <f>IF(OR($D368="",$B368="",Housemates!$B$11=""),0,IF($R368&gt;0,IF(I368="",0,IF(ISNUMBER(I368),I368,1)),IF($C368="Paying back",0,IF(AND(OR(Housemates!$C$11="",Housemates!$C$11&lt;=$B368),OR(Housemates!$D$11="",Housemates!$D$11&gt;=$B368)),IF($Q368=0,1,INDEX(Bills!$AD$6:$AD$25,$Q368)),0))))</f>
        <v/>
      </c>
      <c r="W368">
        <f>IF(OR($D368="",$B368="",Housemates!$B$12=""),0,IF($R368&gt;0,IF(J368="",0,IF(ISNUMBER(J368),J368,1)),IF($C368="Paying back",0,IF(AND(OR(Housemates!$C$12="",Housemates!$C$12&lt;=$B368),OR(Housemates!$D$12="",Housemates!$D$12&gt;=$B368)),IF($Q368=0,1,INDEX(Bills!$AE$6:$AE$25,$Q368)),0))))</f>
        <v/>
      </c>
      <c r="X368">
        <f>IF(OR($D368="",$B368="",Housemates!$B$13=""),0,IF($R368&gt;0,IF(K368="",0,IF(ISNUMBER(K368),K368,1)),IF($C368="Paying back",0,IF(AND(OR(Housemates!$C$13="",Housemates!$C$13&lt;=$B368),OR(Housemates!$D$13="",Housemates!$D$13&gt;=$B368)),IF($Q368=0,1,INDEX(Bills!$AF$6:$AF$25,$Q368)),0))))</f>
        <v/>
      </c>
      <c r="Y368">
        <f>IF(OR($D368="",$B368="",Housemates!$B$14=""),0,IF($R368&gt;0,IF(L368="",0,IF(ISNUMBER(L368),L368,1)),IF($C368="Paying back",0,IF(AND(OR(Housemates!$C$14="",Housemates!$C$14&lt;=$B368),OR(Housemates!$D$14="",Housemates!$D$14&gt;=$B368)),IF($Q368=0,1,INDEX(Bills!$AG$6:$AG$25,$Q368)),0))))</f>
        <v/>
      </c>
      <c r="Z368">
        <f>IF(OR($D368="",$B368="",Housemates!$B$15=""),0,IF($R368&gt;0,IF(M368="",0,IF(ISNUMBER(M368),M368,1)),IF($C368="Paying back",0,IF(AND(OR(Housemates!$C$15="",Housemates!$C$15&lt;=$B368),OR(Housemates!$D$15="",Housemates!$D$15&gt;=$B368)),IF($Q368=0,1,INDEX(Bills!$AH$6:$AH$25,$Q368)),0))))</f>
        <v/>
      </c>
      <c r="AA368">
        <f>SUM(S368:Z368)</f>
        <v/>
      </c>
      <c r="AB368">
        <f>IF(AA368=0,0,D368*S368/AA368)</f>
        <v/>
      </c>
      <c r="AC368">
        <f>IF(AA368=0,0,D368*T368/AA368)</f>
        <v/>
      </c>
      <c r="AD368">
        <f>IF(AA368=0,0,D368*U368/AA368)</f>
        <v/>
      </c>
      <c r="AE368">
        <f>IF(AA368=0,0,D368*V368/AA368)</f>
        <v/>
      </c>
      <c r="AF368">
        <f>IF(AA368=0,0,D368*W368/AA368)</f>
        <v/>
      </c>
      <c r="AG368">
        <f>IF(AA368=0,0,D368*X368/AA368)</f>
        <v/>
      </c>
      <c r="AH368">
        <f>IF(AA368=0,0,D368*Y368/AA368)</f>
        <v/>
      </c>
      <c r="AI368">
        <f>IF(AA368=0,0,D368*Z368/AA368)</f>
        <v/>
      </c>
      <c r="AJ368">
        <f>IF(OR(C368="",B368=""),"",C368&amp;"|"&amp;(YEAR(B368)*100+MONTH(B368)))</f>
        <v/>
      </c>
    </row>
    <row r="369">
      <c r="A369" s="1" t="n"/>
      <c r="B369" s="23" t="n"/>
      <c r="C369" s="24" t="n"/>
      <c r="D369" s="25" t="n"/>
      <c r="E369" s="26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1">
        <f>IF(D369="","",IF(B369="","No date",IF(AND(C369="Paying back",R369=0),"To whom?",IF(AA369=0,"Nobody",IF(C369="Paying back","To "&amp;INDEX(Housemates!$B$8:$B$15,MATCH(MAX(S369:Z369),S369:Z369,0)),IF(R369&gt;0,IF(COUNTIF(S369:Z369,"&gt;0")=1,"1 person",COUNTIF(S369:Z369,"&gt;0")&amp;" people"),IF(Q369=0,"Everyone",INDEX(Bills!$Q$6:$Q$25,Q369))))))))</f>
        <v/>
      </c>
      <c r="O369" s="18">
        <f>IF(D369="","",IF(C369="Paying back","Paying back",IF(Q369=0,"Other",IF(INDEX(Bills!$C$6:$C$25,Q369)="","Other",INDEX(Bills!$C$6:$C$25,Q369)))))</f>
        <v/>
      </c>
      <c r="P369" s="1" t="n"/>
      <c r="Q369">
        <f>IF(C369="",0,IFERROR(MATCH(C369,Bills!$B$6:$B$25,0),0))</f>
        <v/>
      </c>
      <c r="R369">
        <f>COUNTA(F369:M369)</f>
        <v/>
      </c>
      <c r="S369">
        <f>IF(OR($D369="",$B369="",Housemates!$B$8=""),0,IF($R369&gt;0,IF(F369="",0,IF(ISNUMBER(F369),F369,1)),IF($C369="Paying back",0,IF(AND(OR(Housemates!$C$8="",Housemates!$C$8&lt;=$B369),OR(Housemates!$D$8="",Housemates!$D$8&gt;=$B369)),IF($Q369=0,1,INDEX(Bills!$AA$6:$AA$25,$Q369)),0))))</f>
        <v/>
      </c>
      <c r="T369">
        <f>IF(OR($D369="",$B369="",Housemates!$B$9=""),0,IF($R369&gt;0,IF(G369="",0,IF(ISNUMBER(G369),G369,1)),IF($C369="Paying back",0,IF(AND(OR(Housemates!$C$9="",Housemates!$C$9&lt;=$B369),OR(Housemates!$D$9="",Housemates!$D$9&gt;=$B369)),IF($Q369=0,1,INDEX(Bills!$AB$6:$AB$25,$Q369)),0))))</f>
        <v/>
      </c>
      <c r="U369">
        <f>IF(OR($D369="",$B369="",Housemates!$B$10=""),0,IF($R369&gt;0,IF(H369="",0,IF(ISNUMBER(H369),H369,1)),IF($C369="Paying back",0,IF(AND(OR(Housemates!$C$10="",Housemates!$C$10&lt;=$B369),OR(Housemates!$D$10="",Housemates!$D$10&gt;=$B369)),IF($Q369=0,1,INDEX(Bills!$AC$6:$AC$25,$Q369)),0))))</f>
        <v/>
      </c>
      <c r="V369">
        <f>IF(OR($D369="",$B369="",Housemates!$B$11=""),0,IF($R369&gt;0,IF(I369="",0,IF(ISNUMBER(I369),I369,1)),IF($C369="Paying back",0,IF(AND(OR(Housemates!$C$11="",Housemates!$C$11&lt;=$B369),OR(Housemates!$D$11="",Housemates!$D$11&gt;=$B369)),IF($Q369=0,1,INDEX(Bills!$AD$6:$AD$25,$Q369)),0))))</f>
        <v/>
      </c>
      <c r="W369">
        <f>IF(OR($D369="",$B369="",Housemates!$B$12=""),0,IF($R369&gt;0,IF(J369="",0,IF(ISNUMBER(J369),J369,1)),IF($C369="Paying back",0,IF(AND(OR(Housemates!$C$12="",Housemates!$C$12&lt;=$B369),OR(Housemates!$D$12="",Housemates!$D$12&gt;=$B369)),IF($Q369=0,1,INDEX(Bills!$AE$6:$AE$25,$Q369)),0))))</f>
        <v/>
      </c>
      <c r="X369">
        <f>IF(OR($D369="",$B369="",Housemates!$B$13=""),0,IF($R369&gt;0,IF(K369="",0,IF(ISNUMBER(K369),K369,1)),IF($C369="Paying back",0,IF(AND(OR(Housemates!$C$13="",Housemates!$C$13&lt;=$B369),OR(Housemates!$D$13="",Housemates!$D$13&gt;=$B369)),IF($Q369=0,1,INDEX(Bills!$AF$6:$AF$25,$Q369)),0))))</f>
        <v/>
      </c>
      <c r="Y369">
        <f>IF(OR($D369="",$B369="",Housemates!$B$14=""),0,IF($R369&gt;0,IF(L369="",0,IF(ISNUMBER(L369),L369,1)),IF($C369="Paying back",0,IF(AND(OR(Housemates!$C$14="",Housemates!$C$14&lt;=$B369),OR(Housemates!$D$14="",Housemates!$D$14&gt;=$B369)),IF($Q369=0,1,INDEX(Bills!$AG$6:$AG$25,$Q369)),0))))</f>
        <v/>
      </c>
      <c r="Z369">
        <f>IF(OR($D369="",$B369="",Housemates!$B$15=""),0,IF($R369&gt;0,IF(M369="",0,IF(ISNUMBER(M369),M369,1)),IF($C369="Paying back",0,IF(AND(OR(Housemates!$C$15="",Housemates!$C$15&lt;=$B369),OR(Housemates!$D$15="",Housemates!$D$15&gt;=$B369)),IF($Q369=0,1,INDEX(Bills!$AH$6:$AH$25,$Q369)),0))))</f>
        <v/>
      </c>
      <c r="AA369">
        <f>SUM(S369:Z369)</f>
        <v/>
      </c>
      <c r="AB369">
        <f>IF(AA369=0,0,D369*S369/AA369)</f>
        <v/>
      </c>
      <c r="AC369">
        <f>IF(AA369=0,0,D369*T369/AA369)</f>
        <v/>
      </c>
      <c r="AD369">
        <f>IF(AA369=0,0,D369*U369/AA369)</f>
        <v/>
      </c>
      <c r="AE369">
        <f>IF(AA369=0,0,D369*V369/AA369)</f>
        <v/>
      </c>
      <c r="AF369">
        <f>IF(AA369=0,0,D369*W369/AA369)</f>
        <v/>
      </c>
      <c r="AG369">
        <f>IF(AA369=0,0,D369*X369/AA369)</f>
        <v/>
      </c>
      <c r="AH369">
        <f>IF(AA369=0,0,D369*Y369/AA369)</f>
        <v/>
      </c>
      <c r="AI369">
        <f>IF(AA369=0,0,D369*Z369/AA369)</f>
        <v/>
      </c>
      <c r="AJ369">
        <f>IF(OR(C369="",B369=""),"",C369&amp;"|"&amp;(YEAR(B369)*100+MONTH(B369)))</f>
        <v/>
      </c>
    </row>
    <row r="370">
      <c r="A370" s="1" t="n"/>
      <c r="B370" s="23" t="n"/>
      <c r="C370" s="24" t="n"/>
      <c r="D370" s="25" t="n"/>
      <c r="E370" s="26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1">
        <f>IF(D370="","",IF(B370="","No date",IF(AND(C370="Paying back",R370=0),"To whom?",IF(AA370=0,"Nobody",IF(C370="Paying back","To "&amp;INDEX(Housemates!$B$8:$B$15,MATCH(MAX(S370:Z370),S370:Z370,0)),IF(R370&gt;0,IF(COUNTIF(S370:Z370,"&gt;0")=1,"1 person",COUNTIF(S370:Z370,"&gt;0")&amp;" people"),IF(Q370=0,"Everyone",INDEX(Bills!$Q$6:$Q$25,Q370))))))))</f>
        <v/>
      </c>
      <c r="O370" s="18">
        <f>IF(D370="","",IF(C370="Paying back","Paying back",IF(Q370=0,"Other",IF(INDEX(Bills!$C$6:$C$25,Q370)="","Other",INDEX(Bills!$C$6:$C$25,Q370)))))</f>
        <v/>
      </c>
      <c r="P370" s="1" t="n"/>
      <c r="Q370">
        <f>IF(C370="",0,IFERROR(MATCH(C370,Bills!$B$6:$B$25,0),0))</f>
        <v/>
      </c>
      <c r="R370">
        <f>COUNTA(F370:M370)</f>
        <v/>
      </c>
      <c r="S370">
        <f>IF(OR($D370="",$B370="",Housemates!$B$8=""),0,IF($R370&gt;0,IF(F370="",0,IF(ISNUMBER(F370),F370,1)),IF($C370="Paying back",0,IF(AND(OR(Housemates!$C$8="",Housemates!$C$8&lt;=$B370),OR(Housemates!$D$8="",Housemates!$D$8&gt;=$B370)),IF($Q370=0,1,INDEX(Bills!$AA$6:$AA$25,$Q370)),0))))</f>
        <v/>
      </c>
      <c r="T370">
        <f>IF(OR($D370="",$B370="",Housemates!$B$9=""),0,IF($R370&gt;0,IF(G370="",0,IF(ISNUMBER(G370),G370,1)),IF($C370="Paying back",0,IF(AND(OR(Housemates!$C$9="",Housemates!$C$9&lt;=$B370),OR(Housemates!$D$9="",Housemates!$D$9&gt;=$B370)),IF($Q370=0,1,INDEX(Bills!$AB$6:$AB$25,$Q370)),0))))</f>
        <v/>
      </c>
      <c r="U370">
        <f>IF(OR($D370="",$B370="",Housemates!$B$10=""),0,IF($R370&gt;0,IF(H370="",0,IF(ISNUMBER(H370),H370,1)),IF($C370="Paying back",0,IF(AND(OR(Housemates!$C$10="",Housemates!$C$10&lt;=$B370),OR(Housemates!$D$10="",Housemates!$D$10&gt;=$B370)),IF($Q370=0,1,INDEX(Bills!$AC$6:$AC$25,$Q370)),0))))</f>
        <v/>
      </c>
      <c r="V370">
        <f>IF(OR($D370="",$B370="",Housemates!$B$11=""),0,IF($R370&gt;0,IF(I370="",0,IF(ISNUMBER(I370),I370,1)),IF($C370="Paying back",0,IF(AND(OR(Housemates!$C$11="",Housemates!$C$11&lt;=$B370),OR(Housemates!$D$11="",Housemates!$D$11&gt;=$B370)),IF($Q370=0,1,INDEX(Bills!$AD$6:$AD$25,$Q370)),0))))</f>
        <v/>
      </c>
      <c r="W370">
        <f>IF(OR($D370="",$B370="",Housemates!$B$12=""),0,IF($R370&gt;0,IF(J370="",0,IF(ISNUMBER(J370),J370,1)),IF($C370="Paying back",0,IF(AND(OR(Housemates!$C$12="",Housemates!$C$12&lt;=$B370),OR(Housemates!$D$12="",Housemates!$D$12&gt;=$B370)),IF($Q370=0,1,INDEX(Bills!$AE$6:$AE$25,$Q370)),0))))</f>
        <v/>
      </c>
      <c r="X370">
        <f>IF(OR($D370="",$B370="",Housemates!$B$13=""),0,IF($R370&gt;0,IF(K370="",0,IF(ISNUMBER(K370),K370,1)),IF($C370="Paying back",0,IF(AND(OR(Housemates!$C$13="",Housemates!$C$13&lt;=$B370),OR(Housemates!$D$13="",Housemates!$D$13&gt;=$B370)),IF($Q370=0,1,INDEX(Bills!$AF$6:$AF$25,$Q370)),0))))</f>
        <v/>
      </c>
      <c r="Y370">
        <f>IF(OR($D370="",$B370="",Housemates!$B$14=""),0,IF($R370&gt;0,IF(L370="",0,IF(ISNUMBER(L370),L370,1)),IF($C370="Paying back",0,IF(AND(OR(Housemates!$C$14="",Housemates!$C$14&lt;=$B370),OR(Housemates!$D$14="",Housemates!$D$14&gt;=$B370)),IF($Q370=0,1,INDEX(Bills!$AG$6:$AG$25,$Q370)),0))))</f>
        <v/>
      </c>
      <c r="Z370">
        <f>IF(OR($D370="",$B370="",Housemates!$B$15=""),0,IF($R370&gt;0,IF(M370="",0,IF(ISNUMBER(M370),M370,1)),IF($C370="Paying back",0,IF(AND(OR(Housemates!$C$15="",Housemates!$C$15&lt;=$B370),OR(Housemates!$D$15="",Housemates!$D$15&gt;=$B370)),IF($Q370=0,1,INDEX(Bills!$AH$6:$AH$25,$Q370)),0))))</f>
        <v/>
      </c>
      <c r="AA370">
        <f>SUM(S370:Z370)</f>
        <v/>
      </c>
      <c r="AB370">
        <f>IF(AA370=0,0,D370*S370/AA370)</f>
        <v/>
      </c>
      <c r="AC370">
        <f>IF(AA370=0,0,D370*T370/AA370)</f>
        <v/>
      </c>
      <c r="AD370">
        <f>IF(AA370=0,0,D370*U370/AA370)</f>
        <v/>
      </c>
      <c r="AE370">
        <f>IF(AA370=0,0,D370*V370/AA370)</f>
        <v/>
      </c>
      <c r="AF370">
        <f>IF(AA370=0,0,D370*W370/AA370)</f>
        <v/>
      </c>
      <c r="AG370">
        <f>IF(AA370=0,0,D370*X370/AA370)</f>
        <v/>
      </c>
      <c r="AH370">
        <f>IF(AA370=0,0,D370*Y370/AA370)</f>
        <v/>
      </c>
      <c r="AI370">
        <f>IF(AA370=0,0,D370*Z370/AA370)</f>
        <v/>
      </c>
      <c r="AJ370">
        <f>IF(OR(C370="",B370=""),"",C370&amp;"|"&amp;(YEAR(B370)*100+MONTH(B370)))</f>
        <v/>
      </c>
    </row>
    <row r="371">
      <c r="A371" s="1" t="n"/>
      <c r="B371" s="23" t="n"/>
      <c r="C371" s="24" t="n"/>
      <c r="D371" s="25" t="n"/>
      <c r="E371" s="26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1">
        <f>IF(D371="","",IF(B371="","No date",IF(AND(C371="Paying back",R371=0),"To whom?",IF(AA371=0,"Nobody",IF(C371="Paying back","To "&amp;INDEX(Housemates!$B$8:$B$15,MATCH(MAX(S371:Z371),S371:Z371,0)),IF(R371&gt;0,IF(COUNTIF(S371:Z371,"&gt;0")=1,"1 person",COUNTIF(S371:Z371,"&gt;0")&amp;" people"),IF(Q371=0,"Everyone",INDEX(Bills!$Q$6:$Q$25,Q371))))))))</f>
        <v/>
      </c>
      <c r="O371" s="18">
        <f>IF(D371="","",IF(C371="Paying back","Paying back",IF(Q371=0,"Other",IF(INDEX(Bills!$C$6:$C$25,Q371)="","Other",INDEX(Bills!$C$6:$C$25,Q371)))))</f>
        <v/>
      </c>
      <c r="P371" s="1" t="n"/>
      <c r="Q371">
        <f>IF(C371="",0,IFERROR(MATCH(C371,Bills!$B$6:$B$25,0),0))</f>
        <v/>
      </c>
      <c r="R371">
        <f>COUNTA(F371:M371)</f>
        <v/>
      </c>
      <c r="S371">
        <f>IF(OR($D371="",$B371="",Housemates!$B$8=""),0,IF($R371&gt;0,IF(F371="",0,IF(ISNUMBER(F371),F371,1)),IF($C371="Paying back",0,IF(AND(OR(Housemates!$C$8="",Housemates!$C$8&lt;=$B371),OR(Housemates!$D$8="",Housemates!$D$8&gt;=$B371)),IF($Q371=0,1,INDEX(Bills!$AA$6:$AA$25,$Q371)),0))))</f>
        <v/>
      </c>
      <c r="T371">
        <f>IF(OR($D371="",$B371="",Housemates!$B$9=""),0,IF($R371&gt;0,IF(G371="",0,IF(ISNUMBER(G371),G371,1)),IF($C371="Paying back",0,IF(AND(OR(Housemates!$C$9="",Housemates!$C$9&lt;=$B371),OR(Housemates!$D$9="",Housemates!$D$9&gt;=$B371)),IF($Q371=0,1,INDEX(Bills!$AB$6:$AB$25,$Q371)),0))))</f>
        <v/>
      </c>
      <c r="U371">
        <f>IF(OR($D371="",$B371="",Housemates!$B$10=""),0,IF($R371&gt;0,IF(H371="",0,IF(ISNUMBER(H371),H371,1)),IF($C371="Paying back",0,IF(AND(OR(Housemates!$C$10="",Housemates!$C$10&lt;=$B371),OR(Housemates!$D$10="",Housemates!$D$10&gt;=$B371)),IF($Q371=0,1,INDEX(Bills!$AC$6:$AC$25,$Q371)),0))))</f>
        <v/>
      </c>
      <c r="V371">
        <f>IF(OR($D371="",$B371="",Housemates!$B$11=""),0,IF($R371&gt;0,IF(I371="",0,IF(ISNUMBER(I371),I371,1)),IF($C371="Paying back",0,IF(AND(OR(Housemates!$C$11="",Housemates!$C$11&lt;=$B371),OR(Housemates!$D$11="",Housemates!$D$11&gt;=$B371)),IF($Q371=0,1,INDEX(Bills!$AD$6:$AD$25,$Q371)),0))))</f>
        <v/>
      </c>
      <c r="W371">
        <f>IF(OR($D371="",$B371="",Housemates!$B$12=""),0,IF($R371&gt;0,IF(J371="",0,IF(ISNUMBER(J371),J371,1)),IF($C371="Paying back",0,IF(AND(OR(Housemates!$C$12="",Housemates!$C$12&lt;=$B371),OR(Housemates!$D$12="",Housemates!$D$12&gt;=$B371)),IF($Q371=0,1,INDEX(Bills!$AE$6:$AE$25,$Q371)),0))))</f>
        <v/>
      </c>
      <c r="X371">
        <f>IF(OR($D371="",$B371="",Housemates!$B$13=""),0,IF($R371&gt;0,IF(K371="",0,IF(ISNUMBER(K371),K371,1)),IF($C371="Paying back",0,IF(AND(OR(Housemates!$C$13="",Housemates!$C$13&lt;=$B371),OR(Housemates!$D$13="",Housemates!$D$13&gt;=$B371)),IF($Q371=0,1,INDEX(Bills!$AF$6:$AF$25,$Q371)),0))))</f>
        <v/>
      </c>
      <c r="Y371">
        <f>IF(OR($D371="",$B371="",Housemates!$B$14=""),0,IF($R371&gt;0,IF(L371="",0,IF(ISNUMBER(L371),L371,1)),IF($C371="Paying back",0,IF(AND(OR(Housemates!$C$14="",Housemates!$C$14&lt;=$B371),OR(Housemates!$D$14="",Housemates!$D$14&gt;=$B371)),IF($Q371=0,1,INDEX(Bills!$AG$6:$AG$25,$Q371)),0))))</f>
        <v/>
      </c>
      <c r="Z371">
        <f>IF(OR($D371="",$B371="",Housemates!$B$15=""),0,IF($R371&gt;0,IF(M371="",0,IF(ISNUMBER(M371),M371,1)),IF($C371="Paying back",0,IF(AND(OR(Housemates!$C$15="",Housemates!$C$15&lt;=$B371),OR(Housemates!$D$15="",Housemates!$D$15&gt;=$B371)),IF($Q371=0,1,INDEX(Bills!$AH$6:$AH$25,$Q371)),0))))</f>
        <v/>
      </c>
      <c r="AA371">
        <f>SUM(S371:Z371)</f>
        <v/>
      </c>
      <c r="AB371">
        <f>IF(AA371=0,0,D371*S371/AA371)</f>
        <v/>
      </c>
      <c r="AC371">
        <f>IF(AA371=0,0,D371*T371/AA371)</f>
        <v/>
      </c>
      <c r="AD371">
        <f>IF(AA371=0,0,D371*U371/AA371)</f>
        <v/>
      </c>
      <c r="AE371">
        <f>IF(AA371=0,0,D371*V371/AA371)</f>
        <v/>
      </c>
      <c r="AF371">
        <f>IF(AA371=0,0,D371*W371/AA371)</f>
        <v/>
      </c>
      <c r="AG371">
        <f>IF(AA371=0,0,D371*X371/AA371)</f>
        <v/>
      </c>
      <c r="AH371">
        <f>IF(AA371=0,0,D371*Y371/AA371)</f>
        <v/>
      </c>
      <c r="AI371">
        <f>IF(AA371=0,0,D371*Z371/AA371)</f>
        <v/>
      </c>
      <c r="AJ371">
        <f>IF(OR(C371="",B371=""),"",C371&amp;"|"&amp;(YEAR(B371)*100+MONTH(B371)))</f>
        <v/>
      </c>
    </row>
    <row r="372">
      <c r="A372" s="1" t="n"/>
      <c r="B372" s="23" t="n"/>
      <c r="C372" s="24" t="n"/>
      <c r="D372" s="25" t="n"/>
      <c r="E372" s="26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1">
        <f>IF(D372="","",IF(B372="","No date",IF(AND(C372="Paying back",R372=0),"To whom?",IF(AA372=0,"Nobody",IF(C372="Paying back","To "&amp;INDEX(Housemates!$B$8:$B$15,MATCH(MAX(S372:Z372),S372:Z372,0)),IF(R372&gt;0,IF(COUNTIF(S372:Z372,"&gt;0")=1,"1 person",COUNTIF(S372:Z372,"&gt;0")&amp;" people"),IF(Q372=0,"Everyone",INDEX(Bills!$Q$6:$Q$25,Q372))))))))</f>
        <v/>
      </c>
      <c r="O372" s="18">
        <f>IF(D372="","",IF(C372="Paying back","Paying back",IF(Q372=0,"Other",IF(INDEX(Bills!$C$6:$C$25,Q372)="","Other",INDEX(Bills!$C$6:$C$25,Q372)))))</f>
        <v/>
      </c>
      <c r="P372" s="1" t="n"/>
      <c r="Q372">
        <f>IF(C372="",0,IFERROR(MATCH(C372,Bills!$B$6:$B$25,0),0))</f>
        <v/>
      </c>
      <c r="R372">
        <f>COUNTA(F372:M372)</f>
        <v/>
      </c>
      <c r="S372">
        <f>IF(OR($D372="",$B372="",Housemates!$B$8=""),0,IF($R372&gt;0,IF(F372="",0,IF(ISNUMBER(F372),F372,1)),IF($C372="Paying back",0,IF(AND(OR(Housemates!$C$8="",Housemates!$C$8&lt;=$B372),OR(Housemates!$D$8="",Housemates!$D$8&gt;=$B372)),IF($Q372=0,1,INDEX(Bills!$AA$6:$AA$25,$Q372)),0))))</f>
        <v/>
      </c>
      <c r="T372">
        <f>IF(OR($D372="",$B372="",Housemates!$B$9=""),0,IF($R372&gt;0,IF(G372="",0,IF(ISNUMBER(G372),G372,1)),IF($C372="Paying back",0,IF(AND(OR(Housemates!$C$9="",Housemates!$C$9&lt;=$B372),OR(Housemates!$D$9="",Housemates!$D$9&gt;=$B372)),IF($Q372=0,1,INDEX(Bills!$AB$6:$AB$25,$Q372)),0))))</f>
        <v/>
      </c>
      <c r="U372">
        <f>IF(OR($D372="",$B372="",Housemates!$B$10=""),0,IF($R372&gt;0,IF(H372="",0,IF(ISNUMBER(H372),H372,1)),IF($C372="Paying back",0,IF(AND(OR(Housemates!$C$10="",Housemates!$C$10&lt;=$B372),OR(Housemates!$D$10="",Housemates!$D$10&gt;=$B372)),IF($Q372=0,1,INDEX(Bills!$AC$6:$AC$25,$Q372)),0))))</f>
        <v/>
      </c>
      <c r="V372">
        <f>IF(OR($D372="",$B372="",Housemates!$B$11=""),0,IF($R372&gt;0,IF(I372="",0,IF(ISNUMBER(I372),I372,1)),IF($C372="Paying back",0,IF(AND(OR(Housemates!$C$11="",Housemates!$C$11&lt;=$B372),OR(Housemates!$D$11="",Housemates!$D$11&gt;=$B372)),IF($Q372=0,1,INDEX(Bills!$AD$6:$AD$25,$Q372)),0))))</f>
        <v/>
      </c>
      <c r="W372">
        <f>IF(OR($D372="",$B372="",Housemates!$B$12=""),0,IF($R372&gt;0,IF(J372="",0,IF(ISNUMBER(J372),J372,1)),IF($C372="Paying back",0,IF(AND(OR(Housemates!$C$12="",Housemates!$C$12&lt;=$B372),OR(Housemates!$D$12="",Housemates!$D$12&gt;=$B372)),IF($Q372=0,1,INDEX(Bills!$AE$6:$AE$25,$Q372)),0))))</f>
        <v/>
      </c>
      <c r="X372">
        <f>IF(OR($D372="",$B372="",Housemates!$B$13=""),0,IF($R372&gt;0,IF(K372="",0,IF(ISNUMBER(K372),K372,1)),IF($C372="Paying back",0,IF(AND(OR(Housemates!$C$13="",Housemates!$C$13&lt;=$B372),OR(Housemates!$D$13="",Housemates!$D$13&gt;=$B372)),IF($Q372=0,1,INDEX(Bills!$AF$6:$AF$25,$Q372)),0))))</f>
        <v/>
      </c>
      <c r="Y372">
        <f>IF(OR($D372="",$B372="",Housemates!$B$14=""),0,IF($R372&gt;0,IF(L372="",0,IF(ISNUMBER(L372),L372,1)),IF($C372="Paying back",0,IF(AND(OR(Housemates!$C$14="",Housemates!$C$14&lt;=$B372),OR(Housemates!$D$14="",Housemates!$D$14&gt;=$B372)),IF($Q372=0,1,INDEX(Bills!$AG$6:$AG$25,$Q372)),0))))</f>
        <v/>
      </c>
      <c r="Z372">
        <f>IF(OR($D372="",$B372="",Housemates!$B$15=""),0,IF($R372&gt;0,IF(M372="",0,IF(ISNUMBER(M372),M372,1)),IF($C372="Paying back",0,IF(AND(OR(Housemates!$C$15="",Housemates!$C$15&lt;=$B372),OR(Housemates!$D$15="",Housemates!$D$15&gt;=$B372)),IF($Q372=0,1,INDEX(Bills!$AH$6:$AH$25,$Q372)),0))))</f>
        <v/>
      </c>
      <c r="AA372">
        <f>SUM(S372:Z372)</f>
        <v/>
      </c>
      <c r="AB372">
        <f>IF(AA372=0,0,D372*S372/AA372)</f>
        <v/>
      </c>
      <c r="AC372">
        <f>IF(AA372=0,0,D372*T372/AA372)</f>
        <v/>
      </c>
      <c r="AD372">
        <f>IF(AA372=0,0,D372*U372/AA372)</f>
        <v/>
      </c>
      <c r="AE372">
        <f>IF(AA372=0,0,D372*V372/AA372)</f>
        <v/>
      </c>
      <c r="AF372">
        <f>IF(AA372=0,0,D372*W372/AA372)</f>
        <v/>
      </c>
      <c r="AG372">
        <f>IF(AA372=0,0,D372*X372/AA372)</f>
        <v/>
      </c>
      <c r="AH372">
        <f>IF(AA372=0,0,D372*Y372/AA372)</f>
        <v/>
      </c>
      <c r="AI372">
        <f>IF(AA372=0,0,D372*Z372/AA372)</f>
        <v/>
      </c>
      <c r="AJ372">
        <f>IF(OR(C372="",B372=""),"",C372&amp;"|"&amp;(YEAR(B372)*100+MONTH(B372)))</f>
        <v/>
      </c>
    </row>
    <row r="373">
      <c r="A373" s="1" t="n"/>
      <c r="B373" s="23" t="n"/>
      <c r="C373" s="24" t="n"/>
      <c r="D373" s="25" t="n"/>
      <c r="E373" s="26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1">
        <f>IF(D373="","",IF(B373="","No date",IF(AND(C373="Paying back",R373=0),"To whom?",IF(AA373=0,"Nobody",IF(C373="Paying back","To "&amp;INDEX(Housemates!$B$8:$B$15,MATCH(MAX(S373:Z373),S373:Z373,0)),IF(R373&gt;0,IF(COUNTIF(S373:Z373,"&gt;0")=1,"1 person",COUNTIF(S373:Z373,"&gt;0")&amp;" people"),IF(Q373=0,"Everyone",INDEX(Bills!$Q$6:$Q$25,Q373))))))))</f>
        <v/>
      </c>
      <c r="O373" s="18">
        <f>IF(D373="","",IF(C373="Paying back","Paying back",IF(Q373=0,"Other",IF(INDEX(Bills!$C$6:$C$25,Q373)="","Other",INDEX(Bills!$C$6:$C$25,Q373)))))</f>
        <v/>
      </c>
      <c r="P373" s="1" t="n"/>
      <c r="Q373">
        <f>IF(C373="",0,IFERROR(MATCH(C373,Bills!$B$6:$B$25,0),0))</f>
        <v/>
      </c>
      <c r="R373">
        <f>COUNTA(F373:M373)</f>
        <v/>
      </c>
      <c r="S373">
        <f>IF(OR($D373="",$B373="",Housemates!$B$8=""),0,IF($R373&gt;0,IF(F373="",0,IF(ISNUMBER(F373),F373,1)),IF($C373="Paying back",0,IF(AND(OR(Housemates!$C$8="",Housemates!$C$8&lt;=$B373),OR(Housemates!$D$8="",Housemates!$D$8&gt;=$B373)),IF($Q373=0,1,INDEX(Bills!$AA$6:$AA$25,$Q373)),0))))</f>
        <v/>
      </c>
      <c r="T373">
        <f>IF(OR($D373="",$B373="",Housemates!$B$9=""),0,IF($R373&gt;0,IF(G373="",0,IF(ISNUMBER(G373),G373,1)),IF($C373="Paying back",0,IF(AND(OR(Housemates!$C$9="",Housemates!$C$9&lt;=$B373),OR(Housemates!$D$9="",Housemates!$D$9&gt;=$B373)),IF($Q373=0,1,INDEX(Bills!$AB$6:$AB$25,$Q373)),0))))</f>
        <v/>
      </c>
      <c r="U373">
        <f>IF(OR($D373="",$B373="",Housemates!$B$10=""),0,IF($R373&gt;0,IF(H373="",0,IF(ISNUMBER(H373),H373,1)),IF($C373="Paying back",0,IF(AND(OR(Housemates!$C$10="",Housemates!$C$10&lt;=$B373),OR(Housemates!$D$10="",Housemates!$D$10&gt;=$B373)),IF($Q373=0,1,INDEX(Bills!$AC$6:$AC$25,$Q373)),0))))</f>
        <v/>
      </c>
      <c r="V373">
        <f>IF(OR($D373="",$B373="",Housemates!$B$11=""),0,IF($R373&gt;0,IF(I373="",0,IF(ISNUMBER(I373),I373,1)),IF($C373="Paying back",0,IF(AND(OR(Housemates!$C$11="",Housemates!$C$11&lt;=$B373),OR(Housemates!$D$11="",Housemates!$D$11&gt;=$B373)),IF($Q373=0,1,INDEX(Bills!$AD$6:$AD$25,$Q373)),0))))</f>
        <v/>
      </c>
      <c r="W373">
        <f>IF(OR($D373="",$B373="",Housemates!$B$12=""),0,IF($R373&gt;0,IF(J373="",0,IF(ISNUMBER(J373),J373,1)),IF($C373="Paying back",0,IF(AND(OR(Housemates!$C$12="",Housemates!$C$12&lt;=$B373),OR(Housemates!$D$12="",Housemates!$D$12&gt;=$B373)),IF($Q373=0,1,INDEX(Bills!$AE$6:$AE$25,$Q373)),0))))</f>
        <v/>
      </c>
      <c r="X373">
        <f>IF(OR($D373="",$B373="",Housemates!$B$13=""),0,IF($R373&gt;0,IF(K373="",0,IF(ISNUMBER(K373),K373,1)),IF($C373="Paying back",0,IF(AND(OR(Housemates!$C$13="",Housemates!$C$13&lt;=$B373),OR(Housemates!$D$13="",Housemates!$D$13&gt;=$B373)),IF($Q373=0,1,INDEX(Bills!$AF$6:$AF$25,$Q373)),0))))</f>
        <v/>
      </c>
      <c r="Y373">
        <f>IF(OR($D373="",$B373="",Housemates!$B$14=""),0,IF($R373&gt;0,IF(L373="",0,IF(ISNUMBER(L373),L373,1)),IF($C373="Paying back",0,IF(AND(OR(Housemates!$C$14="",Housemates!$C$14&lt;=$B373),OR(Housemates!$D$14="",Housemates!$D$14&gt;=$B373)),IF($Q373=0,1,INDEX(Bills!$AG$6:$AG$25,$Q373)),0))))</f>
        <v/>
      </c>
      <c r="Z373">
        <f>IF(OR($D373="",$B373="",Housemates!$B$15=""),0,IF($R373&gt;0,IF(M373="",0,IF(ISNUMBER(M373),M373,1)),IF($C373="Paying back",0,IF(AND(OR(Housemates!$C$15="",Housemates!$C$15&lt;=$B373),OR(Housemates!$D$15="",Housemates!$D$15&gt;=$B373)),IF($Q373=0,1,INDEX(Bills!$AH$6:$AH$25,$Q373)),0))))</f>
        <v/>
      </c>
      <c r="AA373">
        <f>SUM(S373:Z373)</f>
        <v/>
      </c>
      <c r="AB373">
        <f>IF(AA373=0,0,D373*S373/AA373)</f>
        <v/>
      </c>
      <c r="AC373">
        <f>IF(AA373=0,0,D373*T373/AA373)</f>
        <v/>
      </c>
      <c r="AD373">
        <f>IF(AA373=0,0,D373*U373/AA373)</f>
        <v/>
      </c>
      <c r="AE373">
        <f>IF(AA373=0,0,D373*V373/AA373)</f>
        <v/>
      </c>
      <c r="AF373">
        <f>IF(AA373=0,0,D373*W373/AA373)</f>
        <v/>
      </c>
      <c r="AG373">
        <f>IF(AA373=0,0,D373*X373/AA373)</f>
        <v/>
      </c>
      <c r="AH373">
        <f>IF(AA373=0,0,D373*Y373/AA373)</f>
        <v/>
      </c>
      <c r="AI373">
        <f>IF(AA373=0,0,D373*Z373/AA373)</f>
        <v/>
      </c>
      <c r="AJ373">
        <f>IF(OR(C373="",B373=""),"",C373&amp;"|"&amp;(YEAR(B373)*100+MONTH(B373)))</f>
        <v/>
      </c>
    </row>
    <row r="374">
      <c r="A374" s="1" t="n"/>
      <c r="B374" s="23" t="n"/>
      <c r="C374" s="24" t="n"/>
      <c r="D374" s="25" t="n"/>
      <c r="E374" s="26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1">
        <f>IF(D374="","",IF(B374="","No date",IF(AND(C374="Paying back",R374=0),"To whom?",IF(AA374=0,"Nobody",IF(C374="Paying back","To "&amp;INDEX(Housemates!$B$8:$B$15,MATCH(MAX(S374:Z374),S374:Z374,0)),IF(R374&gt;0,IF(COUNTIF(S374:Z374,"&gt;0")=1,"1 person",COUNTIF(S374:Z374,"&gt;0")&amp;" people"),IF(Q374=0,"Everyone",INDEX(Bills!$Q$6:$Q$25,Q374))))))))</f>
        <v/>
      </c>
      <c r="O374" s="18">
        <f>IF(D374="","",IF(C374="Paying back","Paying back",IF(Q374=0,"Other",IF(INDEX(Bills!$C$6:$C$25,Q374)="","Other",INDEX(Bills!$C$6:$C$25,Q374)))))</f>
        <v/>
      </c>
      <c r="P374" s="1" t="n"/>
      <c r="Q374">
        <f>IF(C374="",0,IFERROR(MATCH(C374,Bills!$B$6:$B$25,0),0))</f>
        <v/>
      </c>
      <c r="R374">
        <f>COUNTA(F374:M374)</f>
        <v/>
      </c>
      <c r="S374">
        <f>IF(OR($D374="",$B374="",Housemates!$B$8=""),0,IF($R374&gt;0,IF(F374="",0,IF(ISNUMBER(F374),F374,1)),IF($C374="Paying back",0,IF(AND(OR(Housemates!$C$8="",Housemates!$C$8&lt;=$B374),OR(Housemates!$D$8="",Housemates!$D$8&gt;=$B374)),IF($Q374=0,1,INDEX(Bills!$AA$6:$AA$25,$Q374)),0))))</f>
        <v/>
      </c>
      <c r="T374">
        <f>IF(OR($D374="",$B374="",Housemates!$B$9=""),0,IF($R374&gt;0,IF(G374="",0,IF(ISNUMBER(G374),G374,1)),IF($C374="Paying back",0,IF(AND(OR(Housemates!$C$9="",Housemates!$C$9&lt;=$B374),OR(Housemates!$D$9="",Housemates!$D$9&gt;=$B374)),IF($Q374=0,1,INDEX(Bills!$AB$6:$AB$25,$Q374)),0))))</f>
        <v/>
      </c>
      <c r="U374">
        <f>IF(OR($D374="",$B374="",Housemates!$B$10=""),0,IF($R374&gt;0,IF(H374="",0,IF(ISNUMBER(H374),H374,1)),IF($C374="Paying back",0,IF(AND(OR(Housemates!$C$10="",Housemates!$C$10&lt;=$B374),OR(Housemates!$D$10="",Housemates!$D$10&gt;=$B374)),IF($Q374=0,1,INDEX(Bills!$AC$6:$AC$25,$Q374)),0))))</f>
        <v/>
      </c>
      <c r="V374">
        <f>IF(OR($D374="",$B374="",Housemates!$B$11=""),0,IF($R374&gt;0,IF(I374="",0,IF(ISNUMBER(I374),I374,1)),IF($C374="Paying back",0,IF(AND(OR(Housemates!$C$11="",Housemates!$C$11&lt;=$B374),OR(Housemates!$D$11="",Housemates!$D$11&gt;=$B374)),IF($Q374=0,1,INDEX(Bills!$AD$6:$AD$25,$Q374)),0))))</f>
        <v/>
      </c>
      <c r="W374">
        <f>IF(OR($D374="",$B374="",Housemates!$B$12=""),0,IF($R374&gt;0,IF(J374="",0,IF(ISNUMBER(J374),J374,1)),IF($C374="Paying back",0,IF(AND(OR(Housemates!$C$12="",Housemates!$C$12&lt;=$B374),OR(Housemates!$D$12="",Housemates!$D$12&gt;=$B374)),IF($Q374=0,1,INDEX(Bills!$AE$6:$AE$25,$Q374)),0))))</f>
        <v/>
      </c>
      <c r="X374">
        <f>IF(OR($D374="",$B374="",Housemates!$B$13=""),0,IF($R374&gt;0,IF(K374="",0,IF(ISNUMBER(K374),K374,1)),IF($C374="Paying back",0,IF(AND(OR(Housemates!$C$13="",Housemates!$C$13&lt;=$B374),OR(Housemates!$D$13="",Housemates!$D$13&gt;=$B374)),IF($Q374=0,1,INDEX(Bills!$AF$6:$AF$25,$Q374)),0))))</f>
        <v/>
      </c>
      <c r="Y374">
        <f>IF(OR($D374="",$B374="",Housemates!$B$14=""),0,IF($R374&gt;0,IF(L374="",0,IF(ISNUMBER(L374),L374,1)),IF($C374="Paying back",0,IF(AND(OR(Housemates!$C$14="",Housemates!$C$14&lt;=$B374),OR(Housemates!$D$14="",Housemates!$D$14&gt;=$B374)),IF($Q374=0,1,INDEX(Bills!$AG$6:$AG$25,$Q374)),0))))</f>
        <v/>
      </c>
      <c r="Z374">
        <f>IF(OR($D374="",$B374="",Housemates!$B$15=""),0,IF($R374&gt;0,IF(M374="",0,IF(ISNUMBER(M374),M374,1)),IF($C374="Paying back",0,IF(AND(OR(Housemates!$C$15="",Housemates!$C$15&lt;=$B374),OR(Housemates!$D$15="",Housemates!$D$15&gt;=$B374)),IF($Q374=0,1,INDEX(Bills!$AH$6:$AH$25,$Q374)),0))))</f>
        <v/>
      </c>
      <c r="AA374">
        <f>SUM(S374:Z374)</f>
        <v/>
      </c>
      <c r="AB374">
        <f>IF(AA374=0,0,D374*S374/AA374)</f>
        <v/>
      </c>
      <c r="AC374">
        <f>IF(AA374=0,0,D374*T374/AA374)</f>
        <v/>
      </c>
      <c r="AD374">
        <f>IF(AA374=0,0,D374*U374/AA374)</f>
        <v/>
      </c>
      <c r="AE374">
        <f>IF(AA374=0,0,D374*V374/AA374)</f>
        <v/>
      </c>
      <c r="AF374">
        <f>IF(AA374=0,0,D374*W374/AA374)</f>
        <v/>
      </c>
      <c r="AG374">
        <f>IF(AA374=0,0,D374*X374/AA374)</f>
        <v/>
      </c>
      <c r="AH374">
        <f>IF(AA374=0,0,D374*Y374/AA374)</f>
        <v/>
      </c>
      <c r="AI374">
        <f>IF(AA374=0,0,D374*Z374/AA374)</f>
        <v/>
      </c>
      <c r="AJ374">
        <f>IF(OR(C374="",B374=""),"",C374&amp;"|"&amp;(YEAR(B374)*100+MONTH(B374)))</f>
        <v/>
      </c>
    </row>
    <row r="375">
      <c r="A375" s="1" t="n"/>
      <c r="B375" s="23" t="n"/>
      <c r="C375" s="24" t="n"/>
      <c r="D375" s="25" t="n"/>
      <c r="E375" s="26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1">
        <f>IF(D375="","",IF(B375="","No date",IF(AND(C375="Paying back",R375=0),"To whom?",IF(AA375=0,"Nobody",IF(C375="Paying back","To "&amp;INDEX(Housemates!$B$8:$B$15,MATCH(MAX(S375:Z375),S375:Z375,0)),IF(R375&gt;0,IF(COUNTIF(S375:Z375,"&gt;0")=1,"1 person",COUNTIF(S375:Z375,"&gt;0")&amp;" people"),IF(Q375=0,"Everyone",INDEX(Bills!$Q$6:$Q$25,Q375))))))))</f>
        <v/>
      </c>
      <c r="O375" s="18">
        <f>IF(D375="","",IF(C375="Paying back","Paying back",IF(Q375=0,"Other",IF(INDEX(Bills!$C$6:$C$25,Q375)="","Other",INDEX(Bills!$C$6:$C$25,Q375)))))</f>
        <v/>
      </c>
      <c r="P375" s="1" t="n"/>
      <c r="Q375">
        <f>IF(C375="",0,IFERROR(MATCH(C375,Bills!$B$6:$B$25,0),0))</f>
        <v/>
      </c>
      <c r="R375">
        <f>COUNTA(F375:M375)</f>
        <v/>
      </c>
      <c r="S375">
        <f>IF(OR($D375="",$B375="",Housemates!$B$8=""),0,IF($R375&gt;0,IF(F375="",0,IF(ISNUMBER(F375),F375,1)),IF($C375="Paying back",0,IF(AND(OR(Housemates!$C$8="",Housemates!$C$8&lt;=$B375),OR(Housemates!$D$8="",Housemates!$D$8&gt;=$B375)),IF($Q375=0,1,INDEX(Bills!$AA$6:$AA$25,$Q375)),0))))</f>
        <v/>
      </c>
      <c r="T375">
        <f>IF(OR($D375="",$B375="",Housemates!$B$9=""),0,IF($R375&gt;0,IF(G375="",0,IF(ISNUMBER(G375),G375,1)),IF($C375="Paying back",0,IF(AND(OR(Housemates!$C$9="",Housemates!$C$9&lt;=$B375),OR(Housemates!$D$9="",Housemates!$D$9&gt;=$B375)),IF($Q375=0,1,INDEX(Bills!$AB$6:$AB$25,$Q375)),0))))</f>
        <v/>
      </c>
      <c r="U375">
        <f>IF(OR($D375="",$B375="",Housemates!$B$10=""),0,IF($R375&gt;0,IF(H375="",0,IF(ISNUMBER(H375),H375,1)),IF($C375="Paying back",0,IF(AND(OR(Housemates!$C$10="",Housemates!$C$10&lt;=$B375),OR(Housemates!$D$10="",Housemates!$D$10&gt;=$B375)),IF($Q375=0,1,INDEX(Bills!$AC$6:$AC$25,$Q375)),0))))</f>
        <v/>
      </c>
      <c r="V375">
        <f>IF(OR($D375="",$B375="",Housemates!$B$11=""),0,IF($R375&gt;0,IF(I375="",0,IF(ISNUMBER(I375),I375,1)),IF($C375="Paying back",0,IF(AND(OR(Housemates!$C$11="",Housemates!$C$11&lt;=$B375),OR(Housemates!$D$11="",Housemates!$D$11&gt;=$B375)),IF($Q375=0,1,INDEX(Bills!$AD$6:$AD$25,$Q375)),0))))</f>
        <v/>
      </c>
      <c r="W375">
        <f>IF(OR($D375="",$B375="",Housemates!$B$12=""),0,IF($R375&gt;0,IF(J375="",0,IF(ISNUMBER(J375),J375,1)),IF($C375="Paying back",0,IF(AND(OR(Housemates!$C$12="",Housemates!$C$12&lt;=$B375),OR(Housemates!$D$12="",Housemates!$D$12&gt;=$B375)),IF($Q375=0,1,INDEX(Bills!$AE$6:$AE$25,$Q375)),0))))</f>
        <v/>
      </c>
      <c r="X375">
        <f>IF(OR($D375="",$B375="",Housemates!$B$13=""),0,IF($R375&gt;0,IF(K375="",0,IF(ISNUMBER(K375),K375,1)),IF($C375="Paying back",0,IF(AND(OR(Housemates!$C$13="",Housemates!$C$13&lt;=$B375),OR(Housemates!$D$13="",Housemates!$D$13&gt;=$B375)),IF($Q375=0,1,INDEX(Bills!$AF$6:$AF$25,$Q375)),0))))</f>
        <v/>
      </c>
      <c r="Y375">
        <f>IF(OR($D375="",$B375="",Housemates!$B$14=""),0,IF($R375&gt;0,IF(L375="",0,IF(ISNUMBER(L375),L375,1)),IF($C375="Paying back",0,IF(AND(OR(Housemates!$C$14="",Housemates!$C$14&lt;=$B375),OR(Housemates!$D$14="",Housemates!$D$14&gt;=$B375)),IF($Q375=0,1,INDEX(Bills!$AG$6:$AG$25,$Q375)),0))))</f>
        <v/>
      </c>
      <c r="Z375">
        <f>IF(OR($D375="",$B375="",Housemates!$B$15=""),0,IF($R375&gt;0,IF(M375="",0,IF(ISNUMBER(M375),M375,1)),IF($C375="Paying back",0,IF(AND(OR(Housemates!$C$15="",Housemates!$C$15&lt;=$B375),OR(Housemates!$D$15="",Housemates!$D$15&gt;=$B375)),IF($Q375=0,1,INDEX(Bills!$AH$6:$AH$25,$Q375)),0))))</f>
        <v/>
      </c>
      <c r="AA375">
        <f>SUM(S375:Z375)</f>
        <v/>
      </c>
      <c r="AB375">
        <f>IF(AA375=0,0,D375*S375/AA375)</f>
        <v/>
      </c>
      <c r="AC375">
        <f>IF(AA375=0,0,D375*T375/AA375)</f>
        <v/>
      </c>
      <c r="AD375">
        <f>IF(AA375=0,0,D375*U375/AA375)</f>
        <v/>
      </c>
      <c r="AE375">
        <f>IF(AA375=0,0,D375*V375/AA375)</f>
        <v/>
      </c>
      <c r="AF375">
        <f>IF(AA375=0,0,D375*W375/AA375)</f>
        <v/>
      </c>
      <c r="AG375">
        <f>IF(AA375=0,0,D375*X375/AA375)</f>
        <v/>
      </c>
      <c r="AH375">
        <f>IF(AA375=0,0,D375*Y375/AA375)</f>
        <v/>
      </c>
      <c r="AI375">
        <f>IF(AA375=0,0,D375*Z375/AA375)</f>
        <v/>
      </c>
      <c r="AJ375">
        <f>IF(OR(C375="",B375=""),"",C375&amp;"|"&amp;(YEAR(B375)*100+MONTH(B375)))</f>
        <v/>
      </c>
    </row>
    <row r="376">
      <c r="A376" s="1" t="n"/>
      <c r="B376" s="23" t="n"/>
      <c r="C376" s="24" t="n"/>
      <c r="D376" s="25" t="n"/>
      <c r="E376" s="26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1">
        <f>IF(D376="","",IF(B376="","No date",IF(AND(C376="Paying back",R376=0),"To whom?",IF(AA376=0,"Nobody",IF(C376="Paying back","To "&amp;INDEX(Housemates!$B$8:$B$15,MATCH(MAX(S376:Z376),S376:Z376,0)),IF(R376&gt;0,IF(COUNTIF(S376:Z376,"&gt;0")=1,"1 person",COUNTIF(S376:Z376,"&gt;0")&amp;" people"),IF(Q376=0,"Everyone",INDEX(Bills!$Q$6:$Q$25,Q376))))))))</f>
        <v/>
      </c>
      <c r="O376" s="18">
        <f>IF(D376="","",IF(C376="Paying back","Paying back",IF(Q376=0,"Other",IF(INDEX(Bills!$C$6:$C$25,Q376)="","Other",INDEX(Bills!$C$6:$C$25,Q376)))))</f>
        <v/>
      </c>
      <c r="P376" s="1" t="n"/>
      <c r="Q376">
        <f>IF(C376="",0,IFERROR(MATCH(C376,Bills!$B$6:$B$25,0),0))</f>
        <v/>
      </c>
      <c r="R376">
        <f>COUNTA(F376:M376)</f>
        <v/>
      </c>
      <c r="S376">
        <f>IF(OR($D376="",$B376="",Housemates!$B$8=""),0,IF($R376&gt;0,IF(F376="",0,IF(ISNUMBER(F376),F376,1)),IF($C376="Paying back",0,IF(AND(OR(Housemates!$C$8="",Housemates!$C$8&lt;=$B376),OR(Housemates!$D$8="",Housemates!$D$8&gt;=$B376)),IF($Q376=0,1,INDEX(Bills!$AA$6:$AA$25,$Q376)),0))))</f>
        <v/>
      </c>
      <c r="T376">
        <f>IF(OR($D376="",$B376="",Housemates!$B$9=""),0,IF($R376&gt;0,IF(G376="",0,IF(ISNUMBER(G376),G376,1)),IF($C376="Paying back",0,IF(AND(OR(Housemates!$C$9="",Housemates!$C$9&lt;=$B376),OR(Housemates!$D$9="",Housemates!$D$9&gt;=$B376)),IF($Q376=0,1,INDEX(Bills!$AB$6:$AB$25,$Q376)),0))))</f>
        <v/>
      </c>
      <c r="U376">
        <f>IF(OR($D376="",$B376="",Housemates!$B$10=""),0,IF($R376&gt;0,IF(H376="",0,IF(ISNUMBER(H376),H376,1)),IF($C376="Paying back",0,IF(AND(OR(Housemates!$C$10="",Housemates!$C$10&lt;=$B376),OR(Housemates!$D$10="",Housemates!$D$10&gt;=$B376)),IF($Q376=0,1,INDEX(Bills!$AC$6:$AC$25,$Q376)),0))))</f>
        <v/>
      </c>
      <c r="V376">
        <f>IF(OR($D376="",$B376="",Housemates!$B$11=""),0,IF($R376&gt;0,IF(I376="",0,IF(ISNUMBER(I376),I376,1)),IF($C376="Paying back",0,IF(AND(OR(Housemates!$C$11="",Housemates!$C$11&lt;=$B376),OR(Housemates!$D$11="",Housemates!$D$11&gt;=$B376)),IF($Q376=0,1,INDEX(Bills!$AD$6:$AD$25,$Q376)),0))))</f>
        <v/>
      </c>
      <c r="W376">
        <f>IF(OR($D376="",$B376="",Housemates!$B$12=""),0,IF($R376&gt;0,IF(J376="",0,IF(ISNUMBER(J376),J376,1)),IF($C376="Paying back",0,IF(AND(OR(Housemates!$C$12="",Housemates!$C$12&lt;=$B376),OR(Housemates!$D$12="",Housemates!$D$12&gt;=$B376)),IF($Q376=0,1,INDEX(Bills!$AE$6:$AE$25,$Q376)),0))))</f>
        <v/>
      </c>
      <c r="X376">
        <f>IF(OR($D376="",$B376="",Housemates!$B$13=""),0,IF($R376&gt;0,IF(K376="",0,IF(ISNUMBER(K376),K376,1)),IF($C376="Paying back",0,IF(AND(OR(Housemates!$C$13="",Housemates!$C$13&lt;=$B376),OR(Housemates!$D$13="",Housemates!$D$13&gt;=$B376)),IF($Q376=0,1,INDEX(Bills!$AF$6:$AF$25,$Q376)),0))))</f>
        <v/>
      </c>
      <c r="Y376">
        <f>IF(OR($D376="",$B376="",Housemates!$B$14=""),0,IF($R376&gt;0,IF(L376="",0,IF(ISNUMBER(L376),L376,1)),IF($C376="Paying back",0,IF(AND(OR(Housemates!$C$14="",Housemates!$C$14&lt;=$B376),OR(Housemates!$D$14="",Housemates!$D$14&gt;=$B376)),IF($Q376=0,1,INDEX(Bills!$AG$6:$AG$25,$Q376)),0))))</f>
        <v/>
      </c>
      <c r="Z376">
        <f>IF(OR($D376="",$B376="",Housemates!$B$15=""),0,IF($R376&gt;0,IF(M376="",0,IF(ISNUMBER(M376),M376,1)),IF($C376="Paying back",0,IF(AND(OR(Housemates!$C$15="",Housemates!$C$15&lt;=$B376),OR(Housemates!$D$15="",Housemates!$D$15&gt;=$B376)),IF($Q376=0,1,INDEX(Bills!$AH$6:$AH$25,$Q376)),0))))</f>
        <v/>
      </c>
      <c r="AA376">
        <f>SUM(S376:Z376)</f>
        <v/>
      </c>
      <c r="AB376">
        <f>IF(AA376=0,0,D376*S376/AA376)</f>
        <v/>
      </c>
      <c r="AC376">
        <f>IF(AA376=0,0,D376*T376/AA376)</f>
        <v/>
      </c>
      <c r="AD376">
        <f>IF(AA376=0,0,D376*U376/AA376)</f>
        <v/>
      </c>
      <c r="AE376">
        <f>IF(AA376=0,0,D376*V376/AA376)</f>
        <v/>
      </c>
      <c r="AF376">
        <f>IF(AA376=0,0,D376*W376/AA376)</f>
        <v/>
      </c>
      <c r="AG376">
        <f>IF(AA376=0,0,D376*X376/AA376)</f>
        <v/>
      </c>
      <c r="AH376">
        <f>IF(AA376=0,0,D376*Y376/AA376)</f>
        <v/>
      </c>
      <c r="AI376">
        <f>IF(AA376=0,0,D376*Z376/AA376)</f>
        <v/>
      </c>
      <c r="AJ376">
        <f>IF(OR(C376="",B376=""),"",C376&amp;"|"&amp;(YEAR(B376)*100+MONTH(B376)))</f>
        <v/>
      </c>
    </row>
    <row r="377">
      <c r="A377" s="1" t="n"/>
      <c r="B377" s="23" t="n"/>
      <c r="C377" s="24" t="n"/>
      <c r="D377" s="25" t="n"/>
      <c r="E377" s="26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1">
        <f>IF(D377="","",IF(B377="","No date",IF(AND(C377="Paying back",R377=0),"To whom?",IF(AA377=0,"Nobody",IF(C377="Paying back","To "&amp;INDEX(Housemates!$B$8:$B$15,MATCH(MAX(S377:Z377),S377:Z377,0)),IF(R377&gt;0,IF(COUNTIF(S377:Z377,"&gt;0")=1,"1 person",COUNTIF(S377:Z377,"&gt;0")&amp;" people"),IF(Q377=0,"Everyone",INDEX(Bills!$Q$6:$Q$25,Q377))))))))</f>
        <v/>
      </c>
      <c r="O377" s="18">
        <f>IF(D377="","",IF(C377="Paying back","Paying back",IF(Q377=0,"Other",IF(INDEX(Bills!$C$6:$C$25,Q377)="","Other",INDEX(Bills!$C$6:$C$25,Q377)))))</f>
        <v/>
      </c>
      <c r="P377" s="1" t="n"/>
      <c r="Q377">
        <f>IF(C377="",0,IFERROR(MATCH(C377,Bills!$B$6:$B$25,0),0))</f>
        <v/>
      </c>
      <c r="R377">
        <f>COUNTA(F377:M377)</f>
        <v/>
      </c>
      <c r="S377">
        <f>IF(OR($D377="",$B377="",Housemates!$B$8=""),0,IF($R377&gt;0,IF(F377="",0,IF(ISNUMBER(F377),F377,1)),IF($C377="Paying back",0,IF(AND(OR(Housemates!$C$8="",Housemates!$C$8&lt;=$B377),OR(Housemates!$D$8="",Housemates!$D$8&gt;=$B377)),IF($Q377=0,1,INDEX(Bills!$AA$6:$AA$25,$Q377)),0))))</f>
        <v/>
      </c>
      <c r="T377">
        <f>IF(OR($D377="",$B377="",Housemates!$B$9=""),0,IF($R377&gt;0,IF(G377="",0,IF(ISNUMBER(G377),G377,1)),IF($C377="Paying back",0,IF(AND(OR(Housemates!$C$9="",Housemates!$C$9&lt;=$B377),OR(Housemates!$D$9="",Housemates!$D$9&gt;=$B377)),IF($Q377=0,1,INDEX(Bills!$AB$6:$AB$25,$Q377)),0))))</f>
        <v/>
      </c>
      <c r="U377">
        <f>IF(OR($D377="",$B377="",Housemates!$B$10=""),0,IF($R377&gt;0,IF(H377="",0,IF(ISNUMBER(H377),H377,1)),IF($C377="Paying back",0,IF(AND(OR(Housemates!$C$10="",Housemates!$C$10&lt;=$B377),OR(Housemates!$D$10="",Housemates!$D$10&gt;=$B377)),IF($Q377=0,1,INDEX(Bills!$AC$6:$AC$25,$Q377)),0))))</f>
        <v/>
      </c>
      <c r="V377">
        <f>IF(OR($D377="",$B377="",Housemates!$B$11=""),0,IF($R377&gt;0,IF(I377="",0,IF(ISNUMBER(I377),I377,1)),IF($C377="Paying back",0,IF(AND(OR(Housemates!$C$11="",Housemates!$C$11&lt;=$B377),OR(Housemates!$D$11="",Housemates!$D$11&gt;=$B377)),IF($Q377=0,1,INDEX(Bills!$AD$6:$AD$25,$Q377)),0))))</f>
        <v/>
      </c>
      <c r="W377">
        <f>IF(OR($D377="",$B377="",Housemates!$B$12=""),0,IF($R377&gt;0,IF(J377="",0,IF(ISNUMBER(J377),J377,1)),IF($C377="Paying back",0,IF(AND(OR(Housemates!$C$12="",Housemates!$C$12&lt;=$B377),OR(Housemates!$D$12="",Housemates!$D$12&gt;=$B377)),IF($Q377=0,1,INDEX(Bills!$AE$6:$AE$25,$Q377)),0))))</f>
        <v/>
      </c>
      <c r="X377">
        <f>IF(OR($D377="",$B377="",Housemates!$B$13=""),0,IF($R377&gt;0,IF(K377="",0,IF(ISNUMBER(K377),K377,1)),IF($C377="Paying back",0,IF(AND(OR(Housemates!$C$13="",Housemates!$C$13&lt;=$B377),OR(Housemates!$D$13="",Housemates!$D$13&gt;=$B377)),IF($Q377=0,1,INDEX(Bills!$AF$6:$AF$25,$Q377)),0))))</f>
        <v/>
      </c>
      <c r="Y377">
        <f>IF(OR($D377="",$B377="",Housemates!$B$14=""),0,IF($R377&gt;0,IF(L377="",0,IF(ISNUMBER(L377),L377,1)),IF($C377="Paying back",0,IF(AND(OR(Housemates!$C$14="",Housemates!$C$14&lt;=$B377),OR(Housemates!$D$14="",Housemates!$D$14&gt;=$B377)),IF($Q377=0,1,INDEX(Bills!$AG$6:$AG$25,$Q377)),0))))</f>
        <v/>
      </c>
      <c r="Z377">
        <f>IF(OR($D377="",$B377="",Housemates!$B$15=""),0,IF($R377&gt;0,IF(M377="",0,IF(ISNUMBER(M377),M377,1)),IF($C377="Paying back",0,IF(AND(OR(Housemates!$C$15="",Housemates!$C$15&lt;=$B377),OR(Housemates!$D$15="",Housemates!$D$15&gt;=$B377)),IF($Q377=0,1,INDEX(Bills!$AH$6:$AH$25,$Q377)),0))))</f>
        <v/>
      </c>
      <c r="AA377">
        <f>SUM(S377:Z377)</f>
        <v/>
      </c>
      <c r="AB377">
        <f>IF(AA377=0,0,D377*S377/AA377)</f>
        <v/>
      </c>
      <c r="AC377">
        <f>IF(AA377=0,0,D377*T377/AA377)</f>
        <v/>
      </c>
      <c r="AD377">
        <f>IF(AA377=0,0,D377*U377/AA377)</f>
        <v/>
      </c>
      <c r="AE377">
        <f>IF(AA377=0,0,D377*V377/AA377)</f>
        <v/>
      </c>
      <c r="AF377">
        <f>IF(AA377=0,0,D377*W377/AA377)</f>
        <v/>
      </c>
      <c r="AG377">
        <f>IF(AA377=0,0,D377*X377/AA377)</f>
        <v/>
      </c>
      <c r="AH377">
        <f>IF(AA377=0,0,D377*Y377/AA377)</f>
        <v/>
      </c>
      <c r="AI377">
        <f>IF(AA377=0,0,D377*Z377/AA377)</f>
        <v/>
      </c>
      <c r="AJ377">
        <f>IF(OR(C377="",B377=""),"",C377&amp;"|"&amp;(YEAR(B377)*100+MONTH(B377)))</f>
        <v/>
      </c>
    </row>
    <row r="378">
      <c r="A378" s="1" t="n"/>
      <c r="B378" s="23" t="n"/>
      <c r="C378" s="24" t="n"/>
      <c r="D378" s="25" t="n"/>
      <c r="E378" s="26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1">
        <f>IF(D378="","",IF(B378="","No date",IF(AND(C378="Paying back",R378=0),"To whom?",IF(AA378=0,"Nobody",IF(C378="Paying back","To "&amp;INDEX(Housemates!$B$8:$B$15,MATCH(MAX(S378:Z378),S378:Z378,0)),IF(R378&gt;0,IF(COUNTIF(S378:Z378,"&gt;0")=1,"1 person",COUNTIF(S378:Z378,"&gt;0")&amp;" people"),IF(Q378=0,"Everyone",INDEX(Bills!$Q$6:$Q$25,Q378))))))))</f>
        <v/>
      </c>
      <c r="O378" s="18">
        <f>IF(D378="","",IF(C378="Paying back","Paying back",IF(Q378=0,"Other",IF(INDEX(Bills!$C$6:$C$25,Q378)="","Other",INDEX(Bills!$C$6:$C$25,Q378)))))</f>
        <v/>
      </c>
      <c r="P378" s="1" t="n"/>
      <c r="Q378">
        <f>IF(C378="",0,IFERROR(MATCH(C378,Bills!$B$6:$B$25,0),0))</f>
        <v/>
      </c>
      <c r="R378">
        <f>COUNTA(F378:M378)</f>
        <v/>
      </c>
      <c r="S378">
        <f>IF(OR($D378="",$B378="",Housemates!$B$8=""),0,IF($R378&gt;0,IF(F378="",0,IF(ISNUMBER(F378),F378,1)),IF($C378="Paying back",0,IF(AND(OR(Housemates!$C$8="",Housemates!$C$8&lt;=$B378),OR(Housemates!$D$8="",Housemates!$D$8&gt;=$B378)),IF($Q378=0,1,INDEX(Bills!$AA$6:$AA$25,$Q378)),0))))</f>
        <v/>
      </c>
      <c r="T378">
        <f>IF(OR($D378="",$B378="",Housemates!$B$9=""),0,IF($R378&gt;0,IF(G378="",0,IF(ISNUMBER(G378),G378,1)),IF($C378="Paying back",0,IF(AND(OR(Housemates!$C$9="",Housemates!$C$9&lt;=$B378),OR(Housemates!$D$9="",Housemates!$D$9&gt;=$B378)),IF($Q378=0,1,INDEX(Bills!$AB$6:$AB$25,$Q378)),0))))</f>
        <v/>
      </c>
      <c r="U378">
        <f>IF(OR($D378="",$B378="",Housemates!$B$10=""),0,IF($R378&gt;0,IF(H378="",0,IF(ISNUMBER(H378),H378,1)),IF($C378="Paying back",0,IF(AND(OR(Housemates!$C$10="",Housemates!$C$10&lt;=$B378),OR(Housemates!$D$10="",Housemates!$D$10&gt;=$B378)),IF($Q378=0,1,INDEX(Bills!$AC$6:$AC$25,$Q378)),0))))</f>
        <v/>
      </c>
      <c r="V378">
        <f>IF(OR($D378="",$B378="",Housemates!$B$11=""),0,IF($R378&gt;0,IF(I378="",0,IF(ISNUMBER(I378),I378,1)),IF($C378="Paying back",0,IF(AND(OR(Housemates!$C$11="",Housemates!$C$11&lt;=$B378),OR(Housemates!$D$11="",Housemates!$D$11&gt;=$B378)),IF($Q378=0,1,INDEX(Bills!$AD$6:$AD$25,$Q378)),0))))</f>
        <v/>
      </c>
      <c r="W378">
        <f>IF(OR($D378="",$B378="",Housemates!$B$12=""),0,IF($R378&gt;0,IF(J378="",0,IF(ISNUMBER(J378),J378,1)),IF($C378="Paying back",0,IF(AND(OR(Housemates!$C$12="",Housemates!$C$12&lt;=$B378),OR(Housemates!$D$12="",Housemates!$D$12&gt;=$B378)),IF($Q378=0,1,INDEX(Bills!$AE$6:$AE$25,$Q378)),0))))</f>
        <v/>
      </c>
      <c r="X378">
        <f>IF(OR($D378="",$B378="",Housemates!$B$13=""),0,IF($R378&gt;0,IF(K378="",0,IF(ISNUMBER(K378),K378,1)),IF($C378="Paying back",0,IF(AND(OR(Housemates!$C$13="",Housemates!$C$13&lt;=$B378),OR(Housemates!$D$13="",Housemates!$D$13&gt;=$B378)),IF($Q378=0,1,INDEX(Bills!$AF$6:$AF$25,$Q378)),0))))</f>
        <v/>
      </c>
      <c r="Y378">
        <f>IF(OR($D378="",$B378="",Housemates!$B$14=""),0,IF($R378&gt;0,IF(L378="",0,IF(ISNUMBER(L378),L378,1)),IF($C378="Paying back",0,IF(AND(OR(Housemates!$C$14="",Housemates!$C$14&lt;=$B378),OR(Housemates!$D$14="",Housemates!$D$14&gt;=$B378)),IF($Q378=0,1,INDEX(Bills!$AG$6:$AG$25,$Q378)),0))))</f>
        <v/>
      </c>
      <c r="Z378">
        <f>IF(OR($D378="",$B378="",Housemates!$B$15=""),0,IF($R378&gt;0,IF(M378="",0,IF(ISNUMBER(M378),M378,1)),IF($C378="Paying back",0,IF(AND(OR(Housemates!$C$15="",Housemates!$C$15&lt;=$B378),OR(Housemates!$D$15="",Housemates!$D$15&gt;=$B378)),IF($Q378=0,1,INDEX(Bills!$AH$6:$AH$25,$Q378)),0))))</f>
        <v/>
      </c>
      <c r="AA378">
        <f>SUM(S378:Z378)</f>
        <v/>
      </c>
      <c r="AB378">
        <f>IF(AA378=0,0,D378*S378/AA378)</f>
        <v/>
      </c>
      <c r="AC378">
        <f>IF(AA378=0,0,D378*T378/AA378)</f>
        <v/>
      </c>
      <c r="AD378">
        <f>IF(AA378=0,0,D378*U378/AA378)</f>
        <v/>
      </c>
      <c r="AE378">
        <f>IF(AA378=0,0,D378*V378/AA378)</f>
        <v/>
      </c>
      <c r="AF378">
        <f>IF(AA378=0,0,D378*W378/AA378)</f>
        <v/>
      </c>
      <c r="AG378">
        <f>IF(AA378=0,0,D378*X378/AA378)</f>
        <v/>
      </c>
      <c r="AH378">
        <f>IF(AA378=0,0,D378*Y378/AA378)</f>
        <v/>
      </c>
      <c r="AI378">
        <f>IF(AA378=0,0,D378*Z378/AA378)</f>
        <v/>
      </c>
      <c r="AJ378">
        <f>IF(OR(C378="",B378=""),"",C378&amp;"|"&amp;(YEAR(B378)*100+MONTH(B378)))</f>
        <v/>
      </c>
    </row>
    <row r="379">
      <c r="A379" s="1" t="n"/>
      <c r="B379" s="23" t="n"/>
      <c r="C379" s="24" t="n"/>
      <c r="D379" s="25" t="n"/>
      <c r="E379" s="26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1">
        <f>IF(D379="","",IF(B379="","No date",IF(AND(C379="Paying back",R379=0),"To whom?",IF(AA379=0,"Nobody",IF(C379="Paying back","To "&amp;INDEX(Housemates!$B$8:$B$15,MATCH(MAX(S379:Z379),S379:Z379,0)),IF(R379&gt;0,IF(COUNTIF(S379:Z379,"&gt;0")=1,"1 person",COUNTIF(S379:Z379,"&gt;0")&amp;" people"),IF(Q379=0,"Everyone",INDEX(Bills!$Q$6:$Q$25,Q379))))))))</f>
        <v/>
      </c>
      <c r="O379" s="18">
        <f>IF(D379="","",IF(C379="Paying back","Paying back",IF(Q379=0,"Other",IF(INDEX(Bills!$C$6:$C$25,Q379)="","Other",INDEX(Bills!$C$6:$C$25,Q379)))))</f>
        <v/>
      </c>
      <c r="P379" s="1" t="n"/>
      <c r="Q379">
        <f>IF(C379="",0,IFERROR(MATCH(C379,Bills!$B$6:$B$25,0),0))</f>
        <v/>
      </c>
      <c r="R379">
        <f>COUNTA(F379:M379)</f>
        <v/>
      </c>
      <c r="S379">
        <f>IF(OR($D379="",$B379="",Housemates!$B$8=""),0,IF($R379&gt;0,IF(F379="",0,IF(ISNUMBER(F379),F379,1)),IF($C379="Paying back",0,IF(AND(OR(Housemates!$C$8="",Housemates!$C$8&lt;=$B379),OR(Housemates!$D$8="",Housemates!$D$8&gt;=$B379)),IF($Q379=0,1,INDEX(Bills!$AA$6:$AA$25,$Q379)),0))))</f>
        <v/>
      </c>
      <c r="T379">
        <f>IF(OR($D379="",$B379="",Housemates!$B$9=""),0,IF($R379&gt;0,IF(G379="",0,IF(ISNUMBER(G379),G379,1)),IF($C379="Paying back",0,IF(AND(OR(Housemates!$C$9="",Housemates!$C$9&lt;=$B379),OR(Housemates!$D$9="",Housemates!$D$9&gt;=$B379)),IF($Q379=0,1,INDEX(Bills!$AB$6:$AB$25,$Q379)),0))))</f>
        <v/>
      </c>
      <c r="U379">
        <f>IF(OR($D379="",$B379="",Housemates!$B$10=""),0,IF($R379&gt;0,IF(H379="",0,IF(ISNUMBER(H379),H379,1)),IF($C379="Paying back",0,IF(AND(OR(Housemates!$C$10="",Housemates!$C$10&lt;=$B379),OR(Housemates!$D$10="",Housemates!$D$10&gt;=$B379)),IF($Q379=0,1,INDEX(Bills!$AC$6:$AC$25,$Q379)),0))))</f>
        <v/>
      </c>
      <c r="V379">
        <f>IF(OR($D379="",$B379="",Housemates!$B$11=""),0,IF($R379&gt;0,IF(I379="",0,IF(ISNUMBER(I379),I379,1)),IF($C379="Paying back",0,IF(AND(OR(Housemates!$C$11="",Housemates!$C$11&lt;=$B379),OR(Housemates!$D$11="",Housemates!$D$11&gt;=$B379)),IF($Q379=0,1,INDEX(Bills!$AD$6:$AD$25,$Q379)),0))))</f>
        <v/>
      </c>
      <c r="W379">
        <f>IF(OR($D379="",$B379="",Housemates!$B$12=""),0,IF($R379&gt;0,IF(J379="",0,IF(ISNUMBER(J379),J379,1)),IF($C379="Paying back",0,IF(AND(OR(Housemates!$C$12="",Housemates!$C$12&lt;=$B379),OR(Housemates!$D$12="",Housemates!$D$12&gt;=$B379)),IF($Q379=0,1,INDEX(Bills!$AE$6:$AE$25,$Q379)),0))))</f>
        <v/>
      </c>
      <c r="X379">
        <f>IF(OR($D379="",$B379="",Housemates!$B$13=""),0,IF($R379&gt;0,IF(K379="",0,IF(ISNUMBER(K379),K379,1)),IF($C379="Paying back",0,IF(AND(OR(Housemates!$C$13="",Housemates!$C$13&lt;=$B379),OR(Housemates!$D$13="",Housemates!$D$13&gt;=$B379)),IF($Q379=0,1,INDEX(Bills!$AF$6:$AF$25,$Q379)),0))))</f>
        <v/>
      </c>
      <c r="Y379">
        <f>IF(OR($D379="",$B379="",Housemates!$B$14=""),0,IF($R379&gt;0,IF(L379="",0,IF(ISNUMBER(L379),L379,1)),IF($C379="Paying back",0,IF(AND(OR(Housemates!$C$14="",Housemates!$C$14&lt;=$B379),OR(Housemates!$D$14="",Housemates!$D$14&gt;=$B379)),IF($Q379=0,1,INDEX(Bills!$AG$6:$AG$25,$Q379)),0))))</f>
        <v/>
      </c>
      <c r="Z379">
        <f>IF(OR($D379="",$B379="",Housemates!$B$15=""),0,IF($R379&gt;0,IF(M379="",0,IF(ISNUMBER(M379),M379,1)),IF($C379="Paying back",0,IF(AND(OR(Housemates!$C$15="",Housemates!$C$15&lt;=$B379),OR(Housemates!$D$15="",Housemates!$D$15&gt;=$B379)),IF($Q379=0,1,INDEX(Bills!$AH$6:$AH$25,$Q379)),0))))</f>
        <v/>
      </c>
      <c r="AA379">
        <f>SUM(S379:Z379)</f>
        <v/>
      </c>
      <c r="AB379">
        <f>IF(AA379=0,0,D379*S379/AA379)</f>
        <v/>
      </c>
      <c r="AC379">
        <f>IF(AA379=0,0,D379*T379/AA379)</f>
        <v/>
      </c>
      <c r="AD379">
        <f>IF(AA379=0,0,D379*U379/AA379)</f>
        <v/>
      </c>
      <c r="AE379">
        <f>IF(AA379=0,0,D379*V379/AA379)</f>
        <v/>
      </c>
      <c r="AF379">
        <f>IF(AA379=0,0,D379*W379/AA379)</f>
        <v/>
      </c>
      <c r="AG379">
        <f>IF(AA379=0,0,D379*X379/AA379)</f>
        <v/>
      </c>
      <c r="AH379">
        <f>IF(AA379=0,0,D379*Y379/AA379)</f>
        <v/>
      </c>
      <c r="AI379">
        <f>IF(AA379=0,0,D379*Z379/AA379)</f>
        <v/>
      </c>
      <c r="AJ379">
        <f>IF(OR(C379="",B379=""),"",C379&amp;"|"&amp;(YEAR(B379)*100+MONTH(B379)))</f>
        <v/>
      </c>
    </row>
    <row r="380">
      <c r="A380" s="1" t="n"/>
      <c r="B380" s="23" t="n"/>
      <c r="C380" s="24" t="n"/>
      <c r="D380" s="25" t="n"/>
      <c r="E380" s="26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1">
        <f>IF(D380="","",IF(B380="","No date",IF(AND(C380="Paying back",R380=0),"To whom?",IF(AA380=0,"Nobody",IF(C380="Paying back","To "&amp;INDEX(Housemates!$B$8:$B$15,MATCH(MAX(S380:Z380),S380:Z380,0)),IF(R380&gt;0,IF(COUNTIF(S380:Z380,"&gt;0")=1,"1 person",COUNTIF(S380:Z380,"&gt;0")&amp;" people"),IF(Q380=0,"Everyone",INDEX(Bills!$Q$6:$Q$25,Q380))))))))</f>
        <v/>
      </c>
      <c r="O380" s="18">
        <f>IF(D380="","",IF(C380="Paying back","Paying back",IF(Q380=0,"Other",IF(INDEX(Bills!$C$6:$C$25,Q380)="","Other",INDEX(Bills!$C$6:$C$25,Q380)))))</f>
        <v/>
      </c>
      <c r="P380" s="1" t="n"/>
      <c r="Q380">
        <f>IF(C380="",0,IFERROR(MATCH(C380,Bills!$B$6:$B$25,0),0))</f>
        <v/>
      </c>
      <c r="R380">
        <f>COUNTA(F380:M380)</f>
        <v/>
      </c>
      <c r="S380">
        <f>IF(OR($D380="",$B380="",Housemates!$B$8=""),0,IF($R380&gt;0,IF(F380="",0,IF(ISNUMBER(F380),F380,1)),IF($C380="Paying back",0,IF(AND(OR(Housemates!$C$8="",Housemates!$C$8&lt;=$B380),OR(Housemates!$D$8="",Housemates!$D$8&gt;=$B380)),IF($Q380=0,1,INDEX(Bills!$AA$6:$AA$25,$Q380)),0))))</f>
        <v/>
      </c>
      <c r="T380">
        <f>IF(OR($D380="",$B380="",Housemates!$B$9=""),0,IF($R380&gt;0,IF(G380="",0,IF(ISNUMBER(G380),G380,1)),IF($C380="Paying back",0,IF(AND(OR(Housemates!$C$9="",Housemates!$C$9&lt;=$B380),OR(Housemates!$D$9="",Housemates!$D$9&gt;=$B380)),IF($Q380=0,1,INDEX(Bills!$AB$6:$AB$25,$Q380)),0))))</f>
        <v/>
      </c>
      <c r="U380">
        <f>IF(OR($D380="",$B380="",Housemates!$B$10=""),0,IF($R380&gt;0,IF(H380="",0,IF(ISNUMBER(H380),H380,1)),IF($C380="Paying back",0,IF(AND(OR(Housemates!$C$10="",Housemates!$C$10&lt;=$B380),OR(Housemates!$D$10="",Housemates!$D$10&gt;=$B380)),IF($Q380=0,1,INDEX(Bills!$AC$6:$AC$25,$Q380)),0))))</f>
        <v/>
      </c>
      <c r="V380">
        <f>IF(OR($D380="",$B380="",Housemates!$B$11=""),0,IF($R380&gt;0,IF(I380="",0,IF(ISNUMBER(I380),I380,1)),IF($C380="Paying back",0,IF(AND(OR(Housemates!$C$11="",Housemates!$C$11&lt;=$B380),OR(Housemates!$D$11="",Housemates!$D$11&gt;=$B380)),IF($Q380=0,1,INDEX(Bills!$AD$6:$AD$25,$Q380)),0))))</f>
        <v/>
      </c>
      <c r="W380">
        <f>IF(OR($D380="",$B380="",Housemates!$B$12=""),0,IF($R380&gt;0,IF(J380="",0,IF(ISNUMBER(J380),J380,1)),IF($C380="Paying back",0,IF(AND(OR(Housemates!$C$12="",Housemates!$C$12&lt;=$B380),OR(Housemates!$D$12="",Housemates!$D$12&gt;=$B380)),IF($Q380=0,1,INDEX(Bills!$AE$6:$AE$25,$Q380)),0))))</f>
        <v/>
      </c>
      <c r="X380">
        <f>IF(OR($D380="",$B380="",Housemates!$B$13=""),0,IF($R380&gt;0,IF(K380="",0,IF(ISNUMBER(K380),K380,1)),IF($C380="Paying back",0,IF(AND(OR(Housemates!$C$13="",Housemates!$C$13&lt;=$B380),OR(Housemates!$D$13="",Housemates!$D$13&gt;=$B380)),IF($Q380=0,1,INDEX(Bills!$AF$6:$AF$25,$Q380)),0))))</f>
        <v/>
      </c>
      <c r="Y380">
        <f>IF(OR($D380="",$B380="",Housemates!$B$14=""),0,IF($R380&gt;0,IF(L380="",0,IF(ISNUMBER(L380),L380,1)),IF($C380="Paying back",0,IF(AND(OR(Housemates!$C$14="",Housemates!$C$14&lt;=$B380),OR(Housemates!$D$14="",Housemates!$D$14&gt;=$B380)),IF($Q380=0,1,INDEX(Bills!$AG$6:$AG$25,$Q380)),0))))</f>
        <v/>
      </c>
      <c r="Z380">
        <f>IF(OR($D380="",$B380="",Housemates!$B$15=""),0,IF($R380&gt;0,IF(M380="",0,IF(ISNUMBER(M380),M380,1)),IF($C380="Paying back",0,IF(AND(OR(Housemates!$C$15="",Housemates!$C$15&lt;=$B380),OR(Housemates!$D$15="",Housemates!$D$15&gt;=$B380)),IF($Q380=0,1,INDEX(Bills!$AH$6:$AH$25,$Q380)),0))))</f>
        <v/>
      </c>
      <c r="AA380">
        <f>SUM(S380:Z380)</f>
        <v/>
      </c>
      <c r="AB380">
        <f>IF(AA380=0,0,D380*S380/AA380)</f>
        <v/>
      </c>
      <c r="AC380">
        <f>IF(AA380=0,0,D380*T380/AA380)</f>
        <v/>
      </c>
      <c r="AD380">
        <f>IF(AA380=0,0,D380*U380/AA380)</f>
        <v/>
      </c>
      <c r="AE380">
        <f>IF(AA380=0,0,D380*V380/AA380)</f>
        <v/>
      </c>
      <c r="AF380">
        <f>IF(AA380=0,0,D380*W380/AA380)</f>
        <v/>
      </c>
      <c r="AG380">
        <f>IF(AA380=0,0,D380*X380/AA380)</f>
        <v/>
      </c>
      <c r="AH380">
        <f>IF(AA380=0,0,D380*Y380/AA380)</f>
        <v/>
      </c>
      <c r="AI380">
        <f>IF(AA380=0,0,D380*Z380/AA380)</f>
        <v/>
      </c>
      <c r="AJ380">
        <f>IF(OR(C380="",B380=""),"",C380&amp;"|"&amp;(YEAR(B380)*100+MONTH(B380)))</f>
        <v/>
      </c>
    </row>
    <row r="381">
      <c r="A381" s="1" t="n"/>
      <c r="B381" s="23" t="n"/>
      <c r="C381" s="24" t="n"/>
      <c r="D381" s="25" t="n"/>
      <c r="E381" s="26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1">
        <f>IF(D381="","",IF(B381="","No date",IF(AND(C381="Paying back",R381=0),"To whom?",IF(AA381=0,"Nobody",IF(C381="Paying back","To "&amp;INDEX(Housemates!$B$8:$B$15,MATCH(MAX(S381:Z381),S381:Z381,0)),IF(R381&gt;0,IF(COUNTIF(S381:Z381,"&gt;0")=1,"1 person",COUNTIF(S381:Z381,"&gt;0")&amp;" people"),IF(Q381=0,"Everyone",INDEX(Bills!$Q$6:$Q$25,Q381))))))))</f>
        <v/>
      </c>
      <c r="O381" s="18">
        <f>IF(D381="","",IF(C381="Paying back","Paying back",IF(Q381=0,"Other",IF(INDEX(Bills!$C$6:$C$25,Q381)="","Other",INDEX(Bills!$C$6:$C$25,Q381)))))</f>
        <v/>
      </c>
      <c r="P381" s="1" t="n"/>
      <c r="Q381">
        <f>IF(C381="",0,IFERROR(MATCH(C381,Bills!$B$6:$B$25,0),0))</f>
        <v/>
      </c>
      <c r="R381">
        <f>COUNTA(F381:M381)</f>
        <v/>
      </c>
      <c r="S381">
        <f>IF(OR($D381="",$B381="",Housemates!$B$8=""),0,IF($R381&gt;0,IF(F381="",0,IF(ISNUMBER(F381),F381,1)),IF($C381="Paying back",0,IF(AND(OR(Housemates!$C$8="",Housemates!$C$8&lt;=$B381),OR(Housemates!$D$8="",Housemates!$D$8&gt;=$B381)),IF($Q381=0,1,INDEX(Bills!$AA$6:$AA$25,$Q381)),0))))</f>
        <v/>
      </c>
      <c r="T381">
        <f>IF(OR($D381="",$B381="",Housemates!$B$9=""),0,IF($R381&gt;0,IF(G381="",0,IF(ISNUMBER(G381),G381,1)),IF($C381="Paying back",0,IF(AND(OR(Housemates!$C$9="",Housemates!$C$9&lt;=$B381),OR(Housemates!$D$9="",Housemates!$D$9&gt;=$B381)),IF($Q381=0,1,INDEX(Bills!$AB$6:$AB$25,$Q381)),0))))</f>
        <v/>
      </c>
      <c r="U381">
        <f>IF(OR($D381="",$B381="",Housemates!$B$10=""),0,IF($R381&gt;0,IF(H381="",0,IF(ISNUMBER(H381),H381,1)),IF($C381="Paying back",0,IF(AND(OR(Housemates!$C$10="",Housemates!$C$10&lt;=$B381),OR(Housemates!$D$10="",Housemates!$D$10&gt;=$B381)),IF($Q381=0,1,INDEX(Bills!$AC$6:$AC$25,$Q381)),0))))</f>
        <v/>
      </c>
      <c r="V381">
        <f>IF(OR($D381="",$B381="",Housemates!$B$11=""),0,IF($R381&gt;0,IF(I381="",0,IF(ISNUMBER(I381),I381,1)),IF($C381="Paying back",0,IF(AND(OR(Housemates!$C$11="",Housemates!$C$11&lt;=$B381),OR(Housemates!$D$11="",Housemates!$D$11&gt;=$B381)),IF($Q381=0,1,INDEX(Bills!$AD$6:$AD$25,$Q381)),0))))</f>
        <v/>
      </c>
      <c r="W381">
        <f>IF(OR($D381="",$B381="",Housemates!$B$12=""),0,IF($R381&gt;0,IF(J381="",0,IF(ISNUMBER(J381),J381,1)),IF($C381="Paying back",0,IF(AND(OR(Housemates!$C$12="",Housemates!$C$12&lt;=$B381),OR(Housemates!$D$12="",Housemates!$D$12&gt;=$B381)),IF($Q381=0,1,INDEX(Bills!$AE$6:$AE$25,$Q381)),0))))</f>
        <v/>
      </c>
      <c r="X381">
        <f>IF(OR($D381="",$B381="",Housemates!$B$13=""),0,IF($R381&gt;0,IF(K381="",0,IF(ISNUMBER(K381),K381,1)),IF($C381="Paying back",0,IF(AND(OR(Housemates!$C$13="",Housemates!$C$13&lt;=$B381),OR(Housemates!$D$13="",Housemates!$D$13&gt;=$B381)),IF($Q381=0,1,INDEX(Bills!$AF$6:$AF$25,$Q381)),0))))</f>
        <v/>
      </c>
      <c r="Y381">
        <f>IF(OR($D381="",$B381="",Housemates!$B$14=""),0,IF($R381&gt;0,IF(L381="",0,IF(ISNUMBER(L381),L381,1)),IF($C381="Paying back",0,IF(AND(OR(Housemates!$C$14="",Housemates!$C$14&lt;=$B381),OR(Housemates!$D$14="",Housemates!$D$14&gt;=$B381)),IF($Q381=0,1,INDEX(Bills!$AG$6:$AG$25,$Q381)),0))))</f>
        <v/>
      </c>
      <c r="Z381">
        <f>IF(OR($D381="",$B381="",Housemates!$B$15=""),0,IF($R381&gt;0,IF(M381="",0,IF(ISNUMBER(M381),M381,1)),IF($C381="Paying back",0,IF(AND(OR(Housemates!$C$15="",Housemates!$C$15&lt;=$B381),OR(Housemates!$D$15="",Housemates!$D$15&gt;=$B381)),IF($Q381=0,1,INDEX(Bills!$AH$6:$AH$25,$Q381)),0))))</f>
        <v/>
      </c>
      <c r="AA381">
        <f>SUM(S381:Z381)</f>
        <v/>
      </c>
      <c r="AB381">
        <f>IF(AA381=0,0,D381*S381/AA381)</f>
        <v/>
      </c>
      <c r="AC381">
        <f>IF(AA381=0,0,D381*T381/AA381)</f>
        <v/>
      </c>
      <c r="AD381">
        <f>IF(AA381=0,0,D381*U381/AA381)</f>
        <v/>
      </c>
      <c r="AE381">
        <f>IF(AA381=0,0,D381*V381/AA381)</f>
        <v/>
      </c>
      <c r="AF381">
        <f>IF(AA381=0,0,D381*W381/AA381)</f>
        <v/>
      </c>
      <c r="AG381">
        <f>IF(AA381=0,0,D381*X381/AA381)</f>
        <v/>
      </c>
      <c r="AH381">
        <f>IF(AA381=0,0,D381*Y381/AA381)</f>
        <v/>
      </c>
      <c r="AI381">
        <f>IF(AA381=0,0,D381*Z381/AA381)</f>
        <v/>
      </c>
      <c r="AJ381">
        <f>IF(OR(C381="",B381=""),"",C381&amp;"|"&amp;(YEAR(B381)*100+MONTH(B381)))</f>
        <v/>
      </c>
    </row>
    <row r="382">
      <c r="A382" s="1" t="n"/>
      <c r="B382" s="23" t="n"/>
      <c r="C382" s="24" t="n"/>
      <c r="D382" s="25" t="n"/>
      <c r="E382" s="26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1">
        <f>IF(D382="","",IF(B382="","No date",IF(AND(C382="Paying back",R382=0),"To whom?",IF(AA382=0,"Nobody",IF(C382="Paying back","To "&amp;INDEX(Housemates!$B$8:$B$15,MATCH(MAX(S382:Z382),S382:Z382,0)),IF(R382&gt;0,IF(COUNTIF(S382:Z382,"&gt;0")=1,"1 person",COUNTIF(S382:Z382,"&gt;0")&amp;" people"),IF(Q382=0,"Everyone",INDEX(Bills!$Q$6:$Q$25,Q382))))))))</f>
        <v/>
      </c>
      <c r="O382" s="18">
        <f>IF(D382="","",IF(C382="Paying back","Paying back",IF(Q382=0,"Other",IF(INDEX(Bills!$C$6:$C$25,Q382)="","Other",INDEX(Bills!$C$6:$C$25,Q382)))))</f>
        <v/>
      </c>
      <c r="P382" s="1" t="n"/>
      <c r="Q382">
        <f>IF(C382="",0,IFERROR(MATCH(C382,Bills!$B$6:$B$25,0),0))</f>
        <v/>
      </c>
      <c r="R382">
        <f>COUNTA(F382:M382)</f>
        <v/>
      </c>
      <c r="S382">
        <f>IF(OR($D382="",$B382="",Housemates!$B$8=""),0,IF($R382&gt;0,IF(F382="",0,IF(ISNUMBER(F382),F382,1)),IF($C382="Paying back",0,IF(AND(OR(Housemates!$C$8="",Housemates!$C$8&lt;=$B382),OR(Housemates!$D$8="",Housemates!$D$8&gt;=$B382)),IF($Q382=0,1,INDEX(Bills!$AA$6:$AA$25,$Q382)),0))))</f>
        <v/>
      </c>
      <c r="T382">
        <f>IF(OR($D382="",$B382="",Housemates!$B$9=""),0,IF($R382&gt;0,IF(G382="",0,IF(ISNUMBER(G382),G382,1)),IF($C382="Paying back",0,IF(AND(OR(Housemates!$C$9="",Housemates!$C$9&lt;=$B382),OR(Housemates!$D$9="",Housemates!$D$9&gt;=$B382)),IF($Q382=0,1,INDEX(Bills!$AB$6:$AB$25,$Q382)),0))))</f>
        <v/>
      </c>
      <c r="U382">
        <f>IF(OR($D382="",$B382="",Housemates!$B$10=""),0,IF($R382&gt;0,IF(H382="",0,IF(ISNUMBER(H382),H382,1)),IF($C382="Paying back",0,IF(AND(OR(Housemates!$C$10="",Housemates!$C$10&lt;=$B382),OR(Housemates!$D$10="",Housemates!$D$10&gt;=$B382)),IF($Q382=0,1,INDEX(Bills!$AC$6:$AC$25,$Q382)),0))))</f>
        <v/>
      </c>
      <c r="V382">
        <f>IF(OR($D382="",$B382="",Housemates!$B$11=""),0,IF($R382&gt;0,IF(I382="",0,IF(ISNUMBER(I382),I382,1)),IF($C382="Paying back",0,IF(AND(OR(Housemates!$C$11="",Housemates!$C$11&lt;=$B382),OR(Housemates!$D$11="",Housemates!$D$11&gt;=$B382)),IF($Q382=0,1,INDEX(Bills!$AD$6:$AD$25,$Q382)),0))))</f>
        <v/>
      </c>
      <c r="W382">
        <f>IF(OR($D382="",$B382="",Housemates!$B$12=""),0,IF($R382&gt;0,IF(J382="",0,IF(ISNUMBER(J382),J382,1)),IF($C382="Paying back",0,IF(AND(OR(Housemates!$C$12="",Housemates!$C$12&lt;=$B382),OR(Housemates!$D$12="",Housemates!$D$12&gt;=$B382)),IF($Q382=0,1,INDEX(Bills!$AE$6:$AE$25,$Q382)),0))))</f>
        <v/>
      </c>
      <c r="X382">
        <f>IF(OR($D382="",$B382="",Housemates!$B$13=""),0,IF($R382&gt;0,IF(K382="",0,IF(ISNUMBER(K382),K382,1)),IF($C382="Paying back",0,IF(AND(OR(Housemates!$C$13="",Housemates!$C$13&lt;=$B382),OR(Housemates!$D$13="",Housemates!$D$13&gt;=$B382)),IF($Q382=0,1,INDEX(Bills!$AF$6:$AF$25,$Q382)),0))))</f>
        <v/>
      </c>
      <c r="Y382">
        <f>IF(OR($D382="",$B382="",Housemates!$B$14=""),0,IF($R382&gt;0,IF(L382="",0,IF(ISNUMBER(L382),L382,1)),IF($C382="Paying back",0,IF(AND(OR(Housemates!$C$14="",Housemates!$C$14&lt;=$B382),OR(Housemates!$D$14="",Housemates!$D$14&gt;=$B382)),IF($Q382=0,1,INDEX(Bills!$AG$6:$AG$25,$Q382)),0))))</f>
        <v/>
      </c>
      <c r="Z382">
        <f>IF(OR($D382="",$B382="",Housemates!$B$15=""),0,IF($R382&gt;0,IF(M382="",0,IF(ISNUMBER(M382),M382,1)),IF($C382="Paying back",0,IF(AND(OR(Housemates!$C$15="",Housemates!$C$15&lt;=$B382),OR(Housemates!$D$15="",Housemates!$D$15&gt;=$B382)),IF($Q382=0,1,INDEX(Bills!$AH$6:$AH$25,$Q382)),0))))</f>
        <v/>
      </c>
      <c r="AA382">
        <f>SUM(S382:Z382)</f>
        <v/>
      </c>
      <c r="AB382">
        <f>IF(AA382=0,0,D382*S382/AA382)</f>
        <v/>
      </c>
      <c r="AC382">
        <f>IF(AA382=0,0,D382*T382/AA382)</f>
        <v/>
      </c>
      <c r="AD382">
        <f>IF(AA382=0,0,D382*U382/AA382)</f>
        <v/>
      </c>
      <c r="AE382">
        <f>IF(AA382=0,0,D382*V382/AA382)</f>
        <v/>
      </c>
      <c r="AF382">
        <f>IF(AA382=0,0,D382*W382/AA382)</f>
        <v/>
      </c>
      <c r="AG382">
        <f>IF(AA382=0,0,D382*X382/AA382)</f>
        <v/>
      </c>
      <c r="AH382">
        <f>IF(AA382=0,0,D382*Y382/AA382)</f>
        <v/>
      </c>
      <c r="AI382">
        <f>IF(AA382=0,0,D382*Z382/AA382)</f>
        <v/>
      </c>
      <c r="AJ382">
        <f>IF(OR(C382="",B382=""),"",C382&amp;"|"&amp;(YEAR(B382)*100+MONTH(B382)))</f>
        <v/>
      </c>
    </row>
    <row r="383">
      <c r="A383" s="1" t="n"/>
      <c r="B383" s="23" t="n"/>
      <c r="C383" s="24" t="n"/>
      <c r="D383" s="25" t="n"/>
      <c r="E383" s="26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1">
        <f>IF(D383="","",IF(B383="","No date",IF(AND(C383="Paying back",R383=0),"To whom?",IF(AA383=0,"Nobody",IF(C383="Paying back","To "&amp;INDEX(Housemates!$B$8:$B$15,MATCH(MAX(S383:Z383),S383:Z383,0)),IF(R383&gt;0,IF(COUNTIF(S383:Z383,"&gt;0")=1,"1 person",COUNTIF(S383:Z383,"&gt;0")&amp;" people"),IF(Q383=0,"Everyone",INDEX(Bills!$Q$6:$Q$25,Q383))))))))</f>
        <v/>
      </c>
      <c r="O383" s="18">
        <f>IF(D383="","",IF(C383="Paying back","Paying back",IF(Q383=0,"Other",IF(INDEX(Bills!$C$6:$C$25,Q383)="","Other",INDEX(Bills!$C$6:$C$25,Q383)))))</f>
        <v/>
      </c>
      <c r="P383" s="1" t="n"/>
      <c r="Q383">
        <f>IF(C383="",0,IFERROR(MATCH(C383,Bills!$B$6:$B$25,0),0))</f>
        <v/>
      </c>
      <c r="R383">
        <f>COUNTA(F383:M383)</f>
        <v/>
      </c>
      <c r="S383">
        <f>IF(OR($D383="",$B383="",Housemates!$B$8=""),0,IF($R383&gt;0,IF(F383="",0,IF(ISNUMBER(F383),F383,1)),IF($C383="Paying back",0,IF(AND(OR(Housemates!$C$8="",Housemates!$C$8&lt;=$B383),OR(Housemates!$D$8="",Housemates!$D$8&gt;=$B383)),IF($Q383=0,1,INDEX(Bills!$AA$6:$AA$25,$Q383)),0))))</f>
        <v/>
      </c>
      <c r="T383">
        <f>IF(OR($D383="",$B383="",Housemates!$B$9=""),0,IF($R383&gt;0,IF(G383="",0,IF(ISNUMBER(G383),G383,1)),IF($C383="Paying back",0,IF(AND(OR(Housemates!$C$9="",Housemates!$C$9&lt;=$B383),OR(Housemates!$D$9="",Housemates!$D$9&gt;=$B383)),IF($Q383=0,1,INDEX(Bills!$AB$6:$AB$25,$Q383)),0))))</f>
        <v/>
      </c>
      <c r="U383">
        <f>IF(OR($D383="",$B383="",Housemates!$B$10=""),0,IF($R383&gt;0,IF(H383="",0,IF(ISNUMBER(H383),H383,1)),IF($C383="Paying back",0,IF(AND(OR(Housemates!$C$10="",Housemates!$C$10&lt;=$B383),OR(Housemates!$D$10="",Housemates!$D$10&gt;=$B383)),IF($Q383=0,1,INDEX(Bills!$AC$6:$AC$25,$Q383)),0))))</f>
        <v/>
      </c>
      <c r="V383">
        <f>IF(OR($D383="",$B383="",Housemates!$B$11=""),0,IF($R383&gt;0,IF(I383="",0,IF(ISNUMBER(I383),I383,1)),IF($C383="Paying back",0,IF(AND(OR(Housemates!$C$11="",Housemates!$C$11&lt;=$B383),OR(Housemates!$D$11="",Housemates!$D$11&gt;=$B383)),IF($Q383=0,1,INDEX(Bills!$AD$6:$AD$25,$Q383)),0))))</f>
        <v/>
      </c>
      <c r="W383">
        <f>IF(OR($D383="",$B383="",Housemates!$B$12=""),0,IF($R383&gt;0,IF(J383="",0,IF(ISNUMBER(J383),J383,1)),IF($C383="Paying back",0,IF(AND(OR(Housemates!$C$12="",Housemates!$C$12&lt;=$B383),OR(Housemates!$D$12="",Housemates!$D$12&gt;=$B383)),IF($Q383=0,1,INDEX(Bills!$AE$6:$AE$25,$Q383)),0))))</f>
        <v/>
      </c>
      <c r="X383">
        <f>IF(OR($D383="",$B383="",Housemates!$B$13=""),0,IF($R383&gt;0,IF(K383="",0,IF(ISNUMBER(K383),K383,1)),IF($C383="Paying back",0,IF(AND(OR(Housemates!$C$13="",Housemates!$C$13&lt;=$B383),OR(Housemates!$D$13="",Housemates!$D$13&gt;=$B383)),IF($Q383=0,1,INDEX(Bills!$AF$6:$AF$25,$Q383)),0))))</f>
        <v/>
      </c>
      <c r="Y383">
        <f>IF(OR($D383="",$B383="",Housemates!$B$14=""),0,IF($R383&gt;0,IF(L383="",0,IF(ISNUMBER(L383),L383,1)),IF($C383="Paying back",0,IF(AND(OR(Housemates!$C$14="",Housemates!$C$14&lt;=$B383),OR(Housemates!$D$14="",Housemates!$D$14&gt;=$B383)),IF($Q383=0,1,INDEX(Bills!$AG$6:$AG$25,$Q383)),0))))</f>
        <v/>
      </c>
      <c r="Z383">
        <f>IF(OR($D383="",$B383="",Housemates!$B$15=""),0,IF($R383&gt;0,IF(M383="",0,IF(ISNUMBER(M383),M383,1)),IF($C383="Paying back",0,IF(AND(OR(Housemates!$C$15="",Housemates!$C$15&lt;=$B383),OR(Housemates!$D$15="",Housemates!$D$15&gt;=$B383)),IF($Q383=0,1,INDEX(Bills!$AH$6:$AH$25,$Q383)),0))))</f>
        <v/>
      </c>
      <c r="AA383">
        <f>SUM(S383:Z383)</f>
        <v/>
      </c>
      <c r="AB383">
        <f>IF(AA383=0,0,D383*S383/AA383)</f>
        <v/>
      </c>
      <c r="AC383">
        <f>IF(AA383=0,0,D383*T383/AA383)</f>
        <v/>
      </c>
      <c r="AD383">
        <f>IF(AA383=0,0,D383*U383/AA383)</f>
        <v/>
      </c>
      <c r="AE383">
        <f>IF(AA383=0,0,D383*V383/AA383)</f>
        <v/>
      </c>
      <c r="AF383">
        <f>IF(AA383=0,0,D383*W383/AA383)</f>
        <v/>
      </c>
      <c r="AG383">
        <f>IF(AA383=0,0,D383*X383/AA383)</f>
        <v/>
      </c>
      <c r="AH383">
        <f>IF(AA383=0,0,D383*Y383/AA383)</f>
        <v/>
      </c>
      <c r="AI383">
        <f>IF(AA383=0,0,D383*Z383/AA383)</f>
        <v/>
      </c>
      <c r="AJ383">
        <f>IF(OR(C383="",B383=""),"",C383&amp;"|"&amp;(YEAR(B383)*100+MONTH(B383)))</f>
        <v/>
      </c>
    </row>
    <row r="384">
      <c r="A384" s="1" t="n"/>
      <c r="B384" s="23" t="n"/>
      <c r="C384" s="24" t="n"/>
      <c r="D384" s="25" t="n"/>
      <c r="E384" s="26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1">
        <f>IF(D384="","",IF(B384="","No date",IF(AND(C384="Paying back",R384=0),"To whom?",IF(AA384=0,"Nobody",IF(C384="Paying back","To "&amp;INDEX(Housemates!$B$8:$B$15,MATCH(MAX(S384:Z384),S384:Z384,0)),IF(R384&gt;0,IF(COUNTIF(S384:Z384,"&gt;0")=1,"1 person",COUNTIF(S384:Z384,"&gt;0")&amp;" people"),IF(Q384=0,"Everyone",INDEX(Bills!$Q$6:$Q$25,Q384))))))))</f>
        <v/>
      </c>
      <c r="O384" s="18">
        <f>IF(D384="","",IF(C384="Paying back","Paying back",IF(Q384=0,"Other",IF(INDEX(Bills!$C$6:$C$25,Q384)="","Other",INDEX(Bills!$C$6:$C$25,Q384)))))</f>
        <v/>
      </c>
      <c r="P384" s="1" t="n"/>
      <c r="Q384">
        <f>IF(C384="",0,IFERROR(MATCH(C384,Bills!$B$6:$B$25,0),0))</f>
        <v/>
      </c>
      <c r="R384">
        <f>COUNTA(F384:M384)</f>
        <v/>
      </c>
      <c r="S384">
        <f>IF(OR($D384="",$B384="",Housemates!$B$8=""),0,IF($R384&gt;0,IF(F384="",0,IF(ISNUMBER(F384),F384,1)),IF($C384="Paying back",0,IF(AND(OR(Housemates!$C$8="",Housemates!$C$8&lt;=$B384),OR(Housemates!$D$8="",Housemates!$D$8&gt;=$B384)),IF($Q384=0,1,INDEX(Bills!$AA$6:$AA$25,$Q384)),0))))</f>
        <v/>
      </c>
      <c r="T384">
        <f>IF(OR($D384="",$B384="",Housemates!$B$9=""),0,IF($R384&gt;0,IF(G384="",0,IF(ISNUMBER(G384),G384,1)),IF($C384="Paying back",0,IF(AND(OR(Housemates!$C$9="",Housemates!$C$9&lt;=$B384),OR(Housemates!$D$9="",Housemates!$D$9&gt;=$B384)),IF($Q384=0,1,INDEX(Bills!$AB$6:$AB$25,$Q384)),0))))</f>
        <v/>
      </c>
      <c r="U384">
        <f>IF(OR($D384="",$B384="",Housemates!$B$10=""),0,IF($R384&gt;0,IF(H384="",0,IF(ISNUMBER(H384),H384,1)),IF($C384="Paying back",0,IF(AND(OR(Housemates!$C$10="",Housemates!$C$10&lt;=$B384),OR(Housemates!$D$10="",Housemates!$D$10&gt;=$B384)),IF($Q384=0,1,INDEX(Bills!$AC$6:$AC$25,$Q384)),0))))</f>
        <v/>
      </c>
      <c r="V384">
        <f>IF(OR($D384="",$B384="",Housemates!$B$11=""),0,IF($R384&gt;0,IF(I384="",0,IF(ISNUMBER(I384),I384,1)),IF($C384="Paying back",0,IF(AND(OR(Housemates!$C$11="",Housemates!$C$11&lt;=$B384),OR(Housemates!$D$11="",Housemates!$D$11&gt;=$B384)),IF($Q384=0,1,INDEX(Bills!$AD$6:$AD$25,$Q384)),0))))</f>
        <v/>
      </c>
      <c r="W384">
        <f>IF(OR($D384="",$B384="",Housemates!$B$12=""),0,IF($R384&gt;0,IF(J384="",0,IF(ISNUMBER(J384),J384,1)),IF($C384="Paying back",0,IF(AND(OR(Housemates!$C$12="",Housemates!$C$12&lt;=$B384),OR(Housemates!$D$12="",Housemates!$D$12&gt;=$B384)),IF($Q384=0,1,INDEX(Bills!$AE$6:$AE$25,$Q384)),0))))</f>
        <v/>
      </c>
      <c r="X384">
        <f>IF(OR($D384="",$B384="",Housemates!$B$13=""),0,IF($R384&gt;0,IF(K384="",0,IF(ISNUMBER(K384),K384,1)),IF($C384="Paying back",0,IF(AND(OR(Housemates!$C$13="",Housemates!$C$13&lt;=$B384),OR(Housemates!$D$13="",Housemates!$D$13&gt;=$B384)),IF($Q384=0,1,INDEX(Bills!$AF$6:$AF$25,$Q384)),0))))</f>
        <v/>
      </c>
      <c r="Y384">
        <f>IF(OR($D384="",$B384="",Housemates!$B$14=""),0,IF($R384&gt;0,IF(L384="",0,IF(ISNUMBER(L384),L384,1)),IF($C384="Paying back",0,IF(AND(OR(Housemates!$C$14="",Housemates!$C$14&lt;=$B384),OR(Housemates!$D$14="",Housemates!$D$14&gt;=$B384)),IF($Q384=0,1,INDEX(Bills!$AG$6:$AG$25,$Q384)),0))))</f>
        <v/>
      </c>
      <c r="Z384">
        <f>IF(OR($D384="",$B384="",Housemates!$B$15=""),0,IF($R384&gt;0,IF(M384="",0,IF(ISNUMBER(M384),M384,1)),IF($C384="Paying back",0,IF(AND(OR(Housemates!$C$15="",Housemates!$C$15&lt;=$B384),OR(Housemates!$D$15="",Housemates!$D$15&gt;=$B384)),IF($Q384=0,1,INDEX(Bills!$AH$6:$AH$25,$Q384)),0))))</f>
        <v/>
      </c>
      <c r="AA384">
        <f>SUM(S384:Z384)</f>
        <v/>
      </c>
      <c r="AB384">
        <f>IF(AA384=0,0,D384*S384/AA384)</f>
        <v/>
      </c>
      <c r="AC384">
        <f>IF(AA384=0,0,D384*T384/AA384)</f>
        <v/>
      </c>
      <c r="AD384">
        <f>IF(AA384=0,0,D384*U384/AA384)</f>
        <v/>
      </c>
      <c r="AE384">
        <f>IF(AA384=0,0,D384*V384/AA384)</f>
        <v/>
      </c>
      <c r="AF384">
        <f>IF(AA384=0,0,D384*W384/AA384)</f>
        <v/>
      </c>
      <c r="AG384">
        <f>IF(AA384=0,0,D384*X384/AA384)</f>
        <v/>
      </c>
      <c r="AH384">
        <f>IF(AA384=0,0,D384*Y384/AA384)</f>
        <v/>
      </c>
      <c r="AI384">
        <f>IF(AA384=0,0,D384*Z384/AA384)</f>
        <v/>
      </c>
      <c r="AJ384">
        <f>IF(OR(C384="",B384=""),"",C384&amp;"|"&amp;(YEAR(B384)*100+MONTH(B384)))</f>
        <v/>
      </c>
    </row>
    <row r="385">
      <c r="A385" s="1" t="n"/>
      <c r="B385" s="23" t="n"/>
      <c r="C385" s="24" t="n"/>
      <c r="D385" s="25" t="n"/>
      <c r="E385" s="26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1">
        <f>IF(D385="","",IF(B385="","No date",IF(AND(C385="Paying back",R385=0),"To whom?",IF(AA385=0,"Nobody",IF(C385="Paying back","To "&amp;INDEX(Housemates!$B$8:$B$15,MATCH(MAX(S385:Z385),S385:Z385,0)),IF(R385&gt;0,IF(COUNTIF(S385:Z385,"&gt;0")=1,"1 person",COUNTIF(S385:Z385,"&gt;0")&amp;" people"),IF(Q385=0,"Everyone",INDEX(Bills!$Q$6:$Q$25,Q385))))))))</f>
        <v/>
      </c>
      <c r="O385" s="18">
        <f>IF(D385="","",IF(C385="Paying back","Paying back",IF(Q385=0,"Other",IF(INDEX(Bills!$C$6:$C$25,Q385)="","Other",INDEX(Bills!$C$6:$C$25,Q385)))))</f>
        <v/>
      </c>
      <c r="P385" s="1" t="n"/>
      <c r="Q385">
        <f>IF(C385="",0,IFERROR(MATCH(C385,Bills!$B$6:$B$25,0),0))</f>
        <v/>
      </c>
      <c r="R385">
        <f>COUNTA(F385:M385)</f>
        <v/>
      </c>
      <c r="S385">
        <f>IF(OR($D385="",$B385="",Housemates!$B$8=""),0,IF($R385&gt;0,IF(F385="",0,IF(ISNUMBER(F385),F385,1)),IF($C385="Paying back",0,IF(AND(OR(Housemates!$C$8="",Housemates!$C$8&lt;=$B385),OR(Housemates!$D$8="",Housemates!$D$8&gt;=$B385)),IF($Q385=0,1,INDEX(Bills!$AA$6:$AA$25,$Q385)),0))))</f>
        <v/>
      </c>
      <c r="T385">
        <f>IF(OR($D385="",$B385="",Housemates!$B$9=""),0,IF($R385&gt;0,IF(G385="",0,IF(ISNUMBER(G385),G385,1)),IF($C385="Paying back",0,IF(AND(OR(Housemates!$C$9="",Housemates!$C$9&lt;=$B385),OR(Housemates!$D$9="",Housemates!$D$9&gt;=$B385)),IF($Q385=0,1,INDEX(Bills!$AB$6:$AB$25,$Q385)),0))))</f>
        <v/>
      </c>
      <c r="U385">
        <f>IF(OR($D385="",$B385="",Housemates!$B$10=""),0,IF($R385&gt;0,IF(H385="",0,IF(ISNUMBER(H385),H385,1)),IF($C385="Paying back",0,IF(AND(OR(Housemates!$C$10="",Housemates!$C$10&lt;=$B385),OR(Housemates!$D$10="",Housemates!$D$10&gt;=$B385)),IF($Q385=0,1,INDEX(Bills!$AC$6:$AC$25,$Q385)),0))))</f>
        <v/>
      </c>
      <c r="V385">
        <f>IF(OR($D385="",$B385="",Housemates!$B$11=""),0,IF($R385&gt;0,IF(I385="",0,IF(ISNUMBER(I385),I385,1)),IF($C385="Paying back",0,IF(AND(OR(Housemates!$C$11="",Housemates!$C$11&lt;=$B385),OR(Housemates!$D$11="",Housemates!$D$11&gt;=$B385)),IF($Q385=0,1,INDEX(Bills!$AD$6:$AD$25,$Q385)),0))))</f>
        <v/>
      </c>
      <c r="W385">
        <f>IF(OR($D385="",$B385="",Housemates!$B$12=""),0,IF($R385&gt;0,IF(J385="",0,IF(ISNUMBER(J385),J385,1)),IF($C385="Paying back",0,IF(AND(OR(Housemates!$C$12="",Housemates!$C$12&lt;=$B385),OR(Housemates!$D$12="",Housemates!$D$12&gt;=$B385)),IF($Q385=0,1,INDEX(Bills!$AE$6:$AE$25,$Q385)),0))))</f>
        <v/>
      </c>
      <c r="X385">
        <f>IF(OR($D385="",$B385="",Housemates!$B$13=""),0,IF($R385&gt;0,IF(K385="",0,IF(ISNUMBER(K385),K385,1)),IF($C385="Paying back",0,IF(AND(OR(Housemates!$C$13="",Housemates!$C$13&lt;=$B385),OR(Housemates!$D$13="",Housemates!$D$13&gt;=$B385)),IF($Q385=0,1,INDEX(Bills!$AF$6:$AF$25,$Q385)),0))))</f>
        <v/>
      </c>
      <c r="Y385">
        <f>IF(OR($D385="",$B385="",Housemates!$B$14=""),0,IF($R385&gt;0,IF(L385="",0,IF(ISNUMBER(L385),L385,1)),IF($C385="Paying back",0,IF(AND(OR(Housemates!$C$14="",Housemates!$C$14&lt;=$B385),OR(Housemates!$D$14="",Housemates!$D$14&gt;=$B385)),IF($Q385=0,1,INDEX(Bills!$AG$6:$AG$25,$Q385)),0))))</f>
        <v/>
      </c>
      <c r="Z385">
        <f>IF(OR($D385="",$B385="",Housemates!$B$15=""),0,IF($R385&gt;0,IF(M385="",0,IF(ISNUMBER(M385),M385,1)),IF($C385="Paying back",0,IF(AND(OR(Housemates!$C$15="",Housemates!$C$15&lt;=$B385),OR(Housemates!$D$15="",Housemates!$D$15&gt;=$B385)),IF($Q385=0,1,INDEX(Bills!$AH$6:$AH$25,$Q385)),0))))</f>
        <v/>
      </c>
      <c r="AA385">
        <f>SUM(S385:Z385)</f>
        <v/>
      </c>
      <c r="AB385">
        <f>IF(AA385=0,0,D385*S385/AA385)</f>
        <v/>
      </c>
      <c r="AC385">
        <f>IF(AA385=0,0,D385*T385/AA385)</f>
        <v/>
      </c>
      <c r="AD385">
        <f>IF(AA385=0,0,D385*U385/AA385)</f>
        <v/>
      </c>
      <c r="AE385">
        <f>IF(AA385=0,0,D385*V385/AA385)</f>
        <v/>
      </c>
      <c r="AF385">
        <f>IF(AA385=0,0,D385*W385/AA385)</f>
        <v/>
      </c>
      <c r="AG385">
        <f>IF(AA385=0,0,D385*X385/AA385)</f>
        <v/>
      </c>
      <c r="AH385">
        <f>IF(AA385=0,0,D385*Y385/AA385)</f>
        <v/>
      </c>
      <c r="AI385">
        <f>IF(AA385=0,0,D385*Z385/AA385)</f>
        <v/>
      </c>
      <c r="AJ385">
        <f>IF(OR(C385="",B385=""),"",C385&amp;"|"&amp;(YEAR(B385)*100+MONTH(B385)))</f>
        <v/>
      </c>
    </row>
    <row r="386">
      <c r="A386" s="1" t="n"/>
      <c r="B386" s="23" t="n"/>
      <c r="C386" s="24" t="n"/>
      <c r="D386" s="25" t="n"/>
      <c r="E386" s="26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1">
        <f>IF(D386="","",IF(B386="","No date",IF(AND(C386="Paying back",R386=0),"To whom?",IF(AA386=0,"Nobody",IF(C386="Paying back","To "&amp;INDEX(Housemates!$B$8:$B$15,MATCH(MAX(S386:Z386),S386:Z386,0)),IF(R386&gt;0,IF(COUNTIF(S386:Z386,"&gt;0")=1,"1 person",COUNTIF(S386:Z386,"&gt;0")&amp;" people"),IF(Q386=0,"Everyone",INDEX(Bills!$Q$6:$Q$25,Q386))))))))</f>
        <v/>
      </c>
      <c r="O386" s="18">
        <f>IF(D386="","",IF(C386="Paying back","Paying back",IF(Q386=0,"Other",IF(INDEX(Bills!$C$6:$C$25,Q386)="","Other",INDEX(Bills!$C$6:$C$25,Q386)))))</f>
        <v/>
      </c>
      <c r="P386" s="1" t="n"/>
      <c r="Q386">
        <f>IF(C386="",0,IFERROR(MATCH(C386,Bills!$B$6:$B$25,0),0))</f>
        <v/>
      </c>
      <c r="R386">
        <f>COUNTA(F386:M386)</f>
        <v/>
      </c>
      <c r="S386">
        <f>IF(OR($D386="",$B386="",Housemates!$B$8=""),0,IF($R386&gt;0,IF(F386="",0,IF(ISNUMBER(F386),F386,1)),IF($C386="Paying back",0,IF(AND(OR(Housemates!$C$8="",Housemates!$C$8&lt;=$B386),OR(Housemates!$D$8="",Housemates!$D$8&gt;=$B386)),IF($Q386=0,1,INDEX(Bills!$AA$6:$AA$25,$Q386)),0))))</f>
        <v/>
      </c>
      <c r="T386">
        <f>IF(OR($D386="",$B386="",Housemates!$B$9=""),0,IF($R386&gt;0,IF(G386="",0,IF(ISNUMBER(G386),G386,1)),IF($C386="Paying back",0,IF(AND(OR(Housemates!$C$9="",Housemates!$C$9&lt;=$B386),OR(Housemates!$D$9="",Housemates!$D$9&gt;=$B386)),IF($Q386=0,1,INDEX(Bills!$AB$6:$AB$25,$Q386)),0))))</f>
        <v/>
      </c>
      <c r="U386">
        <f>IF(OR($D386="",$B386="",Housemates!$B$10=""),0,IF($R386&gt;0,IF(H386="",0,IF(ISNUMBER(H386),H386,1)),IF($C386="Paying back",0,IF(AND(OR(Housemates!$C$10="",Housemates!$C$10&lt;=$B386),OR(Housemates!$D$10="",Housemates!$D$10&gt;=$B386)),IF($Q386=0,1,INDEX(Bills!$AC$6:$AC$25,$Q386)),0))))</f>
        <v/>
      </c>
      <c r="V386">
        <f>IF(OR($D386="",$B386="",Housemates!$B$11=""),0,IF($R386&gt;0,IF(I386="",0,IF(ISNUMBER(I386),I386,1)),IF($C386="Paying back",0,IF(AND(OR(Housemates!$C$11="",Housemates!$C$11&lt;=$B386),OR(Housemates!$D$11="",Housemates!$D$11&gt;=$B386)),IF($Q386=0,1,INDEX(Bills!$AD$6:$AD$25,$Q386)),0))))</f>
        <v/>
      </c>
      <c r="W386">
        <f>IF(OR($D386="",$B386="",Housemates!$B$12=""),0,IF($R386&gt;0,IF(J386="",0,IF(ISNUMBER(J386),J386,1)),IF($C386="Paying back",0,IF(AND(OR(Housemates!$C$12="",Housemates!$C$12&lt;=$B386),OR(Housemates!$D$12="",Housemates!$D$12&gt;=$B386)),IF($Q386=0,1,INDEX(Bills!$AE$6:$AE$25,$Q386)),0))))</f>
        <v/>
      </c>
      <c r="X386">
        <f>IF(OR($D386="",$B386="",Housemates!$B$13=""),0,IF($R386&gt;0,IF(K386="",0,IF(ISNUMBER(K386),K386,1)),IF($C386="Paying back",0,IF(AND(OR(Housemates!$C$13="",Housemates!$C$13&lt;=$B386),OR(Housemates!$D$13="",Housemates!$D$13&gt;=$B386)),IF($Q386=0,1,INDEX(Bills!$AF$6:$AF$25,$Q386)),0))))</f>
        <v/>
      </c>
      <c r="Y386">
        <f>IF(OR($D386="",$B386="",Housemates!$B$14=""),0,IF($R386&gt;0,IF(L386="",0,IF(ISNUMBER(L386),L386,1)),IF($C386="Paying back",0,IF(AND(OR(Housemates!$C$14="",Housemates!$C$14&lt;=$B386),OR(Housemates!$D$14="",Housemates!$D$14&gt;=$B386)),IF($Q386=0,1,INDEX(Bills!$AG$6:$AG$25,$Q386)),0))))</f>
        <v/>
      </c>
      <c r="Z386">
        <f>IF(OR($D386="",$B386="",Housemates!$B$15=""),0,IF($R386&gt;0,IF(M386="",0,IF(ISNUMBER(M386),M386,1)),IF($C386="Paying back",0,IF(AND(OR(Housemates!$C$15="",Housemates!$C$15&lt;=$B386),OR(Housemates!$D$15="",Housemates!$D$15&gt;=$B386)),IF($Q386=0,1,INDEX(Bills!$AH$6:$AH$25,$Q386)),0))))</f>
        <v/>
      </c>
      <c r="AA386">
        <f>SUM(S386:Z386)</f>
        <v/>
      </c>
      <c r="AB386">
        <f>IF(AA386=0,0,D386*S386/AA386)</f>
        <v/>
      </c>
      <c r="AC386">
        <f>IF(AA386=0,0,D386*T386/AA386)</f>
        <v/>
      </c>
      <c r="AD386">
        <f>IF(AA386=0,0,D386*U386/AA386)</f>
        <v/>
      </c>
      <c r="AE386">
        <f>IF(AA386=0,0,D386*V386/AA386)</f>
        <v/>
      </c>
      <c r="AF386">
        <f>IF(AA386=0,0,D386*W386/AA386)</f>
        <v/>
      </c>
      <c r="AG386">
        <f>IF(AA386=0,0,D386*X386/AA386)</f>
        <v/>
      </c>
      <c r="AH386">
        <f>IF(AA386=0,0,D386*Y386/AA386)</f>
        <v/>
      </c>
      <c r="AI386">
        <f>IF(AA386=0,0,D386*Z386/AA386)</f>
        <v/>
      </c>
      <c r="AJ386">
        <f>IF(OR(C386="",B386=""),"",C386&amp;"|"&amp;(YEAR(B386)*100+MONTH(B386)))</f>
        <v/>
      </c>
    </row>
    <row r="387">
      <c r="A387" s="1" t="n"/>
      <c r="B387" s="23" t="n"/>
      <c r="C387" s="24" t="n"/>
      <c r="D387" s="25" t="n"/>
      <c r="E387" s="26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1">
        <f>IF(D387="","",IF(B387="","No date",IF(AND(C387="Paying back",R387=0),"To whom?",IF(AA387=0,"Nobody",IF(C387="Paying back","To "&amp;INDEX(Housemates!$B$8:$B$15,MATCH(MAX(S387:Z387),S387:Z387,0)),IF(R387&gt;0,IF(COUNTIF(S387:Z387,"&gt;0")=1,"1 person",COUNTIF(S387:Z387,"&gt;0")&amp;" people"),IF(Q387=0,"Everyone",INDEX(Bills!$Q$6:$Q$25,Q387))))))))</f>
        <v/>
      </c>
      <c r="O387" s="18">
        <f>IF(D387="","",IF(C387="Paying back","Paying back",IF(Q387=0,"Other",IF(INDEX(Bills!$C$6:$C$25,Q387)="","Other",INDEX(Bills!$C$6:$C$25,Q387)))))</f>
        <v/>
      </c>
      <c r="P387" s="1" t="n"/>
      <c r="Q387">
        <f>IF(C387="",0,IFERROR(MATCH(C387,Bills!$B$6:$B$25,0),0))</f>
        <v/>
      </c>
      <c r="R387">
        <f>COUNTA(F387:M387)</f>
        <v/>
      </c>
      <c r="S387">
        <f>IF(OR($D387="",$B387="",Housemates!$B$8=""),0,IF($R387&gt;0,IF(F387="",0,IF(ISNUMBER(F387),F387,1)),IF($C387="Paying back",0,IF(AND(OR(Housemates!$C$8="",Housemates!$C$8&lt;=$B387),OR(Housemates!$D$8="",Housemates!$D$8&gt;=$B387)),IF($Q387=0,1,INDEX(Bills!$AA$6:$AA$25,$Q387)),0))))</f>
        <v/>
      </c>
      <c r="T387">
        <f>IF(OR($D387="",$B387="",Housemates!$B$9=""),0,IF($R387&gt;0,IF(G387="",0,IF(ISNUMBER(G387),G387,1)),IF($C387="Paying back",0,IF(AND(OR(Housemates!$C$9="",Housemates!$C$9&lt;=$B387),OR(Housemates!$D$9="",Housemates!$D$9&gt;=$B387)),IF($Q387=0,1,INDEX(Bills!$AB$6:$AB$25,$Q387)),0))))</f>
        <v/>
      </c>
      <c r="U387">
        <f>IF(OR($D387="",$B387="",Housemates!$B$10=""),0,IF($R387&gt;0,IF(H387="",0,IF(ISNUMBER(H387),H387,1)),IF($C387="Paying back",0,IF(AND(OR(Housemates!$C$10="",Housemates!$C$10&lt;=$B387),OR(Housemates!$D$10="",Housemates!$D$10&gt;=$B387)),IF($Q387=0,1,INDEX(Bills!$AC$6:$AC$25,$Q387)),0))))</f>
        <v/>
      </c>
      <c r="V387">
        <f>IF(OR($D387="",$B387="",Housemates!$B$11=""),0,IF($R387&gt;0,IF(I387="",0,IF(ISNUMBER(I387),I387,1)),IF($C387="Paying back",0,IF(AND(OR(Housemates!$C$11="",Housemates!$C$11&lt;=$B387),OR(Housemates!$D$11="",Housemates!$D$11&gt;=$B387)),IF($Q387=0,1,INDEX(Bills!$AD$6:$AD$25,$Q387)),0))))</f>
        <v/>
      </c>
      <c r="W387">
        <f>IF(OR($D387="",$B387="",Housemates!$B$12=""),0,IF($R387&gt;0,IF(J387="",0,IF(ISNUMBER(J387),J387,1)),IF($C387="Paying back",0,IF(AND(OR(Housemates!$C$12="",Housemates!$C$12&lt;=$B387),OR(Housemates!$D$12="",Housemates!$D$12&gt;=$B387)),IF($Q387=0,1,INDEX(Bills!$AE$6:$AE$25,$Q387)),0))))</f>
        <v/>
      </c>
      <c r="X387">
        <f>IF(OR($D387="",$B387="",Housemates!$B$13=""),0,IF($R387&gt;0,IF(K387="",0,IF(ISNUMBER(K387),K387,1)),IF($C387="Paying back",0,IF(AND(OR(Housemates!$C$13="",Housemates!$C$13&lt;=$B387),OR(Housemates!$D$13="",Housemates!$D$13&gt;=$B387)),IF($Q387=0,1,INDEX(Bills!$AF$6:$AF$25,$Q387)),0))))</f>
        <v/>
      </c>
      <c r="Y387">
        <f>IF(OR($D387="",$B387="",Housemates!$B$14=""),0,IF($R387&gt;0,IF(L387="",0,IF(ISNUMBER(L387),L387,1)),IF($C387="Paying back",0,IF(AND(OR(Housemates!$C$14="",Housemates!$C$14&lt;=$B387),OR(Housemates!$D$14="",Housemates!$D$14&gt;=$B387)),IF($Q387=0,1,INDEX(Bills!$AG$6:$AG$25,$Q387)),0))))</f>
        <v/>
      </c>
      <c r="Z387">
        <f>IF(OR($D387="",$B387="",Housemates!$B$15=""),0,IF($R387&gt;0,IF(M387="",0,IF(ISNUMBER(M387),M387,1)),IF($C387="Paying back",0,IF(AND(OR(Housemates!$C$15="",Housemates!$C$15&lt;=$B387),OR(Housemates!$D$15="",Housemates!$D$15&gt;=$B387)),IF($Q387=0,1,INDEX(Bills!$AH$6:$AH$25,$Q387)),0))))</f>
        <v/>
      </c>
      <c r="AA387">
        <f>SUM(S387:Z387)</f>
        <v/>
      </c>
      <c r="AB387">
        <f>IF(AA387=0,0,D387*S387/AA387)</f>
        <v/>
      </c>
      <c r="AC387">
        <f>IF(AA387=0,0,D387*T387/AA387)</f>
        <v/>
      </c>
      <c r="AD387">
        <f>IF(AA387=0,0,D387*U387/AA387)</f>
        <v/>
      </c>
      <c r="AE387">
        <f>IF(AA387=0,0,D387*V387/AA387)</f>
        <v/>
      </c>
      <c r="AF387">
        <f>IF(AA387=0,0,D387*W387/AA387)</f>
        <v/>
      </c>
      <c r="AG387">
        <f>IF(AA387=0,0,D387*X387/AA387)</f>
        <v/>
      </c>
      <c r="AH387">
        <f>IF(AA387=0,0,D387*Y387/AA387)</f>
        <v/>
      </c>
      <c r="AI387">
        <f>IF(AA387=0,0,D387*Z387/AA387)</f>
        <v/>
      </c>
      <c r="AJ387">
        <f>IF(OR(C387="",B387=""),"",C387&amp;"|"&amp;(YEAR(B387)*100+MONTH(B387)))</f>
        <v/>
      </c>
    </row>
    <row r="388">
      <c r="A388" s="1" t="n"/>
      <c r="B388" s="23" t="n"/>
      <c r="C388" s="24" t="n"/>
      <c r="D388" s="25" t="n"/>
      <c r="E388" s="26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1">
        <f>IF(D388="","",IF(B388="","No date",IF(AND(C388="Paying back",R388=0),"To whom?",IF(AA388=0,"Nobody",IF(C388="Paying back","To "&amp;INDEX(Housemates!$B$8:$B$15,MATCH(MAX(S388:Z388),S388:Z388,0)),IF(R388&gt;0,IF(COUNTIF(S388:Z388,"&gt;0")=1,"1 person",COUNTIF(S388:Z388,"&gt;0")&amp;" people"),IF(Q388=0,"Everyone",INDEX(Bills!$Q$6:$Q$25,Q388))))))))</f>
        <v/>
      </c>
      <c r="O388" s="18">
        <f>IF(D388="","",IF(C388="Paying back","Paying back",IF(Q388=0,"Other",IF(INDEX(Bills!$C$6:$C$25,Q388)="","Other",INDEX(Bills!$C$6:$C$25,Q388)))))</f>
        <v/>
      </c>
      <c r="P388" s="1" t="n"/>
      <c r="Q388">
        <f>IF(C388="",0,IFERROR(MATCH(C388,Bills!$B$6:$B$25,0),0))</f>
        <v/>
      </c>
      <c r="R388">
        <f>COUNTA(F388:M388)</f>
        <v/>
      </c>
      <c r="S388">
        <f>IF(OR($D388="",$B388="",Housemates!$B$8=""),0,IF($R388&gt;0,IF(F388="",0,IF(ISNUMBER(F388),F388,1)),IF($C388="Paying back",0,IF(AND(OR(Housemates!$C$8="",Housemates!$C$8&lt;=$B388),OR(Housemates!$D$8="",Housemates!$D$8&gt;=$B388)),IF($Q388=0,1,INDEX(Bills!$AA$6:$AA$25,$Q388)),0))))</f>
        <v/>
      </c>
      <c r="T388">
        <f>IF(OR($D388="",$B388="",Housemates!$B$9=""),0,IF($R388&gt;0,IF(G388="",0,IF(ISNUMBER(G388),G388,1)),IF($C388="Paying back",0,IF(AND(OR(Housemates!$C$9="",Housemates!$C$9&lt;=$B388),OR(Housemates!$D$9="",Housemates!$D$9&gt;=$B388)),IF($Q388=0,1,INDEX(Bills!$AB$6:$AB$25,$Q388)),0))))</f>
        <v/>
      </c>
      <c r="U388">
        <f>IF(OR($D388="",$B388="",Housemates!$B$10=""),0,IF($R388&gt;0,IF(H388="",0,IF(ISNUMBER(H388),H388,1)),IF($C388="Paying back",0,IF(AND(OR(Housemates!$C$10="",Housemates!$C$10&lt;=$B388),OR(Housemates!$D$10="",Housemates!$D$10&gt;=$B388)),IF($Q388=0,1,INDEX(Bills!$AC$6:$AC$25,$Q388)),0))))</f>
        <v/>
      </c>
      <c r="V388">
        <f>IF(OR($D388="",$B388="",Housemates!$B$11=""),0,IF($R388&gt;0,IF(I388="",0,IF(ISNUMBER(I388),I388,1)),IF($C388="Paying back",0,IF(AND(OR(Housemates!$C$11="",Housemates!$C$11&lt;=$B388),OR(Housemates!$D$11="",Housemates!$D$11&gt;=$B388)),IF($Q388=0,1,INDEX(Bills!$AD$6:$AD$25,$Q388)),0))))</f>
        <v/>
      </c>
      <c r="W388">
        <f>IF(OR($D388="",$B388="",Housemates!$B$12=""),0,IF($R388&gt;0,IF(J388="",0,IF(ISNUMBER(J388),J388,1)),IF($C388="Paying back",0,IF(AND(OR(Housemates!$C$12="",Housemates!$C$12&lt;=$B388),OR(Housemates!$D$12="",Housemates!$D$12&gt;=$B388)),IF($Q388=0,1,INDEX(Bills!$AE$6:$AE$25,$Q388)),0))))</f>
        <v/>
      </c>
      <c r="X388">
        <f>IF(OR($D388="",$B388="",Housemates!$B$13=""),0,IF($R388&gt;0,IF(K388="",0,IF(ISNUMBER(K388),K388,1)),IF($C388="Paying back",0,IF(AND(OR(Housemates!$C$13="",Housemates!$C$13&lt;=$B388),OR(Housemates!$D$13="",Housemates!$D$13&gt;=$B388)),IF($Q388=0,1,INDEX(Bills!$AF$6:$AF$25,$Q388)),0))))</f>
        <v/>
      </c>
      <c r="Y388">
        <f>IF(OR($D388="",$B388="",Housemates!$B$14=""),0,IF($R388&gt;0,IF(L388="",0,IF(ISNUMBER(L388),L388,1)),IF($C388="Paying back",0,IF(AND(OR(Housemates!$C$14="",Housemates!$C$14&lt;=$B388),OR(Housemates!$D$14="",Housemates!$D$14&gt;=$B388)),IF($Q388=0,1,INDEX(Bills!$AG$6:$AG$25,$Q388)),0))))</f>
        <v/>
      </c>
      <c r="Z388">
        <f>IF(OR($D388="",$B388="",Housemates!$B$15=""),0,IF($R388&gt;0,IF(M388="",0,IF(ISNUMBER(M388),M388,1)),IF($C388="Paying back",0,IF(AND(OR(Housemates!$C$15="",Housemates!$C$15&lt;=$B388),OR(Housemates!$D$15="",Housemates!$D$15&gt;=$B388)),IF($Q388=0,1,INDEX(Bills!$AH$6:$AH$25,$Q388)),0))))</f>
        <v/>
      </c>
      <c r="AA388">
        <f>SUM(S388:Z388)</f>
        <v/>
      </c>
      <c r="AB388">
        <f>IF(AA388=0,0,D388*S388/AA388)</f>
        <v/>
      </c>
      <c r="AC388">
        <f>IF(AA388=0,0,D388*T388/AA388)</f>
        <v/>
      </c>
      <c r="AD388">
        <f>IF(AA388=0,0,D388*U388/AA388)</f>
        <v/>
      </c>
      <c r="AE388">
        <f>IF(AA388=0,0,D388*V388/AA388)</f>
        <v/>
      </c>
      <c r="AF388">
        <f>IF(AA388=0,0,D388*W388/AA388)</f>
        <v/>
      </c>
      <c r="AG388">
        <f>IF(AA388=0,0,D388*X388/AA388)</f>
        <v/>
      </c>
      <c r="AH388">
        <f>IF(AA388=0,0,D388*Y388/AA388)</f>
        <v/>
      </c>
      <c r="AI388">
        <f>IF(AA388=0,0,D388*Z388/AA388)</f>
        <v/>
      </c>
      <c r="AJ388">
        <f>IF(OR(C388="",B388=""),"",C388&amp;"|"&amp;(YEAR(B388)*100+MONTH(B388)))</f>
        <v/>
      </c>
    </row>
    <row r="389">
      <c r="A389" s="1" t="n"/>
      <c r="B389" s="23" t="n"/>
      <c r="C389" s="24" t="n"/>
      <c r="D389" s="25" t="n"/>
      <c r="E389" s="26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1">
        <f>IF(D389="","",IF(B389="","No date",IF(AND(C389="Paying back",R389=0),"To whom?",IF(AA389=0,"Nobody",IF(C389="Paying back","To "&amp;INDEX(Housemates!$B$8:$B$15,MATCH(MAX(S389:Z389),S389:Z389,0)),IF(R389&gt;0,IF(COUNTIF(S389:Z389,"&gt;0")=1,"1 person",COUNTIF(S389:Z389,"&gt;0")&amp;" people"),IF(Q389=0,"Everyone",INDEX(Bills!$Q$6:$Q$25,Q389))))))))</f>
        <v/>
      </c>
      <c r="O389" s="18">
        <f>IF(D389="","",IF(C389="Paying back","Paying back",IF(Q389=0,"Other",IF(INDEX(Bills!$C$6:$C$25,Q389)="","Other",INDEX(Bills!$C$6:$C$25,Q389)))))</f>
        <v/>
      </c>
      <c r="P389" s="1" t="n"/>
      <c r="Q389">
        <f>IF(C389="",0,IFERROR(MATCH(C389,Bills!$B$6:$B$25,0),0))</f>
        <v/>
      </c>
      <c r="R389">
        <f>COUNTA(F389:M389)</f>
        <v/>
      </c>
      <c r="S389">
        <f>IF(OR($D389="",$B389="",Housemates!$B$8=""),0,IF($R389&gt;0,IF(F389="",0,IF(ISNUMBER(F389),F389,1)),IF($C389="Paying back",0,IF(AND(OR(Housemates!$C$8="",Housemates!$C$8&lt;=$B389),OR(Housemates!$D$8="",Housemates!$D$8&gt;=$B389)),IF($Q389=0,1,INDEX(Bills!$AA$6:$AA$25,$Q389)),0))))</f>
        <v/>
      </c>
      <c r="T389">
        <f>IF(OR($D389="",$B389="",Housemates!$B$9=""),0,IF($R389&gt;0,IF(G389="",0,IF(ISNUMBER(G389),G389,1)),IF($C389="Paying back",0,IF(AND(OR(Housemates!$C$9="",Housemates!$C$9&lt;=$B389),OR(Housemates!$D$9="",Housemates!$D$9&gt;=$B389)),IF($Q389=0,1,INDEX(Bills!$AB$6:$AB$25,$Q389)),0))))</f>
        <v/>
      </c>
      <c r="U389">
        <f>IF(OR($D389="",$B389="",Housemates!$B$10=""),0,IF($R389&gt;0,IF(H389="",0,IF(ISNUMBER(H389),H389,1)),IF($C389="Paying back",0,IF(AND(OR(Housemates!$C$10="",Housemates!$C$10&lt;=$B389),OR(Housemates!$D$10="",Housemates!$D$10&gt;=$B389)),IF($Q389=0,1,INDEX(Bills!$AC$6:$AC$25,$Q389)),0))))</f>
        <v/>
      </c>
      <c r="V389">
        <f>IF(OR($D389="",$B389="",Housemates!$B$11=""),0,IF($R389&gt;0,IF(I389="",0,IF(ISNUMBER(I389),I389,1)),IF($C389="Paying back",0,IF(AND(OR(Housemates!$C$11="",Housemates!$C$11&lt;=$B389),OR(Housemates!$D$11="",Housemates!$D$11&gt;=$B389)),IF($Q389=0,1,INDEX(Bills!$AD$6:$AD$25,$Q389)),0))))</f>
        <v/>
      </c>
      <c r="W389">
        <f>IF(OR($D389="",$B389="",Housemates!$B$12=""),0,IF($R389&gt;0,IF(J389="",0,IF(ISNUMBER(J389),J389,1)),IF($C389="Paying back",0,IF(AND(OR(Housemates!$C$12="",Housemates!$C$12&lt;=$B389),OR(Housemates!$D$12="",Housemates!$D$12&gt;=$B389)),IF($Q389=0,1,INDEX(Bills!$AE$6:$AE$25,$Q389)),0))))</f>
        <v/>
      </c>
      <c r="X389">
        <f>IF(OR($D389="",$B389="",Housemates!$B$13=""),0,IF($R389&gt;0,IF(K389="",0,IF(ISNUMBER(K389),K389,1)),IF($C389="Paying back",0,IF(AND(OR(Housemates!$C$13="",Housemates!$C$13&lt;=$B389),OR(Housemates!$D$13="",Housemates!$D$13&gt;=$B389)),IF($Q389=0,1,INDEX(Bills!$AF$6:$AF$25,$Q389)),0))))</f>
        <v/>
      </c>
      <c r="Y389">
        <f>IF(OR($D389="",$B389="",Housemates!$B$14=""),0,IF($R389&gt;0,IF(L389="",0,IF(ISNUMBER(L389),L389,1)),IF($C389="Paying back",0,IF(AND(OR(Housemates!$C$14="",Housemates!$C$14&lt;=$B389),OR(Housemates!$D$14="",Housemates!$D$14&gt;=$B389)),IF($Q389=0,1,INDEX(Bills!$AG$6:$AG$25,$Q389)),0))))</f>
        <v/>
      </c>
      <c r="Z389">
        <f>IF(OR($D389="",$B389="",Housemates!$B$15=""),0,IF($R389&gt;0,IF(M389="",0,IF(ISNUMBER(M389),M389,1)),IF($C389="Paying back",0,IF(AND(OR(Housemates!$C$15="",Housemates!$C$15&lt;=$B389),OR(Housemates!$D$15="",Housemates!$D$15&gt;=$B389)),IF($Q389=0,1,INDEX(Bills!$AH$6:$AH$25,$Q389)),0))))</f>
        <v/>
      </c>
      <c r="AA389">
        <f>SUM(S389:Z389)</f>
        <v/>
      </c>
      <c r="AB389">
        <f>IF(AA389=0,0,D389*S389/AA389)</f>
        <v/>
      </c>
      <c r="AC389">
        <f>IF(AA389=0,0,D389*T389/AA389)</f>
        <v/>
      </c>
      <c r="AD389">
        <f>IF(AA389=0,0,D389*U389/AA389)</f>
        <v/>
      </c>
      <c r="AE389">
        <f>IF(AA389=0,0,D389*V389/AA389)</f>
        <v/>
      </c>
      <c r="AF389">
        <f>IF(AA389=0,0,D389*W389/AA389)</f>
        <v/>
      </c>
      <c r="AG389">
        <f>IF(AA389=0,0,D389*X389/AA389)</f>
        <v/>
      </c>
      <c r="AH389">
        <f>IF(AA389=0,0,D389*Y389/AA389)</f>
        <v/>
      </c>
      <c r="AI389">
        <f>IF(AA389=0,0,D389*Z389/AA389)</f>
        <v/>
      </c>
      <c r="AJ389">
        <f>IF(OR(C389="",B389=""),"",C389&amp;"|"&amp;(YEAR(B389)*100+MONTH(B389)))</f>
        <v/>
      </c>
    </row>
    <row r="390">
      <c r="A390" s="1" t="n"/>
      <c r="B390" s="23" t="n"/>
      <c r="C390" s="24" t="n"/>
      <c r="D390" s="25" t="n"/>
      <c r="E390" s="26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1">
        <f>IF(D390="","",IF(B390="","No date",IF(AND(C390="Paying back",R390=0),"To whom?",IF(AA390=0,"Nobody",IF(C390="Paying back","To "&amp;INDEX(Housemates!$B$8:$B$15,MATCH(MAX(S390:Z390),S390:Z390,0)),IF(R390&gt;0,IF(COUNTIF(S390:Z390,"&gt;0")=1,"1 person",COUNTIF(S390:Z390,"&gt;0")&amp;" people"),IF(Q390=0,"Everyone",INDEX(Bills!$Q$6:$Q$25,Q390))))))))</f>
        <v/>
      </c>
      <c r="O390" s="18">
        <f>IF(D390="","",IF(C390="Paying back","Paying back",IF(Q390=0,"Other",IF(INDEX(Bills!$C$6:$C$25,Q390)="","Other",INDEX(Bills!$C$6:$C$25,Q390)))))</f>
        <v/>
      </c>
      <c r="P390" s="1" t="n"/>
      <c r="Q390">
        <f>IF(C390="",0,IFERROR(MATCH(C390,Bills!$B$6:$B$25,0),0))</f>
        <v/>
      </c>
      <c r="R390">
        <f>COUNTA(F390:M390)</f>
        <v/>
      </c>
      <c r="S390">
        <f>IF(OR($D390="",$B390="",Housemates!$B$8=""),0,IF($R390&gt;0,IF(F390="",0,IF(ISNUMBER(F390),F390,1)),IF($C390="Paying back",0,IF(AND(OR(Housemates!$C$8="",Housemates!$C$8&lt;=$B390),OR(Housemates!$D$8="",Housemates!$D$8&gt;=$B390)),IF($Q390=0,1,INDEX(Bills!$AA$6:$AA$25,$Q390)),0))))</f>
        <v/>
      </c>
      <c r="T390">
        <f>IF(OR($D390="",$B390="",Housemates!$B$9=""),0,IF($R390&gt;0,IF(G390="",0,IF(ISNUMBER(G390),G390,1)),IF($C390="Paying back",0,IF(AND(OR(Housemates!$C$9="",Housemates!$C$9&lt;=$B390),OR(Housemates!$D$9="",Housemates!$D$9&gt;=$B390)),IF($Q390=0,1,INDEX(Bills!$AB$6:$AB$25,$Q390)),0))))</f>
        <v/>
      </c>
      <c r="U390">
        <f>IF(OR($D390="",$B390="",Housemates!$B$10=""),0,IF($R390&gt;0,IF(H390="",0,IF(ISNUMBER(H390),H390,1)),IF($C390="Paying back",0,IF(AND(OR(Housemates!$C$10="",Housemates!$C$10&lt;=$B390),OR(Housemates!$D$10="",Housemates!$D$10&gt;=$B390)),IF($Q390=0,1,INDEX(Bills!$AC$6:$AC$25,$Q390)),0))))</f>
        <v/>
      </c>
      <c r="V390">
        <f>IF(OR($D390="",$B390="",Housemates!$B$11=""),0,IF($R390&gt;0,IF(I390="",0,IF(ISNUMBER(I390),I390,1)),IF($C390="Paying back",0,IF(AND(OR(Housemates!$C$11="",Housemates!$C$11&lt;=$B390),OR(Housemates!$D$11="",Housemates!$D$11&gt;=$B390)),IF($Q390=0,1,INDEX(Bills!$AD$6:$AD$25,$Q390)),0))))</f>
        <v/>
      </c>
      <c r="W390">
        <f>IF(OR($D390="",$B390="",Housemates!$B$12=""),0,IF($R390&gt;0,IF(J390="",0,IF(ISNUMBER(J390),J390,1)),IF($C390="Paying back",0,IF(AND(OR(Housemates!$C$12="",Housemates!$C$12&lt;=$B390),OR(Housemates!$D$12="",Housemates!$D$12&gt;=$B390)),IF($Q390=0,1,INDEX(Bills!$AE$6:$AE$25,$Q390)),0))))</f>
        <v/>
      </c>
      <c r="X390">
        <f>IF(OR($D390="",$B390="",Housemates!$B$13=""),0,IF($R390&gt;0,IF(K390="",0,IF(ISNUMBER(K390),K390,1)),IF($C390="Paying back",0,IF(AND(OR(Housemates!$C$13="",Housemates!$C$13&lt;=$B390),OR(Housemates!$D$13="",Housemates!$D$13&gt;=$B390)),IF($Q390=0,1,INDEX(Bills!$AF$6:$AF$25,$Q390)),0))))</f>
        <v/>
      </c>
      <c r="Y390">
        <f>IF(OR($D390="",$B390="",Housemates!$B$14=""),0,IF($R390&gt;0,IF(L390="",0,IF(ISNUMBER(L390),L390,1)),IF($C390="Paying back",0,IF(AND(OR(Housemates!$C$14="",Housemates!$C$14&lt;=$B390),OR(Housemates!$D$14="",Housemates!$D$14&gt;=$B390)),IF($Q390=0,1,INDEX(Bills!$AG$6:$AG$25,$Q390)),0))))</f>
        <v/>
      </c>
      <c r="Z390">
        <f>IF(OR($D390="",$B390="",Housemates!$B$15=""),0,IF($R390&gt;0,IF(M390="",0,IF(ISNUMBER(M390),M390,1)),IF($C390="Paying back",0,IF(AND(OR(Housemates!$C$15="",Housemates!$C$15&lt;=$B390),OR(Housemates!$D$15="",Housemates!$D$15&gt;=$B390)),IF($Q390=0,1,INDEX(Bills!$AH$6:$AH$25,$Q390)),0))))</f>
        <v/>
      </c>
      <c r="AA390">
        <f>SUM(S390:Z390)</f>
        <v/>
      </c>
      <c r="AB390">
        <f>IF(AA390=0,0,D390*S390/AA390)</f>
        <v/>
      </c>
      <c r="AC390">
        <f>IF(AA390=0,0,D390*T390/AA390)</f>
        <v/>
      </c>
      <c r="AD390">
        <f>IF(AA390=0,0,D390*U390/AA390)</f>
        <v/>
      </c>
      <c r="AE390">
        <f>IF(AA390=0,0,D390*V390/AA390)</f>
        <v/>
      </c>
      <c r="AF390">
        <f>IF(AA390=0,0,D390*W390/AA390)</f>
        <v/>
      </c>
      <c r="AG390">
        <f>IF(AA390=0,0,D390*X390/AA390)</f>
        <v/>
      </c>
      <c r="AH390">
        <f>IF(AA390=0,0,D390*Y390/AA390)</f>
        <v/>
      </c>
      <c r="AI390">
        <f>IF(AA390=0,0,D390*Z390/AA390)</f>
        <v/>
      </c>
      <c r="AJ390">
        <f>IF(OR(C390="",B390=""),"",C390&amp;"|"&amp;(YEAR(B390)*100+MONTH(B390)))</f>
        <v/>
      </c>
    </row>
    <row r="391">
      <c r="A391" s="1" t="n"/>
      <c r="B391" s="23" t="n"/>
      <c r="C391" s="24" t="n"/>
      <c r="D391" s="25" t="n"/>
      <c r="E391" s="26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1">
        <f>IF(D391="","",IF(B391="","No date",IF(AND(C391="Paying back",R391=0),"To whom?",IF(AA391=0,"Nobody",IF(C391="Paying back","To "&amp;INDEX(Housemates!$B$8:$B$15,MATCH(MAX(S391:Z391),S391:Z391,0)),IF(R391&gt;0,IF(COUNTIF(S391:Z391,"&gt;0")=1,"1 person",COUNTIF(S391:Z391,"&gt;0")&amp;" people"),IF(Q391=0,"Everyone",INDEX(Bills!$Q$6:$Q$25,Q391))))))))</f>
        <v/>
      </c>
      <c r="O391" s="18">
        <f>IF(D391="","",IF(C391="Paying back","Paying back",IF(Q391=0,"Other",IF(INDEX(Bills!$C$6:$C$25,Q391)="","Other",INDEX(Bills!$C$6:$C$25,Q391)))))</f>
        <v/>
      </c>
      <c r="P391" s="1" t="n"/>
      <c r="Q391">
        <f>IF(C391="",0,IFERROR(MATCH(C391,Bills!$B$6:$B$25,0),0))</f>
        <v/>
      </c>
      <c r="R391">
        <f>COUNTA(F391:M391)</f>
        <v/>
      </c>
      <c r="S391">
        <f>IF(OR($D391="",$B391="",Housemates!$B$8=""),0,IF($R391&gt;0,IF(F391="",0,IF(ISNUMBER(F391),F391,1)),IF($C391="Paying back",0,IF(AND(OR(Housemates!$C$8="",Housemates!$C$8&lt;=$B391),OR(Housemates!$D$8="",Housemates!$D$8&gt;=$B391)),IF($Q391=0,1,INDEX(Bills!$AA$6:$AA$25,$Q391)),0))))</f>
        <v/>
      </c>
      <c r="T391">
        <f>IF(OR($D391="",$B391="",Housemates!$B$9=""),0,IF($R391&gt;0,IF(G391="",0,IF(ISNUMBER(G391),G391,1)),IF($C391="Paying back",0,IF(AND(OR(Housemates!$C$9="",Housemates!$C$9&lt;=$B391),OR(Housemates!$D$9="",Housemates!$D$9&gt;=$B391)),IF($Q391=0,1,INDEX(Bills!$AB$6:$AB$25,$Q391)),0))))</f>
        <v/>
      </c>
      <c r="U391">
        <f>IF(OR($D391="",$B391="",Housemates!$B$10=""),0,IF($R391&gt;0,IF(H391="",0,IF(ISNUMBER(H391),H391,1)),IF($C391="Paying back",0,IF(AND(OR(Housemates!$C$10="",Housemates!$C$10&lt;=$B391),OR(Housemates!$D$10="",Housemates!$D$10&gt;=$B391)),IF($Q391=0,1,INDEX(Bills!$AC$6:$AC$25,$Q391)),0))))</f>
        <v/>
      </c>
      <c r="V391">
        <f>IF(OR($D391="",$B391="",Housemates!$B$11=""),0,IF($R391&gt;0,IF(I391="",0,IF(ISNUMBER(I391),I391,1)),IF($C391="Paying back",0,IF(AND(OR(Housemates!$C$11="",Housemates!$C$11&lt;=$B391),OR(Housemates!$D$11="",Housemates!$D$11&gt;=$B391)),IF($Q391=0,1,INDEX(Bills!$AD$6:$AD$25,$Q391)),0))))</f>
        <v/>
      </c>
      <c r="W391">
        <f>IF(OR($D391="",$B391="",Housemates!$B$12=""),0,IF($R391&gt;0,IF(J391="",0,IF(ISNUMBER(J391),J391,1)),IF($C391="Paying back",0,IF(AND(OR(Housemates!$C$12="",Housemates!$C$12&lt;=$B391),OR(Housemates!$D$12="",Housemates!$D$12&gt;=$B391)),IF($Q391=0,1,INDEX(Bills!$AE$6:$AE$25,$Q391)),0))))</f>
        <v/>
      </c>
      <c r="X391">
        <f>IF(OR($D391="",$B391="",Housemates!$B$13=""),0,IF($R391&gt;0,IF(K391="",0,IF(ISNUMBER(K391),K391,1)),IF($C391="Paying back",0,IF(AND(OR(Housemates!$C$13="",Housemates!$C$13&lt;=$B391),OR(Housemates!$D$13="",Housemates!$D$13&gt;=$B391)),IF($Q391=0,1,INDEX(Bills!$AF$6:$AF$25,$Q391)),0))))</f>
        <v/>
      </c>
      <c r="Y391">
        <f>IF(OR($D391="",$B391="",Housemates!$B$14=""),0,IF($R391&gt;0,IF(L391="",0,IF(ISNUMBER(L391),L391,1)),IF($C391="Paying back",0,IF(AND(OR(Housemates!$C$14="",Housemates!$C$14&lt;=$B391),OR(Housemates!$D$14="",Housemates!$D$14&gt;=$B391)),IF($Q391=0,1,INDEX(Bills!$AG$6:$AG$25,$Q391)),0))))</f>
        <v/>
      </c>
      <c r="Z391">
        <f>IF(OR($D391="",$B391="",Housemates!$B$15=""),0,IF($R391&gt;0,IF(M391="",0,IF(ISNUMBER(M391),M391,1)),IF($C391="Paying back",0,IF(AND(OR(Housemates!$C$15="",Housemates!$C$15&lt;=$B391),OR(Housemates!$D$15="",Housemates!$D$15&gt;=$B391)),IF($Q391=0,1,INDEX(Bills!$AH$6:$AH$25,$Q391)),0))))</f>
        <v/>
      </c>
      <c r="AA391">
        <f>SUM(S391:Z391)</f>
        <v/>
      </c>
      <c r="AB391">
        <f>IF(AA391=0,0,D391*S391/AA391)</f>
        <v/>
      </c>
      <c r="AC391">
        <f>IF(AA391=0,0,D391*T391/AA391)</f>
        <v/>
      </c>
      <c r="AD391">
        <f>IF(AA391=0,0,D391*U391/AA391)</f>
        <v/>
      </c>
      <c r="AE391">
        <f>IF(AA391=0,0,D391*V391/AA391)</f>
        <v/>
      </c>
      <c r="AF391">
        <f>IF(AA391=0,0,D391*W391/AA391)</f>
        <v/>
      </c>
      <c r="AG391">
        <f>IF(AA391=0,0,D391*X391/AA391)</f>
        <v/>
      </c>
      <c r="AH391">
        <f>IF(AA391=0,0,D391*Y391/AA391)</f>
        <v/>
      </c>
      <c r="AI391">
        <f>IF(AA391=0,0,D391*Z391/AA391)</f>
        <v/>
      </c>
      <c r="AJ391">
        <f>IF(OR(C391="",B391=""),"",C391&amp;"|"&amp;(YEAR(B391)*100+MONTH(B391)))</f>
        <v/>
      </c>
    </row>
    <row r="392">
      <c r="A392" s="1" t="n"/>
      <c r="B392" s="23" t="n"/>
      <c r="C392" s="24" t="n"/>
      <c r="D392" s="25" t="n"/>
      <c r="E392" s="26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1">
        <f>IF(D392="","",IF(B392="","No date",IF(AND(C392="Paying back",R392=0),"To whom?",IF(AA392=0,"Nobody",IF(C392="Paying back","To "&amp;INDEX(Housemates!$B$8:$B$15,MATCH(MAX(S392:Z392),S392:Z392,0)),IF(R392&gt;0,IF(COUNTIF(S392:Z392,"&gt;0")=1,"1 person",COUNTIF(S392:Z392,"&gt;0")&amp;" people"),IF(Q392=0,"Everyone",INDEX(Bills!$Q$6:$Q$25,Q392))))))))</f>
        <v/>
      </c>
      <c r="O392" s="18">
        <f>IF(D392="","",IF(C392="Paying back","Paying back",IF(Q392=0,"Other",IF(INDEX(Bills!$C$6:$C$25,Q392)="","Other",INDEX(Bills!$C$6:$C$25,Q392)))))</f>
        <v/>
      </c>
      <c r="P392" s="1" t="n"/>
      <c r="Q392">
        <f>IF(C392="",0,IFERROR(MATCH(C392,Bills!$B$6:$B$25,0),0))</f>
        <v/>
      </c>
      <c r="R392">
        <f>COUNTA(F392:M392)</f>
        <v/>
      </c>
      <c r="S392">
        <f>IF(OR($D392="",$B392="",Housemates!$B$8=""),0,IF($R392&gt;0,IF(F392="",0,IF(ISNUMBER(F392),F392,1)),IF($C392="Paying back",0,IF(AND(OR(Housemates!$C$8="",Housemates!$C$8&lt;=$B392),OR(Housemates!$D$8="",Housemates!$D$8&gt;=$B392)),IF($Q392=0,1,INDEX(Bills!$AA$6:$AA$25,$Q392)),0))))</f>
        <v/>
      </c>
      <c r="T392">
        <f>IF(OR($D392="",$B392="",Housemates!$B$9=""),0,IF($R392&gt;0,IF(G392="",0,IF(ISNUMBER(G392),G392,1)),IF($C392="Paying back",0,IF(AND(OR(Housemates!$C$9="",Housemates!$C$9&lt;=$B392),OR(Housemates!$D$9="",Housemates!$D$9&gt;=$B392)),IF($Q392=0,1,INDEX(Bills!$AB$6:$AB$25,$Q392)),0))))</f>
        <v/>
      </c>
      <c r="U392">
        <f>IF(OR($D392="",$B392="",Housemates!$B$10=""),0,IF($R392&gt;0,IF(H392="",0,IF(ISNUMBER(H392),H392,1)),IF($C392="Paying back",0,IF(AND(OR(Housemates!$C$10="",Housemates!$C$10&lt;=$B392),OR(Housemates!$D$10="",Housemates!$D$10&gt;=$B392)),IF($Q392=0,1,INDEX(Bills!$AC$6:$AC$25,$Q392)),0))))</f>
        <v/>
      </c>
      <c r="V392">
        <f>IF(OR($D392="",$B392="",Housemates!$B$11=""),0,IF($R392&gt;0,IF(I392="",0,IF(ISNUMBER(I392),I392,1)),IF($C392="Paying back",0,IF(AND(OR(Housemates!$C$11="",Housemates!$C$11&lt;=$B392),OR(Housemates!$D$11="",Housemates!$D$11&gt;=$B392)),IF($Q392=0,1,INDEX(Bills!$AD$6:$AD$25,$Q392)),0))))</f>
        <v/>
      </c>
      <c r="W392">
        <f>IF(OR($D392="",$B392="",Housemates!$B$12=""),0,IF($R392&gt;0,IF(J392="",0,IF(ISNUMBER(J392),J392,1)),IF($C392="Paying back",0,IF(AND(OR(Housemates!$C$12="",Housemates!$C$12&lt;=$B392),OR(Housemates!$D$12="",Housemates!$D$12&gt;=$B392)),IF($Q392=0,1,INDEX(Bills!$AE$6:$AE$25,$Q392)),0))))</f>
        <v/>
      </c>
      <c r="X392">
        <f>IF(OR($D392="",$B392="",Housemates!$B$13=""),0,IF($R392&gt;0,IF(K392="",0,IF(ISNUMBER(K392),K392,1)),IF($C392="Paying back",0,IF(AND(OR(Housemates!$C$13="",Housemates!$C$13&lt;=$B392),OR(Housemates!$D$13="",Housemates!$D$13&gt;=$B392)),IF($Q392=0,1,INDEX(Bills!$AF$6:$AF$25,$Q392)),0))))</f>
        <v/>
      </c>
      <c r="Y392">
        <f>IF(OR($D392="",$B392="",Housemates!$B$14=""),0,IF($R392&gt;0,IF(L392="",0,IF(ISNUMBER(L392),L392,1)),IF($C392="Paying back",0,IF(AND(OR(Housemates!$C$14="",Housemates!$C$14&lt;=$B392),OR(Housemates!$D$14="",Housemates!$D$14&gt;=$B392)),IF($Q392=0,1,INDEX(Bills!$AG$6:$AG$25,$Q392)),0))))</f>
        <v/>
      </c>
      <c r="Z392">
        <f>IF(OR($D392="",$B392="",Housemates!$B$15=""),0,IF($R392&gt;0,IF(M392="",0,IF(ISNUMBER(M392),M392,1)),IF($C392="Paying back",0,IF(AND(OR(Housemates!$C$15="",Housemates!$C$15&lt;=$B392),OR(Housemates!$D$15="",Housemates!$D$15&gt;=$B392)),IF($Q392=0,1,INDEX(Bills!$AH$6:$AH$25,$Q392)),0))))</f>
        <v/>
      </c>
      <c r="AA392">
        <f>SUM(S392:Z392)</f>
        <v/>
      </c>
      <c r="AB392">
        <f>IF(AA392=0,0,D392*S392/AA392)</f>
        <v/>
      </c>
      <c r="AC392">
        <f>IF(AA392=0,0,D392*T392/AA392)</f>
        <v/>
      </c>
      <c r="AD392">
        <f>IF(AA392=0,0,D392*U392/AA392)</f>
        <v/>
      </c>
      <c r="AE392">
        <f>IF(AA392=0,0,D392*V392/AA392)</f>
        <v/>
      </c>
      <c r="AF392">
        <f>IF(AA392=0,0,D392*W392/AA392)</f>
        <v/>
      </c>
      <c r="AG392">
        <f>IF(AA392=0,0,D392*X392/AA392)</f>
        <v/>
      </c>
      <c r="AH392">
        <f>IF(AA392=0,0,D392*Y392/AA392)</f>
        <v/>
      </c>
      <c r="AI392">
        <f>IF(AA392=0,0,D392*Z392/AA392)</f>
        <v/>
      </c>
      <c r="AJ392">
        <f>IF(OR(C392="",B392=""),"",C392&amp;"|"&amp;(YEAR(B392)*100+MONTH(B392)))</f>
        <v/>
      </c>
    </row>
    <row r="393">
      <c r="A393" s="1" t="n"/>
      <c r="B393" s="23" t="n"/>
      <c r="C393" s="24" t="n"/>
      <c r="D393" s="25" t="n"/>
      <c r="E393" s="26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1">
        <f>IF(D393="","",IF(B393="","No date",IF(AND(C393="Paying back",R393=0),"To whom?",IF(AA393=0,"Nobody",IF(C393="Paying back","To "&amp;INDEX(Housemates!$B$8:$B$15,MATCH(MAX(S393:Z393),S393:Z393,0)),IF(R393&gt;0,IF(COUNTIF(S393:Z393,"&gt;0")=1,"1 person",COUNTIF(S393:Z393,"&gt;0")&amp;" people"),IF(Q393=0,"Everyone",INDEX(Bills!$Q$6:$Q$25,Q393))))))))</f>
        <v/>
      </c>
      <c r="O393" s="18">
        <f>IF(D393="","",IF(C393="Paying back","Paying back",IF(Q393=0,"Other",IF(INDEX(Bills!$C$6:$C$25,Q393)="","Other",INDEX(Bills!$C$6:$C$25,Q393)))))</f>
        <v/>
      </c>
      <c r="P393" s="1" t="n"/>
      <c r="Q393">
        <f>IF(C393="",0,IFERROR(MATCH(C393,Bills!$B$6:$B$25,0),0))</f>
        <v/>
      </c>
      <c r="R393">
        <f>COUNTA(F393:M393)</f>
        <v/>
      </c>
      <c r="S393">
        <f>IF(OR($D393="",$B393="",Housemates!$B$8=""),0,IF($R393&gt;0,IF(F393="",0,IF(ISNUMBER(F393),F393,1)),IF($C393="Paying back",0,IF(AND(OR(Housemates!$C$8="",Housemates!$C$8&lt;=$B393),OR(Housemates!$D$8="",Housemates!$D$8&gt;=$B393)),IF($Q393=0,1,INDEX(Bills!$AA$6:$AA$25,$Q393)),0))))</f>
        <v/>
      </c>
      <c r="T393">
        <f>IF(OR($D393="",$B393="",Housemates!$B$9=""),0,IF($R393&gt;0,IF(G393="",0,IF(ISNUMBER(G393),G393,1)),IF($C393="Paying back",0,IF(AND(OR(Housemates!$C$9="",Housemates!$C$9&lt;=$B393),OR(Housemates!$D$9="",Housemates!$D$9&gt;=$B393)),IF($Q393=0,1,INDEX(Bills!$AB$6:$AB$25,$Q393)),0))))</f>
        <v/>
      </c>
      <c r="U393">
        <f>IF(OR($D393="",$B393="",Housemates!$B$10=""),0,IF($R393&gt;0,IF(H393="",0,IF(ISNUMBER(H393),H393,1)),IF($C393="Paying back",0,IF(AND(OR(Housemates!$C$10="",Housemates!$C$10&lt;=$B393),OR(Housemates!$D$10="",Housemates!$D$10&gt;=$B393)),IF($Q393=0,1,INDEX(Bills!$AC$6:$AC$25,$Q393)),0))))</f>
        <v/>
      </c>
      <c r="V393">
        <f>IF(OR($D393="",$B393="",Housemates!$B$11=""),0,IF($R393&gt;0,IF(I393="",0,IF(ISNUMBER(I393),I393,1)),IF($C393="Paying back",0,IF(AND(OR(Housemates!$C$11="",Housemates!$C$11&lt;=$B393),OR(Housemates!$D$11="",Housemates!$D$11&gt;=$B393)),IF($Q393=0,1,INDEX(Bills!$AD$6:$AD$25,$Q393)),0))))</f>
        <v/>
      </c>
      <c r="W393">
        <f>IF(OR($D393="",$B393="",Housemates!$B$12=""),0,IF($R393&gt;0,IF(J393="",0,IF(ISNUMBER(J393),J393,1)),IF($C393="Paying back",0,IF(AND(OR(Housemates!$C$12="",Housemates!$C$12&lt;=$B393),OR(Housemates!$D$12="",Housemates!$D$12&gt;=$B393)),IF($Q393=0,1,INDEX(Bills!$AE$6:$AE$25,$Q393)),0))))</f>
        <v/>
      </c>
      <c r="X393">
        <f>IF(OR($D393="",$B393="",Housemates!$B$13=""),0,IF($R393&gt;0,IF(K393="",0,IF(ISNUMBER(K393),K393,1)),IF($C393="Paying back",0,IF(AND(OR(Housemates!$C$13="",Housemates!$C$13&lt;=$B393),OR(Housemates!$D$13="",Housemates!$D$13&gt;=$B393)),IF($Q393=0,1,INDEX(Bills!$AF$6:$AF$25,$Q393)),0))))</f>
        <v/>
      </c>
      <c r="Y393">
        <f>IF(OR($D393="",$B393="",Housemates!$B$14=""),0,IF($R393&gt;0,IF(L393="",0,IF(ISNUMBER(L393),L393,1)),IF($C393="Paying back",0,IF(AND(OR(Housemates!$C$14="",Housemates!$C$14&lt;=$B393),OR(Housemates!$D$14="",Housemates!$D$14&gt;=$B393)),IF($Q393=0,1,INDEX(Bills!$AG$6:$AG$25,$Q393)),0))))</f>
        <v/>
      </c>
      <c r="Z393">
        <f>IF(OR($D393="",$B393="",Housemates!$B$15=""),0,IF($R393&gt;0,IF(M393="",0,IF(ISNUMBER(M393),M393,1)),IF($C393="Paying back",0,IF(AND(OR(Housemates!$C$15="",Housemates!$C$15&lt;=$B393),OR(Housemates!$D$15="",Housemates!$D$15&gt;=$B393)),IF($Q393=0,1,INDEX(Bills!$AH$6:$AH$25,$Q393)),0))))</f>
        <v/>
      </c>
      <c r="AA393">
        <f>SUM(S393:Z393)</f>
        <v/>
      </c>
      <c r="AB393">
        <f>IF(AA393=0,0,D393*S393/AA393)</f>
        <v/>
      </c>
      <c r="AC393">
        <f>IF(AA393=0,0,D393*T393/AA393)</f>
        <v/>
      </c>
      <c r="AD393">
        <f>IF(AA393=0,0,D393*U393/AA393)</f>
        <v/>
      </c>
      <c r="AE393">
        <f>IF(AA393=0,0,D393*V393/AA393)</f>
        <v/>
      </c>
      <c r="AF393">
        <f>IF(AA393=0,0,D393*W393/AA393)</f>
        <v/>
      </c>
      <c r="AG393">
        <f>IF(AA393=0,0,D393*X393/AA393)</f>
        <v/>
      </c>
      <c r="AH393">
        <f>IF(AA393=0,0,D393*Y393/AA393)</f>
        <v/>
      </c>
      <c r="AI393">
        <f>IF(AA393=0,0,D393*Z393/AA393)</f>
        <v/>
      </c>
      <c r="AJ393">
        <f>IF(OR(C393="",B393=""),"",C393&amp;"|"&amp;(YEAR(B393)*100+MONTH(B393)))</f>
        <v/>
      </c>
    </row>
    <row r="394">
      <c r="A394" s="1" t="n"/>
      <c r="B394" s="23" t="n"/>
      <c r="C394" s="24" t="n"/>
      <c r="D394" s="25" t="n"/>
      <c r="E394" s="26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1">
        <f>IF(D394="","",IF(B394="","No date",IF(AND(C394="Paying back",R394=0),"To whom?",IF(AA394=0,"Nobody",IF(C394="Paying back","To "&amp;INDEX(Housemates!$B$8:$B$15,MATCH(MAX(S394:Z394),S394:Z394,0)),IF(R394&gt;0,IF(COUNTIF(S394:Z394,"&gt;0")=1,"1 person",COUNTIF(S394:Z394,"&gt;0")&amp;" people"),IF(Q394=0,"Everyone",INDEX(Bills!$Q$6:$Q$25,Q394))))))))</f>
        <v/>
      </c>
      <c r="O394" s="18">
        <f>IF(D394="","",IF(C394="Paying back","Paying back",IF(Q394=0,"Other",IF(INDEX(Bills!$C$6:$C$25,Q394)="","Other",INDEX(Bills!$C$6:$C$25,Q394)))))</f>
        <v/>
      </c>
      <c r="P394" s="1" t="n"/>
      <c r="Q394">
        <f>IF(C394="",0,IFERROR(MATCH(C394,Bills!$B$6:$B$25,0),0))</f>
        <v/>
      </c>
      <c r="R394">
        <f>COUNTA(F394:M394)</f>
        <v/>
      </c>
      <c r="S394">
        <f>IF(OR($D394="",$B394="",Housemates!$B$8=""),0,IF($R394&gt;0,IF(F394="",0,IF(ISNUMBER(F394),F394,1)),IF($C394="Paying back",0,IF(AND(OR(Housemates!$C$8="",Housemates!$C$8&lt;=$B394),OR(Housemates!$D$8="",Housemates!$D$8&gt;=$B394)),IF($Q394=0,1,INDEX(Bills!$AA$6:$AA$25,$Q394)),0))))</f>
        <v/>
      </c>
      <c r="T394">
        <f>IF(OR($D394="",$B394="",Housemates!$B$9=""),0,IF($R394&gt;0,IF(G394="",0,IF(ISNUMBER(G394),G394,1)),IF($C394="Paying back",0,IF(AND(OR(Housemates!$C$9="",Housemates!$C$9&lt;=$B394),OR(Housemates!$D$9="",Housemates!$D$9&gt;=$B394)),IF($Q394=0,1,INDEX(Bills!$AB$6:$AB$25,$Q394)),0))))</f>
        <v/>
      </c>
      <c r="U394">
        <f>IF(OR($D394="",$B394="",Housemates!$B$10=""),0,IF($R394&gt;0,IF(H394="",0,IF(ISNUMBER(H394),H394,1)),IF($C394="Paying back",0,IF(AND(OR(Housemates!$C$10="",Housemates!$C$10&lt;=$B394),OR(Housemates!$D$10="",Housemates!$D$10&gt;=$B394)),IF($Q394=0,1,INDEX(Bills!$AC$6:$AC$25,$Q394)),0))))</f>
        <v/>
      </c>
      <c r="V394">
        <f>IF(OR($D394="",$B394="",Housemates!$B$11=""),0,IF($R394&gt;0,IF(I394="",0,IF(ISNUMBER(I394),I394,1)),IF($C394="Paying back",0,IF(AND(OR(Housemates!$C$11="",Housemates!$C$11&lt;=$B394),OR(Housemates!$D$11="",Housemates!$D$11&gt;=$B394)),IF($Q394=0,1,INDEX(Bills!$AD$6:$AD$25,$Q394)),0))))</f>
        <v/>
      </c>
      <c r="W394">
        <f>IF(OR($D394="",$B394="",Housemates!$B$12=""),0,IF($R394&gt;0,IF(J394="",0,IF(ISNUMBER(J394),J394,1)),IF($C394="Paying back",0,IF(AND(OR(Housemates!$C$12="",Housemates!$C$12&lt;=$B394),OR(Housemates!$D$12="",Housemates!$D$12&gt;=$B394)),IF($Q394=0,1,INDEX(Bills!$AE$6:$AE$25,$Q394)),0))))</f>
        <v/>
      </c>
      <c r="X394">
        <f>IF(OR($D394="",$B394="",Housemates!$B$13=""),0,IF($R394&gt;0,IF(K394="",0,IF(ISNUMBER(K394),K394,1)),IF($C394="Paying back",0,IF(AND(OR(Housemates!$C$13="",Housemates!$C$13&lt;=$B394),OR(Housemates!$D$13="",Housemates!$D$13&gt;=$B394)),IF($Q394=0,1,INDEX(Bills!$AF$6:$AF$25,$Q394)),0))))</f>
        <v/>
      </c>
      <c r="Y394">
        <f>IF(OR($D394="",$B394="",Housemates!$B$14=""),0,IF($R394&gt;0,IF(L394="",0,IF(ISNUMBER(L394),L394,1)),IF($C394="Paying back",0,IF(AND(OR(Housemates!$C$14="",Housemates!$C$14&lt;=$B394),OR(Housemates!$D$14="",Housemates!$D$14&gt;=$B394)),IF($Q394=0,1,INDEX(Bills!$AG$6:$AG$25,$Q394)),0))))</f>
        <v/>
      </c>
      <c r="Z394">
        <f>IF(OR($D394="",$B394="",Housemates!$B$15=""),0,IF($R394&gt;0,IF(M394="",0,IF(ISNUMBER(M394),M394,1)),IF($C394="Paying back",0,IF(AND(OR(Housemates!$C$15="",Housemates!$C$15&lt;=$B394),OR(Housemates!$D$15="",Housemates!$D$15&gt;=$B394)),IF($Q394=0,1,INDEX(Bills!$AH$6:$AH$25,$Q394)),0))))</f>
        <v/>
      </c>
      <c r="AA394">
        <f>SUM(S394:Z394)</f>
        <v/>
      </c>
      <c r="AB394">
        <f>IF(AA394=0,0,D394*S394/AA394)</f>
        <v/>
      </c>
      <c r="AC394">
        <f>IF(AA394=0,0,D394*T394/AA394)</f>
        <v/>
      </c>
      <c r="AD394">
        <f>IF(AA394=0,0,D394*U394/AA394)</f>
        <v/>
      </c>
      <c r="AE394">
        <f>IF(AA394=0,0,D394*V394/AA394)</f>
        <v/>
      </c>
      <c r="AF394">
        <f>IF(AA394=0,0,D394*W394/AA394)</f>
        <v/>
      </c>
      <c r="AG394">
        <f>IF(AA394=0,0,D394*X394/AA394)</f>
        <v/>
      </c>
      <c r="AH394">
        <f>IF(AA394=0,0,D394*Y394/AA394)</f>
        <v/>
      </c>
      <c r="AI394">
        <f>IF(AA394=0,0,D394*Z394/AA394)</f>
        <v/>
      </c>
      <c r="AJ394">
        <f>IF(OR(C394="",B394=""),"",C394&amp;"|"&amp;(YEAR(B394)*100+MONTH(B394)))</f>
        <v/>
      </c>
    </row>
    <row r="395">
      <c r="A395" s="1" t="n"/>
      <c r="B395" s="23" t="n"/>
      <c r="C395" s="24" t="n"/>
      <c r="D395" s="25" t="n"/>
      <c r="E395" s="26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1">
        <f>IF(D395="","",IF(B395="","No date",IF(AND(C395="Paying back",R395=0),"To whom?",IF(AA395=0,"Nobody",IF(C395="Paying back","To "&amp;INDEX(Housemates!$B$8:$B$15,MATCH(MAX(S395:Z395),S395:Z395,0)),IF(R395&gt;0,IF(COUNTIF(S395:Z395,"&gt;0")=1,"1 person",COUNTIF(S395:Z395,"&gt;0")&amp;" people"),IF(Q395=0,"Everyone",INDEX(Bills!$Q$6:$Q$25,Q395))))))))</f>
        <v/>
      </c>
      <c r="O395" s="18">
        <f>IF(D395="","",IF(C395="Paying back","Paying back",IF(Q395=0,"Other",IF(INDEX(Bills!$C$6:$C$25,Q395)="","Other",INDEX(Bills!$C$6:$C$25,Q395)))))</f>
        <v/>
      </c>
      <c r="P395" s="1" t="n"/>
      <c r="Q395">
        <f>IF(C395="",0,IFERROR(MATCH(C395,Bills!$B$6:$B$25,0),0))</f>
        <v/>
      </c>
      <c r="R395">
        <f>COUNTA(F395:M395)</f>
        <v/>
      </c>
      <c r="S395">
        <f>IF(OR($D395="",$B395="",Housemates!$B$8=""),0,IF($R395&gt;0,IF(F395="",0,IF(ISNUMBER(F395),F395,1)),IF($C395="Paying back",0,IF(AND(OR(Housemates!$C$8="",Housemates!$C$8&lt;=$B395),OR(Housemates!$D$8="",Housemates!$D$8&gt;=$B395)),IF($Q395=0,1,INDEX(Bills!$AA$6:$AA$25,$Q395)),0))))</f>
        <v/>
      </c>
      <c r="T395">
        <f>IF(OR($D395="",$B395="",Housemates!$B$9=""),0,IF($R395&gt;0,IF(G395="",0,IF(ISNUMBER(G395),G395,1)),IF($C395="Paying back",0,IF(AND(OR(Housemates!$C$9="",Housemates!$C$9&lt;=$B395),OR(Housemates!$D$9="",Housemates!$D$9&gt;=$B395)),IF($Q395=0,1,INDEX(Bills!$AB$6:$AB$25,$Q395)),0))))</f>
        <v/>
      </c>
      <c r="U395">
        <f>IF(OR($D395="",$B395="",Housemates!$B$10=""),0,IF($R395&gt;0,IF(H395="",0,IF(ISNUMBER(H395),H395,1)),IF($C395="Paying back",0,IF(AND(OR(Housemates!$C$10="",Housemates!$C$10&lt;=$B395),OR(Housemates!$D$10="",Housemates!$D$10&gt;=$B395)),IF($Q395=0,1,INDEX(Bills!$AC$6:$AC$25,$Q395)),0))))</f>
        <v/>
      </c>
      <c r="V395">
        <f>IF(OR($D395="",$B395="",Housemates!$B$11=""),0,IF($R395&gt;0,IF(I395="",0,IF(ISNUMBER(I395),I395,1)),IF($C395="Paying back",0,IF(AND(OR(Housemates!$C$11="",Housemates!$C$11&lt;=$B395),OR(Housemates!$D$11="",Housemates!$D$11&gt;=$B395)),IF($Q395=0,1,INDEX(Bills!$AD$6:$AD$25,$Q395)),0))))</f>
        <v/>
      </c>
      <c r="W395">
        <f>IF(OR($D395="",$B395="",Housemates!$B$12=""),0,IF($R395&gt;0,IF(J395="",0,IF(ISNUMBER(J395),J395,1)),IF($C395="Paying back",0,IF(AND(OR(Housemates!$C$12="",Housemates!$C$12&lt;=$B395),OR(Housemates!$D$12="",Housemates!$D$12&gt;=$B395)),IF($Q395=0,1,INDEX(Bills!$AE$6:$AE$25,$Q395)),0))))</f>
        <v/>
      </c>
      <c r="X395">
        <f>IF(OR($D395="",$B395="",Housemates!$B$13=""),0,IF($R395&gt;0,IF(K395="",0,IF(ISNUMBER(K395),K395,1)),IF($C395="Paying back",0,IF(AND(OR(Housemates!$C$13="",Housemates!$C$13&lt;=$B395),OR(Housemates!$D$13="",Housemates!$D$13&gt;=$B395)),IF($Q395=0,1,INDEX(Bills!$AF$6:$AF$25,$Q395)),0))))</f>
        <v/>
      </c>
      <c r="Y395">
        <f>IF(OR($D395="",$B395="",Housemates!$B$14=""),0,IF($R395&gt;0,IF(L395="",0,IF(ISNUMBER(L395),L395,1)),IF($C395="Paying back",0,IF(AND(OR(Housemates!$C$14="",Housemates!$C$14&lt;=$B395),OR(Housemates!$D$14="",Housemates!$D$14&gt;=$B395)),IF($Q395=0,1,INDEX(Bills!$AG$6:$AG$25,$Q395)),0))))</f>
        <v/>
      </c>
      <c r="Z395">
        <f>IF(OR($D395="",$B395="",Housemates!$B$15=""),0,IF($R395&gt;0,IF(M395="",0,IF(ISNUMBER(M395),M395,1)),IF($C395="Paying back",0,IF(AND(OR(Housemates!$C$15="",Housemates!$C$15&lt;=$B395),OR(Housemates!$D$15="",Housemates!$D$15&gt;=$B395)),IF($Q395=0,1,INDEX(Bills!$AH$6:$AH$25,$Q395)),0))))</f>
        <v/>
      </c>
      <c r="AA395">
        <f>SUM(S395:Z395)</f>
        <v/>
      </c>
      <c r="AB395">
        <f>IF(AA395=0,0,D395*S395/AA395)</f>
        <v/>
      </c>
      <c r="AC395">
        <f>IF(AA395=0,0,D395*T395/AA395)</f>
        <v/>
      </c>
      <c r="AD395">
        <f>IF(AA395=0,0,D395*U395/AA395)</f>
        <v/>
      </c>
      <c r="AE395">
        <f>IF(AA395=0,0,D395*V395/AA395)</f>
        <v/>
      </c>
      <c r="AF395">
        <f>IF(AA395=0,0,D395*W395/AA395)</f>
        <v/>
      </c>
      <c r="AG395">
        <f>IF(AA395=0,0,D395*X395/AA395)</f>
        <v/>
      </c>
      <c r="AH395">
        <f>IF(AA395=0,0,D395*Y395/AA395)</f>
        <v/>
      </c>
      <c r="AI395">
        <f>IF(AA395=0,0,D395*Z395/AA395)</f>
        <v/>
      </c>
      <c r="AJ395">
        <f>IF(OR(C395="",B395=""),"",C395&amp;"|"&amp;(YEAR(B395)*100+MONTH(B395)))</f>
        <v/>
      </c>
    </row>
    <row r="396">
      <c r="A396" s="1" t="n"/>
      <c r="B396" s="23" t="n"/>
      <c r="C396" s="24" t="n"/>
      <c r="D396" s="25" t="n"/>
      <c r="E396" s="26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1">
        <f>IF(D396="","",IF(B396="","No date",IF(AND(C396="Paying back",R396=0),"To whom?",IF(AA396=0,"Nobody",IF(C396="Paying back","To "&amp;INDEX(Housemates!$B$8:$B$15,MATCH(MAX(S396:Z396),S396:Z396,0)),IF(R396&gt;0,IF(COUNTIF(S396:Z396,"&gt;0")=1,"1 person",COUNTIF(S396:Z396,"&gt;0")&amp;" people"),IF(Q396=0,"Everyone",INDEX(Bills!$Q$6:$Q$25,Q396))))))))</f>
        <v/>
      </c>
      <c r="O396" s="18">
        <f>IF(D396="","",IF(C396="Paying back","Paying back",IF(Q396=0,"Other",IF(INDEX(Bills!$C$6:$C$25,Q396)="","Other",INDEX(Bills!$C$6:$C$25,Q396)))))</f>
        <v/>
      </c>
      <c r="P396" s="1" t="n"/>
      <c r="Q396">
        <f>IF(C396="",0,IFERROR(MATCH(C396,Bills!$B$6:$B$25,0),0))</f>
        <v/>
      </c>
      <c r="R396">
        <f>COUNTA(F396:M396)</f>
        <v/>
      </c>
      <c r="S396">
        <f>IF(OR($D396="",$B396="",Housemates!$B$8=""),0,IF($R396&gt;0,IF(F396="",0,IF(ISNUMBER(F396),F396,1)),IF($C396="Paying back",0,IF(AND(OR(Housemates!$C$8="",Housemates!$C$8&lt;=$B396),OR(Housemates!$D$8="",Housemates!$D$8&gt;=$B396)),IF($Q396=0,1,INDEX(Bills!$AA$6:$AA$25,$Q396)),0))))</f>
        <v/>
      </c>
      <c r="T396">
        <f>IF(OR($D396="",$B396="",Housemates!$B$9=""),0,IF($R396&gt;0,IF(G396="",0,IF(ISNUMBER(G396),G396,1)),IF($C396="Paying back",0,IF(AND(OR(Housemates!$C$9="",Housemates!$C$9&lt;=$B396),OR(Housemates!$D$9="",Housemates!$D$9&gt;=$B396)),IF($Q396=0,1,INDEX(Bills!$AB$6:$AB$25,$Q396)),0))))</f>
        <v/>
      </c>
      <c r="U396">
        <f>IF(OR($D396="",$B396="",Housemates!$B$10=""),0,IF($R396&gt;0,IF(H396="",0,IF(ISNUMBER(H396),H396,1)),IF($C396="Paying back",0,IF(AND(OR(Housemates!$C$10="",Housemates!$C$10&lt;=$B396),OR(Housemates!$D$10="",Housemates!$D$10&gt;=$B396)),IF($Q396=0,1,INDEX(Bills!$AC$6:$AC$25,$Q396)),0))))</f>
        <v/>
      </c>
      <c r="V396">
        <f>IF(OR($D396="",$B396="",Housemates!$B$11=""),0,IF($R396&gt;0,IF(I396="",0,IF(ISNUMBER(I396),I396,1)),IF($C396="Paying back",0,IF(AND(OR(Housemates!$C$11="",Housemates!$C$11&lt;=$B396),OR(Housemates!$D$11="",Housemates!$D$11&gt;=$B396)),IF($Q396=0,1,INDEX(Bills!$AD$6:$AD$25,$Q396)),0))))</f>
        <v/>
      </c>
      <c r="W396">
        <f>IF(OR($D396="",$B396="",Housemates!$B$12=""),0,IF($R396&gt;0,IF(J396="",0,IF(ISNUMBER(J396),J396,1)),IF($C396="Paying back",0,IF(AND(OR(Housemates!$C$12="",Housemates!$C$12&lt;=$B396),OR(Housemates!$D$12="",Housemates!$D$12&gt;=$B396)),IF($Q396=0,1,INDEX(Bills!$AE$6:$AE$25,$Q396)),0))))</f>
        <v/>
      </c>
      <c r="X396">
        <f>IF(OR($D396="",$B396="",Housemates!$B$13=""),0,IF($R396&gt;0,IF(K396="",0,IF(ISNUMBER(K396),K396,1)),IF($C396="Paying back",0,IF(AND(OR(Housemates!$C$13="",Housemates!$C$13&lt;=$B396),OR(Housemates!$D$13="",Housemates!$D$13&gt;=$B396)),IF($Q396=0,1,INDEX(Bills!$AF$6:$AF$25,$Q396)),0))))</f>
        <v/>
      </c>
      <c r="Y396">
        <f>IF(OR($D396="",$B396="",Housemates!$B$14=""),0,IF($R396&gt;0,IF(L396="",0,IF(ISNUMBER(L396),L396,1)),IF($C396="Paying back",0,IF(AND(OR(Housemates!$C$14="",Housemates!$C$14&lt;=$B396),OR(Housemates!$D$14="",Housemates!$D$14&gt;=$B396)),IF($Q396=0,1,INDEX(Bills!$AG$6:$AG$25,$Q396)),0))))</f>
        <v/>
      </c>
      <c r="Z396">
        <f>IF(OR($D396="",$B396="",Housemates!$B$15=""),0,IF($R396&gt;0,IF(M396="",0,IF(ISNUMBER(M396),M396,1)),IF($C396="Paying back",0,IF(AND(OR(Housemates!$C$15="",Housemates!$C$15&lt;=$B396),OR(Housemates!$D$15="",Housemates!$D$15&gt;=$B396)),IF($Q396=0,1,INDEX(Bills!$AH$6:$AH$25,$Q396)),0))))</f>
        <v/>
      </c>
      <c r="AA396">
        <f>SUM(S396:Z396)</f>
        <v/>
      </c>
      <c r="AB396">
        <f>IF(AA396=0,0,D396*S396/AA396)</f>
        <v/>
      </c>
      <c r="AC396">
        <f>IF(AA396=0,0,D396*T396/AA396)</f>
        <v/>
      </c>
      <c r="AD396">
        <f>IF(AA396=0,0,D396*U396/AA396)</f>
        <v/>
      </c>
      <c r="AE396">
        <f>IF(AA396=0,0,D396*V396/AA396)</f>
        <v/>
      </c>
      <c r="AF396">
        <f>IF(AA396=0,0,D396*W396/AA396)</f>
        <v/>
      </c>
      <c r="AG396">
        <f>IF(AA396=0,0,D396*X396/AA396)</f>
        <v/>
      </c>
      <c r="AH396">
        <f>IF(AA396=0,0,D396*Y396/AA396)</f>
        <v/>
      </c>
      <c r="AI396">
        <f>IF(AA396=0,0,D396*Z396/AA396)</f>
        <v/>
      </c>
      <c r="AJ396">
        <f>IF(OR(C396="",B396=""),"",C396&amp;"|"&amp;(YEAR(B396)*100+MONTH(B396)))</f>
        <v/>
      </c>
    </row>
    <row r="397">
      <c r="A397" s="1" t="n"/>
      <c r="B397" s="23" t="n"/>
      <c r="C397" s="24" t="n"/>
      <c r="D397" s="25" t="n"/>
      <c r="E397" s="26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1">
        <f>IF(D397="","",IF(B397="","No date",IF(AND(C397="Paying back",R397=0),"To whom?",IF(AA397=0,"Nobody",IF(C397="Paying back","To "&amp;INDEX(Housemates!$B$8:$B$15,MATCH(MAX(S397:Z397),S397:Z397,0)),IF(R397&gt;0,IF(COUNTIF(S397:Z397,"&gt;0")=1,"1 person",COUNTIF(S397:Z397,"&gt;0")&amp;" people"),IF(Q397=0,"Everyone",INDEX(Bills!$Q$6:$Q$25,Q397))))))))</f>
        <v/>
      </c>
      <c r="O397" s="18">
        <f>IF(D397="","",IF(C397="Paying back","Paying back",IF(Q397=0,"Other",IF(INDEX(Bills!$C$6:$C$25,Q397)="","Other",INDEX(Bills!$C$6:$C$25,Q397)))))</f>
        <v/>
      </c>
      <c r="P397" s="1" t="n"/>
      <c r="Q397">
        <f>IF(C397="",0,IFERROR(MATCH(C397,Bills!$B$6:$B$25,0),0))</f>
        <v/>
      </c>
      <c r="R397">
        <f>COUNTA(F397:M397)</f>
        <v/>
      </c>
      <c r="S397">
        <f>IF(OR($D397="",$B397="",Housemates!$B$8=""),0,IF($R397&gt;0,IF(F397="",0,IF(ISNUMBER(F397),F397,1)),IF($C397="Paying back",0,IF(AND(OR(Housemates!$C$8="",Housemates!$C$8&lt;=$B397),OR(Housemates!$D$8="",Housemates!$D$8&gt;=$B397)),IF($Q397=0,1,INDEX(Bills!$AA$6:$AA$25,$Q397)),0))))</f>
        <v/>
      </c>
      <c r="T397">
        <f>IF(OR($D397="",$B397="",Housemates!$B$9=""),0,IF($R397&gt;0,IF(G397="",0,IF(ISNUMBER(G397),G397,1)),IF($C397="Paying back",0,IF(AND(OR(Housemates!$C$9="",Housemates!$C$9&lt;=$B397),OR(Housemates!$D$9="",Housemates!$D$9&gt;=$B397)),IF($Q397=0,1,INDEX(Bills!$AB$6:$AB$25,$Q397)),0))))</f>
        <v/>
      </c>
      <c r="U397">
        <f>IF(OR($D397="",$B397="",Housemates!$B$10=""),0,IF($R397&gt;0,IF(H397="",0,IF(ISNUMBER(H397),H397,1)),IF($C397="Paying back",0,IF(AND(OR(Housemates!$C$10="",Housemates!$C$10&lt;=$B397),OR(Housemates!$D$10="",Housemates!$D$10&gt;=$B397)),IF($Q397=0,1,INDEX(Bills!$AC$6:$AC$25,$Q397)),0))))</f>
        <v/>
      </c>
      <c r="V397">
        <f>IF(OR($D397="",$B397="",Housemates!$B$11=""),0,IF($R397&gt;0,IF(I397="",0,IF(ISNUMBER(I397),I397,1)),IF($C397="Paying back",0,IF(AND(OR(Housemates!$C$11="",Housemates!$C$11&lt;=$B397),OR(Housemates!$D$11="",Housemates!$D$11&gt;=$B397)),IF($Q397=0,1,INDEX(Bills!$AD$6:$AD$25,$Q397)),0))))</f>
        <v/>
      </c>
      <c r="W397">
        <f>IF(OR($D397="",$B397="",Housemates!$B$12=""),0,IF($R397&gt;0,IF(J397="",0,IF(ISNUMBER(J397),J397,1)),IF($C397="Paying back",0,IF(AND(OR(Housemates!$C$12="",Housemates!$C$12&lt;=$B397),OR(Housemates!$D$12="",Housemates!$D$12&gt;=$B397)),IF($Q397=0,1,INDEX(Bills!$AE$6:$AE$25,$Q397)),0))))</f>
        <v/>
      </c>
      <c r="X397">
        <f>IF(OR($D397="",$B397="",Housemates!$B$13=""),0,IF($R397&gt;0,IF(K397="",0,IF(ISNUMBER(K397),K397,1)),IF($C397="Paying back",0,IF(AND(OR(Housemates!$C$13="",Housemates!$C$13&lt;=$B397),OR(Housemates!$D$13="",Housemates!$D$13&gt;=$B397)),IF($Q397=0,1,INDEX(Bills!$AF$6:$AF$25,$Q397)),0))))</f>
        <v/>
      </c>
      <c r="Y397">
        <f>IF(OR($D397="",$B397="",Housemates!$B$14=""),0,IF($R397&gt;0,IF(L397="",0,IF(ISNUMBER(L397),L397,1)),IF($C397="Paying back",0,IF(AND(OR(Housemates!$C$14="",Housemates!$C$14&lt;=$B397),OR(Housemates!$D$14="",Housemates!$D$14&gt;=$B397)),IF($Q397=0,1,INDEX(Bills!$AG$6:$AG$25,$Q397)),0))))</f>
        <v/>
      </c>
      <c r="Z397">
        <f>IF(OR($D397="",$B397="",Housemates!$B$15=""),0,IF($R397&gt;0,IF(M397="",0,IF(ISNUMBER(M397),M397,1)),IF($C397="Paying back",0,IF(AND(OR(Housemates!$C$15="",Housemates!$C$15&lt;=$B397),OR(Housemates!$D$15="",Housemates!$D$15&gt;=$B397)),IF($Q397=0,1,INDEX(Bills!$AH$6:$AH$25,$Q397)),0))))</f>
        <v/>
      </c>
      <c r="AA397">
        <f>SUM(S397:Z397)</f>
        <v/>
      </c>
      <c r="AB397">
        <f>IF(AA397=0,0,D397*S397/AA397)</f>
        <v/>
      </c>
      <c r="AC397">
        <f>IF(AA397=0,0,D397*T397/AA397)</f>
        <v/>
      </c>
      <c r="AD397">
        <f>IF(AA397=0,0,D397*U397/AA397)</f>
        <v/>
      </c>
      <c r="AE397">
        <f>IF(AA397=0,0,D397*V397/AA397)</f>
        <v/>
      </c>
      <c r="AF397">
        <f>IF(AA397=0,0,D397*W397/AA397)</f>
        <v/>
      </c>
      <c r="AG397">
        <f>IF(AA397=0,0,D397*X397/AA397)</f>
        <v/>
      </c>
      <c r="AH397">
        <f>IF(AA397=0,0,D397*Y397/AA397)</f>
        <v/>
      </c>
      <c r="AI397">
        <f>IF(AA397=0,0,D397*Z397/AA397)</f>
        <v/>
      </c>
      <c r="AJ397">
        <f>IF(OR(C397="",B397=""),"",C397&amp;"|"&amp;(YEAR(B397)*100+MONTH(B397)))</f>
        <v/>
      </c>
    </row>
    <row r="398">
      <c r="A398" s="1" t="n"/>
      <c r="B398" s="23" t="n"/>
      <c r="C398" s="24" t="n"/>
      <c r="D398" s="25" t="n"/>
      <c r="E398" s="26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1">
        <f>IF(D398="","",IF(B398="","No date",IF(AND(C398="Paying back",R398=0),"To whom?",IF(AA398=0,"Nobody",IF(C398="Paying back","To "&amp;INDEX(Housemates!$B$8:$B$15,MATCH(MAX(S398:Z398),S398:Z398,0)),IF(R398&gt;0,IF(COUNTIF(S398:Z398,"&gt;0")=1,"1 person",COUNTIF(S398:Z398,"&gt;0")&amp;" people"),IF(Q398=0,"Everyone",INDEX(Bills!$Q$6:$Q$25,Q398))))))))</f>
        <v/>
      </c>
      <c r="O398" s="18">
        <f>IF(D398="","",IF(C398="Paying back","Paying back",IF(Q398=0,"Other",IF(INDEX(Bills!$C$6:$C$25,Q398)="","Other",INDEX(Bills!$C$6:$C$25,Q398)))))</f>
        <v/>
      </c>
      <c r="P398" s="1" t="n"/>
      <c r="Q398">
        <f>IF(C398="",0,IFERROR(MATCH(C398,Bills!$B$6:$B$25,0),0))</f>
        <v/>
      </c>
      <c r="R398">
        <f>COUNTA(F398:M398)</f>
        <v/>
      </c>
      <c r="S398">
        <f>IF(OR($D398="",$B398="",Housemates!$B$8=""),0,IF($R398&gt;0,IF(F398="",0,IF(ISNUMBER(F398),F398,1)),IF($C398="Paying back",0,IF(AND(OR(Housemates!$C$8="",Housemates!$C$8&lt;=$B398),OR(Housemates!$D$8="",Housemates!$D$8&gt;=$B398)),IF($Q398=0,1,INDEX(Bills!$AA$6:$AA$25,$Q398)),0))))</f>
        <v/>
      </c>
      <c r="T398">
        <f>IF(OR($D398="",$B398="",Housemates!$B$9=""),0,IF($R398&gt;0,IF(G398="",0,IF(ISNUMBER(G398),G398,1)),IF($C398="Paying back",0,IF(AND(OR(Housemates!$C$9="",Housemates!$C$9&lt;=$B398),OR(Housemates!$D$9="",Housemates!$D$9&gt;=$B398)),IF($Q398=0,1,INDEX(Bills!$AB$6:$AB$25,$Q398)),0))))</f>
        <v/>
      </c>
      <c r="U398">
        <f>IF(OR($D398="",$B398="",Housemates!$B$10=""),0,IF($R398&gt;0,IF(H398="",0,IF(ISNUMBER(H398),H398,1)),IF($C398="Paying back",0,IF(AND(OR(Housemates!$C$10="",Housemates!$C$10&lt;=$B398),OR(Housemates!$D$10="",Housemates!$D$10&gt;=$B398)),IF($Q398=0,1,INDEX(Bills!$AC$6:$AC$25,$Q398)),0))))</f>
        <v/>
      </c>
      <c r="V398">
        <f>IF(OR($D398="",$B398="",Housemates!$B$11=""),0,IF($R398&gt;0,IF(I398="",0,IF(ISNUMBER(I398),I398,1)),IF($C398="Paying back",0,IF(AND(OR(Housemates!$C$11="",Housemates!$C$11&lt;=$B398),OR(Housemates!$D$11="",Housemates!$D$11&gt;=$B398)),IF($Q398=0,1,INDEX(Bills!$AD$6:$AD$25,$Q398)),0))))</f>
        <v/>
      </c>
      <c r="W398">
        <f>IF(OR($D398="",$B398="",Housemates!$B$12=""),0,IF($R398&gt;0,IF(J398="",0,IF(ISNUMBER(J398),J398,1)),IF($C398="Paying back",0,IF(AND(OR(Housemates!$C$12="",Housemates!$C$12&lt;=$B398),OR(Housemates!$D$12="",Housemates!$D$12&gt;=$B398)),IF($Q398=0,1,INDEX(Bills!$AE$6:$AE$25,$Q398)),0))))</f>
        <v/>
      </c>
      <c r="X398">
        <f>IF(OR($D398="",$B398="",Housemates!$B$13=""),0,IF($R398&gt;0,IF(K398="",0,IF(ISNUMBER(K398),K398,1)),IF($C398="Paying back",0,IF(AND(OR(Housemates!$C$13="",Housemates!$C$13&lt;=$B398),OR(Housemates!$D$13="",Housemates!$D$13&gt;=$B398)),IF($Q398=0,1,INDEX(Bills!$AF$6:$AF$25,$Q398)),0))))</f>
        <v/>
      </c>
      <c r="Y398">
        <f>IF(OR($D398="",$B398="",Housemates!$B$14=""),0,IF($R398&gt;0,IF(L398="",0,IF(ISNUMBER(L398),L398,1)),IF($C398="Paying back",0,IF(AND(OR(Housemates!$C$14="",Housemates!$C$14&lt;=$B398),OR(Housemates!$D$14="",Housemates!$D$14&gt;=$B398)),IF($Q398=0,1,INDEX(Bills!$AG$6:$AG$25,$Q398)),0))))</f>
        <v/>
      </c>
      <c r="Z398">
        <f>IF(OR($D398="",$B398="",Housemates!$B$15=""),0,IF($R398&gt;0,IF(M398="",0,IF(ISNUMBER(M398),M398,1)),IF($C398="Paying back",0,IF(AND(OR(Housemates!$C$15="",Housemates!$C$15&lt;=$B398),OR(Housemates!$D$15="",Housemates!$D$15&gt;=$B398)),IF($Q398=0,1,INDEX(Bills!$AH$6:$AH$25,$Q398)),0))))</f>
        <v/>
      </c>
      <c r="AA398">
        <f>SUM(S398:Z398)</f>
        <v/>
      </c>
      <c r="AB398">
        <f>IF(AA398=0,0,D398*S398/AA398)</f>
        <v/>
      </c>
      <c r="AC398">
        <f>IF(AA398=0,0,D398*T398/AA398)</f>
        <v/>
      </c>
      <c r="AD398">
        <f>IF(AA398=0,0,D398*U398/AA398)</f>
        <v/>
      </c>
      <c r="AE398">
        <f>IF(AA398=0,0,D398*V398/AA398)</f>
        <v/>
      </c>
      <c r="AF398">
        <f>IF(AA398=0,0,D398*W398/AA398)</f>
        <v/>
      </c>
      <c r="AG398">
        <f>IF(AA398=0,0,D398*X398/AA398)</f>
        <v/>
      </c>
      <c r="AH398">
        <f>IF(AA398=0,0,D398*Y398/AA398)</f>
        <v/>
      </c>
      <c r="AI398">
        <f>IF(AA398=0,0,D398*Z398/AA398)</f>
        <v/>
      </c>
      <c r="AJ398">
        <f>IF(OR(C398="",B398=""),"",C398&amp;"|"&amp;(YEAR(B398)*100+MONTH(B398)))</f>
        <v/>
      </c>
    </row>
    <row r="399">
      <c r="A399" s="1" t="n"/>
      <c r="B399" s="23" t="n"/>
      <c r="C399" s="24" t="n"/>
      <c r="D399" s="25" t="n"/>
      <c r="E399" s="26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1">
        <f>IF(D399="","",IF(B399="","No date",IF(AND(C399="Paying back",R399=0),"To whom?",IF(AA399=0,"Nobody",IF(C399="Paying back","To "&amp;INDEX(Housemates!$B$8:$B$15,MATCH(MAX(S399:Z399),S399:Z399,0)),IF(R399&gt;0,IF(COUNTIF(S399:Z399,"&gt;0")=1,"1 person",COUNTIF(S399:Z399,"&gt;0")&amp;" people"),IF(Q399=0,"Everyone",INDEX(Bills!$Q$6:$Q$25,Q399))))))))</f>
        <v/>
      </c>
      <c r="O399" s="18">
        <f>IF(D399="","",IF(C399="Paying back","Paying back",IF(Q399=0,"Other",IF(INDEX(Bills!$C$6:$C$25,Q399)="","Other",INDEX(Bills!$C$6:$C$25,Q399)))))</f>
        <v/>
      </c>
      <c r="P399" s="1" t="n"/>
      <c r="Q399">
        <f>IF(C399="",0,IFERROR(MATCH(C399,Bills!$B$6:$B$25,0),0))</f>
        <v/>
      </c>
      <c r="R399">
        <f>COUNTA(F399:M399)</f>
        <v/>
      </c>
      <c r="S399">
        <f>IF(OR($D399="",$B399="",Housemates!$B$8=""),0,IF($R399&gt;0,IF(F399="",0,IF(ISNUMBER(F399),F399,1)),IF($C399="Paying back",0,IF(AND(OR(Housemates!$C$8="",Housemates!$C$8&lt;=$B399),OR(Housemates!$D$8="",Housemates!$D$8&gt;=$B399)),IF($Q399=0,1,INDEX(Bills!$AA$6:$AA$25,$Q399)),0))))</f>
        <v/>
      </c>
      <c r="T399">
        <f>IF(OR($D399="",$B399="",Housemates!$B$9=""),0,IF($R399&gt;0,IF(G399="",0,IF(ISNUMBER(G399),G399,1)),IF($C399="Paying back",0,IF(AND(OR(Housemates!$C$9="",Housemates!$C$9&lt;=$B399),OR(Housemates!$D$9="",Housemates!$D$9&gt;=$B399)),IF($Q399=0,1,INDEX(Bills!$AB$6:$AB$25,$Q399)),0))))</f>
        <v/>
      </c>
      <c r="U399">
        <f>IF(OR($D399="",$B399="",Housemates!$B$10=""),0,IF($R399&gt;0,IF(H399="",0,IF(ISNUMBER(H399),H399,1)),IF($C399="Paying back",0,IF(AND(OR(Housemates!$C$10="",Housemates!$C$10&lt;=$B399),OR(Housemates!$D$10="",Housemates!$D$10&gt;=$B399)),IF($Q399=0,1,INDEX(Bills!$AC$6:$AC$25,$Q399)),0))))</f>
        <v/>
      </c>
      <c r="V399">
        <f>IF(OR($D399="",$B399="",Housemates!$B$11=""),0,IF($R399&gt;0,IF(I399="",0,IF(ISNUMBER(I399),I399,1)),IF($C399="Paying back",0,IF(AND(OR(Housemates!$C$11="",Housemates!$C$11&lt;=$B399),OR(Housemates!$D$11="",Housemates!$D$11&gt;=$B399)),IF($Q399=0,1,INDEX(Bills!$AD$6:$AD$25,$Q399)),0))))</f>
        <v/>
      </c>
      <c r="W399">
        <f>IF(OR($D399="",$B399="",Housemates!$B$12=""),0,IF($R399&gt;0,IF(J399="",0,IF(ISNUMBER(J399),J399,1)),IF($C399="Paying back",0,IF(AND(OR(Housemates!$C$12="",Housemates!$C$12&lt;=$B399),OR(Housemates!$D$12="",Housemates!$D$12&gt;=$B399)),IF($Q399=0,1,INDEX(Bills!$AE$6:$AE$25,$Q399)),0))))</f>
        <v/>
      </c>
      <c r="X399">
        <f>IF(OR($D399="",$B399="",Housemates!$B$13=""),0,IF($R399&gt;0,IF(K399="",0,IF(ISNUMBER(K399),K399,1)),IF($C399="Paying back",0,IF(AND(OR(Housemates!$C$13="",Housemates!$C$13&lt;=$B399),OR(Housemates!$D$13="",Housemates!$D$13&gt;=$B399)),IF($Q399=0,1,INDEX(Bills!$AF$6:$AF$25,$Q399)),0))))</f>
        <v/>
      </c>
      <c r="Y399">
        <f>IF(OR($D399="",$B399="",Housemates!$B$14=""),0,IF($R399&gt;0,IF(L399="",0,IF(ISNUMBER(L399),L399,1)),IF($C399="Paying back",0,IF(AND(OR(Housemates!$C$14="",Housemates!$C$14&lt;=$B399),OR(Housemates!$D$14="",Housemates!$D$14&gt;=$B399)),IF($Q399=0,1,INDEX(Bills!$AG$6:$AG$25,$Q399)),0))))</f>
        <v/>
      </c>
      <c r="Z399">
        <f>IF(OR($D399="",$B399="",Housemates!$B$15=""),0,IF($R399&gt;0,IF(M399="",0,IF(ISNUMBER(M399),M399,1)),IF($C399="Paying back",0,IF(AND(OR(Housemates!$C$15="",Housemates!$C$15&lt;=$B399),OR(Housemates!$D$15="",Housemates!$D$15&gt;=$B399)),IF($Q399=0,1,INDEX(Bills!$AH$6:$AH$25,$Q399)),0))))</f>
        <v/>
      </c>
      <c r="AA399">
        <f>SUM(S399:Z399)</f>
        <v/>
      </c>
      <c r="AB399">
        <f>IF(AA399=0,0,D399*S399/AA399)</f>
        <v/>
      </c>
      <c r="AC399">
        <f>IF(AA399=0,0,D399*T399/AA399)</f>
        <v/>
      </c>
      <c r="AD399">
        <f>IF(AA399=0,0,D399*U399/AA399)</f>
        <v/>
      </c>
      <c r="AE399">
        <f>IF(AA399=0,0,D399*V399/AA399)</f>
        <v/>
      </c>
      <c r="AF399">
        <f>IF(AA399=0,0,D399*W399/AA399)</f>
        <v/>
      </c>
      <c r="AG399">
        <f>IF(AA399=0,0,D399*X399/AA399)</f>
        <v/>
      </c>
      <c r="AH399">
        <f>IF(AA399=0,0,D399*Y399/AA399)</f>
        <v/>
      </c>
      <c r="AI399">
        <f>IF(AA399=0,0,D399*Z399/AA399)</f>
        <v/>
      </c>
      <c r="AJ399">
        <f>IF(OR(C399="",B399=""),"",C399&amp;"|"&amp;(YEAR(B399)*100+MONTH(B399)))</f>
        <v/>
      </c>
    </row>
    <row r="400">
      <c r="A400" s="1" t="n"/>
      <c r="B400" s="23" t="n"/>
      <c r="C400" s="24" t="n"/>
      <c r="D400" s="25" t="n"/>
      <c r="E400" s="26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1">
        <f>IF(D400="","",IF(B400="","No date",IF(AND(C400="Paying back",R400=0),"To whom?",IF(AA400=0,"Nobody",IF(C400="Paying back","To "&amp;INDEX(Housemates!$B$8:$B$15,MATCH(MAX(S400:Z400),S400:Z400,0)),IF(R400&gt;0,IF(COUNTIF(S400:Z400,"&gt;0")=1,"1 person",COUNTIF(S400:Z400,"&gt;0")&amp;" people"),IF(Q400=0,"Everyone",INDEX(Bills!$Q$6:$Q$25,Q400))))))))</f>
        <v/>
      </c>
      <c r="O400" s="18">
        <f>IF(D400="","",IF(C400="Paying back","Paying back",IF(Q400=0,"Other",IF(INDEX(Bills!$C$6:$C$25,Q400)="","Other",INDEX(Bills!$C$6:$C$25,Q400)))))</f>
        <v/>
      </c>
      <c r="P400" s="1" t="n"/>
      <c r="Q400">
        <f>IF(C400="",0,IFERROR(MATCH(C400,Bills!$B$6:$B$25,0),0))</f>
        <v/>
      </c>
      <c r="R400">
        <f>COUNTA(F400:M400)</f>
        <v/>
      </c>
      <c r="S400">
        <f>IF(OR($D400="",$B400="",Housemates!$B$8=""),0,IF($R400&gt;0,IF(F400="",0,IF(ISNUMBER(F400),F400,1)),IF($C400="Paying back",0,IF(AND(OR(Housemates!$C$8="",Housemates!$C$8&lt;=$B400),OR(Housemates!$D$8="",Housemates!$D$8&gt;=$B400)),IF($Q400=0,1,INDEX(Bills!$AA$6:$AA$25,$Q400)),0))))</f>
        <v/>
      </c>
      <c r="T400">
        <f>IF(OR($D400="",$B400="",Housemates!$B$9=""),0,IF($R400&gt;0,IF(G400="",0,IF(ISNUMBER(G400),G400,1)),IF($C400="Paying back",0,IF(AND(OR(Housemates!$C$9="",Housemates!$C$9&lt;=$B400),OR(Housemates!$D$9="",Housemates!$D$9&gt;=$B400)),IF($Q400=0,1,INDEX(Bills!$AB$6:$AB$25,$Q400)),0))))</f>
        <v/>
      </c>
      <c r="U400">
        <f>IF(OR($D400="",$B400="",Housemates!$B$10=""),0,IF($R400&gt;0,IF(H400="",0,IF(ISNUMBER(H400),H400,1)),IF($C400="Paying back",0,IF(AND(OR(Housemates!$C$10="",Housemates!$C$10&lt;=$B400),OR(Housemates!$D$10="",Housemates!$D$10&gt;=$B400)),IF($Q400=0,1,INDEX(Bills!$AC$6:$AC$25,$Q400)),0))))</f>
        <v/>
      </c>
      <c r="V400">
        <f>IF(OR($D400="",$B400="",Housemates!$B$11=""),0,IF($R400&gt;0,IF(I400="",0,IF(ISNUMBER(I400),I400,1)),IF($C400="Paying back",0,IF(AND(OR(Housemates!$C$11="",Housemates!$C$11&lt;=$B400),OR(Housemates!$D$11="",Housemates!$D$11&gt;=$B400)),IF($Q400=0,1,INDEX(Bills!$AD$6:$AD$25,$Q400)),0))))</f>
        <v/>
      </c>
      <c r="W400">
        <f>IF(OR($D400="",$B400="",Housemates!$B$12=""),0,IF($R400&gt;0,IF(J400="",0,IF(ISNUMBER(J400),J400,1)),IF($C400="Paying back",0,IF(AND(OR(Housemates!$C$12="",Housemates!$C$12&lt;=$B400),OR(Housemates!$D$12="",Housemates!$D$12&gt;=$B400)),IF($Q400=0,1,INDEX(Bills!$AE$6:$AE$25,$Q400)),0))))</f>
        <v/>
      </c>
      <c r="X400">
        <f>IF(OR($D400="",$B400="",Housemates!$B$13=""),0,IF($R400&gt;0,IF(K400="",0,IF(ISNUMBER(K400),K400,1)),IF($C400="Paying back",0,IF(AND(OR(Housemates!$C$13="",Housemates!$C$13&lt;=$B400),OR(Housemates!$D$13="",Housemates!$D$13&gt;=$B400)),IF($Q400=0,1,INDEX(Bills!$AF$6:$AF$25,$Q400)),0))))</f>
        <v/>
      </c>
      <c r="Y400">
        <f>IF(OR($D400="",$B400="",Housemates!$B$14=""),0,IF($R400&gt;0,IF(L400="",0,IF(ISNUMBER(L400),L400,1)),IF($C400="Paying back",0,IF(AND(OR(Housemates!$C$14="",Housemates!$C$14&lt;=$B400),OR(Housemates!$D$14="",Housemates!$D$14&gt;=$B400)),IF($Q400=0,1,INDEX(Bills!$AG$6:$AG$25,$Q400)),0))))</f>
        <v/>
      </c>
      <c r="Z400">
        <f>IF(OR($D400="",$B400="",Housemates!$B$15=""),0,IF($R400&gt;0,IF(M400="",0,IF(ISNUMBER(M400),M400,1)),IF($C400="Paying back",0,IF(AND(OR(Housemates!$C$15="",Housemates!$C$15&lt;=$B400),OR(Housemates!$D$15="",Housemates!$D$15&gt;=$B400)),IF($Q400=0,1,INDEX(Bills!$AH$6:$AH$25,$Q400)),0))))</f>
        <v/>
      </c>
      <c r="AA400">
        <f>SUM(S400:Z400)</f>
        <v/>
      </c>
      <c r="AB400">
        <f>IF(AA400=0,0,D400*S400/AA400)</f>
        <v/>
      </c>
      <c r="AC400">
        <f>IF(AA400=0,0,D400*T400/AA400)</f>
        <v/>
      </c>
      <c r="AD400">
        <f>IF(AA400=0,0,D400*U400/AA400)</f>
        <v/>
      </c>
      <c r="AE400">
        <f>IF(AA400=0,0,D400*V400/AA400)</f>
        <v/>
      </c>
      <c r="AF400">
        <f>IF(AA400=0,0,D400*W400/AA400)</f>
        <v/>
      </c>
      <c r="AG400">
        <f>IF(AA400=0,0,D400*X400/AA400)</f>
        <v/>
      </c>
      <c r="AH400">
        <f>IF(AA400=0,0,D400*Y400/AA400)</f>
        <v/>
      </c>
      <c r="AI400">
        <f>IF(AA400=0,0,D400*Z400/AA400)</f>
        <v/>
      </c>
      <c r="AJ400">
        <f>IF(OR(C400="",B400=""),"",C400&amp;"|"&amp;(YEAR(B400)*100+MONTH(B400)))</f>
        <v/>
      </c>
    </row>
    <row r="401">
      <c r="A401" s="1" t="n"/>
      <c r="B401" s="23" t="n"/>
      <c r="C401" s="24" t="n"/>
      <c r="D401" s="25" t="n"/>
      <c r="E401" s="26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1">
        <f>IF(D401="","",IF(B401="","No date",IF(AND(C401="Paying back",R401=0),"To whom?",IF(AA401=0,"Nobody",IF(C401="Paying back","To "&amp;INDEX(Housemates!$B$8:$B$15,MATCH(MAX(S401:Z401),S401:Z401,0)),IF(R401&gt;0,IF(COUNTIF(S401:Z401,"&gt;0")=1,"1 person",COUNTIF(S401:Z401,"&gt;0")&amp;" people"),IF(Q401=0,"Everyone",INDEX(Bills!$Q$6:$Q$25,Q401))))))))</f>
        <v/>
      </c>
      <c r="O401" s="18">
        <f>IF(D401="","",IF(C401="Paying back","Paying back",IF(Q401=0,"Other",IF(INDEX(Bills!$C$6:$C$25,Q401)="","Other",INDEX(Bills!$C$6:$C$25,Q401)))))</f>
        <v/>
      </c>
      <c r="P401" s="1" t="n"/>
      <c r="Q401">
        <f>IF(C401="",0,IFERROR(MATCH(C401,Bills!$B$6:$B$25,0),0))</f>
        <v/>
      </c>
      <c r="R401">
        <f>COUNTA(F401:M401)</f>
        <v/>
      </c>
      <c r="S401">
        <f>IF(OR($D401="",$B401="",Housemates!$B$8=""),0,IF($R401&gt;0,IF(F401="",0,IF(ISNUMBER(F401),F401,1)),IF($C401="Paying back",0,IF(AND(OR(Housemates!$C$8="",Housemates!$C$8&lt;=$B401),OR(Housemates!$D$8="",Housemates!$D$8&gt;=$B401)),IF($Q401=0,1,INDEX(Bills!$AA$6:$AA$25,$Q401)),0))))</f>
        <v/>
      </c>
      <c r="T401">
        <f>IF(OR($D401="",$B401="",Housemates!$B$9=""),0,IF($R401&gt;0,IF(G401="",0,IF(ISNUMBER(G401),G401,1)),IF($C401="Paying back",0,IF(AND(OR(Housemates!$C$9="",Housemates!$C$9&lt;=$B401),OR(Housemates!$D$9="",Housemates!$D$9&gt;=$B401)),IF($Q401=0,1,INDEX(Bills!$AB$6:$AB$25,$Q401)),0))))</f>
        <v/>
      </c>
      <c r="U401">
        <f>IF(OR($D401="",$B401="",Housemates!$B$10=""),0,IF($R401&gt;0,IF(H401="",0,IF(ISNUMBER(H401),H401,1)),IF($C401="Paying back",0,IF(AND(OR(Housemates!$C$10="",Housemates!$C$10&lt;=$B401),OR(Housemates!$D$10="",Housemates!$D$10&gt;=$B401)),IF($Q401=0,1,INDEX(Bills!$AC$6:$AC$25,$Q401)),0))))</f>
        <v/>
      </c>
      <c r="V401">
        <f>IF(OR($D401="",$B401="",Housemates!$B$11=""),0,IF($R401&gt;0,IF(I401="",0,IF(ISNUMBER(I401),I401,1)),IF($C401="Paying back",0,IF(AND(OR(Housemates!$C$11="",Housemates!$C$11&lt;=$B401),OR(Housemates!$D$11="",Housemates!$D$11&gt;=$B401)),IF($Q401=0,1,INDEX(Bills!$AD$6:$AD$25,$Q401)),0))))</f>
        <v/>
      </c>
      <c r="W401">
        <f>IF(OR($D401="",$B401="",Housemates!$B$12=""),0,IF($R401&gt;0,IF(J401="",0,IF(ISNUMBER(J401),J401,1)),IF($C401="Paying back",0,IF(AND(OR(Housemates!$C$12="",Housemates!$C$12&lt;=$B401),OR(Housemates!$D$12="",Housemates!$D$12&gt;=$B401)),IF($Q401=0,1,INDEX(Bills!$AE$6:$AE$25,$Q401)),0))))</f>
        <v/>
      </c>
      <c r="X401">
        <f>IF(OR($D401="",$B401="",Housemates!$B$13=""),0,IF($R401&gt;0,IF(K401="",0,IF(ISNUMBER(K401),K401,1)),IF($C401="Paying back",0,IF(AND(OR(Housemates!$C$13="",Housemates!$C$13&lt;=$B401),OR(Housemates!$D$13="",Housemates!$D$13&gt;=$B401)),IF($Q401=0,1,INDEX(Bills!$AF$6:$AF$25,$Q401)),0))))</f>
        <v/>
      </c>
      <c r="Y401">
        <f>IF(OR($D401="",$B401="",Housemates!$B$14=""),0,IF($R401&gt;0,IF(L401="",0,IF(ISNUMBER(L401),L401,1)),IF($C401="Paying back",0,IF(AND(OR(Housemates!$C$14="",Housemates!$C$14&lt;=$B401),OR(Housemates!$D$14="",Housemates!$D$14&gt;=$B401)),IF($Q401=0,1,INDEX(Bills!$AG$6:$AG$25,$Q401)),0))))</f>
        <v/>
      </c>
      <c r="Z401">
        <f>IF(OR($D401="",$B401="",Housemates!$B$15=""),0,IF($R401&gt;0,IF(M401="",0,IF(ISNUMBER(M401),M401,1)),IF($C401="Paying back",0,IF(AND(OR(Housemates!$C$15="",Housemates!$C$15&lt;=$B401),OR(Housemates!$D$15="",Housemates!$D$15&gt;=$B401)),IF($Q401=0,1,INDEX(Bills!$AH$6:$AH$25,$Q401)),0))))</f>
        <v/>
      </c>
      <c r="AA401">
        <f>SUM(S401:Z401)</f>
        <v/>
      </c>
      <c r="AB401">
        <f>IF(AA401=0,0,D401*S401/AA401)</f>
        <v/>
      </c>
      <c r="AC401">
        <f>IF(AA401=0,0,D401*T401/AA401)</f>
        <v/>
      </c>
      <c r="AD401">
        <f>IF(AA401=0,0,D401*U401/AA401)</f>
        <v/>
      </c>
      <c r="AE401">
        <f>IF(AA401=0,0,D401*V401/AA401)</f>
        <v/>
      </c>
      <c r="AF401">
        <f>IF(AA401=0,0,D401*W401/AA401)</f>
        <v/>
      </c>
      <c r="AG401">
        <f>IF(AA401=0,0,D401*X401/AA401)</f>
        <v/>
      </c>
      <c r="AH401">
        <f>IF(AA401=0,0,D401*Y401/AA401)</f>
        <v/>
      </c>
      <c r="AI401">
        <f>IF(AA401=0,0,D401*Z401/AA401)</f>
        <v/>
      </c>
      <c r="AJ401">
        <f>IF(OR(C401="",B401=""),"",C401&amp;"|"&amp;(YEAR(B401)*100+MONTH(B401)))</f>
        <v/>
      </c>
    </row>
    <row r="402">
      <c r="A402" s="1" t="n"/>
      <c r="B402" s="23" t="n"/>
      <c r="C402" s="24" t="n"/>
      <c r="D402" s="25" t="n"/>
      <c r="E402" s="26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1">
        <f>IF(D402="","",IF(B402="","No date",IF(AND(C402="Paying back",R402=0),"To whom?",IF(AA402=0,"Nobody",IF(C402="Paying back","To "&amp;INDEX(Housemates!$B$8:$B$15,MATCH(MAX(S402:Z402),S402:Z402,0)),IF(R402&gt;0,IF(COUNTIF(S402:Z402,"&gt;0")=1,"1 person",COUNTIF(S402:Z402,"&gt;0")&amp;" people"),IF(Q402=0,"Everyone",INDEX(Bills!$Q$6:$Q$25,Q402))))))))</f>
        <v/>
      </c>
      <c r="O402" s="18">
        <f>IF(D402="","",IF(C402="Paying back","Paying back",IF(Q402=0,"Other",IF(INDEX(Bills!$C$6:$C$25,Q402)="","Other",INDEX(Bills!$C$6:$C$25,Q402)))))</f>
        <v/>
      </c>
      <c r="P402" s="1" t="n"/>
      <c r="Q402">
        <f>IF(C402="",0,IFERROR(MATCH(C402,Bills!$B$6:$B$25,0),0))</f>
        <v/>
      </c>
      <c r="R402">
        <f>COUNTA(F402:M402)</f>
        <v/>
      </c>
      <c r="S402">
        <f>IF(OR($D402="",$B402="",Housemates!$B$8=""),0,IF($R402&gt;0,IF(F402="",0,IF(ISNUMBER(F402),F402,1)),IF($C402="Paying back",0,IF(AND(OR(Housemates!$C$8="",Housemates!$C$8&lt;=$B402),OR(Housemates!$D$8="",Housemates!$D$8&gt;=$B402)),IF($Q402=0,1,INDEX(Bills!$AA$6:$AA$25,$Q402)),0))))</f>
        <v/>
      </c>
      <c r="T402">
        <f>IF(OR($D402="",$B402="",Housemates!$B$9=""),0,IF($R402&gt;0,IF(G402="",0,IF(ISNUMBER(G402),G402,1)),IF($C402="Paying back",0,IF(AND(OR(Housemates!$C$9="",Housemates!$C$9&lt;=$B402),OR(Housemates!$D$9="",Housemates!$D$9&gt;=$B402)),IF($Q402=0,1,INDEX(Bills!$AB$6:$AB$25,$Q402)),0))))</f>
        <v/>
      </c>
      <c r="U402">
        <f>IF(OR($D402="",$B402="",Housemates!$B$10=""),0,IF($R402&gt;0,IF(H402="",0,IF(ISNUMBER(H402),H402,1)),IF($C402="Paying back",0,IF(AND(OR(Housemates!$C$10="",Housemates!$C$10&lt;=$B402),OR(Housemates!$D$10="",Housemates!$D$10&gt;=$B402)),IF($Q402=0,1,INDEX(Bills!$AC$6:$AC$25,$Q402)),0))))</f>
        <v/>
      </c>
      <c r="V402">
        <f>IF(OR($D402="",$B402="",Housemates!$B$11=""),0,IF($R402&gt;0,IF(I402="",0,IF(ISNUMBER(I402),I402,1)),IF($C402="Paying back",0,IF(AND(OR(Housemates!$C$11="",Housemates!$C$11&lt;=$B402),OR(Housemates!$D$11="",Housemates!$D$11&gt;=$B402)),IF($Q402=0,1,INDEX(Bills!$AD$6:$AD$25,$Q402)),0))))</f>
        <v/>
      </c>
      <c r="W402">
        <f>IF(OR($D402="",$B402="",Housemates!$B$12=""),0,IF($R402&gt;0,IF(J402="",0,IF(ISNUMBER(J402),J402,1)),IF($C402="Paying back",0,IF(AND(OR(Housemates!$C$12="",Housemates!$C$12&lt;=$B402),OR(Housemates!$D$12="",Housemates!$D$12&gt;=$B402)),IF($Q402=0,1,INDEX(Bills!$AE$6:$AE$25,$Q402)),0))))</f>
        <v/>
      </c>
      <c r="X402">
        <f>IF(OR($D402="",$B402="",Housemates!$B$13=""),0,IF($R402&gt;0,IF(K402="",0,IF(ISNUMBER(K402),K402,1)),IF($C402="Paying back",0,IF(AND(OR(Housemates!$C$13="",Housemates!$C$13&lt;=$B402),OR(Housemates!$D$13="",Housemates!$D$13&gt;=$B402)),IF($Q402=0,1,INDEX(Bills!$AF$6:$AF$25,$Q402)),0))))</f>
        <v/>
      </c>
      <c r="Y402">
        <f>IF(OR($D402="",$B402="",Housemates!$B$14=""),0,IF($R402&gt;0,IF(L402="",0,IF(ISNUMBER(L402),L402,1)),IF($C402="Paying back",0,IF(AND(OR(Housemates!$C$14="",Housemates!$C$14&lt;=$B402),OR(Housemates!$D$14="",Housemates!$D$14&gt;=$B402)),IF($Q402=0,1,INDEX(Bills!$AG$6:$AG$25,$Q402)),0))))</f>
        <v/>
      </c>
      <c r="Z402">
        <f>IF(OR($D402="",$B402="",Housemates!$B$15=""),0,IF($R402&gt;0,IF(M402="",0,IF(ISNUMBER(M402),M402,1)),IF($C402="Paying back",0,IF(AND(OR(Housemates!$C$15="",Housemates!$C$15&lt;=$B402),OR(Housemates!$D$15="",Housemates!$D$15&gt;=$B402)),IF($Q402=0,1,INDEX(Bills!$AH$6:$AH$25,$Q402)),0))))</f>
        <v/>
      </c>
      <c r="AA402">
        <f>SUM(S402:Z402)</f>
        <v/>
      </c>
      <c r="AB402">
        <f>IF(AA402=0,0,D402*S402/AA402)</f>
        <v/>
      </c>
      <c r="AC402">
        <f>IF(AA402=0,0,D402*T402/AA402)</f>
        <v/>
      </c>
      <c r="AD402">
        <f>IF(AA402=0,0,D402*U402/AA402)</f>
        <v/>
      </c>
      <c r="AE402">
        <f>IF(AA402=0,0,D402*V402/AA402)</f>
        <v/>
      </c>
      <c r="AF402">
        <f>IF(AA402=0,0,D402*W402/AA402)</f>
        <v/>
      </c>
      <c r="AG402">
        <f>IF(AA402=0,0,D402*X402/AA402)</f>
        <v/>
      </c>
      <c r="AH402">
        <f>IF(AA402=0,0,D402*Y402/AA402)</f>
        <v/>
      </c>
      <c r="AI402">
        <f>IF(AA402=0,0,D402*Z402/AA402)</f>
        <v/>
      </c>
      <c r="AJ402">
        <f>IF(OR(C402="",B402=""),"",C402&amp;"|"&amp;(YEAR(B402)*100+MONTH(B402)))</f>
        <v/>
      </c>
    </row>
    <row r="403">
      <c r="A403" s="1" t="n"/>
      <c r="B403" s="23" t="n"/>
      <c r="C403" s="24" t="n"/>
      <c r="D403" s="25" t="n"/>
      <c r="E403" s="26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1">
        <f>IF(D403="","",IF(B403="","No date",IF(AND(C403="Paying back",R403=0),"To whom?",IF(AA403=0,"Nobody",IF(C403="Paying back","To "&amp;INDEX(Housemates!$B$8:$B$15,MATCH(MAX(S403:Z403),S403:Z403,0)),IF(R403&gt;0,IF(COUNTIF(S403:Z403,"&gt;0")=1,"1 person",COUNTIF(S403:Z403,"&gt;0")&amp;" people"),IF(Q403=0,"Everyone",INDEX(Bills!$Q$6:$Q$25,Q403))))))))</f>
        <v/>
      </c>
      <c r="O403" s="18">
        <f>IF(D403="","",IF(C403="Paying back","Paying back",IF(Q403=0,"Other",IF(INDEX(Bills!$C$6:$C$25,Q403)="","Other",INDEX(Bills!$C$6:$C$25,Q403)))))</f>
        <v/>
      </c>
      <c r="P403" s="1" t="n"/>
      <c r="Q403">
        <f>IF(C403="",0,IFERROR(MATCH(C403,Bills!$B$6:$B$25,0),0))</f>
        <v/>
      </c>
      <c r="R403">
        <f>COUNTA(F403:M403)</f>
        <v/>
      </c>
      <c r="S403">
        <f>IF(OR($D403="",$B403="",Housemates!$B$8=""),0,IF($R403&gt;0,IF(F403="",0,IF(ISNUMBER(F403),F403,1)),IF($C403="Paying back",0,IF(AND(OR(Housemates!$C$8="",Housemates!$C$8&lt;=$B403),OR(Housemates!$D$8="",Housemates!$D$8&gt;=$B403)),IF($Q403=0,1,INDEX(Bills!$AA$6:$AA$25,$Q403)),0))))</f>
        <v/>
      </c>
      <c r="T403">
        <f>IF(OR($D403="",$B403="",Housemates!$B$9=""),0,IF($R403&gt;0,IF(G403="",0,IF(ISNUMBER(G403),G403,1)),IF($C403="Paying back",0,IF(AND(OR(Housemates!$C$9="",Housemates!$C$9&lt;=$B403),OR(Housemates!$D$9="",Housemates!$D$9&gt;=$B403)),IF($Q403=0,1,INDEX(Bills!$AB$6:$AB$25,$Q403)),0))))</f>
        <v/>
      </c>
      <c r="U403">
        <f>IF(OR($D403="",$B403="",Housemates!$B$10=""),0,IF($R403&gt;0,IF(H403="",0,IF(ISNUMBER(H403),H403,1)),IF($C403="Paying back",0,IF(AND(OR(Housemates!$C$10="",Housemates!$C$10&lt;=$B403),OR(Housemates!$D$10="",Housemates!$D$10&gt;=$B403)),IF($Q403=0,1,INDEX(Bills!$AC$6:$AC$25,$Q403)),0))))</f>
        <v/>
      </c>
      <c r="V403">
        <f>IF(OR($D403="",$B403="",Housemates!$B$11=""),0,IF($R403&gt;0,IF(I403="",0,IF(ISNUMBER(I403),I403,1)),IF($C403="Paying back",0,IF(AND(OR(Housemates!$C$11="",Housemates!$C$11&lt;=$B403),OR(Housemates!$D$11="",Housemates!$D$11&gt;=$B403)),IF($Q403=0,1,INDEX(Bills!$AD$6:$AD$25,$Q403)),0))))</f>
        <v/>
      </c>
      <c r="W403">
        <f>IF(OR($D403="",$B403="",Housemates!$B$12=""),0,IF($R403&gt;0,IF(J403="",0,IF(ISNUMBER(J403),J403,1)),IF($C403="Paying back",0,IF(AND(OR(Housemates!$C$12="",Housemates!$C$12&lt;=$B403),OR(Housemates!$D$12="",Housemates!$D$12&gt;=$B403)),IF($Q403=0,1,INDEX(Bills!$AE$6:$AE$25,$Q403)),0))))</f>
        <v/>
      </c>
      <c r="X403">
        <f>IF(OR($D403="",$B403="",Housemates!$B$13=""),0,IF($R403&gt;0,IF(K403="",0,IF(ISNUMBER(K403),K403,1)),IF($C403="Paying back",0,IF(AND(OR(Housemates!$C$13="",Housemates!$C$13&lt;=$B403),OR(Housemates!$D$13="",Housemates!$D$13&gt;=$B403)),IF($Q403=0,1,INDEX(Bills!$AF$6:$AF$25,$Q403)),0))))</f>
        <v/>
      </c>
      <c r="Y403">
        <f>IF(OR($D403="",$B403="",Housemates!$B$14=""),0,IF($R403&gt;0,IF(L403="",0,IF(ISNUMBER(L403),L403,1)),IF($C403="Paying back",0,IF(AND(OR(Housemates!$C$14="",Housemates!$C$14&lt;=$B403),OR(Housemates!$D$14="",Housemates!$D$14&gt;=$B403)),IF($Q403=0,1,INDEX(Bills!$AG$6:$AG$25,$Q403)),0))))</f>
        <v/>
      </c>
      <c r="Z403">
        <f>IF(OR($D403="",$B403="",Housemates!$B$15=""),0,IF($R403&gt;0,IF(M403="",0,IF(ISNUMBER(M403),M403,1)),IF($C403="Paying back",0,IF(AND(OR(Housemates!$C$15="",Housemates!$C$15&lt;=$B403),OR(Housemates!$D$15="",Housemates!$D$15&gt;=$B403)),IF($Q403=0,1,INDEX(Bills!$AH$6:$AH$25,$Q403)),0))))</f>
        <v/>
      </c>
      <c r="AA403">
        <f>SUM(S403:Z403)</f>
        <v/>
      </c>
      <c r="AB403">
        <f>IF(AA403=0,0,D403*S403/AA403)</f>
        <v/>
      </c>
      <c r="AC403">
        <f>IF(AA403=0,0,D403*T403/AA403)</f>
        <v/>
      </c>
      <c r="AD403">
        <f>IF(AA403=0,0,D403*U403/AA403)</f>
        <v/>
      </c>
      <c r="AE403">
        <f>IF(AA403=0,0,D403*V403/AA403)</f>
        <v/>
      </c>
      <c r="AF403">
        <f>IF(AA403=0,0,D403*W403/AA403)</f>
        <v/>
      </c>
      <c r="AG403">
        <f>IF(AA403=0,0,D403*X403/AA403)</f>
        <v/>
      </c>
      <c r="AH403">
        <f>IF(AA403=0,0,D403*Y403/AA403)</f>
        <v/>
      </c>
      <c r="AI403">
        <f>IF(AA403=0,0,D403*Z403/AA403)</f>
        <v/>
      </c>
      <c r="AJ403">
        <f>IF(OR(C403="",B403=""),"",C403&amp;"|"&amp;(YEAR(B403)*100+MONTH(B403)))</f>
        <v/>
      </c>
    </row>
    <row r="404">
      <c r="A404" s="1" t="n"/>
      <c r="B404" s="23" t="n"/>
      <c r="C404" s="24" t="n"/>
      <c r="D404" s="25" t="n"/>
      <c r="E404" s="26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1">
        <f>IF(D404="","",IF(B404="","No date",IF(AND(C404="Paying back",R404=0),"To whom?",IF(AA404=0,"Nobody",IF(C404="Paying back","To "&amp;INDEX(Housemates!$B$8:$B$15,MATCH(MAX(S404:Z404),S404:Z404,0)),IF(R404&gt;0,IF(COUNTIF(S404:Z404,"&gt;0")=1,"1 person",COUNTIF(S404:Z404,"&gt;0")&amp;" people"),IF(Q404=0,"Everyone",INDEX(Bills!$Q$6:$Q$25,Q404))))))))</f>
        <v/>
      </c>
      <c r="O404" s="18">
        <f>IF(D404="","",IF(C404="Paying back","Paying back",IF(Q404=0,"Other",IF(INDEX(Bills!$C$6:$C$25,Q404)="","Other",INDEX(Bills!$C$6:$C$25,Q404)))))</f>
        <v/>
      </c>
      <c r="P404" s="1" t="n"/>
      <c r="Q404">
        <f>IF(C404="",0,IFERROR(MATCH(C404,Bills!$B$6:$B$25,0),0))</f>
        <v/>
      </c>
      <c r="R404">
        <f>COUNTA(F404:M404)</f>
        <v/>
      </c>
      <c r="S404">
        <f>IF(OR($D404="",$B404="",Housemates!$B$8=""),0,IF($R404&gt;0,IF(F404="",0,IF(ISNUMBER(F404),F404,1)),IF($C404="Paying back",0,IF(AND(OR(Housemates!$C$8="",Housemates!$C$8&lt;=$B404),OR(Housemates!$D$8="",Housemates!$D$8&gt;=$B404)),IF($Q404=0,1,INDEX(Bills!$AA$6:$AA$25,$Q404)),0))))</f>
        <v/>
      </c>
      <c r="T404">
        <f>IF(OR($D404="",$B404="",Housemates!$B$9=""),0,IF($R404&gt;0,IF(G404="",0,IF(ISNUMBER(G404),G404,1)),IF($C404="Paying back",0,IF(AND(OR(Housemates!$C$9="",Housemates!$C$9&lt;=$B404),OR(Housemates!$D$9="",Housemates!$D$9&gt;=$B404)),IF($Q404=0,1,INDEX(Bills!$AB$6:$AB$25,$Q404)),0))))</f>
        <v/>
      </c>
      <c r="U404">
        <f>IF(OR($D404="",$B404="",Housemates!$B$10=""),0,IF($R404&gt;0,IF(H404="",0,IF(ISNUMBER(H404),H404,1)),IF($C404="Paying back",0,IF(AND(OR(Housemates!$C$10="",Housemates!$C$10&lt;=$B404),OR(Housemates!$D$10="",Housemates!$D$10&gt;=$B404)),IF($Q404=0,1,INDEX(Bills!$AC$6:$AC$25,$Q404)),0))))</f>
        <v/>
      </c>
      <c r="V404">
        <f>IF(OR($D404="",$B404="",Housemates!$B$11=""),0,IF($R404&gt;0,IF(I404="",0,IF(ISNUMBER(I404),I404,1)),IF($C404="Paying back",0,IF(AND(OR(Housemates!$C$11="",Housemates!$C$11&lt;=$B404),OR(Housemates!$D$11="",Housemates!$D$11&gt;=$B404)),IF($Q404=0,1,INDEX(Bills!$AD$6:$AD$25,$Q404)),0))))</f>
        <v/>
      </c>
      <c r="W404">
        <f>IF(OR($D404="",$B404="",Housemates!$B$12=""),0,IF($R404&gt;0,IF(J404="",0,IF(ISNUMBER(J404),J404,1)),IF($C404="Paying back",0,IF(AND(OR(Housemates!$C$12="",Housemates!$C$12&lt;=$B404),OR(Housemates!$D$12="",Housemates!$D$12&gt;=$B404)),IF($Q404=0,1,INDEX(Bills!$AE$6:$AE$25,$Q404)),0))))</f>
        <v/>
      </c>
      <c r="X404">
        <f>IF(OR($D404="",$B404="",Housemates!$B$13=""),0,IF($R404&gt;0,IF(K404="",0,IF(ISNUMBER(K404),K404,1)),IF($C404="Paying back",0,IF(AND(OR(Housemates!$C$13="",Housemates!$C$13&lt;=$B404),OR(Housemates!$D$13="",Housemates!$D$13&gt;=$B404)),IF($Q404=0,1,INDEX(Bills!$AF$6:$AF$25,$Q404)),0))))</f>
        <v/>
      </c>
      <c r="Y404">
        <f>IF(OR($D404="",$B404="",Housemates!$B$14=""),0,IF($R404&gt;0,IF(L404="",0,IF(ISNUMBER(L404),L404,1)),IF($C404="Paying back",0,IF(AND(OR(Housemates!$C$14="",Housemates!$C$14&lt;=$B404),OR(Housemates!$D$14="",Housemates!$D$14&gt;=$B404)),IF($Q404=0,1,INDEX(Bills!$AG$6:$AG$25,$Q404)),0))))</f>
        <v/>
      </c>
      <c r="Z404">
        <f>IF(OR($D404="",$B404="",Housemates!$B$15=""),0,IF($R404&gt;0,IF(M404="",0,IF(ISNUMBER(M404),M404,1)),IF($C404="Paying back",0,IF(AND(OR(Housemates!$C$15="",Housemates!$C$15&lt;=$B404),OR(Housemates!$D$15="",Housemates!$D$15&gt;=$B404)),IF($Q404=0,1,INDEX(Bills!$AH$6:$AH$25,$Q404)),0))))</f>
        <v/>
      </c>
      <c r="AA404">
        <f>SUM(S404:Z404)</f>
        <v/>
      </c>
      <c r="AB404">
        <f>IF(AA404=0,0,D404*S404/AA404)</f>
        <v/>
      </c>
      <c r="AC404">
        <f>IF(AA404=0,0,D404*T404/AA404)</f>
        <v/>
      </c>
      <c r="AD404">
        <f>IF(AA404=0,0,D404*U404/AA404)</f>
        <v/>
      </c>
      <c r="AE404">
        <f>IF(AA404=0,0,D404*V404/AA404)</f>
        <v/>
      </c>
      <c r="AF404">
        <f>IF(AA404=0,0,D404*W404/AA404)</f>
        <v/>
      </c>
      <c r="AG404">
        <f>IF(AA404=0,0,D404*X404/AA404)</f>
        <v/>
      </c>
      <c r="AH404">
        <f>IF(AA404=0,0,D404*Y404/AA404)</f>
        <v/>
      </c>
      <c r="AI404">
        <f>IF(AA404=0,0,D404*Z404/AA404)</f>
        <v/>
      </c>
      <c r="AJ404">
        <f>IF(OR(C404="",B404=""),"",C404&amp;"|"&amp;(YEAR(B404)*100+MONTH(B404)))</f>
        <v/>
      </c>
    </row>
    <row r="405">
      <c r="A405" s="1" t="n"/>
      <c r="B405" s="23" t="n"/>
      <c r="C405" s="24" t="n"/>
      <c r="D405" s="25" t="n"/>
      <c r="E405" s="26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1">
        <f>IF(D405="","",IF(B405="","No date",IF(AND(C405="Paying back",R405=0),"To whom?",IF(AA405=0,"Nobody",IF(C405="Paying back","To "&amp;INDEX(Housemates!$B$8:$B$15,MATCH(MAX(S405:Z405),S405:Z405,0)),IF(R405&gt;0,IF(COUNTIF(S405:Z405,"&gt;0")=1,"1 person",COUNTIF(S405:Z405,"&gt;0")&amp;" people"),IF(Q405=0,"Everyone",INDEX(Bills!$Q$6:$Q$25,Q405))))))))</f>
        <v/>
      </c>
      <c r="O405" s="18">
        <f>IF(D405="","",IF(C405="Paying back","Paying back",IF(Q405=0,"Other",IF(INDEX(Bills!$C$6:$C$25,Q405)="","Other",INDEX(Bills!$C$6:$C$25,Q405)))))</f>
        <v/>
      </c>
      <c r="P405" s="1" t="n"/>
      <c r="Q405">
        <f>IF(C405="",0,IFERROR(MATCH(C405,Bills!$B$6:$B$25,0),0))</f>
        <v/>
      </c>
      <c r="R405">
        <f>COUNTA(F405:M405)</f>
        <v/>
      </c>
      <c r="S405">
        <f>IF(OR($D405="",$B405="",Housemates!$B$8=""),0,IF($R405&gt;0,IF(F405="",0,IF(ISNUMBER(F405),F405,1)),IF($C405="Paying back",0,IF(AND(OR(Housemates!$C$8="",Housemates!$C$8&lt;=$B405),OR(Housemates!$D$8="",Housemates!$D$8&gt;=$B405)),IF($Q405=0,1,INDEX(Bills!$AA$6:$AA$25,$Q405)),0))))</f>
        <v/>
      </c>
      <c r="T405">
        <f>IF(OR($D405="",$B405="",Housemates!$B$9=""),0,IF($R405&gt;0,IF(G405="",0,IF(ISNUMBER(G405),G405,1)),IF($C405="Paying back",0,IF(AND(OR(Housemates!$C$9="",Housemates!$C$9&lt;=$B405),OR(Housemates!$D$9="",Housemates!$D$9&gt;=$B405)),IF($Q405=0,1,INDEX(Bills!$AB$6:$AB$25,$Q405)),0))))</f>
        <v/>
      </c>
      <c r="U405">
        <f>IF(OR($D405="",$B405="",Housemates!$B$10=""),0,IF($R405&gt;0,IF(H405="",0,IF(ISNUMBER(H405),H405,1)),IF($C405="Paying back",0,IF(AND(OR(Housemates!$C$10="",Housemates!$C$10&lt;=$B405),OR(Housemates!$D$10="",Housemates!$D$10&gt;=$B405)),IF($Q405=0,1,INDEX(Bills!$AC$6:$AC$25,$Q405)),0))))</f>
        <v/>
      </c>
      <c r="V405">
        <f>IF(OR($D405="",$B405="",Housemates!$B$11=""),0,IF($R405&gt;0,IF(I405="",0,IF(ISNUMBER(I405),I405,1)),IF($C405="Paying back",0,IF(AND(OR(Housemates!$C$11="",Housemates!$C$11&lt;=$B405),OR(Housemates!$D$11="",Housemates!$D$11&gt;=$B405)),IF($Q405=0,1,INDEX(Bills!$AD$6:$AD$25,$Q405)),0))))</f>
        <v/>
      </c>
      <c r="W405">
        <f>IF(OR($D405="",$B405="",Housemates!$B$12=""),0,IF($R405&gt;0,IF(J405="",0,IF(ISNUMBER(J405),J405,1)),IF($C405="Paying back",0,IF(AND(OR(Housemates!$C$12="",Housemates!$C$12&lt;=$B405),OR(Housemates!$D$12="",Housemates!$D$12&gt;=$B405)),IF($Q405=0,1,INDEX(Bills!$AE$6:$AE$25,$Q405)),0))))</f>
        <v/>
      </c>
      <c r="X405">
        <f>IF(OR($D405="",$B405="",Housemates!$B$13=""),0,IF($R405&gt;0,IF(K405="",0,IF(ISNUMBER(K405),K405,1)),IF($C405="Paying back",0,IF(AND(OR(Housemates!$C$13="",Housemates!$C$13&lt;=$B405),OR(Housemates!$D$13="",Housemates!$D$13&gt;=$B405)),IF($Q405=0,1,INDEX(Bills!$AF$6:$AF$25,$Q405)),0))))</f>
        <v/>
      </c>
      <c r="Y405">
        <f>IF(OR($D405="",$B405="",Housemates!$B$14=""),0,IF($R405&gt;0,IF(L405="",0,IF(ISNUMBER(L405),L405,1)),IF($C405="Paying back",0,IF(AND(OR(Housemates!$C$14="",Housemates!$C$14&lt;=$B405),OR(Housemates!$D$14="",Housemates!$D$14&gt;=$B405)),IF($Q405=0,1,INDEX(Bills!$AG$6:$AG$25,$Q405)),0))))</f>
        <v/>
      </c>
      <c r="Z405">
        <f>IF(OR($D405="",$B405="",Housemates!$B$15=""),0,IF($R405&gt;0,IF(M405="",0,IF(ISNUMBER(M405),M405,1)),IF($C405="Paying back",0,IF(AND(OR(Housemates!$C$15="",Housemates!$C$15&lt;=$B405),OR(Housemates!$D$15="",Housemates!$D$15&gt;=$B405)),IF($Q405=0,1,INDEX(Bills!$AH$6:$AH$25,$Q405)),0))))</f>
        <v/>
      </c>
      <c r="AA405">
        <f>SUM(S405:Z405)</f>
        <v/>
      </c>
      <c r="AB405">
        <f>IF(AA405=0,0,D405*S405/AA405)</f>
        <v/>
      </c>
      <c r="AC405">
        <f>IF(AA405=0,0,D405*T405/AA405)</f>
        <v/>
      </c>
      <c r="AD405">
        <f>IF(AA405=0,0,D405*U405/AA405)</f>
        <v/>
      </c>
      <c r="AE405">
        <f>IF(AA405=0,0,D405*V405/AA405)</f>
        <v/>
      </c>
      <c r="AF405">
        <f>IF(AA405=0,0,D405*W405/AA405)</f>
        <v/>
      </c>
      <c r="AG405">
        <f>IF(AA405=0,0,D405*X405/AA405)</f>
        <v/>
      </c>
      <c r="AH405">
        <f>IF(AA405=0,0,D405*Y405/AA405)</f>
        <v/>
      </c>
      <c r="AI405">
        <f>IF(AA405=0,0,D405*Z405/AA405)</f>
        <v/>
      </c>
      <c r="AJ405">
        <f>IF(OR(C405="",B405=""),"",C405&amp;"|"&amp;(YEAR(B405)*100+MONTH(B405)))</f>
        <v/>
      </c>
    </row>
    <row r="406">
      <c r="A406" s="1" t="n"/>
      <c r="B406" s="23" t="n"/>
      <c r="C406" s="24" t="n"/>
      <c r="D406" s="25" t="n"/>
      <c r="E406" s="26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1">
        <f>IF(D406="","",IF(B406="","No date",IF(AND(C406="Paying back",R406=0),"To whom?",IF(AA406=0,"Nobody",IF(C406="Paying back","To "&amp;INDEX(Housemates!$B$8:$B$15,MATCH(MAX(S406:Z406),S406:Z406,0)),IF(R406&gt;0,IF(COUNTIF(S406:Z406,"&gt;0")=1,"1 person",COUNTIF(S406:Z406,"&gt;0")&amp;" people"),IF(Q406=0,"Everyone",INDEX(Bills!$Q$6:$Q$25,Q406))))))))</f>
        <v/>
      </c>
      <c r="O406" s="18">
        <f>IF(D406="","",IF(C406="Paying back","Paying back",IF(Q406=0,"Other",IF(INDEX(Bills!$C$6:$C$25,Q406)="","Other",INDEX(Bills!$C$6:$C$25,Q406)))))</f>
        <v/>
      </c>
      <c r="P406" s="1" t="n"/>
      <c r="Q406">
        <f>IF(C406="",0,IFERROR(MATCH(C406,Bills!$B$6:$B$25,0),0))</f>
        <v/>
      </c>
      <c r="R406">
        <f>COUNTA(F406:M406)</f>
        <v/>
      </c>
      <c r="S406">
        <f>IF(OR($D406="",$B406="",Housemates!$B$8=""),0,IF($R406&gt;0,IF(F406="",0,IF(ISNUMBER(F406),F406,1)),IF($C406="Paying back",0,IF(AND(OR(Housemates!$C$8="",Housemates!$C$8&lt;=$B406),OR(Housemates!$D$8="",Housemates!$D$8&gt;=$B406)),IF($Q406=0,1,INDEX(Bills!$AA$6:$AA$25,$Q406)),0))))</f>
        <v/>
      </c>
      <c r="T406">
        <f>IF(OR($D406="",$B406="",Housemates!$B$9=""),0,IF($R406&gt;0,IF(G406="",0,IF(ISNUMBER(G406),G406,1)),IF($C406="Paying back",0,IF(AND(OR(Housemates!$C$9="",Housemates!$C$9&lt;=$B406),OR(Housemates!$D$9="",Housemates!$D$9&gt;=$B406)),IF($Q406=0,1,INDEX(Bills!$AB$6:$AB$25,$Q406)),0))))</f>
        <v/>
      </c>
      <c r="U406">
        <f>IF(OR($D406="",$B406="",Housemates!$B$10=""),0,IF($R406&gt;0,IF(H406="",0,IF(ISNUMBER(H406),H406,1)),IF($C406="Paying back",0,IF(AND(OR(Housemates!$C$10="",Housemates!$C$10&lt;=$B406),OR(Housemates!$D$10="",Housemates!$D$10&gt;=$B406)),IF($Q406=0,1,INDEX(Bills!$AC$6:$AC$25,$Q406)),0))))</f>
        <v/>
      </c>
      <c r="V406">
        <f>IF(OR($D406="",$B406="",Housemates!$B$11=""),0,IF($R406&gt;0,IF(I406="",0,IF(ISNUMBER(I406),I406,1)),IF($C406="Paying back",0,IF(AND(OR(Housemates!$C$11="",Housemates!$C$11&lt;=$B406),OR(Housemates!$D$11="",Housemates!$D$11&gt;=$B406)),IF($Q406=0,1,INDEX(Bills!$AD$6:$AD$25,$Q406)),0))))</f>
        <v/>
      </c>
      <c r="W406">
        <f>IF(OR($D406="",$B406="",Housemates!$B$12=""),0,IF($R406&gt;0,IF(J406="",0,IF(ISNUMBER(J406),J406,1)),IF($C406="Paying back",0,IF(AND(OR(Housemates!$C$12="",Housemates!$C$12&lt;=$B406),OR(Housemates!$D$12="",Housemates!$D$12&gt;=$B406)),IF($Q406=0,1,INDEX(Bills!$AE$6:$AE$25,$Q406)),0))))</f>
        <v/>
      </c>
      <c r="X406">
        <f>IF(OR($D406="",$B406="",Housemates!$B$13=""),0,IF($R406&gt;0,IF(K406="",0,IF(ISNUMBER(K406),K406,1)),IF($C406="Paying back",0,IF(AND(OR(Housemates!$C$13="",Housemates!$C$13&lt;=$B406),OR(Housemates!$D$13="",Housemates!$D$13&gt;=$B406)),IF($Q406=0,1,INDEX(Bills!$AF$6:$AF$25,$Q406)),0))))</f>
        <v/>
      </c>
      <c r="Y406">
        <f>IF(OR($D406="",$B406="",Housemates!$B$14=""),0,IF($R406&gt;0,IF(L406="",0,IF(ISNUMBER(L406),L406,1)),IF($C406="Paying back",0,IF(AND(OR(Housemates!$C$14="",Housemates!$C$14&lt;=$B406),OR(Housemates!$D$14="",Housemates!$D$14&gt;=$B406)),IF($Q406=0,1,INDEX(Bills!$AG$6:$AG$25,$Q406)),0))))</f>
        <v/>
      </c>
      <c r="Z406">
        <f>IF(OR($D406="",$B406="",Housemates!$B$15=""),0,IF($R406&gt;0,IF(M406="",0,IF(ISNUMBER(M406),M406,1)),IF($C406="Paying back",0,IF(AND(OR(Housemates!$C$15="",Housemates!$C$15&lt;=$B406),OR(Housemates!$D$15="",Housemates!$D$15&gt;=$B406)),IF($Q406=0,1,INDEX(Bills!$AH$6:$AH$25,$Q406)),0))))</f>
        <v/>
      </c>
      <c r="AA406">
        <f>SUM(S406:Z406)</f>
        <v/>
      </c>
      <c r="AB406">
        <f>IF(AA406=0,0,D406*S406/AA406)</f>
        <v/>
      </c>
      <c r="AC406">
        <f>IF(AA406=0,0,D406*T406/AA406)</f>
        <v/>
      </c>
      <c r="AD406">
        <f>IF(AA406=0,0,D406*U406/AA406)</f>
        <v/>
      </c>
      <c r="AE406">
        <f>IF(AA406=0,0,D406*V406/AA406)</f>
        <v/>
      </c>
      <c r="AF406">
        <f>IF(AA406=0,0,D406*W406/AA406)</f>
        <v/>
      </c>
      <c r="AG406">
        <f>IF(AA406=0,0,D406*X406/AA406)</f>
        <v/>
      </c>
      <c r="AH406">
        <f>IF(AA406=0,0,D406*Y406/AA406)</f>
        <v/>
      </c>
      <c r="AI406">
        <f>IF(AA406=0,0,D406*Z406/AA406)</f>
        <v/>
      </c>
      <c r="AJ406">
        <f>IF(OR(C406="",B406=""),"",C406&amp;"|"&amp;(YEAR(B406)*100+MONTH(B406)))</f>
        <v/>
      </c>
    </row>
    <row r="407">
      <c r="A407" s="1" t="n"/>
      <c r="B407" s="23" t="n"/>
      <c r="C407" s="24" t="n"/>
      <c r="D407" s="25" t="n"/>
      <c r="E407" s="26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1">
        <f>IF(D407="","",IF(B407="","No date",IF(AND(C407="Paying back",R407=0),"To whom?",IF(AA407=0,"Nobody",IF(C407="Paying back","To "&amp;INDEX(Housemates!$B$8:$B$15,MATCH(MAX(S407:Z407),S407:Z407,0)),IF(R407&gt;0,IF(COUNTIF(S407:Z407,"&gt;0")=1,"1 person",COUNTIF(S407:Z407,"&gt;0")&amp;" people"),IF(Q407=0,"Everyone",INDEX(Bills!$Q$6:$Q$25,Q407))))))))</f>
        <v/>
      </c>
      <c r="O407" s="18">
        <f>IF(D407="","",IF(C407="Paying back","Paying back",IF(Q407=0,"Other",IF(INDEX(Bills!$C$6:$C$25,Q407)="","Other",INDEX(Bills!$C$6:$C$25,Q407)))))</f>
        <v/>
      </c>
      <c r="P407" s="1" t="n"/>
      <c r="Q407">
        <f>IF(C407="",0,IFERROR(MATCH(C407,Bills!$B$6:$B$25,0),0))</f>
        <v/>
      </c>
      <c r="R407">
        <f>COUNTA(F407:M407)</f>
        <v/>
      </c>
      <c r="S407">
        <f>IF(OR($D407="",$B407="",Housemates!$B$8=""),0,IF($R407&gt;0,IF(F407="",0,IF(ISNUMBER(F407),F407,1)),IF($C407="Paying back",0,IF(AND(OR(Housemates!$C$8="",Housemates!$C$8&lt;=$B407),OR(Housemates!$D$8="",Housemates!$D$8&gt;=$B407)),IF($Q407=0,1,INDEX(Bills!$AA$6:$AA$25,$Q407)),0))))</f>
        <v/>
      </c>
      <c r="T407">
        <f>IF(OR($D407="",$B407="",Housemates!$B$9=""),0,IF($R407&gt;0,IF(G407="",0,IF(ISNUMBER(G407),G407,1)),IF($C407="Paying back",0,IF(AND(OR(Housemates!$C$9="",Housemates!$C$9&lt;=$B407),OR(Housemates!$D$9="",Housemates!$D$9&gt;=$B407)),IF($Q407=0,1,INDEX(Bills!$AB$6:$AB$25,$Q407)),0))))</f>
        <v/>
      </c>
      <c r="U407">
        <f>IF(OR($D407="",$B407="",Housemates!$B$10=""),0,IF($R407&gt;0,IF(H407="",0,IF(ISNUMBER(H407),H407,1)),IF($C407="Paying back",0,IF(AND(OR(Housemates!$C$10="",Housemates!$C$10&lt;=$B407),OR(Housemates!$D$10="",Housemates!$D$10&gt;=$B407)),IF($Q407=0,1,INDEX(Bills!$AC$6:$AC$25,$Q407)),0))))</f>
        <v/>
      </c>
      <c r="V407">
        <f>IF(OR($D407="",$B407="",Housemates!$B$11=""),0,IF($R407&gt;0,IF(I407="",0,IF(ISNUMBER(I407),I407,1)),IF($C407="Paying back",0,IF(AND(OR(Housemates!$C$11="",Housemates!$C$11&lt;=$B407),OR(Housemates!$D$11="",Housemates!$D$11&gt;=$B407)),IF($Q407=0,1,INDEX(Bills!$AD$6:$AD$25,$Q407)),0))))</f>
        <v/>
      </c>
      <c r="W407">
        <f>IF(OR($D407="",$B407="",Housemates!$B$12=""),0,IF($R407&gt;0,IF(J407="",0,IF(ISNUMBER(J407),J407,1)),IF($C407="Paying back",0,IF(AND(OR(Housemates!$C$12="",Housemates!$C$12&lt;=$B407),OR(Housemates!$D$12="",Housemates!$D$12&gt;=$B407)),IF($Q407=0,1,INDEX(Bills!$AE$6:$AE$25,$Q407)),0))))</f>
        <v/>
      </c>
      <c r="X407">
        <f>IF(OR($D407="",$B407="",Housemates!$B$13=""),0,IF($R407&gt;0,IF(K407="",0,IF(ISNUMBER(K407),K407,1)),IF($C407="Paying back",0,IF(AND(OR(Housemates!$C$13="",Housemates!$C$13&lt;=$B407),OR(Housemates!$D$13="",Housemates!$D$13&gt;=$B407)),IF($Q407=0,1,INDEX(Bills!$AF$6:$AF$25,$Q407)),0))))</f>
        <v/>
      </c>
      <c r="Y407">
        <f>IF(OR($D407="",$B407="",Housemates!$B$14=""),0,IF($R407&gt;0,IF(L407="",0,IF(ISNUMBER(L407),L407,1)),IF($C407="Paying back",0,IF(AND(OR(Housemates!$C$14="",Housemates!$C$14&lt;=$B407),OR(Housemates!$D$14="",Housemates!$D$14&gt;=$B407)),IF($Q407=0,1,INDEX(Bills!$AG$6:$AG$25,$Q407)),0))))</f>
        <v/>
      </c>
      <c r="Z407">
        <f>IF(OR($D407="",$B407="",Housemates!$B$15=""),0,IF($R407&gt;0,IF(M407="",0,IF(ISNUMBER(M407),M407,1)),IF($C407="Paying back",0,IF(AND(OR(Housemates!$C$15="",Housemates!$C$15&lt;=$B407),OR(Housemates!$D$15="",Housemates!$D$15&gt;=$B407)),IF($Q407=0,1,INDEX(Bills!$AH$6:$AH$25,$Q407)),0))))</f>
        <v/>
      </c>
      <c r="AA407">
        <f>SUM(S407:Z407)</f>
        <v/>
      </c>
      <c r="AB407">
        <f>IF(AA407=0,0,D407*S407/AA407)</f>
        <v/>
      </c>
      <c r="AC407">
        <f>IF(AA407=0,0,D407*T407/AA407)</f>
        <v/>
      </c>
      <c r="AD407">
        <f>IF(AA407=0,0,D407*U407/AA407)</f>
        <v/>
      </c>
      <c r="AE407">
        <f>IF(AA407=0,0,D407*V407/AA407)</f>
        <v/>
      </c>
      <c r="AF407">
        <f>IF(AA407=0,0,D407*W407/AA407)</f>
        <v/>
      </c>
      <c r="AG407">
        <f>IF(AA407=0,0,D407*X407/AA407)</f>
        <v/>
      </c>
      <c r="AH407">
        <f>IF(AA407=0,0,D407*Y407/AA407)</f>
        <v/>
      </c>
      <c r="AI407">
        <f>IF(AA407=0,0,D407*Z407/AA407)</f>
        <v/>
      </c>
      <c r="AJ407">
        <f>IF(OR(C407="",B407=""),"",C407&amp;"|"&amp;(YEAR(B407)*100+MONTH(B407)))</f>
        <v/>
      </c>
    </row>
    <row r="408">
      <c r="A408" s="1" t="n"/>
      <c r="B408" s="23" t="n"/>
      <c r="C408" s="24" t="n"/>
      <c r="D408" s="25" t="n"/>
      <c r="E408" s="26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1">
        <f>IF(D408="","",IF(B408="","No date",IF(AND(C408="Paying back",R408=0),"To whom?",IF(AA408=0,"Nobody",IF(C408="Paying back","To "&amp;INDEX(Housemates!$B$8:$B$15,MATCH(MAX(S408:Z408),S408:Z408,0)),IF(R408&gt;0,IF(COUNTIF(S408:Z408,"&gt;0")=1,"1 person",COUNTIF(S408:Z408,"&gt;0")&amp;" people"),IF(Q408=0,"Everyone",INDEX(Bills!$Q$6:$Q$25,Q408))))))))</f>
        <v/>
      </c>
      <c r="O408" s="18">
        <f>IF(D408="","",IF(C408="Paying back","Paying back",IF(Q408=0,"Other",IF(INDEX(Bills!$C$6:$C$25,Q408)="","Other",INDEX(Bills!$C$6:$C$25,Q408)))))</f>
        <v/>
      </c>
      <c r="P408" s="1" t="n"/>
      <c r="Q408">
        <f>IF(C408="",0,IFERROR(MATCH(C408,Bills!$B$6:$B$25,0),0))</f>
        <v/>
      </c>
      <c r="R408">
        <f>COUNTA(F408:M408)</f>
        <v/>
      </c>
      <c r="S408">
        <f>IF(OR($D408="",$B408="",Housemates!$B$8=""),0,IF($R408&gt;0,IF(F408="",0,IF(ISNUMBER(F408),F408,1)),IF($C408="Paying back",0,IF(AND(OR(Housemates!$C$8="",Housemates!$C$8&lt;=$B408),OR(Housemates!$D$8="",Housemates!$D$8&gt;=$B408)),IF($Q408=0,1,INDEX(Bills!$AA$6:$AA$25,$Q408)),0))))</f>
        <v/>
      </c>
      <c r="T408">
        <f>IF(OR($D408="",$B408="",Housemates!$B$9=""),0,IF($R408&gt;0,IF(G408="",0,IF(ISNUMBER(G408),G408,1)),IF($C408="Paying back",0,IF(AND(OR(Housemates!$C$9="",Housemates!$C$9&lt;=$B408),OR(Housemates!$D$9="",Housemates!$D$9&gt;=$B408)),IF($Q408=0,1,INDEX(Bills!$AB$6:$AB$25,$Q408)),0))))</f>
        <v/>
      </c>
      <c r="U408">
        <f>IF(OR($D408="",$B408="",Housemates!$B$10=""),0,IF($R408&gt;0,IF(H408="",0,IF(ISNUMBER(H408),H408,1)),IF($C408="Paying back",0,IF(AND(OR(Housemates!$C$10="",Housemates!$C$10&lt;=$B408),OR(Housemates!$D$10="",Housemates!$D$10&gt;=$B408)),IF($Q408=0,1,INDEX(Bills!$AC$6:$AC$25,$Q408)),0))))</f>
        <v/>
      </c>
      <c r="V408">
        <f>IF(OR($D408="",$B408="",Housemates!$B$11=""),0,IF($R408&gt;0,IF(I408="",0,IF(ISNUMBER(I408),I408,1)),IF($C408="Paying back",0,IF(AND(OR(Housemates!$C$11="",Housemates!$C$11&lt;=$B408),OR(Housemates!$D$11="",Housemates!$D$11&gt;=$B408)),IF($Q408=0,1,INDEX(Bills!$AD$6:$AD$25,$Q408)),0))))</f>
        <v/>
      </c>
      <c r="W408">
        <f>IF(OR($D408="",$B408="",Housemates!$B$12=""),0,IF($R408&gt;0,IF(J408="",0,IF(ISNUMBER(J408),J408,1)),IF($C408="Paying back",0,IF(AND(OR(Housemates!$C$12="",Housemates!$C$12&lt;=$B408),OR(Housemates!$D$12="",Housemates!$D$12&gt;=$B408)),IF($Q408=0,1,INDEX(Bills!$AE$6:$AE$25,$Q408)),0))))</f>
        <v/>
      </c>
      <c r="X408">
        <f>IF(OR($D408="",$B408="",Housemates!$B$13=""),0,IF($R408&gt;0,IF(K408="",0,IF(ISNUMBER(K408),K408,1)),IF($C408="Paying back",0,IF(AND(OR(Housemates!$C$13="",Housemates!$C$13&lt;=$B408),OR(Housemates!$D$13="",Housemates!$D$13&gt;=$B408)),IF($Q408=0,1,INDEX(Bills!$AF$6:$AF$25,$Q408)),0))))</f>
        <v/>
      </c>
      <c r="Y408">
        <f>IF(OR($D408="",$B408="",Housemates!$B$14=""),0,IF($R408&gt;0,IF(L408="",0,IF(ISNUMBER(L408),L408,1)),IF($C408="Paying back",0,IF(AND(OR(Housemates!$C$14="",Housemates!$C$14&lt;=$B408),OR(Housemates!$D$14="",Housemates!$D$14&gt;=$B408)),IF($Q408=0,1,INDEX(Bills!$AG$6:$AG$25,$Q408)),0))))</f>
        <v/>
      </c>
      <c r="Z408">
        <f>IF(OR($D408="",$B408="",Housemates!$B$15=""),0,IF($R408&gt;0,IF(M408="",0,IF(ISNUMBER(M408),M408,1)),IF($C408="Paying back",0,IF(AND(OR(Housemates!$C$15="",Housemates!$C$15&lt;=$B408),OR(Housemates!$D$15="",Housemates!$D$15&gt;=$B408)),IF($Q408=0,1,INDEX(Bills!$AH$6:$AH$25,$Q408)),0))))</f>
        <v/>
      </c>
      <c r="AA408">
        <f>SUM(S408:Z408)</f>
        <v/>
      </c>
      <c r="AB408">
        <f>IF(AA408=0,0,D408*S408/AA408)</f>
        <v/>
      </c>
      <c r="AC408">
        <f>IF(AA408=0,0,D408*T408/AA408)</f>
        <v/>
      </c>
      <c r="AD408">
        <f>IF(AA408=0,0,D408*U408/AA408)</f>
        <v/>
      </c>
      <c r="AE408">
        <f>IF(AA408=0,0,D408*V408/AA408)</f>
        <v/>
      </c>
      <c r="AF408">
        <f>IF(AA408=0,0,D408*W408/AA408)</f>
        <v/>
      </c>
      <c r="AG408">
        <f>IF(AA408=0,0,D408*X408/AA408)</f>
        <v/>
      </c>
      <c r="AH408">
        <f>IF(AA408=0,0,D408*Y408/AA408)</f>
        <v/>
      </c>
      <c r="AI408">
        <f>IF(AA408=0,0,D408*Z408/AA408)</f>
        <v/>
      </c>
      <c r="AJ408">
        <f>IF(OR(C408="",B408=""),"",C408&amp;"|"&amp;(YEAR(B408)*100+MONTH(B408)))</f>
        <v/>
      </c>
    </row>
    <row r="409">
      <c r="A409" s="1" t="n"/>
      <c r="B409" s="23" t="n"/>
      <c r="C409" s="24" t="n"/>
      <c r="D409" s="25" t="n"/>
      <c r="E409" s="26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1">
        <f>IF(D409="","",IF(B409="","No date",IF(AND(C409="Paying back",R409=0),"To whom?",IF(AA409=0,"Nobody",IF(C409="Paying back","To "&amp;INDEX(Housemates!$B$8:$B$15,MATCH(MAX(S409:Z409),S409:Z409,0)),IF(R409&gt;0,IF(COUNTIF(S409:Z409,"&gt;0")=1,"1 person",COUNTIF(S409:Z409,"&gt;0")&amp;" people"),IF(Q409=0,"Everyone",INDEX(Bills!$Q$6:$Q$25,Q409))))))))</f>
        <v/>
      </c>
      <c r="O409" s="18">
        <f>IF(D409="","",IF(C409="Paying back","Paying back",IF(Q409=0,"Other",IF(INDEX(Bills!$C$6:$C$25,Q409)="","Other",INDEX(Bills!$C$6:$C$25,Q409)))))</f>
        <v/>
      </c>
      <c r="P409" s="1" t="n"/>
      <c r="Q409">
        <f>IF(C409="",0,IFERROR(MATCH(C409,Bills!$B$6:$B$25,0),0))</f>
        <v/>
      </c>
      <c r="R409">
        <f>COUNTA(F409:M409)</f>
        <v/>
      </c>
      <c r="S409">
        <f>IF(OR($D409="",$B409="",Housemates!$B$8=""),0,IF($R409&gt;0,IF(F409="",0,IF(ISNUMBER(F409),F409,1)),IF($C409="Paying back",0,IF(AND(OR(Housemates!$C$8="",Housemates!$C$8&lt;=$B409),OR(Housemates!$D$8="",Housemates!$D$8&gt;=$B409)),IF($Q409=0,1,INDEX(Bills!$AA$6:$AA$25,$Q409)),0))))</f>
        <v/>
      </c>
      <c r="T409">
        <f>IF(OR($D409="",$B409="",Housemates!$B$9=""),0,IF($R409&gt;0,IF(G409="",0,IF(ISNUMBER(G409),G409,1)),IF($C409="Paying back",0,IF(AND(OR(Housemates!$C$9="",Housemates!$C$9&lt;=$B409),OR(Housemates!$D$9="",Housemates!$D$9&gt;=$B409)),IF($Q409=0,1,INDEX(Bills!$AB$6:$AB$25,$Q409)),0))))</f>
        <v/>
      </c>
      <c r="U409">
        <f>IF(OR($D409="",$B409="",Housemates!$B$10=""),0,IF($R409&gt;0,IF(H409="",0,IF(ISNUMBER(H409),H409,1)),IF($C409="Paying back",0,IF(AND(OR(Housemates!$C$10="",Housemates!$C$10&lt;=$B409),OR(Housemates!$D$10="",Housemates!$D$10&gt;=$B409)),IF($Q409=0,1,INDEX(Bills!$AC$6:$AC$25,$Q409)),0))))</f>
        <v/>
      </c>
      <c r="V409">
        <f>IF(OR($D409="",$B409="",Housemates!$B$11=""),0,IF($R409&gt;0,IF(I409="",0,IF(ISNUMBER(I409),I409,1)),IF($C409="Paying back",0,IF(AND(OR(Housemates!$C$11="",Housemates!$C$11&lt;=$B409),OR(Housemates!$D$11="",Housemates!$D$11&gt;=$B409)),IF($Q409=0,1,INDEX(Bills!$AD$6:$AD$25,$Q409)),0))))</f>
        <v/>
      </c>
      <c r="W409">
        <f>IF(OR($D409="",$B409="",Housemates!$B$12=""),0,IF($R409&gt;0,IF(J409="",0,IF(ISNUMBER(J409),J409,1)),IF($C409="Paying back",0,IF(AND(OR(Housemates!$C$12="",Housemates!$C$12&lt;=$B409),OR(Housemates!$D$12="",Housemates!$D$12&gt;=$B409)),IF($Q409=0,1,INDEX(Bills!$AE$6:$AE$25,$Q409)),0))))</f>
        <v/>
      </c>
      <c r="X409">
        <f>IF(OR($D409="",$B409="",Housemates!$B$13=""),0,IF($R409&gt;0,IF(K409="",0,IF(ISNUMBER(K409),K409,1)),IF($C409="Paying back",0,IF(AND(OR(Housemates!$C$13="",Housemates!$C$13&lt;=$B409),OR(Housemates!$D$13="",Housemates!$D$13&gt;=$B409)),IF($Q409=0,1,INDEX(Bills!$AF$6:$AF$25,$Q409)),0))))</f>
        <v/>
      </c>
      <c r="Y409">
        <f>IF(OR($D409="",$B409="",Housemates!$B$14=""),0,IF($R409&gt;0,IF(L409="",0,IF(ISNUMBER(L409),L409,1)),IF($C409="Paying back",0,IF(AND(OR(Housemates!$C$14="",Housemates!$C$14&lt;=$B409),OR(Housemates!$D$14="",Housemates!$D$14&gt;=$B409)),IF($Q409=0,1,INDEX(Bills!$AG$6:$AG$25,$Q409)),0))))</f>
        <v/>
      </c>
      <c r="Z409">
        <f>IF(OR($D409="",$B409="",Housemates!$B$15=""),0,IF($R409&gt;0,IF(M409="",0,IF(ISNUMBER(M409),M409,1)),IF($C409="Paying back",0,IF(AND(OR(Housemates!$C$15="",Housemates!$C$15&lt;=$B409),OR(Housemates!$D$15="",Housemates!$D$15&gt;=$B409)),IF($Q409=0,1,INDEX(Bills!$AH$6:$AH$25,$Q409)),0))))</f>
        <v/>
      </c>
      <c r="AA409">
        <f>SUM(S409:Z409)</f>
        <v/>
      </c>
      <c r="AB409">
        <f>IF(AA409=0,0,D409*S409/AA409)</f>
        <v/>
      </c>
      <c r="AC409">
        <f>IF(AA409=0,0,D409*T409/AA409)</f>
        <v/>
      </c>
      <c r="AD409">
        <f>IF(AA409=0,0,D409*U409/AA409)</f>
        <v/>
      </c>
      <c r="AE409">
        <f>IF(AA409=0,0,D409*V409/AA409)</f>
        <v/>
      </c>
      <c r="AF409">
        <f>IF(AA409=0,0,D409*W409/AA409)</f>
        <v/>
      </c>
      <c r="AG409">
        <f>IF(AA409=0,0,D409*X409/AA409)</f>
        <v/>
      </c>
      <c r="AH409">
        <f>IF(AA409=0,0,D409*Y409/AA409)</f>
        <v/>
      </c>
      <c r="AI409">
        <f>IF(AA409=0,0,D409*Z409/AA409)</f>
        <v/>
      </c>
      <c r="AJ409">
        <f>IF(OR(C409="",B409=""),"",C409&amp;"|"&amp;(YEAR(B409)*100+MONTH(B409)))</f>
        <v/>
      </c>
    </row>
    <row r="410">
      <c r="A410" s="1" t="n"/>
      <c r="B410" s="23" t="n"/>
      <c r="C410" s="24" t="n"/>
      <c r="D410" s="25" t="n"/>
      <c r="E410" s="26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1">
        <f>IF(D410="","",IF(B410="","No date",IF(AND(C410="Paying back",R410=0),"To whom?",IF(AA410=0,"Nobody",IF(C410="Paying back","To "&amp;INDEX(Housemates!$B$8:$B$15,MATCH(MAX(S410:Z410),S410:Z410,0)),IF(R410&gt;0,IF(COUNTIF(S410:Z410,"&gt;0")=1,"1 person",COUNTIF(S410:Z410,"&gt;0")&amp;" people"),IF(Q410=0,"Everyone",INDEX(Bills!$Q$6:$Q$25,Q410))))))))</f>
        <v/>
      </c>
      <c r="O410" s="18">
        <f>IF(D410="","",IF(C410="Paying back","Paying back",IF(Q410=0,"Other",IF(INDEX(Bills!$C$6:$C$25,Q410)="","Other",INDEX(Bills!$C$6:$C$25,Q410)))))</f>
        <v/>
      </c>
      <c r="P410" s="1" t="n"/>
      <c r="Q410">
        <f>IF(C410="",0,IFERROR(MATCH(C410,Bills!$B$6:$B$25,0),0))</f>
        <v/>
      </c>
      <c r="R410">
        <f>COUNTA(F410:M410)</f>
        <v/>
      </c>
      <c r="S410">
        <f>IF(OR($D410="",$B410="",Housemates!$B$8=""),0,IF($R410&gt;0,IF(F410="",0,IF(ISNUMBER(F410),F410,1)),IF($C410="Paying back",0,IF(AND(OR(Housemates!$C$8="",Housemates!$C$8&lt;=$B410),OR(Housemates!$D$8="",Housemates!$D$8&gt;=$B410)),IF($Q410=0,1,INDEX(Bills!$AA$6:$AA$25,$Q410)),0))))</f>
        <v/>
      </c>
      <c r="T410">
        <f>IF(OR($D410="",$B410="",Housemates!$B$9=""),0,IF($R410&gt;0,IF(G410="",0,IF(ISNUMBER(G410),G410,1)),IF($C410="Paying back",0,IF(AND(OR(Housemates!$C$9="",Housemates!$C$9&lt;=$B410),OR(Housemates!$D$9="",Housemates!$D$9&gt;=$B410)),IF($Q410=0,1,INDEX(Bills!$AB$6:$AB$25,$Q410)),0))))</f>
        <v/>
      </c>
      <c r="U410">
        <f>IF(OR($D410="",$B410="",Housemates!$B$10=""),0,IF($R410&gt;0,IF(H410="",0,IF(ISNUMBER(H410),H410,1)),IF($C410="Paying back",0,IF(AND(OR(Housemates!$C$10="",Housemates!$C$10&lt;=$B410),OR(Housemates!$D$10="",Housemates!$D$10&gt;=$B410)),IF($Q410=0,1,INDEX(Bills!$AC$6:$AC$25,$Q410)),0))))</f>
        <v/>
      </c>
      <c r="V410">
        <f>IF(OR($D410="",$B410="",Housemates!$B$11=""),0,IF($R410&gt;0,IF(I410="",0,IF(ISNUMBER(I410),I410,1)),IF($C410="Paying back",0,IF(AND(OR(Housemates!$C$11="",Housemates!$C$11&lt;=$B410),OR(Housemates!$D$11="",Housemates!$D$11&gt;=$B410)),IF($Q410=0,1,INDEX(Bills!$AD$6:$AD$25,$Q410)),0))))</f>
        <v/>
      </c>
      <c r="W410">
        <f>IF(OR($D410="",$B410="",Housemates!$B$12=""),0,IF($R410&gt;0,IF(J410="",0,IF(ISNUMBER(J410),J410,1)),IF($C410="Paying back",0,IF(AND(OR(Housemates!$C$12="",Housemates!$C$12&lt;=$B410),OR(Housemates!$D$12="",Housemates!$D$12&gt;=$B410)),IF($Q410=0,1,INDEX(Bills!$AE$6:$AE$25,$Q410)),0))))</f>
        <v/>
      </c>
      <c r="X410">
        <f>IF(OR($D410="",$B410="",Housemates!$B$13=""),0,IF($R410&gt;0,IF(K410="",0,IF(ISNUMBER(K410),K410,1)),IF($C410="Paying back",0,IF(AND(OR(Housemates!$C$13="",Housemates!$C$13&lt;=$B410),OR(Housemates!$D$13="",Housemates!$D$13&gt;=$B410)),IF($Q410=0,1,INDEX(Bills!$AF$6:$AF$25,$Q410)),0))))</f>
        <v/>
      </c>
      <c r="Y410">
        <f>IF(OR($D410="",$B410="",Housemates!$B$14=""),0,IF($R410&gt;0,IF(L410="",0,IF(ISNUMBER(L410),L410,1)),IF($C410="Paying back",0,IF(AND(OR(Housemates!$C$14="",Housemates!$C$14&lt;=$B410),OR(Housemates!$D$14="",Housemates!$D$14&gt;=$B410)),IF($Q410=0,1,INDEX(Bills!$AG$6:$AG$25,$Q410)),0))))</f>
        <v/>
      </c>
      <c r="Z410">
        <f>IF(OR($D410="",$B410="",Housemates!$B$15=""),0,IF($R410&gt;0,IF(M410="",0,IF(ISNUMBER(M410),M410,1)),IF($C410="Paying back",0,IF(AND(OR(Housemates!$C$15="",Housemates!$C$15&lt;=$B410),OR(Housemates!$D$15="",Housemates!$D$15&gt;=$B410)),IF($Q410=0,1,INDEX(Bills!$AH$6:$AH$25,$Q410)),0))))</f>
        <v/>
      </c>
      <c r="AA410">
        <f>SUM(S410:Z410)</f>
        <v/>
      </c>
      <c r="AB410">
        <f>IF(AA410=0,0,D410*S410/AA410)</f>
        <v/>
      </c>
      <c r="AC410">
        <f>IF(AA410=0,0,D410*T410/AA410)</f>
        <v/>
      </c>
      <c r="AD410">
        <f>IF(AA410=0,0,D410*U410/AA410)</f>
        <v/>
      </c>
      <c r="AE410">
        <f>IF(AA410=0,0,D410*V410/AA410)</f>
        <v/>
      </c>
      <c r="AF410">
        <f>IF(AA410=0,0,D410*W410/AA410)</f>
        <v/>
      </c>
      <c r="AG410">
        <f>IF(AA410=0,0,D410*X410/AA410)</f>
        <v/>
      </c>
      <c r="AH410">
        <f>IF(AA410=0,0,D410*Y410/AA410)</f>
        <v/>
      </c>
      <c r="AI410">
        <f>IF(AA410=0,0,D410*Z410/AA410)</f>
        <v/>
      </c>
      <c r="AJ410">
        <f>IF(OR(C410="",B410=""),"",C410&amp;"|"&amp;(YEAR(B410)*100+MONTH(B410)))</f>
        <v/>
      </c>
    </row>
    <row r="411">
      <c r="A411" s="1" t="n"/>
      <c r="B411" s="23" t="n"/>
      <c r="C411" s="24" t="n"/>
      <c r="D411" s="25" t="n"/>
      <c r="E411" s="26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1">
        <f>IF(D411="","",IF(B411="","No date",IF(AND(C411="Paying back",R411=0),"To whom?",IF(AA411=0,"Nobody",IF(C411="Paying back","To "&amp;INDEX(Housemates!$B$8:$B$15,MATCH(MAX(S411:Z411),S411:Z411,0)),IF(R411&gt;0,IF(COUNTIF(S411:Z411,"&gt;0")=1,"1 person",COUNTIF(S411:Z411,"&gt;0")&amp;" people"),IF(Q411=0,"Everyone",INDEX(Bills!$Q$6:$Q$25,Q411))))))))</f>
        <v/>
      </c>
      <c r="O411" s="18">
        <f>IF(D411="","",IF(C411="Paying back","Paying back",IF(Q411=0,"Other",IF(INDEX(Bills!$C$6:$C$25,Q411)="","Other",INDEX(Bills!$C$6:$C$25,Q411)))))</f>
        <v/>
      </c>
      <c r="P411" s="1" t="n"/>
      <c r="Q411">
        <f>IF(C411="",0,IFERROR(MATCH(C411,Bills!$B$6:$B$25,0),0))</f>
        <v/>
      </c>
      <c r="R411">
        <f>COUNTA(F411:M411)</f>
        <v/>
      </c>
      <c r="S411">
        <f>IF(OR($D411="",$B411="",Housemates!$B$8=""),0,IF($R411&gt;0,IF(F411="",0,IF(ISNUMBER(F411),F411,1)),IF($C411="Paying back",0,IF(AND(OR(Housemates!$C$8="",Housemates!$C$8&lt;=$B411),OR(Housemates!$D$8="",Housemates!$D$8&gt;=$B411)),IF($Q411=0,1,INDEX(Bills!$AA$6:$AA$25,$Q411)),0))))</f>
        <v/>
      </c>
      <c r="T411">
        <f>IF(OR($D411="",$B411="",Housemates!$B$9=""),0,IF($R411&gt;0,IF(G411="",0,IF(ISNUMBER(G411),G411,1)),IF($C411="Paying back",0,IF(AND(OR(Housemates!$C$9="",Housemates!$C$9&lt;=$B411),OR(Housemates!$D$9="",Housemates!$D$9&gt;=$B411)),IF($Q411=0,1,INDEX(Bills!$AB$6:$AB$25,$Q411)),0))))</f>
        <v/>
      </c>
      <c r="U411">
        <f>IF(OR($D411="",$B411="",Housemates!$B$10=""),0,IF($R411&gt;0,IF(H411="",0,IF(ISNUMBER(H411),H411,1)),IF($C411="Paying back",0,IF(AND(OR(Housemates!$C$10="",Housemates!$C$10&lt;=$B411),OR(Housemates!$D$10="",Housemates!$D$10&gt;=$B411)),IF($Q411=0,1,INDEX(Bills!$AC$6:$AC$25,$Q411)),0))))</f>
        <v/>
      </c>
      <c r="V411">
        <f>IF(OR($D411="",$B411="",Housemates!$B$11=""),0,IF($R411&gt;0,IF(I411="",0,IF(ISNUMBER(I411),I411,1)),IF($C411="Paying back",0,IF(AND(OR(Housemates!$C$11="",Housemates!$C$11&lt;=$B411),OR(Housemates!$D$11="",Housemates!$D$11&gt;=$B411)),IF($Q411=0,1,INDEX(Bills!$AD$6:$AD$25,$Q411)),0))))</f>
        <v/>
      </c>
      <c r="W411">
        <f>IF(OR($D411="",$B411="",Housemates!$B$12=""),0,IF($R411&gt;0,IF(J411="",0,IF(ISNUMBER(J411),J411,1)),IF($C411="Paying back",0,IF(AND(OR(Housemates!$C$12="",Housemates!$C$12&lt;=$B411),OR(Housemates!$D$12="",Housemates!$D$12&gt;=$B411)),IF($Q411=0,1,INDEX(Bills!$AE$6:$AE$25,$Q411)),0))))</f>
        <v/>
      </c>
      <c r="X411">
        <f>IF(OR($D411="",$B411="",Housemates!$B$13=""),0,IF($R411&gt;0,IF(K411="",0,IF(ISNUMBER(K411),K411,1)),IF($C411="Paying back",0,IF(AND(OR(Housemates!$C$13="",Housemates!$C$13&lt;=$B411),OR(Housemates!$D$13="",Housemates!$D$13&gt;=$B411)),IF($Q411=0,1,INDEX(Bills!$AF$6:$AF$25,$Q411)),0))))</f>
        <v/>
      </c>
      <c r="Y411">
        <f>IF(OR($D411="",$B411="",Housemates!$B$14=""),0,IF($R411&gt;0,IF(L411="",0,IF(ISNUMBER(L411),L411,1)),IF($C411="Paying back",0,IF(AND(OR(Housemates!$C$14="",Housemates!$C$14&lt;=$B411),OR(Housemates!$D$14="",Housemates!$D$14&gt;=$B411)),IF($Q411=0,1,INDEX(Bills!$AG$6:$AG$25,$Q411)),0))))</f>
        <v/>
      </c>
      <c r="Z411">
        <f>IF(OR($D411="",$B411="",Housemates!$B$15=""),0,IF($R411&gt;0,IF(M411="",0,IF(ISNUMBER(M411),M411,1)),IF($C411="Paying back",0,IF(AND(OR(Housemates!$C$15="",Housemates!$C$15&lt;=$B411),OR(Housemates!$D$15="",Housemates!$D$15&gt;=$B411)),IF($Q411=0,1,INDEX(Bills!$AH$6:$AH$25,$Q411)),0))))</f>
        <v/>
      </c>
      <c r="AA411">
        <f>SUM(S411:Z411)</f>
        <v/>
      </c>
      <c r="AB411">
        <f>IF(AA411=0,0,D411*S411/AA411)</f>
        <v/>
      </c>
      <c r="AC411">
        <f>IF(AA411=0,0,D411*T411/AA411)</f>
        <v/>
      </c>
      <c r="AD411">
        <f>IF(AA411=0,0,D411*U411/AA411)</f>
        <v/>
      </c>
      <c r="AE411">
        <f>IF(AA411=0,0,D411*V411/AA411)</f>
        <v/>
      </c>
      <c r="AF411">
        <f>IF(AA411=0,0,D411*W411/AA411)</f>
        <v/>
      </c>
      <c r="AG411">
        <f>IF(AA411=0,0,D411*X411/AA411)</f>
        <v/>
      </c>
      <c r="AH411">
        <f>IF(AA411=0,0,D411*Y411/AA411)</f>
        <v/>
      </c>
      <c r="AI411">
        <f>IF(AA411=0,0,D411*Z411/AA411)</f>
        <v/>
      </c>
      <c r="AJ411">
        <f>IF(OR(C411="",B411=""),"",C411&amp;"|"&amp;(YEAR(B411)*100+MONTH(B411)))</f>
        <v/>
      </c>
    </row>
    <row r="412">
      <c r="A412" s="1" t="n"/>
      <c r="B412" s="23" t="n"/>
      <c r="C412" s="24" t="n"/>
      <c r="D412" s="25" t="n"/>
      <c r="E412" s="26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1">
        <f>IF(D412="","",IF(B412="","No date",IF(AND(C412="Paying back",R412=0),"To whom?",IF(AA412=0,"Nobody",IF(C412="Paying back","To "&amp;INDEX(Housemates!$B$8:$B$15,MATCH(MAX(S412:Z412),S412:Z412,0)),IF(R412&gt;0,IF(COUNTIF(S412:Z412,"&gt;0")=1,"1 person",COUNTIF(S412:Z412,"&gt;0")&amp;" people"),IF(Q412=0,"Everyone",INDEX(Bills!$Q$6:$Q$25,Q412))))))))</f>
        <v/>
      </c>
      <c r="O412" s="18">
        <f>IF(D412="","",IF(C412="Paying back","Paying back",IF(Q412=0,"Other",IF(INDEX(Bills!$C$6:$C$25,Q412)="","Other",INDEX(Bills!$C$6:$C$25,Q412)))))</f>
        <v/>
      </c>
      <c r="P412" s="1" t="n"/>
      <c r="Q412">
        <f>IF(C412="",0,IFERROR(MATCH(C412,Bills!$B$6:$B$25,0),0))</f>
        <v/>
      </c>
      <c r="R412">
        <f>COUNTA(F412:M412)</f>
        <v/>
      </c>
      <c r="S412">
        <f>IF(OR($D412="",$B412="",Housemates!$B$8=""),0,IF($R412&gt;0,IF(F412="",0,IF(ISNUMBER(F412),F412,1)),IF($C412="Paying back",0,IF(AND(OR(Housemates!$C$8="",Housemates!$C$8&lt;=$B412),OR(Housemates!$D$8="",Housemates!$D$8&gt;=$B412)),IF($Q412=0,1,INDEX(Bills!$AA$6:$AA$25,$Q412)),0))))</f>
        <v/>
      </c>
      <c r="T412">
        <f>IF(OR($D412="",$B412="",Housemates!$B$9=""),0,IF($R412&gt;0,IF(G412="",0,IF(ISNUMBER(G412),G412,1)),IF($C412="Paying back",0,IF(AND(OR(Housemates!$C$9="",Housemates!$C$9&lt;=$B412),OR(Housemates!$D$9="",Housemates!$D$9&gt;=$B412)),IF($Q412=0,1,INDEX(Bills!$AB$6:$AB$25,$Q412)),0))))</f>
        <v/>
      </c>
      <c r="U412">
        <f>IF(OR($D412="",$B412="",Housemates!$B$10=""),0,IF($R412&gt;0,IF(H412="",0,IF(ISNUMBER(H412),H412,1)),IF($C412="Paying back",0,IF(AND(OR(Housemates!$C$10="",Housemates!$C$10&lt;=$B412),OR(Housemates!$D$10="",Housemates!$D$10&gt;=$B412)),IF($Q412=0,1,INDEX(Bills!$AC$6:$AC$25,$Q412)),0))))</f>
        <v/>
      </c>
      <c r="V412">
        <f>IF(OR($D412="",$B412="",Housemates!$B$11=""),0,IF($R412&gt;0,IF(I412="",0,IF(ISNUMBER(I412),I412,1)),IF($C412="Paying back",0,IF(AND(OR(Housemates!$C$11="",Housemates!$C$11&lt;=$B412),OR(Housemates!$D$11="",Housemates!$D$11&gt;=$B412)),IF($Q412=0,1,INDEX(Bills!$AD$6:$AD$25,$Q412)),0))))</f>
        <v/>
      </c>
      <c r="W412">
        <f>IF(OR($D412="",$B412="",Housemates!$B$12=""),0,IF($R412&gt;0,IF(J412="",0,IF(ISNUMBER(J412),J412,1)),IF($C412="Paying back",0,IF(AND(OR(Housemates!$C$12="",Housemates!$C$12&lt;=$B412),OR(Housemates!$D$12="",Housemates!$D$12&gt;=$B412)),IF($Q412=0,1,INDEX(Bills!$AE$6:$AE$25,$Q412)),0))))</f>
        <v/>
      </c>
      <c r="X412">
        <f>IF(OR($D412="",$B412="",Housemates!$B$13=""),0,IF($R412&gt;0,IF(K412="",0,IF(ISNUMBER(K412),K412,1)),IF($C412="Paying back",0,IF(AND(OR(Housemates!$C$13="",Housemates!$C$13&lt;=$B412),OR(Housemates!$D$13="",Housemates!$D$13&gt;=$B412)),IF($Q412=0,1,INDEX(Bills!$AF$6:$AF$25,$Q412)),0))))</f>
        <v/>
      </c>
      <c r="Y412">
        <f>IF(OR($D412="",$B412="",Housemates!$B$14=""),0,IF($R412&gt;0,IF(L412="",0,IF(ISNUMBER(L412),L412,1)),IF($C412="Paying back",0,IF(AND(OR(Housemates!$C$14="",Housemates!$C$14&lt;=$B412),OR(Housemates!$D$14="",Housemates!$D$14&gt;=$B412)),IF($Q412=0,1,INDEX(Bills!$AG$6:$AG$25,$Q412)),0))))</f>
        <v/>
      </c>
      <c r="Z412">
        <f>IF(OR($D412="",$B412="",Housemates!$B$15=""),0,IF($R412&gt;0,IF(M412="",0,IF(ISNUMBER(M412),M412,1)),IF($C412="Paying back",0,IF(AND(OR(Housemates!$C$15="",Housemates!$C$15&lt;=$B412),OR(Housemates!$D$15="",Housemates!$D$15&gt;=$B412)),IF($Q412=0,1,INDEX(Bills!$AH$6:$AH$25,$Q412)),0))))</f>
        <v/>
      </c>
      <c r="AA412">
        <f>SUM(S412:Z412)</f>
        <v/>
      </c>
      <c r="AB412">
        <f>IF(AA412=0,0,D412*S412/AA412)</f>
        <v/>
      </c>
      <c r="AC412">
        <f>IF(AA412=0,0,D412*T412/AA412)</f>
        <v/>
      </c>
      <c r="AD412">
        <f>IF(AA412=0,0,D412*U412/AA412)</f>
        <v/>
      </c>
      <c r="AE412">
        <f>IF(AA412=0,0,D412*V412/AA412)</f>
        <v/>
      </c>
      <c r="AF412">
        <f>IF(AA412=0,0,D412*W412/AA412)</f>
        <v/>
      </c>
      <c r="AG412">
        <f>IF(AA412=0,0,D412*X412/AA412)</f>
        <v/>
      </c>
      <c r="AH412">
        <f>IF(AA412=0,0,D412*Y412/AA412)</f>
        <v/>
      </c>
      <c r="AI412">
        <f>IF(AA412=0,0,D412*Z412/AA412)</f>
        <v/>
      </c>
      <c r="AJ412">
        <f>IF(OR(C412="",B412=""),"",C412&amp;"|"&amp;(YEAR(B412)*100+MONTH(B412)))</f>
        <v/>
      </c>
    </row>
    <row r="413">
      <c r="A413" s="1" t="n"/>
      <c r="B413" s="23" t="n"/>
      <c r="C413" s="24" t="n"/>
      <c r="D413" s="25" t="n"/>
      <c r="E413" s="26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1">
        <f>IF(D413="","",IF(B413="","No date",IF(AND(C413="Paying back",R413=0),"To whom?",IF(AA413=0,"Nobody",IF(C413="Paying back","To "&amp;INDEX(Housemates!$B$8:$B$15,MATCH(MAX(S413:Z413),S413:Z413,0)),IF(R413&gt;0,IF(COUNTIF(S413:Z413,"&gt;0")=1,"1 person",COUNTIF(S413:Z413,"&gt;0")&amp;" people"),IF(Q413=0,"Everyone",INDEX(Bills!$Q$6:$Q$25,Q413))))))))</f>
        <v/>
      </c>
      <c r="O413" s="18">
        <f>IF(D413="","",IF(C413="Paying back","Paying back",IF(Q413=0,"Other",IF(INDEX(Bills!$C$6:$C$25,Q413)="","Other",INDEX(Bills!$C$6:$C$25,Q413)))))</f>
        <v/>
      </c>
      <c r="P413" s="1" t="n"/>
      <c r="Q413">
        <f>IF(C413="",0,IFERROR(MATCH(C413,Bills!$B$6:$B$25,0),0))</f>
        <v/>
      </c>
      <c r="R413">
        <f>COUNTA(F413:M413)</f>
        <v/>
      </c>
      <c r="S413">
        <f>IF(OR($D413="",$B413="",Housemates!$B$8=""),0,IF($R413&gt;0,IF(F413="",0,IF(ISNUMBER(F413),F413,1)),IF($C413="Paying back",0,IF(AND(OR(Housemates!$C$8="",Housemates!$C$8&lt;=$B413),OR(Housemates!$D$8="",Housemates!$D$8&gt;=$B413)),IF($Q413=0,1,INDEX(Bills!$AA$6:$AA$25,$Q413)),0))))</f>
        <v/>
      </c>
      <c r="T413">
        <f>IF(OR($D413="",$B413="",Housemates!$B$9=""),0,IF($R413&gt;0,IF(G413="",0,IF(ISNUMBER(G413),G413,1)),IF($C413="Paying back",0,IF(AND(OR(Housemates!$C$9="",Housemates!$C$9&lt;=$B413),OR(Housemates!$D$9="",Housemates!$D$9&gt;=$B413)),IF($Q413=0,1,INDEX(Bills!$AB$6:$AB$25,$Q413)),0))))</f>
        <v/>
      </c>
      <c r="U413">
        <f>IF(OR($D413="",$B413="",Housemates!$B$10=""),0,IF($R413&gt;0,IF(H413="",0,IF(ISNUMBER(H413),H413,1)),IF($C413="Paying back",0,IF(AND(OR(Housemates!$C$10="",Housemates!$C$10&lt;=$B413),OR(Housemates!$D$10="",Housemates!$D$10&gt;=$B413)),IF($Q413=0,1,INDEX(Bills!$AC$6:$AC$25,$Q413)),0))))</f>
        <v/>
      </c>
      <c r="V413">
        <f>IF(OR($D413="",$B413="",Housemates!$B$11=""),0,IF($R413&gt;0,IF(I413="",0,IF(ISNUMBER(I413),I413,1)),IF($C413="Paying back",0,IF(AND(OR(Housemates!$C$11="",Housemates!$C$11&lt;=$B413),OR(Housemates!$D$11="",Housemates!$D$11&gt;=$B413)),IF($Q413=0,1,INDEX(Bills!$AD$6:$AD$25,$Q413)),0))))</f>
        <v/>
      </c>
      <c r="W413">
        <f>IF(OR($D413="",$B413="",Housemates!$B$12=""),0,IF($R413&gt;0,IF(J413="",0,IF(ISNUMBER(J413),J413,1)),IF($C413="Paying back",0,IF(AND(OR(Housemates!$C$12="",Housemates!$C$12&lt;=$B413),OR(Housemates!$D$12="",Housemates!$D$12&gt;=$B413)),IF($Q413=0,1,INDEX(Bills!$AE$6:$AE$25,$Q413)),0))))</f>
        <v/>
      </c>
      <c r="X413">
        <f>IF(OR($D413="",$B413="",Housemates!$B$13=""),0,IF($R413&gt;0,IF(K413="",0,IF(ISNUMBER(K413),K413,1)),IF($C413="Paying back",0,IF(AND(OR(Housemates!$C$13="",Housemates!$C$13&lt;=$B413),OR(Housemates!$D$13="",Housemates!$D$13&gt;=$B413)),IF($Q413=0,1,INDEX(Bills!$AF$6:$AF$25,$Q413)),0))))</f>
        <v/>
      </c>
      <c r="Y413">
        <f>IF(OR($D413="",$B413="",Housemates!$B$14=""),0,IF($R413&gt;0,IF(L413="",0,IF(ISNUMBER(L413),L413,1)),IF($C413="Paying back",0,IF(AND(OR(Housemates!$C$14="",Housemates!$C$14&lt;=$B413),OR(Housemates!$D$14="",Housemates!$D$14&gt;=$B413)),IF($Q413=0,1,INDEX(Bills!$AG$6:$AG$25,$Q413)),0))))</f>
        <v/>
      </c>
      <c r="Z413">
        <f>IF(OR($D413="",$B413="",Housemates!$B$15=""),0,IF($R413&gt;0,IF(M413="",0,IF(ISNUMBER(M413),M413,1)),IF($C413="Paying back",0,IF(AND(OR(Housemates!$C$15="",Housemates!$C$15&lt;=$B413),OR(Housemates!$D$15="",Housemates!$D$15&gt;=$B413)),IF($Q413=0,1,INDEX(Bills!$AH$6:$AH$25,$Q413)),0))))</f>
        <v/>
      </c>
      <c r="AA413">
        <f>SUM(S413:Z413)</f>
        <v/>
      </c>
      <c r="AB413">
        <f>IF(AA413=0,0,D413*S413/AA413)</f>
        <v/>
      </c>
      <c r="AC413">
        <f>IF(AA413=0,0,D413*T413/AA413)</f>
        <v/>
      </c>
      <c r="AD413">
        <f>IF(AA413=0,0,D413*U413/AA413)</f>
        <v/>
      </c>
      <c r="AE413">
        <f>IF(AA413=0,0,D413*V413/AA413)</f>
        <v/>
      </c>
      <c r="AF413">
        <f>IF(AA413=0,0,D413*W413/AA413)</f>
        <v/>
      </c>
      <c r="AG413">
        <f>IF(AA413=0,0,D413*X413/AA413)</f>
        <v/>
      </c>
      <c r="AH413">
        <f>IF(AA413=0,0,D413*Y413/AA413)</f>
        <v/>
      </c>
      <c r="AI413">
        <f>IF(AA413=0,0,D413*Z413/AA413)</f>
        <v/>
      </c>
      <c r="AJ413">
        <f>IF(OR(C413="",B413=""),"",C413&amp;"|"&amp;(YEAR(B413)*100+MONTH(B413)))</f>
        <v/>
      </c>
    </row>
    <row r="414">
      <c r="A414" s="1" t="n"/>
      <c r="B414" s="23" t="n"/>
      <c r="C414" s="24" t="n"/>
      <c r="D414" s="25" t="n"/>
      <c r="E414" s="26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1">
        <f>IF(D414="","",IF(B414="","No date",IF(AND(C414="Paying back",R414=0),"To whom?",IF(AA414=0,"Nobody",IF(C414="Paying back","To "&amp;INDEX(Housemates!$B$8:$B$15,MATCH(MAX(S414:Z414),S414:Z414,0)),IF(R414&gt;0,IF(COUNTIF(S414:Z414,"&gt;0")=1,"1 person",COUNTIF(S414:Z414,"&gt;0")&amp;" people"),IF(Q414=0,"Everyone",INDEX(Bills!$Q$6:$Q$25,Q414))))))))</f>
        <v/>
      </c>
      <c r="O414" s="18">
        <f>IF(D414="","",IF(C414="Paying back","Paying back",IF(Q414=0,"Other",IF(INDEX(Bills!$C$6:$C$25,Q414)="","Other",INDEX(Bills!$C$6:$C$25,Q414)))))</f>
        <v/>
      </c>
      <c r="P414" s="1" t="n"/>
      <c r="Q414">
        <f>IF(C414="",0,IFERROR(MATCH(C414,Bills!$B$6:$B$25,0),0))</f>
        <v/>
      </c>
      <c r="R414">
        <f>COUNTA(F414:M414)</f>
        <v/>
      </c>
      <c r="S414">
        <f>IF(OR($D414="",$B414="",Housemates!$B$8=""),0,IF($R414&gt;0,IF(F414="",0,IF(ISNUMBER(F414),F414,1)),IF($C414="Paying back",0,IF(AND(OR(Housemates!$C$8="",Housemates!$C$8&lt;=$B414),OR(Housemates!$D$8="",Housemates!$D$8&gt;=$B414)),IF($Q414=0,1,INDEX(Bills!$AA$6:$AA$25,$Q414)),0))))</f>
        <v/>
      </c>
      <c r="T414">
        <f>IF(OR($D414="",$B414="",Housemates!$B$9=""),0,IF($R414&gt;0,IF(G414="",0,IF(ISNUMBER(G414),G414,1)),IF($C414="Paying back",0,IF(AND(OR(Housemates!$C$9="",Housemates!$C$9&lt;=$B414),OR(Housemates!$D$9="",Housemates!$D$9&gt;=$B414)),IF($Q414=0,1,INDEX(Bills!$AB$6:$AB$25,$Q414)),0))))</f>
        <v/>
      </c>
      <c r="U414">
        <f>IF(OR($D414="",$B414="",Housemates!$B$10=""),0,IF($R414&gt;0,IF(H414="",0,IF(ISNUMBER(H414),H414,1)),IF($C414="Paying back",0,IF(AND(OR(Housemates!$C$10="",Housemates!$C$10&lt;=$B414),OR(Housemates!$D$10="",Housemates!$D$10&gt;=$B414)),IF($Q414=0,1,INDEX(Bills!$AC$6:$AC$25,$Q414)),0))))</f>
        <v/>
      </c>
      <c r="V414">
        <f>IF(OR($D414="",$B414="",Housemates!$B$11=""),0,IF($R414&gt;0,IF(I414="",0,IF(ISNUMBER(I414),I414,1)),IF($C414="Paying back",0,IF(AND(OR(Housemates!$C$11="",Housemates!$C$11&lt;=$B414),OR(Housemates!$D$11="",Housemates!$D$11&gt;=$B414)),IF($Q414=0,1,INDEX(Bills!$AD$6:$AD$25,$Q414)),0))))</f>
        <v/>
      </c>
      <c r="W414">
        <f>IF(OR($D414="",$B414="",Housemates!$B$12=""),0,IF($R414&gt;0,IF(J414="",0,IF(ISNUMBER(J414),J414,1)),IF($C414="Paying back",0,IF(AND(OR(Housemates!$C$12="",Housemates!$C$12&lt;=$B414),OR(Housemates!$D$12="",Housemates!$D$12&gt;=$B414)),IF($Q414=0,1,INDEX(Bills!$AE$6:$AE$25,$Q414)),0))))</f>
        <v/>
      </c>
      <c r="X414">
        <f>IF(OR($D414="",$B414="",Housemates!$B$13=""),0,IF($R414&gt;0,IF(K414="",0,IF(ISNUMBER(K414),K414,1)),IF($C414="Paying back",0,IF(AND(OR(Housemates!$C$13="",Housemates!$C$13&lt;=$B414),OR(Housemates!$D$13="",Housemates!$D$13&gt;=$B414)),IF($Q414=0,1,INDEX(Bills!$AF$6:$AF$25,$Q414)),0))))</f>
        <v/>
      </c>
      <c r="Y414">
        <f>IF(OR($D414="",$B414="",Housemates!$B$14=""),0,IF($R414&gt;0,IF(L414="",0,IF(ISNUMBER(L414),L414,1)),IF($C414="Paying back",0,IF(AND(OR(Housemates!$C$14="",Housemates!$C$14&lt;=$B414),OR(Housemates!$D$14="",Housemates!$D$14&gt;=$B414)),IF($Q414=0,1,INDEX(Bills!$AG$6:$AG$25,$Q414)),0))))</f>
        <v/>
      </c>
      <c r="Z414">
        <f>IF(OR($D414="",$B414="",Housemates!$B$15=""),0,IF($R414&gt;0,IF(M414="",0,IF(ISNUMBER(M414),M414,1)),IF($C414="Paying back",0,IF(AND(OR(Housemates!$C$15="",Housemates!$C$15&lt;=$B414),OR(Housemates!$D$15="",Housemates!$D$15&gt;=$B414)),IF($Q414=0,1,INDEX(Bills!$AH$6:$AH$25,$Q414)),0))))</f>
        <v/>
      </c>
      <c r="AA414">
        <f>SUM(S414:Z414)</f>
        <v/>
      </c>
      <c r="AB414">
        <f>IF(AA414=0,0,D414*S414/AA414)</f>
        <v/>
      </c>
      <c r="AC414">
        <f>IF(AA414=0,0,D414*T414/AA414)</f>
        <v/>
      </c>
      <c r="AD414">
        <f>IF(AA414=0,0,D414*U414/AA414)</f>
        <v/>
      </c>
      <c r="AE414">
        <f>IF(AA414=0,0,D414*V414/AA414)</f>
        <v/>
      </c>
      <c r="AF414">
        <f>IF(AA414=0,0,D414*W414/AA414)</f>
        <v/>
      </c>
      <c r="AG414">
        <f>IF(AA414=0,0,D414*X414/AA414)</f>
        <v/>
      </c>
      <c r="AH414">
        <f>IF(AA414=0,0,D414*Y414/AA414)</f>
        <v/>
      </c>
      <c r="AI414">
        <f>IF(AA414=0,0,D414*Z414/AA414)</f>
        <v/>
      </c>
      <c r="AJ414">
        <f>IF(OR(C414="",B414=""),"",C414&amp;"|"&amp;(YEAR(B414)*100+MONTH(B414)))</f>
        <v/>
      </c>
    </row>
    <row r="415">
      <c r="A415" s="1" t="n"/>
      <c r="B415" s="23" t="n"/>
      <c r="C415" s="24" t="n"/>
      <c r="D415" s="25" t="n"/>
      <c r="E415" s="26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1">
        <f>IF(D415="","",IF(B415="","No date",IF(AND(C415="Paying back",R415=0),"To whom?",IF(AA415=0,"Nobody",IF(C415="Paying back","To "&amp;INDEX(Housemates!$B$8:$B$15,MATCH(MAX(S415:Z415),S415:Z415,0)),IF(R415&gt;0,IF(COUNTIF(S415:Z415,"&gt;0")=1,"1 person",COUNTIF(S415:Z415,"&gt;0")&amp;" people"),IF(Q415=0,"Everyone",INDEX(Bills!$Q$6:$Q$25,Q415))))))))</f>
        <v/>
      </c>
      <c r="O415" s="18">
        <f>IF(D415="","",IF(C415="Paying back","Paying back",IF(Q415=0,"Other",IF(INDEX(Bills!$C$6:$C$25,Q415)="","Other",INDEX(Bills!$C$6:$C$25,Q415)))))</f>
        <v/>
      </c>
      <c r="P415" s="1" t="n"/>
      <c r="Q415">
        <f>IF(C415="",0,IFERROR(MATCH(C415,Bills!$B$6:$B$25,0),0))</f>
        <v/>
      </c>
      <c r="R415">
        <f>COUNTA(F415:M415)</f>
        <v/>
      </c>
      <c r="S415">
        <f>IF(OR($D415="",$B415="",Housemates!$B$8=""),0,IF($R415&gt;0,IF(F415="",0,IF(ISNUMBER(F415),F415,1)),IF($C415="Paying back",0,IF(AND(OR(Housemates!$C$8="",Housemates!$C$8&lt;=$B415),OR(Housemates!$D$8="",Housemates!$D$8&gt;=$B415)),IF($Q415=0,1,INDEX(Bills!$AA$6:$AA$25,$Q415)),0))))</f>
        <v/>
      </c>
      <c r="T415">
        <f>IF(OR($D415="",$B415="",Housemates!$B$9=""),0,IF($R415&gt;0,IF(G415="",0,IF(ISNUMBER(G415),G415,1)),IF($C415="Paying back",0,IF(AND(OR(Housemates!$C$9="",Housemates!$C$9&lt;=$B415),OR(Housemates!$D$9="",Housemates!$D$9&gt;=$B415)),IF($Q415=0,1,INDEX(Bills!$AB$6:$AB$25,$Q415)),0))))</f>
        <v/>
      </c>
      <c r="U415">
        <f>IF(OR($D415="",$B415="",Housemates!$B$10=""),0,IF($R415&gt;0,IF(H415="",0,IF(ISNUMBER(H415),H415,1)),IF($C415="Paying back",0,IF(AND(OR(Housemates!$C$10="",Housemates!$C$10&lt;=$B415),OR(Housemates!$D$10="",Housemates!$D$10&gt;=$B415)),IF($Q415=0,1,INDEX(Bills!$AC$6:$AC$25,$Q415)),0))))</f>
        <v/>
      </c>
      <c r="V415">
        <f>IF(OR($D415="",$B415="",Housemates!$B$11=""),0,IF($R415&gt;0,IF(I415="",0,IF(ISNUMBER(I415),I415,1)),IF($C415="Paying back",0,IF(AND(OR(Housemates!$C$11="",Housemates!$C$11&lt;=$B415),OR(Housemates!$D$11="",Housemates!$D$11&gt;=$B415)),IF($Q415=0,1,INDEX(Bills!$AD$6:$AD$25,$Q415)),0))))</f>
        <v/>
      </c>
      <c r="W415">
        <f>IF(OR($D415="",$B415="",Housemates!$B$12=""),0,IF($R415&gt;0,IF(J415="",0,IF(ISNUMBER(J415),J415,1)),IF($C415="Paying back",0,IF(AND(OR(Housemates!$C$12="",Housemates!$C$12&lt;=$B415),OR(Housemates!$D$12="",Housemates!$D$12&gt;=$B415)),IF($Q415=0,1,INDEX(Bills!$AE$6:$AE$25,$Q415)),0))))</f>
        <v/>
      </c>
      <c r="X415">
        <f>IF(OR($D415="",$B415="",Housemates!$B$13=""),0,IF($R415&gt;0,IF(K415="",0,IF(ISNUMBER(K415),K415,1)),IF($C415="Paying back",0,IF(AND(OR(Housemates!$C$13="",Housemates!$C$13&lt;=$B415),OR(Housemates!$D$13="",Housemates!$D$13&gt;=$B415)),IF($Q415=0,1,INDEX(Bills!$AF$6:$AF$25,$Q415)),0))))</f>
        <v/>
      </c>
      <c r="Y415">
        <f>IF(OR($D415="",$B415="",Housemates!$B$14=""),0,IF($R415&gt;0,IF(L415="",0,IF(ISNUMBER(L415),L415,1)),IF($C415="Paying back",0,IF(AND(OR(Housemates!$C$14="",Housemates!$C$14&lt;=$B415),OR(Housemates!$D$14="",Housemates!$D$14&gt;=$B415)),IF($Q415=0,1,INDEX(Bills!$AG$6:$AG$25,$Q415)),0))))</f>
        <v/>
      </c>
      <c r="Z415">
        <f>IF(OR($D415="",$B415="",Housemates!$B$15=""),0,IF($R415&gt;0,IF(M415="",0,IF(ISNUMBER(M415),M415,1)),IF($C415="Paying back",0,IF(AND(OR(Housemates!$C$15="",Housemates!$C$15&lt;=$B415),OR(Housemates!$D$15="",Housemates!$D$15&gt;=$B415)),IF($Q415=0,1,INDEX(Bills!$AH$6:$AH$25,$Q415)),0))))</f>
        <v/>
      </c>
      <c r="AA415">
        <f>SUM(S415:Z415)</f>
        <v/>
      </c>
      <c r="AB415">
        <f>IF(AA415=0,0,D415*S415/AA415)</f>
        <v/>
      </c>
      <c r="AC415">
        <f>IF(AA415=0,0,D415*T415/AA415)</f>
        <v/>
      </c>
      <c r="AD415">
        <f>IF(AA415=0,0,D415*U415/AA415)</f>
        <v/>
      </c>
      <c r="AE415">
        <f>IF(AA415=0,0,D415*V415/AA415)</f>
        <v/>
      </c>
      <c r="AF415">
        <f>IF(AA415=0,0,D415*W415/AA415)</f>
        <v/>
      </c>
      <c r="AG415">
        <f>IF(AA415=0,0,D415*X415/AA415)</f>
        <v/>
      </c>
      <c r="AH415">
        <f>IF(AA415=0,0,D415*Y415/AA415)</f>
        <v/>
      </c>
      <c r="AI415">
        <f>IF(AA415=0,0,D415*Z415/AA415)</f>
        <v/>
      </c>
      <c r="AJ415">
        <f>IF(OR(C415="",B415=""),"",C415&amp;"|"&amp;(YEAR(B415)*100+MONTH(B415)))</f>
        <v/>
      </c>
    </row>
    <row r="416">
      <c r="A416" s="1" t="n"/>
      <c r="B416" s="23" t="n"/>
      <c r="C416" s="24" t="n"/>
      <c r="D416" s="25" t="n"/>
      <c r="E416" s="26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1">
        <f>IF(D416="","",IF(B416="","No date",IF(AND(C416="Paying back",R416=0),"To whom?",IF(AA416=0,"Nobody",IF(C416="Paying back","To "&amp;INDEX(Housemates!$B$8:$B$15,MATCH(MAX(S416:Z416),S416:Z416,0)),IF(R416&gt;0,IF(COUNTIF(S416:Z416,"&gt;0")=1,"1 person",COUNTIF(S416:Z416,"&gt;0")&amp;" people"),IF(Q416=0,"Everyone",INDEX(Bills!$Q$6:$Q$25,Q416))))))))</f>
        <v/>
      </c>
      <c r="O416" s="18">
        <f>IF(D416="","",IF(C416="Paying back","Paying back",IF(Q416=0,"Other",IF(INDEX(Bills!$C$6:$C$25,Q416)="","Other",INDEX(Bills!$C$6:$C$25,Q416)))))</f>
        <v/>
      </c>
      <c r="P416" s="1" t="n"/>
      <c r="Q416">
        <f>IF(C416="",0,IFERROR(MATCH(C416,Bills!$B$6:$B$25,0),0))</f>
        <v/>
      </c>
      <c r="R416">
        <f>COUNTA(F416:M416)</f>
        <v/>
      </c>
      <c r="S416">
        <f>IF(OR($D416="",$B416="",Housemates!$B$8=""),0,IF($R416&gt;0,IF(F416="",0,IF(ISNUMBER(F416),F416,1)),IF($C416="Paying back",0,IF(AND(OR(Housemates!$C$8="",Housemates!$C$8&lt;=$B416),OR(Housemates!$D$8="",Housemates!$D$8&gt;=$B416)),IF($Q416=0,1,INDEX(Bills!$AA$6:$AA$25,$Q416)),0))))</f>
        <v/>
      </c>
      <c r="T416">
        <f>IF(OR($D416="",$B416="",Housemates!$B$9=""),0,IF($R416&gt;0,IF(G416="",0,IF(ISNUMBER(G416),G416,1)),IF($C416="Paying back",0,IF(AND(OR(Housemates!$C$9="",Housemates!$C$9&lt;=$B416),OR(Housemates!$D$9="",Housemates!$D$9&gt;=$B416)),IF($Q416=0,1,INDEX(Bills!$AB$6:$AB$25,$Q416)),0))))</f>
        <v/>
      </c>
      <c r="U416">
        <f>IF(OR($D416="",$B416="",Housemates!$B$10=""),0,IF($R416&gt;0,IF(H416="",0,IF(ISNUMBER(H416),H416,1)),IF($C416="Paying back",0,IF(AND(OR(Housemates!$C$10="",Housemates!$C$10&lt;=$B416),OR(Housemates!$D$10="",Housemates!$D$10&gt;=$B416)),IF($Q416=0,1,INDEX(Bills!$AC$6:$AC$25,$Q416)),0))))</f>
        <v/>
      </c>
      <c r="V416">
        <f>IF(OR($D416="",$B416="",Housemates!$B$11=""),0,IF($R416&gt;0,IF(I416="",0,IF(ISNUMBER(I416),I416,1)),IF($C416="Paying back",0,IF(AND(OR(Housemates!$C$11="",Housemates!$C$11&lt;=$B416),OR(Housemates!$D$11="",Housemates!$D$11&gt;=$B416)),IF($Q416=0,1,INDEX(Bills!$AD$6:$AD$25,$Q416)),0))))</f>
        <v/>
      </c>
      <c r="W416">
        <f>IF(OR($D416="",$B416="",Housemates!$B$12=""),0,IF($R416&gt;0,IF(J416="",0,IF(ISNUMBER(J416),J416,1)),IF($C416="Paying back",0,IF(AND(OR(Housemates!$C$12="",Housemates!$C$12&lt;=$B416),OR(Housemates!$D$12="",Housemates!$D$12&gt;=$B416)),IF($Q416=0,1,INDEX(Bills!$AE$6:$AE$25,$Q416)),0))))</f>
        <v/>
      </c>
      <c r="X416">
        <f>IF(OR($D416="",$B416="",Housemates!$B$13=""),0,IF($R416&gt;0,IF(K416="",0,IF(ISNUMBER(K416),K416,1)),IF($C416="Paying back",0,IF(AND(OR(Housemates!$C$13="",Housemates!$C$13&lt;=$B416),OR(Housemates!$D$13="",Housemates!$D$13&gt;=$B416)),IF($Q416=0,1,INDEX(Bills!$AF$6:$AF$25,$Q416)),0))))</f>
        <v/>
      </c>
      <c r="Y416">
        <f>IF(OR($D416="",$B416="",Housemates!$B$14=""),0,IF($R416&gt;0,IF(L416="",0,IF(ISNUMBER(L416),L416,1)),IF($C416="Paying back",0,IF(AND(OR(Housemates!$C$14="",Housemates!$C$14&lt;=$B416),OR(Housemates!$D$14="",Housemates!$D$14&gt;=$B416)),IF($Q416=0,1,INDEX(Bills!$AG$6:$AG$25,$Q416)),0))))</f>
        <v/>
      </c>
      <c r="Z416">
        <f>IF(OR($D416="",$B416="",Housemates!$B$15=""),0,IF($R416&gt;0,IF(M416="",0,IF(ISNUMBER(M416),M416,1)),IF($C416="Paying back",0,IF(AND(OR(Housemates!$C$15="",Housemates!$C$15&lt;=$B416),OR(Housemates!$D$15="",Housemates!$D$15&gt;=$B416)),IF($Q416=0,1,INDEX(Bills!$AH$6:$AH$25,$Q416)),0))))</f>
        <v/>
      </c>
      <c r="AA416">
        <f>SUM(S416:Z416)</f>
        <v/>
      </c>
      <c r="AB416">
        <f>IF(AA416=0,0,D416*S416/AA416)</f>
        <v/>
      </c>
      <c r="AC416">
        <f>IF(AA416=0,0,D416*T416/AA416)</f>
        <v/>
      </c>
      <c r="AD416">
        <f>IF(AA416=0,0,D416*U416/AA416)</f>
        <v/>
      </c>
      <c r="AE416">
        <f>IF(AA416=0,0,D416*V416/AA416)</f>
        <v/>
      </c>
      <c r="AF416">
        <f>IF(AA416=0,0,D416*W416/AA416)</f>
        <v/>
      </c>
      <c r="AG416">
        <f>IF(AA416=0,0,D416*X416/AA416)</f>
        <v/>
      </c>
      <c r="AH416">
        <f>IF(AA416=0,0,D416*Y416/AA416)</f>
        <v/>
      </c>
      <c r="AI416">
        <f>IF(AA416=0,0,D416*Z416/AA416)</f>
        <v/>
      </c>
      <c r="AJ416">
        <f>IF(OR(C416="",B416=""),"",C416&amp;"|"&amp;(YEAR(B416)*100+MONTH(B416)))</f>
        <v/>
      </c>
    </row>
    <row r="417">
      <c r="A417" s="1" t="n"/>
      <c r="B417" s="23" t="n"/>
      <c r="C417" s="24" t="n"/>
      <c r="D417" s="25" t="n"/>
      <c r="E417" s="26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1">
        <f>IF(D417="","",IF(B417="","No date",IF(AND(C417="Paying back",R417=0),"To whom?",IF(AA417=0,"Nobody",IF(C417="Paying back","To "&amp;INDEX(Housemates!$B$8:$B$15,MATCH(MAX(S417:Z417),S417:Z417,0)),IF(R417&gt;0,IF(COUNTIF(S417:Z417,"&gt;0")=1,"1 person",COUNTIF(S417:Z417,"&gt;0")&amp;" people"),IF(Q417=0,"Everyone",INDEX(Bills!$Q$6:$Q$25,Q417))))))))</f>
        <v/>
      </c>
      <c r="O417" s="18">
        <f>IF(D417="","",IF(C417="Paying back","Paying back",IF(Q417=0,"Other",IF(INDEX(Bills!$C$6:$C$25,Q417)="","Other",INDEX(Bills!$C$6:$C$25,Q417)))))</f>
        <v/>
      </c>
      <c r="P417" s="1" t="n"/>
      <c r="Q417">
        <f>IF(C417="",0,IFERROR(MATCH(C417,Bills!$B$6:$B$25,0),0))</f>
        <v/>
      </c>
      <c r="R417">
        <f>COUNTA(F417:M417)</f>
        <v/>
      </c>
      <c r="S417">
        <f>IF(OR($D417="",$B417="",Housemates!$B$8=""),0,IF($R417&gt;0,IF(F417="",0,IF(ISNUMBER(F417),F417,1)),IF($C417="Paying back",0,IF(AND(OR(Housemates!$C$8="",Housemates!$C$8&lt;=$B417),OR(Housemates!$D$8="",Housemates!$D$8&gt;=$B417)),IF($Q417=0,1,INDEX(Bills!$AA$6:$AA$25,$Q417)),0))))</f>
        <v/>
      </c>
      <c r="T417">
        <f>IF(OR($D417="",$B417="",Housemates!$B$9=""),0,IF($R417&gt;0,IF(G417="",0,IF(ISNUMBER(G417),G417,1)),IF($C417="Paying back",0,IF(AND(OR(Housemates!$C$9="",Housemates!$C$9&lt;=$B417),OR(Housemates!$D$9="",Housemates!$D$9&gt;=$B417)),IF($Q417=0,1,INDEX(Bills!$AB$6:$AB$25,$Q417)),0))))</f>
        <v/>
      </c>
      <c r="U417">
        <f>IF(OR($D417="",$B417="",Housemates!$B$10=""),0,IF($R417&gt;0,IF(H417="",0,IF(ISNUMBER(H417),H417,1)),IF($C417="Paying back",0,IF(AND(OR(Housemates!$C$10="",Housemates!$C$10&lt;=$B417),OR(Housemates!$D$10="",Housemates!$D$10&gt;=$B417)),IF($Q417=0,1,INDEX(Bills!$AC$6:$AC$25,$Q417)),0))))</f>
        <v/>
      </c>
      <c r="V417">
        <f>IF(OR($D417="",$B417="",Housemates!$B$11=""),0,IF($R417&gt;0,IF(I417="",0,IF(ISNUMBER(I417),I417,1)),IF($C417="Paying back",0,IF(AND(OR(Housemates!$C$11="",Housemates!$C$11&lt;=$B417),OR(Housemates!$D$11="",Housemates!$D$11&gt;=$B417)),IF($Q417=0,1,INDEX(Bills!$AD$6:$AD$25,$Q417)),0))))</f>
        <v/>
      </c>
      <c r="W417">
        <f>IF(OR($D417="",$B417="",Housemates!$B$12=""),0,IF($R417&gt;0,IF(J417="",0,IF(ISNUMBER(J417),J417,1)),IF($C417="Paying back",0,IF(AND(OR(Housemates!$C$12="",Housemates!$C$12&lt;=$B417),OR(Housemates!$D$12="",Housemates!$D$12&gt;=$B417)),IF($Q417=0,1,INDEX(Bills!$AE$6:$AE$25,$Q417)),0))))</f>
        <v/>
      </c>
      <c r="X417">
        <f>IF(OR($D417="",$B417="",Housemates!$B$13=""),0,IF($R417&gt;0,IF(K417="",0,IF(ISNUMBER(K417),K417,1)),IF($C417="Paying back",0,IF(AND(OR(Housemates!$C$13="",Housemates!$C$13&lt;=$B417),OR(Housemates!$D$13="",Housemates!$D$13&gt;=$B417)),IF($Q417=0,1,INDEX(Bills!$AF$6:$AF$25,$Q417)),0))))</f>
        <v/>
      </c>
      <c r="Y417">
        <f>IF(OR($D417="",$B417="",Housemates!$B$14=""),0,IF($R417&gt;0,IF(L417="",0,IF(ISNUMBER(L417),L417,1)),IF($C417="Paying back",0,IF(AND(OR(Housemates!$C$14="",Housemates!$C$14&lt;=$B417),OR(Housemates!$D$14="",Housemates!$D$14&gt;=$B417)),IF($Q417=0,1,INDEX(Bills!$AG$6:$AG$25,$Q417)),0))))</f>
        <v/>
      </c>
      <c r="Z417">
        <f>IF(OR($D417="",$B417="",Housemates!$B$15=""),0,IF($R417&gt;0,IF(M417="",0,IF(ISNUMBER(M417),M417,1)),IF($C417="Paying back",0,IF(AND(OR(Housemates!$C$15="",Housemates!$C$15&lt;=$B417),OR(Housemates!$D$15="",Housemates!$D$15&gt;=$B417)),IF($Q417=0,1,INDEX(Bills!$AH$6:$AH$25,$Q417)),0))))</f>
        <v/>
      </c>
      <c r="AA417">
        <f>SUM(S417:Z417)</f>
        <v/>
      </c>
      <c r="AB417">
        <f>IF(AA417=0,0,D417*S417/AA417)</f>
        <v/>
      </c>
      <c r="AC417">
        <f>IF(AA417=0,0,D417*T417/AA417)</f>
        <v/>
      </c>
      <c r="AD417">
        <f>IF(AA417=0,0,D417*U417/AA417)</f>
        <v/>
      </c>
      <c r="AE417">
        <f>IF(AA417=0,0,D417*V417/AA417)</f>
        <v/>
      </c>
      <c r="AF417">
        <f>IF(AA417=0,0,D417*W417/AA417)</f>
        <v/>
      </c>
      <c r="AG417">
        <f>IF(AA417=0,0,D417*X417/AA417)</f>
        <v/>
      </c>
      <c r="AH417">
        <f>IF(AA417=0,0,D417*Y417/AA417)</f>
        <v/>
      </c>
      <c r="AI417">
        <f>IF(AA417=0,0,D417*Z417/AA417)</f>
        <v/>
      </c>
      <c r="AJ417">
        <f>IF(OR(C417="",B417=""),"",C417&amp;"|"&amp;(YEAR(B417)*100+MONTH(B417)))</f>
        <v/>
      </c>
    </row>
    <row r="418">
      <c r="A418" s="1" t="n"/>
      <c r="B418" s="23" t="n"/>
      <c r="C418" s="24" t="n"/>
      <c r="D418" s="25" t="n"/>
      <c r="E418" s="26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1">
        <f>IF(D418="","",IF(B418="","No date",IF(AND(C418="Paying back",R418=0),"To whom?",IF(AA418=0,"Nobody",IF(C418="Paying back","To "&amp;INDEX(Housemates!$B$8:$B$15,MATCH(MAX(S418:Z418),S418:Z418,0)),IF(R418&gt;0,IF(COUNTIF(S418:Z418,"&gt;0")=1,"1 person",COUNTIF(S418:Z418,"&gt;0")&amp;" people"),IF(Q418=0,"Everyone",INDEX(Bills!$Q$6:$Q$25,Q418))))))))</f>
        <v/>
      </c>
      <c r="O418" s="18">
        <f>IF(D418="","",IF(C418="Paying back","Paying back",IF(Q418=0,"Other",IF(INDEX(Bills!$C$6:$C$25,Q418)="","Other",INDEX(Bills!$C$6:$C$25,Q418)))))</f>
        <v/>
      </c>
      <c r="P418" s="1" t="n"/>
      <c r="Q418">
        <f>IF(C418="",0,IFERROR(MATCH(C418,Bills!$B$6:$B$25,0),0))</f>
        <v/>
      </c>
      <c r="R418">
        <f>COUNTA(F418:M418)</f>
        <v/>
      </c>
      <c r="S418">
        <f>IF(OR($D418="",$B418="",Housemates!$B$8=""),0,IF($R418&gt;0,IF(F418="",0,IF(ISNUMBER(F418),F418,1)),IF($C418="Paying back",0,IF(AND(OR(Housemates!$C$8="",Housemates!$C$8&lt;=$B418),OR(Housemates!$D$8="",Housemates!$D$8&gt;=$B418)),IF($Q418=0,1,INDEX(Bills!$AA$6:$AA$25,$Q418)),0))))</f>
        <v/>
      </c>
      <c r="T418">
        <f>IF(OR($D418="",$B418="",Housemates!$B$9=""),0,IF($R418&gt;0,IF(G418="",0,IF(ISNUMBER(G418),G418,1)),IF($C418="Paying back",0,IF(AND(OR(Housemates!$C$9="",Housemates!$C$9&lt;=$B418),OR(Housemates!$D$9="",Housemates!$D$9&gt;=$B418)),IF($Q418=0,1,INDEX(Bills!$AB$6:$AB$25,$Q418)),0))))</f>
        <v/>
      </c>
      <c r="U418">
        <f>IF(OR($D418="",$B418="",Housemates!$B$10=""),0,IF($R418&gt;0,IF(H418="",0,IF(ISNUMBER(H418),H418,1)),IF($C418="Paying back",0,IF(AND(OR(Housemates!$C$10="",Housemates!$C$10&lt;=$B418),OR(Housemates!$D$10="",Housemates!$D$10&gt;=$B418)),IF($Q418=0,1,INDEX(Bills!$AC$6:$AC$25,$Q418)),0))))</f>
        <v/>
      </c>
      <c r="V418">
        <f>IF(OR($D418="",$B418="",Housemates!$B$11=""),0,IF($R418&gt;0,IF(I418="",0,IF(ISNUMBER(I418),I418,1)),IF($C418="Paying back",0,IF(AND(OR(Housemates!$C$11="",Housemates!$C$11&lt;=$B418),OR(Housemates!$D$11="",Housemates!$D$11&gt;=$B418)),IF($Q418=0,1,INDEX(Bills!$AD$6:$AD$25,$Q418)),0))))</f>
        <v/>
      </c>
      <c r="W418">
        <f>IF(OR($D418="",$B418="",Housemates!$B$12=""),0,IF($R418&gt;0,IF(J418="",0,IF(ISNUMBER(J418),J418,1)),IF($C418="Paying back",0,IF(AND(OR(Housemates!$C$12="",Housemates!$C$12&lt;=$B418),OR(Housemates!$D$12="",Housemates!$D$12&gt;=$B418)),IF($Q418=0,1,INDEX(Bills!$AE$6:$AE$25,$Q418)),0))))</f>
        <v/>
      </c>
      <c r="X418">
        <f>IF(OR($D418="",$B418="",Housemates!$B$13=""),0,IF($R418&gt;0,IF(K418="",0,IF(ISNUMBER(K418),K418,1)),IF($C418="Paying back",0,IF(AND(OR(Housemates!$C$13="",Housemates!$C$13&lt;=$B418),OR(Housemates!$D$13="",Housemates!$D$13&gt;=$B418)),IF($Q418=0,1,INDEX(Bills!$AF$6:$AF$25,$Q418)),0))))</f>
        <v/>
      </c>
      <c r="Y418">
        <f>IF(OR($D418="",$B418="",Housemates!$B$14=""),0,IF($R418&gt;0,IF(L418="",0,IF(ISNUMBER(L418),L418,1)),IF($C418="Paying back",0,IF(AND(OR(Housemates!$C$14="",Housemates!$C$14&lt;=$B418),OR(Housemates!$D$14="",Housemates!$D$14&gt;=$B418)),IF($Q418=0,1,INDEX(Bills!$AG$6:$AG$25,$Q418)),0))))</f>
        <v/>
      </c>
      <c r="Z418">
        <f>IF(OR($D418="",$B418="",Housemates!$B$15=""),0,IF($R418&gt;0,IF(M418="",0,IF(ISNUMBER(M418),M418,1)),IF($C418="Paying back",0,IF(AND(OR(Housemates!$C$15="",Housemates!$C$15&lt;=$B418),OR(Housemates!$D$15="",Housemates!$D$15&gt;=$B418)),IF($Q418=0,1,INDEX(Bills!$AH$6:$AH$25,$Q418)),0))))</f>
        <v/>
      </c>
      <c r="AA418">
        <f>SUM(S418:Z418)</f>
        <v/>
      </c>
      <c r="AB418">
        <f>IF(AA418=0,0,D418*S418/AA418)</f>
        <v/>
      </c>
      <c r="AC418">
        <f>IF(AA418=0,0,D418*T418/AA418)</f>
        <v/>
      </c>
      <c r="AD418">
        <f>IF(AA418=0,0,D418*U418/AA418)</f>
        <v/>
      </c>
      <c r="AE418">
        <f>IF(AA418=0,0,D418*V418/AA418)</f>
        <v/>
      </c>
      <c r="AF418">
        <f>IF(AA418=0,0,D418*W418/AA418)</f>
        <v/>
      </c>
      <c r="AG418">
        <f>IF(AA418=0,0,D418*X418/AA418)</f>
        <v/>
      </c>
      <c r="AH418">
        <f>IF(AA418=0,0,D418*Y418/AA418)</f>
        <v/>
      </c>
      <c r="AI418">
        <f>IF(AA418=0,0,D418*Z418/AA418)</f>
        <v/>
      </c>
      <c r="AJ418">
        <f>IF(OR(C418="",B418=""),"",C418&amp;"|"&amp;(YEAR(B418)*100+MONTH(B418)))</f>
        <v/>
      </c>
    </row>
    <row r="419">
      <c r="A419" s="1" t="n"/>
      <c r="B419" s="23" t="n"/>
      <c r="C419" s="24" t="n"/>
      <c r="D419" s="25" t="n"/>
      <c r="E419" s="26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1">
        <f>IF(D419="","",IF(B419="","No date",IF(AND(C419="Paying back",R419=0),"To whom?",IF(AA419=0,"Nobody",IF(C419="Paying back","To "&amp;INDEX(Housemates!$B$8:$B$15,MATCH(MAX(S419:Z419),S419:Z419,0)),IF(R419&gt;0,IF(COUNTIF(S419:Z419,"&gt;0")=1,"1 person",COUNTIF(S419:Z419,"&gt;0")&amp;" people"),IF(Q419=0,"Everyone",INDEX(Bills!$Q$6:$Q$25,Q419))))))))</f>
        <v/>
      </c>
      <c r="O419" s="18">
        <f>IF(D419="","",IF(C419="Paying back","Paying back",IF(Q419=0,"Other",IF(INDEX(Bills!$C$6:$C$25,Q419)="","Other",INDEX(Bills!$C$6:$C$25,Q419)))))</f>
        <v/>
      </c>
      <c r="P419" s="1" t="n"/>
      <c r="Q419">
        <f>IF(C419="",0,IFERROR(MATCH(C419,Bills!$B$6:$B$25,0),0))</f>
        <v/>
      </c>
      <c r="R419">
        <f>COUNTA(F419:M419)</f>
        <v/>
      </c>
      <c r="S419">
        <f>IF(OR($D419="",$B419="",Housemates!$B$8=""),0,IF($R419&gt;0,IF(F419="",0,IF(ISNUMBER(F419),F419,1)),IF($C419="Paying back",0,IF(AND(OR(Housemates!$C$8="",Housemates!$C$8&lt;=$B419),OR(Housemates!$D$8="",Housemates!$D$8&gt;=$B419)),IF($Q419=0,1,INDEX(Bills!$AA$6:$AA$25,$Q419)),0))))</f>
        <v/>
      </c>
      <c r="T419">
        <f>IF(OR($D419="",$B419="",Housemates!$B$9=""),0,IF($R419&gt;0,IF(G419="",0,IF(ISNUMBER(G419),G419,1)),IF($C419="Paying back",0,IF(AND(OR(Housemates!$C$9="",Housemates!$C$9&lt;=$B419),OR(Housemates!$D$9="",Housemates!$D$9&gt;=$B419)),IF($Q419=0,1,INDEX(Bills!$AB$6:$AB$25,$Q419)),0))))</f>
        <v/>
      </c>
      <c r="U419">
        <f>IF(OR($D419="",$B419="",Housemates!$B$10=""),0,IF($R419&gt;0,IF(H419="",0,IF(ISNUMBER(H419),H419,1)),IF($C419="Paying back",0,IF(AND(OR(Housemates!$C$10="",Housemates!$C$10&lt;=$B419),OR(Housemates!$D$10="",Housemates!$D$10&gt;=$B419)),IF($Q419=0,1,INDEX(Bills!$AC$6:$AC$25,$Q419)),0))))</f>
        <v/>
      </c>
      <c r="V419">
        <f>IF(OR($D419="",$B419="",Housemates!$B$11=""),0,IF($R419&gt;0,IF(I419="",0,IF(ISNUMBER(I419),I419,1)),IF($C419="Paying back",0,IF(AND(OR(Housemates!$C$11="",Housemates!$C$11&lt;=$B419),OR(Housemates!$D$11="",Housemates!$D$11&gt;=$B419)),IF($Q419=0,1,INDEX(Bills!$AD$6:$AD$25,$Q419)),0))))</f>
        <v/>
      </c>
      <c r="W419">
        <f>IF(OR($D419="",$B419="",Housemates!$B$12=""),0,IF($R419&gt;0,IF(J419="",0,IF(ISNUMBER(J419),J419,1)),IF($C419="Paying back",0,IF(AND(OR(Housemates!$C$12="",Housemates!$C$12&lt;=$B419),OR(Housemates!$D$12="",Housemates!$D$12&gt;=$B419)),IF($Q419=0,1,INDEX(Bills!$AE$6:$AE$25,$Q419)),0))))</f>
        <v/>
      </c>
      <c r="X419">
        <f>IF(OR($D419="",$B419="",Housemates!$B$13=""),0,IF($R419&gt;0,IF(K419="",0,IF(ISNUMBER(K419),K419,1)),IF($C419="Paying back",0,IF(AND(OR(Housemates!$C$13="",Housemates!$C$13&lt;=$B419),OR(Housemates!$D$13="",Housemates!$D$13&gt;=$B419)),IF($Q419=0,1,INDEX(Bills!$AF$6:$AF$25,$Q419)),0))))</f>
        <v/>
      </c>
      <c r="Y419">
        <f>IF(OR($D419="",$B419="",Housemates!$B$14=""),0,IF($R419&gt;0,IF(L419="",0,IF(ISNUMBER(L419),L419,1)),IF($C419="Paying back",0,IF(AND(OR(Housemates!$C$14="",Housemates!$C$14&lt;=$B419),OR(Housemates!$D$14="",Housemates!$D$14&gt;=$B419)),IF($Q419=0,1,INDEX(Bills!$AG$6:$AG$25,$Q419)),0))))</f>
        <v/>
      </c>
      <c r="Z419">
        <f>IF(OR($D419="",$B419="",Housemates!$B$15=""),0,IF($R419&gt;0,IF(M419="",0,IF(ISNUMBER(M419),M419,1)),IF($C419="Paying back",0,IF(AND(OR(Housemates!$C$15="",Housemates!$C$15&lt;=$B419),OR(Housemates!$D$15="",Housemates!$D$15&gt;=$B419)),IF($Q419=0,1,INDEX(Bills!$AH$6:$AH$25,$Q419)),0))))</f>
        <v/>
      </c>
      <c r="AA419">
        <f>SUM(S419:Z419)</f>
        <v/>
      </c>
      <c r="AB419">
        <f>IF(AA419=0,0,D419*S419/AA419)</f>
        <v/>
      </c>
      <c r="AC419">
        <f>IF(AA419=0,0,D419*T419/AA419)</f>
        <v/>
      </c>
      <c r="AD419">
        <f>IF(AA419=0,0,D419*U419/AA419)</f>
        <v/>
      </c>
      <c r="AE419">
        <f>IF(AA419=0,0,D419*V419/AA419)</f>
        <v/>
      </c>
      <c r="AF419">
        <f>IF(AA419=0,0,D419*W419/AA419)</f>
        <v/>
      </c>
      <c r="AG419">
        <f>IF(AA419=0,0,D419*X419/AA419)</f>
        <v/>
      </c>
      <c r="AH419">
        <f>IF(AA419=0,0,D419*Y419/AA419)</f>
        <v/>
      </c>
      <c r="AI419">
        <f>IF(AA419=0,0,D419*Z419/AA419)</f>
        <v/>
      </c>
      <c r="AJ419">
        <f>IF(OR(C419="",B419=""),"",C419&amp;"|"&amp;(YEAR(B419)*100+MONTH(B419)))</f>
        <v/>
      </c>
    </row>
    <row r="420">
      <c r="A420" s="1" t="n"/>
      <c r="B420" s="23" t="n"/>
      <c r="C420" s="24" t="n"/>
      <c r="D420" s="25" t="n"/>
      <c r="E420" s="26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1">
        <f>IF(D420="","",IF(B420="","No date",IF(AND(C420="Paying back",R420=0),"To whom?",IF(AA420=0,"Nobody",IF(C420="Paying back","To "&amp;INDEX(Housemates!$B$8:$B$15,MATCH(MAX(S420:Z420),S420:Z420,0)),IF(R420&gt;0,IF(COUNTIF(S420:Z420,"&gt;0")=1,"1 person",COUNTIF(S420:Z420,"&gt;0")&amp;" people"),IF(Q420=0,"Everyone",INDEX(Bills!$Q$6:$Q$25,Q420))))))))</f>
        <v/>
      </c>
      <c r="O420" s="18">
        <f>IF(D420="","",IF(C420="Paying back","Paying back",IF(Q420=0,"Other",IF(INDEX(Bills!$C$6:$C$25,Q420)="","Other",INDEX(Bills!$C$6:$C$25,Q420)))))</f>
        <v/>
      </c>
      <c r="P420" s="1" t="n"/>
      <c r="Q420">
        <f>IF(C420="",0,IFERROR(MATCH(C420,Bills!$B$6:$B$25,0),0))</f>
        <v/>
      </c>
      <c r="R420">
        <f>COUNTA(F420:M420)</f>
        <v/>
      </c>
      <c r="S420">
        <f>IF(OR($D420="",$B420="",Housemates!$B$8=""),0,IF($R420&gt;0,IF(F420="",0,IF(ISNUMBER(F420),F420,1)),IF($C420="Paying back",0,IF(AND(OR(Housemates!$C$8="",Housemates!$C$8&lt;=$B420),OR(Housemates!$D$8="",Housemates!$D$8&gt;=$B420)),IF($Q420=0,1,INDEX(Bills!$AA$6:$AA$25,$Q420)),0))))</f>
        <v/>
      </c>
      <c r="T420">
        <f>IF(OR($D420="",$B420="",Housemates!$B$9=""),0,IF($R420&gt;0,IF(G420="",0,IF(ISNUMBER(G420),G420,1)),IF($C420="Paying back",0,IF(AND(OR(Housemates!$C$9="",Housemates!$C$9&lt;=$B420),OR(Housemates!$D$9="",Housemates!$D$9&gt;=$B420)),IF($Q420=0,1,INDEX(Bills!$AB$6:$AB$25,$Q420)),0))))</f>
        <v/>
      </c>
      <c r="U420">
        <f>IF(OR($D420="",$B420="",Housemates!$B$10=""),0,IF($R420&gt;0,IF(H420="",0,IF(ISNUMBER(H420),H420,1)),IF($C420="Paying back",0,IF(AND(OR(Housemates!$C$10="",Housemates!$C$10&lt;=$B420),OR(Housemates!$D$10="",Housemates!$D$10&gt;=$B420)),IF($Q420=0,1,INDEX(Bills!$AC$6:$AC$25,$Q420)),0))))</f>
        <v/>
      </c>
      <c r="V420">
        <f>IF(OR($D420="",$B420="",Housemates!$B$11=""),0,IF($R420&gt;0,IF(I420="",0,IF(ISNUMBER(I420),I420,1)),IF($C420="Paying back",0,IF(AND(OR(Housemates!$C$11="",Housemates!$C$11&lt;=$B420),OR(Housemates!$D$11="",Housemates!$D$11&gt;=$B420)),IF($Q420=0,1,INDEX(Bills!$AD$6:$AD$25,$Q420)),0))))</f>
        <v/>
      </c>
      <c r="W420">
        <f>IF(OR($D420="",$B420="",Housemates!$B$12=""),0,IF($R420&gt;0,IF(J420="",0,IF(ISNUMBER(J420),J420,1)),IF($C420="Paying back",0,IF(AND(OR(Housemates!$C$12="",Housemates!$C$12&lt;=$B420),OR(Housemates!$D$12="",Housemates!$D$12&gt;=$B420)),IF($Q420=0,1,INDEX(Bills!$AE$6:$AE$25,$Q420)),0))))</f>
        <v/>
      </c>
      <c r="X420">
        <f>IF(OR($D420="",$B420="",Housemates!$B$13=""),0,IF($R420&gt;0,IF(K420="",0,IF(ISNUMBER(K420),K420,1)),IF($C420="Paying back",0,IF(AND(OR(Housemates!$C$13="",Housemates!$C$13&lt;=$B420),OR(Housemates!$D$13="",Housemates!$D$13&gt;=$B420)),IF($Q420=0,1,INDEX(Bills!$AF$6:$AF$25,$Q420)),0))))</f>
        <v/>
      </c>
      <c r="Y420">
        <f>IF(OR($D420="",$B420="",Housemates!$B$14=""),0,IF($R420&gt;0,IF(L420="",0,IF(ISNUMBER(L420),L420,1)),IF($C420="Paying back",0,IF(AND(OR(Housemates!$C$14="",Housemates!$C$14&lt;=$B420),OR(Housemates!$D$14="",Housemates!$D$14&gt;=$B420)),IF($Q420=0,1,INDEX(Bills!$AG$6:$AG$25,$Q420)),0))))</f>
        <v/>
      </c>
      <c r="Z420">
        <f>IF(OR($D420="",$B420="",Housemates!$B$15=""),0,IF($R420&gt;0,IF(M420="",0,IF(ISNUMBER(M420),M420,1)),IF($C420="Paying back",0,IF(AND(OR(Housemates!$C$15="",Housemates!$C$15&lt;=$B420),OR(Housemates!$D$15="",Housemates!$D$15&gt;=$B420)),IF($Q420=0,1,INDEX(Bills!$AH$6:$AH$25,$Q420)),0))))</f>
        <v/>
      </c>
      <c r="AA420">
        <f>SUM(S420:Z420)</f>
        <v/>
      </c>
      <c r="AB420">
        <f>IF(AA420=0,0,D420*S420/AA420)</f>
        <v/>
      </c>
      <c r="AC420">
        <f>IF(AA420=0,0,D420*T420/AA420)</f>
        <v/>
      </c>
      <c r="AD420">
        <f>IF(AA420=0,0,D420*U420/AA420)</f>
        <v/>
      </c>
      <c r="AE420">
        <f>IF(AA420=0,0,D420*V420/AA420)</f>
        <v/>
      </c>
      <c r="AF420">
        <f>IF(AA420=0,0,D420*W420/AA420)</f>
        <v/>
      </c>
      <c r="AG420">
        <f>IF(AA420=0,0,D420*X420/AA420)</f>
        <v/>
      </c>
      <c r="AH420">
        <f>IF(AA420=0,0,D420*Y420/AA420)</f>
        <v/>
      </c>
      <c r="AI420">
        <f>IF(AA420=0,0,D420*Z420/AA420)</f>
        <v/>
      </c>
      <c r="AJ420">
        <f>IF(OR(C420="",B420=""),"",C420&amp;"|"&amp;(YEAR(B420)*100+MONTH(B420)))</f>
        <v/>
      </c>
    </row>
    <row r="421">
      <c r="A421" s="1" t="n"/>
      <c r="B421" s="23" t="n"/>
      <c r="C421" s="24" t="n"/>
      <c r="D421" s="25" t="n"/>
      <c r="E421" s="26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1">
        <f>IF(D421="","",IF(B421="","No date",IF(AND(C421="Paying back",R421=0),"To whom?",IF(AA421=0,"Nobody",IF(C421="Paying back","To "&amp;INDEX(Housemates!$B$8:$B$15,MATCH(MAX(S421:Z421),S421:Z421,0)),IF(R421&gt;0,IF(COUNTIF(S421:Z421,"&gt;0")=1,"1 person",COUNTIF(S421:Z421,"&gt;0")&amp;" people"),IF(Q421=0,"Everyone",INDEX(Bills!$Q$6:$Q$25,Q421))))))))</f>
        <v/>
      </c>
      <c r="O421" s="18">
        <f>IF(D421="","",IF(C421="Paying back","Paying back",IF(Q421=0,"Other",IF(INDEX(Bills!$C$6:$C$25,Q421)="","Other",INDEX(Bills!$C$6:$C$25,Q421)))))</f>
        <v/>
      </c>
      <c r="P421" s="1" t="n"/>
      <c r="Q421">
        <f>IF(C421="",0,IFERROR(MATCH(C421,Bills!$B$6:$B$25,0),0))</f>
        <v/>
      </c>
      <c r="R421">
        <f>COUNTA(F421:M421)</f>
        <v/>
      </c>
      <c r="S421">
        <f>IF(OR($D421="",$B421="",Housemates!$B$8=""),0,IF($R421&gt;0,IF(F421="",0,IF(ISNUMBER(F421),F421,1)),IF($C421="Paying back",0,IF(AND(OR(Housemates!$C$8="",Housemates!$C$8&lt;=$B421),OR(Housemates!$D$8="",Housemates!$D$8&gt;=$B421)),IF($Q421=0,1,INDEX(Bills!$AA$6:$AA$25,$Q421)),0))))</f>
        <v/>
      </c>
      <c r="T421">
        <f>IF(OR($D421="",$B421="",Housemates!$B$9=""),0,IF($R421&gt;0,IF(G421="",0,IF(ISNUMBER(G421),G421,1)),IF($C421="Paying back",0,IF(AND(OR(Housemates!$C$9="",Housemates!$C$9&lt;=$B421),OR(Housemates!$D$9="",Housemates!$D$9&gt;=$B421)),IF($Q421=0,1,INDEX(Bills!$AB$6:$AB$25,$Q421)),0))))</f>
        <v/>
      </c>
      <c r="U421">
        <f>IF(OR($D421="",$B421="",Housemates!$B$10=""),0,IF($R421&gt;0,IF(H421="",0,IF(ISNUMBER(H421),H421,1)),IF($C421="Paying back",0,IF(AND(OR(Housemates!$C$10="",Housemates!$C$10&lt;=$B421),OR(Housemates!$D$10="",Housemates!$D$10&gt;=$B421)),IF($Q421=0,1,INDEX(Bills!$AC$6:$AC$25,$Q421)),0))))</f>
        <v/>
      </c>
      <c r="V421">
        <f>IF(OR($D421="",$B421="",Housemates!$B$11=""),0,IF($R421&gt;0,IF(I421="",0,IF(ISNUMBER(I421),I421,1)),IF($C421="Paying back",0,IF(AND(OR(Housemates!$C$11="",Housemates!$C$11&lt;=$B421),OR(Housemates!$D$11="",Housemates!$D$11&gt;=$B421)),IF($Q421=0,1,INDEX(Bills!$AD$6:$AD$25,$Q421)),0))))</f>
        <v/>
      </c>
      <c r="W421">
        <f>IF(OR($D421="",$B421="",Housemates!$B$12=""),0,IF($R421&gt;0,IF(J421="",0,IF(ISNUMBER(J421),J421,1)),IF($C421="Paying back",0,IF(AND(OR(Housemates!$C$12="",Housemates!$C$12&lt;=$B421),OR(Housemates!$D$12="",Housemates!$D$12&gt;=$B421)),IF($Q421=0,1,INDEX(Bills!$AE$6:$AE$25,$Q421)),0))))</f>
        <v/>
      </c>
      <c r="X421">
        <f>IF(OR($D421="",$B421="",Housemates!$B$13=""),0,IF($R421&gt;0,IF(K421="",0,IF(ISNUMBER(K421),K421,1)),IF($C421="Paying back",0,IF(AND(OR(Housemates!$C$13="",Housemates!$C$13&lt;=$B421),OR(Housemates!$D$13="",Housemates!$D$13&gt;=$B421)),IF($Q421=0,1,INDEX(Bills!$AF$6:$AF$25,$Q421)),0))))</f>
        <v/>
      </c>
      <c r="Y421">
        <f>IF(OR($D421="",$B421="",Housemates!$B$14=""),0,IF($R421&gt;0,IF(L421="",0,IF(ISNUMBER(L421),L421,1)),IF($C421="Paying back",0,IF(AND(OR(Housemates!$C$14="",Housemates!$C$14&lt;=$B421),OR(Housemates!$D$14="",Housemates!$D$14&gt;=$B421)),IF($Q421=0,1,INDEX(Bills!$AG$6:$AG$25,$Q421)),0))))</f>
        <v/>
      </c>
      <c r="Z421">
        <f>IF(OR($D421="",$B421="",Housemates!$B$15=""),0,IF($R421&gt;0,IF(M421="",0,IF(ISNUMBER(M421),M421,1)),IF($C421="Paying back",0,IF(AND(OR(Housemates!$C$15="",Housemates!$C$15&lt;=$B421),OR(Housemates!$D$15="",Housemates!$D$15&gt;=$B421)),IF($Q421=0,1,INDEX(Bills!$AH$6:$AH$25,$Q421)),0))))</f>
        <v/>
      </c>
      <c r="AA421">
        <f>SUM(S421:Z421)</f>
        <v/>
      </c>
      <c r="AB421">
        <f>IF(AA421=0,0,D421*S421/AA421)</f>
        <v/>
      </c>
      <c r="AC421">
        <f>IF(AA421=0,0,D421*T421/AA421)</f>
        <v/>
      </c>
      <c r="AD421">
        <f>IF(AA421=0,0,D421*U421/AA421)</f>
        <v/>
      </c>
      <c r="AE421">
        <f>IF(AA421=0,0,D421*V421/AA421)</f>
        <v/>
      </c>
      <c r="AF421">
        <f>IF(AA421=0,0,D421*W421/AA421)</f>
        <v/>
      </c>
      <c r="AG421">
        <f>IF(AA421=0,0,D421*X421/AA421)</f>
        <v/>
      </c>
      <c r="AH421">
        <f>IF(AA421=0,0,D421*Y421/AA421)</f>
        <v/>
      </c>
      <c r="AI421">
        <f>IF(AA421=0,0,D421*Z421/AA421)</f>
        <v/>
      </c>
      <c r="AJ421">
        <f>IF(OR(C421="",B421=""),"",C421&amp;"|"&amp;(YEAR(B421)*100+MONTH(B421)))</f>
        <v/>
      </c>
    </row>
    <row r="422">
      <c r="A422" s="1" t="n"/>
      <c r="B422" s="23" t="n"/>
      <c r="C422" s="24" t="n"/>
      <c r="D422" s="25" t="n"/>
      <c r="E422" s="26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1">
        <f>IF(D422="","",IF(B422="","No date",IF(AND(C422="Paying back",R422=0),"To whom?",IF(AA422=0,"Nobody",IF(C422="Paying back","To "&amp;INDEX(Housemates!$B$8:$B$15,MATCH(MAX(S422:Z422),S422:Z422,0)),IF(R422&gt;0,IF(COUNTIF(S422:Z422,"&gt;0")=1,"1 person",COUNTIF(S422:Z422,"&gt;0")&amp;" people"),IF(Q422=0,"Everyone",INDEX(Bills!$Q$6:$Q$25,Q422))))))))</f>
        <v/>
      </c>
      <c r="O422" s="18">
        <f>IF(D422="","",IF(C422="Paying back","Paying back",IF(Q422=0,"Other",IF(INDEX(Bills!$C$6:$C$25,Q422)="","Other",INDEX(Bills!$C$6:$C$25,Q422)))))</f>
        <v/>
      </c>
      <c r="P422" s="1" t="n"/>
      <c r="Q422">
        <f>IF(C422="",0,IFERROR(MATCH(C422,Bills!$B$6:$B$25,0),0))</f>
        <v/>
      </c>
      <c r="R422">
        <f>COUNTA(F422:M422)</f>
        <v/>
      </c>
      <c r="S422">
        <f>IF(OR($D422="",$B422="",Housemates!$B$8=""),0,IF($R422&gt;0,IF(F422="",0,IF(ISNUMBER(F422),F422,1)),IF($C422="Paying back",0,IF(AND(OR(Housemates!$C$8="",Housemates!$C$8&lt;=$B422),OR(Housemates!$D$8="",Housemates!$D$8&gt;=$B422)),IF($Q422=0,1,INDEX(Bills!$AA$6:$AA$25,$Q422)),0))))</f>
        <v/>
      </c>
      <c r="T422">
        <f>IF(OR($D422="",$B422="",Housemates!$B$9=""),0,IF($R422&gt;0,IF(G422="",0,IF(ISNUMBER(G422),G422,1)),IF($C422="Paying back",0,IF(AND(OR(Housemates!$C$9="",Housemates!$C$9&lt;=$B422),OR(Housemates!$D$9="",Housemates!$D$9&gt;=$B422)),IF($Q422=0,1,INDEX(Bills!$AB$6:$AB$25,$Q422)),0))))</f>
        <v/>
      </c>
      <c r="U422">
        <f>IF(OR($D422="",$B422="",Housemates!$B$10=""),0,IF($R422&gt;0,IF(H422="",0,IF(ISNUMBER(H422),H422,1)),IF($C422="Paying back",0,IF(AND(OR(Housemates!$C$10="",Housemates!$C$10&lt;=$B422),OR(Housemates!$D$10="",Housemates!$D$10&gt;=$B422)),IF($Q422=0,1,INDEX(Bills!$AC$6:$AC$25,$Q422)),0))))</f>
        <v/>
      </c>
      <c r="V422">
        <f>IF(OR($D422="",$B422="",Housemates!$B$11=""),0,IF($R422&gt;0,IF(I422="",0,IF(ISNUMBER(I422),I422,1)),IF($C422="Paying back",0,IF(AND(OR(Housemates!$C$11="",Housemates!$C$11&lt;=$B422),OR(Housemates!$D$11="",Housemates!$D$11&gt;=$B422)),IF($Q422=0,1,INDEX(Bills!$AD$6:$AD$25,$Q422)),0))))</f>
        <v/>
      </c>
      <c r="W422">
        <f>IF(OR($D422="",$B422="",Housemates!$B$12=""),0,IF($R422&gt;0,IF(J422="",0,IF(ISNUMBER(J422),J422,1)),IF($C422="Paying back",0,IF(AND(OR(Housemates!$C$12="",Housemates!$C$12&lt;=$B422),OR(Housemates!$D$12="",Housemates!$D$12&gt;=$B422)),IF($Q422=0,1,INDEX(Bills!$AE$6:$AE$25,$Q422)),0))))</f>
        <v/>
      </c>
      <c r="X422">
        <f>IF(OR($D422="",$B422="",Housemates!$B$13=""),0,IF($R422&gt;0,IF(K422="",0,IF(ISNUMBER(K422),K422,1)),IF($C422="Paying back",0,IF(AND(OR(Housemates!$C$13="",Housemates!$C$13&lt;=$B422),OR(Housemates!$D$13="",Housemates!$D$13&gt;=$B422)),IF($Q422=0,1,INDEX(Bills!$AF$6:$AF$25,$Q422)),0))))</f>
        <v/>
      </c>
      <c r="Y422">
        <f>IF(OR($D422="",$B422="",Housemates!$B$14=""),0,IF($R422&gt;0,IF(L422="",0,IF(ISNUMBER(L422),L422,1)),IF($C422="Paying back",0,IF(AND(OR(Housemates!$C$14="",Housemates!$C$14&lt;=$B422),OR(Housemates!$D$14="",Housemates!$D$14&gt;=$B422)),IF($Q422=0,1,INDEX(Bills!$AG$6:$AG$25,$Q422)),0))))</f>
        <v/>
      </c>
      <c r="Z422">
        <f>IF(OR($D422="",$B422="",Housemates!$B$15=""),0,IF($R422&gt;0,IF(M422="",0,IF(ISNUMBER(M422),M422,1)),IF($C422="Paying back",0,IF(AND(OR(Housemates!$C$15="",Housemates!$C$15&lt;=$B422),OR(Housemates!$D$15="",Housemates!$D$15&gt;=$B422)),IF($Q422=0,1,INDEX(Bills!$AH$6:$AH$25,$Q422)),0))))</f>
        <v/>
      </c>
      <c r="AA422">
        <f>SUM(S422:Z422)</f>
        <v/>
      </c>
      <c r="AB422">
        <f>IF(AA422=0,0,D422*S422/AA422)</f>
        <v/>
      </c>
      <c r="AC422">
        <f>IF(AA422=0,0,D422*T422/AA422)</f>
        <v/>
      </c>
      <c r="AD422">
        <f>IF(AA422=0,0,D422*U422/AA422)</f>
        <v/>
      </c>
      <c r="AE422">
        <f>IF(AA422=0,0,D422*V422/AA422)</f>
        <v/>
      </c>
      <c r="AF422">
        <f>IF(AA422=0,0,D422*W422/AA422)</f>
        <v/>
      </c>
      <c r="AG422">
        <f>IF(AA422=0,0,D422*X422/AA422)</f>
        <v/>
      </c>
      <c r="AH422">
        <f>IF(AA422=0,0,D422*Y422/AA422)</f>
        <v/>
      </c>
      <c r="AI422">
        <f>IF(AA422=0,0,D422*Z422/AA422)</f>
        <v/>
      </c>
      <c r="AJ422">
        <f>IF(OR(C422="",B422=""),"",C422&amp;"|"&amp;(YEAR(B422)*100+MONTH(B422)))</f>
        <v/>
      </c>
    </row>
    <row r="423">
      <c r="A423" s="1" t="n"/>
      <c r="B423" s="23" t="n"/>
      <c r="C423" s="24" t="n"/>
      <c r="D423" s="25" t="n"/>
      <c r="E423" s="26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1">
        <f>IF(D423="","",IF(B423="","No date",IF(AND(C423="Paying back",R423=0),"To whom?",IF(AA423=0,"Nobody",IF(C423="Paying back","To "&amp;INDEX(Housemates!$B$8:$B$15,MATCH(MAX(S423:Z423),S423:Z423,0)),IF(R423&gt;0,IF(COUNTIF(S423:Z423,"&gt;0")=1,"1 person",COUNTIF(S423:Z423,"&gt;0")&amp;" people"),IF(Q423=0,"Everyone",INDEX(Bills!$Q$6:$Q$25,Q423))))))))</f>
        <v/>
      </c>
      <c r="O423" s="18">
        <f>IF(D423="","",IF(C423="Paying back","Paying back",IF(Q423=0,"Other",IF(INDEX(Bills!$C$6:$C$25,Q423)="","Other",INDEX(Bills!$C$6:$C$25,Q423)))))</f>
        <v/>
      </c>
      <c r="P423" s="1" t="n"/>
      <c r="Q423">
        <f>IF(C423="",0,IFERROR(MATCH(C423,Bills!$B$6:$B$25,0),0))</f>
        <v/>
      </c>
      <c r="R423">
        <f>COUNTA(F423:M423)</f>
        <v/>
      </c>
      <c r="S423">
        <f>IF(OR($D423="",$B423="",Housemates!$B$8=""),0,IF($R423&gt;0,IF(F423="",0,IF(ISNUMBER(F423),F423,1)),IF($C423="Paying back",0,IF(AND(OR(Housemates!$C$8="",Housemates!$C$8&lt;=$B423),OR(Housemates!$D$8="",Housemates!$D$8&gt;=$B423)),IF($Q423=0,1,INDEX(Bills!$AA$6:$AA$25,$Q423)),0))))</f>
        <v/>
      </c>
      <c r="T423">
        <f>IF(OR($D423="",$B423="",Housemates!$B$9=""),0,IF($R423&gt;0,IF(G423="",0,IF(ISNUMBER(G423),G423,1)),IF($C423="Paying back",0,IF(AND(OR(Housemates!$C$9="",Housemates!$C$9&lt;=$B423),OR(Housemates!$D$9="",Housemates!$D$9&gt;=$B423)),IF($Q423=0,1,INDEX(Bills!$AB$6:$AB$25,$Q423)),0))))</f>
        <v/>
      </c>
      <c r="U423">
        <f>IF(OR($D423="",$B423="",Housemates!$B$10=""),0,IF($R423&gt;0,IF(H423="",0,IF(ISNUMBER(H423),H423,1)),IF($C423="Paying back",0,IF(AND(OR(Housemates!$C$10="",Housemates!$C$10&lt;=$B423),OR(Housemates!$D$10="",Housemates!$D$10&gt;=$B423)),IF($Q423=0,1,INDEX(Bills!$AC$6:$AC$25,$Q423)),0))))</f>
        <v/>
      </c>
      <c r="V423">
        <f>IF(OR($D423="",$B423="",Housemates!$B$11=""),0,IF($R423&gt;0,IF(I423="",0,IF(ISNUMBER(I423),I423,1)),IF($C423="Paying back",0,IF(AND(OR(Housemates!$C$11="",Housemates!$C$11&lt;=$B423),OR(Housemates!$D$11="",Housemates!$D$11&gt;=$B423)),IF($Q423=0,1,INDEX(Bills!$AD$6:$AD$25,$Q423)),0))))</f>
        <v/>
      </c>
      <c r="W423">
        <f>IF(OR($D423="",$B423="",Housemates!$B$12=""),0,IF($R423&gt;0,IF(J423="",0,IF(ISNUMBER(J423),J423,1)),IF($C423="Paying back",0,IF(AND(OR(Housemates!$C$12="",Housemates!$C$12&lt;=$B423),OR(Housemates!$D$12="",Housemates!$D$12&gt;=$B423)),IF($Q423=0,1,INDEX(Bills!$AE$6:$AE$25,$Q423)),0))))</f>
        <v/>
      </c>
      <c r="X423">
        <f>IF(OR($D423="",$B423="",Housemates!$B$13=""),0,IF($R423&gt;0,IF(K423="",0,IF(ISNUMBER(K423),K423,1)),IF($C423="Paying back",0,IF(AND(OR(Housemates!$C$13="",Housemates!$C$13&lt;=$B423),OR(Housemates!$D$13="",Housemates!$D$13&gt;=$B423)),IF($Q423=0,1,INDEX(Bills!$AF$6:$AF$25,$Q423)),0))))</f>
        <v/>
      </c>
      <c r="Y423">
        <f>IF(OR($D423="",$B423="",Housemates!$B$14=""),0,IF($R423&gt;0,IF(L423="",0,IF(ISNUMBER(L423),L423,1)),IF($C423="Paying back",0,IF(AND(OR(Housemates!$C$14="",Housemates!$C$14&lt;=$B423),OR(Housemates!$D$14="",Housemates!$D$14&gt;=$B423)),IF($Q423=0,1,INDEX(Bills!$AG$6:$AG$25,$Q423)),0))))</f>
        <v/>
      </c>
      <c r="Z423">
        <f>IF(OR($D423="",$B423="",Housemates!$B$15=""),0,IF($R423&gt;0,IF(M423="",0,IF(ISNUMBER(M423),M423,1)),IF($C423="Paying back",0,IF(AND(OR(Housemates!$C$15="",Housemates!$C$15&lt;=$B423),OR(Housemates!$D$15="",Housemates!$D$15&gt;=$B423)),IF($Q423=0,1,INDEX(Bills!$AH$6:$AH$25,$Q423)),0))))</f>
        <v/>
      </c>
      <c r="AA423">
        <f>SUM(S423:Z423)</f>
        <v/>
      </c>
      <c r="AB423">
        <f>IF(AA423=0,0,D423*S423/AA423)</f>
        <v/>
      </c>
      <c r="AC423">
        <f>IF(AA423=0,0,D423*T423/AA423)</f>
        <v/>
      </c>
      <c r="AD423">
        <f>IF(AA423=0,0,D423*U423/AA423)</f>
        <v/>
      </c>
      <c r="AE423">
        <f>IF(AA423=0,0,D423*V423/AA423)</f>
        <v/>
      </c>
      <c r="AF423">
        <f>IF(AA423=0,0,D423*W423/AA423)</f>
        <v/>
      </c>
      <c r="AG423">
        <f>IF(AA423=0,0,D423*X423/AA423)</f>
        <v/>
      </c>
      <c r="AH423">
        <f>IF(AA423=0,0,D423*Y423/AA423)</f>
        <v/>
      </c>
      <c r="AI423">
        <f>IF(AA423=0,0,D423*Z423/AA423)</f>
        <v/>
      </c>
      <c r="AJ423">
        <f>IF(OR(C423="",B423=""),"",C423&amp;"|"&amp;(YEAR(B423)*100+MONTH(B423)))</f>
        <v/>
      </c>
    </row>
    <row r="424">
      <c r="A424" s="1" t="n"/>
      <c r="B424" s="23" t="n"/>
      <c r="C424" s="24" t="n"/>
      <c r="D424" s="25" t="n"/>
      <c r="E424" s="26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1">
        <f>IF(D424="","",IF(B424="","No date",IF(AND(C424="Paying back",R424=0),"To whom?",IF(AA424=0,"Nobody",IF(C424="Paying back","To "&amp;INDEX(Housemates!$B$8:$B$15,MATCH(MAX(S424:Z424),S424:Z424,0)),IF(R424&gt;0,IF(COUNTIF(S424:Z424,"&gt;0")=1,"1 person",COUNTIF(S424:Z424,"&gt;0")&amp;" people"),IF(Q424=0,"Everyone",INDEX(Bills!$Q$6:$Q$25,Q424))))))))</f>
        <v/>
      </c>
      <c r="O424" s="18">
        <f>IF(D424="","",IF(C424="Paying back","Paying back",IF(Q424=0,"Other",IF(INDEX(Bills!$C$6:$C$25,Q424)="","Other",INDEX(Bills!$C$6:$C$25,Q424)))))</f>
        <v/>
      </c>
      <c r="P424" s="1" t="n"/>
      <c r="Q424">
        <f>IF(C424="",0,IFERROR(MATCH(C424,Bills!$B$6:$B$25,0),0))</f>
        <v/>
      </c>
      <c r="R424">
        <f>COUNTA(F424:M424)</f>
        <v/>
      </c>
      <c r="S424">
        <f>IF(OR($D424="",$B424="",Housemates!$B$8=""),0,IF($R424&gt;0,IF(F424="",0,IF(ISNUMBER(F424),F424,1)),IF($C424="Paying back",0,IF(AND(OR(Housemates!$C$8="",Housemates!$C$8&lt;=$B424),OR(Housemates!$D$8="",Housemates!$D$8&gt;=$B424)),IF($Q424=0,1,INDEX(Bills!$AA$6:$AA$25,$Q424)),0))))</f>
        <v/>
      </c>
      <c r="T424">
        <f>IF(OR($D424="",$B424="",Housemates!$B$9=""),0,IF($R424&gt;0,IF(G424="",0,IF(ISNUMBER(G424),G424,1)),IF($C424="Paying back",0,IF(AND(OR(Housemates!$C$9="",Housemates!$C$9&lt;=$B424),OR(Housemates!$D$9="",Housemates!$D$9&gt;=$B424)),IF($Q424=0,1,INDEX(Bills!$AB$6:$AB$25,$Q424)),0))))</f>
        <v/>
      </c>
      <c r="U424">
        <f>IF(OR($D424="",$B424="",Housemates!$B$10=""),0,IF($R424&gt;0,IF(H424="",0,IF(ISNUMBER(H424),H424,1)),IF($C424="Paying back",0,IF(AND(OR(Housemates!$C$10="",Housemates!$C$10&lt;=$B424),OR(Housemates!$D$10="",Housemates!$D$10&gt;=$B424)),IF($Q424=0,1,INDEX(Bills!$AC$6:$AC$25,$Q424)),0))))</f>
        <v/>
      </c>
      <c r="V424">
        <f>IF(OR($D424="",$B424="",Housemates!$B$11=""),0,IF($R424&gt;0,IF(I424="",0,IF(ISNUMBER(I424),I424,1)),IF($C424="Paying back",0,IF(AND(OR(Housemates!$C$11="",Housemates!$C$11&lt;=$B424),OR(Housemates!$D$11="",Housemates!$D$11&gt;=$B424)),IF($Q424=0,1,INDEX(Bills!$AD$6:$AD$25,$Q424)),0))))</f>
        <v/>
      </c>
      <c r="W424">
        <f>IF(OR($D424="",$B424="",Housemates!$B$12=""),0,IF($R424&gt;0,IF(J424="",0,IF(ISNUMBER(J424),J424,1)),IF($C424="Paying back",0,IF(AND(OR(Housemates!$C$12="",Housemates!$C$12&lt;=$B424),OR(Housemates!$D$12="",Housemates!$D$12&gt;=$B424)),IF($Q424=0,1,INDEX(Bills!$AE$6:$AE$25,$Q424)),0))))</f>
        <v/>
      </c>
      <c r="X424">
        <f>IF(OR($D424="",$B424="",Housemates!$B$13=""),0,IF($R424&gt;0,IF(K424="",0,IF(ISNUMBER(K424),K424,1)),IF($C424="Paying back",0,IF(AND(OR(Housemates!$C$13="",Housemates!$C$13&lt;=$B424),OR(Housemates!$D$13="",Housemates!$D$13&gt;=$B424)),IF($Q424=0,1,INDEX(Bills!$AF$6:$AF$25,$Q424)),0))))</f>
        <v/>
      </c>
      <c r="Y424">
        <f>IF(OR($D424="",$B424="",Housemates!$B$14=""),0,IF($R424&gt;0,IF(L424="",0,IF(ISNUMBER(L424),L424,1)),IF($C424="Paying back",0,IF(AND(OR(Housemates!$C$14="",Housemates!$C$14&lt;=$B424),OR(Housemates!$D$14="",Housemates!$D$14&gt;=$B424)),IF($Q424=0,1,INDEX(Bills!$AG$6:$AG$25,$Q424)),0))))</f>
        <v/>
      </c>
      <c r="Z424">
        <f>IF(OR($D424="",$B424="",Housemates!$B$15=""),0,IF($R424&gt;0,IF(M424="",0,IF(ISNUMBER(M424),M424,1)),IF($C424="Paying back",0,IF(AND(OR(Housemates!$C$15="",Housemates!$C$15&lt;=$B424),OR(Housemates!$D$15="",Housemates!$D$15&gt;=$B424)),IF($Q424=0,1,INDEX(Bills!$AH$6:$AH$25,$Q424)),0))))</f>
        <v/>
      </c>
      <c r="AA424">
        <f>SUM(S424:Z424)</f>
        <v/>
      </c>
      <c r="AB424">
        <f>IF(AA424=0,0,D424*S424/AA424)</f>
        <v/>
      </c>
      <c r="AC424">
        <f>IF(AA424=0,0,D424*T424/AA424)</f>
        <v/>
      </c>
      <c r="AD424">
        <f>IF(AA424=0,0,D424*U424/AA424)</f>
        <v/>
      </c>
      <c r="AE424">
        <f>IF(AA424=0,0,D424*V424/AA424)</f>
        <v/>
      </c>
      <c r="AF424">
        <f>IF(AA424=0,0,D424*W424/AA424)</f>
        <v/>
      </c>
      <c r="AG424">
        <f>IF(AA424=0,0,D424*X424/AA424)</f>
        <v/>
      </c>
      <c r="AH424">
        <f>IF(AA424=0,0,D424*Y424/AA424)</f>
        <v/>
      </c>
      <c r="AI424">
        <f>IF(AA424=0,0,D424*Z424/AA424)</f>
        <v/>
      </c>
      <c r="AJ424">
        <f>IF(OR(C424="",B424=""),"",C424&amp;"|"&amp;(YEAR(B424)*100+MONTH(B424)))</f>
        <v/>
      </c>
    </row>
    <row r="425">
      <c r="A425" s="1" t="n"/>
      <c r="B425" s="23" t="n"/>
      <c r="C425" s="24" t="n"/>
      <c r="D425" s="25" t="n"/>
      <c r="E425" s="26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1">
        <f>IF(D425="","",IF(B425="","No date",IF(AND(C425="Paying back",R425=0),"To whom?",IF(AA425=0,"Nobody",IF(C425="Paying back","To "&amp;INDEX(Housemates!$B$8:$B$15,MATCH(MAX(S425:Z425),S425:Z425,0)),IF(R425&gt;0,IF(COUNTIF(S425:Z425,"&gt;0")=1,"1 person",COUNTIF(S425:Z425,"&gt;0")&amp;" people"),IF(Q425=0,"Everyone",INDEX(Bills!$Q$6:$Q$25,Q425))))))))</f>
        <v/>
      </c>
      <c r="O425" s="18">
        <f>IF(D425="","",IF(C425="Paying back","Paying back",IF(Q425=0,"Other",IF(INDEX(Bills!$C$6:$C$25,Q425)="","Other",INDEX(Bills!$C$6:$C$25,Q425)))))</f>
        <v/>
      </c>
      <c r="P425" s="1" t="n"/>
      <c r="Q425">
        <f>IF(C425="",0,IFERROR(MATCH(C425,Bills!$B$6:$B$25,0),0))</f>
        <v/>
      </c>
      <c r="R425">
        <f>COUNTA(F425:M425)</f>
        <v/>
      </c>
      <c r="S425">
        <f>IF(OR($D425="",$B425="",Housemates!$B$8=""),0,IF($R425&gt;0,IF(F425="",0,IF(ISNUMBER(F425),F425,1)),IF($C425="Paying back",0,IF(AND(OR(Housemates!$C$8="",Housemates!$C$8&lt;=$B425),OR(Housemates!$D$8="",Housemates!$D$8&gt;=$B425)),IF($Q425=0,1,INDEX(Bills!$AA$6:$AA$25,$Q425)),0))))</f>
        <v/>
      </c>
      <c r="T425">
        <f>IF(OR($D425="",$B425="",Housemates!$B$9=""),0,IF($R425&gt;0,IF(G425="",0,IF(ISNUMBER(G425),G425,1)),IF($C425="Paying back",0,IF(AND(OR(Housemates!$C$9="",Housemates!$C$9&lt;=$B425),OR(Housemates!$D$9="",Housemates!$D$9&gt;=$B425)),IF($Q425=0,1,INDEX(Bills!$AB$6:$AB$25,$Q425)),0))))</f>
        <v/>
      </c>
      <c r="U425">
        <f>IF(OR($D425="",$B425="",Housemates!$B$10=""),0,IF($R425&gt;0,IF(H425="",0,IF(ISNUMBER(H425),H425,1)),IF($C425="Paying back",0,IF(AND(OR(Housemates!$C$10="",Housemates!$C$10&lt;=$B425),OR(Housemates!$D$10="",Housemates!$D$10&gt;=$B425)),IF($Q425=0,1,INDEX(Bills!$AC$6:$AC$25,$Q425)),0))))</f>
        <v/>
      </c>
      <c r="V425">
        <f>IF(OR($D425="",$B425="",Housemates!$B$11=""),0,IF($R425&gt;0,IF(I425="",0,IF(ISNUMBER(I425),I425,1)),IF($C425="Paying back",0,IF(AND(OR(Housemates!$C$11="",Housemates!$C$11&lt;=$B425),OR(Housemates!$D$11="",Housemates!$D$11&gt;=$B425)),IF($Q425=0,1,INDEX(Bills!$AD$6:$AD$25,$Q425)),0))))</f>
        <v/>
      </c>
      <c r="W425">
        <f>IF(OR($D425="",$B425="",Housemates!$B$12=""),0,IF($R425&gt;0,IF(J425="",0,IF(ISNUMBER(J425),J425,1)),IF($C425="Paying back",0,IF(AND(OR(Housemates!$C$12="",Housemates!$C$12&lt;=$B425),OR(Housemates!$D$12="",Housemates!$D$12&gt;=$B425)),IF($Q425=0,1,INDEX(Bills!$AE$6:$AE$25,$Q425)),0))))</f>
        <v/>
      </c>
      <c r="X425">
        <f>IF(OR($D425="",$B425="",Housemates!$B$13=""),0,IF($R425&gt;0,IF(K425="",0,IF(ISNUMBER(K425),K425,1)),IF($C425="Paying back",0,IF(AND(OR(Housemates!$C$13="",Housemates!$C$13&lt;=$B425),OR(Housemates!$D$13="",Housemates!$D$13&gt;=$B425)),IF($Q425=0,1,INDEX(Bills!$AF$6:$AF$25,$Q425)),0))))</f>
        <v/>
      </c>
      <c r="Y425">
        <f>IF(OR($D425="",$B425="",Housemates!$B$14=""),0,IF($R425&gt;0,IF(L425="",0,IF(ISNUMBER(L425),L425,1)),IF($C425="Paying back",0,IF(AND(OR(Housemates!$C$14="",Housemates!$C$14&lt;=$B425),OR(Housemates!$D$14="",Housemates!$D$14&gt;=$B425)),IF($Q425=0,1,INDEX(Bills!$AG$6:$AG$25,$Q425)),0))))</f>
        <v/>
      </c>
      <c r="Z425">
        <f>IF(OR($D425="",$B425="",Housemates!$B$15=""),0,IF($R425&gt;0,IF(M425="",0,IF(ISNUMBER(M425),M425,1)),IF($C425="Paying back",0,IF(AND(OR(Housemates!$C$15="",Housemates!$C$15&lt;=$B425),OR(Housemates!$D$15="",Housemates!$D$15&gt;=$B425)),IF($Q425=0,1,INDEX(Bills!$AH$6:$AH$25,$Q425)),0))))</f>
        <v/>
      </c>
      <c r="AA425">
        <f>SUM(S425:Z425)</f>
        <v/>
      </c>
      <c r="AB425">
        <f>IF(AA425=0,0,D425*S425/AA425)</f>
        <v/>
      </c>
      <c r="AC425">
        <f>IF(AA425=0,0,D425*T425/AA425)</f>
        <v/>
      </c>
      <c r="AD425">
        <f>IF(AA425=0,0,D425*U425/AA425)</f>
        <v/>
      </c>
      <c r="AE425">
        <f>IF(AA425=0,0,D425*V425/AA425)</f>
        <v/>
      </c>
      <c r="AF425">
        <f>IF(AA425=0,0,D425*W425/AA425)</f>
        <v/>
      </c>
      <c r="AG425">
        <f>IF(AA425=0,0,D425*X425/AA425)</f>
        <v/>
      </c>
      <c r="AH425">
        <f>IF(AA425=0,0,D425*Y425/AA425)</f>
        <v/>
      </c>
      <c r="AI425">
        <f>IF(AA425=0,0,D425*Z425/AA425)</f>
        <v/>
      </c>
      <c r="AJ425">
        <f>IF(OR(C425="",B425=""),"",C425&amp;"|"&amp;(YEAR(B425)*100+MONTH(B425)))</f>
        <v/>
      </c>
    </row>
    <row r="426">
      <c r="A426" s="1" t="n"/>
      <c r="B426" s="23" t="n"/>
      <c r="C426" s="24" t="n"/>
      <c r="D426" s="25" t="n"/>
      <c r="E426" s="26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1">
        <f>IF(D426="","",IF(B426="","No date",IF(AND(C426="Paying back",R426=0),"To whom?",IF(AA426=0,"Nobody",IF(C426="Paying back","To "&amp;INDEX(Housemates!$B$8:$B$15,MATCH(MAX(S426:Z426),S426:Z426,0)),IF(R426&gt;0,IF(COUNTIF(S426:Z426,"&gt;0")=1,"1 person",COUNTIF(S426:Z426,"&gt;0")&amp;" people"),IF(Q426=0,"Everyone",INDEX(Bills!$Q$6:$Q$25,Q426))))))))</f>
        <v/>
      </c>
      <c r="O426" s="18">
        <f>IF(D426="","",IF(C426="Paying back","Paying back",IF(Q426=0,"Other",IF(INDEX(Bills!$C$6:$C$25,Q426)="","Other",INDEX(Bills!$C$6:$C$25,Q426)))))</f>
        <v/>
      </c>
      <c r="P426" s="1" t="n"/>
      <c r="Q426">
        <f>IF(C426="",0,IFERROR(MATCH(C426,Bills!$B$6:$B$25,0),0))</f>
        <v/>
      </c>
      <c r="R426">
        <f>COUNTA(F426:M426)</f>
        <v/>
      </c>
      <c r="S426">
        <f>IF(OR($D426="",$B426="",Housemates!$B$8=""),0,IF($R426&gt;0,IF(F426="",0,IF(ISNUMBER(F426),F426,1)),IF($C426="Paying back",0,IF(AND(OR(Housemates!$C$8="",Housemates!$C$8&lt;=$B426),OR(Housemates!$D$8="",Housemates!$D$8&gt;=$B426)),IF($Q426=0,1,INDEX(Bills!$AA$6:$AA$25,$Q426)),0))))</f>
        <v/>
      </c>
      <c r="T426">
        <f>IF(OR($D426="",$B426="",Housemates!$B$9=""),0,IF($R426&gt;0,IF(G426="",0,IF(ISNUMBER(G426),G426,1)),IF($C426="Paying back",0,IF(AND(OR(Housemates!$C$9="",Housemates!$C$9&lt;=$B426),OR(Housemates!$D$9="",Housemates!$D$9&gt;=$B426)),IF($Q426=0,1,INDEX(Bills!$AB$6:$AB$25,$Q426)),0))))</f>
        <v/>
      </c>
      <c r="U426">
        <f>IF(OR($D426="",$B426="",Housemates!$B$10=""),0,IF($R426&gt;0,IF(H426="",0,IF(ISNUMBER(H426),H426,1)),IF($C426="Paying back",0,IF(AND(OR(Housemates!$C$10="",Housemates!$C$10&lt;=$B426),OR(Housemates!$D$10="",Housemates!$D$10&gt;=$B426)),IF($Q426=0,1,INDEX(Bills!$AC$6:$AC$25,$Q426)),0))))</f>
        <v/>
      </c>
      <c r="V426">
        <f>IF(OR($D426="",$B426="",Housemates!$B$11=""),0,IF($R426&gt;0,IF(I426="",0,IF(ISNUMBER(I426),I426,1)),IF($C426="Paying back",0,IF(AND(OR(Housemates!$C$11="",Housemates!$C$11&lt;=$B426),OR(Housemates!$D$11="",Housemates!$D$11&gt;=$B426)),IF($Q426=0,1,INDEX(Bills!$AD$6:$AD$25,$Q426)),0))))</f>
        <v/>
      </c>
      <c r="W426">
        <f>IF(OR($D426="",$B426="",Housemates!$B$12=""),0,IF($R426&gt;0,IF(J426="",0,IF(ISNUMBER(J426),J426,1)),IF($C426="Paying back",0,IF(AND(OR(Housemates!$C$12="",Housemates!$C$12&lt;=$B426),OR(Housemates!$D$12="",Housemates!$D$12&gt;=$B426)),IF($Q426=0,1,INDEX(Bills!$AE$6:$AE$25,$Q426)),0))))</f>
        <v/>
      </c>
      <c r="X426">
        <f>IF(OR($D426="",$B426="",Housemates!$B$13=""),0,IF($R426&gt;0,IF(K426="",0,IF(ISNUMBER(K426),K426,1)),IF($C426="Paying back",0,IF(AND(OR(Housemates!$C$13="",Housemates!$C$13&lt;=$B426),OR(Housemates!$D$13="",Housemates!$D$13&gt;=$B426)),IF($Q426=0,1,INDEX(Bills!$AF$6:$AF$25,$Q426)),0))))</f>
        <v/>
      </c>
      <c r="Y426">
        <f>IF(OR($D426="",$B426="",Housemates!$B$14=""),0,IF($R426&gt;0,IF(L426="",0,IF(ISNUMBER(L426),L426,1)),IF($C426="Paying back",0,IF(AND(OR(Housemates!$C$14="",Housemates!$C$14&lt;=$B426),OR(Housemates!$D$14="",Housemates!$D$14&gt;=$B426)),IF($Q426=0,1,INDEX(Bills!$AG$6:$AG$25,$Q426)),0))))</f>
        <v/>
      </c>
      <c r="Z426">
        <f>IF(OR($D426="",$B426="",Housemates!$B$15=""),0,IF($R426&gt;0,IF(M426="",0,IF(ISNUMBER(M426),M426,1)),IF($C426="Paying back",0,IF(AND(OR(Housemates!$C$15="",Housemates!$C$15&lt;=$B426),OR(Housemates!$D$15="",Housemates!$D$15&gt;=$B426)),IF($Q426=0,1,INDEX(Bills!$AH$6:$AH$25,$Q426)),0))))</f>
        <v/>
      </c>
      <c r="AA426">
        <f>SUM(S426:Z426)</f>
        <v/>
      </c>
      <c r="AB426">
        <f>IF(AA426=0,0,D426*S426/AA426)</f>
        <v/>
      </c>
      <c r="AC426">
        <f>IF(AA426=0,0,D426*T426/AA426)</f>
        <v/>
      </c>
      <c r="AD426">
        <f>IF(AA426=0,0,D426*U426/AA426)</f>
        <v/>
      </c>
      <c r="AE426">
        <f>IF(AA426=0,0,D426*V426/AA426)</f>
        <v/>
      </c>
      <c r="AF426">
        <f>IF(AA426=0,0,D426*W426/AA426)</f>
        <v/>
      </c>
      <c r="AG426">
        <f>IF(AA426=0,0,D426*X426/AA426)</f>
        <v/>
      </c>
      <c r="AH426">
        <f>IF(AA426=0,0,D426*Y426/AA426)</f>
        <v/>
      </c>
      <c r="AI426">
        <f>IF(AA426=0,0,D426*Z426/AA426)</f>
        <v/>
      </c>
      <c r="AJ426">
        <f>IF(OR(C426="",B426=""),"",C426&amp;"|"&amp;(YEAR(B426)*100+MONTH(B426)))</f>
        <v/>
      </c>
    </row>
    <row r="427">
      <c r="A427" s="1" t="n"/>
      <c r="B427" s="23" t="n"/>
      <c r="C427" s="24" t="n"/>
      <c r="D427" s="25" t="n"/>
      <c r="E427" s="26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1">
        <f>IF(D427="","",IF(B427="","No date",IF(AND(C427="Paying back",R427=0),"To whom?",IF(AA427=0,"Nobody",IF(C427="Paying back","To "&amp;INDEX(Housemates!$B$8:$B$15,MATCH(MAX(S427:Z427),S427:Z427,0)),IF(R427&gt;0,IF(COUNTIF(S427:Z427,"&gt;0")=1,"1 person",COUNTIF(S427:Z427,"&gt;0")&amp;" people"),IF(Q427=0,"Everyone",INDEX(Bills!$Q$6:$Q$25,Q427))))))))</f>
        <v/>
      </c>
      <c r="O427" s="18">
        <f>IF(D427="","",IF(C427="Paying back","Paying back",IF(Q427=0,"Other",IF(INDEX(Bills!$C$6:$C$25,Q427)="","Other",INDEX(Bills!$C$6:$C$25,Q427)))))</f>
        <v/>
      </c>
      <c r="P427" s="1" t="n"/>
      <c r="Q427">
        <f>IF(C427="",0,IFERROR(MATCH(C427,Bills!$B$6:$B$25,0),0))</f>
        <v/>
      </c>
      <c r="R427">
        <f>COUNTA(F427:M427)</f>
        <v/>
      </c>
      <c r="S427">
        <f>IF(OR($D427="",$B427="",Housemates!$B$8=""),0,IF($R427&gt;0,IF(F427="",0,IF(ISNUMBER(F427),F427,1)),IF($C427="Paying back",0,IF(AND(OR(Housemates!$C$8="",Housemates!$C$8&lt;=$B427),OR(Housemates!$D$8="",Housemates!$D$8&gt;=$B427)),IF($Q427=0,1,INDEX(Bills!$AA$6:$AA$25,$Q427)),0))))</f>
        <v/>
      </c>
      <c r="T427">
        <f>IF(OR($D427="",$B427="",Housemates!$B$9=""),0,IF($R427&gt;0,IF(G427="",0,IF(ISNUMBER(G427),G427,1)),IF($C427="Paying back",0,IF(AND(OR(Housemates!$C$9="",Housemates!$C$9&lt;=$B427),OR(Housemates!$D$9="",Housemates!$D$9&gt;=$B427)),IF($Q427=0,1,INDEX(Bills!$AB$6:$AB$25,$Q427)),0))))</f>
        <v/>
      </c>
      <c r="U427">
        <f>IF(OR($D427="",$B427="",Housemates!$B$10=""),0,IF($R427&gt;0,IF(H427="",0,IF(ISNUMBER(H427),H427,1)),IF($C427="Paying back",0,IF(AND(OR(Housemates!$C$10="",Housemates!$C$10&lt;=$B427),OR(Housemates!$D$10="",Housemates!$D$10&gt;=$B427)),IF($Q427=0,1,INDEX(Bills!$AC$6:$AC$25,$Q427)),0))))</f>
        <v/>
      </c>
      <c r="V427">
        <f>IF(OR($D427="",$B427="",Housemates!$B$11=""),0,IF($R427&gt;0,IF(I427="",0,IF(ISNUMBER(I427),I427,1)),IF($C427="Paying back",0,IF(AND(OR(Housemates!$C$11="",Housemates!$C$11&lt;=$B427),OR(Housemates!$D$11="",Housemates!$D$11&gt;=$B427)),IF($Q427=0,1,INDEX(Bills!$AD$6:$AD$25,$Q427)),0))))</f>
        <v/>
      </c>
      <c r="W427">
        <f>IF(OR($D427="",$B427="",Housemates!$B$12=""),0,IF($R427&gt;0,IF(J427="",0,IF(ISNUMBER(J427),J427,1)),IF($C427="Paying back",0,IF(AND(OR(Housemates!$C$12="",Housemates!$C$12&lt;=$B427),OR(Housemates!$D$12="",Housemates!$D$12&gt;=$B427)),IF($Q427=0,1,INDEX(Bills!$AE$6:$AE$25,$Q427)),0))))</f>
        <v/>
      </c>
      <c r="X427">
        <f>IF(OR($D427="",$B427="",Housemates!$B$13=""),0,IF($R427&gt;0,IF(K427="",0,IF(ISNUMBER(K427),K427,1)),IF($C427="Paying back",0,IF(AND(OR(Housemates!$C$13="",Housemates!$C$13&lt;=$B427),OR(Housemates!$D$13="",Housemates!$D$13&gt;=$B427)),IF($Q427=0,1,INDEX(Bills!$AF$6:$AF$25,$Q427)),0))))</f>
        <v/>
      </c>
      <c r="Y427">
        <f>IF(OR($D427="",$B427="",Housemates!$B$14=""),0,IF($R427&gt;0,IF(L427="",0,IF(ISNUMBER(L427),L427,1)),IF($C427="Paying back",0,IF(AND(OR(Housemates!$C$14="",Housemates!$C$14&lt;=$B427),OR(Housemates!$D$14="",Housemates!$D$14&gt;=$B427)),IF($Q427=0,1,INDEX(Bills!$AG$6:$AG$25,$Q427)),0))))</f>
        <v/>
      </c>
      <c r="Z427">
        <f>IF(OR($D427="",$B427="",Housemates!$B$15=""),0,IF($R427&gt;0,IF(M427="",0,IF(ISNUMBER(M427),M427,1)),IF($C427="Paying back",0,IF(AND(OR(Housemates!$C$15="",Housemates!$C$15&lt;=$B427),OR(Housemates!$D$15="",Housemates!$D$15&gt;=$B427)),IF($Q427=0,1,INDEX(Bills!$AH$6:$AH$25,$Q427)),0))))</f>
        <v/>
      </c>
      <c r="AA427">
        <f>SUM(S427:Z427)</f>
        <v/>
      </c>
      <c r="AB427">
        <f>IF(AA427=0,0,D427*S427/AA427)</f>
        <v/>
      </c>
      <c r="AC427">
        <f>IF(AA427=0,0,D427*T427/AA427)</f>
        <v/>
      </c>
      <c r="AD427">
        <f>IF(AA427=0,0,D427*U427/AA427)</f>
        <v/>
      </c>
      <c r="AE427">
        <f>IF(AA427=0,0,D427*V427/AA427)</f>
        <v/>
      </c>
      <c r="AF427">
        <f>IF(AA427=0,0,D427*W427/AA427)</f>
        <v/>
      </c>
      <c r="AG427">
        <f>IF(AA427=0,0,D427*X427/AA427)</f>
        <v/>
      </c>
      <c r="AH427">
        <f>IF(AA427=0,0,D427*Y427/AA427)</f>
        <v/>
      </c>
      <c r="AI427">
        <f>IF(AA427=0,0,D427*Z427/AA427)</f>
        <v/>
      </c>
      <c r="AJ427">
        <f>IF(OR(C427="",B427=""),"",C427&amp;"|"&amp;(YEAR(B427)*100+MONTH(B427)))</f>
        <v/>
      </c>
    </row>
    <row r="428">
      <c r="A428" s="1" t="n"/>
      <c r="B428" s="23" t="n"/>
      <c r="C428" s="24" t="n"/>
      <c r="D428" s="25" t="n"/>
      <c r="E428" s="26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1">
        <f>IF(D428="","",IF(B428="","No date",IF(AND(C428="Paying back",R428=0),"To whom?",IF(AA428=0,"Nobody",IF(C428="Paying back","To "&amp;INDEX(Housemates!$B$8:$B$15,MATCH(MAX(S428:Z428),S428:Z428,0)),IF(R428&gt;0,IF(COUNTIF(S428:Z428,"&gt;0")=1,"1 person",COUNTIF(S428:Z428,"&gt;0")&amp;" people"),IF(Q428=0,"Everyone",INDEX(Bills!$Q$6:$Q$25,Q428))))))))</f>
        <v/>
      </c>
      <c r="O428" s="18">
        <f>IF(D428="","",IF(C428="Paying back","Paying back",IF(Q428=0,"Other",IF(INDEX(Bills!$C$6:$C$25,Q428)="","Other",INDEX(Bills!$C$6:$C$25,Q428)))))</f>
        <v/>
      </c>
      <c r="P428" s="1" t="n"/>
      <c r="Q428">
        <f>IF(C428="",0,IFERROR(MATCH(C428,Bills!$B$6:$B$25,0),0))</f>
        <v/>
      </c>
      <c r="R428">
        <f>COUNTA(F428:M428)</f>
        <v/>
      </c>
      <c r="S428">
        <f>IF(OR($D428="",$B428="",Housemates!$B$8=""),0,IF($R428&gt;0,IF(F428="",0,IF(ISNUMBER(F428),F428,1)),IF($C428="Paying back",0,IF(AND(OR(Housemates!$C$8="",Housemates!$C$8&lt;=$B428),OR(Housemates!$D$8="",Housemates!$D$8&gt;=$B428)),IF($Q428=0,1,INDEX(Bills!$AA$6:$AA$25,$Q428)),0))))</f>
        <v/>
      </c>
      <c r="T428">
        <f>IF(OR($D428="",$B428="",Housemates!$B$9=""),0,IF($R428&gt;0,IF(G428="",0,IF(ISNUMBER(G428),G428,1)),IF($C428="Paying back",0,IF(AND(OR(Housemates!$C$9="",Housemates!$C$9&lt;=$B428),OR(Housemates!$D$9="",Housemates!$D$9&gt;=$B428)),IF($Q428=0,1,INDEX(Bills!$AB$6:$AB$25,$Q428)),0))))</f>
        <v/>
      </c>
      <c r="U428">
        <f>IF(OR($D428="",$B428="",Housemates!$B$10=""),0,IF($R428&gt;0,IF(H428="",0,IF(ISNUMBER(H428),H428,1)),IF($C428="Paying back",0,IF(AND(OR(Housemates!$C$10="",Housemates!$C$10&lt;=$B428),OR(Housemates!$D$10="",Housemates!$D$10&gt;=$B428)),IF($Q428=0,1,INDEX(Bills!$AC$6:$AC$25,$Q428)),0))))</f>
        <v/>
      </c>
      <c r="V428">
        <f>IF(OR($D428="",$B428="",Housemates!$B$11=""),0,IF($R428&gt;0,IF(I428="",0,IF(ISNUMBER(I428),I428,1)),IF($C428="Paying back",0,IF(AND(OR(Housemates!$C$11="",Housemates!$C$11&lt;=$B428),OR(Housemates!$D$11="",Housemates!$D$11&gt;=$B428)),IF($Q428=0,1,INDEX(Bills!$AD$6:$AD$25,$Q428)),0))))</f>
        <v/>
      </c>
      <c r="W428">
        <f>IF(OR($D428="",$B428="",Housemates!$B$12=""),0,IF($R428&gt;0,IF(J428="",0,IF(ISNUMBER(J428),J428,1)),IF($C428="Paying back",0,IF(AND(OR(Housemates!$C$12="",Housemates!$C$12&lt;=$B428),OR(Housemates!$D$12="",Housemates!$D$12&gt;=$B428)),IF($Q428=0,1,INDEX(Bills!$AE$6:$AE$25,$Q428)),0))))</f>
        <v/>
      </c>
      <c r="X428">
        <f>IF(OR($D428="",$B428="",Housemates!$B$13=""),0,IF($R428&gt;0,IF(K428="",0,IF(ISNUMBER(K428),K428,1)),IF($C428="Paying back",0,IF(AND(OR(Housemates!$C$13="",Housemates!$C$13&lt;=$B428),OR(Housemates!$D$13="",Housemates!$D$13&gt;=$B428)),IF($Q428=0,1,INDEX(Bills!$AF$6:$AF$25,$Q428)),0))))</f>
        <v/>
      </c>
      <c r="Y428">
        <f>IF(OR($D428="",$B428="",Housemates!$B$14=""),0,IF($R428&gt;0,IF(L428="",0,IF(ISNUMBER(L428),L428,1)),IF($C428="Paying back",0,IF(AND(OR(Housemates!$C$14="",Housemates!$C$14&lt;=$B428),OR(Housemates!$D$14="",Housemates!$D$14&gt;=$B428)),IF($Q428=0,1,INDEX(Bills!$AG$6:$AG$25,$Q428)),0))))</f>
        <v/>
      </c>
      <c r="Z428">
        <f>IF(OR($D428="",$B428="",Housemates!$B$15=""),0,IF($R428&gt;0,IF(M428="",0,IF(ISNUMBER(M428),M428,1)),IF($C428="Paying back",0,IF(AND(OR(Housemates!$C$15="",Housemates!$C$15&lt;=$B428),OR(Housemates!$D$15="",Housemates!$D$15&gt;=$B428)),IF($Q428=0,1,INDEX(Bills!$AH$6:$AH$25,$Q428)),0))))</f>
        <v/>
      </c>
      <c r="AA428">
        <f>SUM(S428:Z428)</f>
        <v/>
      </c>
      <c r="AB428">
        <f>IF(AA428=0,0,D428*S428/AA428)</f>
        <v/>
      </c>
      <c r="AC428">
        <f>IF(AA428=0,0,D428*T428/AA428)</f>
        <v/>
      </c>
      <c r="AD428">
        <f>IF(AA428=0,0,D428*U428/AA428)</f>
        <v/>
      </c>
      <c r="AE428">
        <f>IF(AA428=0,0,D428*V428/AA428)</f>
        <v/>
      </c>
      <c r="AF428">
        <f>IF(AA428=0,0,D428*W428/AA428)</f>
        <v/>
      </c>
      <c r="AG428">
        <f>IF(AA428=0,0,D428*X428/AA428)</f>
        <v/>
      </c>
      <c r="AH428">
        <f>IF(AA428=0,0,D428*Y428/AA428)</f>
        <v/>
      </c>
      <c r="AI428">
        <f>IF(AA428=0,0,D428*Z428/AA428)</f>
        <v/>
      </c>
      <c r="AJ428">
        <f>IF(OR(C428="",B428=""),"",C428&amp;"|"&amp;(YEAR(B428)*100+MONTH(B428)))</f>
        <v/>
      </c>
    </row>
    <row r="429">
      <c r="A429" s="1" t="n"/>
      <c r="B429" s="23" t="n"/>
      <c r="C429" s="24" t="n"/>
      <c r="D429" s="25" t="n"/>
      <c r="E429" s="26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1">
        <f>IF(D429="","",IF(B429="","No date",IF(AND(C429="Paying back",R429=0),"To whom?",IF(AA429=0,"Nobody",IF(C429="Paying back","To "&amp;INDEX(Housemates!$B$8:$B$15,MATCH(MAX(S429:Z429),S429:Z429,0)),IF(R429&gt;0,IF(COUNTIF(S429:Z429,"&gt;0")=1,"1 person",COUNTIF(S429:Z429,"&gt;0")&amp;" people"),IF(Q429=0,"Everyone",INDEX(Bills!$Q$6:$Q$25,Q429))))))))</f>
        <v/>
      </c>
      <c r="O429" s="18">
        <f>IF(D429="","",IF(C429="Paying back","Paying back",IF(Q429=0,"Other",IF(INDEX(Bills!$C$6:$C$25,Q429)="","Other",INDEX(Bills!$C$6:$C$25,Q429)))))</f>
        <v/>
      </c>
      <c r="P429" s="1" t="n"/>
      <c r="Q429">
        <f>IF(C429="",0,IFERROR(MATCH(C429,Bills!$B$6:$B$25,0),0))</f>
        <v/>
      </c>
      <c r="R429">
        <f>COUNTA(F429:M429)</f>
        <v/>
      </c>
      <c r="S429">
        <f>IF(OR($D429="",$B429="",Housemates!$B$8=""),0,IF($R429&gt;0,IF(F429="",0,IF(ISNUMBER(F429),F429,1)),IF($C429="Paying back",0,IF(AND(OR(Housemates!$C$8="",Housemates!$C$8&lt;=$B429),OR(Housemates!$D$8="",Housemates!$D$8&gt;=$B429)),IF($Q429=0,1,INDEX(Bills!$AA$6:$AA$25,$Q429)),0))))</f>
        <v/>
      </c>
      <c r="T429">
        <f>IF(OR($D429="",$B429="",Housemates!$B$9=""),0,IF($R429&gt;0,IF(G429="",0,IF(ISNUMBER(G429),G429,1)),IF($C429="Paying back",0,IF(AND(OR(Housemates!$C$9="",Housemates!$C$9&lt;=$B429),OR(Housemates!$D$9="",Housemates!$D$9&gt;=$B429)),IF($Q429=0,1,INDEX(Bills!$AB$6:$AB$25,$Q429)),0))))</f>
        <v/>
      </c>
      <c r="U429">
        <f>IF(OR($D429="",$B429="",Housemates!$B$10=""),0,IF($R429&gt;0,IF(H429="",0,IF(ISNUMBER(H429),H429,1)),IF($C429="Paying back",0,IF(AND(OR(Housemates!$C$10="",Housemates!$C$10&lt;=$B429),OR(Housemates!$D$10="",Housemates!$D$10&gt;=$B429)),IF($Q429=0,1,INDEX(Bills!$AC$6:$AC$25,$Q429)),0))))</f>
        <v/>
      </c>
      <c r="V429">
        <f>IF(OR($D429="",$B429="",Housemates!$B$11=""),0,IF($R429&gt;0,IF(I429="",0,IF(ISNUMBER(I429),I429,1)),IF($C429="Paying back",0,IF(AND(OR(Housemates!$C$11="",Housemates!$C$11&lt;=$B429),OR(Housemates!$D$11="",Housemates!$D$11&gt;=$B429)),IF($Q429=0,1,INDEX(Bills!$AD$6:$AD$25,$Q429)),0))))</f>
        <v/>
      </c>
      <c r="W429">
        <f>IF(OR($D429="",$B429="",Housemates!$B$12=""),0,IF($R429&gt;0,IF(J429="",0,IF(ISNUMBER(J429),J429,1)),IF($C429="Paying back",0,IF(AND(OR(Housemates!$C$12="",Housemates!$C$12&lt;=$B429),OR(Housemates!$D$12="",Housemates!$D$12&gt;=$B429)),IF($Q429=0,1,INDEX(Bills!$AE$6:$AE$25,$Q429)),0))))</f>
        <v/>
      </c>
      <c r="X429">
        <f>IF(OR($D429="",$B429="",Housemates!$B$13=""),0,IF($R429&gt;0,IF(K429="",0,IF(ISNUMBER(K429),K429,1)),IF($C429="Paying back",0,IF(AND(OR(Housemates!$C$13="",Housemates!$C$13&lt;=$B429),OR(Housemates!$D$13="",Housemates!$D$13&gt;=$B429)),IF($Q429=0,1,INDEX(Bills!$AF$6:$AF$25,$Q429)),0))))</f>
        <v/>
      </c>
      <c r="Y429">
        <f>IF(OR($D429="",$B429="",Housemates!$B$14=""),0,IF($R429&gt;0,IF(L429="",0,IF(ISNUMBER(L429),L429,1)),IF($C429="Paying back",0,IF(AND(OR(Housemates!$C$14="",Housemates!$C$14&lt;=$B429),OR(Housemates!$D$14="",Housemates!$D$14&gt;=$B429)),IF($Q429=0,1,INDEX(Bills!$AG$6:$AG$25,$Q429)),0))))</f>
        <v/>
      </c>
      <c r="Z429">
        <f>IF(OR($D429="",$B429="",Housemates!$B$15=""),0,IF($R429&gt;0,IF(M429="",0,IF(ISNUMBER(M429),M429,1)),IF($C429="Paying back",0,IF(AND(OR(Housemates!$C$15="",Housemates!$C$15&lt;=$B429),OR(Housemates!$D$15="",Housemates!$D$15&gt;=$B429)),IF($Q429=0,1,INDEX(Bills!$AH$6:$AH$25,$Q429)),0))))</f>
        <v/>
      </c>
      <c r="AA429">
        <f>SUM(S429:Z429)</f>
        <v/>
      </c>
      <c r="AB429">
        <f>IF(AA429=0,0,D429*S429/AA429)</f>
        <v/>
      </c>
      <c r="AC429">
        <f>IF(AA429=0,0,D429*T429/AA429)</f>
        <v/>
      </c>
      <c r="AD429">
        <f>IF(AA429=0,0,D429*U429/AA429)</f>
        <v/>
      </c>
      <c r="AE429">
        <f>IF(AA429=0,0,D429*V429/AA429)</f>
        <v/>
      </c>
      <c r="AF429">
        <f>IF(AA429=0,0,D429*W429/AA429)</f>
        <v/>
      </c>
      <c r="AG429">
        <f>IF(AA429=0,0,D429*X429/AA429)</f>
        <v/>
      </c>
      <c r="AH429">
        <f>IF(AA429=0,0,D429*Y429/AA429)</f>
        <v/>
      </c>
      <c r="AI429">
        <f>IF(AA429=0,0,D429*Z429/AA429)</f>
        <v/>
      </c>
      <c r="AJ429">
        <f>IF(OR(C429="",B429=""),"",C429&amp;"|"&amp;(YEAR(B429)*100+MONTH(B429)))</f>
        <v/>
      </c>
    </row>
    <row r="430">
      <c r="A430" s="1" t="n"/>
      <c r="B430" s="23" t="n"/>
      <c r="C430" s="24" t="n"/>
      <c r="D430" s="25" t="n"/>
      <c r="E430" s="26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1">
        <f>IF(D430="","",IF(B430="","No date",IF(AND(C430="Paying back",R430=0),"To whom?",IF(AA430=0,"Nobody",IF(C430="Paying back","To "&amp;INDEX(Housemates!$B$8:$B$15,MATCH(MAX(S430:Z430),S430:Z430,0)),IF(R430&gt;0,IF(COUNTIF(S430:Z430,"&gt;0")=1,"1 person",COUNTIF(S430:Z430,"&gt;0")&amp;" people"),IF(Q430=0,"Everyone",INDEX(Bills!$Q$6:$Q$25,Q430))))))))</f>
        <v/>
      </c>
      <c r="O430" s="18">
        <f>IF(D430="","",IF(C430="Paying back","Paying back",IF(Q430=0,"Other",IF(INDEX(Bills!$C$6:$C$25,Q430)="","Other",INDEX(Bills!$C$6:$C$25,Q430)))))</f>
        <v/>
      </c>
      <c r="P430" s="1" t="n"/>
      <c r="Q430">
        <f>IF(C430="",0,IFERROR(MATCH(C430,Bills!$B$6:$B$25,0),0))</f>
        <v/>
      </c>
      <c r="R430">
        <f>COUNTA(F430:M430)</f>
        <v/>
      </c>
      <c r="S430">
        <f>IF(OR($D430="",$B430="",Housemates!$B$8=""),0,IF($R430&gt;0,IF(F430="",0,IF(ISNUMBER(F430),F430,1)),IF($C430="Paying back",0,IF(AND(OR(Housemates!$C$8="",Housemates!$C$8&lt;=$B430),OR(Housemates!$D$8="",Housemates!$D$8&gt;=$B430)),IF($Q430=0,1,INDEX(Bills!$AA$6:$AA$25,$Q430)),0))))</f>
        <v/>
      </c>
      <c r="T430">
        <f>IF(OR($D430="",$B430="",Housemates!$B$9=""),0,IF($R430&gt;0,IF(G430="",0,IF(ISNUMBER(G430),G430,1)),IF($C430="Paying back",0,IF(AND(OR(Housemates!$C$9="",Housemates!$C$9&lt;=$B430),OR(Housemates!$D$9="",Housemates!$D$9&gt;=$B430)),IF($Q430=0,1,INDEX(Bills!$AB$6:$AB$25,$Q430)),0))))</f>
        <v/>
      </c>
      <c r="U430">
        <f>IF(OR($D430="",$B430="",Housemates!$B$10=""),0,IF($R430&gt;0,IF(H430="",0,IF(ISNUMBER(H430),H430,1)),IF($C430="Paying back",0,IF(AND(OR(Housemates!$C$10="",Housemates!$C$10&lt;=$B430),OR(Housemates!$D$10="",Housemates!$D$10&gt;=$B430)),IF($Q430=0,1,INDEX(Bills!$AC$6:$AC$25,$Q430)),0))))</f>
        <v/>
      </c>
      <c r="V430">
        <f>IF(OR($D430="",$B430="",Housemates!$B$11=""),0,IF($R430&gt;0,IF(I430="",0,IF(ISNUMBER(I430),I430,1)),IF($C430="Paying back",0,IF(AND(OR(Housemates!$C$11="",Housemates!$C$11&lt;=$B430),OR(Housemates!$D$11="",Housemates!$D$11&gt;=$B430)),IF($Q430=0,1,INDEX(Bills!$AD$6:$AD$25,$Q430)),0))))</f>
        <v/>
      </c>
      <c r="W430">
        <f>IF(OR($D430="",$B430="",Housemates!$B$12=""),0,IF($R430&gt;0,IF(J430="",0,IF(ISNUMBER(J430),J430,1)),IF($C430="Paying back",0,IF(AND(OR(Housemates!$C$12="",Housemates!$C$12&lt;=$B430),OR(Housemates!$D$12="",Housemates!$D$12&gt;=$B430)),IF($Q430=0,1,INDEX(Bills!$AE$6:$AE$25,$Q430)),0))))</f>
        <v/>
      </c>
      <c r="X430">
        <f>IF(OR($D430="",$B430="",Housemates!$B$13=""),0,IF($R430&gt;0,IF(K430="",0,IF(ISNUMBER(K430),K430,1)),IF($C430="Paying back",0,IF(AND(OR(Housemates!$C$13="",Housemates!$C$13&lt;=$B430),OR(Housemates!$D$13="",Housemates!$D$13&gt;=$B430)),IF($Q430=0,1,INDEX(Bills!$AF$6:$AF$25,$Q430)),0))))</f>
        <v/>
      </c>
      <c r="Y430">
        <f>IF(OR($D430="",$B430="",Housemates!$B$14=""),0,IF($R430&gt;0,IF(L430="",0,IF(ISNUMBER(L430),L430,1)),IF($C430="Paying back",0,IF(AND(OR(Housemates!$C$14="",Housemates!$C$14&lt;=$B430),OR(Housemates!$D$14="",Housemates!$D$14&gt;=$B430)),IF($Q430=0,1,INDEX(Bills!$AG$6:$AG$25,$Q430)),0))))</f>
        <v/>
      </c>
      <c r="Z430">
        <f>IF(OR($D430="",$B430="",Housemates!$B$15=""),0,IF($R430&gt;0,IF(M430="",0,IF(ISNUMBER(M430),M430,1)),IF($C430="Paying back",0,IF(AND(OR(Housemates!$C$15="",Housemates!$C$15&lt;=$B430),OR(Housemates!$D$15="",Housemates!$D$15&gt;=$B430)),IF($Q430=0,1,INDEX(Bills!$AH$6:$AH$25,$Q430)),0))))</f>
        <v/>
      </c>
      <c r="AA430">
        <f>SUM(S430:Z430)</f>
        <v/>
      </c>
      <c r="AB430">
        <f>IF(AA430=0,0,D430*S430/AA430)</f>
        <v/>
      </c>
      <c r="AC430">
        <f>IF(AA430=0,0,D430*T430/AA430)</f>
        <v/>
      </c>
      <c r="AD430">
        <f>IF(AA430=0,0,D430*U430/AA430)</f>
        <v/>
      </c>
      <c r="AE430">
        <f>IF(AA430=0,0,D430*V430/AA430)</f>
        <v/>
      </c>
      <c r="AF430">
        <f>IF(AA430=0,0,D430*W430/AA430)</f>
        <v/>
      </c>
      <c r="AG430">
        <f>IF(AA430=0,0,D430*X430/AA430)</f>
        <v/>
      </c>
      <c r="AH430">
        <f>IF(AA430=0,0,D430*Y430/AA430)</f>
        <v/>
      </c>
      <c r="AI430">
        <f>IF(AA430=0,0,D430*Z430/AA430)</f>
        <v/>
      </c>
      <c r="AJ430">
        <f>IF(OR(C430="",B430=""),"",C430&amp;"|"&amp;(YEAR(B430)*100+MONTH(B430)))</f>
        <v/>
      </c>
    </row>
    <row r="431">
      <c r="A431" s="1" t="n"/>
      <c r="B431" s="23" t="n"/>
      <c r="C431" s="24" t="n"/>
      <c r="D431" s="25" t="n"/>
      <c r="E431" s="26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1">
        <f>IF(D431="","",IF(B431="","No date",IF(AND(C431="Paying back",R431=0),"To whom?",IF(AA431=0,"Nobody",IF(C431="Paying back","To "&amp;INDEX(Housemates!$B$8:$B$15,MATCH(MAX(S431:Z431),S431:Z431,0)),IF(R431&gt;0,IF(COUNTIF(S431:Z431,"&gt;0")=1,"1 person",COUNTIF(S431:Z431,"&gt;0")&amp;" people"),IF(Q431=0,"Everyone",INDEX(Bills!$Q$6:$Q$25,Q431))))))))</f>
        <v/>
      </c>
      <c r="O431" s="18">
        <f>IF(D431="","",IF(C431="Paying back","Paying back",IF(Q431=0,"Other",IF(INDEX(Bills!$C$6:$C$25,Q431)="","Other",INDEX(Bills!$C$6:$C$25,Q431)))))</f>
        <v/>
      </c>
      <c r="P431" s="1" t="n"/>
      <c r="Q431">
        <f>IF(C431="",0,IFERROR(MATCH(C431,Bills!$B$6:$B$25,0),0))</f>
        <v/>
      </c>
      <c r="R431">
        <f>COUNTA(F431:M431)</f>
        <v/>
      </c>
      <c r="S431">
        <f>IF(OR($D431="",$B431="",Housemates!$B$8=""),0,IF($R431&gt;0,IF(F431="",0,IF(ISNUMBER(F431),F431,1)),IF($C431="Paying back",0,IF(AND(OR(Housemates!$C$8="",Housemates!$C$8&lt;=$B431),OR(Housemates!$D$8="",Housemates!$D$8&gt;=$B431)),IF($Q431=0,1,INDEX(Bills!$AA$6:$AA$25,$Q431)),0))))</f>
        <v/>
      </c>
      <c r="T431">
        <f>IF(OR($D431="",$B431="",Housemates!$B$9=""),0,IF($R431&gt;0,IF(G431="",0,IF(ISNUMBER(G431),G431,1)),IF($C431="Paying back",0,IF(AND(OR(Housemates!$C$9="",Housemates!$C$9&lt;=$B431),OR(Housemates!$D$9="",Housemates!$D$9&gt;=$B431)),IF($Q431=0,1,INDEX(Bills!$AB$6:$AB$25,$Q431)),0))))</f>
        <v/>
      </c>
      <c r="U431">
        <f>IF(OR($D431="",$B431="",Housemates!$B$10=""),0,IF($R431&gt;0,IF(H431="",0,IF(ISNUMBER(H431),H431,1)),IF($C431="Paying back",0,IF(AND(OR(Housemates!$C$10="",Housemates!$C$10&lt;=$B431),OR(Housemates!$D$10="",Housemates!$D$10&gt;=$B431)),IF($Q431=0,1,INDEX(Bills!$AC$6:$AC$25,$Q431)),0))))</f>
        <v/>
      </c>
      <c r="V431">
        <f>IF(OR($D431="",$B431="",Housemates!$B$11=""),0,IF($R431&gt;0,IF(I431="",0,IF(ISNUMBER(I431),I431,1)),IF($C431="Paying back",0,IF(AND(OR(Housemates!$C$11="",Housemates!$C$11&lt;=$B431),OR(Housemates!$D$11="",Housemates!$D$11&gt;=$B431)),IF($Q431=0,1,INDEX(Bills!$AD$6:$AD$25,$Q431)),0))))</f>
        <v/>
      </c>
      <c r="W431">
        <f>IF(OR($D431="",$B431="",Housemates!$B$12=""),0,IF($R431&gt;0,IF(J431="",0,IF(ISNUMBER(J431),J431,1)),IF($C431="Paying back",0,IF(AND(OR(Housemates!$C$12="",Housemates!$C$12&lt;=$B431),OR(Housemates!$D$12="",Housemates!$D$12&gt;=$B431)),IF($Q431=0,1,INDEX(Bills!$AE$6:$AE$25,$Q431)),0))))</f>
        <v/>
      </c>
      <c r="X431">
        <f>IF(OR($D431="",$B431="",Housemates!$B$13=""),0,IF($R431&gt;0,IF(K431="",0,IF(ISNUMBER(K431),K431,1)),IF($C431="Paying back",0,IF(AND(OR(Housemates!$C$13="",Housemates!$C$13&lt;=$B431),OR(Housemates!$D$13="",Housemates!$D$13&gt;=$B431)),IF($Q431=0,1,INDEX(Bills!$AF$6:$AF$25,$Q431)),0))))</f>
        <v/>
      </c>
      <c r="Y431">
        <f>IF(OR($D431="",$B431="",Housemates!$B$14=""),0,IF($R431&gt;0,IF(L431="",0,IF(ISNUMBER(L431),L431,1)),IF($C431="Paying back",0,IF(AND(OR(Housemates!$C$14="",Housemates!$C$14&lt;=$B431),OR(Housemates!$D$14="",Housemates!$D$14&gt;=$B431)),IF($Q431=0,1,INDEX(Bills!$AG$6:$AG$25,$Q431)),0))))</f>
        <v/>
      </c>
      <c r="Z431">
        <f>IF(OR($D431="",$B431="",Housemates!$B$15=""),0,IF($R431&gt;0,IF(M431="",0,IF(ISNUMBER(M431),M431,1)),IF($C431="Paying back",0,IF(AND(OR(Housemates!$C$15="",Housemates!$C$15&lt;=$B431),OR(Housemates!$D$15="",Housemates!$D$15&gt;=$B431)),IF($Q431=0,1,INDEX(Bills!$AH$6:$AH$25,$Q431)),0))))</f>
        <v/>
      </c>
      <c r="AA431">
        <f>SUM(S431:Z431)</f>
        <v/>
      </c>
      <c r="AB431">
        <f>IF(AA431=0,0,D431*S431/AA431)</f>
        <v/>
      </c>
      <c r="AC431">
        <f>IF(AA431=0,0,D431*T431/AA431)</f>
        <v/>
      </c>
      <c r="AD431">
        <f>IF(AA431=0,0,D431*U431/AA431)</f>
        <v/>
      </c>
      <c r="AE431">
        <f>IF(AA431=0,0,D431*V431/AA431)</f>
        <v/>
      </c>
      <c r="AF431">
        <f>IF(AA431=0,0,D431*W431/AA431)</f>
        <v/>
      </c>
      <c r="AG431">
        <f>IF(AA431=0,0,D431*X431/AA431)</f>
        <v/>
      </c>
      <c r="AH431">
        <f>IF(AA431=0,0,D431*Y431/AA431)</f>
        <v/>
      </c>
      <c r="AI431">
        <f>IF(AA431=0,0,D431*Z431/AA431)</f>
        <v/>
      </c>
      <c r="AJ431">
        <f>IF(OR(C431="",B431=""),"",C431&amp;"|"&amp;(YEAR(B431)*100+MONTH(B431)))</f>
        <v/>
      </c>
    </row>
    <row r="432">
      <c r="A432" s="1" t="n"/>
      <c r="B432" s="23" t="n"/>
      <c r="C432" s="24" t="n"/>
      <c r="D432" s="25" t="n"/>
      <c r="E432" s="26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1">
        <f>IF(D432="","",IF(B432="","No date",IF(AND(C432="Paying back",R432=0),"To whom?",IF(AA432=0,"Nobody",IF(C432="Paying back","To "&amp;INDEX(Housemates!$B$8:$B$15,MATCH(MAX(S432:Z432),S432:Z432,0)),IF(R432&gt;0,IF(COUNTIF(S432:Z432,"&gt;0")=1,"1 person",COUNTIF(S432:Z432,"&gt;0")&amp;" people"),IF(Q432=0,"Everyone",INDEX(Bills!$Q$6:$Q$25,Q432))))))))</f>
        <v/>
      </c>
      <c r="O432" s="18">
        <f>IF(D432="","",IF(C432="Paying back","Paying back",IF(Q432=0,"Other",IF(INDEX(Bills!$C$6:$C$25,Q432)="","Other",INDEX(Bills!$C$6:$C$25,Q432)))))</f>
        <v/>
      </c>
      <c r="P432" s="1" t="n"/>
      <c r="Q432">
        <f>IF(C432="",0,IFERROR(MATCH(C432,Bills!$B$6:$B$25,0),0))</f>
        <v/>
      </c>
      <c r="R432">
        <f>COUNTA(F432:M432)</f>
        <v/>
      </c>
      <c r="S432">
        <f>IF(OR($D432="",$B432="",Housemates!$B$8=""),0,IF($R432&gt;0,IF(F432="",0,IF(ISNUMBER(F432),F432,1)),IF($C432="Paying back",0,IF(AND(OR(Housemates!$C$8="",Housemates!$C$8&lt;=$B432),OR(Housemates!$D$8="",Housemates!$D$8&gt;=$B432)),IF($Q432=0,1,INDEX(Bills!$AA$6:$AA$25,$Q432)),0))))</f>
        <v/>
      </c>
      <c r="T432">
        <f>IF(OR($D432="",$B432="",Housemates!$B$9=""),0,IF($R432&gt;0,IF(G432="",0,IF(ISNUMBER(G432),G432,1)),IF($C432="Paying back",0,IF(AND(OR(Housemates!$C$9="",Housemates!$C$9&lt;=$B432),OR(Housemates!$D$9="",Housemates!$D$9&gt;=$B432)),IF($Q432=0,1,INDEX(Bills!$AB$6:$AB$25,$Q432)),0))))</f>
        <v/>
      </c>
      <c r="U432">
        <f>IF(OR($D432="",$B432="",Housemates!$B$10=""),0,IF($R432&gt;0,IF(H432="",0,IF(ISNUMBER(H432),H432,1)),IF($C432="Paying back",0,IF(AND(OR(Housemates!$C$10="",Housemates!$C$10&lt;=$B432),OR(Housemates!$D$10="",Housemates!$D$10&gt;=$B432)),IF($Q432=0,1,INDEX(Bills!$AC$6:$AC$25,$Q432)),0))))</f>
        <v/>
      </c>
      <c r="V432">
        <f>IF(OR($D432="",$B432="",Housemates!$B$11=""),0,IF($R432&gt;0,IF(I432="",0,IF(ISNUMBER(I432),I432,1)),IF($C432="Paying back",0,IF(AND(OR(Housemates!$C$11="",Housemates!$C$11&lt;=$B432),OR(Housemates!$D$11="",Housemates!$D$11&gt;=$B432)),IF($Q432=0,1,INDEX(Bills!$AD$6:$AD$25,$Q432)),0))))</f>
        <v/>
      </c>
      <c r="W432">
        <f>IF(OR($D432="",$B432="",Housemates!$B$12=""),0,IF($R432&gt;0,IF(J432="",0,IF(ISNUMBER(J432),J432,1)),IF($C432="Paying back",0,IF(AND(OR(Housemates!$C$12="",Housemates!$C$12&lt;=$B432),OR(Housemates!$D$12="",Housemates!$D$12&gt;=$B432)),IF($Q432=0,1,INDEX(Bills!$AE$6:$AE$25,$Q432)),0))))</f>
        <v/>
      </c>
      <c r="X432">
        <f>IF(OR($D432="",$B432="",Housemates!$B$13=""),0,IF($R432&gt;0,IF(K432="",0,IF(ISNUMBER(K432),K432,1)),IF($C432="Paying back",0,IF(AND(OR(Housemates!$C$13="",Housemates!$C$13&lt;=$B432),OR(Housemates!$D$13="",Housemates!$D$13&gt;=$B432)),IF($Q432=0,1,INDEX(Bills!$AF$6:$AF$25,$Q432)),0))))</f>
        <v/>
      </c>
      <c r="Y432">
        <f>IF(OR($D432="",$B432="",Housemates!$B$14=""),0,IF($R432&gt;0,IF(L432="",0,IF(ISNUMBER(L432),L432,1)),IF($C432="Paying back",0,IF(AND(OR(Housemates!$C$14="",Housemates!$C$14&lt;=$B432),OR(Housemates!$D$14="",Housemates!$D$14&gt;=$B432)),IF($Q432=0,1,INDEX(Bills!$AG$6:$AG$25,$Q432)),0))))</f>
        <v/>
      </c>
      <c r="Z432">
        <f>IF(OR($D432="",$B432="",Housemates!$B$15=""),0,IF($R432&gt;0,IF(M432="",0,IF(ISNUMBER(M432),M432,1)),IF($C432="Paying back",0,IF(AND(OR(Housemates!$C$15="",Housemates!$C$15&lt;=$B432),OR(Housemates!$D$15="",Housemates!$D$15&gt;=$B432)),IF($Q432=0,1,INDEX(Bills!$AH$6:$AH$25,$Q432)),0))))</f>
        <v/>
      </c>
      <c r="AA432">
        <f>SUM(S432:Z432)</f>
        <v/>
      </c>
      <c r="AB432">
        <f>IF(AA432=0,0,D432*S432/AA432)</f>
        <v/>
      </c>
      <c r="AC432">
        <f>IF(AA432=0,0,D432*T432/AA432)</f>
        <v/>
      </c>
      <c r="AD432">
        <f>IF(AA432=0,0,D432*U432/AA432)</f>
        <v/>
      </c>
      <c r="AE432">
        <f>IF(AA432=0,0,D432*V432/AA432)</f>
        <v/>
      </c>
      <c r="AF432">
        <f>IF(AA432=0,0,D432*W432/AA432)</f>
        <v/>
      </c>
      <c r="AG432">
        <f>IF(AA432=0,0,D432*X432/AA432)</f>
        <v/>
      </c>
      <c r="AH432">
        <f>IF(AA432=0,0,D432*Y432/AA432)</f>
        <v/>
      </c>
      <c r="AI432">
        <f>IF(AA432=0,0,D432*Z432/AA432)</f>
        <v/>
      </c>
      <c r="AJ432">
        <f>IF(OR(C432="",B432=""),"",C432&amp;"|"&amp;(YEAR(B432)*100+MONTH(B432)))</f>
        <v/>
      </c>
    </row>
    <row r="433">
      <c r="A433" s="1" t="n"/>
      <c r="B433" s="23" t="n"/>
      <c r="C433" s="24" t="n"/>
      <c r="D433" s="25" t="n"/>
      <c r="E433" s="26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1">
        <f>IF(D433="","",IF(B433="","No date",IF(AND(C433="Paying back",R433=0),"To whom?",IF(AA433=0,"Nobody",IF(C433="Paying back","To "&amp;INDEX(Housemates!$B$8:$B$15,MATCH(MAX(S433:Z433),S433:Z433,0)),IF(R433&gt;0,IF(COUNTIF(S433:Z433,"&gt;0")=1,"1 person",COUNTIF(S433:Z433,"&gt;0")&amp;" people"),IF(Q433=0,"Everyone",INDEX(Bills!$Q$6:$Q$25,Q433))))))))</f>
        <v/>
      </c>
      <c r="O433" s="18">
        <f>IF(D433="","",IF(C433="Paying back","Paying back",IF(Q433=0,"Other",IF(INDEX(Bills!$C$6:$C$25,Q433)="","Other",INDEX(Bills!$C$6:$C$25,Q433)))))</f>
        <v/>
      </c>
      <c r="P433" s="1" t="n"/>
      <c r="Q433">
        <f>IF(C433="",0,IFERROR(MATCH(C433,Bills!$B$6:$B$25,0),0))</f>
        <v/>
      </c>
      <c r="R433">
        <f>COUNTA(F433:M433)</f>
        <v/>
      </c>
      <c r="S433">
        <f>IF(OR($D433="",$B433="",Housemates!$B$8=""),0,IF($R433&gt;0,IF(F433="",0,IF(ISNUMBER(F433),F433,1)),IF($C433="Paying back",0,IF(AND(OR(Housemates!$C$8="",Housemates!$C$8&lt;=$B433),OR(Housemates!$D$8="",Housemates!$D$8&gt;=$B433)),IF($Q433=0,1,INDEX(Bills!$AA$6:$AA$25,$Q433)),0))))</f>
        <v/>
      </c>
      <c r="T433">
        <f>IF(OR($D433="",$B433="",Housemates!$B$9=""),0,IF($R433&gt;0,IF(G433="",0,IF(ISNUMBER(G433),G433,1)),IF($C433="Paying back",0,IF(AND(OR(Housemates!$C$9="",Housemates!$C$9&lt;=$B433),OR(Housemates!$D$9="",Housemates!$D$9&gt;=$B433)),IF($Q433=0,1,INDEX(Bills!$AB$6:$AB$25,$Q433)),0))))</f>
        <v/>
      </c>
      <c r="U433">
        <f>IF(OR($D433="",$B433="",Housemates!$B$10=""),0,IF($R433&gt;0,IF(H433="",0,IF(ISNUMBER(H433),H433,1)),IF($C433="Paying back",0,IF(AND(OR(Housemates!$C$10="",Housemates!$C$10&lt;=$B433),OR(Housemates!$D$10="",Housemates!$D$10&gt;=$B433)),IF($Q433=0,1,INDEX(Bills!$AC$6:$AC$25,$Q433)),0))))</f>
        <v/>
      </c>
      <c r="V433">
        <f>IF(OR($D433="",$B433="",Housemates!$B$11=""),0,IF($R433&gt;0,IF(I433="",0,IF(ISNUMBER(I433),I433,1)),IF($C433="Paying back",0,IF(AND(OR(Housemates!$C$11="",Housemates!$C$11&lt;=$B433),OR(Housemates!$D$11="",Housemates!$D$11&gt;=$B433)),IF($Q433=0,1,INDEX(Bills!$AD$6:$AD$25,$Q433)),0))))</f>
        <v/>
      </c>
      <c r="W433">
        <f>IF(OR($D433="",$B433="",Housemates!$B$12=""),0,IF($R433&gt;0,IF(J433="",0,IF(ISNUMBER(J433),J433,1)),IF($C433="Paying back",0,IF(AND(OR(Housemates!$C$12="",Housemates!$C$12&lt;=$B433),OR(Housemates!$D$12="",Housemates!$D$12&gt;=$B433)),IF($Q433=0,1,INDEX(Bills!$AE$6:$AE$25,$Q433)),0))))</f>
        <v/>
      </c>
      <c r="X433">
        <f>IF(OR($D433="",$B433="",Housemates!$B$13=""),0,IF($R433&gt;0,IF(K433="",0,IF(ISNUMBER(K433),K433,1)),IF($C433="Paying back",0,IF(AND(OR(Housemates!$C$13="",Housemates!$C$13&lt;=$B433),OR(Housemates!$D$13="",Housemates!$D$13&gt;=$B433)),IF($Q433=0,1,INDEX(Bills!$AF$6:$AF$25,$Q433)),0))))</f>
        <v/>
      </c>
      <c r="Y433">
        <f>IF(OR($D433="",$B433="",Housemates!$B$14=""),0,IF($R433&gt;0,IF(L433="",0,IF(ISNUMBER(L433),L433,1)),IF($C433="Paying back",0,IF(AND(OR(Housemates!$C$14="",Housemates!$C$14&lt;=$B433),OR(Housemates!$D$14="",Housemates!$D$14&gt;=$B433)),IF($Q433=0,1,INDEX(Bills!$AG$6:$AG$25,$Q433)),0))))</f>
        <v/>
      </c>
      <c r="Z433">
        <f>IF(OR($D433="",$B433="",Housemates!$B$15=""),0,IF($R433&gt;0,IF(M433="",0,IF(ISNUMBER(M433),M433,1)),IF($C433="Paying back",0,IF(AND(OR(Housemates!$C$15="",Housemates!$C$15&lt;=$B433),OR(Housemates!$D$15="",Housemates!$D$15&gt;=$B433)),IF($Q433=0,1,INDEX(Bills!$AH$6:$AH$25,$Q433)),0))))</f>
        <v/>
      </c>
      <c r="AA433">
        <f>SUM(S433:Z433)</f>
        <v/>
      </c>
      <c r="AB433">
        <f>IF(AA433=0,0,D433*S433/AA433)</f>
        <v/>
      </c>
      <c r="AC433">
        <f>IF(AA433=0,0,D433*T433/AA433)</f>
        <v/>
      </c>
      <c r="AD433">
        <f>IF(AA433=0,0,D433*U433/AA433)</f>
        <v/>
      </c>
      <c r="AE433">
        <f>IF(AA433=0,0,D433*V433/AA433)</f>
        <v/>
      </c>
      <c r="AF433">
        <f>IF(AA433=0,0,D433*W433/AA433)</f>
        <v/>
      </c>
      <c r="AG433">
        <f>IF(AA433=0,0,D433*X433/AA433)</f>
        <v/>
      </c>
      <c r="AH433">
        <f>IF(AA433=0,0,D433*Y433/AA433)</f>
        <v/>
      </c>
      <c r="AI433">
        <f>IF(AA433=0,0,D433*Z433/AA433)</f>
        <v/>
      </c>
      <c r="AJ433">
        <f>IF(OR(C433="",B433=""),"",C433&amp;"|"&amp;(YEAR(B433)*100+MONTH(B433)))</f>
        <v/>
      </c>
    </row>
    <row r="434">
      <c r="A434" s="1" t="n"/>
      <c r="B434" s="23" t="n"/>
      <c r="C434" s="24" t="n"/>
      <c r="D434" s="25" t="n"/>
      <c r="E434" s="26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1">
        <f>IF(D434="","",IF(B434="","No date",IF(AND(C434="Paying back",R434=0),"To whom?",IF(AA434=0,"Nobody",IF(C434="Paying back","To "&amp;INDEX(Housemates!$B$8:$B$15,MATCH(MAX(S434:Z434),S434:Z434,0)),IF(R434&gt;0,IF(COUNTIF(S434:Z434,"&gt;0")=1,"1 person",COUNTIF(S434:Z434,"&gt;0")&amp;" people"),IF(Q434=0,"Everyone",INDEX(Bills!$Q$6:$Q$25,Q434))))))))</f>
        <v/>
      </c>
      <c r="O434" s="18">
        <f>IF(D434="","",IF(C434="Paying back","Paying back",IF(Q434=0,"Other",IF(INDEX(Bills!$C$6:$C$25,Q434)="","Other",INDEX(Bills!$C$6:$C$25,Q434)))))</f>
        <v/>
      </c>
      <c r="P434" s="1" t="n"/>
      <c r="Q434">
        <f>IF(C434="",0,IFERROR(MATCH(C434,Bills!$B$6:$B$25,0),0))</f>
        <v/>
      </c>
      <c r="R434">
        <f>COUNTA(F434:M434)</f>
        <v/>
      </c>
      <c r="S434">
        <f>IF(OR($D434="",$B434="",Housemates!$B$8=""),0,IF($R434&gt;0,IF(F434="",0,IF(ISNUMBER(F434),F434,1)),IF($C434="Paying back",0,IF(AND(OR(Housemates!$C$8="",Housemates!$C$8&lt;=$B434),OR(Housemates!$D$8="",Housemates!$D$8&gt;=$B434)),IF($Q434=0,1,INDEX(Bills!$AA$6:$AA$25,$Q434)),0))))</f>
        <v/>
      </c>
      <c r="T434">
        <f>IF(OR($D434="",$B434="",Housemates!$B$9=""),0,IF($R434&gt;0,IF(G434="",0,IF(ISNUMBER(G434),G434,1)),IF($C434="Paying back",0,IF(AND(OR(Housemates!$C$9="",Housemates!$C$9&lt;=$B434),OR(Housemates!$D$9="",Housemates!$D$9&gt;=$B434)),IF($Q434=0,1,INDEX(Bills!$AB$6:$AB$25,$Q434)),0))))</f>
        <v/>
      </c>
      <c r="U434">
        <f>IF(OR($D434="",$B434="",Housemates!$B$10=""),0,IF($R434&gt;0,IF(H434="",0,IF(ISNUMBER(H434),H434,1)),IF($C434="Paying back",0,IF(AND(OR(Housemates!$C$10="",Housemates!$C$10&lt;=$B434),OR(Housemates!$D$10="",Housemates!$D$10&gt;=$B434)),IF($Q434=0,1,INDEX(Bills!$AC$6:$AC$25,$Q434)),0))))</f>
        <v/>
      </c>
      <c r="V434">
        <f>IF(OR($D434="",$B434="",Housemates!$B$11=""),0,IF($R434&gt;0,IF(I434="",0,IF(ISNUMBER(I434),I434,1)),IF($C434="Paying back",0,IF(AND(OR(Housemates!$C$11="",Housemates!$C$11&lt;=$B434),OR(Housemates!$D$11="",Housemates!$D$11&gt;=$B434)),IF($Q434=0,1,INDEX(Bills!$AD$6:$AD$25,$Q434)),0))))</f>
        <v/>
      </c>
      <c r="W434">
        <f>IF(OR($D434="",$B434="",Housemates!$B$12=""),0,IF($R434&gt;0,IF(J434="",0,IF(ISNUMBER(J434),J434,1)),IF($C434="Paying back",0,IF(AND(OR(Housemates!$C$12="",Housemates!$C$12&lt;=$B434),OR(Housemates!$D$12="",Housemates!$D$12&gt;=$B434)),IF($Q434=0,1,INDEX(Bills!$AE$6:$AE$25,$Q434)),0))))</f>
        <v/>
      </c>
      <c r="X434">
        <f>IF(OR($D434="",$B434="",Housemates!$B$13=""),0,IF($R434&gt;0,IF(K434="",0,IF(ISNUMBER(K434),K434,1)),IF($C434="Paying back",0,IF(AND(OR(Housemates!$C$13="",Housemates!$C$13&lt;=$B434),OR(Housemates!$D$13="",Housemates!$D$13&gt;=$B434)),IF($Q434=0,1,INDEX(Bills!$AF$6:$AF$25,$Q434)),0))))</f>
        <v/>
      </c>
      <c r="Y434">
        <f>IF(OR($D434="",$B434="",Housemates!$B$14=""),0,IF($R434&gt;0,IF(L434="",0,IF(ISNUMBER(L434),L434,1)),IF($C434="Paying back",0,IF(AND(OR(Housemates!$C$14="",Housemates!$C$14&lt;=$B434),OR(Housemates!$D$14="",Housemates!$D$14&gt;=$B434)),IF($Q434=0,1,INDEX(Bills!$AG$6:$AG$25,$Q434)),0))))</f>
        <v/>
      </c>
      <c r="Z434">
        <f>IF(OR($D434="",$B434="",Housemates!$B$15=""),0,IF($R434&gt;0,IF(M434="",0,IF(ISNUMBER(M434),M434,1)),IF($C434="Paying back",0,IF(AND(OR(Housemates!$C$15="",Housemates!$C$15&lt;=$B434),OR(Housemates!$D$15="",Housemates!$D$15&gt;=$B434)),IF($Q434=0,1,INDEX(Bills!$AH$6:$AH$25,$Q434)),0))))</f>
        <v/>
      </c>
      <c r="AA434">
        <f>SUM(S434:Z434)</f>
        <v/>
      </c>
      <c r="AB434">
        <f>IF(AA434=0,0,D434*S434/AA434)</f>
        <v/>
      </c>
      <c r="AC434">
        <f>IF(AA434=0,0,D434*T434/AA434)</f>
        <v/>
      </c>
      <c r="AD434">
        <f>IF(AA434=0,0,D434*U434/AA434)</f>
        <v/>
      </c>
      <c r="AE434">
        <f>IF(AA434=0,0,D434*V434/AA434)</f>
        <v/>
      </c>
      <c r="AF434">
        <f>IF(AA434=0,0,D434*W434/AA434)</f>
        <v/>
      </c>
      <c r="AG434">
        <f>IF(AA434=0,0,D434*X434/AA434)</f>
        <v/>
      </c>
      <c r="AH434">
        <f>IF(AA434=0,0,D434*Y434/AA434)</f>
        <v/>
      </c>
      <c r="AI434">
        <f>IF(AA434=0,0,D434*Z434/AA434)</f>
        <v/>
      </c>
      <c r="AJ434">
        <f>IF(OR(C434="",B434=""),"",C434&amp;"|"&amp;(YEAR(B434)*100+MONTH(B434)))</f>
        <v/>
      </c>
    </row>
    <row r="435">
      <c r="A435" s="1" t="n"/>
      <c r="B435" s="23" t="n"/>
      <c r="C435" s="24" t="n"/>
      <c r="D435" s="25" t="n"/>
      <c r="E435" s="26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1">
        <f>IF(D435="","",IF(B435="","No date",IF(AND(C435="Paying back",R435=0),"To whom?",IF(AA435=0,"Nobody",IF(C435="Paying back","To "&amp;INDEX(Housemates!$B$8:$B$15,MATCH(MAX(S435:Z435),S435:Z435,0)),IF(R435&gt;0,IF(COUNTIF(S435:Z435,"&gt;0")=1,"1 person",COUNTIF(S435:Z435,"&gt;0")&amp;" people"),IF(Q435=0,"Everyone",INDEX(Bills!$Q$6:$Q$25,Q435))))))))</f>
        <v/>
      </c>
      <c r="O435" s="18">
        <f>IF(D435="","",IF(C435="Paying back","Paying back",IF(Q435=0,"Other",IF(INDEX(Bills!$C$6:$C$25,Q435)="","Other",INDEX(Bills!$C$6:$C$25,Q435)))))</f>
        <v/>
      </c>
      <c r="P435" s="1" t="n"/>
      <c r="Q435">
        <f>IF(C435="",0,IFERROR(MATCH(C435,Bills!$B$6:$B$25,0),0))</f>
        <v/>
      </c>
      <c r="R435">
        <f>COUNTA(F435:M435)</f>
        <v/>
      </c>
      <c r="S435">
        <f>IF(OR($D435="",$B435="",Housemates!$B$8=""),0,IF($R435&gt;0,IF(F435="",0,IF(ISNUMBER(F435),F435,1)),IF($C435="Paying back",0,IF(AND(OR(Housemates!$C$8="",Housemates!$C$8&lt;=$B435),OR(Housemates!$D$8="",Housemates!$D$8&gt;=$B435)),IF($Q435=0,1,INDEX(Bills!$AA$6:$AA$25,$Q435)),0))))</f>
        <v/>
      </c>
      <c r="T435">
        <f>IF(OR($D435="",$B435="",Housemates!$B$9=""),0,IF($R435&gt;0,IF(G435="",0,IF(ISNUMBER(G435),G435,1)),IF($C435="Paying back",0,IF(AND(OR(Housemates!$C$9="",Housemates!$C$9&lt;=$B435),OR(Housemates!$D$9="",Housemates!$D$9&gt;=$B435)),IF($Q435=0,1,INDEX(Bills!$AB$6:$AB$25,$Q435)),0))))</f>
        <v/>
      </c>
      <c r="U435">
        <f>IF(OR($D435="",$B435="",Housemates!$B$10=""),0,IF($R435&gt;0,IF(H435="",0,IF(ISNUMBER(H435),H435,1)),IF($C435="Paying back",0,IF(AND(OR(Housemates!$C$10="",Housemates!$C$10&lt;=$B435),OR(Housemates!$D$10="",Housemates!$D$10&gt;=$B435)),IF($Q435=0,1,INDEX(Bills!$AC$6:$AC$25,$Q435)),0))))</f>
        <v/>
      </c>
      <c r="V435">
        <f>IF(OR($D435="",$B435="",Housemates!$B$11=""),0,IF($R435&gt;0,IF(I435="",0,IF(ISNUMBER(I435),I435,1)),IF($C435="Paying back",0,IF(AND(OR(Housemates!$C$11="",Housemates!$C$11&lt;=$B435),OR(Housemates!$D$11="",Housemates!$D$11&gt;=$B435)),IF($Q435=0,1,INDEX(Bills!$AD$6:$AD$25,$Q435)),0))))</f>
        <v/>
      </c>
      <c r="W435">
        <f>IF(OR($D435="",$B435="",Housemates!$B$12=""),0,IF($R435&gt;0,IF(J435="",0,IF(ISNUMBER(J435),J435,1)),IF($C435="Paying back",0,IF(AND(OR(Housemates!$C$12="",Housemates!$C$12&lt;=$B435),OR(Housemates!$D$12="",Housemates!$D$12&gt;=$B435)),IF($Q435=0,1,INDEX(Bills!$AE$6:$AE$25,$Q435)),0))))</f>
        <v/>
      </c>
      <c r="X435">
        <f>IF(OR($D435="",$B435="",Housemates!$B$13=""),0,IF($R435&gt;0,IF(K435="",0,IF(ISNUMBER(K435),K435,1)),IF($C435="Paying back",0,IF(AND(OR(Housemates!$C$13="",Housemates!$C$13&lt;=$B435),OR(Housemates!$D$13="",Housemates!$D$13&gt;=$B435)),IF($Q435=0,1,INDEX(Bills!$AF$6:$AF$25,$Q435)),0))))</f>
        <v/>
      </c>
      <c r="Y435">
        <f>IF(OR($D435="",$B435="",Housemates!$B$14=""),0,IF($R435&gt;0,IF(L435="",0,IF(ISNUMBER(L435),L435,1)),IF($C435="Paying back",0,IF(AND(OR(Housemates!$C$14="",Housemates!$C$14&lt;=$B435),OR(Housemates!$D$14="",Housemates!$D$14&gt;=$B435)),IF($Q435=0,1,INDEX(Bills!$AG$6:$AG$25,$Q435)),0))))</f>
        <v/>
      </c>
      <c r="Z435">
        <f>IF(OR($D435="",$B435="",Housemates!$B$15=""),0,IF($R435&gt;0,IF(M435="",0,IF(ISNUMBER(M435),M435,1)),IF($C435="Paying back",0,IF(AND(OR(Housemates!$C$15="",Housemates!$C$15&lt;=$B435),OR(Housemates!$D$15="",Housemates!$D$15&gt;=$B435)),IF($Q435=0,1,INDEX(Bills!$AH$6:$AH$25,$Q435)),0))))</f>
        <v/>
      </c>
      <c r="AA435">
        <f>SUM(S435:Z435)</f>
        <v/>
      </c>
      <c r="AB435">
        <f>IF(AA435=0,0,D435*S435/AA435)</f>
        <v/>
      </c>
      <c r="AC435">
        <f>IF(AA435=0,0,D435*T435/AA435)</f>
        <v/>
      </c>
      <c r="AD435">
        <f>IF(AA435=0,0,D435*U435/AA435)</f>
        <v/>
      </c>
      <c r="AE435">
        <f>IF(AA435=0,0,D435*V435/AA435)</f>
        <v/>
      </c>
      <c r="AF435">
        <f>IF(AA435=0,0,D435*W435/AA435)</f>
        <v/>
      </c>
      <c r="AG435">
        <f>IF(AA435=0,0,D435*X435/AA435)</f>
        <v/>
      </c>
      <c r="AH435">
        <f>IF(AA435=0,0,D435*Y435/AA435)</f>
        <v/>
      </c>
      <c r="AI435">
        <f>IF(AA435=0,0,D435*Z435/AA435)</f>
        <v/>
      </c>
      <c r="AJ435">
        <f>IF(OR(C435="",B435=""),"",C435&amp;"|"&amp;(YEAR(B435)*100+MONTH(B435)))</f>
        <v/>
      </c>
    </row>
    <row r="436">
      <c r="A436" s="1" t="n"/>
      <c r="B436" s="23" t="n"/>
      <c r="C436" s="24" t="n"/>
      <c r="D436" s="25" t="n"/>
      <c r="E436" s="26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1">
        <f>IF(D436="","",IF(B436="","No date",IF(AND(C436="Paying back",R436=0),"To whom?",IF(AA436=0,"Nobody",IF(C436="Paying back","To "&amp;INDEX(Housemates!$B$8:$B$15,MATCH(MAX(S436:Z436),S436:Z436,0)),IF(R436&gt;0,IF(COUNTIF(S436:Z436,"&gt;0")=1,"1 person",COUNTIF(S436:Z436,"&gt;0")&amp;" people"),IF(Q436=0,"Everyone",INDEX(Bills!$Q$6:$Q$25,Q436))))))))</f>
        <v/>
      </c>
      <c r="O436" s="18">
        <f>IF(D436="","",IF(C436="Paying back","Paying back",IF(Q436=0,"Other",IF(INDEX(Bills!$C$6:$C$25,Q436)="","Other",INDEX(Bills!$C$6:$C$25,Q436)))))</f>
        <v/>
      </c>
      <c r="P436" s="1" t="n"/>
      <c r="Q436">
        <f>IF(C436="",0,IFERROR(MATCH(C436,Bills!$B$6:$B$25,0),0))</f>
        <v/>
      </c>
      <c r="R436">
        <f>COUNTA(F436:M436)</f>
        <v/>
      </c>
      <c r="S436">
        <f>IF(OR($D436="",$B436="",Housemates!$B$8=""),0,IF($R436&gt;0,IF(F436="",0,IF(ISNUMBER(F436),F436,1)),IF($C436="Paying back",0,IF(AND(OR(Housemates!$C$8="",Housemates!$C$8&lt;=$B436),OR(Housemates!$D$8="",Housemates!$D$8&gt;=$B436)),IF($Q436=0,1,INDEX(Bills!$AA$6:$AA$25,$Q436)),0))))</f>
        <v/>
      </c>
      <c r="T436">
        <f>IF(OR($D436="",$B436="",Housemates!$B$9=""),0,IF($R436&gt;0,IF(G436="",0,IF(ISNUMBER(G436),G436,1)),IF($C436="Paying back",0,IF(AND(OR(Housemates!$C$9="",Housemates!$C$9&lt;=$B436),OR(Housemates!$D$9="",Housemates!$D$9&gt;=$B436)),IF($Q436=0,1,INDEX(Bills!$AB$6:$AB$25,$Q436)),0))))</f>
        <v/>
      </c>
      <c r="U436">
        <f>IF(OR($D436="",$B436="",Housemates!$B$10=""),0,IF($R436&gt;0,IF(H436="",0,IF(ISNUMBER(H436),H436,1)),IF($C436="Paying back",0,IF(AND(OR(Housemates!$C$10="",Housemates!$C$10&lt;=$B436),OR(Housemates!$D$10="",Housemates!$D$10&gt;=$B436)),IF($Q436=0,1,INDEX(Bills!$AC$6:$AC$25,$Q436)),0))))</f>
        <v/>
      </c>
      <c r="V436">
        <f>IF(OR($D436="",$B436="",Housemates!$B$11=""),0,IF($R436&gt;0,IF(I436="",0,IF(ISNUMBER(I436),I436,1)),IF($C436="Paying back",0,IF(AND(OR(Housemates!$C$11="",Housemates!$C$11&lt;=$B436),OR(Housemates!$D$11="",Housemates!$D$11&gt;=$B436)),IF($Q436=0,1,INDEX(Bills!$AD$6:$AD$25,$Q436)),0))))</f>
        <v/>
      </c>
      <c r="W436">
        <f>IF(OR($D436="",$B436="",Housemates!$B$12=""),0,IF($R436&gt;0,IF(J436="",0,IF(ISNUMBER(J436),J436,1)),IF($C436="Paying back",0,IF(AND(OR(Housemates!$C$12="",Housemates!$C$12&lt;=$B436),OR(Housemates!$D$12="",Housemates!$D$12&gt;=$B436)),IF($Q436=0,1,INDEX(Bills!$AE$6:$AE$25,$Q436)),0))))</f>
        <v/>
      </c>
      <c r="X436">
        <f>IF(OR($D436="",$B436="",Housemates!$B$13=""),0,IF($R436&gt;0,IF(K436="",0,IF(ISNUMBER(K436),K436,1)),IF($C436="Paying back",0,IF(AND(OR(Housemates!$C$13="",Housemates!$C$13&lt;=$B436),OR(Housemates!$D$13="",Housemates!$D$13&gt;=$B436)),IF($Q436=0,1,INDEX(Bills!$AF$6:$AF$25,$Q436)),0))))</f>
        <v/>
      </c>
      <c r="Y436">
        <f>IF(OR($D436="",$B436="",Housemates!$B$14=""),0,IF($R436&gt;0,IF(L436="",0,IF(ISNUMBER(L436),L436,1)),IF($C436="Paying back",0,IF(AND(OR(Housemates!$C$14="",Housemates!$C$14&lt;=$B436),OR(Housemates!$D$14="",Housemates!$D$14&gt;=$B436)),IF($Q436=0,1,INDEX(Bills!$AG$6:$AG$25,$Q436)),0))))</f>
        <v/>
      </c>
      <c r="Z436">
        <f>IF(OR($D436="",$B436="",Housemates!$B$15=""),0,IF($R436&gt;0,IF(M436="",0,IF(ISNUMBER(M436),M436,1)),IF($C436="Paying back",0,IF(AND(OR(Housemates!$C$15="",Housemates!$C$15&lt;=$B436),OR(Housemates!$D$15="",Housemates!$D$15&gt;=$B436)),IF($Q436=0,1,INDEX(Bills!$AH$6:$AH$25,$Q436)),0))))</f>
        <v/>
      </c>
      <c r="AA436">
        <f>SUM(S436:Z436)</f>
        <v/>
      </c>
      <c r="AB436">
        <f>IF(AA436=0,0,D436*S436/AA436)</f>
        <v/>
      </c>
      <c r="AC436">
        <f>IF(AA436=0,0,D436*T436/AA436)</f>
        <v/>
      </c>
      <c r="AD436">
        <f>IF(AA436=0,0,D436*U436/AA436)</f>
        <v/>
      </c>
      <c r="AE436">
        <f>IF(AA436=0,0,D436*V436/AA436)</f>
        <v/>
      </c>
      <c r="AF436">
        <f>IF(AA436=0,0,D436*W436/AA436)</f>
        <v/>
      </c>
      <c r="AG436">
        <f>IF(AA436=0,0,D436*X436/AA436)</f>
        <v/>
      </c>
      <c r="AH436">
        <f>IF(AA436=0,0,D436*Y436/AA436)</f>
        <v/>
      </c>
      <c r="AI436">
        <f>IF(AA436=0,0,D436*Z436/AA436)</f>
        <v/>
      </c>
      <c r="AJ436">
        <f>IF(OR(C436="",B436=""),"",C436&amp;"|"&amp;(YEAR(B436)*100+MONTH(B436)))</f>
        <v/>
      </c>
    </row>
    <row r="437">
      <c r="A437" s="1" t="n"/>
      <c r="B437" s="23" t="n"/>
      <c r="C437" s="24" t="n"/>
      <c r="D437" s="25" t="n"/>
      <c r="E437" s="26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1">
        <f>IF(D437="","",IF(B437="","No date",IF(AND(C437="Paying back",R437=0),"To whom?",IF(AA437=0,"Nobody",IF(C437="Paying back","To "&amp;INDEX(Housemates!$B$8:$B$15,MATCH(MAX(S437:Z437),S437:Z437,0)),IF(R437&gt;0,IF(COUNTIF(S437:Z437,"&gt;0")=1,"1 person",COUNTIF(S437:Z437,"&gt;0")&amp;" people"),IF(Q437=0,"Everyone",INDEX(Bills!$Q$6:$Q$25,Q437))))))))</f>
        <v/>
      </c>
      <c r="O437" s="18">
        <f>IF(D437="","",IF(C437="Paying back","Paying back",IF(Q437=0,"Other",IF(INDEX(Bills!$C$6:$C$25,Q437)="","Other",INDEX(Bills!$C$6:$C$25,Q437)))))</f>
        <v/>
      </c>
      <c r="P437" s="1" t="n"/>
      <c r="Q437">
        <f>IF(C437="",0,IFERROR(MATCH(C437,Bills!$B$6:$B$25,0),0))</f>
        <v/>
      </c>
      <c r="R437">
        <f>COUNTA(F437:M437)</f>
        <v/>
      </c>
      <c r="S437">
        <f>IF(OR($D437="",$B437="",Housemates!$B$8=""),0,IF($R437&gt;0,IF(F437="",0,IF(ISNUMBER(F437),F437,1)),IF($C437="Paying back",0,IF(AND(OR(Housemates!$C$8="",Housemates!$C$8&lt;=$B437),OR(Housemates!$D$8="",Housemates!$D$8&gt;=$B437)),IF($Q437=0,1,INDEX(Bills!$AA$6:$AA$25,$Q437)),0))))</f>
        <v/>
      </c>
      <c r="T437">
        <f>IF(OR($D437="",$B437="",Housemates!$B$9=""),0,IF($R437&gt;0,IF(G437="",0,IF(ISNUMBER(G437),G437,1)),IF($C437="Paying back",0,IF(AND(OR(Housemates!$C$9="",Housemates!$C$9&lt;=$B437),OR(Housemates!$D$9="",Housemates!$D$9&gt;=$B437)),IF($Q437=0,1,INDEX(Bills!$AB$6:$AB$25,$Q437)),0))))</f>
        <v/>
      </c>
      <c r="U437">
        <f>IF(OR($D437="",$B437="",Housemates!$B$10=""),0,IF($R437&gt;0,IF(H437="",0,IF(ISNUMBER(H437),H437,1)),IF($C437="Paying back",0,IF(AND(OR(Housemates!$C$10="",Housemates!$C$10&lt;=$B437),OR(Housemates!$D$10="",Housemates!$D$10&gt;=$B437)),IF($Q437=0,1,INDEX(Bills!$AC$6:$AC$25,$Q437)),0))))</f>
        <v/>
      </c>
      <c r="V437">
        <f>IF(OR($D437="",$B437="",Housemates!$B$11=""),0,IF($R437&gt;0,IF(I437="",0,IF(ISNUMBER(I437),I437,1)),IF($C437="Paying back",0,IF(AND(OR(Housemates!$C$11="",Housemates!$C$11&lt;=$B437),OR(Housemates!$D$11="",Housemates!$D$11&gt;=$B437)),IF($Q437=0,1,INDEX(Bills!$AD$6:$AD$25,$Q437)),0))))</f>
        <v/>
      </c>
      <c r="W437">
        <f>IF(OR($D437="",$B437="",Housemates!$B$12=""),0,IF($R437&gt;0,IF(J437="",0,IF(ISNUMBER(J437),J437,1)),IF($C437="Paying back",0,IF(AND(OR(Housemates!$C$12="",Housemates!$C$12&lt;=$B437),OR(Housemates!$D$12="",Housemates!$D$12&gt;=$B437)),IF($Q437=0,1,INDEX(Bills!$AE$6:$AE$25,$Q437)),0))))</f>
        <v/>
      </c>
      <c r="X437">
        <f>IF(OR($D437="",$B437="",Housemates!$B$13=""),0,IF($R437&gt;0,IF(K437="",0,IF(ISNUMBER(K437),K437,1)),IF($C437="Paying back",0,IF(AND(OR(Housemates!$C$13="",Housemates!$C$13&lt;=$B437),OR(Housemates!$D$13="",Housemates!$D$13&gt;=$B437)),IF($Q437=0,1,INDEX(Bills!$AF$6:$AF$25,$Q437)),0))))</f>
        <v/>
      </c>
      <c r="Y437">
        <f>IF(OR($D437="",$B437="",Housemates!$B$14=""),0,IF($R437&gt;0,IF(L437="",0,IF(ISNUMBER(L437),L437,1)),IF($C437="Paying back",0,IF(AND(OR(Housemates!$C$14="",Housemates!$C$14&lt;=$B437),OR(Housemates!$D$14="",Housemates!$D$14&gt;=$B437)),IF($Q437=0,1,INDEX(Bills!$AG$6:$AG$25,$Q437)),0))))</f>
        <v/>
      </c>
      <c r="Z437">
        <f>IF(OR($D437="",$B437="",Housemates!$B$15=""),0,IF($R437&gt;0,IF(M437="",0,IF(ISNUMBER(M437),M437,1)),IF($C437="Paying back",0,IF(AND(OR(Housemates!$C$15="",Housemates!$C$15&lt;=$B437),OR(Housemates!$D$15="",Housemates!$D$15&gt;=$B437)),IF($Q437=0,1,INDEX(Bills!$AH$6:$AH$25,$Q437)),0))))</f>
        <v/>
      </c>
      <c r="AA437">
        <f>SUM(S437:Z437)</f>
        <v/>
      </c>
      <c r="AB437">
        <f>IF(AA437=0,0,D437*S437/AA437)</f>
        <v/>
      </c>
      <c r="AC437">
        <f>IF(AA437=0,0,D437*T437/AA437)</f>
        <v/>
      </c>
      <c r="AD437">
        <f>IF(AA437=0,0,D437*U437/AA437)</f>
        <v/>
      </c>
      <c r="AE437">
        <f>IF(AA437=0,0,D437*V437/AA437)</f>
        <v/>
      </c>
      <c r="AF437">
        <f>IF(AA437=0,0,D437*W437/AA437)</f>
        <v/>
      </c>
      <c r="AG437">
        <f>IF(AA437=0,0,D437*X437/AA437)</f>
        <v/>
      </c>
      <c r="AH437">
        <f>IF(AA437=0,0,D437*Y437/AA437)</f>
        <v/>
      </c>
      <c r="AI437">
        <f>IF(AA437=0,0,D437*Z437/AA437)</f>
        <v/>
      </c>
      <c r="AJ437">
        <f>IF(OR(C437="",B437=""),"",C437&amp;"|"&amp;(YEAR(B437)*100+MONTH(B437)))</f>
        <v/>
      </c>
    </row>
    <row r="438">
      <c r="A438" s="1" t="n"/>
      <c r="B438" s="23" t="n"/>
      <c r="C438" s="24" t="n"/>
      <c r="D438" s="25" t="n"/>
      <c r="E438" s="26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1">
        <f>IF(D438="","",IF(B438="","No date",IF(AND(C438="Paying back",R438=0),"To whom?",IF(AA438=0,"Nobody",IF(C438="Paying back","To "&amp;INDEX(Housemates!$B$8:$B$15,MATCH(MAX(S438:Z438),S438:Z438,0)),IF(R438&gt;0,IF(COUNTIF(S438:Z438,"&gt;0")=1,"1 person",COUNTIF(S438:Z438,"&gt;0")&amp;" people"),IF(Q438=0,"Everyone",INDEX(Bills!$Q$6:$Q$25,Q438))))))))</f>
        <v/>
      </c>
      <c r="O438" s="18">
        <f>IF(D438="","",IF(C438="Paying back","Paying back",IF(Q438=0,"Other",IF(INDEX(Bills!$C$6:$C$25,Q438)="","Other",INDEX(Bills!$C$6:$C$25,Q438)))))</f>
        <v/>
      </c>
      <c r="P438" s="1" t="n"/>
      <c r="Q438">
        <f>IF(C438="",0,IFERROR(MATCH(C438,Bills!$B$6:$B$25,0),0))</f>
        <v/>
      </c>
      <c r="R438">
        <f>COUNTA(F438:M438)</f>
        <v/>
      </c>
      <c r="S438">
        <f>IF(OR($D438="",$B438="",Housemates!$B$8=""),0,IF($R438&gt;0,IF(F438="",0,IF(ISNUMBER(F438),F438,1)),IF($C438="Paying back",0,IF(AND(OR(Housemates!$C$8="",Housemates!$C$8&lt;=$B438),OR(Housemates!$D$8="",Housemates!$D$8&gt;=$B438)),IF($Q438=0,1,INDEX(Bills!$AA$6:$AA$25,$Q438)),0))))</f>
        <v/>
      </c>
      <c r="T438">
        <f>IF(OR($D438="",$B438="",Housemates!$B$9=""),0,IF($R438&gt;0,IF(G438="",0,IF(ISNUMBER(G438),G438,1)),IF($C438="Paying back",0,IF(AND(OR(Housemates!$C$9="",Housemates!$C$9&lt;=$B438),OR(Housemates!$D$9="",Housemates!$D$9&gt;=$B438)),IF($Q438=0,1,INDEX(Bills!$AB$6:$AB$25,$Q438)),0))))</f>
        <v/>
      </c>
      <c r="U438">
        <f>IF(OR($D438="",$B438="",Housemates!$B$10=""),0,IF($R438&gt;0,IF(H438="",0,IF(ISNUMBER(H438),H438,1)),IF($C438="Paying back",0,IF(AND(OR(Housemates!$C$10="",Housemates!$C$10&lt;=$B438),OR(Housemates!$D$10="",Housemates!$D$10&gt;=$B438)),IF($Q438=0,1,INDEX(Bills!$AC$6:$AC$25,$Q438)),0))))</f>
        <v/>
      </c>
      <c r="V438">
        <f>IF(OR($D438="",$B438="",Housemates!$B$11=""),0,IF($R438&gt;0,IF(I438="",0,IF(ISNUMBER(I438),I438,1)),IF($C438="Paying back",0,IF(AND(OR(Housemates!$C$11="",Housemates!$C$11&lt;=$B438),OR(Housemates!$D$11="",Housemates!$D$11&gt;=$B438)),IF($Q438=0,1,INDEX(Bills!$AD$6:$AD$25,$Q438)),0))))</f>
        <v/>
      </c>
      <c r="W438">
        <f>IF(OR($D438="",$B438="",Housemates!$B$12=""),0,IF($R438&gt;0,IF(J438="",0,IF(ISNUMBER(J438),J438,1)),IF($C438="Paying back",0,IF(AND(OR(Housemates!$C$12="",Housemates!$C$12&lt;=$B438),OR(Housemates!$D$12="",Housemates!$D$12&gt;=$B438)),IF($Q438=0,1,INDEX(Bills!$AE$6:$AE$25,$Q438)),0))))</f>
        <v/>
      </c>
      <c r="X438">
        <f>IF(OR($D438="",$B438="",Housemates!$B$13=""),0,IF($R438&gt;0,IF(K438="",0,IF(ISNUMBER(K438),K438,1)),IF($C438="Paying back",0,IF(AND(OR(Housemates!$C$13="",Housemates!$C$13&lt;=$B438),OR(Housemates!$D$13="",Housemates!$D$13&gt;=$B438)),IF($Q438=0,1,INDEX(Bills!$AF$6:$AF$25,$Q438)),0))))</f>
        <v/>
      </c>
      <c r="Y438">
        <f>IF(OR($D438="",$B438="",Housemates!$B$14=""),0,IF($R438&gt;0,IF(L438="",0,IF(ISNUMBER(L438),L438,1)),IF($C438="Paying back",0,IF(AND(OR(Housemates!$C$14="",Housemates!$C$14&lt;=$B438),OR(Housemates!$D$14="",Housemates!$D$14&gt;=$B438)),IF($Q438=0,1,INDEX(Bills!$AG$6:$AG$25,$Q438)),0))))</f>
        <v/>
      </c>
      <c r="Z438">
        <f>IF(OR($D438="",$B438="",Housemates!$B$15=""),0,IF($R438&gt;0,IF(M438="",0,IF(ISNUMBER(M438),M438,1)),IF($C438="Paying back",0,IF(AND(OR(Housemates!$C$15="",Housemates!$C$15&lt;=$B438),OR(Housemates!$D$15="",Housemates!$D$15&gt;=$B438)),IF($Q438=0,1,INDEX(Bills!$AH$6:$AH$25,$Q438)),0))))</f>
        <v/>
      </c>
      <c r="AA438">
        <f>SUM(S438:Z438)</f>
        <v/>
      </c>
      <c r="AB438">
        <f>IF(AA438=0,0,D438*S438/AA438)</f>
        <v/>
      </c>
      <c r="AC438">
        <f>IF(AA438=0,0,D438*T438/AA438)</f>
        <v/>
      </c>
      <c r="AD438">
        <f>IF(AA438=0,0,D438*U438/AA438)</f>
        <v/>
      </c>
      <c r="AE438">
        <f>IF(AA438=0,0,D438*V438/AA438)</f>
        <v/>
      </c>
      <c r="AF438">
        <f>IF(AA438=0,0,D438*W438/AA438)</f>
        <v/>
      </c>
      <c r="AG438">
        <f>IF(AA438=0,0,D438*X438/AA438)</f>
        <v/>
      </c>
      <c r="AH438">
        <f>IF(AA438=0,0,D438*Y438/AA438)</f>
        <v/>
      </c>
      <c r="AI438">
        <f>IF(AA438=0,0,D438*Z438/AA438)</f>
        <v/>
      </c>
      <c r="AJ438">
        <f>IF(OR(C438="",B438=""),"",C438&amp;"|"&amp;(YEAR(B438)*100+MONTH(B438)))</f>
        <v/>
      </c>
    </row>
    <row r="439">
      <c r="A439" s="1" t="n"/>
      <c r="B439" s="23" t="n"/>
      <c r="C439" s="24" t="n"/>
      <c r="D439" s="25" t="n"/>
      <c r="E439" s="26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1">
        <f>IF(D439="","",IF(B439="","No date",IF(AND(C439="Paying back",R439=0),"To whom?",IF(AA439=0,"Nobody",IF(C439="Paying back","To "&amp;INDEX(Housemates!$B$8:$B$15,MATCH(MAX(S439:Z439),S439:Z439,0)),IF(R439&gt;0,IF(COUNTIF(S439:Z439,"&gt;0")=1,"1 person",COUNTIF(S439:Z439,"&gt;0")&amp;" people"),IF(Q439=0,"Everyone",INDEX(Bills!$Q$6:$Q$25,Q439))))))))</f>
        <v/>
      </c>
      <c r="O439" s="18">
        <f>IF(D439="","",IF(C439="Paying back","Paying back",IF(Q439=0,"Other",IF(INDEX(Bills!$C$6:$C$25,Q439)="","Other",INDEX(Bills!$C$6:$C$25,Q439)))))</f>
        <v/>
      </c>
      <c r="P439" s="1" t="n"/>
      <c r="Q439">
        <f>IF(C439="",0,IFERROR(MATCH(C439,Bills!$B$6:$B$25,0),0))</f>
        <v/>
      </c>
      <c r="R439">
        <f>COUNTA(F439:M439)</f>
        <v/>
      </c>
      <c r="S439">
        <f>IF(OR($D439="",$B439="",Housemates!$B$8=""),0,IF($R439&gt;0,IF(F439="",0,IF(ISNUMBER(F439),F439,1)),IF($C439="Paying back",0,IF(AND(OR(Housemates!$C$8="",Housemates!$C$8&lt;=$B439),OR(Housemates!$D$8="",Housemates!$D$8&gt;=$B439)),IF($Q439=0,1,INDEX(Bills!$AA$6:$AA$25,$Q439)),0))))</f>
        <v/>
      </c>
      <c r="T439">
        <f>IF(OR($D439="",$B439="",Housemates!$B$9=""),0,IF($R439&gt;0,IF(G439="",0,IF(ISNUMBER(G439),G439,1)),IF($C439="Paying back",0,IF(AND(OR(Housemates!$C$9="",Housemates!$C$9&lt;=$B439),OR(Housemates!$D$9="",Housemates!$D$9&gt;=$B439)),IF($Q439=0,1,INDEX(Bills!$AB$6:$AB$25,$Q439)),0))))</f>
        <v/>
      </c>
      <c r="U439">
        <f>IF(OR($D439="",$B439="",Housemates!$B$10=""),0,IF($R439&gt;0,IF(H439="",0,IF(ISNUMBER(H439),H439,1)),IF($C439="Paying back",0,IF(AND(OR(Housemates!$C$10="",Housemates!$C$10&lt;=$B439),OR(Housemates!$D$10="",Housemates!$D$10&gt;=$B439)),IF($Q439=0,1,INDEX(Bills!$AC$6:$AC$25,$Q439)),0))))</f>
        <v/>
      </c>
      <c r="V439">
        <f>IF(OR($D439="",$B439="",Housemates!$B$11=""),0,IF($R439&gt;0,IF(I439="",0,IF(ISNUMBER(I439),I439,1)),IF($C439="Paying back",0,IF(AND(OR(Housemates!$C$11="",Housemates!$C$11&lt;=$B439),OR(Housemates!$D$11="",Housemates!$D$11&gt;=$B439)),IF($Q439=0,1,INDEX(Bills!$AD$6:$AD$25,$Q439)),0))))</f>
        <v/>
      </c>
      <c r="W439">
        <f>IF(OR($D439="",$B439="",Housemates!$B$12=""),0,IF($R439&gt;0,IF(J439="",0,IF(ISNUMBER(J439),J439,1)),IF($C439="Paying back",0,IF(AND(OR(Housemates!$C$12="",Housemates!$C$12&lt;=$B439),OR(Housemates!$D$12="",Housemates!$D$12&gt;=$B439)),IF($Q439=0,1,INDEX(Bills!$AE$6:$AE$25,$Q439)),0))))</f>
        <v/>
      </c>
      <c r="X439">
        <f>IF(OR($D439="",$B439="",Housemates!$B$13=""),0,IF($R439&gt;0,IF(K439="",0,IF(ISNUMBER(K439),K439,1)),IF($C439="Paying back",0,IF(AND(OR(Housemates!$C$13="",Housemates!$C$13&lt;=$B439),OR(Housemates!$D$13="",Housemates!$D$13&gt;=$B439)),IF($Q439=0,1,INDEX(Bills!$AF$6:$AF$25,$Q439)),0))))</f>
        <v/>
      </c>
      <c r="Y439">
        <f>IF(OR($D439="",$B439="",Housemates!$B$14=""),0,IF($R439&gt;0,IF(L439="",0,IF(ISNUMBER(L439),L439,1)),IF($C439="Paying back",0,IF(AND(OR(Housemates!$C$14="",Housemates!$C$14&lt;=$B439),OR(Housemates!$D$14="",Housemates!$D$14&gt;=$B439)),IF($Q439=0,1,INDEX(Bills!$AG$6:$AG$25,$Q439)),0))))</f>
        <v/>
      </c>
      <c r="Z439">
        <f>IF(OR($D439="",$B439="",Housemates!$B$15=""),0,IF($R439&gt;0,IF(M439="",0,IF(ISNUMBER(M439),M439,1)),IF($C439="Paying back",0,IF(AND(OR(Housemates!$C$15="",Housemates!$C$15&lt;=$B439),OR(Housemates!$D$15="",Housemates!$D$15&gt;=$B439)),IF($Q439=0,1,INDEX(Bills!$AH$6:$AH$25,$Q439)),0))))</f>
        <v/>
      </c>
      <c r="AA439">
        <f>SUM(S439:Z439)</f>
        <v/>
      </c>
      <c r="AB439">
        <f>IF(AA439=0,0,D439*S439/AA439)</f>
        <v/>
      </c>
      <c r="AC439">
        <f>IF(AA439=0,0,D439*T439/AA439)</f>
        <v/>
      </c>
      <c r="AD439">
        <f>IF(AA439=0,0,D439*U439/AA439)</f>
        <v/>
      </c>
      <c r="AE439">
        <f>IF(AA439=0,0,D439*V439/AA439)</f>
        <v/>
      </c>
      <c r="AF439">
        <f>IF(AA439=0,0,D439*W439/AA439)</f>
        <v/>
      </c>
      <c r="AG439">
        <f>IF(AA439=0,0,D439*X439/AA439)</f>
        <v/>
      </c>
      <c r="AH439">
        <f>IF(AA439=0,0,D439*Y439/AA439)</f>
        <v/>
      </c>
      <c r="AI439">
        <f>IF(AA439=0,0,D439*Z439/AA439)</f>
        <v/>
      </c>
      <c r="AJ439">
        <f>IF(OR(C439="",B439=""),"",C439&amp;"|"&amp;(YEAR(B439)*100+MONTH(B439)))</f>
        <v/>
      </c>
    </row>
    <row r="440">
      <c r="A440" s="1" t="n"/>
      <c r="B440" s="23" t="n"/>
      <c r="C440" s="24" t="n"/>
      <c r="D440" s="25" t="n"/>
      <c r="E440" s="26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1">
        <f>IF(D440="","",IF(B440="","No date",IF(AND(C440="Paying back",R440=0),"To whom?",IF(AA440=0,"Nobody",IF(C440="Paying back","To "&amp;INDEX(Housemates!$B$8:$B$15,MATCH(MAX(S440:Z440),S440:Z440,0)),IF(R440&gt;0,IF(COUNTIF(S440:Z440,"&gt;0")=1,"1 person",COUNTIF(S440:Z440,"&gt;0")&amp;" people"),IF(Q440=0,"Everyone",INDEX(Bills!$Q$6:$Q$25,Q440))))))))</f>
        <v/>
      </c>
      <c r="O440" s="18">
        <f>IF(D440="","",IF(C440="Paying back","Paying back",IF(Q440=0,"Other",IF(INDEX(Bills!$C$6:$C$25,Q440)="","Other",INDEX(Bills!$C$6:$C$25,Q440)))))</f>
        <v/>
      </c>
      <c r="P440" s="1" t="n"/>
      <c r="Q440">
        <f>IF(C440="",0,IFERROR(MATCH(C440,Bills!$B$6:$B$25,0),0))</f>
        <v/>
      </c>
      <c r="R440">
        <f>COUNTA(F440:M440)</f>
        <v/>
      </c>
      <c r="S440">
        <f>IF(OR($D440="",$B440="",Housemates!$B$8=""),0,IF($R440&gt;0,IF(F440="",0,IF(ISNUMBER(F440),F440,1)),IF($C440="Paying back",0,IF(AND(OR(Housemates!$C$8="",Housemates!$C$8&lt;=$B440),OR(Housemates!$D$8="",Housemates!$D$8&gt;=$B440)),IF($Q440=0,1,INDEX(Bills!$AA$6:$AA$25,$Q440)),0))))</f>
        <v/>
      </c>
      <c r="T440">
        <f>IF(OR($D440="",$B440="",Housemates!$B$9=""),0,IF($R440&gt;0,IF(G440="",0,IF(ISNUMBER(G440),G440,1)),IF($C440="Paying back",0,IF(AND(OR(Housemates!$C$9="",Housemates!$C$9&lt;=$B440),OR(Housemates!$D$9="",Housemates!$D$9&gt;=$B440)),IF($Q440=0,1,INDEX(Bills!$AB$6:$AB$25,$Q440)),0))))</f>
        <v/>
      </c>
      <c r="U440">
        <f>IF(OR($D440="",$B440="",Housemates!$B$10=""),0,IF($R440&gt;0,IF(H440="",0,IF(ISNUMBER(H440),H440,1)),IF($C440="Paying back",0,IF(AND(OR(Housemates!$C$10="",Housemates!$C$10&lt;=$B440),OR(Housemates!$D$10="",Housemates!$D$10&gt;=$B440)),IF($Q440=0,1,INDEX(Bills!$AC$6:$AC$25,$Q440)),0))))</f>
        <v/>
      </c>
      <c r="V440">
        <f>IF(OR($D440="",$B440="",Housemates!$B$11=""),0,IF($R440&gt;0,IF(I440="",0,IF(ISNUMBER(I440),I440,1)),IF($C440="Paying back",0,IF(AND(OR(Housemates!$C$11="",Housemates!$C$11&lt;=$B440),OR(Housemates!$D$11="",Housemates!$D$11&gt;=$B440)),IF($Q440=0,1,INDEX(Bills!$AD$6:$AD$25,$Q440)),0))))</f>
        <v/>
      </c>
      <c r="W440">
        <f>IF(OR($D440="",$B440="",Housemates!$B$12=""),0,IF($R440&gt;0,IF(J440="",0,IF(ISNUMBER(J440),J440,1)),IF($C440="Paying back",0,IF(AND(OR(Housemates!$C$12="",Housemates!$C$12&lt;=$B440),OR(Housemates!$D$12="",Housemates!$D$12&gt;=$B440)),IF($Q440=0,1,INDEX(Bills!$AE$6:$AE$25,$Q440)),0))))</f>
        <v/>
      </c>
      <c r="X440">
        <f>IF(OR($D440="",$B440="",Housemates!$B$13=""),0,IF($R440&gt;0,IF(K440="",0,IF(ISNUMBER(K440),K440,1)),IF($C440="Paying back",0,IF(AND(OR(Housemates!$C$13="",Housemates!$C$13&lt;=$B440),OR(Housemates!$D$13="",Housemates!$D$13&gt;=$B440)),IF($Q440=0,1,INDEX(Bills!$AF$6:$AF$25,$Q440)),0))))</f>
        <v/>
      </c>
      <c r="Y440">
        <f>IF(OR($D440="",$B440="",Housemates!$B$14=""),0,IF($R440&gt;0,IF(L440="",0,IF(ISNUMBER(L440),L440,1)),IF($C440="Paying back",0,IF(AND(OR(Housemates!$C$14="",Housemates!$C$14&lt;=$B440),OR(Housemates!$D$14="",Housemates!$D$14&gt;=$B440)),IF($Q440=0,1,INDEX(Bills!$AG$6:$AG$25,$Q440)),0))))</f>
        <v/>
      </c>
      <c r="Z440">
        <f>IF(OR($D440="",$B440="",Housemates!$B$15=""),0,IF($R440&gt;0,IF(M440="",0,IF(ISNUMBER(M440),M440,1)),IF($C440="Paying back",0,IF(AND(OR(Housemates!$C$15="",Housemates!$C$15&lt;=$B440),OR(Housemates!$D$15="",Housemates!$D$15&gt;=$B440)),IF($Q440=0,1,INDEX(Bills!$AH$6:$AH$25,$Q440)),0))))</f>
        <v/>
      </c>
      <c r="AA440">
        <f>SUM(S440:Z440)</f>
        <v/>
      </c>
      <c r="AB440">
        <f>IF(AA440=0,0,D440*S440/AA440)</f>
        <v/>
      </c>
      <c r="AC440">
        <f>IF(AA440=0,0,D440*T440/AA440)</f>
        <v/>
      </c>
      <c r="AD440">
        <f>IF(AA440=0,0,D440*U440/AA440)</f>
        <v/>
      </c>
      <c r="AE440">
        <f>IF(AA440=0,0,D440*V440/AA440)</f>
        <v/>
      </c>
      <c r="AF440">
        <f>IF(AA440=0,0,D440*W440/AA440)</f>
        <v/>
      </c>
      <c r="AG440">
        <f>IF(AA440=0,0,D440*X440/AA440)</f>
        <v/>
      </c>
      <c r="AH440">
        <f>IF(AA440=0,0,D440*Y440/AA440)</f>
        <v/>
      </c>
      <c r="AI440">
        <f>IF(AA440=0,0,D440*Z440/AA440)</f>
        <v/>
      </c>
      <c r="AJ440">
        <f>IF(OR(C440="",B440=""),"",C440&amp;"|"&amp;(YEAR(B440)*100+MONTH(B440)))</f>
        <v/>
      </c>
    </row>
    <row r="441">
      <c r="A441" s="1" t="n"/>
      <c r="B441" s="23" t="n"/>
      <c r="C441" s="24" t="n"/>
      <c r="D441" s="25" t="n"/>
      <c r="E441" s="26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1">
        <f>IF(D441="","",IF(B441="","No date",IF(AND(C441="Paying back",R441=0),"To whom?",IF(AA441=0,"Nobody",IF(C441="Paying back","To "&amp;INDEX(Housemates!$B$8:$B$15,MATCH(MAX(S441:Z441),S441:Z441,0)),IF(R441&gt;0,IF(COUNTIF(S441:Z441,"&gt;0")=1,"1 person",COUNTIF(S441:Z441,"&gt;0")&amp;" people"),IF(Q441=0,"Everyone",INDEX(Bills!$Q$6:$Q$25,Q441))))))))</f>
        <v/>
      </c>
      <c r="O441" s="18">
        <f>IF(D441="","",IF(C441="Paying back","Paying back",IF(Q441=0,"Other",IF(INDEX(Bills!$C$6:$C$25,Q441)="","Other",INDEX(Bills!$C$6:$C$25,Q441)))))</f>
        <v/>
      </c>
      <c r="P441" s="1" t="n"/>
      <c r="Q441">
        <f>IF(C441="",0,IFERROR(MATCH(C441,Bills!$B$6:$B$25,0),0))</f>
        <v/>
      </c>
      <c r="R441">
        <f>COUNTA(F441:M441)</f>
        <v/>
      </c>
      <c r="S441">
        <f>IF(OR($D441="",$B441="",Housemates!$B$8=""),0,IF($R441&gt;0,IF(F441="",0,IF(ISNUMBER(F441),F441,1)),IF($C441="Paying back",0,IF(AND(OR(Housemates!$C$8="",Housemates!$C$8&lt;=$B441),OR(Housemates!$D$8="",Housemates!$D$8&gt;=$B441)),IF($Q441=0,1,INDEX(Bills!$AA$6:$AA$25,$Q441)),0))))</f>
        <v/>
      </c>
      <c r="T441">
        <f>IF(OR($D441="",$B441="",Housemates!$B$9=""),0,IF($R441&gt;0,IF(G441="",0,IF(ISNUMBER(G441),G441,1)),IF($C441="Paying back",0,IF(AND(OR(Housemates!$C$9="",Housemates!$C$9&lt;=$B441),OR(Housemates!$D$9="",Housemates!$D$9&gt;=$B441)),IF($Q441=0,1,INDEX(Bills!$AB$6:$AB$25,$Q441)),0))))</f>
        <v/>
      </c>
      <c r="U441">
        <f>IF(OR($D441="",$B441="",Housemates!$B$10=""),0,IF($R441&gt;0,IF(H441="",0,IF(ISNUMBER(H441),H441,1)),IF($C441="Paying back",0,IF(AND(OR(Housemates!$C$10="",Housemates!$C$10&lt;=$B441),OR(Housemates!$D$10="",Housemates!$D$10&gt;=$B441)),IF($Q441=0,1,INDEX(Bills!$AC$6:$AC$25,$Q441)),0))))</f>
        <v/>
      </c>
      <c r="V441">
        <f>IF(OR($D441="",$B441="",Housemates!$B$11=""),0,IF($R441&gt;0,IF(I441="",0,IF(ISNUMBER(I441),I441,1)),IF($C441="Paying back",0,IF(AND(OR(Housemates!$C$11="",Housemates!$C$11&lt;=$B441),OR(Housemates!$D$11="",Housemates!$D$11&gt;=$B441)),IF($Q441=0,1,INDEX(Bills!$AD$6:$AD$25,$Q441)),0))))</f>
        <v/>
      </c>
      <c r="W441">
        <f>IF(OR($D441="",$B441="",Housemates!$B$12=""),0,IF($R441&gt;0,IF(J441="",0,IF(ISNUMBER(J441),J441,1)),IF($C441="Paying back",0,IF(AND(OR(Housemates!$C$12="",Housemates!$C$12&lt;=$B441),OR(Housemates!$D$12="",Housemates!$D$12&gt;=$B441)),IF($Q441=0,1,INDEX(Bills!$AE$6:$AE$25,$Q441)),0))))</f>
        <v/>
      </c>
      <c r="X441">
        <f>IF(OR($D441="",$B441="",Housemates!$B$13=""),0,IF($R441&gt;0,IF(K441="",0,IF(ISNUMBER(K441),K441,1)),IF($C441="Paying back",0,IF(AND(OR(Housemates!$C$13="",Housemates!$C$13&lt;=$B441),OR(Housemates!$D$13="",Housemates!$D$13&gt;=$B441)),IF($Q441=0,1,INDEX(Bills!$AF$6:$AF$25,$Q441)),0))))</f>
        <v/>
      </c>
      <c r="Y441">
        <f>IF(OR($D441="",$B441="",Housemates!$B$14=""),0,IF($R441&gt;0,IF(L441="",0,IF(ISNUMBER(L441),L441,1)),IF($C441="Paying back",0,IF(AND(OR(Housemates!$C$14="",Housemates!$C$14&lt;=$B441),OR(Housemates!$D$14="",Housemates!$D$14&gt;=$B441)),IF($Q441=0,1,INDEX(Bills!$AG$6:$AG$25,$Q441)),0))))</f>
        <v/>
      </c>
      <c r="Z441">
        <f>IF(OR($D441="",$B441="",Housemates!$B$15=""),0,IF($R441&gt;0,IF(M441="",0,IF(ISNUMBER(M441),M441,1)),IF($C441="Paying back",0,IF(AND(OR(Housemates!$C$15="",Housemates!$C$15&lt;=$B441),OR(Housemates!$D$15="",Housemates!$D$15&gt;=$B441)),IF($Q441=0,1,INDEX(Bills!$AH$6:$AH$25,$Q441)),0))))</f>
        <v/>
      </c>
      <c r="AA441">
        <f>SUM(S441:Z441)</f>
        <v/>
      </c>
      <c r="AB441">
        <f>IF(AA441=0,0,D441*S441/AA441)</f>
        <v/>
      </c>
      <c r="AC441">
        <f>IF(AA441=0,0,D441*T441/AA441)</f>
        <v/>
      </c>
      <c r="AD441">
        <f>IF(AA441=0,0,D441*U441/AA441)</f>
        <v/>
      </c>
      <c r="AE441">
        <f>IF(AA441=0,0,D441*V441/AA441)</f>
        <v/>
      </c>
      <c r="AF441">
        <f>IF(AA441=0,0,D441*W441/AA441)</f>
        <v/>
      </c>
      <c r="AG441">
        <f>IF(AA441=0,0,D441*X441/AA441)</f>
        <v/>
      </c>
      <c r="AH441">
        <f>IF(AA441=0,0,D441*Y441/AA441)</f>
        <v/>
      </c>
      <c r="AI441">
        <f>IF(AA441=0,0,D441*Z441/AA441)</f>
        <v/>
      </c>
      <c r="AJ441">
        <f>IF(OR(C441="",B441=""),"",C441&amp;"|"&amp;(YEAR(B441)*100+MONTH(B441)))</f>
        <v/>
      </c>
    </row>
    <row r="442">
      <c r="A442" s="1" t="n"/>
      <c r="B442" s="23" t="n"/>
      <c r="C442" s="24" t="n"/>
      <c r="D442" s="25" t="n"/>
      <c r="E442" s="26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1">
        <f>IF(D442="","",IF(B442="","No date",IF(AND(C442="Paying back",R442=0),"To whom?",IF(AA442=0,"Nobody",IF(C442="Paying back","To "&amp;INDEX(Housemates!$B$8:$B$15,MATCH(MAX(S442:Z442),S442:Z442,0)),IF(R442&gt;0,IF(COUNTIF(S442:Z442,"&gt;0")=1,"1 person",COUNTIF(S442:Z442,"&gt;0")&amp;" people"),IF(Q442=0,"Everyone",INDEX(Bills!$Q$6:$Q$25,Q442))))))))</f>
        <v/>
      </c>
      <c r="O442" s="18">
        <f>IF(D442="","",IF(C442="Paying back","Paying back",IF(Q442=0,"Other",IF(INDEX(Bills!$C$6:$C$25,Q442)="","Other",INDEX(Bills!$C$6:$C$25,Q442)))))</f>
        <v/>
      </c>
      <c r="P442" s="1" t="n"/>
      <c r="Q442">
        <f>IF(C442="",0,IFERROR(MATCH(C442,Bills!$B$6:$B$25,0),0))</f>
        <v/>
      </c>
      <c r="R442">
        <f>COUNTA(F442:M442)</f>
        <v/>
      </c>
      <c r="S442">
        <f>IF(OR($D442="",$B442="",Housemates!$B$8=""),0,IF($R442&gt;0,IF(F442="",0,IF(ISNUMBER(F442),F442,1)),IF($C442="Paying back",0,IF(AND(OR(Housemates!$C$8="",Housemates!$C$8&lt;=$B442),OR(Housemates!$D$8="",Housemates!$D$8&gt;=$B442)),IF($Q442=0,1,INDEX(Bills!$AA$6:$AA$25,$Q442)),0))))</f>
        <v/>
      </c>
      <c r="T442">
        <f>IF(OR($D442="",$B442="",Housemates!$B$9=""),0,IF($R442&gt;0,IF(G442="",0,IF(ISNUMBER(G442),G442,1)),IF($C442="Paying back",0,IF(AND(OR(Housemates!$C$9="",Housemates!$C$9&lt;=$B442),OR(Housemates!$D$9="",Housemates!$D$9&gt;=$B442)),IF($Q442=0,1,INDEX(Bills!$AB$6:$AB$25,$Q442)),0))))</f>
        <v/>
      </c>
      <c r="U442">
        <f>IF(OR($D442="",$B442="",Housemates!$B$10=""),0,IF($R442&gt;0,IF(H442="",0,IF(ISNUMBER(H442),H442,1)),IF($C442="Paying back",0,IF(AND(OR(Housemates!$C$10="",Housemates!$C$10&lt;=$B442),OR(Housemates!$D$10="",Housemates!$D$10&gt;=$B442)),IF($Q442=0,1,INDEX(Bills!$AC$6:$AC$25,$Q442)),0))))</f>
        <v/>
      </c>
      <c r="V442">
        <f>IF(OR($D442="",$B442="",Housemates!$B$11=""),0,IF($R442&gt;0,IF(I442="",0,IF(ISNUMBER(I442),I442,1)),IF($C442="Paying back",0,IF(AND(OR(Housemates!$C$11="",Housemates!$C$11&lt;=$B442),OR(Housemates!$D$11="",Housemates!$D$11&gt;=$B442)),IF($Q442=0,1,INDEX(Bills!$AD$6:$AD$25,$Q442)),0))))</f>
        <v/>
      </c>
      <c r="W442">
        <f>IF(OR($D442="",$B442="",Housemates!$B$12=""),0,IF($R442&gt;0,IF(J442="",0,IF(ISNUMBER(J442),J442,1)),IF($C442="Paying back",0,IF(AND(OR(Housemates!$C$12="",Housemates!$C$12&lt;=$B442),OR(Housemates!$D$12="",Housemates!$D$12&gt;=$B442)),IF($Q442=0,1,INDEX(Bills!$AE$6:$AE$25,$Q442)),0))))</f>
        <v/>
      </c>
      <c r="X442">
        <f>IF(OR($D442="",$B442="",Housemates!$B$13=""),0,IF($R442&gt;0,IF(K442="",0,IF(ISNUMBER(K442),K442,1)),IF($C442="Paying back",0,IF(AND(OR(Housemates!$C$13="",Housemates!$C$13&lt;=$B442),OR(Housemates!$D$13="",Housemates!$D$13&gt;=$B442)),IF($Q442=0,1,INDEX(Bills!$AF$6:$AF$25,$Q442)),0))))</f>
        <v/>
      </c>
      <c r="Y442">
        <f>IF(OR($D442="",$B442="",Housemates!$B$14=""),0,IF($R442&gt;0,IF(L442="",0,IF(ISNUMBER(L442),L442,1)),IF($C442="Paying back",0,IF(AND(OR(Housemates!$C$14="",Housemates!$C$14&lt;=$B442),OR(Housemates!$D$14="",Housemates!$D$14&gt;=$B442)),IF($Q442=0,1,INDEX(Bills!$AG$6:$AG$25,$Q442)),0))))</f>
        <v/>
      </c>
      <c r="Z442">
        <f>IF(OR($D442="",$B442="",Housemates!$B$15=""),0,IF($R442&gt;0,IF(M442="",0,IF(ISNUMBER(M442),M442,1)),IF($C442="Paying back",0,IF(AND(OR(Housemates!$C$15="",Housemates!$C$15&lt;=$B442),OR(Housemates!$D$15="",Housemates!$D$15&gt;=$B442)),IF($Q442=0,1,INDEX(Bills!$AH$6:$AH$25,$Q442)),0))))</f>
        <v/>
      </c>
      <c r="AA442">
        <f>SUM(S442:Z442)</f>
        <v/>
      </c>
      <c r="AB442">
        <f>IF(AA442=0,0,D442*S442/AA442)</f>
        <v/>
      </c>
      <c r="AC442">
        <f>IF(AA442=0,0,D442*T442/AA442)</f>
        <v/>
      </c>
      <c r="AD442">
        <f>IF(AA442=0,0,D442*U442/AA442)</f>
        <v/>
      </c>
      <c r="AE442">
        <f>IF(AA442=0,0,D442*V442/AA442)</f>
        <v/>
      </c>
      <c r="AF442">
        <f>IF(AA442=0,0,D442*W442/AA442)</f>
        <v/>
      </c>
      <c r="AG442">
        <f>IF(AA442=0,0,D442*X442/AA442)</f>
        <v/>
      </c>
      <c r="AH442">
        <f>IF(AA442=0,0,D442*Y442/AA442)</f>
        <v/>
      </c>
      <c r="AI442">
        <f>IF(AA442=0,0,D442*Z442/AA442)</f>
        <v/>
      </c>
      <c r="AJ442">
        <f>IF(OR(C442="",B442=""),"",C442&amp;"|"&amp;(YEAR(B442)*100+MONTH(B442)))</f>
        <v/>
      </c>
    </row>
    <row r="443">
      <c r="A443" s="1" t="n"/>
      <c r="B443" s="23" t="n"/>
      <c r="C443" s="24" t="n"/>
      <c r="D443" s="25" t="n"/>
      <c r="E443" s="26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1">
        <f>IF(D443="","",IF(B443="","No date",IF(AND(C443="Paying back",R443=0),"To whom?",IF(AA443=0,"Nobody",IF(C443="Paying back","To "&amp;INDEX(Housemates!$B$8:$B$15,MATCH(MAX(S443:Z443),S443:Z443,0)),IF(R443&gt;0,IF(COUNTIF(S443:Z443,"&gt;0")=1,"1 person",COUNTIF(S443:Z443,"&gt;0")&amp;" people"),IF(Q443=0,"Everyone",INDEX(Bills!$Q$6:$Q$25,Q443))))))))</f>
        <v/>
      </c>
      <c r="O443" s="18">
        <f>IF(D443="","",IF(C443="Paying back","Paying back",IF(Q443=0,"Other",IF(INDEX(Bills!$C$6:$C$25,Q443)="","Other",INDEX(Bills!$C$6:$C$25,Q443)))))</f>
        <v/>
      </c>
      <c r="P443" s="1" t="n"/>
      <c r="Q443">
        <f>IF(C443="",0,IFERROR(MATCH(C443,Bills!$B$6:$B$25,0),0))</f>
        <v/>
      </c>
      <c r="R443">
        <f>COUNTA(F443:M443)</f>
        <v/>
      </c>
      <c r="S443">
        <f>IF(OR($D443="",$B443="",Housemates!$B$8=""),0,IF($R443&gt;0,IF(F443="",0,IF(ISNUMBER(F443),F443,1)),IF($C443="Paying back",0,IF(AND(OR(Housemates!$C$8="",Housemates!$C$8&lt;=$B443),OR(Housemates!$D$8="",Housemates!$D$8&gt;=$B443)),IF($Q443=0,1,INDEX(Bills!$AA$6:$AA$25,$Q443)),0))))</f>
        <v/>
      </c>
      <c r="T443">
        <f>IF(OR($D443="",$B443="",Housemates!$B$9=""),0,IF($R443&gt;0,IF(G443="",0,IF(ISNUMBER(G443),G443,1)),IF($C443="Paying back",0,IF(AND(OR(Housemates!$C$9="",Housemates!$C$9&lt;=$B443),OR(Housemates!$D$9="",Housemates!$D$9&gt;=$B443)),IF($Q443=0,1,INDEX(Bills!$AB$6:$AB$25,$Q443)),0))))</f>
        <v/>
      </c>
      <c r="U443">
        <f>IF(OR($D443="",$B443="",Housemates!$B$10=""),0,IF($R443&gt;0,IF(H443="",0,IF(ISNUMBER(H443),H443,1)),IF($C443="Paying back",0,IF(AND(OR(Housemates!$C$10="",Housemates!$C$10&lt;=$B443),OR(Housemates!$D$10="",Housemates!$D$10&gt;=$B443)),IF($Q443=0,1,INDEX(Bills!$AC$6:$AC$25,$Q443)),0))))</f>
        <v/>
      </c>
      <c r="V443">
        <f>IF(OR($D443="",$B443="",Housemates!$B$11=""),0,IF($R443&gt;0,IF(I443="",0,IF(ISNUMBER(I443),I443,1)),IF($C443="Paying back",0,IF(AND(OR(Housemates!$C$11="",Housemates!$C$11&lt;=$B443),OR(Housemates!$D$11="",Housemates!$D$11&gt;=$B443)),IF($Q443=0,1,INDEX(Bills!$AD$6:$AD$25,$Q443)),0))))</f>
        <v/>
      </c>
      <c r="W443">
        <f>IF(OR($D443="",$B443="",Housemates!$B$12=""),0,IF($R443&gt;0,IF(J443="",0,IF(ISNUMBER(J443),J443,1)),IF($C443="Paying back",0,IF(AND(OR(Housemates!$C$12="",Housemates!$C$12&lt;=$B443),OR(Housemates!$D$12="",Housemates!$D$12&gt;=$B443)),IF($Q443=0,1,INDEX(Bills!$AE$6:$AE$25,$Q443)),0))))</f>
        <v/>
      </c>
      <c r="X443">
        <f>IF(OR($D443="",$B443="",Housemates!$B$13=""),0,IF($R443&gt;0,IF(K443="",0,IF(ISNUMBER(K443),K443,1)),IF($C443="Paying back",0,IF(AND(OR(Housemates!$C$13="",Housemates!$C$13&lt;=$B443),OR(Housemates!$D$13="",Housemates!$D$13&gt;=$B443)),IF($Q443=0,1,INDEX(Bills!$AF$6:$AF$25,$Q443)),0))))</f>
        <v/>
      </c>
      <c r="Y443">
        <f>IF(OR($D443="",$B443="",Housemates!$B$14=""),0,IF($R443&gt;0,IF(L443="",0,IF(ISNUMBER(L443),L443,1)),IF($C443="Paying back",0,IF(AND(OR(Housemates!$C$14="",Housemates!$C$14&lt;=$B443),OR(Housemates!$D$14="",Housemates!$D$14&gt;=$B443)),IF($Q443=0,1,INDEX(Bills!$AG$6:$AG$25,$Q443)),0))))</f>
        <v/>
      </c>
      <c r="Z443">
        <f>IF(OR($D443="",$B443="",Housemates!$B$15=""),0,IF($R443&gt;0,IF(M443="",0,IF(ISNUMBER(M443),M443,1)),IF($C443="Paying back",0,IF(AND(OR(Housemates!$C$15="",Housemates!$C$15&lt;=$B443),OR(Housemates!$D$15="",Housemates!$D$15&gt;=$B443)),IF($Q443=0,1,INDEX(Bills!$AH$6:$AH$25,$Q443)),0))))</f>
        <v/>
      </c>
      <c r="AA443">
        <f>SUM(S443:Z443)</f>
        <v/>
      </c>
      <c r="AB443">
        <f>IF(AA443=0,0,D443*S443/AA443)</f>
        <v/>
      </c>
      <c r="AC443">
        <f>IF(AA443=0,0,D443*T443/AA443)</f>
        <v/>
      </c>
      <c r="AD443">
        <f>IF(AA443=0,0,D443*U443/AA443)</f>
        <v/>
      </c>
      <c r="AE443">
        <f>IF(AA443=0,0,D443*V443/AA443)</f>
        <v/>
      </c>
      <c r="AF443">
        <f>IF(AA443=0,0,D443*W443/AA443)</f>
        <v/>
      </c>
      <c r="AG443">
        <f>IF(AA443=0,0,D443*X443/AA443)</f>
        <v/>
      </c>
      <c r="AH443">
        <f>IF(AA443=0,0,D443*Y443/AA443)</f>
        <v/>
      </c>
      <c r="AI443">
        <f>IF(AA443=0,0,D443*Z443/AA443)</f>
        <v/>
      </c>
      <c r="AJ443">
        <f>IF(OR(C443="",B443=""),"",C443&amp;"|"&amp;(YEAR(B443)*100+MONTH(B443)))</f>
        <v/>
      </c>
    </row>
    <row r="444">
      <c r="A444" s="1" t="n"/>
      <c r="B444" s="23" t="n"/>
      <c r="C444" s="24" t="n"/>
      <c r="D444" s="25" t="n"/>
      <c r="E444" s="26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1">
        <f>IF(D444="","",IF(B444="","No date",IF(AND(C444="Paying back",R444=0),"To whom?",IF(AA444=0,"Nobody",IF(C444="Paying back","To "&amp;INDEX(Housemates!$B$8:$B$15,MATCH(MAX(S444:Z444),S444:Z444,0)),IF(R444&gt;0,IF(COUNTIF(S444:Z444,"&gt;0")=1,"1 person",COUNTIF(S444:Z444,"&gt;0")&amp;" people"),IF(Q444=0,"Everyone",INDEX(Bills!$Q$6:$Q$25,Q444))))))))</f>
        <v/>
      </c>
      <c r="O444" s="18">
        <f>IF(D444="","",IF(C444="Paying back","Paying back",IF(Q444=0,"Other",IF(INDEX(Bills!$C$6:$C$25,Q444)="","Other",INDEX(Bills!$C$6:$C$25,Q444)))))</f>
        <v/>
      </c>
      <c r="P444" s="1" t="n"/>
      <c r="Q444">
        <f>IF(C444="",0,IFERROR(MATCH(C444,Bills!$B$6:$B$25,0),0))</f>
        <v/>
      </c>
      <c r="R444">
        <f>COUNTA(F444:M444)</f>
        <v/>
      </c>
      <c r="S444">
        <f>IF(OR($D444="",$B444="",Housemates!$B$8=""),0,IF($R444&gt;0,IF(F444="",0,IF(ISNUMBER(F444),F444,1)),IF($C444="Paying back",0,IF(AND(OR(Housemates!$C$8="",Housemates!$C$8&lt;=$B444),OR(Housemates!$D$8="",Housemates!$D$8&gt;=$B444)),IF($Q444=0,1,INDEX(Bills!$AA$6:$AA$25,$Q444)),0))))</f>
        <v/>
      </c>
      <c r="T444">
        <f>IF(OR($D444="",$B444="",Housemates!$B$9=""),0,IF($R444&gt;0,IF(G444="",0,IF(ISNUMBER(G444),G444,1)),IF($C444="Paying back",0,IF(AND(OR(Housemates!$C$9="",Housemates!$C$9&lt;=$B444),OR(Housemates!$D$9="",Housemates!$D$9&gt;=$B444)),IF($Q444=0,1,INDEX(Bills!$AB$6:$AB$25,$Q444)),0))))</f>
        <v/>
      </c>
      <c r="U444">
        <f>IF(OR($D444="",$B444="",Housemates!$B$10=""),0,IF($R444&gt;0,IF(H444="",0,IF(ISNUMBER(H444),H444,1)),IF($C444="Paying back",0,IF(AND(OR(Housemates!$C$10="",Housemates!$C$10&lt;=$B444),OR(Housemates!$D$10="",Housemates!$D$10&gt;=$B444)),IF($Q444=0,1,INDEX(Bills!$AC$6:$AC$25,$Q444)),0))))</f>
        <v/>
      </c>
      <c r="V444">
        <f>IF(OR($D444="",$B444="",Housemates!$B$11=""),0,IF($R444&gt;0,IF(I444="",0,IF(ISNUMBER(I444),I444,1)),IF($C444="Paying back",0,IF(AND(OR(Housemates!$C$11="",Housemates!$C$11&lt;=$B444),OR(Housemates!$D$11="",Housemates!$D$11&gt;=$B444)),IF($Q444=0,1,INDEX(Bills!$AD$6:$AD$25,$Q444)),0))))</f>
        <v/>
      </c>
      <c r="W444">
        <f>IF(OR($D444="",$B444="",Housemates!$B$12=""),0,IF($R444&gt;0,IF(J444="",0,IF(ISNUMBER(J444),J444,1)),IF($C444="Paying back",0,IF(AND(OR(Housemates!$C$12="",Housemates!$C$12&lt;=$B444),OR(Housemates!$D$12="",Housemates!$D$12&gt;=$B444)),IF($Q444=0,1,INDEX(Bills!$AE$6:$AE$25,$Q444)),0))))</f>
        <v/>
      </c>
      <c r="X444">
        <f>IF(OR($D444="",$B444="",Housemates!$B$13=""),0,IF($R444&gt;0,IF(K444="",0,IF(ISNUMBER(K444),K444,1)),IF($C444="Paying back",0,IF(AND(OR(Housemates!$C$13="",Housemates!$C$13&lt;=$B444),OR(Housemates!$D$13="",Housemates!$D$13&gt;=$B444)),IF($Q444=0,1,INDEX(Bills!$AF$6:$AF$25,$Q444)),0))))</f>
        <v/>
      </c>
      <c r="Y444">
        <f>IF(OR($D444="",$B444="",Housemates!$B$14=""),0,IF($R444&gt;0,IF(L444="",0,IF(ISNUMBER(L444),L444,1)),IF($C444="Paying back",0,IF(AND(OR(Housemates!$C$14="",Housemates!$C$14&lt;=$B444),OR(Housemates!$D$14="",Housemates!$D$14&gt;=$B444)),IF($Q444=0,1,INDEX(Bills!$AG$6:$AG$25,$Q444)),0))))</f>
        <v/>
      </c>
      <c r="Z444">
        <f>IF(OR($D444="",$B444="",Housemates!$B$15=""),0,IF($R444&gt;0,IF(M444="",0,IF(ISNUMBER(M444),M444,1)),IF($C444="Paying back",0,IF(AND(OR(Housemates!$C$15="",Housemates!$C$15&lt;=$B444),OR(Housemates!$D$15="",Housemates!$D$15&gt;=$B444)),IF($Q444=0,1,INDEX(Bills!$AH$6:$AH$25,$Q444)),0))))</f>
        <v/>
      </c>
      <c r="AA444">
        <f>SUM(S444:Z444)</f>
        <v/>
      </c>
      <c r="AB444">
        <f>IF(AA444=0,0,D444*S444/AA444)</f>
        <v/>
      </c>
      <c r="AC444">
        <f>IF(AA444=0,0,D444*T444/AA444)</f>
        <v/>
      </c>
      <c r="AD444">
        <f>IF(AA444=0,0,D444*U444/AA444)</f>
        <v/>
      </c>
      <c r="AE444">
        <f>IF(AA444=0,0,D444*V444/AA444)</f>
        <v/>
      </c>
      <c r="AF444">
        <f>IF(AA444=0,0,D444*W444/AA444)</f>
        <v/>
      </c>
      <c r="AG444">
        <f>IF(AA444=0,0,D444*X444/AA444)</f>
        <v/>
      </c>
      <c r="AH444">
        <f>IF(AA444=0,0,D444*Y444/AA444)</f>
        <v/>
      </c>
      <c r="AI444">
        <f>IF(AA444=0,0,D444*Z444/AA444)</f>
        <v/>
      </c>
      <c r="AJ444">
        <f>IF(OR(C444="",B444=""),"",C444&amp;"|"&amp;(YEAR(B444)*100+MONTH(B444)))</f>
        <v/>
      </c>
    </row>
    <row r="445">
      <c r="A445" s="1" t="n"/>
      <c r="B445" s="23" t="n"/>
      <c r="C445" s="24" t="n"/>
      <c r="D445" s="25" t="n"/>
      <c r="E445" s="26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1">
        <f>IF(D445="","",IF(B445="","No date",IF(AND(C445="Paying back",R445=0),"To whom?",IF(AA445=0,"Nobody",IF(C445="Paying back","To "&amp;INDEX(Housemates!$B$8:$B$15,MATCH(MAX(S445:Z445),S445:Z445,0)),IF(R445&gt;0,IF(COUNTIF(S445:Z445,"&gt;0")=1,"1 person",COUNTIF(S445:Z445,"&gt;0")&amp;" people"),IF(Q445=0,"Everyone",INDEX(Bills!$Q$6:$Q$25,Q445))))))))</f>
        <v/>
      </c>
      <c r="O445" s="18">
        <f>IF(D445="","",IF(C445="Paying back","Paying back",IF(Q445=0,"Other",IF(INDEX(Bills!$C$6:$C$25,Q445)="","Other",INDEX(Bills!$C$6:$C$25,Q445)))))</f>
        <v/>
      </c>
      <c r="P445" s="1" t="n"/>
      <c r="Q445">
        <f>IF(C445="",0,IFERROR(MATCH(C445,Bills!$B$6:$B$25,0),0))</f>
        <v/>
      </c>
      <c r="R445">
        <f>COUNTA(F445:M445)</f>
        <v/>
      </c>
      <c r="S445">
        <f>IF(OR($D445="",$B445="",Housemates!$B$8=""),0,IF($R445&gt;0,IF(F445="",0,IF(ISNUMBER(F445),F445,1)),IF($C445="Paying back",0,IF(AND(OR(Housemates!$C$8="",Housemates!$C$8&lt;=$B445),OR(Housemates!$D$8="",Housemates!$D$8&gt;=$B445)),IF($Q445=0,1,INDEX(Bills!$AA$6:$AA$25,$Q445)),0))))</f>
        <v/>
      </c>
      <c r="T445">
        <f>IF(OR($D445="",$B445="",Housemates!$B$9=""),0,IF($R445&gt;0,IF(G445="",0,IF(ISNUMBER(G445),G445,1)),IF($C445="Paying back",0,IF(AND(OR(Housemates!$C$9="",Housemates!$C$9&lt;=$B445),OR(Housemates!$D$9="",Housemates!$D$9&gt;=$B445)),IF($Q445=0,1,INDEX(Bills!$AB$6:$AB$25,$Q445)),0))))</f>
        <v/>
      </c>
      <c r="U445">
        <f>IF(OR($D445="",$B445="",Housemates!$B$10=""),0,IF($R445&gt;0,IF(H445="",0,IF(ISNUMBER(H445),H445,1)),IF($C445="Paying back",0,IF(AND(OR(Housemates!$C$10="",Housemates!$C$10&lt;=$B445),OR(Housemates!$D$10="",Housemates!$D$10&gt;=$B445)),IF($Q445=0,1,INDEX(Bills!$AC$6:$AC$25,$Q445)),0))))</f>
        <v/>
      </c>
      <c r="V445">
        <f>IF(OR($D445="",$B445="",Housemates!$B$11=""),0,IF($R445&gt;0,IF(I445="",0,IF(ISNUMBER(I445),I445,1)),IF($C445="Paying back",0,IF(AND(OR(Housemates!$C$11="",Housemates!$C$11&lt;=$B445),OR(Housemates!$D$11="",Housemates!$D$11&gt;=$B445)),IF($Q445=0,1,INDEX(Bills!$AD$6:$AD$25,$Q445)),0))))</f>
        <v/>
      </c>
      <c r="W445">
        <f>IF(OR($D445="",$B445="",Housemates!$B$12=""),0,IF($R445&gt;0,IF(J445="",0,IF(ISNUMBER(J445),J445,1)),IF($C445="Paying back",0,IF(AND(OR(Housemates!$C$12="",Housemates!$C$12&lt;=$B445),OR(Housemates!$D$12="",Housemates!$D$12&gt;=$B445)),IF($Q445=0,1,INDEX(Bills!$AE$6:$AE$25,$Q445)),0))))</f>
        <v/>
      </c>
      <c r="X445">
        <f>IF(OR($D445="",$B445="",Housemates!$B$13=""),0,IF($R445&gt;0,IF(K445="",0,IF(ISNUMBER(K445),K445,1)),IF($C445="Paying back",0,IF(AND(OR(Housemates!$C$13="",Housemates!$C$13&lt;=$B445),OR(Housemates!$D$13="",Housemates!$D$13&gt;=$B445)),IF($Q445=0,1,INDEX(Bills!$AF$6:$AF$25,$Q445)),0))))</f>
        <v/>
      </c>
      <c r="Y445">
        <f>IF(OR($D445="",$B445="",Housemates!$B$14=""),0,IF($R445&gt;0,IF(L445="",0,IF(ISNUMBER(L445),L445,1)),IF($C445="Paying back",0,IF(AND(OR(Housemates!$C$14="",Housemates!$C$14&lt;=$B445),OR(Housemates!$D$14="",Housemates!$D$14&gt;=$B445)),IF($Q445=0,1,INDEX(Bills!$AG$6:$AG$25,$Q445)),0))))</f>
        <v/>
      </c>
      <c r="Z445">
        <f>IF(OR($D445="",$B445="",Housemates!$B$15=""),0,IF($R445&gt;0,IF(M445="",0,IF(ISNUMBER(M445),M445,1)),IF($C445="Paying back",0,IF(AND(OR(Housemates!$C$15="",Housemates!$C$15&lt;=$B445),OR(Housemates!$D$15="",Housemates!$D$15&gt;=$B445)),IF($Q445=0,1,INDEX(Bills!$AH$6:$AH$25,$Q445)),0))))</f>
        <v/>
      </c>
      <c r="AA445">
        <f>SUM(S445:Z445)</f>
        <v/>
      </c>
      <c r="AB445">
        <f>IF(AA445=0,0,D445*S445/AA445)</f>
        <v/>
      </c>
      <c r="AC445">
        <f>IF(AA445=0,0,D445*T445/AA445)</f>
        <v/>
      </c>
      <c r="AD445">
        <f>IF(AA445=0,0,D445*U445/AA445)</f>
        <v/>
      </c>
      <c r="AE445">
        <f>IF(AA445=0,0,D445*V445/AA445)</f>
        <v/>
      </c>
      <c r="AF445">
        <f>IF(AA445=0,0,D445*W445/AA445)</f>
        <v/>
      </c>
      <c r="AG445">
        <f>IF(AA445=0,0,D445*X445/AA445)</f>
        <v/>
      </c>
      <c r="AH445">
        <f>IF(AA445=0,0,D445*Y445/AA445)</f>
        <v/>
      </c>
      <c r="AI445">
        <f>IF(AA445=0,0,D445*Z445/AA445)</f>
        <v/>
      </c>
      <c r="AJ445">
        <f>IF(OR(C445="",B445=""),"",C445&amp;"|"&amp;(YEAR(B445)*100+MONTH(B445)))</f>
        <v/>
      </c>
    </row>
    <row r="446">
      <c r="A446" s="1" t="n"/>
      <c r="B446" s="23" t="n"/>
      <c r="C446" s="24" t="n"/>
      <c r="D446" s="25" t="n"/>
      <c r="E446" s="26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1">
        <f>IF(D446="","",IF(B446="","No date",IF(AND(C446="Paying back",R446=0),"To whom?",IF(AA446=0,"Nobody",IF(C446="Paying back","To "&amp;INDEX(Housemates!$B$8:$B$15,MATCH(MAX(S446:Z446),S446:Z446,0)),IF(R446&gt;0,IF(COUNTIF(S446:Z446,"&gt;0")=1,"1 person",COUNTIF(S446:Z446,"&gt;0")&amp;" people"),IF(Q446=0,"Everyone",INDEX(Bills!$Q$6:$Q$25,Q446))))))))</f>
        <v/>
      </c>
      <c r="O446" s="18">
        <f>IF(D446="","",IF(C446="Paying back","Paying back",IF(Q446=0,"Other",IF(INDEX(Bills!$C$6:$C$25,Q446)="","Other",INDEX(Bills!$C$6:$C$25,Q446)))))</f>
        <v/>
      </c>
      <c r="P446" s="1" t="n"/>
      <c r="Q446">
        <f>IF(C446="",0,IFERROR(MATCH(C446,Bills!$B$6:$B$25,0),0))</f>
        <v/>
      </c>
      <c r="R446">
        <f>COUNTA(F446:M446)</f>
        <v/>
      </c>
      <c r="S446">
        <f>IF(OR($D446="",$B446="",Housemates!$B$8=""),0,IF($R446&gt;0,IF(F446="",0,IF(ISNUMBER(F446),F446,1)),IF($C446="Paying back",0,IF(AND(OR(Housemates!$C$8="",Housemates!$C$8&lt;=$B446),OR(Housemates!$D$8="",Housemates!$D$8&gt;=$B446)),IF($Q446=0,1,INDEX(Bills!$AA$6:$AA$25,$Q446)),0))))</f>
        <v/>
      </c>
      <c r="T446">
        <f>IF(OR($D446="",$B446="",Housemates!$B$9=""),0,IF($R446&gt;0,IF(G446="",0,IF(ISNUMBER(G446),G446,1)),IF($C446="Paying back",0,IF(AND(OR(Housemates!$C$9="",Housemates!$C$9&lt;=$B446),OR(Housemates!$D$9="",Housemates!$D$9&gt;=$B446)),IF($Q446=0,1,INDEX(Bills!$AB$6:$AB$25,$Q446)),0))))</f>
        <v/>
      </c>
      <c r="U446">
        <f>IF(OR($D446="",$B446="",Housemates!$B$10=""),0,IF($R446&gt;0,IF(H446="",0,IF(ISNUMBER(H446),H446,1)),IF($C446="Paying back",0,IF(AND(OR(Housemates!$C$10="",Housemates!$C$10&lt;=$B446),OR(Housemates!$D$10="",Housemates!$D$10&gt;=$B446)),IF($Q446=0,1,INDEX(Bills!$AC$6:$AC$25,$Q446)),0))))</f>
        <v/>
      </c>
      <c r="V446">
        <f>IF(OR($D446="",$B446="",Housemates!$B$11=""),0,IF($R446&gt;0,IF(I446="",0,IF(ISNUMBER(I446),I446,1)),IF($C446="Paying back",0,IF(AND(OR(Housemates!$C$11="",Housemates!$C$11&lt;=$B446),OR(Housemates!$D$11="",Housemates!$D$11&gt;=$B446)),IF($Q446=0,1,INDEX(Bills!$AD$6:$AD$25,$Q446)),0))))</f>
        <v/>
      </c>
      <c r="W446">
        <f>IF(OR($D446="",$B446="",Housemates!$B$12=""),0,IF($R446&gt;0,IF(J446="",0,IF(ISNUMBER(J446),J446,1)),IF($C446="Paying back",0,IF(AND(OR(Housemates!$C$12="",Housemates!$C$12&lt;=$B446),OR(Housemates!$D$12="",Housemates!$D$12&gt;=$B446)),IF($Q446=0,1,INDEX(Bills!$AE$6:$AE$25,$Q446)),0))))</f>
        <v/>
      </c>
      <c r="X446">
        <f>IF(OR($D446="",$B446="",Housemates!$B$13=""),0,IF($R446&gt;0,IF(K446="",0,IF(ISNUMBER(K446),K446,1)),IF($C446="Paying back",0,IF(AND(OR(Housemates!$C$13="",Housemates!$C$13&lt;=$B446),OR(Housemates!$D$13="",Housemates!$D$13&gt;=$B446)),IF($Q446=0,1,INDEX(Bills!$AF$6:$AF$25,$Q446)),0))))</f>
        <v/>
      </c>
      <c r="Y446">
        <f>IF(OR($D446="",$B446="",Housemates!$B$14=""),0,IF($R446&gt;0,IF(L446="",0,IF(ISNUMBER(L446),L446,1)),IF($C446="Paying back",0,IF(AND(OR(Housemates!$C$14="",Housemates!$C$14&lt;=$B446),OR(Housemates!$D$14="",Housemates!$D$14&gt;=$B446)),IF($Q446=0,1,INDEX(Bills!$AG$6:$AG$25,$Q446)),0))))</f>
        <v/>
      </c>
      <c r="Z446">
        <f>IF(OR($D446="",$B446="",Housemates!$B$15=""),0,IF($R446&gt;0,IF(M446="",0,IF(ISNUMBER(M446),M446,1)),IF($C446="Paying back",0,IF(AND(OR(Housemates!$C$15="",Housemates!$C$15&lt;=$B446),OR(Housemates!$D$15="",Housemates!$D$15&gt;=$B446)),IF($Q446=0,1,INDEX(Bills!$AH$6:$AH$25,$Q446)),0))))</f>
        <v/>
      </c>
      <c r="AA446">
        <f>SUM(S446:Z446)</f>
        <v/>
      </c>
      <c r="AB446">
        <f>IF(AA446=0,0,D446*S446/AA446)</f>
        <v/>
      </c>
      <c r="AC446">
        <f>IF(AA446=0,0,D446*T446/AA446)</f>
        <v/>
      </c>
      <c r="AD446">
        <f>IF(AA446=0,0,D446*U446/AA446)</f>
        <v/>
      </c>
      <c r="AE446">
        <f>IF(AA446=0,0,D446*V446/AA446)</f>
        <v/>
      </c>
      <c r="AF446">
        <f>IF(AA446=0,0,D446*W446/AA446)</f>
        <v/>
      </c>
      <c r="AG446">
        <f>IF(AA446=0,0,D446*X446/AA446)</f>
        <v/>
      </c>
      <c r="AH446">
        <f>IF(AA446=0,0,D446*Y446/AA446)</f>
        <v/>
      </c>
      <c r="AI446">
        <f>IF(AA446=0,0,D446*Z446/AA446)</f>
        <v/>
      </c>
      <c r="AJ446">
        <f>IF(OR(C446="",B446=""),"",C446&amp;"|"&amp;(YEAR(B446)*100+MONTH(B446)))</f>
        <v/>
      </c>
    </row>
    <row r="447">
      <c r="A447" s="1" t="n"/>
      <c r="B447" s="23" t="n"/>
      <c r="C447" s="24" t="n"/>
      <c r="D447" s="25" t="n"/>
      <c r="E447" s="26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1">
        <f>IF(D447="","",IF(B447="","No date",IF(AND(C447="Paying back",R447=0),"To whom?",IF(AA447=0,"Nobody",IF(C447="Paying back","To "&amp;INDEX(Housemates!$B$8:$B$15,MATCH(MAX(S447:Z447),S447:Z447,0)),IF(R447&gt;0,IF(COUNTIF(S447:Z447,"&gt;0")=1,"1 person",COUNTIF(S447:Z447,"&gt;0")&amp;" people"),IF(Q447=0,"Everyone",INDEX(Bills!$Q$6:$Q$25,Q447))))))))</f>
        <v/>
      </c>
      <c r="O447" s="18">
        <f>IF(D447="","",IF(C447="Paying back","Paying back",IF(Q447=0,"Other",IF(INDEX(Bills!$C$6:$C$25,Q447)="","Other",INDEX(Bills!$C$6:$C$25,Q447)))))</f>
        <v/>
      </c>
      <c r="P447" s="1" t="n"/>
      <c r="Q447">
        <f>IF(C447="",0,IFERROR(MATCH(C447,Bills!$B$6:$B$25,0),0))</f>
        <v/>
      </c>
      <c r="R447">
        <f>COUNTA(F447:M447)</f>
        <v/>
      </c>
      <c r="S447">
        <f>IF(OR($D447="",$B447="",Housemates!$B$8=""),0,IF($R447&gt;0,IF(F447="",0,IF(ISNUMBER(F447),F447,1)),IF($C447="Paying back",0,IF(AND(OR(Housemates!$C$8="",Housemates!$C$8&lt;=$B447),OR(Housemates!$D$8="",Housemates!$D$8&gt;=$B447)),IF($Q447=0,1,INDEX(Bills!$AA$6:$AA$25,$Q447)),0))))</f>
        <v/>
      </c>
      <c r="T447">
        <f>IF(OR($D447="",$B447="",Housemates!$B$9=""),0,IF($R447&gt;0,IF(G447="",0,IF(ISNUMBER(G447),G447,1)),IF($C447="Paying back",0,IF(AND(OR(Housemates!$C$9="",Housemates!$C$9&lt;=$B447),OR(Housemates!$D$9="",Housemates!$D$9&gt;=$B447)),IF($Q447=0,1,INDEX(Bills!$AB$6:$AB$25,$Q447)),0))))</f>
        <v/>
      </c>
      <c r="U447">
        <f>IF(OR($D447="",$B447="",Housemates!$B$10=""),0,IF($R447&gt;0,IF(H447="",0,IF(ISNUMBER(H447),H447,1)),IF($C447="Paying back",0,IF(AND(OR(Housemates!$C$10="",Housemates!$C$10&lt;=$B447),OR(Housemates!$D$10="",Housemates!$D$10&gt;=$B447)),IF($Q447=0,1,INDEX(Bills!$AC$6:$AC$25,$Q447)),0))))</f>
        <v/>
      </c>
      <c r="V447">
        <f>IF(OR($D447="",$B447="",Housemates!$B$11=""),0,IF($R447&gt;0,IF(I447="",0,IF(ISNUMBER(I447),I447,1)),IF($C447="Paying back",0,IF(AND(OR(Housemates!$C$11="",Housemates!$C$11&lt;=$B447),OR(Housemates!$D$11="",Housemates!$D$11&gt;=$B447)),IF($Q447=0,1,INDEX(Bills!$AD$6:$AD$25,$Q447)),0))))</f>
        <v/>
      </c>
      <c r="W447">
        <f>IF(OR($D447="",$B447="",Housemates!$B$12=""),0,IF($R447&gt;0,IF(J447="",0,IF(ISNUMBER(J447),J447,1)),IF($C447="Paying back",0,IF(AND(OR(Housemates!$C$12="",Housemates!$C$12&lt;=$B447),OR(Housemates!$D$12="",Housemates!$D$12&gt;=$B447)),IF($Q447=0,1,INDEX(Bills!$AE$6:$AE$25,$Q447)),0))))</f>
        <v/>
      </c>
      <c r="X447">
        <f>IF(OR($D447="",$B447="",Housemates!$B$13=""),0,IF($R447&gt;0,IF(K447="",0,IF(ISNUMBER(K447),K447,1)),IF($C447="Paying back",0,IF(AND(OR(Housemates!$C$13="",Housemates!$C$13&lt;=$B447),OR(Housemates!$D$13="",Housemates!$D$13&gt;=$B447)),IF($Q447=0,1,INDEX(Bills!$AF$6:$AF$25,$Q447)),0))))</f>
        <v/>
      </c>
      <c r="Y447">
        <f>IF(OR($D447="",$B447="",Housemates!$B$14=""),0,IF($R447&gt;0,IF(L447="",0,IF(ISNUMBER(L447),L447,1)),IF($C447="Paying back",0,IF(AND(OR(Housemates!$C$14="",Housemates!$C$14&lt;=$B447),OR(Housemates!$D$14="",Housemates!$D$14&gt;=$B447)),IF($Q447=0,1,INDEX(Bills!$AG$6:$AG$25,$Q447)),0))))</f>
        <v/>
      </c>
      <c r="Z447">
        <f>IF(OR($D447="",$B447="",Housemates!$B$15=""),0,IF($R447&gt;0,IF(M447="",0,IF(ISNUMBER(M447),M447,1)),IF($C447="Paying back",0,IF(AND(OR(Housemates!$C$15="",Housemates!$C$15&lt;=$B447),OR(Housemates!$D$15="",Housemates!$D$15&gt;=$B447)),IF($Q447=0,1,INDEX(Bills!$AH$6:$AH$25,$Q447)),0))))</f>
        <v/>
      </c>
      <c r="AA447">
        <f>SUM(S447:Z447)</f>
        <v/>
      </c>
      <c r="AB447">
        <f>IF(AA447=0,0,D447*S447/AA447)</f>
        <v/>
      </c>
      <c r="AC447">
        <f>IF(AA447=0,0,D447*T447/AA447)</f>
        <v/>
      </c>
      <c r="AD447">
        <f>IF(AA447=0,0,D447*U447/AA447)</f>
        <v/>
      </c>
      <c r="AE447">
        <f>IF(AA447=0,0,D447*V447/AA447)</f>
        <v/>
      </c>
      <c r="AF447">
        <f>IF(AA447=0,0,D447*W447/AA447)</f>
        <v/>
      </c>
      <c r="AG447">
        <f>IF(AA447=0,0,D447*X447/AA447)</f>
        <v/>
      </c>
      <c r="AH447">
        <f>IF(AA447=0,0,D447*Y447/AA447)</f>
        <v/>
      </c>
      <c r="AI447">
        <f>IF(AA447=0,0,D447*Z447/AA447)</f>
        <v/>
      </c>
      <c r="AJ447">
        <f>IF(OR(C447="",B447=""),"",C447&amp;"|"&amp;(YEAR(B447)*100+MONTH(B447)))</f>
        <v/>
      </c>
    </row>
    <row r="448">
      <c r="A448" s="1" t="n"/>
      <c r="B448" s="23" t="n"/>
      <c r="C448" s="24" t="n"/>
      <c r="D448" s="25" t="n"/>
      <c r="E448" s="26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1">
        <f>IF(D448="","",IF(B448="","No date",IF(AND(C448="Paying back",R448=0),"To whom?",IF(AA448=0,"Nobody",IF(C448="Paying back","To "&amp;INDEX(Housemates!$B$8:$B$15,MATCH(MAX(S448:Z448),S448:Z448,0)),IF(R448&gt;0,IF(COUNTIF(S448:Z448,"&gt;0")=1,"1 person",COUNTIF(S448:Z448,"&gt;0")&amp;" people"),IF(Q448=0,"Everyone",INDEX(Bills!$Q$6:$Q$25,Q448))))))))</f>
        <v/>
      </c>
      <c r="O448" s="18">
        <f>IF(D448="","",IF(C448="Paying back","Paying back",IF(Q448=0,"Other",IF(INDEX(Bills!$C$6:$C$25,Q448)="","Other",INDEX(Bills!$C$6:$C$25,Q448)))))</f>
        <v/>
      </c>
      <c r="P448" s="1" t="n"/>
      <c r="Q448">
        <f>IF(C448="",0,IFERROR(MATCH(C448,Bills!$B$6:$B$25,0),0))</f>
        <v/>
      </c>
      <c r="R448">
        <f>COUNTA(F448:M448)</f>
        <v/>
      </c>
      <c r="S448">
        <f>IF(OR($D448="",$B448="",Housemates!$B$8=""),0,IF($R448&gt;0,IF(F448="",0,IF(ISNUMBER(F448),F448,1)),IF($C448="Paying back",0,IF(AND(OR(Housemates!$C$8="",Housemates!$C$8&lt;=$B448),OR(Housemates!$D$8="",Housemates!$D$8&gt;=$B448)),IF($Q448=0,1,INDEX(Bills!$AA$6:$AA$25,$Q448)),0))))</f>
        <v/>
      </c>
      <c r="T448">
        <f>IF(OR($D448="",$B448="",Housemates!$B$9=""),0,IF($R448&gt;0,IF(G448="",0,IF(ISNUMBER(G448),G448,1)),IF($C448="Paying back",0,IF(AND(OR(Housemates!$C$9="",Housemates!$C$9&lt;=$B448),OR(Housemates!$D$9="",Housemates!$D$9&gt;=$B448)),IF($Q448=0,1,INDEX(Bills!$AB$6:$AB$25,$Q448)),0))))</f>
        <v/>
      </c>
      <c r="U448">
        <f>IF(OR($D448="",$B448="",Housemates!$B$10=""),0,IF($R448&gt;0,IF(H448="",0,IF(ISNUMBER(H448),H448,1)),IF($C448="Paying back",0,IF(AND(OR(Housemates!$C$10="",Housemates!$C$10&lt;=$B448),OR(Housemates!$D$10="",Housemates!$D$10&gt;=$B448)),IF($Q448=0,1,INDEX(Bills!$AC$6:$AC$25,$Q448)),0))))</f>
        <v/>
      </c>
      <c r="V448">
        <f>IF(OR($D448="",$B448="",Housemates!$B$11=""),0,IF($R448&gt;0,IF(I448="",0,IF(ISNUMBER(I448),I448,1)),IF($C448="Paying back",0,IF(AND(OR(Housemates!$C$11="",Housemates!$C$11&lt;=$B448),OR(Housemates!$D$11="",Housemates!$D$11&gt;=$B448)),IF($Q448=0,1,INDEX(Bills!$AD$6:$AD$25,$Q448)),0))))</f>
        <v/>
      </c>
      <c r="W448">
        <f>IF(OR($D448="",$B448="",Housemates!$B$12=""),0,IF($R448&gt;0,IF(J448="",0,IF(ISNUMBER(J448),J448,1)),IF($C448="Paying back",0,IF(AND(OR(Housemates!$C$12="",Housemates!$C$12&lt;=$B448),OR(Housemates!$D$12="",Housemates!$D$12&gt;=$B448)),IF($Q448=0,1,INDEX(Bills!$AE$6:$AE$25,$Q448)),0))))</f>
        <v/>
      </c>
      <c r="X448">
        <f>IF(OR($D448="",$B448="",Housemates!$B$13=""),0,IF($R448&gt;0,IF(K448="",0,IF(ISNUMBER(K448),K448,1)),IF($C448="Paying back",0,IF(AND(OR(Housemates!$C$13="",Housemates!$C$13&lt;=$B448),OR(Housemates!$D$13="",Housemates!$D$13&gt;=$B448)),IF($Q448=0,1,INDEX(Bills!$AF$6:$AF$25,$Q448)),0))))</f>
        <v/>
      </c>
      <c r="Y448">
        <f>IF(OR($D448="",$B448="",Housemates!$B$14=""),0,IF($R448&gt;0,IF(L448="",0,IF(ISNUMBER(L448),L448,1)),IF($C448="Paying back",0,IF(AND(OR(Housemates!$C$14="",Housemates!$C$14&lt;=$B448),OR(Housemates!$D$14="",Housemates!$D$14&gt;=$B448)),IF($Q448=0,1,INDEX(Bills!$AG$6:$AG$25,$Q448)),0))))</f>
        <v/>
      </c>
      <c r="Z448">
        <f>IF(OR($D448="",$B448="",Housemates!$B$15=""),0,IF($R448&gt;0,IF(M448="",0,IF(ISNUMBER(M448),M448,1)),IF($C448="Paying back",0,IF(AND(OR(Housemates!$C$15="",Housemates!$C$15&lt;=$B448),OR(Housemates!$D$15="",Housemates!$D$15&gt;=$B448)),IF($Q448=0,1,INDEX(Bills!$AH$6:$AH$25,$Q448)),0))))</f>
        <v/>
      </c>
      <c r="AA448">
        <f>SUM(S448:Z448)</f>
        <v/>
      </c>
      <c r="AB448">
        <f>IF(AA448=0,0,D448*S448/AA448)</f>
        <v/>
      </c>
      <c r="AC448">
        <f>IF(AA448=0,0,D448*T448/AA448)</f>
        <v/>
      </c>
      <c r="AD448">
        <f>IF(AA448=0,0,D448*U448/AA448)</f>
        <v/>
      </c>
      <c r="AE448">
        <f>IF(AA448=0,0,D448*V448/AA448)</f>
        <v/>
      </c>
      <c r="AF448">
        <f>IF(AA448=0,0,D448*W448/AA448)</f>
        <v/>
      </c>
      <c r="AG448">
        <f>IF(AA448=0,0,D448*X448/AA448)</f>
        <v/>
      </c>
      <c r="AH448">
        <f>IF(AA448=0,0,D448*Y448/AA448)</f>
        <v/>
      </c>
      <c r="AI448">
        <f>IF(AA448=0,0,D448*Z448/AA448)</f>
        <v/>
      </c>
      <c r="AJ448">
        <f>IF(OR(C448="",B448=""),"",C448&amp;"|"&amp;(YEAR(B448)*100+MONTH(B448)))</f>
        <v/>
      </c>
    </row>
    <row r="449">
      <c r="A449" s="1" t="n"/>
      <c r="B449" s="23" t="n"/>
      <c r="C449" s="24" t="n"/>
      <c r="D449" s="25" t="n"/>
      <c r="E449" s="26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1">
        <f>IF(D449="","",IF(B449="","No date",IF(AND(C449="Paying back",R449=0),"To whom?",IF(AA449=0,"Nobody",IF(C449="Paying back","To "&amp;INDEX(Housemates!$B$8:$B$15,MATCH(MAX(S449:Z449),S449:Z449,0)),IF(R449&gt;0,IF(COUNTIF(S449:Z449,"&gt;0")=1,"1 person",COUNTIF(S449:Z449,"&gt;0")&amp;" people"),IF(Q449=0,"Everyone",INDEX(Bills!$Q$6:$Q$25,Q449))))))))</f>
        <v/>
      </c>
      <c r="O449" s="18">
        <f>IF(D449="","",IF(C449="Paying back","Paying back",IF(Q449=0,"Other",IF(INDEX(Bills!$C$6:$C$25,Q449)="","Other",INDEX(Bills!$C$6:$C$25,Q449)))))</f>
        <v/>
      </c>
      <c r="P449" s="1" t="n"/>
      <c r="Q449">
        <f>IF(C449="",0,IFERROR(MATCH(C449,Bills!$B$6:$B$25,0),0))</f>
        <v/>
      </c>
      <c r="R449">
        <f>COUNTA(F449:M449)</f>
        <v/>
      </c>
      <c r="S449">
        <f>IF(OR($D449="",$B449="",Housemates!$B$8=""),0,IF($R449&gt;0,IF(F449="",0,IF(ISNUMBER(F449),F449,1)),IF($C449="Paying back",0,IF(AND(OR(Housemates!$C$8="",Housemates!$C$8&lt;=$B449),OR(Housemates!$D$8="",Housemates!$D$8&gt;=$B449)),IF($Q449=0,1,INDEX(Bills!$AA$6:$AA$25,$Q449)),0))))</f>
        <v/>
      </c>
      <c r="T449">
        <f>IF(OR($D449="",$B449="",Housemates!$B$9=""),0,IF($R449&gt;0,IF(G449="",0,IF(ISNUMBER(G449),G449,1)),IF($C449="Paying back",0,IF(AND(OR(Housemates!$C$9="",Housemates!$C$9&lt;=$B449),OR(Housemates!$D$9="",Housemates!$D$9&gt;=$B449)),IF($Q449=0,1,INDEX(Bills!$AB$6:$AB$25,$Q449)),0))))</f>
        <v/>
      </c>
      <c r="U449">
        <f>IF(OR($D449="",$B449="",Housemates!$B$10=""),0,IF($R449&gt;0,IF(H449="",0,IF(ISNUMBER(H449),H449,1)),IF($C449="Paying back",0,IF(AND(OR(Housemates!$C$10="",Housemates!$C$10&lt;=$B449),OR(Housemates!$D$10="",Housemates!$D$10&gt;=$B449)),IF($Q449=0,1,INDEX(Bills!$AC$6:$AC$25,$Q449)),0))))</f>
        <v/>
      </c>
      <c r="V449">
        <f>IF(OR($D449="",$B449="",Housemates!$B$11=""),0,IF($R449&gt;0,IF(I449="",0,IF(ISNUMBER(I449),I449,1)),IF($C449="Paying back",0,IF(AND(OR(Housemates!$C$11="",Housemates!$C$11&lt;=$B449),OR(Housemates!$D$11="",Housemates!$D$11&gt;=$B449)),IF($Q449=0,1,INDEX(Bills!$AD$6:$AD$25,$Q449)),0))))</f>
        <v/>
      </c>
      <c r="W449">
        <f>IF(OR($D449="",$B449="",Housemates!$B$12=""),0,IF($R449&gt;0,IF(J449="",0,IF(ISNUMBER(J449),J449,1)),IF($C449="Paying back",0,IF(AND(OR(Housemates!$C$12="",Housemates!$C$12&lt;=$B449),OR(Housemates!$D$12="",Housemates!$D$12&gt;=$B449)),IF($Q449=0,1,INDEX(Bills!$AE$6:$AE$25,$Q449)),0))))</f>
        <v/>
      </c>
      <c r="X449">
        <f>IF(OR($D449="",$B449="",Housemates!$B$13=""),0,IF($R449&gt;0,IF(K449="",0,IF(ISNUMBER(K449),K449,1)),IF($C449="Paying back",0,IF(AND(OR(Housemates!$C$13="",Housemates!$C$13&lt;=$B449),OR(Housemates!$D$13="",Housemates!$D$13&gt;=$B449)),IF($Q449=0,1,INDEX(Bills!$AF$6:$AF$25,$Q449)),0))))</f>
        <v/>
      </c>
      <c r="Y449">
        <f>IF(OR($D449="",$B449="",Housemates!$B$14=""),0,IF($R449&gt;0,IF(L449="",0,IF(ISNUMBER(L449),L449,1)),IF($C449="Paying back",0,IF(AND(OR(Housemates!$C$14="",Housemates!$C$14&lt;=$B449),OR(Housemates!$D$14="",Housemates!$D$14&gt;=$B449)),IF($Q449=0,1,INDEX(Bills!$AG$6:$AG$25,$Q449)),0))))</f>
        <v/>
      </c>
      <c r="Z449">
        <f>IF(OR($D449="",$B449="",Housemates!$B$15=""),0,IF($R449&gt;0,IF(M449="",0,IF(ISNUMBER(M449),M449,1)),IF($C449="Paying back",0,IF(AND(OR(Housemates!$C$15="",Housemates!$C$15&lt;=$B449),OR(Housemates!$D$15="",Housemates!$D$15&gt;=$B449)),IF($Q449=0,1,INDEX(Bills!$AH$6:$AH$25,$Q449)),0))))</f>
        <v/>
      </c>
      <c r="AA449">
        <f>SUM(S449:Z449)</f>
        <v/>
      </c>
      <c r="AB449">
        <f>IF(AA449=0,0,D449*S449/AA449)</f>
        <v/>
      </c>
      <c r="AC449">
        <f>IF(AA449=0,0,D449*T449/AA449)</f>
        <v/>
      </c>
      <c r="AD449">
        <f>IF(AA449=0,0,D449*U449/AA449)</f>
        <v/>
      </c>
      <c r="AE449">
        <f>IF(AA449=0,0,D449*V449/AA449)</f>
        <v/>
      </c>
      <c r="AF449">
        <f>IF(AA449=0,0,D449*W449/AA449)</f>
        <v/>
      </c>
      <c r="AG449">
        <f>IF(AA449=0,0,D449*X449/AA449)</f>
        <v/>
      </c>
      <c r="AH449">
        <f>IF(AA449=0,0,D449*Y449/AA449)</f>
        <v/>
      </c>
      <c r="AI449">
        <f>IF(AA449=0,0,D449*Z449/AA449)</f>
        <v/>
      </c>
      <c r="AJ449">
        <f>IF(OR(C449="",B449=""),"",C449&amp;"|"&amp;(YEAR(B449)*100+MONTH(B449)))</f>
        <v/>
      </c>
    </row>
    <row r="450">
      <c r="A450" s="1" t="n"/>
      <c r="B450" s="23" t="n"/>
      <c r="C450" s="24" t="n"/>
      <c r="D450" s="25" t="n"/>
      <c r="E450" s="26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1">
        <f>IF(D450="","",IF(B450="","No date",IF(AND(C450="Paying back",R450=0),"To whom?",IF(AA450=0,"Nobody",IF(C450="Paying back","To "&amp;INDEX(Housemates!$B$8:$B$15,MATCH(MAX(S450:Z450),S450:Z450,0)),IF(R450&gt;0,IF(COUNTIF(S450:Z450,"&gt;0")=1,"1 person",COUNTIF(S450:Z450,"&gt;0")&amp;" people"),IF(Q450=0,"Everyone",INDEX(Bills!$Q$6:$Q$25,Q450))))))))</f>
        <v/>
      </c>
      <c r="O450" s="18">
        <f>IF(D450="","",IF(C450="Paying back","Paying back",IF(Q450=0,"Other",IF(INDEX(Bills!$C$6:$C$25,Q450)="","Other",INDEX(Bills!$C$6:$C$25,Q450)))))</f>
        <v/>
      </c>
      <c r="P450" s="1" t="n"/>
      <c r="Q450">
        <f>IF(C450="",0,IFERROR(MATCH(C450,Bills!$B$6:$B$25,0),0))</f>
        <v/>
      </c>
      <c r="R450">
        <f>COUNTA(F450:M450)</f>
        <v/>
      </c>
      <c r="S450">
        <f>IF(OR($D450="",$B450="",Housemates!$B$8=""),0,IF($R450&gt;0,IF(F450="",0,IF(ISNUMBER(F450),F450,1)),IF($C450="Paying back",0,IF(AND(OR(Housemates!$C$8="",Housemates!$C$8&lt;=$B450),OR(Housemates!$D$8="",Housemates!$D$8&gt;=$B450)),IF($Q450=0,1,INDEX(Bills!$AA$6:$AA$25,$Q450)),0))))</f>
        <v/>
      </c>
      <c r="T450">
        <f>IF(OR($D450="",$B450="",Housemates!$B$9=""),0,IF($R450&gt;0,IF(G450="",0,IF(ISNUMBER(G450),G450,1)),IF($C450="Paying back",0,IF(AND(OR(Housemates!$C$9="",Housemates!$C$9&lt;=$B450),OR(Housemates!$D$9="",Housemates!$D$9&gt;=$B450)),IF($Q450=0,1,INDEX(Bills!$AB$6:$AB$25,$Q450)),0))))</f>
        <v/>
      </c>
      <c r="U450">
        <f>IF(OR($D450="",$B450="",Housemates!$B$10=""),0,IF($R450&gt;0,IF(H450="",0,IF(ISNUMBER(H450),H450,1)),IF($C450="Paying back",0,IF(AND(OR(Housemates!$C$10="",Housemates!$C$10&lt;=$B450),OR(Housemates!$D$10="",Housemates!$D$10&gt;=$B450)),IF($Q450=0,1,INDEX(Bills!$AC$6:$AC$25,$Q450)),0))))</f>
        <v/>
      </c>
      <c r="V450">
        <f>IF(OR($D450="",$B450="",Housemates!$B$11=""),0,IF($R450&gt;0,IF(I450="",0,IF(ISNUMBER(I450),I450,1)),IF($C450="Paying back",0,IF(AND(OR(Housemates!$C$11="",Housemates!$C$11&lt;=$B450),OR(Housemates!$D$11="",Housemates!$D$11&gt;=$B450)),IF($Q450=0,1,INDEX(Bills!$AD$6:$AD$25,$Q450)),0))))</f>
        <v/>
      </c>
      <c r="W450">
        <f>IF(OR($D450="",$B450="",Housemates!$B$12=""),0,IF($R450&gt;0,IF(J450="",0,IF(ISNUMBER(J450),J450,1)),IF($C450="Paying back",0,IF(AND(OR(Housemates!$C$12="",Housemates!$C$12&lt;=$B450),OR(Housemates!$D$12="",Housemates!$D$12&gt;=$B450)),IF($Q450=0,1,INDEX(Bills!$AE$6:$AE$25,$Q450)),0))))</f>
        <v/>
      </c>
      <c r="X450">
        <f>IF(OR($D450="",$B450="",Housemates!$B$13=""),0,IF($R450&gt;0,IF(K450="",0,IF(ISNUMBER(K450),K450,1)),IF($C450="Paying back",0,IF(AND(OR(Housemates!$C$13="",Housemates!$C$13&lt;=$B450),OR(Housemates!$D$13="",Housemates!$D$13&gt;=$B450)),IF($Q450=0,1,INDEX(Bills!$AF$6:$AF$25,$Q450)),0))))</f>
        <v/>
      </c>
      <c r="Y450">
        <f>IF(OR($D450="",$B450="",Housemates!$B$14=""),0,IF($R450&gt;0,IF(L450="",0,IF(ISNUMBER(L450),L450,1)),IF($C450="Paying back",0,IF(AND(OR(Housemates!$C$14="",Housemates!$C$14&lt;=$B450),OR(Housemates!$D$14="",Housemates!$D$14&gt;=$B450)),IF($Q450=0,1,INDEX(Bills!$AG$6:$AG$25,$Q450)),0))))</f>
        <v/>
      </c>
      <c r="Z450">
        <f>IF(OR($D450="",$B450="",Housemates!$B$15=""),0,IF($R450&gt;0,IF(M450="",0,IF(ISNUMBER(M450),M450,1)),IF($C450="Paying back",0,IF(AND(OR(Housemates!$C$15="",Housemates!$C$15&lt;=$B450),OR(Housemates!$D$15="",Housemates!$D$15&gt;=$B450)),IF($Q450=0,1,INDEX(Bills!$AH$6:$AH$25,$Q450)),0))))</f>
        <v/>
      </c>
      <c r="AA450">
        <f>SUM(S450:Z450)</f>
        <v/>
      </c>
      <c r="AB450">
        <f>IF(AA450=0,0,D450*S450/AA450)</f>
        <v/>
      </c>
      <c r="AC450">
        <f>IF(AA450=0,0,D450*T450/AA450)</f>
        <v/>
      </c>
      <c r="AD450">
        <f>IF(AA450=0,0,D450*U450/AA450)</f>
        <v/>
      </c>
      <c r="AE450">
        <f>IF(AA450=0,0,D450*V450/AA450)</f>
        <v/>
      </c>
      <c r="AF450">
        <f>IF(AA450=0,0,D450*W450/AA450)</f>
        <v/>
      </c>
      <c r="AG450">
        <f>IF(AA450=0,0,D450*X450/AA450)</f>
        <v/>
      </c>
      <c r="AH450">
        <f>IF(AA450=0,0,D450*Y450/AA450)</f>
        <v/>
      </c>
      <c r="AI450">
        <f>IF(AA450=0,0,D450*Z450/AA450)</f>
        <v/>
      </c>
      <c r="AJ450">
        <f>IF(OR(C450="",B450=""),"",C450&amp;"|"&amp;(YEAR(B450)*100+MONTH(B450)))</f>
        <v/>
      </c>
    </row>
    <row r="451">
      <c r="A451" s="1" t="n"/>
      <c r="B451" s="23" t="n"/>
      <c r="C451" s="24" t="n"/>
      <c r="D451" s="25" t="n"/>
      <c r="E451" s="26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1">
        <f>IF(D451="","",IF(B451="","No date",IF(AND(C451="Paying back",R451=0),"To whom?",IF(AA451=0,"Nobody",IF(C451="Paying back","To "&amp;INDEX(Housemates!$B$8:$B$15,MATCH(MAX(S451:Z451),S451:Z451,0)),IF(R451&gt;0,IF(COUNTIF(S451:Z451,"&gt;0")=1,"1 person",COUNTIF(S451:Z451,"&gt;0")&amp;" people"),IF(Q451=0,"Everyone",INDEX(Bills!$Q$6:$Q$25,Q451))))))))</f>
        <v/>
      </c>
      <c r="O451" s="18">
        <f>IF(D451="","",IF(C451="Paying back","Paying back",IF(Q451=0,"Other",IF(INDEX(Bills!$C$6:$C$25,Q451)="","Other",INDEX(Bills!$C$6:$C$25,Q451)))))</f>
        <v/>
      </c>
      <c r="P451" s="1" t="n"/>
      <c r="Q451">
        <f>IF(C451="",0,IFERROR(MATCH(C451,Bills!$B$6:$B$25,0),0))</f>
        <v/>
      </c>
      <c r="R451">
        <f>COUNTA(F451:M451)</f>
        <v/>
      </c>
      <c r="S451">
        <f>IF(OR($D451="",$B451="",Housemates!$B$8=""),0,IF($R451&gt;0,IF(F451="",0,IF(ISNUMBER(F451),F451,1)),IF($C451="Paying back",0,IF(AND(OR(Housemates!$C$8="",Housemates!$C$8&lt;=$B451),OR(Housemates!$D$8="",Housemates!$D$8&gt;=$B451)),IF($Q451=0,1,INDEX(Bills!$AA$6:$AA$25,$Q451)),0))))</f>
        <v/>
      </c>
      <c r="T451">
        <f>IF(OR($D451="",$B451="",Housemates!$B$9=""),0,IF($R451&gt;0,IF(G451="",0,IF(ISNUMBER(G451),G451,1)),IF($C451="Paying back",0,IF(AND(OR(Housemates!$C$9="",Housemates!$C$9&lt;=$B451),OR(Housemates!$D$9="",Housemates!$D$9&gt;=$B451)),IF($Q451=0,1,INDEX(Bills!$AB$6:$AB$25,$Q451)),0))))</f>
        <v/>
      </c>
      <c r="U451">
        <f>IF(OR($D451="",$B451="",Housemates!$B$10=""),0,IF($R451&gt;0,IF(H451="",0,IF(ISNUMBER(H451),H451,1)),IF($C451="Paying back",0,IF(AND(OR(Housemates!$C$10="",Housemates!$C$10&lt;=$B451),OR(Housemates!$D$10="",Housemates!$D$10&gt;=$B451)),IF($Q451=0,1,INDEX(Bills!$AC$6:$AC$25,$Q451)),0))))</f>
        <v/>
      </c>
      <c r="V451">
        <f>IF(OR($D451="",$B451="",Housemates!$B$11=""),0,IF($R451&gt;0,IF(I451="",0,IF(ISNUMBER(I451),I451,1)),IF($C451="Paying back",0,IF(AND(OR(Housemates!$C$11="",Housemates!$C$11&lt;=$B451),OR(Housemates!$D$11="",Housemates!$D$11&gt;=$B451)),IF($Q451=0,1,INDEX(Bills!$AD$6:$AD$25,$Q451)),0))))</f>
        <v/>
      </c>
      <c r="W451">
        <f>IF(OR($D451="",$B451="",Housemates!$B$12=""),0,IF($R451&gt;0,IF(J451="",0,IF(ISNUMBER(J451),J451,1)),IF($C451="Paying back",0,IF(AND(OR(Housemates!$C$12="",Housemates!$C$12&lt;=$B451),OR(Housemates!$D$12="",Housemates!$D$12&gt;=$B451)),IF($Q451=0,1,INDEX(Bills!$AE$6:$AE$25,$Q451)),0))))</f>
        <v/>
      </c>
      <c r="X451">
        <f>IF(OR($D451="",$B451="",Housemates!$B$13=""),0,IF($R451&gt;0,IF(K451="",0,IF(ISNUMBER(K451),K451,1)),IF($C451="Paying back",0,IF(AND(OR(Housemates!$C$13="",Housemates!$C$13&lt;=$B451),OR(Housemates!$D$13="",Housemates!$D$13&gt;=$B451)),IF($Q451=0,1,INDEX(Bills!$AF$6:$AF$25,$Q451)),0))))</f>
        <v/>
      </c>
      <c r="Y451">
        <f>IF(OR($D451="",$B451="",Housemates!$B$14=""),0,IF($R451&gt;0,IF(L451="",0,IF(ISNUMBER(L451),L451,1)),IF($C451="Paying back",0,IF(AND(OR(Housemates!$C$14="",Housemates!$C$14&lt;=$B451),OR(Housemates!$D$14="",Housemates!$D$14&gt;=$B451)),IF($Q451=0,1,INDEX(Bills!$AG$6:$AG$25,$Q451)),0))))</f>
        <v/>
      </c>
      <c r="Z451">
        <f>IF(OR($D451="",$B451="",Housemates!$B$15=""),0,IF($R451&gt;0,IF(M451="",0,IF(ISNUMBER(M451),M451,1)),IF($C451="Paying back",0,IF(AND(OR(Housemates!$C$15="",Housemates!$C$15&lt;=$B451),OR(Housemates!$D$15="",Housemates!$D$15&gt;=$B451)),IF($Q451=0,1,INDEX(Bills!$AH$6:$AH$25,$Q451)),0))))</f>
        <v/>
      </c>
      <c r="AA451">
        <f>SUM(S451:Z451)</f>
        <v/>
      </c>
      <c r="AB451">
        <f>IF(AA451=0,0,D451*S451/AA451)</f>
        <v/>
      </c>
      <c r="AC451">
        <f>IF(AA451=0,0,D451*T451/AA451)</f>
        <v/>
      </c>
      <c r="AD451">
        <f>IF(AA451=0,0,D451*U451/AA451)</f>
        <v/>
      </c>
      <c r="AE451">
        <f>IF(AA451=0,0,D451*V451/AA451)</f>
        <v/>
      </c>
      <c r="AF451">
        <f>IF(AA451=0,0,D451*W451/AA451)</f>
        <v/>
      </c>
      <c r="AG451">
        <f>IF(AA451=0,0,D451*X451/AA451)</f>
        <v/>
      </c>
      <c r="AH451">
        <f>IF(AA451=0,0,D451*Y451/AA451)</f>
        <v/>
      </c>
      <c r="AI451">
        <f>IF(AA451=0,0,D451*Z451/AA451)</f>
        <v/>
      </c>
      <c r="AJ451">
        <f>IF(OR(C451="",B451=""),"",C451&amp;"|"&amp;(YEAR(B451)*100+MONTH(B451)))</f>
        <v/>
      </c>
    </row>
    <row r="452">
      <c r="A452" s="1" t="n"/>
      <c r="B452" s="23" t="n"/>
      <c r="C452" s="24" t="n"/>
      <c r="D452" s="25" t="n"/>
      <c r="E452" s="26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1">
        <f>IF(D452="","",IF(B452="","No date",IF(AND(C452="Paying back",R452=0),"To whom?",IF(AA452=0,"Nobody",IF(C452="Paying back","To "&amp;INDEX(Housemates!$B$8:$B$15,MATCH(MAX(S452:Z452),S452:Z452,0)),IF(R452&gt;0,IF(COUNTIF(S452:Z452,"&gt;0")=1,"1 person",COUNTIF(S452:Z452,"&gt;0")&amp;" people"),IF(Q452=0,"Everyone",INDEX(Bills!$Q$6:$Q$25,Q452))))))))</f>
        <v/>
      </c>
      <c r="O452" s="18">
        <f>IF(D452="","",IF(C452="Paying back","Paying back",IF(Q452=0,"Other",IF(INDEX(Bills!$C$6:$C$25,Q452)="","Other",INDEX(Bills!$C$6:$C$25,Q452)))))</f>
        <v/>
      </c>
      <c r="P452" s="1" t="n"/>
      <c r="Q452">
        <f>IF(C452="",0,IFERROR(MATCH(C452,Bills!$B$6:$B$25,0),0))</f>
        <v/>
      </c>
      <c r="R452">
        <f>COUNTA(F452:M452)</f>
        <v/>
      </c>
      <c r="S452">
        <f>IF(OR($D452="",$B452="",Housemates!$B$8=""),0,IF($R452&gt;0,IF(F452="",0,IF(ISNUMBER(F452),F452,1)),IF($C452="Paying back",0,IF(AND(OR(Housemates!$C$8="",Housemates!$C$8&lt;=$B452),OR(Housemates!$D$8="",Housemates!$D$8&gt;=$B452)),IF($Q452=0,1,INDEX(Bills!$AA$6:$AA$25,$Q452)),0))))</f>
        <v/>
      </c>
      <c r="T452">
        <f>IF(OR($D452="",$B452="",Housemates!$B$9=""),0,IF($R452&gt;0,IF(G452="",0,IF(ISNUMBER(G452),G452,1)),IF($C452="Paying back",0,IF(AND(OR(Housemates!$C$9="",Housemates!$C$9&lt;=$B452),OR(Housemates!$D$9="",Housemates!$D$9&gt;=$B452)),IF($Q452=0,1,INDEX(Bills!$AB$6:$AB$25,$Q452)),0))))</f>
        <v/>
      </c>
      <c r="U452">
        <f>IF(OR($D452="",$B452="",Housemates!$B$10=""),0,IF($R452&gt;0,IF(H452="",0,IF(ISNUMBER(H452),H452,1)),IF($C452="Paying back",0,IF(AND(OR(Housemates!$C$10="",Housemates!$C$10&lt;=$B452),OR(Housemates!$D$10="",Housemates!$D$10&gt;=$B452)),IF($Q452=0,1,INDEX(Bills!$AC$6:$AC$25,$Q452)),0))))</f>
        <v/>
      </c>
      <c r="V452">
        <f>IF(OR($D452="",$B452="",Housemates!$B$11=""),0,IF($R452&gt;0,IF(I452="",0,IF(ISNUMBER(I452),I452,1)),IF($C452="Paying back",0,IF(AND(OR(Housemates!$C$11="",Housemates!$C$11&lt;=$B452),OR(Housemates!$D$11="",Housemates!$D$11&gt;=$B452)),IF($Q452=0,1,INDEX(Bills!$AD$6:$AD$25,$Q452)),0))))</f>
        <v/>
      </c>
      <c r="W452">
        <f>IF(OR($D452="",$B452="",Housemates!$B$12=""),0,IF($R452&gt;0,IF(J452="",0,IF(ISNUMBER(J452),J452,1)),IF($C452="Paying back",0,IF(AND(OR(Housemates!$C$12="",Housemates!$C$12&lt;=$B452),OR(Housemates!$D$12="",Housemates!$D$12&gt;=$B452)),IF($Q452=0,1,INDEX(Bills!$AE$6:$AE$25,$Q452)),0))))</f>
        <v/>
      </c>
      <c r="X452">
        <f>IF(OR($D452="",$B452="",Housemates!$B$13=""),0,IF($R452&gt;0,IF(K452="",0,IF(ISNUMBER(K452),K452,1)),IF($C452="Paying back",0,IF(AND(OR(Housemates!$C$13="",Housemates!$C$13&lt;=$B452),OR(Housemates!$D$13="",Housemates!$D$13&gt;=$B452)),IF($Q452=0,1,INDEX(Bills!$AF$6:$AF$25,$Q452)),0))))</f>
        <v/>
      </c>
      <c r="Y452">
        <f>IF(OR($D452="",$B452="",Housemates!$B$14=""),0,IF($R452&gt;0,IF(L452="",0,IF(ISNUMBER(L452),L452,1)),IF($C452="Paying back",0,IF(AND(OR(Housemates!$C$14="",Housemates!$C$14&lt;=$B452),OR(Housemates!$D$14="",Housemates!$D$14&gt;=$B452)),IF($Q452=0,1,INDEX(Bills!$AG$6:$AG$25,$Q452)),0))))</f>
        <v/>
      </c>
      <c r="Z452">
        <f>IF(OR($D452="",$B452="",Housemates!$B$15=""),0,IF($R452&gt;0,IF(M452="",0,IF(ISNUMBER(M452),M452,1)),IF($C452="Paying back",0,IF(AND(OR(Housemates!$C$15="",Housemates!$C$15&lt;=$B452),OR(Housemates!$D$15="",Housemates!$D$15&gt;=$B452)),IF($Q452=0,1,INDEX(Bills!$AH$6:$AH$25,$Q452)),0))))</f>
        <v/>
      </c>
      <c r="AA452">
        <f>SUM(S452:Z452)</f>
        <v/>
      </c>
      <c r="AB452">
        <f>IF(AA452=0,0,D452*S452/AA452)</f>
        <v/>
      </c>
      <c r="AC452">
        <f>IF(AA452=0,0,D452*T452/AA452)</f>
        <v/>
      </c>
      <c r="AD452">
        <f>IF(AA452=0,0,D452*U452/AA452)</f>
        <v/>
      </c>
      <c r="AE452">
        <f>IF(AA452=0,0,D452*V452/AA452)</f>
        <v/>
      </c>
      <c r="AF452">
        <f>IF(AA452=0,0,D452*W452/AA452)</f>
        <v/>
      </c>
      <c r="AG452">
        <f>IF(AA452=0,0,D452*X452/AA452)</f>
        <v/>
      </c>
      <c r="AH452">
        <f>IF(AA452=0,0,D452*Y452/AA452)</f>
        <v/>
      </c>
      <c r="AI452">
        <f>IF(AA452=0,0,D452*Z452/AA452)</f>
        <v/>
      </c>
      <c r="AJ452">
        <f>IF(OR(C452="",B452=""),"",C452&amp;"|"&amp;(YEAR(B452)*100+MONTH(B452)))</f>
        <v/>
      </c>
    </row>
    <row r="453">
      <c r="A453" s="1" t="n"/>
      <c r="B453" s="23" t="n"/>
      <c r="C453" s="24" t="n"/>
      <c r="D453" s="25" t="n"/>
      <c r="E453" s="26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1">
        <f>IF(D453="","",IF(B453="","No date",IF(AND(C453="Paying back",R453=0),"To whom?",IF(AA453=0,"Nobody",IF(C453="Paying back","To "&amp;INDEX(Housemates!$B$8:$B$15,MATCH(MAX(S453:Z453),S453:Z453,0)),IF(R453&gt;0,IF(COUNTIF(S453:Z453,"&gt;0")=1,"1 person",COUNTIF(S453:Z453,"&gt;0")&amp;" people"),IF(Q453=0,"Everyone",INDEX(Bills!$Q$6:$Q$25,Q453))))))))</f>
        <v/>
      </c>
      <c r="O453" s="18">
        <f>IF(D453="","",IF(C453="Paying back","Paying back",IF(Q453=0,"Other",IF(INDEX(Bills!$C$6:$C$25,Q453)="","Other",INDEX(Bills!$C$6:$C$25,Q453)))))</f>
        <v/>
      </c>
      <c r="P453" s="1" t="n"/>
      <c r="Q453">
        <f>IF(C453="",0,IFERROR(MATCH(C453,Bills!$B$6:$B$25,0),0))</f>
        <v/>
      </c>
      <c r="R453">
        <f>COUNTA(F453:M453)</f>
        <v/>
      </c>
      <c r="S453">
        <f>IF(OR($D453="",$B453="",Housemates!$B$8=""),0,IF($R453&gt;0,IF(F453="",0,IF(ISNUMBER(F453),F453,1)),IF($C453="Paying back",0,IF(AND(OR(Housemates!$C$8="",Housemates!$C$8&lt;=$B453),OR(Housemates!$D$8="",Housemates!$D$8&gt;=$B453)),IF($Q453=0,1,INDEX(Bills!$AA$6:$AA$25,$Q453)),0))))</f>
        <v/>
      </c>
      <c r="T453">
        <f>IF(OR($D453="",$B453="",Housemates!$B$9=""),0,IF($R453&gt;0,IF(G453="",0,IF(ISNUMBER(G453),G453,1)),IF($C453="Paying back",0,IF(AND(OR(Housemates!$C$9="",Housemates!$C$9&lt;=$B453),OR(Housemates!$D$9="",Housemates!$D$9&gt;=$B453)),IF($Q453=0,1,INDEX(Bills!$AB$6:$AB$25,$Q453)),0))))</f>
        <v/>
      </c>
      <c r="U453">
        <f>IF(OR($D453="",$B453="",Housemates!$B$10=""),0,IF($R453&gt;0,IF(H453="",0,IF(ISNUMBER(H453),H453,1)),IF($C453="Paying back",0,IF(AND(OR(Housemates!$C$10="",Housemates!$C$10&lt;=$B453),OR(Housemates!$D$10="",Housemates!$D$10&gt;=$B453)),IF($Q453=0,1,INDEX(Bills!$AC$6:$AC$25,$Q453)),0))))</f>
        <v/>
      </c>
      <c r="V453">
        <f>IF(OR($D453="",$B453="",Housemates!$B$11=""),0,IF($R453&gt;0,IF(I453="",0,IF(ISNUMBER(I453),I453,1)),IF($C453="Paying back",0,IF(AND(OR(Housemates!$C$11="",Housemates!$C$11&lt;=$B453),OR(Housemates!$D$11="",Housemates!$D$11&gt;=$B453)),IF($Q453=0,1,INDEX(Bills!$AD$6:$AD$25,$Q453)),0))))</f>
        <v/>
      </c>
      <c r="W453">
        <f>IF(OR($D453="",$B453="",Housemates!$B$12=""),0,IF($R453&gt;0,IF(J453="",0,IF(ISNUMBER(J453),J453,1)),IF($C453="Paying back",0,IF(AND(OR(Housemates!$C$12="",Housemates!$C$12&lt;=$B453),OR(Housemates!$D$12="",Housemates!$D$12&gt;=$B453)),IF($Q453=0,1,INDEX(Bills!$AE$6:$AE$25,$Q453)),0))))</f>
        <v/>
      </c>
      <c r="X453">
        <f>IF(OR($D453="",$B453="",Housemates!$B$13=""),0,IF($R453&gt;0,IF(K453="",0,IF(ISNUMBER(K453),K453,1)),IF($C453="Paying back",0,IF(AND(OR(Housemates!$C$13="",Housemates!$C$13&lt;=$B453),OR(Housemates!$D$13="",Housemates!$D$13&gt;=$B453)),IF($Q453=0,1,INDEX(Bills!$AF$6:$AF$25,$Q453)),0))))</f>
        <v/>
      </c>
      <c r="Y453">
        <f>IF(OR($D453="",$B453="",Housemates!$B$14=""),0,IF($R453&gt;0,IF(L453="",0,IF(ISNUMBER(L453),L453,1)),IF($C453="Paying back",0,IF(AND(OR(Housemates!$C$14="",Housemates!$C$14&lt;=$B453),OR(Housemates!$D$14="",Housemates!$D$14&gt;=$B453)),IF($Q453=0,1,INDEX(Bills!$AG$6:$AG$25,$Q453)),0))))</f>
        <v/>
      </c>
      <c r="Z453">
        <f>IF(OR($D453="",$B453="",Housemates!$B$15=""),0,IF($R453&gt;0,IF(M453="",0,IF(ISNUMBER(M453),M453,1)),IF($C453="Paying back",0,IF(AND(OR(Housemates!$C$15="",Housemates!$C$15&lt;=$B453),OR(Housemates!$D$15="",Housemates!$D$15&gt;=$B453)),IF($Q453=0,1,INDEX(Bills!$AH$6:$AH$25,$Q453)),0))))</f>
        <v/>
      </c>
      <c r="AA453">
        <f>SUM(S453:Z453)</f>
        <v/>
      </c>
      <c r="AB453">
        <f>IF(AA453=0,0,D453*S453/AA453)</f>
        <v/>
      </c>
      <c r="AC453">
        <f>IF(AA453=0,0,D453*T453/AA453)</f>
        <v/>
      </c>
      <c r="AD453">
        <f>IF(AA453=0,0,D453*U453/AA453)</f>
        <v/>
      </c>
      <c r="AE453">
        <f>IF(AA453=0,0,D453*V453/AA453)</f>
        <v/>
      </c>
      <c r="AF453">
        <f>IF(AA453=0,0,D453*W453/AA453)</f>
        <v/>
      </c>
      <c r="AG453">
        <f>IF(AA453=0,0,D453*X453/AA453)</f>
        <v/>
      </c>
      <c r="AH453">
        <f>IF(AA453=0,0,D453*Y453/AA453)</f>
        <v/>
      </c>
      <c r="AI453">
        <f>IF(AA453=0,0,D453*Z453/AA453)</f>
        <v/>
      </c>
      <c r="AJ453">
        <f>IF(OR(C453="",B453=""),"",C453&amp;"|"&amp;(YEAR(B453)*100+MONTH(B453)))</f>
        <v/>
      </c>
    </row>
    <row r="454">
      <c r="A454" s="1" t="n"/>
      <c r="B454" s="23" t="n"/>
      <c r="C454" s="24" t="n"/>
      <c r="D454" s="25" t="n"/>
      <c r="E454" s="26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1">
        <f>IF(D454="","",IF(B454="","No date",IF(AND(C454="Paying back",R454=0),"To whom?",IF(AA454=0,"Nobody",IF(C454="Paying back","To "&amp;INDEX(Housemates!$B$8:$B$15,MATCH(MAX(S454:Z454),S454:Z454,0)),IF(R454&gt;0,IF(COUNTIF(S454:Z454,"&gt;0")=1,"1 person",COUNTIF(S454:Z454,"&gt;0")&amp;" people"),IF(Q454=0,"Everyone",INDEX(Bills!$Q$6:$Q$25,Q454))))))))</f>
        <v/>
      </c>
      <c r="O454" s="18">
        <f>IF(D454="","",IF(C454="Paying back","Paying back",IF(Q454=0,"Other",IF(INDEX(Bills!$C$6:$C$25,Q454)="","Other",INDEX(Bills!$C$6:$C$25,Q454)))))</f>
        <v/>
      </c>
      <c r="P454" s="1" t="n"/>
      <c r="Q454">
        <f>IF(C454="",0,IFERROR(MATCH(C454,Bills!$B$6:$B$25,0),0))</f>
        <v/>
      </c>
      <c r="R454">
        <f>COUNTA(F454:M454)</f>
        <v/>
      </c>
      <c r="S454">
        <f>IF(OR($D454="",$B454="",Housemates!$B$8=""),0,IF($R454&gt;0,IF(F454="",0,IF(ISNUMBER(F454),F454,1)),IF($C454="Paying back",0,IF(AND(OR(Housemates!$C$8="",Housemates!$C$8&lt;=$B454),OR(Housemates!$D$8="",Housemates!$D$8&gt;=$B454)),IF($Q454=0,1,INDEX(Bills!$AA$6:$AA$25,$Q454)),0))))</f>
        <v/>
      </c>
      <c r="T454">
        <f>IF(OR($D454="",$B454="",Housemates!$B$9=""),0,IF($R454&gt;0,IF(G454="",0,IF(ISNUMBER(G454),G454,1)),IF($C454="Paying back",0,IF(AND(OR(Housemates!$C$9="",Housemates!$C$9&lt;=$B454),OR(Housemates!$D$9="",Housemates!$D$9&gt;=$B454)),IF($Q454=0,1,INDEX(Bills!$AB$6:$AB$25,$Q454)),0))))</f>
        <v/>
      </c>
      <c r="U454">
        <f>IF(OR($D454="",$B454="",Housemates!$B$10=""),0,IF($R454&gt;0,IF(H454="",0,IF(ISNUMBER(H454),H454,1)),IF($C454="Paying back",0,IF(AND(OR(Housemates!$C$10="",Housemates!$C$10&lt;=$B454),OR(Housemates!$D$10="",Housemates!$D$10&gt;=$B454)),IF($Q454=0,1,INDEX(Bills!$AC$6:$AC$25,$Q454)),0))))</f>
        <v/>
      </c>
      <c r="V454">
        <f>IF(OR($D454="",$B454="",Housemates!$B$11=""),0,IF($R454&gt;0,IF(I454="",0,IF(ISNUMBER(I454),I454,1)),IF($C454="Paying back",0,IF(AND(OR(Housemates!$C$11="",Housemates!$C$11&lt;=$B454),OR(Housemates!$D$11="",Housemates!$D$11&gt;=$B454)),IF($Q454=0,1,INDEX(Bills!$AD$6:$AD$25,$Q454)),0))))</f>
        <v/>
      </c>
      <c r="W454">
        <f>IF(OR($D454="",$B454="",Housemates!$B$12=""),0,IF($R454&gt;0,IF(J454="",0,IF(ISNUMBER(J454),J454,1)),IF($C454="Paying back",0,IF(AND(OR(Housemates!$C$12="",Housemates!$C$12&lt;=$B454),OR(Housemates!$D$12="",Housemates!$D$12&gt;=$B454)),IF($Q454=0,1,INDEX(Bills!$AE$6:$AE$25,$Q454)),0))))</f>
        <v/>
      </c>
      <c r="X454">
        <f>IF(OR($D454="",$B454="",Housemates!$B$13=""),0,IF($R454&gt;0,IF(K454="",0,IF(ISNUMBER(K454),K454,1)),IF($C454="Paying back",0,IF(AND(OR(Housemates!$C$13="",Housemates!$C$13&lt;=$B454),OR(Housemates!$D$13="",Housemates!$D$13&gt;=$B454)),IF($Q454=0,1,INDEX(Bills!$AF$6:$AF$25,$Q454)),0))))</f>
        <v/>
      </c>
      <c r="Y454">
        <f>IF(OR($D454="",$B454="",Housemates!$B$14=""),0,IF($R454&gt;0,IF(L454="",0,IF(ISNUMBER(L454),L454,1)),IF($C454="Paying back",0,IF(AND(OR(Housemates!$C$14="",Housemates!$C$14&lt;=$B454),OR(Housemates!$D$14="",Housemates!$D$14&gt;=$B454)),IF($Q454=0,1,INDEX(Bills!$AG$6:$AG$25,$Q454)),0))))</f>
        <v/>
      </c>
      <c r="Z454">
        <f>IF(OR($D454="",$B454="",Housemates!$B$15=""),0,IF($R454&gt;0,IF(M454="",0,IF(ISNUMBER(M454),M454,1)),IF($C454="Paying back",0,IF(AND(OR(Housemates!$C$15="",Housemates!$C$15&lt;=$B454),OR(Housemates!$D$15="",Housemates!$D$15&gt;=$B454)),IF($Q454=0,1,INDEX(Bills!$AH$6:$AH$25,$Q454)),0))))</f>
        <v/>
      </c>
      <c r="AA454">
        <f>SUM(S454:Z454)</f>
        <v/>
      </c>
      <c r="AB454">
        <f>IF(AA454=0,0,D454*S454/AA454)</f>
        <v/>
      </c>
      <c r="AC454">
        <f>IF(AA454=0,0,D454*T454/AA454)</f>
        <v/>
      </c>
      <c r="AD454">
        <f>IF(AA454=0,0,D454*U454/AA454)</f>
        <v/>
      </c>
      <c r="AE454">
        <f>IF(AA454=0,0,D454*V454/AA454)</f>
        <v/>
      </c>
      <c r="AF454">
        <f>IF(AA454=0,0,D454*W454/AA454)</f>
        <v/>
      </c>
      <c r="AG454">
        <f>IF(AA454=0,0,D454*X454/AA454)</f>
        <v/>
      </c>
      <c r="AH454">
        <f>IF(AA454=0,0,D454*Y454/AA454)</f>
        <v/>
      </c>
      <c r="AI454">
        <f>IF(AA454=0,0,D454*Z454/AA454)</f>
        <v/>
      </c>
      <c r="AJ454">
        <f>IF(OR(C454="",B454=""),"",C454&amp;"|"&amp;(YEAR(B454)*100+MONTH(B454)))</f>
        <v/>
      </c>
    </row>
    <row r="455">
      <c r="A455" s="1" t="n"/>
      <c r="B455" s="23" t="n"/>
      <c r="C455" s="24" t="n"/>
      <c r="D455" s="25" t="n"/>
      <c r="E455" s="26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1">
        <f>IF(D455="","",IF(B455="","No date",IF(AND(C455="Paying back",R455=0),"To whom?",IF(AA455=0,"Nobody",IF(C455="Paying back","To "&amp;INDEX(Housemates!$B$8:$B$15,MATCH(MAX(S455:Z455),S455:Z455,0)),IF(R455&gt;0,IF(COUNTIF(S455:Z455,"&gt;0")=1,"1 person",COUNTIF(S455:Z455,"&gt;0")&amp;" people"),IF(Q455=0,"Everyone",INDEX(Bills!$Q$6:$Q$25,Q455))))))))</f>
        <v/>
      </c>
      <c r="O455" s="18">
        <f>IF(D455="","",IF(C455="Paying back","Paying back",IF(Q455=0,"Other",IF(INDEX(Bills!$C$6:$C$25,Q455)="","Other",INDEX(Bills!$C$6:$C$25,Q455)))))</f>
        <v/>
      </c>
      <c r="P455" s="1" t="n"/>
      <c r="Q455">
        <f>IF(C455="",0,IFERROR(MATCH(C455,Bills!$B$6:$B$25,0),0))</f>
        <v/>
      </c>
      <c r="R455">
        <f>COUNTA(F455:M455)</f>
        <v/>
      </c>
      <c r="S455">
        <f>IF(OR($D455="",$B455="",Housemates!$B$8=""),0,IF($R455&gt;0,IF(F455="",0,IF(ISNUMBER(F455),F455,1)),IF($C455="Paying back",0,IF(AND(OR(Housemates!$C$8="",Housemates!$C$8&lt;=$B455),OR(Housemates!$D$8="",Housemates!$D$8&gt;=$B455)),IF($Q455=0,1,INDEX(Bills!$AA$6:$AA$25,$Q455)),0))))</f>
        <v/>
      </c>
      <c r="T455">
        <f>IF(OR($D455="",$B455="",Housemates!$B$9=""),0,IF($R455&gt;0,IF(G455="",0,IF(ISNUMBER(G455),G455,1)),IF($C455="Paying back",0,IF(AND(OR(Housemates!$C$9="",Housemates!$C$9&lt;=$B455),OR(Housemates!$D$9="",Housemates!$D$9&gt;=$B455)),IF($Q455=0,1,INDEX(Bills!$AB$6:$AB$25,$Q455)),0))))</f>
        <v/>
      </c>
      <c r="U455">
        <f>IF(OR($D455="",$B455="",Housemates!$B$10=""),0,IF($R455&gt;0,IF(H455="",0,IF(ISNUMBER(H455),H455,1)),IF($C455="Paying back",0,IF(AND(OR(Housemates!$C$10="",Housemates!$C$10&lt;=$B455),OR(Housemates!$D$10="",Housemates!$D$10&gt;=$B455)),IF($Q455=0,1,INDEX(Bills!$AC$6:$AC$25,$Q455)),0))))</f>
        <v/>
      </c>
      <c r="V455">
        <f>IF(OR($D455="",$B455="",Housemates!$B$11=""),0,IF($R455&gt;0,IF(I455="",0,IF(ISNUMBER(I455),I455,1)),IF($C455="Paying back",0,IF(AND(OR(Housemates!$C$11="",Housemates!$C$11&lt;=$B455),OR(Housemates!$D$11="",Housemates!$D$11&gt;=$B455)),IF($Q455=0,1,INDEX(Bills!$AD$6:$AD$25,$Q455)),0))))</f>
        <v/>
      </c>
      <c r="W455">
        <f>IF(OR($D455="",$B455="",Housemates!$B$12=""),0,IF($R455&gt;0,IF(J455="",0,IF(ISNUMBER(J455),J455,1)),IF($C455="Paying back",0,IF(AND(OR(Housemates!$C$12="",Housemates!$C$12&lt;=$B455),OR(Housemates!$D$12="",Housemates!$D$12&gt;=$B455)),IF($Q455=0,1,INDEX(Bills!$AE$6:$AE$25,$Q455)),0))))</f>
        <v/>
      </c>
      <c r="X455">
        <f>IF(OR($D455="",$B455="",Housemates!$B$13=""),0,IF($R455&gt;0,IF(K455="",0,IF(ISNUMBER(K455),K455,1)),IF($C455="Paying back",0,IF(AND(OR(Housemates!$C$13="",Housemates!$C$13&lt;=$B455),OR(Housemates!$D$13="",Housemates!$D$13&gt;=$B455)),IF($Q455=0,1,INDEX(Bills!$AF$6:$AF$25,$Q455)),0))))</f>
        <v/>
      </c>
      <c r="Y455">
        <f>IF(OR($D455="",$B455="",Housemates!$B$14=""),0,IF($R455&gt;0,IF(L455="",0,IF(ISNUMBER(L455),L455,1)),IF($C455="Paying back",0,IF(AND(OR(Housemates!$C$14="",Housemates!$C$14&lt;=$B455),OR(Housemates!$D$14="",Housemates!$D$14&gt;=$B455)),IF($Q455=0,1,INDEX(Bills!$AG$6:$AG$25,$Q455)),0))))</f>
        <v/>
      </c>
      <c r="Z455">
        <f>IF(OR($D455="",$B455="",Housemates!$B$15=""),0,IF($R455&gt;0,IF(M455="",0,IF(ISNUMBER(M455),M455,1)),IF($C455="Paying back",0,IF(AND(OR(Housemates!$C$15="",Housemates!$C$15&lt;=$B455),OR(Housemates!$D$15="",Housemates!$D$15&gt;=$B455)),IF($Q455=0,1,INDEX(Bills!$AH$6:$AH$25,$Q455)),0))))</f>
        <v/>
      </c>
      <c r="AA455">
        <f>SUM(S455:Z455)</f>
        <v/>
      </c>
      <c r="AB455">
        <f>IF(AA455=0,0,D455*S455/AA455)</f>
        <v/>
      </c>
      <c r="AC455">
        <f>IF(AA455=0,0,D455*T455/AA455)</f>
        <v/>
      </c>
      <c r="AD455">
        <f>IF(AA455=0,0,D455*U455/AA455)</f>
        <v/>
      </c>
      <c r="AE455">
        <f>IF(AA455=0,0,D455*V455/AA455)</f>
        <v/>
      </c>
      <c r="AF455">
        <f>IF(AA455=0,0,D455*W455/AA455)</f>
        <v/>
      </c>
      <c r="AG455">
        <f>IF(AA455=0,0,D455*X455/AA455)</f>
        <v/>
      </c>
      <c r="AH455">
        <f>IF(AA455=0,0,D455*Y455/AA455)</f>
        <v/>
      </c>
      <c r="AI455">
        <f>IF(AA455=0,0,D455*Z455/AA455)</f>
        <v/>
      </c>
      <c r="AJ455">
        <f>IF(OR(C455="",B455=""),"",C455&amp;"|"&amp;(YEAR(B455)*100+MONTH(B455)))</f>
        <v/>
      </c>
    </row>
    <row r="456">
      <c r="A456" s="1" t="n"/>
      <c r="B456" s="23" t="n"/>
      <c r="C456" s="24" t="n"/>
      <c r="D456" s="25" t="n"/>
      <c r="E456" s="26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1">
        <f>IF(D456="","",IF(B456="","No date",IF(AND(C456="Paying back",R456=0),"To whom?",IF(AA456=0,"Nobody",IF(C456="Paying back","To "&amp;INDEX(Housemates!$B$8:$B$15,MATCH(MAX(S456:Z456),S456:Z456,0)),IF(R456&gt;0,IF(COUNTIF(S456:Z456,"&gt;0")=1,"1 person",COUNTIF(S456:Z456,"&gt;0")&amp;" people"),IF(Q456=0,"Everyone",INDEX(Bills!$Q$6:$Q$25,Q456))))))))</f>
        <v/>
      </c>
      <c r="O456" s="18">
        <f>IF(D456="","",IF(C456="Paying back","Paying back",IF(Q456=0,"Other",IF(INDEX(Bills!$C$6:$C$25,Q456)="","Other",INDEX(Bills!$C$6:$C$25,Q456)))))</f>
        <v/>
      </c>
      <c r="P456" s="1" t="n"/>
      <c r="Q456">
        <f>IF(C456="",0,IFERROR(MATCH(C456,Bills!$B$6:$B$25,0),0))</f>
        <v/>
      </c>
      <c r="R456">
        <f>COUNTA(F456:M456)</f>
        <v/>
      </c>
      <c r="S456">
        <f>IF(OR($D456="",$B456="",Housemates!$B$8=""),0,IF($R456&gt;0,IF(F456="",0,IF(ISNUMBER(F456),F456,1)),IF($C456="Paying back",0,IF(AND(OR(Housemates!$C$8="",Housemates!$C$8&lt;=$B456),OR(Housemates!$D$8="",Housemates!$D$8&gt;=$B456)),IF($Q456=0,1,INDEX(Bills!$AA$6:$AA$25,$Q456)),0))))</f>
        <v/>
      </c>
      <c r="T456">
        <f>IF(OR($D456="",$B456="",Housemates!$B$9=""),0,IF($R456&gt;0,IF(G456="",0,IF(ISNUMBER(G456),G456,1)),IF($C456="Paying back",0,IF(AND(OR(Housemates!$C$9="",Housemates!$C$9&lt;=$B456),OR(Housemates!$D$9="",Housemates!$D$9&gt;=$B456)),IF($Q456=0,1,INDEX(Bills!$AB$6:$AB$25,$Q456)),0))))</f>
        <v/>
      </c>
      <c r="U456">
        <f>IF(OR($D456="",$B456="",Housemates!$B$10=""),0,IF($R456&gt;0,IF(H456="",0,IF(ISNUMBER(H456),H456,1)),IF($C456="Paying back",0,IF(AND(OR(Housemates!$C$10="",Housemates!$C$10&lt;=$B456),OR(Housemates!$D$10="",Housemates!$D$10&gt;=$B456)),IF($Q456=0,1,INDEX(Bills!$AC$6:$AC$25,$Q456)),0))))</f>
        <v/>
      </c>
      <c r="V456">
        <f>IF(OR($D456="",$B456="",Housemates!$B$11=""),0,IF($R456&gt;0,IF(I456="",0,IF(ISNUMBER(I456),I456,1)),IF($C456="Paying back",0,IF(AND(OR(Housemates!$C$11="",Housemates!$C$11&lt;=$B456),OR(Housemates!$D$11="",Housemates!$D$11&gt;=$B456)),IF($Q456=0,1,INDEX(Bills!$AD$6:$AD$25,$Q456)),0))))</f>
        <v/>
      </c>
      <c r="W456">
        <f>IF(OR($D456="",$B456="",Housemates!$B$12=""),0,IF($R456&gt;0,IF(J456="",0,IF(ISNUMBER(J456),J456,1)),IF($C456="Paying back",0,IF(AND(OR(Housemates!$C$12="",Housemates!$C$12&lt;=$B456),OR(Housemates!$D$12="",Housemates!$D$12&gt;=$B456)),IF($Q456=0,1,INDEX(Bills!$AE$6:$AE$25,$Q456)),0))))</f>
        <v/>
      </c>
      <c r="X456">
        <f>IF(OR($D456="",$B456="",Housemates!$B$13=""),0,IF($R456&gt;0,IF(K456="",0,IF(ISNUMBER(K456),K456,1)),IF($C456="Paying back",0,IF(AND(OR(Housemates!$C$13="",Housemates!$C$13&lt;=$B456),OR(Housemates!$D$13="",Housemates!$D$13&gt;=$B456)),IF($Q456=0,1,INDEX(Bills!$AF$6:$AF$25,$Q456)),0))))</f>
        <v/>
      </c>
      <c r="Y456">
        <f>IF(OR($D456="",$B456="",Housemates!$B$14=""),0,IF($R456&gt;0,IF(L456="",0,IF(ISNUMBER(L456),L456,1)),IF($C456="Paying back",0,IF(AND(OR(Housemates!$C$14="",Housemates!$C$14&lt;=$B456),OR(Housemates!$D$14="",Housemates!$D$14&gt;=$B456)),IF($Q456=0,1,INDEX(Bills!$AG$6:$AG$25,$Q456)),0))))</f>
        <v/>
      </c>
      <c r="Z456">
        <f>IF(OR($D456="",$B456="",Housemates!$B$15=""),0,IF($R456&gt;0,IF(M456="",0,IF(ISNUMBER(M456),M456,1)),IF($C456="Paying back",0,IF(AND(OR(Housemates!$C$15="",Housemates!$C$15&lt;=$B456),OR(Housemates!$D$15="",Housemates!$D$15&gt;=$B456)),IF($Q456=0,1,INDEX(Bills!$AH$6:$AH$25,$Q456)),0))))</f>
        <v/>
      </c>
      <c r="AA456">
        <f>SUM(S456:Z456)</f>
        <v/>
      </c>
      <c r="AB456">
        <f>IF(AA456=0,0,D456*S456/AA456)</f>
        <v/>
      </c>
      <c r="AC456">
        <f>IF(AA456=0,0,D456*T456/AA456)</f>
        <v/>
      </c>
      <c r="AD456">
        <f>IF(AA456=0,0,D456*U456/AA456)</f>
        <v/>
      </c>
      <c r="AE456">
        <f>IF(AA456=0,0,D456*V456/AA456)</f>
        <v/>
      </c>
      <c r="AF456">
        <f>IF(AA456=0,0,D456*W456/AA456)</f>
        <v/>
      </c>
      <c r="AG456">
        <f>IF(AA456=0,0,D456*X456/AA456)</f>
        <v/>
      </c>
      <c r="AH456">
        <f>IF(AA456=0,0,D456*Y456/AA456)</f>
        <v/>
      </c>
      <c r="AI456">
        <f>IF(AA456=0,0,D456*Z456/AA456)</f>
        <v/>
      </c>
      <c r="AJ456">
        <f>IF(OR(C456="",B456=""),"",C456&amp;"|"&amp;(YEAR(B456)*100+MONTH(B456)))</f>
        <v/>
      </c>
    </row>
    <row r="457">
      <c r="A457" s="1" t="n"/>
      <c r="B457" s="23" t="n"/>
      <c r="C457" s="24" t="n"/>
      <c r="D457" s="25" t="n"/>
      <c r="E457" s="26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1">
        <f>IF(D457="","",IF(B457="","No date",IF(AND(C457="Paying back",R457=0),"To whom?",IF(AA457=0,"Nobody",IF(C457="Paying back","To "&amp;INDEX(Housemates!$B$8:$B$15,MATCH(MAX(S457:Z457),S457:Z457,0)),IF(R457&gt;0,IF(COUNTIF(S457:Z457,"&gt;0")=1,"1 person",COUNTIF(S457:Z457,"&gt;0")&amp;" people"),IF(Q457=0,"Everyone",INDEX(Bills!$Q$6:$Q$25,Q457))))))))</f>
        <v/>
      </c>
      <c r="O457" s="18">
        <f>IF(D457="","",IF(C457="Paying back","Paying back",IF(Q457=0,"Other",IF(INDEX(Bills!$C$6:$C$25,Q457)="","Other",INDEX(Bills!$C$6:$C$25,Q457)))))</f>
        <v/>
      </c>
      <c r="P457" s="1" t="n"/>
      <c r="Q457">
        <f>IF(C457="",0,IFERROR(MATCH(C457,Bills!$B$6:$B$25,0),0))</f>
        <v/>
      </c>
      <c r="R457">
        <f>COUNTA(F457:M457)</f>
        <v/>
      </c>
      <c r="S457">
        <f>IF(OR($D457="",$B457="",Housemates!$B$8=""),0,IF($R457&gt;0,IF(F457="",0,IF(ISNUMBER(F457),F457,1)),IF($C457="Paying back",0,IF(AND(OR(Housemates!$C$8="",Housemates!$C$8&lt;=$B457),OR(Housemates!$D$8="",Housemates!$D$8&gt;=$B457)),IF($Q457=0,1,INDEX(Bills!$AA$6:$AA$25,$Q457)),0))))</f>
        <v/>
      </c>
      <c r="T457">
        <f>IF(OR($D457="",$B457="",Housemates!$B$9=""),0,IF($R457&gt;0,IF(G457="",0,IF(ISNUMBER(G457),G457,1)),IF($C457="Paying back",0,IF(AND(OR(Housemates!$C$9="",Housemates!$C$9&lt;=$B457),OR(Housemates!$D$9="",Housemates!$D$9&gt;=$B457)),IF($Q457=0,1,INDEX(Bills!$AB$6:$AB$25,$Q457)),0))))</f>
        <v/>
      </c>
      <c r="U457">
        <f>IF(OR($D457="",$B457="",Housemates!$B$10=""),0,IF($R457&gt;0,IF(H457="",0,IF(ISNUMBER(H457),H457,1)),IF($C457="Paying back",0,IF(AND(OR(Housemates!$C$10="",Housemates!$C$10&lt;=$B457),OR(Housemates!$D$10="",Housemates!$D$10&gt;=$B457)),IF($Q457=0,1,INDEX(Bills!$AC$6:$AC$25,$Q457)),0))))</f>
        <v/>
      </c>
      <c r="V457">
        <f>IF(OR($D457="",$B457="",Housemates!$B$11=""),0,IF($R457&gt;0,IF(I457="",0,IF(ISNUMBER(I457),I457,1)),IF($C457="Paying back",0,IF(AND(OR(Housemates!$C$11="",Housemates!$C$11&lt;=$B457),OR(Housemates!$D$11="",Housemates!$D$11&gt;=$B457)),IF($Q457=0,1,INDEX(Bills!$AD$6:$AD$25,$Q457)),0))))</f>
        <v/>
      </c>
      <c r="W457">
        <f>IF(OR($D457="",$B457="",Housemates!$B$12=""),0,IF($R457&gt;0,IF(J457="",0,IF(ISNUMBER(J457),J457,1)),IF($C457="Paying back",0,IF(AND(OR(Housemates!$C$12="",Housemates!$C$12&lt;=$B457),OR(Housemates!$D$12="",Housemates!$D$12&gt;=$B457)),IF($Q457=0,1,INDEX(Bills!$AE$6:$AE$25,$Q457)),0))))</f>
        <v/>
      </c>
      <c r="X457">
        <f>IF(OR($D457="",$B457="",Housemates!$B$13=""),0,IF($R457&gt;0,IF(K457="",0,IF(ISNUMBER(K457),K457,1)),IF($C457="Paying back",0,IF(AND(OR(Housemates!$C$13="",Housemates!$C$13&lt;=$B457),OR(Housemates!$D$13="",Housemates!$D$13&gt;=$B457)),IF($Q457=0,1,INDEX(Bills!$AF$6:$AF$25,$Q457)),0))))</f>
        <v/>
      </c>
      <c r="Y457">
        <f>IF(OR($D457="",$B457="",Housemates!$B$14=""),0,IF($R457&gt;0,IF(L457="",0,IF(ISNUMBER(L457),L457,1)),IF($C457="Paying back",0,IF(AND(OR(Housemates!$C$14="",Housemates!$C$14&lt;=$B457),OR(Housemates!$D$14="",Housemates!$D$14&gt;=$B457)),IF($Q457=0,1,INDEX(Bills!$AG$6:$AG$25,$Q457)),0))))</f>
        <v/>
      </c>
      <c r="Z457">
        <f>IF(OR($D457="",$B457="",Housemates!$B$15=""),0,IF($R457&gt;0,IF(M457="",0,IF(ISNUMBER(M457),M457,1)),IF($C457="Paying back",0,IF(AND(OR(Housemates!$C$15="",Housemates!$C$15&lt;=$B457),OR(Housemates!$D$15="",Housemates!$D$15&gt;=$B457)),IF($Q457=0,1,INDEX(Bills!$AH$6:$AH$25,$Q457)),0))))</f>
        <v/>
      </c>
      <c r="AA457">
        <f>SUM(S457:Z457)</f>
        <v/>
      </c>
      <c r="AB457">
        <f>IF(AA457=0,0,D457*S457/AA457)</f>
        <v/>
      </c>
      <c r="AC457">
        <f>IF(AA457=0,0,D457*T457/AA457)</f>
        <v/>
      </c>
      <c r="AD457">
        <f>IF(AA457=0,0,D457*U457/AA457)</f>
        <v/>
      </c>
      <c r="AE457">
        <f>IF(AA457=0,0,D457*V457/AA457)</f>
        <v/>
      </c>
      <c r="AF457">
        <f>IF(AA457=0,0,D457*W457/AA457)</f>
        <v/>
      </c>
      <c r="AG457">
        <f>IF(AA457=0,0,D457*X457/AA457)</f>
        <v/>
      </c>
      <c r="AH457">
        <f>IF(AA457=0,0,D457*Y457/AA457)</f>
        <v/>
      </c>
      <c r="AI457">
        <f>IF(AA457=0,0,D457*Z457/AA457)</f>
        <v/>
      </c>
      <c r="AJ457">
        <f>IF(OR(C457="",B457=""),"",C457&amp;"|"&amp;(YEAR(B457)*100+MONTH(B457)))</f>
        <v/>
      </c>
    </row>
    <row r="458">
      <c r="A458" s="1" t="n"/>
      <c r="B458" s="23" t="n"/>
      <c r="C458" s="24" t="n"/>
      <c r="D458" s="25" t="n"/>
      <c r="E458" s="26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1">
        <f>IF(D458="","",IF(B458="","No date",IF(AND(C458="Paying back",R458=0),"To whom?",IF(AA458=0,"Nobody",IF(C458="Paying back","To "&amp;INDEX(Housemates!$B$8:$B$15,MATCH(MAX(S458:Z458),S458:Z458,0)),IF(R458&gt;0,IF(COUNTIF(S458:Z458,"&gt;0")=1,"1 person",COUNTIF(S458:Z458,"&gt;0")&amp;" people"),IF(Q458=0,"Everyone",INDEX(Bills!$Q$6:$Q$25,Q458))))))))</f>
        <v/>
      </c>
      <c r="O458" s="18">
        <f>IF(D458="","",IF(C458="Paying back","Paying back",IF(Q458=0,"Other",IF(INDEX(Bills!$C$6:$C$25,Q458)="","Other",INDEX(Bills!$C$6:$C$25,Q458)))))</f>
        <v/>
      </c>
      <c r="P458" s="1" t="n"/>
      <c r="Q458">
        <f>IF(C458="",0,IFERROR(MATCH(C458,Bills!$B$6:$B$25,0),0))</f>
        <v/>
      </c>
      <c r="R458">
        <f>COUNTA(F458:M458)</f>
        <v/>
      </c>
      <c r="S458">
        <f>IF(OR($D458="",$B458="",Housemates!$B$8=""),0,IF($R458&gt;0,IF(F458="",0,IF(ISNUMBER(F458),F458,1)),IF($C458="Paying back",0,IF(AND(OR(Housemates!$C$8="",Housemates!$C$8&lt;=$B458),OR(Housemates!$D$8="",Housemates!$D$8&gt;=$B458)),IF($Q458=0,1,INDEX(Bills!$AA$6:$AA$25,$Q458)),0))))</f>
        <v/>
      </c>
      <c r="T458">
        <f>IF(OR($D458="",$B458="",Housemates!$B$9=""),0,IF($R458&gt;0,IF(G458="",0,IF(ISNUMBER(G458),G458,1)),IF($C458="Paying back",0,IF(AND(OR(Housemates!$C$9="",Housemates!$C$9&lt;=$B458),OR(Housemates!$D$9="",Housemates!$D$9&gt;=$B458)),IF($Q458=0,1,INDEX(Bills!$AB$6:$AB$25,$Q458)),0))))</f>
        <v/>
      </c>
      <c r="U458">
        <f>IF(OR($D458="",$B458="",Housemates!$B$10=""),0,IF($R458&gt;0,IF(H458="",0,IF(ISNUMBER(H458),H458,1)),IF($C458="Paying back",0,IF(AND(OR(Housemates!$C$10="",Housemates!$C$10&lt;=$B458),OR(Housemates!$D$10="",Housemates!$D$10&gt;=$B458)),IF($Q458=0,1,INDEX(Bills!$AC$6:$AC$25,$Q458)),0))))</f>
        <v/>
      </c>
      <c r="V458">
        <f>IF(OR($D458="",$B458="",Housemates!$B$11=""),0,IF($R458&gt;0,IF(I458="",0,IF(ISNUMBER(I458),I458,1)),IF($C458="Paying back",0,IF(AND(OR(Housemates!$C$11="",Housemates!$C$11&lt;=$B458),OR(Housemates!$D$11="",Housemates!$D$11&gt;=$B458)),IF($Q458=0,1,INDEX(Bills!$AD$6:$AD$25,$Q458)),0))))</f>
        <v/>
      </c>
      <c r="W458">
        <f>IF(OR($D458="",$B458="",Housemates!$B$12=""),0,IF($R458&gt;0,IF(J458="",0,IF(ISNUMBER(J458),J458,1)),IF($C458="Paying back",0,IF(AND(OR(Housemates!$C$12="",Housemates!$C$12&lt;=$B458),OR(Housemates!$D$12="",Housemates!$D$12&gt;=$B458)),IF($Q458=0,1,INDEX(Bills!$AE$6:$AE$25,$Q458)),0))))</f>
        <v/>
      </c>
      <c r="X458">
        <f>IF(OR($D458="",$B458="",Housemates!$B$13=""),0,IF($R458&gt;0,IF(K458="",0,IF(ISNUMBER(K458),K458,1)),IF($C458="Paying back",0,IF(AND(OR(Housemates!$C$13="",Housemates!$C$13&lt;=$B458),OR(Housemates!$D$13="",Housemates!$D$13&gt;=$B458)),IF($Q458=0,1,INDEX(Bills!$AF$6:$AF$25,$Q458)),0))))</f>
        <v/>
      </c>
      <c r="Y458">
        <f>IF(OR($D458="",$B458="",Housemates!$B$14=""),0,IF($R458&gt;0,IF(L458="",0,IF(ISNUMBER(L458),L458,1)),IF($C458="Paying back",0,IF(AND(OR(Housemates!$C$14="",Housemates!$C$14&lt;=$B458),OR(Housemates!$D$14="",Housemates!$D$14&gt;=$B458)),IF($Q458=0,1,INDEX(Bills!$AG$6:$AG$25,$Q458)),0))))</f>
        <v/>
      </c>
      <c r="Z458">
        <f>IF(OR($D458="",$B458="",Housemates!$B$15=""),0,IF($R458&gt;0,IF(M458="",0,IF(ISNUMBER(M458),M458,1)),IF($C458="Paying back",0,IF(AND(OR(Housemates!$C$15="",Housemates!$C$15&lt;=$B458),OR(Housemates!$D$15="",Housemates!$D$15&gt;=$B458)),IF($Q458=0,1,INDEX(Bills!$AH$6:$AH$25,$Q458)),0))))</f>
        <v/>
      </c>
      <c r="AA458">
        <f>SUM(S458:Z458)</f>
        <v/>
      </c>
      <c r="AB458">
        <f>IF(AA458=0,0,D458*S458/AA458)</f>
        <v/>
      </c>
      <c r="AC458">
        <f>IF(AA458=0,0,D458*T458/AA458)</f>
        <v/>
      </c>
      <c r="AD458">
        <f>IF(AA458=0,0,D458*U458/AA458)</f>
        <v/>
      </c>
      <c r="AE458">
        <f>IF(AA458=0,0,D458*V458/AA458)</f>
        <v/>
      </c>
      <c r="AF458">
        <f>IF(AA458=0,0,D458*W458/AA458)</f>
        <v/>
      </c>
      <c r="AG458">
        <f>IF(AA458=0,0,D458*X458/AA458)</f>
        <v/>
      </c>
      <c r="AH458">
        <f>IF(AA458=0,0,D458*Y458/AA458)</f>
        <v/>
      </c>
      <c r="AI458">
        <f>IF(AA458=0,0,D458*Z458/AA458)</f>
        <v/>
      </c>
      <c r="AJ458">
        <f>IF(OR(C458="",B458=""),"",C458&amp;"|"&amp;(YEAR(B458)*100+MONTH(B458)))</f>
        <v/>
      </c>
    </row>
    <row r="459">
      <c r="A459" s="1" t="n"/>
      <c r="B459" s="23" t="n"/>
      <c r="C459" s="24" t="n"/>
      <c r="D459" s="25" t="n"/>
      <c r="E459" s="26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1">
        <f>IF(D459="","",IF(B459="","No date",IF(AND(C459="Paying back",R459=0),"To whom?",IF(AA459=0,"Nobody",IF(C459="Paying back","To "&amp;INDEX(Housemates!$B$8:$B$15,MATCH(MAX(S459:Z459),S459:Z459,0)),IF(R459&gt;0,IF(COUNTIF(S459:Z459,"&gt;0")=1,"1 person",COUNTIF(S459:Z459,"&gt;0")&amp;" people"),IF(Q459=0,"Everyone",INDEX(Bills!$Q$6:$Q$25,Q459))))))))</f>
        <v/>
      </c>
      <c r="O459" s="18">
        <f>IF(D459="","",IF(C459="Paying back","Paying back",IF(Q459=0,"Other",IF(INDEX(Bills!$C$6:$C$25,Q459)="","Other",INDEX(Bills!$C$6:$C$25,Q459)))))</f>
        <v/>
      </c>
      <c r="P459" s="1" t="n"/>
      <c r="Q459">
        <f>IF(C459="",0,IFERROR(MATCH(C459,Bills!$B$6:$B$25,0),0))</f>
        <v/>
      </c>
      <c r="R459">
        <f>COUNTA(F459:M459)</f>
        <v/>
      </c>
      <c r="S459">
        <f>IF(OR($D459="",$B459="",Housemates!$B$8=""),0,IF($R459&gt;0,IF(F459="",0,IF(ISNUMBER(F459),F459,1)),IF($C459="Paying back",0,IF(AND(OR(Housemates!$C$8="",Housemates!$C$8&lt;=$B459),OR(Housemates!$D$8="",Housemates!$D$8&gt;=$B459)),IF($Q459=0,1,INDEX(Bills!$AA$6:$AA$25,$Q459)),0))))</f>
        <v/>
      </c>
      <c r="T459">
        <f>IF(OR($D459="",$B459="",Housemates!$B$9=""),0,IF($R459&gt;0,IF(G459="",0,IF(ISNUMBER(G459),G459,1)),IF($C459="Paying back",0,IF(AND(OR(Housemates!$C$9="",Housemates!$C$9&lt;=$B459),OR(Housemates!$D$9="",Housemates!$D$9&gt;=$B459)),IF($Q459=0,1,INDEX(Bills!$AB$6:$AB$25,$Q459)),0))))</f>
        <v/>
      </c>
      <c r="U459">
        <f>IF(OR($D459="",$B459="",Housemates!$B$10=""),0,IF($R459&gt;0,IF(H459="",0,IF(ISNUMBER(H459),H459,1)),IF($C459="Paying back",0,IF(AND(OR(Housemates!$C$10="",Housemates!$C$10&lt;=$B459),OR(Housemates!$D$10="",Housemates!$D$10&gt;=$B459)),IF($Q459=0,1,INDEX(Bills!$AC$6:$AC$25,$Q459)),0))))</f>
        <v/>
      </c>
      <c r="V459">
        <f>IF(OR($D459="",$B459="",Housemates!$B$11=""),0,IF($R459&gt;0,IF(I459="",0,IF(ISNUMBER(I459),I459,1)),IF($C459="Paying back",0,IF(AND(OR(Housemates!$C$11="",Housemates!$C$11&lt;=$B459),OR(Housemates!$D$11="",Housemates!$D$11&gt;=$B459)),IF($Q459=0,1,INDEX(Bills!$AD$6:$AD$25,$Q459)),0))))</f>
        <v/>
      </c>
      <c r="W459">
        <f>IF(OR($D459="",$B459="",Housemates!$B$12=""),0,IF($R459&gt;0,IF(J459="",0,IF(ISNUMBER(J459),J459,1)),IF($C459="Paying back",0,IF(AND(OR(Housemates!$C$12="",Housemates!$C$12&lt;=$B459),OR(Housemates!$D$12="",Housemates!$D$12&gt;=$B459)),IF($Q459=0,1,INDEX(Bills!$AE$6:$AE$25,$Q459)),0))))</f>
        <v/>
      </c>
      <c r="X459">
        <f>IF(OR($D459="",$B459="",Housemates!$B$13=""),0,IF($R459&gt;0,IF(K459="",0,IF(ISNUMBER(K459),K459,1)),IF($C459="Paying back",0,IF(AND(OR(Housemates!$C$13="",Housemates!$C$13&lt;=$B459),OR(Housemates!$D$13="",Housemates!$D$13&gt;=$B459)),IF($Q459=0,1,INDEX(Bills!$AF$6:$AF$25,$Q459)),0))))</f>
        <v/>
      </c>
      <c r="Y459">
        <f>IF(OR($D459="",$B459="",Housemates!$B$14=""),0,IF($R459&gt;0,IF(L459="",0,IF(ISNUMBER(L459),L459,1)),IF($C459="Paying back",0,IF(AND(OR(Housemates!$C$14="",Housemates!$C$14&lt;=$B459),OR(Housemates!$D$14="",Housemates!$D$14&gt;=$B459)),IF($Q459=0,1,INDEX(Bills!$AG$6:$AG$25,$Q459)),0))))</f>
        <v/>
      </c>
      <c r="Z459">
        <f>IF(OR($D459="",$B459="",Housemates!$B$15=""),0,IF($R459&gt;0,IF(M459="",0,IF(ISNUMBER(M459),M459,1)),IF($C459="Paying back",0,IF(AND(OR(Housemates!$C$15="",Housemates!$C$15&lt;=$B459),OR(Housemates!$D$15="",Housemates!$D$15&gt;=$B459)),IF($Q459=0,1,INDEX(Bills!$AH$6:$AH$25,$Q459)),0))))</f>
        <v/>
      </c>
      <c r="AA459">
        <f>SUM(S459:Z459)</f>
        <v/>
      </c>
      <c r="AB459">
        <f>IF(AA459=0,0,D459*S459/AA459)</f>
        <v/>
      </c>
      <c r="AC459">
        <f>IF(AA459=0,0,D459*T459/AA459)</f>
        <v/>
      </c>
      <c r="AD459">
        <f>IF(AA459=0,0,D459*U459/AA459)</f>
        <v/>
      </c>
      <c r="AE459">
        <f>IF(AA459=0,0,D459*V459/AA459)</f>
        <v/>
      </c>
      <c r="AF459">
        <f>IF(AA459=0,0,D459*W459/AA459)</f>
        <v/>
      </c>
      <c r="AG459">
        <f>IF(AA459=0,0,D459*X459/AA459)</f>
        <v/>
      </c>
      <c r="AH459">
        <f>IF(AA459=0,0,D459*Y459/AA459)</f>
        <v/>
      </c>
      <c r="AI459">
        <f>IF(AA459=0,0,D459*Z459/AA459)</f>
        <v/>
      </c>
      <c r="AJ459">
        <f>IF(OR(C459="",B459=""),"",C459&amp;"|"&amp;(YEAR(B459)*100+MONTH(B459)))</f>
        <v/>
      </c>
    </row>
    <row r="460">
      <c r="A460" s="1" t="n"/>
      <c r="B460" s="23" t="n"/>
      <c r="C460" s="24" t="n"/>
      <c r="D460" s="25" t="n"/>
      <c r="E460" s="26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1">
        <f>IF(D460="","",IF(B460="","No date",IF(AND(C460="Paying back",R460=0),"To whom?",IF(AA460=0,"Nobody",IF(C460="Paying back","To "&amp;INDEX(Housemates!$B$8:$B$15,MATCH(MAX(S460:Z460),S460:Z460,0)),IF(R460&gt;0,IF(COUNTIF(S460:Z460,"&gt;0")=1,"1 person",COUNTIF(S460:Z460,"&gt;0")&amp;" people"),IF(Q460=0,"Everyone",INDEX(Bills!$Q$6:$Q$25,Q460))))))))</f>
        <v/>
      </c>
      <c r="O460" s="18">
        <f>IF(D460="","",IF(C460="Paying back","Paying back",IF(Q460=0,"Other",IF(INDEX(Bills!$C$6:$C$25,Q460)="","Other",INDEX(Bills!$C$6:$C$25,Q460)))))</f>
        <v/>
      </c>
      <c r="P460" s="1" t="n"/>
      <c r="Q460">
        <f>IF(C460="",0,IFERROR(MATCH(C460,Bills!$B$6:$B$25,0),0))</f>
        <v/>
      </c>
      <c r="R460">
        <f>COUNTA(F460:M460)</f>
        <v/>
      </c>
      <c r="S460">
        <f>IF(OR($D460="",$B460="",Housemates!$B$8=""),0,IF($R460&gt;0,IF(F460="",0,IF(ISNUMBER(F460),F460,1)),IF($C460="Paying back",0,IF(AND(OR(Housemates!$C$8="",Housemates!$C$8&lt;=$B460),OR(Housemates!$D$8="",Housemates!$D$8&gt;=$B460)),IF($Q460=0,1,INDEX(Bills!$AA$6:$AA$25,$Q460)),0))))</f>
        <v/>
      </c>
      <c r="T460">
        <f>IF(OR($D460="",$B460="",Housemates!$B$9=""),0,IF($R460&gt;0,IF(G460="",0,IF(ISNUMBER(G460),G460,1)),IF($C460="Paying back",0,IF(AND(OR(Housemates!$C$9="",Housemates!$C$9&lt;=$B460),OR(Housemates!$D$9="",Housemates!$D$9&gt;=$B460)),IF($Q460=0,1,INDEX(Bills!$AB$6:$AB$25,$Q460)),0))))</f>
        <v/>
      </c>
      <c r="U460">
        <f>IF(OR($D460="",$B460="",Housemates!$B$10=""),0,IF($R460&gt;0,IF(H460="",0,IF(ISNUMBER(H460),H460,1)),IF($C460="Paying back",0,IF(AND(OR(Housemates!$C$10="",Housemates!$C$10&lt;=$B460),OR(Housemates!$D$10="",Housemates!$D$10&gt;=$B460)),IF($Q460=0,1,INDEX(Bills!$AC$6:$AC$25,$Q460)),0))))</f>
        <v/>
      </c>
      <c r="V460">
        <f>IF(OR($D460="",$B460="",Housemates!$B$11=""),0,IF($R460&gt;0,IF(I460="",0,IF(ISNUMBER(I460),I460,1)),IF($C460="Paying back",0,IF(AND(OR(Housemates!$C$11="",Housemates!$C$11&lt;=$B460),OR(Housemates!$D$11="",Housemates!$D$11&gt;=$B460)),IF($Q460=0,1,INDEX(Bills!$AD$6:$AD$25,$Q460)),0))))</f>
        <v/>
      </c>
      <c r="W460">
        <f>IF(OR($D460="",$B460="",Housemates!$B$12=""),0,IF($R460&gt;0,IF(J460="",0,IF(ISNUMBER(J460),J460,1)),IF($C460="Paying back",0,IF(AND(OR(Housemates!$C$12="",Housemates!$C$12&lt;=$B460),OR(Housemates!$D$12="",Housemates!$D$12&gt;=$B460)),IF($Q460=0,1,INDEX(Bills!$AE$6:$AE$25,$Q460)),0))))</f>
        <v/>
      </c>
      <c r="X460">
        <f>IF(OR($D460="",$B460="",Housemates!$B$13=""),0,IF($R460&gt;0,IF(K460="",0,IF(ISNUMBER(K460),K460,1)),IF($C460="Paying back",0,IF(AND(OR(Housemates!$C$13="",Housemates!$C$13&lt;=$B460),OR(Housemates!$D$13="",Housemates!$D$13&gt;=$B460)),IF($Q460=0,1,INDEX(Bills!$AF$6:$AF$25,$Q460)),0))))</f>
        <v/>
      </c>
      <c r="Y460">
        <f>IF(OR($D460="",$B460="",Housemates!$B$14=""),0,IF($R460&gt;0,IF(L460="",0,IF(ISNUMBER(L460),L460,1)),IF($C460="Paying back",0,IF(AND(OR(Housemates!$C$14="",Housemates!$C$14&lt;=$B460),OR(Housemates!$D$14="",Housemates!$D$14&gt;=$B460)),IF($Q460=0,1,INDEX(Bills!$AG$6:$AG$25,$Q460)),0))))</f>
        <v/>
      </c>
      <c r="Z460">
        <f>IF(OR($D460="",$B460="",Housemates!$B$15=""),0,IF($R460&gt;0,IF(M460="",0,IF(ISNUMBER(M460),M460,1)),IF($C460="Paying back",0,IF(AND(OR(Housemates!$C$15="",Housemates!$C$15&lt;=$B460),OR(Housemates!$D$15="",Housemates!$D$15&gt;=$B460)),IF($Q460=0,1,INDEX(Bills!$AH$6:$AH$25,$Q460)),0))))</f>
        <v/>
      </c>
      <c r="AA460">
        <f>SUM(S460:Z460)</f>
        <v/>
      </c>
      <c r="AB460">
        <f>IF(AA460=0,0,D460*S460/AA460)</f>
        <v/>
      </c>
      <c r="AC460">
        <f>IF(AA460=0,0,D460*T460/AA460)</f>
        <v/>
      </c>
      <c r="AD460">
        <f>IF(AA460=0,0,D460*U460/AA460)</f>
        <v/>
      </c>
      <c r="AE460">
        <f>IF(AA460=0,0,D460*V460/AA460)</f>
        <v/>
      </c>
      <c r="AF460">
        <f>IF(AA460=0,0,D460*W460/AA460)</f>
        <v/>
      </c>
      <c r="AG460">
        <f>IF(AA460=0,0,D460*X460/AA460)</f>
        <v/>
      </c>
      <c r="AH460">
        <f>IF(AA460=0,0,D460*Y460/AA460)</f>
        <v/>
      </c>
      <c r="AI460">
        <f>IF(AA460=0,0,D460*Z460/AA460)</f>
        <v/>
      </c>
      <c r="AJ460">
        <f>IF(OR(C460="",B460=""),"",C460&amp;"|"&amp;(YEAR(B460)*100+MONTH(B460)))</f>
        <v/>
      </c>
    </row>
    <row r="461">
      <c r="A461" s="1" t="n"/>
      <c r="B461" s="23" t="n"/>
      <c r="C461" s="24" t="n"/>
      <c r="D461" s="25" t="n"/>
      <c r="E461" s="26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1">
        <f>IF(D461="","",IF(B461="","No date",IF(AND(C461="Paying back",R461=0),"To whom?",IF(AA461=0,"Nobody",IF(C461="Paying back","To "&amp;INDEX(Housemates!$B$8:$B$15,MATCH(MAX(S461:Z461),S461:Z461,0)),IF(R461&gt;0,IF(COUNTIF(S461:Z461,"&gt;0")=1,"1 person",COUNTIF(S461:Z461,"&gt;0")&amp;" people"),IF(Q461=0,"Everyone",INDEX(Bills!$Q$6:$Q$25,Q461))))))))</f>
        <v/>
      </c>
      <c r="O461" s="18">
        <f>IF(D461="","",IF(C461="Paying back","Paying back",IF(Q461=0,"Other",IF(INDEX(Bills!$C$6:$C$25,Q461)="","Other",INDEX(Bills!$C$6:$C$25,Q461)))))</f>
        <v/>
      </c>
      <c r="P461" s="1" t="n"/>
      <c r="Q461">
        <f>IF(C461="",0,IFERROR(MATCH(C461,Bills!$B$6:$B$25,0),0))</f>
        <v/>
      </c>
      <c r="R461">
        <f>COUNTA(F461:M461)</f>
        <v/>
      </c>
      <c r="S461">
        <f>IF(OR($D461="",$B461="",Housemates!$B$8=""),0,IF($R461&gt;0,IF(F461="",0,IF(ISNUMBER(F461),F461,1)),IF($C461="Paying back",0,IF(AND(OR(Housemates!$C$8="",Housemates!$C$8&lt;=$B461),OR(Housemates!$D$8="",Housemates!$D$8&gt;=$B461)),IF($Q461=0,1,INDEX(Bills!$AA$6:$AA$25,$Q461)),0))))</f>
        <v/>
      </c>
      <c r="T461">
        <f>IF(OR($D461="",$B461="",Housemates!$B$9=""),0,IF($R461&gt;0,IF(G461="",0,IF(ISNUMBER(G461),G461,1)),IF($C461="Paying back",0,IF(AND(OR(Housemates!$C$9="",Housemates!$C$9&lt;=$B461),OR(Housemates!$D$9="",Housemates!$D$9&gt;=$B461)),IF($Q461=0,1,INDEX(Bills!$AB$6:$AB$25,$Q461)),0))))</f>
        <v/>
      </c>
      <c r="U461">
        <f>IF(OR($D461="",$B461="",Housemates!$B$10=""),0,IF($R461&gt;0,IF(H461="",0,IF(ISNUMBER(H461),H461,1)),IF($C461="Paying back",0,IF(AND(OR(Housemates!$C$10="",Housemates!$C$10&lt;=$B461),OR(Housemates!$D$10="",Housemates!$D$10&gt;=$B461)),IF($Q461=0,1,INDEX(Bills!$AC$6:$AC$25,$Q461)),0))))</f>
        <v/>
      </c>
      <c r="V461">
        <f>IF(OR($D461="",$B461="",Housemates!$B$11=""),0,IF($R461&gt;0,IF(I461="",0,IF(ISNUMBER(I461),I461,1)),IF($C461="Paying back",0,IF(AND(OR(Housemates!$C$11="",Housemates!$C$11&lt;=$B461),OR(Housemates!$D$11="",Housemates!$D$11&gt;=$B461)),IF($Q461=0,1,INDEX(Bills!$AD$6:$AD$25,$Q461)),0))))</f>
        <v/>
      </c>
      <c r="W461">
        <f>IF(OR($D461="",$B461="",Housemates!$B$12=""),0,IF($R461&gt;0,IF(J461="",0,IF(ISNUMBER(J461),J461,1)),IF($C461="Paying back",0,IF(AND(OR(Housemates!$C$12="",Housemates!$C$12&lt;=$B461),OR(Housemates!$D$12="",Housemates!$D$12&gt;=$B461)),IF($Q461=0,1,INDEX(Bills!$AE$6:$AE$25,$Q461)),0))))</f>
        <v/>
      </c>
      <c r="X461">
        <f>IF(OR($D461="",$B461="",Housemates!$B$13=""),0,IF($R461&gt;0,IF(K461="",0,IF(ISNUMBER(K461),K461,1)),IF($C461="Paying back",0,IF(AND(OR(Housemates!$C$13="",Housemates!$C$13&lt;=$B461),OR(Housemates!$D$13="",Housemates!$D$13&gt;=$B461)),IF($Q461=0,1,INDEX(Bills!$AF$6:$AF$25,$Q461)),0))))</f>
        <v/>
      </c>
      <c r="Y461">
        <f>IF(OR($D461="",$B461="",Housemates!$B$14=""),0,IF($R461&gt;0,IF(L461="",0,IF(ISNUMBER(L461),L461,1)),IF($C461="Paying back",0,IF(AND(OR(Housemates!$C$14="",Housemates!$C$14&lt;=$B461),OR(Housemates!$D$14="",Housemates!$D$14&gt;=$B461)),IF($Q461=0,1,INDEX(Bills!$AG$6:$AG$25,$Q461)),0))))</f>
        <v/>
      </c>
      <c r="Z461">
        <f>IF(OR($D461="",$B461="",Housemates!$B$15=""),0,IF($R461&gt;0,IF(M461="",0,IF(ISNUMBER(M461),M461,1)),IF($C461="Paying back",0,IF(AND(OR(Housemates!$C$15="",Housemates!$C$15&lt;=$B461),OR(Housemates!$D$15="",Housemates!$D$15&gt;=$B461)),IF($Q461=0,1,INDEX(Bills!$AH$6:$AH$25,$Q461)),0))))</f>
        <v/>
      </c>
      <c r="AA461">
        <f>SUM(S461:Z461)</f>
        <v/>
      </c>
      <c r="AB461">
        <f>IF(AA461=0,0,D461*S461/AA461)</f>
        <v/>
      </c>
      <c r="AC461">
        <f>IF(AA461=0,0,D461*T461/AA461)</f>
        <v/>
      </c>
      <c r="AD461">
        <f>IF(AA461=0,0,D461*U461/AA461)</f>
        <v/>
      </c>
      <c r="AE461">
        <f>IF(AA461=0,0,D461*V461/AA461)</f>
        <v/>
      </c>
      <c r="AF461">
        <f>IF(AA461=0,0,D461*W461/AA461)</f>
        <v/>
      </c>
      <c r="AG461">
        <f>IF(AA461=0,0,D461*X461/AA461)</f>
        <v/>
      </c>
      <c r="AH461">
        <f>IF(AA461=0,0,D461*Y461/AA461)</f>
        <v/>
      </c>
      <c r="AI461">
        <f>IF(AA461=0,0,D461*Z461/AA461)</f>
        <v/>
      </c>
      <c r="AJ461">
        <f>IF(OR(C461="",B461=""),"",C461&amp;"|"&amp;(YEAR(B461)*100+MONTH(B461)))</f>
        <v/>
      </c>
    </row>
    <row r="462">
      <c r="A462" s="1" t="n"/>
      <c r="B462" s="23" t="n"/>
      <c r="C462" s="24" t="n"/>
      <c r="D462" s="25" t="n"/>
      <c r="E462" s="26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1">
        <f>IF(D462="","",IF(B462="","No date",IF(AND(C462="Paying back",R462=0),"To whom?",IF(AA462=0,"Nobody",IF(C462="Paying back","To "&amp;INDEX(Housemates!$B$8:$B$15,MATCH(MAX(S462:Z462),S462:Z462,0)),IF(R462&gt;0,IF(COUNTIF(S462:Z462,"&gt;0")=1,"1 person",COUNTIF(S462:Z462,"&gt;0")&amp;" people"),IF(Q462=0,"Everyone",INDEX(Bills!$Q$6:$Q$25,Q462))))))))</f>
        <v/>
      </c>
      <c r="O462" s="18">
        <f>IF(D462="","",IF(C462="Paying back","Paying back",IF(Q462=0,"Other",IF(INDEX(Bills!$C$6:$C$25,Q462)="","Other",INDEX(Bills!$C$6:$C$25,Q462)))))</f>
        <v/>
      </c>
      <c r="P462" s="1" t="n"/>
      <c r="Q462">
        <f>IF(C462="",0,IFERROR(MATCH(C462,Bills!$B$6:$B$25,0),0))</f>
        <v/>
      </c>
      <c r="R462">
        <f>COUNTA(F462:M462)</f>
        <v/>
      </c>
      <c r="S462">
        <f>IF(OR($D462="",$B462="",Housemates!$B$8=""),0,IF($R462&gt;0,IF(F462="",0,IF(ISNUMBER(F462),F462,1)),IF($C462="Paying back",0,IF(AND(OR(Housemates!$C$8="",Housemates!$C$8&lt;=$B462),OR(Housemates!$D$8="",Housemates!$D$8&gt;=$B462)),IF($Q462=0,1,INDEX(Bills!$AA$6:$AA$25,$Q462)),0))))</f>
        <v/>
      </c>
      <c r="T462">
        <f>IF(OR($D462="",$B462="",Housemates!$B$9=""),0,IF($R462&gt;0,IF(G462="",0,IF(ISNUMBER(G462),G462,1)),IF($C462="Paying back",0,IF(AND(OR(Housemates!$C$9="",Housemates!$C$9&lt;=$B462),OR(Housemates!$D$9="",Housemates!$D$9&gt;=$B462)),IF($Q462=0,1,INDEX(Bills!$AB$6:$AB$25,$Q462)),0))))</f>
        <v/>
      </c>
      <c r="U462">
        <f>IF(OR($D462="",$B462="",Housemates!$B$10=""),0,IF($R462&gt;0,IF(H462="",0,IF(ISNUMBER(H462),H462,1)),IF($C462="Paying back",0,IF(AND(OR(Housemates!$C$10="",Housemates!$C$10&lt;=$B462),OR(Housemates!$D$10="",Housemates!$D$10&gt;=$B462)),IF($Q462=0,1,INDEX(Bills!$AC$6:$AC$25,$Q462)),0))))</f>
        <v/>
      </c>
      <c r="V462">
        <f>IF(OR($D462="",$B462="",Housemates!$B$11=""),0,IF($R462&gt;0,IF(I462="",0,IF(ISNUMBER(I462),I462,1)),IF($C462="Paying back",0,IF(AND(OR(Housemates!$C$11="",Housemates!$C$11&lt;=$B462),OR(Housemates!$D$11="",Housemates!$D$11&gt;=$B462)),IF($Q462=0,1,INDEX(Bills!$AD$6:$AD$25,$Q462)),0))))</f>
        <v/>
      </c>
      <c r="W462">
        <f>IF(OR($D462="",$B462="",Housemates!$B$12=""),0,IF($R462&gt;0,IF(J462="",0,IF(ISNUMBER(J462),J462,1)),IF($C462="Paying back",0,IF(AND(OR(Housemates!$C$12="",Housemates!$C$12&lt;=$B462),OR(Housemates!$D$12="",Housemates!$D$12&gt;=$B462)),IF($Q462=0,1,INDEX(Bills!$AE$6:$AE$25,$Q462)),0))))</f>
        <v/>
      </c>
      <c r="X462">
        <f>IF(OR($D462="",$B462="",Housemates!$B$13=""),0,IF($R462&gt;0,IF(K462="",0,IF(ISNUMBER(K462),K462,1)),IF($C462="Paying back",0,IF(AND(OR(Housemates!$C$13="",Housemates!$C$13&lt;=$B462),OR(Housemates!$D$13="",Housemates!$D$13&gt;=$B462)),IF($Q462=0,1,INDEX(Bills!$AF$6:$AF$25,$Q462)),0))))</f>
        <v/>
      </c>
      <c r="Y462">
        <f>IF(OR($D462="",$B462="",Housemates!$B$14=""),0,IF($R462&gt;0,IF(L462="",0,IF(ISNUMBER(L462),L462,1)),IF($C462="Paying back",0,IF(AND(OR(Housemates!$C$14="",Housemates!$C$14&lt;=$B462),OR(Housemates!$D$14="",Housemates!$D$14&gt;=$B462)),IF($Q462=0,1,INDEX(Bills!$AG$6:$AG$25,$Q462)),0))))</f>
        <v/>
      </c>
      <c r="Z462">
        <f>IF(OR($D462="",$B462="",Housemates!$B$15=""),0,IF($R462&gt;0,IF(M462="",0,IF(ISNUMBER(M462),M462,1)),IF($C462="Paying back",0,IF(AND(OR(Housemates!$C$15="",Housemates!$C$15&lt;=$B462),OR(Housemates!$D$15="",Housemates!$D$15&gt;=$B462)),IF($Q462=0,1,INDEX(Bills!$AH$6:$AH$25,$Q462)),0))))</f>
        <v/>
      </c>
      <c r="AA462">
        <f>SUM(S462:Z462)</f>
        <v/>
      </c>
      <c r="AB462">
        <f>IF(AA462=0,0,D462*S462/AA462)</f>
        <v/>
      </c>
      <c r="AC462">
        <f>IF(AA462=0,0,D462*T462/AA462)</f>
        <v/>
      </c>
      <c r="AD462">
        <f>IF(AA462=0,0,D462*U462/AA462)</f>
        <v/>
      </c>
      <c r="AE462">
        <f>IF(AA462=0,0,D462*V462/AA462)</f>
        <v/>
      </c>
      <c r="AF462">
        <f>IF(AA462=0,0,D462*W462/AA462)</f>
        <v/>
      </c>
      <c r="AG462">
        <f>IF(AA462=0,0,D462*X462/AA462)</f>
        <v/>
      </c>
      <c r="AH462">
        <f>IF(AA462=0,0,D462*Y462/AA462)</f>
        <v/>
      </c>
      <c r="AI462">
        <f>IF(AA462=0,0,D462*Z462/AA462)</f>
        <v/>
      </c>
      <c r="AJ462">
        <f>IF(OR(C462="",B462=""),"",C462&amp;"|"&amp;(YEAR(B462)*100+MONTH(B462)))</f>
        <v/>
      </c>
    </row>
    <row r="463">
      <c r="A463" s="1" t="n"/>
      <c r="B463" s="23" t="n"/>
      <c r="C463" s="24" t="n"/>
      <c r="D463" s="25" t="n"/>
      <c r="E463" s="26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1">
        <f>IF(D463="","",IF(B463="","No date",IF(AND(C463="Paying back",R463=0),"To whom?",IF(AA463=0,"Nobody",IF(C463="Paying back","To "&amp;INDEX(Housemates!$B$8:$B$15,MATCH(MAX(S463:Z463),S463:Z463,0)),IF(R463&gt;0,IF(COUNTIF(S463:Z463,"&gt;0")=1,"1 person",COUNTIF(S463:Z463,"&gt;0")&amp;" people"),IF(Q463=0,"Everyone",INDEX(Bills!$Q$6:$Q$25,Q463))))))))</f>
        <v/>
      </c>
      <c r="O463" s="18">
        <f>IF(D463="","",IF(C463="Paying back","Paying back",IF(Q463=0,"Other",IF(INDEX(Bills!$C$6:$C$25,Q463)="","Other",INDEX(Bills!$C$6:$C$25,Q463)))))</f>
        <v/>
      </c>
      <c r="P463" s="1" t="n"/>
      <c r="Q463">
        <f>IF(C463="",0,IFERROR(MATCH(C463,Bills!$B$6:$B$25,0),0))</f>
        <v/>
      </c>
      <c r="R463">
        <f>COUNTA(F463:M463)</f>
        <v/>
      </c>
      <c r="S463">
        <f>IF(OR($D463="",$B463="",Housemates!$B$8=""),0,IF($R463&gt;0,IF(F463="",0,IF(ISNUMBER(F463),F463,1)),IF($C463="Paying back",0,IF(AND(OR(Housemates!$C$8="",Housemates!$C$8&lt;=$B463),OR(Housemates!$D$8="",Housemates!$D$8&gt;=$B463)),IF($Q463=0,1,INDEX(Bills!$AA$6:$AA$25,$Q463)),0))))</f>
        <v/>
      </c>
      <c r="T463">
        <f>IF(OR($D463="",$B463="",Housemates!$B$9=""),0,IF($R463&gt;0,IF(G463="",0,IF(ISNUMBER(G463),G463,1)),IF($C463="Paying back",0,IF(AND(OR(Housemates!$C$9="",Housemates!$C$9&lt;=$B463),OR(Housemates!$D$9="",Housemates!$D$9&gt;=$B463)),IF($Q463=0,1,INDEX(Bills!$AB$6:$AB$25,$Q463)),0))))</f>
        <v/>
      </c>
      <c r="U463">
        <f>IF(OR($D463="",$B463="",Housemates!$B$10=""),0,IF($R463&gt;0,IF(H463="",0,IF(ISNUMBER(H463),H463,1)),IF($C463="Paying back",0,IF(AND(OR(Housemates!$C$10="",Housemates!$C$10&lt;=$B463),OR(Housemates!$D$10="",Housemates!$D$10&gt;=$B463)),IF($Q463=0,1,INDEX(Bills!$AC$6:$AC$25,$Q463)),0))))</f>
        <v/>
      </c>
      <c r="V463">
        <f>IF(OR($D463="",$B463="",Housemates!$B$11=""),0,IF($R463&gt;0,IF(I463="",0,IF(ISNUMBER(I463),I463,1)),IF($C463="Paying back",0,IF(AND(OR(Housemates!$C$11="",Housemates!$C$11&lt;=$B463),OR(Housemates!$D$11="",Housemates!$D$11&gt;=$B463)),IF($Q463=0,1,INDEX(Bills!$AD$6:$AD$25,$Q463)),0))))</f>
        <v/>
      </c>
      <c r="W463">
        <f>IF(OR($D463="",$B463="",Housemates!$B$12=""),0,IF($R463&gt;0,IF(J463="",0,IF(ISNUMBER(J463),J463,1)),IF($C463="Paying back",0,IF(AND(OR(Housemates!$C$12="",Housemates!$C$12&lt;=$B463),OR(Housemates!$D$12="",Housemates!$D$12&gt;=$B463)),IF($Q463=0,1,INDEX(Bills!$AE$6:$AE$25,$Q463)),0))))</f>
        <v/>
      </c>
      <c r="X463">
        <f>IF(OR($D463="",$B463="",Housemates!$B$13=""),0,IF($R463&gt;0,IF(K463="",0,IF(ISNUMBER(K463),K463,1)),IF($C463="Paying back",0,IF(AND(OR(Housemates!$C$13="",Housemates!$C$13&lt;=$B463),OR(Housemates!$D$13="",Housemates!$D$13&gt;=$B463)),IF($Q463=0,1,INDEX(Bills!$AF$6:$AF$25,$Q463)),0))))</f>
        <v/>
      </c>
      <c r="Y463">
        <f>IF(OR($D463="",$B463="",Housemates!$B$14=""),0,IF($R463&gt;0,IF(L463="",0,IF(ISNUMBER(L463),L463,1)),IF($C463="Paying back",0,IF(AND(OR(Housemates!$C$14="",Housemates!$C$14&lt;=$B463),OR(Housemates!$D$14="",Housemates!$D$14&gt;=$B463)),IF($Q463=0,1,INDEX(Bills!$AG$6:$AG$25,$Q463)),0))))</f>
        <v/>
      </c>
      <c r="Z463">
        <f>IF(OR($D463="",$B463="",Housemates!$B$15=""),0,IF($R463&gt;0,IF(M463="",0,IF(ISNUMBER(M463),M463,1)),IF($C463="Paying back",0,IF(AND(OR(Housemates!$C$15="",Housemates!$C$15&lt;=$B463),OR(Housemates!$D$15="",Housemates!$D$15&gt;=$B463)),IF($Q463=0,1,INDEX(Bills!$AH$6:$AH$25,$Q463)),0))))</f>
        <v/>
      </c>
      <c r="AA463">
        <f>SUM(S463:Z463)</f>
        <v/>
      </c>
      <c r="AB463">
        <f>IF(AA463=0,0,D463*S463/AA463)</f>
        <v/>
      </c>
      <c r="AC463">
        <f>IF(AA463=0,0,D463*T463/AA463)</f>
        <v/>
      </c>
      <c r="AD463">
        <f>IF(AA463=0,0,D463*U463/AA463)</f>
        <v/>
      </c>
      <c r="AE463">
        <f>IF(AA463=0,0,D463*V463/AA463)</f>
        <v/>
      </c>
      <c r="AF463">
        <f>IF(AA463=0,0,D463*W463/AA463)</f>
        <v/>
      </c>
      <c r="AG463">
        <f>IF(AA463=0,0,D463*X463/AA463)</f>
        <v/>
      </c>
      <c r="AH463">
        <f>IF(AA463=0,0,D463*Y463/AA463)</f>
        <v/>
      </c>
      <c r="AI463">
        <f>IF(AA463=0,0,D463*Z463/AA463)</f>
        <v/>
      </c>
      <c r="AJ463">
        <f>IF(OR(C463="",B463=""),"",C463&amp;"|"&amp;(YEAR(B463)*100+MONTH(B463)))</f>
        <v/>
      </c>
    </row>
    <row r="464">
      <c r="A464" s="1" t="n"/>
      <c r="B464" s="23" t="n"/>
      <c r="C464" s="24" t="n"/>
      <c r="D464" s="25" t="n"/>
      <c r="E464" s="26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1">
        <f>IF(D464="","",IF(B464="","No date",IF(AND(C464="Paying back",R464=0),"To whom?",IF(AA464=0,"Nobody",IF(C464="Paying back","To "&amp;INDEX(Housemates!$B$8:$B$15,MATCH(MAX(S464:Z464),S464:Z464,0)),IF(R464&gt;0,IF(COUNTIF(S464:Z464,"&gt;0")=1,"1 person",COUNTIF(S464:Z464,"&gt;0")&amp;" people"),IF(Q464=0,"Everyone",INDEX(Bills!$Q$6:$Q$25,Q464))))))))</f>
        <v/>
      </c>
      <c r="O464" s="18">
        <f>IF(D464="","",IF(C464="Paying back","Paying back",IF(Q464=0,"Other",IF(INDEX(Bills!$C$6:$C$25,Q464)="","Other",INDEX(Bills!$C$6:$C$25,Q464)))))</f>
        <v/>
      </c>
      <c r="P464" s="1" t="n"/>
      <c r="Q464">
        <f>IF(C464="",0,IFERROR(MATCH(C464,Bills!$B$6:$B$25,0),0))</f>
        <v/>
      </c>
      <c r="R464">
        <f>COUNTA(F464:M464)</f>
        <v/>
      </c>
      <c r="S464">
        <f>IF(OR($D464="",$B464="",Housemates!$B$8=""),0,IF($R464&gt;0,IF(F464="",0,IF(ISNUMBER(F464),F464,1)),IF($C464="Paying back",0,IF(AND(OR(Housemates!$C$8="",Housemates!$C$8&lt;=$B464),OR(Housemates!$D$8="",Housemates!$D$8&gt;=$B464)),IF($Q464=0,1,INDEX(Bills!$AA$6:$AA$25,$Q464)),0))))</f>
        <v/>
      </c>
      <c r="T464">
        <f>IF(OR($D464="",$B464="",Housemates!$B$9=""),0,IF($R464&gt;0,IF(G464="",0,IF(ISNUMBER(G464),G464,1)),IF($C464="Paying back",0,IF(AND(OR(Housemates!$C$9="",Housemates!$C$9&lt;=$B464),OR(Housemates!$D$9="",Housemates!$D$9&gt;=$B464)),IF($Q464=0,1,INDEX(Bills!$AB$6:$AB$25,$Q464)),0))))</f>
        <v/>
      </c>
      <c r="U464">
        <f>IF(OR($D464="",$B464="",Housemates!$B$10=""),0,IF($R464&gt;0,IF(H464="",0,IF(ISNUMBER(H464),H464,1)),IF($C464="Paying back",0,IF(AND(OR(Housemates!$C$10="",Housemates!$C$10&lt;=$B464),OR(Housemates!$D$10="",Housemates!$D$10&gt;=$B464)),IF($Q464=0,1,INDEX(Bills!$AC$6:$AC$25,$Q464)),0))))</f>
        <v/>
      </c>
      <c r="V464">
        <f>IF(OR($D464="",$B464="",Housemates!$B$11=""),0,IF($R464&gt;0,IF(I464="",0,IF(ISNUMBER(I464),I464,1)),IF($C464="Paying back",0,IF(AND(OR(Housemates!$C$11="",Housemates!$C$11&lt;=$B464),OR(Housemates!$D$11="",Housemates!$D$11&gt;=$B464)),IF($Q464=0,1,INDEX(Bills!$AD$6:$AD$25,$Q464)),0))))</f>
        <v/>
      </c>
      <c r="W464">
        <f>IF(OR($D464="",$B464="",Housemates!$B$12=""),0,IF($R464&gt;0,IF(J464="",0,IF(ISNUMBER(J464),J464,1)),IF($C464="Paying back",0,IF(AND(OR(Housemates!$C$12="",Housemates!$C$12&lt;=$B464),OR(Housemates!$D$12="",Housemates!$D$12&gt;=$B464)),IF($Q464=0,1,INDEX(Bills!$AE$6:$AE$25,$Q464)),0))))</f>
        <v/>
      </c>
      <c r="X464">
        <f>IF(OR($D464="",$B464="",Housemates!$B$13=""),0,IF($R464&gt;0,IF(K464="",0,IF(ISNUMBER(K464),K464,1)),IF($C464="Paying back",0,IF(AND(OR(Housemates!$C$13="",Housemates!$C$13&lt;=$B464),OR(Housemates!$D$13="",Housemates!$D$13&gt;=$B464)),IF($Q464=0,1,INDEX(Bills!$AF$6:$AF$25,$Q464)),0))))</f>
        <v/>
      </c>
      <c r="Y464">
        <f>IF(OR($D464="",$B464="",Housemates!$B$14=""),0,IF($R464&gt;0,IF(L464="",0,IF(ISNUMBER(L464),L464,1)),IF($C464="Paying back",0,IF(AND(OR(Housemates!$C$14="",Housemates!$C$14&lt;=$B464),OR(Housemates!$D$14="",Housemates!$D$14&gt;=$B464)),IF($Q464=0,1,INDEX(Bills!$AG$6:$AG$25,$Q464)),0))))</f>
        <v/>
      </c>
      <c r="Z464">
        <f>IF(OR($D464="",$B464="",Housemates!$B$15=""),0,IF($R464&gt;0,IF(M464="",0,IF(ISNUMBER(M464),M464,1)),IF($C464="Paying back",0,IF(AND(OR(Housemates!$C$15="",Housemates!$C$15&lt;=$B464),OR(Housemates!$D$15="",Housemates!$D$15&gt;=$B464)),IF($Q464=0,1,INDEX(Bills!$AH$6:$AH$25,$Q464)),0))))</f>
        <v/>
      </c>
      <c r="AA464">
        <f>SUM(S464:Z464)</f>
        <v/>
      </c>
      <c r="AB464">
        <f>IF(AA464=0,0,D464*S464/AA464)</f>
        <v/>
      </c>
      <c r="AC464">
        <f>IF(AA464=0,0,D464*T464/AA464)</f>
        <v/>
      </c>
      <c r="AD464">
        <f>IF(AA464=0,0,D464*U464/AA464)</f>
        <v/>
      </c>
      <c r="AE464">
        <f>IF(AA464=0,0,D464*V464/AA464)</f>
        <v/>
      </c>
      <c r="AF464">
        <f>IF(AA464=0,0,D464*W464/AA464)</f>
        <v/>
      </c>
      <c r="AG464">
        <f>IF(AA464=0,0,D464*X464/AA464)</f>
        <v/>
      </c>
      <c r="AH464">
        <f>IF(AA464=0,0,D464*Y464/AA464)</f>
        <v/>
      </c>
      <c r="AI464">
        <f>IF(AA464=0,0,D464*Z464/AA464)</f>
        <v/>
      </c>
      <c r="AJ464">
        <f>IF(OR(C464="",B464=""),"",C464&amp;"|"&amp;(YEAR(B464)*100+MONTH(B464)))</f>
        <v/>
      </c>
    </row>
    <row r="465">
      <c r="A465" s="1" t="n"/>
      <c r="B465" s="23" t="n"/>
      <c r="C465" s="24" t="n"/>
      <c r="D465" s="25" t="n"/>
      <c r="E465" s="26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1">
        <f>IF(D465="","",IF(B465="","No date",IF(AND(C465="Paying back",R465=0),"To whom?",IF(AA465=0,"Nobody",IF(C465="Paying back","To "&amp;INDEX(Housemates!$B$8:$B$15,MATCH(MAX(S465:Z465),S465:Z465,0)),IF(R465&gt;0,IF(COUNTIF(S465:Z465,"&gt;0")=1,"1 person",COUNTIF(S465:Z465,"&gt;0")&amp;" people"),IF(Q465=0,"Everyone",INDEX(Bills!$Q$6:$Q$25,Q465))))))))</f>
        <v/>
      </c>
      <c r="O465" s="18">
        <f>IF(D465="","",IF(C465="Paying back","Paying back",IF(Q465=0,"Other",IF(INDEX(Bills!$C$6:$C$25,Q465)="","Other",INDEX(Bills!$C$6:$C$25,Q465)))))</f>
        <v/>
      </c>
      <c r="P465" s="1" t="n"/>
      <c r="Q465">
        <f>IF(C465="",0,IFERROR(MATCH(C465,Bills!$B$6:$B$25,0),0))</f>
        <v/>
      </c>
      <c r="R465">
        <f>COUNTA(F465:M465)</f>
        <v/>
      </c>
      <c r="S465">
        <f>IF(OR($D465="",$B465="",Housemates!$B$8=""),0,IF($R465&gt;0,IF(F465="",0,IF(ISNUMBER(F465),F465,1)),IF($C465="Paying back",0,IF(AND(OR(Housemates!$C$8="",Housemates!$C$8&lt;=$B465),OR(Housemates!$D$8="",Housemates!$D$8&gt;=$B465)),IF($Q465=0,1,INDEX(Bills!$AA$6:$AA$25,$Q465)),0))))</f>
        <v/>
      </c>
      <c r="T465">
        <f>IF(OR($D465="",$B465="",Housemates!$B$9=""),0,IF($R465&gt;0,IF(G465="",0,IF(ISNUMBER(G465),G465,1)),IF($C465="Paying back",0,IF(AND(OR(Housemates!$C$9="",Housemates!$C$9&lt;=$B465),OR(Housemates!$D$9="",Housemates!$D$9&gt;=$B465)),IF($Q465=0,1,INDEX(Bills!$AB$6:$AB$25,$Q465)),0))))</f>
        <v/>
      </c>
      <c r="U465">
        <f>IF(OR($D465="",$B465="",Housemates!$B$10=""),0,IF($R465&gt;0,IF(H465="",0,IF(ISNUMBER(H465),H465,1)),IF($C465="Paying back",0,IF(AND(OR(Housemates!$C$10="",Housemates!$C$10&lt;=$B465),OR(Housemates!$D$10="",Housemates!$D$10&gt;=$B465)),IF($Q465=0,1,INDEX(Bills!$AC$6:$AC$25,$Q465)),0))))</f>
        <v/>
      </c>
      <c r="V465">
        <f>IF(OR($D465="",$B465="",Housemates!$B$11=""),0,IF($R465&gt;0,IF(I465="",0,IF(ISNUMBER(I465),I465,1)),IF($C465="Paying back",0,IF(AND(OR(Housemates!$C$11="",Housemates!$C$11&lt;=$B465),OR(Housemates!$D$11="",Housemates!$D$11&gt;=$B465)),IF($Q465=0,1,INDEX(Bills!$AD$6:$AD$25,$Q465)),0))))</f>
        <v/>
      </c>
      <c r="W465">
        <f>IF(OR($D465="",$B465="",Housemates!$B$12=""),0,IF($R465&gt;0,IF(J465="",0,IF(ISNUMBER(J465),J465,1)),IF($C465="Paying back",0,IF(AND(OR(Housemates!$C$12="",Housemates!$C$12&lt;=$B465),OR(Housemates!$D$12="",Housemates!$D$12&gt;=$B465)),IF($Q465=0,1,INDEX(Bills!$AE$6:$AE$25,$Q465)),0))))</f>
        <v/>
      </c>
      <c r="X465">
        <f>IF(OR($D465="",$B465="",Housemates!$B$13=""),0,IF($R465&gt;0,IF(K465="",0,IF(ISNUMBER(K465),K465,1)),IF($C465="Paying back",0,IF(AND(OR(Housemates!$C$13="",Housemates!$C$13&lt;=$B465),OR(Housemates!$D$13="",Housemates!$D$13&gt;=$B465)),IF($Q465=0,1,INDEX(Bills!$AF$6:$AF$25,$Q465)),0))))</f>
        <v/>
      </c>
      <c r="Y465">
        <f>IF(OR($D465="",$B465="",Housemates!$B$14=""),0,IF($R465&gt;0,IF(L465="",0,IF(ISNUMBER(L465),L465,1)),IF($C465="Paying back",0,IF(AND(OR(Housemates!$C$14="",Housemates!$C$14&lt;=$B465),OR(Housemates!$D$14="",Housemates!$D$14&gt;=$B465)),IF($Q465=0,1,INDEX(Bills!$AG$6:$AG$25,$Q465)),0))))</f>
        <v/>
      </c>
      <c r="Z465">
        <f>IF(OR($D465="",$B465="",Housemates!$B$15=""),0,IF($R465&gt;0,IF(M465="",0,IF(ISNUMBER(M465),M465,1)),IF($C465="Paying back",0,IF(AND(OR(Housemates!$C$15="",Housemates!$C$15&lt;=$B465),OR(Housemates!$D$15="",Housemates!$D$15&gt;=$B465)),IF($Q465=0,1,INDEX(Bills!$AH$6:$AH$25,$Q465)),0))))</f>
        <v/>
      </c>
      <c r="AA465">
        <f>SUM(S465:Z465)</f>
        <v/>
      </c>
      <c r="AB465">
        <f>IF(AA465=0,0,D465*S465/AA465)</f>
        <v/>
      </c>
      <c r="AC465">
        <f>IF(AA465=0,0,D465*T465/AA465)</f>
        <v/>
      </c>
      <c r="AD465">
        <f>IF(AA465=0,0,D465*U465/AA465)</f>
        <v/>
      </c>
      <c r="AE465">
        <f>IF(AA465=0,0,D465*V465/AA465)</f>
        <v/>
      </c>
      <c r="AF465">
        <f>IF(AA465=0,0,D465*W465/AA465)</f>
        <v/>
      </c>
      <c r="AG465">
        <f>IF(AA465=0,0,D465*X465/AA465)</f>
        <v/>
      </c>
      <c r="AH465">
        <f>IF(AA465=0,0,D465*Y465/AA465)</f>
        <v/>
      </c>
      <c r="AI465">
        <f>IF(AA465=0,0,D465*Z465/AA465)</f>
        <v/>
      </c>
      <c r="AJ465">
        <f>IF(OR(C465="",B465=""),"",C465&amp;"|"&amp;(YEAR(B465)*100+MONTH(B465)))</f>
        <v/>
      </c>
    </row>
    <row r="466">
      <c r="A466" s="1" t="n"/>
      <c r="B466" s="23" t="n"/>
      <c r="C466" s="24" t="n"/>
      <c r="D466" s="25" t="n"/>
      <c r="E466" s="26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1">
        <f>IF(D466="","",IF(B466="","No date",IF(AND(C466="Paying back",R466=0),"To whom?",IF(AA466=0,"Nobody",IF(C466="Paying back","To "&amp;INDEX(Housemates!$B$8:$B$15,MATCH(MAX(S466:Z466),S466:Z466,0)),IF(R466&gt;0,IF(COUNTIF(S466:Z466,"&gt;0")=1,"1 person",COUNTIF(S466:Z466,"&gt;0")&amp;" people"),IF(Q466=0,"Everyone",INDEX(Bills!$Q$6:$Q$25,Q466))))))))</f>
        <v/>
      </c>
      <c r="O466" s="18">
        <f>IF(D466="","",IF(C466="Paying back","Paying back",IF(Q466=0,"Other",IF(INDEX(Bills!$C$6:$C$25,Q466)="","Other",INDEX(Bills!$C$6:$C$25,Q466)))))</f>
        <v/>
      </c>
      <c r="P466" s="1" t="n"/>
      <c r="Q466">
        <f>IF(C466="",0,IFERROR(MATCH(C466,Bills!$B$6:$B$25,0),0))</f>
        <v/>
      </c>
      <c r="R466">
        <f>COUNTA(F466:M466)</f>
        <v/>
      </c>
      <c r="S466">
        <f>IF(OR($D466="",$B466="",Housemates!$B$8=""),0,IF($R466&gt;0,IF(F466="",0,IF(ISNUMBER(F466),F466,1)),IF($C466="Paying back",0,IF(AND(OR(Housemates!$C$8="",Housemates!$C$8&lt;=$B466),OR(Housemates!$D$8="",Housemates!$D$8&gt;=$B466)),IF($Q466=0,1,INDEX(Bills!$AA$6:$AA$25,$Q466)),0))))</f>
        <v/>
      </c>
      <c r="T466">
        <f>IF(OR($D466="",$B466="",Housemates!$B$9=""),0,IF($R466&gt;0,IF(G466="",0,IF(ISNUMBER(G466),G466,1)),IF($C466="Paying back",0,IF(AND(OR(Housemates!$C$9="",Housemates!$C$9&lt;=$B466),OR(Housemates!$D$9="",Housemates!$D$9&gt;=$B466)),IF($Q466=0,1,INDEX(Bills!$AB$6:$AB$25,$Q466)),0))))</f>
        <v/>
      </c>
      <c r="U466">
        <f>IF(OR($D466="",$B466="",Housemates!$B$10=""),0,IF($R466&gt;0,IF(H466="",0,IF(ISNUMBER(H466),H466,1)),IF($C466="Paying back",0,IF(AND(OR(Housemates!$C$10="",Housemates!$C$10&lt;=$B466),OR(Housemates!$D$10="",Housemates!$D$10&gt;=$B466)),IF($Q466=0,1,INDEX(Bills!$AC$6:$AC$25,$Q466)),0))))</f>
        <v/>
      </c>
      <c r="V466">
        <f>IF(OR($D466="",$B466="",Housemates!$B$11=""),0,IF($R466&gt;0,IF(I466="",0,IF(ISNUMBER(I466),I466,1)),IF($C466="Paying back",0,IF(AND(OR(Housemates!$C$11="",Housemates!$C$11&lt;=$B466),OR(Housemates!$D$11="",Housemates!$D$11&gt;=$B466)),IF($Q466=0,1,INDEX(Bills!$AD$6:$AD$25,$Q466)),0))))</f>
        <v/>
      </c>
      <c r="W466">
        <f>IF(OR($D466="",$B466="",Housemates!$B$12=""),0,IF($R466&gt;0,IF(J466="",0,IF(ISNUMBER(J466),J466,1)),IF($C466="Paying back",0,IF(AND(OR(Housemates!$C$12="",Housemates!$C$12&lt;=$B466),OR(Housemates!$D$12="",Housemates!$D$12&gt;=$B466)),IF($Q466=0,1,INDEX(Bills!$AE$6:$AE$25,$Q466)),0))))</f>
        <v/>
      </c>
      <c r="X466">
        <f>IF(OR($D466="",$B466="",Housemates!$B$13=""),0,IF($R466&gt;0,IF(K466="",0,IF(ISNUMBER(K466),K466,1)),IF($C466="Paying back",0,IF(AND(OR(Housemates!$C$13="",Housemates!$C$13&lt;=$B466),OR(Housemates!$D$13="",Housemates!$D$13&gt;=$B466)),IF($Q466=0,1,INDEX(Bills!$AF$6:$AF$25,$Q466)),0))))</f>
        <v/>
      </c>
      <c r="Y466">
        <f>IF(OR($D466="",$B466="",Housemates!$B$14=""),0,IF($R466&gt;0,IF(L466="",0,IF(ISNUMBER(L466),L466,1)),IF($C466="Paying back",0,IF(AND(OR(Housemates!$C$14="",Housemates!$C$14&lt;=$B466),OR(Housemates!$D$14="",Housemates!$D$14&gt;=$B466)),IF($Q466=0,1,INDEX(Bills!$AG$6:$AG$25,$Q466)),0))))</f>
        <v/>
      </c>
      <c r="Z466">
        <f>IF(OR($D466="",$B466="",Housemates!$B$15=""),0,IF($R466&gt;0,IF(M466="",0,IF(ISNUMBER(M466),M466,1)),IF($C466="Paying back",0,IF(AND(OR(Housemates!$C$15="",Housemates!$C$15&lt;=$B466),OR(Housemates!$D$15="",Housemates!$D$15&gt;=$B466)),IF($Q466=0,1,INDEX(Bills!$AH$6:$AH$25,$Q466)),0))))</f>
        <v/>
      </c>
      <c r="AA466">
        <f>SUM(S466:Z466)</f>
        <v/>
      </c>
      <c r="AB466">
        <f>IF(AA466=0,0,D466*S466/AA466)</f>
        <v/>
      </c>
      <c r="AC466">
        <f>IF(AA466=0,0,D466*T466/AA466)</f>
        <v/>
      </c>
      <c r="AD466">
        <f>IF(AA466=0,0,D466*U466/AA466)</f>
        <v/>
      </c>
      <c r="AE466">
        <f>IF(AA466=0,0,D466*V466/AA466)</f>
        <v/>
      </c>
      <c r="AF466">
        <f>IF(AA466=0,0,D466*W466/AA466)</f>
        <v/>
      </c>
      <c r="AG466">
        <f>IF(AA466=0,0,D466*X466/AA466)</f>
        <v/>
      </c>
      <c r="AH466">
        <f>IF(AA466=0,0,D466*Y466/AA466)</f>
        <v/>
      </c>
      <c r="AI466">
        <f>IF(AA466=0,0,D466*Z466/AA466)</f>
        <v/>
      </c>
      <c r="AJ466">
        <f>IF(OR(C466="",B466=""),"",C466&amp;"|"&amp;(YEAR(B466)*100+MONTH(B466)))</f>
        <v/>
      </c>
    </row>
    <row r="467">
      <c r="A467" s="1" t="n"/>
      <c r="B467" s="23" t="n"/>
      <c r="C467" s="24" t="n"/>
      <c r="D467" s="25" t="n"/>
      <c r="E467" s="26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1">
        <f>IF(D467="","",IF(B467="","No date",IF(AND(C467="Paying back",R467=0),"To whom?",IF(AA467=0,"Nobody",IF(C467="Paying back","To "&amp;INDEX(Housemates!$B$8:$B$15,MATCH(MAX(S467:Z467),S467:Z467,0)),IF(R467&gt;0,IF(COUNTIF(S467:Z467,"&gt;0")=1,"1 person",COUNTIF(S467:Z467,"&gt;0")&amp;" people"),IF(Q467=0,"Everyone",INDEX(Bills!$Q$6:$Q$25,Q467))))))))</f>
        <v/>
      </c>
      <c r="O467" s="18">
        <f>IF(D467="","",IF(C467="Paying back","Paying back",IF(Q467=0,"Other",IF(INDEX(Bills!$C$6:$C$25,Q467)="","Other",INDEX(Bills!$C$6:$C$25,Q467)))))</f>
        <v/>
      </c>
      <c r="P467" s="1" t="n"/>
      <c r="Q467">
        <f>IF(C467="",0,IFERROR(MATCH(C467,Bills!$B$6:$B$25,0),0))</f>
        <v/>
      </c>
      <c r="R467">
        <f>COUNTA(F467:M467)</f>
        <v/>
      </c>
      <c r="S467">
        <f>IF(OR($D467="",$B467="",Housemates!$B$8=""),0,IF($R467&gt;0,IF(F467="",0,IF(ISNUMBER(F467),F467,1)),IF($C467="Paying back",0,IF(AND(OR(Housemates!$C$8="",Housemates!$C$8&lt;=$B467),OR(Housemates!$D$8="",Housemates!$D$8&gt;=$B467)),IF($Q467=0,1,INDEX(Bills!$AA$6:$AA$25,$Q467)),0))))</f>
        <v/>
      </c>
      <c r="T467">
        <f>IF(OR($D467="",$B467="",Housemates!$B$9=""),0,IF($R467&gt;0,IF(G467="",0,IF(ISNUMBER(G467),G467,1)),IF($C467="Paying back",0,IF(AND(OR(Housemates!$C$9="",Housemates!$C$9&lt;=$B467),OR(Housemates!$D$9="",Housemates!$D$9&gt;=$B467)),IF($Q467=0,1,INDEX(Bills!$AB$6:$AB$25,$Q467)),0))))</f>
        <v/>
      </c>
      <c r="U467">
        <f>IF(OR($D467="",$B467="",Housemates!$B$10=""),0,IF($R467&gt;0,IF(H467="",0,IF(ISNUMBER(H467),H467,1)),IF($C467="Paying back",0,IF(AND(OR(Housemates!$C$10="",Housemates!$C$10&lt;=$B467),OR(Housemates!$D$10="",Housemates!$D$10&gt;=$B467)),IF($Q467=0,1,INDEX(Bills!$AC$6:$AC$25,$Q467)),0))))</f>
        <v/>
      </c>
      <c r="V467">
        <f>IF(OR($D467="",$B467="",Housemates!$B$11=""),0,IF($R467&gt;0,IF(I467="",0,IF(ISNUMBER(I467),I467,1)),IF($C467="Paying back",0,IF(AND(OR(Housemates!$C$11="",Housemates!$C$11&lt;=$B467),OR(Housemates!$D$11="",Housemates!$D$11&gt;=$B467)),IF($Q467=0,1,INDEX(Bills!$AD$6:$AD$25,$Q467)),0))))</f>
        <v/>
      </c>
      <c r="W467">
        <f>IF(OR($D467="",$B467="",Housemates!$B$12=""),0,IF($R467&gt;0,IF(J467="",0,IF(ISNUMBER(J467),J467,1)),IF($C467="Paying back",0,IF(AND(OR(Housemates!$C$12="",Housemates!$C$12&lt;=$B467),OR(Housemates!$D$12="",Housemates!$D$12&gt;=$B467)),IF($Q467=0,1,INDEX(Bills!$AE$6:$AE$25,$Q467)),0))))</f>
        <v/>
      </c>
      <c r="X467">
        <f>IF(OR($D467="",$B467="",Housemates!$B$13=""),0,IF($R467&gt;0,IF(K467="",0,IF(ISNUMBER(K467),K467,1)),IF($C467="Paying back",0,IF(AND(OR(Housemates!$C$13="",Housemates!$C$13&lt;=$B467),OR(Housemates!$D$13="",Housemates!$D$13&gt;=$B467)),IF($Q467=0,1,INDEX(Bills!$AF$6:$AF$25,$Q467)),0))))</f>
        <v/>
      </c>
      <c r="Y467">
        <f>IF(OR($D467="",$B467="",Housemates!$B$14=""),0,IF($R467&gt;0,IF(L467="",0,IF(ISNUMBER(L467),L467,1)),IF($C467="Paying back",0,IF(AND(OR(Housemates!$C$14="",Housemates!$C$14&lt;=$B467),OR(Housemates!$D$14="",Housemates!$D$14&gt;=$B467)),IF($Q467=0,1,INDEX(Bills!$AG$6:$AG$25,$Q467)),0))))</f>
        <v/>
      </c>
      <c r="Z467">
        <f>IF(OR($D467="",$B467="",Housemates!$B$15=""),0,IF($R467&gt;0,IF(M467="",0,IF(ISNUMBER(M467),M467,1)),IF($C467="Paying back",0,IF(AND(OR(Housemates!$C$15="",Housemates!$C$15&lt;=$B467),OR(Housemates!$D$15="",Housemates!$D$15&gt;=$B467)),IF($Q467=0,1,INDEX(Bills!$AH$6:$AH$25,$Q467)),0))))</f>
        <v/>
      </c>
      <c r="AA467">
        <f>SUM(S467:Z467)</f>
        <v/>
      </c>
      <c r="AB467">
        <f>IF(AA467=0,0,D467*S467/AA467)</f>
        <v/>
      </c>
      <c r="AC467">
        <f>IF(AA467=0,0,D467*T467/AA467)</f>
        <v/>
      </c>
      <c r="AD467">
        <f>IF(AA467=0,0,D467*U467/AA467)</f>
        <v/>
      </c>
      <c r="AE467">
        <f>IF(AA467=0,0,D467*V467/AA467)</f>
        <v/>
      </c>
      <c r="AF467">
        <f>IF(AA467=0,0,D467*W467/AA467)</f>
        <v/>
      </c>
      <c r="AG467">
        <f>IF(AA467=0,0,D467*X467/AA467)</f>
        <v/>
      </c>
      <c r="AH467">
        <f>IF(AA467=0,0,D467*Y467/AA467)</f>
        <v/>
      </c>
      <c r="AI467">
        <f>IF(AA467=0,0,D467*Z467/AA467)</f>
        <v/>
      </c>
      <c r="AJ467">
        <f>IF(OR(C467="",B467=""),"",C467&amp;"|"&amp;(YEAR(B467)*100+MONTH(B467)))</f>
        <v/>
      </c>
    </row>
    <row r="468">
      <c r="A468" s="1" t="n"/>
      <c r="B468" s="23" t="n"/>
      <c r="C468" s="24" t="n"/>
      <c r="D468" s="25" t="n"/>
      <c r="E468" s="26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1">
        <f>IF(D468="","",IF(B468="","No date",IF(AND(C468="Paying back",R468=0),"To whom?",IF(AA468=0,"Nobody",IF(C468="Paying back","To "&amp;INDEX(Housemates!$B$8:$B$15,MATCH(MAX(S468:Z468),S468:Z468,0)),IF(R468&gt;0,IF(COUNTIF(S468:Z468,"&gt;0")=1,"1 person",COUNTIF(S468:Z468,"&gt;0")&amp;" people"),IF(Q468=0,"Everyone",INDEX(Bills!$Q$6:$Q$25,Q468))))))))</f>
        <v/>
      </c>
      <c r="O468" s="18">
        <f>IF(D468="","",IF(C468="Paying back","Paying back",IF(Q468=0,"Other",IF(INDEX(Bills!$C$6:$C$25,Q468)="","Other",INDEX(Bills!$C$6:$C$25,Q468)))))</f>
        <v/>
      </c>
      <c r="P468" s="1" t="n"/>
      <c r="Q468">
        <f>IF(C468="",0,IFERROR(MATCH(C468,Bills!$B$6:$B$25,0),0))</f>
        <v/>
      </c>
      <c r="R468">
        <f>COUNTA(F468:M468)</f>
        <v/>
      </c>
      <c r="S468">
        <f>IF(OR($D468="",$B468="",Housemates!$B$8=""),0,IF($R468&gt;0,IF(F468="",0,IF(ISNUMBER(F468),F468,1)),IF($C468="Paying back",0,IF(AND(OR(Housemates!$C$8="",Housemates!$C$8&lt;=$B468),OR(Housemates!$D$8="",Housemates!$D$8&gt;=$B468)),IF($Q468=0,1,INDEX(Bills!$AA$6:$AA$25,$Q468)),0))))</f>
        <v/>
      </c>
      <c r="T468">
        <f>IF(OR($D468="",$B468="",Housemates!$B$9=""),0,IF($R468&gt;0,IF(G468="",0,IF(ISNUMBER(G468),G468,1)),IF($C468="Paying back",0,IF(AND(OR(Housemates!$C$9="",Housemates!$C$9&lt;=$B468),OR(Housemates!$D$9="",Housemates!$D$9&gt;=$B468)),IF($Q468=0,1,INDEX(Bills!$AB$6:$AB$25,$Q468)),0))))</f>
        <v/>
      </c>
      <c r="U468">
        <f>IF(OR($D468="",$B468="",Housemates!$B$10=""),0,IF($R468&gt;0,IF(H468="",0,IF(ISNUMBER(H468),H468,1)),IF($C468="Paying back",0,IF(AND(OR(Housemates!$C$10="",Housemates!$C$10&lt;=$B468),OR(Housemates!$D$10="",Housemates!$D$10&gt;=$B468)),IF($Q468=0,1,INDEX(Bills!$AC$6:$AC$25,$Q468)),0))))</f>
        <v/>
      </c>
      <c r="V468">
        <f>IF(OR($D468="",$B468="",Housemates!$B$11=""),0,IF($R468&gt;0,IF(I468="",0,IF(ISNUMBER(I468),I468,1)),IF($C468="Paying back",0,IF(AND(OR(Housemates!$C$11="",Housemates!$C$11&lt;=$B468),OR(Housemates!$D$11="",Housemates!$D$11&gt;=$B468)),IF($Q468=0,1,INDEX(Bills!$AD$6:$AD$25,$Q468)),0))))</f>
        <v/>
      </c>
      <c r="W468">
        <f>IF(OR($D468="",$B468="",Housemates!$B$12=""),0,IF($R468&gt;0,IF(J468="",0,IF(ISNUMBER(J468),J468,1)),IF($C468="Paying back",0,IF(AND(OR(Housemates!$C$12="",Housemates!$C$12&lt;=$B468),OR(Housemates!$D$12="",Housemates!$D$12&gt;=$B468)),IF($Q468=0,1,INDEX(Bills!$AE$6:$AE$25,$Q468)),0))))</f>
        <v/>
      </c>
      <c r="X468">
        <f>IF(OR($D468="",$B468="",Housemates!$B$13=""),0,IF($R468&gt;0,IF(K468="",0,IF(ISNUMBER(K468),K468,1)),IF($C468="Paying back",0,IF(AND(OR(Housemates!$C$13="",Housemates!$C$13&lt;=$B468),OR(Housemates!$D$13="",Housemates!$D$13&gt;=$B468)),IF($Q468=0,1,INDEX(Bills!$AF$6:$AF$25,$Q468)),0))))</f>
        <v/>
      </c>
      <c r="Y468">
        <f>IF(OR($D468="",$B468="",Housemates!$B$14=""),0,IF($R468&gt;0,IF(L468="",0,IF(ISNUMBER(L468),L468,1)),IF($C468="Paying back",0,IF(AND(OR(Housemates!$C$14="",Housemates!$C$14&lt;=$B468),OR(Housemates!$D$14="",Housemates!$D$14&gt;=$B468)),IF($Q468=0,1,INDEX(Bills!$AG$6:$AG$25,$Q468)),0))))</f>
        <v/>
      </c>
      <c r="Z468">
        <f>IF(OR($D468="",$B468="",Housemates!$B$15=""),0,IF($R468&gt;0,IF(M468="",0,IF(ISNUMBER(M468),M468,1)),IF($C468="Paying back",0,IF(AND(OR(Housemates!$C$15="",Housemates!$C$15&lt;=$B468),OR(Housemates!$D$15="",Housemates!$D$15&gt;=$B468)),IF($Q468=0,1,INDEX(Bills!$AH$6:$AH$25,$Q468)),0))))</f>
        <v/>
      </c>
      <c r="AA468">
        <f>SUM(S468:Z468)</f>
        <v/>
      </c>
      <c r="AB468">
        <f>IF(AA468=0,0,D468*S468/AA468)</f>
        <v/>
      </c>
      <c r="AC468">
        <f>IF(AA468=0,0,D468*T468/AA468)</f>
        <v/>
      </c>
      <c r="AD468">
        <f>IF(AA468=0,0,D468*U468/AA468)</f>
        <v/>
      </c>
      <c r="AE468">
        <f>IF(AA468=0,0,D468*V468/AA468)</f>
        <v/>
      </c>
      <c r="AF468">
        <f>IF(AA468=0,0,D468*W468/AA468)</f>
        <v/>
      </c>
      <c r="AG468">
        <f>IF(AA468=0,0,D468*X468/AA468)</f>
        <v/>
      </c>
      <c r="AH468">
        <f>IF(AA468=0,0,D468*Y468/AA468)</f>
        <v/>
      </c>
      <c r="AI468">
        <f>IF(AA468=0,0,D468*Z468/AA468)</f>
        <v/>
      </c>
      <c r="AJ468">
        <f>IF(OR(C468="",B468=""),"",C468&amp;"|"&amp;(YEAR(B468)*100+MONTH(B468)))</f>
        <v/>
      </c>
    </row>
    <row r="469">
      <c r="A469" s="1" t="n"/>
      <c r="B469" s="23" t="n"/>
      <c r="C469" s="24" t="n"/>
      <c r="D469" s="25" t="n"/>
      <c r="E469" s="26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1">
        <f>IF(D469="","",IF(B469="","No date",IF(AND(C469="Paying back",R469=0),"To whom?",IF(AA469=0,"Nobody",IF(C469="Paying back","To "&amp;INDEX(Housemates!$B$8:$B$15,MATCH(MAX(S469:Z469),S469:Z469,0)),IF(R469&gt;0,IF(COUNTIF(S469:Z469,"&gt;0")=1,"1 person",COUNTIF(S469:Z469,"&gt;0")&amp;" people"),IF(Q469=0,"Everyone",INDEX(Bills!$Q$6:$Q$25,Q469))))))))</f>
        <v/>
      </c>
      <c r="O469" s="18">
        <f>IF(D469="","",IF(C469="Paying back","Paying back",IF(Q469=0,"Other",IF(INDEX(Bills!$C$6:$C$25,Q469)="","Other",INDEX(Bills!$C$6:$C$25,Q469)))))</f>
        <v/>
      </c>
      <c r="P469" s="1" t="n"/>
      <c r="Q469">
        <f>IF(C469="",0,IFERROR(MATCH(C469,Bills!$B$6:$B$25,0),0))</f>
        <v/>
      </c>
      <c r="R469">
        <f>COUNTA(F469:M469)</f>
        <v/>
      </c>
      <c r="S469">
        <f>IF(OR($D469="",$B469="",Housemates!$B$8=""),0,IF($R469&gt;0,IF(F469="",0,IF(ISNUMBER(F469),F469,1)),IF($C469="Paying back",0,IF(AND(OR(Housemates!$C$8="",Housemates!$C$8&lt;=$B469),OR(Housemates!$D$8="",Housemates!$D$8&gt;=$B469)),IF($Q469=0,1,INDEX(Bills!$AA$6:$AA$25,$Q469)),0))))</f>
        <v/>
      </c>
      <c r="T469">
        <f>IF(OR($D469="",$B469="",Housemates!$B$9=""),0,IF($R469&gt;0,IF(G469="",0,IF(ISNUMBER(G469),G469,1)),IF($C469="Paying back",0,IF(AND(OR(Housemates!$C$9="",Housemates!$C$9&lt;=$B469),OR(Housemates!$D$9="",Housemates!$D$9&gt;=$B469)),IF($Q469=0,1,INDEX(Bills!$AB$6:$AB$25,$Q469)),0))))</f>
        <v/>
      </c>
      <c r="U469">
        <f>IF(OR($D469="",$B469="",Housemates!$B$10=""),0,IF($R469&gt;0,IF(H469="",0,IF(ISNUMBER(H469),H469,1)),IF($C469="Paying back",0,IF(AND(OR(Housemates!$C$10="",Housemates!$C$10&lt;=$B469),OR(Housemates!$D$10="",Housemates!$D$10&gt;=$B469)),IF($Q469=0,1,INDEX(Bills!$AC$6:$AC$25,$Q469)),0))))</f>
        <v/>
      </c>
      <c r="V469">
        <f>IF(OR($D469="",$B469="",Housemates!$B$11=""),0,IF($R469&gt;0,IF(I469="",0,IF(ISNUMBER(I469),I469,1)),IF($C469="Paying back",0,IF(AND(OR(Housemates!$C$11="",Housemates!$C$11&lt;=$B469),OR(Housemates!$D$11="",Housemates!$D$11&gt;=$B469)),IF($Q469=0,1,INDEX(Bills!$AD$6:$AD$25,$Q469)),0))))</f>
        <v/>
      </c>
      <c r="W469">
        <f>IF(OR($D469="",$B469="",Housemates!$B$12=""),0,IF($R469&gt;0,IF(J469="",0,IF(ISNUMBER(J469),J469,1)),IF($C469="Paying back",0,IF(AND(OR(Housemates!$C$12="",Housemates!$C$12&lt;=$B469),OR(Housemates!$D$12="",Housemates!$D$12&gt;=$B469)),IF($Q469=0,1,INDEX(Bills!$AE$6:$AE$25,$Q469)),0))))</f>
        <v/>
      </c>
      <c r="X469">
        <f>IF(OR($D469="",$B469="",Housemates!$B$13=""),0,IF($R469&gt;0,IF(K469="",0,IF(ISNUMBER(K469),K469,1)),IF($C469="Paying back",0,IF(AND(OR(Housemates!$C$13="",Housemates!$C$13&lt;=$B469),OR(Housemates!$D$13="",Housemates!$D$13&gt;=$B469)),IF($Q469=0,1,INDEX(Bills!$AF$6:$AF$25,$Q469)),0))))</f>
        <v/>
      </c>
      <c r="Y469">
        <f>IF(OR($D469="",$B469="",Housemates!$B$14=""),0,IF($R469&gt;0,IF(L469="",0,IF(ISNUMBER(L469),L469,1)),IF($C469="Paying back",0,IF(AND(OR(Housemates!$C$14="",Housemates!$C$14&lt;=$B469),OR(Housemates!$D$14="",Housemates!$D$14&gt;=$B469)),IF($Q469=0,1,INDEX(Bills!$AG$6:$AG$25,$Q469)),0))))</f>
        <v/>
      </c>
      <c r="Z469">
        <f>IF(OR($D469="",$B469="",Housemates!$B$15=""),0,IF($R469&gt;0,IF(M469="",0,IF(ISNUMBER(M469),M469,1)),IF($C469="Paying back",0,IF(AND(OR(Housemates!$C$15="",Housemates!$C$15&lt;=$B469),OR(Housemates!$D$15="",Housemates!$D$15&gt;=$B469)),IF($Q469=0,1,INDEX(Bills!$AH$6:$AH$25,$Q469)),0))))</f>
        <v/>
      </c>
      <c r="AA469">
        <f>SUM(S469:Z469)</f>
        <v/>
      </c>
      <c r="AB469">
        <f>IF(AA469=0,0,D469*S469/AA469)</f>
        <v/>
      </c>
      <c r="AC469">
        <f>IF(AA469=0,0,D469*T469/AA469)</f>
        <v/>
      </c>
      <c r="AD469">
        <f>IF(AA469=0,0,D469*U469/AA469)</f>
        <v/>
      </c>
      <c r="AE469">
        <f>IF(AA469=0,0,D469*V469/AA469)</f>
        <v/>
      </c>
      <c r="AF469">
        <f>IF(AA469=0,0,D469*W469/AA469)</f>
        <v/>
      </c>
      <c r="AG469">
        <f>IF(AA469=0,0,D469*X469/AA469)</f>
        <v/>
      </c>
      <c r="AH469">
        <f>IF(AA469=0,0,D469*Y469/AA469)</f>
        <v/>
      </c>
      <c r="AI469">
        <f>IF(AA469=0,0,D469*Z469/AA469)</f>
        <v/>
      </c>
      <c r="AJ469">
        <f>IF(OR(C469="",B469=""),"",C469&amp;"|"&amp;(YEAR(B469)*100+MONTH(B469)))</f>
        <v/>
      </c>
    </row>
    <row r="470">
      <c r="A470" s="1" t="n"/>
      <c r="B470" s="23" t="n"/>
      <c r="C470" s="24" t="n"/>
      <c r="D470" s="25" t="n"/>
      <c r="E470" s="26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1">
        <f>IF(D470="","",IF(B470="","No date",IF(AND(C470="Paying back",R470=0),"To whom?",IF(AA470=0,"Nobody",IF(C470="Paying back","To "&amp;INDEX(Housemates!$B$8:$B$15,MATCH(MAX(S470:Z470),S470:Z470,0)),IF(R470&gt;0,IF(COUNTIF(S470:Z470,"&gt;0")=1,"1 person",COUNTIF(S470:Z470,"&gt;0")&amp;" people"),IF(Q470=0,"Everyone",INDEX(Bills!$Q$6:$Q$25,Q470))))))))</f>
        <v/>
      </c>
      <c r="O470" s="18">
        <f>IF(D470="","",IF(C470="Paying back","Paying back",IF(Q470=0,"Other",IF(INDEX(Bills!$C$6:$C$25,Q470)="","Other",INDEX(Bills!$C$6:$C$25,Q470)))))</f>
        <v/>
      </c>
      <c r="P470" s="1" t="n"/>
      <c r="Q470">
        <f>IF(C470="",0,IFERROR(MATCH(C470,Bills!$B$6:$B$25,0),0))</f>
        <v/>
      </c>
      <c r="R470">
        <f>COUNTA(F470:M470)</f>
        <v/>
      </c>
      <c r="S470">
        <f>IF(OR($D470="",$B470="",Housemates!$B$8=""),0,IF($R470&gt;0,IF(F470="",0,IF(ISNUMBER(F470),F470,1)),IF($C470="Paying back",0,IF(AND(OR(Housemates!$C$8="",Housemates!$C$8&lt;=$B470),OR(Housemates!$D$8="",Housemates!$D$8&gt;=$B470)),IF($Q470=0,1,INDEX(Bills!$AA$6:$AA$25,$Q470)),0))))</f>
        <v/>
      </c>
      <c r="T470">
        <f>IF(OR($D470="",$B470="",Housemates!$B$9=""),0,IF($R470&gt;0,IF(G470="",0,IF(ISNUMBER(G470),G470,1)),IF($C470="Paying back",0,IF(AND(OR(Housemates!$C$9="",Housemates!$C$9&lt;=$B470),OR(Housemates!$D$9="",Housemates!$D$9&gt;=$B470)),IF($Q470=0,1,INDEX(Bills!$AB$6:$AB$25,$Q470)),0))))</f>
        <v/>
      </c>
      <c r="U470">
        <f>IF(OR($D470="",$B470="",Housemates!$B$10=""),0,IF($R470&gt;0,IF(H470="",0,IF(ISNUMBER(H470),H470,1)),IF($C470="Paying back",0,IF(AND(OR(Housemates!$C$10="",Housemates!$C$10&lt;=$B470),OR(Housemates!$D$10="",Housemates!$D$10&gt;=$B470)),IF($Q470=0,1,INDEX(Bills!$AC$6:$AC$25,$Q470)),0))))</f>
        <v/>
      </c>
      <c r="V470">
        <f>IF(OR($D470="",$B470="",Housemates!$B$11=""),0,IF($R470&gt;0,IF(I470="",0,IF(ISNUMBER(I470),I470,1)),IF($C470="Paying back",0,IF(AND(OR(Housemates!$C$11="",Housemates!$C$11&lt;=$B470),OR(Housemates!$D$11="",Housemates!$D$11&gt;=$B470)),IF($Q470=0,1,INDEX(Bills!$AD$6:$AD$25,$Q470)),0))))</f>
        <v/>
      </c>
      <c r="W470">
        <f>IF(OR($D470="",$B470="",Housemates!$B$12=""),0,IF($R470&gt;0,IF(J470="",0,IF(ISNUMBER(J470),J470,1)),IF($C470="Paying back",0,IF(AND(OR(Housemates!$C$12="",Housemates!$C$12&lt;=$B470),OR(Housemates!$D$12="",Housemates!$D$12&gt;=$B470)),IF($Q470=0,1,INDEX(Bills!$AE$6:$AE$25,$Q470)),0))))</f>
        <v/>
      </c>
      <c r="X470">
        <f>IF(OR($D470="",$B470="",Housemates!$B$13=""),0,IF($R470&gt;0,IF(K470="",0,IF(ISNUMBER(K470),K470,1)),IF($C470="Paying back",0,IF(AND(OR(Housemates!$C$13="",Housemates!$C$13&lt;=$B470),OR(Housemates!$D$13="",Housemates!$D$13&gt;=$B470)),IF($Q470=0,1,INDEX(Bills!$AF$6:$AF$25,$Q470)),0))))</f>
        <v/>
      </c>
      <c r="Y470">
        <f>IF(OR($D470="",$B470="",Housemates!$B$14=""),0,IF($R470&gt;0,IF(L470="",0,IF(ISNUMBER(L470),L470,1)),IF($C470="Paying back",0,IF(AND(OR(Housemates!$C$14="",Housemates!$C$14&lt;=$B470),OR(Housemates!$D$14="",Housemates!$D$14&gt;=$B470)),IF($Q470=0,1,INDEX(Bills!$AG$6:$AG$25,$Q470)),0))))</f>
        <v/>
      </c>
      <c r="Z470">
        <f>IF(OR($D470="",$B470="",Housemates!$B$15=""),0,IF($R470&gt;0,IF(M470="",0,IF(ISNUMBER(M470),M470,1)),IF($C470="Paying back",0,IF(AND(OR(Housemates!$C$15="",Housemates!$C$15&lt;=$B470),OR(Housemates!$D$15="",Housemates!$D$15&gt;=$B470)),IF($Q470=0,1,INDEX(Bills!$AH$6:$AH$25,$Q470)),0))))</f>
        <v/>
      </c>
      <c r="AA470">
        <f>SUM(S470:Z470)</f>
        <v/>
      </c>
      <c r="AB470">
        <f>IF(AA470=0,0,D470*S470/AA470)</f>
        <v/>
      </c>
      <c r="AC470">
        <f>IF(AA470=0,0,D470*T470/AA470)</f>
        <v/>
      </c>
      <c r="AD470">
        <f>IF(AA470=0,0,D470*U470/AA470)</f>
        <v/>
      </c>
      <c r="AE470">
        <f>IF(AA470=0,0,D470*V470/AA470)</f>
        <v/>
      </c>
      <c r="AF470">
        <f>IF(AA470=0,0,D470*W470/AA470)</f>
        <v/>
      </c>
      <c r="AG470">
        <f>IF(AA470=0,0,D470*X470/AA470)</f>
        <v/>
      </c>
      <c r="AH470">
        <f>IF(AA470=0,0,D470*Y470/AA470)</f>
        <v/>
      </c>
      <c r="AI470">
        <f>IF(AA470=0,0,D470*Z470/AA470)</f>
        <v/>
      </c>
      <c r="AJ470">
        <f>IF(OR(C470="",B470=""),"",C470&amp;"|"&amp;(YEAR(B470)*100+MONTH(B470)))</f>
        <v/>
      </c>
    </row>
    <row r="471">
      <c r="A471" s="1" t="n"/>
      <c r="B471" s="23" t="n"/>
      <c r="C471" s="24" t="n"/>
      <c r="D471" s="25" t="n"/>
      <c r="E471" s="26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1">
        <f>IF(D471="","",IF(B471="","No date",IF(AND(C471="Paying back",R471=0),"To whom?",IF(AA471=0,"Nobody",IF(C471="Paying back","To "&amp;INDEX(Housemates!$B$8:$B$15,MATCH(MAX(S471:Z471),S471:Z471,0)),IF(R471&gt;0,IF(COUNTIF(S471:Z471,"&gt;0")=1,"1 person",COUNTIF(S471:Z471,"&gt;0")&amp;" people"),IF(Q471=0,"Everyone",INDEX(Bills!$Q$6:$Q$25,Q471))))))))</f>
        <v/>
      </c>
      <c r="O471" s="18">
        <f>IF(D471="","",IF(C471="Paying back","Paying back",IF(Q471=0,"Other",IF(INDEX(Bills!$C$6:$C$25,Q471)="","Other",INDEX(Bills!$C$6:$C$25,Q471)))))</f>
        <v/>
      </c>
      <c r="P471" s="1" t="n"/>
      <c r="Q471">
        <f>IF(C471="",0,IFERROR(MATCH(C471,Bills!$B$6:$B$25,0),0))</f>
        <v/>
      </c>
      <c r="R471">
        <f>COUNTA(F471:M471)</f>
        <v/>
      </c>
      <c r="S471">
        <f>IF(OR($D471="",$B471="",Housemates!$B$8=""),0,IF($R471&gt;0,IF(F471="",0,IF(ISNUMBER(F471),F471,1)),IF($C471="Paying back",0,IF(AND(OR(Housemates!$C$8="",Housemates!$C$8&lt;=$B471),OR(Housemates!$D$8="",Housemates!$D$8&gt;=$B471)),IF($Q471=0,1,INDEX(Bills!$AA$6:$AA$25,$Q471)),0))))</f>
        <v/>
      </c>
      <c r="T471">
        <f>IF(OR($D471="",$B471="",Housemates!$B$9=""),0,IF($R471&gt;0,IF(G471="",0,IF(ISNUMBER(G471),G471,1)),IF($C471="Paying back",0,IF(AND(OR(Housemates!$C$9="",Housemates!$C$9&lt;=$B471),OR(Housemates!$D$9="",Housemates!$D$9&gt;=$B471)),IF($Q471=0,1,INDEX(Bills!$AB$6:$AB$25,$Q471)),0))))</f>
        <v/>
      </c>
      <c r="U471">
        <f>IF(OR($D471="",$B471="",Housemates!$B$10=""),0,IF($R471&gt;0,IF(H471="",0,IF(ISNUMBER(H471),H471,1)),IF($C471="Paying back",0,IF(AND(OR(Housemates!$C$10="",Housemates!$C$10&lt;=$B471),OR(Housemates!$D$10="",Housemates!$D$10&gt;=$B471)),IF($Q471=0,1,INDEX(Bills!$AC$6:$AC$25,$Q471)),0))))</f>
        <v/>
      </c>
      <c r="V471">
        <f>IF(OR($D471="",$B471="",Housemates!$B$11=""),0,IF($R471&gt;0,IF(I471="",0,IF(ISNUMBER(I471),I471,1)),IF($C471="Paying back",0,IF(AND(OR(Housemates!$C$11="",Housemates!$C$11&lt;=$B471),OR(Housemates!$D$11="",Housemates!$D$11&gt;=$B471)),IF($Q471=0,1,INDEX(Bills!$AD$6:$AD$25,$Q471)),0))))</f>
        <v/>
      </c>
      <c r="W471">
        <f>IF(OR($D471="",$B471="",Housemates!$B$12=""),0,IF($R471&gt;0,IF(J471="",0,IF(ISNUMBER(J471),J471,1)),IF($C471="Paying back",0,IF(AND(OR(Housemates!$C$12="",Housemates!$C$12&lt;=$B471),OR(Housemates!$D$12="",Housemates!$D$12&gt;=$B471)),IF($Q471=0,1,INDEX(Bills!$AE$6:$AE$25,$Q471)),0))))</f>
        <v/>
      </c>
      <c r="X471">
        <f>IF(OR($D471="",$B471="",Housemates!$B$13=""),0,IF($R471&gt;0,IF(K471="",0,IF(ISNUMBER(K471),K471,1)),IF($C471="Paying back",0,IF(AND(OR(Housemates!$C$13="",Housemates!$C$13&lt;=$B471),OR(Housemates!$D$13="",Housemates!$D$13&gt;=$B471)),IF($Q471=0,1,INDEX(Bills!$AF$6:$AF$25,$Q471)),0))))</f>
        <v/>
      </c>
      <c r="Y471">
        <f>IF(OR($D471="",$B471="",Housemates!$B$14=""),0,IF($R471&gt;0,IF(L471="",0,IF(ISNUMBER(L471),L471,1)),IF($C471="Paying back",0,IF(AND(OR(Housemates!$C$14="",Housemates!$C$14&lt;=$B471),OR(Housemates!$D$14="",Housemates!$D$14&gt;=$B471)),IF($Q471=0,1,INDEX(Bills!$AG$6:$AG$25,$Q471)),0))))</f>
        <v/>
      </c>
      <c r="Z471">
        <f>IF(OR($D471="",$B471="",Housemates!$B$15=""),0,IF($R471&gt;0,IF(M471="",0,IF(ISNUMBER(M471),M471,1)),IF($C471="Paying back",0,IF(AND(OR(Housemates!$C$15="",Housemates!$C$15&lt;=$B471),OR(Housemates!$D$15="",Housemates!$D$15&gt;=$B471)),IF($Q471=0,1,INDEX(Bills!$AH$6:$AH$25,$Q471)),0))))</f>
        <v/>
      </c>
      <c r="AA471">
        <f>SUM(S471:Z471)</f>
        <v/>
      </c>
      <c r="AB471">
        <f>IF(AA471=0,0,D471*S471/AA471)</f>
        <v/>
      </c>
      <c r="AC471">
        <f>IF(AA471=0,0,D471*T471/AA471)</f>
        <v/>
      </c>
      <c r="AD471">
        <f>IF(AA471=0,0,D471*U471/AA471)</f>
        <v/>
      </c>
      <c r="AE471">
        <f>IF(AA471=0,0,D471*V471/AA471)</f>
        <v/>
      </c>
      <c r="AF471">
        <f>IF(AA471=0,0,D471*W471/AA471)</f>
        <v/>
      </c>
      <c r="AG471">
        <f>IF(AA471=0,0,D471*X471/AA471)</f>
        <v/>
      </c>
      <c r="AH471">
        <f>IF(AA471=0,0,D471*Y471/AA471)</f>
        <v/>
      </c>
      <c r="AI471">
        <f>IF(AA471=0,0,D471*Z471/AA471)</f>
        <v/>
      </c>
      <c r="AJ471">
        <f>IF(OR(C471="",B471=""),"",C471&amp;"|"&amp;(YEAR(B471)*100+MONTH(B471)))</f>
        <v/>
      </c>
    </row>
    <row r="472">
      <c r="A472" s="1" t="n"/>
      <c r="B472" s="23" t="n"/>
      <c r="C472" s="24" t="n"/>
      <c r="D472" s="25" t="n"/>
      <c r="E472" s="26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1">
        <f>IF(D472="","",IF(B472="","No date",IF(AND(C472="Paying back",R472=0),"To whom?",IF(AA472=0,"Nobody",IF(C472="Paying back","To "&amp;INDEX(Housemates!$B$8:$B$15,MATCH(MAX(S472:Z472),S472:Z472,0)),IF(R472&gt;0,IF(COUNTIF(S472:Z472,"&gt;0")=1,"1 person",COUNTIF(S472:Z472,"&gt;0")&amp;" people"),IF(Q472=0,"Everyone",INDEX(Bills!$Q$6:$Q$25,Q472))))))))</f>
        <v/>
      </c>
      <c r="O472" s="18">
        <f>IF(D472="","",IF(C472="Paying back","Paying back",IF(Q472=0,"Other",IF(INDEX(Bills!$C$6:$C$25,Q472)="","Other",INDEX(Bills!$C$6:$C$25,Q472)))))</f>
        <v/>
      </c>
      <c r="P472" s="1" t="n"/>
      <c r="Q472">
        <f>IF(C472="",0,IFERROR(MATCH(C472,Bills!$B$6:$B$25,0),0))</f>
        <v/>
      </c>
      <c r="R472">
        <f>COUNTA(F472:M472)</f>
        <v/>
      </c>
      <c r="S472">
        <f>IF(OR($D472="",$B472="",Housemates!$B$8=""),0,IF($R472&gt;0,IF(F472="",0,IF(ISNUMBER(F472),F472,1)),IF($C472="Paying back",0,IF(AND(OR(Housemates!$C$8="",Housemates!$C$8&lt;=$B472),OR(Housemates!$D$8="",Housemates!$D$8&gt;=$B472)),IF($Q472=0,1,INDEX(Bills!$AA$6:$AA$25,$Q472)),0))))</f>
        <v/>
      </c>
      <c r="T472">
        <f>IF(OR($D472="",$B472="",Housemates!$B$9=""),0,IF($R472&gt;0,IF(G472="",0,IF(ISNUMBER(G472),G472,1)),IF($C472="Paying back",0,IF(AND(OR(Housemates!$C$9="",Housemates!$C$9&lt;=$B472),OR(Housemates!$D$9="",Housemates!$D$9&gt;=$B472)),IF($Q472=0,1,INDEX(Bills!$AB$6:$AB$25,$Q472)),0))))</f>
        <v/>
      </c>
      <c r="U472">
        <f>IF(OR($D472="",$B472="",Housemates!$B$10=""),0,IF($R472&gt;0,IF(H472="",0,IF(ISNUMBER(H472),H472,1)),IF($C472="Paying back",0,IF(AND(OR(Housemates!$C$10="",Housemates!$C$10&lt;=$B472),OR(Housemates!$D$10="",Housemates!$D$10&gt;=$B472)),IF($Q472=0,1,INDEX(Bills!$AC$6:$AC$25,$Q472)),0))))</f>
        <v/>
      </c>
      <c r="V472">
        <f>IF(OR($D472="",$B472="",Housemates!$B$11=""),0,IF($R472&gt;0,IF(I472="",0,IF(ISNUMBER(I472),I472,1)),IF($C472="Paying back",0,IF(AND(OR(Housemates!$C$11="",Housemates!$C$11&lt;=$B472),OR(Housemates!$D$11="",Housemates!$D$11&gt;=$B472)),IF($Q472=0,1,INDEX(Bills!$AD$6:$AD$25,$Q472)),0))))</f>
        <v/>
      </c>
      <c r="W472">
        <f>IF(OR($D472="",$B472="",Housemates!$B$12=""),0,IF($R472&gt;0,IF(J472="",0,IF(ISNUMBER(J472),J472,1)),IF($C472="Paying back",0,IF(AND(OR(Housemates!$C$12="",Housemates!$C$12&lt;=$B472),OR(Housemates!$D$12="",Housemates!$D$12&gt;=$B472)),IF($Q472=0,1,INDEX(Bills!$AE$6:$AE$25,$Q472)),0))))</f>
        <v/>
      </c>
      <c r="X472">
        <f>IF(OR($D472="",$B472="",Housemates!$B$13=""),0,IF($R472&gt;0,IF(K472="",0,IF(ISNUMBER(K472),K472,1)),IF($C472="Paying back",0,IF(AND(OR(Housemates!$C$13="",Housemates!$C$13&lt;=$B472),OR(Housemates!$D$13="",Housemates!$D$13&gt;=$B472)),IF($Q472=0,1,INDEX(Bills!$AF$6:$AF$25,$Q472)),0))))</f>
        <v/>
      </c>
      <c r="Y472">
        <f>IF(OR($D472="",$B472="",Housemates!$B$14=""),0,IF($R472&gt;0,IF(L472="",0,IF(ISNUMBER(L472),L472,1)),IF($C472="Paying back",0,IF(AND(OR(Housemates!$C$14="",Housemates!$C$14&lt;=$B472),OR(Housemates!$D$14="",Housemates!$D$14&gt;=$B472)),IF($Q472=0,1,INDEX(Bills!$AG$6:$AG$25,$Q472)),0))))</f>
        <v/>
      </c>
      <c r="Z472">
        <f>IF(OR($D472="",$B472="",Housemates!$B$15=""),0,IF($R472&gt;0,IF(M472="",0,IF(ISNUMBER(M472),M472,1)),IF($C472="Paying back",0,IF(AND(OR(Housemates!$C$15="",Housemates!$C$15&lt;=$B472),OR(Housemates!$D$15="",Housemates!$D$15&gt;=$B472)),IF($Q472=0,1,INDEX(Bills!$AH$6:$AH$25,$Q472)),0))))</f>
        <v/>
      </c>
      <c r="AA472">
        <f>SUM(S472:Z472)</f>
        <v/>
      </c>
      <c r="AB472">
        <f>IF(AA472=0,0,D472*S472/AA472)</f>
        <v/>
      </c>
      <c r="AC472">
        <f>IF(AA472=0,0,D472*T472/AA472)</f>
        <v/>
      </c>
      <c r="AD472">
        <f>IF(AA472=0,0,D472*U472/AA472)</f>
        <v/>
      </c>
      <c r="AE472">
        <f>IF(AA472=0,0,D472*V472/AA472)</f>
        <v/>
      </c>
      <c r="AF472">
        <f>IF(AA472=0,0,D472*W472/AA472)</f>
        <v/>
      </c>
      <c r="AG472">
        <f>IF(AA472=0,0,D472*X472/AA472)</f>
        <v/>
      </c>
      <c r="AH472">
        <f>IF(AA472=0,0,D472*Y472/AA472)</f>
        <v/>
      </c>
      <c r="AI472">
        <f>IF(AA472=0,0,D472*Z472/AA472)</f>
        <v/>
      </c>
      <c r="AJ472">
        <f>IF(OR(C472="",B472=""),"",C472&amp;"|"&amp;(YEAR(B472)*100+MONTH(B472)))</f>
        <v/>
      </c>
    </row>
    <row r="473">
      <c r="A473" s="1" t="n"/>
      <c r="B473" s="23" t="n"/>
      <c r="C473" s="24" t="n"/>
      <c r="D473" s="25" t="n"/>
      <c r="E473" s="26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1">
        <f>IF(D473="","",IF(B473="","No date",IF(AND(C473="Paying back",R473=0),"To whom?",IF(AA473=0,"Nobody",IF(C473="Paying back","To "&amp;INDEX(Housemates!$B$8:$B$15,MATCH(MAX(S473:Z473),S473:Z473,0)),IF(R473&gt;0,IF(COUNTIF(S473:Z473,"&gt;0")=1,"1 person",COUNTIF(S473:Z473,"&gt;0")&amp;" people"),IF(Q473=0,"Everyone",INDEX(Bills!$Q$6:$Q$25,Q473))))))))</f>
        <v/>
      </c>
      <c r="O473" s="18">
        <f>IF(D473="","",IF(C473="Paying back","Paying back",IF(Q473=0,"Other",IF(INDEX(Bills!$C$6:$C$25,Q473)="","Other",INDEX(Bills!$C$6:$C$25,Q473)))))</f>
        <v/>
      </c>
      <c r="P473" s="1" t="n"/>
      <c r="Q473">
        <f>IF(C473="",0,IFERROR(MATCH(C473,Bills!$B$6:$B$25,0),0))</f>
        <v/>
      </c>
      <c r="R473">
        <f>COUNTA(F473:M473)</f>
        <v/>
      </c>
      <c r="S473">
        <f>IF(OR($D473="",$B473="",Housemates!$B$8=""),0,IF($R473&gt;0,IF(F473="",0,IF(ISNUMBER(F473),F473,1)),IF($C473="Paying back",0,IF(AND(OR(Housemates!$C$8="",Housemates!$C$8&lt;=$B473),OR(Housemates!$D$8="",Housemates!$D$8&gt;=$B473)),IF($Q473=0,1,INDEX(Bills!$AA$6:$AA$25,$Q473)),0))))</f>
        <v/>
      </c>
      <c r="T473">
        <f>IF(OR($D473="",$B473="",Housemates!$B$9=""),0,IF($R473&gt;0,IF(G473="",0,IF(ISNUMBER(G473),G473,1)),IF($C473="Paying back",0,IF(AND(OR(Housemates!$C$9="",Housemates!$C$9&lt;=$B473),OR(Housemates!$D$9="",Housemates!$D$9&gt;=$B473)),IF($Q473=0,1,INDEX(Bills!$AB$6:$AB$25,$Q473)),0))))</f>
        <v/>
      </c>
      <c r="U473">
        <f>IF(OR($D473="",$B473="",Housemates!$B$10=""),0,IF($R473&gt;0,IF(H473="",0,IF(ISNUMBER(H473),H473,1)),IF($C473="Paying back",0,IF(AND(OR(Housemates!$C$10="",Housemates!$C$10&lt;=$B473),OR(Housemates!$D$10="",Housemates!$D$10&gt;=$B473)),IF($Q473=0,1,INDEX(Bills!$AC$6:$AC$25,$Q473)),0))))</f>
        <v/>
      </c>
      <c r="V473">
        <f>IF(OR($D473="",$B473="",Housemates!$B$11=""),0,IF($R473&gt;0,IF(I473="",0,IF(ISNUMBER(I473),I473,1)),IF($C473="Paying back",0,IF(AND(OR(Housemates!$C$11="",Housemates!$C$11&lt;=$B473),OR(Housemates!$D$11="",Housemates!$D$11&gt;=$B473)),IF($Q473=0,1,INDEX(Bills!$AD$6:$AD$25,$Q473)),0))))</f>
        <v/>
      </c>
      <c r="W473">
        <f>IF(OR($D473="",$B473="",Housemates!$B$12=""),0,IF($R473&gt;0,IF(J473="",0,IF(ISNUMBER(J473),J473,1)),IF($C473="Paying back",0,IF(AND(OR(Housemates!$C$12="",Housemates!$C$12&lt;=$B473),OR(Housemates!$D$12="",Housemates!$D$12&gt;=$B473)),IF($Q473=0,1,INDEX(Bills!$AE$6:$AE$25,$Q473)),0))))</f>
        <v/>
      </c>
      <c r="X473">
        <f>IF(OR($D473="",$B473="",Housemates!$B$13=""),0,IF($R473&gt;0,IF(K473="",0,IF(ISNUMBER(K473),K473,1)),IF($C473="Paying back",0,IF(AND(OR(Housemates!$C$13="",Housemates!$C$13&lt;=$B473),OR(Housemates!$D$13="",Housemates!$D$13&gt;=$B473)),IF($Q473=0,1,INDEX(Bills!$AF$6:$AF$25,$Q473)),0))))</f>
        <v/>
      </c>
      <c r="Y473">
        <f>IF(OR($D473="",$B473="",Housemates!$B$14=""),0,IF($R473&gt;0,IF(L473="",0,IF(ISNUMBER(L473),L473,1)),IF($C473="Paying back",0,IF(AND(OR(Housemates!$C$14="",Housemates!$C$14&lt;=$B473),OR(Housemates!$D$14="",Housemates!$D$14&gt;=$B473)),IF($Q473=0,1,INDEX(Bills!$AG$6:$AG$25,$Q473)),0))))</f>
        <v/>
      </c>
      <c r="Z473">
        <f>IF(OR($D473="",$B473="",Housemates!$B$15=""),0,IF($R473&gt;0,IF(M473="",0,IF(ISNUMBER(M473),M473,1)),IF($C473="Paying back",0,IF(AND(OR(Housemates!$C$15="",Housemates!$C$15&lt;=$B473),OR(Housemates!$D$15="",Housemates!$D$15&gt;=$B473)),IF($Q473=0,1,INDEX(Bills!$AH$6:$AH$25,$Q473)),0))))</f>
        <v/>
      </c>
      <c r="AA473">
        <f>SUM(S473:Z473)</f>
        <v/>
      </c>
      <c r="AB473">
        <f>IF(AA473=0,0,D473*S473/AA473)</f>
        <v/>
      </c>
      <c r="AC473">
        <f>IF(AA473=0,0,D473*T473/AA473)</f>
        <v/>
      </c>
      <c r="AD473">
        <f>IF(AA473=0,0,D473*U473/AA473)</f>
        <v/>
      </c>
      <c r="AE473">
        <f>IF(AA473=0,0,D473*V473/AA473)</f>
        <v/>
      </c>
      <c r="AF473">
        <f>IF(AA473=0,0,D473*W473/AA473)</f>
        <v/>
      </c>
      <c r="AG473">
        <f>IF(AA473=0,0,D473*X473/AA473)</f>
        <v/>
      </c>
      <c r="AH473">
        <f>IF(AA473=0,0,D473*Y473/AA473)</f>
        <v/>
      </c>
      <c r="AI473">
        <f>IF(AA473=0,0,D473*Z473/AA473)</f>
        <v/>
      </c>
      <c r="AJ473">
        <f>IF(OR(C473="",B473=""),"",C473&amp;"|"&amp;(YEAR(B473)*100+MONTH(B473)))</f>
        <v/>
      </c>
    </row>
    <row r="474">
      <c r="A474" s="1" t="n"/>
      <c r="B474" s="23" t="n"/>
      <c r="C474" s="24" t="n"/>
      <c r="D474" s="25" t="n"/>
      <c r="E474" s="26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1">
        <f>IF(D474="","",IF(B474="","No date",IF(AND(C474="Paying back",R474=0),"To whom?",IF(AA474=0,"Nobody",IF(C474="Paying back","To "&amp;INDEX(Housemates!$B$8:$B$15,MATCH(MAX(S474:Z474),S474:Z474,0)),IF(R474&gt;0,IF(COUNTIF(S474:Z474,"&gt;0")=1,"1 person",COUNTIF(S474:Z474,"&gt;0")&amp;" people"),IF(Q474=0,"Everyone",INDEX(Bills!$Q$6:$Q$25,Q474))))))))</f>
        <v/>
      </c>
      <c r="O474" s="18">
        <f>IF(D474="","",IF(C474="Paying back","Paying back",IF(Q474=0,"Other",IF(INDEX(Bills!$C$6:$C$25,Q474)="","Other",INDEX(Bills!$C$6:$C$25,Q474)))))</f>
        <v/>
      </c>
      <c r="P474" s="1" t="n"/>
      <c r="Q474">
        <f>IF(C474="",0,IFERROR(MATCH(C474,Bills!$B$6:$B$25,0),0))</f>
        <v/>
      </c>
      <c r="R474">
        <f>COUNTA(F474:M474)</f>
        <v/>
      </c>
      <c r="S474">
        <f>IF(OR($D474="",$B474="",Housemates!$B$8=""),0,IF($R474&gt;0,IF(F474="",0,IF(ISNUMBER(F474),F474,1)),IF($C474="Paying back",0,IF(AND(OR(Housemates!$C$8="",Housemates!$C$8&lt;=$B474),OR(Housemates!$D$8="",Housemates!$D$8&gt;=$B474)),IF($Q474=0,1,INDEX(Bills!$AA$6:$AA$25,$Q474)),0))))</f>
        <v/>
      </c>
      <c r="T474">
        <f>IF(OR($D474="",$B474="",Housemates!$B$9=""),0,IF($R474&gt;0,IF(G474="",0,IF(ISNUMBER(G474),G474,1)),IF($C474="Paying back",0,IF(AND(OR(Housemates!$C$9="",Housemates!$C$9&lt;=$B474),OR(Housemates!$D$9="",Housemates!$D$9&gt;=$B474)),IF($Q474=0,1,INDEX(Bills!$AB$6:$AB$25,$Q474)),0))))</f>
        <v/>
      </c>
      <c r="U474">
        <f>IF(OR($D474="",$B474="",Housemates!$B$10=""),0,IF($R474&gt;0,IF(H474="",0,IF(ISNUMBER(H474),H474,1)),IF($C474="Paying back",0,IF(AND(OR(Housemates!$C$10="",Housemates!$C$10&lt;=$B474),OR(Housemates!$D$10="",Housemates!$D$10&gt;=$B474)),IF($Q474=0,1,INDEX(Bills!$AC$6:$AC$25,$Q474)),0))))</f>
        <v/>
      </c>
      <c r="V474">
        <f>IF(OR($D474="",$B474="",Housemates!$B$11=""),0,IF($R474&gt;0,IF(I474="",0,IF(ISNUMBER(I474),I474,1)),IF($C474="Paying back",0,IF(AND(OR(Housemates!$C$11="",Housemates!$C$11&lt;=$B474),OR(Housemates!$D$11="",Housemates!$D$11&gt;=$B474)),IF($Q474=0,1,INDEX(Bills!$AD$6:$AD$25,$Q474)),0))))</f>
        <v/>
      </c>
      <c r="W474">
        <f>IF(OR($D474="",$B474="",Housemates!$B$12=""),0,IF($R474&gt;0,IF(J474="",0,IF(ISNUMBER(J474),J474,1)),IF($C474="Paying back",0,IF(AND(OR(Housemates!$C$12="",Housemates!$C$12&lt;=$B474),OR(Housemates!$D$12="",Housemates!$D$12&gt;=$B474)),IF($Q474=0,1,INDEX(Bills!$AE$6:$AE$25,$Q474)),0))))</f>
        <v/>
      </c>
      <c r="X474">
        <f>IF(OR($D474="",$B474="",Housemates!$B$13=""),0,IF($R474&gt;0,IF(K474="",0,IF(ISNUMBER(K474),K474,1)),IF($C474="Paying back",0,IF(AND(OR(Housemates!$C$13="",Housemates!$C$13&lt;=$B474),OR(Housemates!$D$13="",Housemates!$D$13&gt;=$B474)),IF($Q474=0,1,INDEX(Bills!$AF$6:$AF$25,$Q474)),0))))</f>
        <v/>
      </c>
      <c r="Y474">
        <f>IF(OR($D474="",$B474="",Housemates!$B$14=""),0,IF($R474&gt;0,IF(L474="",0,IF(ISNUMBER(L474),L474,1)),IF($C474="Paying back",0,IF(AND(OR(Housemates!$C$14="",Housemates!$C$14&lt;=$B474),OR(Housemates!$D$14="",Housemates!$D$14&gt;=$B474)),IF($Q474=0,1,INDEX(Bills!$AG$6:$AG$25,$Q474)),0))))</f>
        <v/>
      </c>
      <c r="Z474">
        <f>IF(OR($D474="",$B474="",Housemates!$B$15=""),0,IF($R474&gt;0,IF(M474="",0,IF(ISNUMBER(M474),M474,1)),IF($C474="Paying back",0,IF(AND(OR(Housemates!$C$15="",Housemates!$C$15&lt;=$B474),OR(Housemates!$D$15="",Housemates!$D$15&gt;=$B474)),IF($Q474=0,1,INDEX(Bills!$AH$6:$AH$25,$Q474)),0))))</f>
        <v/>
      </c>
      <c r="AA474">
        <f>SUM(S474:Z474)</f>
        <v/>
      </c>
      <c r="AB474">
        <f>IF(AA474=0,0,D474*S474/AA474)</f>
        <v/>
      </c>
      <c r="AC474">
        <f>IF(AA474=0,0,D474*T474/AA474)</f>
        <v/>
      </c>
      <c r="AD474">
        <f>IF(AA474=0,0,D474*U474/AA474)</f>
        <v/>
      </c>
      <c r="AE474">
        <f>IF(AA474=0,0,D474*V474/AA474)</f>
        <v/>
      </c>
      <c r="AF474">
        <f>IF(AA474=0,0,D474*W474/AA474)</f>
        <v/>
      </c>
      <c r="AG474">
        <f>IF(AA474=0,0,D474*X474/AA474)</f>
        <v/>
      </c>
      <c r="AH474">
        <f>IF(AA474=0,0,D474*Y474/AA474)</f>
        <v/>
      </c>
      <c r="AI474">
        <f>IF(AA474=0,0,D474*Z474/AA474)</f>
        <v/>
      </c>
      <c r="AJ474">
        <f>IF(OR(C474="",B474=""),"",C474&amp;"|"&amp;(YEAR(B474)*100+MONTH(B474)))</f>
        <v/>
      </c>
    </row>
    <row r="475">
      <c r="A475" s="1" t="n"/>
      <c r="B475" s="23" t="n"/>
      <c r="C475" s="24" t="n"/>
      <c r="D475" s="25" t="n"/>
      <c r="E475" s="26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1">
        <f>IF(D475="","",IF(B475="","No date",IF(AND(C475="Paying back",R475=0),"To whom?",IF(AA475=0,"Nobody",IF(C475="Paying back","To "&amp;INDEX(Housemates!$B$8:$B$15,MATCH(MAX(S475:Z475),S475:Z475,0)),IF(R475&gt;0,IF(COUNTIF(S475:Z475,"&gt;0")=1,"1 person",COUNTIF(S475:Z475,"&gt;0")&amp;" people"),IF(Q475=0,"Everyone",INDEX(Bills!$Q$6:$Q$25,Q475))))))))</f>
        <v/>
      </c>
      <c r="O475" s="18">
        <f>IF(D475="","",IF(C475="Paying back","Paying back",IF(Q475=0,"Other",IF(INDEX(Bills!$C$6:$C$25,Q475)="","Other",INDEX(Bills!$C$6:$C$25,Q475)))))</f>
        <v/>
      </c>
      <c r="P475" s="1" t="n"/>
      <c r="Q475">
        <f>IF(C475="",0,IFERROR(MATCH(C475,Bills!$B$6:$B$25,0),0))</f>
        <v/>
      </c>
      <c r="R475">
        <f>COUNTA(F475:M475)</f>
        <v/>
      </c>
      <c r="S475">
        <f>IF(OR($D475="",$B475="",Housemates!$B$8=""),0,IF($R475&gt;0,IF(F475="",0,IF(ISNUMBER(F475),F475,1)),IF($C475="Paying back",0,IF(AND(OR(Housemates!$C$8="",Housemates!$C$8&lt;=$B475),OR(Housemates!$D$8="",Housemates!$D$8&gt;=$B475)),IF($Q475=0,1,INDEX(Bills!$AA$6:$AA$25,$Q475)),0))))</f>
        <v/>
      </c>
      <c r="T475">
        <f>IF(OR($D475="",$B475="",Housemates!$B$9=""),0,IF($R475&gt;0,IF(G475="",0,IF(ISNUMBER(G475),G475,1)),IF($C475="Paying back",0,IF(AND(OR(Housemates!$C$9="",Housemates!$C$9&lt;=$B475),OR(Housemates!$D$9="",Housemates!$D$9&gt;=$B475)),IF($Q475=0,1,INDEX(Bills!$AB$6:$AB$25,$Q475)),0))))</f>
        <v/>
      </c>
      <c r="U475">
        <f>IF(OR($D475="",$B475="",Housemates!$B$10=""),0,IF($R475&gt;0,IF(H475="",0,IF(ISNUMBER(H475),H475,1)),IF($C475="Paying back",0,IF(AND(OR(Housemates!$C$10="",Housemates!$C$10&lt;=$B475),OR(Housemates!$D$10="",Housemates!$D$10&gt;=$B475)),IF($Q475=0,1,INDEX(Bills!$AC$6:$AC$25,$Q475)),0))))</f>
        <v/>
      </c>
      <c r="V475">
        <f>IF(OR($D475="",$B475="",Housemates!$B$11=""),0,IF($R475&gt;0,IF(I475="",0,IF(ISNUMBER(I475),I475,1)),IF($C475="Paying back",0,IF(AND(OR(Housemates!$C$11="",Housemates!$C$11&lt;=$B475),OR(Housemates!$D$11="",Housemates!$D$11&gt;=$B475)),IF($Q475=0,1,INDEX(Bills!$AD$6:$AD$25,$Q475)),0))))</f>
        <v/>
      </c>
      <c r="W475">
        <f>IF(OR($D475="",$B475="",Housemates!$B$12=""),0,IF($R475&gt;0,IF(J475="",0,IF(ISNUMBER(J475),J475,1)),IF($C475="Paying back",0,IF(AND(OR(Housemates!$C$12="",Housemates!$C$12&lt;=$B475),OR(Housemates!$D$12="",Housemates!$D$12&gt;=$B475)),IF($Q475=0,1,INDEX(Bills!$AE$6:$AE$25,$Q475)),0))))</f>
        <v/>
      </c>
      <c r="X475">
        <f>IF(OR($D475="",$B475="",Housemates!$B$13=""),0,IF($R475&gt;0,IF(K475="",0,IF(ISNUMBER(K475),K475,1)),IF($C475="Paying back",0,IF(AND(OR(Housemates!$C$13="",Housemates!$C$13&lt;=$B475),OR(Housemates!$D$13="",Housemates!$D$13&gt;=$B475)),IF($Q475=0,1,INDEX(Bills!$AF$6:$AF$25,$Q475)),0))))</f>
        <v/>
      </c>
      <c r="Y475">
        <f>IF(OR($D475="",$B475="",Housemates!$B$14=""),0,IF($R475&gt;0,IF(L475="",0,IF(ISNUMBER(L475),L475,1)),IF($C475="Paying back",0,IF(AND(OR(Housemates!$C$14="",Housemates!$C$14&lt;=$B475),OR(Housemates!$D$14="",Housemates!$D$14&gt;=$B475)),IF($Q475=0,1,INDEX(Bills!$AG$6:$AG$25,$Q475)),0))))</f>
        <v/>
      </c>
      <c r="Z475">
        <f>IF(OR($D475="",$B475="",Housemates!$B$15=""),0,IF($R475&gt;0,IF(M475="",0,IF(ISNUMBER(M475),M475,1)),IF($C475="Paying back",0,IF(AND(OR(Housemates!$C$15="",Housemates!$C$15&lt;=$B475),OR(Housemates!$D$15="",Housemates!$D$15&gt;=$B475)),IF($Q475=0,1,INDEX(Bills!$AH$6:$AH$25,$Q475)),0))))</f>
        <v/>
      </c>
      <c r="AA475">
        <f>SUM(S475:Z475)</f>
        <v/>
      </c>
      <c r="AB475">
        <f>IF(AA475=0,0,D475*S475/AA475)</f>
        <v/>
      </c>
      <c r="AC475">
        <f>IF(AA475=0,0,D475*T475/AA475)</f>
        <v/>
      </c>
      <c r="AD475">
        <f>IF(AA475=0,0,D475*U475/AA475)</f>
        <v/>
      </c>
      <c r="AE475">
        <f>IF(AA475=0,0,D475*V475/AA475)</f>
        <v/>
      </c>
      <c r="AF475">
        <f>IF(AA475=0,0,D475*W475/AA475)</f>
        <v/>
      </c>
      <c r="AG475">
        <f>IF(AA475=0,0,D475*X475/AA475)</f>
        <v/>
      </c>
      <c r="AH475">
        <f>IF(AA475=0,0,D475*Y475/AA475)</f>
        <v/>
      </c>
      <c r="AI475">
        <f>IF(AA475=0,0,D475*Z475/AA475)</f>
        <v/>
      </c>
      <c r="AJ475">
        <f>IF(OR(C475="",B475=""),"",C475&amp;"|"&amp;(YEAR(B475)*100+MONTH(B475)))</f>
        <v/>
      </c>
    </row>
    <row r="476">
      <c r="A476" s="1" t="n"/>
      <c r="B476" s="23" t="n"/>
      <c r="C476" s="24" t="n"/>
      <c r="D476" s="25" t="n"/>
      <c r="E476" s="26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1">
        <f>IF(D476="","",IF(B476="","No date",IF(AND(C476="Paying back",R476=0),"To whom?",IF(AA476=0,"Nobody",IF(C476="Paying back","To "&amp;INDEX(Housemates!$B$8:$B$15,MATCH(MAX(S476:Z476),S476:Z476,0)),IF(R476&gt;0,IF(COUNTIF(S476:Z476,"&gt;0")=1,"1 person",COUNTIF(S476:Z476,"&gt;0")&amp;" people"),IF(Q476=0,"Everyone",INDEX(Bills!$Q$6:$Q$25,Q476))))))))</f>
        <v/>
      </c>
      <c r="O476" s="18">
        <f>IF(D476="","",IF(C476="Paying back","Paying back",IF(Q476=0,"Other",IF(INDEX(Bills!$C$6:$C$25,Q476)="","Other",INDEX(Bills!$C$6:$C$25,Q476)))))</f>
        <v/>
      </c>
      <c r="P476" s="1" t="n"/>
      <c r="Q476">
        <f>IF(C476="",0,IFERROR(MATCH(C476,Bills!$B$6:$B$25,0),0))</f>
        <v/>
      </c>
      <c r="R476">
        <f>COUNTA(F476:M476)</f>
        <v/>
      </c>
      <c r="S476">
        <f>IF(OR($D476="",$B476="",Housemates!$B$8=""),0,IF($R476&gt;0,IF(F476="",0,IF(ISNUMBER(F476),F476,1)),IF($C476="Paying back",0,IF(AND(OR(Housemates!$C$8="",Housemates!$C$8&lt;=$B476),OR(Housemates!$D$8="",Housemates!$D$8&gt;=$B476)),IF($Q476=0,1,INDEX(Bills!$AA$6:$AA$25,$Q476)),0))))</f>
        <v/>
      </c>
      <c r="T476">
        <f>IF(OR($D476="",$B476="",Housemates!$B$9=""),0,IF($R476&gt;0,IF(G476="",0,IF(ISNUMBER(G476),G476,1)),IF($C476="Paying back",0,IF(AND(OR(Housemates!$C$9="",Housemates!$C$9&lt;=$B476),OR(Housemates!$D$9="",Housemates!$D$9&gt;=$B476)),IF($Q476=0,1,INDEX(Bills!$AB$6:$AB$25,$Q476)),0))))</f>
        <v/>
      </c>
      <c r="U476">
        <f>IF(OR($D476="",$B476="",Housemates!$B$10=""),0,IF($R476&gt;0,IF(H476="",0,IF(ISNUMBER(H476),H476,1)),IF($C476="Paying back",0,IF(AND(OR(Housemates!$C$10="",Housemates!$C$10&lt;=$B476),OR(Housemates!$D$10="",Housemates!$D$10&gt;=$B476)),IF($Q476=0,1,INDEX(Bills!$AC$6:$AC$25,$Q476)),0))))</f>
        <v/>
      </c>
      <c r="V476">
        <f>IF(OR($D476="",$B476="",Housemates!$B$11=""),0,IF($R476&gt;0,IF(I476="",0,IF(ISNUMBER(I476),I476,1)),IF($C476="Paying back",0,IF(AND(OR(Housemates!$C$11="",Housemates!$C$11&lt;=$B476),OR(Housemates!$D$11="",Housemates!$D$11&gt;=$B476)),IF($Q476=0,1,INDEX(Bills!$AD$6:$AD$25,$Q476)),0))))</f>
        <v/>
      </c>
      <c r="W476">
        <f>IF(OR($D476="",$B476="",Housemates!$B$12=""),0,IF($R476&gt;0,IF(J476="",0,IF(ISNUMBER(J476),J476,1)),IF($C476="Paying back",0,IF(AND(OR(Housemates!$C$12="",Housemates!$C$12&lt;=$B476),OR(Housemates!$D$12="",Housemates!$D$12&gt;=$B476)),IF($Q476=0,1,INDEX(Bills!$AE$6:$AE$25,$Q476)),0))))</f>
        <v/>
      </c>
      <c r="X476">
        <f>IF(OR($D476="",$B476="",Housemates!$B$13=""),0,IF($R476&gt;0,IF(K476="",0,IF(ISNUMBER(K476),K476,1)),IF($C476="Paying back",0,IF(AND(OR(Housemates!$C$13="",Housemates!$C$13&lt;=$B476),OR(Housemates!$D$13="",Housemates!$D$13&gt;=$B476)),IF($Q476=0,1,INDEX(Bills!$AF$6:$AF$25,$Q476)),0))))</f>
        <v/>
      </c>
      <c r="Y476">
        <f>IF(OR($D476="",$B476="",Housemates!$B$14=""),0,IF($R476&gt;0,IF(L476="",0,IF(ISNUMBER(L476),L476,1)),IF($C476="Paying back",0,IF(AND(OR(Housemates!$C$14="",Housemates!$C$14&lt;=$B476),OR(Housemates!$D$14="",Housemates!$D$14&gt;=$B476)),IF($Q476=0,1,INDEX(Bills!$AG$6:$AG$25,$Q476)),0))))</f>
        <v/>
      </c>
      <c r="Z476">
        <f>IF(OR($D476="",$B476="",Housemates!$B$15=""),0,IF($R476&gt;0,IF(M476="",0,IF(ISNUMBER(M476),M476,1)),IF($C476="Paying back",0,IF(AND(OR(Housemates!$C$15="",Housemates!$C$15&lt;=$B476),OR(Housemates!$D$15="",Housemates!$D$15&gt;=$B476)),IF($Q476=0,1,INDEX(Bills!$AH$6:$AH$25,$Q476)),0))))</f>
        <v/>
      </c>
      <c r="AA476">
        <f>SUM(S476:Z476)</f>
        <v/>
      </c>
      <c r="AB476">
        <f>IF(AA476=0,0,D476*S476/AA476)</f>
        <v/>
      </c>
      <c r="AC476">
        <f>IF(AA476=0,0,D476*T476/AA476)</f>
        <v/>
      </c>
      <c r="AD476">
        <f>IF(AA476=0,0,D476*U476/AA476)</f>
        <v/>
      </c>
      <c r="AE476">
        <f>IF(AA476=0,0,D476*V476/AA476)</f>
        <v/>
      </c>
      <c r="AF476">
        <f>IF(AA476=0,0,D476*W476/AA476)</f>
        <v/>
      </c>
      <c r="AG476">
        <f>IF(AA476=0,0,D476*X476/AA476)</f>
        <v/>
      </c>
      <c r="AH476">
        <f>IF(AA476=0,0,D476*Y476/AA476)</f>
        <v/>
      </c>
      <c r="AI476">
        <f>IF(AA476=0,0,D476*Z476/AA476)</f>
        <v/>
      </c>
      <c r="AJ476">
        <f>IF(OR(C476="",B476=""),"",C476&amp;"|"&amp;(YEAR(B476)*100+MONTH(B476)))</f>
        <v/>
      </c>
    </row>
    <row r="477">
      <c r="A477" s="1" t="n"/>
      <c r="B477" s="23" t="n"/>
      <c r="C477" s="24" t="n"/>
      <c r="D477" s="25" t="n"/>
      <c r="E477" s="26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1">
        <f>IF(D477="","",IF(B477="","No date",IF(AND(C477="Paying back",R477=0),"To whom?",IF(AA477=0,"Nobody",IF(C477="Paying back","To "&amp;INDEX(Housemates!$B$8:$B$15,MATCH(MAX(S477:Z477),S477:Z477,0)),IF(R477&gt;0,IF(COUNTIF(S477:Z477,"&gt;0")=1,"1 person",COUNTIF(S477:Z477,"&gt;0")&amp;" people"),IF(Q477=0,"Everyone",INDEX(Bills!$Q$6:$Q$25,Q477))))))))</f>
        <v/>
      </c>
      <c r="O477" s="18">
        <f>IF(D477="","",IF(C477="Paying back","Paying back",IF(Q477=0,"Other",IF(INDEX(Bills!$C$6:$C$25,Q477)="","Other",INDEX(Bills!$C$6:$C$25,Q477)))))</f>
        <v/>
      </c>
      <c r="P477" s="1" t="n"/>
      <c r="Q477">
        <f>IF(C477="",0,IFERROR(MATCH(C477,Bills!$B$6:$B$25,0),0))</f>
        <v/>
      </c>
      <c r="R477">
        <f>COUNTA(F477:M477)</f>
        <v/>
      </c>
      <c r="S477">
        <f>IF(OR($D477="",$B477="",Housemates!$B$8=""),0,IF($R477&gt;0,IF(F477="",0,IF(ISNUMBER(F477),F477,1)),IF($C477="Paying back",0,IF(AND(OR(Housemates!$C$8="",Housemates!$C$8&lt;=$B477),OR(Housemates!$D$8="",Housemates!$D$8&gt;=$B477)),IF($Q477=0,1,INDEX(Bills!$AA$6:$AA$25,$Q477)),0))))</f>
        <v/>
      </c>
      <c r="T477">
        <f>IF(OR($D477="",$B477="",Housemates!$B$9=""),0,IF($R477&gt;0,IF(G477="",0,IF(ISNUMBER(G477),G477,1)),IF($C477="Paying back",0,IF(AND(OR(Housemates!$C$9="",Housemates!$C$9&lt;=$B477),OR(Housemates!$D$9="",Housemates!$D$9&gt;=$B477)),IF($Q477=0,1,INDEX(Bills!$AB$6:$AB$25,$Q477)),0))))</f>
        <v/>
      </c>
      <c r="U477">
        <f>IF(OR($D477="",$B477="",Housemates!$B$10=""),0,IF($R477&gt;0,IF(H477="",0,IF(ISNUMBER(H477),H477,1)),IF($C477="Paying back",0,IF(AND(OR(Housemates!$C$10="",Housemates!$C$10&lt;=$B477),OR(Housemates!$D$10="",Housemates!$D$10&gt;=$B477)),IF($Q477=0,1,INDEX(Bills!$AC$6:$AC$25,$Q477)),0))))</f>
        <v/>
      </c>
      <c r="V477">
        <f>IF(OR($D477="",$B477="",Housemates!$B$11=""),0,IF($R477&gt;0,IF(I477="",0,IF(ISNUMBER(I477),I477,1)),IF($C477="Paying back",0,IF(AND(OR(Housemates!$C$11="",Housemates!$C$11&lt;=$B477),OR(Housemates!$D$11="",Housemates!$D$11&gt;=$B477)),IF($Q477=0,1,INDEX(Bills!$AD$6:$AD$25,$Q477)),0))))</f>
        <v/>
      </c>
      <c r="W477">
        <f>IF(OR($D477="",$B477="",Housemates!$B$12=""),0,IF($R477&gt;0,IF(J477="",0,IF(ISNUMBER(J477),J477,1)),IF($C477="Paying back",0,IF(AND(OR(Housemates!$C$12="",Housemates!$C$12&lt;=$B477),OR(Housemates!$D$12="",Housemates!$D$12&gt;=$B477)),IF($Q477=0,1,INDEX(Bills!$AE$6:$AE$25,$Q477)),0))))</f>
        <v/>
      </c>
      <c r="X477">
        <f>IF(OR($D477="",$B477="",Housemates!$B$13=""),0,IF($R477&gt;0,IF(K477="",0,IF(ISNUMBER(K477),K477,1)),IF($C477="Paying back",0,IF(AND(OR(Housemates!$C$13="",Housemates!$C$13&lt;=$B477),OR(Housemates!$D$13="",Housemates!$D$13&gt;=$B477)),IF($Q477=0,1,INDEX(Bills!$AF$6:$AF$25,$Q477)),0))))</f>
        <v/>
      </c>
      <c r="Y477">
        <f>IF(OR($D477="",$B477="",Housemates!$B$14=""),0,IF($R477&gt;0,IF(L477="",0,IF(ISNUMBER(L477),L477,1)),IF($C477="Paying back",0,IF(AND(OR(Housemates!$C$14="",Housemates!$C$14&lt;=$B477),OR(Housemates!$D$14="",Housemates!$D$14&gt;=$B477)),IF($Q477=0,1,INDEX(Bills!$AG$6:$AG$25,$Q477)),0))))</f>
        <v/>
      </c>
      <c r="Z477">
        <f>IF(OR($D477="",$B477="",Housemates!$B$15=""),0,IF($R477&gt;0,IF(M477="",0,IF(ISNUMBER(M477),M477,1)),IF($C477="Paying back",0,IF(AND(OR(Housemates!$C$15="",Housemates!$C$15&lt;=$B477),OR(Housemates!$D$15="",Housemates!$D$15&gt;=$B477)),IF($Q477=0,1,INDEX(Bills!$AH$6:$AH$25,$Q477)),0))))</f>
        <v/>
      </c>
      <c r="AA477">
        <f>SUM(S477:Z477)</f>
        <v/>
      </c>
      <c r="AB477">
        <f>IF(AA477=0,0,D477*S477/AA477)</f>
        <v/>
      </c>
      <c r="AC477">
        <f>IF(AA477=0,0,D477*T477/AA477)</f>
        <v/>
      </c>
      <c r="AD477">
        <f>IF(AA477=0,0,D477*U477/AA477)</f>
        <v/>
      </c>
      <c r="AE477">
        <f>IF(AA477=0,0,D477*V477/AA477)</f>
        <v/>
      </c>
      <c r="AF477">
        <f>IF(AA477=0,0,D477*W477/AA477)</f>
        <v/>
      </c>
      <c r="AG477">
        <f>IF(AA477=0,0,D477*X477/AA477)</f>
        <v/>
      </c>
      <c r="AH477">
        <f>IF(AA477=0,0,D477*Y477/AA477)</f>
        <v/>
      </c>
      <c r="AI477">
        <f>IF(AA477=0,0,D477*Z477/AA477)</f>
        <v/>
      </c>
      <c r="AJ477">
        <f>IF(OR(C477="",B477=""),"",C477&amp;"|"&amp;(YEAR(B477)*100+MONTH(B477)))</f>
        <v/>
      </c>
    </row>
    <row r="478">
      <c r="A478" s="1" t="n"/>
      <c r="B478" s="23" t="n"/>
      <c r="C478" s="24" t="n"/>
      <c r="D478" s="25" t="n"/>
      <c r="E478" s="26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1">
        <f>IF(D478="","",IF(B478="","No date",IF(AND(C478="Paying back",R478=0),"To whom?",IF(AA478=0,"Nobody",IF(C478="Paying back","To "&amp;INDEX(Housemates!$B$8:$B$15,MATCH(MAX(S478:Z478),S478:Z478,0)),IF(R478&gt;0,IF(COUNTIF(S478:Z478,"&gt;0")=1,"1 person",COUNTIF(S478:Z478,"&gt;0")&amp;" people"),IF(Q478=0,"Everyone",INDEX(Bills!$Q$6:$Q$25,Q478))))))))</f>
        <v/>
      </c>
      <c r="O478" s="18">
        <f>IF(D478="","",IF(C478="Paying back","Paying back",IF(Q478=0,"Other",IF(INDEX(Bills!$C$6:$C$25,Q478)="","Other",INDEX(Bills!$C$6:$C$25,Q478)))))</f>
        <v/>
      </c>
      <c r="P478" s="1" t="n"/>
      <c r="Q478">
        <f>IF(C478="",0,IFERROR(MATCH(C478,Bills!$B$6:$B$25,0),0))</f>
        <v/>
      </c>
      <c r="R478">
        <f>COUNTA(F478:M478)</f>
        <v/>
      </c>
      <c r="S478">
        <f>IF(OR($D478="",$B478="",Housemates!$B$8=""),0,IF($R478&gt;0,IF(F478="",0,IF(ISNUMBER(F478),F478,1)),IF($C478="Paying back",0,IF(AND(OR(Housemates!$C$8="",Housemates!$C$8&lt;=$B478),OR(Housemates!$D$8="",Housemates!$D$8&gt;=$B478)),IF($Q478=0,1,INDEX(Bills!$AA$6:$AA$25,$Q478)),0))))</f>
        <v/>
      </c>
      <c r="T478">
        <f>IF(OR($D478="",$B478="",Housemates!$B$9=""),0,IF($R478&gt;0,IF(G478="",0,IF(ISNUMBER(G478),G478,1)),IF($C478="Paying back",0,IF(AND(OR(Housemates!$C$9="",Housemates!$C$9&lt;=$B478),OR(Housemates!$D$9="",Housemates!$D$9&gt;=$B478)),IF($Q478=0,1,INDEX(Bills!$AB$6:$AB$25,$Q478)),0))))</f>
        <v/>
      </c>
      <c r="U478">
        <f>IF(OR($D478="",$B478="",Housemates!$B$10=""),0,IF($R478&gt;0,IF(H478="",0,IF(ISNUMBER(H478),H478,1)),IF($C478="Paying back",0,IF(AND(OR(Housemates!$C$10="",Housemates!$C$10&lt;=$B478),OR(Housemates!$D$10="",Housemates!$D$10&gt;=$B478)),IF($Q478=0,1,INDEX(Bills!$AC$6:$AC$25,$Q478)),0))))</f>
        <v/>
      </c>
      <c r="V478">
        <f>IF(OR($D478="",$B478="",Housemates!$B$11=""),0,IF($R478&gt;0,IF(I478="",0,IF(ISNUMBER(I478),I478,1)),IF($C478="Paying back",0,IF(AND(OR(Housemates!$C$11="",Housemates!$C$11&lt;=$B478),OR(Housemates!$D$11="",Housemates!$D$11&gt;=$B478)),IF($Q478=0,1,INDEX(Bills!$AD$6:$AD$25,$Q478)),0))))</f>
        <v/>
      </c>
      <c r="W478">
        <f>IF(OR($D478="",$B478="",Housemates!$B$12=""),0,IF($R478&gt;0,IF(J478="",0,IF(ISNUMBER(J478),J478,1)),IF($C478="Paying back",0,IF(AND(OR(Housemates!$C$12="",Housemates!$C$12&lt;=$B478),OR(Housemates!$D$12="",Housemates!$D$12&gt;=$B478)),IF($Q478=0,1,INDEX(Bills!$AE$6:$AE$25,$Q478)),0))))</f>
        <v/>
      </c>
      <c r="X478">
        <f>IF(OR($D478="",$B478="",Housemates!$B$13=""),0,IF($R478&gt;0,IF(K478="",0,IF(ISNUMBER(K478),K478,1)),IF($C478="Paying back",0,IF(AND(OR(Housemates!$C$13="",Housemates!$C$13&lt;=$B478),OR(Housemates!$D$13="",Housemates!$D$13&gt;=$B478)),IF($Q478=0,1,INDEX(Bills!$AF$6:$AF$25,$Q478)),0))))</f>
        <v/>
      </c>
      <c r="Y478">
        <f>IF(OR($D478="",$B478="",Housemates!$B$14=""),0,IF($R478&gt;0,IF(L478="",0,IF(ISNUMBER(L478),L478,1)),IF($C478="Paying back",0,IF(AND(OR(Housemates!$C$14="",Housemates!$C$14&lt;=$B478),OR(Housemates!$D$14="",Housemates!$D$14&gt;=$B478)),IF($Q478=0,1,INDEX(Bills!$AG$6:$AG$25,$Q478)),0))))</f>
        <v/>
      </c>
      <c r="Z478">
        <f>IF(OR($D478="",$B478="",Housemates!$B$15=""),0,IF($R478&gt;0,IF(M478="",0,IF(ISNUMBER(M478),M478,1)),IF($C478="Paying back",0,IF(AND(OR(Housemates!$C$15="",Housemates!$C$15&lt;=$B478),OR(Housemates!$D$15="",Housemates!$D$15&gt;=$B478)),IF($Q478=0,1,INDEX(Bills!$AH$6:$AH$25,$Q478)),0))))</f>
        <v/>
      </c>
      <c r="AA478">
        <f>SUM(S478:Z478)</f>
        <v/>
      </c>
      <c r="AB478">
        <f>IF(AA478=0,0,D478*S478/AA478)</f>
        <v/>
      </c>
      <c r="AC478">
        <f>IF(AA478=0,0,D478*T478/AA478)</f>
        <v/>
      </c>
      <c r="AD478">
        <f>IF(AA478=0,0,D478*U478/AA478)</f>
        <v/>
      </c>
      <c r="AE478">
        <f>IF(AA478=0,0,D478*V478/AA478)</f>
        <v/>
      </c>
      <c r="AF478">
        <f>IF(AA478=0,0,D478*W478/AA478)</f>
        <v/>
      </c>
      <c r="AG478">
        <f>IF(AA478=0,0,D478*X478/AA478)</f>
        <v/>
      </c>
      <c r="AH478">
        <f>IF(AA478=0,0,D478*Y478/AA478)</f>
        <v/>
      </c>
      <c r="AI478">
        <f>IF(AA478=0,0,D478*Z478/AA478)</f>
        <v/>
      </c>
      <c r="AJ478">
        <f>IF(OR(C478="",B478=""),"",C478&amp;"|"&amp;(YEAR(B478)*100+MONTH(B478)))</f>
        <v/>
      </c>
    </row>
    <row r="479">
      <c r="A479" s="1" t="n"/>
      <c r="B479" s="23" t="n"/>
      <c r="C479" s="24" t="n"/>
      <c r="D479" s="25" t="n"/>
      <c r="E479" s="26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1">
        <f>IF(D479="","",IF(B479="","No date",IF(AND(C479="Paying back",R479=0),"To whom?",IF(AA479=0,"Nobody",IF(C479="Paying back","To "&amp;INDEX(Housemates!$B$8:$B$15,MATCH(MAX(S479:Z479),S479:Z479,0)),IF(R479&gt;0,IF(COUNTIF(S479:Z479,"&gt;0")=1,"1 person",COUNTIF(S479:Z479,"&gt;0")&amp;" people"),IF(Q479=0,"Everyone",INDEX(Bills!$Q$6:$Q$25,Q479))))))))</f>
        <v/>
      </c>
      <c r="O479" s="18">
        <f>IF(D479="","",IF(C479="Paying back","Paying back",IF(Q479=0,"Other",IF(INDEX(Bills!$C$6:$C$25,Q479)="","Other",INDEX(Bills!$C$6:$C$25,Q479)))))</f>
        <v/>
      </c>
      <c r="P479" s="1" t="n"/>
      <c r="Q479">
        <f>IF(C479="",0,IFERROR(MATCH(C479,Bills!$B$6:$B$25,0),0))</f>
        <v/>
      </c>
      <c r="R479">
        <f>COUNTA(F479:M479)</f>
        <v/>
      </c>
      <c r="S479">
        <f>IF(OR($D479="",$B479="",Housemates!$B$8=""),0,IF($R479&gt;0,IF(F479="",0,IF(ISNUMBER(F479),F479,1)),IF($C479="Paying back",0,IF(AND(OR(Housemates!$C$8="",Housemates!$C$8&lt;=$B479),OR(Housemates!$D$8="",Housemates!$D$8&gt;=$B479)),IF($Q479=0,1,INDEX(Bills!$AA$6:$AA$25,$Q479)),0))))</f>
        <v/>
      </c>
      <c r="T479">
        <f>IF(OR($D479="",$B479="",Housemates!$B$9=""),0,IF($R479&gt;0,IF(G479="",0,IF(ISNUMBER(G479),G479,1)),IF($C479="Paying back",0,IF(AND(OR(Housemates!$C$9="",Housemates!$C$9&lt;=$B479),OR(Housemates!$D$9="",Housemates!$D$9&gt;=$B479)),IF($Q479=0,1,INDEX(Bills!$AB$6:$AB$25,$Q479)),0))))</f>
        <v/>
      </c>
      <c r="U479">
        <f>IF(OR($D479="",$B479="",Housemates!$B$10=""),0,IF($R479&gt;0,IF(H479="",0,IF(ISNUMBER(H479),H479,1)),IF($C479="Paying back",0,IF(AND(OR(Housemates!$C$10="",Housemates!$C$10&lt;=$B479),OR(Housemates!$D$10="",Housemates!$D$10&gt;=$B479)),IF($Q479=0,1,INDEX(Bills!$AC$6:$AC$25,$Q479)),0))))</f>
        <v/>
      </c>
      <c r="V479">
        <f>IF(OR($D479="",$B479="",Housemates!$B$11=""),0,IF($R479&gt;0,IF(I479="",0,IF(ISNUMBER(I479),I479,1)),IF($C479="Paying back",0,IF(AND(OR(Housemates!$C$11="",Housemates!$C$11&lt;=$B479),OR(Housemates!$D$11="",Housemates!$D$11&gt;=$B479)),IF($Q479=0,1,INDEX(Bills!$AD$6:$AD$25,$Q479)),0))))</f>
        <v/>
      </c>
      <c r="W479">
        <f>IF(OR($D479="",$B479="",Housemates!$B$12=""),0,IF($R479&gt;0,IF(J479="",0,IF(ISNUMBER(J479),J479,1)),IF($C479="Paying back",0,IF(AND(OR(Housemates!$C$12="",Housemates!$C$12&lt;=$B479),OR(Housemates!$D$12="",Housemates!$D$12&gt;=$B479)),IF($Q479=0,1,INDEX(Bills!$AE$6:$AE$25,$Q479)),0))))</f>
        <v/>
      </c>
      <c r="X479">
        <f>IF(OR($D479="",$B479="",Housemates!$B$13=""),0,IF($R479&gt;0,IF(K479="",0,IF(ISNUMBER(K479),K479,1)),IF($C479="Paying back",0,IF(AND(OR(Housemates!$C$13="",Housemates!$C$13&lt;=$B479),OR(Housemates!$D$13="",Housemates!$D$13&gt;=$B479)),IF($Q479=0,1,INDEX(Bills!$AF$6:$AF$25,$Q479)),0))))</f>
        <v/>
      </c>
      <c r="Y479">
        <f>IF(OR($D479="",$B479="",Housemates!$B$14=""),0,IF($R479&gt;0,IF(L479="",0,IF(ISNUMBER(L479),L479,1)),IF($C479="Paying back",0,IF(AND(OR(Housemates!$C$14="",Housemates!$C$14&lt;=$B479),OR(Housemates!$D$14="",Housemates!$D$14&gt;=$B479)),IF($Q479=0,1,INDEX(Bills!$AG$6:$AG$25,$Q479)),0))))</f>
        <v/>
      </c>
      <c r="Z479">
        <f>IF(OR($D479="",$B479="",Housemates!$B$15=""),0,IF($R479&gt;0,IF(M479="",0,IF(ISNUMBER(M479),M479,1)),IF($C479="Paying back",0,IF(AND(OR(Housemates!$C$15="",Housemates!$C$15&lt;=$B479),OR(Housemates!$D$15="",Housemates!$D$15&gt;=$B479)),IF($Q479=0,1,INDEX(Bills!$AH$6:$AH$25,$Q479)),0))))</f>
        <v/>
      </c>
      <c r="AA479">
        <f>SUM(S479:Z479)</f>
        <v/>
      </c>
      <c r="AB479">
        <f>IF(AA479=0,0,D479*S479/AA479)</f>
        <v/>
      </c>
      <c r="AC479">
        <f>IF(AA479=0,0,D479*T479/AA479)</f>
        <v/>
      </c>
      <c r="AD479">
        <f>IF(AA479=0,0,D479*U479/AA479)</f>
        <v/>
      </c>
      <c r="AE479">
        <f>IF(AA479=0,0,D479*V479/AA479)</f>
        <v/>
      </c>
      <c r="AF479">
        <f>IF(AA479=0,0,D479*W479/AA479)</f>
        <v/>
      </c>
      <c r="AG479">
        <f>IF(AA479=0,0,D479*X479/AA479)</f>
        <v/>
      </c>
      <c r="AH479">
        <f>IF(AA479=0,0,D479*Y479/AA479)</f>
        <v/>
      </c>
      <c r="AI479">
        <f>IF(AA479=0,0,D479*Z479/AA479)</f>
        <v/>
      </c>
      <c r="AJ479">
        <f>IF(OR(C479="",B479=""),"",C479&amp;"|"&amp;(YEAR(B479)*100+MONTH(B479)))</f>
        <v/>
      </c>
    </row>
    <row r="480">
      <c r="A480" s="1" t="n"/>
      <c r="B480" s="23" t="n"/>
      <c r="C480" s="24" t="n"/>
      <c r="D480" s="25" t="n"/>
      <c r="E480" s="26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1">
        <f>IF(D480="","",IF(B480="","No date",IF(AND(C480="Paying back",R480=0),"To whom?",IF(AA480=0,"Nobody",IF(C480="Paying back","To "&amp;INDEX(Housemates!$B$8:$B$15,MATCH(MAX(S480:Z480),S480:Z480,0)),IF(R480&gt;0,IF(COUNTIF(S480:Z480,"&gt;0")=1,"1 person",COUNTIF(S480:Z480,"&gt;0")&amp;" people"),IF(Q480=0,"Everyone",INDEX(Bills!$Q$6:$Q$25,Q480))))))))</f>
        <v/>
      </c>
      <c r="O480" s="18">
        <f>IF(D480="","",IF(C480="Paying back","Paying back",IF(Q480=0,"Other",IF(INDEX(Bills!$C$6:$C$25,Q480)="","Other",INDEX(Bills!$C$6:$C$25,Q480)))))</f>
        <v/>
      </c>
      <c r="P480" s="1" t="n"/>
      <c r="Q480">
        <f>IF(C480="",0,IFERROR(MATCH(C480,Bills!$B$6:$B$25,0),0))</f>
        <v/>
      </c>
      <c r="R480">
        <f>COUNTA(F480:M480)</f>
        <v/>
      </c>
      <c r="S480">
        <f>IF(OR($D480="",$B480="",Housemates!$B$8=""),0,IF($R480&gt;0,IF(F480="",0,IF(ISNUMBER(F480),F480,1)),IF($C480="Paying back",0,IF(AND(OR(Housemates!$C$8="",Housemates!$C$8&lt;=$B480),OR(Housemates!$D$8="",Housemates!$D$8&gt;=$B480)),IF($Q480=0,1,INDEX(Bills!$AA$6:$AA$25,$Q480)),0))))</f>
        <v/>
      </c>
      <c r="T480">
        <f>IF(OR($D480="",$B480="",Housemates!$B$9=""),0,IF($R480&gt;0,IF(G480="",0,IF(ISNUMBER(G480),G480,1)),IF($C480="Paying back",0,IF(AND(OR(Housemates!$C$9="",Housemates!$C$9&lt;=$B480),OR(Housemates!$D$9="",Housemates!$D$9&gt;=$B480)),IF($Q480=0,1,INDEX(Bills!$AB$6:$AB$25,$Q480)),0))))</f>
        <v/>
      </c>
      <c r="U480">
        <f>IF(OR($D480="",$B480="",Housemates!$B$10=""),0,IF($R480&gt;0,IF(H480="",0,IF(ISNUMBER(H480),H480,1)),IF($C480="Paying back",0,IF(AND(OR(Housemates!$C$10="",Housemates!$C$10&lt;=$B480),OR(Housemates!$D$10="",Housemates!$D$10&gt;=$B480)),IF($Q480=0,1,INDEX(Bills!$AC$6:$AC$25,$Q480)),0))))</f>
        <v/>
      </c>
      <c r="V480">
        <f>IF(OR($D480="",$B480="",Housemates!$B$11=""),0,IF($R480&gt;0,IF(I480="",0,IF(ISNUMBER(I480),I480,1)),IF($C480="Paying back",0,IF(AND(OR(Housemates!$C$11="",Housemates!$C$11&lt;=$B480),OR(Housemates!$D$11="",Housemates!$D$11&gt;=$B480)),IF($Q480=0,1,INDEX(Bills!$AD$6:$AD$25,$Q480)),0))))</f>
        <v/>
      </c>
      <c r="W480">
        <f>IF(OR($D480="",$B480="",Housemates!$B$12=""),0,IF($R480&gt;0,IF(J480="",0,IF(ISNUMBER(J480),J480,1)),IF($C480="Paying back",0,IF(AND(OR(Housemates!$C$12="",Housemates!$C$12&lt;=$B480),OR(Housemates!$D$12="",Housemates!$D$12&gt;=$B480)),IF($Q480=0,1,INDEX(Bills!$AE$6:$AE$25,$Q480)),0))))</f>
        <v/>
      </c>
      <c r="X480">
        <f>IF(OR($D480="",$B480="",Housemates!$B$13=""),0,IF($R480&gt;0,IF(K480="",0,IF(ISNUMBER(K480),K480,1)),IF($C480="Paying back",0,IF(AND(OR(Housemates!$C$13="",Housemates!$C$13&lt;=$B480),OR(Housemates!$D$13="",Housemates!$D$13&gt;=$B480)),IF($Q480=0,1,INDEX(Bills!$AF$6:$AF$25,$Q480)),0))))</f>
        <v/>
      </c>
      <c r="Y480">
        <f>IF(OR($D480="",$B480="",Housemates!$B$14=""),0,IF($R480&gt;0,IF(L480="",0,IF(ISNUMBER(L480),L480,1)),IF($C480="Paying back",0,IF(AND(OR(Housemates!$C$14="",Housemates!$C$14&lt;=$B480),OR(Housemates!$D$14="",Housemates!$D$14&gt;=$B480)),IF($Q480=0,1,INDEX(Bills!$AG$6:$AG$25,$Q480)),0))))</f>
        <v/>
      </c>
      <c r="Z480">
        <f>IF(OR($D480="",$B480="",Housemates!$B$15=""),0,IF($R480&gt;0,IF(M480="",0,IF(ISNUMBER(M480),M480,1)),IF($C480="Paying back",0,IF(AND(OR(Housemates!$C$15="",Housemates!$C$15&lt;=$B480),OR(Housemates!$D$15="",Housemates!$D$15&gt;=$B480)),IF($Q480=0,1,INDEX(Bills!$AH$6:$AH$25,$Q480)),0))))</f>
        <v/>
      </c>
      <c r="AA480">
        <f>SUM(S480:Z480)</f>
        <v/>
      </c>
      <c r="AB480">
        <f>IF(AA480=0,0,D480*S480/AA480)</f>
        <v/>
      </c>
      <c r="AC480">
        <f>IF(AA480=0,0,D480*T480/AA480)</f>
        <v/>
      </c>
      <c r="AD480">
        <f>IF(AA480=0,0,D480*U480/AA480)</f>
        <v/>
      </c>
      <c r="AE480">
        <f>IF(AA480=0,0,D480*V480/AA480)</f>
        <v/>
      </c>
      <c r="AF480">
        <f>IF(AA480=0,0,D480*W480/AA480)</f>
        <v/>
      </c>
      <c r="AG480">
        <f>IF(AA480=0,0,D480*X480/AA480)</f>
        <v/>
      </c>
      <c r="AH480">
        <f>IF(AA480=0,0,D480*Y480/AA480)</f>
        <v/>
      </c>
      <c r="AI480">
        <f>IF(AA480=0,0,D480*Z480/AA480)</f>
        <v/>
      </c>
      <c r="AJ480">
        <f>IF(OR(C480="",B480=""),"",C480&amp;"|"&amp;(YEAR(B480)*100+MONTH(B480)))</f>
        <v/>
      </c>
    </row>
    <row r="481">
      <c r="A481" s="1" t="n"/>
      <c r="B481" s="23" t="n"/>
      <c r="C481" s="24" t="n"/>
      <c r="D481" s="25" t="n"/>
      <c r="E481" s="26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1">
        <f>IF(D481="","",IF(B481="","No date",IF(AND(C481="Paying back",R481=0),"To whom?",IF(AA481=0,"Nobody",IF(C481="Paying back","To "&amp;INDEX(Housemates!$B$8:$B$15,MATCH(MAX(S481:Z481),S481:Z481,0)),IF(R481&gt;0,IF(COUNTIF(S481:Z481,"&gt;0")=1,"1 person",COUNTIF(S481:Z481,"&gt;0")&amp;" people"),IF(Q481=0,"Everyone",INDEX(Bills!$Q$6:$Q$25,Q481))))))))</f>
        <v/>
      </c>
      <c r="O481" s="18">
        <f>IF(D481="","",IF(C481="Paying back","Paying back",IF(Q481=0,"Other",IF(INDEX(Bills!$C$6:$C$25,Q481)="","Other",INDEX(Bills!$C$6:$C$25,Q481)))))</f>
        <v/>
      </c>
      <c r="P481" s="1" t="n"/>
      <c r="Q481">
        <f>IF(C481="",0,IFERROR(MATCH(C481,Bills!$B$6:$B$25,0),0))</f>
        <v/>
      </c>
      <c r="R481">
        <f>COUNTA(F481:M481)</f>
        <v/>
      </c>
      <c r="S481">
        <f>IF(OR($D481="",$B481="",Housemates!$B$8=""),0,IF($R481&gt;0,IF(F481="",0,IF(ISNUMBER(F481),F481,1)),IF($C481="Paying back",0,IF(AND(OR(Housemates!$C$8="",Housemates!$C$8&lt;=$B481),OR(Housemates!$D$8="",Housemates!$D$8&gt;=$B481)),IF($Q481=0,1,INDEX(Bills!$AA$6:$AA$25,$Q481)),0))))</f>
        <v/>
      </c>
      <c r="T481">
        <f>IF(OR($D481="",$B481="",Housemates!$B$9=""),0,IF($R481&gt;0,IF(G481="",0,IF(ISNUMBER(G481),G481,1)),IF($C481="Paying back",0,IF(AND(OR(Housemates!$C$9="",Housemates!$C$9&lt;=$B481),OR(Housemates!$D$9="",Housemates!$D$9&gt;=$B481)),IF($Q481=0,1,INDEX(Bills!$AB$6:$AB$25,$Q481)),0))))</f>
        <v/>
      </c>
      <c r="U481">
        <f>IF(OR($D481="",$B481="",Housemates!$B$10=""),0,IF($R481&gt;0,IF(H481="",0,IF(ISNUMBER(H481),H481,1)),IF($C481="Paying back",0,IF(AND(OR(Housemates!$C$10="",Housemates!$C$10&lt;=$B481),OR(Housemates!$D$10="",Housemates!$D$10&gt;=$B481)),IF($Q481=0,1,INDEX(Bills!$AC$6:$AC$25,$Q481)),0))))</f>
        <v/>
      </c>
      <c r="V481">
        <f>IF(OR($D481="",$B481="",Housemates!$B$11=""),0,IF($R481&gt;0,IF(I481="",0,IF(ISNUMBER(I481),I481,1)),IF($C481="Paying back",0,IF(AND(OR(Housemates!$C$11="",Housemates!$C$11&lt;=$B481),OR(Housemates!$D$11="",Housemates!$D$11&gt;=$B481)),IF($Q481=0,1,INDEX(Bills!$AD$6:$AD$25,$Q481)),0))))</f>
        <v/>
      </c>
      <c r="W481">
        <f>IF(OR($D481="",$B481="",Housemates!$B$12=""),0,IF($R481&gt;0,IF(J481="",0,IF(ISNUMBER(J481),J481,1)),IF($C481="Paying back",0,IF(AND(OR(Housemates!$C$12="",Housemates!$C$12&lt;=$B481),OR(Housemates!$D$12="",Housemates!$D$12&gt;=$B481)),IF($Q481=0,1,INDEX(Bills!$AE$6:$AE$25,$Q481)),0))))</f>
        <v/>
      </c>
      <c r="X481">
        <f>IF(OR($D481="",$B481="",Housemates!$B$13=""),0,IF($R481&gt;0,IF(K481="",0,IF(ISNUMBER(K481),K481,1)),IF($C481="Paying back",0,IF(AND(OR(Housemates!$C$13="",Housemates!$C$13&lt;=$B481),OR(Housemates!$D$13="",Housemates!$D$13&gt;=$B481)),IF($Q481=0,1,INDEX(Bills!$AF$6:$AF$25,$Q481)),0))))</f>
        <v/>
      </c>
      <c r="Y481">
        <f>IF(OR($D481="",$B481="",Housemates!$B$14=""),0,IF($R481&gt;0,IF(L481="",0,IF(ISNUMBER(L481),L481,1)),IF($C481="Paying back",0,IF(AND(OR(Housemates!$C$14="",Housemates!$C$14&lt;=$B481),OR(Housemates!$D$14="",Housemates!$D$14&gt;=$B481)),IF($Q481=0,1,INDEX(Bills!$AG$6:$AG$25,$Q481)),0))))</f>
        <v/>
      </c>
      <c r="Z481">
        <f>IF(OR($D481="",$B481="",Housemates!$B$15=""),0,IF($R481&gt;0,IF(M481="",0,IF(ISNUMBER(M481),M481,1)),IF($C481="Paying back",0,IF(AND(OR(Housemates!$C$15="",Housemates!$C$15&lt;=$B481),OR(Housemates!$D$15="",Housemates!$D$15&gt;=$B481)),IF($Q481=0,1,INDEX(Bills!$AH$6:$AH$25,$Q481)),0))))</f>
        <v/>
      </c>
      <c r="AA481">
        <f>SUM(S481:Z481)</f>
        <v/>
      </c>
      <c r="AB481">
        <f>IF(AA481=0,0,D481*S481/AA481)</f>
        <v/>
      </c>
      <c r="AC481">
        <f>IF(AA481=0,0,D481*T481/AA481)</f>
        <v/>
      </c>
      <c r="AD481">
        <f>IF(AA481=0,0,D481*U481/AA481)</f>
        <v/>
      </c>
      <c r="AE481">
        <f>IF(AA481=0,0,D481*V481/AA481)</f>
        <v/>
      </c>
      <c r="AF481">
        <f>IF(AA481=0,0,D481*W481/AA481)</f>
        <v/>
      </c>
      <c r="AG481">
        <f>IF(AA481=0,0,D481*X481/AA481)</f>
        <v/>
      </c>
      <c r="AH481">
        <f>IF(AA481=0,0,D481*Y481/AA481)</f>
        <v/>
      </c>
      <c r="AI481">
        <f>IF(AA481=0,0,D481*Z481/AA481)</f>
        <v/>
      </c>
      <c r="AJ481">
        <f>IF(OR(C481="",B481=""),"",C481&amp;"|"&amp;(YEAR(B481)*100+MONTH(B481)))</f>
        <v/>
      </c>
    </row>
    <row r="482">
      <c r="A482" s="1" t="n"/>
      <c r="B482" s="23" t="n"/>
      <c r="C482" s="24" t="n"/>
      <c r="D482" s="25" t="n"/>
      <c r="E482" s="26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1">
        <f>IF(D482="","",IF(B482="","No date",IF(AND(C482="Paying back",R482=0),"To whom?",IF(AA482=0,"Nobody",IF(C482="Paying back","To "&amp;INDEX(Housemates!$B$8:$B$15,MATCH(MAX(S482:Z482),S482:Z482,0)),IF(R482&gt;0,IF(COUNTIF(S482:Z482,"&gt;0")=1,"1 person",COUNTIF(S482:Z482,"&gt;0")&amp;" people"),IF(Q482=0,"Everyone",INDEX(Bills!$Q$6:$Q$25,Q482))))))))</f>
        <v/>
      </c>
      <c r="O482" s="18">
        <f>IF(D482="","",IF(C482="Paying back","Paying back",IF(Q482=0,"Other",IF(INDEX(Bills!$C$6:$C$25,Q482)="","Other",INDEX(Bills!$C$6:$C$25,Q482)))))</f>
        <v/>
      </c>
      <c r="P482" s="1" t="n"/>
      <c r="Q482">
        <f>IF(C482="",0,IFERROR(MATCH(C482,Bills!$B$6:$B$25,0),0))</f>
        <v/>
      </c>
      <c r="R482">
        <f>COUNTA(F482:M482)</f>
        <v/>
      </c>
      <c r="S482">
        <f>IF(OR($D482="",$B482="",Housemates!$B$8=""),0,IF($R482&gt;0,IF(F482="",0,IF(ISNUMBER(F482),F482,1)),IF($C482="Paying back",0,IF(AND(OR(Housemates!$C$8="",Housemates!$C$8&lt;=$B482),OR(Housemates!$D$8="",Housemates!$D$8&gt;=$B482)),IF($Q482=0,1,INDEX(Bills!$AA$6:$AA$25,$Q482)),0))))</f>
        <v/>
      </c>
      <c r="T482">
        <f>IF(OR($D482="",$B482="",Housemates!$B$9=""),0,IF($R482&gt;0,IF(G482="",0,IF(ISNUMBER(G482),G482,1)),IF($C482="Paying back",0,IF(AND(OR(Housemates!$C$9="",Housemates!$C$9&lt;=$B482),OR(Housemates!$D$9="",Housemates!$D$9&gt;=$B482)),IF($Q482=0,1,INDEX(Bills!$AB$6:$AB$25,$Q482)),0))))</f>
        <v/>
      </c>
      <c r="U482">
        <f>IF(OR($D482="",$B482="",Housemates!$B$10=""),0,IF($R482&gt;0,IF(H482="",0,IF(ISNUMBER(H482),H482,1)),IF($C482="Paying back",0,IF(AND(OR(Housemates!$C$10="",Housemates!$C$10&lt;=$B482),OR(Housemates!$D$10="",Housemates!$D$10&gt;=$B482)),IF($Q482=0,1,INDEX(Bills!$AC$6:$AC$25,$Q482)),0))))</f>
        <v/>
      </c>
      <c r="V482">
        <f>IF(OR($D482="",$B482="",Housemates!$B$11=""),0,IF($R482&gt;0,IF(I482="",0,IF(ISNUMBER(I482),I482,1)),IF($C482="Paying back",0,IF(AND(OR(Housemates!$C$11="",Housemates!$C$11&lt;=$B482),OR(Housemates!$D$11="",Housemates!$D$11&gt;=$B482)),IF($Q482=0,1,INDEX(Bills!$AD$6:$AD$25,$Q482)),0))))</f>
        <v/>
      </c>
      <c r="W482">
        <f>IF(OR($D482="",$B482="",Housemates!$B$12=""),0,IF($R482&gt;0,IF(J482="",0,IF(ISNUMBER(J482),J482,1)),IF($C482="Paying back",0,IF(AND(OR(Housemates!$C$12="",Housemates!$C$12&lt;=$B482),OR(Housemates!$D$12="",Housemates!$D$12&gt;=$B482)),IF($Q482=0,1,INDEX(Bills!$AE$6:$AE$25,$Q482)),0))))</f>
        <v/>
      </c>
      <c r="X482">
        <f>IF(OR($D482="",$B482="",Housemates!$B$13=""),0,IF($R482&gt;0,IF(K482="",0,IF(ISNUMBER(K482),K482,1)),IF($C482="Paying back",0,IF(AND(OR(Housemates!$C$13="",Housemates!$C$13&lt;=$B482),OR(Housemates!$D$13="",Housemates!$D$13&gt;=$B482)),IF($Q482=0,1,INDEX(Bills!$AF$6:$AF$25,$Q482)),0))))</f>
        <v/>
      </c>
      <c r="Y482">
        <f>IF(OR($D482="",$B482="",Housemates!$B$14=""),0,IF($R482&gt;0,IF(L482="",0,IF(ISNUMBER(L482),L482,1)),IF($C482="Paying back",0,IF(AND(OR(Housemates!$C$14="",Housemates!$C$14&lt;=$B482),OR(Housemates!$D$14="",Housemates!$D$14&gt;=$B482)),IF($Q482=0,1,INDEX(Bills!$AG$6:$AG$25,$Q482)),0))))</f>
        <v/>
      </c>
      <c r="Z482">
        <f>IF(OR($D482="",$B482="",Housemates!$B$15=""),0,IF($R482&gt;0,IF(M482="",0,IF(ISNUMBER(M482),M482,1)),IF($C482="Paying back",0,IF(AND(OR(Housemates!$C$15="",Housemates!$C$15&lt;=$B482),OR(Housemates!$D$15="",Housemates!$D$15&gt;=$B482)),IF($Q482=0,1,INDEX(Bills!$AH$6:$AH$25,$Q482)),0))))</f>
        <v/>
      </c>
      <c r="AA482">
        <f>SUM(S482:Z482)</f>
        <v/>
      </c>
      <c r="AB482">
        <f>IF(AA482=0,0,D482*S482/AA482)</f>
        <v/>
      </c>
      <c r="AC482">
        <f>IF(AA482=0,0,D482*T482/AA482)</f>
        <v/>
      </c>
      <c r="AD482">
        <f>IF(AA482=0,0,D482*U482/AA482)</f>
        <v/>
      </c>
      <c r="AE482">
        <f>IF(AA482=0,0,D482*V482/AA482)</f>
        <v/>
      </c>
      <c r="AF482">
        <f>IF(AA482=0,0,D482*W482/AA482)</f>
        <v/>
      </c>
      <c r="AG482">
        <f>IF(AA482=0,0,D482*X482/AA482)</f>
        <v/>
      </c>
      <c r="AH482">
        <f>IF(AA482=0,0,D482*Y482/AA482)</f>
        <v/>
      </c>
      <c r="AI482">
        <f>IF(AA482=0,0,D482*Z482/AA482)</f>
        <v/>
      </c>
      <c r="AJ482">
        <f>IF(OR(C482="",B482=""),"",C482&amp;"|"&amp;(YEAR(B482)*100+MONTH(B482)))</f>
        <v/>
      </c>
    </row>
    <row r="483">
      <c r="A483" s="1" t="n"/>
      <c r="B483" s="23" t="n"/>
      <c r="C483" s="24" t="n"/>
      <c r="D483" s="25" t="n"/>
      <c r="E483" s="26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1">
        <f>IF(D483="","",IF(B483="","No date",IF(AND(C483="Paying back",R483=0),"To whom?",IF(AA483=0,"Nobody",IF(C483="Paying back","To "&amp;INDEX(Housemates!$B$8:$B$15,MATCH(MAX(S483:Z483),S483:Z483,0)),IF(R483&gt;0,IF(COUNTIF(S483:Z483,"&gt;0")=1,"1 person",COUNTIF(S483:Z483,"&gt;0")&amp;" people"),IF(Q483=0,"Everyone",INDEX(Bills!$Q$6:$Q$25,Q483))))))))</f>
        <v/>
      </c>
      <c r="O483" s="18">
        <f>IF(D483="","",IF(C483="Paying back","Paying back",IF(Q483=0,"Other",IF(INDEX(Bills!$C$6:$C$25,Q483)="","Other",INDEX(Bills!$C$6:$C$25,Q483)))))</f>
        <v/>
      </c>
      <c r="P483" s="1" t="n"/>
      <c r="Q483">
        <f>IF(C483="",0,IFERROR(MATCH(C483,Bills!$B$6:$B$25,0),0))</f>
        <v/>
      </c>
      <c r="R483">
        <f>COUNTA(F483:M483)</f>
        <v/>
      </c>
      <c r="S483">
        <f>IF(OR($D483="",$B483="",Housemates!$B$8=""),0,IF($R483&gt;0,IF(F483="",0,IF(ISNUMBER(F483),F483,1)),IF($C483="Paying back",0,IF(AND(OR(Housemates!$C$8="",Housemates!$C$8&lt;=$B483),OR(Housemates!$D$8="",Housemates!$D$8&gt;=$B483)),IF($Q483=0,1,INDEX(Bills!$AA$6:$AA$25,$Q483)),0))))</f>
        <v/>
      </c>
      <c r="T483">
        <f>IF(OR($D483="",$B483="",Housemates!$B$9=""),0,IF($R483&gt;0,IF(G483="",0,IF(ISNUMBER(G483),G483,1)),IF($C483="Paying back",0,IF(AND(OR(Housemates!$C$9="",Housemates!$C$9&lt;=$B483),OR(Housemates!$D$9="",Housemates!$D$9&gt;=$B483)),IF($Q483=0,1,INDEX(Bills!$AB$6:$AB$25,$Q483)),0))))</f>
        <v/>
      </c>
      <c r="U483">
        <f>IF(OR($D483="",$B483="",Housemates!$B$10=""),0,IF($R483&gt;0,IF(H483="",0,IF(ISNUMBER(H483),H483,1)),IF($C483="Paying back",0,IF(AND(OR(Housemates!$C$10="",Housemates!$C$10&lt;=$B483),OR(Housemates!$D$10="",Housemates!$D$10&gt;=$B483)),IF($Q483=0,1,INDEX(Bills!$AC$6:$AC$25,$Q483)),0))))</f>
        <v/>
      </c>
      <c r="V483">
        <f>IF(OR($D483="",$B483="",Housemates!$B$11=""),0,IF($R483&gt;0,IF(I483="",0,IF(ISNUMBER(I483),I483,1)),IF($C483="Paying back",0,IF(AND(OR(Housemates!$C$11="",Housemates!$C$11&lt;=$B483),OR(Housemates!$D$11="",Housemates!$D$11&gt;=$B483)),IF($Q483=0,1,INDEX(Bills!$AD$6:$AD$25,$Q483)),0))))</f>
        <v/>
      </c>
      <c r="W483">
        <f>IF(OR($D483="",$B483="",Housemates!$B$12=""),0,IF($R483&gt;0,IF(J483="",0,IF(ISNUMBER(J483),J483,1)),IF($C483="Paying back",0,IF(AND(OR(Housemates!$C$12="",Housemates!$C$12&lt;=$B483),OR(Housemates!$D$12="",Housemates!$D$12&gt;=$B483)),IF($Q483=0,1,INDEX(Bills!$AE$6:$AE$25,$Q483)),0))))</f>
        <v/>
      </c>
      <c r="X483">
        <f>IF(OR($D483="",$B483="",Housemates!$B$13=""),0,IF($R483&gt;0,IF(K483="",0,IF(ISNUMBER(K483),K483,1)),IF($C483="Paying back",0,IF(AND(OR(Housemates!$C$13="",Housemates!$C$13&lt;=$B483),OR(Housemates!$D$13="",Housemates!$D$13&gt;=$B483)),IF($Q483=0,1,INDEX(Bills!$AF$6:$AF$25,$Q483)),0))))</f>
        <v/>
      </c>
      <c r="Y483">
        <f>IF(OR($D483="",$B483="",Housemates!$B$14=""),0,IF($R483&gt;0,IF(L483="",0,IF(ISNUMBER(L483),L483,1)),IF($C483="Paying back",0,IF(AND(OR(Housemates!$C$14="",Housemates!$C$14&lt;=$B483),OR(Housemates!$D$14="",Housemates!$D$14&gt;=$B483)),IF($Q483=0,1,INDEX(Bills!$AG$6:$AG$25,$Q483)),0))))</f>
        <v/>
      </c>
      <c r="Z483">
        <f>IF(OR($D483="",$B483="",Housemates!$B$15=""),0,IF($R483&gt;0,IF(M483="",0,IF(ISNUMBER(M483),M483,1)),IF($C483="Paying back",0,IF(AND(OR(Housemates!$C$15="",Housemates!$C$15&lt;=$B483),OR(Housemates!$D$15="",Housemates!$D$15&gt;=$B483)),IF($Q483=0,1,INDEX(Bills!$AH$6:$AH$25,$Q483)),0))))</f>
        <v/>
      </c>
      <c r="AA483">
        <f>SUM(S483:Z483)</f>
        <v/>
      </c>
      <c r="AB483">
        <f>IF(AA483=0,0,D483*S483/AA483)</f>
        <v/>
      </c>
      <c r="AC483">
        <f>IF(AA483=0,0,D483*T483/AA483)</f>
        <v/>
      </c>
      <c r="AD483">
        <f>IF(AA483=0,0,D483*U483/AA483)</f>
        <v/>
      </c>
      <c r="AE483">
        <f>IF(AA483=0,0,D483*V483/AA483)</f>
        <v/>
      </c>
      <c r="AF483">
        <f>IF(AA483=0,0,D483*W483/AA483)</f>
        <v/>
      </c>
      <c r="AG483">
        <f>IF(AA483=0,0,D483*X483/AA483)</f>
        <v/>
      </c>
      <c r="AH483">
        <f>IF(AA483=0,0,D483*Y483/AA483)</f>
        <v/>
      </c>
      <c r="AI483">
        <f>IF(AA483=0,0,D483*Z483/AA483)</f>
        <v/>
      </c>
      <c r="AJ483">
        <f>IF(OR(C483="",B483=""),"",C483&amp;"|"&amp;(YEAR(B483)*100+MONTH(B483)))</f>
        <v/>
      </c>
    </row>
    <row r="484">
      <c r="A484" s="1" t="n"/>
      <c r="B484" s="23" t="n"/>
      <c r="C484" s="24" t="n"/>
      <c r="D484" s="25" t="n"/>
      <c r="E484" s="26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1">
        <f>IF(D484="","",IF(B484="","No date",IF(AND(C484="Paying back",R484=0),"To whom?",IF(AA484=0,"Nobody",IF(C484="Paying back","To "&amp;INDEX(Housemates!$B$8:$B$15,MATCH(MAX(S484:Z484),S484:Z484,0)),IF(R484&gt;0,IF(COUNTIF(S484:Z484,"&gt;0")=1,"1 person",COUNTIF(S484:Z484,"&gt;0")&amp;" people"),IF(Q484=0,"Everyone",INDEX(Bills!$Q$6:$Q$25,Q484))))))))</f>
        <v/>
      </c>
      <c r="O484" s="18">
        <f>IF(D484="","",IF(C484="Paying back","Paying back",IF(Q484=0,"Other",IF(INDEX(Bills!$C$6:$C$25,Q484)="","Other",INDEX(Bills!$C$6:$C$25,Q484)))))</f>
        <v/>
      </c>
      <c r="P484" s="1" t="n"/>
      <c r="Q484">
        <f>IF(C484="",0,IFERROR(MATCH(C484,Bills!$B$6:$B$25,0),0))</f>
        <v/>
      </c>
      <c r="R484">
        <f>COUNTA(F484:M484)</f>
        <v/>
      </c>
      <c r="S484">
        <f>IF(OR($D484="",$B484="",Housemates!$B$8=""),0,IF($R484&gt;0,IF(F484="",0,IF(ISNUMBER(F484),F484,1)),IF($C484="Paying back",0,IF(AND(OR(Housemates!$C$8="",Housemates!$C$8&lt;=$B484),OR(Housemates!$D$8="",Housemates!$D$8&gt;=$B484)),IF($Q484=0,1,INDEX(Bills!$AA$6:$AA$25,$Q484)),0))))</f>
        <v/>
      </c>
      <c r="T484">
        <f>IF(OR($D484="",$B484="",Housemates!$B$9=""),0,IF($R484&gt;0,IF(G484="",0,IF(ISNUMBER(G484),G484,1)),IF($C484="Paying back",0,IF(AND(OR(Housemates!$C$9="",Housemates!$C$9&lt;=$B484),OR(Housemates!$D$9="",Housemates!$D$9&gt;=$B484)),IF($Q484=0,1,INDEX(Bills!$AB$6:$AB$25,$Q484)),0))))</f>
        <v/>
      </c>
      <c r="U484">
        <f>IF(OR($D484="",$B484="",Housemates!$B$10=""),0,IF($R484&gt;0,IF(H484="",0,IF(ISNUMBER(H484),H484,1)),IF($C484="Paying back",0,IF(AND(OR(Housemates!$C$10="",Housemates!$C$10&lt;=$B484),OR(Housemates!$D$10="",Housemates!$D$10&gt;=$B484)),IF($Q484=0,1,INDEX(Bills!$AC$6:$AC$25,$Q484)),0))))</f>
        <v/>
      </c>
      <c r="V484">
        <f>IF(OR($D484="",$B484="",Housemates!$B$11=""),0,IF($R484&gt;0,IF(I484="",0,IF(ISNUMBER(I484),I484,1)),IF($C484="Paying back",0,IF(AND(OR(Housemates!$C$11="",Housemates!$C$11&lt;=$B484),OR(Housemates!$D$11="",Housemates!$D$11&gt;=$B484)),IF($Q484=0,1,INDEX(Bills!$AD$6:$AD$25,$Q484)),0))))</f>
        <v/>
      </c>
      <c r="W484">
        <f>IF(OR($D484="",$B484="",Housemates!$B$12=""),0,IF($R484&gt;0,IF(J484="",0,IF(ISNUMBER(J484),J484,1)),IF($C484="Paying back",0,IF(AND(OR(Housemates!$C$12="",Housemates!$C$12&lt;=$B484),OR(Housemates!$D$12="",Housemates!$D$12&gt;=$B484)),IF($Q484=0,1,INDEX(Bills!$AE$6:$AE$25,$Q484)),0))))</f>
        <v/>
      </c>
      <c r="X484">
        <f>IF(OR($D484="",$B484="",Housemates!$B$13=""),0,IF($R484&gt;0,IF(K484="",0,IF(ISNUMBER(K484),K484,1)),IF($C484="Paying back",0,IF(AND(OR(Housemates!$C$13="",Housemates!$C$13&lt;=$B484),OR(Housemates!$D$13="",Housemates!$D$13&gt;=$B484)),IF($Q484=0,1,INDEX(Bills!$AF$6:$AF$25,$Q484)),0))))</f>
        <v/>
      </c>
      <c r="Y484">
        <f>IF(OR($D484="",$B484="",Housemates!$B$14=""),0,IF($R484&gt;0,IF(L484="",0,IF(ISNUMBER(L484),L484,1)),IF($C484="Paying back",0,IF(AND(OR(Housemates!$C$14="",Housemates!$C$14&lt;=$B484),OR(Housemates!$D$14="",Housemates!$D$14&gt;=$B484)),IF($Q484=0,1,INDEX(Bills!$AG$6:$AG$25,$Q484)),0))))</f>
        <v/>
      </c>
      <c r="Z484">
        <f>IF(OR($D484="",$B484="",Housemates!$B$15=""),0,IF($R484&gt;0,IF(M484="",0,IF(ISNUMBER(M484),M484,1)),IF($C484="Paying back",0,IF(AND(OR(Housemates!$C$15="",Housemates!$C$15&lt;=$B484),OR(Housemates!$D$15="",Housemates!$D$15&gt;=$B484)),IF($Q484=0,1,INDEX(Bills!$AH$6:$AH$25,$Q484)),0))))</f>
        <v/>
      </c>
      <c r="AA484">
        <f>SUM(S484:Z484)</f>
        <v/>
      </c>
      <c r="AB484">
        <f>IF(AA484=0,0,D484*S484/AA484)</f>
        <v/>
      </c>
      <c r="AC484">
        <f>IF(AA484=0,0,D484*T484/AA484)</f>
        <v/>
      </c>
      <c r="AD484">
        <f>IF(AA484=0,0,D484*U484/AA484)</f>
        <v/>
      </c>
      <c r="AE484">
        <f>IF(AA484=0,0,D484*V484/AA484)</f>
        <v/>
      </c>
      <c r="AF484">
        <f>IF(AA484=0,0,D484*W484/AA484)</f>
        <v/>
      </c>
      <c r="AG484">
        <f>IF(AA484=0,0,D484*X484/AA484)</f>
        <v/>
      </c>
      <c r="AH484">
        <f>IF(AA484=0,0,D484*Y484/AA484)</f>
        <v/>
      </c>
      <c r="AI484">
        <f>IF(AA484=0,0,D484*Z484/AA484)</f>
        <v/>
      </c>
      <c r="AJ484">
        <f>IF(OR(C484="",B484=""),"",C484&amp;"|"&amp;(YEAR(B484)*100+MONTH(B484)))</f>
        <v/>
      </c>
    </row>
    <row r="485">
      <c r="A485" s="1" t="n"/>
      <c r="B485" s="23" t="n"/>
      <c r="C485" s="24" t="n"/>
      <c r="D485" s="25" t="n"/>
      <c r="E485" s="26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1">
        <f>IF(D485="","",IF(B485="","No date",IF(AND(C485="Paying back",R485=0),"To whom?",IF(AA485=0,"Nobody",IF(C485="Paying back","To "&amp;INDEX(Housemates!$B$8:$B$15,MATCH(MAX(S485:Z485),S485:Z485,0)),IF(R485&gt;0,IF(COUNTIF(S485:Z485,"&gt;0")=1,"1 person",COUNTIF(S485:Z485,"&gt;0")&amp;" people"),IF(Q485=0,"Everyone",INDEX(Bills!$Q$6:$Q$25,Q485))))))))</f>
        <v/>
      </c>
      <c r="O485" s="18">
        <f>IF(D485="","",IF(C485="Paying back","Paying back",IF(Q485=0,"Other",IF(INDEX(Bills!$C$6:$C$25,Q485)="","Other",INDEX(Bills!$C$6:$C$25,Q485)))))</f>
        <v/>
      </c>
      <c r="P485" s="1" t="n"/>
      <c r="Q485">
        <f>IF(C485="",0,IFERROR(MATCH(C485,Bills!$B$6:$B$25,0),0))</f>
        <v/>
      </c>
      <c r="R485">
        <f>COUNTA(F485:M485)</f>
        <v/>
      </c>
      <c r="S485">
        <f>IF(OR($D485="",$B485="",Housemates!$B$8=""),0,IF($R485&gt;0,IF(F485="",0,IF(ISNUMBER(F485),F485,1)),IF($C485="Paying back",0,IF(AND(OR(Housemates!$C$8="",Housemates!$C$8&lt;=$B485),OR(Housemates!$D$8="",Housemates!$D$8&gt;=$B485)),IF($Q485=0,1,INDEX(Bills!$AA$6:$AA$25,$Q485)),0))))</f>
        <v/>
      </c>
      <c r="T485">
        <f>IF(OR($D485="",$B485="",Housemates!$B$9=""),0,IF($R485&gt;0,IF(G485="",0,IF(ISNUMBER(G485),G485,1)),IF($C485="Paying back",0,IF(AND(OR(Housemates!$C$9="",Housemates!$C$9&lt;=$B485),OR(Housemates!$D$9="",Housemates!$D$9&gt;=$B485)),IF($Q485=0,1,INDEX(Bills!$AB$6:$AB$25,$Q485)),0))))</f>
        <v/>
      </c>
      <c r="U485">
        <f>IF(OR($D485="",$B485="",Housemates!$B$10=""),0,IF($R485&gt;0,IF(H485="",0,IF(ISNUMBER(H485),H485,1)),IF($C485="Paying back",0,IF(AND(OR(Housemates!$C$10="",Housemates!$C$10&lt;=$B485),OR(Housemates!$D$10="",Housemates!$D$10&gt;=$B485)),IF($Q485=0,1,INDEX(Bills!$AC$6:$AC$25,$Q485)),0))))</f>
        <v/>
      </c>
      <c r="V485">
        <f>IF(OR($D485="",$B485="",Housemates!$B$11=""),0,IF($R485&gt;0,IF(I485="",0,IF(ISNUMBER(I485),I485,1)),IF($C485="Paying back",0,IF(AND(OR(Housemates!$C$11="",Housemates!$C$11&lt;=$B485),OR(Housemates!$D$11="",Housemates!$D$11&gt;=$B485)),IF($Q485=0,1,INDEX(Bills!$AD$6:$AD$25,$Q485)),0))))</f>
        <v/>
      </c>
      <c r="W485">
        <f>IF(OR($D485="",$B485="",Housemates!$B$12=""),0,IF($R485&gt;0,IF(J485="",0,IF(ISNUMBER(J485),J485,1)),IF($C485="Paying back",0,IF(AND(OR(Housemates!$C$12="",Housemates!$C$12&lt;=$B485),OR(Housemates!$D$12="",Housemates!$D$12&gt;=$B485)),IF($Q485=0,1,INDEX(Bills!$AE$6:$AE$25,$Q485)),0))))</f>
        <v/>
      </c>
      <c r="X485">
        <f>IF(OR($D485="",$B485="",Housemates!$B$13=""),0,IF($R485&gt;0,IF(K485="",0,IF(ISNUMBER(K485),K485,1)),IF($C485="Paying back",0,IF(AND(OR(Housemates!$C$13="",Housemates!$C$13&lt;=$B485),OR(Housemates!$D$13="",Housemates!$D$13&gt;=$B485)),IF($Q485=0,1,INDEX(Bills!$AF$6:$AF$25,$Q485)),0))))</f>
        <v/>
      </c>
      <c r="Y485">
        <f>IF(OR($D485="",$B485="",Housemates!$B$14=""),0,IF($R485&gt;0,IF(L485="",0,IF(ISNUMBER(L485),L485,1)),IF($C485="Paying back",0,IF(AND(OR(Housemates!$C$14="",Housemates!$C$14&lt;=$B485),OR(Housemates!$D$14="",Housemates!$D$14&gt;=$B485)),IF($Q485=0,1,INDEX(Bills!$AG$6:$AG$25,$Q485)),0))))</f>
        <v/>
      </c>
      <c r="Z485">
        <f>IF(OR($D485="",$B485="",Housemates!$B$15=""),0,IF($R485&gt;0,IF(M485="",0,IF(ISNUMBER(M485),M485,1)),IF($C485="Paying back",0,IF(AND(OR(Housemates!$C$15="",Housemates!$C$15&lt;=$B485),OR(Housemates!$D$15="",Housemates!$D$15&gt;=$B485)),IF($Q485=0,1,INDEX(Bills!$AH$6:$AH$25,$Q485)),0))))</f>
        <v/>
      </c>
      <c r="AA485">
        <f>SUM(S485:Z485)</f>
        <v/>
      </c>
      <c r="AB485">
        <f>IF(AA485=0,0,D485*S485/AA485)</f>
        <v/>
      </c>
      <c r="AC485">
        <f>IF(AA485=0,0,D485*T485/AA485)</f>
        <v/>
      </c>
      <c r="AD485">
        <f>IF(AA485=0,0,D485*U485/AA485)</f>
        <v/>
      </c>
      <c r="AE485">
        <f>IF(AA485=0,0,D485*V485/AA485)</f>
        <v/>
      </c>
      <c r="AF485">
        <f>IF(AA485=0,0,D485*W485/AA485)</f>
        <v/>
      </c>
      <c r="AG485">
        <f>IF(AA485=0,0,D485*X485/AA485)</f>
        <v/>
      </c>
      <c r="AH485">
        <f>IF(AA485=0,0,D485*Y485/AA485)</f>
        <v/>
      </c>
      <c r="AI485">
        <f>IF(AA485=0,0,D485*Z485/AA485)</f>
        <v/>
      </c>
      <c r="AJ485">
        <f>IF(OR(C485="",B485=""),"",C485&amp;"|"&amp;(YEAR(B485)*100+MONTH(B485)))</f>
        <v/>
      </c>
    </row>
    <row r="486">
      <c r="A486" s="1" t="n"/>
      <c r="B486" s="23" t="n"/>
      <c r="C486" s="24" t="n"/>
      <c r="D486" s="25" t="n"/>
      <c r="E486" s="26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1">
        <f>IF(D486="","",IF(B486="","No date",IF(AND(C486="Paying back",R486=0),"To whom?",IF(AA486=0,"Nobody",IF(C486="Paying back","To "&amp;INDEX(Housemates!$B$8:$B$15,MATCH(MAX(S486:Z486),S486:Z486,0)),IF(R486&gt;0,IF(COUNTIF(S486:Z486,"&gt;0")=1,"1 person",COUNTIF(S486:Z486,"&gt;0")&amp;" people"),IF(Q486=0,"Everyone",INDEX(Bills!$Q$6:$Q$25,Q486))))))))</f>
        <v/>
      </c>
      <c r="O486" s="18">
        <f>IF(D486="","",IF(C486="Paying back","Paying back",IF(Q486=0,"Other",IF(INDEX(Bills!$C$6:$C$25,Q486)="","Other",INDEX(Bills!$C$6:$C$25,Q486)))))</f>
        <v/>
      </c>
      <c r="P486" s="1" t="n"/>
      <c r="Q486">
        <f>IF(C486="",0,IFERROR(MATCH(C486,Bills!$B$6:$B$25,0),0))</f>
        <v/>
      </c>
      <c r="R486">
        <f>COUNTA(F486:M486)</f>
        <v/>
      </c>
      <c r="S486">
        <f>IF(OR($D486="",$B486="",Housemates!$B$8=""),0,IF($R486&gt;0,IF(F486="",0,IF(ISNUMBER(F486),F486,1)),IF($C486="Paying back",0,IF(AND(OR(Housemates!$C$8="",Housemates!$C$8&lt;=$B486),OR(Housemates!$D$8="",Housemates!$D$8&gt;=$B486)),IF($Q486=0,1,INDEX(Bills!$AA$6:$AA$25,$Q486)),0))))</f>
        <v/>
      </c>
      <c r="T486">
        <f>IF(OR($D486="",$B486="",Housemates!$B$9=""),0,IF($R486&gt;0,IF(G486="",0,IF(ISNUMBER(G486),G486,1)),IF($C486="Paying back",0,IF(AND(OR(Housemates!$C$9="",Housemates!$C$9&lt;=$B486),OR(Housemates!$D$9="",Housemates!$D$9&gt;=$B486)),IF($Q486=0,1,INDEX(Bills!$AB$6:$AB$25,$Q486)),0))))</f>
        <v/>
      </c>
      <c r="U486">
        <f>IF(OR($D486="",$B486="",Housemates!$B$10=""),0,IF($R486&gt;0,IF(H486="",0,IF(ISNUMBER(H486),H486,1)),IF($C486="Paying back",0,IF(AND(OR(Housemates!$C$10="",Housemates!$C$10&lt;=$B486),OR(Housemates!$D$10="",Housemates!$D$10&gt;=$B486)),IF($Q486=0,1,INDEX(Bills!$AC$6:$AC$25,$Q486)),0))))</f>
        <v/>
      </c>
      <c r="V486">
        <f>IF(OR($D486="",$B486="",Housemates!$B$11=""),0,IF($R486&gt;0,IF(I486="",0,IF(ISNUMBER(I486),I486,1)),IF($C486="Paying back",0,IF(AND(OR(Housemates!$C$11="",Housemates!$C$11&lt;=$B486),OR(Housemates!$D$11="",Housemates!$D$11&gt;=$B486)),IF($Q486=0,1,INDEX(Bills!$AD$6:$AD$25,$Q486)),0))))</f>
        <v/>
      </c>
      <c r="W486">
        <f>IF(OR($D486="",$B486="",Housemates!$B$12=""),0,IF($R486&gt;0,IF(J486="",0,IF(ISNUMBER(J486),J486,1)),IF($C486="Paying back",0,IF(AND(OR(Housemates!$C$12="",Housemates!$C$12&lt;=$B486),OR(Housemates!$D$12="",Housemates!$D$12&gt;=$B486)),IF($Q486=0,1,INDEX(Bills!$AE$6:$AE$25,$Q486)),0))))</f>
        <v/>
      </c>
      <c r="X486">
        <f>IF(OR($D486="",$B486="",Housemates!$B$13=""),0,IF($R486&gt;0,IF(K486="",0,IF(ISNUMBER(K486),K486,1)),IF($C486="Paying back",0,IF(AND(OR(Housemates!$C$13="",Housemates!$C$13&lt;=$B486),OR(Housemates!$D$13="",Housemates!$D$13&gt;=$B486)),IF($Q486=0,1,INDEX(Bills!$AF$6:$AF$25,$Q486)),0))))</f>
        <v/>
      </c>
      <c r="Y486">
        <f>IF(OR($D486="",$B486="",Housemates!$B$14=""),0,IF($R486&gt;0,IF(L486="",0,IF(ISNUMBER(L486),L486,1)),IF($C486="Paying back",0,IF(AND(OR(Housemates!$C$14="",Housemates!$C$14&lt;=$B486),OR(Housemates!$D$14="",Housemates!$D$14&gt;=$B486)),IF($Q486=0,1,INDEX(Bills!$AG$6:$AG$25,$Q486)),0))))</f>
        <v/>
      </c>
      <c r="Z486">
        <f>IF(OR($D486="",$B486="",Housemates!$B$15=""),0,IF($R486&gt;0,IF(M486="",0,IF(ISNUMBER(M486),M486,1)),IF($C486="Paying back",0,IF(AND(OR(Housemates!$C$15="",Housemates!$C$15&lt;=$B486),OR(Housemates!$D$15="",Housemates!$D$15&gt;=$B486)),IF($Q486=0,1,INDEX(Bills!$AH$6:$AH$25,$Q486)),0))))</f>
        <v/>
      </c>
      <c r="AA486">
        <f>SUM(S486:Z486)</f>
        <v/>
      </c>
      <c r="AB486">
        <f>IF(AA486=0,0,D486*S486/AA486)</f>
        <v/>
      </c>
      <c r="AC486">
        <f>IF(AA486=0,0,D486*T486/AA486)</f>
        <v/>
      </c>
      <c r="AD486">
        <f>IF(AA486=0,0,D486*U486/AA486)</f>
        <v/>
      </c>
      <c r="AE486">
        <f>IF(AA486=0,0,D486*V486/AA486)</f>
        <v/>
      </c>
      <c r="AF486">
        <f>IF(AA486=0,0,D486*W486/AA486)</f>
        <v/>
      </c>
      <c r="AG486">
        <f>IF(AA486=0,0,D486*X486/AA486)</f>
        <v/>
      </c>
      <c r="AH486">
        <f>IF(AA486=0,0,D486*Y486/AA486)</f>
        <v/>
      </c>
      <c r="AI486">
        <f>IF(AA486=0,0,D486*Z486/AA486)</f>
        <v/>
      </c>
      <c r="AJ486">
        <f>IF(OR(C486="",B486=""),"",C486&amp;"|"&amp;(YEAR(B486)*100+MONTH(B486)))</f>
        <v/>
      </c>
    </row>
    <row r="487">
      <c r="A487" s="1" t="n"/>
      <c r="B487" s="23" t="n"/>
      <c r="C487" s="24" t="n"/>
      <c r="D487" s="25" t="n"/>
      <c r="E487" s="26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1">
        <f>IF(D487="","",IF(B487="","No date",IF(AND(C487="Paying back",R487=0),"To whom?",IF(AA487=0,"Nobody",IF(C487="Paying back","To "&amp;INDEX(Housemates!$B$8:$B$15,MATCH(MAX(S487:Z487),S487:Z487,0)),IF(R487&gt;0,IF(COUNTIF(S487:Z487,"&gt;0")=1,"1 person",COUNTIF(S487:Z487,"&gt;0")&amp;" people"),IF(Q487=0,"Everyone",INDEX(Bills!$Q$6:$Q$25,Q487))))))))</f>
        <v/>
      </c>
      <c r="O487" s="18">
        <f>IF(D487="","",IF(C487="Paying back","Paying back",IF(Q487=0,"Other",IF(INDEX(Bills!$C$6:$C$25,Q487)="","Other",INDEX(Bills!$C$6:$C$25,Q487)))))</f>
        <v/>
      </c>
      <c r="P487" s="1" t="n"/>
      <c r="Q487">
        <f>IF(C487="",0,IFERROR(MATCH(C487,Bills!$B$6:$B$25,0),0))</f>
        <v/>
      </c>
      <c r="R487">
        <f>COUNTA(F487:M487)</f>
        <v/>
      </c>
      <c r="S487">
        <f>IF(OR($D487="",$B487="",Housemates!$B$8=""),0,IF($R487&gt;0,IF(F487="",0,IF(ISNUMBER(F487),F487,1)),IF($C487="Paying back",0,IF(AND(OR(Housemates!$C$8="",Housemates!$C$8&lt;=$B487),OR(Housemates!$D$8="",Housemates!$D$8&gt;=$B487)),IF($Q487=0,1,INDEX(Bills!$AA$6:$AA$25,$Q487)),0))))</f>
        <v/>
      </c>
      <c r="T487">
        <f>IF(OR($D487="",$B487="",Housemates!$B$9=""),0,IF($R487&gt;0,IF(G487="",0,IF(ISNUMBER(G487),G487,1)),IF($C487="Paying back",0,IF(AND(OR(Housemates!$C$9="",Housemates!$C$9&lt;=$B487),OR(Housemates!$D$9="",Housemates!$D$9&gt;=$B487)),IF($Q487=0,1,INDEX(Bills!$AB$6:$AB$25,$Q487)),0))))</f>
        <v/>
      </c>
      <c r="U487">
        <f>IF(OR($D487="",$B487="",Housemates!$B$10=""),0,IF($R487&gt;0,IF(H487="",0,IF(ISNUMBER(H487),H487,1)),IF($C487="Paying back",0,IF(AND(OR(Housemates!$C$10="",Housemates!$C$10&lt;=$B487),OR(Housemates!$D$10="",Housemates!$D$10&gt;=$B487)),IF($Q487=0,1,INDEX(Bills!$AC$6:$AC$25,$Q487)),0))))</f>
        <v/>
      </c>
      <c r="V487">
        <f>IF(OR($D487="",$B487="",Housemates!$B$11=""),0,IF($R487&gt;0,IF(I487="",0,IF(ISNUMBER(I487),I487,1)),IF($C487="Paying back",0,IF(AND(OR(Housemates!$C$11="",Housemates!$C$11&lt;=$B487),OR(Housemates!$D$11="",Housemates!$D$11&gt;=$B487)),IF($Q487=0,1,INDEX(Bills!$AD$6:$AD$25,$Q487)),0))))</f>
        <v/>
      </c>
      <c r="W487">
        <f>IF(OR($D487="",$B487="",Housemates!$B$12=""),0,IF($R487&gt;0,IF(J487="",0,IF(ISNUMBER(J487),J487,1)),IF($C487="Paying back",0,IF(AND(OR(Housemates!$C$12="",Housemates!$C$12&lt;=$B487),OR(Housemates!$D$12="",Housemates!$D$12&gt;=$B487)),IF($Q487=0,1,INDEX(Bills!$AE$6:$AE$25,$Q487)),0))))</f>
        <v/>
      </c>
      <c r="X487">
        <f>IF(OR($D487="",$B487="",Housemates!$B$13=""),0,IF($R487&gt;0,IF(K487="",0,IF(ISNUMBER(K487),K487,1)),IF($C487="Paying back",0,IF(AND(OR(Housemates!$C$13="",Housemates!$C$13&lt;=$B487),OR(Housemates!$D$13="",Housemates!$D$13&gt;=$B487)),IF($Q487=0,1,INDEX(Bills!$AF$6:$AF$25,$Q487)),0))))</f>
        <v/>
      </c>
      <c r="Y487">
        <f>IF(OR($D487="",$B487="",Housemates!$B$14=""),0,IF($R487&gt;0,IF(L487="",0,IF(ISNUMBER(L487),L487,1)),IF($C487="Paying back",0,IF(AND(OR(Housemates!$C$14="",Housemates!$C$14&lt;=$B487),OR(Housemates!$D$14="",Housemates!$D$14&gt;=$B487)),IF($Q487=0,1,INDEX(Bills!$AG$6:$AG$25,$Q487)),0))))</f>
        <v/>
      </c>
      <c r="Z487">
        <f>IF(OR($D487="",$B487="",Housemates!$B$15=""),0,IF($R487&gt;0,IF(M487="",0,IF(ISNUMBER(M487),M487,1)),IF($C487="Paying back",0,IF(AND(OR(Housemates!$C$15="",Housemates!$C$15&lt;=$B487),OR(Housemates!$D$15="",Housemates!$D$15&gt;=$B487)),IF($Q487=0,1,INDEX(Bills!$AH$6:$AH$25,$Q487)),0))))</f>
        <v/>
      </c>
      <c r="AA487">
        <f>SUM(S487:Z487)</f>
        <v/>
      </c>
      <c r="AB487">
        <f>IF(AA487=0,0,D487*S487/AA487)</f>
        <v/>
      </c>
      <c r="AC487">
        <f>IF(AA487=0,0,D487*T487/AA487)</f>
        <v/>
      </c>
      <c r="AD487">
        <f>IF(AA487=0,0,D487*U487/AA487)</f>
        <v/>
      </c>
      <c r="AE487">
        <f>IF(AA487=0,0,D487*V487/AA487)</f>
        <v/>
      </c>
      <c r="AF487">
        <f>IF(AA487=0,0,D487*W487/AA487)</f>
        <v/>
      </c>
      <c r="AG487">
        <f>IF(AA487=0,0,D487*X487/AA487)</f>
        <v/>
      </c>
      <c r="AH487">
        <f>IF(AA487=0,0,D487*Y487/AA487)</f>
        <v/>
      </c>
      <c r="AI487">
        <f>IF(AA487=0,0,D487*Z487/AA487)</f>
        <v/>
      </c>
      <c r="AJ487">
        <f>IF(OR(C487="",B487=""),"",C487&amp;"|"&amp;(YEAR(B487)*100+MONTH(B487)))</f>
        <v/>
      </c>
    </row>
    <row r="488">
      <c r="A488" s="1" t="n"/>
      <c r="B488" s="23" t="n"/>
      <c r="C488" s="24" t="n"/>
      <c r="D488" s="25" t="n"/>
      <c r="E488" s="26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1">
        <f>IF(D488="","",IF(B488="","No date",IF(AND(C488="Paying back",R488=0),"To whom?",IF(AA488=0,"Nobody",IF(C488="Paying back","To "&amp;INDEX(Housemates!$B$8:$B$15,MATCH(MAX(S488:Z488),S488:Z488,0)),IF(R488&gt;0,IF(COUNTIF(S488:Z488,"&gt;0")=1,"1 person",COUNTIF(S488:Z488,"&gt;0")&amp;" people"),IF(Q488=0,"Everyone",INDEX(Bills!$Q$6:$Q$25,Q488))))))))</f>
        <v/>
      </c>
      <c r="O488" s="18">
        <f>IF(D488="","",IF(C488="Paying back","Paying back",IF(Q488=0,"Other",IF(INDEX(Bills!$C$6:$C$25,Q488)="","Other",INDEX(Bills!$C$6:$C$25,Q488)))))</f>
        <v/>
      </c>
      <c r="P488" s="1" t="n"/>
      <c r="Q488">
        <f>IF(C488="",0,IFERROR(MATCH(C488,Bills!$B$6:$B$25,0),0))</f>
        <v/>
      </c>
      <c r="R488">
        <f>COUNTA(F488:M488)</f>
        <v/>
      </c>
      <c r="S488">
        <f>IF(OR($D488="",$B488="",Housemates!$B$8=""),0,IF($R488&gt;0,IF(F488="",0,IF(ISNUMBER(F488),F488,1)),IF($C488="Paying back",0,IF(AND(OR(Housemates!$C$8="",Housemates!$C$8&lt;=$B488),OR(Housemates!$D$8="",Housemates!$D$8&gt;=$B488)),IF($Q488=0,1,INDEX(Bills!$AA$6:$AA$25,$Q488)),0))))</f>
        <v/>
      </c>
      <c r="T488">
        <f>IF(OR($D488="",$B488="",Housemates!$B$9=""),0,IF($R488&gt;0,IF(G488="",0,IF(ISNUMBER(G488),G488,1)),IF($C488="Paying back",0,IF(AND(OR(Housemates!$C$9="",Housemates!$C$9&lt;=$B488),OR(Housemates!$D$9="",Housemates!$D$9&gt;=$B488)),IF($Q488=0,1,INDEX(Bills!$AB$6:$AB$25,$Q488)),0))))</f>
        <v/>
      </c>
      <c r="U488">
        <f>IF(OR($D488="",$B488="",Housemates!$B$10=""),0,IF($R488&gt;0,IF(H488="",0,IF(ISNUMBER(H488),H488,1)),IF($C488="Paying back",0,IF(AND(OR(Housemates!$C$10="",Housemates!$C$10&lt;=$B488),OR(Housemates!$D$10="",Housemates!$D$10&gt;=$B488)),IF($Q488=0,1,INDEX(Bills!$AC$6:$AC$25,$Q488)),0))))</f>
        <v/>
      </c>
      <c r="V488">
        <f>IF(OR($D488="",$B488="",Housemates!$B$11=""),0,IF($R488&gt;0,IF(I488="",0,IF(ISNUMBER(I488),I488,1)),IF($C488="Paying back",0,IF(AND(OR(Housemates!$C$11="",Housemates!$C$11&lt;=$B488),OR(Housemates!$D$11="",Housemates!$D$11&gt;=$B488)),IF($Q488=0,1,INDEX(Bills!$AD$6:$AD$25,$Q488)),0))))</f>
        <v/>
      </c>
      <c r="W488">
        <f>IF(OR($D488="",$B488="",Housemates!$B$12=""),0,IF($R488&gt;0,IF(J488="",0,IF(ISNUMBER(J488),J488,1)),IF($C488="Paying back",0,IF(AND(OR(Housemates!$C$12="",Housemates!$C$12&lt;=$B488),OR(Housemates!$D$12="",Housemates!$D$12&gt;=$B488)),IF($Q488=0,1,INDEX(Bills!$AE$6:$AE$25,$Q488)),0))))</f>
        <v/>
      </c>
      <c r="X488">
        <f>IF(OR($D488="",$B488="",Housemates!$B$13=""),0,IF($R488&gt;0,IF(K488="",0,IF(ISNUMBER(K488),K488,1)),IF($C488="Paying back",0,IF(AND(OR(Housemates!$C$13="",Housemates!$C$13&lt;=$B488),OR(Housemates!$D$13="",Housemates!$D$13&gt;=$B488)),IF($Q488=0,1,INDEX(Bills!$AF$6:$AF$25,$Q488)),0))))</f>
        <v/>
      </c>
      <c r="Y488">
        <f>IF(OR($D488="",$B488="",Housemates!$B$14=""),0,IF($R488&gt;0,IF(L488="",0,IF(ISNUMBER(L488),L488,1)),IF($C488="Paying back",0,IF(AND(OR(Housemates!$C$14="",Housemates!$C$14&lt;=$B488),OR(Housemates!$D$14="",Housemates!$D$14&gt;=$B488)),IF($Q488=0,1,INDEX(Bills!$AG$6:$AG$25,$Q488)),0))))</f>
        <v/>
      </c>
      <c r="Z488">
        <f>IF(OR($D488="",$B488="",Housemates!$B$15=""),0,IF($R488&gt;0,IF(M488="",0,IF(ISNUMBER(M488),M488,1)),IF($C488="Paying back",0,IF(AND(OR(Housemates!$C$15="",Housemates!$C$15&lt;=$B488),OR(Housemates!$D$15="",Housemates!$D$15&gt;=$B488)),IF($Q488=0,1,INDEX(Bills!$AH$6:$AH$25,$Q488)),0))))</f>
        <v/>
      </c>
      <c r="AA488">
        <f>SUM(S488:Z488)</f>
        <v/>
      </c>
      <c r="AB488">
        <f>IF(AA488=0,0,D488*S488/AA488)</f>
        <v/>
      </c>
      <c r="AC488">
        <f>IF(AA488=0,0,D488*T488/AA488)</f>
        <v/>
      </c>
      <c r="AD488">
        <f>IF(AA488=0,0,D488*U488/AA488)</f>
        <v/>
      </c>
      <c r="AE488">
        <f>IF(AA488=0,0,D488*V488/AA488)</f>
        <v/>
      </c>
      <c r="AF488">
        <f>IF(AA488=0,0,D488*W488/AA488)</f>
        <v/>
      </c>
      <c r="AG488">
        <f>IF(AA488=0,0,D488*X488/AA488)</f>
        <v/>
      </c>
      <c r="AH488">
        <f>IF(AA488=0,0,D488*Y488/AA488)</f>
        <v/>
      </c>
      <c r="AI488">
        <f>IF(AA488=0,0,D488*Z488/AA488)</f>
        <v/>
      </c>
      <c r="AJ488">
        <f>IF(OR(C488="",B488=""),"",C488&amp;"|"&amp;(YEAR(B488)*100+MONTH(B488)))</f>
        <v/>
      </c>
    </row>
    <row r="489">
      <c r="A489" s="1" t="n"/>
      <c r="B489" s="23" t="n"/>
      <c r="C489" s="24" t="n"/>
      <c r="D489" s="25" t="n"/>
      <c r="E489" s="26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1">
        <f>IF(D489="","",IF(B489="","No date",IF(AND(C489="Paying back",R489=0),"To whom?",IF(AA489=0,"Nobody",IF(C489="Paying back","To "&amp;INDEX(Housemates!$B$8:$B$15,MATCH(MAX(S489:Z489),S489:Z489,0)),IF(R489&gt;0,IF(COUNTIF(S489:Z489,"&gt;0")=1,"1 person",COUNTIF(S489:Z489,"&gt;0")&amp;" people"),IF(Q489=0,"Everyone",INDEX(Bills!$Q$6:$Q$25,Q489))))))))</f>
        <v/>
      </c>
      <c r="O489" s="18">
        <f>IF(D489="","",IF(C489="Paying back","Paying back",IF(Q489=0,"Other",IF(INDEX(Bills!$C$6:$C$25,Q489)="","Other",INDEX(Bills!$C$6:$C$25,Q489)))))</f>
        <v/>
      </c>
      <c r="P489" s="1" t="n"/>
      <c r="Q489">
        <f>IF(C489="",0,IFERROR(MATCH(C489,Bills!$B$6:$B$25,0),0))</f>
        <v/>
      </c>
      <c r="R489">
        <f>COUNTA(F489:M489)</f>
        <v/>
      </c>
      <c r="S489">
        <f>IF(OR($D489="",$B489="",Housemates!$B$8=""),0,IF($R489&gt;0,IF(F489="",0,IF(ISNUMBER(F489),F489,1)),IF($C489="Paying back",0,IF(AND(OR(Housemates!$C$8="",Housemates!$C$8&lt;=$B489),OR(Housemates!$D$8="",Housemates!$D$8&gt;=$B489)),IF($Q489=0,1,INDEX(Bills!$AA$6:$AA$25,$Q489)),0))))</f>
        <v/>
      </c>
      <c r="T489">
        <f>IF(OR($D489="",$B489="",Housemates!$B$9=""),0,IF($R489&gt;0,IF(G489="",0,IF(ISNUMBER(G489),G489,1)),IF($C489="Paying back",0,IF(AND(OR(Housemates!$C$9="",Housemates!$C$9&lt;=$B489),OR(Housemates!$D$9="",Housemates!$D$9&gt;=$B489)),IF($Q489=0,1,INDEX(Bills!$AB$6:$AB$25,$Q489)),0))))</f>
        <v/>
      </c>
      <c r="U489">
        <f>IF(OR($D489="",$B489="",Housemates!$B$10=""),0,IF($R489&gt;0,IF(H489="",0,IF(ISNUMBER(H489),H489,1)),IF($C489="Paying back",0,IF(AND(OR(Housemates!$C$10="",Housemates!$C$10&lt;=$B489),OR(Housemates!$D$10="",Housemates!$D$10&gt;=$B489)),IF($Q489=0,1,INDEX(Bills!$AC$6:$AC$25,$Q489)),0))))</f>
        <v/>
      </c>
      <c r="V489">
        <f>IF(OR($D489="",$B489="",Housemates!$B$11=""),0,IF($R489&gt;0,IF(I489="",0,IF(ISNUMBER(I489),I489,1)),IF($C489="Paying back",0,IF(AND(OR(Housemates!$C$11="",Housemates!$C$11&lt;=$B489),OR(Housemates!$D$11="",Housemates!$D$11&gt;=$B489)),IF($Q489=0,1,INDEX(Bills!$AD$6:$AD$25,$Q489)),0))))</f>
        <v/>
      </c>
      <c r="W489">
        <f>IF(OR($D489="",$B489="",Housemates!$B$12=""),0,IF($R489&gt;0,IF(J489="",0,IF(ISNUMBER(J489),J489,1)),IF($C489="Paying back",0,IF(AND(OR(Housemates!$C$12="",Housemates!$C$12&lt;=$B489),OR(Housemates!$D$12="",Housemates!$D$12&gt;=$B489)),IF($Q489=0,1,INDEX(Bills!$AE$6:$AE$25,$Q489)),0))))</f>
        <v/>
      </c>
      <c r="X489">
        <f>IF(OR($D489="",$B489="",Housemates!$B$13=""),0,IF($R489&gt;0,IF(K489="",0,IF(ISNUMBER(K489),K489,1)),IF($C489="Paying back",0,IF(AND(OR(Housemates!$C$13="",Housemates!$C$13&lt;=$B489),OR(Housemates!$D$13="",Housemates!$D$13&gt;=$B489)),IF($Q489=0,1,INDEX(Bills!$AF$6:$AF$25,$Q489)),0))))</f>
        <v/>
      </c>
      <c r="Y489">
        <f>IF(OR($D489="",$B489="",Housemates!$B$14=""),0,IF($R489&gt;0,IF(L489="",0,IF(ISNUMBER(L489),L489,1)),IF($C489="Paying back",0,IF(AND(OR(Housemates!$C$14="",Housemates!$C$14&lt;=$B489),OR(Housemates!$D$14="",Housemates!$D$14&gt;=$B489)),IF($Q489=0,1,INDEX(Bills!$AG$6:$AG$25,$Q489)),0))))</f>
        <v/>
      </c>
      <c r="Z489">
        <f>IF(OR($D489="",$B489="",Housemates!$B$15=""),0,IF($R489&gt;0,IF(M489="",0,IF(ISNUMBER(M489),M489,1)),IF($C489="Paying back",0,IF(AND(OR(Housemates!$C$15="",Housemates!$C$15&lt;=$B489),OR(Housemates!$D$15="",Housemates!$D$15&gt;=$B489)),IF($Q489=0,1,INDEX(Bills!$AH$6:$AH$25,$Q489)),0))))</f>
        <v/>
      </c>
      <c r="AA489">
        <f>SUM(S489:Z489)</f>
        <v/>
      </c>
      <c r="AB489">
        <f>IF(AA489=0,0,D489*S489/AA489)</f>
        <v/>
      </c>
      <c r="AC489">
        <f>IF(AA489=0,0,D489*T489/AA489)</f>
        <v/>
      </c>
      <c r="AD489">
        <f>IF(AA489=0,0,D489*U489/AA489)</f>
        <v/>
      </c>
      <c r="AE489">
        <f>IF(AA489=0,0,D489*V489/AA489)</f>
        <v/>
      </c>
      <c r="AF489">
        <f>IF(AA489=0,0,D489*W489/AA489)</f>
        <v/>
      </c>
      <c r="AG489">
        <f>IF(AA489=0,0,D489*X489/AA489)</f>
        <v/>
      </c>
      <c r="AH489">
        <f>IF(AA489=0,0,D489*Y489/AA489)</f>
        <v/>
      </c>
      <c r="AI489">
        <f>IF(AA489=0,0,D489*Z489/AA489)</f>
        <v/>
      </c>
      <c r="AJ489">
        <f>IF(OR(C489="",B489=""),"",C489&amp;"|"&amp;(YEAR(B489)*100+MONTH(B489)))</f>
        <v/>
      </c>
    </row>
    <row r="490">
      <c r="A490" s="1" t="n"/>
      <c r="B490" s="23" t="n"/>
      <c r="C490" s="24" t="n"/>
      <c r="D490" s="25" t="n"/>
      <c r="E490" s="26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1">
        <f>IF(D490="","",IF(B490="","No date",IF(AND(C490="Paying back",R490=0),"To whom?",IF(AA490=0,"Nobody",IF(C490="Paying back","To "&amp;INDEX(Housemates!$B$8:$B$15,MATCH(MAX(S490:Z490),S490:Z490,0)),IF(R490&gt;0,IF(COUNTIF(S490:Z490,"&gt;0")=1,"1 person",COUNTIF(S490:Z490,"&gt;0")&amp;" people"),IF(Q490=0,"Everyone",INDEX(Bills!$Q$6:$Q$25,Q490))))))))</f>
        <v/>
      </c>
      <c r="O490" s="18">
        <f>IF(D490="","",IF(C490="Paying back","Paying back",IF(Q490=0,"Other",IF(INDEX(Bills!$C$6:$C$25,Q490)="","Other",INDEX(Bills!$C$6:$C$25,Q490)))))</f>
        <v/>
      </c>
      <c r="P490" s="1" t="n"/>
      <c r="Q490">
        <f>IF(C490="",0,IFERROR(MATCH(C490,Bills!$B$6:$B$25,0),0))</f>
        <v/>
      </c>
      <c r="R490">
        <f>COUNTA(F490:M490)</f>
        <v/>
      </c>
      <c r="S490">
        <f>IF(OR($D490="",$B490="",Housemates!$B$8=""),0,IF($R490&gt;0,IF(F490="",0,IF(ISNUMBER(F490),F490,1)),IF($C490="Paying back",0,IF(AND(OR(Housemates!$C$8="",Housemates!$C$8&lt;=$B490),OR(Housemates!$D$8="",Housemates!$D$8&gt;=$B490)),IF($Q490=0,1,INDEX(Bills!$AA$6:$AA$25,$Q490)),0))))</f>
        <v/>
      </c>
      <c r="T490">
        <f>IF(OR($D490="",$B490="",Housemates!$B$9=""),0,IF($R490&gt;0,IF(G490="",0,IF(ISNUMBER(G490),G490,1)),IF($C490="Paying back",0,IF(AND(OR(Housemates!$C$9="",Housemates!$C$9&lt;=$B490),OR(Housemates!$D$9="",Housemates!$D$9&gt;=$B490)),IF($Q490=0,1,INDEX(Bills!$AB$6:$AB$25,$Q490)),0))))</f>
        <v/>
      </c>
      <c r="U490">
        <f>IF(OR($D490="",$B490="",Housemates!$B$10=""),0,IF($R490&gt;0,IF(H490="",0,IF(ISNUMBER(H490),H490,1)),IF($C490="Paying back",0,IF(AND(OR(Housemates!$C$10="",Housemates!$C$10&lt;=$B490),OR(Housemates!$D$10="",Housemates!$D$10&gt;=$B490)),IF($Q490=0,1,INDEX(Bills!$AC$6:$AC$25,$Q490)),0))))</f>
        <v/>
      </c>
      <c r="V490">
        <f>IF(OR($D490="",$B490="",Housemates!$B$11=""),0,IF($R490&gt;0,IF(I490="",0,IF(ISNUMBER(I490),I490,1)),IF($C490="Paying back",0,IF(AND(OR(Housemates!$C$11="",Housemates!$C$11&lt;=$B490),OR(Housemates!$D$11="",Housemates!$D$11&gt;=$B490)),IF($Q490=0,1,INDEX(Bills!$AD$6:$AD$25,$Q490)),0))))</f>
        <v/>
      </c>
      <c r="W490">
        <f>IF(OR($D490="",$B490="",Housemates!$B$12=""),0,IF($R490&gt;0,IF(J490="",0,IF(ISNUMBER(J490),J490,1)),IF($C490="Paying back",0,IF(AND(OR(Housemates!$C$12="",Housemates!$C$12&lt;=$B490),OR(Housemates!$D$12="",Housemates!$D$12&gt;=$B490)),IF($Q490=0,1,INDEX(Bills!$AE$6:$AE$25,$Q490)),0))))</f>
        <v/>
      </c>
      <c r="X490">
        <f>IF(OR($D490="",$B490="",Housemates!$B$13=""),0,IF($R490&gt;0,IF(K490="",0,IF(ISNUMBER(K490),K490,1)),IF($C490="Paying back",0,IF(AND(OR(Housemates!$C$13="",Housemates!$C$13&lt;=$B490),OR(Housemates!$D$13="",Housemates!$D$13&gt;=$B490)),IF($Q490=0,1,INDEX(Bills!$AF$6:$AF$25,$Q490)),0))))</f>
        <v/>
      </c>
      <c r="Y490">
        <f>IF(OR($D490="",$B490="",Housemates!$B$14=""),0,IF($R490&gt;0,IF(L490="",0,IF(ISNUMBER(L490),L490,1)),IF($C490="Paying back",0,IF(AND(OR(Housemates!$C$14="",Housemates!$C$14&lt;=$B490),OR(Housemates!$D$14="",Housemates!$D$14&gt;=$B490)),IF($Q490=0,1,INDEX(Bills!$AG$6:$AG$25,$Q490)),0))))</f>
        <v/>
      </c>
      <c r="Z490">
        <f>IF(OR($D490="",$B490="",Housemates!$B$15=""),0,IF($R490&gt;0,IF(M490="",0,IF(ISNUMBER(M490),M490,1)),IF($C490="Paying back",0,IF(AND(OR(Housemates!$C$15="",Housemates!$C$15&lt;=$B490),OR(Housemates!$D$15="",Housemates!$D$15&gt;=$B490)),IF($Q490=0,1,INDEX(Bills!$AH$6:$AH$25,$Q490)),0))))</f>
        <v/>
      </c>
      <c r="AA490">
        <f>SUM(S490:Z490)</f>
        <v/>
      </c>
      <c r="AB490">
        <f>IF(AA490=0,0,D490*S490/AA490)</f>
        <v/>
      </c>
      <c r="AC490">
        <f>IF(AA490=0,0,D490*T490/AA490)</f>
        <v/>
      </c>
      <c r="AD490">
        <f>IF(AA490=0,0,D490*U490/AA490)</f>
        <v/>
      </c>
      <c r="AE490">
        <f>IF(AA490=0,0,D490*V490/AA490)</f>
        <v/>
      </c>
      <c r="AF490">
        <f>IF(AA490=0,0,D490*W490/AA490)</f>
        <v/>
      </c>
      <c r="AG490">
        <f>IF(AA490=0,0,D490*X490/AA490)</f>
        <v/>
      </c>
      <c r="AH490">
        <f>IF(AA490=0,0,D490*Y490/AA490)</f>
        <v/>
      </c>
      <c r="AI490">
        <f>IF(AA490=0,0,D490*Z490/AA490)</f>
        <v/>
      </c>
      <c r="AJ490">
        <f>IF(OR(C490="",B490=""),"",C490&amp;"|"&amp;(YEAR(B490)*100+MONTH(B490)))</f>
        <v/>
      </c>
    </row>
    <row r="491">
      <c r="A491" s="1" t="n"/>
      <c r="B491" s="23" t="n"/>
      <c r="C491" s="24" t="n"/>
      <c r="D491" s="25" t="n"/>
      <c r="E491" s="26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1">
        <f>IF(D491="","",IF(B491="","No date",IF(AND(C491="Paying back",R491=0),"To whom?",IF(AA491=0,"Nobody",IF(C491="Paying back","To "&amp;INDEX(Housemates!$B$8:$B$15,MATCH(MAX(S491:Z491),S491:Z491,0)),IF(R491&gt;0,IF(COUNTIF(S491:Z491,"&gt;0")=1,"1 person",COUNTIF(S491:Z491,"&gt;0")&amp;" people"),IF(Q491=0,"Everyone",INDEX(Bills!$Q$6:$Q$25,Q491))))))))</f>
        <v/>
      </c>
      <c r="O491" s="18">
        <f>IF(D491="","",IF(C491="Paying back","Paying back",IF(Q491=0,"Other",IF(INDEX(Bills!$C$6:$C$25,Q491)="","Other",INDEX(Bills!$C$6:$C$25,Q491)))))</f>
        <v/>
      </c>
      <c r="P491" s="1" t="n"/>
      <c r="Q491">
        <f>IF(C491="",0,IFERROR(MATCH(C491,Bills!$B$6:$B$25,0),0))</f>
        <v/>
      </c>
      <c r="R491">
        <f>COUNTA(F491:M491)</f>
        <v/>
      </c>
      <c r="S491">
        <f>IF(OR($D491="",$B491="",Housemates!$B$8=""),0,IF($R491&gt;0,IF(F491="",0,IF(ISNUMBER(F491),F491,1)),IF($C491="Paying back",0,IF(AND(OR(Housemates!$C$8="",Housemates!$C$8&lt;=$B491),OR(Housemates!$D$8="",Housemates!$D$8&gt;=$B491)),IF($Q491=0,1,INDEX(Bills!$AA$6:$AA$25,$Q491)),0))))</f>
        <v/>
      </c>
      <c r="T491">
        <f>IF(OR($D491="",$B491="",Housemates!$B$9=""),0,IF($R491&gt;0,IF(G491="",0,IF(ISNUMBER(G491),G491,1)),IF($C491="Paying back",0,IF(AND(OR(Housemates!$C$9="",Housemates!$C$9&lt;=$B491),OR(Housemates!$D$9="",Housemates!$D$9&gt;=$B491)),IF($Q491=0,1,INDEX(Bills!$AB$6:$AB$25,$Q491)),0))))</f>
        <v/>
      </c>
      <c r="U491">
        <f>IF(OR($D491="",$B491="",Housemates!$B$10=""),0,IF($R491&gt;0,IF(H491="",0,IF(ISNUMBER(H491),H491,1)),IF($C491="Paying back",0,IF(AND(OR(Housemates!$C$10="",Housemates!$C$10&lt;=$B491),OR(Housemates!$D$10="",Housemates!$D$10&gt;=$B491)),IF($Q491=0,1,INDEX(Bills!$AC$6:$AC$25,$Q491)),0))))</f>
        <v/>
      </c>
      <c r="V491">
        <f>IF(OR($D491="",$B491="",Housemates!$B$11=""),0,IF($R491&gt;0,IF(I491="",0,IF(ISNUMBER(I491),I491,1)),IF($C491="Paying back",0,IF(AND(OR(Housemates!$C$11="",Housemates!$C$11&lt;=$B491),OR(Housemates!$D$11="",Housemates!$D$11&gt;=$B491)),IF($Q491=0,1,INDEX(Bills!$AD$6:$AD$25,$Q491)),0))))</f>
        <v/>
      </c>
      <c r="W491">
        <f>IF(OR($D491="",$B491="",Housemates!$B$12=""),0,IF($R491&gt;0,IF(J491="",0,IF(ISNUMBER(J491),J491,1)),IF($C491="Paying back",0,IF(AND(OR(Housemates!$C$12="",Housemates!$C$12&lt;=$B491),OR(Housemates!$D$12="",Housemates!$D$12&gt;=$B491)),IF($Q491=0,1,INDEX(Bills!$AE$6:$AE$25,$Q491)),0))))</f>
        <v/>
      </c>
      <c r="X491">
        <f>IF(OR($D491="",$B491="",Housemates!$B$13=""),0,IF($R491&gt;0,IF(K491="",0,IF(ISNUMBER(K491),K491,1)),IF($C491="Paying back",0,IF(AND(OR(Housemates!$C$13="",Housemates!$C$13&lt;=$B491),OR(Housemates!$D$13="",Housemates!$D$13&gt;=$B491)),IF($Q491=0,1,INDEX(Bills!$AF$6:$AF$25,$Q491)),0))))</f>
        <v/>
      </c>
      <c r="Y491">
        <f>IF(OR($D491="",$B491="",Housemates!$B$14=""),0,IF($R491&gt;0,IF(L491="",0,IF(ISNUMBER(L491),L491,1)),IF($C491="Paying back",0,IF(AND(OR(Housemates!$C$14="",Housemates!$C$14&lt;=$B491),OR(Housemates!$D$14="",Housemates!$D$14&gt;=$B491)),IF($Q491=0,1,INDEX(Bills!$AG$6:$AG$25,$Q491)),0))))</f>
        <v/>
      </c>
      <c r="Z491">
        <f>IF(OR($D491="",$B491="",Housemates!$B$15=""),0,IF($R491&gt;0,IF(M491="",0,IF(ISNUMBER(M491),M491,1)),IF($C491="Paying back",0,IF(AND(OR(Housemates!$C$15="",Housemates!$C$15&lt;=$B491),OR(Housemates!$D$15="",Housemates!$D$15&gt;=$B491)),IF($Q491=0,1,INDEX(Bills!$AH$6:$AH$25,$Q491)),0))))</f>
        <v/>
      </c>
      <c r="AA491">
        <f>SUM(S491:Z491)</f>
        <v/>
      </c>
      <c r="AB491">
        <f>IF(AA491=0,0,D491*S491/AA491)</f>
        <v/>
      </c>
      <c r="AC491">
        <f>IF(AA491=0,0,D491*T491/AA491)</f>
        <v/>
      </c>
      <c r="AD491">
        <f>IF(AA491=0,0,D491*U491/AA491)</f>
        <v/>
      </c>
      <c r="AE491">
        <f>IF(AA491=0,0,D491*V491/AA491)</f>
        <v/>
      </c>
      <c r="AF491">
        <f>IF(AA491=0,0,D491*W491/AA491)</f>
        <v/>
      </c>
      <c r="AG491">
        <f>IF(AA491=0,0,D491*X491/AA491)</f>
        <v/>
      </c>
      <c r="AH491">
        <f>IF(AA491=0,0,D491*Y491/AA491)</f>
        <v/>
      </c>
      <c r="AI491">
        <f>IF(AA491=0,0,D491*Z491/AA491)</f>
        <v/>
      </c>
      <c r="AJ491">
        <f>IF(OR(C491="",B491=""),"",C491&amp;"|"&amp;(YEAR(B491)*100+MONTH(B491)))</f>
        <v/>
      </c>
    </row>
    <row r="492">
      <c r="A492" s="1" t="n"/>
      <c r="B492" s="23" t="n"/>
      <c r="C492" s="24" t="n"/>
      <c r="D492" s="25" t="n"/>
      <c r="E492" s="26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1">
        <f>IF(D492="","",IF(B492="","No date",IF(AND(C492="Paying back",R492=0),"To whom?",IF(AA492=0,"Nobody",IF(C492="Paying back","To "&amp;INDEX(Housemates!$B$8:$B$15,MATCH(MAX(S492:Z492),S492:Z492,0)),IF(R492&gt;0,IF(COUNTIF(S492:Z492,"&gt;0")=1,"1 person",COUNTIF(S492:Z492,"&gt;0")&amp;" people"),IF(Q492=0,"Everyone",INDEX(Bills!$Q$6:$Q$25,Q492))))))))</f>
        <v/>
      </c>
      <c r="O492" s="18">
        <f>IF(D492="","",IF(C492="Paying back","Paying back",IF(Q492=0,"Other",IF(INDEX(Bills!$C$6:$C$25,Q492)="","Other",INDEX(Bills!$C$6:$C$25,Q492)))))</f>
        <v/>
      </c>
      <c r="P492" s="1" t="n"/>
      <c r="Q492">
        <f>IF(C492="",0,IFERROR(MATCH(C492,Bills!$B$6:$B$25,0),0))</f>
        <v/>
      </c>
      <c r="R492">
        <f>COUNTA(F492:M492)</f>
        <v/>
      </c>
      <c r="S492">
        <f>IF(OR($D492="",$B492="",Housemates!$B$8=""),0,IF($R492&gt;0,IF(F492="",0,IF(ISNUMBER(F492),F492,1)),IF($C492="Paying back",0,IF(AND(OR(Housemates!$C$8="",Housemates!$C$8&lt;=$B492),OR(Housemates!$D$8="",Housemates!$D$8&gt;=$B492)),IF($Q492=0,1,INDEX(Bills!$AA$6:$AA$25,$Q492)),0))))</f>
        <v/>
      </c>
      <c r="T492">
        <f>IF(OR($D492="",$B492="",Housemates!$B$9=""),0,IF($R492&gt;0,IF(G492="",0,IF(ISNUMBER(G492),G492,1)),IF($C492="Paying back",0,IF(AND(OR(Housemates!$C$9="",Housemates!$C$9&lt;=$B492),OR(Housemates!$D$9="",Housemates!$D$9&gt;=$B492)),IF($Q492=0,1,INDEX(Bills!$AB$6:$AB$25,$Q492)),0))))</f>
        <v/>
      </c>
      <c r="U492">
        <f>IF(OR($D492="",$B492="",Housemates!$B$10=""),0,IF($R492&gt;0,IF(H492="",0,IF(ISNUMBER(H492),H492,1)),IF($C492="Paying back",0,IF(AND(OR(Housemates!$C$10="",Housemates!$C$10&lt;=$B492),OR(Housemates!$D$10="",Housemates!$D$10&gt;=$B492)),IF($Q492=0,1,INDEX(Bills!$AC$6:$AC$25,$Q492)),0))))</f>
        <v/>
      </c>
      <c r="V492">
        <f>IF(OR($D492="",$B492="",Housemates!$B$11=""),0,IF($R492&gt;0,IF(I492="",0,IF(ISNUMBER(I492),I492,1)),IF($C492="Paying back",0,IF(AND(OR(Housemates!$C$11="",Housemates!$C$11&lt;=$B492),OR(Housemates!$D$11="",Housemates!$D$11&gt;=$B492)),IF($Q492=0,1,INDEX(Bills!$AD$6:$AD$25,$Q492)),0))))</f>
        <v/>
      </c>
      <c r="W492">
        <f>IF(OR($D492="",$B492="",Housemates!$B$12=""),0,IF($R492&gt;0,IF(J492="",0,IF(ISNUMBER(J492),J492,1)),IF($C492="Paying back",0,IF(AND(OR(Housemates!$C$12="",Housemates!$C$12&lt;=$B492),OR(Housemates!$D$12="",Housemates!$D$12&gt;=$B492)),IF($Q492=0,1,INDEX(Bills!$AE$6:$AE$25,$Q492)),0))))</f>
        <v/>
      </c>
      <c r="X492">
        <f>IF(OR($D492="",$B492="",Housemates!$B$13=""),0,IF($R492&gt;0,IF(K492="",0,IF(ISNUMBER(K492),K492,1)),IF($C492="Paying back",0,IF(AND(OR(Housemates!$C$13="",Housemates!$C$13&lt;=$B492),OR(Housemates!$D$13="",Housemates!$D$13&gt;=$B492)),IF($Q492=0,1,INDEX(Bills!$AF$6:$AF$25,$Q492)),0))))</f>
        <v/>
      </c>
      <c r="Y492">
        <f>IF(OR($D492="",$B492="",Housemates!$B$14=""),0,IF($R492&gt;0,IF(L492="",0,IF(ISNUMBER(L492),L492,1)),IF($C492="Paying back",0,IF(AND(OR(Housemates!$C$14="",Housemates!$C$14&lt;=$B492),OR(Housemates!$D$14="",Housemates!$D$14&gt;=$B492)),IF($Q492=0,1,INDEX(Bills!$AG$6:$AG$25,$Q492)),0))))</f>
        <v/>
      </c>
      <c r="Z492">
        <f>IF(OR($D492="",$B492="",Housemates!$B$15=""),0,IF($R492&gt;0,IF(M492="",0,IF(ISNUMBER(M492),M492,1)),IF($C492="Paying back",0,IF(AND(OR(Housemates!$C$15="",Housemates!$C$15&lt;=$B492),OR(Housemates!$D$15="",Housemates!$D$15&gt;=$B492)),IF($Q492=0,1,INDEX(Bills!$AH$6:$AH$25,$Q492)),0))))</f>
        <v/>
      </c>
      <c r="AA492">
        <f>SUM(S492:Z492)</f>
        <v/>
      </c>
      <c r="AB492">
        <f>IF(AA492=0,0,D492*S492/AA492)</f>
        <v/>
      </c>
      <c r="AC492">
        <f>IF(AA492=0,0,D492*T492/AA492)</f>
        <v/>
      </c>
      <c r="AD492">
        <f>IF(AA492=0,0,D492*U492/AA492)</f>
        <v/>
      </c>
      <c r="AE492">
        <f>IF(AA492=0,0,D492*V492/AA492)</f>
        <v/>
      </c>
      <c r="AF492">
        <f>IF(AA492=0,0,D492*W492/AA492)</f>
        <v/>
      </c>
      <c r="AG492">
        <f>IF(AA492=0,0,D492*X492/AA492)</f>
        <v/>
      </c>
      <c r="AH492">
        <f>IF(AA492=0,0,D492*Y492/AA492)</f>
        <v/>
      </c>
      <c r="AI492">
        <f>IF(AA492=0,0,D492*Z492/AA492)</f>
        <v/>
      </c>
      <c r="AJ492">
        <f>IF(OR(C492="",B492=""),"",C492&amp;"|"&amp;(YEAR(B492)*100+MONTH(B492)))</f>
        <v/>
      </c>
    </row>
    <row r="493">
      <c r="A493" s="1" t="n"/>
      <c r="B493" s="23" t="n"/>
      <c r="C493" s="24" t="n"/>
      <c r="D493" s="25" t="n"/>
      <c r="E493" s="26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1">
        <f>IF(D493="","",IF(B493="","No date",IF(AND(C493="Paying back",R493=0),"To whom?",IF(AA493=0,"Nobody",IF(C493="Paying back","To "&amp;INDEX(Housemates!$B$8:$B$15,MATCH(MAX(S493:Z493),S493:Z493,0)),IF(R493&gt;0,IF(COUNTIF(S493:Z493,"&gt;0")=1,"1 person",COUNTIF(S493:Z493,"&gt;0")&amp;" people"),IF(Q493=0,"Everyone",INDEX(Bills!$Q$6:$Q$25,Q493))))))))</f>
        <v/>
      </c>
      <c r="O493" s="18">
        <f>IF(D493="","",IF(C493="Paying back","Paying back",IF(Q493=0,"Other",IF(INDEX(Bills!$C$6:$C$25,Q493)="","Other",INDEX(Bills!$C$6:$C$25,Q493)))))</f>
        <v/>
      </c>
      <c r="P493" s="1" t="n"/>
      <c r="Q493">
        <f>IF(C493="",0,IFERROR(MATCH(C493,Bills!$B$6:$B$25,0),0))</f>
        <v/>
      </c>
      <c r="R493">
        <f>COUNTA(F493:M493)</f>
        <v/>
      </c>
      <c r="S493">
        <f>IF(OR($D493="",$B493="",Housemates!$B$8=""),0,IF($R493&gt;0,IF(F493="",0,IF(ISNUMBER(F493),F493,1)),IF($C493="Paying back",0,IF(AND(OR(Housemates!$C$8="",Housemates!$C$8&lt;=$B493),OR(Housemates!$D$8="",Housemates!$D$8&gt;=$B493)),IF($Q493=0,1,INDEX(Bills!$AA$6:$AA$25,$Q493)),0))))</f>
        <v/>
      </c>
      <c r="T493">
        <f>IF(OR($D493="",$B493="",Housemates!$B$9=""),0,IF($R493&gt;0,IF(G493="",0,IF(ISNUMBER(G493),G493,1)),IF($C493="Paying back",0,IF(AND(OR(Housemates!$C$9="",Housemates!$C$9&lt;=$B493),OR(Housemates!$D$9="",Housemates!$D$9&gt;=$B493)),IF($Q493=0,1,INDEX(Bills!$AB$6:$AB$25,$Q493)),0))))</f>
        <v/>
      </c>
      <c r="U493">
        <f>IF(OR($D493="",$B493="",Housemates!$B$10=""),0,IF($R493&gt;0,IF(H493="",0,IF(ISNUMBER(H493),H493,1)),IF($C493="Paying back",0,IF(AND(OR(Housemates!$C$10="",Housemates!$C$10&lt;=$B493),OR(Housemates!$D$10="",Housemates!$D$10&gt;=$B493)),IF($Q493=0,1,INDEX(Bills!$AC$6:$AC$25,$Q493)),0))))</f>
        <v/>
      </c>
      <c r="V493">
        <f>IF(OR($D493="",$B493="",Housemates!$B$11=""),0,IF($R493&gt;0,IF(I493="",0,IF(ISNUMBER(I493),I493,1)),IF($C493="Paying back",0,IF(AND(OR(Housemates!$C$11="",Housemates!$C$11&lt;=$B493),OR(Housemates!$D$11="",Housemates!$D$11&gt;=$B493)),IF($Q493=0,1,INDEX(Bills!$AD$6:$AD$25,$Q493)),0))))</f>
        <v/>
      </c>
      <c r="W493">
        <f>IF(OR($D493="",$B493="",Housemates!$B$12=""),0,IF($R493&gt;0,IF(J493="",0,IF(ISNUMBER(J493),J493,1)),IF($C493="Paying back",0,IF(AND(OR(Housemates!$C$12="",Housemates!$C$12&lt;=$B493),OR(Housemates!$D$12="",Housemates!$D$12&gt;=$B493)),IF($Q493=0,1,INDEX(Bills!$AE$6:$AE$25,$Q493)),0))))</f>
        <v/>
      </c>
      <c r="X493">
        <f>IF(OR($D493="",$B493="",Housemates!$B$13=""),0,IF($R493&gt;0,IF(K493="",0,IF(ISNUMBER(K493),K493,1)),IF($C493="Paying back",0,IF(AND(OR(Housemates!$C$13="",Housemates!$C$13&lt;=$B493),OR(Housemates!$D$13="",Housemates!$D$13&gt;=$B493)),IF($Q493=0,1,INDEX(Bills!$AF$6:$AF$25,$Q493)),0))))</f>
        <v/>
      </c>
      <c r="Y493">
        <f>IF(OR($D493="",$B493="",Housemates!$B$14=""),0,IF($R493&gt;0,IF(L493="",0,IF(ISNUMBER(L493),L493,1)),IF($C493="Paying back",0,IF(AND(OR(Housemates!$C$14="",Housemates!$C$14&lt;=$B493),OR(Housemates!$D$14="",Housemates!$D$14&gt;=$B493)),IF($Q493=0,1,INDEX(Bills!$AG$6:$AG$25,$Q493)),0))))</f>
        <v/>
      </c>
      <c r="Z493">
        <f>IF(OR($D493="",$B493="",Housemates!$B$15=""),0,IF($R493&gt;0,IF(M493="",0,IF(ISNUMBER(M493),M493,1)),IF($C493="Paying back",0,IF(AND(OR(Housemates!$C$15="",Housemates!$C$15&lt;=$B493),OR(Housemates!$D$15="",Housemates!$D$15&gt;=$B493)),IF($Q493=0,1,INDEX(Bills!$AH$6:$AH$25,$Q493)),0))))</f>
        <v/>
      </c>
      <c r="AA493">
        <f>SUM(S493:Z493)</f>
        <v/>
      </c>
      <c r="AB493">
        <f>IF(AA493=0,0,D493*S493/AA493)</f>
        <v/>
      </c>
      <c r="AC493">
        <f>IF(AA493=0,0,D493*T493/AA493)</f>
        <v/>
      </c>
      <c r="AD493">
        <f>IF(AA493=0,0,D493*U493/AA493)</f>
        <v/>
      </c>
      <c r="AE493">
        <f>IF(AA493=0,0,D493*V493/AA493)</f>
        <v/>
      </c>
      <c r="AF493">
        <f>IF(AA493=0,0,D493*W493/AA493)</f>
        <v/>
      </c>
      <c r="AG493">
        <f>IF(AA493=0,0,D493*X493/AA493)</f>
        <v/>
      </c>
      <c r="AH493">
        <f>IF(AA493=0,0,D493*Y493/AA493)</f>
        <v/>
      </c>
      <c r="AI493">
        <f>IF(AA493=0,0,D493*Z493/AA493)</f>
        <v/>
      </c>
      <c r="AJ493">
        <f>IF(OR(C493="",B493=""),"",C493&amp;"|"&amp;(YEAR(B493)*100+MONTH(B493)))</f>
        <v/>
      </c>
    </row>
    <row r="494">
      <c r="A494" s="1" t="n"/>
      <c r="B494" s="23" t="n"/>
      <c r="C494" s="24" t="n"/>
      <c r="D494" s="25" t="n"/>
      <c r="E494" s="26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1">
        <f>IF(D494="","",IF(B494="","No date",IF(AND(C494="Paying back",R494=0),"To whom?",IF(AA494=0,"Nobody",IF(C494="Paying back","To "&amp;INDEX(Housemates!$B$8:$B$15,MATCH(MAX(S494:Z494),S494:Z494,0)),IF(R494&gt;0,IF(COUNTIF(S494:Z494,"&gt;0")=1,"1 person",COUNTIF(S494:Z494,"&gt;0")&amp;" people"),IF(Q494=0,"Everyone",INDEX(Bills!$Q$6:$Q$25,Q494))))))))</f>
        <v/>
      </c>
      <c r="O494" s="18">
        <f>IF(D494="","",IF(C494="Paying back","Paying back",IF(Q494=0,"Other",IF(INDEX(Bills!$C$6:$C$25,Q494)="","Other",INDEX(Bills!$C$6:$C$25,Q494)))))</f>
        <v/>
      </c>
      <c r="P494" s="1" t="n"/>
      <c r="Q494">
        <f>IF(C494="",0,IFERROR(MATCH(C494,Bills!$B$6:$B$25,0),0))</f>
        <v/>
      </c>
      <c r="R494">
        <f>COUNTA(F494:M494)</f>
        <v/>
      </c>
      <c r="S494">
        <f>IF(OR($D494="",$B494="",Housemates!$B$8=""),0,IF($R494&gt;0,IF(F494="",0,IF(ISNUMBER(F494),F494,1)),IF($C494="Paying back",0,IF(AND(OR(Housemates!$C$8="",Housemates!$C$8&lt;=$B494),OR(Housemates!$D$8="",Housemates!$D$8&gt;=$B494)),IF($Q494=0,1,INDEX(Bills!$AA$6:$AA$25,$Q494)),0))))</f>
        <v/>
      </c>
      <c r="T494">
        <f>IF(OR($D494="",$B494="",Housemates!$B$9=""),0,IF($R494&gt;0,IF(G494="",0,IF(ISNUMBER(G494),G494,1)),IF($C494="Paying back",0,IF(AND(OR(Housemates!$C$9="",Housemates!$C$9&lt;=$B494),OR(Housemates!$D$9="",Housemates!$D$9&gt;=$B494)),IF($Q494=0,1,INDEX(Bills!$AB$6:$AB$25,$Q494)),0))))</f>
        <v/>
      </c>
      <c r="U494">
        <f>IF(OR($D494="",$B494="",Housemates!$B$10=""),0,IF($R494&gt;0,IF(H494="",0,IF(ISNUMBER(H494),H494,1)),IF($C494="Paying back",0,IF(AND(OR(Housemates!$C$10="",Housemates!$C$10&lt;=$B494),OR(Housemates!$D$10="",Housemates!$D$10&gt;=$B494)),IF($Q494=0,1,INDEX(Bills!$AC$6:$AC$25,$Q494)),0))))</f>
        <v/>
      </c>
      <c r="V494">
        <f>IF(OR($D494="",$B494="",Housemates!$B$11=""),0,IF($R494&gt;0,IF(I494="",0,IF(ISNUMBER(I494),I494,1)),IF($C494="Paying back",0,IF(AND(OR(Housemates!$C$11="",Housemates!$C$11&lt;=$B494),OR(Housemates!$D$11="",Housemates!$D$11&gt;=$B494)),IF($Q494=0,1,INDEX(Bills!$AD$6:$AD$25,$Q494)),0))))</f>
        <v/>
      </c>
      <c r="W494">
        <f>IF(OR($D494="",$B494="",Housemates!$B$12=""),0,IF($R494&gt;0,IF(J494="",0,IF(ISNUMBER(J494),J494,1)),IF($C494="Paying back",0,IF(AND(OR(Housemates!$C$12="",Housemates!$C$12&lt;=$B494),OR(Housemates!$D$12="",Housemates!$D$12&gt;=$B494)),IF($Q494=0,1,INDEX(Bills!$AE$6:$AE$25,$Q494)),0))))</f>
        <v/>
      </c>
      <c r="X494">
        <f>IF(OR($D494="",$B494="",Housemates!$B$13=""),0,IF($R494&gt;0,IF(K494="",0,IF(ISNUMBER(K494),K494,1)),IF($C494="Paying back",0,IF(AND(OR(Housemates!$C$13="",Housemates!$C$13&lt;=$B494),OR(Housemates!$D$13="",Housemates!$D$13&gt;=$B494)),IF($Q494=0,1,INDEX(Bills!$AF$6:$AF$25,$Q494)),0))))</f>
        <v/>
      </c>
      <c r="Y494">
        <f>IF(OR($D494="",$B494="",Housemates!$B$14=""),0,IF($R494&gt;0,IF(L494="",0,IF(ISNUMBER(L494),L494,1)),IF($C494="Paying back",0,IF(AND(OR(Housemates!$C$14="",Housemates!$C$14&lt;=$B494),OR(Housemates!$D$14="",Housemates!$D$14&gt;=$B494)),IF($Q494=0,1,INDEX(Bills!$AG$6:$AG$25,$Q494)),0))))</f>
        <v/>
      </c>
      <c r="Z494">
        <f>IF(OR($D494="",$B494="",Housemates!$B$15=""),0,IF($R494&gt;0,IF(M494="",0,IF(ISNUMBER(M494),M494,1)),IF($C494="Paying back",0,IF(AND(OR(Housemates!$C$15="",Housemates!$C$15&lt;=$B494),OR(Housemates!$D$15="",Housemates!$D$15&gt;=$B494)),IF($Q494=0,1,INDEX(Bills!$AH$6:$AH$25,$Q494)),0))))</f>
        <v/>
      </c>
      <c r="AA494">
        <f>SUM(S494:Z494)</f>
        <v/>
      </c>
      <c r="AB494">
        <f>IF(AA494=0,0,D494*S494/AA494)</f>
        <v/>
      </c>
      <c r="AC494">
        <f>IF(AA494=0,0,D494*T494/AA494)</f>
        <v/>
      </c>
      <c r="AD494">
        <f>IF(AA494=0,0,D494*U494/AA494)</f>
        <v/>
      </c>
      <c r="AE494">
        <f>IF(AA494=0,0,D494*V494/AA494)</f>
        <v/>
      </c>
      <c r="AF494">
        <f>IF(AA494=0,0,D494*W494/AA494)</f>
        <v/>
      </c>
      <c r="AG494">
        <f>IF(AA494=0,0,D494*X494/AA494)</f>
        <v/>
      </c>
      <c r="AH494">
        <f>IF(AA494=0,0,D494*Y494/AA494)</f>
        <v/>
      </c>
      <c r="AI494">
        <f>IF(AA494=0,0,D494*Z494/AA494)</f>
        <v/>
      </c>
      <c r="AJ494">
        <f>IF(OR(C494="",B494=""),"",C494&amp;"|"&amp;(YEAR(B494)*100+MONTH(B494)))</f>
        <v/>
      </c>
    </row>
    <row r="495">
      <c r="A495" s="1" t="n"/>
      <c r="B495" s="23" t="n"/>
      <c r="C495" s="24" t="n"/>
      <c r="D495" s="25" t="n"/>
      <c r="E495" s="26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1">
        <f>IF(D495="","",IF(B495="","No date",IF(AND(C495="Paying back",R495=0),"To whom?",IF(AA495=0,"Nobody",IF(C495="Paying back","To "&amp;INDEX(Housemates!$B$8:$B$15,MATCH(MAX(S495:Z495),S495:Z495,0)),IF(R495&gt;0,IF(COUNTIF(S495:Z495,"&gt;0")=1,"1 person",COUNTIF(S495:Z495,"&gt;0")&amp;" people"),IF(Q495=0,"Everyone",INDEX(Bills!$Q$6:$Q$25,Q495))))))))</f>
        <v/>
      </c>
      <c r="O495" s="18">
        <f>IF(D495="","",IF(C495="Paying back","Paying back",IF(Q495=0,"Other",IF(INDEX(Bills!$C$6:$C$25,Q495)="","Other",INDEX(Bills!$C$6:$C$25,Q495)))))</f>
        <v/>
      </c>
      <c r="P495" s="1" t="n"/>
      <c r="Q495">
        <f>IF(C495="",0,IFERROR(MATCH(C495,Bills!$B$6:$B$25,0),0))</f>
        <v/>
      </c>
      <c r="R495">
        <f>COUNTA(F495:M495)</f>
        <v/>
      </c>
      <c r="S495">
        <f>IF(OR($D495="",$B495="",Housemates!$B$8=""),0,IF($R495&gt;0,IF(F495="",0,IF(ISNUMBER(F495),F495,1)),IF($C495="Paying back",0,IF(AND(OR(Housemates!$C$8="",Housemates!$C$8&lt;=$B495),OR(Housemates!$D$8="",Housemates!$D$8&gt;=$B495)),IF($Q495=0,1,INDEX(Bills!$AA$6:$AA$25,$Q495)),0))))</f>
        <v/>
      </c>
      <c r="T495">
        <f>IF(OR($D495="",$B495="",Housemates!$B$9=""),0,IF($R495&gt;0,IF(G495="",0,IF(ISNUMBER(G495),G495,1)),IF($C495="Paying back",0,IF(AND(OR(Housemates!$C$9="",Housemates!$C$9&lt;=$B495),OR(Housemates!$D$9="",Housemates!$D$9&gt;=$B495)),IF($Q495=0,1,INDEX(Bills!$AB$6:$AB$25,$Q495)),0))))</f>
        <v/>
      </c>
      <c r="U495">
        <f>IF(OR($D495="",$B495="",Housemates!$B$10=""),0,IF($R495&gt;0,IF(H495="",0,IF(ISNUMBER(H495),H495,1)),IF($C495="Paying back",0,IF(AND(OR(Housemates!$C$10="",Housemates!$C$10&lt;=$B495),OR(Housemates!$D$10="",Housemates!$D$10&gt;=$B495)),IF($Q495=0,1,INDEX(Bills!$AC$6:$AC$25,$Q495)),0))))</f>
        <v/>
      </c>
      <c r="V495">
        <f>IF(OR($D495="",$B495="",Housemates!$B$11=""),0,IF($R495&gt;0,IF(I495="",0,IF(ISNUMBER(I495),I495,1)),IF($C495="Paying back",0,IF(AND(OR(Housemates!$C$11="",Housemates!$C$11&lt;=$B495),OR(Housemates!$D$11="",Housemates!$D$11&gt;=$B495)),IF($Q495=0,1,INDEX(Bills!$AD$6:$AD$25,$Q495)),0))))</f>
        <v/>
      </c>
      <c r="W495">
        <f>IF(OR($D495="",$B495="",Housemates!$B$12=""),0,IF($R495&gt;0,IF(J495="",0,IF(ISNUMBER(J495),J495,1)),IF($C495="Paying back",0,IF(AND(OR(Housemates!$C$12="",Housemates!$C$12&lt;=$B495),OR(Housemates!$D$12="",Housemates!$D$12&gt;=$B495)),IF($Q495=0,1,INDEX(Bills!$AE$6:$AE$25,$Q495)),0))))</f>
        <v/>
      </c>
      <c r="X495">
        <f>IF(OR($D495="",$B495="",Housemates!$B$13=""),0,IF($R495&gt;0,IF(K495="",0,IF(ISNUMBER(K495),K495,1)),IF($C495="Paying back",0,IF(AND(OR(Housemates!$C$13="",Housemates!$C$13&lt;=$B495),OR(Housemates!$D$13="",Housemates!$D$13&gt;=$B495)),IF($Q495=0,1,INDEX(Bills!$AF$6:$AF$25,$Q495)),0))))</f>
        <v/>
      </c>
      <c r="Y495">
        <f>IF(OR($D495="",$B495="",Housemates!$B$14=""),0,IF($R495&gt;0,IF(L495="",0,IF(ISNUMBER(L495),L495,1)),IF($C495="Paying back",0,IF(AND(OR(Housemates!$C$14="",Housemates!$C$14&lt;=$B495),OR(Housemates!$D$14="",Housemates!$D$14&gt;=$B495)),IF($Q495=0,1,INDEX(Bills!$AG$6:$AG$25,$Q495)),0))))</f>
        <v/>
      </c>
      <c r="Z495">
        <f>IF(OR($D495="",$B495="",Housemates!$B$15=""),0,IF($R495&gt;0,IF(M495="",0,IF(ISNUMBER(M495),M495,1)),IF($C495="Paying back",0,IF(AND(OR(Housemates!$C$15="",Housemates!$C$15&lt;=$B495),OR(Housemates!$D$15="",Housemates!$D$15&gt;=$B495)),IF($Q495=0,1,INDEX(Bills!$AH$6:$AH$25,$Q495)),0))))</f>
        <v/>
      </c>
      <c r="AA495">
        <f>SUM(S495:Z495)</f>
        <v/>
      </c>
      <c r="AB495">
        <f>IF(AA495=0,0,D495*S495/AA495)</f>
        <v/>
      </c>
      <c r="AC495">
        <f>IF(AA495=0,0,D495*T495/AA495)</f>
        <v/>
      </c>
      <c r="AD495">
        <f>IF(AA495=0,0,D495*U495/AA495)</f>
        <v/>
      </c>
      <c r="AE495">
        <f>IF(AA495=0,0,D495*V495/AA495)</f>
        <v/>
      </c>
      <c r="AF495">
        <f>IF(AA495=0,0,D495*W495/AA495)</f>
        <v/>
      </c>
      <c r="AG495">
        <f>IF(AA495=0,0,D495*X495/AA495)</f>
        <v/>
      </c>
      <c r="AH495">
        <f>IF(AA495=0,0,D495*Y495/AA495)</f>
        <v/>
      </c>
      <c r="AI495">
        <f>IF(AA495=0,0,D495*Z495/AA495)</f>
        <v/>
      </c>
      <c r="AJ495">
        <f>IF(OR(C495="",B495=""),"",C495&amp;"|"&amp;(YEAR(B495)*100+MONTH(B495)))</f>
        <v/>
      </c>
    </row>
    <row r="496">
      <c r="A496" s="1" t="n"/>
      <c r="B496" s="23" t="n"/>
      <c r="C496" s="24" t="n"/>
      <c r="D496" s="25" t="n"/>
      <c r="E496" s="26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1">
        <f>IF(D496="","",IF(B496="","No date",IF(AND(C496="Paying back",R496=0),"To whom?",IF(AA496=0,"Nobody",IF(C496="Paying back","To "&amp;INDEX(Housemates!$B$8:$B$15,MATCH(MAX(S496:Z496),S496:Z496,0)),IF(R496&gt;0,IF(COUNTIF(S496:Z496,"&gt;0")=1,"1 person",COUNTIF(S496:Z496,"&gt;0")&amp;" people"),IF(Q496=0,"Everyone",INDEX(Bills!$Q$6:$Q$25,Q496))))))))</f>
        <v/>
      </c>
      <c r="O496" s="18">
        <f>IF(D496="","",IF(C496="Paying back","Paying back",IF(Q496=0,"Other",IF(INDEX(Bills!$C$6:$C$25,Q496)="","Other",INDEX(Bills!$C$6:$C$25,Q496)))))</f>
        <v/>
      </c>
      <c r="P496" s="1" t="n"/>
      <c r="Q496">
        <f>IF(C496="",0,IFERROR(MATCH(C496,Bills!$B$6:$B$25,0),0))</f>
        <v/>
      </c>
      <c r="R496">
        <f>COUNTA(F496:M496)</f>
        <v/>
      </c>
      <c r="S496">
        <f>IF(OR($D496="",$B496="",Housemates!$B$8=""),0,IF($R496&gt;0,IF(F496="",0,IF(ISNUMBER(F496),F496,1)),IF($C496="Paying back",0,IF(AND(OR(Housemates!$C$8="",Housemates!$C$8&lt;=$B496),OR(Housemates!$D$8="",Housemates!$D$8&gt;=$B496)),IF($Q496=0,1,INDEX(Bills!$AA$6:$AA$25,$Q496)),0))))</f>
        <v/>
      </c>
      <c r="T496">
        <f>IF(OR($D496="",$B496="",Housemates!$B$9=""),0,IF($R496&gt;0,IF(G496="",0,IF(ISNUMBER(G496),G496,1)),IF($C496="Paying back",0,IF(AND(OR(Housemates!$C$9="",Housemates!$C$9&lt;=$B496),OR(Housemates!$D$9="",Housemates!$D$9&gt;=$B496)),IF($Q496=0,1,INDEX(Bills!$AB$6:$AB$25,$Q496)),0))))</f>
        <v/>
      </c>
      <c r="U496">
        <f>IF(OR($D496="",$B496="",Housemates!$B$10=""),0,IF($R496&gt;0,IF(H496="",0,IF(ISNUMBER(H496),H496,1)),IF($C496="Paying back",0,IF(AND(OR(Housemates!$C$10="",Housemates!$C$10&lt;=$B496),OR(Housemates!$D$10="",Housemates!$D$10&gt;=$B496)),IF($Q496=0,1,INDEX(Bills!$AC$6:$AC$25,$Q496)),0))))</f>
        <v/>
      </c>
      <c r="V496">
        <f>IF(OR($D496="",$B496="",Housemates!$B$11=""),0,IF($R496&gt;0,IF(I496="",0,IF(ISNUMBER(I496),I496,1)),IF($C496="Paying back",0,IF(AND(OR(Housemates!$C$11="",Housemates!$C$11&lt;=$B496),OR(Housemates!$D$11="",Housemates!$D$11&gt;=$B496)),IF($Q496=0,1,INDEX(Bills!$AD$6:$AD$25,$Q496)),0))))</f>
        <v/>
      </c>
      <c r="W496">
        <f>IF(OR($D496="",$B496="",Housemates!$B$12=""),0,IF($R496&gt;0,IF(J496="",0,IF(ISNUMBER(J496),J496,1)),IF($C496="Paying back",0,IF(AND(OR(Housemates!$C$12="",Housemates!$C$12&lt;=$B496),OR(Housemates!$D$12="",Housemates!$D$12&gt;=$B496)),IF($Q496=0,1,INDEX(Bills!$AE$6:$AE$25,$Q496)),0))))</f>
        <v/>
      </c>
      <c r="X496">
        <f>IF(OR($D496="",$B496="",Housemates!$B$13=""),0,IF($R496&gt;0,IF(K496="",0,IF(ISNUMBER(K496),K496,1)),IF($C496="Paying back",0,IF(AND(OR(Housemates!$C$13="",Housemates!$C$13&lt;=$B496),OR(Housemates!$D$13="",Housemates!$D$13&gt;=$B496)),IF($Q496=0,1,INDEX(Bills!$AF$6:$AF$25,$Q496)),0))))</f>
        <v/>
      </c>
      <c r="Y496">
        <f>IF(OR($D496="",$B496="",Housemates!$B$14=""),0,IF($R496&gt;0,IF(L496="",0,IF(ISNUMBER(L496),L496,1)),IF($C496="Paying back",0,IF(AND(OR(Housemates!$C$14="",Housemates!$C$14&lt;=$B496),OR(Housemates!$D$14="",Housemates!$D$14&gt;=$B496)),IF($Q496=0,1,INDEX(Bills!$AG$6:$AG$25,$Q496)),0))))</f>
        <v/>
      </c>
      <c r="Z496">
        <f>IF(OR($D496="",$B496="",Housemates!$B$15=""),0,IF($R496&gt;0,IF(M496="",0,IF(ISNUMBER(M496),M496,1)),IF($C496="Paying back",0,IF(AND(OR(Housemates!$C$15="",Housemates!$C$15&lt;=$B496),OR(Housemates!$D$15="",Housemates!$D$15&gt;=$B496)),IF($Q496=0,1,INDEX(Bills!$AH$6:$AH$25,$Q496)),0))))</f>
        <v/>
      </c>
      <c r="AA496">
        <f>SUM(S496:Z496)</f>
        <v/>
      </c>
      <c r="AB496">
        <f>IF(AA496=0,0,D496*S496/AA496)</f>
        <v/>
      </c>
      <c r="AC496">
        <f>IF(AA496=0,0,D496*T496/AA496)</f>
        <v/>
      </c>
      <c r="AD496">
        <f>IF(AA496=0,0,D496*U496/AA496)</f>
        <v/>
      </c>
      <c r="AE496">
        <f>IF(AA496=0,0,D496*V496/AA496)</f>
        <v/>
      </c>
      <c r="AF496">
        <f>IF(AA496=0,0,D496*W496/AA496)</f>
        <v/>
      </c>
      <c r="AG496">
        <f>IF(AA496=0,0,D496*X496/AA496)</f>
        <v/>
      </c>
      <c r="AH496">
        <f>IF(AA496=0,0,D496*Y496/AA496)</f>
        <v/>
      </c>
      <c r="AI496">
        <f>IF(AA496=0,0,D496*Z496/AA496)</f>
        <v/>
      </c>
      <c r="AJ496">
        <f>IF(OR(C496="",B496=""),"",C496&amp;"|"&amp;(YEAR(B496)*100+MONTH(B496)))</f>
        <v/>
      </c>
    </row>
    <row r="497">
      <c r="A497" s="1" t="n"/>
      <c r="B497" s="23" t="n"/>
      <c r="C497" s="24" t="n"/>
      <c r="D497" s="25" t="n"/>
      <c r="E497" s="26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1">
        <f>IF(D497="","",IF(B497="","No date",IF(AND(C497="Paying back",R497=0),"To whom?",IF(AA497=0,"Nobody",IF(C497="Paying back","To "&amp;INDEX(Housemates!$B$8:$B$15,MATCH(MAX(S497:Z497),S497:Z497,0)),IF(R497&gt;0,IF(COUNTIF(S497:Z497,"&gt;0")=1,"1 person",COUNTIF(S497:Z497,"&gt;0")&amp;" people"),IF(Q497=0,"Everyone",INDEX(Bills!$Q$6:$Q$25,Q497))))))))</f>
        <v/>
      </c>
      <c r="O497" s="18">
        <f>IF(D497="","",IF(C497="Paying back","Paying back",IF(Q497=0,"Other",IF(INDEX(Bills!$C$6:$C$25,Q497)="","Other",INDEX(Bills!$C$6:$C$25,Q497)))))</f>
        <v/>
      </c>
      <c r="P497" s="1" t="n"/>
      <c r="Q497">
        <f>IF(C497="",0,IFERROR(MATCH(C497,Bills!$B$6:$B$25,0),0))</f>
        <v/>
      </c>
      <c r="R497">
        <f>COUNTA(F497:M497)</f>
        <v/>
      </c>
      <c r="S497">
        <f>IF(OR($D497="",$B497="",Housemates!$B$8=""),0,IF($R497&gt;0,IF(F497="",0,IF(ISNUMBER(F497),F497,1)),IF($C497="Paying back",0,IF(AND(OR(Housemates!$C$8="",Housemates!$C$8&lt;=$B497),OR(Housemates!$D$8="",Housemates!$D$8&gt;=$B497)),IF($Q497=0,1,INDEX(Bills!$AA$6:$AA$25,$Q497)),0))))</f>
        <v/>
      </c>
      <c r="T497">
        <f>IF(OR($D497="",$B497="",Housemates!$B$9=""),0,IF($R497&gt;0,IF(G497="",0,IF(ISNUMBER(G497),G497,1)),IF($C497="Paying back",0,IF(AND(OR(Housemates!$C$9="",Housemates!$C$9&lt;=$B497),OR(Housemates!$D$9="",Housemates!$D$9&gt;=$B497)),IF($Q497=0,1,INDEX(Bills!$AB$6:$AB$25,$Q497)),0))))</f>
        <v/>
      </c>
      <c r="U497">
        <f>IF(OR($D497="",$B497="",Housemates!$B$10=""),0,IF($R497&gt;0,IF(H497="",0,IF(ISNUMBER(H497),H497,1)),IF($C497="Paying back",0,IF(AND(OR(Housemates!$C$10="",Housemates!$C$10&lt;=$B497),OR(Housemates!$D$10="",Housemates!$D$10&gt;=$B497)),IF($Q497=0,1,INDEX(Bills!$AC$6:$AC$25,$Q497)),0))))</f>
        <v/>
      </c>
      <c r="V497">
        <f>IF(OR($D497="",$B497="",Housemates!$B$11=""),0,IF($R497&gt;0,IF(I497="",0,IF(ISNUMBER(I497),I497,1)),IF($C497="Paying back",0,IF(AND(OR(Housemates!$C$11="",Housemates!$C$11&lt;=$B497),OR(Housemates!$D$11="",Housemates!$D$11&gt;=$B497)),IF($Q497=0,1,INDEX(Bills!$AD$6:$AD$25,$Q497)),0))))</f>
        <v/>
      </c>
      <c r="W497">
        <f>IF(OR($D497="",$B497="",Housemates!$B$12=""),0,IF($R497&gt;0,IF(J497="",0,IF(ISNUMBER(J497),J497,1)),IF($C497="Paying back",0,IF(AND(OR(Housemates!$C$12="",Housemates!$C$12&lt;=$B497),OR(Housemates!$D$12="",Housemates!$D$12&gt;=$B497)),IF($Q497=0,1,INDEX(Bills!$AE$6:$AE$25,$Q497)),0))))</f>
        <v/>
      </c>
      <c r="X497">
        <f>IF(OR($D497="",$B497="",Housemates!$B$13=""),0,IF($R497&gt;0,IF(K497="",0,IF(ISNUMBER(K497),K497,1)),IF($C497="Paying back",0,IF(AND(OR(Housemates!$C$13="",Housemates!$C$13&lt;=$B497),OR(Housemates!$D$13="",Housemates!$D$13&gt;=$B497)),IF($Q497=0,1,INDEX(Bills!$AF$6:$AF$25,$Q497)),0))))</f>
        <v/>
      </c>
      <c r="Y497">
        <f>IF(OR($D497="",$B497="",Housemates!$B$14=""),0,IF($R497&gt;0,IF(L497="",0,IF(ISNUMBER(L497),L497,1)),IF($C497="Paying back",0,IF(AND(OR(Housemates!$C$14="",Housemates!$C$14&lt;=$B497),OR(Housemates!$D$14="",Housemates!$D$14&gt;=$B497)),IF($Q497=0,1,INDEX(Bills!$AG$6:$AG$25,$Q497)),0))))</f>
        <v/>
      </c>
      <c r="Z497">
        <f>IF(OR($D497="",$B497="",Housemates!$B$15=""),0,IF($R497&gt;0,IF(M497="",0,IF(ISNUMBER(M497),M497,1)),IF($C497="Paying back",0,IF(AND(OR(Housemates!$C$15="",Housemates!$C$15&lt;=$B497),OR(Housemates!$D$15="",Housemates!$D$15&gt;=$B497)),IF($Q497=0,1,INDEX(Bills!$AH$6:$AH$25,$Q497)),0))))</f>
        <v/>
      </c>
      <c r="AA497">
        <f>SUM(S497:Z497)</f>
        <v/>
      </c>
      <c r="AB497">
        <f>IF(AA497=0,0,D497*S497/AA497)</f>
        <v/>
      </c>
      <c r="AC497">
        <f>IF(AA497=0,0,D497*T497/AA497)</f>
        <v/>
      </c>
      <c r="AD497">
        <f>IF(AA497=0,0,D497*U497/AA497)</f>
        <v/>
      </c>
      <c r="AE497">
        <f>IF(AA497=0,0,D497*V497/AA497)</f>
        <v/>
      </c>
      <c r="AF497">
        <f>IF(AA497=0,0,D497*W497/AA497)</f>
        <v/>
      </c>
      <c r="AG497">
        <f>IF(AA497=0,0,D497*X497/AA497)</f>
        <v/>
      </c>
      <c r="AH497">
        <f>IF(AA497=0,0,D497*Y497/AA497)</f>
        <v/>
      </c>
      <c r="AI497">
        <f>IF(AA497=0,0,D497*Z497/AA497)</f>
        <v/>
      </c>
      <c r="AJ497">
        <f>IF(OR(C497="",B497=""),"",C497&amp;"|"&amp;(YEAR(B497)*100+MONTH(B497)))</f>
        <v/>
      </c>
    </row>
    <row r="498">
      <c r="A498" s="1" t="n"/>
      <c r="B498" s="23" t="n"/>
      <c r="C498" s="24" t="n"/>
      <c r="D498" s="25" t="n"/>
      <c r="E498" s="26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1">
        <f>IF(D498="","",IF(B498="","No date",IF(AND(C498="Paying back",R498=0),"To whom?",IF(AA498=0,"Nobody",IF(C498="Paying back","To "&amp;INDEX(Housemates!$B$8:$B$15,MATCH(MAX(S498:Z498),S498:Z498,0)),IF(R498&gt;0,IF(COUNTIF(S498:Z498,"&gt;0")=1,"1 person",COUNTIF(S498:Z498,"&gt;0")&amp;" people"),IF(Q498=0,"Everyone",INDEX(Bills!$Q$6:$Q$25,Q498))))))))</f>
        <v/>
      </c>
      <c r="O498" s="18">
        <f>IF(D498="","",IF(C498="Paying back","Paying back",IF(Q498=0,"Other",IF(INDEX(Bills!$C$6:$C$25,Q498)="","Other",INDEX(Bills!$C$6:$C$25,Q498)))))</f>
        <v/>
      </c>
      <c r="P498" s="1" t="n"/>
      <c r="Q498">
        <f>IF(C498="",0,IFERROR(MATCH(C498,Bills!$B$6:$B$25,0),0))</f>
        <v/>
      </c>
      <c r="R498">
        <f>COUNTA(F498:M498)</f>
        <v/>
      </c>
      <c r="S498">
        <f>IF(OR($D498="",$B498="",Housemates!$B$8=""),0,IF($R498&gt;0,IF(F498="",0,IF(ISNUMBER(F498),F498,1)),IF($C498="Paying back",0,IF(AND(OR(Housemates!$C$8="",Housemates!$C$8&lt;=$B498),OR(Housemates!$D$8="",Housemates!$D$8&gt;=$B498)),IF($Q498=0,1,INDEX(Bills!$AA$6:$AA$25,$Q498)),0))))</f>
        <v/>
      </c>
      <c r="T498">
        <f>IF(OR($D498="",$B498="",Housemates!$B$9=""),0,IF($R498&gt;0,IF(G498="",0,IF(ISNUMBER(G498),G498,1)),IF($C498="Paying back",0,IF(AND(OR(Housemates!$C$9="",Housemates!$C$9&lt;=$B498),OR(Housemates!$D$9="",Housemates!$D$9&gt;=$B498)),IF($Q498=0,1,INDEX(Bills!$AB$6:$AB$25,$Q498)),0))))</f>
        <v/>
      </c>
      <c r="U498">
        <f>IF(OR($D498="",$B498="",Housemates!$B$10=""),0,IF($R498&gt;0,IF(H498="",0,IF(ISNUMBER(H498),H498,1)),IF($C498="Paying back",0,IF(AND(OR(Housemates!$C$10="",Housemates!$C$10&lt;=$B498),OR(Housemates!$D$10="",Housemates!$D$10&gt;=$B498)),IF($Q498=0,1,INDEX(Bills!$AC$6:$AC$25,$Q498)),0))))</f>
        <v/>
      </c>
      <c r="V498">
        <f>IF(OR($D498="",$B498="",Housemates!$B$11=""),0,IF($R498&gt;0,IF(I498="",0,IF(ISNUMBER(I498),I498,1)),IF($C498="Paying back",0,IF(AND(OR(Housemates!$C$11="",Housemates!$C$11&lt;=$B498),OR(Housemates!$D$11="",Housemates!$D$11&gt;=$B498)),IF($Q498=0,1,INDEX(Bills!$AD$6:$AD$25,$Q498)),0))))</f>
        <v/>
      </c>
      <c r="W498">
        <f>IF(OR($D498="",$B498="",Housemates!$B$12=""),0,IF($R498&gt;0,IF(J498="",0,IF(ISNUMBER(J498),J498,1)),IF($C498="Paying back",0,IF(AND(OR(Housemates!$C$12="",Housemates!$C$12&lt;=$B498),OR(Housemates!$D$12="",Housemates!$D$12&gt;=$B498)),IF($Q498=0,1,INDEX(Bills!$AE$6:$AE$25,$Q498)),0))))</f>
        <v/>
      </c>
      <c r="X498">
        <f>IF(OR($D498="",$B498="",Housemates!$B$13=""),0,IF($R498&gt;0,IF(K498="",0,IF(ISNUMBER(K498),K498,1)),IF($C498="Paying back",0,IF(AND(OR(Housemates!$C$13="",Housemates!$C$13&lt;=$B498),OR(Housemates!$D$13="",Housemates!$D$13&gt;=$B498)),IF($Q498=0,1,INDEX(Bills!$AF$6:$AF$25,$Q498)),0))))</f>
        <v/>
      </c>
      <c r="Y498">
        <f>IF(OR($D498="",$B498="",Housemates!$B$14=""),0,IF($R498&gt;0,IF(L498="",0,IF(ISNUMBER(L498),L498,1)),IF($C498="Paying back",0,IF(AND(OR(Housemates!$C$14="",Housemates!$C$14&lt;=$B498),OR(Housemates!$D$14="",Housemates!$D$14&gt;=$B498)),IF($Q498=0,1,INDEX(Bills!$AG$6:$AG$25,$Q498)),0))))</f>
        <v/>
      </c>
      <c r="Z498">
        <f>IF(OR($D498="",$B498="",Housemates!$B$15=""),0,IF($R498&gt;0,IF(M498="",0,IF(ISNUMBER(M498),M498,1)),IF($C498="Paying back",0,IF(AND(OR(Housemates!$C$15="",Housemates!$C$15&lt;=$B498),OR(Housemates!$D$15="",Housemates!$D$15&gt;=$B498)),IF($Q498=0,1,INDEX(Bills!$AH$6:$AH$25,$Q498)),0))))</f>
        <v/>
      </c>
      <c r="AA498">
        <f>SUM(S498:Z498)</f>
        <v/>
      </c>
      <c r="AB498">
        <f>IF(AA498=0,0,D498*S498/AA498)</f>
        <v/>
      </c>
      <c r="AC498">
        <f>IF(AA498=0,0,D498*T498/AA498)</f>
        <v/>
      </c>
      <c r="AD498">
        <f>IF(AA498=0,0,D498*U498/AA498)</f>
        <v/>
      </c>
      <c r="AE498">
        <f>IF(AA498=0,0,D498*V498/AA498)</f>
        <v/>
      </c>
      <c r="AF498">
        <f>IF(AA498=0,0,D498*W498/AA498)</f>
        <v/>
      </c>
      <c r="AG498">
        <f>IF(AA498=0,0,D498*X498/AA498)</f>
        <v/>
      </c>
      <c r="AH498">
        <f>IF(AA498=0,0,D498*Y498/AA498)</f>
        <v/>
      </c>
      <c r="AI498">
        <f>IF(AA498=0,0,D498*Z498/AA498)</f>
        <v/>
      </c>
      <c r="AJ498">
        <f>IF(OR(C498="",B498=""),"",C498&amp;"|"&amp;(YEAR(B498)*100+MONTH(B498)))</f>
        <v/>
      </c>
    </row>
    <row r="499">
      <c r="A499" s="1" t="n"/>
      <c r="B499" s="23" t="n"/>
      <c r="C499" s="24" t="n"/>
      <c r="D499" s="25" t="n"/>
      <c r="E499" s="26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1">
        <f>IF(D499="","",IF(B499="","No date",IF(AND(C499="Paying back",R499=0),"To whom?",IF(AA499=0,"Nobody",IF(C499="Paying back","To "&amp;INDEX(Housemates!$B$8:$B$15,MATCH(MAX(S499:Z499),S499:Z499,0)),IF(R499&gt;0,IF(COUNTIF(S499:Z499,"&gt;0")=1,"1 person",COUNTIF(S499:Z499,"&gt;0")&amp;" people"),IF(Q499=0,"Everyone",INDEX(Bills!$Q$6:$Q$25,Q499))))))))</f>
        <v/>
      </c>
      <c r="O499" s="18">
        <f>IF(D499="","",IF(C499="Paying back","Paying back",IF(Q499=0,"Other",IF(INDEX(Bills!$C$6:$C$25,Q499)="","Other",INDEX(Bills!$C$6:$C$25,Q499)))))</f>
        <v/>
      </c>
      <c r="P499" s="1" t="n"/>
      <c r="Q499">
        <f>IF(C499="",0,IFERROR(MATCH(C499,Bills!$B$6:$B$25,0),0))</f>
        <v/>
      </c>
      <c r="R499">
        <f>COUNTA(F499:M499)</f>
        <v/>
      </c>
      <c r="S499">
        <f>IF(OR($D499="",$B499="",Housemates!$B$8=""),0,IF($R499&gt;0,IF(F499="",0,IF(ISNUMBER(F499),F499,1)),IF($C499="Paying back",0,IF(AND(OR(Housemates!$C$8="",Housemates!$C$8&lt;=$B499),OR(Housemates!$D$8="",Housemates!$D$8&gt;=$B499)),IF($Q499=0,1,INDEX(Bills!$AA$6:$AA$25,$Q499)),0))))</f>
        <v/>
      </c>
      <c r="T499">
        <f>IF(OR($D499="",$B499="",Housemates!$B$9=""),0,IF($R499&gt;0,IF(G499="",0,IF(ISNUMBER(G499),G499,1)),IF($C499="Paying back",0,IF(AND(OR(Housemates!$C$9="",Housemates!$C$9&lt;=$B499),OR(Housemates!$D$9="",Housemates!$D$9&gt;=$B499)),IF($Q499=0,1,INDEX(Bills!$AB$6:$AB$25,$Q499)),0))))</f>
        <v/>
      </c>
      <c r="U499">
        <f>IF(OR($D499="",$B499="",Housemates!$B$10=""),0,IF($R499&gt;0,IF(H499="",0,IF(ISNUMBER(H499),H499,1)),IF($C499="Paying back",0,IF(AND(OR(Housemates!$C$10="",Housemates!$C$10&lt;=$B499),OR(Housemates!$D$10="",Housemates!$D$10&gt;=$B499)),IF($Q499=0,1,INDEX(Bills!$AC$6:$AC$25,$Q499)),0))))</f>
        <v/>
      </c>
      <c r="V499">
        <f>IF(OR($D499="",$B499="",Housemates!$B$11=""),0,IF($R499&gt;0,IF(I499="",0,IF(ISNUMBER(I499),I499,1)),IF($C499="Paying back",0,IF(AND(OR(Housemates!$C$11="",Housemates!$C$11&lt;=$B499),OR(Housemates!$D$11="",Housemates!$D$11&gt;=$B499)),IF($Q499=0,1,INDEX(Bills!$AD$6:$AD$25,$Q499)),0))))</f>
        <v/>
      </c>
      <c r="W499">
        <f>IF(OR($D499="",$B499="",Housemates!$B$12=""),0,IF($R499&gt;0,IF(J499="",0,IF(ISNUMBER(J499),J499,1)),IF($C499="Paying back",0,IF(AND(OR(Housemates!$C$12="",Housemates!$C$12&lt;=$B499),OR(Housemates!$D$12="",Housemates!$D$12&gt;=$B499)),IF($Q499=0,1,INDEX(Bills!$AE$6:$AE$25,$Q499)),0))))</f>
        <v/>
      </c>
      <c r="X499">
        <f>IF(OR($D499="",$B499="",Housemates!$B$13=""),0,IF($R499&gt;0,IF(K499="",0,IF(ISNUMBER(K499),K499,1)),IF($C499="Paying back",0,IF(AND(OR(Housemates!$C$13="",Housemates!$C$13&lt;=$B499),OR(Housemates!$D$13="",Housemates!$D$13&gt;=$B499)),IF($Q499=0,1,INDEX(Bills!$AF$6:$AF$25,$Q499)),0))))</f>
        <v/>
      </c>
      <c r="Y499">
        <f>IF(OR($D499="",$B499="",Housemates!$B$14=""),0,IF($R499&gt;0,IF(L499="",0,IF(ISNUMBER(L499),L499,1)),IF($C499="Paying back",0,IF(AND(OR(Housemates!$C$14="",Housemates!$C$14&lt;=$B499),OR(Housemates!$D$14="",Housemates!$D$14&gt;=$B499)),IF($Q499=0,1,INDEX(Bills!$AG$6:$AG$25,$Q499)),0))))</f>
        <v/>
      </c>
      <c r="Z499">
        <f>IF(OR($D499="",$B499="",Housemates!$B$15=""),0,IF($R499&gt;0,IF(M499="",0,IF(ISNUMBER(M499),M499,1)),IF($C499="Paying back",0,IF(AND(OR(Housemates!$C$15="",Housemates!$C$15&lt;=$B499),OR(Housemates!$D$15="",Housemates!$D$15&gt;=$B499)),IF($Q499=0,1,INDEX(Bills!$AH$6:$AH$25,$Q499)),0))))</f>
        <v/>
      </c>
      <c r="AA499">
        <f>SUM(S499:Z499)</f>
        <v/>
      </c>
      <c r="AB499">
        <f>IF(AA499=0,0,D499*S499/AA499)</f>
        <v/>
      </c>
      <c r="AC499">
        <f>IF(AA499=0,0,D499*T499/AA499)</f>
        <v/>
      </c>
      <c r="AD499">
        <f>IF(AA499=0,0,D499*U499/AA499)</f>
        <v/>
      </c>
      <c r="AE499">
        <f>IF(AA499=0,0,D499*V499/AA499)</f>
        <v/>
      </c>
      <c r="AF499">
        <f>IF(AA499=0,0,D499*W499/AA499)</f>
        <v/>
      </c>
      <c r="AG499">
        <f>IF(AA499=0,0,D499*X499/AA499)</f>
        <v/>
      </c>
      <c r="AH499">
        <f>IF(AA499=0,0,D499*Y499/AA499)</f>
        <v/>
      </c>
      <c r="AI499">
        <f>IF(AA499=0,0,D499*Z499/AA499)</f>
        <v/>
      </c>
      <c r="AJ499">
        <f>IF(OR(C499="",B499=""),"",C499&amp;"|"&amp;(YEAR(B499)*100+MONTH(B499)))</f>
        <v/>
      </c>
    </row>
    <row r="500">
      <c r="A500" s="1" t="n"/>
      <c r="B500" s="23" t="n"/>
      <c r="C500" s="24" t="n"/>
      <c r="D500" s="25" t="n"/>
      <c r="E500" s="26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1">
        <f>IF(D500="","",IF(B500="","No date",IF(AND(C500="Paying back",R500=0),"To whom?",IF(AA500=0,"Nobody",IF(C500="Paying back","To "&amp;INDEX(Housemates!$B$8:$B$15,MATCH(MAX(S500:Z500),S500:Z500,0)),IF(R500&gt;0,IF(COUNTIF(S500:Z500,"&gt;0")=1,"1 person",COUNTIF(S500:Z500,"&gt;0")&amp;" people"),IF(Q500=0,"Everyone",INDEX(Bills!$Q$6:$Q$25,Q500))))))))</f>
        <v/>
      </c>
      <c r="O500" s="18">
        <f>IF(D500="","",IF(C500="Paying back","Paying back",IF(Q500=0,"Other",IF(INDEX(Bills!$C$6:$C$25,Q500)="","Other",INDEX(Bills!$C$6:$C$25,Q500)))))</f>
        <v/>
      </c>
      <c r="P500" s="1" t="n"/>
      <c r="Q500">
        <f>IF(C500="",0,IFERROR(MATCH(C500,Bills!$B$6:$B$25,0),0))</f>
        <v/>
      </c>
      <c r="R500">
        <f>COUNTA(F500:M500)</f>
        <v/>
      </c>
      <c r="S500">
        <f>IF(OR($D500="",$B500="",Housemates!$B$8=""),0,IF($R500&gt;0,IF(F500="",0,IF(ISNUMBER(F500),F500,1)),IF($C500="Paying back",0,IF(AND(OR(Housemates!$C$8="",Housemates!$C$8&lt;=$B500),OR(Housemates!$D$8="",Housemates!$D$8&gt;=$B500)),IF($Q500=0,1,INDEX(Bills!$AA$6:$AA$25,$Q500)),0))))</f>
        <v/>
      </c>
      <c r="T500">
        <f>IF(OR($D500="",$B500="",Housemates!$B$9=""),0,IF($R500&gt;0,IF(G500="",0,IF(ISNUMBER(G500),G500,1)),IF($C500="Paying back",0,IF(AND(OR(Housemates!$C$9="",Housemates!$C$9&lt;=$B500),OR(Housemates!$D$9="",Housemates!$D$9&gt;=$B500)),IF($Q500=0,1,INDEX(Bills!$AB$6:$AB$25,$Q500)),0))))</f>
        <v/>
      </c>
      <c r="U500">
        <f>IF(OR($D500="",$B500="",Housemates!$B$10=""),0,IF($R500&gt;0,IF(H500="",0,IF(ISNUMBER(H500),H500,1)),IF($C500="Paying back",0,IF(AND(OR(Housemates!$C$10="",Housemates!$C$10&lt;=$B500),OR(Housemates!$D$10="",Housemates!$D$10&gt;=$B500)),IF($Q500=0,1,INDEX(Bills!$AC$6:$AC$25,$Q500)),0))))</f>
        <v/>
      </c>
      <c r="V500">
        <f>IF(OR($D500="",$B500="",Housemates!$B$11=""),0,IF($R500&gt;0,IF(I500="",0,IF(ISNUMBER(I500),I500,1)),IF($C500="Paying back",0,IF(AND(OR(Housemates!$C$11="",Housemates!$C$11&lt;=$B500),OR(Housemates!$D$11="",Housemates!$D$11&gt;=$B500)),IF($Q500=0,1,INDEX(Bills!$AD$6:$AD$25,$Q500)),0))))</f>
        <v/>
      </c>
      <c r="W500">
        <f>IF(OR($D500="",$B500="",Housemates!$B$12=""),0,IF($R500&gt;0,IF(J500="",0,IF(ISNUMBER(J500),J500,1)),IF($C500="Paying back",0,IF(AND(OR(Housemates!$C$12="",Housemates!$C$12&lt;=$B500),OR(Housemates!$D$12="",Housemates!$D$12&gt;=$B500)),IF($Q500=0,1,INDEX(Bills!$AE$6:$AE$25,$Q500)),0))))</f>
        <v/>
      </c>
      <c r="X500">
        <f>IF(OR($D500="",$B500="",Housemates!$B$13=""),0,IF($R500&gt;0,IF(K500="",0,IF(ISNUMBER(K500),K500,1)),IF($C500="Paying back",0,IF(AND(OR(Housemates!$C$13="",Housemates!$C$13&lt;=$B500),OR(Housemates!$D$13="",Housemates!$D$13&gt;=$B500)),IF($Q500=0,1,INDEX(Bills!$AF$6:$AF$25,$Q500)),0))))</f>
        <v/>
      </c>
      <c r="Y500">
        <f>IF(OR($D500="",$B500="",Housemates!$B$14=""),0,IF($R500&gt;0,IF(L500="",0,IF(ISNUMBER(L500),L500,1)),IF($C500="Paying back",0,IF(AND(OR(Housemates!$C$14="",Housemates!$C$14&lt;=$B500),OR(Housemates!$D$14="",Housemates!$D$14&gt;=$B500)),IF($Q500=0,1,INDEX(Bills!$AG$6:$AG$25,$Q500)),0))))</f>
        <v/>
      </c>
      <c r="Z500">
        <f>IF(OR($D500="",$B500="",Housemates!$B$15=""),0,IF($R500&gt;0,IF(M500="",0,IF(ISNUMBER(M500),M500,1)),IF($C500="Paying back",0,IF(AND(OR(Housemates!$C$15="",Housemates!$C$15&lt;=$B500),OR(Housemates!$D$15="",Housemates!$D$15&gt;=$B500)),IF($Q500=0,1,INDEX(Bills!$AH$6:$AH$25,$Q500)),0))))</f>
        <v/>
      </c>
      <c r="AA500">
        <f>SUM(S500:Z500)</f>
        <v/>
      </c>
      <c r="AB500">
        <f>IF(AA500=0,0,D500*S500/AA500)</f>
        <v/>
      </c>
      <c r="AC500">
        <f>IF(AA500=0,0,D500*T500/AA500)</f>
        <v/>
      </c>
      <c r="AD500">
        <f>IF(AA500=0,0,D500*U500/AA500)</f>
        <v/>
      </c>
      <c r="AE500">
        <f>IF(AA500=0,0,D500*V500/AA500)</f>
        <v/>
      </c>
      <c r="AF500">
        <f>IF(AA500=0,0,D500*W500/AA500)</f>
        <v/>
      </c>
      <c r="AG500">
        <f>IF(AA500=0,0,D500*X500/AA500)</f>
        <v/>
      </c>
      <c r="AH500">
        <f>IF(AA500=0,0,D500*Y500/AA500)</f>
        <v/>
      </c>
      <c r="AI500">
        <f>IF(AA500=0,0,D500*Z500/AA500)</f>
        <v/>
      </c>
      <c r="AJ500">
        <f>IF(OR(C500="",B500=""),"",C500&amp;"|"&amp;(YEAR(B500)*100+MONTH(B500)))</f>
        <v/>
      </c>
    </row>
    <row r="501">
      <c r="A501" s="1" t="n"/>
      <c r="B501" s="23" t="n"/>
      <c r="C501" s="24" t="n"/>
      <c r="D501" s="25" t="n"/>
      <c r="E501" s="26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1">
        <f>IF(D501="","",IF(B501="","No date",IF(AND(C501="Paying back",R501=0),"To whom?",IF(AA501=0,"Nobody",IF(C501="Paying back","To "&amp;INDEX(Housemates!$B$8:$B$15,MATCH(MAX(S501:Z501),S501:Z501,0)),IF(R501&gt;0,IF(COUNTIF(S501:Z501,"&gt;0")=1,"1 person",COUNTIF(S501:Z501,"&gt;0")&amp;" people"),IF(Q501=0,"Everyone",INDEX(Bills!$Q$6:$Q$25,Q501))))))))</f>
        <v/>
      </c>
      <c r="O501" s="18">
        <f>IF(D501="","",IF(C501="Paying back","Paying back",IF(Q501=0,"Other",IF(INDEX(Bills!$C$6:$C$25,Q501)="","Other",INDEX(Bills!$C$6:$C$25,Q501)))))</f>
        <v/>
      </c>
      <c r="P501" s="1" t="n"/>
      <c r="Q501">
        <f>IF(C501="",0,IFERROR(MATCH(C501,Bills!$B$6:$B$25,0),0))</f>
        <v/>
      </c>
      <c r="R501">
        <f>COUNTA(F501:M501)</f>
        <v/>
      </c>
      <c r="S501">
        <f>IF(OR($D501="",$B501="",Housemates!$B$8=""),0,IF($R501&gt;0,IF(F501="",0,IF(ISNUMBER(F501),F501,1)),IF($C501="Paying back",0,IF(AND(OR(Housemates!$C$8="",Housemates!$C$8&lt;=$B501),OR(Housemates!$D$8="",Housemates!$D$8&gt;=$B501)),IF($Q501=0,1,INDEX(Bills!$AA$6:$AA$25,$Q501)),0))))</f>
        <v/>
      </c>
      <c r="T501">
        <f>IF(OR($D501="",$B501="",Housemates!$B$9=""),0,IF($R501&gt;0,IF(G501="",0,IF(ISNUMBER(G501),G501,1)),IF($C501="Paying back",0,IF(AND(OR(Housemates!$C$9="",Housemates!$C$9&lt;=$B501),OR(Housemates!$D$9="",Housemates!$D$9&gt;=$B501)),IF($Q501=0,1,INDEX(Bills!$AB$6:$AB$25,$Q501)),0))))</f>
        <v/>
      </c>
      <c r="U501">
        <f>IF(OR($D501="",$B501="",Housemates!$B$10=""),0,IF($R501&gt;0,IF(H501="",0,IF(ISNUMBER(H501),H501,1)),IF($C501="Paying back",0,IF(AND(OR(Housemates!$C$10="",Housemates!$C$10&lt;=$B501),OR(Housemates!$D$10="",Housemates!$D$10&gt;=$B501)),IF($Q501=0,1,INDEX(Bills!$AC$6:$AC$25,$Q501)),0))))</f>
        <v/>
      </c>
      <c r="V501">
        <f>IF(OR($D501="",$B501="",Housemates!$B$11=""),0,IF($R501&gt;0,IF(I501="",0,IF(ISNUMBER(I501),I501,1)),IF($C501="Paying back",0,IF(AND(OR(Housemates!$C$11="",Housemates!$C$11&lt;=$B501),OR(Housemates!$D$11="",Housemates!$D$11&gt;=$B501)),IF($Q501=0,1,INDEX(Bills!$AD$6:$AD$25,$Q501)),0))))</f>
        <v/>
      </c>
      <c r="W501">
        <f>IF(OR($D501="",$B501="",Housemates!$B$12=""),0,IF($R501&gt;0,IF(J501="",0,IF(ISNUMBER(J501),J501,1)),IF($C501="Paying back",0,IF(AND(OR(Housemates!$C$12="",Housemates!$C$12&lt;=$B501),OR(Housemates!$D$12="",Housemates!$D$12&gt;=$B501)),IF($Q501=0,1,INDEX(Bills!$AE$6:$AE$25,$Q501)),0))))</f>
        <v/>
      </c>
      <c r="X501">
        <f>IF(OR($D501="",$B501="",Housemates!$B$13=""),0,IF($R501&gt;0,IF(K501="",0,IF(ISNUMBER(K501),K501,1)),IF($C501="Paying back",0,IF(AND(OR(Housemates!$C$13="",Housemates!$C$13&lt;=$B501),OR(Housemates!$D$13="",Housemates!$D$13&gt;=$B501)),IF($Q501=0,1,INDEX(Bills!$AF$6:$AF$25,$Q501)),0))))</f>
        <v/>
      </c>
      <c r="Y501">
        <f>IF(OR($D501="",$B501="",Housemates!$B$14=""),0,IF($R501&gt;0,IF(L501="",0,IF(ISNUMBER(L501),L501,1)),IF($C501="Paying back",0,IF(AND(OR(Housemates!$C$14="",Housemates!$C$14&lt;=$B501),OR(Housemates!$D$14="",Housemates!$D$14&gt;=$B501)),IF($Q501=0,1,INDEX(Bills!$AG$6:$AG$25,$Q501)),0))))</f>
        <v/>
      </c>
      <c r="Z501">
        <f>IF(OR($D501="",$B501="",Housemates!$B$15=""),0,IF($R501&gt;0,IF(M501="",0,IF(ISNUMBER(M501),M501,1)),IF($C501="Paying back",0,IF(AND(OR(Housemates!$C$15="",Housemates!$C$15&lt;=$B501),OR(Housemates!$D$15="",Housemates!$D$15&gt;=$B501)),IF($Q501=0,1,INDEX(Bills!$AH$6:$AH$25,$Q501)),0))))</f>
        <v/>
      </c>
      <c r="AA501">
        <f>SUM(S501:Z501)</f>
        <v/>
      </c>
      <c r="AB501">
        <f>IF(AA501=0,0,D501*S501/AA501)</f>
        <v/>
      </c>
      <c r="AC501">
        <f>IF(AA501=0,0,D501*T501/AA501)</f>
        <v/>
      </c>
      <c r="AD501">
        <f>IF(AA501=0,0,D501*U501/AA501)</f>
        <v/>
      </c>
      <c r="AE501">
        <f>IF(AA501=0,0,D501*V501/AA501)</f>
        <v/>
      </c>
      <c r="AF501">
        <f>IF(AA501=0,0,D501*W501/AA501)</f>
        <v/>
      </c>
      <c r="AG501">
        <f>IF(AA501=0,0,D501*X501/AA501)</f>
        <v/>
      </c>
      <c r="AH501">
        <f>IF(AA501=0,0,D501*Y501/AA501)</f>
        <v/>
      </c>
      <c r="AI501">
        <f>IF(AA501=0,0,D501*Z501/AA501)</f>
        <v/>
      </c>
      <c r="AJ501">
        <f>IF(OR(C501="",B501=""),"",C501&amp;"|"&amp;(YEAR(B501)*100+MONTH(B501)))</f>
        <v/>
      </c>
    </row>
    <row r="502">
      <c r="A502" s="1" t="n"/>
      <c r="B502" s="23" t="n"/>
      <c r="C502" s="24" t="n"/>
      <c r="D502" s="25" t="n"/>
      <c r="E502" s="26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1">
        <f>IF(D502="","",IF(B502="","No date",IF(AND(C502="Paying back",R502=0),"To whom?",IF(AA502=0,"Nobody",IF(C502="Paying back","To "&amp;INDEX(Housemates!$B$8:$B$15,MATCH(MAX(S502:Z502),S502:Z502,0)),IF(R502&gt;0,IF(COUNTIF(S502:Z502,"&gt;0")=1,"1 person",COUNTIF(S502:Z502,"&gt;0")&amp;" people"),IF(Q502=0,"Everyone",INDEX(Bills!$Q$6:$Q$25,Q502))))))))</f>
        <v/>
      </c>
      <c r="O502" s="18">
        <f>IF(D502="","",IF(C502="Paying back","Paying back",IF(Q502=0,"Other",IF(INDEX(Bills!$C$6:$C$25,Q502)="","Other",INDEX(Bills!$C$6:$C$25,Q502)))))</f>
        <v/>
      </c>
      <c r="P502" s="1" t="n"/>
      <c r="Q502">
        <f>IF(C502="",0,IFERROR(MATCH(C502,Bills!$B$6:$B$25,0),0))</f>
        <v/>
      </c>
      <c r="R502">
        <f>COUNTA(F502:M502)</f>
        <v/>
      </c>
      <c r="S502">
        <f>IF(OR($D502="",$B502="",Housemates!$B$8=""),0,IF($R502&gt;0,IF(F502="",0,IF(ISNUMBER(F502),F502,1)),IF($C502="Paying back",0,IF(AND(OR(Housemates!$C$8="",Housemates!$C$8&lt;=$B502),OR(Housemates!$D$8="",Housemates!$D$8&gt;=$B502)),IF($Q502=0,1,INDEX(Bills!$AA$6:$AA$25,$Q502)),0))))</f>
        <v/>
      </c>
      <c r="T502">
        <f>IF(OR($D502="",$B502="",Housemates!$B$9=""),0,IF($R502&gt;0,IF(G502="",0,IF(ISNUMBER(G502),G502,1)),IF($C502="Paying back",0,IF(AND(OR(Housemates!$C$9="",Housemates!$C$9&lt;=$B502),OR(Housemates!$D$9="",Housemates!$D$9&gt;=$B502)),IF($Q502=0,1,INDEX(Bills!$AB$6:$AB$25,$Q502)),0))))</f>
        <v/>
      </c>
      <c r="U502">
        <f>IF(OR($D502="",$B502="",Housemates!$B$10=""),0,IF($R502&gt;0,IF(H502="",0,IF(ISNUMBER(H502),H502,1)),IF($C502="Paying back",0,IF(AND(OR(Housemates!$C$10="",Housemates!$C$10&lt;=$B502),OR(Housemates!$D$10="",Housemates!$D$10&gt;=$B502)),IF($Q502=0,1,INDEX(Bills!$AC$6:$AC$25,$Q502)),0))))</f>
        <v/>
      </c>
      <c r="V502">
        <f>IF(OR($D502="",$B502="",Housemates!$B$11=""),0,IF($R502&gt;0,IF(I502="",0,IF(ISNUMBER(I502),I502,1)),IF($C502="Paying back",0,IF(AND(OR(Housemates!$C$11="",Housemates!$C$11&lt;=$B502),OR(Housemates!$D$11="",Housemates!$D$11&gt;=$B502)),IF($Q502=0,1,INDEX(Bills!$AD$6:$AD$25,$Q502)),0))))</f>
        <v/>
      </c>
      <c r="W502">
        <f>IF(OR($D502="",$B502="",Housemates!$B$12=""),0,IF($R502&gt;0,IF(J502="",0,IF(ISNUMBER(J502),J502,1)),IF($C502="Paying back",0,IF(AND(OR(Housemates!$C$12="",Housemates!$C$12&lt;=$B502),OR(Housemates!$D$12="",Housemates!$D$12&gt;=$B502)),IF($Q502=0,1,INDEX(Bills!$AE$6:$AE$25,$Q502)),0))))</f>
        <v/>
      </c>
      <c r="X502">
        <f>IF(OR($D502="",$B502="",Housemates!$B$13=""),0,IF($R502&gt;0,IF(K502="",0,IF(ISNUMBER(K502),K502,1)),IF($C502="Paying back",0,IF(AND(OR(Housemates!$C$13="",Housemates!$C$13&lt;=$B502),OR(Housemates!$D$13="",Housemates!$D$13&gt;=$B502)),IF($Q502=0,1,INDEX(Bills!$AF$6:$AF$25,$Q502)),0))))</f>
        <v/>
      </c>
      <c r="Y502">
        <f>IF(OR($D502="",$B502="",Housemates!$B$14=""),0,IF($R502&gt;0,IF(L502="",0,IF(ISNUMBER(L502),L502,1)),IF($C502="Paying back",0,IF(AND(OR(Housemates!$C$14="",Housemates!$C$14&lt;=$B502),OR(Housemates!$D$14="",Housemates!$D$14&gt;=$B502)),IF($Q502=0,1,INDEX(Bills!$AG$6:$AG$25,$Q502)),0))))</f>
        <v/>
      </c>
      <c r="Z502">
        <f>IF(OR($D502="",$B502="",Housemates!$B$15=""),0,IF($R502&gt;0,IF(M502="",0,IF(ISNUMBER(M502),M502,1)),IF($C502="Paying back",0,IF(AND(OR(Housemates!$C$15="",Housemates!$C$15&lt;=$B502),OR(Housemates!$D$15="",Housemates!$D$15&gt;=$B502)),IF($Q502=0,1,INDEX(Bills!$AH$6:$AH$25,$Q502)),0))))</f>
        <v/>
      </c>
      <c r="AA502">
        <f>SUM(S502:Z502)</f>
        <v/>
      </c>
      <c r="AB502">
        <f>IF(AA502=0,0,D502*S502/AA502)</f>
        <v/>
      </c>
      <c r="AC502">
        <f>IF(AA502=0,0,D502*T502/AA502)</f>
        <v/>
      </c>
      <c r="AD502">
        <f>IF(AA502=0,0,D502*U502/AA502)</f>
        <v/>
      </c>
      <c r="AE502">
        <f>IF(AA502=0,0,D502*V502/AA502)</f>
        <v/>
      </c>
      <c r="AF502">
        <f>IF(AA502=0,0,D502*W502/AA502)</f>
        <v/>
      </c>
      <c r="AG502">
        <f>IF(AA502=0,0,D502*X502/AA502)</f>
        <v/>
      </c>
      <c r="AH502">
        <f>IF(AA502=0,0,D502*Y502/AA502)</f>
        <v/>
      </c>
      <c r="AI502">
        <f>IF(AA502=0,0,D502*Z502/AA502)</f>
        <v/>
      </c>
      <c r="AJ502">
        <f>IF(OR(C502="",B502=""),"",C502&amp;"|"&amp;(YEAR(B502)*100+MONTH(B502)))</f>
        <v/>
      </c>
    </row>
    <row r="503">
      <c r="A503" s="1" t="n"/>
      <c r="B503" s="23" t="n"/>
      <c r="C503" s="24" t="n"/>
      <c r="D503" s="25" t="n"/>
      <c r="E503" s="26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1">
        <f>IF(D503="","",IF(B503="","No date",IF(AND(C503="Paying back",R503=0),"To whom?",IF(AA503=0,"Nobody",IF(C503="Paying back","To "&amp;INDEX(Housemates!$B$8:$B$15,MATCH(MAX(S503:Z503),S503:Z503,0)),IF(R503&gt;0,IF(COUNTIF(S503:Z503,"&gt;0")=1,"1 person",COUNTIF(S503:Z503,"&gt;0")&amp;" people"),IF(Q503=0,"Everyone",INDEX(Bills!$Q$6:$Q$25,Q503))))))))</f>
        <v/>
      </c>
      <c r="O503" s="18">
        <f>IF(D503="","",IF(C503="Paying back","Paying back",IF(Q503=0,"Other",IF(INDEX(Bills!$C$6:$C$25,Q503)="","Other",INDEX(Bills!$C$6:$C$25,Q503)))))</f>
        <v/>
      </c>
      <c r="P503" s="1" t="n"/>
      <c r="Q503">
        <f>IF(C503="",0,IFERROR(MATCH(C503,Bills!$B$6:$B$25,0),0))</f>
        <v/>
      </c>
      <c r="R503">
        <f>COUNTA(F503:M503)</f>
        <v/>
      </c>
      <c r="S503">
        <f>IF(OR($D503="",$B503="",Housemates!$B$8=""),0,IF($R503&gt;0,IF(F503="",0,IF(ISNUMBER(F503),F503,1)),IF($C503="Paying back",0,IF(AND(OR(Housemates!$C$8="",Housemates!$C$8&lt;=$B503),OR(Housemates!$D$8="",Housemates!$D$8&gt;=$B503)),IF($Q503=0,1,INDEX(Bills!$AA$6:$AA$25,$Q503)),0))))</f>
        <v/>
      </c>
      <c r="T503">
        <f>IF(OR($D503="",$B503="",Housemates!$B$9=""),0,IF($R503&gt;0,IF(G503="",0,IF(ISNUMBER(G503),G503,1)),IF($C503="Paying back",0,IF(AND(OR(Housemates!$C$9="",Housemates!$C$9&lt;=$B503),OR(Housemates!$D$9="",Housemates!$D$9&gt;=$B503)),IF($Q503=0,1,INDEX(Bills!$AB$6:$AB$25,$Q503)),0))))</f>
        <v/>
      </c>
      <c r="U503">
        <f>IF(OR($D503="",$B503="",Housemates!$B$10=""),0,IF($R503&gt;0,IF(H503="",0,IF(ISNUMBER(H503),H503,1)),IF($C503="Paying back",0,IF(AND(OR(Housemates!$C$10="",Housemates!$C$10&lt;=$B503),OR(Housemates!$D$10="",Housemates!$D$10&gt;=$B503)),IF($Q503=0,1,INDEX(Bills!$AC$6:$AC$25,$Q503)),0))))</f>
        <v/>
      </c>
      <c r="V503">
        <f>IF(OR($D503="",$B503="",Housemates!$B$11=""),0,IF($R503&gt;0,IF(I503="",0,IF(ISNUMBER(I503),I503,1)),IF($C503="Paying back",0,IF(AND(OR(Housemates!$C$11="",Housemates!$C$11&lt;=$B503),OR(Housemates!$D$11="",Housemates!$D$11&gt;=$B503)),IF($Q503=0,1,INDEX(Bills!$AD$6:$AD$25,$Q503)),0))))</f>
        <v/>
      </c>
      <c r="W503">
        <f>IF(OR($D503="",$B503="",Housemates!$B$12=""),0,IF($R503&gt;0,IF(J503="",0,IF(ISNUMBER(J503),J503,1)),IF($C503="Paying back",0,IF(AND(OR(Housemates!$C$12="",Housemates!$C$12&lt;=$B503),OR(Housemates!$D$12="",Housemates!$D$12&gt;=$B503)),IF($Q503=0,1,INDEX(Bills!$AE$6:$AE$25,$Q503)),0))))</f>
        <v/>
      </c>
      <c r="X503">
        <f>IF(OR($D503="",$B503="",Housemates!$B$13=""),0,IF($R503&gt;0,IF(K503="",0,IF(ISNUMBER(K503),K503,1)),IF($C503="Paying back",0,IF(AND(OR(Housemates!$C$13="",Housemates!$C$13&lt;=$B503),OR(Housemates!$D$13="",Housemates!$D$13&gt;=$B503)),IF($Q503=0,1,INDEX(Bills!$AF$6:$AF$25,$Q503)),0))))</f>
        <v/>
      </c>
      <c r="Y503">
        <f>IF(OR($D503="",$B503="",Housemates!$B$14=""),0,IF($R503&gt;0,IF(L503="",0,IF(ISNUMBER(L503),L503,1)),IF($C503="Paying back",0,IF(AND(OR(Housemates!$C$14="",Housemates!$C$14&lt;=$B503),OR(Housemates!$D$14="",Housemates!$D$14&gt;=$B503)),IF($Q503=0,1,INDEX(Bills!$AG$6:$AG$25,$Q503)),0))))</f>
        <v/>
      </c>
      <c r="Z503">
        <f>IF(OR($D503="",$B503="",Housemates!$B$15=""),0,IF($R503&gt;0,IF(M503="",0,IF(ISNUMBER(M503),M503,1)),IF($C503="Paying back",0,IF(AND(OR(Housemates!$C$15="",Housemates!$C$15&lt;=$B503),OR(Housemates!$D$15="",Housemates!$D$15&gt;=$B503)),IF($Q503=0,1,INDEX(Bills!$AH$6:$AH$25,$Q503)),0))))</f>
        <v/>
      </c>
      <c r="AA503">
        <f>SUM(S503:Z503)</f>
        <v/>
      </c>
      <c r="AB503">
        <f>IF(AA503=0,0,D503*S503/AA503)</f>
        <v/>
      </c>
      <c r="AC503">
        <f>IF(AA503=0,0,D503*T503/AA503)</f>
        <v/>
      </c>
      <c r="AD503">
        <f>IF(AA503=0,0,D503*U503/AA503)</f>
        <v/>
      </c>
      <c r="AE503">
        <f>IF(AA503=0,0,D503*V503/AA503)</f>
        <v/>
      </c>
      <c r="AF503">
        <f>IF(AA503=0,0,D503*W503/AA503)</f>
        <v/>
      </c>
      <c r="AG503">
        <f>IF(AA503=0,0,D503*X503/AA503)</f>
        <v/>
      </c>
      <c r="AH503">
        <f>IF(AA503=0,0,D503*Y503/AA503)</f>
        <v/>
      </c>
      <c r="AI503">
        <f>IF(AA503=0,0,D503*Z503/AA503)</f>
        <v/>
      </c>
      <c r="AJ503">
        <f>IF(OR(C503="",B503=""),"",C503&amp;"|"&amp;(YEAR(B503)*100+MONTH(B503)))</f>
        <v/>
      </c>
    </row>
    <row r="504">
      <c r="A504" s="1" t="n"/>
      <c r="B504" s="23" t="n"/>
      <c r="C504" s="24" t="n"/>
      <c r="D504" s="25" t="n"/>
      <c r="E504" s="26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1">
        <f>IF(D504="","",IF(B504="","No date",IF(AND(C504="Paying back",R504=0),"To whom?",IF(AA504=0,"Nobody",IF(C504="Paying back","To "&amp;INDEX(Housemates!$B$8:$B$15,MATCH(MAX(S504:Z504),S504:Z504,0)),IF(R504&gt;0,IF(COUNTIF(S504:Z504,"&gt;0")=1,"1 person",COUNTIF(S504:Z504,"&gt;0")&amp;" people"),IF(Q504=0,"Everyone",INDEX(Bills!$Q$6:$Q$25,Q504))))))))</f>
        <v/>
      </c>
      <c r="O504" s="18">
        <f>IF(D504="","",IF(C504="Paying back","Paying back",IF(Q504=0,"Other",IF(INDEX(Bills!$C$6:$C$25,Q504)="","Other",INDEX(Bills!$C$6:$C$25,Q504)))))</f>
        <v/>
      </c>
      <c r="P504" s="1" t="n"/>
      <c r="Q504">
        <f>IF(C504="",0,IFERROR(MATCH(C504,Bills!$B$6:$B$25,0),0))</f>
        <v/>
      </c>
      <c r="R504">
        <f>COUNTA(F504:M504)</f>
        <v/>
      </c>
      <c r="S504">
        <f>IF(OR($D504="",$B504="",Housemates!$B$8=""),0,IF($R504&gt;0,IF(F504="",0,IF(ISNUMBER(F504),F504,1)),IF($C504="Paying back",0,IF(AND(OR(Housemates!$C$8="",Housemates!$C$8&lt;=$B504),OR(Housemates!$D$8="",Housemates!$D$8&gt;=$B504)),IF($Q504=0,1,INDEX(Bills!$AA$6:$AA$25,$Q504)),0))))</f>
        <v/>
      </c>
      <c r="T504">
        <f>IF(OR($D504="",$B504="",Housemates!$B$9=""),0,IF($R504&gt;0,IF(G504="",0,IF(ISNUMBER(G504),G504,1)),IF($C504="Paying back",0,IF(AND(OR(Housemates!$C$9="",Housemates!$C$9&lt;=$B504),OR(Housemates!$D$9="",Housemates!$D$9&gt;=$B504)),IF($Q504=0,1,INDEX(Bills!$AB$6:$AB$25,$Q504)),0))))</f>
        <v/>
      </c>
      <c r="U504">
        <f>IF(OR($D504="",$B504="",Housemates!$B$10=""),0,IF($R504&gt;0,IF(H504="",0,IF(ISNUMBER(H504),H504,1)),IF($C504="Paying back",0,IF(AND(OR(Housemates!$C$10="",Housemates!$C$10&lt;=$B504),OR(Housemates!$D$10="",Housemates!$D$10&gt;=$B504)),IF($Q504=0,1,INDEX(Bills!$AC$6:$AC$25,$Q504)),0))))</f>
        <v/>
      </c>
      <c r="V504">
        <f>IF(OR($D504="",$B504="",Housemates!$B$11=""),0,IF($R504&gt;0,IF(I504="",0,IF(ISNUMBER(I504),I504,1)),IF($C504="Paying back",0,IF(AND(OR(Housemates!$C$11="",Housemates!$C$11&lt;=$B504),OR(Housemates!$D$11="",Housemates!$D$11&gt;=$B504)),IF($Q504=0,1,INDEX(Bills!$AD$6:$AD$25,$Q504)),0))))</f>
        <v/>
      </c>
      <c r="W504">
        <f>IF(OR($D504="",$B504="",Housemates!$B$12=""),0,IF($R504&gt;0,IF(J504="",0,IF(ISNUMBER(J504),J504,1)),IF($C504="Paying back",0,IF(AND(OR(Housemates!$C$12="",Housemates!$C$12&lt;=$B504),OR(Housemates!$D$12="",Housemates!$D$12&gt;=$B504)),IF($Q504=0,1,INDEX(Bills!$AE$6:$AE$25,$Q504)),0))))</f>
        <v/>
      </c>
      <c r="X504">
        <f>IF(OR($D504="",$B504="",Housemates!$B$13=""),0,IF($R504&gt;0,IF(K504="",0,IF(ISNUMBER(K504),K504,1)),IF($C504="Paying back",0,IF(AND(OR(Housemates!$C$13="",Housemates!$C$13&lt;=$B504),OR(Housemates!$D$13="",Housemates!$D$13&gt;=$B504)),IF($Q504=0,1,INDEX(Bills!$AF$6:$AF$25,$Q504)),0))))</f>
        <v/>
      </c>
      <c r="Y504">
        <f>IF(OR($D504="",$B504="",Housemates!$B$14=""),0,IF($R504&gt;0,IF(L504="",0,IF(ISNUMBER(L504),L504,1)),IF($C504="Paying back",0,IF(AND(OR(Housemates!$C$14="",Housemates!$C$14&lt;=$B504),OR(Housemates!$D$14="",Housemates!$D$14&gt;=$B504)),IF($Q504=0,1,INDEX(Bills!$AG$6:$AG$25,$Q504)),0))))</f>
        <v/>
      </c>
      <c r="Z504">
        <f>IF(OR($D504="",$B504="",Housemates!$B$15=""),0,IF($R504&gt;0,IF(M504="",0,IF(ISNUMBER(M504),M504,1)),IF($C504="Paying back",0,IF(AND(OR(Housemates!$C$15="",Housemates!$C$15&lt;=$B504),OR(Housemates!$D$15="",Housemates!$D$15&gt;=$B504)),IF($Q504=0,1,INDEX(Bills!$AH$6:$AH$25,$Q504)),0))))</f>
        <v/>
      </c>
      <c r="AA504">
        <f>SUM(S504:Z504)</f>
        <v/>
      </c>
      <c r="AB504">
        <f>IF(AA504=0,0,D504*S504/AA504)</f>
        <v/>
      </c>
      <c r="AC504">
        <f>IF(AA504=0,0,D504*T504/AA504)</f>
        <v/>
      </c>
      <c r="AD504">
        <f>IF(AA504=0,0,D504*U504/AA504)</f>
        <v/>
      </c>
      <c r="AE504">
        <f>IF(AA504=0,0,D504*V504/AA504)</f>
        <v/>
      </c>
      <c r="AF504">
        <f>IF(AA504=0,0,D504*W504/AA504)</f>
        <v/>
      </c>
      <c r="AG504">
        <f>IF(AA504=0,0,D504*X504/AA504)</f>
        <v/>
      </c>
      <c r="AH504">
        <f>IF(AA504=0,0,D504*Y504/AA504)</f>
        <v/>
      </c>
      <c r="AI504">
        <f>IF(AA504=0,0,D504*Z504/AA504)</f>
        <v/>
      </c>
      <c r="AJ504">
        <f>IF(OR(C504="",B504=""),"",C504&amp;"|"&amp;(YEAR(B504)*100+MONTH(B504)))</f>
        <v/>
      </c>
    </row>
    <row r="505">
      <c r="A505" s="1" t="n"/>
      <c r="B505" s="23" t="n"/>
      <c r="C505" s="24" t="n"/>
      <c r="D505" s="25" t="n"/>
      <c r="E505" s="26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1">
        <f>IF(D505="","",IF(B505="","No date",IF(AND(C505="Paying back",R505=0),"To whom?",IF(AA505=0,"Nobody",IF(C505="Paying back","To "&amp;INDEX(Housemates!$B$8:$B$15,MATCH(MAX(S505:Z505),S505:Z505,0)),IF(R505&gt;0,IF(COUNTIF(S505:Z505,"&gt;0")=1,"1 person",COUNTIF(S505:Z505,"&gt;0")&amp;" people"),IF(Q505=0,"Everyone",INDEX(Bills!$Q$6:$Q$25,Q505))))))))</f>
        <v/>
      </c>
      <c r="O505" s="18">
        <f>IF(D505="","",IF(C505="Paying back","Paying back",IF(Q505=0,"Other",IF(INDEX(Bills!$C$6:$C$25,Q505)="","Other",INDEX(Bills!$C$6:$C$25,Q505)))))</f>
        <v/>
      </c>
      <c r="P505" s="1" t="n"/>
      <c r="Q505">
        <f>IF(C505="",0,IFERROR(MATCH(C505,Bills!$B$6:$B$25,0),0))</f>
        <v/>
      </c>
      <c r="R505">
        <f>COUNTA(F505:M505)</f>
        <v/>
      </c>
      <c r="S505">
        <f>IF(OR($D505="",$B505="",Housemates!$B$8=""),0,IF($R505&gt;0,IF(F505="",0,IF(ISNUMBER(F505),F505,1)),IF($C505="Paying back",0,IF(AND(OR(Housemates!$C$8="",Housemates!$C$8&lt;=$B505),OR(Housemates!$D$8="",Housemates!$D$8&gt;=$B505)),IF($Q505=0,1,INDEX(Bills!$AA$6:$AA$25,$Q505)),0))))</f>
        <v/>
      </c>
      <c r="T505">
        <f>IF(OR($D505="",$B505="",Housemates!$B$9=""),0,IF($R505&gt;0,IF(G505="",0,IF(ISNUMBER(G505),G505,1)),IF($C505="Paying back",0,IF(AND(OR(Housemates!$C$9="",Housemates!$C$9&lt;=$B505),OR(Housemates!$D$9="",Housemates!$D$9&gt;=$B505)),IF($Q505=0,1,INDEX(Bills!$AB$6:$AB$25,$Q505)),0))))</f>
        <v/>
      </c>
      <c r="U505">
        <f>IF(OR($D505="",$B505="",Housemates!$B$10=""),0,IF($R505&gt;0,IF(H505="",0,IF(ISNUMBER(H505),H505,1)),IF($C505="Paying back",0,IF(AND(OR(Housemates!$C$10="",Housemates!$C$10&lt;=$B505),OR(Housemates!$D$10="",Housemates!$D$10&gt;=$B505)),IF($Q505=0,1,INDEX(Bills!$AC$6:$AC$25,$Q505)),0))))</f>
        <v/>
      </c>
      <c r="V505">
        <f>IF(OR($D505="",$B505="",Housemates!$B$11=""),0,IF($R505&gt;0,IF(I505="",0,IF(ISNUMBER(I505),I505,1)),IF($C505="Paying back",0,IF(AND(OR(Housemates!$C$11="",Housemates!$C$11&lt;=$B505),OR(Housemates!$D$11="",Housemates!$D$11&gt;=$B505)),IF($Q505=0,1,INDEX(Bills!$AD$6:$AD$25,$Q505)),0))))</f>
        <v/>
      </c>
      <c r="W505">
        <f>IF(OR($D505="",$B505="",Housemates!$B$12=""),0,IF($R505&gt;0,IF(J505="",0,IF(ISNUMBER(J505),J505,1)),IF($C505="Paying back",0,IF(AND(OR(Housemates!$C$12="",Housemates!$C$12&lt;=$B505),OR(Housemates!$D$12="",Housemates!$D$12&gt;=$B505)),IF($Q505=0,1,INDEX(Bills!$AE$6:$AE$25,$Q505)),0))))</f>
        <v/>
      </c>
      <c r="X505">
        <f>IF(OR($D505="",$B505="",Housemates!$B$13=""),0,IF($R505&gt;0,IF(K505="",0,IF(ISNUMBER(K505),K505,1)),IF($C505="Paying back",0,IF(AND(OR(Housemates!$C$13="",Housemates!$C$13&lt;=$B505),OR(Housemates!$D$13="",Housemates!$D$13&gt;=$B505)),IF($Q505=0,1,INDEX(Bills!$AF$6:$AF$25,$Q505)),0))))</f>
        <v/>
      </c>
      <c r="Y505">
        <f>IF(OR($D505="",$B505="",Housemates!$B$14=""),0,IF($R505&gt;0,IF(L505="",0,IF(ISNUMBER(L505),L505,1)),IF($C505="Paying back",0,IF(AND(OR(Housemates!$C$14="",Housemates!$C$14&lt;=$B505),OR(Housemates!$D$14="",Housemates!$D$14&gt;=$B505)),IF($Q505=0,1,INDEX(Bills!$AG$6:$AG$25,$Q505)),0))))</f>
        <v/>
      </c>
      <c r="Z505">
        <f>IF(OR($D505="",$B505="",Housemates!$B$15=""),0,IF($R505&gt;0,IF(M505="",0,IF(ISNUMBER(M505),M505,1)),IF($C505="Paying back",0,IF(AND(OR(Housemates!$C$15="",Housemates!$C$15&lt;=$B505),OR(Housemates!$D$15="",Housemates!$D$15&gt;=$B505)),IF($Q505=0,1,INDEX(Bills!$AH$6:$AH$25,$Q505)),0))))</f>
        <v/>
      </c>
      <c r="AA505">
        <f>SUM(S505:Z505)</f>
        <v/>
      </c>
      <c r="AB505">
        <f>IF(AA505=0,0,D505*S505/AA505)</f>
        <v/>
      </c>
      <c r="AC505">
        <f>IF(AA505=0,0,D505*T505/AA505)</f>
        <v/>
      </c>
      <c r="AD505">
        <f>IF(AA505=0,0,D505*U505/AA505)</f>
        <v/>
      </c>
      <c r="AE505">
        <f>IF(AA505=0,0,D505*V505/AA505)</f>
        <v/>
      </c>
      <c r="AF505">
        <f>IF(AA505=0,0,D505*W505/AA505)</f>
        <v/>
      </c>
      <c r="AG505">
        <f>IF(AA505=0,0,D505*X505/AA505)</f>
        <v/>
      </c>
      <c r="AH505">
        <f>IF(AA505=0,0,D505*Y505/AA505)</f>
        <v/>
      </c>
      <c r="AI505">
        <f>IF(AA505=0,0,D505*Z505/AA505)</f>
        <v/>
      </c>
      <c r="AJ505">
        <f>IF(OR(C505="",B505=""),"",C505&amp;"|"&amp;(YEAR(B505)*100+MONTH(B505)))</f>
        <v/>
      </c>
    </row>
    <row r="506">
      <c r="A506" s="1" t="n"/>
      <c r="B506" s="23" t="n"/>
      <c r="C506" s="24" t="n"/>
      <c r="D506" s="25" t="n"/>
      <c r="E506" s="26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1">
        <f>IF(D506="","",IF(B506="","No date",IF(AND(C506="Paying back",R506=0),"To whom?",IF(AA506=0,"Nobody",IF(C506="Paying back","To "&amp;INDEX(Housemates!$B$8:$B$15,MATCH(MAX(S506:Z506),S506:Z506,0)),IF(R506&gt;0,IF(COUNTIF(S506:Z506,"&gt;0")=1,"1 person",COUNTIF(S506:Z506,"&gt;0")&amp;" people"),IF(Q506=0,"Everyone",INDEX(Bills!$Q$6:$Q$25,Q506))))))))</f>
        <v/>
      </c>
      <c r="O506" s="18">
        <f>IF(D506="","",IF(C506="Paying back","Paying back",IF(Q506=0,"Other",IF(INDEX(Bills!$C$6:$C$25,Q506)="","Other",INDEX(Bills!$C$6:$C$25,Q506)))))</f>
        <v/>
      </c>
      <c r="P506" s="1" t="n"/>
      <c r="Q506">
        <f>IF(C506="",0,IFERROR(MATCH(C506,Bills!$B$6:$B$25,0),0))</f>
        <v/>
      </c>
      <c r="R506">
        <f>COUNTA(F506:M506)</f>
        <v/>
      </c>
      <c r="S506">
        <f>IF(OR($D506="",$B506="",Housemates!$B$8=""),0,IF($R506&gt;0,IF(F506="",0,IF(ISNUMBER(F506),F506,1)),IF($C506="Paying back",0,IF(AND(OR(Housemates!$C$8="",Housemates!$C$8&lt;=$B506),OR(Housemates!$D$8="",Housemates!$D$8&gt;=$B506)),IF($Q506=0,1,INDEX(Bills!$AA$6:$AA$25,$Q506)),0))))</f>
        <v/>
      </c>
      <c r="T506">
        <f>IF(OR($D506="",$B506="",Housemates!$B$9=""),0,IF($R506&gt;0,IF(G506="",0,IF(ISNUMBER(G506),G506,1)),IF($C506="Paying back",0,IF(AND(OR(Housemates!$C$9="",Housemates!$C$9&lt;=$B506),OR(Housemates!$D$9="",Housemates!$D$9&gt;=$B506)),IF($Q506=0,1,INDEX(Bills!$AB$6:$AB$25,$Q506)),0))))</f>
        <v/>
      </c>
      <c r="U506">
        <f>IF(OR($D506="",$B506="",Housemates!$B$10=""),0,IF($R506&gt;0,IF(H506="",0,IF(ISNUMBER(H506),H506,1)),IF($C506="Paying back",0,IF(AND(OR(Housemates!$C$10="",Housemates!$C$10&lt;=$B506),OR(Housemates!$D$10="",Housemates!$D$10&gt;=$B506)),IF($Q506=0,1,INDEX(Bills!$AC$6:$AC$25,$Q506)),0))))</f>
        <v/>
      </c>
      <c r="V506">
        <f>IF(OR($D506="",$B506="",Housemates!$B$11=""),0,IF($R506&gt;0,IF(I506="",0,IF(ISNUMBER(I506),I506,1)),IF($C506="Paying back",0,IF(AND(OR(Housemates!$C$11="",Housemates!$C$11&lt;=$B506),OR(Housemates!$D$11="",Housemates!$D$11&gt;=$B506)),IF($Q506=0,1,INDEX(Bills!$AD$6:$AD$25,$Q506)),0))))</f>
        <v/>
      </c>
      <c r="W506">
        <f>IF(OR($D506="",$B506="",Housemates!$B$12=""),0,IF($R506&gt;0,IF(J506="",0,IF(ISNUMBER(J506),J506,1)),IF($C506="Paying back",0,IF(AND(OR(Housemates!$C$12="",Housemates!$C$12&lt;=$B506),OR(Housemates!$D$12="",Housemates!$D$12&gt;=$B506)),IF($Q506=0,1,INDEX(Bills!$AE$6:$AE$25,$Q506)),0))))</f>
        <v/>
      </c>
      <c r="X506">
        <f>IF(OR($D506="",$B506="",Housemates!$B$13=""),0,IF($R506&gt;0,IF(K506="",0,IF(ISNUMBER(K506),K506,1)),IF($C506="Paying back",0,IF(AND(OR(Housemates!$C$13="",Housemates!$C$13&lt;=$B506),OR(Housemates!$D$13="",Housemates!$D$13&gt;=$B506)),IF($Q506=0,1,INDEX(Bills!$AF$6:$AF$25,$Q506)),0))))</f>
        <v/>
      </c>
      <c r="Y506">
        <f>IF(OR($D506="",$B506="",Housemates!$B$14=""),0,IF($R506&gt;0,IF(L506="",0,IF(ISNUMBER(L506),L506,1)),IF($C506="Paying back",0,IF(AND(OR(Housemates!$C$14="",Housemates!$C$14&lt;=$B506),OR(Housemates!$D$14="",Housemates!$D$14&gt;=$B506)),IF($Q506=0,1,INDEX(Bills!$AG$6:$AG$25,$Q506)),0))))</f>
        <v/>
      </c>
      <c r="Z506">
        <f>IF(OR($D506="",$B506="",Housemates!$B$15=""),0,IF($R506&gt;0,IF(M506="",0,IF(ISNUMBER(M506),M506,1)),IF($C506="Paying back",0,IF(AND(OR(Housemates!$C$15="",Housemates!$C$15&lt;=$B506),OR(Housemates!$D$15="",Housemates!$D$15&gt;=$B506)),IF($Q506=0,1,INDEX(Bills!$AH$6:$AH$25,$Q506)),0))))</f>
        <v/>
      </c>
      <c r="AA506">
        <f>SUM(S506:Z506)</f>
        <v/>
      </c>
      <c r="AB506">
        <f>IF(AA506=0,0,D506*S506/AA506)</f>
        <v/>
      </c>
      <c r="AC506">
        <f>IF(AA506=0,0,D506*T506/AA506)</f>
        <v/>
      </c>
      <c r="AD506">
        <f>IF(AA506=0,0,D506*U506/AA506)</f>
        <v/>
      </c>
      <c r="AE506">
        <f>IF(AA506=0,0,D506*V506/AA506)</f>
        <v/>
      </c>
      <c r="AF506">
        <f>IF(AA506=0,0,D506*W506/AA506)</f>
        <v/>
      </c>
      <c r="AG506">
        <f>IF(AA506=0,0,D506*X506/AA506)</f>
        <v/>
      </c>
      <c r="AH506">
        <f>IF(AA506=0,0,D506*Y506/AA506)</f>
        <v/>
      </c>
      <c r="AI506">
        <f>IF(AA506=0,0,D506*Z506/AA506)</f>
        <v/>
      </c>
      <c r="AJ506">
        <f>IF(OR(C506="",B506=""),"",C506&amp;"|"&amp;(YEAR(B506)*100+MONTH(B506)))</f>
        <v/>
      </c>
    </row>
    <row r="507">
      <c r="A507" s="1" t="n"/>
      <c r="B507" s="23" t="n"/>
      <c r="C507" s="24" t="n"/>
      <c r="D507" s="25" t="n"/>
      <c r="E507" s="26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1">
        <f>IF(D507="","",IF(B507="","No date",IF(AND(C507="Paying back",R507=0),"To whom?",IF(AA507=0,"Nobody",IF(C507="Paying back","To "&amp;INDEX(Housemates!$B$8:$B$15,MATCH(MAX(S507:Z507),S507:Z507,0)),IF(R507&gt;0,IF(COUNTIF(S507:Z507,"&gt;0")=1,"1 person",COUNTIF(S507:Z507,"&gt;0")&amp;" people"),IF(Q507=0,"Everyone",INDEX(Bills!$Q$6:$Q$25,Q507))))))))</f>
        <v/>
      </c>
      <c r="O507" s="18">
        <f>IF(D507="","",IF(C507="Paying back","Paying back",IF(Q507=0,"Other",IF(INDEX(Bills!$C$6:$C$25,Q507)="","Other",INDEX(Bills!$C$6:$C$25,Q507)))))</f>
        <v/>
      </c>
      <c r="P507" s="1" t="n"/>
      <c r="Q507">
        <f>IF(C507="",0,IFERROR(MATCH(C507,Bills!$B$6:$B$25,0),0))</f>
        <v/>
      </c>
      <c r="R507">
        <f>COUNTA(F507:M507)</f>
        <v/>
      </c>
      <c r="S507">
        <f>IF(OR($D507="",$B507="",Housemates!$B$8=""),0,IF($R507&gt;0,IF(F507="",0,IF(ISNUMBER(F507),F507,1)),IF($C507="Paying back",0,IF(AND(OR(Housemates!$C$8="",Housemates!$C$8&lt;=$B507),OR(Housemates!$D$8="",Housemates!$D$8&gt;=$B507)),IF($Q507=0,1,INDEX(Bills!$AA$6:$AA$25,$Q507)),0))))</f>
        <v/>
      </c>
      <c r="T507">
        <f>IF(OR($D507="",$B507="",Housemates!$B$9=""),0,IF($R507&gt;0,IF(G507="",0,IF(ISNUMBER(G507),G507,1)),IF($C507="Paying back",0,IF(AND(OR(Housemates!$C$9="",Housemates!$C$9&lt;=$B507),OR(Housemates!$D$9="",Housemates!$D$9&gt;=$B507)),IF($Q507=0,1,INDEX(Bills!$AB$6:$AB$25,$Q507)),0))))</f>
        <v/>
      </c>
      <c r="U507">
        <f>IF(OR($D507="",$B507="",Housemates!$B$10=""),0,IF($R507&gt;0,IF(H507="",0,IF(ISNUMBER(H507),H507,1)),IF($C507="Paying back",0,IF(AND(OR(Housemates!$C$10="",Housemates!$C$10&lt;=$B507),OR(Housemates!$D$10="",Housemates!$D$10&gt;=$B507)),IF($Q507=0,1,INDEX(Bills!$AC$6:$AC$25,$Q507)),0))))</f>
        <v/>
      </c>
      <c r="V507">
        <f>IF(OR($D507="",$B507="",Housemates!$B$11=""),0,IF($R507&gt;0,IF(I507="",0,IF(ISNUMBER(I507),I507,1)),IF($C507="Paying back",0,IF(AND(OR(Housemates!$C$11="",Housemates!$C$11&lt;=$B507),OR(Housemates!$D$11="",Housemates!$D$11&gt;=$B507)),IF($Q507=0,1,INDEX(Bills!$AD$6:$AD$25,$Q507)),0))))</f>
        <v/>
      </c>
      <c r="W507">
        <f>IF(OR($D507="",$B507="",Housemates!$B$12=""),0,IF($R507&gt;0,IF(J507="",0,IF(ISNUMBER(J507),J507,1)),IF($C507="Paying back",0,IF(AND(OR(Housemates!$C$12="",Housemates!$C$12&lt;=$B507),OR(Housemates!$D$12="",Housemates!$D$12&gt;=$B507)),IF($Q507=0,1,INDEX(Bills!$AE$6:$AE$25,$Q507)),0))))</f>
        <v/>
      </c>
      <c r="X507">
        <f>IF(OR($D507="",$B507="",Housemates!$B$13=""),0,IF($R507&gt;0,IF(K507="",0,IF(ISNUMBER(K507),K507,1)),IF($C507="Paying back",0,IF(AND(OR(Housemates!$C$13="",Housemates!$C$13&lt;=$B507),OR(Housemates!$D$13="",Housemates!$D$13&gt;=$B507)),IF($Q507=0,1,INDEX(Bills!$AF$6:$AF$25,$Q507)),0))))</f>
        <v/>
      </c>
      <c r="Y507">
        <f>IF(OR($D507="",$B507="",Housemates!$B$14=""),0,IF($R507&gt;0,IF(L507="",0,IF(ISNUMBER(L507),L507,1)),IF($C507="Paying back",0,IF(AND(OR(Housemates!$C$14="",Housemates!$C$14&lt;=$B507),OR(Housemates!$D$14="",Housemates!$D$14&gt;=$B507)),IF($Q507=0,1,INDEX(Bills!$AG$6:$AG$25,$Q507)),0))))</f>
        <v/>
      </c>
      <c r="Z507">
        <f>IF(OR($D507="",$B507="",Housemates!$B$15=""),0,IF($R507&gt;0,IF(M507="",0,IF(ISNUMBER(M507),M507,1)),IF($C507="Paying back",0,IF(AND(OR(Housemates!$C$15="",Housemates!$C$15&lt;=$B507),OR(Housemates!$D$15="",Housemates!$D$15&gt;=$B507)),IF($Q507=0,1,INDEX(Bills!$AH$6:$AH$25,$Q507)),0))))</f>
        <v/>
      </c>
      <c r="AA507">
        <f>SUM(S507:Z507)</f>
        <v/>
      </c>
      <c r="AB507">
        <f>IF(AA507=0,0,D507*S507/AA507)</f>
        <v/>
      </c>
      <c r="AC507">
        <f>IF(AA507=0,0,D507*T507/AA507)</f>
        <v/>
      </c>
      <c r="AD507">
        <f>IF(AA507=0,0,D507*U507/AA507)</f>
        <v/>
      </c>
      <c r="AE507">
        <f>IF(AA507=0,0,D507*V507/AA507)</f>
        <v/>
      </c>
      <c r="AF507">
        <f>IF(AA507=0,0,D507*W507/AA507)</f>
        <v/>
      </c>
      <c r="AG507">
        <f>IF(AA507=0,0,D507*X507/AA507)</f>
        <v/>
      </c>
      <c r="AH507">
        <f>IF(AA507=0,0,D507*Y507/AA507)</f>
        <v/>
      </c>
      <c r="AI507">
        <f>IF(AA507=0,0,D507*Z507/AA507)</f>
        <v/>
      </c>
      <c r="AJ507">
        <f>IF(OR(C507="",B507=""),"",C507&amp;"|"&amp;(YEAR(B507)*100+MONTH(B507)))</f>
        <v/>
      </c>
    </row>
    <row r="508">
      <c r="A508" s="1" t="n"/>
      <c r="B508" s="23" t="n"/>
      <c r="C508" s="24" t="n"/>
      <c r="D508" s="25" t="n"/>
      <c r="E508" s="26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1">
        <f>IF(D508="","",IF(B508="","No date",IF(AND(C508="Paying back",R508=0),"To whom?",IF(AA508=0,"Nobody",IF(C508="Paying back","To "&amp;INDEX(Housemates!$B$8:$B$15,MATCH(MAX(S508:Z508),S508:Z508,0)),IF(R508&gt;0,IF(COUNTIF(S508:Z508,"&gt;0")=1,"1 person",COUNTIF(S508:Z508,"&gt;0")&amp;" people"),IF(Q508=0,"Everyone",INDEX(Bills!$Q$6:$Q$25,Q508))))))))</f>
        <v/>
      </c>
      <c r="O508" s="18">
        <f>IF(D508="","",IF(C508="Paying back","Paying back",IF(Q508=0,"Other",IF(INDEX(Bills!$C$6:$C$25,Q508)="","Other",INDEX(Bills!$C$6:$C$25,Q508)))))</f>
        <v/>
      </c>
      <c r="P508" s="1" t="n"/>
      <c r="Q508">
        <f>IF(C508="",0,IFERROR(MATCH(C508,Bills!$B$6:$B$25,0),0))</f>
        <v/>
      </c>
      <c r="R508">
        <f>COUNTA(F508:M508)</f>
        <v/>
      </c>
      <c r="S508">
        <f>IF(OR($D508="",$B508="",Housemates!$B$8=""),0,IF($R508&gt;0,IF(F508="",0,IF(ISNUMBER(F508),F508,1)),IF($C508="Paying back",0,IF(AND(OR(Housemates!$C$8="",Housemates!$C$8&lt;=$B508),OR(Housemates!$D$8="",Housemates!$D$8&gt;=$B508)),IF($Q508=0,1,INDEX(Bills!$AA$6:$AA$25,$Q508)),0))))</f>
        <v/>
      </c>
      <c r="T508">
        <f>IF(OR($D508="",$B508="",Housemates!$B$9=""),0,IF($R508&gt;0,IF(G508="",0,IF(ISNUMBER(G508),G508,1)),IF($C508="Paying back",0,IF(AND(OR(Housemates!$C$9="",Housemates!$C$9&lt;=$B508),OR(Housemates!$D$9="",Housemates!$D$9&gt;=$B508)),IF($Q508=0,1,INDEX(Bills!$AB$6:$AB$25,$Q508)),0))))</f>
        <v/>
      </c>
      <c r="U508">
        <f>IF(OR($D508="",$B508="",Housemates!$B$10=""),0,IF($R508&gt;0,IF(H508="",0,IF(ISNUMBER(H508),H508,1)),IF($C508="Paying back",0,IF(AND(OR(Housemates!$C$10="",Housemates!$C$10&lt;=$B508),OR(Housemates!$D$10="",Housemates!$D$10&gt;=$B508)),IF($Q508=0,1,INDEX(Bills!$AC$6:$AC$25,$Q508)),0))))</f>
        <v/>
      </c>
      <c r="V508">
        <f>IF(OR($D508="",$B508="",Housemates!$B$11=""),0,IF($R508&gt;0,IF(I508="",0,IF(ISNUMBER(I508),I508,1)),IF($C508="Paying back",0,IF(AND(OR(Housemates!$C$11="",Housemates!$C$11&lt;=$B508),OR(Housemates!$D$11="",Housemates!$D$11&gt;=$B508)),IF($Q508=0,1,INDEX(Bills!$AD$6:$AD$25,$Q508)),0))))</f>
        <v/>
      </c>
      <c r="W508">
        <f>IF(OR($D508="",$B508="",Housemates!$B$12=""),0,IF($R508&gt;0,IF(J508="",0,IF(ISNUMBER(J508),J508,1)),IF($C508="Paying back",0,IF(AND(OR(Housemates!$C$12="",Housemates!$C$12&lt;=$B508),OR(Housemates!$D$12="",Housemates!$D$12&gt;=$B508)),IF($Q508=0,1,INDEX(Bills!$AE$6:$AE$25,$Q508)),0))))</f>
        <v/>
      </c>
      <c r="X508">
        <f>IF(OR($D508="",$B508="",Housemates!$B$13=""),0,IF($R508&gt;0,IF(K508="",0,IF(ISNUMBER(K508),K508,1)),IF($C508="Paying back",0,IF(AND(OR(Housemates!$C$13="",Housemates!$C$13&lt;=$B508),OR(Housemates!$D$13="",Housemates!$D$13&gt;=$B508)),IF($Q508=0,1,INDEX(Bills!$AF$6:$AF$25,$Q508)),0))))</f>
        <v/>
      </c>
      <c r="Y508">
        <f>IF(OR($D508="",$B508="",Housemates!$B$14=""),0,IF($R508&gt;0,IF(L508="",0,IF(ISNUMBER(L508),L508,1)),IF($C508="Paying back",0,IF(AND(OR(Housemates!$C$14="",Housemates!$C$14&lt;=$B508),OR(Housemates!$D$14="",Housemates!$D$14&gt;=$B508)),IF($Q508=0,1,INDEX(Bills!$AG$6:$AG$25,$Q508)),0))))</f>
        <v/>
      </c>
      <c r="Z508">
        <f>IF(OR($D508="",$B508="",Housemates!$B$15=""),0,IF($R508&gt;0,IF(M508="",0,IF(ISNUMBER(M508),M508,1)),IF($C508="Paying back",0,IF(AND(OR(Housemates!$C$15="",Housemates!$C$15&lt;=$B508),OR(Housemates!$D$15="",Housemates!$D$15&gt;=$B508)),IF($Q508=0,1,INDEX(Bills!$AH$6:$AH$25,$Q508)),0))))</f>
        <v/>
      </c>
      <c r="AA508">
        <f>SUM(S508:Z508)</f>
        <v/>
      </c>
      <c r="AB508">
        <f>IF(AA508=0,0,D508*S508/AA508)</f>
        <v/>
      </c>
      <c r="AC508">
        <f>IF(AA508=0,0,D508*T508/AA508)</f>
        <v/>
      </c>
      <c r="AD508">
        <f>IF(AA508=0,0,D508*U508/AA508)</f>
        <v/>
      </c>
      <c r="AE508">
        <f>IF(AA508=0,0,D508*V508/AA508)</f>
        <v/>
      </c>
      <c r="AF508">
        <f>IF(AA508=0,0,D508*W508/AA508)</f>
        <v/>
      </c>
      <c r="AG508">
        <f>IF(AA508=0,0,D508*X508/AA508)</f>
        <v/>
      </c>
      <c r="AH508">
        <f>IF(AA508=0,0,D508*Y508/AA508)</f>
        <v/>
      </c>
      <c r="AI508">
        <f>IF(AA508=0,0,D508*Z508/AA508)</f>
        <v/>
      </c>
      <c r="AJ508">
        <f>IF(OR(C508="",B508=""),"",C508&amp;"|"&amp;(YEAR(B508)*100+MONTH(B508)))</f>
        <v/>
      </c>
    </row>
    <row r="509">
      <c r="A509" s="1" t="n"/>
      <c r="B509" s="23" t="n"/>
      <c r="C509" s="24" t="n"/>
      <c r="D509" s="25" t="n"/>
      <c r="E509" s="26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1">
        <f>IF(D509="","",IF(B509="","No date",IF(AND(C509="Paying back",R509=0),"To whom?",IF(AA509=0,"Nobody",IF(C509="Paying back","To "&amp;INDEX(Housemates!$B$8:$B$15,MATCH(MAX(S509:Z509),S509:Z509,0)),IF(R509&gt;0,IF(COUNTIF(S509:Z509,"&gt;0")=1,"1 person",COUNTIF(S509:Z509,"&gt;0")&amp;" people"),IF(Q509=0,"Everyone",INDEX(Bills!$Q$6:$Q$25,Q509))))))))</f>
        <v/>
      </c>
      <c r="O509" s="18">
        <f>IF(D509="","",IF(C509="Paying back","Paying back",IF(Q509=0,"Other",IF(INDEX(Bills!$C$6:$C$25,Q509)="","Other",INDEX(Bills!$C$6:$C$25,Q509)))))</f>
        <v/>
      </c>
      <c r="P509" s="1" t="n"/>
      <c r="Q509">
        <f>IF(C509="",0,IFERROR(MATCH(C509,Bills!$B$6:$B$25,0),0))</f>
        <v/>
      </c>
      <c r="R509">
        <f>COUNTA(F509:M509)</f>
        <v/>
      </c>
      <c r="S509">
        <f>IF(OR($D509="",$B509="",Housemates!$B$8=""),0,IF($R509&gt;0,IF(F509="",0,IF(ISNUMBER(F509),F509,1)),IF($C509="Paying back",0,IF(AND(OR(Housemates!$C$8="",Housemates!$C$8&lt;=$B509),OR(Housemates!$D$8="",Housemates!$D$8&gt;=$B509)),IF($Q509=0,1,INDEX(Bills!$AA$6:$AA$25,$Q509)),0))))</f>
        <v/>
      </c>
      <c r="T509">
        <f>IF(OR($D509="",$B509="",Housemates!$B$9=""),0,IF($R509&gt;0,IF(G509="",0,IF(ISNUMBER(G509),G509,1)),IF($C509="Paying back",0,IF(AND(OR(Housemates!$C$9="",Housemates!$C$9&lt;=$B509),OR(Housemates!$D$9="",Housemates!$D$9&gt;=$B509)),IF($Q509=0,1,INDEX(Bills!$AB$6:$AB$25,$Q509)),0))))</f>
        <v/>
      </c>
      <c r="U509">
        <f>IF(OR($D509="",$B509="",Housemates!$B$10=""),0,IF($R509&gt;0,IF(H509="",0,IF(ISNUMBER(H509),H509,1)),IF($C509="Paying back",0,IF(AND(OR(Housemates!$C$10="",Housemates!$C$10&lt;=$B509),OR(Housemates!$D$10="",Housemates!$D$10&gt;=$B509)),IF($Q509=0,1,INDEX(Bills!$AC$6:$AC$25,$Q509)),0))))</f>
        <v/>
      </c>
      <c r="V509">
        <f>IF(OR($D509="",$B509="",Housemates!$B$11=""),0,IF($R509&gt;0,IF(I509="",0,IF(ISNUMBER(I509),I509,1)),IF($C509="Paying back",0,IF(AND(OR(Housemates!$C$11="",Housemates!$C$11&lt;=$B509),OR(Housemates!$D$11="",Housemates!$D$11&gt;=$B509)),IF($Q509=0,1,INDEX(Bills!$AD$6:$AD$25,$Q509)),0))))</f>
        <v/>
      </c>
      <c r="W509">
        <f>IF(OR($D509="",$B509="",Housemates!$B$12=""),0,IF($R509&gt;0,IF(J509="",0,IF(ISNUMBER(J509),J509,1)),IF($C509="Paying back",0,IF(AND(OR(Housemates!$C$12="",Housemates!$C$12&lt;=$B509),OR(Housemates!$D$12="",Housemates!$D$12&gt;=$B509)),IF($Q509=0,1,INDEX(Bills!$AE$6:$AE$25,$Q509)),0))))</f>
        <v/>
      </c>
      <c r="X509">
        <f>IF(OR($D509="",$B509="",Housemates!$B$13=""),0,IF($R509&gt;0,IF(K509="",0,IF(ISNUMBER(K509),K509,1)),IF($C509="Paying back",0,IF(AND(OR(Housemates!$C$13="",Housemates!$C$13&lt;=$B509),OR(Housemates!$D$13="",Housemates!$D$13&gt;=$B509)),IF($Q509=0,1,INDEX(Bills!$AF$6:$AF$25,$Q509)),0))))</f>
        <v/>
      </c>
      <c r="Y509">
        <f>IF(OR($D509="",$B509="",Housemates!$B$14=""),0,IF($R509&gt;0,IF(L509="",0,IF(ISNUMBER(L509),L509,1)),IF($C509="Paying back",0,IF(AND(OR(Housemates!$C$14="",Housemates!$C$14&lt;=$B509),OR(Housemates!$D$14="",Housemates!$D$14&gt;=$B509)),IF($Q509=0,1,INDEX(Bills!$AG$6:$AG$25,$Q509)),0))))</f>
        <v/>
      </c>
      <c r="Z509">
        <f>IF(OR($D509="",$B509="",Housemates!$B$15=""),0,IF($R509&gt;0,IF(M509="",0,IF(ISNUMBER(M509),M509,1)),IF($C509="Paying back",0,IF(AND(OR(Housemates!$C$15="",Housemates!$C$15&lt;=$B509),OR(Housemates!$D$15="",Housemates!$D$15&gt;=$B509)),IF($Q509=0,1,INDEX(Bills!$AH$6:$AH$25,$Q509)),0))))</f>
        <v/>
      </c>
      <c r="AA509">
        <f>SUM(S509:Z509)</f>
        <v/>
      </c>
      <c r="AB509">
        <f>IF(AA509=0,0,D509*S509/AA509)</f>
        <v/>
      </c>
      <c r="AC509">
        <f>IF(AA509=0,0,D509*T509/AA509)</f>
        <v/>
      </c>
      <c r="AD509">
        <f>IF(AA509=0,0,D509*U509/AA509)</f>
        <v/>
      </c>
      <c r="AE509">
        <f>IF(AA509=0,0,D509*V509/AA509)</f>
        <v/>
      </c>
      <c r="AF509">
        <f>IF(AA509=0,0,D509*W509/AA509)</f>
        <v/>
      </c>
      <c r="AG509">
        <f>IF(AA509=0,0,D509*X509/AA509)</f>
        <v/>
      </c>
      <c r="AH509">
        <f>IF(AA509=0,0,D509*Y509/AA509)</f>
        <v/>
      </c>
      <c r="AI509">
        <f>IF(AA509=0,0,D509*Z509/AA509)</f>
        <v/>
      </c>
      <c r="AJ509">
        <f>IF(OR(C509="",B509=""),"",C509&amp;"|"&amp;(YEAR(B509)*100+MONTH(B509)))</f>
        <v/>
      </c>
    </row>
    <row r="510">
      <c r="A510" s="1" t="n"/>
      <c r="B510" s="23" t="n"/>
      <c r="C510" s="24" t="n"/>
      <c r="D510" s="25" t="n"/>
      <c r="E510" s="26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1">
        <f>IF(D510="","",IF(B510="","No date",IF(AND(C510="Paying back",R510=0),"To whom?",IF(AA510=0,"Nobody",IF(C510="Paying back","To "&amp;INDEX(Housemates!$B$8:$B$15,MATCH(MAX(S510:Z510),S510:Z510,0)),IF(R510&gt;0,IF(COUNTIF(S510:Z510,"&gt;0")=1,"1 person",COUNTIF(S510:Z510,"&gt;0")&amp;" people"),IF(Q510=0,"Everyone",INDEX(Bills!$Q$6:$Q$25,Q510))))))))</f>
        <v/>
      </c>
      <c r="O510" s="18">
        <f>IF(D510="","",IF(C510="Paying back","Paying back",IF(Q510=0,"Other",IF(INDEX(Bills!$C$6:$C$25,Q510)="","Other",INDEX(Bills!$C$6:$C$25,Q510)))))</f>
        <v/>
      </c>
      <c r="P510" s="1" t="n"/>
      <c r="Q510">
        <f>IF(C510="",0,IFERROR(MATCH(C510,Bills!$B$6:$B$25,0),0))</f>
        <v/>
      </c>
      <c r="R510">
        <f>COUNTA(F510:M510)</f>
        <v/>
      </c>
      <c r="S510">
        <f>IF(OR($D510="",$B510="",Housemates!$B$8=""),0,IF($R510&gt;0,IF(F510="",0,IF(ISNUMBER(F510),F510,1)),IF($C510="Paying back",0,IF(AND(OR(Housemates!$C$8="",Housemates!$C$8&lt;=$B510),OR(Housemates!$D$8="",Housemates!$D$8&gt;=$B510)),IF($Q510=0,1,INDEX(Bills!$AA$6:$AA$25,$Q510)),0))))</f>
        <v/>
      </c>
      <c r="T510">
        <f>IF(OR($D510="",$B510="",Housemates!$B$9=""),0,IF($R510&gt;0,IF(G510="",0,IF(ISNUMBER(G510),G510,1)),IF($C510="Paying back",0,IF(AND(OR(Housemates!$C$9="",Housemates!$C$9&lt;=$B510),OR(Housemates!$D$9="",Housemates!$D$9&gt;=$B510)),IF($Q510=0,1,INDEX(Bills!$AB$6:$AB$25,$Q510)),0))))</f>
        <v/>
      </c>
      <c r="U510">
        <f>IF(OR($D510="",$B510="",Housemates!$B$10=""),0,IF($R510&gt;0,IF(H510="",0,IF(ISNUMBER(H510),H510,1)),IF($C510="Paying back",0,IF(AND(OR(Housemates!$C$10="",Housemates!$C$10&lt;=$B510),OR(Housemates!$D$10="",Housemates!$D$10&gt;=$B510)),IF($Q510=0,1,INDEX(Bills!$AC$6:$AC$25,$Q510)),0))))</f>
        <v/>
      </c>
      <c r="V510">
        <f>IF(OR($D510="",$B510="",Housemates!$B$11=""),0,IF($R510&gt;0,IF(I510="",0,IF(ISNUMBER(I510),I510,1)),IF($C510="Paying back",0,IF(AND(OR(Housemates!$C$11="",Housemates!$C$11&lt;=$B510),OR(Housemates!$D$11="",Housemates!$D$11&gt;=$B510)),IF($Q510=0,1,INDEX(Bills!$AD$6:$AD$25,$Q510)),0))))</f>
        <v/>
      </c>
      <c r="W510">
        <f>IF(OR($D510="",$B510="",Housemates!$B$12=""),0,IF($R510&gt;0,IF(J510="",0,IF(ISNUMBER(J510),J510,1)),IF($C510="Paying back",0,IF(AND(OR(Housemates!$C$12="",Housemates!$C$12&lt;=$B510),OR(Housemates!$D$12="",Housemates!$D$12&gt;=$B510)),IF($Q510=0,1,INDEX(Bills!$AE$6:$AE$25,$Q510)),0))))</f>
        <v/>
      </c>
      <c r="X510">
        <f>IF(OR($D510="",$B510="",Housemates!$B$13=""),0,IF($R510&gt;0,IF(K510="",0,IF(ISNUMBER(K510),K510,1)),IF($C510="Paying back",0,IF(AND(OR(Housemates!$C$13="",Housemates!$C$13&lt;=$B510),OR(Housemates!$D$13="",Housemates!$D$13&gt;=$B510)),IF($Q510=0,1,INDEX(Bills!$AF$6:$AF$25,$Q510)),0))))</f>
        <v/>
      </c>
      <c r="Y510">
        <f>IF(OR($D510="",$B510="",Housemates!$B$14=""),0,IF($R510&gt;0,IF(L510="",0,IF(ISNUMBER(L510),L510,1)),IF($C510="Paying back",0,IF(AND(OR(Housemates!$C$14="",Housemates!$C$14&lt;=$B510),OR(Housemates!$D$14="",Housemates!$D$14&gt;=$B510)),IF($Q510=0,1,INDEX(Bills!$AG$6:$AG$25,$Q510)),0))))</f>
        <v/>
      </c>
      <c r="Z510">
        <f>IF(OR($D510="",$B510="",Housemates!$B$15=""),0,IF($R510&gt;0,IF(M510="",0,IF(ISNUMBER(M510),M510,1)),IF($C510="Paying back",0,IF(AND(OR(Housemates!$C$15="",Housemates!$C$15&lt;=$B510),OR(Housemates!$D$15="",Housemates!$D$15&gt;=$B510)),IF($Q510=0,1,INDEX(Bills!$AH$6:$AH$25,$Q510)),0))))</f>
        <v/>
      </c>
      <c r="AA510">
        <f>SUM(S510:Z510)</f>
        <v/>
      </c>
      <c r="AB510">
        <f>IF(AA510=0,0,D510*S510/AA510)</f>
        <v/>
      </c>
      <c r="AC510">
        <f>IF(AA510=0,0,D510*T510/AA510)</f>
        <v/>
      </c>
      <c r="AD510">
        <f>IF(AA510=0,0,D510*U510/AA510)</f>
        <v/>
      </c>
      <c r="AE510">
        <f>IF(AA510=0,0,D510*V510/AA510)</f>
        <v/>
      </c>
      <c r="AF510">
        <f>IF(AA510=0,0,D510*W510/AA510)</f>
        <v/>
      </c>
      <c r="AG510">
        <f>IF(AA510=0,0,D510*X510/AA510)</f>
        <v/>
      </c>
      <c r="AH510">
        <f>IF(AA510=0,0,D510*Y510/AA510)</f>
        <v/>
      </c>
      <c r="AI510">
        <f>IF(AA510=0,0,D510*Z510/AA510)</f>
        <v/>
      </c>
      <c r="AJ510">
        <f>IF(OR(C510="",B510=""),"",C510&amp;"|"&amp;(YEAR(B510)*100+MONTH(B510)))</f>
        <v/>
      </c>
    </row>
    <row r="511">
      <c r="A511" s="1" t="n"/>
      <c r="B511" s="23" t="n"/>
      <c r="C511" s="24" t="n"/>
      <c r="D511" s="25" t="n"/>
      <c r="E511" s="26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1">
        <f>IF(D511="","",IF(B511="","No date",IF(AND(C511="Paying back",R511=0),"To whom?",IF(AA511=0,"Nobody",IF(C511="Paying back","To "&amp;INDEX(Housemates!$B$8:$B$15,MATCH(MAX(S511:Z511),S511:Z511,0)),IF(R511&gt;0,IF(COUNTIF(S511:Z511,"&gt;0")=1,"1 person",COUNTIF(S511:Z511,"&gt;0")&amp;" people"),IF(Q511=0,"Everyone",INDEX(Bills!$Q$6:$Q$25,Q511))))))))</f>
        <v/>
      </c>
      <c r="O511" s="18">
        <f>IF(D511="","",IF(C511="Paying back","Paying back",IF(Q511=0,"Other",IF(INDEX(Bills!$C$6:$C$25,Q511)="","Other",INDEX(Bills!$C$6:$C$25,Q511)))))</f>
        <v/>
      </c>
      <c r="P511" s="1" t="n"/>
      <c r="Q511">
        <f>IF(C511="",0,IFERROR(MATCH(C511,Bills!$B$6:$B$25,0),0))</f>
        <v/>
      </c>
      <c r="R511">
        <f>COUNTA(F511:M511)</f>
        <v/>
      </c>
      <c r="S511">
        <f>IF(OR($D511="",$B511="",Housemates!$B$8=""),0,IF($R511&gt;0,IF(F511="",0,IF(ISNUMBER(F511),F511,1)),IF($C511="Paying back",0,IF(AND(OR(Housemates!$C$8="",Housemates!$C$8&lt;=$B511),OR(Housemates!$D$8="",Housemates!$D$8&gt;=$B511)),IF($Q511=0,1,INDEX(Bills!$AA$6:$AA$25,$Q511)),0))))</f>
        <v/>
      </c>
      <c r="T511">
        <f>IF(OR($D511="",$B511="",Housemates!$B$9=""),0,IF($R511&gt;0,IF(G511="",0,IF(ISNUMBER(G511),G511,1)),IF($C511="Paying back",0,IF(AND(OR(Housemates!$C$9="",Housemates!$C$9&lt;=$B511),OR(Housemates!$D$9="",Housemates!$D$9&gt;=$B511)),IF($Q511=0,1,INDEX(Bills!$AB$6:$AB$25,$Q511)),0))))</f>
        <v/>
      </c>
      <c r="U511">
        <f>IF(OR($D511="",$B511="",Housemates!$B$10=""),0,IF($R511&gt;0,IF(H511="",0,IF(ISNUMBER(H511),H511,1)),IF($C511="Paying back",0,IF(AND(OR(Housemates!$C$10="",Housemates!$C$10&lt;=$B511),OR(Housemates!$D$10="",Housemates!$D$10&gt;=$B511)),IF($Q511=0,1,INDEX(Bills!$AC$6:$AC$25,$Q511)),0))))</f>
        <v/>
      </c>
      <c r="V511">
        <f>IF(OR($D511="",$B511="",Housemates!$B$11=""),0,IF($R511&gt;0,IF(I511="",0,IF(ISNUMBER(I511),I511,1)),IF($C511="Paying back",0,IF(AND(OR(Housemates!$C$11="",Housemates!$C$11&lt;=$B511),OR(Housemates!$D$11="",Housemates!$D$11&gt;=$B511)),IF($Q511=0,1,INDEX(Bills!$AD$6:$AD$25,$Q511)),0))))</f>
        <v/>
      </c>
      <c r="W511">
        <f>IF(OR($D511="",$B511="",Housemates!$B$12=""),0,IF($R511&gt;0,IF(J511="",0,IF(ISNUMBER(J511),J511,1)),IF($C511="Paying back",0,IF(AND(OR(Housemates!$C$12="",Housemates!$C$12&lt;=$B511),OR(Housemates!$D$12="",Housemates!$D$12&gt;=$B511)),IF($Q511=0,1,INDEX(Bills!$AE$6:$AE$25,$Q511)),0))))</f>
        <v/>
      </c>
      <c r="X511">
        <f>IF(OR($D511="",$B511="",Housemates!$B$13=""),0,IF($R511&gt;0,IF(K511="",0,IF(ISNUMBER(K511),K511,1)),IF($C511="Paying back",0,IF(AND(OR(Housemates!$C$13="",Housemates!$C$13&lt;=$B511),OR(Housemates!$D$13="",Housemates!$D$13&gt;=$B511)),IF($Q511=0,1,INDEX(Bills!$AF$6:$AF$25,$Q511)),0))))</f>
        <v/>
      </c>
      <c r="Y511">
        <f>IF(OR($D511="",$B511="",Housemates!$B$14=""),0,IF($R511&gt;0,IF(L511="",0,IF(ISNUMBER(L511),L511,1)),IF($C511="Paying back",0,IF(AND(OR(Housemates!$C$14="",Housemates!$C$14&lt;=$B511),OR(Housemates!$D$14="",Housemates!$D$14&gt;=$B511)),IF($Q511=0,1,INDEX(Bills!$AG$6:$AG$25,$Q511)),0))))</f>
        <v/>
      </c>
      <c r="Z511">
        <f>IF(OR($D511="",$B511="",Housemates!$B$15=""),0,IF($R511&gt;0,IF(M511="",0,IF(ISNUMBER(M511),M511,1)),IF($C511="Paying back",0,IF(AND(OR(Housemates!$C$15="",Housemates!$C$15&lt;=$B511),OR(Housemates!$D$15="",Housemates!$D$15&gt;=$B511)),IF($Q511=0,1,INDEX(Bills!$AH$6:$AH$25,$Q511)),0))))</f>
        <v/>
      </c>
      <c r="AA511">
        <f>SUM(S511:Z511)</f>
        <v/>
      </c>
      <c r="AB511">
        <f>IF(AA511=0,0,D511*S511/AA511)</f>
        <v/>
      </c>
      <c r="AC511">
        <f>IF(AA511=0,0,D511*T511/AA511)</f>
        <v/>
      </c>
      <c r="AD511">
        <f>IF(AA511=0,0,D511*U511/AA511)</f>
        <v/>
      </c>
      <c r="AE511">
        <f>IF(AA511=0,0,D511*V511/AA511)</f>
        <v/>
      </c>
      <c r="AF511">
        <f>IF(AA511=0,0,D511*W511/AA511)</f>
        <v/>
      </c>
      <c r="AG511">
        <f>IF(AA511=0,0,D511*X511/AA511)</f>
        <v/>
      </c>
      <c r="AH511">
        <f>IF(AA511=0,0,D511*Y511/AA511)</f>
        <v/>
      </c>
      <c r="AI511">
        <f>IF(AA511=0,0,D511*Z511/AA511)</f>
        <v/>
      </c>
      <c r="AJ511">
        <f>IF(OR(C511="",B511=""),"",C511&amp;"|"&amp;(YEAR(B511)*100+MONTH(B511)))</f>
        <v/>
      </c>
    </row>
    <row r="512">
      <c r="A512" s="1" t="n"/>
      <c r="B512" s="23" t="n"/>
      <c r="C512" s="24" t="n"/>
      <c r="D512" s="25" t="n"/>
      <c r="E512" s="26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1">
        <f>IF(D512="","",IF(B512="","No date",IF(AND(C512="Paying back",R512=0),"To whom?",IF(AA512=0,"Nobody",IF(C512="Paying back","To "&amp;INDEX(Housemates!$B$8:$B$15,MATCH(MAX(S512:Z512),S512:Z512,0)),IF(R512&gt;0,IF(COUNTIF(S512:Z512,"&gt;0")=1,"1 person",COUNTIF(S512:Z512,"&gt;0")&amp;" people"),IF(Q512=0,"Everyone",INDEX(Bills!$Q$6:$Q$25,Q512))))))))</f>
        <v/>
      </c>
      <c r="O512" s="18">
        <f>IF(D512="","",IF(C512="Paying back","Paying back",IF(Q512=0,"Other",IF(INDEX(Bills!$C$6:$C$25,Q512)="","Other",INDEX(Bills!$C$6:$C$25,Q512)))))</f>
        <v/>
      </c>
      <c r="P512" s="1" t="n"/>
      <c r="Q512">
        <f>IF(C512="",0,IFERROR(MATCH(C512,Bills!$B$6:$B$25,0),0))</f>
        <v/>
      </c>
      <c r="R512">
        <f>COUNTA(F512:M512)</f>
        <v/>
      </c>
      <c r="S512">
        <f>IF(OR($D512="",$B512="",Housemates!$B$8=""),0,IF($R512&gt;0,IF(F512="",0,IF(ISNUMBER(F512),F512,1)),IF($C512="Paying back",0,IF(AND(OR(Housemates!$C$8="",Housemates!$C$8&lt;=$B512),OR(Housemates!$D$8="",Housemates!$D$8&gt;=$B512)),IF($Q512=0,1,INDEX(Bills!$AA$6:$AA$25,$Q512)),0))))</f>
        <v/>
      </c>
      <c r="T512">
        <f>IF(OR($D512="",$B512="",Housemates!$B$9=""),0,IF($R512&gt;0,IF(G512="",0,IF(ISNUMBER(G512),G512,1)),IF($C512="Paying back",0,IF(AND(OR(Housemates!$C$9="",Housemates!$C$9&lt;=$B512),OR(Housemates!$D$9="",Housemates!$D$9&gt;=$B512)),IF($Q512=0,1,INDEX(Bills!$AB$6:$AB$25,$Q512)),0))))</f>
        <v/>
      </c>
      <c r="U512">
        <f>IF(OR($D512="",$B512="",Housemates!$B$10=""),0,IF($R512&gt;0,IF(H512="",0,IF(ISNUMBER(H512),H512,1)),IF($C512="Paying back",0,IF(AND(OR(Housemates!$C$10="",Housemates!$C$10&lt;=$B512),OR(Housemates!$D$10="",Housemates!$D$10&gt;=$B512)),IF($Q512=0,1,INDEX(Bills!$AC$6:$AC$25,$Q512)),0))))</f>
        <v/>
      </c>
      <c r="V512">
        <f>IF(OR($D512="",$B512="",Housemates!$B$11=""),0,IF($R512&gt;0,IF(I512="",0,IF(ISNUMBER(I512),I512,1)),IF($C512="Paying back",0,IF(AND(OR(Housemates!$C$11="",Housemates!$C$11&lt;=$B512),OR(Housemates!$D$11="",Housemates!$D$11&gt;=$B512)),IF($Q512=0,1,INDEX(Bills!$AD$6:$AD$25,$Q512)),0))))</f>
        <v/>
      </c>
      <c r="W512">
        <f>IF(OR($D512="",$B512="",Housemates!$B$12=""),0,IF($R512&gt;0,IF(J512="",0,IF(ISNUMBER(J512),J512,1)),IF($C512="Paying back",0,IF(AND(OR(Housemates!$C$12="",Housemates!$C$12&lt;=$B512),OR(Housemates!$D$12="",Housemates!$D$12&gt;=$B512)),IF($Q512=0,1,INDEX(Bills!$AE$6:$AE$25,$Q512)),0))))</f>
        <v/>
      </c>
      <c r="X512">
        <f>IF(OR($D512="",$B512="",Housemates!$B$13=""),0,IF($R512&gt;0,IF(K512="",0,IF(ISNUMBER(K512),K512,1)),IF($C512="Paying back",0,IF(AND(OR(Housemates!$C$13="",Housemates!$C$13&lt;=$B512),OR(Housemates!$D$13="",Housemates!$D$13&gt;=$B512)),IF($Q512=0,1,INDEX(Bills!$AF$6:$AF$25,$Q512)),0))))</f>
        <v/>
      </c>
      <c r="Y512">
        <f>IF(OR($D512="",$B512="",Housemates!$B$14=""),0,IF($R512&gt;0,IF(L512="",0,IF(ISNUMBER(L512),L512,1)),IF($C512="Paying back",0,IF(AND(OR(Housemates!$C$14="",Housemates!$C$14&lt;=$B512),OR(Housemates!$D$14="",Housemates!$D$14&gt;=$B512)),IF($Q512=0,1,INDEX(Bills!$AG$6:$AG$25,$Q512)),0))))</f>
        <v/>
      </c>
      <c r="Z512">
        <f>IF(OR($D512="",$B512="",Housemates!$B$15=""),0,IF($R512&gt;0,IF(M512="",0,IF(ISNUMBER(M512),M512,1)),IF($C512="Paying back",0,IF(AND(OR(Housemates!$C$15="",Housemates!$C$15&lt;=$B512),OR(Housemates!$D$15="",Housemates!$D$15&gt;=$B512)),IF($Q512=0,1,INDEX(Bills!$AH$6:$AH$25,$Q512)),0))))</f>
        <v/>
      </c>
      <c r="AA512">
        <f>SUM(S512:Z512)</f>
        <v/>
      </c>
      <c r="AB512">
        <f>IF(AA512=0,0,D512*S512/AA512)</f>
        <v/>
      </c>
      <c r="AC512">
        <f>IF(AA512=0,0,D512*T512/AA512)</f>
        <v/>
      </c>
      <c r="AD512">
        <f>IF(AA512=0,0,D512*U512/AA512)</f>
        <v/>
      </c>
      <c r="AE512">
        <f>IF(AA512=0,0,D512*V512/AA512)</f>
        <v/>
      </c>
      <c r="AF512">
        <f>IF(AA512=0,0,D512*W512/AA512)</f>
        <v/>
      </c>
      <c r="AG512">
        <f>IF(AA512=0,0,D512*X512/AA512)</f>
        <v/>
      </c>
      <c r="AH512">
        <f>IF(AA512=0,0,D512*Y512/AA512)</f>
        <v/>
      </c>
      <c r="AI512">
        <f>IF(AA512=0,0,D512*Z512/AA512)</f>
        <v/>
      </c>
      <c r="AJ512">
        <f>IF(OR(C512="",B512=""),"",C512&amp;"|"&amp;(YEAR(B512)*100+MONTH(B512)))</f>
        <v/>
      </c>
    </row>
    <row r="513">
      <c r="A513" s="1" t="n"/>
      <c r="B513" s="23" t="n"/>
      <c r="C513" s="24" t="n"/>
      <c r="D513" s="25" t="n"/>
      <c r="E513" s="26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1">
        <f>IF(D513="","",IF(B513="","No date",IF(AND(C513="Paying back",R513=0),"To whom?",IF(AA513=0,"Nobody",IF(C513="Paying back","To "&amp;INDEX(Housemates!$B$8:$B$15,MATCH(MAX(S513:Z513),S513:Z513,0)),IF(R513&gt;0,IF(COUNTIF(S513:Z513,"&gt;0")=1,"1 person",COUNTIF(S513:Z513,"&gt;0")&amp;" people"),IF(Q513=0,"Everyone",INDEX(Bills!$Q$6:$Q$25,Q513))))))))</f>
        <v/>
      </c>
      <c r="O513" s="18">
        <f>IF(D513="","",IF(C513="Paying back","Paying back",IF(Q513=0,"Other",IF(INDEX(Bills!$C$6:$C$25,Q513)="","Other",INDEX(Bills!$C$6:$C$25,Q513)))))</f>
        <v/>
      </c>
      <c r="P513" s="1" t="n"/>
      <c r="Q513">
        <f>IF(C513="",0,IFERROR(MATCH(C513,Bills!$B$6:$B$25,0),0))</f>
        <v/>
      </c>
      <c r="R513">
        <f>COUNTA(F513:M513)</f>
        <v/>
      </c>
      <c r="S513">
        <f>IF(OR($D513="",$B513="",Housemates!$B$8=""),0,IF($R513&gt;0,IF(F513="",0,IF(ISNUMBER(F513),F513,1)),IF($C513="Paying back",0,IF(AND(OR(Housemates!$C$8="",Housemates!$C$8&lt;=$B513),OR(Housemates!$D$8="",Housemates!$D$8&gt;=$B513)),IF($Q513=0,1,INDEX(Bills!$AA$6:$AA$25,$Q513)),0))))</f>
        <v/>
      </c>
      <c r="T513">
        <f>IF(OR($D513="",$B513="",Housemates!$B$9=""),0,IF($R513&gt;0,IF(G513="",0,IF(ISNUMBER(G513),G513,1)),IF($C513="Paying back",0,IF(AND(OR(Housemates!$C$9="",Housemates!$C$9&lt;=$B513),OR(Housemates!$D$9="",Housemates!$D$9&gt;=$B513)),IF($Q513=0,1,INDEX(Bills!$AB$6:$AB$25,$Q513)),0))))</f>
        <v/>
      </c>
      <c r="U513">
        <f>IF(OR($D513="",$B513="",Housemates!$B$10=""),0,IF($R513&gt;0,IF(H513="",0,IF(ISNUMBER(H513),H513,1)),IF($C513="Paying back",0,IF(AND(OR(Housemates!$C$10="",Housemates!$C$10&lt;=$B513),OR(Housemates!$D$10="",Housemates!$D$10&gt;=$B513)),IF($Q513=0,1,INDEX(Bills!$AC$6:$AC$25,$Q513)),0))))</f>
        <v/>
      </c>
      <c r="V513">
        <f>IF(OR($D513="",$B513="",Housemates!$B$11=""),0,IF($R513&gt;0,IF(I513="",0,IF(ISNUMBER(I513),I513,1)),IF($C513="Paying back",0,IF(AND(OR(Housemates!$C$11="",Housemates!$C$11&lt;=$B513),OR(Housemates!$D$11="",Housemates!$D$11&gt;=$B513)),IF($Q513=0,1,INDEX(Bills!$AD$6:$AD$25,$Q513)),0))))</f>
        <v/>
      </c>
      <c r="W513">
        <f>IF(OR($D513="",$B513="",Housemates!$B$12=""),0,IF($R513&gt;0,IF(J513="",0,IF(ISNUMBER(J513),J513,1)),IF($C513="Paying back",0,IF(AND(OR(Housemates!$C$12="",Housemates!$C$12&lt;=$B513),OR(Housemates!$D$12="",Housemates!$D$12&gt;=$B513)),IF($Q513=0,1,INDEX(Bills!$AE$6:$AE$25,$Q513)),0))))</f>
        <v/>
      </c>
      <c r="X513">
        <f>IF(OR($D513="",$B513="",Housemates!$B$13=""),0,IF($R513&gt;0,IF(K513="",0,IF(ISNUMBER(K513),K513,1)),IF($C513="Paying back",0,IF(AND(OR(Housemates!$C$13="",Housemates!$C$13&lt;=$B513),OR(Housemates!$D$13="",Housemates!$D$13&gt;=$B513)),IF($Q513=0,1,INDEX(Bills!$AF$6:$AF$25,$Q513)),0))))</f>
        <v/>
      </c>
      <c r="Y513">
        <f>IF(OR($D513="",$B513="",Housemates!$B$14=""),0,IF($R513&gt;0,IF(L513="",0,IF(ISNUMBER(L513),L513,1)),IF($C513="Paying back",0,IF(AND(OR(Housemates!$C$14="",Housemates!$C$14&lt;=$B513),OR(Housemates!$D$14="",Housemates!$D$14&gt;=$B513)),IF($Q513=0,1,INDEX(Bills!$AG$6:$AG$25,$Q513)),0))))</f>
        <v/>
      </c>
      <c r="Z513">
        <f>IF(OR($D513="",$B513="",Housemates!$B$15=""),0,IF($R513&gt;0,IF(M513="",0,IF(ISNUMBER(M513),M513,1)),IF($C513="Paying back",0,IF(AND(OR(Housemates!$C$15="",Housemates!$C$15&lt;=$B513),OR(Housemates!$D$15="",Housemates!$D$15&gt;=$B513)),IF($Q513=0,1,INDEX(Bills!$AH$6:$AH$25,$Q513)),0))))</f>
        <v/>
      </c>
      <c r="AA513">
        <f>SUM(S513:Z513)</f>
        <v/>
      </c>
      <c r="AB513">
        <f>IF(AA513=0,0,D513*S513/AA513)</f>
        <v/>
      </c>
      <c r="AC513">
        <f>IF(AA513=0,0,D513*T513/AA513)</f>
        <v/>
      </c>
      <c r="AD513">
        <f>IF(AA513=0,0,D513*U513/AA513)</f>
        <v/>
      </c>
      <c r="AE513">
        <f>IF(AA513=0,0,D513*V513/AA513)</f>
        <v/>
      </c>
      <c r="AF513">
        <f>IF(AA513=0,0,D513*W513/AA513)</f>
        <v/>
      </c>
      <c r="AG513">
        <f>IF(AA513=0,0,D513*X513/AA513)</f>
        <v/>
      </c>
      <c r="AH513">
        <f>IF(AA513=0,0,D513*Y513/AA513)</f>
        <v/>
      </c>
      <c r="AI513">
        <f>IF(AA513=0,0,D513*Z513/AA513)</f>
        <v/>
      </c>
      <c r="AJ513">
        <f>IF(OR(C513="",B513=""),"",C513&amp;"|"&amp;(YEAR(B513)*100+MONTH(B513)))</f>
        <v/>
      </c>
    </row>
    <row r="514">
      <c r="A514" s="1" t="n"/>
      <c r="B514" s="23" t="n"/>
      <c r="C514" s="24" t="n"/>
      <c r="D514" s="25" t="n"/>
      <c r="E514" s="26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1">
        <f>IF(D514="","",IF(B514="","No date",IF(AND(C514="Paying back",R514=0),"To whom?",IF(AA514=0,"Nobody",IF(C514="Paying back","To "&amp;INDEX(Housemates!$B$8:$B$15,MATCH(MAX(S514:Z514),S514:Z514,0)),IF(R514&gt;0,IF(COUNTIF(S514:Z514,"&gt;0")=1,"1 person",COUNTIF(S514:Z514,"&gt;0")&amp;" people"),IF(Q514=0,"Everyone",INDEX(Bills!$Q$6:$Q$25,Q514))))))))</f>
        <v/>
      </c>
      <c r="O514" s="18">
        <f>IF(D514="","",IF(C514="Paying back","Paying back",IF(Q514=0,"Other",IF(INDEX(Bills!$C$6:$C$25,Q514)="","Other",INDEX(Bills!$C$6:$C$25,Q514)))))</f>
        <v/>
      </c>
      <c r="P514" s="1" t="n"/>
      <c r="Q514">
        <f>IF(C514="",0,IFERROR(MATCH(C514,Bills!$B$6:$B$25,0),0))</f>
        <v/>
      </c>
      <c r="R514">
        <f>COUNTA(F514:M514)</f>
        <v/>
      </c>
      <c r="S514">
        <f>IF(OR($D514="",$B514="",Housemates!$B$8=""),0,IF($R514&gt;0,IF(F514="",0,IF(ISNUMBER(F514),F514,1)),IF($C514="Paying back",0,IF(AND(OR(Housemates!$C$8="",Housemates!$C$8&lt;=$B514),OR(Housemates!$D$8="",Housemates!$D$8&gt;=$B514)),IF($Q514=0,1,INDEX(Bills!$AA$6:$AA$25,$Q514)),0))))</f>
        <v/>
      </c>
      <c r="T514">
        <f>IF(OR($D514="",$B514="",Housemates!$B$9=""),0,IF($R514&gt;0,IF(G514="",0,IF(ISNUMBER(G514),G514,1)),IF($C514="Paying back",0,IF(AND(OR(Housemates!$C$9="",Housemates!$C$9&lt;=$B514),OR(Housemates!$D$9="",Housemates!$D$9&gt;=$B514)),IF($Q514=0,1,INDEX(Bills!$AB$6:$AB$25,$Q514)),0))))</f>
        <v/>
      </c>
      <c r="U514">
        <f>IF(OR($D514="",$B514="",Housemates!$B$10=""),0,IF($R514&gt;0,IF(H514="",0,IF(ISNUMBER(H514),H514,1)),IF($C514="Paying back",0,IF(AND(OR(Housemates!$C$10="",Housemates!$C$10&lt;=$B514),OR(Housemates!$D$10="",Housemates!$D$10&gt;=$B514)),IF($Q514=0,1,INDEX(Bills!$AC$6:$AC$25,$Q514)),0))))</f>
        <v/>
      </c>
      <c r="V514">
        <f>IF(OR($D514="",$B514="",Housemates!$B$11=""),0,IF($R514&gt;0,IF(I514="",0,IF(ISNUMBER(I514),I514,1)),IF($C514="Paying back",0,IF(AND(OR(Housemates!$C$11="",Housemates!$C$11&lt;=$B514),OR(Housemates!$D$11="",Housemates!$D$11&gt;=$B514)),IF($Q514=0,1,INDEX(Bills!$AD$6:$AD$25,$Q514)),0))))</f>
        <v/>
      </c>
      <c r="W514">
        <f>IF(OR($D514="",$B514="",Housemates!$B$12=""),0,IF($R514&gt;0,IF(J514="",0,IF(ISNUMBER(J514),J514,1)),IF($C514="Paying back",0,IF(AND(OR(Housemates!$C$12="",Housemates!$C$12&lt;=$B514),OR(Housemates!$D$12="",Housemates!$D$12&gt;=$B514)),IF($Q514=0,1,INDEX(Bills!$AE$6:$AE$25,$Q514)),0))))</f>
        <v/>
      </c>
      <c r="X514">
        <f>IF(OR($D514="",$B514="",Housemates!$B$13=""),0,IF($R514&gt;0,IF(K514="",0,IF(ISNUMBER(K514),K514,1)),IF($C514="Paying back",0,IF(AND(OR(Housemates!$C$13="",Housemates!$C$13&lt;=$B514),OR(Housemates!$D$13="",Housemates!$D$13&gt;=$B514)),IF($Q514=0,1,INDEX(Bills!$AF$6:$AF$25,$Q514)),0))))</f>
        <v/>
      </c>
      <c r="Y514">
        <f>IF(OR($D514="",$B514="",Housemates!$B$14=""),0,IF($R514&gt;0,IF(L514="",0,IF(ISNUMBER(L514),L514,1)),IF($C514="Paying back",0,IF(AND(OR(Housemates!$C$14="",Housemates!$C$14&lt;=$B514),OR(Housemates!$D$14="",Housemates!$D$14&gt;=$B514)),IF($Q514=0,1,INDEX(Bills!$AG$6:$AG$25,$Q514)),0))))</f>
        <v/>
      </c>
      <c r="Z514">
        <f>IF(OR($D514="",$B514="",Housemates!$B$15=""),0,IF($R514&gt;0,IF(M514="",0,IF(ISNUMBER(M514),M514,1)),IF($C514="Paying back",0,IF(AND(OR(Housemates!$C$15="",Housemates!$C$15&lt;=$B514),OR(Housemates!$D$15="",Housemates!$D$15&gt;=$B514)),IF($Q514=0,1,INDEX(Bills!$AH$6:$AH$25,$Q514)),0))))</f>
        <v/>
      </c>
      <c r="AA514">
        <f>SUM(S514:Z514)</f>
        <v/>
      </c>
      <c r="AB514">
        <f>IF(AA514=0,0,D514*S514/AA514)</f>
        <v/>
      </c>
      <c r="AC514">
        <f>IF(AA514=0,0,D514*T514/AA514)</f>
        <v/>
      </c>
      <c r="AD514">
        <f>IF(AA514=0,0,D514*U514/AA514)</f>
        <v/>
      </c>
      <c r="AE514">
        <f>IF(AA514=0,0,D514*V514/AA514)</f>
        <v/>
      </c>
      <c r="AF514">
        <f>IF(AA514=0,0,D514*W514/AA514)</f>
        <v/>
      </c>
      <c r="AG514">
        <f>IF(AA514=0,0,D514*X514/AA514)</f>
        <v/>
      </c>
      <c r="AH514">
        <f>IF(AA514=0,0,D514*Y514/AA514)</f>
        <v/>
      </c>
      <c r="AI514">
        <f>IF(AA514=0,0,D514*Z514/AA514)</f>
        <v/>
      </c>
      <c r="AJ514">
        <f>IF(OR(C514="",B514=""),"",C514&amp;"|"&amp;(YEAR(B514)*100+MONTH(B514)))</f>
        <v/>
      </c>
    </row>
    <row r="515">
      <c r="A515" s="1" t="n"/>
      <c r="B515" s="23" t="n"/>
      <c r="C515" s="24" t="n"/>
      <c r="D515" s="25" t="n"/>
      <c r="E515" s="26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1">
        <f>IF(D515="","",IF(B515="","No date",IF(AND(C515="Paying back",R515=0),"To whom?",IF(AA515=0,"Nobody",IF(C515="Paying back","To "&amp;INDEX(Housemates!$B$8:$B$15,MATCH(MAX(S515:Z515),S515:Z515,0)),IF(R515&gt;0,IF(COUNTIF(S515:Z515,"&gt;0")=1,"1 person",COUNTIF(S515:Z515,"&gt;0")&amp;" people"),IF(Q515=0,"Everyone",INDEX(Bills!$Q$6:$Q$25,Q515))))))))</f>
        <v/>
      </c>
      <c r="O515" s="18">
        <f>IF(D515="","",IF(C515="Paying back","Paying back",IF(Q515=0,"Other",IF(INDEX(Bills!$C$6:$C$25,Q515)="","Other",INDEX(Bills!$C$6:$C$25,Q515)))))</f>
        <v/>
      </c>
      <c r="P515" s="1" t="n"/>
      <c r="Q515">
        <f>IF(C515="",0,IFERROR(MATCH(C515,Bills!$B$6:$B$25,0),0))</f>
        <v/>
      </c>
      <c r="R515">
        <f>COUNTA(F515:M515)</f>
        <v/>
      </c>
      <c r="S515">
        <f>IF(OR($D515="",$B515="",Housemates!$B$8=""),0,IF($R515&gt;0,IF(F515="",0,IF(ISNUMBER(F515),F515,1)),IF($C515="Paying back",0,IF(AND(OR(Housemates!$C$8="",Housemates!$C$8&lt;=$B515),OR(Housemates!$D$8="",Housemates!$D$8&gt;=$B515)),IF($Q515=0,1,INDEX(Bills!$AA$6:$AA$25,$Q515)),0))))</f>
        <v/>
      </c>
      <c r="T515">
        <f>IF(OR($D515="",$B515="",Housemates!$B$9=""),0,IF($R515&gt;0,IF(G515="",0,IF(ISNUMBER(G515),G515,1)),IF($C515="Paying back",0,IF(AND(OR(Housemates!$C$9="",Housemates!$C$9&lt;=$B515),OR(Housemates!$D$9="",Housemates!$D$9&gt;=$B515)),IF($Q515=0,1,INDEX(Bills!$AB$6:$AB$25,$Q515)),0))))</f>
        <v/>
      </c>
      <c r="U515">
        <f>IF(OR($D515="",$B515="",Housemates!$B$10=""),0,IF($R515&gt;0,IF(H515="",0,IF(ISNUMBER(H515),H515,1)),IF($C515="Paying back",0,IF(AND(OR(Housemates!$C$10="",Housemates!$C$10&lt;=$B515),OR(Housemates!$D$10="",Housemates!$D$10&gt;=$B515)),IF($Q515=0,1,INDEX(Bills!$AC$6:$AC$25,$Q515)),0))))</f>
        <v/>
      </c>
      <c r="V515">
        <f>IF(OR($D515="",$B515="",Housemates!$B$11=""),0,IF($R515&gt;0,IF(I515="",0,IF(ISNUMBER(I515),I515,1)),IF($C515="Paying back",0,IF(AND(OR(Housemates!$C$11="",Housemates!$C$11&lt;=$B515),OR(Housemates!$D$11="",Housemates!$D$11&gt;=$B515)),IF($Q515=0,1,INDEX(Bills!$AD$6:$AD$25,$Q515)),0))))</f>
        <v/>
      </c>
      <c r="W515">
        <f>IF(OR($D515="",$B515="",Housemates!$B$12=""),0,IF($R515&gt;0,IF(J515="",0,IF(ISNUMBER(J515),J515,1)),IF($C515="Paying back",0,IF(AND(OR(Housemates!$C$12="",Housemates!$C$12&lt;=$B515),OR(Housemates!$D$12="",Housemates!$D$12&gt;=$B515)),IF($Q515=0,1,INDEX(Bills!$AE$6:$AE$25,$Q515)),0))))</f>
        <v/>
      </c>
      <c r="X515">
        <f>IF(OR($D515="",$B515="",Housemates!$B$13=""),0,IF($R515&gt;0,IF(K515="",0,IF(ISNUMBER(K515),K515,1)),IF($C515="Paying back",0,IF(AND(OR(Housemates!$C$13="",Housemates!$C$13&lt;=$B515),OR(Housemates!$D$13="",Housemates!$D$13&gt;=$B515)),IF($Q515=0,1,INDEX(Bills!$AF$6:$AF$25,$Q515)),0))))</f>
        <v/>
      </c>
      <c r="Y515">
        <f>IF(OR($D515="",$B515="",Housemates!$B$14=""),0,IF($R515&gt;0,IF(L515="",0,IF(ISNUMBER(L515),L515,1)),IF($C515="Paying back",0,IF(AND(OR(Housemates!$C$14="",Housemates!$C$14&lt;=$B515),OR(Housemates!$D$14="",Housemates!$D$14&gt;=$B515)),IF($Q515=0,1,INDEX(Bills!$AG$6:$AG$25,$Q515)),0))))</f>
        <v/>
      </c>
      <c r="Z515">
        <f>IF(OR($D515="",$B515="",Housemates!$B$15=""),0,IF($R515&gt;0,IF(M515="",0,IF(ISNUMBER(M515),M515,1)),IF($C515="Paying back",0,IF(AND(OR(Housemates!$C$15="",Housemates!$C$15&lt;=$B515),OR(Housemates!$D$15="",Housemates!$D$15&gt;=$B515)),IF($Q515=0,1,INDEX(Bills!$AH$6:$AH$25,$Q515)),0))))</f>
        <v/>
      </c>
      <c r="AA515">
        <f>SUM(S515:Z515)</f>
        <v/>
      </c>
      <c r="AB515">
        <f>IF(AA515=0,0,D515*S515/AA515)</f>
        <v/>
      </c>
      <c r="AC515">
        <f>IF(AA515=0,0,D515*T515/AA515)</f>
        <v/>
      </c>
      <c r="AD515">
        <f>IF(AA515=0,0,D515*U515/AA515)</f>
        <v/>
      </c>
      <c r="AE515">
        <f>IF(AA515=0,0,D515*V515/AA515)</f>
        <v/>
      </c>
      <c r="AF515">
        <f>IF(AA515=0,0,D515*W515/AA515)</f>
        <v/>
      </c>
      <c r="AG515">
        <f>IF(AA515=0,0,D515*X515/AA515)</f>
        <v/>
      </c>
      <c r="AH515">
        <f>IF(AA515=0,0,D515*Y515/AA515)</f>
        <v/>
      </c>
      <c r="AI515">
        <f>IF(AA515=0,0,D515*Z515/AA515)</f>
        <v/>
      </c>
      <c r="AJ515">
        <f>IF(OR(C515="",B515=""),"",C515&amp;"|"&amp;(YEAR(B515)*100+MONTH(B515)))</f>
        <v/>
      </c>
    </row>
    <row r="516">
      <c r="A516" s="1" t="n"/>
      <c r="B516" s="23" t="n"/>
      <c r="C516" s="24" t="n"/>
      <c r="D516" s="25" t="n"/>
      <c r="E516" s="26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1">
        <f>IF(D516="","",IF(B516="","No date",IF(AND(C516="Paying back",R516=0),"To whom?",IF(AA516=0,"Nobody",IF(C516="Paying back","To "&amp;INDEX(Housemates!$B$8:$B$15,MATCH(MAX(S516:Z516),S516:Z516,0)),IF(R516&gt;0,IF(COUNTIF(S516:Z516,"&gt;0")=1,"1 person",COUNTIF(S516:Z516,"&gt;0")&amp;" people"),IF(Q516=0,"Everyone",INDEX(Bills!$Q$6:$Q$25,Q516))))))))</f>
        <v/>
      </c>
      <c r="O516" s="18">
        <f>IF(D516="","",IF(C516="Paying back","Paying back",IF(Q516=0,"Other",IF(INDEX(Bills!$C$6:$C$25,Q516)="","Other",INDEX(Bills!$C$6:$C$25,Q516)))))</f>
        <v/>
      </c>
      <c r="P516" s="1" t="n"/>
      <c r="Q516">
        <f>IF(C516="",0,IFERROR(MATCH(C516,Bills!$B$6:$B$25,0),0))</f>
        <v/>
      </c>
      <c r="R516">
        <f>COUNTA(F516:M516)</f>
        <v/>
      </c>
      <c r="S516">
        <f>IF(OR($D516="",$B516="",Housemates!$B$8=""),0,IF($R516&gt;0,IF(F516="",0,IF(ISNUMBER(F516),F516,1)),IF($C516="Paying back",0,IF(AND(OR(Housemates!$C$8="",Housemates!$C$8&lt;=$B516),OR(Housemates!$D$8="",Housemates!$D$8&gt;=$B516)),IF($Q516=0,1,INDEX(Bills!$AA$6:$AA$25,$Q516)),0))))</f>
        <v/>
      </c>
      <c r="T516">
        <f>IF(OR($D516="",$B516="",Housemates!$B$9=""),0,IF($R516&gt;0,IF(G516="",0,IF(ISNUMBER(G516),G516,1)),IF($C516="Paying back",0,IF(AND(OR(Housemates!$C$9="",Housemates!$C$9&lt;=$B516),OR(Housemates!$D$9="",Housemates!$D$9&gt;=$B516)),IF($Q516=0,1,INDEX(Bills!$AB$6:$AB$25,$Q516)),0))))</f>
        <v/>
      </c>
      <c r="U516">
        <f>IF(OR($D516="",$B516="",Housemates!$B$10=""),0,IF($R516&gt;0,IF(H516="",0,IF(ISNUMBER(H516),H516,1)),IF($C516="Paying back",0,IF(AND(OR(Housemates!$C$10="",Housemates!$C$10&lt;=$B516),OR(Housemates!$D$10="",Housemates!$D$10&gt;=$B516)),IF($Q516=0,1,INDEX(Bills!$AC$6:$AC$25,$Q516)),0))))</f>
        <v/>
      </c>
      <c r="V516">
        <f>IF(OR($D516="",$B516="",Housemates!$B$11=""),0,IF($R516&gt;0,IF(I516="",0,IF(ISNUMBER(I516),I516,1)),IF($C516="Paying back",0,IF(AND(OR(Housemates!$C$11="",Housemates!$C$11&lt;=$B516),OR(Housemates!$D$11="",Housemates!$D$11&gt;=$B516)),IF($Q516=0,1,INDEX(Bills!$AD$6:$AD$25,$Q516)),0))))</f>
        <v/>
      </c>
      <c r="W516">
        <f>IF(OR($D516="",$B516="",Housemates!$B$12=""),0,IF($R516&gt;0,IF(J516="",0,IF(ISNUMBER(J516),J516,1)),IF($C516="Paying back",0,IF(AND(OR(Housemates!$C$12="",Housemates!$C$12&lt;=$B516),OR(Housemates!$D$12="",Housemates!$D$12&gt;=$B516)),IF($Q516=0,1,INDEX(Bills!$AE$6:$AE$25,$Q516)),0))))</f>
        <v/>
      </c>
      <c r="X516">
        <f>IF(OR($D516="",$B516="",Housemates!$B$13=""),0,IF($R516&gt;0,IF(K516="",0,IF(ISNUMBER(K516),K516,1)),IF($C516="Paying back",0,IF(AND(OR(Housemates!$C$13="",Housemates!$C$13&lt;=$B516),OR(Housemates!$D$13="",Housemates!$D$13&gt;=$B516)),IF($Q516=0,1,INDEX(Bills!$AF$6:$AF$25,$Q516)),0))))</f>
        <v/>
      </c>
      <c r="Y516">
        <f>IF(OR($D516="",$B516="",Housemates!$B$14=""),0,IF($R516&gt;0,IF(L516="",0,IF(ISNUMBER(L516),L516,1)),IF($C516="Paying back",0,IF(AND(OR(Housemates!$C$14="",Housemates!$C$14&lt;=$B516),OR(Housemates!$D$14="",Housemates!$D$14&gt;=$B516)),IF($Q516=0,1,INDEX(Bills!$AG$6:$AG$25,$Q516)),0))))</f>
        <v/>
      </c>
      <c r="Z516">
        <f>IF(OR($D516="",$B516="",Housemates!$B$15=""),0,IF($R516&gt;0,IF(M516="",0,IF(ISNUMBER(M516),M516,1)),IF($C516="Paying back",0,IF(AND(OR(Housemates!$C$15="",Housemates!$C$15&lt;=$B516),OR(Housemates!$D$15="",Housemates!$D$15&gt;=$B516)),IF($Q516=0,1,INDEX(Bills!$AH$6:$AH$25,$Q516)),0))))</f>
        <v/>
      </c>
      <c r="AA516">
        <f>SUM(S516:Z516)</f>
        <v/>
      </c>
      <c r="AB516">
        <f>IF(AA516=0,0,D516*S516/AA516)</f>
        <v/>
      </c>
      <c r="AC516">
        <f>IF(AA516=0,0,D516*T516/AA516)</f>
        <v/>
      </c>
      <c r="AD516">
        <f>IF(AA516=0,0,D516*U516/AA516)</f>
        <v/>
      </c>
      <c r="AE516">
        <f>IF(AA516=0,0,D516*V516/AA516)</f>
        <v/>
      </c>
      <c r="AF516">
        <f>IF(AA516=0,0,D516*W516/AA516)</f>
        <v/>
      </c>
      <c r="AG516">
        <f>IF(AA516=0,0,D516*X516/AA516)</f>
        <v/>
      </c>
      <c r="AH516">
        <f>IF(AA516=0,0,D516*Y516/AA516)</f>
        <v/>
      </c>
      <c r="AI516">
        <f>IF(AA516=0,0,D516*Z516/AA516)</f>
        <v/>
      </c>
      <c r="AJ516">
        <f>IF(OR(C516="",B516=""),"",C516&amp;"|"&amp;(YEAR(B516)*100+MONTH(B516)))</f>
        <v/>
      </c>
    </row>
    <row r="517">
      <c r="A517" s="1" t="n"/>
      <c r="B517" s="23" t="n"/>
      <c r="C517" s="24" t="n"/>
      <c r="D517" s="25" t="n"/>
      <c r="E517" s="26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1">
        <f>IF(D517="","",IF(B517="","No date",IF(AND(C517="Paying back",R517=0),"To whom?",IF(AA517=0,"Nobody",IF(C517="Paying back","To "&amp;INDEX(Housemates!$B$8:$B$15,MATCH(MAX(S517:Z517),S517:Z517,0)),IF(R517&gt;0,IF(COUNTIF(S517:Z517,"&gt;0")=1,"1 person",COUNTIF(S517:Z517,"&gt;0")&amp;" people"),IF(Q517=0,"Everyone",INDEX(Bills!$Q$6:$Q$25,Q517))))))))</f>
        <v/>
      </c>
      <c r="O517" s="18">
        <f>IF(D517="","",IF(C517="Paying back","Paying back",IF(Q517=0,"Other",IF(INDEX(Bills!$C$6:$C$25,Q517)="","Other",INDEX(Bills!$C$6:$C$25,Q517)))))</f>
        <v/>
      </c>
      <c r="P517" s="1" t="n"/>
      <c r="Q517">
        <f>IF(C517="",0,IFERROR(MATCH(C517,Bills!$B$6:$B$25,0),0))</f>
        <v/>
      </c>
      <c r="R517">
        <f>COUNTA(F517:M517)</f>
        <v/>
      </c>
      <c r="S517">
        <f>IF(OR($D517="",$B517="",Housemates!$B$8=""),0,IF($R517&gt;0,IF(F517="",0,IF(ISNUMBER(F517),F517,1)),IF($C517="Paying back",0,IF(AND(OR(Housemates!$C$8="",Housemates!$C$8&lt;=$B517),OR(Housemates!$D$8="",Housemates!$D$8&gt;=$B517)),IF($Q517=0,1,INDEX(Bills!$AA$6:$AA$25,$Q517)),0))))</f>
        <v/>
      </c>
      <c r="T517">
        <f>IF(OR($D517="",$B517="",Housemates!$B$9=""),0,IF($R517&gt;0,IF(G517="",0,IF(ISNUMBER(G517),G517,1)),IF($C517="Paying back",0,IF(AND(OR(Housemates!$C$9="",Housemates!$C$9&lt;=$B517),OR(Housemates!$D$9="",Housemates!$D$9&gt;=$B517)),IF($Q517=0,1,INDEX(Bills!$AB$6:$AB$25,$Q517)),0))))</f>
        <v/>
      </c>
      <c r="U517">
        <f>IF(OR($D517="",$B517="",Housemates!$B$10=""),0,IF($R517&gt;0,IF(H517="",0,IF(ISNUMBER(H517),H517,1)),IF($C517="Paying back",0,IF(AND(OR(Housemates!$C$10="",Housemates!$C$10&lt;=$B517),OR(Housemates!$D$10="",Housemates!$D$10&gt;=$B517)),IF($Q517=0,1,INDEX(Bills!$AC$6:$AC$25,$Q517)),0))))</f>
        <v/>
      </c>
      <c r="V517">
        <f>IF(OR($D517="",$B517="",Housemates!$B$11=""),0,IF($R517&gt;0,IF(I517="",0,IF(ISNUMBER(I517),I517,1)),IF($C517="Paying back",0,IF(AND(OR(Housemates!$C$11="",Housemates!$C$11&lt;=$B517),OR(Housemates!$D$11="",Housemates!$D$11&gt;=$B517)),IF($Q517=0,1,INDEX(Bills!$AD$6:$AD$25,$Q517)),0))))</f>
        <v/>
      </c>
      <c r="W517">
        <f>IF(OR($D517="",$B517="",Housemates!$B$12=""),0,IF($R517&gt;0,IF(J517="",0,IF(ISNUMBER(J517),J517,1)),IF($C517="Paying back",0,IF(AND(OR(Housemates!$C$12="",Housemates!$C$12&lt;=$B517),OR(Housemates!$D$12="",Housemates!$D$12&gt;=$B517)),IF($Q517=0,1,INDEX(Bills!$AE$6:$AE$25,$Q517)),0))))</f>
        <v/>
      </c>
      <c r="X517">
        <f>IF(OR($D517="",$B517="",Housemates!$B$13=""),0,IF($R517&gt;0,IF(K517="",0,IF(ISNUMBER(K517),K517,1)),IF($C517="Paying back",0,IF(AND(OR(Housemates!$C$13="",Housemates!$C$13&lt;=$B517),OR(Housemates!$D$13="",Housemates!$D$13&gt;=$B517)),IF($Q517=0,1,INDEX(Bills!$AF$6:$AF$25,$Q517)),0))))</f>
        <v/>
      </c>
      <c r="Y517">
        <f>IF(OR($D517="",$B517="",Housemates!$B$14=""),0,IF($R517&gt;0,IF(L517="",0,IF(ISNUMBER(L517),L517,1)),IF($C517="Paying back",0,IF(AND(OR(Housemates!$C$14="",Housemates!$C$14&lt;=$B517),OR(Housemates!$D$14="",Housemates!$D$14&gt;=$B517)),IF($Q517=0,1,INDEX(Bills!$AG$6:$AG$25,$Q517)),0))))</f>
        <v/>
      </c>
      <c r="Z517">
        <f>IF(OR($D517="",$B517="",Housemates!$B$15=""),0,IF($R517&gt;0,IF(M517="",0,IF(ISNUMBER(M517),M517,1)),IF($C517="Paying back",0,IF(AND(OR(Housemates!$C$15="",Housemates!$C$15&lt;=$B517),OR(Housemates!$D$15="",Housemates!$D$15&gt;=$B517)),IF($Q517=0,1,INDEX(Bills!$AH$6:$AH$25,$Q517)),0))))</f>
        <v/>
      </c>
      <c r="AA517">
        <f>SUM(S517:Z517)</f>
        <v/>
      </c>
      <c r="AB517">
        <f>IF(AA517=0,0,D517*S517/AA517)</f>
        <v/>
      </c>
      <c r="AC517">
        <f>IF(AA517=0,0,D517*T517/AA517)</f>
        <v/>
      </c>
      <c r="AD517">
        <f>IF(AA517=0,0,D517*U517/AA517)</f>
        <v/>
      </c>
      <c r="AE517">
        <f>IF(AA517=0,0,D517*V517/AA517)</f>
        <v/>
      </c>
      <c r="AF517">
        <f>IF(AA517=0,0,D517*W517/AA517)</f>
        <v/>
      </c>
      <c r="AG517">
        <f>IF(AA517=0,0,D517*X517/AA517)</f>
        <v/>
      </c>
      <c r="AH517">
        <f>IF(AA517=0,0,D517*Y517/AA517)</f>
        <v/>
      </c>
      <c r="AI517">
        <f>IF(AA517=0,0,D517*Z517/AA517)</f>
        <v/>
      </c>
      <c r="AJ517">
        <f>IF(OR(C517="",B517=""),"",C517&amp;"|"&amp;(YEAR(B517)*100+MONTH(B517)))</f>
        <v/>
      </c>
    </row>
    <row r="518">
      <c r="A518" s="1" t="n"/>
      <c r="B518" s="23" t="n"/>
      <c r="C518" s="24" t="n"/>
      <c r="D518" s="25" t="n"/>
      <c r="E518" s="26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1">
        <f>IF(D518="","",IF(B518="","No date",IF(AND(C518="Paying back",R518=0),"To whom?",IF(AA518=0,"Nobody",IF(C518="Paying back","To "&amp;INDEX(Housemates!$B$8:$B$15,MATCH(MAX(S518:Z518),S518:Z518,0)),IF(R518&gt;0,IF(COUNTIF(S518:Z518,"&gt;0")=1,"1 person",COUNTIF(S518:Z518,"&gt;0")&amp;" people"),IF(Q518=0,"Everyone",INDEX(Bills!$Q$6:$Q$25,Q518))))))))</f>
        <v/>
      </c>
      <c r="O518" s="18">
        <f>IF(D518="","",IF(C518="Paying back","Paying back",IF(Q518=0,"Other",IF(INDEX(Bills!$C$6:$C$25,Q518)="","Other",INDEX(Bills!$C$6:$C$25,Q518)))))</f>
        <v/>
      </c>
      <c r="P518" s="1" t="n"/>
      <c r="Q518">
        <f>IF(C518="",0,IFERROR(MATCH(C518,Bills!$B$6:$B$25,0),0))</f>
        <v/>
      </c>
      <c r="R518">
        <f>COUNTA(F518:M518)</f>
        <v/>
      </c>
      <c r="S518">
        <f>IF(OR($D518="",$B518="",Housemates!$B$8=""),0,IF($R518&gt;0,IF(F518="",0,IF(ISNUMBER(F518),F518,1)),IF($C518="Paying back",0,IF(AND(OR(Housemates!$C$8="",Housemates!$C$8&lt;=$B518),OR(Housemates!$D$8="",Housemates!$D$8&gt;=$B518)),IF($Q518=0,1,INDEX(Bills!$AA$6:$AA$25,$Q518)),0))))</f>
        <v/>
      </c>
      <c r="T518">
        <f>IF(OR($D518="",$B518="",Housemates!$B$9=""),0,IF($R518&gt;0,IF(G518="",0,IF(ISNUMBER(G518),G518,1)),IF($C518="Paying back",0,IF(AND(OR(Housemates!$C$9="",Housemates!$C$9&lt;=$B518),OR(Housemates!$D$9="",Housemates!$D$9&gt;=$B518)),IF($Q518=0,1,INDEX(Bills!$AB$6:$AB$25,$Q518)),0))))</f>
        <v/>
      </c>
      <c r="U518">
        <f>IF(OR($D518="",$B518="",Housemates!$B$10=""),0,IF($R518&gt;0,IF(H518="",0,IF(ISNUMBER(H518),H518,1)),IF($C518="Paying back",0,IF(AND(OR(Housemates!$C$10="",Housemates!$C$10&lt;=$B518),OR(Housemates!$D$10="",Housemates!$D$10&gt;=$B518)),IF($Q518=0,1,INDEX(Bills!$AC$6:$AC$25,$Q518)),0))))</f>
        <v/>
      </c>
      <c r="V518">
        <f>IF(OR($D518="",$B518="",Housemates!$B$11=""),0,IF($R518&gt;0,IF(I518="",0,IF(ISNUMBER(I518),I518,1)),IF($C518="Paying back",0,IF(AND(OR(Housemates!$C$11="",Housemates!$C$11&lt;=$B518),OR(Housemates!$D$11="",Housemates!$D$11&gt;=$B518)),IF($Q518=0,1,INDEX(Bills!$AD$6:$AD$25,$Q518)),0))))</f>
        <v/>
      </c>
      <c r="W518">
        <f>IF(OR($D518="",$B518="",Housemates!$B$12=""),0,IF($R518&gt;0,IF(J518="",0,IF(ISNUMBER(J518),J518,1)),IF($C518="Paying back",0,IF(AND(OR(Housemates!$C$12="",Housemates!$C$12&lt;=$B518),OR(Housemates!$D$12="",Housemates!$D$12&gt;=$B518)),IF($Q518=0,1,INDEX(Bills!$AE$6:$AE$25,$Q518)),0))))</f>
        <v/>
      </c>
      <c r="X518">
        <f>IF(OR($D518="",$B518="",Housemates!$B$13=""),0,IF($R518&gt;0,IF(K518="",0,IF(ISNUMBER(K518),K518,1)),IF($C518="Paying back",0,IF(AND(OR(Housemates!$C$13="",Housemates!$C$13&lt;=$B518),OR(Housemates!$D$13="",Housemates!$D$13&gt;=$B518)),IF($Q518=0,1,INDEX(Bills!$AF$6:$AF$25,$Q518)),0))))</f>
        <v/>
      </c>
      <c r="Y518">
        <f>IF(OR($D518="",$B518="",Housemates!$B$14=""),0,IF($R518&gt;0,IF(L518="",0,IF(ISNUMBER(L518),L518,1)),IF($C518="Paying back",0,IF(AND(OR(Housemates!$C$14="",Housemates!$C$14&lt;=$B518),OR(Housemates!$D$14="",Housemates!$D$14&gt;=$B518)),IF($Q518=0,1,INDEX(Bills!$AG$6:$AG$25,$Q518)),0))))</f>
        <v/>
      </c>
      <c r="Z518">
        <f>IF(OR($D518="",$B518="",Housemates!$B$15=""),0,IF($R518&gt;0,IF(M518="",0,IF(ISNUMBER(M518),M518,1)),IF($C518="Paying back",0,IF(AND(OR(Housemates!$C$15="",Housemates!$C$15&lt;=$B518),OR(Housemates!$D$15="",Housemates!$D$15&gt;=$B518)),IF($Q518=0,1,INDEX(Bills!$AH$6:$AH$25,$Q518)),0))))</f>
        <v/>
      </c>
      <c r="AA518">
        <f>SUM(S518:Z518)</f>
        <v/>
      </c>
      <c r="AB518">
        <f>IF(AA518=0,0,D518*S518/AA518)</f>
        <v/>
      </c>
      <c r="AC518">
        <f>IF(AA518=0,0,D518*T518/AA518)</f>
        <v/>
      </c>
      <c r="AD518">
        <f>IF(AA518=0,0,D518*U518/AA518)</f>
        <v/>
      </c>
      <c r="AE518">
        <f>IF(AA518=0,0,D518*V518/AA518)</f>
        <v/>
      </c>
      <c r="AF518">
        <f>IF(AA518=0,0,D518*W518/AA518)</f>
        <v/>
      </c>
      <c r="AG518">
        <f>IF(AA518=0,0,D518*X518/AA518)</f>
        <v/>
      </c>
      <c r="AH518">
        <f>IF(AA518=0,0,D518*Y518/AA518)</f>
        <v/>
      </c>
      <c r="AI518">
        <f>IF(AA518=0,0,D518*Z518/AA518)</f>
        <v/>
      </c>
      <c r="AJ518">
        <f>IF(OR(C518="",B518=""),"",C518&amp;"|"&amp;(YEAR(B518)*100+MONTH(B518)))</f>
        <v/>
      </c>
    </row>
    <row r="519">
      <c r="A519" s="1" t="n"/>
      <c r="B519" s="23" t="n"/>
      <c r="C519" s="24" t="n"/>
      <c r="D519" s="25" t="n"/>
      <c r="E519" s="26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1">
        <f>IF(D519="","",IF(B519="","No date",IF(AND(C519="Paying back",R519=0),"To whom?",IF(AA519=0,"Nobody",IF(C519="Paying back","To "&amp;INDEX(Housemates!$B$8:$B$15,MATCH(MAX(S519:Z519),S519:Z519,0)),IF(R519&gt;0,IF(COUNTIF(S519:Z519,"&gt;0")=1,"1 person",COUNTIF(S519:Z519,"&gt;0")&amp;" people"),IF(Q519=0,"Everyone",INDEX(Bills!$Q$6:$Q$25,Q519))))))))</f>
        <v/>
      </c>
      <c r="O519" s="18">
        <f>IF(D519="","",IF(C519="Paying back","Paying back",IF(Q519=0,"Other",IF(INDEX(Bills!$C$6:$C$25,Q519)="","Other",INDEX(Bills!$C$6:$C$25,Q519)))))</f>
        <v/>
      </c>
      <c r="P519" s="1" t="n"/>
      <c r="Q519">
        <f>IF(C519="",0,IFERROR(MATCH(C519,Bills!$B$6:$B$25,0),0))</f>
        <v/>
      </c>
      <c r="R519">
        <f>COUNTA(F519:M519)</f>
        <v/>
      </c>
      <c r="S519">
        <f>IF(OR($D519="",$B519="",Housemates!$B$8=""),0,IF($R519&gt;0,IF(F519="",0,IF(ISNUMBER(F519),F519,1)),IF($C519="Paying back",0,IF(AND(OR(Housemates!$C$8="",Housemates!$C$8&lt;=$B519),OR(Housemates!$D$8="",Housemates!$D$8&gt;=$B519)),IF($Q519=0,1,INDEX(Bills!$AA$6:$AA$25,$Q519)),0))))</f>
        <v/>
      </c>
      <c r="T519">
        <f>IF(OR($D519="",$B519="",Housemates!$B$9=""),0,IF($R519&gt;0,IF(G519="",0,IF(ISNUMBER(G519),G519,1)),IF($C519="Paying back",0,IF(AND(OR(Housemates!$C$9="",Housemates!$C$9&lt;=$B519),OR(Housemates!$D$9="",Housemates!$D$9&gt;=$B519)),IF($Q519=0,1,INDEX(Bills!$AB$6:$AB$25,$Q519)),0))))</f>
        <v/>
      </c>
      <c r="U519">
        <f>IF(OR($D519="",$B519="",Housemates!$B$10=""),0,IF($R519&gt;0,IF(H519="",0,IF(ISNUMBER(H519),H519,1)),IF($C519="Paying back",0,IF(AND(OR(Housemates!$C$10="",Housemates!$C$10&lt;=$B519),OR(Housemates!$D$10="",Housemates!$D$10&gt;=$B519)),IF($Q519=0,1,INDEX(Bills!$AC$6:$AC$25,$Q519)),0))))</f>
        <v/>
      </c>
      <c r="V519">
        <f>IF(OR($D519="",$B519="",Housemates!$B$11=""),0,IF($R519&gt;0,IF(I519="",0,IF(ISNUMBER(I519),I519,1)),IF($C519="Paying back",0,IF(AND(OR(Housemates!$C$11="",Housemates!$C$11&lt;=$B519),OR(Housemates!$D$11="",Housemates!$D$11&gt;=$B519)),IF($Q519=0,1,INDEX(Bills!$AD$6:$AD$25,$Q519)),0))))</f>
        <v/>
      </c>
      <c r="W519">
        <f>IF(OR($D519="",$B519="",Housemates!$B$12=""),0,IF($R519&gt;0,IF(J519="",0,IF(ISNUMBER(J519),J519,1)),IF($C519="Paying back",0,IF(AND(OR(Housemates!$C$12="",Housemates!$C$12&lt;=$B519),OR(Housemates!$D$12="",Housemates!$D$12&gt;=$B519)),IF($Q519=0,1,INDEX(Bills!$AE$6:$AE$25,$Q519)),0))))</f>
        <v/>
      </c>
      <c r="X519">
        <f>IF(OR($D519="",$B519="",Housemates!$B$13=""),0,IF($R519&gt;0,IF(K519="",0,IF(ISNUMBER(K519),K519,1)),IF($C519="Paying back",0,IF(AND(OR(Housemates!$C$13="",Housemates!$C$13&lt;=$B519),OR(Housemates!$D$13="",Housemates!$D$13&gt;=$B519)),IF($Q519=0,1,INDEX(Bills!$AF$6:$AF$25,$Q519)),0))))</f>
        <v/>
      </c>
      <c r="Y519">
        <f>IF(OR($D519="",$B519="",Housemates!$B$14=""),0,IF($R519&gt;0,IF(L519="",0,IF(ISNUMBER(L519),L519,1)),IF($C519="Paying back",0,IF(AND(OR(Housemates!$C$14="",Housemates!$C$14&lt;=$B519),OR(Housemates!$D$14="",Housemates!$D$14&gt;=$B519)),IF($Q519=0,1,INDEX(Bills!$AG$6:$AG$25,$Q519)),0))))</f>
        <v/>
      </c>
      <c r="Z519">
        <f>IF(OR($D519="",$B519="",Housemates!$B$15=""),0,IF($R519&gt;0,IF(M519="",0,IF(ISNUMBER(M519),M519,1)),IF($C519="Paying back",0,IF(AND(OR(Housemates!$C$15="",Housemates!$C$15&lt;=$B519),OR(Housemates!$D$15="",Housemates!$D$15&gt;=$B519)),IF($Q519=0,1,INDEX(Bills!$AH$6:$AH$25,$Q519)),0))))</f>
        <v/>
      </c>
      <c r="AA519">
        <f>SUM(S519:Z519)</f>
        <v/>
      </c>
      <c r="AB519">
        <f>IF(AA519=0,0,D519*S519/AA519)</f>
        <v/>
      </c>
      <c r="AC519">
        <f>IF(AA519=0,0,D519*T519/AA519)</f>
        <v/>
      </c>
      <c r="AD519">
        <f>IF(AA519=0,0,D519*U519/AA519)</f>
        <v/>
      </c>
      <c r="AE519">
        <f>IF(AA519=0,0,D519*V519/AA519)</f>
        <v/>
      </c>
      <c r="AF519">
        <f>IF(AA519=0,0,D519*W519/AA519)</f>
        <v/>
      </c>
      <c r="AG519">
        <f>IF(AA519=0,0,D519*X519/AA519)</f>
        <v/>
      </c>
      <c r="AH519">
        <f>IF(AA519=0,0,D519*Y519/AA519)</f>
        <v/>
      </c>
      <c r="AI519">
        <f>IF(AA519=0,0,D519*Z519/AA519)</f>
        <v/>
      </c>
      <c r="AJ519">
        <f>IF(OR(C519="",B519=""),"",C519&amp;"|"&amp;(YEAR(B519)*100+MONTH(B519)))</f>
        <v/>
      </c>
    </row>
    <row r="520">
      <c r="A520" s="1" t="n"/>
      <c r="B520" s="23" t="n"/>
      <c r="C520" s="24" t="n"/>
      <c r="D520" s="25" t="n"/>
      <c r="E520" s="26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1">
        <f>IF(D520="","",IF(B520="","No date",IF(AND(C520="Paying back",R520=0),"To whom?",IF(AA520=0,"Nobody",IF(C520="Paying back","To "&amp;INDEX(Housemates!$B$8:$B$15,MATCH(MAX(S520:Z520),S520:Z520,0)),IF(R520&gt;0,IF(COUNTIF(S520:Z520,"&gt;0")=1,"1 person",COUNTIF(S520:Z520,"&gt;0")&amp;" people"),IF(Q520=0,"Everyone",INDEX(Bills!$Q$6:$Q$25,Q520))))))))</f>
        <v/>
      </c>
      <c r="O520" s="18">
        <f>IF(D520="","",IF(C520="Paying back","Paying back",IF(Q520=0,"Other",IF(INDEX(Bills!$C$6:$C$25,Q520)="","Other",INDEX(Bills!$C$6:$C$25,Q520)))))</f>
        <v/>
      </c>
      <c r="P520" s="1" t="n"/>
      <c r="Q520">
        <f>IF(C520="",0,IFERROR(MATCH(C520,Bills!$B$6:$B$25,0),0))</f>
        <v/>
      </c>
      <c r="R520">
        <f>COUNTA(F520:M520)</f>
        <v/>
      </c>
      <c r="S520">
        <f>IF(OR($D520="",$B520="",Housemates!$B$8=""),0,IF($R520&gt;0,IF(F520="",0,IF(ISNUMBER(F520),F520,1)),IF($C520="Paying back",0,IF(AND(OR(Housemates!$C$8="",Housemates!$C$8&lt;=$B520),OR(Housemates!$D$8="",Housemates!$D$8&gt;=$B520)),IF($Q520=0,1,INDEX(Bills!$AA$6:$AA$25,$Q520)),0))))</f>
        <v/>
      </c>
      <c r="T520">
        <f>IF(OR($D520="",$B520="",Housemates!$B$9=""),0,IF($R520&gt;0,IF(G520="",0,IF(ISNUMBER(G520),G520,1)),IF($C520="Paying back",0,IF(AND(OR(Housemates!$C$9="",Housemates!$C$9&lt;=$B520),OR(Housemates!$D$9="",Housemates!$D$9&gt;=$B520)),IF($Q520=0,1,INDEX(Bills!$AB$6:$AB$25,$Q520)),0))))</f>
        <v/>
      </c>
      <c r="U520">
        <f>IF(OR($D520="",$B520="",Housemates!$B$10=""),0,IF($R520&gt;0,IF(H520="",0,IF(ISNUMBER(H520),H520,1)),IF($C520="Paying back",0,IF(AND(OR(Housemates!$C$10="",Housemates!$C$10&lt;=$B520),OR(Housemates!$D$10="",Housemates!$D$10&gt;=$B520)),IF($Q520=0,1,INDEX(Bills!$AC$6:$AC$25,$Q520)),0))))</f>
        <v/>
      </c>
      <c r="V520">
        <f>IF(OR($D520="",$B520="",Housemates!$B$11=""),0,IF($R520&gt;0,IF(I520="",0,IF(ISNUMBER(I520),I520,1)),IF($C520="Paying back",0,IF(AND(OR(Housemates!$C$11="",Housemates!$C$11&lt;=$B520),OR(Housemates!$D$11="",Housemates!$D$11&gt;=$B520)),IF($Q520=0,1,INDEX(Bills!$AD$6:$AD$25,$Q520)),0))))</f>
        <v/>
      </c>
      <c r="W520">
        <f>IF(OR($D520="",$B520="",Housemates!$B$12=""),0,IF($R520&gt;0,IF(J520="",0,IF(ISNUMBER(J520),J520,1)),IF($C520="Paying back",0,IF(AND(OR(Housemates!$C$12="",Housemates!$C$12&lt;=$B520),OR(Housemates!$D$12="",Housemates!$D$12&gt;=$B520)),IF($Q520=0,1,INDEX(Bills!$AE$6:$AE$25,$Q520)),0))))</f>
        <v/>
      </c>
      <c r="X520">
        <f>IF(OR($D520="",$B520="",Housemates!$B$13=""),0,IF($R520&gt;0,IF(K520="",0,IF(ISNUMBER(K520),K520,1)),IF($C520="Paying back",0,IF(AND(OR(Housemates!$C$13="",Housemates!$C$13&lt;=$B520),OR(Housemates!$D$13="",Housemates!$D$13&gt;=$B520)),IF($Q520=0,1,INDEX(Bills!$AF$6:$AF$25,$Q520)),0))))</f>
        <v/>
      </c>
      <c r="Y520">
        <f>IF(OR($D520="",$B520="",Housemates!$B$14=""),0,IF($R520&gt;0,IF(L520="",0,IF(ISNUMBER(L520),L520,1)),IF($C520="Paying back",0,IF(AND(OR(Housemates!$C$14="",Housemates!$C$14&lt;=$B520),OR(Housemates!$D$14="",Housemates!$D$14&gt;=$B520)),IF($Q520=0,1,INDEX(Bills!$AG$6:$AG$25,$Q520)),0))))</f>
        <v/>
      </c>
      <c r="Z520">
        <f>IF(OR($D520="",$B520="",Housemates!$B$15=""),0,IF($R520&gt;0,IF(M520="",0,IF(ISNUMBER(M520),M520,1)),IF($C520="Paying back",0,IF(AND(OR(Housemates!$C$15="",Housemates!$C$15&lt;=$B520),OR(Housemates!$D$15="",Housemates!$D$15&gt;=$B520)),IF($Q520=0,1,INDEX(Bills!$AH$6:$AH$25,$Q520)),0))))</f>
        <v/>
      </c>
      <c r="AA520">
        <f>SUM(S520:Z520)</f>
        <v/>
      </c>
      <c r="AB520">
        <f>IF(AA520=0,0,D520*S520/AA520)</f>
        <v/>
      </c>
      <c r="AC520">
        <f>IF(AA520=0,0,D520*T520/AA520)</f>
        <v/>
      </c>
      <c r="AD520">
        <f>IF(AA520=0,0,D520*U520/AA520)</f>
        <v/>
      </c>
      <c r="AE520">
        <f>IF(AA520=0,0,D520*V520/AA520)</f>
        <v/>
      </c>
      <c r="AF520">
        <f>IF(AA520=0,0,D520*W520/AA520)</f>
        <v/>
      </c>
      <c r="AG520">
        <f>IF(AA520=0,0,D520*X520/AA520)</f>
        <v/>
      </c>
      <c r="AH520">
        <f>IF(AA520=0,0,D520*Y520/AA520)</f>
        <v/>
      </c>
      <c r="AI520">
        <f>IF(AA520=0,0,D520*Z520/AA520)</f>
        <v/>
      </c>
      <c r="AJ520">
        <f>IF(OR(C520="",B520=""),"",C520&amp;"|"&amp;(YEAR(B520)*100+MONTH(B520)))</f>
        <v/>
      </c>
    </row>
    <row r="521">
      <c r="A521" s="1" t="n"/>
      <c r="B521" s="23" t="n"/>
      <c r="C521" s="24" t="n"/>
      <c r="D521" s="25" t="n"/>
      <c r="E521" s="26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1">
        <f>IF(D521="","",IF(B521="","No date",IF(AND(C521="Paying back",R521=0),"To whom?",IF(AA521=0,"Nobody",IF(C521="Paying back","To "&amp;INDEX(Housemates!$B$8:$B$15,MATCH(MAX(S521:Z521),S521:Z521,0)),IF(R521&gt;0,IF(COUNTIF(S521:Z521,"&gt;0")=1,"1 person",COUNTIF(S521:Z521,"&gt;0")&amp;" people"),IF(Q521=0,"Everyone",INDEX(Bills!$Q$6:$Q$25,Q521))))))))</f>
        <v/>
      </c>
      <c r="O521" s="18">
        <f>IF(D521="","",IF(C521="Paying back","Paying back",IF(Q521=0,"Other",IF(INDEX(Bills!$C$6:$C$25,Q521)="","Other",INDEX(Bills!$C$6:$C$25,Q521)))))</f>
        <v/>
      </c>
      <c r="P521" s="1" t="n"/>
      <c r="Q521">
        <f>IF(C521="",0,IFERROR(MATCH(C521,Bills!$B$6:$B$25,0),0))</f>
        <v/>
      </c>
      <c r="R521">
        <f>COUNTA(F521:M521)</f>
        <v/>
      </c>
      <c r="S521">
        <f>IF(OR($D521="",$B521="",Housemates!$B$8=""),0,IF($R521&gt;0,IF(F521="",0,IF(ISNUMBER(F521),F521,1)),IF($C521="Paying back",0,IF(AND(OR(Housemates!$C$8="",Housemates!$C$8&lt;=$B521),OR(Housemates!$D$8="",Housemates!$D$8&gt;=$B521)),IF($Q521=0,1,INDEX(Bills!$AA$6:$AA$25,$Q521)),0))))</f>
        <v/>
      </c>
      <c r="T521">
        <f>IF(OR($D521="",$B521="",Housemates!$B$9=""),0,IF($R521&gt;0,IF(G521="",0,IF(ISNUMBER(G521),G521,1)),IF($C521="Paying back",0,IF(AND(OR(Housemates!$C$9="",Housemates!$C$9&lt;=$B521),OR(Housemates!$D$9="",Housemates!$D$9&gt;=$B521)),IF($Q521=0,1,INDEX(Bills!$AB$6:$AB$25,$Q521)),0))))</f>
        <v/>
      </c>
      <c r="U521">
        <f>IF(OR($D521="",$B521="",Housemates!$B$10=""),0,IF($R521&gt;0,IF(H521="",0,IF(ISNUMBER(H521),H521,1)),IF($C521="Paying back",0,IF(AND(OR(Housemates!$C$10="",Housemates!$C$10&lt;=$B521),OR(Housemates!$D$10="",Housemates!$D$10&gt;=$B521)),IF($Q521=0,1,INDEX(Bills!$AC$6:$AC$25,$Q521)),0))))</f>
        <v/>
      </c>
      <c r="V521">
        <f>IF(OR($D521="",$B521="",Housemates!$B$11=""),0,IF($R521&gt;0,IF(I521="",0,IF(ISNUMBER(I521),I521,1)),IF($C521="Paying back",0,IF(AND(OR(Housemates!$C$11="",Housemates!$C$11&lt;=$B521),OR(Housemates!$D$11="",Housemates!$D$11&gt;=$B521)),IF($Q521=0,1,INDEX(Bills!$AD$6:$AD$25,$Q521)),0))))</f>
        <v/>
      </c>
      <c r="W521">
        <f>IF(OR($D521="",$B521="",Housemates!$B$12=""),0,IF($R521&gt;0,IF(J521="",0,IF(ISNUMBER(J521),J521,1)),IF($C521="Paying back",0,IF(AND(OR(Housemates!$C$12="",Housemates!$C$12&lt;=$B521),OR(Housemates!$D$12="",Housemates!$D$12&gt;=$B521)),IF($Q521=0,1,INDEX(Bills!$AE$6:$AE$25,$Q521)),0))))</f>
        <v/>
      </c>
      <c r="X521">
        <f>IF(OR($D521="",$B521="",Housemates!$B$13=""),0,IF($R521&gt;0,IF(K521="",0,IF(ISNUMBER(K521),K521,1)),IF($C521="Paying back",0,IF(AND(OR(Housemates!$C$13="",Housemates!$C$13&lt;=$B521),OR(Housemates!$D$13="",Housemates!$D$13&gt;=$B521)),IF($Q521=0,1,INDEX(Bills!$AF$6:$AF$25,$Q521)),0))))</f>
        <v/>
      </c>
      <c r="Y521">
        <f>IF(OR($D521="",$B521="",Housemates!$B$14=""),0,IF($R521&gt;0,IF(L521="",0,IF(ISNUMBER(L521),L521,1)),IF($C521="Paying back",0,IF(AND(OR(Housemates!$C$14="",Housemates!$C$14&lt;=$B521),OR(Housemates!$D$14="",Housemates!$D$14&gt;=$B521)),IF($Q521=0,1,INDEX(Bills!$AG$6:$AG$25,$Q521)),0))))</f>
        <v/>
      </c>
      <c r="Z521">
        <f>IF(OR($D521="",$B521="",Housemates!$B$15=""),0,IF($R521&gt;0,IF(M521="",0,IF(ISNUMBER(M521),M521,1)),IF($C521="Paying back",0,IF(AND(OR(Housemates!$C$15="",Housemates!$C$15&lt;=$B521),OR(Housemates!$D$15="",Housemates!$D$15&gt;=$B521)),IF($Q521=0,1,INDEX(Bills!$AH$6:$AH$25,$Q521)),0))))</f>
        <v/>
      </c>
      <c r="AA521">
        <f>SUM(S521:Z521)</f>
        <v/>
      </c>
      <c r="AB521">
        <f>IF(AA521=0,0,D521*S521/AA521)</f>
        <v/>
      </c>
      <c r="AC521">
        <f>IF(AA521=0,0,D521*T521/AA521)</f>
        <v/>
      </c>
      <c r="AD521">
        <f>IF(AA521=0,0,D521*U521/AA521)</f>
        <v/>
      </c>
      <c r="AE521">
        <f>IF(AA521=0,0,D521*V521/AA521)</f>
        <v/>
      </c>
      <c r="AF521">
        <f>IF(AA521=0,0,D521*W521/AA521)</f>
        <v/>
      </c>
      <c r="AG521">
        <f>IF(AA521=0,0,D521*X521/AA521)</f>
        <v/>
      </c>
      <c r="AH521">
        <f>IF(AA521=0,0,D521*Y521/AA521)</f>
        <v/>
      </c>
      <c r="AI521">
        <f>IF(AA521=0,0,D521*Z521/AA521)</f>
        <v/>
      </c>
      <c r="AJ521">
        <f>IF(OR(C521="",B521=""),"",C521&amp;"|"&amp;(YEAR(B521)*100+MONTH(B521)))</f>
        <v/>
      </c>
    </row>
    <row r="522">
      <c r="A522" s="1" t="n"/>
      <c r="B522" s="23" t="n"/>
      <c r="C522" s="24" t="n"/>
      <c r="D522" s="25" t="n"/>
      <c r="E522" s="26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1">
        <f>IF(D522="","",IF(B522="","No date",IF(AND(C522="Paying back",R522=0),"To whom?",IF(AA522=0,"Nobody",IF(C522="Paying back","To "&amp;INDEX(Housemates!$B$8:$B$15,MATCH(MAX(S522:Z522),S522:Z522,0)),IF(R522&gt;0,IF(COUNTIF(S522:Z522,"&gt;0")=1,"1 person",COUNTIF(S522:Z522,"&gt;0")&amp;" people"),IF(Q522=0,"Everyone",INDEX(Bills!$Q$6:$Q$25,Q522))))))))</f>
        <v/>
      </c>
      <c r="O522" s="18">
        <f>IF(D522="","",IF(C522="Paying back","Paying back",IF(Q522=0,"Other",IF(INDEX(Bills!$C$6:$C$25,Q522)="","Other",INDEX(Bills!$C$6:$C$25,Q522)))))</f>
        <v/>
      </c>
      <c r="P522" s="1" t="n"/>
      <c r="Q522">
        <f>IF(C522="",0,IFERROR(MATCH(C522,Bills!$B$6:$B$25,0),0))</f>
        <v/>
      </c>
      <c r="R522">
        <f>COUNTA(F522:M522)</f>
        <v/>
      </c>
      <c r="S522">
        <f>IF(OR($D522="",$B522="",Housemates!$B$8=""),0,IF($R522&gt;0,IF(F522="",0,IF(ISNUMBER(F522),F522,1)),IF($C522="Paying back",0,IF(AND(OR(Housemates!$C$8="",Housemates!$C$8&lt;=$B522),OR(Housemates!$D$8="",Housemates!$D$8&gt;=$B522)),IF($Q522=0,1,INDEX(Bills!$AA$6:$AA$25,$Q522)),0))))</f>
        <v/>
      </c>
      <c r="T522">
        <f>IF(OR($D522="",$B522="",Housemates!$B$9=""),0,IF($R522&gt;0,IF(G522="",0,IF(ISNUMBER(G522),G522,1)),IF($C522="Paying back",0,IF(AND(OR(Housemates!$C$9="",Housemates!$C$9&lt;=$B522),OR(Housemates!$D$9="",Housemates!$D$9&gt;=$B522)),IF($Q522=0,1,INDEX(Bills!$AB$6:$AB$25,$Q522)),0))))</f>
        <v/>
      </c>
      <c r="U522">
        <f>IF(OR($D522="",$B522="",Housemates!$B$10=""),0,IF($R522&gt;0,IF(H522="",0,IF(ISNUMBER(H522),H522,1)),IF($C522="Paying back",0,IF(AND(OR(Housemates!$C$10="",Housemates!$C$10&lt;=$B522),OR(Housemates!$D$10="",Housemates!$D$10&gt;=$B522)),IF($Q522=0,1,INDEX(Bills!$AC$6:$AC$25,$Q522)),0))))</f>
        <v/>
      </c>
      <c r="V522">
        <f>IF(OR($D522="",$B522="",Housemates!$B$11=""),0,IF($R522&gt;0,IF(I522="",0,IF(ISNUMBER(I522),I522,1)),IF($C522="Paying back",0,IF(AND(OR(Housemates!$C$11="",Housemates!$C$11&lt;=$B522),OR(Housemates!$D$11="",Housemates!$D$11&gt;=$B522)),IF($Q522=0,1,INDEX(Bills!$AD$6:$AD$25,$Q522)),0))))</f>
        <v/>
      </c>
      <c r="W522">
        <f>IF(OR($D522="",$B522="",Housemates!$B$12=""),0,IF($R522&gt;0,IF(J522="",0,IF(ISNUMBER(J522),J522,1)),IF($C522="Paying back",0,IF(AND(OR(Housemates!$C$12="",Housemates!$C$12&lt;=$B522),OR(Housemates!$D$12="",Housemates!$D$12&gt;=$B522)),IF($Q522=0,1,INDEX(Bills!$AE$6:$AE$25,$Q522)),0))))</f>
        <v/>
      </c>
      <c r="X522">
        <f>IF(OR($D522="",$B522="",Housemates!$B$13=""),0,IF($R522&gt;0,IF(K522="",0,IF(ISNUMBER(K522),K522,1)),IF($C522="Paying back",0,IF(AND(OR(Housemates!$C$13="",Housemates!$C$13&lt;=$B522),OR(Housemates!$D$13="",Housemates!$D$13&gt;=$B522)),IF($Q522=0,1,INDEX(Bills!$AF$6:$AF$25,$Q522)),0))))</f>
        <v/>
      </c>
      <c r="Y522">
        <f>IF(OR($D522="",$B522="",Housemates!$B$14=""),0,IF($R522&gt;0,IF(L522="",0,IF(ISNUMBER(L522),L522,1)),IF($C522="Paying back",0,IF(AND(OR(Housemates!$C$14="",Housemates!$C$14&lt;=$B522),OR(Housemates!$D$14="",Housemates!$D$14&gt;=$B522)),IF($Q522=0,1,INDEX(Bills!$AG$6:$AG$25,$Q522)),0))))</f>
        <v/>
      </c>
      <c r="Z522">
        <f>IF(OR($D522="",$B522="",Housemates!$B$15=""),0,IF($R522&gt;0,IF(M522="",0,IF(ISNUMBER(M522),M522,1)),IF($C522="Paying back",0,IF(AND(OR(Housemates!$C$15="",Housemates!$C$15&lt;=$B522),OR(Housemates!$D$15="",Housemates!$D$15&gt;=$B522)),IF($Q522=0,1,INDEX(Bills!$AH$6:$AH$25,$Q522)),0))))</f>
        <v/>
      </c>
      <c r="AA522">
        <f>SUM(S522:Z522)</f>
        <v/>
      </c>
      <c r="AB522">
        <f>IF(AA522=0,0,D522*S522/AA522)</f>
        <v/>
      </c>
      <c r="AC522">
        <f>IF(AA522=0,0,D522*T522/AA522)</f>
        <v/>
      </c>
      <c r="AD522">
        <f>IF(AA522=0,0,D522*U522/AA522)</f>
        <v/>
      </c>
      <c r="AE522">
        <f>IF(AA522=0,0,D522*V522/AA522)</f>
        <v/>
      </c>
      <c r="AF522">
        <f>IF(AA522=0,0,D522*W522/AA522)</f>
        <v/>
      </c>
      <c r="AG522">
        <f>IF(AA522=0,0,D522*X522/AA522)</f>
        <v/>
      </c>
      <c r="AH522">
        <f>IF(AA522=0,0,D522*Y522/AA522)</f>
        <v/>
      </c>
      <c r="AI522">
        <f>IF(AA522=0,0,D522*Z522/AA522)</f>
        <v/>
      </c>
      <c r="AJ522">
        <f>IF(OR(C522="",B522=""),"",C522&amp;"|"&amp;(YEAR(B522)*100+MONTH(B522)))</f>
        <v/>
      </c>
    </row>
    <row r="523">
      <c r="A523" s="1" t="n"/>
      <c r="B523" s="23" t="n"/>
      <c r="C523" s="24" t="n"/>
      <c r="D523" s="25" t="n"/>
      <c r="E523" s="26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1">
        <f>IF(D523="","",IF(B523="","No date",IF(AND(C523="Paying back",R523=0),"To whom?",IF(AA523=0,"Nobody",IF(C523="Paying back","To "&amp;INDEX(Housemates!$B$8:$B$15,MATCH(MAX(S523:Z523),S523:Z523,0)),IF(R523&gt;0,IF(COUNTIF(S523:Z523,"&gt;0")=1,"1 person",COUNTIF(S523:Z523,"&gt;0")&amp;" people"),IF(Q523=0,"Everyone",INDEX(Bills!$Q$6:$Q$25,Q523))))))))</f>
        <v/>
      </c>
      <c r="O523" s="18">
        <f>IF(D523="","",IF(C523="Paying back","Paying back",IF(Q523=0,"Other",IF(INDEX(Bills!$C$6:$C$25,Q523)="","Other",INDEX(Bills!$C$6:$C$25,Q523)))))</f>
        <v/>
      </c>
      <c r="P523" s="1" t="n"/>
      <c r="Q523">
        <f>IF(C523="",0,IFERROR(MATCH(C523,Bills!$B$6:$B$25,0),0))</f>
        <v/>
      </c>
      <c r="R523">
        <f>COUNTA(F523:M523)</f>
        <v/>
      </c>
      <c r="S523">
        <f>IF(OR($D523="",$B523="",Housemates!$B$8=""),0,IF($R523&gt;0,IF(F523="",0,IF(ISNUMBER(F523),F523,1)),IF($C523="Paying back",0,IF(AND(OR(Housemates!$C$8="",Housemates!$C$8&lt;=$B523),OR(Housemates!$D$8="",Housemates!$D$8&gt;=$B523)),IF($Q523=0,1,INDEX(Bills!$AA$6:$AA$25,$Q523)),0))))</f>
        <v/>
      </c>
      <c r="T523">
        <f>IF(OR($D523="",$B523="",Housemates!$B$9=""),0,IF($R523&gt;0,IF(G523="",0,IF(ISNUMBER(G523),G523,1)),IF($C523="Paying back",0,IF(AND(OR(Housemates!$C$9="",Housemates!$C$9&lt;=$B523),OR(Housemates!$D$9="",Housemates!$D$9&gt;=$B523)),IF($Q523=0,1,INDEX(Bills!$AB$6:$AB$25,$Q523)),0))))</f>
        <v/>
      </c>
      <c r="U523">
        <f>IF(OR($D523="",$B523="",Housemates!$B$10=""),0,IF($R523&gt;0,IF(H523="",0,IF(ISNUMBER(H523),H523,1)),IF($C523="Paying back",0,IF(AND(OR(Housemates!$C$10="",Housemates!$C$10&lt;=$B523),OR(Housemates!$D$10="",Housemates!$D$10&gt;=$B523)),IF($Q523=0,1,INDEX(Bills!$AC$6:$AC$25,$Q523)),0))))</f>
        <v/>
      </c>
      <c r="V523">
        <f>IF(OR($D523="",$B523="",Housemates!$B$11=""),0,IF($R523&gt;0,IF(I523="",0,IF(ISNUMBER(I523),I523,1)),IF($C523="Paying back",0,IF(AND(OR(Housemates!$C$11="",Housemates!$C$11&lt;=$B523),OR(Housemates!$D$11="",Housemates!$D$11&gt;=$B523)),IF($Q523=0,1,INDEX(Bills!$AD$6:$AD$25,$Q523)),0))))</f>
        <v/>
      </c>
      <c r="W523">
        <f>IF(OR($D523="",$B523="",Housemates!$B$12=""),0,IF($R523&gt;0,IF(J523="",0,IF(ISNUMBER(J523),J523,1)),IF($C523="Paying back",0,IF(AND(OR(Housemates!$C$12="",Housemates!$C$12&lt;=$B523),OR(Housemates!$D$12="",Housemates!$D$12&gt;=$B523)),IF($Q523=0,1,INDEX(Bills!$AE$6:$AE$25,$Q523)),0))))</f>
        <v/>
      </c>
      <c r="X523">
        <f>IF(OR($D523="",$B523="",Housemates!$B$13=""),0,IF($R523&gt;0,IF(K523="",0,IF(ISNUMBER(K523),K523,1)),IF($C523="Paying back",0,IF(AND(OR(Housemates!$C$13="",Housemates!$C$13&lt;=$B523),OR(Housemates!$D$13="",Housemates!$D$13&gt;=$B523)),IF($Q523=0,1,INDEX(Bills!$AF$6:$AF$25,$Q523)),0))))</f>
        <v/>
      </c>
      <c r="Y523">
        <f>IF(OR($D523="",$B523="",Housemates!$B$14=""),0,IF($R523&gt;0,IF(L523="",0,IF(ISNUMBER(L523),L523,1)),IF($C523="Paying back",0,IF(AND(OR(Housemates!$C$14="",Housemates!$C$14&lt;=$B523),OR(Housemates!$D$14="",Housemates!$D$14&gt;=$B523)),IF($Q523=0,1,INDEX(Bills!$AG$6:$AG$25,$Q523)),0))))</f>
        <v/>
      </c>
      <c r="Z523">
        <f>IF(OR($D523="",$B523="",Housemates!$B$15=""),0,IF($R523&gt;0,IF(M523="",0,IF(ISNUMBER(M523),M523,1)),IF($C523="Paying back",0,IF(AND(OR(Housemates!$C$15="",Housemates!$C$15&lt;=$B523),OR(Housemates!$D$15="",Housemates!$D$15&gt;=$B523)),IF($Q523=0,1,INDEX(Bills!$AH$6:$AH$25,$Q523)),0))))</f>
        <v/>
      </c>
      <c r="AA523">
        <f>SUM(S523:Z523)</f>
        <v/>
      </c>
      <c r="AB523">
        <f>IF(AA523=0,0,D523*S523/AA523)</f>
        <v/>
      </c>
      <c r="AC523">
        <f>IF(AA523=0,0,D523*T523/AA523)</f>
        <v/>
      </c>
      <c r="AD523">
        <f>IF(AA523=0,0,D523*U523/AA523)</f>
        <v/>
      </c>
      <c r="AE523">
        <f>IF(AA523=0,0,D523*V523/AA523)</f>
        <v/>
      </c>
      <c r="AF523">
        <f>IF(AA523=0,0,D523*W523/AA523)</f>
        <v/>
      </c>
      <c r="AG523">
        <f>IF(AA523=0,0,D523*X523/AA523)</f>
        <v/>
      </c>
      <c r="AH523">
        <f>IF(AA523=0,0,D523*Y523/AA523)</f>
        <v/>
      </c>
      <c r="AI523">
        <f>IF(AA523=0,0,D523*Z523/AA523)</f>
        <v/>
      </c>
      <c r="AJ523">
        <f>IF(OR(C523="",B523=""),"",C523&amp;"|"&amp;(YEAR(B523)*100+MONTH(B523)))</f>
        <v/>
      </c>
    </row>
    <row r="524">
      <c r="A524" s="1" t="n"/>
      <c r="B524" s="23" t="n"/>
      <c r="C524" s="24" t="n"/>
      <c r="D524" s="25" t="n"/>
      <c r="E524" s="26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1">
        <f>IF(D524="","",IF(B524="","No date",IF(AND(C524="Paying back",R524=0),"To whom?",IF(AA524=0,"Nobody",IF(C524="Paying back","To "&amp;INDEX(Housemates!$B$8:$B$15,MATCH(MAX(S524:Z524),S524:Z524,0)),IF(R524&gt;0,IF(COUNTIF(S524:Z524,"&gt;0")=1,"1 person",COUNTIF(S524:Z524,"&gt;0")&amp;" people"),IF(Q524=0,"Everyone",INDEX(Bills!$Q$6:$Q$25,Q524))))))))</f>
        <v/>
      </c>
      <c r="O524" s="18">
        <f>IF(D524="","",IF(C524="Paying back","Paying back",IF(Q524=0,"Other",IF(INDEX(Bills!$C$6:$C$25,Q524)="","Other",INDEX(Bills!$C$6:$C$25,Q524)))))</f>
        <v/>
      </c>
      <c r="P524" s="1" t="n"/>
      <c r="Q524">
        <f>IF(C524="",0,IFERROR(MATCH(C524,Bills!$B$6:$B$25,0),0))</f>
        <v/>
      </c>
      <c r="R524">
        <f>COUNTA(F524:M524)</f>
        <v/>
      </c>
      <c r="S524">
        <f>IF(OR($D524="",$B524="",Housemates!$B$8=""),0,IF($R524&gt;0,IF(F524="",0,IF(ISNUMBER(F524),F524,1)),IF($C524="Paying back",0,IF(AND(OR(Housemates!$C$8="",Housemates!$C$8&lt;=$B524),OR(Housemates!$D$8="",Housemates!$D$8&gt;=$B524)),IF($Q524=0,1,INDEX(Bills!$AA$6:$AA$25,$Q524)),0))))</f>
        <v/>
      </c>
      <c r="T524">
        <f>IF(OR($D524="",$B524="",Housemates!$B$9=""),0,IF($R524&gt;0,IF(G524="",0,IF(ISNUMBER(G524),G524,1)),IF($C524="Paying back",0,IF(AND(OR(Housemates!$C$9="",Housemates!$C$9&lt;=$B524),OR(Housemates!$D$9="",Housemates!$D$9&gt;=$B524)),IF($Q524=0,1,INDEX(Bills!$AB$6:$AB$25,$Q524)),0))))</f>
        <v/>
      </c>
      <c r="U524">
        <f>IF(OR($D524="",$B524="",Housemates!$B$10=""),0,IF($R524&gt;0,IF(H524="",0,IF(ISNUMBER(H524),H524,1)),IF($C524="Paying back",0,IF(AND(OR(Housemates!$C$10="",Housemates!$C$10&lt;=$B524),OR(Housemates!$D$10="",Housemates!$D$10&gt;=$B524)),IF($Q524=0,1,INDEX(Bills!$AC$6:$AC$25,$Q524)),0))))</f>
        <v/>
      </c>
      <c r="V524">
        <f>IF(OR($D524="",$B524="",Housemates!$B$11=""),0,IF($R524&gt;0,IF(I524="",0,IF(ISNUMBER(I524),I524,1)),IF($C524="Paying back",0,IF(AND(OR(Housemates!$C$11="",Housemates!$C$11&lt;=$B524),OR(Housemates!$D$11="",Housemates!$D$11&gt;=$B524)),IF($Q524=0,1,INDEX(Bills!$AD$6:$AD$25,$Q524)),0))))</f>
        <v/>
      </c>
      <c r="W524">
        <f>IF(OR($D524="",$B524="",Housemates!$B$12=""),0,IF($R524&gt;0,IF(J524="",0,IF(ISNUMBER(J524),J524,1)),IF($C524="Paying back",0,IF(AND(OR(Housemates!$C$12="",Housemates!$C$12&lt;=$B524),OR(Housemates!$D$12="",Housemates!$D$12&gt;=$B524)),IF($Q524=0,1,INDEX(Bills!$AE$6:$AE$25,$Q524)),0))))</f>
        <v/>
      </c>
      <c r="X524">
        <f>IF(OR($D524="",$B524="",Housemates!$B$13=""),0,IF($R524&gt;0,IF(K524="",0,IF(ISNUMBER(K524),K524,1)),IF($C524="Paying back",0,IF(AND(OR(Housemates!$C$13="",Housemates!$C$13&lt;=$B524),OR(Housemates!$D$13="",Housemates!$D$13&gt;=$B524)),IF($Q524=0,1,INDEX(Bills!$AF$6:$AF$25,$Q524)),0))))</f>
        <v/>
      </c>
      <c r="Y524">
        <f>IF(OR($D524="",$B524="",Housemates!$B$14=""),0,IF($R524&gt;0,IF(L524="",0,IF(ISNUMBER(L524),L524,1)),IF($C524="Paying back",0,IF(AND(OR(Housemates!$C$14="",Housemates!$C$14&lt;=$B524),OR(Housemates!$D$14="",Housemates!$D$14&gt;=$B524)),IF($Q524=0,1,INDEX(Bills!$AG$6:$AG$25,$Q524)),0))))</f>
        <v/>
      </c>
      <c r="Z524">
        <f>IF(OR($D524="",$B524="",Housemates!$B$15=""),0,IF($R524&gt;0,IF(M524="",0,IF(ISNUMBER(M524),M524,1)),IF($C524="Paying back",0,IF(AND(OR(Housemates!$C$15="",Housemates!$C$15&lt;=$B524),OR(Housemates!$D$15="",Housemates!$D$15&gt;=$B524)),IF($Q524=0,1,INDEX(Bills!$AH$6:$AH$25,$Q524)),0))))</f>
        <v/>
      </c>
      <c r="AA524">
        <f>SUM(S524:Z524)</f>
        <v/>
      </c>
      <c r="AB524">
        <f>IF(AA524=0,0,D524*S524/AA524)</f>
        <v/>
      </c>
      <c r="AC524">
        <f>IF(AA524=0,0,D524*T524/AA524)</f>
        <v/>
      </c>
      <c r="AD524">
        <f>IF(AA524=0,0,D524*U524/AA524)</f>
        <v/>
      </c>
      <c r="AE524">
        <f>IF(AA524=0,0,D524*V524/AA524)</f>
        <v/>
      </c>
      <c r="AF524">
        <f>IF(AA524=0,0,D524*W524/AA524)</f>
        <v/>
      </c>
      <c r="AG524">
        <f>IF(AA524=0,0,D524*X524/AA524)</f>
        <v/>
      </c>
      <c r="AH524">
        <f>IF(AA524=0,0,D524*Y524/AA524)</f>
        <v/>
      </c>
      <c r="AI524">
        <f>IF(AA524=0,0,D524*Z524/AA524)</f>
        <v/>
      </c>
      <c r="AJ524">
        <f>IF(OR(C524="",B524=""),"",C524&amp;"|"&amp;(YEAR(B524)*100+MONTH(B524)))</f>
        <v/>
      </c>
    </row>
    <row r="525">
      <c r="A525" s="1" t="n"/>
      <c r="B525" s="23" t="n"/>
      <c r="C525" s="24" t="n"/>
      <c r="D525" s="25" t="n"/>
      <c r="E525" s="26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1">
        <f>IF(D525="","",IF(B525="","No date",IF(AND(C525="Paying back",R525=0),"To whom?",IF(AA525=0,"Nobody",IF(C525="Paying back","To "&amp;INDEX(Housemates!$B$8:$B$15,MATCH(MAX(S525:Z525),S525:Z525,0)),IF(R525&gt;0,IF(COUNTIF(S525:Z525,"&gt;0")=1,"1 person",COUNTIF(S525:Z525,"&gt;0")&amp;" people"),IF(Q525=0,"Everyone",INDEX(Bills!$Q$6:$Q$25,Q525))))))))</f>
        <v/>
      </c>
      <c r="O525" s="18">
        <f>IF(D525="","",IF(C525="Paying back","Paying back",IF(Q525=0,"Other",IF(INDEX(Bills!$C$6:$C$25,Q525)="","Other",INDEX(Bills!$C$6:$C$25,Q525)))))</f>
        <v/>
      </c>
      <c r="P525" s="1" t="n"/>
      <c r="Q525">
        <f>IF(C525="",0,IFERROR(MATCH(C525,Bills!$B$6:$B$25,0),0))</f>
        <v/>
      </c>
      <c r="R525">
        <f>COUNTA(F525:M525)</f>
        <v/>
      </c>
      <c r="S525">
        <f>IF(OR($D525="",$B525="",Housemates!$B$8=""),0,IF($R525&gt;0,IF(F525="",0,IF(ISNUMBER(F525),F525,1)),IF($C525="Paying back",0,IF(AND(OR(Housemates!$C$8="",Housemates!$C$8&lt;=$B525),OR(Housemates!$D$8="",Housemates!$D$8&gt;=$B525)),IF($Q525=0,1,INDEX(Bills!$AA$6:$AA$25,$Q525)),0))))</f>
        <v/>
      </c>
      <c r="T525">
        <f>IF(OR($D525="",$B525="",Housemates!$B$9=""),0,IF($R525&gt;0,IF(G525="",0,IF(ISNUMBER(G525),G525,1)),IF($C525="Paying back",0,IF(AND(OR(Housemates!$C$9="",Housemates!$C$9&lt;=$B525),OR(Housemates!$D$9="",Housemates!$D$9&gt;=$B525)),IF($Q525=0,1,INDEX(Bills!$AB$6:$AB$25,$Q525)),0))))</f>
        <v/>
      </c>
      <c r="U525">
        <f>IF(OR($D525="",$B525="",Housemates!$B$10=""),0,IF($R525&gt;0,IF(H525="",0,IF(ISNUMBER(H525),H525,1)),IF($C525="Paying back",0,IF(AND(OR(Housemates!$C$10="",Housemates!$C$10&lt;=$B525),OR(Housemates!$D$10="",Housemates!$D$10&gt;=$B525)),IF($Q525=0,1,INDEX(Bills!$AC$6:$AC$25,$Q525)),0))))</f>
        <v/>
      </c>
      <c r="V525">
        <f>IF(OR($D525="",$B525="",Housemates!$B$11=""),0,IF($R525&gt;0,IF(I525="",0,IF(ISNUMBER(I525),I525,1)),IF($C525="Paying back",0,IF(AND(OR(Housemates!$C$11="",Housemates!$C$11&lt;=$B525),OR(Housemates!$D$11="",Housemates!$D$11&gt;=$B525)),IF($Q525=0,1,INDEX(Bills!$AD$6:$AD$25,$Q525)),0))))</f>
        <v/>
      </c>
      <c r="W525">
        <f>IF(OR($D525="",$B525="",Housemates!$B$12=""),0,IF($R525&gt;0,IF(J525="",0,IF(ISNUMBER(J525),J525,1)),IF($C525="Paying back",0,IF(AND(OR(Housemates!$C$12="",Housemates!$C$12&lt;=$B525),OR(Housemates!$D$12="",Housemates!$D$12&gt;=$B525)),IF($Q525=0,1,INDEX(Bills!$AE$6:$AE$25,$Q525)),0))))</f>
        <v/>
      </c>
      <c r="X525">
        <f>IF(OR($D525="",$B525="",Housemates!$B$13=""),0,IF($R525&gt;0,IF(K525="",0,IF(ISNUMBER(K525),K525,1)),IF($C525="Paying back",0,IF(AND(OR(Housemates!$C$13="",Housemates!$C$13&lt;=$B525),OR(Housemates!$D$13="",Housemates!$D$13&gt;=$B525)),IF($Q525=0,1,INDEX(Bills!$AF$6:$AF$25,$Q525)),0))))</f>
        <v/>
      </c>
      <c r="Y525">
        <f>IF(OR($D525="",$B525="",Housemates!$B$14=""),0,IF($R525&gt;0,IF(L525="",0,IF(ISNUMBER(L525),L525,1)),IF($C525="Paying back",0,IF(AND(OR(Housemates!$C$14="",Housemates!$C$14&lt;=$B525),OR(Housemates!$D$14="",Housemates!$D$14&gt;=$B525)),IF($Q525=0,1,INDEX(Bills!$AG$6:$AG$25,$Q525)),0))))</f>
        <v/>
      </c>
      <c r="Z525">
        <f>IF(OR($D525="",$B525="",Housemates!$B$15=""),0,IF($R525&gt;0,IF(M525="",0,IF(ISNUMBER(M525),M525,1)),IF($C525="Paying back",0,IF(AND(OR(Housemates!$C$15="",Housemates!$C$15&lt;=$B525),OR(Housemates!$D$15="",Housemates!$D$15&gt;=$B525)),IF($Q525=0,1,INDEX(Bills!$AH$6:$AH$25,$Q525)),0))))</f>
        <v/>
      </c>
      <c r="AA525">
        <f>SUM(S525:Z525)</f>
        <v/>
      </c>
      <c r="AB525">
        <f>IF(AA525=0,0,D525*S525/AA525)</f>
        <v/>
      </c>
      <c r="AC525">
        <f>IF(AA525=0,0,D525*T525/AA525)</f>
        <v/>
      </c>
      <c r="AD525">
        <f>IF(AA525=0,0,D525*U525/AA525)</f>
        <v/>
      </c>
      <c r="AE525">
        <f>IF(AA525=0,0,D525*V525/AA525)</f>
        <v/>
      </c>
      <c r="AF525">
        <f>IF(AA525=0,0,D525*W525/AA525)</f>
        <v/>
      </c>
      <c r="AG525">
        <f>IF(AA525=0,0,D525*X525/AA525)</f>
        <v/>
      </c>
      <c r="AH525">
        <f>IF(AA525=0,0,D525*Y525/AA525)</f>
        <v/>
      </c>
      <c r="AI525">
        <f>IF(AA525=0,0,D525*Z525/AA525)</f>
        <v/>
      </c>
      <c r="AJ525">
        <f>IF(OR(C525="",B525=""),"",C525&amp;"|"&amp;(YEAR(B525)*100+MONTH(B525)))</f>
        <v/>
      </c>
    </row>
    <row r="526">
      <c r="A526" s="1" t="n"/>
      <c r="B526" s="23" t="n"/>
      <c r="C526" s="24" t="n"/>
      <c r="D526" s="25" t="n"/>
      <c r="E526" s="26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1">
        <f>IF(D526="","",IF(B526="","No date",IF(AND(C526="Paying back",R526=0),"To whom?",IF(AA526=0,"Nobody",IF(C526="Paying back","To "&amp;INDEX(Housemates!$B$8:$B$15,MATCH(MAX(S526:Z526),S526:Z526,0)),IF(R526&gt;0,IF(COUNTIF(S526:Z526,"&gt;0")=1,"1 person",COUNTIF(S526:Z526,"&gt;0")&amp;" people"),IF(Q526=0,"Everyone",INDEX(Bills!$Q$6:$Q$25,Q526))))))))</f>
        <v/>
      </c>
      <c r="O526" s="18">
        <f>IF(D526="","",IF(C526="Paying back","Paying back",IF(Q526=0,"Other",IF(INDEX(Bills!$C$6:$C$25,Q526)="","Other",INDEX(Bills!$C$6:$C$25,Q526)))))</f>
        <v/>
      </c>
      <c r="P526" s="1" t="n"/>
      <c r="Q526">
        <f>IF(C526="",0,IFERROR(MATCH(C526,Bills!$B$6:$B$25,0),0))</f>
        <v/>
      </c>
      <c r="R526">
        <f>COUNTA(F526:M526)</f>
        <v/>
      </c>
      <c r="S526">
        <f>IF(OR($D526="",$B526="",Housemates!$B$8=""),0,IF($R526&gt;0,IF(F526="",0,IF(ISNUMBER(F526),F526,1)),IF($C526="Paying back",0,IF(AND(OR(Housemates!$C$8="",Housemates!$C$8&lt;=$B526),OR(Housemates!$D$8="",Housemates!$D$8&gt;=$B526)),IF($Q526=0,1,INDEX(Bills!$AA$6:$AA$25,$Q526)),0))))</f>
        <v/>
      </c>
      <c r="T526">
        <f>IF(OR($D526="",$B526="",Housemates!$B$9=""),0,IF($R526&gt;0,IF(G526="",0,IF(ISNUMBER(G526),G526,1)),IF($C526="Paying back",0,IF(AND(OR(Housemates!$C$9="",Housemates!$C$9&lt;=$B526),OR(Housemates!$D$9="",Housemates!$D$9&gt;=$B526)),IF($Q526=0,1,INDEX(Bills!$AB$6:$AB$25,$Q526)),0))))</f>
        <v/>
      </c>
      <c r="U526">
        <f>IF(OR($D526="",$B526="",Housemates!$B$10=""),0,IF($R526&gt;0,IF(H526="",0,IF(ISNUMBER(H526),H526,1)),IF($C526="Paying back",0,IF(AND(OR(Housemates!$C$10="",Housemates!$C$10&lt;=$B526),OR(Housemates!$D$10="",Housemates!$D$10&gt;=$B526)),IF($Q526=0,1,INDEX(Bills!$AC$6:$AC$25,$Q526)),0))))</f>
        <v/>
      </c>
      <c r="V526">
        <f>IF(OR($D526="",$B526="",Housemates!$B$11=""),0,IF($R526&gt;0,IF(I526="",0,IF(ISNUMBER(I526),I526,1)),IF($C526="Paying back",0,IF(AND(OR(Housemates!$C$11="",Housemates!$C$11&lt;=$B526),OR(Housemates!$D$11="",Housemates!$D$11&gt;=$B526)),IF($Q526=0,1,INDEX(Bills!$AD$6:$AD$25,$Q526)),0))))</f>
        <v/>
      </c>
      <c r="W526">
        <f>IF(OR($D526="",$B526="",Housemates!$B$12=""),0,IF($R526&gt;0,IF(J526="",0,IF(ISNUMBER(J526),J526,1)),IF($C526="Paying back",0,IF(AND(OR(Housemates!$C$12="",Housemates!$C$12&lt;=$B526),OR(Housemates!$D$12="",Housemates!$D$12&gt;=$B526)),IF($Q526=0,1,INDEX(Bills!$AE$6:$AE$25,$Q526)),0))))</f>
        <v/>
      </c>
      <c r="X526">
        <f>IF(OR($D526="",$B526="",Housemates!$B$13=""),0,IF($R526&gt;0,IF(K526="",0,IF(ISNUMBER(K526),K526,1)),IF($C526="Paying back",0,IF(AND(OR(Housemates!$C$13="",Housemates!$C$13&lt;=$B526),OR(Housemates!$D$13="",Housemates!$D$13&gt;=$B526)),IF($Q526=0,1,INDEX(Bills!$AF$6:$AF$25,$Q526)),0))))</f>
        <v/>
      </c>
      <c r="Y526">
        <f>IF(OR($D526="",$B526="",Housemates!$B$14=""),0,IF($R526&gt;0,IF(L526="",0,IF(ISNUMBER(L526),L526,1)),IF($C526="Paying back",0,IF(AND(OR(Housemates!$C$14="",Housemates!$C$14&lt;=$B526),OR(Housemates!$D$14="",Housemates!$D$14&gt;=$B526)),IF($Q526=0,1,INDEX(Bills!$AG$6:$AG$25,$Q526)),0))))</f>
        <v/>
      </c>
      <c r="Z526">
        <f>IF(OR($D526="",$B526="",Housemates!$B$15=""),0,IF($R526&gt;0,IF(M526="",0,IF(ISNUMBER(M526),M526,1)),IF($C526="Paying back",0,IF(AND(OR(Housemates!$C$15="",Housemates!$C$15&lt;=$B526),OR(Housemates!$D$15="",Housemates!$D$15&gt;=$B526)),IF($Q526=0,1,INDEX(Bills!$AH$6:$AH$25,$Q526)),0))))</f>
        <v/>
      </c>
      <c r="AA526">
        <f>SUM(S526:Z526)</f>
        <v/>
      </c>
      <c r="AB526">
        <f>IF(AA526=0,0,D526*S526/AA526)</f>
        <v/>
      </c>
      <c r="AC526">
        <f>IF(AA526=0,0,D526*T526/AA526)</f>
        <v/>
      </c>
      <c r="AD526">
        <f>IF(AA526=0,0,D526*U526/AA526)</f>
        <v/>
      </c>
      <c r="AE526">
        <f>IF(AA526=0,0,D526*V526/AA526)</f>
        <v/>
      </c>
      <c r="AF526">
        <f>IF(AA526=0,0,D526*W526/AA526)</f>
        <v/>
      </c>
      <c r="AG526">
        <f>IF(AA526=0,0,D526*X526/AA526)</f>
        <v/>
      </c>
      <c r="AH526">
        <f>IF(AA526=0,0,D526*Y526/AA526)</f>
        <v/>
      </c>
      <c r="AI526">
        <f>IF(AA526=0,0,D526*Z526/AA526)</f>
        <v/>
      </c>
      <c r="AJ526">
        <f>IF(OR(C526="",B526=""),"",C526&amp;"|"&amp;(YEAR(B526)*100+MONTH(B526)))</f>
        <v/>
      </c>
    </row>
    <row r="527">
      <c r="A527" s="1" t="n"/>
      <c r="B527" s="23" t="n"/>
      <c r="C527" s="24" t="n"/>
      <c r="D527" s="25" t="n"/>
      <c r="E527" s="26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1">
        <f>IF(D527="","",IF(B527="","No date",IF(AND(C527="Paying back",R527=0),"To whom?",IF(AA527=0,"Nobody",IF(C527="Paying back","To "&amp;INDEX(Housemates!$B$8:$B$15,MATCH(MAX(S527:Z527),S527:Z527,0)),IF(R527&gt;0,IF(COUNTIF(S527:Z527,"&gt;0")=1,"1 person",COUNTIF(S527:Z527,"&gt;0")&amp;" people"),IF(Q527=0,"Everyone",INDEX(Bills!$Q$6:$Q$25,Q527))))))))</f>
        <v/>
      </c>
      <c r="O527" s="18">
        <f>IF(D527="","",IF(C527="Paying back","Paying back",IF(Q527=0,"Other",IF(INDEX(Bills!$C$6:$C$25,Q527)="","Other",INDEX(Bills!$C$6:$C$25,Q527)))))</f>
        <v/>
      </c>
      <c r="P527" s="1" t="n"/>
      <c r="Q527">
        <f>IF(C527="",0,IFERROR(MATCH(C527,Bills!$B$6:$B$25,0),0))</f>
        <v/>
      </c>
      <c r="R527">
        <f>COUNTA(F527:M527)</f>
        <v/>
      </c>
      <c r="S527">
        <f>IF(OR($D527="",$B527="",Housemates!$B$8=""),0,IF($R527&gt;0,IF(F527="",0,IF(ISNUMBER(F527),F527,1)),IF($C527="Paying back",0,IF(AND(OR(Housemates!$C$8="",Housemates!$C$8&lt;=$B527),OR(Housemates!$D$8="",Housemates!$D$8&gt;=$B527)),IF($Q527=0,1,INDEX(Bills!$AA$6:$AA$25,$Q527)),0))))</f>
        <v/>
      </c>
      <c r="T527">
        <f>IF(OR($D527="",$B527="",Housemates!$B$9=""),0,IF($R527&gt;0,IF(G527="",0,IF(ISNUMBER(G527),G527,1)),IF($C527="Paying back",0,IF(AND(OR(Housemates!$C$9="",Housemates!$C$9&lt;=$B527),OR(Housemates!$D$9="",Housemates!$D$9&gt;=$B527)),IF($Q527=0,1,INDEX(Bills!$AB$6:$AB$25,$Q527)),0))))</f>
        <v/>
      </c>
      <c r="U527">
        <f>IF(OR($D527="",$B527="",Housemates!$B$10=""),0,IF($R527&gt;0,IF(H527="",0,IF(ISNUMBER(H527),H527,1)),IF($C527="Paying back",0,IF(AND(OR(Housemates!$C$10="",Housemates!$C$10&lt;=$B527),OR(Housemates!$D$10="",Housemates!$D$10&gt;=$B527)),IF($Q527=0,1,INDEX(Bills!$AC$6:$AC$25,$Q527)),0))))</f>
        <v/>
      </c>
      <c r="V527">
        <f>IF(OR($D527="",$B527="",Housemates!$B$11=""),0,IF($R527&gt;0,IF(I527="",0,IF(ISNUMBER(I527),I527,1)),IF($C527="Paying back",0,IF(AND(OR(Housemates!$C$11="",Housemates!$C$11&lt;=$B527),OR(Housemates!$D$11="",Housemates!$D$11&gt;=$B527)),IF($Q527=0,1,INDEX(Bills!$AD$6:$AD$25,$Q527)),0))))</f>
        <v/>
      </c>
      <c r="W527">
        <f>IF(OR($D527="",$B527="",Housemates!$B$12=""),0,IF($R527&gt;0,IF(J527="",0,IF(ISNUMBER(J527),J527,1)),IF($C527="Paying back",0,IF(AND(OR(Housemates!$C$12="",Housemates!$C$12&lt;=$B527),OR(Housemates!$D$12="",Housemates!$D$12&gt;=$B527)),IF($Q527=0,1,INDEX(Bills!$AE$6:$AE$25,$Q527)),0))))</f>
        <v/>
      </c>
      <c r="X527">
        <f>IF(OR($D527="",$B527="",Housemates!$B$13=""),0,IF($R527&gt;0,IF(K527="",0,IF(ISNUMBER(K527),K527,1)),IF($C527="Paying back",0,IF(AND(OR(Housemates!$C$13="",Housemates!$C$13&lt;=$B527),OR(Housemates!$D$13="",Housemates!$D$13&gt;=$B527)),IF($Q527=0,1,INDEX(Bills!$AF$6:$AF$25,$Q527)),0))))</f>
        <v/>
      </c>
      <c r="Y527">
        <f>IF(OR($D527="",$B527="",Housemates!$B$14=""),0,IF($R527&gt;0,IF(L527="",0,IF(ISNUMBER(L527),L527,1)),IF($C527="Paying back",0,IF(AND(OR(Housemates!$C$14="",Housemates!$C$14&lt;=$B527),OR(Housemates!$D$14="",Housemates!$D$14&gt;=$B527)),IF($Q527=0,1,INDEX(Bills!$AG$6:$AG$25,$Q527)),0))))</f>
        <v/>
      </c>
      <c r="Z527">
        <f>IF(OR($D527="",$B527="",Housemates!$B$15=""),0,IF($R527&gt;0,IF(M527="",0,IF(ISNUMBER(M527),M527,1)),IF($C527="Paying back",0,IF(AND(OR(Housemates!$C$15="",Housemates!$C$15&lt;=$B527),OR(Housemates!$D$15="",Housemates!$D$15&gt;=$B527)),IF($Q527=0,1,INDEX(Bills!$AH$6:$AH$25,$Q527)),0))))</f>
        <v/>
      </c>
      <c r="AA527">
        <f>SUM(S527:Z527)</f>
        <v/>
      </c>
      <c r="AB527">
        <f>IF(AA527=0,0,D527*S527/AA527)</f>
        <v/>
      </c>
      <c r="AC527">
        <f>IF(AA527=0,0,D527*T527/AA527)</f>
        <v/>
      </c>
      <c r="AD527">
        <f>IF(AA527=0,0,D527*U527/AA527)</f>
        <v/>
      </c>
      <c r="AE527">
        <f>IF(AA527=0,0,D527*V527/AA527)</f>
        <v/>
      </c>
      <c r="AF527">
        <f>IF(AA527=0,0,D527*W527/AA527)</f>
        <v/>
      </c>
      <c r="AG527">
        <f>IF(AA527=0,0,D527*X527/AA527)</f>
        <v/>
      </c>
      <c r="AH527">
        <f>IF(AA527=0,0,D527*Y527/AA527)</f>
        <v/>
      </c>
      <c r="AI527">
        <f>IF(AA527=0,0,D527*Z527/AA527)</f>
        <v/>
      </c>
      <c r="AJ527">
        <f>IF(OR(C527="",B527=""),"",C527&amp;"|"&amp;(YEAR(B527)*100+MONTH(B527)))</f>
        <v/>
      </c>
    </row>
    <row r="528">
      <c r="A528" s="1" t="n"/>
      <c r="B528" s="23" t="n"/>
      <c r="C528" s="24" t="n"/>
      <c r="D528" s="25" t="n"/>
      <c r="E528" s="26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1">
        <f>IF(D528="","",IF(B528="","No date",IF(AND(C528="Paying back",R528=0),"To whom?",IF(AA528=0,"Nobody",IF(C528="Paying back","To "&amp;INDEX(Housemates!$B$8:$B$15,MATCH(MAX(S528:Z528),S528:Z528,0)),IF(R528&gt;0,IF(COUNTIF(S528:Z528,"&gt;0")=1,"1 person",COUNTIF(S528:Z528,"&gt;0")&amp;" people"),IF(Q528=0,"Everyone",INDEX(Bills!$Q$6:$Q$25,Q528))))))))</f>
        <v/>
      </c>
      <c r="O528" s="18">
        <f>IF(D528="","",IF(C528="Paying back","Paying back",IF(Q528=0,"Other",IF(INDEX(Bills!$C$6:$C$25,Q528)="","Other",INDEX(Bills!$C$6:$C$25,Q528)))))</f>
        <v/>
      </c>
      <c r="P528" s="1" t="n"/>
      <c r="Q528">
        <f>IF(C528="",0,IFERROR(MATCH(C528,Bills!$B$6:$B$25,0),0))</f>
        <v/>
      </c>
      <c r="R528">
        <f>COUNTA(F528:M528)</f>
        <v/>
      </c>
      <c r="S528">
        <f>IF(OR($D528="",$B528="",Housemates!$B$8=""),0,IF($R528&gt;0,IF(F528="",0,IF(ISNUMBER(F528),F528,1)),IF($C528="Paying back",0,IF(AND(OR(Housemates!$C$8="",Housemates!$C$8&lt;=$B528),OR(Housemates!$D$8="",Housemates!$D$8&gt;=$B528)),IF($Q528=0,1,INDEX(Bills!$AA$6:$AA$25,$Q528)),0))))</f>
        <v/>
      </c>
      <c r="T528">
        <f>IF(OR($D528="",$B528="",Housemates!$B$9=""),0,IF($R528&gt;0,IF(G528="",0,IF(ISNUMBER(G528),G528,1)),IF($C528="Paying back",0,IF(AND(OR(Housemates!$C$9="",Housemates!$C$9&lt;=$B528),OR(Housemates!$D$9="",Housemates!$D$9&gt;=$B528)),IF($Q528=0,1,INDEX(Bills!$AB$6:$AB$25,$Q528)),0))))</f>
        <v/>
      </c>
      <c r="U528">
        <f>IF(OR($D528="",$B528="",Housemates!$B$10=""),0,IF($R528&gt;0,IF(H528="",0,IF(ISNUMBER(H528),H528,1)),IF($C528="Paying back",0,IF(AND(OR(Housemates!$C$10="",Housemates!$C$10&lt;=$B528),OR(Housemates!$D$10="",Housemates!$D$10&gt;=$B528)),IF($Q528=0,1,INDEX(Bills!$AC$6:$AC$25,$Q528)),0))))</f>
        <v/>
      </c>
      <c r="V528">
        <f>IF(OR($D528="",$B528="",Housemates!$B$11=""),0,IF($R528&gt;0,IF(I528="",0,IF(ISNUMBER(I528),I528,1)),IF($C528="Paying back",0,IF(AND(OR(Housemates!$C$11="",Housemates!$C$11&lt;=$B528),OR(Housemates!$D$11="",Housemates!$D$11&gt;=$B528)),IF($Q528=0,1,INDEX(Bills!$AD$6:$AD$25,$Q528)),0))))</f>
        <v/>
      </c>
      <c r="W528">
        <f>IF(OR($D528="",$B528="",Housemates!$B$12=""),0,IF($R528&gt;0,IF(J528="",0,IF(ISNUMBER(J528),J528,1)),IF($C528="Paying back",0,IF(AND(OR(Housemates!$C$12="",Housemates!$C$12&lt;=$B528),OR(Housemates!$D$12="",Housemates!$D$12&gt;=$B528)),IF($Q528=0,1,INDEX(Bills!$AE$6:$AE$25,$Q528)),0))))</f>
        <v/>
      </c>
      <c r="X528">
        <f>IF(OR($D528="",$B528="",Housemates!$B$13=""),0,IF($R528&gt;0,IF(K528="",0,IF(ISNUMBER(K528),K528,1)),IF($C528="Paying back",0,IF(AND(OR(Housemates!$C$13="",Housemates!$C$13&lt;=$B528),OR(Housemates!$D$13="",Housemates!$D$13&gt;=$B528)),IF($Q528=0,1,INDEX(Bills!$AF$6:$AF$25,$Q528)),0))))</f>
        <v/>
      </c>
      <c r="Y528">
        <f>IF(OR($D528="",$B528="",Housemates!$B$14=""),0,IF($R528&gt;0,IF(L528="",0,IF(ISNUMBER(L528),L528,1)),IF($C528="Paying back",0,IF(AND(OR(Housemates!$C$14="",Housemates!$C$14&lt;=$B528),OR(Housemates!$D$14="",Housemates!$D$14&gt;=$B528)),IF($Q528=0,1,INDEX(Bills!$AG$6:$AG$25,$Q528)),0))))</f>
        <v/>
      </c>
      <c r="Z528">
        <f>IF(OR($D528="",$B528="",Housemates!$B$15=""),0,IF($R528&gt;0,IF(M528="",0,IF(ISNUMBER(M528),M528,1)),IF($C528="Paying back",0,IF(AND(OR(Housemates!$C$15="",Housemates!$C$15&lt;=$B528),OR(Housemates!$D$15="",Housemates!$D$15&gt;=$B528)),IF($Q528=0,1,INDEX(Bills!$AH$6:$AH$25,$Q528)),0))))</f>
        <v/>
      </c>
      <c r="AA528">
        <f>SUM(S528:Z528)</f>
        <v/>
      </c>
      <c r="AB528">
        <f>IF(AA528=0,0,D528*S528/AA528)</f>
        <v/>
      </c>
      <c r="AC528">
        <f>IF(AA528=0,0,D528*T528/AA528)</f>
        <v/>
      </c>
      <c r="AD528">
        <f>IF(AA528=0,0,D528*U528/AA528)</f>
        <v/>
      </c>
      <c r="AE528">
        <f>IF(AA528=0,0,D528*V528/AA528)</f>
        <v/>
      </c>
      <c r="AF528">
        <f>IF(AA528=0,0,D528*W528/AA528)</f>
        <v/>
      </c>
      <c r="AG528">
        <f>IF(AA528=0,0,D528*X528/AA528)</f>
        <v/>
      </c>
      <c r="AH528">
        <f>IF(AA528=0,0,D528*Y528/AA528)</f>
        <v/>
      </c>
      <c r="AI528">
        <f>IF(AA528=0,0,D528*Z528/AA528)</f>
        <v/>
      </c>
      <c r="AJ528">
        <f>IF(OR(C528="",B528=""),"",C528&amp;"|"&amp;(YEAR(B528)*100+MONTH(B528)))</f>
        <v/>
      </c>
    </row>
    <row r="529">
      <c r="A529" s="1" t="n"/>
      <c r="B529" s="23" t="n"/>
      <c r="C529" s="24" t="n"/>
      <c r="D529" s="25" t="n"/>
      <c r="E529" s="26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1">
        <f>IF(D529="","",IF(B529="","No date",IF(AND(C529="Paying back",R529=0),"To whom?",IF(AA529=0,"Nobody",IF(C529="Paying back","To "&amp;INDEX(Housemates!$B$8:$B$15,MATCH(MAX(S529:Z529),S529:Z529,0)),IF(R529&gt;0,IF(COUNTIF(S529:Z529,"&gt;0")=1,"1 person",COUNTIF(S529:Z529,"&gt;0")&amp;" people"),IF(Q529=0,"Everyone",INDEX(Bills!$Q$6:$Q$25,Q529))))))))</f>
        <v/>
      </c>
      <c r="O529" s="18">
        <f>IF(D529="","",IF(C529="Paying back","Paying back",IF(Q529=0,"Other",IF(INDEX(Bills!$C$6:$C$25,Q529)="","Other",INDEX(Bills!$C$6:$C$25,Q529)))))</f>
        <v/>
      </c>
      <c r="P529" s="1" t="n"/>
      <c r="Q529">
        <f>IF(C529="",0,IFERROR(MATCH(C529,Bills!$B$6:$B$25,0),0))</f>
        <v/>
      </c>
      <c r="R529">
        <f>COUNTA(F529:M529)</f>
        <v/>
      </c>
      <c r="S529">
        <f>IF(OR($D529="",$B529="",Housemates!$B$8=""),0,IF($R529&gt;0,IF(F529="",0,IF(ISNUMBER(F529),F529,1)),IF($C529="Paying back",0,IF(AND(OR(Housemates!$C$8="",Housemates!$C$8&lt;=$B529),OR(Housemates!$D$8="",Housemates!$D$8&gt;=$B529)),IF($Q529=0,1,INDEX(Bills!$AA$6:$AA$25,$Q529)),0))))</f>
        <v/>
      </c>
      <c r="T529">
        <f>IF(OR($D529="",$B529="",Housemates!$B$9=""),0,IF($R529&gt;0,IF(G529="",0,IF(ISNUMBER(G529),G529,1)),IF($C529="Paying back",0,IF(AND(OR(Housemates!$C$9="",Housemates!$C$9&lt;=$B529),OR(Housemates!$D$9="",Housemates!$D$9&gt;=$B529)),IF($Q529=0,1,INDEX(Bills!$AB$6:$AB$25,$Q529)),0))))</f>
        <v/>
      </c>
      <c r="U529">
        <f>IF(OR($D529="",$B529="",Housemates!$B$10=""),0,IF($R529&gt;0,IF(H529="",0,IF(ISNUMBER(H529),H529,1)),IF($C529="Paying back",0,IF(AND(OR(Housemates!$C$10="",Housemates!$C$10&lt;=$B529),OR(Housemates!$D$10="",Housemates!$D$10&gt;=$B529)),IF($Q529=0,1,INDEX(Bills!$AC$6:$AC$25,$Q529)),0))))</f>
        <v/>
      </c>
      <c r="V529">
        <f>IF(OR($D529="",$B529="",Housemates!$B$11=""),0,IF($R529&gt;0,IF(I529="",0,IF(ISNUMBER(I529),I529,1)),IF($C529="Paying back",0,IF(AND(OR(Housemates!$C$11="",Housemates!$C$11&lt;=$B529),OR(Housemates!$D$11="",Housemates!$D$11&gt;=$B529)),IF($Q529=0,1,INDEX(Bills!$AD$6:$AD$25,$Q529)),0))))</f>
        <v/>
      </c>
      <c r="W529">
        <f>IF(OR($D529="",$B529="",Housemates!$B$12=""),0,IF($R529&gt;0,IF(J529="",0,IF(ISNUMBER(J529),J529,1)),IF($C529="Paying back",0,IF(AND(OR(Housemates!$C$12="",Housemates!$C$12&lt;=$B529),OR(Housemates!$D$12="",Housemates!$D$12&gt;=$B529)),IF($Q529=0,1,INDEX(Bills!$AE$6:$AE$25,$Q529)),0))))</f>
        <v/>
      </c>
      <c r="X529">
        <f>IF(OR($D529="",$B529="",Housemates!$B$13=""),0,IF($R529&gt;0,IF(K529="",0,IF(ISNUMBER(K529),K529,1)),IF($C529="Paying back",0,IF(AND(OR(Housemates!$C$13="",Housemates!$C$13&lt;=$B529),OR(Housemates!$D$13="",Housemates!$D$13&gt;=$B529)),IF($Q529=0,1,INDEX(Bills!$AF$6:$AF$25,$Q529)),0))))</f>
        <v/>
      </c>
      <c r="Y529">
        <f>IF(OR($D529="",$B529="",Housemates!$B$14=""),0,IF($R529&gt;0,IF(L529="",0,IF(ISNUMBER(L529),L529,1)),IF($C529="Paying back",0,IF(AND(OR(Housemates!$C$14="",Housemates!$C$14&lt;=$B529),OR(Housemates!$D$14="",Housemates!$D$14&gt;=$B529)),IF($Q529=0,1,INDEX(Bills!$AG$6:$AG$25,$Q529)),0))))</f>
        <v/>
      </c>
      <c r="Z529">
        <f>IF(OR($D529="",$B529="",Housemates!$B$15=""),0,IF($R529&gt;0,IF(M529="",0,IF(ISNUMBER(M529),M529,1)),IF($C529="Paying back",0,IF(AND(OR(Housemates!$C$15="",Housemates!$C$15&lt;=$B529),OR(Housemates!$D$15="",Housemates!$D$15&gt;=$B529)),IF($Q529=0,1,INDEX(Bills!$AH$6:$AH$25,$Q529)),0))))</f>
        <v/>
      </c>
      <c r="AA529">
        <f>SUM(S529:Z529)</f>
        <v/>
      </c>
      <c r="AB529">
        <f>IF(AA529=0,0,D529*S529/AA529)</f>
        <v/>
      </c>
      <c r="AC529">
        <f>IF(AA529=0,0,D529*T529/AA529)</f>
        <v/>
      </c>
      <c r="AD529">
        <f>IF(AA529=0,0,D529*U529/AA529)</f>
        <v/>
      </c>
      <c r="AE529">
        <f>IF(AA529=0,0,D529*V529/AA529)</f>
        <v/>
      </c>
      <c r="AF529">
        <f>IF(AA529=0,0,D529*W529/AA529)</f>
        <v/>
      </c>
      <c r="AG529">
        <f>IF(AA529=0,0,D529*X529/AA529)</f>
        <v/>
      </c>
      <c r="AH529">
        <f>IF(AA529=0,0,D529*Y529/AA529)</f>
        <v/>
      </c>
      <c r="AI529">
        <f>IF(AA529=0,0,D529*Z529/AA529)</f>
        <v/>
      </c>
      <c r="AJ529">
        <f>IF(OR(C529="",B529=""),"",C529&amp;"|"&amp;(YEAR(B529)*100+MONTH(B529)))</f>
        <v/>
      </c>
    </row>
    <row r="530">
      <c r="A530" s="1" t="n"/>
      <c r="B530" s="23" t="n"/>
      <c r="C530" s="24" t="n"/>
      <c r="D530" s="25" t="n"/>
      <c r="E530" s="26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1">
        <f>IF(D530="","",IF(B530="","No date",IF(AND(C530="Paying back",R530=0),"To whom?",IF(AA530=0,"Nobody",IF(C530="Paying back","To "&amp;INDEX(Housemates!$B$8:$B$15,MATCH(MAX(S530:Z530),S530:Z530,0)),IF(R530&gt;0,IF(COUNTIF(S530:Z530,"&gt;0")=1,"1 person",COUNTIF(S530:Z530,"&gt;0")&amp;" people"),IF(Q530=0,"Everyone",INDEX(Bills!$Q$6:$Q$25,Q530))))))))</f>
        <v/>
      </c>
      <c r="O530" s="18">
        <f>IF(D530="","",IF(C530="Paying back","Paying back",IF(Q530=0,"Other",IF(INDEX(Bills!$C$6:$C$25,Q530)="","Other",INDEX(Bills!$C$6:$C$25,Q530)))))</f>
        <v/>
      </c>
      <c r="P530" s="1" t="n"/>
      <c r="Q530">
        <f>IF(C530="",0,IFERROR(MATCH(C530,Bills!$B$6:$B$25,0),0))</f>
        <v/>
      </c>
      <c r="R530">
        <f>COUNTA(F530:M530)</f>
        <v/>
      </c>
      <c r="S530">
        <f>IF(OR($D530="",$B530="",Housemates!$B$8=""),0,IF($R530&gt;0,IF(F530="",0,IF(ISNUMBER(F530),F530,1)),IF($C530="Paying back",0,IF(AND(OR(Housemates!$C$8="",Housemates!$C$8&lt;=$B530),OR(Housemates!$D$8="",Housemates!$D$8&gt;=$B530)),IF($Q530=0,1,INDEX(Bills!$AA$6:$AA$25,$Q530)),0))))</f>
        <v/>
      </c>
      <c r="T530">
        <f>IF(OR($D530="",$B530="",Housemates!$B$9=""),0,IF($R530&gt;0,IF(G530="",0,IF(ISNUMBER(G530),G530,1)),IF($C530="Paying back",0,IF(AND(OR(Housemates!$C$9="",Housemates!$C$9&lt;=$B530),OR(Housemates!$D$9="",Housemates!$D$9&gt;=$B530)),IF($Q530=0,1,INDEX(Bills!$AB$6:$AB$25,$Q530)),0))))</f>
        <v/>
      </c>
      <c r="U530">
        <f>IF(OR($D530="",$B530="",Housemates!$B$10=""),0,IF($R530&gt;0,IF(H530="",0,IF(ISNUMBER(H530),H530,1)),IF($C530="Paying back",0,IF(AND(OR(Housemates!$C$10="",Housemates!$C$10&lt;=$B530),OR(Housemates!$D$10="",Housemates!$D$10&gt;=$B530)),IF($Q530=0,1,INDEX(Bills!$AC$6:$AC$25,$Q530)),0))))</f>
        <v/>
      </c>
      <c r="V530">
        <f>IF(OR($D530="",$B530="",Housemates!$B$11=""),0,IF($R530&gt;0,IF(I530="",0,IF(ISNUMBER(I530),I530,1)),IF($C530="Paying back",0,IF(AND(OR(Housemates!$C$11="",Housemates!$C$11&lt;=$B530),OR(Housemates!$D$11="",Housemates!$D$11&gt;=$B530)),IF($Q530=0,1,INDEX(Bills!$AD$6:$AD$25,$Q530)),0))))</f>
        <v/>
      </c>
      <c r="W530">
        <f>IF(OR($D530="",$B530="",Housemates!$B$12=""),0,IF($R530&gt;0,IF(J530="",0,IF(ISNUMBER(J530),J530,1)),IF($C530="Paying back",0,IF(AND(OR(Housemates!$C$12="",Housemates!$C$12&lt;=$B530),OR(Housemates!$D$12="",Housemates!$D$12&gt;=$B530)),IF($Q530=0,1,INDEX(Bills!$AE$6:$AE$25,$Q530)),0))))</f>
        <v/>
      </c>
      <c r="X530">
        <f>IF(OR($D530="",$B530="",Housemates!$B$13=""),0,IF($R530&gt;0,IF(K530="",0,IF(ISNUMBER(K530),K530,1)),IF($C530="Paying back",0,IF(AND(OR(Housemates!$C$13="",Housemates!$C$13&lt;=$B530),OR(Housemates!$D$13="",Housemates!$D$13&gt;=$B530)),IF($Q530=0,1,INDEX(Bills!$AF$6:$AF$25,$Q530)),0))))</f>
        <v/>
      </c>
      <c r="Y530">
        <f>IF(OR($D530="",$B530="",Housemates!$B$14=""),0,IF($R530&gt;0,IF(L530="",0,IF(ISNUMBER(L530),L530,1)),IF($C530="Paying back",0,IF(AND(OR(Housemates!$C$14="",Housemates!$C$14&lt;=$B530),OR(Housemates!$D$14="",Housemates!$D$14&gt;=$B530)),IF($Q530=0,1,INDEX(Bills!$AG$6:$AG$25,$Q530)),0))))</f>
        <v/>
      </c>
      <c r="Z530">
        <f>IF(OR($D530="",$B530="",Housemates!$B$15=""),0,IF($R530&gt;0,IF(M530="",0,IF(ISNUMBER(M530),M530,1)),IF($C530="Paying back",0,IF(AND(OR(Housemates!$C$15="",Housemates!$C$15&lt;=$B530),OR(Housemates!$D$15="",Housemates!$D$15&gt;=$B530)),IF($Q530=0,1,INDEX(Bills!$AH$6:$AH$25,$Q530)),0))))</f>
        <v/>
      </c>
      <c r="AA530">
        <f>SUM(S530:Z530)</f>
        <v/>
      </c>
      <c r="AB530">
        <f>IF(AA530=0,0,D530*S530/AA530)</f>
        <v/>
      </c>
      <c r="AC530">
        <f>IF(AA530=0,0,D530*T530/AA530)</f>
        <v/>
      </c>
      <c r="AD530">
        <f>IF(AA530=0,0,D530*U530/AA530)</f>
        <v/>
      </c>
      <c r="AE530">
        <f>IF(AA530=0,0,D530*V530/AA530)</f>
        <v/>
      </c>
      <c r="AF530">
        <f>IF(AA530=0,0,D530*W530/AA530)</f>
        <v/>
      </c>
      <c r="AG530">
        <f>IF(AA530=0,0,D530*X530/AA530)</f>
        <v/>
      </c>
      <c r="AH530">
        <f>IF(AA530=0,0,D530*Y530/AA530)</f>
        <v/>
      </c>
      <c r="AI530">
        <f>IF(AA530=0,0,D530*Z530/AA530)</f>
        <v/>
      </c>
      <c r="AJ530">
        <f>IF(OR(C530="",B530=""),"",C530&amp;"|"&amp;(YEAR(B530)*100+MONTH(B530)))</f>
        <v/>
      </c>
    </row>
    <row r="531">
      <c r="A531" s="1" t="n"/>
      <c r="B531" s="23" t="n"/>
      <c r="C531" s="24" t="n"/>
      <c r="D531" s="25" t="n"/>
      <c r="E531" s="26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1">
        <f>IF(D531="","",IF(B531="","No date",IF(AND(C531="Paying back",R531=0),"To whom?",IF(AA531=0,"Nobody",IF(C531="Paying back","To "&amp;INDEX(Housemates!$B$8:$B$15,MATCH(MAX(S531:Z531),S531:Z531,0)),IF(R531&gt;0,IF(COUNTIF(S531:Z531,"&gt;0")=1,"1 person",COUNTIF(S531:Z531,"&gt;0")&amp;" people"),IF(Q531=0,"Everyone",INDEX(Bills!$Q$6:$Q$25,Q531))))))))</f>
        <v/>
      </c>
      <c r="O531" s="18">
        <f>IF(D531="","",IF(C531="Paying back","Paying back",IF(Q531=0,"Other",IF(INDEX(Bills!$C$6:$C$25,Q531)="","Other",INDEX(Bills!$C$6:$C$25,Q531)))))</f>
        <v/>
      </c>
      <c r="P531" s="1" t="n"/>
      <c r="Q531">
        <f>IF(C531="",0,IFERROR(MATCH(C531,Bills!$B$6:$B$25,0),0))</f>
        <v/>
      </c>
      <c r="R531">
        <f>COUNTA(F531:M531)</f>
        <v/>
      </c>
      <c r="S531">
        <f>IF(OR($D531="",$B531="",Housemates!$B$8=""),0,IF($R531&gt;0,IF(F531="",0,IF(ISNUMBER(F531),F531,1)),IF($C531="Paying back",0,IF(AND(OR(Housemates!$C$8="",Housemates!$C$8&lt;=$B531),OR(Housemates!$D$8="",Housemates!$D$8&gt;=$B531)),IF($Q531=0,1,INDEX(Bills!$AA$6:$AA$25,$Q531)),0))))</f>
        <v/>
      </c>
      <c r="T531">
        <f>IF(OR($D531="",$B531="",Housemates!$B$9=""),0,IF($R531&gt;0,IF(G531="",0,IF(ISNUMBER(G531),G531,1)),IF($C531="Paying back",0,IF(AND(OR(Housemates!$C$9="",Housemates!$C$9&lt;=$B531),OR(Housemates!$D$9="",Housemates!$D$9&gt;=$B531)),IF($Q531=0,1,INDEX(Bills!$AB$6:$AB$25,$Q531)),0))))</f>
        <v/>
      </c>
      <c r="U531">
        <f>IF(OR($D531="",$B531="",Housemates!$B$10=""),0,IF($R531&gt;0,IF(H531="",0,IF(ISNUMBER(H531),H531,1)),IF($C531="Paying back",0,IF(AND(OR(Housemates!$C$10="",Housemates!$C$10&lt;=$B531),OR(Housemates!$D$10="",Housemates!$D$10&gt;=$B531)),IF($Q531=0,1,INDEX(Bills!$AC$6:$AC$25,$Q531)),0))))</f>
        <v/>
      </c>
      <c r="V531">
        <f>IF(OR($D531="",$B531="",Housemates!$B$11=""),0,IF($R531&gt;0,IF(I531="",0,IF(ISNUMBER(I531),I531,1)),IF($C531="Paying back",0,IF(AND(OR(Housemates!$C$11="",Housemates!$C$11&lt;=$B531),OR(Housemates!$D$11="",Housemates!$D$11&gt;=$B531)),IF($Q531=0,1,INDEX(Bills!$AD$6:$AD$25,$Q531)),0))))</f>
        <v/>
      </c>
      <c r="W531">
        <f>IF(OR($D531="",$B531="",Housemates!$B$12=""),0,IF($R531&gt;0,IF(J531="",0,IF(ISNUMBER(J531),J531,1)),IF($C531="Paying back",0,IF(AND(OR(Housemates!$C$12="",Housemates!$C$12&lt;=$B531),OR(Housemates!$D$12="",Housemates!$D$12&gt;=$B531)),IF($Q531=0,1,INDEX(Bills!$AE$6:$AE$25,$Q531)),0))))</f>
        <v/>
      </c>
      <c r="X531">
        <f>IF(OR($D531="",$B531="",Housemates!$B$13=""),0,IF($R531&gt;0,IF(K531="",0,IF(ISNUMBER(K531),K531,1)),IF($C531="Paying back",0,IF(AND(OR(Housemates!$C$13="",Housemates!$C$13&lt;=$B531),OR(Housemates!$D$13="",Housemates!$D$13&gt;=$B531)),IF($Q531=0,1,INDEX(Bills!$AF$6:$AF$25,$Q531)),0))))</f>
        <v/>
      </c>
      <c r="Y531">
        <f>IF(OR($D531="",$B531="",Housemates!$B$14=""),0,IF($R531&gt;0,IF(L531="",0,IF(ISNUMBER(L531),L531,1)),IF($C531="Paying back",0,IF(AND(OR(Housemates!$C$14="",Housemates!$C$14&lt;=$B531),OR(Housemates!$D$14="",Housemates!$D$14&gt;=$B531)),IF($Q531=0,1,INDEX(Bills!$AG$6:$AG$25,$Q531)),0))))</f>
        <v/>
      </c>
      <c r="Z531">
        <f>IF(OR($D531="",$B531="",Housemates!$B$15=""),0,IF($R531&gt;0,IF(M531="",0,IF(ISNUMBER(M531),M531,1)),IF($C531="Paying back",0,IF(AND(OR(Housemates!$C$15="",Housemates!$C$15&lt;=$B531),OR(Housemates!$D$15="",Housemates!$D$15&gt;=$B531)),IF($Q531=0,1,INDEX(Bills!$AH$6:$AH$25,$Q531)),0))))</f>
        <v/>
      </c>
      <c r="AA531">
        <f>SUM(S531:Z531)</f>
        <v/>
      </c>
      <c r="AB531">
        <f>IF(AA531=0,0,D531*S531/AA531)</f>
        <v/>
      </c>
      <c r="AC531">
        <f>IF(AA531=0,0,D531*T531/AA531)</f>
        <v/>
      </c>
      <c r="AD531">
        <f>IF(AA531=0,0,D531*U531/AA531)</f>
        <v/>
      </c>
      <c r="AE531">
        <f>IF(AA531=0,0,D531*V531/AA531)</f>
        <v/>
      </c>
      <c r="AF531">
        <f>IF(AA531=0,0,D531*W531/AA531)</f>
        <v/>
      </c>
      <c r="AG531">
        <f>IF(AA531=0,0,D531*X531/AA531)</f>
        <v/>
      </c>
      <c r="AH531">
        <f>IF(AA531=0,0,D531*Y531/AA531)</f>
        <v/>
      </c>
      <c r="AI531">
        <f>IF(AA531=0,0,D531*Z531/AA531)</f>
        <v/>
      </c>
      <c r="AJ531">
        <f>IF(OR(C531="",B531=""),"",C531&amp;"|"&amp;(YEAR(B531)*100+MONTH(B531)))</f>
        <v/>
      </c>
    </row>
    <row r="532">
      <c r="A532" s="1" t="n"/>
      <c r="B532" s="23" t="n"/>
      <c r="C532" s="24" t="n"/>
      <c r="D532" s="25" t="n"/>
      <c r="E532" s="26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1">
        <f>IF(D532="","",IF(B532="","No date",IF(AND(C532="Paying back",R532=0),"To whom?",IF(AA532=0,"Nobody",IF(C532="Paying back","To "&amp;INDEX(Housemates!$B$8:$B$15,MATCH(MAX(S532:Z532),S532:Z532,0)),IF(R532&gt;0,IF(COUNTIF(S532:Z532,"&gt;0")=1,"1 person",COUNTIF(S532:Z532,"&gt;0")&amp;" people"),IF(Q532=0,"Everyone",INDEX(Bills!$Q$6:$Q$25,Q532))))))))</f>
        <v/>
      </c>
      <c r="O532" s="18">
        <f>IF(D532="","",IF(C532="Paying back","Paying back",IF(Q532=0,"Other",IF(INDEX(Bills!$C$6:$C$25,Q532)="","Other",INDEX(Bills!$C$6:$C$25,Q532)))))</f>
        <v/>
      </c>
      <c r="P532" s="1" t="n"/>
      <c r="Q532">
        <f>IF(C532="",0,IFERROR(MATCH(C532,Bills!$B$6:$B$25,0),0))</f>
        <v/>
      </c>
      <c r="R532">
        <f>COUNTA(F532:M532)</f>
        <v/>
      </c>
      <c r="S532">
        <f>IF(OR($D532="",$B532="",Housemates!$B$8=""),0,IF($R532&gt;0,IF(F532="",0,IF(ISNUMBER(F532),F532,1)),IF($C532="Paying back",0,IF(AND(OR(Housemates!$C$8="",Housemates!$C$8&lt;=$B532),OR(Housemates!$D$8="",Housemates!$D$8&gt;=$B532)),IF($Q532=0,1,INDEX(Bills!$AA$6:$AA$25,$Q532)),0))))</f>
        <v/>
      </c>
      <c r="T532">
        <f>IF(OR($D532="",$B532="",Housemates!$B$9=""),0,IF($R532&gt;0,IF(G532="",0,IF(ISNUMBER(G532),G532,1)),IF($C532="Paying back",0,IF(AND(OR(Housemates!$C$9="",Housemates!$C$9&lt;=$B532),OR(Housemates!$D$9="",Housemates!$D$9&gt;=$B532)),IF($Q532=0,1,INDEX(Bills!$AB$6:$AB$25,$Q532)),0))))</f>
        <v/>
      </c>
      <c r="U532">
        <f>IF(OR($D532="",$B532="",Housemates!$B$10=""),0,IF($R532&gt;0,IF(H532="",0,IF(ISNUMBER(H532),H532,1)),IF($C532="Paying back",0,IF(AND(OR(Housemates!$C$10="",Housemates!$C$10&lt;=$B532),OR(Housemates!$D$10="",Housemates!$D$10&gt;=$B532)),IF($Q532=0,1,INDEX(Bills!$AC$6:$AC$25,$Q532)),0))))</f>
        <v/>
      </c>
      <c r="V532">
        <f>IF(OR($D532="",$B532="",Housemates!$B$11=""),0,IF($R532&gt;0,IF(I532="",0,IF(ISNUMBER(I532),I532,1)),IF($C532="Paying back",0,IF(AND(OR(Housemates!$C$11="",Housemates!$C$11&lt;=$B532),OR(Housemates!$D$11="",Housemates!$D$11&gt;=$B532)),IF($Q532=0,1,INDEX(Bills!$AD$6:$AD$25,$Q532)),0))))</f>
        <v/>
      </c>
      <c r="W532">
        <f>IF(OR($D532="",$B532="",Housemates!$B$12=""),0,IF($R532&gt;0,IF(J532="",0,IF(ISNUMBER(J532),J532,1)),IF($C532="Paying back",0,IF(AND(OR(Housemates!$C$12="",Housemates!$C$12&lt;=$B532),OR(Housemates!$D$12="",Housemates!$D$12&gt;=$B532)),IF($Q532=0,1,INDEX(Bills!$AE$6:$AE$25,$Q532)),0))))</f>
        <v/>
      </c>
      <c r="X532">
        <f>IF(OR($D532="",$B532="",Housemates!$B$13=""),0,IF($R532&gt;0,IF(K532="",0,IF(ISNUMBER(K532),K532,1)),IF($C532="Paying back",0,IF(AND(OR(Housemates!$C$13="",Housemates!$C$13&lt;=$B532),OR(Housemates!$D$13="",Housemates!$D$13&gt;=$B532)),IF($Q532=0,1,INDEX(Bills!$AF$6:$AF$25,$Q532)),0))))</f>
        <v/>
      </c>
      <c r="Y532">
        <f>IF(OR($D532="",$B532="",Housemates!$B$14=""),0,IF($R532&gt;0,IF(L532="",0,IF(ISNUMBER(L532),L532,1)),IF($C532="Paying back",0,IF(AND(OR(Housemates!$C$14="",Housemates!$C$14&lt;=$B532),OR(Housemates!$D$14="",Housemates!$D$14&gt;=$B532)),IF($Q532=0,1,INDEX(Bills!$AG$6:$AG$25,$Q532)),0))))</f>
        <v/>
      </c>
      <c r="Z532">
        <f>IF(OR($D532="",$B532="",Housemates!$B$15=""),0,IF($R532&gt;0,IF(M532="",0,IF(ISNUMBER(M532),M532,1)),IF($C532="Paying back",0,IF(AND(OR(Housemates!$C$15="",Housemates!$C$15&lt;=$B532),OR(Housemates!$D$15="",Housemates!$D$15&gt;=$B532)),IF($Q532=0,1,INDEX(Bills!$AH$6:$AH$25,$Q532)),0))))</f>
        <v/>
      </c>
      <c r="AA532">
        <f>SUM(S532:Z532)</f>
        <v/>
      </c>
      <c r="AB532">
        <f>IF(AA532=0,0,D532*S532/AA532)</f>
        <v/>
      </c>
      <c r="AC532">
        <f>IF(AA532=0,0,D532*T532/AA532)</f>
        <v/>
      </c>
      <c r="AD532">
        <f>IF(AA532=0,0,D532*U532/AA532)</f>
        <v/>
      </c>
      <c r="AE532">
        <f>IF(AA532=0,0,D532*V532/AA532)</f>
        <v/>
      </c>
      <c r="AF532">
        <f>IF(AA532=0,0,D532*W532/AA532)</f>
        <v/>
      </c>
      <c r="AG532">
        <f>IF(AA532=0,0,D532*X532/AA532)</f>
        <v/>
      </c>
      <c r="AH532">
        <f>IF(AA532=0,0,D532*Y532/AA532)</f>
        <v/>
      </c>
      <c r="AI532">
        <f>IF(AA532=0,0,D532*Z532/AA532)</f>
        <v/>
      </c>
      <c r="AJ532">
        <f>IF(OR(C532="",B532=""),"",C532&amp;"|"&amp;(YEAR(B532)*100+MONTH(B532)))</f>
        <v/>
      </c>
    </row>
    <row r="533">
      <c r="A533" s="1" t="n"/>
      <c r="B533" s="23" t="n"/>
      <c r="C533" s="24" t="n"/>
      <c r="D533" s="25" t="n"/>
      <c r="E533" s="26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1">
        <f>IF(D533="","",IF(B533="","No date",IF(AND(C533="Paying back",R533=0),"To whom?",IF(AA533=0,"Nobody",IF(C533="Paying back","To "&amp;INDEX(Housemates!$B$8:$B$15,MATCH(MAX(S533:Z533),S533:Z533,0)),IF(R533&gt;0,IF(COUNTIF(S533:Z533,"&gt;0")=1,"1 person",COUNTIF(S533:Z533,"&gt;0")&amp;" people"),IF(Q533=0,"Everyone",INDEX(Bills!$Q$6:$Q$25,Q533))))))))</f>
        <v/>
      </c>
      <c r="O533" s="18">
        <f>IF(D533="","",IF(C533="Paying back","Paying back",IF(Q533=0,"Other",IF(INDEX(Bills!$C$6:$C$25,Q533)="","Other",INDEX(Bills!$C$6:$C$25,Q533)))))</f>
        <v/>
      </c>
      <c r="P533" s="1" t="n"/>
      <c r="Q533">
        <f>IF(C533="",0,IFERROR(MATCH(C533,Bills!$B$6:$B$25,0),0))</f>
        <v/>
      </c>
      <c r="R533">
        <f>COUNTA(F533:M533)</f>
        <v/>
      </c>
      <c r="S533">
        <f>IF(OR($D533="",$B533="",Housemates!$B$8=""),0,IF($R533&gt;0,IF(F533="",0,IF(ISNUMBER(F533),F533,1)),IF($C533="Paying back",0,IF(AND(OR(Housemates!$C$8="",Housemates!$C$8&lt;=$B533),OR(Housemates!$D$8="",Housemates!$D$8&gt;=$B533)),IF($Q533=0,1,INDEX(Bills!$AA$6:$AA$25,$Q533)),0))))</f>
        <v/>
      </c>
      <c r="T533">
        <f>IF(OR($D533="",$B533="",Housemates!$B$9=""),0,IF($R533&gt;0,IF(G533="",0,IF(ISNUMBER(G533),G533,1)),IF($C533="Paying back",0,IF(AND(OR(Housemates!$C$9="",Housemates!$C$9&lt;=$B533),OR(Housemates!$D$9="",Housemates!$D$9&gt;=$B533)),IF($Q533=0,1,INDEX(Bills!$AB$6:$AB$25,$Q533)),0))))</f>
        <v/>
      </c>
      <c r="U533">
        <f>IF(OR($D533="",$B533="",Housemates!$B$10=""),0,IF($R533&gt;0,IF(H533="",0,IF(ISNUMBER(H533),H533,1)),IF($C533="Paying back",0,IF(AND(OR(Housemates!$C$10="",Housemates!$C$10&lt;=$B533),OR(Housemates!$D$10="",Housemates!$D$10&gt;=$B533)),IF($Q533=0,1,INDEX(Bills!$AC$6:$AC$25,$Q533)),0))))</f>
        <v/>
      </c>
      <c r="V533">
        <f>IF(OR($D533="",$B533="",Housemates!$B$11=""),0,IF($R533&gt;0,IF(I533="",0,IF(ISNUMBER(I533),I533,1)),IF($C533="Paying back",0,IF(AND(OR(Housemates!$C$11="",Housemates!$C$11&lt;=$B533),OR(Housemates!$D$11="",Housemates!$D$11&gt;=$B533)),IF($Q533=0,1,INDEX(Bills!$AD$6:$AD$25,$Q533)),0))))</f>
        <v/>
      </c>
      <c r="W533">
        <f>IF(OR($D533="",$B533="",Housemates!$B$12=""),0,IF($R533&gt;0,IF(J533="",0,IF(ISNUMBER(J533),J533,1)),IF($C533="Paying back",0,IF(AND(OR(Housemates!$C$12="",Housemates!$C$12&lt;=$B533),OR(Housemates!$D$12="",Housemates!$D$12&gt;=$B533)),IF($Q533=0,1,INDEX(Bills!$AE$6:$AE$25,$Q533)),0))))</f>
        <v/>
      </c>
      <c r="X533">
        <f>IF(OR($D533="",$B533="",Housemates!$B$13=""),0,IF($R533&gt;0,IF(K533="",0,IF(ISNUMBER(K533),K533,1)),IF($C533="Paying back",0,IF(AND(OR(Housemates!$C$13="",Housemates!$C$13&lt;=$B533),OR(Housemates!$D$13="",Housemates!$D$13&gt;=$B533)),IF($Q533=0,1,INDEX(Bills!$AF$6:$AF$25,$Q533)),0))))</f>
        <v/>
      </c>
      <c r="Y533">
        <f>IF(OR($D533="",$B533="",Housemates!$B$14=""),0,IF($R533&gt;0,IF(L533="",0,IF(ISNUMBER(L533),L533,1)),IF($C533="Paying back",0,IF(AND(OR(Housemates!$C$14="",Housemates!$C$14&lt;=$B533),OR(Housemates!$D$14="",Housemates!$D$14&gt;=$B533)),IF($Q533=0,1,INDEX(Bills!$AG$6:$AG$25,$Q533)),0))))</f>
        <v/>
      </c>
      <c r="Z533">
        <f>IF(OR($D533="",$B533="",Housemates!$B$15=""),0,IF($R533&gt;0,IF(M533="",0,IF(ISNUMBER(M533),M533,1)),IF($C533="Paying back",0,IF(AND(OR(Housemates!$C$15="",Housemates!$C$15&lt;=$B533),OR(Housemates!$D$15="",Housemates!$D$15&gt;=$B533)),IF($Q533=0,1,INDEX(Bills!$AH$6:$AH$25,$Q533)),0))))</f>
        <v/>
      </c>
      <c r="AA533">
        <f>SUM(S533:Z533)</f>
        <v/>
      </c>
      <c r="AB533">
        <f>IF(AA533=0,0,D533*S533/AA533)</f>
        <v/>
      </c>
      <c r="AC533">
        <f>IF(AA533=0,0,D533*T533/AA533)</f>
        <v/>
      </c>
      <c r="AD533">
        <f>IF(AA533=0,0,D533*U533/AA533)</f>
        <v/>
      </c>
      <c r="AE533">
        <f>IF(AA533=0,0,D533*V533/AA533)</f>
        <v/>
      </c>
      <c r="AF533">
        <f>IF(AA533=0,0,D533*W533/AA533)</f>
        <v/>
      </c>
      <c r="AG533">
        <f>IF(AA533=0,0,D533*X533/AA533)</f>
        <v/>
      </c>
      <c r="AH533">
        <f>IF(AA533=0,0,D533*Y533/AA533)</f>
        <v/>
      </c>
      <c r="AI533">
        <f>IF(AA533=0,0,D533*Z533/AA533)</f>
        <v/>
      </c>
      <c r="AJ533">
        <f>IF(OR(C533="",B533=""),"",C533&amp;"|"&amp;(YEAR(B533)*100+MONTH(B533)))</f>
        <v/>
      </c>
    </row>
    <row r="534">
      <c r="A534" s="1" t="n"/>
      <c r="B534" s="23" t="n"/>
      <c r="C534" s="24" t="n"/>
      <c r="D534" s="25" t="n"/>
      <c r="E534" s="26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1">
        <f>IF(D534="","",IF(B534="","No date",IF(AND(C534="Paying back",R534=0),"To whom?",IF(AA534=0,"Nobody",IF(C534="Paying back","To "&amp;INDEX(Housemates!$B$8:$B$15,MATCH(MAX(S534:Z534),S534:Z534,0)),IF(R534&gt;0,IF(COUNTIF(S534:Z534,"&gt;0")=1,"1 person",COUNTIF(S534:Z534,"&gt;0")&amp;" people"),IF(Q534=0,"Everyone",INDEX(Bills!$Q$6:$Q$25,Q534))))))))</f>
        <v/>
      </c>
      <c r="O534" s="18">
        <f>IF(D534="","",IF(C534="Paying back","Paying back",IF(Q534=0,"Other",IF(INDEX(Bills!$C$6:$C$25,Q534)="","Other",INDEX(Bills!$C$6:$C$25,Q534)))))</f>
        <v/>
      </c>
      <c r="P534" s="1" t="n"/>
      <c r="Q534">
        <f>IF(C534="",0,IFERROR(MATCH(C534,Bills!$B$6:$B$25,0),0))</f>
        <v/>
      </c>
      <c r="R534">
        <f>COUNTA(F534:M534)</f>
        <v/>
      </c>
      <c r="S534">
        <f>IF(OR($D534="",$B534="",Housemates!$B$8=""),0,IF($R534&gt;0,IF(F534="",0,IF(ISNUMBER(F534),F534,1)),IF($C534="Paying back",0,IF(AND(OR(Housemates!$C$8="",Housemates!$C$8&lt;=$B534),OR(Housemates!$D$8="",Housemates!$D$8&gt;=$B534)),IF($Q534=0,1,INDEX(Bills!$AA$6:$AA$25,$Q534)),0))))</f>
        <v/>
      </c>
      <c r="T534">
        <f>IF(OR($D534="",$B534="",Housemates!$B$9=""),0,IF($R534&gt;0,IF(G534="",0,IF(ISNUMBER(G534),G534,1)),IF($C534="Paying back",0,IF(AND(OR(Housemates!$C$9="",Housemates!$C$9&lt;=$B534),OR(Housemates!$D$9="",Housemates!$D$9&gt;=$B534)),IF($Q534=0,1,INDEX(Bills!$AB$6:$AB$25,$Q534)),0))))</f>
        <v/>
      </c>
      <c r="U534">
        <f>IF(OR($D534="",$B534="",Housemates!$B$10=""),0,IF($R534&gt;0,IF(H534="",0,IF(ISNUMBER(H534),H534,1)),IF($C534="Paying back",0,IF(AND(OR(Housemates!$C$10="",Housemates!$C$10&lt;=$B534),OR(Housemates!$D$10="",Housemates!$D$10&gt;=$B534)),IF($Q534=0,1,INDEX(Bills!$AC$6:$AC$25,$Q534)),0))))</f>
        <v/>
      </c>
      <c r="V534">
        <f>IF(OR($D534="",$B534="",Housemates!$B$11=""),0,IF($R534&gt;0,IF(I534="",0,IF(ISNUMBER(I534),I534,1)),IF($C534="Paying back",0,IF(AND(OR(Housemates!$C$11="",Housemates!$C$11&lt;=$B534),OR(Housemates!$D$11="",Housemates!$D$11&gt;=$B534)),IF($Q534=0,1,INDEX(Bills!$AD$6:$AD$25,$Q534)),0))))</f>
        <v/>
      </c>
      <c r="W534">
        <f>IF(OR($D534="",$B534="",Housemates!$B$12=""),0,IF($R534&gt;0,IF(J534="",0,IF(ISNUMBER(J534),J534,1)),IF($C534="Paying back",0,IF(AND(OR(Housemates!$C$12="",Housemates!$C$12&lt;=$B534),OR(Housemates!$D$12="",Housemates!$D$12&gt;=$B534)),IF($Q534=0,1,INDEX(Bills!$AE$6:$AE$25,$Q534)),0))))</f>
        <v/>
      </c>
      <c r="X534">
        <f>IF(OR($D534="",$B534="",Housemates!$B$13=""),0,IF($R534&gt;0,IF(K534="",0,IF(ISNUMBER(K534),K534,1)),IF($C534="Paying back",0,IF(AND(OR(Housemates!$C$13="",Housemates!$C$13&lt;=$B534),OR(Housemates!$D$13="",Housemates!$D$13&gt;=$B534)),IF($Q534=0,1,INDEX(Bills!$AF$6:$AF$25,$Q534)),0))))</f>
        <v/>
      </c>
      <c r="Y534">
        <f>IF(OR($D534="",$B534="",Housemates!$B$14=""),0,IF($R534&gt;0,IF(L534="",0,IF(ISNUMBER(L534),L534,1)),IF($C534="Paying back",0,IF(AND(OR(Housemates!$C$14="",Housemates!$C$14&lt;=$B534),OR(Housemates!$D$14="",Housemates!$D$14&gt;=$B534)),IF($Q534=0,1,INDEX(Bills!$AG$6:$AG$25,$Q534)),0))))</f>
        <v/>
      </c>
      <c r="Z534">
        <f>IF(OR($D534="",$B534="",Housemates!$B$15=""),0,IF($R534&gt;0,IF(M534="",0,IF(ISNUMBER(M534),M534,1)),IF($C534="Paying back",0,IF(AND(OR(Housemates!$C$15="",Housemates!$C$15&lt;=$B534),OR(Housemates!$D$15="",Housemates!$D$15&gt;=$B534)),IF($Q534=0,1,INDEX(Bills!$AH$6:$AH$25,$Q534)),0))))</f>
        <v/>
      </c>
      <c r="AA534">
        <f>SUM(S534:Z534)</f>
        <v/>
      </c>
      <c r="AB534">
        <f>IF(AA534=0,0,D534*S534/AA534)</f>
        <v/>
      </c>
      <c r="AC534">
        <f>IF(AA534=0,0,D534*T534/AA534)</f>
        <v/>
      </c>
      <c r="AD534">
        <f>IF(AA534=0,0,D534*U534/AA534)</f>
        <v/>
      </c>
      <c r="AE534">
        <f>IF(AA534=0,0,D534*V534/AA534)</f>
        <v/>
      </c>
      <c r="AF534">
        <f>IF(AA534=0,0,D534*W534/AA534)</f>
        <v/>
      </c>
      <c r="AG534">
        <f>IF(AA534=0,0,D534*X534/AA534)</f>
        <v/>
      </c>
      <c r="AH534">
        <f>IF(AA534=0,0,D534*Y534/AA534)</f>
        <v/>
      </c>
      <c r="AI534">
        <f>IF(AA534=0,0,D534*Z534/AA534)</f>
        <v/>
      </c>
      <c r="AJ534">
        <f>IF(OR(C534="",B534=""),"",C534&amp;"|"&amp;(YEAR(B534)*100+MONTH(B534)))</f>
        <v/>
      </c>
    </row>
    <row r="535">
      <c r="A535" s="1" t="n"/>
      <c r="B535" s="23" t="n"/>
      <c r="C535" s="24" t="n"/>
      <c r="D535" s="25" t="n"/>
      <c r="E535" s="26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1">
        <f>IF(D535="","",IF(B535="","No date",IF(AND(C535="Paying back",R535=0),"To whom?",IF(AA535=0,"Nobody",IF(C535="Paying back","To "&amp;INDEX(Housemates!$B$8:$B$15,MATCH(MAX(S535:Z535),S535:Z535,0)),IF(R535&gt;0,IF(COUNTIF(S535:Z535,"&gt;0")=1,"1 person",COUNTIF(S535:Z535,"&gt;0")&amp;" people"),IF(Q535=0,"Everyone",INDEX(Bills!$Q$6:$Q$25,Q535))))))))</f>
        <v/>
      </c>
      <c r="O535" s="18">
        <f>IF(D535="","",IF(C535="Paying back","Paying back",IF(Q535=0,"Other",IF(INDEX(Bills!$C$6:$C$25,Q535)="","Other",INDEX(Bills!$C$6:$C$25,Q535)))))</f>
        <v/>
      </c>
      <c r="P535" s="1" t="n"/>
      <c r="Q535">
        <f>IF(C535="",0,IFERROR(MATCH(C535,Bills!$B$6:$B$25,0),0))</f>
        <v/>
      </c>
      <c r="R535">
        <f>COUNTA(F535:M535)</f>
        <v/>
      </c>
      <c r="S535">
        <f>IF(OR($D535="",$B535="",Housemates!$B$8=""),0,IF($R535&gt;0,IF(F535="",0,IF(ISNUMBER(F535),F535,1)),IF($C535="Paying back",0,IF(AND(OR(Housemates!$C$8="",Housemates!$C$8&lt;=$B535),OR(Housemates!$D$8="",Housemates!$D$8&gt;=$B535)),IF($Q535=0,1,INDEX(Bills!$AA$6:$AA$25,$Q535)),0))))</f>
        <v/>
      </c>
      <c r="T535">
        <f>IF(OR($D535="",$B535="",Housemates!$B$9=""),0,IF($R535&gt;0,IF(G535="",0,IF(ISNUMBER(G535),G535,1)),IF($C535="Paying back",0,IF(AND(OR(Housemates!$C$9="",Housemates!$C$9&lt;=$B535),OR(Housemates!$D$9="",Housemates!$D$9&gt;=$B535)),IF($Q535=0,1,INDEX(Bills!$AB$6:$AB$25,$Q535)),0))))</f>
        <v/>
      </c>
      <c r="U535">
        <f>IF(OR($D535="",$B535="",Housemates!$B$10=""),0,IF($R535&gt;0,IF(H535="",0,IF(ISNUMBER(H535),H535,1)),IF($C535="Paying back",0,IF(AND(OR(Housemates!$C$10="",Housemates!$C$10&lt;=$B535),OR(Housemates!$D$10="",Housemates!$D$10&gt;=$B535)),IF($Q535=0,1,INDEX(Bills!$AC$6:$AC$25,$Q535)),0))))</f>
        <v/>
      </c>
      <c r="V535">
        <f>IF(OR($D535="",$B535="",Housemates!$B$11=""),0,IF($R535&gt;0,IF(I535="",0,IF(ISNUMBER(I535),I535,1)),IF($C535="Paying back",0,IF(AND(OR(Housemates!$C$11="",Housemates!$C$11&lt;=$B535),OR(Housemates!$D$11="",Housemates!$D$11&gt;=$B535)),IF($Q535=0,1,INDEX(Bills!$AD$6:$AD$25,$Q535)),0))))</f>
        <v/>
      </c>
      <c r="W535">
        <f>IF(OR($D535="",$B535="",Housemates!$B$12=""),0,IF($R535&gt;0,IF(J535="",0,IF(ISNUMBER(J535),J535,1)),IF($C535="Paying back",0,IF(AND(OR(Housemates!$C$12="",Housemates!$C$12&lt;=$B535),OR(Housemates!$D$12="",Housemates!$D$12&gt;=$B535)),IF($Q535=0,1,INDEX(Bills!$AE$6:$AE$25,$Q535)),0))))</f>
        <v/>
      </c>
      <c r="X535">
        <f>IF(OR($D535="",$B535="",Housemates!$B$13=""),0,IF($R535&gt;0,IF(K535="",0,IF(ISNUMBER(K535),K535,1)),IF($C535="Paying back",0,IF(AND(OR(Housemates!$C$13="",Housemates!$C$13&lt;=$B535),OR(Housemates!$D$13="",Housemates!$D$13&gt;=$B535)),IF($Q535=0,1,INDEX(Bills!$AF$6:$AF$25,$Q535)),0))))</f>
        <v/>
      </c>
      <c r="Y535">
        <f>IF(OR($D535="",$B535="",Housemates!$B$14=""),0,IF($R535&gt;0,IF(L535="",0,IF(ISNUMBER(L535),L535,1)),IF($C535="Paying back",0,IF(AND(OR(Housemates!$C$14="",Housemates!$C$14&lt;=$B535),OR(Housemates!$D$14="",Housemates!$D$14&gt;=$B535)),IF($Q535=0,1,INDEX(Bills!$AG$6:$AG$25,$Q535)),0))))</f>
        <v/>
      </c>
      <c r="Z535">
        <f>IF(OR($D535="",$B535="",Housemates!$B$15=""),0,IF($R535&gt;0,IF(M535="",0,IF(ISNUMBER(M535),M535,1)),IF($C535="Paying back",0,IF(AND(OR(Housemates!$C$15="",Housemates!$C$15&lt;=$B535),OR(Housemates!$D$15="",Housemates!$D$15&gt;=$B535)),IF($Q535=0,1,INDEX(Bills!$AH$6:$AH$25,$Q535)),0))))</f>
        <v/>
      </c>
      <c r="AA535">
        <f>SUM(S535:Z535)</f>
        <v/>
      </c>
      <c r="AB535">
        <f>IF(AA535=0,0,D535*S535/AA535)</f>
        <v/>
      </c>
      <c r="AC535">
        <f>IF(AA535=0,0,D535*T535/AA535)</f>
        <v/>
      </c>
      <c r="AD535">
        <f>IF(AA535=0,0,D535*U535/AA535)</f>
        <v/>
      </c>
      <c r="AE535">
        <f>IF(AA535=0,0,D535*V535/AA535)</f>
        <v/>
      </c>
      <c r="AF535">
        <f>IF(AA535=0,0,D535*W535/AA535)</f>
        <v/>
      </c>
      <c r="AG535">
        <f>IF(AA535=0,0,D535*X535/AA535)</f>
        <v/>
      </c>
      <c r="AH535">
        <f>IF(AA535=0,0,D535*Y535/AA535)</f>
        <v/>
      </c>
      <c r="AI535">
        <f>IF(AA535=0,0,D535*Z535/AA535)</f>
        <v/>
      </c>
      <c r="AJ535">
        <f>IF(OR(C535="",B535=""),"",C535&amp;"|"&amp;(YEAR(B535)*100+MONTH(B535)))</f>
        <v/>
      </c>
    </row>
    <row r="536">
      <c r="A536" s="1" t="n"/>
      <c r="B536" s="23" t="n"/>
      <c r="C536" s="24" t="n"/>
      <c r="D536" s="25" t="n"/>
      <c r="E536" s="26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1">
        <f>IF(D536="","",IF(B536="","No date",IF(AND(C536="Paying back",R536=0),"To whom?",IF(AA536=0,"Nobody",IF(C536="Paying back","To "&amp;INDEX(Housemates!$B$8:$B$15,MATCH(MAX(S536:Z536),S536:Z536,0)),IF(R536&gt;0,IF(COUNTIF(S536:Z536,"&gt;0")=1,"1 person",COUNTIF(S536:Z536,"&gt;0")&amp;" people"),IF(Q536=0,"Everyone",INDEX(Bills!$Q$6:$Q$25,Q536))))))))</f>
        <v/>
      </c>
      <c r="O536" s="18">
        <f>IF(D536="","",IF(C536="Paying back","Paying back",IF(Q536=0,"Other",IF(INDEX(Bills!$C$6:$C$25,Q536)="","Other",INDEX(Bills!$C$6:$C$25,Q536)))))</f>
        <v/>
      </c>
      <c r="P536" s="1" t="n"/>
      <c r="Q536">
        <f>IF(C536="",0,IFERROR(MATCH(C536,Bills!$B$6:$B$25,0),0))</f>
        <v/>
      </c>
      <c r="R536">
        <f>COUNTA(F536:M536)</f>
        <v/>
      </c>
      <c r="S536">
        <f>IF(OR($D536="",$B536="",Housemates!$B$8=""),0,IF($R536&gt;0,IF(F536="",0,IF(ISNUMBER(F536),F536,1)),IF($C536="Paying back",0,IF(AND(OR(Housemates!$C$8="",Housemates!$C$8&lt;=$B536),OR(Housemates!$D$8="",Housemates!$D$8&gt;=$B536)),IF($Q536=0,1,INDEX(Bills!$AA$6:$AA$25,$Q536)),0))))</f>
        <v/>
      </c>
      <c r="T536">
        <f>IF(OR($D536="",$B536="",Housemates!$B$9=""),0,IF($R536&gt;0,IF(G536="",0,IF(ISNUMBER(G536),G536,1)),IF($C536="Paying back",0,IF(AND(OR(Housemates!$C$9="",Housemates!$C$9&lt;=$B536),OR(Housemates!$D$9="",Housemates!$D$9&gt;=$B536)),IF($Q536=0,1,INDEX(Bills!$AB$6:$AB$25,$Q536)),0))))</f>
        <v/>
      </c>
      <c r="U536">
        <f>IF(OR($D536="",$B536="",Housemates!$B$10=""),0,IF($R536&gt;0,IF(H536="",0,IF(ISNUMBER(H536),H536,1)),IF($C536="Paying back",0,IF(AND(OR(Housemates!$C$10="",Housemates!$C$10&lt;=$B536),OR(Housemates!$D$10="",Housemates!$D$10&gt;=$B536)),IF($Q536=0,1,INDEX(Bills!$AC$6:$AC$25,$Q536)),0))))</f>
        <v/>
      </c>
      <c r="V536">
        <f>IF(OR($D536="",$B536="",Housemates!$B$11=""),0,IF($R536&gt;0,IF(I536="",0,IF(ISNUMBER(I536),I536,1)),IF($C536="Paying back",0,IF(AND(OR(Housemates!$C$11="",Housemates!$C$11&lt;=$B536),OR(Housemates!$D$11="",Housemates!$D$11&gt;=$B536)),IF($Q536=0,1,INDEX(Bills!$AD$6:$AD$25,$Q536)),0))))</f>
        <v/>
      </c>
      <c r="W536">
        <f>IF(OR($D536="",$B536="",Housemates!$B$12=""),0,IF($R536&gt;0,IF(J536="",0,IF(ISNUMBER(J536),J536,1)),IF($C536="Paying back",0,IF(AND(OR(Housemates!$C$12="",Housemates!$C$12&lt;=$B536),OR(Housemates!$D$12="",Housemates!$D$12&gt;=$B536)),IF($Q536=0,1,INDEX(Bills!$AE$6:$AE$25,$Q536)),0))))</f>
        <v/>
      </c>
      <c r="X536">
        <f>IF(OR($D536="",$B536="",Housemates!$B$13=""),0,IF($R536&gt;0,IF(K536="",0,IF(ISNUMBER(K536),K536,1)),IF($C536="Paying back",0,IF(AND(OR(Housemates!$C$13="",Housemates!$C$13&lt;=$B536),OR(Housemates!$D$13="",Housemates!$D$13&gt;=$B536)),IF($Q536=0,1,INDEX(Bills!$AF$6:$AF$25,$Q536)),0))))</f>
        <v/>
      </c>
      <c r="Y536">
        <f>IF(OR($D536="",$B536="",Housemates!$B$14=""),0,IF($R536&gt;0,IF(L536="",0,IF(ISNUMBER(L536),L536,1)),IF($C536="Paying back",0,IF(AND(OR(Housemates!$C$14="",Housemates!$C$14&lt;=$B536),OR(Housemates!$D$14="",Housemates!$D$14&gt;=$B536)),IF($Q536=0,1,INDEX(Bills!$AG$6:$AG$25,$Q536)),0))))</f>
        <v/>
      </c>
      <c r="Z536">
        <f>IF(OR($D536="",$B536="",Housemates!$B$15=""),0,IF($R536&gt;0,IF(M536="",0,IF(ISNUMBER(M536),M536,1)),IF($C536="Paying back",0,IF(AND(OR(Housemates!$C$15="",Housemates!$C$15&lt;=$B536),OR(Housemates!$D$15="",Housemates!$D$15&gt;=$B536)),IF($Q536=0,1,INDEX(Bills!$AH$6:$AH$25,$Q536)),0))))</f>
        <v/>
      </c>
      <c r="AA536">
        <f>SUM(S536:Z536)</f>
        <v/>
      </c>
      <c r="AB536">
        <f>IF(AA536=0,0,D536*S536/AA536)</f>
        <v/>
      </c>
      <c r="AC536">
        <f>IF(AA536=0,0,D536*T536/AA536)</f>
        <v/>
      </c>
      <c r="AD536">
        <f>IF(AA536=0,0,D536*U536/AA536)</f>
        <v/>
      </c>
      <c r="AE536">
        <f>IF(AA536=0,0,D536*V536/AA536)</f>
        <v/>
      </c>
      <c r="AF536">
        <f>IF(AA536=0,0,D536*W536/AA536)</f>
        <v/>
      </c>
      <c r="AG536">
        <f>IF(AA536=0,0,D536*X536/AA536)</f>
        <v/>
      </c>
      <c r="AH536">
        <f>IF(AA536=0,0,D536*Y536/AA536)</f>
        <v/>
      </c>
      <c r="AI536">
        <f>IF(AA536=0,0,D536*Z536/AA536)</f>
        <v/>
      </c>
      <c r="AJ536">
        <f>IF(OR(C536="",B536=""),"",C536&amp;"|"&amp;(YEAR(B536)*100+MONTH(B536)))</f>
        <v/>
      </c>
    </row>
    <row r="537">
      <c r="A537" s="1" t="n"/>
      <c r="B537" s="23" t="n"/>
      <c r="C537" s="24" t="n"/>
      <c r="D537" s="25" t="n"/>
      <c r="E537" s="26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1">
        <f>IF(D537="","",IF(B537="","No date",IF(AND(C537="Paying back",R537=0),"To whom?",IF(AA537=0,"Nobody",IF(C537="Paying back","To "&amp;INDEX(Housemates!$B$8:$B$15,MATCH(MAX(S537:Z537),S537:Z537,0)),IF(R537&gt;0,IF(COUNTIF(S537:Z537,"&gt;0")=1,"1 person",COUNTIF(S537:Z537,"&gt;0")&amp;" people"),IF(Q537=0,"Everyone",INDEX(Bills!$Q$6:$Q$25,Q537))))))))</f>
        <v/>
      </c>
      <c r="O537" s="18">
        <f>IF(D537="","",IF(C537="Paying back","Paying back",IF(Q537=0,"Other",IF(INDEX(Bills!$C$6:$C$25,Q537)="","Other",INDEX(Bills!$C$6:$C$25,Q537)))))</f>
        <v/>
      </c>
      <c r="P537" s="1" t="n"/>
      <c r="Q537">
        <f>IF(C537="",0,IFERROR(MATCH(C537,Bills!$B$6:$B$25,0),0))</f>
        <v/>
      </c>
      <c r="R537">
        <f>COUNTA(F537:M537)</f>
        <v/>
      </c>
      <c r="S537">
        <f>IF(OR($D537="",$B537="",Housemates!$B$8=""),0,IF($R537&gt;0,IF(F537="",0,IF(ISNUMBER(F537),F537,1)),IF($C537="Paying back",0,IF(AND(OR(Housemates!$C$8="",Housemates!$C$8&lt;=$B537),OR(Housemates!$D$8="",Housemates!$D$8&gt;=$B537)),IF($Q537=0,1,INDEX(Bills!$AA$6:$AA$25,$Q537)),0))))</f>
        <v/>
      </c>
      <c r="T537">
        <f>IF(OR($D537="",$B537="",Housemates!$B$9=""),0,IF($R537&gt;0,IF(G537="",0,IF(ISNUMBER(G537),G537,1)),IF($C537="Paying back",0,IF(AND(OR(Housemates!$C$9="",Housemates!$C$9&lt;=$B537),OR(Housemates!$D$9="",Housemates!$D$9&gt;=$B537)),IF($Q537=0,1,INDEX(Bills!$AB$6:$AB$25,$Q537)),0))))</f>
        <v/>
      </c>
      <c r="U537">
        <f>IF(OR($D537="",$B537="",Housemates!$B$10=""),0,IF($R537&gt;0,IF(H537="",0,IF(ISNUMBER(H537),H537,1)),IF($C537="Paying back",0,IF(AND(OR(Housemates!$C$10="",Housemates!$C$10&lt;=$B537),OR(Housemates!$D$10="",Housemates!$D$10&gt;=$B537)),IF($Q537=0,1,INDEX(Bills!$AC$6:$AC$25,$Q537)),0))))</f>
        <v/>
      </c>
      <c r="V537">
        <f>IF(OR($D537="",$B537="",Housemates!$B$11=""),0,IF($R537&gt;0,IF(I537="",0,IF(ISNUMBER(I537),I537,1)),IF($C537="Paying back",0,IF(AND(OR(Housemates!$C$11="",Housemates!$C$11&lt;=$B537),OR(Housemates!$D$11="",Housemates!$D$11&gt;=$B537)),IF($Q537=0,1,INDEX(Bills!$AD$6:$AD$25,$Q537)),0))))</f>
        <v/>
      </c>
      <c r="W537">
        <f>IF(OR($D537="",$B537="",Housemates!$B$12=""),0,IF($R537&gt;0,IF(J537="",0,IF(ISNUMBER(J537),J537,1)),IF($C537="Paying back",0,IF(AND(OR(Housemates!$C$12="",Housemates!$C$12&lt;=$B537),OR(Housemates!$D$12="",Housemates!$D$12&gt;=$B537)),IF($Q537=0,1,INDEX(Bills!$AE$6:$AE$25,$Q537)),0))))</f>
        <v/>
      </c>
      <c r="X537">
        <f>IF(OR($D537="",$B537="",Housemates!$B$13=""),0,IF($R537&gt;0,IF(K537="",0,IF(ISNUMBER(K537),K537,1)),IF($C537="Paying back",0,IF(AND(OR(Housemates!$C$13="",Housemates!$C$13&lt;=$B537),OR(Housemates!$D$13="",Housemates!$D$13&gt;=$B537)),IF($Q537=0,1,INDEX(Bills!$AF$6:$AF$25,$Q537)),0))))</f>
        <v/>
      </c>
      <c r="Y537">
        <f>IF(OR($D537="",$B537="",Housemates!$B$14=""),0,IF($R537&gt;0,IF(L537="",0,IF(ISNUMBER(L537),L537,1)),IF($C537="Paying back",0,IF(AND(OR(Housemates!$C$14="",Housemates!$C$14&lt;=$B537),OR(Housemates!$D$14="",Housemates!$D$14&gt;=$B537)),IF($Q537=0,1,INDEX(Bills!$AG$6:$AG$25,$Q537)),0))))</f>
        <v/>
      </c>
      <c r="Z537">
        <f>IF(OR($D537="",$B537="",Housemates!$B$15=""),0,IF($R537&gt;0,IF(M537="",0,IF(ISNUMBER(M537),M537,1)),IF($C537="Paying back",0,IF(AND(OR(Housemates!$C$15="",Housemates!$C$15&lt;=$B537),OR(Housemates!$D$15="",Housemates!$D$15&gt;=$B537)),IF($Q537=0,1,INDEX(Bills!$AH$6:$AH$25,$Q537)),0))))</f>
        <v/>
      </c>
      <c r="AA537">
        <f>SUM(S537:Z537)</f>
        <v/>
      </c>
      <c r="AB537">
        <f>IF(AA537=0,0,D537*S537/AA537)</f>
        <v/>
      </c>
      <c r="AC537">
        <f>IF(AA537=0,0,D537*T537/AA537)</f>
        <v/>
      </c>
      <c r="AD537">
        <f>IF(AA537=0,0,D537*U537/AA537)</f>
        <v/>
      </c>
      <c r="AE537">
        <f>IF(AA537=0,0,D537*V537/AA537)</f>
        <v/>
      </c>
      <c r="AF537">
        <f>IF(AA537=0,0,D537*W537/AA537)</f>
        <v/>
      </c>
      <c r="AG537">
        <f>IF(AA537=0,0,D537*X537/AA537)</f>
        <v/>
      </c>
      <c r="AH537">
        <f>IF(AA537=0,0,D537*Y537/AA537)</f>
        <v/>
      </c>
      <c r="AI537">
        <f>IF(AA537=0,0,D537*Z537/AA537)</f>
        <v/>
      </c>
      <c r="AJ537">
        <f>IF(OR(C537="",B537=""),"",C537&amp;"|"&amp;(YEAR(B537)*100+MONTH(B537)))</f>
        <v/>
      </c>
    </row>
    <row r="538">
      <c r="A538" s="1" t="n"/>
      <c r="B538" s="23" t="n"/>
      <c r="C538" s="24" t="n"/>
      <c r="D538" s="25" t="n"/>
      <c r="E538" s="26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1">
        <f>IF(D538="","",IF(B538="","No date",IF(AND(C538="Paying back",R538=0),"To whom?",IF(AA538=0,"Nobody",IF(C538="Paying back","To "&amp;INDEX(Housemates!$B$8:$B$15,MATCH(MAX(S538:Z538),S538:Z538,0)),IF(R538&gt;0,IF(COUNTIF(S538:Z538,"&gt;0")=1,"1 person",COUNTIF(S538:Z538,"&gt;0")&amp;" people"),IF(Q538=0,"Everyone",INDEX(Bills!$Q$6:$Q$25,Q538))))))))</f>
        <v/>
      </c>
      <c r="O538" s="18">
        <f>IF(D538="","",IF(C538="Paying back","Paying back",IF(Q538=0,"Other",IF(INDEX(Bills!$C$6:$C$25,Q538)="","Other",INDEX(Bills!$C$6:$C$25,Q538)))))</f>
        <v/>
      </c>
      <c r="P538" s="1" t="n"/>
      <c r="Q538">
        <f>IF(C538="",0,IFERROR(MATCH(C538,Bills!$B$6:$B$25,0),0))</f>
        <v/>
      </c>
      <c r="R538">
        <f>COUNTA(F538:M538)</f>
        <v/>
      </c>
      <c r="S538">
        <f>IF(OR($D538="",$B538="",Housemates!$B$8=""),0,IF($R538&gt;0,IF(F538="",0,IF(ISNUMBER(F538),F538,1)),IF($C538="Paying back",0,IF(AND(OR(Housemates!$C$8="",Housemates!$C$8&lt;=$B538),OR(Housemates!$D$8="",Housemates!$D$8&gt;=$B538)),IF($Q538=0,1,INDEX(Bills!$AA$6:$AA$25,$Q538)),0))))</f>
        <v/>
      </c>
      <c r="T538">
        <f>IF(OR($D538="",$B538="",Housemates!$B$9=""),0,IF($R538&gt;0,IF(G538="",0,IF(ISNUMBER(G538),G538,1)),IF($C538="Paying back",0,IF(AND(OR(Housemates!$C$9="",Housemates!$C$9&lt;=$B538),OR(Housemates!$D$9="",Housemates!$D$9&gt;=$B538)),IF($Q538=0,1,INDEX(Bills!$AB$6:$AB$25,$Q538)),0))))</f>
        <v/>
      </c>
      <c r="U538">
        <f>IF(OR($D538="",$B538="",Housemates!$B$10=""),0,IF($R538&gt;0,IF(H538="",0,IF(ISNUMBER(H538),H538,1)),IF($C538="Paying back",0,IF(AND(OR(Housemates!$C$10="",Housemates!$C$10&lt;=$B538),OR(Housemates!$D$10="",Housemates!$D$10&gt;=$B538)),IF($Q538=0,1,INDEX(Bills!$AC$6:$AC$25,$Q538)),0))))</f>
        <v/>
      </c>
      <c r="V538">
        <f>IF(OR($D538="",$B538="",Housemates!$B$11=""),0,IF($R538&gt;0,IF(I538="",0,IF(ISNUMBER(I538),I538,1)),IF($C538="Paying back",0,IF(AND(OR(Housemates!$C$11="",Housemates!$C$11&lt;=$B538),OR(Housemates!$D$11="",Housemates!$D$11&gt;=$B538)),IF($Q538=0,1,INDEX(Bills!$AD$6:$AD$25,$Q538)),0))))</f>
        <v/>
      </c>
      <c r="W538">
        <f>IF(OR($D538="",$B538="",Housemates!$B$12=""),0,IF($R538&gt;0,IF(J538="",0,IF(ISNUMBER(J538),J538,1)),IF($C538="Paying back",0,IF(AND(OR(Housemates!$C$12="",Housemates!$C$12&lt;=$B538),OR(Housemates!$D$12="",Housemates!$D$12&gt;=$B538)),IF($Q538=0,1,INDEX(Bills!$AE$6:$AE$25,$Q538)),0))))</f>
        <v/>
      </c>
      <c r="X538">
        <f>IF(OR($D538="",$B538="",Housemates!$B$13=""),0,IF($R538&gt;0,IF(K538="",0,IF(ISNUMBER(K538),K538,1)),IF($C538="Paying back",0,IF(AND(OR(Housemates!$C$13="",Housemates!$C$13&lt;=$B538),OR(Housemates!$D$13="",Housemates!$D$13&gt;=$B538)),IF($Q538=0,1,INDEX(Bills!$AF$6:$AF$25,$Q538)),0))))</f>
        <v/>
      </c>
      <c r="Y538">
        <f>IF(OR($D538="",$B538="",Housemates!$B$14=""),0,IF($R538&gt;0,IF(L538="",0,IF(ISNUMBER(L538),L538,1)),IF($C538="Paying back",0,IF(AND(OR(Housemates!$C$14="",Housemates!$C$14&lt;=$B538),OR(Housemates!$D$14="",Housemates!$D$14&gt;=$B538)),IF($Q538=0,1,INDEX(Bills!$AG$6:$AG$25,$Q538)),0))))</f>
        <v/>
      </c>
      <c r="Z538">
        <f>IF(OR($D538="",$B538="",Housemates!$B$15=""),0,IF($R538&gt;0,IF(M538="",0,IF(ISNUMBER(M538),M538,1)),IF($C538="Paying back",0,IF(AND(OR(Housemates!$C$15="",Housemates!$C$15&lt;=$B538),OR(Housemates!$D$15="",Housemates!$D$15&gt;=$B538)),IF($Q538=0,1,INDEX(Bills!$AH$6:$AH$25,$Q538)),0))))</f>
        <v/>
      </c>
      <c r="AA538">
        <f>SUM(S538:Z538)</f>
        <v/>
      </c>
      <c r="AB538">
        <f>IF(AA538=0,0,D538*S538/AA538)</f>
        <v/>
      </c>
      <c r="AC538">
        <f>IF(AA538=0,0,D538*T538/AA538)</f>
        <v/>
      </c>
      <c r="AD538">
        <f>IF(AA538=0,0,D538*U538/AA538)</f>
        <v/>
      </c>
      <c r="AE538">
        <f>IF(AA538=0,0,D538*V538/AA538)</f>
        <v/>
      </c>
      <c r="AF538">
        <f>IF(AA538=0,0,D538*W538/AA538)</f>
        <v/>
      </c>
      <c r="AG538">
        <f>IF(AA538=0,0,D538*X538/AA538)</f>
        <v/>
      </c>
      <c r="AH538">
        <f>IF(AA538=0,0,D538*Y538/AA538)</f>
        <v/>
      </c>
      <c r="AI538">
        <f>IF(AA538=0,0,D538*Z538/AA538)</f>
        <v/>
      </c>
      <c r="AJ538">
        <f>IF(OR(C538="",B538=""),"",C538&amp;"|"&amp;(YEAR(B538)*100+MONTH(B538)))</f>
        <v/>
      </c>
    </row>
    <row r="539">
      <c r="A539" s="1" t="n"/>
      <c r="B539" s="23" t="n"/>
      <c r="C539" s="24" t="n"/>
      <c r="D539" s="25" t="n"/>
      <c r="E539" s="26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1">
        <f>IF(D539="","",IF(B539="","No date",IF(AND(C539="Paying back",R539=0),"To whom?",IF(AA539=0,"Nobody",IF(C539="Paying back","To "&amp;INDEX(Housemates!$B$8:$B$15,MATCH(MAX(S539:Z539),S539:Z539,0)),IF(R539&gt;0,IF(COUNTIF(S539:Z539,"&gt;0")=1,"1 person",COUNTIF(S539:Z539,"&gt;0")&amp;" people"),IF(Q539=0,"Everyone",INDEX(Bills!$Q$6:$Q$25,Q539))))))))</f>
        <v/>
      </c>
      <c r="O539" s="18">
        <f>IF(D539="","",IF(C539="Paying back","Paying back",IF(Q539=0,"Other",IF(INDEX(Bills!$C$6:$C$25,Q539)="","Other",INDEX(Bills!$C$6:$C$25,Q539)))))</f>
        <v/>
      </c>
      <c r="P539" s="1" t="n"/>
      <c r="Q539">
        <f>IF(C539="",0,IFERROR(MATCH(C539,Bills!$B$6:$B$25,0),0))</f>
        <v/>
      </c>
      <c r="R539">
        <f>COUNTA(F539:M539)</f>
        <v/>
      </c>
      <c r="S539">
        <f>IF(OR($D539="",$B539="",Housemates!$B$8=""),0,IF($R539&gt;0,IF(F539="",0,IF(ISNUMBER(F539),F539,1)),IF($C539="Paying back",0,IF(AND(OR(Housemates!$C$8="",Housemates!$C$8&lt;=$B539),OR(Housemates!$D$8="",Housemates!$D$8&gt;=$B539)),IF($Q539=0,1,INDEX(Bills!$AA$6:$AA$25,$Q539)),0))))</f>
        <v/>
      </c>
      <c r="T539">
        <f>IF(OR($D539="",$B539="",Housemates!$B$9=""),0,IF($R539&gt;0,IF(G539="",0,IF(ISNUMBER(G539),G539,1)),IF($C539="Paying back",0,IF(AND(OR(Housemates!$C$9="",Housemates!$C$9&lt;=$B539),OR(Housemates!$D$9="",Housemates!$D$9&gt;=$B539)),IF($Q539=0,1,INDEX(Bills!$AB$6:$AB$25,$Q539)),0))))</f>
        <v/>
      </c>
      <c r="U539">
        <f>IF(OR($D539="",$B539="",Housemates!$B$10=""),0,IF($R539&gt;0,IF(H539="",0,IF(ISNUMBER(H539),H539,1)),IF($C539="Paying back",0,IF(AND(OR(Housemates!$C$10="",Housemates!$C$10&lt;=$B539),OR(Housemates!$D$10="",Housemates!$D$10&gt;=$B539)),IF($Q539=0,1,INDEX(Bills!$AC$6:$AC$25,$Q539)),0))))</f>
        <v/>
      </c>
      <c r="V539">
        <f>IF(OR($D539="",$B539="",Housemates!$B$11=""),0,IF($R539&gt;0,IF(I539="",0,IF(ISNUMBER(I539),I539,1)),IF($C539="Paying back",0,IF(AND(OR(Housemates!$C$11="",Housemates!$C$11&lt;=$B539),OR(Housemates!$D$11="",Housemates!$D$11&gt;=$B539)),IF($Q539=0,1,INDEX(Bills!$AD$6:$AD$25,$Q539)),0))))</f>
        <v/>
      </c>
      <c r="W539">
        <f>IF(OR($D539="",$B539="",Housemates!$B$12=""),0,IF($R539&gt;0,IF(J539="",0,IF(ISNUMBER(J539),J539,1)),IF($C539="Paying back",0,IF(AND(OR(Housemates!$C$12="",Housemates!$C$12&lt;=$B539),OR(Housemates!$D$12="",Housemates!$D$12&gt;=$B539)),IF($Q539=0,1,INDEX(Bills!$AE$6:$AE$25,$Q539)),0))))</f>
        <v/>
      </c>
      <c r="X539">
        <f>IF(OR($D539="",$B539="",Housemates!$B$13=""),0,IF($R539&gt;0,IF(K539="",0,IF(ISNUMBER(K539),K539,1)),IF($C539="Paying back",0,IF(AND(OR(Housemates!$C$13="",Housemates!$C$13&lt;=$B539),OR(Housemates!$D$13="",Housemates!$D$13&gt;=$B539)),IF($Q539=0,1,INDEX(Bills!$AF$6:$AF$25,$Q539)),0))))</f>
        <v/>
      </c>
      <c r="Y539">
        <f>IF(OR($D539="",$B539="",Housemates!$B$14=""),0,IF($R539&gt;0,IF(L539="",0,IF(ISNUMBER(L539),L539,1)),IF($C539="Paying back",0,IF(AND(OR(Housemates!$C$14="",Housemates!$C$14&lt;=$B539),OR(Housemates!$D$14="",Housemates!$D$14&gt;=$B539)),IF($Q539=0,1,INDEX(Bills!$AG$6:$AG$25,$Q539)),0))))</f>
        <v/>
      </c>
      <c r="Z539">
        <f>IF(OR($D539="",$B539="",Housemates!$B$15=""),0,IF($R539&gt;0,IF(M539="",0,IF(ISNUMBER(M539),M539,1)),IF($C539="Paying back",0,IF(AND(OR(Housemates!$C$15="",Housemates!$C$15&lt;=$B539),OR(Housemates!$D$15="",Housemates!$D$15&gt;=$B539)),IF($Q539=0,1,INDEX(Bills!$AH$6:$AH$25,$Q539)),0))))</f>
        <v/>
      </c>
      <c r="AA539">
        <f>SUM(S539:Z539)</f>
        <v/>
      </c>
      <c r="AB539">
        <f>IF(AA539=0,0,D539*S539/AA539)</f>
        <v/>
      </c>
      <c r="AC539">
        <f>IF(AA539=0,0,D539*T539/AA539)</f>
        <v/>
      </c>
      <c r="AD539">
        <f>IF(AA539=0,0,D539*U539/AA539)</f>
        <v/>
      </c>
      <c r="AE539">
        <f>IF(AA539=0,0,D539*V539/AA539)</f>
        <v/>
      </c>
      <c r="AF539">
        <f>IF(AA539=0,0,D539*W539/AA539)</f>
        <v/>
      </c>
      <c r="AG539">
        <f>IF(AA539=0,0,D539*X539/AA539)</f>
        <v/>
      </c>
      <c r="AH539">
        <f>IF(AA539=0,0,D539*Y539/AA539)</f>
        <v/>
      </c>
      <c r="AI539">
        <f>IF(AA539=0,0,D539*Z539/AA539)</f>
        <v/>
      </c>
      <c r="AJ539">
        <f>IF(OR(C539="",B539=""),"",C539&amp;"|"&amp;(YEAR(B539)*100+MONTH(B539)))</f>
        <v/>
      </c>
    </row>
    <row r="540">
      <c r="A540" s="1" t="n"/>
      <c r="B540" s="23" t="n"/>
      <c r="C540" s="24" t="n"/>
      <c r="D540" s="25" t="n"/>
      <c r="E540" s="26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1">
        <f>IF(D540="","",IF(B540="","No date",IF(AND(C540="Paying back",R540=0),"To whom?",IF(AA540=0,"Nobody",IF(C540="Paying back","To "&amp;INDEX(Housemates!$B$8:$B$15,MATCH(MAX(S540:Z540),S540:Z540,0)),IF(R540&gt;0,IF(COUNTIF(S540:Z540,"&gt;0")=1,"1 person",COUNTIF(S540:Z540,"&gt;0")&amp;" people"),IF(Q540=0,"Everyone",INDEX(Bills!$Q$6:$Q$25,Q540))))))))</f>
        <v/>
      </c>
      <c r="O540" s="18">
        <f>IF(D540="","",IF(C540="Paying back","Paying back",IF(Q540=0,"Other",IF(INDEX(Bills!$C$6:$C$25,Q540)="","Other",INDEX(Bills!$C$6:$C$25,Q540)))))</f>
        <v/>
      </c>
      <c r="P540" s="1" t="n"/>
      <c r="Q540">
        <f>IF(C540="",0,IFERROR(MATCH(C540,Bills!$B$6:$B$25,0),0))</f>
        <v/>
      </c>
      <c r="R540">
        <f>COUNTA(F540:M540)</f>
        <v/>
      </c>
      <c r="S540">
        <f>IF(OR($D540="",$B540="",Housemates!$B$8=""),0,IF($R540&gt;0,IF(F540="",0,IF(ISNUMBER(F540),F540,1)),IF($C540="Paying back",0,IF(AND(OR(Housemates!$C$8="",Housemates!$C$8&lt;=$B540),OR(Housemates!$D$8="",Housemates!$D$8&gt;=$B540)),IF($Q540=0,1,INDEX(Bills!$AA$6:$AA$25,$Q540)),0))))</f>
        <v/>
      </c>
      <c r="T540">
        <f>IF(OR($D540="",$B540="",Housemates!$B$9=""),0,IF($R540&gt;0,IF(G540="",0,IF(ISNUMBER(G540),G540,1)),IF($C540="Paying back",0,IF(AND(OR(Housemates!$C$9="",Housemates!$C$9&lt;=$B540),OR(Housemates!$D$9="",Housemates!$D$9&gt;=$B540)),IF($Q540=0,1,INDEX(Bills!$AB$6:$AB$25,$Q540)),0))))</f>
        <v/>
      </c>
      <c r="U540">
        <f>IF(OR($D540="",$B540="",Housemates!$B$10=""),0,IF($R540&gt;0,IF(H540="",0,IF(ISNUMBER(H540),H540,1)),IF($C540="Paying back",0,IF(AND(OR(Housemates!$C$10="",Housemates!$C$10&lt;=$B540),OR(Housemates!$D$10="",Housemates!$D$10&gt;=$B540)),IF($Q540=0,1,INDEX(Bills!$AC$6:$AC$25,$Q540)),0))))</f>
        <v/>
      </c>
      <c r="V540">
        <f>IF(OR($D540="",$B540="",Housemates!$B$11=""),0,IF($R540&gt;0,IF(I540="",0,IF(ISNUMBER(I540),I540,1)),IF($C540="Paying back",0,IF(AND(OR(Housemates!$C$11="",Housemates!$C$11&lt;=$B540),OR(Housemates!$D$11="",Housemates!$D$11&gt;=$B540)),IF($Q540=0,1,INDEX(Bills!$AD$6:$AD$25,$Q540)),0))))</f>
        <v/>
      </c>
      <c r="W540">
        <f>IF(OR($D540="",$B540="",Housemates!$B$12=""),0,IF($R540&gt;0,IF(J540="",0,IF(ISNUMBER(J540),J540,1)),IF($C540="Paying back",0,IF(AND(OR(Housemates!$C$12="",Housemates!$C$12&lt;=$B540),OR(Housemates!$D$12="",Housemates!$D$12&gt;=$B540)),IF($Q540=0,1,INDEX(Bills!$AE$6:$AE$25,$Q540)),0))))</f>
        <v/>
      </c>
      <c r="X540">
        <f>IF(OR($D540="",$B540="",Housemates!$B$13=""),0,IF($R540&gt;0,IF(K540="",0,IF(ISNUMBER(K540),K540,1)),IF($C540="Paying back",0,IF(AND(OR(Housemates!$C$13="",Housemates!$C$13&lt;=$B540),OR(Housemates!$D$13="",Housemates!$D$13&gt;=$B540)),IF($Q540=0,1,INDEX(Bills!$AF$6:$AF$25,$Q540)),0))))</f>
        <v/>
      </c>
      <c r="Y540">
        <f>IF(OR($D540="",$B540="",Housemates!$B$14=""),0,IF($R540&gt;0,IF(L540="",0,IF(ISNUMBER(L540),L540,1)),IF($C540="Paying back",0,IF(AND(OR(Housemates!$C$14="",Housemates!$C$14&lt;=$B540),OR(Housemates!$D$14="",Housemates!$D$14&gt;=$B540)),IF($Q540=0,1,INDEX(Bills!$AG$6:$AG$25,$Q540)),0))))</f>
        <v/>
      </c>
      <c r="Z540">
        <f>IF(OR($D540="",$B540="",Housemates!$B$15=""),0,IF($R540&gt;0,IF(M540="",0,IF(ISNUMBER(M540),M540,1)),IF($C540="Paying back",0,IF(AND(OR(Housemates!$C$15="",Housemates!$C$15&lt;=$B540),OR(Housemates!$D$15="",Housemates!$D$15&gt;=$B540)),IF($Q540=0,1,INDEX(Bills!$AH$6:$AH$25,$Q540)),0))))</f>
        <v/>
      </c>
      <c r="AA540">
        <f>SUM(S540:Z540)</f>
        <v/>
      </c>
      <c r="AB540">
        <f>IF(AA540=0,0,D540*S540/AA540)</f>
        <v/>
      </c>
      <c r="AC540">
        <f>IF(AA540=0,0,D540*T540/AA540)</f>
        <v/>
      </c>
      <c r="AD540">
        <f>IF(AA540=0,0,D540*U540/AA540)</f>
        <v/>
      </c>
      <c r="AE540">
        <f>IF(AA540=0,0,D540*V540/AA540)</f>
        <v/>
      </c>
      <c r="AF540">
        <f>IF(AA540=0,0,D540*W540/AA540)</f>
        <v/>
      </c>
      <c r="AG540">
        <f>IF(AA540=0,0,D540*X540/AA540)</f>
        <v/>
      </c>
      <c r="AH540">
        <f>IF(AA540=0,0,D540*Y540/AA540)</f>
        <v/>
      </c>
      <c r="AI540">
        <f>IF(AA540=0,0,D540*Z540/AA540)</f>
        <v/>
      </c>
      <c r="AJ540">
        <f>IF(OR(C540="",B540=""),"",C540&amp;"|"&amp;(YEAR(B540)*100+MONTH(B540)))</f>
        <v/>
      </c>
    </row>
    <row r="541">
      <c r="A541" s="1" t="n"/>
      <c r="B541" s="23" t="n"/>
      <c r="C541" s="24" t="n"/>
      <c r="D541" s="25" t="n"/>
      <c r="E541" s="26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1">
        <f>IF(D541="","",IF(B541="","No date",IF(AND(C541="Paying back",R541=0),"To whom?",IF(AA541=0,"Nobody",IF(C541="Paying back","To "&amp;INDEX(Housemates!$B$8:$B$15,MATCH(MAX(S541:Z541),S541:Z541,0)),IF(R541&gt;0,IF(COUNTIF(S541:Z541,"&gt;0")=1,"1 person",COUNTIF(S541:Z541,"&gt;0")&amp;" people"),IF(Q541=0,"Everyone",INDEX(Bills!$Q$6:$Q$25,Q541))))))))</f>
        <v/>
      </c>
      <c r="O541" s="18">
        <f>IF(D541="","",IF(C541="Paying back","Paying back",IF(Q541=0,"Other",IF(INDEX(Bills!$C$6:$C$25,Q541)="","Other",INDEX(Bills!$C$6:$C$25,Q541)))))</f>
        <v/>
      </c>
      <c r="P541" s="1" t="n"/>
      <c r="Q541">
        <f>IF(C541="",0,IFERROR(MATCH(C541,Bills!$B$6:$B$25,0),0))</f>
        <v/>
      </c>
      <c r="R541">
        <f>COUNTA(F541:M541)</f>
        <v/>
      </c>
      <c r="S541">
        <f>IF(OR($D541="",$B541="",Housemates!$B$8=""),0,IF($R541&gt;0,IF(F541="",0,IF(ISNUMBER(F541),F541,1)),IF($C541="Paying back",0,IF(AND(OR(Housemates!$C$8="",Housemates!$C$8&lt;=$B541),OR(Housemates!$D$8="",Housemates!$D$8&gt;=$B541)),IF($Q541=0,1,INDEX(Bills!$AA$6:$AA$25,$Q541)),0))))</f>
        <v/>
      </c>
      <c r="T541">
        <f>IF(OR($D541="",$B541="",Housemates!$B$9=""),0,IF($R541&gt;0,IF(G541="",0,IF(ISNUMBER(G541),G541,1)),IF($C541="Paying back",0,IF(AND(OR(Housemates!$C$9="",Housemates!$C$9&lt;=$B541),OR(Housemates!$D$9="",Housemates!$D$9&gt;=$B541)),IF($Q541=0,1,INDEX(Bills!$AB$6:$AB$25,$Q541)),0))))</f>
        <v/>
      </c>
      <c r="U541">
        <f>IF(OR($D541="",$B541="",Housemates!$B$10=""),0,IF($R541&gt;0,IF(H541="",0,IF(ISNUMBER(H541),H541,1)),IF($C541="Paying back",0,IF(AND(OR(Housemates!$C$10="",Housemates!$C$10&lt;=$B541),OR(Housemates!$D$10="",Housemates!$D$10&gt;=$B541)),IF($Q541=0,1,INDEX(Bills!$AC$6:$AC$25,$Q541)),0))))</f>
        <v/>
      </c>
      <c r="V541">
        <f>IF(OR($D541="",$B541="",Housemates!$B$11=""),0,IF($R541&gt;0,IF(I541="",0,IF(ISNUMBER(I541),I541,1)),IF($C541="Paying back",0,IF(AND(OR(Housemates!$C$11="",Housemates!$C$11&lt;=$B541),OR(Housemates!$D$11="",Housemates!$D$11&gt;=$B541)),IF($Q541=0,1,INDEX(Bills!$AD$6:$AD$25,$Q541)),0))))</f>
        <v/>
      </c>
      <c r="W541">
        <f>IF(OR($D541="",$B541="",Housemates!$B$12=""),0,IF($R541&gt;0,IF(J541="",0,IF(ISNUMBER(J541),J541,1)),IF($C541="Paying back",0,IF(AND(OR(Housemates!$C$12="",Housemates!$C$12&lt;=$B541),OR(Housemates!$D$12="",Housemates!$D$12&gt;=$B541)),IF($Q541=0,1,INDEX(Bills!$AE$6:$AE$25,$Q541)),0))))</f>
        <v/>
      </c>
      <c r="X541">
        <f>IF(OR($D541="",$B541="",Housemates!$B$13=""),0,IF($R541&gt;0,IF(K541="",0,IF(ISNUMBER(K541),K541,1)),IF($C541="Paying back",0,IF(AND(OR(Housemates!$C$13="",Housemates!$C$13&lt;=$B541),OR(Housemates!$D$13="",Housemates!$D$13&gt;=$B541)),IF($Q541=0,1,INDEX(Bills!$AF$6:$AF$25,$Q541)),0))))</f>
        <v/>
      </c>
      <c r="Y541">
        <f>IF(OR($D541="",$B541="",Housemates!$B$14=""),0,IF($R541&gt;0,IF(L541="",0,IF(ISNUMBER(L541),L541,1)),IF($C541="Paying back",0,IF(AND(OR(Housemates!$C$14="",Housemates!$C$14&lt;=$B541),OR(Housemates!$D$14="",Housemates!$D$14&gt;=$B541)),IF($Q541=0,1,INDEX(Bills!$AG$6:$AG$25,$Q541)),0))))</f>
        <v/>
      </c>
      <c r="Z541">
        <f>IF(OR($D541="",$B541="",Housemates!$B$15=""),0,IF($R541&gt;0,IF(M541="",0,IF(ISNUMBER(M541),M541,1)),IF($C541="Paying back",0,IF(AND(OR(Housemates!$C$15="",Housemates!$C$15&lt;=$B541),OR(Housemates!$D$15="",Housemates!$D$15&gt;=$B541)),IF($Q541=0,1,INDEX(Bills!$AH$6:$AH$25,$Q541)),0))))</f>
        <v/>
      </c>
      <c r="AA541">
        <f>SUM(S541:Z541)</f>
        <v/>
      </c>
      <c r="AB541">
        <f>IF(AA541=0,0,D541*S541/AA541)</f>
        <v/>
      </c>
      <c r="AC541">
        <f>IF(AA541=0,0,D541*T541/AA541)</f>
        <v/>
      </c>
      <c r="AD541">
        <f>IF(AA541=0,0,D541*U541/AA541)</f>
        <v/>
      </c>
      <c r="AE541">
        <f>IF(AA541=0,0,D541*V541/AA541)</f>
        <v/>
      </c>
      <c r="AF541">
        <f>IF(AA541=0,0,D541*W541/AA541)</f>
        <v/>
      </c>
      <c r="AG541">
        <f>IF(AA541=0,0,D541*X541/AA541)</f>
        <v/>
      </c>
      <c r="AH541">
        <f>IF(AA541=0,0,D541*Y541/AA541)</f>
        <v/>
      </c>
      <c r="AI541">
        <f>IF(AA541=0,0,D541*Z541/AA541)</f>
        <v/>
      </c>
      <c r="AJ541">
        <f>IF(OR(C541="",B541=""),"",C541&amp;"|"&amp;(YEAR(B541)*100+MONTH(B541)))</f>
        <v/>
      </c>
    </row>
    <row r="542">
      <c r="A542" s="1" t="n"/>
      <c r="B542" s="23" t="n"/>
      <c r="C542" s="24" t="n"/>
      <c r="D542" s="25" t="n"/>
      <c r="E542" s="26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1">
        <f>IF(D542="","",IF(B542="","No date",IF(AND(C542="Paying back",R542=0),"To whom?",IF(AA542=0,"Nobody",IF(C542="Paying back","To "&amp;INDEX(Housemates!$B$8:$B$15,MATCH(MAX(S542:Z542),S542:Z542,0)),IF(R542&gt;0,IF(COUNTIF(S542:Z542,"&gt;0")=1,"1 person",COUNTIF(S542:Z542,"&gt;0")&amp;" people"),IF(Q542=0,"Everyone",INDEX(Bills!$Q$6:$Q$25,Q542))))))))</f>
        <v/>
      </c>
      <c r="O542" s="18">
        <f>IF(D542="","",IF(C542="Paying back","Paying back",IF(Q542=0,"Other",IF(INDEX(Bills!$C$6:$C$25,Q542)="","Other",INDEX(Bills!$C$6:$C$25,Q542)))))</f>
        <v/>
      </c>
      <c r="P542" s="1" t="n"/>
      <c r="Q542">
        <f>IF(C542="",0,IFERROR(MATCH(C542,Bills!$B$6:$B$25,0),0))</f>
        <v/>
      </c>
      <c r="R542">
        <f>COUNTA(F542:M542)</f>
        <v/>
      </c>
      <c r="S542">
        <f>IF(OR($D542="",$B542="",Housemates!$B$8=""),0,IF($R542&gt;0,IF(F542="",0,IF(ISNUMBER(F542),F542,1)),IF($C542="Paying back",0,IF(AND(OR(Housemates!$C$8="",Housemates!$C$8&lt;=$B542),OR(Housemates!$D$8="",Housemates!$D$8&gt;=$B542)),IF($Q542=0,1,INDEX(Bills!$AA$6:$AA$25,$Q542)),0))))</f>
        <v/>
      </c>
      <c r="T542">
        <f>IF(OR($D542="",$B542="",Housemates!$B$9=""),0,IF($R542&gt;0,IF(G542="",0,IF(ISNUMBER(G542),G542,1)),IF($C542="Paying back",0,IF(AND(OR(Housemates!$C$9="",Housemates!$C$9&lt;=$B542),OR(Housemates!$D$9="",Housemates!$D$9&gt;=$B542)),IF($Q542=0,1,INDEX(Bills!$AB$6:$AB$25,$Q542)),0))))</f>
        <v/>
      </c>
      <c r="U542">
        <f>IF(OR($D542="",$B542="",Housemates!$B$10=""),0,IF($R542&gt;0,IF(H542="",0,IF(ISNUMBER(H542),H542,1)),IF($C542="Paying back",0,IF(AND(OR(Housemates!$C$10="",Housemates!$C$10&lt;=$B542),OR(Housemates!$D$10="",Housemates!$D$10&gt;=$B542)),IF($Q542=0,1,INDEX(Bills!$AC$6:$AC$25,$Q542)),0))))</f>
        <v/>
      </c>
      <c r="V542">
        <f>IF(OR($D542="",$B542="",Housemates!$B$11=""),0,IF($R542&gt;0,IF(I542="",0,IF(ISNUMBER(I542),I542,1)),IF($C542="Paying back",0,IF(AND(OR(Housemates!$C$11="",Housemates!$C$11&lt;=$B542),OR(Housemates!$D$11="",Housemates!$D$11&gt;=$B542)),IF($Q542=0,1,INDEX(Bills!$AD$6:$AD$25,$Q542)),0))))</f>
        <v/>
      </c>
      <c r="W542">
        <f>IF(OR($D542="",$B542="",Housemates!$B$12=""),0,IF($R542&gt;0,IF(J542="",0,IF(ISNUMBER(J542),J542,1)),IF($C542="Paying back",0,IF(AND(OR(Housemates!$C$12="",Housemates!$C$12&lt;=$B542),OR(Housemates!$D$12="",Housemates!$D$12&gt;=$B542)),IF($Q542=0,1,INDEX(Bills!$AE$6:$AE$25,$Q542)),0))))</f>
        <v/>
      </c>
      <c r="X542">
        <f>IF(OR($D542="",$B542="",Housemates!$B$13=""),0,IF($R542&gt;0,IF(K542="",0,IF(ISNUMBER(K542),K542,1)),IF($C542="Paying back",0,IF(AND(OR(Housemates!$C$13="",Housemates!$C$13&lt;=$B542),OR(Housemates!$D$13="",Housemates!$D$13&gt;=$B542)),IF($Q542=0,1,INDEX(Bills!$AF$6:$AF$25,$Q542)),0))))</f>
        <v/>
      </c>
      <c r="Y542">
        <f>IF(OR($D542="",$B542="",Housemates!$B$14=""),0,IF($R542&gt;0,IF(L542="",0,IF(ISNUMBER(L542),L542,1)),IF($C542="Paying back",0,IF(AND(OR(Housemates!$C$14="",Housemates!$C$14&lt;=$B542),OR(Housemates!$D$14="",Housemates!$D$14&gt;=$B542)),IF($Q542=0,1,INDEX(Bills!$AG$6:$AG$25,$Q542)),0))))</f>
        <v/>
      </c>
      <c r="Z542">
        <f>IF(OR($D542="",$B542="",Housemates!$B$15=""),0,IF($R542&gt;0,IF(M542="",0,IF(ISNUMBER(M542),M542,1)),IF($C542="Paying back",0,IF(AND(OR(Housemates!$C$15="",Housemates!$C$15&lt;=$B542),OR(Housemates!$D$15="",Housemates!$D$15&gt;=$B542)),IF($Q542=0,1,INDEX(Bills!$AH$6:$AH$25,$Q542)),0))))</f>
        <v/>
      </c>
      <c r="AA542">
        <f>SUM(S542:Z542)</f>
        <v/>
      </c>
      <c r="AB542">
        <f>IF(AA542=0,0,D542*S542/AA542)</f>
        <v/>
      </c>
      <c r="AC542">
        <f>IF(AA542=0,0,D542*T542/AA542)</f>
        <v/>
      </c>
      <c r="AD542">
        <f>IF(AA542=0,0,D542*U542/AA542)</f>
        <v/>
      </c>
      <c r="AE542">
        <f>IF(AA542=0,0,D542*V542/AA542)</f>
        <v/>
      </c>
      <c r="AF542">
        <f>IF(AA542=0,0,D542*W542/AA542)</f>
        <v/>
      </c>
      <c r="AG542">
        <f>IF(AA542=0,0,D542*X542/AA542)</f>
        <v/>
      </c>
      <c r="AH542">
        <f>IF(AA542=0,0,D542*Y542/AA542)</f>
        <v/>
      </c>
      <c r="AI542">
        <f>IF(AA542=0,0,D542*Z542/AA542)</f>
        <v/>
      </c>
      <c r="AJ542">
        <f>IF(OR(C542="",B542=""),"",C542&amp;"|"&amp;(YEAR(B542)*100+MONTH(B542)))</f>
        <v/>
      </c>
    </row>
    <row r="543">
      <c r="A543" s="1" t="n"/>
      <c r="B543" s="23" t="n"/>
      <c r="C543" s="24" t="n"/>
      <c r="D543" s="25" t="n"/>
      <c r="E543" s="26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1">
        <f>IF(D543="","",IF(B543="","No date",IF(AND(C543="Paying back",R543=0),"To whom?",IF(AA543=0,"Nobody",IF(C543="Paying back","To "&amp;INDEX(Housemates!$B$8:$B$15,MATCH(MAX(S543:Z543),S543:Z543,0)),IF(R543&gt;0,IF(COUNTIF(S543:Z543,"&gt;0")=1,"1 person",COUNTIF(S543:Z543,"&gt;0")&amp;" people"),IF(Q543=0,"Everyone",INDEX(Bills!$Q$6:$Q$25,Q543))))))))</f>
        <v/>
      </c>
      <c r="O543" s="18">
        <f>IF(D543="","",IF(C543="Paying back","Paying back",IF(Q543=0,"Other",IF(INDEX(Bills!$C$6:$C$25,Q543)="","Other",INDEX(Bills!$C$6:$C$25,Q543)))))</f>
        <v/>
      </c>
      <c r="P543" s="1" t="n"/>
      <c r="Q543">
        <f>IF(C543="",0,IFERROR(MATCH(C543,Bills!$B$6:$B$25,0),0))</f>
        <v/>
      </c>
      <c r="R543">
        <f>COUNTA(F543:M543)</f>
        <v/>
      </c>
      <c r="S543">
        <f>IF(OR($D543="",$B543="",Housemates!$B$8=""),0,IF($R543&gt;0,IF(F543="",0,IF(ISNUMBER(F543),F543,1)),IF($C543="Paying back",0,IF(AND(OR(Housemates!$C$8="",Housemates!$C$8&lt;=$B543),OR(Housemates!$D$8="",Housemates!$D$8&gt;=$B543)),IF($Q543=0,1,INDEX(Bills!$AA$6:$AA$25,$Q543)),0))))</f>
        <v/>
      </c>
      <c r="T543">
        <f>IF(OR($D543="",$B543="",Housemates!$B$9=""),0,IF($R543&gt;0,IF(G543="",0,IF(ISNUMBER(G543),G543,1)),IF($C543="Paying back",0,IF(AND(OR(Housemates!$C$9="",Housemates!$C$9&lt;=$B543),OR(Housemates!$D$9="",Housemates!$D$9&gt;=$B543)),IF($Q543=0,1,INDEX(Bills!$AB$6:$AB$25,$Q543)),0))))</f>
        <v/>
      </c>
      <c r="U543">
        <f>IF(OR($D543="",$B543="",Housemates!$B$10=""),0,IF($R543&gt;0,IF(H543="",0,IF(ISNUMBER(H543),H543,1)),IF($C543="Paying back",0,IF(AND(OR(Housemates!$C$10="",Housemates!$C$10&lt;=$B543),OR(Housemates!$D$10="",Housemates!$D$10&gt;=$B543)),IF($Q543=0,1,INDEX(Bills!$AC$6:$AC$25,$Q543)),0))))</f>
        <v/>
      </c>
      <c r="V543">
        <f>IF(OR($D543="",$B543="",Housemates!$B$11=""),0,IF($R543&gt;0,IF(I543="",0,IF(ISNUMBER(I543),I543,1)),IF($C543="Paying back",0,IF(AND(OR(Housemates!$C$11="",Housemates!$C$11&lt;=$B543),OR(Housemates!$D$11="",Housemates!$D$11&gt;=$B543)),IF($Q543=0,1,INDEX(Bills!$AD$6:$AD$25,$Q543)),0))))</f>
        <v/>
      </c>
      <c r="W543">
        <f>IF(OR($D543="",$B543="",Housemates!$B$12=""),0,IF($R543&gt;0,IF(J543="",0,IF(ISNUMBER(J543),J543,1)),IF($C543="Paying back",0,IF(AND(OR(Housemates!$C$12="",Housemates!$C$12&lt;=$B543),OR(Housemates!$D$12="",Housemates!$D$12&gt;=$B543)),IF($Q543=0,1,INDEX(Bills!$AE$6:$AE$25,$Q543)),0))))</f>
        <v/>
      </c>
      <c r="X543">
        <f>IF(OR($D543="",$B543="",Housemates!$B$13=""),0,IF($R543&gt;0,IF(K543="",0,IF(ISNUMBER(K543),K543,1)),IF($C543="Paying back",0,IF(AND(OR(Housemates!$C$13="",Housemates!$C$13&lt;=$B543),OR(Housemates!$D$13="",Housemates!$D$13&gt;=$B543)),IF($Q543=0,1,INDEX(Bills!$AF$6:$AF$25,$Q543)),0))))</f>
        <v/>
      </c>
      <c r="Y543">
        <f>IF(OR($D543="",$B543="",Housemates!$B$14=""),0,IF($R543&gt;0,IF(L543="",0,IF(ISNUMBER(L543),L543,1)),IF($C543="Paying back",0,IF(AND(OR(Housemates!$C$14="",Housemates!$C$14&lt;=$B543),OR(Housemates!$D$14="",Housemates!$D$14&gt;=$B543)),IF($Q543=0,1,INDEX(Bills!$AG$6:$AG$25,$Q543)),0))))</f>
        <v/>
      </c>
      <c r="Z543">
        <f>IF(OR($D543="",$B543="",Housemates!$B$15=""),0,IF($R543&gt;0,IF(M543="",0,IF(ISNUMBER(M543),M543,1)),IF($C543="Paying back",0,IF(AND(OR(Housemates!$C$15="",Housemates!$C$15&lt;=$B543),OR(Housemates!$D$15="",Housemates!$D$15&gt;=$B543)),IF($Q543=0,1,INDEX(Bills!$AH$6:$AH$25,$Q543)),0))))</f>
        <v/>
      </c>
      <c r="AA543">
        <f>SUM(S543:Z543)</f>
        <v/>
      </c>
      <c r="AB543">
        <f>IF(AA543=0,0,D543*S543/AA543)</f>
        <v/>
      </c>
      <c r="AC543">
        <f>IF(AA543=0,0,D543*T543/AA543)</f>
        <v/>
      </c>
      <c r="AD543">
        <f>IF(AA543=0,0,D543*U543/AA543)</f>
        <v/>
      </c>
      <c r="AE543">
        <f>IF(AA543=0,0,D543*V543/AA543)</f>
        <v/>
      </c>
      <c r="AF543">
        <f>IF(AA543=0,0,D543*W543/AA543)</f>
        <v/>
      </c>
      <c r="AG543">
        <f>IF(AA543=0,0,D543*X543/AA543)</f>
        <v/>
      </c>
      <c r="AH543">
        <f>IF(AA543=0,0,D543*Y543/AA543)</f>
        <v/>
      </c>
      <c r="AI543">
        <f>IF(AA543=0,0,D543*Z543/AA543)</f>
        <v/>
      </c>
      <c r="AJ543">
        <f>IF(OR(C543="",B543=""),"",C543&amp;"|"&amp;(YEAR(B543)*100+MONTH(B543)))</f>
        <v/>
      </c>
    </row>
    <row r="544">
      <c r="A544" s="1" t="n"/>
      <c r="B544" s="23" t="n"/>
      <c r="C544" s="24" t="n"/>
      <c r="D544" s="25" t="n"/>
      <c r="E544" s="26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1">
        <f>IF(D544="","",IF(B544="","No date",IF(AND(C544="Paying back",R544=0),"To whom?",IF(AA544=0,"Nobody",IF(C544="Paying back","To "&amp;INDEX(Housemates!$B$8:$B$15,MATCH(MAX(S544:Z544),S544:Z544,0)),IF(R544&gt;0,IF(COUNTIF(S544:Z544,"&gt;0")=1,"1 person",COUNTIF(S544:Z544,"&gt;0")&amp;" people"),IF(Q544=0,"Everyone",INDEX(Bills!$Q$6:$Q$25,Q544))))))))</f>
        <v/>
      </c>
      <c r="O544" s="18">
        <f>IF(D544="","",IF(C544="Paying back","Paying back",IF(Q544=0,"Other",IF(INDEX(Bills!$C$6:$C$25,Q544)="","Other",INDEX(Bills!$C$6:$C$25,Q544)))))</f>
        <v/>
      </c>
      <c r="P544" s="1" t="n"/>
      <c r="Q544">
        <f>IF(C544="",0,IFERROR(MATCH(C544,Bills!$B$6:$B$25,0),0))</f>
        <v/>
      </c>
      <c r="R544">
        <f>COUNTA(F544:M544)</f>
        <v/>
      </c>
      <c r="S544">
        <f>IF(OR($D544="",$B544="",Housemates!$B$8=""),0,IF($R544&gt;0,IF(F544="",0,IF(ISNUMBER(F544),F544,1)),IF($C544="Paying back",0,IF(AND(OR(Housemates!$C$8="",Housemates!$C$8&lt;=$B544),OR(Housemates!$D$8="",Housemates!$D$8&gt;=$B544)),IF($Q544=0,1,INDEX(Bills!$AA$6:$AA$25,$Q544)),0))))</f>
        <v/>
      </c>
      <c r="T544">
        <f>IF(OR($D544="",$B544="",Housemates!$B$9=""),0,IF($R544&gt;0,IF(G544="",0,IF(ISNUMBER(G544),G544,1)),IF($C544="Paying back",0,IF(AND(OR(Housemates!$C$9="",Housemates!$C$9&lt;=$B544),OR(Housemates!$D$9="",Housemates!$D$9&gt;=$B544)),IF($Q544=0,1,INDEX(Bills!$AB$6:$AB$25,$Q544)),0))))</f>
        <v/>
      </c>
      <c r="U544">
        <f>IF(OR($D544="",$B544="",Housemates!$B$10=""),0,IF($R544&gt;0,IF(H544="",0,IF(ISNUMBER(H544),H544,1)),IF($C544="Paying back",0,IF(AND(OR(Housemates!$C$10="",Housemates!$C$10&lt;=$B544),OR(Housemates!$D$10="",Housemates!$D$10&gt;=$B544)),IF($Q544=0,1,INDEX(Bills!$AC$6:$AC$25,$Q544)),0))))</f>
        <v/>
      </c>
      <c r="V544">
        <f>IF(OR($D544="",$B544="",Housemates!$B$11=""),0,IF($R544&gt;0,IF(I544="",0,IF(ISNUMBER(I544),I544,1)),IF($C544="Paying back",0,IF(AND(OR(Housemates!$C$11="",Housemates!$C$11&lt;=$B544),OR(Housemates!$D$11="",Housemates!$D$11&gt;=$B544)),IF($Q544=0,1,INDEX(Bills!$AD$6:$AD$25,$Q544)),0))))</f>
        <v/>
      </c>
      <c r="W544">
        <f>IF(OR($D544="",$B544="",Housemates!$B$12=""),0,IF($R544&gt;0,IF(J544="",0,IF(ISNUMBER(J544),J544,1)),IF($C544="Paying back",0,IF(AND(OR(Housemates!$C$12="",Housemates!$C$12&lt;=$B544),OR(Housemates!$D$12="",Housemates!$D$12&gt;=$B544)),IF($Q544=0,1,INDEX(Bills!$AE$6:$AE$25,$Q544)),0))))</f>
        <v/>
      </c>
      <c r="X544">
        <f>IF(OR($D544="",$B544="",Housemates!$B$13=""),0,IF($R544&gt;0,IF(K544="",0,IF(ISNUMBER(K544),K544,1)),IF($C544="Paying back",0,IF(AND(OR(Housemates!$C$13="",Housemates!$C$13&lt;=$B544),OR(Housemates!$D$13="",Housemates!$D$13&gt;=$B544)),IF($Q544=0,1,INDEX(Bills!$AF$6:$AF$25,$Q544)),0))))</f>
        <v/>
      </c>
      <c r="Y544">
        <f>IF(OR($D544="",$B544="",Housemates!$B$14=""),0,IF($R544&gt;0,IF(L544="",0,IF(ISNUMBER(L544),L544,1)),IF($C544="Paying back",0,IF(AND(OR(Housemates!$C$14="",Housemates!$C$14&lt;=$B544),OR(Housemates!$D$14="",Housemates!$D$14&gt;=$B544)),IF($Q544=0,1,INDEX(Bills!$AG$6:$AG$25,$Q544)),0))))</f>
        <v/>
      </c>
      <c r="Z544">
        <f>IF(OR($D544="",$B544="",Housemates!$B$15=""),0,IF($R544&gt;0,IF(M544="",0,IF(ISNUMBER(M544),M544,1)),IF($C544="Paying back",0,IF(AND(OR(Housemates!$C$15="",Housemates!$C$15&lt;=$B544),OR(Housemates!$D$15="",Housemates!$D$15&gt;=$B544)),IF($Q544=0,1,INDEX(Bills!$AH$6:$AH$25,$Q544)),0))))</f>
        <v/>
      </c>
      <c r="AA544">
        <f>SUM(S544:Z544)</f>
        <v/>
      </c>
      <c r="AB544">
        <f>IF(AA544=0,0,D544*S544/AA544)</f>
        <v/>
      </c>
      <c r="AC544">
        <f>IF(AA544=0,0,D544*T544/AA544)</f>
        <v/>
      </c>
      <c r="AD544">
        <f>IF(AA544=0,0,D544*U544/AA544)</f>
        <v/>
      </c>
      <c r="AE544">
        <f>IF(AA544=0,0,D544*V544/AA544)</f>
        <v/>
      </c>
      <c r="AF544">
        <f>IF(AA544=0,0,D544*W544/AA544)</f>
        <v/>
      </c>
      <c r="AG544">
        <f>IF(AA544=0,0,D544*X544/AA544)</f>
        <v/>
      </c>
      <c r="AH544">
        <f>IF(AA544=0,0,D544*Y544/AA544)</f>
        <v/>
      </c>
      <c r="AI544">
        <f>IF(AA544=0,0,D544*Z544/AA544)</f>
        <v/>
      </c>
      <c r="AJ544">
        <f>IF(OR(C544="",B544=""),"",C544&amp;"|"&amp;(YEAR(B544)*100+MONTH(B544)))</f>
        <v/>
      </c>
    </row>
    <row r="545">
      <c r="A545" s="1" t="n"/>
      <c r="B545" s="23" t="n"/>
      <c r="C545" s="24" t="n"/>
      <c r="D545" s="25" t="n"/>
      <c r="E545" s="26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1">
        <f>IF(D545="","",IF(B545="","No date",IF(AND(C545="Paying back",R545=0),"To whom?",IF(AA545=0,"Nobody",IF(C545="Paying back","To "&amp;INDEX(Housemates!$B$8:$B$15,MATCH(MAX(S545:Z545),S545:Z545,0)),IF(R545&gt;0,IF(COUNTIF(S545:Z545,"&gt;0")=1,"1 person",COUNTIF(S545:Z545,"&gt;0")&amp;" people"),IF(Q545=0,"Everyone",INDEX(Bills!$Q$6:$Q$25,Q545))))))))</f>
        <v/>
      </c>
      <c r="O545" s="18">
        <f>IF(D545="","",IF(C545="Paying back","Paying back",IF(Q545=0,"Other",IF(INDEX(Bills!$C$6:$C$25,Q545)="","Other",INDEX(Bills!$C$6:$C$25,Q545)))))</f>
        <v/>
      </c>
      <c r="P545" s="1" t="n"/>
      <c r="Q545">
        <f>IF(C545="",0,IFERROR(MATCH(C545,Bills!$B$6:$B$25,0),0))</f>
        <v/>
      </c>
      <c r="R545">
        <f>COUNTA(F545:M545)</f>
        <v/>
      </c>
      <c r="S545">
        <f>IF(OR($D545="",$B545="",Housemates!$B$8=""),0,IF($R545&gt;0,IF(F545="",0,IF(ISNUMBER(F545),F545,1)),IF($C545="Paying back",0,IF(AND(OR(Housemates!$C$8="",Housemates!$C$8&lt;=$B545),OR(Housemates!$D$8="",Housemates!$D$8&gt;=$B545)),IF($Q545=0,1,INDEX(Bills!$AA$6:$AA$25,$Q545)),0))))</f>
        <v/>
      </c>
      <c r="T545">
        <f>IF(OR($D545="",$B545="",Housemates!$B$9=""),0,IF($R545&gt;0,IF(G545="",0,IF(ISNUMBER(G545),G545,1)),IF($C545="Paying back",0,IF(AND(OR(Housemates!$C$9="",Housemates!$C$9&lt;=$B545),OR(Housemates!$D$9="",Housemates!$D$9&gt;=$B545)),IF($Q545=0,1,INDEX(Bills!$AB$6:$AB$25,$Q545)),0))))</f>
        <v/>
      </c>
      <c r="U545">
        <f>IF(OR($D545="",$B545="",Housemates!$B$10=""),0,IF($R545&gt;0,IF(H545="",0,IF(ISNUMBER(H545),H545,1)),IF($C545="Paying back",0,IF(AND(OR(Housemates!$C$10="",Housemates!$C$10&lt;=$B545),OR(Housemates!$D$10="",Housemates!$D$10&gt;=$B545)),IF($Q545=0,1,INDEX(Bills!$AC$6:$AC$25,$Q545)),0))))</f>
        <v/>
      </c>
      <c r="V545">
        <f>IF(OR($D545="",$B545="",Housemates!$B$11=""),0,IF($R545&gt;0,IF(I545="",0,IF(ISNUMBER(I545),I545,1)),IF($C545="Paying back",0,IF(AND(OR(Housemates!$C$11="",Housemates!$C$11&lt;=$B545),OR(Housemates!$D$11="",Housemates!$D$11&gt;=$B545)),IF($Q545=0,1,INDEX(Bills!$AD$6:$AD$25,$Q545)),0))))</f>
        <v/>
      </c>
      <c r="W545">
        <f>IF(OR($D545="",$B545="",Housemates!$B$12=""),0,IF($R545&gt;0,IF(J545="",0,IF(ISNUMBER(J545),J545,1)),IF($C545="Paying back",0,IF(AND(OR(Housemates!$C$12="",Housemates!$C$12&lt;=$B545),OR(Housemates!$D$12="",Housemates!$D$12&gt;=$B545)),IF($Q545=0,1,INDEX(Bills!$AE$6:$AE$25,$Q545)),0))))</f>
        <v/>
      </c>
      <c r="X545">
        <f>IF(OR($D545="",$B545="",Housemates!$B$13=""),0,IF($R545&gt;0,IF(K545="",0,IF(ISNUMBER(K545),K545,1)),IF($C545="Paying back",0,IF(AND(OR(Housemates!$C$13="",Housemates!$C$13&lt;=$B545),OR(Housemates!$D$13="",Housemates!$D$13&gt;=$B545)),IF($Q545=0,1,INDEX(Bills!$AF$6:$AF$25,$Q545)),0))))</f>
        <v/>
      </c>
      <c r="Y545">
        <f>IF(OR($D545="",$B545="",Housemates!$B$14=""),0,IF($R545&gt;0,IF(L545="",0,IF(ISNUMBER(L545),L545,1)),IF($C545="Paying back",0,IF(AND(OR(Housemates!$C$14="",Housemates!$C$14&lt;=$B545),OR(Housemates!$D$14="",Housemates!$D$14&gt;=$B545)),IF($Q545=0,1,INDEX(Bills!$AG$6:$AG$25,$Q545)),0))))</f>
        <v/>
      </c>
      <c r="Z545">
        <f>IF(OR($D545="",$B545="",Housemates!$B$15=""),0,IF($R545&gt;0,IF(M545="",0,IF(ISNUMBER(M545),M545,1)),IF($C545="Paying back",0,IF(AND(OR(Housemates!$C$15="",Housemates!$C$15&lt;=$B545),OR(Housemates!$D$15="",Housemates!$D$15&gt;=$B545)),IF($Q545=0,1,INDEX(Bills!$AH$6:$AH$25,$Q545)),0))))</f>
        <v/>
      </c>
      <c r="AA545">
        <f>SUM(S545:Z545)</f>
        <v/>
      </c>
      <c r="AB545">
        <f>IF(AA545=0,0,D545*S545/AA545)</f>
        <v/>
      </c>
      <c r="AC545">
        <f>IF(AA545=0,0,D545*T545/AA545)</f>
        <v/>
      </c>
      <c r="AD545">
        <f>IF(AA545=0,0,D545*U545/AA545)</f>
        <v/>
      </c>
      <c r="AE545">
        <f>IF(AA545=0,0,D545*V545/AA545)</f>
        <v/>
      </c>
      <c r="AF545">
        <f>IF(AA545=0,0,D545*W545/AA545)</f>
        <v/>
      </c>
      <c r="AG545">
        <f>IF(AA545=0,0,D545*X545/AA545)</f>
        <v/>
      </c>
      <c r="AH545">
        <f>IF(AA545=0,0,D545*Y545/AA545)</f>
        <v/>
      </c>
      <c r="AI545">
        <f>IF(AA545=0,0,D545*Z545/AA545)</f>
        <v/>
      </c>
      <c r="AJ545">
        <f>IF(OR(C545="",B545=""),"",C545&amp;"|"&amp;(YEAR(B545)*100+MONTH(B545)))</f>
        <v/>
      </c>
    </row>
    <row r="546">
      <c r="A546" s="1" t="n"/>
      <c r="B546" s="23" t="n"/>
      <c r="C546" s="24" t="n"/>
      <c r="D546" s="25" t="n"/>
      <c r="E546" s="26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1">
        <f>IF(D546="","",IF(B546="","No date",IF(AND(C546="Paying back",R546=0),"To whom?",IF(AA546=0,"Nobody",IF(C546="Paying back","To "&amp;INDEX(Housemates!$B$8:$B$15,MATCH(MAX(S546:Z546),S546:Z546,0)),IF(R546&gt;0,IF(COUNTIF(S546:Z546,"&gt;0")=1,"1 person",COUNTIF(S546:Z546,"&gt;0")&amp;" people"),IF(Q546=0,"Everyone",INDEX(Bills!$Q$6:$Q$25,Q546))))))))</f>
        <v/>
      </c>
      <c r="O546" s="18">
        <f>IF(D546="","",IF(C546="Paying back","Paying back",IF(Q546=0,"Other",IF(INDEX(Bills!$C$6:$C$25,Q546)="","Other",INDEX(Bills!$C$6:$C$25,Q546)))))</f>
        <v/>
      </c>
      <c r="P546" s="1" t="n"/>
      <c r="Q546">
        <f>IF(C546="",0,IFERROR(MATCH(C546,Bills!$B$6:$B$25,0),0))</f>
        <v/>
      </c>
      <c r="R546">
        <f>COUNTA(F546:M546)</f>
        <v/>
      </c>
      <c r="S546">
        <f>IF(OR($D546="",$B546="",Housemates!$B$8=""),0,IF($R546&gt;0,IF(F546="",0,IF(ISNUMBER(F546),F546,1)),IF($C546="Paying back",0,IF(AND(OR(Housemates!$C$8="",Housemates!$C$8&lt;=$B546),OR(Housemates!$D$8="",Housemates!$D$8&gt;=$B546)),IF($Q546=0,1,INDEX(Bills!$AA$6:$AA$25,$Q546)),0))))</f>
        <v/>
      </c>
      <c r="T546">
        <f>IF(OR($D546="",$B546="",Housemates!$B$9=""),0,IF($R546&gt;0,IF(G546="",0,IF(ISNUMBER(G546),G546,1)),IF($C546="Paying back",0,IF(AND(OR(Housemates!$C$9="",Housemates!$C$9&lt;=$B546),OR(Housemates!$D$9="",Housemates!$D$9&gt;=$B546)),IF($Q546=0,1,INDEX(Bills!$AB$6:$AB$25,$Q546)),0))))</f>
        <v/>
      </c>
      <c r="U546">
        <f>IF(OR($D546="",$B546="",Housemates!$B$10=""),0,IF($R546&gt;0,IF(H546="",0,IF(ISNUMBER(H546),H546,1)),IF($C546="Paying back",0,IF(AND(OR(Housemates!$C$10="",Housemates!$C$10&lt;=$B546),OR(Housemates!$D$10="",Housemates!$D$10&gt;=$B546)),IF($Q546=0,1,INDEX(Bills!$AC$6:$AC$25,$Q546)),0))))</f>
        <v/>
      </c>
      <c r="V546">
        <f>IF(OR($D546="",$B546="",Housemates!$B$11=""),0,IF($R546&gt;0,IF(I546="",0,IF(ISNUMBER(I546),I546,1)),IF($C546="Paying back",0,IF(AND(OR(Housemates!$C$11="",Housemates!$C$11&lt;=$B546),OR(Housemates!$D$11="",Housemates!$D$11&gt;=$B546)),IF($Q546=0,1,INDEX(Bills!$AD$6:$AD$25,$Q546)),0))))</f>
        <v/>
      </c>
      <c r="W546">
        <f>IF(OR($D546="",$B546="",Housemates!$B$12=""),0,IF($R546&gt;0,IF(J546="",0,IF(ISNUMBER(J546),J546,1)),IF($C546="Paying back",0,IF(AND(OR(Housemates!$C$12="",Housemates!$C$12&lt;=$B546),OR(Housemates!$D$12="",Housemates!$D$12&gt;=$B546)),IF($Q546=0,1,INDEX(Bills!$AE$6:$AE$25,$Q546)),0))))</f>
        <v/>
      </c>
      <c r="X546">
        <f>IF(OR($D546="",$B546="",Housemates!$B$13=""),0,IF($R546&gt;0,IF(K546="",0,IF(ISNUMBER(K546),K546,1)),IF($C546="Paying back",0,IF(AND(OR(Housemates!$C$13="",Housemates!$C$13&lt;=$B546),OR(Housemates!$D$13="",Housemates!$D$13&gt;=$B546)),IF($Q546=0,1,INDEX(Bills!$AF$6:$AF$25,$Q546)),0))))</f>
        <v/>
      </c>
      <c r="Y546">
        <f>IF(OR($D546="",$B546="",Housemates!$B$14=""),0,IF($R546&gt;0,IF(L546="",0,IF(ISNUMBER(L546),L546,1)),IF($C546="Paying back",0,IF(AND(OR(Housemates!$C$14="",Housemates!$C$14&lt;=$B546),OR(Housemates!$D$14="",Housemates!$D$14&gt;=$B546)),IF($Q546=0,1,INDEX(Bills!$AG$6:$AG$25,$Q546)),0))))</f>
        <v/>
      </c>
      <c r="Z546">
        <f>IF(OR($D546="",$B546="",Housemates!$B$15=""),0,IF($R546&gt;0,IF(M546="",0,IF(ISNUMBER(M546),M546,1)),IF($C546="Paying back",0,IF(AND(OR(Housemates!$C$15="",Housemates!$C$15&lt;=$B546),OR(Housemates!$D$15="",Housemates!$D$15&gt;=$B546)),IF($Q546=0,1,INDEX(Bills!$AH$6:$AH$25,$Q546)),0))))</f>
        <v/>
      </c>
      <c r="AA546">
        <f>SUM(S546:Z546)</f>
        <v/>
      </c>
      <c r="AB546">
        <f>IF(AA546=0,0,D546*S546/AA546)</f>
        <v/>
      </c>
      <c r="AC546">
        <f>IF(AA546=0,0,D546*T546/AA546)</f>
        <v/>
      </c>
      <c r="AD546">
        <f>IF(AA546=0,0,D546*U546/AA546)</f>
        <v/>
      </c>
      <c r="AE546">
        <f>IF(AA546=0,0,D546*V546/AA546)</f>
        <v/>
      </c>
      <c r="AF546">
        <f>IF(AA546=0,0,D546*W546/AA546)</f>
        <v/>
      </c>
      <c r="AG546">
        <f>IF(AA546=0,0,D546*X546/AA546)</f>
        <v/>
      </c>
      <c r="AH546">
        <f>IF(AA546=0,0,D546*Y546/AA546)</f>
        <v/>
      </c>
      <c r="AI546">
        <f>IF(AA546=0,0,D546*Z546/AA546)</f>
        <v/>
      </c>
      <c r="AJ546">
        <f>IF(OR(C546="",B546=""),"",C546&amp;"|"&amp;(YEAR(B546)*100+MONTH(B546)))</f>
        <v/>
      </c>
    </row>
    <row r="547">
      <c r="A547" s="1" t="n"/>
      <c r="B547" s="23" t="n"/>
      <c r="C547" s="24" t="n"/>
      <c r="D547" s="25" t="n"/>
      <c r="E547" s="26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1">
        <f>IF(D547="","",IF(B547="","No date",IF(AND(C547="Paying back",R547=0),"To whom?",IF(AA547=0,"Nobody",IF(C547="Paying back","To "&amp;INDEX(Housemates!$B$8:$B$15,MATCH(MAX(S547:Z547),S547:Z547,0)),IF(R547&gt;0,IF(COUNTIF(S547:Z547,"&gt;0")=1,"1 person",COUNTIF(S547:Z547,"&gt;0")&amp;" people"),IF(Q547=0,"Everyone",INDEX(Bills!$Q$6:$Q$25,Q547))))))))</f>
        <v/>
      </c>
      <c r="O547" s="18">
        <f>IF(D547="","",IF(C547="Paying back","Paying back",IF(Q547=0,"Other",IF(INDEX(Bills!$C$6:$C$25,Q547)="","Other",INDEX(Bills!$C$6:$C$25,Q547)))))</f>
        <v/>
      </c>
      <c r="P547" s="1" t="n"/>
      <c r="Q547">
        <f>IF(C547="",0,IFERROR(MATCH(C547,Bills!$B$6:$B$25,0),0))</f>
        <v/>
      </c>
      <c r="R547">
        <f>COUNTA(F547:M547)</f>
        <v/>
      </c>
      <c r="S547">
        <f>IF(OR($D547="",$B547="",Housemates!$B$8=""),0,IF($R547&gt;0,IF(F547="",0,IF(ISNUMBER(F547),F547,1)),IF($C547="Paying back",0,IF(AND(OR(Housemates!$C$8="",Housemates!$C$8&lt;=$B547),OR(Housemates!$D$8="",Housemates!$D$8&gt;=$B547)),IF($Q547=0,1,INDEX(Bills!$AA$6:$AA$25,$Q547)),0))))</f>
        <v/>
      </c>
      <c r="T547">
        <f>IF(OR($D547="",$B547="",Housemates!$B$9=""),0,IF($R547&gt;0,IF(G547="",0,IF(ISNUMBER(G547),G547,1)),IF($C547="Paying back",0,IF(AND(OR(Housemates!$C$9="",Housemates!$C$9&lt;=$B547),OR(Housemates!$D$9="",Housemates!$D$9&gt;=$B547)),IF($Q547=0,1,INDEX(Bills!$AB$6:$AB$25,$Q547)),0))))</f>
        <v/>
      </c>
      <c r="U547">
        <f>IF(OR($D547="",$B547="",Housemates!$B$10=""),0,IF($R547&gt;0,IF(H547="",0,IF(ISNUMBER(H547),H547,1)),IF($C547="Paying back",0,IF(AND(OR(Housemates!$C$10="",Housemates!$C$10&lt;=$B547),OR(Housemates!$D$10="",Housemates!$D$10&gt;=$B547)),IF($Q547=0,1,INDEX(Bills!$AC$6:$AC$25,$Q547)),0))))</f>
        <v/>
      </c>
      <c r="V547">
        <f>IF(OR($D547="",$B547="",Housemates!$B$11=""),0,IF($R547&gt;0,IF(I547="",0,IF(ISNUMBER(I547),I547,1)),IF($C547="Paying back",0,IF(AND(OR(Housemates!$C$11="",Housemates!$C$11&lt;=$B547),OR(Housemates!$D$11="",Housemates!$D$11&gt;=$B547)),IF($Q547=0,1,INDEX(Bills!$AD$6:$AD$25,$Q547)),0))))</f>
        <v/>
      </c>
      <c r="W547">
        <f>IF(OR($D547="",$B547="",Housemates!$B$12=""),0,IF($R547&gt;0,IF(J547="",0,IF(ISNUMBER(J547),J547,1)),IF($C547="Paying back",0,IF(AND(OR(Housemates!$C$12="",Housemates!$C$12&lt;=$B547),OR(Housemates!$D$12="",Housemates!$D$12&gt;=$B547)),IF($Q547=0,1,INDEX(Bills!$AE$6:$AE$25,$Q547)),0))))</f>
        <v/>
      </c>
      <c r="X547">
        <f>IF(OR($D547="",$B547="",Housemates!$B$13=""),0,IF($R547&gt;0,IF(K547="",0,IF(ISNUMBER(K547),K547,1)),IF($C547="Paying back",0,IF(AND(OR(Housemates!$C$13="",Housemates!$C$13&lt;=$B547),OR(Housemates!$D$13="",Housemates!$D$13&gt;=$B547)),IF($Q547=0,1,INDEX(Bills!$AF$6:$AF$25,$Q547)),0))))</f>
        <v/>
      </c>
      <c r="Y547">
        <f>IF(OR($D547="",$B547="",Housemates!$B$14=""),0,IF($R547&gt;0,IF(L547="",0,IF(ISNUMBER(L547),L547,1)),IF($C547="Paying back",0,IF(AND(OR(Housemates!$C$14="",Housemates!$C$14&lt;=$B547),OR(Housemates!$D$14="",Housemates!$D$14&gt;=$B547)),IF($Q547=0,1,INDEX(Bills!$AG$6:$AG$25,$Q547)),0))))</f>
        <v/>
      </c>
      <c r="Z547">
        <f>IF(OR($D547="",$B547="",Housemates!$B$15=""),0,IF($R547&gt;0,IF(M547="",0,IF(ISNUMBER(M547),M547,1)),IF($C547="Paying back",0,IF(AND(OR(Housemates!$C$15="",Housemates!$C$15&lt;=$B547),OR(Housemates!$D$15="",Housemates!$D$15&gt;=$B547)),IF($Q547=0,1,INDEX(Bills!$AH$6:$AH$25,$Q547)),0))))</f>
        <v/>
      </c>
      <c r="AA547">
        <f>SUM(S547:Z547)</f>
        <v/>
      </c>
      <c r="AB547">
        <f>IF(AA547=0,0,D547*S547/AA547)</f>
        <v/>
      </c>
      <c r="AC547">
        <f>IF(AA547=0,0,D547*T547/AA547)</f>
        <v/>
      </c>
      <c r="AD547">
        <f>IF(AA547=0,0,D547*U547/AA547)</f>
        <v/>
      </c>
      <c r="AE547">
        <f>IF(AA547=0,0,D547*V547/AA547)</f>
        <v/>
      </c>
      <c r="AF547">
        <f>IF(AA547=0,0,D547*W547/AA547)</f>
        <v/>
      </c>
      <c r="AG547">
        <f>IF(AA547=0,0,D547*X547/AA547)</f>
        <v/>
      </c>
      <c r="AH547">
        <f>IF(AA547=0,0,D547*Y547/AA547)</f>
        <v/>
      </c>
      <c r="AI547">
        <f>IF(AA547=0,0,D547*Z547/AA547)</f>
        <v/>
      </c>
      <c r="AJ547">
        <f>IF(OR(C547="",B547=""),"",C547&amp;"|"&amp;(YEAR(B547)*100+MONTH(B547)))</f>
        <v/>
      </c>
    </row>
    <row r="548">
      <c r="A548" s="1" t="n"/>
      <c r="B548" s="23" t="n"/>
      <c r="C548" s="24" t="n"/>
      <c r="D548" s="25" t="n"/>
      <c r="E548" s="26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1">
        <f>IF(D548="","",IF(B548="","No date",IF(AND(C548="Paying back",R548=0),"To whom?",IF(AA548=0,"Nobody",IF(C548="Paying back","To "&amp;INDEX(Housemates!$B$8:$B$15,MATCH(MAX(S548:Z548),S548:Z548,0)),IF(R548&gt;0,IF(COUNTIF(S548:Z548,"&gt;0")=1,"1 person",COUNTIF(S548:Z548,"&gt;0")&amp;" people"),IF(Q548=0,"Everyone",INDEX(Bills!$Q$6:$Q$25,Q548))))))))</f>
        <v/>
      </c>
      <c r="O548" s="18">
        <f>IF(D548="","",IF(C548="Paying back","Paying back",IF(Q548=0,"Other",IF(INDEX(Bills!$C$6:$C$25,Q548)="","Other",INDEX(Bills!$C$6:$C$25,Q548)))))</f>
        <v/>
      </c>
      <c r="P548" s="1" t="n"/>
      <c r="Q548">
        <f>IF(C548="",0,IFERROR(MATCH(C548,Bills!$B$6:$B$25,0),0))</f>
        <v/>
      </c>
      <c r="R548">
        <f>COUNTA(F548:M548)</f>
        <v/>
      </c>
      <c r="S548">
        <f>IF(OR($D548="",$B548="",Housemates!$B$8=""),0,IF($R548&gt;0,IF(F548="",0,IF(ISNUMBER(F548),F548,1)),IF($C548="Paying back",0,IF(AND(OR(Housemates!$C$8="",Housemates!$C$8&lt;=$B548),OR(Housemates!$D$8="",Housemates!$D$8&gt;=$B548)),IF($Q548=0,1,INDEX(Bills!$AA$6:$AA$25,$Q548)),0))))</f>
        <v/>
      </c>
      <c r="T548">
        <f>IF(OR($D548="",$B548="",Housemates!$B$9=""),0,IF($R548&gt;0,IF(G548="",0,IF(ISNUMBER(G548),G548,1)),IF($C548="Paying back",0,IF(AND(OR(Housemates!$C$9="",Housemates!$C$9&lt;=$B548),OR(Housemates!$D$9="",Housemates!$D$9&gt;=$B548)),IF($Q548=0,1,INDEX(Bills!$AB$6:$AB$25,$Q548)),0))))</f>
        <v/>
      </c>
      <c r="U548">
        <f>IF(OR($D548="",$B548="",Housemates!$B$10=""),0,IF($R548&gt;0,IF(H548="",0,IF(ISNUMBER(H548),H548,1)),IF($C548="Paying back",0,IF(AND(OR(Housemates!$C$10="",Housemates!$C$10&lt;=$B548),OR(Housemates!$D$10="",Housemates!$D$10&gt;=$B548)),IF($Q548=0,1,INDEX(Bills!$AC$6:$AC$25,$Q548)),0))))</f>
        <v/>
      </c>
      <c r="V548">
        <f>IF(OR($D548="",$B548="",Housemates!$B$11=""),0,IF($R548&gt;0,IF(I548="",0,IF(ISNUMBER(I548),I548,1)),IF($C548="Paying back",0,IF(AND(OR(Housemates!$C$11="",Housemates!$C$11&lt;=$B548),OR(Housemates!$D$11="",Housemates!$D$11&gt;=$B548)),IF($Q548=0,1,INDEX(Bills!$AD$6:$AD$25,$Q548)),0))))</f>
        <v/>
      </c>
      <c r="W548">
        <f>IF(OR($D548="",$B548="",Housemates!$B$12=""),0,IF($R548&gt;0,IF(J548="",0,IF(ISNUMBER(J548),J548,1)),IF($C548="Paying back",0,IF(AND(OR(Housemates!$C$12="",Housemates!$C$12&lt;=$B548),OR(Housemates!$D$12="",Housemates!$D$12&gt;=$B548)),IF($Q548=0,1,INDEX(Bills!$AE$6:$AE$25,$Q548)),0))))</f>
        <v/>
      </c>
      <c r="X548">
        <f>IF(OR($D548="",$B548="",Housemates!$B$13=""),0,IF($R548&gt;0,IF(K548="",0,IF(ISNUMBER(K548),K548,1)),IF($C548="Paying back",0,IF(AND(OR(Housemates!$C$13="",Housemates!$C$13&lt;=$B548),OR(Housemates!$D$13="",Housemates!$D$13&gt;=$B548)),IF($Q548=0,1,INDEX(Bills!$AF$6:$AF$25,$Q548)),0))))</f>
        <v/>
      </c>
      <c r="Y548">
        <f>IF(OR($D548="",$B548="",Housemates!$B$14=""),0,IF($R548&gt;0,IF(L548="",0,IF(ISNUMBER(L548),L548,1)),IF($C548="Paying back",0,IF(AND(OR(Housemates!$C$14="",Housemates!$C$14&lt;=$B548),OR(Housemates!$D$14="",Housemates!$D$14&gt;=$B548)),IF($Q548=0,1,INDEX(Bills!$AG$6:$AG$25,$Q548)),0))))</f>
        <v/>
      </c>
      <c r="Z548">
        <f>IF(OR($D548="",$B548="",Housemates!$B$15=""),0,IF($R548&gt;0,IF(M548="",0,IF(ISNUMBER(M548),M548,1)),IF($C548="Paying back",0,IF(AND(OR(Housemates!$C$15="",Housemates!$C$15&lt;=$B548),OR(Housemates!$D$15="",Housemates!$D$15&gt;=$B548)),IF($Q548=0,1,INDEX(Bills!$AH$6:$AH$25,$Q548)),0))))</f>
        <v/>
      </c>
      <c r="AA548">
        <f>SUM(S548:Z548)</f>
        <v/>
      </c>
      <c r="AB548">
        <f>IF(AA548=0,0,D548*S548/AA548)</f>
        <v/>
      </c>
      <c r="AC548">
        <f>IF(AA548=0,0,D548*T548/AA548)</f>
        <v/>
      </c>
      <c r="AD548">
        <f>IF(AA548=0,0,D548*U548/AA548)</f>
        <v/>
      </c>
      <c r="AE548">
        <f>IF(AA548=0,0,D548*V548/AA548)</f>
        <v/>
      </c>
      <c r="AF548">
        <f>IF(AA548=0,0,D548*W548/AA548)</f>
        <v/>
      </c>
      <c r="AG548">
        <f>IF(AA548=0,0,D548*X548/AA548)</f>
        <v/>
      </c>
      <c r="AH548">
        <f>IF(AA548=0,0,D548*Y548/AA548)</f>
        <v/>
      </c>
      <c r="AI548">
        <f>IF(AA548=0,0,D548*Z548/AA548)</f>
        <v/>
      </c>
      <c r="AJ548">
        <f>IF(OR(C548="",B548=""),"",C548&amp;"|"&amp;(YEAR(B548)*100+MONTH(B548)))</f>
        <v/>
      </c>
    </row>
    <row r="549">
      <c r="A549" s="1" t="n"/>
      <c r="B549" s="23" t="n"/>
      <c r="C549" s="24" t="n"/>
      <c r="D549" s="25" t="n"/>
      <c r="E549" s="26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1">
        <f>IF(D549="","",IF(B549="","No date",IF(AND(C549="Paying back",R549=0),"To whom?",IF(AA549=0,"Nobody",IF(C549="Paying back","To "&amp;INDEX(Housemates!$B$8:$B$15,MATCH(MAX(S549:Z549),S549:Z549,0)),IF(R549&gt;0,IF(COUNTIF(S549:Z549,"&gt;0")=1,"1 person",COUNTIF(S549:Z549,"&gt;0")&amp;" people"),IF(Q549=0,"Everyone",INDEX(Bills!$Q$6:$Q$25,Q549))))))))</f>
        <v/>
      </c>
      <c r="O549" s="18">
        <f>IF(D549="","",IF(C549="Paying back","Paying back",IF(Q549=0,"Other",IF(INDEX(Bills!$C$6:$C$25,Q549)="","Other",INDEX(Bills!$C$6:$C$25,Q549)))))</f>
        <v/>
      </c>
      <c r="P549" s="1" t="n"/>
      <c r="Q549">
        <f>IF(C549="",0,IFERROR(MATCH(C549,Bills!$B$6:$B$25,0),0))</f>
        <v/>
      </c>
      <c r="R549">
        <f>COUNTA(F549:M549)</f>
        <v/>
      </c>
      <c r="S549">
        <f>IF(OR($D549="",$B549="",Housemates!$B$8=""),0,IF($R549&gt;0,IF(F549="",0,IF(ISNUMBER(F549),F549,1)),IF($C549="Paying back",0,IF(AND(OR(Housemates!$C$8="",Housemates!$C$8&lt;=$B549),OR(Housemates!$D$8="",Housemates!$D$8&gt;=$B549)),IF($Q549=0,1,INDEX(Bills!$AA$6:$AA$25,$Q549)),0))))</f>
        <v/>
      </c>
      <c r="T549">
        <f>IF(OR($D549="",$B549="",Housemates!$B$9=""),0,IF($R549&gt;0,IF(G549="",0,IF(ISNUMBER(G549),G549,1)),IF($C549="Paying back",0,IF(AND(OR(Housemates!$C$9="",Housemates!$C$9&lt;=$B549),OR(Housemates!$D$9="",Housemates!$D$9&gt;=$B549)),IF($Q549=0,1,INDEX(Bills!$AB$6:$AB$25,$Q549)),0))))</f>
        <v/>
      </c>
      <c r="U549">
        <f>IF(OR($D549="",$B549="",Housemates!$B$10=""),0,IF($R549&gt;0,IF(H549="",0,IF(ISNUMBER(H549),H549,1)),IF($C549="Paying back",0,IF(AND(OR(Housemates!$C$10="",Housemates!$C$10&lt;=$B549),OR(Housemates!$D$10="",Housemates!$D$10&gt;=$B549)),IF($Q549=0,1,INDEX(Bills!$AC$6:$AC$25,$Q549)),0))))</f>
        <v/>
      </c>
      <c r="V549">
        <f>IF(OR($D549="",$B549="",Housemates!$B$11=""),0,IF($R549&gt;0,IF(I549="",0,IF(ISNUMBER(I549),I549,1)),IF($C549="Paying back",0,IF(AND(OR(Housemates!$C$11="",Housemates!$C$11&lt;=$B549),OR(Housemates!$D$11="",Housemates!$D$11&gt;=$B549)),IF($Q549=0,1,INDEX(Bills!$AD$6:$AD$25,$Q549)),0))))</f>
        <v/>
      </c>
      <c r="W549">
        <f>IF(OR($D549="",$B549="",Housemates!$B$12=""),0,IF($R549&gt;0,IF(J549="",0,IF(ISNUMBER(J549),J549,1)),IF($C549="Paying back",0,IF(AND(OR(Housemates!$C$12="",Housemates!$C$12&lt;=$B549),OR(Housemates!$D$12="",Housemates!$D$12&gt;=$B549)),IF($Q549=0,1,INDEX(Bills!$AE$6:$AE$25,$Q549)),0))))</f>
        <v/>
      </c>
      <c r="X549">
        <f>IF(OR($D549="",$B549="",Housemates!$B$13=""),0,IF($R549&gt;0,IF(K549="",0,IF(ISNUMBER(K549),K549,1)),IF($C549="Paying back",0,IF(AND(OR(Housemates!$C$13="",Housemates!$C$13&lt;=$B549),OR(Housemates!$D$13="",Housemates!$D$13&gt;=$B549)),IF($Q549=0,1,INDEX(Bills!$AF$6:$AF$25,$Q549)),0))))</f>
        <v/>
      </c>
      <c r="Y549">
        <f>IF(OR($D549="",$B549="",Housemates!$B$14=""),0,IF($R549&gt;0,IF(L549="",0,IF(ISNUMBER(L549),L549,1)),IF($C549="Paying back",0,IF(AND(OR(Housemates!$C$14="",Housemates!$C$14&lt;=$B549),OR(Housemates!$D$14="",Housemates!$D$14&gt;=$B549)),IF($Q549=0,1,INDEX(Bills!$AG$6:$AG$25,$Q549)),0))))</f>
        <v/>
      </c>
      <c r="Z549">
        <f>IF(OR($D549="",$B549="",Housemates!$B$15=""),0,IF($R549&gt;0,IF(M549="",0,IF(ISNUMBER(M549),M549,1)),IF($C549="Paying back",0,IF(AND(OR(Housemates!$C$15="",Housemates!$C$15&lt;=$B549),OR(Housemates!$D$15="",Housemates!$D$15&gt;=$B549)),IF($Q549=0,1,INDEX(Bills!$AH$6:$AH$25,$Q549)),0))))</f>
        <v/>
      </c>
      <c r="AA549">
        <f>SUM(S549:Z549)</f>
        <v/>
      </c>
      <c r="AB549">
        <f>IF(AA549=0,0,D549*S549/AA549)</f>
        <v/>
      </c>
      <c r="AC549">
        <f>IF(AA549=0,0,D549*T549/AA549)</f>
        <v/>
      </c>
      <c r="AD549">
        <f>IF(AA549=0,0,D549*U549/AA549)</f>
        <v/>
      </c>
      <c r="AE549">
        <f>IF(AA549=0,0,D549*V549/AA549)</f>
        <v/>
      </c>
      <c r="AF549">
        <f>IF(AA549=0,0,D549*W549/AA549)</f>
        <v/>
      </c>
      <c r="AG549">
        <f>IF(AA549=0,0,D549*X549/AA549)</f>
        <v/>
      </c>
      <c r="AH549">
        <f>IF(AA549=0,0,D549*Y549/AA549)</f>
        <v/>
      </c>
      <c r="AI549">
        <f>IF(AA549=0,0,D549*Z549/AA549)</f>
        <v/>
      </c>
      <c r="AJ549">
        <f>IF(OR(C549="",B549=""),"",C549&amp;"|"&amp;(YEAR(B549)*100+MONTH(B549)))</f>
        <v/>
      </c>
    </row>
    <row r="550">
      <c r="A550" s="1" t="n"/>
      <c r="B550" s="23" t="n"/>
      <c r="C550" s="24" t="n"/>
      <c r="D550" s="25" t="n"/>
      <c r="E550" s="26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1">
        <f>IF(D550="","",IF(B550="","No date",IF(AND(C550="Paying back",R550=0),"To whom?",IF(AA550=0,"Nobody",IF(C550="Paying back","To "&amp;INDEX(Housemates!$B$8:$B$15,MATCH(MAX(S550:Z550),S550:Z550,0)),IF(R550&gt;0,IF(COUNTIF(S550:Z550,"&gt;0")=1,"1 person",COUNTIF(S550:Z550,"&gt;0")&amp;" people"),IF(Q550=0,"Everyone",INDEX(Bills!$Q$6:$Q$25,Q550))))))))</f>
        <v/>
      </c>
      <c r="O550" s="18">
        <f>IF(D550="","",IF(C550="Paying back","Paying back",IF(Q550=0,"Other",IF(INDEX(Bills!$C$6:$C$25,Q550)="","Other",INDEX(Bills!$C$6:$C$25,Q550)))))</f>
        <v/>
      </c>
      <c r="P550" s="1" t="n"/>
      <c r="Q550">
        <f>IF(C550="",0,IFERROR(MATCH(C550,Bills!$B$6:$B$25,0),0))</f>
        <v/>
      </c>
      <c r="R550">
        <f>COUNTA(F550:M550)</f>
        <v/>
      </c>
      <c r="S550">
        <f>IF(OR($D550="",$B550="",Housemates!$B$8=""),0,IF($R550&gt;0,IF(F550="",0,IF(ISNUMBER(F550),F550,1)),IF($C550="Paying back",0,IF(AND(OR(Housemates!$C$8="",Housemates!$C$8&lt;=$B550),OR(Housemates!$D$8="",Housemates!$D$8&gt;=$B550)),IF($Q550=0,1,INDEX(Bills!$AA$6:$AA$25,$Q550)),0))))</f>
        <v/>
      </c>
      <c r="T550">
        <f>IF(OR($D550="",$B550="",Housemates!$B$9=""),0,IF($R550&gt;0,IF(G550="",0,IF(ISNUMBER(G550),G550,1)),IF($C550="Paying back",0,IF(AND(OR(Housemates!$C$9="",Housemates!$C$9&lt;=$B550),OR(Housemates!$D$9="",Housemates!$D$9&gt;=$B550)),IF($Q550=0,1,INDEX(Bills!$AB$6:$AB$25,$Q550)),0))))</f>
        <v/>
      </c>
      <c r="U550">
        <f>IF(OR($D550="",$B550="",Housemates!$B$10=""),0,IF($R550&gt;0,IF(H550="",0,IF(ISNUMBER(H550),H550,1)),IF($C550="Paying back",0,IF(AND(OR(Housemates!$C$10="",Housemates!$C$10&lt;=$B550),OR(Housemates!$D$10="",Housemates!$D$10&gt;=$B550)),IF($Q550=0,1,INDEX(Bills!$AC$6:$AC$25,$Q550)),0))))</f>
        <v/>
      </c>
      <c r="V550">
        <f>IF(OR($D550="",$B550="",Housemates!$B$11=""),0,IF($R550&gt;0,IF(I550="",0,IF(ISNUMBER(I550),I550,1)),IF($C550="Paying back",0,IF(AND(OR(Housemates!$C$11="",Housemates!$C$11&lt;=$B550),OR(Housemates!$D$11="",Housemates!$D$11&gt;=$B550)),IF($Q550=0,1,INDEX(Bills!$AD$6:$AD$25,$Q550)),0))))</f>
        <v/>
      </c>
      <c r="W550">
        <f>IF(OR($D550="",$B550="",Housemates!$B$12=""),0,IF($R550&gt;0,IF(J550="",0,IF(ISNUMBER(J550),J550,1)),IF($C550="Paying back",0,IF(AND(OR(Housemates!$C$12="",Housemates!$C$12&lt;=$B550),OR(Housemates!$D$12="",Housemates!$D$12&gt;=$B550)),IF($Q550=0,1,INDEX(Bills!$AE$6:$AE$25,$Q550)),0))))</f>
        <v/>
      </c>
      <c r="X550">
        <f>IF(OR($D550="",$B550="",Housemates!$B$13=""),0,IF($R550&gt;0,IF(K550="",0,IF(ISNUMBER(K550),K550,1)),IF($C550="Paying back",0,IF(AND(OR(Housemates!$C$13="",Housemates!$C$13&lt;=$B550),OR(Housemates!$D$13="",Housemates!$D$13&gt;=$B550)),IF($Q550=0,1,INDEX(Bills!$AF$6:$AF$25,$Q550)),0))))</f>
        <v/>
      </c>
      <c r="Y550">
        <f>IF(OR($D550="",$B550="",Housemates!$B$14=""),0,IF($R550&gt;0,IF(L550="",0,IF(ISNUMBER(L550),L550,1)),IF($C550="Paying back",0,IF(AND(OR(Housemates!$C$14="",Housemates!$C$14&lt;=$B550),OR(Housemates!$D$14="",Housemates!$D$14&gt;=$B550)),IF($Q550=0,1,INDEX(Bills!$AG$6:$AG$25,$Q550)),0))))</f>
        <v/>
      </c>
      <c r="Z550">
        <f>IF(OR($D550="",$B550="",Housemates!$B$15=""),0,IF($R550&gt;0,IF(M550="",0,IF(ISNUMBER(M550),M550,1)),IF($C550="Paying back",0,IF(AND(OR(Housemates!$C$15="",Housemates!$C$15&lt;=$B550),OR(Housemates!$D$15="",Housemates!$D$15&gt;=$B550)),IF($Q550=0,1,INDEX(Bills!$AH$6:$AH$25,$Q550)),0))))</f>
        <v/>
      </c>
      <c r="AA550">
        <f>SUM(S550:Z550)</f>
        <v/>
      </c>
      <c r="AB550">
        <f>IF(AA550=0,0,D550*S550/AA550)</f>
        <v/>
      </c>
      <c r="AC550">
        <f>IF(AA550=0,0,D550*T550/AA550)</f>
        <v/>
      </c>
      <c r="AD550">
        <f>IF(AA550=0,0,D550*U550/AA550)</f>
        <v/>
      </c>
      <c r="AE550">
        <f>IF(AA550=0,0,D550*V550/AA550)</f>
        <v/>
      </c>
      <c r="AF550">
        <f>IF(AA550=0,0,D550*W550/AA550)</f>
        <v/>
      </c>
      <c r="AG550">
        <f>IF(AA550=0,0,D550*X550/AA550)</f>
        <v/>
      </c>
      <c r="AH550">
        <f>IF(AA550=0,0,D550*Y550/AA550)</f>
        <v/>
      </c>
      <c r="AI550">
        <f>IF(AA550=0,0,D550*Z550/AA550)</f>
        <v/>
      </c>
      <c r="AJ550">
        <f>IF(OR(C550="",B550=""),"",C550&amp;"|"&amp;(YEAR(B550)*100+MONTH(B550)))</f>
        <v/>
      </c>
    </row>
    <row r="551">
      <c r="A551" s="1" t="n"/>
      <c r="B551" s="23" t="n"/>
      <c r="C551" s="24" t="n"/>
      <c r="D551" s="25" t="n"/>
      <c r="E551" s="26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1">
        <f>IF(D551="","",IF(B551="","No date",IF(AND(C551="Paying back",R551=0),"To whom?",IF(AA551=0,"Nobody",IF(C551="Paying back","To "&amp;INDEX(Housemates!$B$8:$B$15,MATCH(MAX(S551:Z551),S551:Z551,0)),IF(R551&gt;0,IF(COUNTIF(S551:Z551,"&gt;0")=1,"1 person",COUNTIF(S551:Z551,"&gt;0")&amp;" people"),IF(Q551=0,"Everyone",INDEX(Bills!$Q$6:$Q$25,Q551))))))))</f>
        <v/>
      </c>
      <c r="O551" s="18">
        <f>IF(D551="","",IF(C551="Paying back","Paying back",IF(Q551=0,"Other",IF(INDEX(Bills!$C$6:$C$25,Q551)="","Other",INDEX(Bills!$C$6:$C$25,Q551)))))</f>
        <v/>
      </c>
      <c r="P551" s="1" t="n"/>
      <c r="Q551">
        <f>IF(C551="",0,IFERROR(MATCH(C551,Bills!$B$6:$B$25,0),0))</f>
        <v/>
      </c>
      <c r="R551">
        <f>COUNTA(F551:M551)</f>
        <v/>
      </c>
      <c r="S551">
        <f>IF(OR($D551="",$B551="",Housemates!$B$8=""),0,IF($R551&gt;0,IF(F551="",0,IF(ISNUMBER(F551),F551,1)),IF($C551="Paying back",0,IF(AND(OR(Housemates!$C$8="",Housemates!$C$8&lt;=$B551),OR(Housemates!$D$8="",Housemates!$D$8&gt;=$B551)),IF($Q551=0,1,INDEX(Bills!$AA$6:$AA$25,$Q551)),0))))</f>
        <v/>
      </c>
      <c r="T551">
        <f>IF(OR($D551="",$B551="",Housemates!$B$9=""),0,IF($R551&gt;0,IF(G551="",0,IF(ISNUMBER(G551),G551,1)),IF($C551="Paying back",0,IF(AND(OR(Housemates!$C$9="",Housemates!$C$9&lt;=$B551),OR(Housemates!$D$9="",Housemates!$D$9&gt;=$B551)),IF($Q551=0,1,INDEX(Bills!$AB$6:$AB$25,$Q551)),0))))</f>
        <v/>
      </c>
      <c r="U551">
        <f>IF(OR($D551="",$B551="",Housemates!$B$10=""),0,IF($R551&gt;0,IF(H551="",0,IF(ISNUMBER(H551),H551,1)),IF($C551="Paying back",0,IF(AND(OR(Housemates!$C$10="",Housemates!$C$10&lt;=$B551),OR(Housemates!$D$10="",Housemates!$D$10&gt;=$B551)),IF($Q551=0,1,INDEX(Bills!$AC$6:$AC$25,$Q551)),0))))</f>
        <v/>
      </c>
      <c r="V551">
        <f>IF(OR($D551="",$B551="",Housemates!$B$11=""),0,IF($R551&gt;0,IF(I551="",0,IF(ISNUMBER(I551),I551,1)),IF($C551="Paying back",0,IF(AND(OR(Housemates!$C$11="",Housemates!$C$11&lt;=$B551),OR(Housemates!$D$11="",Housemates!$D$11&gt;=$B551)),IF($Q551=0,1,INDEX(Bills!$AD$6:$AD$25,$Q551)),0))))</f>
        <v/>
      </c>
      <c r="W551">
        <f>IF(OR($D551="",$B551="",Housemates!$B$12=""),0,IF($R551&gt;0,IF(J551="",0,IF(ISNUMBER(J551),J551,1)),IF($C551="Paying back",0,IF(AND(OR(Housemates!$C$12="",Housemates!$C$12&lt;=$B551),OR(Housemates!$D$12="",Housemates!$D$12&gt;=$B551)),IF($Q551=0,1,INDEX(Bills!$AE$6:$AE$25,$Q551)),0))))</f>
        <v/>
      </c>
      <c r="X551">
        <f>IF(OR($D551="",$B551="",Housemates!$B$13=""),0,IF($R551&gt;0,IF(K551="",0,IF(ISNUMBER(K551),K551,1)),IF($C551="Paying back",0,IF(AND(OR(Housemates!$C$13="",Housemates!$C$13&lt;=$B551),OR(Housemates!$D$13="",Housemates!$D$13&gt;=$B551)),IF($Q551=0,1,INDEX(Bills!$AF$6:$AF$25,$Q551)),0))))</f>
        <v/>
      </c>
      <c r="Y551">
        <f>IF(OR($D551="",$B551="",Housemates!$B$14=""),0,IF($R551&gt;0,IF(L551="",0,IF(ISNUMBER(L551),L551,1)),IF($C551="Paying back",0,IF(AND(OR(Housemates!$C$14="",Housemates!$C$14&lt;=$B551),OR(Housemates!$D$14="",Housemates!$D$14&gt;=$B551)),IF($Q551=0,1,INDEX(Bills!$AG$6:$AG$25,$Q551)),0))))</f>
        <v/>
      </c>
      <c r="Z551">
        <f>IF(OR($D551="",$B551="",Housemates!$B$15=""),0,IF($R551&gt;0,IF(M551="",0,IF(ISNUMBER(M551),M551,1)),IF($C551="Paying back",0,IF(AND(OR(Housemates!$C$15="",Housemates!$C$15&lt;=$B551),OR(Housemates!$D$15="",Housemates!$D$15&gt;=$B551)),IF($Q551=0,1,INDEX(Bills!$AH$6:$AH$25,$Q551)),0))))</f>
        <v/>
      </c>
      <c r="AA551">
        <f>SUM(S551:Z551)</f>
        <v/>
      </c>
      <c r="AB551">
        <f>IF(AA551=0,0,D551*S551/AA551)</f>
        <v/>
      </c>
      <c r="AC551">
        <f>IF(AA551=0,0,D551*T551/AA551)</f>
        <v/>
      </c>
      <c r="AD551">
        <f>IF(AA551=0,0,D551*U551/AA551)</f>
        <v/>
      </c>
      <c r="AE551">
        <f>IF(AA551=0,0,D551*V551/AA551)</f>
        <v/>
      </c>
      <c r="AF551">
        <f>IF(AA551=0,0,D551*W551/AA551)</f>
        <v/>
      </c>
      <c r="AG551">
        <f>IF(AA551=0,0,D551*X551/AA551)</f>
        <v/>
      </c>
      <c r="AH551">
        <f>IF(AA551=0,0,D551*Y551/AA551)</f>
        <v/>
      </c>
      <c r="AI551">
        <f>IF(AA551=0,0,D551*Z551/AA551)</f>
        <v/>
      </c>
      <c r="AJ551">
        <f>IF(OR(C551="",B551=""),"",C551&amp;"|"&amp;(YEAR(B551)*100+MONTH(B551)))</f>
        <v/>
      </c>
    </row>
    <row r="552">
      <c r="A552" s="1" t="n"/>
      <c r="B552" s="23" t="n"/>
      <c r="C552" s="24" t="n"/>
      <c r="D552" s="25" t="n"/>
      <c r="E552" s="26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1">
        <f>IF(D552="","",IF(B552="","No date",IF(AND(C552="Paying back",R552=0),"To whom?",IF(AA552=0,"Nobody",IF(C552="Paying back","To "&amp;INDEX(Housemates!$B$8:$B$15,MATCH(MAX(S552:Z552),S552:Z552,0)),IF(R552&gt;0,IF(COUNTIF(S552:Z552,"&gt;0")=1,"1 person",COUNTIF(S552:Z552,"&gt;0")&amp;" people"),IF(Q552=0,"Everyone",INDEX(Bills!$Q$6:$Q$25,Q552))))))))</f>
        <v/>
      </c>
      <c r="O552" s="18">
        <f>IF(D552="","",IF(C552="Paying back","Paying back",IF(Q552=0,"Other",IF(INDEX(Bills!$C$6:$C$25,Q552)="","Other",INDEX(Bills!$C$6:$C$25,Q552)))))</f>
        <v/>
      </c>
      <c r="P552" s="1" t="n"/>
      <c r="Q552">
        <f>IF(C552="",0,IFERROR(MATCH(C552,Bills!$B$6:$B$25,0),0))</f>
        <v/>
      </c>
      <c r="R552">
        <f>COUNTA(F552:M552)</f>
        <v/>
      </c>
      <c r="S552">
        <f>IF(OR($D552="",$B552="",Housemates!$B$8=""),0,IF($R552&gt;0,IF(F552="",0,IF(ISNUMBER(F552),F552,1)),IF($C552="Paying back",0,IF(AND(OR(Housemates!$C$8="",Housemates!$C$8&lt;=$B552),OR(Housemates!$D$8="",Housemates!$D$8&gt;=$B552)),IF($Q552=0,1,INDEX(Bills!$AA$6:$AA$25,$Q552)),0))))</f>
        <v/>
      </c>
      <c r="T552">
        <f>IF(OR($D552="",$B552="",Housemates!$B$9=""),0,IF($R552&gt;0,IF(G552="",0,IF(ISNUMBER(G552),G552,1)),IF($C552="Paying back",0,IF(AND(OR(Housemates!$C$9="",Housemates!$C$9&lt;=$B552),OR(Housemates!$D$9="",Housemates!$D$9&gt;=$B552)),IF($Q552=0,1,INDEX(Bills!$AB$6:$AB$25,$Q552)),0))))</f>
        <v/>
      </c>
      <c r="U552">
        <f>IF(OR($D552="",$B552="",Housemates!$B$10=""),0,IF($R552&gt;0,IF(H552="",0,IF(ISNUMBER(H552),H552,1)),IF($C552="Paying back",0,IF(AND(OR(Housemates!$C$10="",Housemates!$C$10&lt;=$B552),OR(Housemates!$D$10="",Housemates!$D$10&gt;=$B552)),IF($Q552=0,1,INDEX(Bills!$AC$6:$AC$25,$Q552)),0))))</f>
        <v/>
      </c>
      <c r="V552">
        <f>IF(OR($D552="",$B552="",Housemates!$B$11=""),0,IF($R552&gt;0,IF(I552="",0,IF(ISNUMBER(I552),I552,1)),IF($C552="Paying back",0,IF(AND(OR(Housemates!$C$11="",Housemates!$C$11&lt;=$B552),OR(Housemates!$D$11="",Housemates!$D$11&gt;=$B552)),IF($Q552=0,1,INDEX(Bills!$AD$6:$AD$25,$Q552)),0))))</f>
        <v/>
      </c>
      <c r="W552">
        <f>IF(OR($D552="",$B552="",Housemates!$B$12=""),0,IF($R552&gt;0,IF(J552="",0,IF(ISNUMBER(J552),J552,1)),IF($C552="Paying back",0,IF(AND(OR(Housemates!$C$12="",Housemates!$C$12&lt;=$B552),OR(Housemates!$D$12="",Housemates!$D$12&gt;=$B552)),IF($Q552=0,1,INDEX(Bills!$AE$6:$AE$25,$Q552)),0))))</f>
        <v/>
      </c>
      <c r="X552">
        <f>IF(OR($D552="",$B552="",Housemates!$B$13=""),0,IF($R552&gt;0,IF(K552="",0,IF(ISNUMBER(K552),K552,1)),IF($C552="Paying back",0,IF(AND(OR(Housemates!$C$13="",Housemates!$C$13&lt;=$B552),OR(Housemates!$D$13="",Housemates!$D$13&gt;=$B552)),IF($Q552=0,1,INDEX(Bills!$AF$6:$AF$25,$Q552)),0))))</f>
        <v/>
      </c>
      <c r="Y552">
        <f>IF(OR($D552="",$B552="",Housemates!$B$14=""),0,IF($R552&gt;0,IF(L552="",0,IF(ISNUMBER(L552),L552,1)),IF($C552="Paying back",0,IF(AND(OR(Housemates!$C$14="",Housemates!$C$14&lt;=$B552),OR(Housemates!$D$14="",Housemates!$D$14&gt;=$B552)),IF($Q552=0,1,INDEX(Bills!$AG$6:$AG$25,$Q552)),0))))</f>
        <v/>
      </c>
      <c r="Z552">
        <f>IF(OR($D552="",$B552="",Housemates!$B$15=""),0,IF($R552&gt;0,IF(M552="",0,IF(ISNUMBER(M552),M552,1)),IF($C552="Paying back",0,IF(AND(OR(Housemates!$C$15="",Housemates!$C$15&lt;=$B552),OR(Housemates!$D$15="",Housemates!$D$15&gt;=$B552)),IF($Q552=0,1,INDEX(Bills!$AH$6:$AH$25,$Q552)),0))))</f>
        <v/>
      </c>
      <c r="AA552">
        <f>SUM(S552:Z552)</f>
        <v/>
      </c>
      <c r="AB552">
        <f>IF(AA552=0,0,D552*S552/AA552)</f>
        <v/>
      </c>
      <c r="AC552">
        <f>IF(AA552=0,0,D552*T552/AA552)</f>
        <v/>
      </c>
      <c r="AD552">
        <f>IF(AA552=0,0,D552*U552/AA552)</f>
        <v/>
      </c>
      <c r="AE552">
        <f>IF(AA552=0,0,D552*V552/AA552)</f>
        <v/>
      </c>
      <c r="AF552">
        <f>IF(AA552=0,0,D552*W552/AA552)</f>
        <v/>
      </c>
      <c r="AG552">
        <f>IF(AA552=0,0,D552*X552/AA552)</f>
        <v/>
      </c>
      <c r="AH552">
        <f>IF(AA552=0,0,D552*Y552/AA552)</f>
        <v/>
      </c>
      <c r="AI552">
        <f>IF(AA552=0,0,D552*Z552/AA552)</f>
        <v/>
      </c>
      <c r="AJ552">
        <f>IF(OR(C552="",B552=""),"",C552&amp;"|"&amp;(YEAR(B552)*100+MONTH(B552)))</f>
        <v/>
      </c>
    </row>
    <row r="553">
      <c r="A553" s="1" t="n"/>
      <c r="B553" s="23" t="n"/>
      <c r="C553" s="24" t="n"/>
      <c r="D553" s="25" t="n"/>
      <c r="E553" s="26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1">
        <f>IF(D553="","",IF(B553="","No date",IF(AND(C553="Paying back",R553=0),"To whom?",IF(AA553=0,"Nobody",IF(C553="Paying back","To "&amp;INDEX(Housemates!$B$8:$B$15,MATCH(MAX(S553:Z553),S553:Z553,0)),IF(R553&gt;0,IF(COUNTIF(S553:Z553,"&gt;0")=1,"1 person",COUNTIF(S553:Z553,"&gt;0")&amp;" people"),IF(Q553=0,"Everyone",INDEX(Bills!$Q$6:$Q$25,Q553))))))))</f>
        <v/>
      </c>
      <c r="O553" s="18">
        <f>IF(D553="","",IF(C553="Paying back","Paying back",IF(Q553=0,"Other",IF(INDEX(Bills!$C$6:$C$25,Q553)="","Other",INDEX(Bills!$C$6:$C$25,Q553)))))</f>
        <v/>
      </c>
      <c r="P553" s="1" t="n"/>
      <c r="Q553">
        <f>IF(C553="",0,IFERROR(MATCH(C553,Bills!$B$6:$B$25,0),0))</f>
        <v/>
      </c>
      <c r="R553">
        <f>COUNTA(F553:M553)</f>
        <v/>
      </c>
      <c r="S553">
        <f>IF(OR($D553="",$B553="",Housemates!$B$8=""),0,IF($R553&gt;0,IF(F553="",0,IF(ISNUMBER(F553),F553,1)),IF($C553="Paying back",0,IF(AND(OR(Housemates!$C$8="",Housemates!$C$8&lt;=$B553),OR(Housemates!$D$8="",Housemates!$D$8&gt;=$B553)),IF($Q553=0,1,INDEX(Bills!$AA$6:$AA$25,$Q553)),0))))</f>
        <v/>
      </c>
      <c r="T553">
        <f>IF(OR($D553="",$B553="",Housemates!$B$9=""),0,IF($R553&gt;0,IF(G553="",0,IF(ISNUMBER(G553),G553,1)),IF($C553="Paying back",0,IF(AND(OR(Housemates!$C$9="",Housemates!$C$9&lt;=$B553),OR(Housemates!$D$9="",Housemates!$D$9&gt;=$B553)),IF($Q553=0,1,INDEX(Bills!$AB$6:$AB$25,$Q553)),0))))</f>
        <v/>
      </c>
      <c r="U553">
        <f>IF(OR($D553="",$B553="",Housemates!$B$10=""),0,IF($R553&gt;0,IF(H553="",0,IF(ISNUMBER(H553),H553,1)),IF($C553="Paying back",0,IF(AND(OR(Housemates!$C$10="",Housemates!$C$10&lt;=$B553),OR(Housemates!$D$10="",Housemates!$D$10&gt;=$B553)),IF($Q553=0,1,INDEX(Bills!$AC$6:$AC$25,$Q553)),0))))</f>
        <v/>
      </c>
      <c r="V553">
        <f>IF(OR($D553="",$B553="",Housemates!$B$11=""),0,IF($R553&gt;0,IF(I553="",0,IF(ISNUMBER(I553),I553,1)),IF($C553="Paying back",0,IF(AND(OR(Housemates!$C$11="",Housemates!$C$11&lt;=$B553),OR(Housemates!$D$11="",Housemates!$D$11&gt;=$B553)),IF($Q553=0,1,INDEX(Bills!$AD$6:$AD$25,$Q553)),0))))</f>
        <v/>
      </c>
      <c r="W553">
        <f>IF(OR($D553="",$B553="",Housemates!$B$12=""),0,IF($R553&gt;0,IF(J553="",0,IF(ISNUMBER(J553),J553,1)),IF($C553="Paying back",0,IF(AND(OR(Housemates!$C$12="",Housemates!$C$12&lt;=$B553),OR(Housemates!$D$12="",Housemates!$D$12&gt;=$B553)),IF($Q553=0,1,INDEX(Bills!$AE$6:$AE$25,$Q553)),0))))</f>
        <v/>
      </c>
      <c r="X553">
        <f>IF(OR($D553="",$B553="",Housemates!$B$13=""),0,IF($R553&gt;0,IF(K553="",0,IF(ISNUMBER(K553),K553,1)),IF($C553="Paying back",0,IF(AND(OR(Housemates!$C$13="",Housemates!$C$13&lt;=$B553),OR(Housemates!$D$13="",Housemates!$D$13&gt;=$B553)),IF($Q553=0,1,INDEX(Bills!$AF$6:$AF$25,$Q553)),0))))</f>
        <v/>
      </c>
      <c r="Y553">
        <f>IF(OR($D553="",$B553="",Housemates!$B$14=""),0,IF($R553&gt;0,IF(L553="",0,IF(ISNUMBER(L553),L553,1)),IF($C553="Paying back",0,IF(AND(OR(Housemates!$C$14="",Housemates!$C$14&lt;=$B553),OR(Housemates!$D$14="",Housemates!$D$14&gt;=$B553)),IF($Q553=0,1,INDEX(Bills!$AG$6:$AG$25,$Q553)),0))))</f>
        <v/>
      </c>
      <c r="Z553">
        <f>IF(OR($D553="",$B553="",Housemates!$B$15=""),0,IF($R553&gt;0,IF(M553="",0,IF(ISNUMBER(M553),M553,1)),IF($C553="Paying back",0,IF(AND(OR(Housemates!$C$15="",Housemates!$C$15&lt;=$B553),OR(Housemates!$D$15="",Housemates!$D$15&gt;=$B553)),IF($Q553=0,1,INDEX(Bills!$AH$6:$AH$25,$Q553)),0))))</f>
        <v/>
      </c>
      <c r="AA553">
        <f>SUM(S553:Z553)</f>
        <v/>
      </c>
      <c r="AB553">
        <f>IF(AA553=0,0,D553*S553/AA553)</f>
        <v/>
      </c>
      <c r="AC553">
        <f>IF(AA553=0,0,D553*T553/AA553)</f>
        <v/>
      </c>
      <c r="AD553">
        <f>IF(AA553=0,0,D553*U553/AA553)</f>
        <v/>
      </c>
      <c r="AE553">
        <f>IF(AA553=0,0,D553*V553/AA553)</f>
        <v/>
      </c>
      <c r="AF553">
        <f>IF(AA553=0,0,D553*W553/AA553)</f>
        <v/>
      </c>
      <c r="AG553">
        <f>IF(AA553=0,0,D553*X553/AA553)</f>
        <v/>
      </c>
      <c r="AH553">
        <f>IF(AA553=0,0,D553*Y553/AA553)</f>
        <v/>
      </c>
      <c r="AI553">
        <f>IF(AA553=0,0,D553*Z553/AA553)</f>
        <v/>
      </c>
      <c r="AJ553">
        <f>IF(OR(C553="",B553=""),"",C553&amp;"|"&amp;(YEAR(B553)*100+MONTH(B553)))</f>
        <v/>
      </c>
    </row>
    <row r="554">
      <c r="A554" s="1" t="n"/>
      <c r="B554" s="23" t="n"/>
      <c r="C554" s="24" t="n"/>
      <c r="D554" s="25" t="n"/>
      <c r="E554" s="26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1">
        <f>IF(D554="","",IF(B554="","No date",IF(AND(C554="Paying back",R554=0),"To whom?",IF(AA554=0,"Nobody",IF(C554="Paying back","To "&amp;INDEX(Housemates!$B$8:$B$15,MATCH(MAX(S554:Z554),S554:Z554,0)),IF(R554&gt;0,IF(COUNTIF(S554:Z554,"&gt;0")=1,"1 person",COUNTIF(S554:Z554,"&gt;0")&amp;" people"),IF(Q554=0,"Everyone",INDEX(Bills!$Q$6:$Q$25,Q554))))))))</f>
        <v/>
      </c>
      <c r="O554" s="18">
        <f>IF(D554="","",IF(C554="Paying back","Paying back",IF(Q554=0,"Other",IF(INDEX(Bills!$C$6:$C$25,Q554)="","Other",INDEX(Bills!$C$6:$C$25,Q554)))))</f>
        <v/>
      </c>
      <c r="P554" s="1" t="n"/>
      <c r="Q554">
        <f>IF(C554="",0,IFERROR(MATCH(C554,Bills!$B$6:$B$25,0),0))</f>
        <v/>
      </c>
      <c r="R554">
        <f>COUNTA(F554:M554)</f>
        <v/>
      </c>
      <c r="S554">
        <f>IF(OR($D554="",$B554="",Housemates!$B$8=""),0,IF($R554&gt;0,IF(F554="",0,IF(ISNUMBER(F554),F554,1)),IF($C554="Paying back",0,IF(AND(OR(Housemates!$C$8="",Housemates!$C$8&lt;=$B554),OR(Housemates!$D$8="",Housemates!$D$8&gt;=$B554)),IF($Q554=0,1,INDEX(Bills!$AA$6:$AA$25,$Q554)),0))))</f>
        <v/>
      </c>
      <c r="T554">
        <f>IF(OR($D554="",$B554="",Housemates!$B$9=""),0,IF($R554&gt;0,IF(G554="",0,IF(ISNUMBER(G554),G554,1)),IF($C554="Paying back",0,IF(AND(OR(Housemates!$C$9="",Housemates!$C$9&lt;=$B554),OR(Housemates!$D$9="",Housemates!$D$9&gt;=$B554)),IF($Q554=0,1,INDEX(Bills!$AB$6:$AB$25,$Q554)),0))))</f>
        <v/>
      </c>
      <c r="U554">
        <f>IF(OR($D554="",$B554="",Housemates!$B$10=""),0,IF($R554&gt;0,IF(H554="",0,IF(ISNUMBER(H554),H554,1)),IF($C554="Paying back",0,IF(AND(OR(Housemates!$C$10="",Housemates!$C$10&lt;=$B554),OR(Housemates!$D$10="",Housemates!$D$10&gt;=$B554)),IF($Q554=0,1,INDEX(Bills!$AC$6:$AC$25,$Q554)),0))))</f>
        <v/>
      </c>
      <c r="V554">
        <f>IF(OR($D554="",$B554="",Housemates!$B$11=""),0,IF($R554&gt;0,IF(I554="",0,IF(ISNUMBER(I554),I554,1)),IF($C554="Paying back",0,IF(AND(OR(Housemates!$C$11="",Housemates!$C$11&lt;=$B554),OR(Housemates!$D$11="",Housemates!$D$11&gt;=$B554)),IF($Q554=0,1,INDEX(Bills!$AD$6:$AD$25,$Q554)),0))))</f>
        <v/>
      </c>
      <c r="W554">
        <f>IF(OR($D554="",$B554="",Housemates!$B$12=""),0,IF($R554&gt;0,IF(J554="",0,IF(ISNUMBER(J554),J554,1)),IF($C554="Paying back",0,IF(AND(OR(Housemates!$C$12="",Housemates!$C$12&lt;=$B554),OR(Housemates!$D$12="",Housemates!$D$12&gt;=$B554)),IF($Q554=0,1,INDEX(Bills!$AE$6:$AE$25,$Q554)),0))))</f>
        <v/>
      </c>
      <c r="X554">
        <f>IF(OR($D554="",$B554="",Housemates!$B$13=""),0,IF($R554&gt;0,IF(K554="",0,IF(ISNUMBER(K554),K554,1)),IF($C554="Paying back",0,IF(AND(OR(Housemates!$C$13="",Housemates!$C$13&lt;=$B554),OR(Housemates!$D$13="",Housemates!$D$13&gt;=$B554)),IF($Q554=0,1,INDEX(Bills!$AF$6:$AF$25,$Q554)),0))))</f>
        <v/>
      </c>
      <c r="Y554">
        <f>IF(OR($D554="",$B554="",Housemates!$B$14=""),0,IF($R554&gt;0,IF(L554="",0,IF(ISNUMBER(L554),L554,1)),IF($C554="Paying back",0,IF(AND(OR(Housemates!$C$14="",Housemates!$C$14&lt;=$B554),OR(Housemates!$D$14="",Housemates!$D$14&gt;=$B554)),IF($Q554=0,1,INDEX(Bills!$AG$6:$AG$25,$Q554)),0))))</f>
        <v/>
      </c>
      <c r="Z554">
        <f>IF(OR($D554="",$B554="",Housemates!$B$15=""),0,IF($R554&gt;0,IF(M554="",0,IF(ISNUMBER(M554),M554,1)),IF($C554="Paying back",0,IF(AND(OR(Housemates!$C$15="",Housemates!$C$15&lt;=$B554),OR(Housemates!$D$15="",Housemates!$D$15&gt;=$B554)),IF($Q554=0,1,INDEX(Bills!$AH$6:$AH$25,$Q554)),0))))</f>
        <v/>
      </c>
      <c r="AA554">
        <f>SUM(S554:Z554)</f>
        <v/>
      </c>
      <c r="AB554">
        <f>IF(AA554=0,0,D554*S554/AA554)</f>
        <v/>
      </c>
      <c r="AC554">
        <f>IF(AA554=0,0,D554*T554/AA554)</f>
        <v/>
      </c>
      <c r="AD554">
        <f>IF(AA554=0,0,D554*U554/AA554)</f>
        <v/>
      </c>
      <c r="AE554">
        <f>IF(AA554=0,0,D554*V554/AA554)</f>
        <v/>
      </c>
      <c r="AF554">
        <f>IF(AA554=0,0,D554*W554/AA554)</f>
        <v/>
      </c>
      <c r="AG554">
        <f>IF(AA554=0,0,D554*X554/AA554)</f>
        <v/>
      </c>
      <c r="AH554">
        <f>IF(AA554=0,0,D554*Y554/AA554)</f>
        <v/>
      </c>
      <c r="AI554">
        <f>IF(AA554=0,0,D554*Z554/AA554)</f>
        <v/>
      </c>
      <c r="AJ554">
        <f>IF(OR(C554="",B554=""),"",C554&amp;"|"&amp;(YEAR(B554)*100+MONTH(B554)))</f>
        <v/>
      </c>
    </row>
    <row r="555">
      <c r="A555" s="1" t="n"/>
      <c r="B555" s="23" t="n"/>
      <c r="C555" s="24" t="n"/>
      <c r="D555" s="25" t="n"/>
      <c r="E555" s="26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1">
        <f>IF(D555="","",IF(B555="","No date",IF(AND(C555="Paying back",R555=0),"To whom?",IF(AA555=0,"Nobody",IF(C555="Paying back","To "&amp;INDEX(Housemates!$B$8:$B$15,MATCH(MAX(S555:Z555),S555:Z555,0)),IF(R555&gt;0,IF(COUNTIF(S555:Z555,"&gt;0")=1,"1 person",COUNTIF(S555:Z555,"&gt;0")&amp;" people"),IF(Q555=0,"Everyone",INDEX(Bills!$Q$6:$Q$25,Q555))))))))</f>
        <v/>
      </c>
      <c r="O555" s="18">
        <f>IF(D555="","",IF(C555="Paying back","Paying back",IF(Q555=0,"Other",IF(INDEX(Bills!$C$6:$C$25,Q555)="","Other",INDEX(Bills!$C$6:$C$25,Q555)))))</f>
        <v/>
      </c>
      <c r="P555" s="1" t="n"/>
      <c r="Q555">
        <f>IF(C555="",0,IFERROR(MATCH(C555,Bills!$B$6:$B$25,0),0))</f>
        <v/>
      </c>
      <c r="R555">
        <f>COUNTA(F555:M555)</f>
        <v/>
      </c>
      <c r="S555">
        <f>IF(OR($D555="",$B555="",Housemates!$B$8=""),0,IF($R555&gt;0,IF(F555="",0,IF(ISNUMBER(F555),F555,1)),IF($C555="Paying back",0,IF(AND(OR(Housemates!$C$8="",Housemates!$C$8&lt;=$B555),OR(Housemates!$D$8="",Housemates!$D$8&gt;=$B555)),IF($Q555=0,1,INDEX(Bills!$AA$6:$AA$25,$Q555)),0))))</f>
        <v/>
      </c>
      <c r="T555">
        <f>IF(OR($D555="",$B555="",Housemates!$B$9=""),0,IF($R555&gt;0,IF(G555="",0,IF(ISNUMBER(G555),G555,1)),IF($C555="Paying back",0,IF(AND(OR(Housemates!$C$9="",Housemates!$C$9&lt;=$B555),OR(Housemates!$D$9="",Housemates!$D$9&gt;=$B555)),IF($Q555=0,1,INDEX(Bills!$AB$6:$AB$25,$Q555)),0))))</f>
        <v/>
      </c>
      <c r="U555">
        <f>IF(OR($D555="",$B555="",Housemates!$B$10=""),0,IF($R555&gt;0,IF(H555="",0,IF(ISNUMBER(H555),H555,1)),IF($C555="Paying back",0,IF(AND(OR(Housemates!$C$10="",Housemates!$C$10&lt;=$B555),OR(Housemates!$D$10="",Housemates!$D$10&gt;=$B555)),IF($Q555=0,1,INDEX(Bills!$AC$6:$AC$25,$Q555)),0))))</f>
        <v/>
      </c>
      <c r="V555">
        <f>IF(OR($D555="",$B555="",Housemates!$B$11=""),0,IF($R555&gt;0,IF(I555="",0,IF(ISNUMBER(I555),I555,1)),IF($C555="Paying back",0,IF(AND(OR(Housemates!$C$11="",Housemates!$C$11&lt;=$B555),OR(Housemates!$D$11="",Housemates!$D$11&gt;=$B555)),IF($Q555=0,1,INDEX(Bills!$AD$6:$AD$25,$Q555)),0))))</f>
        <v/>
      </c>
      <c r="W555">
        <f>IF(OR($D555="",$B555="",Housemates!$B$12=""),0,IF($R555&gt;0,IF(J555="",0,IF(ISNUMBER(J555),J555,1)),IF($C555="Paying back",0,IF(AND(OR(Housemates!$C$12="",Housemates!$C$12&lt;=$B555),OR(Housemates!$D$12="",Housemates!$D$12&gt;=$B555)),IF($Q555=0,1,INDEX(Bills!$AE$6:$AE$25,$Q555)),0))))</f>
        <v/>
      </c>
      <c r="X555">
        <f>IF(OR($D555="",$B555="",Housemates!$B$13=""),0,IF($R555&gt;0,IF(K555="",0,IF(ISNUMBER(K555),K555,1)),IF($C555="Paying back",0,IF(AND(OR(Housemates!$C$13="",Housemates!$C$13&lt;=$B555),OR(Housemates!$D$13="",Housemates!$D$13&gt;=$B555)),IF($Q555=0,1,INDEX(Bills!$AF$6:$AF$25,$Q555)),0))))</f>
        <v/>
      </c>
      <c r="Y555">
        <f>IF(OR($D555="",$B555="",Housemates!$B$14=""),0,IF($R555&gt;0,IF(L555="",0,IF(ISNUMBER(L555),L555,1)),IF($C555="Paying back",0,IF(AND(OR(Housemates!$C$14="",Housemates!$C$14&lt;=$B555),OR(Housemates!$D$14="",Housemates!$D$14&gt;=$B555)),IF($Q555=0,1,INDEX(Bills!$AG$6:$AG$25,$Q555)),0))))</f>
        <v/>
      </c>
      <c r="Z555">
        <f>IF(OR($D555="",$B555="",Housemates!$B$15=""),0,IF($R555&gt;0,IF(M555="",0,IF(ISNUMBER(M555),M555,1)),IF($C555="Paying back",0,IF(AND(OR(Housemates!$C$15="",Housemates!$C$15&lt;=$B555),OR(Housemates!$D$15="",Housemates!$D$15&gt;=$B555)),IF($Q555=0,1,INDEX(Bills!$AH$6:$AH$25,$Q555)),0))))</f>
        <v/>
      </c>
      <c r="AA555">
        <f>SUM(S555:Z555)</f>
        <v/>
      </c>
      <c r="AB555">
        <f>IF(AA555=0,0,D555*S555/AA555)</f>
        <v/>
      </c>
      <c r="AC555">
        <f>IF(AA555=0,0,D555*T555/AA555)</f>
        <v/>
      </c>
      <c r="AD555">
        <f>IF(AA555=0,0,D555*U555/AA555)</f>
        <v/>
      </c>
      <c r="AE555">
        <f>IF(AA555=0,0,D555*V555/AA555)</f>
        <v/>
      </c>
      <c r="AF555">
        <f>IF(AA555=0,0,D555*W555/AA555)</f>
        <v/>
      </c>
      <c r="AG555">
        <f>IF(AA555=0,0,D555*X555/AA555)</f>
        <v/>
      </c>
      <c r="AH555">
        <f>IF(AA555=0,0,D555*Y555/AA555)</f>
        <v/>
      </c>
      <c r="AI555">
        <f>IF(AA555=0,0,D555*Z555/AA555)</f>
        <v/>
      </c>
      <c r="AJ555">
        <f>IF(OR(C555="",B555=""),"",C555&amp;"|"&amp;(YEAR(B555)*100+MONTH(B555)))</f>
        <v/>
      </c>
    </row>
    <row r="556">
      <c r="A556" s="1" t="n"/>
      <c r="B556" s="23" t="n"/>
      <c r="C556" s="24" t="n"/>
      <c r="D556" s="25" t="n"/>
      <c r="E556" s="26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1">
        <f>IF(D556="","",IF(B556="","No date",IF(AND(C556="Paying back",R556=0),"To whom?",IF(AA556=0,"Nobody",IF(C556="Paying back","To "&amp;INDEX(Housemates!$B$8:$B$15,MATCH(MAX(S556:Z556),S556:Z556,0)),IF(R556&gt;0,IF(COUNTIF(S556:Z556,"&gt;0")=1,"1 person",COUNTIF(S556:Z556,"&gt;0")&amp;" people"),IF(Q556=0,"Everyone",INDEX(Bills!$Q$6:$Q$25,Q556))))))))</f>
        <v/>
      </c>
      <c r="O556" s="18">
        <f>IF(D556="","",IF(C556="Paying back","Paying back",IF(Q556=0,"Other",IF(INDEX(Bills!$C$6:$C$25,Q556)="","Other",INDEX(Bills!$C$6:$C$25,Q556)))))</f>
        <v/>
      </c>
      <c r="P556" s="1" t="n"/>
      <c r="Q556">
        <f>IF(C556="",0,IFERROR(MATCH(C556,Bills!$B$6:$B$25,0),0))</f>
        <v/>
      </c>
      <c r="R556">
        <f>COUNTA(F556:M556)</f>
        <v/>
      </c>
      <c r="S556">
        <f>IF(OR($D556="",$B556="",Housemates!$B$8=""),0,IF($R556&gt;0,IF(F556="",0,IF(ISNUMBER(F556),F556,1)),IF($C556="Paying back",0,IF(AND(OR(Housemates!$C$8="",Housemates!$C$8&lt;=$B556),OR(Housemates!$D$8="",Housemates!$D$8&gt;=$B556)),IF($Q556=0,1,INDEX(Bills!$AA$6:$AA$25,$Q556)),0))))</f>
        <v/>
      </c>
      <c r="T556">
        <f>IF(OR($D556="",$B556="",Housemates!$B$9=""),0,IF($R556&gt;0,IF(G556="",0,IF(ISNUMBER(G556),G556,1)),IF($C556="Paying back",0,IF(AND(OR(Housemates!$C$9="",Housemates!$C$9&lt;=$B556),OR(Housemates!$D$9="",Housemates!$D$9&gt;=$B556)),IF($Q556=0,1,INDEX(Bills!$AB$6:$AB$25,$Q556)),0))))</f>
        <v/>
      </c>
      <c r="U556">
        <f>IF(OR($D556="",$B556="",Housemates!$B$10=""),0,IF($R556&gt;0,IF(H556="",0,IF(ISNUMBER(H556),H556,1)),IF($C556="Paying back",0,IF(AND(OR(Housemates!$C$10="",Housemates!$C$10&lt;=$B556),OR(Housemates!$D$10="",Housemates!$D$10&gt;=$B556)),IF($Q556=0,1,INDEX(Bills!$AC$6:$AC$25,$Q556)),0))))</f>
        <v/>
      </c>
      <c r="V556">
        <f>IF(OR($D556="",$B556="",Housemates!$B$11=""),0,IF($R556&gt;0,IF(I556="",0,IF(ISNUMBER(I556),I556,1)),IF($C556="Paying back",0,IF(AND(OR(Housemates!$C$11="",Housemates!$C$11&lt;=$B556),OR(Housemates!$D$11="",Housemates!$D$11&gt;=$B556)),IF($Q556=0,1,INDEX(Bills!$AD$6:$AD$25,$Q556)),0))))</f>
        <v/>
      </c>
      <c r="W556">
        <f>IF(OR($D556="",$B556="",Housemates!$B$12=""),0,IF($R556&gt;0,IF(J556="",0,IF(ISNUMBER(J556),J556,1)),IF($C556="Paying back",0,IF(AND(OR(Housemates!$C$12="",Housemates!$C$12&lt;=$B556),OR(Housemates!$D$12="",Housemates!$D$12&gt;=$B556)),IF($Q556=0,1,INDEX(Bills!$AE$6:$AE$25,$Q556)),0))))</f>
        <v/>
      </c>
      <c r="X556">
        <f>IF(OR($D556="",$B556="",Housemates!$B$13=""),0,IF($R556&gt;0,IF(K556="",0,IF(ISNUMBER(K556),K556,1)),IF($C556="Paying back",0,IF(AND(OR(Housemates!$C$13="",Housemates!$C$13&lt;=$B556),OR(Housemates!$D$13="",Housemates!$D$13&gt;=$B556)),IF($Q556=0,1,INDEX(Bills!$AF$6:$AF$25,$Q556)),0))))</f>
        <v/>
      </c>
      <c r="Y556">
        <f>IF(OR($D556="",$B556="",Housemates!$B$14=""),0,IF($R556&gt;0,IF(L556="",0,IF(ISNUMBER(L556),L556,1)),IF($C556="Paying back",0,IF(AND(OR(Housemates!$C$14="",Housemates!$C$14&lt;=$B556),OR(Housemates!$D$14="",Housemates!$D$14&gt;=$B556)),IF($Q556=0,1,INDEX(Bills!$AG$6:$AG$25,$Q556)),0))))</f>
        <v/>
      </c>
      <c r="Z556">
        <f>IF(OR($D556="",$B556="",Housemates!$B$15=""),0,IF($R556&gt;0,IF(M556="",0,IF(ISNUMBER(M556),M556,1)),IF($C556="Paying back",0,IF(AND(OR(Housemates!$C$15="",Housemates!$C$15&lt;=$B556),OR(Housemates!$D$15="",Housemates!$D$15&gt;=$B556)),IF($Q556=0,1,INDEX(Bills!$AH$6:$AH$25,$Q556)),0))))</f>
        <v/>
      </c>
      <c r="AA556">
        <f>SUM(S556:Z556)</f>
        <v/>
      </c>
      <c r="AB556">
        <f>IF(AA556=0,0,D556*S556/AA556)</f>
        <v/>
      </c>
      <c r="AC556">
        <f>IF(AA556=0,0,D556*T556/AA556)</f>
        <v/>
      </c>
      <c r="AD556">
        <f>IF(AA556=0,0,D556*U556/AA556)</f>
        <v/>
      </c>
      <c r="AE556">
        <f>IF(AA556=0,0,D556*V556/AA556)</f>
        <v/>
      </c>
      <c r="AF556">
        <f>IF(AA556=0,0,D556*W556/AA556)</f>
        <v/>
      </c>
      <c r="AG556">
        <f>IF(AA556=0,0,D556*X556/AA556)</f>
        <v/>
      </c>
      <c r="AH556">
        <f>IF(AA556=0,0,D556*Y556/AA556)</f>
        <v/>
      </c>
      <c r="AI556">
        <f>IF(AA556=0,0,D556*Z556/AA556)</f>
        <v/>
      </c>
      <c r="AJ556">
        <f>IF(OR(C556="",B556=""),"",C556&amp;"|"&amp;(YEAR(B556)*100+MONTH(B556)))</f>
        <v/>
      </c>
    </row>
    <row r="557">
      <c r="A557" s="1" t="n"/>
      <c r="B557" s="23" t="n"/>
      <c r="C557" s="24" t="n"/>
      <c r="D557" s="25" t="n"/>
      <c r="E557" s="26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1">
        <f>IF(D557="","",IF(B557="","No date",IF(AND(C557="Paying back",R557=0),"To whom?",IF(AA557=0,"Nobody",IF(C557="Paying back","To "&amp;INDEX(Housemates!$B$8:$B$15,MATCH(MAX(S557:Z557),S557:Z557,0)),IF(R557&gt;0,IF(COUNTIF(S557:Z557,"&gt;0")=1,"1 person",COUNTIF(S557:Z557,"&gt;0")&amp;" people"),IF(Q557=0,"Everyone",INDEX(Bills!$Q$6:$Q$25,Q557))))))))</f>
        <v/>
      </c>
      <c r="O557" s="18">
        <f>IF(D557="","",IF(C557="Paying back","Paying back",IF(Q557=0,"Other",IF(INDEX(Bills!$C$6:$C$25,Q557)="","Other",INDEX(Bills!$C$6:$C$25,Q557)))))</f>
        <v/>
      </c>
      <c r="P557" s="1" t="n"/>
      <c r="Q557">
        <f>IF(C557="",0,IFERROR(MATCH(C557,Bills!$B$6:$B$25,0),0))</f>
        <v/>
      </c>
      <c r="R557">
        <f>COUNTA(F557:M557)</f>
        <v/>
      </c>
      <c r="S557">
        <f>IF(OR($D557="",$B557="",Housemates!$B$8=""),0,IF($R557&gt;0,IF(F557="",0,IF(ISNUMBER(F557),F557,1)),IF($C557="Paying back",0,IF(AND(OR(Housemates!$C$8="",Housemates!$C$8&lt;=$B557),OR(Housemates!$D$8="",Housemates!$D$8&gt;=$B557)),IF($Q557=0,1,INDEX(Bills!$AA$6:$AA$25,$Q557)),0))))</f>
        <v/>
      </c>
      <c r="T557">
        <f>IF(OR($D557="",$B557="",Housemates!$B$9=""),0,IF($R557&gt;0,IF(G557="",0,IF(ISNUMBER(G557),G557,1)),IF($C557="Paying back",0,IF(AND(OR(Housemates!$C$9="",Housemates!$C$9&lt;=$B557),OR(Housemates!$D$9="",Housemates!$D$9&gt;=$B557)),IF($Q557=0,1,INDEX(Bills!$AB$6:$AB$25,$Q557)),0))))</f>
        <v/>
      </c>
      <c r="U557">
        <f>IF(OR($D557="",$B557="",Housemates!$B$10=""),0,IF($R557&gt;0,IF(H557="",0,IF(ISNUMBER(H557),H557,1)),IF($C557="Paying back",0,IF(AND(OR(Housemates!$C$10="",Housemates!$C$10&lt;=$B557),OR(Housemates!$D$10="",Housemates!$D$10&gt;=$B557)),IF($Q557=0,1,INDEX(Bills!$AC$6:$AC$25,$Q557)),0))))</f>
        <v/>
      </c>
      <c r="V557">
        <f>IF(OR($D557="",$B557="",Housemates!$B$11=""),0,IF($R557&gt;0,IF(I557="",0,IF(ISNUMBER(I557),I557,1)),IF($C557="Paying back",0,IF(AND(OR(Housemates!$C$11="",Housemates!$C$11&lt;=$B557),OR(Housemates!$D$11="",Housemates!$D$11&gt;=$B557)),IF($Q557=0,1,INDEX(Bills!$AD$6:$AD$25,$Q557)),0))))</f>
        <v/>
      </c>
      <c r="W557">
        <f>IF(OR($D557="",$B557="",Housemates!$B$12=""),0,IF($R557&gt;0,IF(J557="",0,IF(ISNUMBER(J557),J557,1)),IF($C557="Paying back",0,IF(AND(OR(Housemates!$C$12="",Housemates!$C$12&lt;=$B557),OR(Housemates!$D$12="",Housemates!$D$12&gt;=$B557)),IF($Q557=0,1,INDEX(Bills!$AE$6:$AE$25,$Q557)),0))))</f>
        <v/>
      </c>
      <c r="X557">
        <f>IF(OR($D557="",$B557="",Housemates!$B$13=""),0,IF($R557&gt;0,IF(K557="",0,IF(ISNUMBER(K557),K557,1)),IF($C557="Paying back",0,IF(AND(OR(Housemates!$C$13="",Housemates!$C$13&lt;=$B557),OR(Housemates!$D$13="",Housemates!$D$13&gt;=$B557)),IF($Q557=0,1,INDEX(Bills!$AF$6:$AF$25,$Q557)),0))))</f>
        <v/>
      </c>
      <c r="Y557">
        <f>IF(OR($D557="",$B557="",Housemates!$B$14=""),0,IF($R557&gt;0,IF(L557="",0,IF(ISNUMBER(L557),L557,1)),IF($C557="Paying back",0,IF(AND(OR(Housemates!$C$14="",Housemates!$C$14&lt;=$B557),OR(Housemates!$D$14="",Housemates!$D$14&gt;=$B557)),IF($Q557=0,1,INDEX(Bills!$AG$6:$AG$25,$Q557)),0))))</f>
        <v/>
      </c>
      <c r="Z557">
        <f>IF(OR($D557="",$B557="",Housemates!$B$15=""),0,IF($R557&gt;0,IF(M557="",0,IF(ISNUMBER(M557),M557,1)),IF($C557="Paying back",0,IF(AND(OR(Housemates!$C$15="",Housemates!$C$15&lt;=$B557),OR(Housemates!$D$15="",Housemates!$D$15&gt;=$B557)),IF($Q557=0,1,INDEX(Bills!$AH$6:$AH$25,$Q557)),0))))</f>
        <v/>
      </c>
      <c r="AA557">
        <f>SUM(S557:Z557)</f>
        <v/>
      </c>
      <c r="AB557">
        <f>IF(AA557=0,0,D557*S557/AA557)</f>
        <v/>
      </c>
      <c r="AC557">
        <f>IF(AA557=0,0,D557*T557/AA557)</f>
        <v/>
      </c>
      <c r="AD557">
        <f>IF(AA557=0,0,D557*U557/AA557)</f>
        <v/>
      </c>
      <c r="AE557">
        <f>IF(AA557=0,0,D557*V557/AA557)</f>
        <v/>
      </c>
      <c r="AF557">
        <f>IF(AA557=0,0,D557*W557/AA557)</f>
        <v/>
      </c>
      <c r="AG557">
        <f>IF(AA557=0,0,D557*X557/AA557)</f>
        <v/>
      </c>
      <c r="AH557">
        <f>IF(AA557=0,0,D557*Y557/AA557)</f>
        <v/>
      </c>
      <c r="AI557">
        <f>IF(AA557=0,0,D557*Z557/AA557)</f>
        <v/>
      </c>
      <c r="AJ557">
        <f>IF(OR(C557="",B557=""),"",C557&amp;"|"&amp;(YEAR(B557)*100+MONTH(B557)))</f>
        <v/>
      </c>
    </row>
    <row r="558">
      <c r="A558" s="1" t="n"/>
      <c r="B558" s="23" t="n"/>
      <c r="C558" s="24" t="n"/>
      <c r="D558" s="25" t="n"/>
      <c r="E558" s="26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1">
        <f>IF(D558="","",IF(B558="","No date",IF(AND(C558="Paying back",R558=0),"To whom?",IF(AA558=0,"Nobody",IF(C558="Paying back","To "&amp;INDEX(Housemates!$B$8:$B$15,MATCH(MAX(S558:Z558),S558:Z558,0)),IF(R558&gt;0,IF(COUNTIF(S558:Z558,"&gt;0")=1,"1 person",COUNTIF(S558:Z558,"&gt;0")&amp;" people"),IF(Q558=0,"Everyone",INDEX(Bills!$Q$6:$Q$25,Q558))))))))</f>
        <v/>
      </c>
      <c r="O558" s="18">
        <f>IF(D558="","",IF(C558="Paying back","Paying back",IF(Q558=0,"Other",IF(INDEX(Bills!$C$6:$C$25,Q558)="","Other",INDEX(Bills!$C$6:$C$25,Q558)))))</f>
        <v/>
      </c>
      <c r="P558" s="1" t="n"/>
      <c r="Q558">
        <f>IF(C558="",0,IFERROR(MATCH(C558,Bills!$B$6:$B$25,0),0))</f>
        <v/>
      </c>
      <c r="R558">
        <f>COUNTA(F558:M558)</f>
        <v/>
      </c>
      <c r="S558">
        <f>IF(OR($D558="",$B558="",Housemates!$B$8=""),0,IF($R558&gt;0,IF(F558="",0,IF(ISNUMBER(F558),F558,1)),IF($C558="Paying back",0,IF(AND(OR(Housemates!$C$8="",Housemates!$C$8&lt;=$B558),OR(Housemates!$D$8="",Housemates!$D$8&gt;=$B558)),IF($Q558=0,1,INDEX(Bills!$AA$6:$AA$25,$Q558)),0))))</f>
        <v/>
      </c>
      <c r="T558">
        <f>IF(OR($D558="",$B558="",Housemates!$B$9=""),0,IF($R558&gt;0,IF(G558="",0,IF(ISNUMBER(G558),G558,1)),IF($C558="Paying back",0,IF(AND(OR(Housemates!$C$9="",Housemates!$C$9&lt;=$B558),OR(Housemates!$D$9="",Housemates!$D$9&gt;=$B558)),IF($Q558=0,1,INDEX(Bills!$AB$6:$AB$25,$Q558)),0))))</f>
        <v/>
      </c>
      <c r="U558">
        <f>IF(OR($D558="",$B558="",Housemates!$B$10=""),0,IF($R558&gt;0,IF(H558="",0,IF(ISNUMBER(H558),H558,1)),IF($C558="Paying back",0,IF(AND(OR(Housemates!$C$10="",Housemates!$C$10&lt;=$B558),OR(Housemates!$D$10="",Housemates!$D$10&gt;=$B558)),IF($Q558=0,1,INDEX(Bills!$AC$6:$AC$25,$Q558)),0))))</f>
        <v/>
      </c>
      <c r="V558">
        <f>IF(OR($D558="",$B558="",Housemates!$B$11=""),0,IF($R558&gt;0,IF(I558="",0,IF(ISNUMBER(I558),I558,1)),IF($C558="Paying back",0,IF(AND(OR(Housemates!$C$11="",Housemates!$C$11&lt;=$B558),OR(Housemates!$D$11="",Housemates!$D$11&gt;=$B558)),IF($Q558=0,1,INDEX(Bills!$AD$6:$AD$25,$Q558)),0))))</f>
        <v/>
      </c>
      <c r="W558">
        <f>IF(OR($D558="",$B558="",Housemates!$B$12=""),0,IF($R558&gt;0,IF(J558="",0,IF(ISNUMBER(J558),J558,1)),IF($C558="Paying back",0,IF(AND(OR(Housemates!$C$12="",Housemates!$C$12&lt;=$B558),OR(Housemates!$D$12="",Housemates!$D$12&gt;=$B558)),IF($Q558=0,1,INDEX(Bills!$AE$6:$AE$25,$Q558)),0))))</f>
        <v/>
      </c>
      <c r="X558">
        <f>IF(OR($D558="",$B558="",Housemates!$B$13=""),0,IF($R558&gt;0,IF(K558="",0,IF(ISNUMBER(K558),K558,1)),IF($C558="Paying back",0,IF(AND(OR(Housemates!$C$13="",Housemates!$C$13&lt;=$B558),OR(Housemates!$D$13="",Housemates!$D$13&gt;=$B558)),IF($Q558=0,1,INDEX(Bills!$AF$6:$AF$25,$Q558)),0))))</f>
        <v/>
      </c>
      <c r="Y558">
        <f>IF(OR($D558="",$B558="",Housemates!$B$14=""),0,IF($R558&gt;0,IF(L558="",0,IF(ISNUMBER(L558),L558,1)),IF($C558="Paying back",0,IF(AND(OR(Housemates!$C$14="",Housemates!$C$14&lt;=$B558),OR(Housemates!$D$14="",Housemates!$D$14&gt;=$B558)),IF($Q558=0,1,INDEX(Bills!$AG$6:$AG$25,$Q558)),0))))</f>
        <v/>
      </c>
      <c r="Z558">
        <f>IF(OR($D558="",$B558="",Housemates!$B$15=""),0,IF($R558&gt;0,IF(M558="",0,IF(ISNUMBER(M558),M558,1)),IF($C558="Paying back",0,IF(AND(OR(Housemates!$C$15="",Housemates!$C$15&lt;=$B558),OR(Housemates!$D$15="",Housemates!$D$15&gt;=$B558)),IF($Q558=0,1,INDEX(Bills!$AH$6:$AH$25,$Q558)),0))))</f>
        <v/>
      </c>
      <c r="AA558">
        <f>SUM(S558:Z558)</f>
        <v/>
      </c>
      <c r="AB558">
        <f>IF(AA558=0,0,D558*S558/AA558)</f>
        <v/>
      </c>
      <c r="AC558">
        <f>IF(AA558=0,0,D558*T558/AA558)</f>
        <v/>
      </c>
      <c r="AD558">
        <f>IF(AA558=0,0,D558*U558/AA558)</f>
        <v/>
      </c>
      <c r="AE558">
        <f>IF(AA558=0,0,D558*V558/AA558)</f>
        <v/>
      </c>
      <c r="AF558">
        <f>IF(AA558=0,0,D558*W558/AA558)</f>
        <v/>
      </c>
      <c r="AG558">
        <f>IF(AA558=0,0,D558*X558/AA558)</f>
        <v/>
      </c>
      <c r="AH558">
        <f>IF(AA558=0,0,D558*Y558/AA558)</f>
        <v/>
      </c>
      <c r="AI558">
        <f>IF(AA558=0,0,D558*Z558/AA558)</f>
        <v/>
      </c>
      <c r="AJ558">
        <f>IF(OR(C558="",B558=""),"",C558&amp;"|"&amp;(YEAR(B558)*100+MONTH(B558)))</f>
        <v/>
      </c>
    </row>
    <row r="559">
      <c r="A559" s="1" t="n"/>
      <c r="B559" s="23" t="n"/>
      <c r="C559" s="24" t="n"/>
      <c r="D559" s="25" t="n"/>
      <c r="E559" s="26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1">
        <f>IF(D559="","",IF(B559="","No date",IF(AND(C559="Paying back",R559=0),"To whom?",IF(AA559=0,"Nobody",IF(C559="Paying back","To "&amp;INDEX(Housemates!$B$8:$B$15,MATCH(MAX(S559:Z559),S559:Z559,0)),IF(R559&gt;0,IF(COUNTIF(S559:Z559,"&gt;0")=1,"1 person",COUNTIF(S559:Z559,"&gt;0")&amp;" people"),IF(Q559=0,"Everyone",INDEX(Bills!$Q$6:$Q$25,Q559))))))))</f>
        <v/>
      </c>
      <c r="O559" s="18">
        <f>IF(D559="","",IF(C559="Paying back","Paying back",IF(Q559=0,"Other",IF(INDEX(Bills!$C$6:$C$25,Q559)="","Other",INDEX(Bills!$C$6:$C$25,Q559)))))</f>
        <v/>
      </c>
      <c r="P559" s="1" t="n"/>
      <c r="Q559">
        <f>IF(C559="",0,IFERROR(MATCH(C559,Bills!$B$6:$B$25,0),0))</f>
        <v/>
      </c>
      <c r="R559">
        <f>COUNTA(F559:M559)</f>
        <v/>
      </c>
      <c r="S559">
        <f>IF(OR($D559="",$B559="",Housemates!$B$8=""),0,IF($R559&gt;0,IF(F559="",0,IF(ISNUMBER(F559),F559,1)),IF($C559="Paying back",0,IF(AND(OR(Housemates!$C$8="",Housemates!$C$8&lt;=$B559),OR(Housemates!$D$8="",Housemates!$D$8&gt;=$B559)),IF($Q559=0,1,INDEX(Bills!$AA$6:$AA$25,$Q559)),0))))</f>
        <v/>
      </c>
      <c r="T559">
        <f>IF(OR($D559="",$B559="",Housemates!$B$9=""),0,IF($R559&gt;0,IF(G559="",0,IF(ISNUMBER(G559),G559,1)),IF($C559="Paying back",0,IF(AND(OR(Housemates!$C$9="",Housemates!$C$9&lt;=$B559),OR(Housemates!$D$9="",Housemates!$D$9&gt;=$B559)),IF($Q559=0,1,INDEX(Bills!$AB$6:$AB$25,$Q559)),0))))</f>
        <v/>
      </c>
      <c r="U559">
        <f>IF(OR($D559="",$B559="",Housemates!$B$10=""),0,IF($R559&gt;0,IF(H559="",0,IF(ISNUMBER(H559),H559,1)),IF($C559="Paying back",0,IF(AND(OR(Housemates!$C$10="",Housemates!$C$10&lt;=$B559),OR(Housemates!$D$10="",Housemates!$D$10&gt;=$B559)),IF($Q559=0,1,INDEX(Bills!$AC$6:$AC$25,$Q559)),0))))</f>
        <v/>
      </c>
      <c r="V559">
        <f>IF(OR($D559="",$B559="",Housemates!$B$11=""),0,IF($R559&gt;0,IF(I559="",0,IF(ISNUMBER(I559),I559,1)),IF($C559="Paying back",0,IF(AND(OR(Housemates!$C$11="",Housemates!$C$11&lt;=$B559),OR(Housemates!$D$11="",Housemates!$D$11&gt;=$B559)),IF($Q559=0,1,INDEX(Bills!$AD$6:$AD$25,$Q559)),0))))</f>
        <v/>
      </c>
      <c r="W559">
        <f>IF(OR($D559="",$B559="",Housemates!$B$12=""),0,IF($R559&gt;0,IF(J559="",0,IF(ISNUMBER(J559),J559,1)),IF($C559="Paying back",0,IF(AND(OR(Housemates!$C$12="",Housemates!$C$12&lt;=$B559),OR(Housemates!$D$12="",Housemates!$D$12&gt;=$B559)),IF($Q559=0,1,INDEX(Bills!$AE$6:$AE$25,$Q559)),0))))</f>
        <v/>
      </c>
      <c r="X559">
        <f>IF(OR($D559="",$B559="",Housemates!$B$13=""),0,IF($R559&gt;0,IF(K559="",0,IF(ISNUMBER(K559),K559,1)),IF($C559="Paying back",0,IF(AND(OR(Housemates!$C$13="",Housemates!$C$13&lt;=$B559),OR(Housemates!$D$13="",Housemates!$D$13&gt;=$B559)),IF($Q559=0,1,INDEX(Bills!$AF$6:$AF$25,$Q559)),0))))</f>
        <v/>
      </c>
      <c r="Y559">
        <f>IF(OR($D559="",$B559="",Housemates!$B$14=""),0,IF($R559&gt;0,IF(L559="",0,IF(ISNUMBER(L559),L559,1)),IF($C559="Paying back",0,IF(AND(OR(Housemates!$C$14="",Housemates!$C$14&lt;=$B559),OR(Housemates!$D$14="",Housemates!$D$14&gt;=$B559)),IF($Q559=0,1,INDEX(Bills!$AG$6:$AG$25,$Q559)),0))))</f>
        <v/>
      </c>
      <c r="Z559">
        <f>IF(OR($D559="",$B559="",Housemates!$B$15=""),0,IF($R559&gt;0,IF(M559="",0,IF(ISNUMBER(M559),M559,1)),IF($C559="Paying back",0,IF(AND(OR(Housemates!$C$15="",Housemates!$C$15&lt;=$B559),OR(Housemates!$D$15="",Housemates!$D$15&gt;=$B559)),IF($Q559=0,1,INDEX(Bills!$AH$6:$AH$25,$Q559)),0))))</f>
        <v/>
      </c>
      <c r="AA559">
        <f>SUM(S559:Z559)</f>
        <v/>
      </c>
      <c r="AB559">
        <f>IF(AA559=0,0,D559*S559/AA559)</f>
        <v/>
      </c>
      <c r="AC559">
        <f>IF(AA559=0,0,D559*T559/AA559)</f>
        <v/>
      </c>
      <c r="AD559">
        <f>IF(AA559=0,0,D559*U559/AA559)</f>
        <v/>
      </c>
      <c r="AE559">
        <f>IF(AA559=0,0,D559*V559/AA559)</f>
        <v/>
      </c>
      <c r="AF559">
        <f>IF(AA559=0,0,D559*W559/AA559)</f>
        <v/>
      </c>
      <c r="AG559">
        <f>IF(AA559=0,0,D559*X559/AA559)</f>
        <v/>
      </c>
      <c r="AH559">
        <f>IF(AA559=0,0,D559*Y559/AA559)</f>
        <v/>
      </c>
      <c r="AI559">
        <f>IF(AA559=0,0,D559*Z559/AA559)</f>
        <v/>
      </c>
      <c r="AJ559">
        <f>IF(OR(C559="",B559=""),"",C559&amp;"|"&amp;(YEAR(B559)*100+MONTH(B559)))</f>
        <v/>
      </c>
    </row>
    <row r="560">
      <c r="A560" s="1" t="n"/>
      <c r="B560" s="23" t="n"/>
      <c r="C560" s="24" t="n"/>
      <c r="D560" s="25" t="n"/>
      <c r="E560" s="26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1">
        <f>IF(D560="","",IF(B560="","No date",IF(AND(C560="Paying back",R560=0),"To whom?",IF(AA560=0,"Nobody",IF(C560="Paying back","To "&amp;INDEX(Housemates!$B$8:$B$15,MATCH(MAX(S560:Z560),S560:Z560,0)),IF(R560&gt;0,IF(COUNTIF(S560:Z560,"&gt;0")=1,"1 person",COUNTIF(S560:Z560,"&gt;0")&amp;" people"),IF(Q560=0,"Everyone",INDEX(Bills!$Q$6:$Q$25,Q560))))))))</f>
        <v/>
      </c>
      <c r="O560" s="18">
        <f>IF(D560="","",IF(C560="Paying back","Paying back",IF(Q560=0,"Other",IF(INDEX(Bills!$C$6:$C$25,Q560)="","Other",INDEX(Bills!$C$6:$C$25,Q560)))))</f>
        <v/>
      </c>
      <c r="P560" s="1" t="n"/>
      <c r="Q560">
        <f>IF(C560="",0,IFERROR(MATCH(C560,Bills!$B$6:$B$25,0),0))</f>
        <v/>
      </c>
      <c r="R560">
        <f>COUNTA(F560:M560)</f>
        <v/>
      </c>
      <c r="S560">
        <f>IF(OR($D560="",$B560="",Housemates!$B$8=""),0,IF($R560&gt;0,IF(F560="",0,IF(ISNUMBER(F560),F560,1)),IF($C560="Paying back",0,IF(AND(OR(Housemates!$C$8="",Housemates!$C$8&lt;=$B560),OR(Housemates!$D$8="",Housemates!$D$8&gt;=$B560)),IF($Q560=0,1,INDEX(Bills!$AA$6:$AA$25,$Q560)),0))))</f>
        <v/>
      </c>
      <c r="T560">
        <f>IF(OR($D560="",$B560="",Housemates!$B$9=""),0,IF($R560&gt;0,IF(G560="",0,IF(ISNUMBER(G560),G560,1)),IF($C560="Paying back",0,IF(AND(OR(Housemates!$C$9="",Housemates!$C$9&lt;=$B560),OR(Housemates!$D$9="",Housemates!$D$9&gt;=$B560)),IF($Q560=0,1,INDEX(Bills!$AB$6:$AB$25,$Q560)),0))))</f>
        <v/>
      </c>
      <c r="U560">
        <f>IF(OR($D560="",$B560="",Housemates!$B$10=""),0,IF($R560&gt;0,IF(H560="",0,IF(ISNUMBER(H560),H560,1)),IF($C560="Paying back",0,IF(AND(OR(Housemates!$C$10="",Housemates!$C$10&lt;=$B560),OR(Housemates!$D$10="",Housemates!$D$10&gt;=$B560)),IF($Q560=0,1,INDEX(Bills!$AC$6:$AC$25,$Q560)),0))))</f>
        <v/>
      </c>
      <c r="V560">
        <f>IF(OR($D560="",$B560="",Housemates!$B$11=""),0,IF($R560&gt;0,IF(I560="",0,IF(ISNUMBER(I560),I560,1)),IF($C560="Paying back",0,IF(AND(OR(Housemates!$C$11="",Housemates!$C$11&lt;=$B560),OR(Housemates!$D$11="",Housemates!$D$11&gt;=$B560)),IF($Q560=0,1,INDEX(Bills!$AD$6:$AD$25,$Q560)),0))))</f>
        <v/>
      </c>
      <c r="W560">
        <f>IF(OR($D560="",$B560="",Housemates!$B$12=""),0,IF($R560&gt;0,IF(J560="",0,IF(ISNUMBER(J560),J560,1)),IF($C560="Paying back",0,IF(AND(OR(Housemates!$C$12="",Housemates!$C$12&lt;=$B560),OR(Housemates!$D$12="",Housemates!$D$12&gt;=$B560)),IF($Q560=0,1,INDEX(Bills!$AE$6:$AE$25,$Q560)),0))))</f>
        <v/>
      </c>
      <c r="X560">
        <f>IF(OR($D560="",$B560="",Housemates!$B$13=""),0,IF($R560&gt;0,IF(K560="",0,IF(ISNUMBER(K560),K560,1)),IF($C560="Paying back",0,IF(AND(OR(Housemates!$C$13="",Housemates!$C$13&lt;=$B560),OR(Housemates!$D$13="",Housemates!$D$13&gt;=$B560)),IF($Q560=0,1,INDEX(Bills!$AF$6:$AF$25,$Q560)),0))))</f>
        <v/>
      </c>
      <c r="Y560">
        <f>IF(OR($D560="",$B560="",Housemates!$B$14=""),0,IF($R560&gt;0,IF(L560="",0,IF(ISNUMBER(L560),L560,1)),IF($C560="Paying back",0,IF(AND(OR(Housemates!$C$14="",Housemates!$C$14&lt;=$B560),OR(Housemates!$D$14="",Housemates!$D$14&gt;=$B560)),IF($Q560=0,1,INDEX(Bills!$AG$6:$AG$25,$Q560)),0))))</f>
        <v/>
      </c>
      <c r="Z560">
        <f>IF(OR($D560="",$B560="",Housemates!$B$15=""),0,IF($R560&gt;0,IF(M560="",0,IF(ISNUMBER(M560),M560,1)),IF($C560="Paying back",0,IF(AND(OR(Housemates!$C$15="",Housemates!$C$15&lt;=$B560),OR(Housemates!$D$15="",Housemates!$D$15&gt;=$B560)),IF($Q560=0,1,INDEX(Bills!$AH$6:$AH$25,$Q560)),0))))</f>
        <v/>
      </c>
      <c r="AA560">
        <f>SUM(S560:Z560)</f>
        <v/>
      </c>
      <c r="AB560">
        <f>IF(AA560=0,0,D560*S560/AA560)</f>
        <v/>
      </c>
      <c r="AC560">
        <f>IF(AA560=0,0,D560*T560/AA560)</f>
        <v/>
      </c>
      <c r="AD560">
        <f>IF(AA560=0,0,D560*U560/AA560)</f>
        <v/>
      </c>
      <c r="AE560">
        <f>IF(AA560=0,0,D560*V560/AA560)</f>
        <v/>
      </c>
      <c r="AF560">
        <f>IF(AA560=0,0,D560*W560/AA560)</f>
        <v/>
      </c>
      <c r="AG560">
        <f>IF(AA560=0,0,D560*X560/AA560)</f>
        <v/>
      </c>
      <c r="AH560">
        <f>IF(AA560=0,0,D560*Y560/AA560)</f>
        <v/>
      </c>
      <c r="AI560">
        <f>IF(AA560=0,0,D560*Z560/AA560)</f>
        <v/>
      </c>
      <c r="AJ560">
        <f>IF(OR(C560="",B560=""),"",C560&amp;"|"&amp;(YEAR(B560)*100+MONTH(B560)))</f>
        <v/>
      </c>
    </row>
    <row r="561">
      <c r="A561" s="1" t="n"/>
      <c r="B561" s="23" t="n"/>
      <c r="C561" s="24" t="n"/>
      <c r="D561" s="25" t="n"/>
      <c r="E561" s="26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1">
        <f>IF(D561="","",IF(B561="","No date",IF(AND(C561="Paying back",R561=0),"To whom?",IF(AA561=0,"Nobody",IF(C561="Paying back","To "&amp;INDEX(Housemates!$B$8:$B$15,MATCH(MAX(S561:Z561),S561:Z561,0)),IF(R561&gt;0,IF(COUNTIF(S561:Z561,"&gt;0")=1,"1 person",COUNTIF(S561:Z561,"&gt;0")&amp;" people"),IF(Q561=0,"Everyone",INDEX(Bills!$Q$6:$Q$25,Q561))))))))</f>
        <v/>
      </c>
      <c r="O561" s="18">
        <f>IF(D561="","",IF(C561="Paying back","Paying back",IF(Q561=0,"Other",IF(INDEX(Bills!$C$6:$C$25,Q561)="","Other",INDEX(Bills!$C$6:$C$25,Q561)))))</f>
        <v/>
      </c>
      <c r="P561" s="1" t="n"/>
      <c r="Q561">
        <f>IF(C561="",0,IFERROR(MATCH(C561,Bills!$B$6:$B$25,0),0))</f>
        <v/>
      </c>
      <c r="R561">
        <f>COUNTA(F561:M561)</f>
        <v/>
      </c>
      <c r="S561">
        <f>IF(OR($D561="",$B561="",Housemates!$B$8=""),0,IF($R561&gt;0,IF(F561="",0,IF(ISNUMBER(F561),F561,1)),IF($C561="Paying back",0,IF(AND(OR(Housemates!$C$8="",Housemates!$C$8&lt;=$B561),OR(Housemates!$D$8="",Housemates!$D$8&gt;=$B561)),IF($Q561=0,1,INDEX(Bills!$AA$6:$AA$25,$Q561)),0))))</f>
        <v/>
      </c>
      <c r="T561">
        <f>IF(OR($D561="",$B561="",Housemates!$B$9=""),0,IF($R561&gt;0,IF(G561="",0,IF(ISNUMBER(G561),G561,1)),IF($C561="Paying back",0,IF(AND(OR(Housemates!$C$9="",Housemates!$C$9&lt;=$B561),OR(Housemates!$D$9="",Housemates!$D$9&gt;=$B561)),IF($Q561=0,1,INDEX(Bills!$AB$6:$AB$25,$Q561)),0))))</f>
        <v/>
      </c>
      <c r="U561">
        <f>IF(OR($D561="",$B561="",Housemates!$B$10=""),0,IF($R561&gt;0,IF(H561="",0,IF(ISNUMBER(H561),H561,1)),IF($C561="Paying back",0,IF(AND(OR(Housemates!$C$10="",Housemates!$C$10&lt;=$B561),OR(Housemates!$D$10="",Housemates!$D$10&gt;=$B561)),IF($Q561=0,1,INDEX(Bills!$AC$6:$AC$25,$Q561)),0))))</f>
        <v/>
      </c>
      <c r="V561">
        <f>IF(OR($D561="",$B561="",Housemates!$B$11=""),0,IF($R561&gt;0,IF(I561="",0,IF(ISNUMBER(I561),I561,1)),IF($C561="Paying back",0,IF(AND(OR(Housemates!$C$11="",Housemates!$C$11&lt;=$B561),OR(Housemates!$D$11="",Housemates!$D$11&gt;=$B561)),IF($Q561=0,1,INDEX(Bills!$AD$6:$AD$25,$Q561)),0))))</f>
        <v/>
      </c>
      <c r="W561">
        <f>IF(OR($D561="",$B561="",Housemates!$B$12=""),0,IF($R561&gt;0,IF(J561="",0,IF(ISNUMBER(J561),J561,1)),IF($C561="Paying back",0,IF(AND(OR(Housemates!$C$12="",Housemates!$C$12&lt;=$B561),OR(Housemates!$D$12="",Housemates!$D$12&gt;=$B561)),IF($Q561=0,1,INDEX(Bills!$AE$6:$AE$25,$Q561)),0))))</f>
        <v/>
      </c>
      <c r="X561">
        <f>IF(OR($D561="",$B561="",Housemates!$B$13=""),0,IF($R561&gt;0,IF(K561="",0,IF(ISNUMBER(K561),K561,1)),IF($C561="Paying back",0,IF(AND(OR(Housemates!$C$13="",Housemates!$C$13&lt;=$B561),OR(Housemates!$D$13="",Housemates!$D$13&gt;=$B561)),IF($Q561=0,1,INDEX(Bills!$AF$6:$AF$25,$Q561)),0))))</f>
        <v/>
      </c>
      <c r="Y561">
        <f>IF(OR($D561="",$B561="",Housemates!$B$14=""),0,IF($R561&gt;0,IF(L561="",0,IF(ISNUMBER(L561),L561,1)),IF($C561="Paying back",0,IF(AND(OR(Housemates!$C$14="",Housemates!$C$14&lt;=$B561),OR(Housemates!$D$14="",Housemates!$D$14&gt;=$B561)),IF($Q561=0,1,INDEX(Bills!$AG$6:$AG$25,$Q561)),0))))</f>
        <v/>
      </c>
      <c r="Z561">
        <f>IF(OR($D561="",$B561="",Housemates!$B$15=""),0,IF($R561&gt;0,IF(M561="",0,IF(ISNUMBER(M561),M561,1)),IF($C561="Paying back",0,IF(AND(OR(Housemates!$C$15="",Housemates!$C$15&lt;=$B561),OR(Housemates!$D$15="",Housemates!$D$15&gt;=$B561)),IF($Q561=0,1,INDEX(Bills!$AH$6:$AH$25,$Q561)),0))))</f>
        <v/>
      </c>
      <c r="AA561">
        <f>SUM(S561:Z561)</f>
        <v/>
      </c>
      <c r="AB561">
        <f>IF(AA561=0,0,D561*S561/AA561)</f>
        <v/>
      </c>
      <c r="AC561">
        <f>IF(AA561=0,0,D561*T561/AA561)</f>
        <v/>
      </c>
      <c r="AD561">
        <f>IF(AA561=0,0,D561*U561/AA561)</f>
        <v/>
      </c>
      <c r="AE561">
        <f>IF(AA561=0,0,D561*V561/AA561)</f>
        <v/>
      </c>
      <c r="AF561">
        <f>IF(AA561=0,0,D561*W561/AA561)</f>
        <v/>
      </c>
      <c r="AG561">
        <f>IF(AA561=0,0,D561*X561/AA561)</f>
        <v/>
      </c>
      <c r="AH561">
        <f>IF(AA561=0,0,D561*Y561/AA561)</f>
        <v/>
      </c>
      <c r="AI561">
        <f>IF(AA561=0,0,D561*Z561/AA561)</f>
        <v/>
      </c>
      <c r="AJ561">
        <f>IF(OR(C561="",B561=""),"",C561&amp;"|"&amp;(YEAR(B561)*100+MONTH(B561)))</f>
        <v/>
      </c>
    </row>
    <row r="562">
      <c r="A562" s="1" t="n"/>
      <c r="B562" s="23" t="n"/>
      <c r="C562" s="24" t="n"/>
      <c r="D562" s="25" t="n"/>
      <c r="E562" s="26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1">
        <f>IF(D562="","",IF(B562="","No date",IF(AND(C562="Paying back",R562=0),"To whom?",IF(AA562=0,"Nobody",IF(C562="Paying back","To "&amp;INDEX(Housemates!$B$8:$B$15,MATCH(MAX(S562:Z562),S562:Z562,0)),IF(R562&gt;0,IF(COUNTIF(S562:Z562,"&gt;0")=1,"1 person",COUNTIF(S562:Z562,"&gt;0")&amp;" people"),IF(Q562=0,"Everyone",INDEX(Bills!$Q$6:$Q$25,Q562))))))))</f>
        <v/>
      </c>
      <c r="O562" s="18">
        <f>IF(D562="","",IF(C562="Paying back","Paying back",IF(Q562=0,"Other",IF(INDEX(Bills!$C$6:$C$25,Q562)="","Other",INDEX(Bills!$C$6:$C$25,Q562)))))</f>
        <v/>
      </c>
      <c r="P562" s="1" t="n"/>
      <c r="Q562">
        <f>IF(C562="",0,IFERROR(MATCH(C562,Bills!$B$6:$B$25,0),0))</f>
        <v/>
      </c>
      <c r="R562">
        <f>COUNTA(F562:M562)</f>
        <v/>
      </c>
      <c r="S562">
        <f>IF(OR($D562="",$B562="",Housemates!$B$8=""),0,IF($R562&gt;0,IF(F562="",0,IF(ISNUMBER(F562),F562,1)),IF($C562="Paying back",0,IF(AND(OR(Housemates!$C$8="",Housemates!$C$8&lt;=$B562),OR(Housemates!$D$8="",Housemates!$D$8&gt;=$B562)),IF($Q562=0,1,INDEX(Bills!$AA$6:$AA$25,$Q562)),0))))</f>
        <v/>
      </c>
      <c r="T562">
        <f>IF(OR($D562="",$B562="",Housemates!$B$9=""),0,IF($R562&gt;0,IF(G562="",0,IF(ISNUMBER(G562),G562,1)),IF($C562="Paying back",0,IF(AND(OR(Housemates!$C$9="",Housemates!$C$9&lt;=$B562),OR(Housemates!$D$9="",Housemates!$D$9&gt;=$B562)),IF($Q562=0,1,INDEX(Bills!$AB$6:$AB$25,$Q562)),0))))</f>
        <v/>
      </c>
      <c r="U562">
        <f>IF(OR($D562="",$B562="",Housemates!$B$10=""),0,IF($R562&gt;0,IF(H562="",0,IF(ISNUMBER(H562),H562,1)),IF($C562="Paying back",0,IF(AND(OR(Housemates!$C$10="",Housemates!$C$10&lt;=$B562),OR(Housemates!$D$10="",Housemates!$D$10&gt;=$B562)),IF($Q562=0,1,INDEX(Bills!$AC$6:$AC$25,$Q562)),0))))</f>
        <v/>
      </c>
      <c r="V562">
        <f>IF(OR($D562="",$B562="",Housemates!$B$11=""),0,IF($R562&gt;0,IF(I562="",0,IF(ISNUMBER(I562),I562,1)),IF($C562="Paying back",0,IF(AND(OR(Housemates!$C$11="",Housemates!$C$11&lt;=$B562),OR(Housemates!$D$11="",Housemates!$D$11&gt;=$B562)),IF($Q562=0,1,INDEX(Bills!$AD$6:$AD$25,$Q562)),0))))</f>
        <v/>
      </c>
      <c r="W562">
        <f>IF(OR($D562="",$B562="",Housemates!$B$12=""),0,IF($R562&gt;0,IF(J562="",0,IF(ISNUMBER(J562),J562,1)),IF($C562="Paying back",0,IF(AND(OR(Housemates!$C$12="",Housemates!$C$12&lt;=$B562),OR(Housemates!$D$12="",Housemates!$D$12&gt;=$B562)),IF($Q562=0,1,INDEX(Bills!$AE$6:$AE$25,$Q562)),0))))</f>
        <v/>
      </c>
      <c r="X562">
        <f>IF(OR($D562="",$B562="",Housemates!$B$13=""),0,IF($R562&gt;0,IF(K562="",0,IF(ISNUMBER(K562),K562,1)),IF($C562="Paying back",0,IF(AND(OR(Housemates!$C$13="",Housemates!$C$13&lt;=$B562),OR(Housemates!$D$13="",Housemates!$D$13&gt;=$B562)),IF($Q562=0,1,INDEX(Bills!$AF$6:$AF$25,$Q562)),0))))</f>
        <v/>
      </c>
      <c r="Y562">
        <f>IF(OR($D562="",$B562="",Housemates!$B$14=""),0,IF($R562&gt;0,IF(L562="",0,IF(ISNUMBER(L562),L562,1)),IF($C562="Paying back",0,IF(AND(OR(Housemates!$C$14="",Housemates!$C$14&lt;=$B562),OR(Housemates!$D$14="",Housemates!$D$14&gt;=$B562)),IF($Q562=0,1,INDEX(Bills!$AG$6:$AG$25,$Q562)),0))))</f>
        <v/>
      </c>
      <c r="Z562">
        <f>IF(OR($D562="",$B562="",Housemates!$B$15=""),0,IF($R562&gt;0,IF(M562="",0,IF(ISNUMBER(M562),M562,1)),IF($C562="Paying back",0,IF(AND(OR(Housemates!$C$15="",Housemates!$C$15&lt;=$B562),OR(Housemates!$D$15="",Housemates!$D$15&gt;=$B562)),IF($Q562=0,1,INDEX(Bills!$AH$6:$AH$25,$Q562)),0))))</f>
        <v/>
      </c>
      <c r="AA562">
        <f>SUM(S562:Z562)</f>
        <v/>
      </c>
      <c r="AB562">
        <f>IF(AA562=0,0,D562*S562/AA562)</f>
        <v/>
      </c>
      <c r="AC562">
        <f>IF(AA562=0,0,D562*T562/AA562)</f>
        <v/>
      </c>
      <c r="AD562">
        <f>IF(AA562=0,0,D562*U562/AA562)</f>
        <v/>
      </c>
      <c r="AE562">
        <f>IF(AA562=0,0,D562*V562/AA562)</f>
        <v/>
      </c>
      <c r="AF562">
        <f>IF(AA562=0,0,D562*W562/AA562)</f>
        <v/>
      </c>
      <c r="AG562">
        <f>IF(AA562=0,0,D562*X562/AA562)</f>
        <v/>
      </c>
      <c r="AH562">
        <f>IF(AA562=0,0,D562*Y562/AA562)</f>
        <v/>
      </c>
      <c r="AI562">
        <f>IF(AA562=0,0,D562*Z562/AA562)</f>
        <v/>
      </c>
      <c r="AJ562">
        <f>IF(OR(C562="",B562=""),"",C562&amp;"|"&amp;(YEAR(B562)*100+MONTH(B562)))</f>
        <v/>
      </c>
    </row>
    <row r="563">
      <c r="A563" s="1" t="n"/>
      <c r="B563" s="23" t="n"/>
      <c r="C563" s="24" t="n"/>
      <c r="D563" s="25" t="n"/>
      <c r="E563" s="26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1">
        <f>IF(D563="","",IF(B563="","No date",IF(AND(C563="Paying back",R563=0),"To whom?",IF(AA563=0,"Nobody",IF(C563="Paying back","To "&amp;INDEX(Housemates!$B$8:$B$15,MATCH(MAX(S563:Z563),S563:Z563,0)),IF(R563&gt;0,IF(COUNTIF(S563:Z563,"&gt;0")=1,"1 person",COUNTIF(S563:Z563,"&gt;0")&amp;" people"),IF(Q563=0,"Everyone",INDEX(Bills!$Q$6:$Q$25,Q563))))))))</f>
        <v/>
      </c>
      <c r="O563" s="18">
        <f>IF(D563="","",IF(C563="Paying back","Paying back",IF(Q563=0,"Other",IF(INDEX(Bills!$C$6:$C$25,Q563)="","Other",INDEX(Bills!$C$6:$C$25,Q563)))))</f>
        <v/>
      </c>
      <c r="P563" s="1" t="n"/>
      <c r="Q563">
        <f>IF(C563="",0,IFERROR(MATCH(C563,Bills!$B$6:$B$25,0),0))</f>
        <v/>
      </c>
      <c r="R563">
        <f>COUNTA(F563:M563)</f>
        <v/>
      </c>
      <c r="S563">
        <f>IF(OR($D563="",$B563="",Housemates!$B$8=""),0,IF($R563&gt;0,IF(F563="",0,IF(ISNUMBER(F563),F563,1)),IF($C563="Paying back",0,IF(AND(OR(Housemates!$C$8="",Housemates!$C$8&lt;=$B563),OR(Housemates!$D$8="",Housemates!$D$8&gt;=$B563)),IF($Q563=0,1,INDEX(Bills!$AA$6:$AA$25,$Q563)),0))))</f>
        <v/>
      </c>
      <c r="T563">
        <f>IF(OR($D563="",$B563="",Housemates!$B$9=""),0,IF($R563&gt;0,IF(G563="",0,IF(ISNUMBER(G563),G563,1)),IF($C563="Paying back",0,IF(AND(OR(Housemates!$C$9="",Housemates!$C$9&lt;=$B563),OR(Housemates!$D$9="",Housemates!$D$9&gt;=$B563)),IF($Q563=0,1,INDEX(Bills!$AB$6:$AB$25,$Q563)),0))))</f>
        <v/>
      </c>
      <c r="U563">
        <f>IF(OR($D563="",$B563="",Housemates!$B$10=""),0,IF($R563&gt;0,IF(H563="",0,IF(ISNUMBER(H563),H563,1)),IF($C563="Paying back",0,IF(AND(OR(Housemates!$C$10="",Housemates!$C$10&lt;=$B563),OR(Housemates!$D$10="",Housemates!$D$10&gt;=$B563)),IF($Q563=0,1,INDEX(Bills!$AC$6:$AC$25,$Q563)),0))))</f>
        <v/>
      </c>
      <c r="V563">
        <f>IF(OR($D563="",$B563="",Housemates!$B$11=""),0,IF($R563&gt;0,IF(I563="",0,IF(ISNUMBER(I563),I563,1)),IF($C563="Paying back",0,IF(AND(OR(Housemates!$C$11="",Housemates!$C$11&lt;=$B563),OR(Housemates!$D$11="",Housemates!$D$11&gt;=$B563)),IF($Q563=0,1,INDEX(Bills!$AD$6:$AD$25,$Q563)),0))))</f>
        <v/>
      </c>
      <c r="W563">
        <f>IF(OR($D563="",$B563="",Housemates!$B$12=""),0,IF($R563&gt;0,IF(J563="",0,IF(ISNUMBER(J563),J563,1)),IF($C563="Paying back",0,IF(AND(OR(Housemates!$C$12="",Housemates!$C$12&lt;=$B563),OR(Housemates!$D$12="",Housemates!$D$12&gt;=$B563)),IF($Q563=0,1,INDEX(Bills!$AE$6:$AE$25,$Q563)),0))))</f>
        <v/>
      </c>
      <c r="X563">
        <f>IF(OR($D563="",$B563="",Housemates!$B$13=""),0,IF($R563&gt;0,IF(K563="",0,IF(ISNUMBER(K563),K563,1)),IF($C563="Paying back",0,IF(AND(OR(Housemates!$C$13="",Housemates!$C$13&lt;=$B563),OR(Housemates!$D$13="",Housemates!$D$13&gt;=$B563)),IF($Q563=0,1,INDEX(Bills!$AF$6:$AF$25,$Q563)),0))))</f>
        <v/>
      </c>
      <c r="Y563">
        <f>IF(OR($D563="",$B563="",Housemates!$B$14=""),0,IF($R563&gt;0,IF(L563="",0,IF(ISNUMBER(L563),L563,1)),IF($C563="Paying back",0,IF(AND(OR(Housemates!$C$14="",Housemates!$C$14&lt;=$B563),OR(Housemates!$D$14="",Housemates!$D$14&gt;=$B563)),IF($Q563=0,1,INDEX(Bills!$AG$6:$AG$25,$Q563)),0))))</f>
        <v/>
      </c>
      <c r="Z563">
        <f>IF(OR($D563="",$B563="",Housemates!$B$15=""),0,IF($R563&gt;0,IF(M563="",0,IF(ISNUMBER(M563),M563,1)),IF($C563="Paying back",0,IF(AND(OR(Housemates!$C$15="",Housemates!$C$15&lt;=$B563),OR(Housemates!$D$15="",Housemates!$D$15&gt;=$B563)),IF($Q563=0,1,INDEX(Bills!$AH$6:$AH$25,$Q563)),0))))</f>
        <v/>
      </c>
      <c r="AA563">
        <f>SUM(S563:Z563)</f>
        <v/>
      </c>
      <c r="AB563">
        <f>IF(AA563=0,0,D563*S563/AA563)</f>
        <v/>
      </c>
      <c r="AC563">
        <f>IF(AA563=0,0,D563*T563/AA563)</f>
        <v/>
      </c>
      <c r="AD563">
        <f>IF(AA563=0,0,D563*U563/AA563)</f>
        <v/>
      </c>
      <c r="AE563">
        <f>IF(AA563=0,0,D563*V563/AA563)</f>
        <v/>
      </c>
      <c r="AF563">
        <f>IF(AA563=0,0,D563*W563/AA563)</f>
        <v/>
      </c>
      <c r="AG563">
        <f>IF(AA563=0,0,D563*X563/AA563)</f>
        <v/>
      </c>
      <c r="AH563">
        <f>IF(AA563=0,0,D563*Y563/AA563)</f>
        <v/>
      </c>
      <c r="AI563">
        <f>IF(AA563=0,0,D563*Z563/AA563)</f>
        <v/>
      </c>
      <c r="AJ563">
        <f>IF(OR(C563="",B563=""),"",C563&amp;"|"&amp;(YEAR(B563)*100+MONTH(B563)))</f>
        <v/>
      </c>
    </row>
    <row r="564">
      <c r="A564" s="1" t="n"/>
      <c r="B564" s="23" t="n"/>
      <c r="C564" s="24" t="n"/>
      <c r="D564" s="25" t="n"/>
      <c r="E564" s="26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1">
        <f>IF(D564="","",IF(B564="","No date",IF(AND(C564="Paying back",R564=0),"To whom?",IF(AA564=0,"Nobody",IF(C564="Paying back","To "&amp;INDEX(Housemates!$B$8:$B$15,MATCH(MAX(S564:Z564),S564:Z564,0)),IF(R564&gt;0,IF(COUNTIF(S564:Z564,"&gt;0")=1,"1 person",COUNTIF(S564:Z564,"&gt;0")&amp;" people"),IF(Q564=0,"Everyone",INDEX(Bills!$Q$6:$Q$25,Q564))))))))</f>
        <v/>
      </c>
      <c r="O564" s="18">
        <f>IF(D564="","",IF(C564="Paying back","Paying back",IF(Q564=0,"Other",IF(INDEX(Bills!$C$6:$C$25,Q564)="","Other",INDEX(Bills!$C$6:$C$25,Q564)))))</f>
        <v/>
      </c>
      <c r="P564" s="1" t="n"/>
      <c r="Q564">
        <f>IF(C564="",0,IFERROR(MATCH(C564,Bills!$B$6:$B$25,0),0))</f>
        <v/>
      </c>
      <c r="R564">
        <f>COUNTA(F564:M564)</f>
        <v/>
      </c>
      <c r="S564">
        <f>IF(OR($D564="",$B564="",Housemates!$B$8=""),0,IF($R564&gt;0,IF(F564="",0,IF(ISNUMBER(F564),F564,1)),IF($C564="Paying back",0,IF(AND(OR(Housemates!$C$8="",Housemates!$C$8&lt;=$B564),OR(Housemates!$D$8="",Housemates!$D$8&gt;=$B564)),IF($Q564=0,1,INDEX(Bills!$AA$6:$AA$25,$Q564)),0))))</f>
        <v/>
      </c>
      <c r="T564">
        <f>IF(OR($D564="",$B564="",Housemates!$B$9=""),0,IF($R564&gt;0,IF(G564="",0,IF(ISNUMBER(G564),G564,1)),IF($C564="Paying back",0,IF(AND(OR(Housemates!$C$9="",Housemates!$C$9&lt;=$B564),OR(Housemates!$D$9="",Housemates!$D$9&gt;=$B564)),IF($Q564=0,1,INDEX(Bills!$AB$6:$AB$25,$Q564)),0))))</f>
        <v/>
      </c>
      <c r="U564">
        <f>IF(OR($D564="",$B564="",Housemates!$B$10=""),0,IF($R564&gt;0,IF(H564="",0,IF(ISNUMBER(H564),H564,1)),IF($C564="Paying back",0,IF(AND(OR(Housemates!$C$10="",Housemates!$C$10&lt;=$B564),OR(Housemates!$D$10="",Housemates!$D$10&gt;=$B564)),IF($Q564=0,1,INDEX(Bills!$AC$6:$AC$25,$Q564)),0))))</f>
        <v/>
      </c>
      <c r="V564">
        <f>IF(OR($D564="",$B564="",Housemates!$B$11=""),0,IF($R564&gt;0,IF(I564="",0,IF(ISNUMBER(I564),I564,1)),IF($C564="Paying back",0,IF(AND(OR(Housemates!$C$11="",Housemates!$C$11&lt;=$B564),OR(Housemates!$D$11="",Housemates!$D$11&gt;=$B564)),IF($Q564=0,1,INDEX(Bills!$AD$6:$AD$25,$Q564)),0))))</f>
        <v/>
      </c>
      <c r="W564">
        <f>IF(OR($D564="",$B564="",Housemates!$B$12=""),0,IF($R564&gt;0,IF(J564="",0,IF(ISNUMBER(J564),J564,1)),IF($C564="Paying back",0,IF(AND(OR(Housemates!$C$12="",Housemates!$C$12&lt;=$B564),OR(Housemates!$D$12="",Housemates!$D$12&gt;=$B564)),IF($Q564=0,1,INDEX(Bills!$AE$6:$AE$25,$Q564)),0))))</f>
        <v/>
      </c>
      <c r="X564">
        <f>IF(OR($D564="",$B564="",Housemates!$B$13=""),0,IF($R564&gt;0,IF(K564="",0,IF(ISNUMBER(K564),K564,1)),IF($C564="Paying back",0,IF(AND(OR(Housemates!$C$13="",Housemates!$C$13&lt;=$B564),OR(Housemates!$D$13="",Housemates!$D$13&gt;=$B564)),IF($Q564=0,1,INDEX(Bills!$AF$6:$AF$25,$Q564)),0))))</f>
        <v/>
      </c>
      <c r="Y564">
        <f>IF(OR($D564="",$B564="",Housemates!$B$14=""),0,IF($R564&gt;0,IF(L564="",0,IF(ISNUMBER(L564),L564,1)),IF($C564="Paying back",0,IF(AND(OR(Housemates!$C$14="",Housemates!$C$14&lt;=$B564),OR(Housemates!$D$14="",Housemates!$D$14&gt;=$B564)),IF($Q564=0,1,INDEX(Bills!$AG$6:$AG$25,$Q564)),0))))</f>
        <v/>
      </c>
      <c r="Z564">
        <f>IF(OR($D564="",$B564="",Housemates!$B$15=""),0,IF($R564&gt;0,IF(M564="",0,IF(ISNUMBER(M564),M564,1)),IF($C564="Paying back",0,IF(AND(OR(Housemates!$C$15="",Housemates!$C$15&lt;=$B564),OR(Housemates!$D$15="",Housemates!$D$15&gt;=$B564)),IF($Q564=0,1,INDEX(Bills!$AH$6:$AH$25,$Q564)),0))))</f>
        <v/>
      </c>
      <c r="AA564">
        <f>SUM(S564:Z564)</f>
        <v/>
      </c>
      <c r="AB564">
        <f>IF(AA564=0,0,D564*S564/AA564)</f>
        <v/>
      </c>
      <c r="AC564">
        <f>IF(AA564=0,0,D564*T564/AA564)</f>
        <v/>
      </c>
      <c r="AD564">
        <f>IF(AA564=0,0,D564*U564/AA564)</f>
        <v/>
      </c>
      <c r="AE564">
        <f>IF(AA564=0,0,D564*V564/AA564)</f>
        <v/>
      </c>
      <c r="AF564">
        <f>IF(AA564=0,0,D564*W564/AA564)</f>
        <v/>
      </c>
      <c r="AG564">
        <f>IF(AA564=0,0,D564*X564/AA564)</f>
        <v/>
      </c>
      <c r="AH564">
        <f>IF(AA564=0,0,D564*Y564/AA564)</f>
        <v/>
      </c>
      <c r="AI564">
        <f>IF(AA564=0,0,D564*Z564/AA564)</f>
        <v/>
      </c>
      <c r="AJ564">
        <f>IF(OR(C564="",B564=""),"",C564&amp;"|"&amp;(YEAR(B564)*100+MONTH(B564)))</f>
        <v/>
      </c>
    </row>
    <row r="565">
      <c r="A565" s="1" t="n"/>
      <c r="B565" s="23" t="n"/>
      <c r="C565" s="24" t="n"/>
      <c r="D565" s="25" t="n"/>
      <c r="E565" s="26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1">
        <f>IF(D565="","",IF(B565="","No date",IF(AND(C565="Paying back",R565=0),"To whom?",IF(AA565=0,"Nobody",IF(C565="Paying back","To "&amp;INDEX(Housemates!$B$8:$B$15,MATCH(MAX(S565:Z565),S565:Z565,0)),IF(R565&gt;0,IF(COUNTIF(S565:Z565,"&gt;0")=1,"1 person",COUNTIF(S565:Z565,"&gt;0")&amp;" people"),IF(Q565=0,"Everyone",INDEX(Bills!$Q$6:$Q$25,Q565))))))))</f>
        <v/>
      </c>
      <c r="O565" s="18">
        <f>IF(D565="","",IF(C565="Paying back","Paying back",IF(Q565=0,"Other",IF(INDEX(Bills!$C$6:$C$25,Q565)="","Other",INDEX(Bills!$C$6:$C$25,Q565)))))</f>
        <v/>
      </c>
      <c r="P565" s="1" t="n"/>
      <c r="Q565">
        <f>IF(C565="",0,IFERROR(MATCH(C565,Bills!$B$6:$B$25,0),0))</f>
        <v/>
      </c>
      <c r="R565">
        <f>COUNTA(F565:M565)</f>
        <v/>
      </c>
      <c r="S565">
        <f>IF(OR($D565="",$B565="",Housemates!$B$8=""),0,IF($R565&gt;0,IF(F565="",0,IF(ISNUMBER(F565),F565,1)),IF($C565="Paying back",0,IF(AND(OR(Housemates!$C$8="",Housemates!$C$8&lt;=$B565),OR(Housemates!$D$8="",Housemates!$D$8&gt;=$B565)),IF($Q565=0,1,INDEX(Bills!$AA$6:$AA$25,$Q565)),0))))</f>
        <v/>
      </c>
      <c r="T565">
        <f>IF(OR($D565="",$B565="",Housemates!$B$9=""),0,IF($R565&gt;0,IF(G565="",0,IF(ISNUMBER(G565),G565,1)),IF($C565="Paying back",0,IF(AND(OR(Housemates!$C$9="",Housemates!$C$9&lt;=$B565),OR(Housemates!$D$9="",Housemates!$D$9&gt;=$B565)),IF($Q565=0,1,INDEX(Bills!$AB$6:$AB$25,$Q565)),0))))</f>
        <v/>
      </c>
      <c r="U565">
        <f>IF(OR($D565="",$B565="",Housemates!$B$10=""),0,IF($R565&gt;0,IF(H565="",0,IF(ISNUMBER(H565),H565,1)),IF($C565="Paying back",0,IF(AND(OR(Housemates!$C$10="",Housemates!$C$10&lt;=$B565),OR(Housemates!$D$10="",Housemates!$D$10&gt;=$B565)),IF($Q565=0,1,INDEX(Bills!$AC$6:$AC$25,$Q565)),0))))</f>
        <v/>
      </c>
      <c r="V565">
        <f>IF(OR($D565="",$B565="",Housemates!$B$11=""),0,IF($R565&gt;0,IF(I565="",0,IF(ISNUMBER(I565),I565,1)),IF($C565="Paying back",0,IF(AND(OR(Housemates!$C$11="",Housemates!$C$11&lt;=$B565),OR(Housemates!$D$11="",Housemates!$D$11&gt;=$B565)),IF($Q565=0,1,INDEX(Bills!$AD$6:$AD$25,$Q565)),0))))</f>
        <v/>
      </c>
      <c r="W565">
        <f>IF(OR($D565="",$B565="",Housemates!$B$12=""),0,IF($R565&gt;0,IF(J565="",0,IF(ISNUMBER(J565),J565,1)),IF($C565="Paying back",0,IF(AND(OR(Housemates!$C$12="",Housemates!$C$12&lt;=$B565),OR(Housemates!$D$12="",Housemates!$D$12&gt;=$B565)),IF($Q565=0,1,INDEX(Bills!$AE$6:$AE$25,$Q565)),0))))</f>
        <v/>
      </c>
      <c r="X565">
        <f>IF(OR($D565="",$B565="",Housemates!$B$13=""),0,IF($R565&gt;0,IF(K565="",0,IF(ISNUMBER(K565),K565,1)),IF($C565="Paying back",0,IF(AND(OR(Housemates!$C$13="",Housemates!$C$13&lt;=$B565),OR(Housemates!$D$13="",Housemates!$D$13&gt;=$B565)),IF($Q565=0,1,INDEX(Bills!$AF$6:$AF$25,$Q565)),0))))</f>
        <v/>
      </c>
      <c r="Y565">
        <f>IF(OR($D565="",$B565="",Housemates!$B$14=""),0,IF($R565&gt;0,IF(L565="",0,IF(ISNUMBER(L565),L565,1)),IF($C565="Paying back",0,IF(AND(OR(Housemates!$C$14="",Housemates!$C$14&lt;=$B565),OR(Housemates!$D$14="",Housemates!$D$14&gt;=$B565)),IF($Q565=0,1,INDEX(Bills!$AG$6:$AG$25,$Q565)),0))))</f>
        <v/>
      </c>
      <c r="Z565">
        <f>IF(OR($D565="",$B565="",Housemates!$B$15=""),0,IF($R565&gt;0,IF(M565="",0,IF(ISNUMBER(M565),M565,1)),IF($C565="Paying back",0,IF(AND(OR(Housemates!$C$15="",Housemates!$C$15&lt;=$B565),OR(Housemates!$D$15="",Housemates!$D$15&gt;=$B565)),IF($Q565=0,1,INDEX(Bills!$AH$6:$AH$25,$Q565)),0))))</f>
        <v/>
      </c>
      <c r="AA565">
        <f>SUM(S565:Z565)</f>
        <v/>
      </c>
      <c r="AB565">
        <f>IF(AA565=0,0,D565*S565/AA565)</f>
        <v/>
      </c>
      <c r="AC565">
        <f>IF(AA565=0,0,D565*T565/AA565)</f>
        <v/>
      </c>
      <c r="AD565">
        <f>IF(AA565=0,0,D565*U565/AA565)</f>
        <v/>
      </c>
      <c r="AE565">
        <f>IF(AA565=0,0,D565*V565/AA565)</f>
        <v/>
      </c>
      <c r="AF565">
        <f>IF(AA565=0,0,D565*W565/AA565)</f>
        <v/>
      </c>
      <c r="AG565">
        <f>IF(AA565=0,0,D565*X565/AA565)</f>
        <v/>
      </c>
      <c r="AH565">
        <f>IF(AA565=0,0,D565*Y565/AA565)</f>
        <v/>
      </c>
      <c r="AI565">
        <f>IF(AA565=0,0,D565*Z565/AA565)</f>
        <v/>
      </c>
      <c r="AJ565">
        <f>IF(OR(C565="",B565=""),"",C565&amp;"|"&amp;(YEAR(B565)*100+MONTH(B565)))</f>
        <v/>
      </c>
    </row>
    <row r="566">
      <c r="A566" s="1" t="n"/>
      <c r="B566" s="23" t="n"/>
      <c r="C566" s="24" t="n"/>
      <c r="D566" s="25" t="n"/>
      <c r="E566" s="26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1">
        <f>IF(D566="","",IF(B566="","No date",IF(AND(C566="Paying back",R566=0),"To whom?",IF(AA566=0,"Nobody",IF(C566="Paying back","To "&amp;INDEX(Housemates!$B$8:$B$15,MATCH(MAX(S566:Z566),S566:Z566,0)),IF(R566&gt;0,IF(COUNTIF(S566:Z566,"&gt;0")=1,"1 person",COUNTIF(S566:Z566,"&gt;0")&amp;" people"),IF(Q566=0,"Everyone",INDEX(Bills!$Q$6:$Q$25,Q566))))))))</f>
        <v/>
      </c>
      <c r="O566" s="18">
        <f>IF(D566="","",IF(C566="Paying back","Paying back",IF(Q566=0,"Other",IF(INDEX(Bills!$C$6:$C$25,Q566)="","Other",INDEX(Bills!$C$6:$C$25,Q566)))))</f>
        <v/>
      </c>
      <c r="P566" s="1" t="n"/>
      <c r="Q566">
        <f>IF(C566="",0,IFERROR(MATCH(C566,Bills!$B$6:$B$25,0),0))</f>
        <v/>
      </c>
      <c r="R566">
        <f>COUNTA(F566:M566)</f>
        <v/>
      </c>
      <c r="S566">
        <f>IF(OR($D566="",$B566="",Housemates!$B$8=""),0,IF($R566&gt;0,IF(F566="",0,IF(ISNUMBER(F566),F566,1)),IF($C566="Paying back",0,IF(AND(OR(Housemates!$C$8="",Housemates!$C$8&lt;=$B566),OR(Housemates!$D$8="",Housemates!$D$8&gt;=$B566)),IF($Q566=0,1,INDEX(Bills!$AA$6:$AA$25,$Q566)),0))))</f>
        <v/>
      </c>
      <c r="T566">
        <f>IF(OR($D566="",$B566="",Housemates!$B$9=""),0,IF($R566&gt;0,IF(G566="",0,IF(ISNUMBER(G566),G566,1)),IF($C566="Paying back",0,IF(AND(OR(Housemates!$C$9="",Housemates!$C$9&lt;=$B566),OR(Housemates!$D$9="",Housemates!$D$9&gt;=$B566)),IF($Q566=0,1,INDEX(Bills!$AB$6:$AB$25,$Q566)),0))))</f>
        <v/>
      </c>
      <c r="U566">
        <f>IF(OR($D566="",$B566="",Housemates!$B$10=""),0,IF($R566&gt;0,IF(H566="",0,IF(ISNUMBER(H566),H566,1)),IF($C566="Paying back",0,IF(AND(OR(Housemates!$C$10="",Housemates!$C$10&lt;=$B566),OR(Housemates!$D$10="",Housemates!$D$10&gt;=$B566)),IF($Q566=0,1,INDEX(Bills!$AC$6:$AC$25,$Q566)),0))))</f>
        <v/>
      </c>
      <c r="V566">
        <f>IF(OR($D566="",$B566="",Housemates!$B$11=""),0,IF($R566&gt;0,IF(I566="",0,IF(ISNUMBER(I566),I566,1)),IF($C566="Paying back",0,IF(AND(OR(Housemates!$C$11="",Housemates!$C$11&lt;=$B566),OR(Housemates!$D$11="",Housemates!$D$11&gt;=$B566)),IF($Q566=0,1,INDEX(Bills!$AD$6:$AD$25,$Q566)),0))))</f>
        <v/>
      </c>
      <c r="W566">
        <f>IF(OR($D566="",$B566="",Housemates!$B$12=""),0,IF($R566&gt;0,IF(J566="",0,IF(ISNUMBER(J566),J566,1)),IF($C566="Paying back",0,IF(AND(OR(Housemates!$C$12="",Housemates!$C$12&lt;=$B566),OR(Housemates!$D$12="",Housemates!$D$12&gt;=$B566)),IF($Q566=0,1,INDEX(Bills!$AE$6:$AE$25,$Q566)),0))))</f>
        <v/>
      </c>
      <c r="X566">
        <f>IF(OR($D566="",$B566="",Housemates!$B$13=""),0,IF($R566&gt;0,IF(K566="",0,IF(ISNUMBER(K566),K566,1)),IF($C566="Paying back",0,IF(AND(OR(Housemates!$C$13="",Housemates!$C$13&lt;=$B566),OR(Housemates!$D$13="",Housemates!$D$13&gt;=$B566)),IF($Q566=0,1,INDEX(Bills!$AF$6:$AF$25,$Q566)),0))))</f>
        <v/>
      </c>
      <c r="Y566">
        <f>IF(OR($D566="",$B566="",Housemates!$B$14=""),0,IF($R566&gt;0,IF(L566="",0,IF(ISNUMBER(L566),L566,1)),IF($C566="Paying back",0,IF(AND(OR(Housemates!$C$14="",Housemates!$C$14&lt;=$B566),OR(Housemates!$D$14="",Housemates!$D$14&gt;=$B566)),IF($Q566=0,1,INDEX(Bills!$AG$6:$AG$25,$Q566)),0))))</f>
        <v/>
      </c>
      <c r="Z566">
        <f>IF(OR($D566="",$B566="",Housemates!$B$15=""),0,IF($R566&gt;0,IF(M566="",0,IF(ISNUMBER(M566),M566,1)),IF($C566="Paying back",0,IF(AND(OR(Housemates!$C$15="",Housemates!$C$15&lt;=$B566),OR(Housemates!$D$15="",Housemates!$D$15&gt;=$B566)),IF($Q566=0,1,INDEX(Bills!$AH$6:$AH$25,$Q566)),0))))</f>
        <v/>
      </c>
      <c r="AA566">
        <f>SUM(S566:Z566)</f>
        <v/>
      </c>
      <c r="AB566">
        <f>IF(AA566=0,0,D566*S566/AA566)</f>
        <v/>
      </c>
      <c r="AC566">
        <f>IF(AA566=0,0,D566*T566/AA566)</f>
        <v/>
      </c>
      <c r="AD566">
        <f>IF(AA566=0,0,D566*U566/AA566)</f>
        <v/>
      </c>
      <c r="AE566">
        <f>IF(AA566=0,0,D566*V566/AA566)</f>
        <v/>
      </c>
      <c r="AF566">
        <f>IF(AA566=0,0,D566*W566/AA566)</f>
        <v/>
      </c>
      <c r="AG566">
        <f>IF(AA566=0,0,D566*X566/AA566)</f>
        <v/>
      </c>
      <c r="AH566">
        <f>IF(AA566=0,0,D566*Y566/AA566)</f>
        <v/>
      </c>
      <c r="AI566">
        <f>IF(AA566=0,0,D566*Z566/AA566)</f>
        <v/>
      </c>
      <c r="AJ566">
        <f>IF(OR(C566="",B566=""),"",C566&amp;"|"&amp;(YEAR(B566)*100+MONTH(B566)))</f>
        <v/>
      </c>
    </row>
    <row r="567">
      <c r="A567" s="1" t="n"/>
      <c r="B567" s="23" t="n"/>
      <c r="C567" s="24" t="n"/>
      <c r="D567" s="25" t="n"/>
      <c r="E567" s="26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1">
        <f>IF(D567="","",IF(B567="","No date",IF(AND(C567="Paying back",R567=0),"To whom?",IF(AA567=0,"Nobody",IF(C567="Paying back","To "&amp;INDEX(Housemates!$B$8:$B$15,MATCH(MAX(S567:Z567),S567:Z567,0)),IF(R567&gt;0,IF(COUNTIF(S567:Z567,"&gt;0")=1,"1 person",COUNTIF(S567:Z567,"&gt;0")&amp;" people"),IF(Q567=0,"Everyone",INDEX(Bills!$Q$6:$Q$25,Q567))))))))</f>
        <v/>
      </c>
      <c r="O567" s="18">
        <f>IF(D567="","",IF(C567="Paying back","Paying back",IF(Q567=0,"Other",IF(INDEX(Bills!$C$6:$C$25,Q567)="","Other",INDEX(Bills!$C$6:$C$25,Q567)))))</f>
        <v/>
      </c>
      <c r="P567" s="1" t="n"/>
      <c r="Q567">
        <f>IF(C567="",0,IFERROR(MATCH(C567,Bills!$B$6:$B$25,0),0))</f>
        <v/>
      </c>
      <c r="R567">
        <f>COUNTA(F567:M567)</f>
        <v/>
      </c>
      <c r="S567">
        <f>IF(OR($D567="",$B567="",Housemates!$B$8=""),0,IF($R567&gt;0,IF(F567="",0,IF(ISNUMBER(F567),F567,1)),IF($C567="Paying back",0,IF(AND(OR(Housemates!$C$8="",Housemates!$C$8&lt;=$B567),OR(Housemates!$D$8="",Housemates!$D$8&gt;=$B567)),IF($Q567=0,1,INDEX(Bills!$AA$6:$AA$25,$Q567)),0))))</f>
        <v/>
      </c>
      <c r="T567">
        <f>IF(OR($D567="",$B567="",Housemates!$B$9=""),0,IF($R567&gt;0,IF(G567="",0,IF(ISNUMBER(G567),G567,1)),IF($C567="Paying back",0,IF(AND(OR(Housemates!$C$9="",Housemates!$C$9&lt;=$B567),OR(Housemates!$D$9="",Housemates!$D$9&gt;=$B567)),IF($Q567=0,1,INDEX(Bills!$AB$6:$AB$25,$Q567)),0))))</f>
        <v/>
      </c>
      <c r="U567">
        <f>IF(OR($D567="",$B567="",Housemates!$B$10=""),0,IF($R567&gt;0,IF(H567="",0,IF(ISNUMBER(H567),H567,1)),IF($C567="Paying back",0,IF(AND(OR(Housemates!$C$10="",Housemates!$C$10&lt;=$B567),OR(Housemates!$D$10="",Housemates!$D$10&gt;=$B567)),IF($Q567=0,1,INDEX(Bills!$AC$6:$AC$25,$Q567)),0))))</f>
        <v/>
      </c>
      <c r="V567">
        <f>IF(OR($D567="",$B567="",Housemates!$B$11=""),0,IF($R567&gt;0,IF(I567="",0,IF(ISNUMBER(I567),I567,1)),IF($C567="Paying back",0,IF(AND(OR(Housemates!$C$11="",Housemates!$C$11&lt;=$B567),OR(Housemates!$D$11="",Housemates!$D$11&gt;=$B567)),IF($Q567=0,1,INDEX(Bills!$AD$6:$AD$25,$Q567)),0))))</f>
        <v/>
      </c>
      <c r="W567">
        <f>IF(OR($D567="",$B567="",Housemates!$B$12=""),0,IF($R567&gt;0,IF(J567="",0,IF(ISNUMBER(J567),J567,1)),IF($C567="Paying back",0,IF(AND(OR(Housemates!$C$12="",Housemates!$C$12&lt;=$B567),OR(Housemates!$D$12="",Housemates!$D$12&gt;=$B567)),IF($Q567=0,1,INDEX(Bills!$AE$6:$AE$25,$Q567)),0))))</f>
        <v/>
      </c>
      <c r="X567">
        <f>IF(OR($D567="",$B567="",Housemates!$B$13=""),0,IF($R567&gt;0,IF(K567="",0,IF(ISNUMBER(K567),K567,1)),IF($C567="Paying back",0,IF(AND(OR(Housemates!$C$13="",Housemates!$C$13&lt;=$B567),OR(Housemates!$D$13="",Housemates!$D$13&gt;=$B567)),IF($Q567=0,1,INDEX(Bills!$AF$6:$AF$25,$Q567)),0))))</f>
        <v/>
      </c>
      <c r="Y567">
        <f>IF(OR($D567="",$B567="",Housemates!$B$14=""),0,IF($R567&gt;0,IF(L567="",0,IF(ISNUMBER(L567),L567,1)),IF($C567="Paying back",0,IF(AND(OR(Housemates!$C$14="",Housemates!$C$14&lt;=$B567),OR(Housemates!$D$14="",Housemates!$D$14&gt;=$B567)),IF($Q567=0,1,INDEX(Bills!$AG$6:$AG$25,$Q567)),0))))</f>
        <v/>
      </c>
      <c r="Z567">
        <f>IF(OR($D567="",$B567="",Housemates!$B$15=""),0,IF($R567&gt;0,IF(M567="",0,IF(ISNUMBER(M567),M567,1)),IF($C567="Paying back",0,IF(AND(OR(Housemates!$C$15="",Housemates!$C$15&lt;=$B567),OR(Housemates!$D$15="",Housemates!$D$15&gt;=$B567)),IF($Q567=0,1,INDEX(Bills!$AH$6:$AH$25,$Q567)),0))))</f>
        <v/>
      </c>
      <c r="AA567">
        <f>SUM(S567:Z567)</f>
        <v/>
      </c>
      <c r="AB567">
        <f>IF(AA567=0,0,D567*S567/AA567)</f>
        <v/>
      </c>
      <c r="AC567">
        <f>IF(AA567=0,0,D567*T567/AA567)</f>
        <v/>
      </c>
      <c r="AD567">
        <f>IF(AA567=0,0,D567*U567/AA567)</f>
        <v/>
      </c>
      <c r="AE567">
        <f>IF(AA567=0,0,D567*V567/AA567)</f>
        <v/>
      </c>
      <c r="AF567">
        <f>IF(AA567=0,0,D567*W567/AA567)</f>
        <v/>
      </c>
      <c r="AG567">
        <f>IF(AA567=0,0,D567*X567/AA567)</f>
        <v/>
      </c>
      <c r="AH567">
        <f>IF(AA567=0,0,D567*Y567/AA567)</f>
        <v/>
      </c>
      <c r="AI567">
        <f>IF(AA567=0,0,D567*Z567/AA567)</f>
        <v/>
      </c>
      <c r="AJ567">
        <f>IF(OR(C567="",B567=""),"",C567&amp;"|"&amp;(YEAR(B567)*100+MONTH(B567)))</f>
        <v/>
      </c>
    </row>
    <row r="568">
      <c r="A568" s="1" t="n"/>
      <c r="B568" s="23" t="n"/>
      <c r="C568" s="24" t="n"/>
      <c r="D568" s="25" t="n"/>
      <c r="E568" s="26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1">
        <f>IF(D568="","",IF(B568="","No date",IF(AND(C568="Paying back",R568=0),"To whom?",IF(AA568=0,"Nobody",IF(C568="Paying back","To "&amp;INDEX(Housemates!$B$8:$B$15,MATCH(MAX(S568:Z568),S568:Z568,0)),IF(R568&gt;0,IF(COUNTIF(S568:Z568,"&gt;0")=1,"1 person",COUNTIF(S568:Z568,"&gt;0")&amp;" people"),IF(Q568=0,"Everyone",INDEX(Bills!$Q$6:$Q$25,Q568))))))))</f>
        <v/>
      </c>
      <c r="O568" s="18">
        <f>IF(D568="","",IF(C568="Paying back","Paying back",IF(Q568=0,"Other",IF(INDEX(Bills!$C$6:$C$25,Q568)="","Other",INDEX(Bills!$C$6:$C$25,Q568)))))</f>
        <v/>
      </c>
      <c r="P568" s="1" t="n"/>
      <c r="Q568">
        <f>IF(C568="",0,IFERROR(MATCH(C568,Bills!$B$6:$B$25,0),0))</f>
        <v/>
      </c>
      <c r="R568">
        <f>COUNTA(F568:M568)</f>
        <v/>
      </c>
      <c r="S568">
        <f>IF(OR($D568="",$B568="",Housemates!$B$8=""),0,IF($R568&gt;0,IF(F568="",0,IF(ISNUMBER(F568),F568,1)),IF($C568="Paying back",0,IF(AND(OR(Housemates!$C$8="",Housemates!$C$8&lt;=$B568),OR(Housemates!$D$8="",Housemates!$D$8&gt;=$B568)),IF($Q568=0,1,INDEX(Bills!$AA$6:$AA$25,$Q568)),0))))</f>
        <v/>
      </c>
      <c r="T568">
        <f>IF(OR($D568="",$B568="",Housemates!$B$9=""),0,IF($R568&gt;0,IF(G568="",0,IF(ISNUMBER(G568),G568,1)),IF($C568="Paying back",0,IF(AND(OR(Housemates!$C$9="",Housemates!$C$9&lt;=$B568),OR(Housemates!$D$9="",Housemates!$D$9&gt;=$B568)),IF($Q568=0,1,INDEX(Bills!$AB$6:$AB$25,$Q568)),0))))</f>
        <v/>
      </c>
      <c r="U568">
        <f>IF(OR($D568="",$B568="",Housemates!$B$10=""),0,IF($R568&gt;0,IF(H568="",0,IF(ISNUMBER(H568),H568,1)),IF($C568="Paying back",0,IF(AND(OR(Housemates!$C$10="",Housemates!$C$10&lt;=$B568),OR(Housemates!$D$10="",Housemates!$D$10&gt;=$B568)),IF($Q568=0,1,INDEX(Bills!$AC$6:$AC$25,$Q568)),0))))</f>
        <v/>
      </c>
      <c r="V568">
        <f>IF(OR($D568="",$B568="",Housemates!$B$11=""),0,IF($R568&gt;0,IF(I568="",0,IF(ISNUMBER(I568),I568,1)),IF($C568="Paying back",0,IF(AND(OR(Housemates!$C$11="",Housemates!$C$11&lt;=$B568),OR(Housemates!$D$11="",Housemates!$D$11&gt;=$B568)),IF($Q568=0,1,INDEX(Bills!$AD$6:$AD$25,$Q568)),0))))</f>
        <v/>
      </c>
      <c r="W568">
        <f>IF(OR($D568="",$B568="",Housemates!$B$12=""),0,IF($R568&gt;0,IF(J568="",0,IF(ISNUMBER(J568),J568,1)),IF($C568="Paying back",0,IF(AND(OR(Housemates!$C$12="",Housemates!$C$12&lt;=$B568),OR(Housemates!$D$12="",Housemates!$D$12&gt;=$B568)),IF($Q568=0,1,INDEX(Bills!$AE$6:$AE$25,$Q568)),0))))</f>
        <v/>
      </c>
      <c r="X568">
        <f>IF(OR($D568="",$B568="",Housemates!$B$13=""),0,IF($R568&gt;0,IF(K568="",0,IF(ISNUMBER(K568),K568,1)),IF($C568="Paying back",0,IF(AND(OR(Housemates!$C$13="",Housemates!$C$13&lt;=$B568),OR(Housemates!$D$13="",Housemates!$D$13&gt;=$B568)),IF($Q568=0,1,INDEX(Bills!$AF$6:$AF$25,$Q568)),0))))</f>
        <v/>
      </c>
      <c r="Y568">
        <f>IF(OR($D568="",$B568="",Housemates!$B$14=""),0,IF($R568&gt;0,IF(L568="",0,IF(ISNUMBER(L568),L568,1)),IF($C568="Paying back",0,IF(AND(OR(Housemates!$C$14="",Housemates!$C$14&lt;=$B568),OR(Housemates!$D$14="",Housemates!$D$14&gt;=$B568)),IF($Q568=0,1,INDEX(Bills!$AG$6:$AG$25,$Q568)),0))))</f>
        <v/>
      </c>
      <c r="Z568">
        <f>IF(OR($D568="",$B568="",Housemates!$B$15=""),0,IF($R568&gt;0,IF(M568="",0,IF(ISNUMBER(M568),M568,1)),IF($C568="Paying back",0,IF(AND(OR(Housemates!$C$15="",Housemates!$C$15&lt;=$B568),OR(Housemates!$D$15="",Housemates!$D$15&gt;=$B568)),IF($Q568=0,1,INDEX(Bills!$AH$6:$AH$25,$Q568)),0))))</f>
        <v/>
      </c>
      <c r="AA568">
        <f>SUM(S568:Z568)</f>
        <v/>
      </c>
      <c r="AB568">
        <f>IF(AA568=0,0,D568*S568/AA568)</f>
        <v/>
      </c>
      <c r="AC568">
        <f>IF(AA568=0,0,D568*T568/AA568)</f>
        <v/>
      </c>
      <c r="AD568">
        <f>IF(AA568=0,0,D568*U568/AA568)</f>
        <v/>
      </c>
      <c r="AE568">
        <f>IF(AA568=0,0,D568*V568/AA568)</f>
        <v/>
      </c>
      <c r="AF568">
        <f>IF(AA568=0,0,D568*W568/AA568)</f>
        <v/>
      </c>
      <c r="AG568">
        <f>IF(AA568=0,0,D568*X568/AA568)</f>
        <v/>
      </c>
      <c r="AH568">
        <f>IF(AA568=0,0,D568*Y568/AA568)</f>
        <v/>
      </c>
      <c r="AI568">
        <f>IF(AA568=0,0,D568*Z568/AA568)</f>
        <v/>
      </c>
      <c r="AJ568">
        <f>IF(OR(C568="",B568=""),"",C568&amp;"|"&amp;(YEAR(B568)*100+MONTH(B568)))</f>
        <v/>
      </c>
    </row>
    <row r="569">
      <c r="A569" s="1" t="n"/>
      <c r="B569" s="23" t="n"/>
      <c r="C569" s="24" t="n"/>
      <c r="D569" s="25" t="n"/>
      <c r="E569" s="26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1">
        <f>IF(D569="","",IF(B569="","No date",IF(AND(C569="Paying back",R569=0),"To whom?",IF(AA569=0,"Nobody",IF(C569="Paying back","To "&amp;INDEX(Housemates!$B$8:$B$15,MATCH(MAX(S569:Z569),S569:Z569,0)),IF(R569&gt;0,IF(COUNTIF(S569:Z569,"&gt;0")=1,"1 person",COUNTIF(S569:Z569,"&gt;0")&amp;" people"),IF(Q569=0,"Everyone",INDEX(Bills!$Q$6:$Q$25,Q569))))))))</f>
        <v/>
      </c>
      <c r="O569" s="18">
        <f>IF(D569="","",IF(C569="Paying back","Paying back",IF(Q569=0,"Other",IF(INDEX(Bills!$C$6:$C$25,Q569)="","Other",INDEX(Bills!$C$6:$C$25,Q569)))))</f>
        <v/>
      </c>
      <c r="P569" s="1" t="n"/>
      <c r="Q569">
        <f>IF(C569="",0,IFERROR(MATCH(C569,Bills!$B$6:$B$25,0),0))</f>
        <v/>
      </c>
      <c r="R569">
        <f>COUNTA(F569:M569)</f>
        <v/>
      </c>
      <c r="S569">
        <f>IF(OR($D569="",$B569="",Housemates!$B$8=""),0,IF($R569&gt;0,IF(F569="",0,IF(ISNUMBER(F569),F569,1)),IF($C569="Paying back",0,IF(AND(OR(Housemates!$C$8="",Housemates!$C$8&lt;=$B569),OR(Housemates!$D$8="",Housemates!$D$8&gt;=$B569)),IF($Q569=0,1,INDEX(Bills!$AA$6:$AA$25,$Q569)),0))))</f>
        <v/>
      </c>
      <c r="T569">
        <f>IF(OR($D569="",$B569="",Housemates!$B$9=""),0,IF($R569&gt;0,IF(G569="",0,IF(ISNUMBER(G569),G569,1)),IF($C569="Paying back",0,IF(AND(OR(Housemates!$C$9="",Housemates!$C$9&lt;=$B569),OR(Housemates!$D$9="",Housemates!$D$9&gt;=$B569)),IF($Q569=0,1,INDEX(Bills!$AB$6:$AB$25,$Q569)),0))))</f>
        <v/>
      </c>
      <c r="U569">
        <f>IF(OR($D569="",$B569="",Housemates!$B$10=""),0,IF($R569&gt;0,IF(H569="",0,IF(ISNUMBER(H569),H569,1)),IF($C569="Paying back",0,IF(AND(OR(Housemates!$C$10="",Housemates!$C$10&lt;=$B569),OR(Housemates!$D$10="",Housemates!$D$10&gt;=$B569)),IF($Q569=0,1,INDEX(Bills!$AC$6:$AC$25,$Q569)),0))))</f>
        <v/>
      </c>
      <c r="V569">
        <f>IF(OR($D569="",$B569="",Housemates!$B$11=""),0,IF($R569&gt;0,IF(I569="",0,IF(ISNUMBER(I569),I569,1)),IF($C569="Paying back",0,IF(AND(OR(Housemates!$C$11="",Housemates!$C$11&lt;=$B569),OR(Housemates!$D$11="",Housemates!$D$11&gt;=$B569)),IF($Q569=0,1,INDEX(Bills!$AD$6:$AD$25,$Q569)),0))))</f>
        <v/>
      </c>
      <c r="W569">
        <f>IF(OR($D569="",$B569="",Housemates!$B$12=""),0,IF($R569&gt;0,IF(J569="",0,IF(ISNUMBER(J569),J569,1)),IF($C569="Paying back",0,IF(AND(OR(Housemates!$C$12="",Housemates!$C$12&lt;=$B569),OR(Housemates!$D$12="",Housemates!$D$12&gt;=$B569)),IF($Q569=0,1,INDEX(Bills!$AE$6:$AE$25,$Q569)),0))))</f>
        <v/>
      </c>
      <c r="X569">
        <f>IF(OR($D569="",$B569="",Housemates!$B$13=""),0,IF($R569&gt;0,IF(K569="",0,IF(ISNUMBER(K569),K569,1)),IF($C569="Paying back",0,IF(AND(OR(Housemates!$C$13="",Housemates!$C$13&lt;=$B569),OR(Housemates!$D$13="",Housemates!$D$13&gt;=$B569)),IF($Q569=0,1,INDEX(Bills!$AF$6:$AF$25,$Q569)),0))))</f>
        <v/>
      </c>
      <c r="Y569">
        <f>IF(OR($D569="",$B569="",Housemates!$B$14=""),0,IF($R569&gt;0,IF(L569="",0,IF(ISNUMBER(L569),L569,1)),IF($C569="Paying back",0,IF(AND(OR(Housemates!$C$14="",Housemates!$C$14&lt;=$B569),OR(Housemates!$D$14="",Housemates!$D$14&gt;=$B569)),IF($Q569=0,1,INDEX(Bills!$AG$6:$AG$25,$Q569)),0))))</f>
        <v/>
      </c>
      <c r="Z569">
        <f>IF(OR($D569="",$B569="",Housemates!$B$15=""),0,IF($R569&gt;0,IF(M569="",0,IF(ISNUMBER(M569),M569,1)),IF($C569="Paying back",0,IF(AND(OR(Housemates!$C$15="",Housemates!$C$15&lt;=$B569),OR(Housemates!$D$15="",Housemates!$D$15&gt;=$B569)),IF($Q569=0,1,INDEX(Bills!$AH$6:$AH$25,$Q569)),0))))</f>
        <v/>
      </c>
      <c r="AA569">
        <f>SUM(S569:Z569)</f>
        <v/>
      </c>
      <c r="AB569">
        <f>IF(AA569=0,0,D569*S569/AA569)</f>
        <v/>
      </c>
      <c r="AC569">
        <f>IF(AA569=0,0,D569*T569/AA569)</f>
        <v/>
      </c>
      <c r="AD569">
        <f>IF(AA569=0,0,D569*U569/AA569)</f>
        <v/>
      </c>
      <c r="AE569">
        <f>IF(AA569=0,0,D569*V569/AA569)</f>
        <v/>
      </c>
      <c r="AF569">
        <f>IF(AA569=0,0,D569*W569/AA569)</f>
        <v/>
      </c>
      <c r="AG569">
        <f>IF(AA569=0,0,D569*X569/AA569)</f>
        <v/>
      </c>
      <c r="AH569">
        <f>IF(AA569=0,0,D569*Y569/AA569)</f>
        <v/>
      </c>
      <c r="AI569">
        <f>IF(AA569=0,0,D569*Z569/AA569)</f>
        <v/>
      </c>
      <c r="AJ569">
        <f>IF(OR(C569="",B569=""),"",C569&amp;"|"&amp;(YEAR(B569)*100+MONTH(B569)))</f>
        <v/>
      </c>
    </row>
    <row r="570">
      <c r="A570" s="1" t="n"/>
      <c r="B570" s="23" t="n"/>
      <c r="C570" s="24" t="n"/>
      <c r="D570" s="25" t="n"/>
      <c r="E570" s="26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1">
        <f>IF(D570="","",IF(B570="","No date",IF(AND(C570="Paying back",R570=0),"To whom?",IF(AA570=0,"Nobody",IF(C570="Paying back","To "&amp;INDEX(Housemates!$B$8:$B$15,MATCH(MAX(S570:Z570),S570:Z570,0)),IF(R570&gt;0,IF(COUNTIF(S570:Z570,"&gt;0")=1,"1 person",COUNTIF(S570:Z570,"&gt;0")&amp;" people"),IF(Q570=0,"Everyone",INDEX(Bills!$Q$6:$Q$25,Q570))))))))</f>
        <v/>
      </c>
      <c r="O570" s="18">
        <f>IF(D570="","",IF(C570="Paying back","Paying back",IF(Q570=0,"Other",IF(INDEX(Bills!$C$6:$C$25,Q570)="","Other",INDEX(Bills!$C$6:$C$25,Q570)))))</f>
        <v/>
      </c>
      <c r="P570" s="1" t="n"/>
      <c r="Q570">
        <f>IF(C570="",0,IFERROR(MATCH(C570,Bills!$B$6:$B$25,0),0))</f>
        <v/>
      </c>
      <c r="R570">
        <f>COUNTA(F570:M570)</f>
        <v/>
      </c>
      <c r="S570">
        <f>IF(OR($D570="",$B570="",Housemates!$B$8=""),0,IF($R570&gt;0,IF(F570="",0,IF(ISNUMBER(F570),F570,1)),IF($C570="Paying back",0,IF(AND(OR(Housemates!$C$8="",Housemates!$C$8&lt;=$B570),OR(Housemates!$D$8="",Housemates!$D$8&gt;=$B570)),IF($Q570=0,1,INDEX(Bills!$AA$6:$AA$25,$Q570)),0))))</f>
        <v/>
      </c>
      <c r="T570">
        <f>IF(OR($D570="",$B570="",Housemates!$B$9=""),0,IF($R570&gt;0,IF(G570="",0,IF(ISNUMBER(G570),G570,1)),IF($C570="Paying back",0,IF(AND(OR(Housemates!$C$9="",Housemates!$C$9&lt;=$B570),OR(Housemates!$D$9="",Housemates!$D$9&gt;=$B570)),IF($Q570=0,1,INDEX(Bills!$AB$6:$AB$25,$Q570)),0))))</f>
        <v/>
      </c>
      <c r="U570">
        <f>IF(OR($D570="",$B570="",Housemates!$B$10=""),0,IF($R570&gt;0,IF(H570="",0,IF(ISNUMBER(H570),H570,1)),IF($C570="Paying back",0,IF(AND(OR(Housemates!$C$10="",Housemates!$C$10&lt;=$B570),OR(Housemates!$D$10="",Housemates!$D$10&gt;=$B570)),IF($Q570=0,1,INDEX(Bills!$AC$6:$AC$25,$Q570)),0))))</f>
        <v/>
      </c>
      <c r="V570">
        <f>IF(OR($D570="",$B570="",Housemates!$B$11=""),0,IF($R570&gt;0,IF(I570="",0,IF(ISNUMBER(I570),I570,1)),IF($C570="Paying back",0,IF(AND(OR(Housemates!$C$11="",Housemates!$C$11&lt;=$B570),OR(Housemates!$D$11="",Housemates!$D$11&gt;=$B570)),IF($Q570=0,1,INDEX(Bills!$AD$6:$AD$25,$Q570)),0))))</f>
        <v/>
      </c>
      <c r="W570">
        <f>IF(OR($D570="",$B570="",Housemates!$B$12=""),0,IF($R570&gt;0,IF(J570="",0,IF(ISNUMBER(J570),J570,1)),IF($C570="Paying back",0,IF(AND(OR(Housemates!$C$12="",Housemates!$C$12&lt;=$B570),OR(Housemates!$D$12="",Housemates!$D$12&gt;=$B570)),IF($Q570=0,1,INDEX(Bills!$AE$6:$AE$25,$Q570)),0))))</f>
        <v/>
      </c>
      <c r="X570">
        <f>IF(OR($D570="",$B570="",Housemates!$B$13=""),0,IF($R570&gt;0,IF(K570="",0,IF(ISNUMBER(K570),K570,1)),IF($C570="Paying back",0,IF(AND(OR(Housemates!$C$13="",Housemates!$C$13&lt;=$B570),OR(Housemates!$D$13="",Housemates!$D$13&gt;=$B570)),IF($Q570=0,1,INDEX(Bills!$AF$6:$AF$25,$Q570)),0))))</f>
        <v/>
      </c>
      <c r="Y570">
        <f>IF(OR($D570="",$B570="",Housemates!$B$14=""),0,IF($R570&gt;0,IF(L570="",0,IF(ISNUMBER(L570),L570,1)),IF($C570="Paying back",0,IF(AND(OR(Housemates!$C$14="",Housemates!$C$14&lt;=$B570),OR(Housemates!$D$14="",Housemates!$D$14&gt;=$B570)),IF($Q570=0,1,INDEX(Bills!$AG$6:$AG$25,$Q570)),0))))</f>
        <v/>
      </c>
      <c r="Z570">
        <f>IF(OR($D570="",$B570="",Housemates!$B$15=""),0,IF($R570&gt;0,IF(M570="",0,IF(ISNUMBER(M570),M570,1)),IF($C570="Paying back",0,IF(AND(OR(Housemates!$C$15="",Housemates!$C$15&lt;=$B570),OR(Housemates!$D$15="",Housemates!$D$15&gt;=$B570)),IF($Q570=0,1,INDEX(Bills!$AH$6:$AH$25,$Q570)),0))))</f>
        <v/>
      </c>
      <c r="AA570">
        <f>SUM(S570:Z570)</f>
        <v/>
      </c>
      <c r="AB570">
        <f>IF(AA570=0,0,D570*S570/AA570)</f>
        <v/>
      </c>
      <c r="AC570">
        <f>IF(AA570=0,0,D570*T570/AA570)</f>
        <v/>
      </c>
      <c r="AD570">
        <f>IF(AA570=0,0,D570*U570/AA570)</f>
        <v/>
      </c>
      <c r="AE570">
        <f>IF(AA570=0,0,D570*V570/AA570)</f>
        <v/>
      </c>
      <c r="AF570">
        <f>IF(AA570=0,0,D570*W570/AA570)</f>
        <v/>
      </c>
      <c r="AG570">
        <f>IF(AA570=0,0,D570*X570/AA570)</f>
        <v/>
      </c>
      <c r="AH570">
        <f>IF(AA570=0,0,D570*Y570/AA570)</f>
        <v/>
      </c>
      <c r="AI570">
        <f>IF(AA570=0,0,D570*Z570/AA570)</f>
        <v/>
      </c>
      <c r="AJ570">
        <f>IF(OR(C570="",B570=""),"",C570&amp;"|"&amp;(YEAR(B570)*100+MONTH(B570)))</f>
        <v/>
      </c>
    </row>
    <row r="571">
      <c r="A571" s="1" t="n"/>
      <c r="B571" s="23" t="n"/>
      <c r="C571" s="24" t="n"/>
      <c r="D571" s="25" t="n"/>
      <c r="E571" s="26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1">
        <f>IF(D571="","",IF(B571="","No date",IF(AND(C571="Paying back",R571=0),"To whom?",IF(AA571=0,"Nobody",IF(C571="Paying back","To "&amp;INDEX(Housemates!$B$8:$B$15,MATCH(MAX(S571:Z571),S571:Z571,0)),IF(R571&gt;0,IF(COUNTIF(S571:Z571,"&gt;0")=1,"1 person",COUNTIF(S571:Z571,"&gt;0")&amp;" people"),IF(Q571=0,"Everyone",INDEX(Bills!$Q$6:$Q$25,Q571))))))))</f>
        <v/>
      </c>
      <c r="O571" s="18">
        <f>IF(D571="","",IF(C571="Paying back","Paying back",IF(Q571=0,"Other",IF(INDEX(Bills!$C$6:$C$25,Q571)="","Other",INDEX(Bills!$C$6:$C$25,Q571)))))</f>
        <v/>
      </c>
      <c r="P571" s="1" t="n"/>
      <c r="Q571">
        <f>IF(C571="",0,IFERROR(MATCH(C571,Bills!$B$6:$B$25,0),0))</f>
        <v/>
      </c>
      <c r="R571">
        <f>COUNTA(F571:M571)</f>
        <v/>
      </c>
      <c r="S571">
        <f>IF(OR($D571="",$B571="",Housemates!$B$8=""),0,IF($R571&gt;0,IF(F571="",0,IF(ISNUMBER(F571),F571,1)),IF($C571="Paying back",0,IF(AND(OR(Housemates!$C$8="",Housemates!$C$8&lt;=$B571),OR(Housemates!$D$8="",Housemates!$D$8&gt;=$B571)),IF($Q571=0,1,INDEX(Bills!$AA$6:$AA$25,$Q571)),0))))</f>
        <v/>
      </c>
      <c r="T571">
        <f>IF(OR($D571="",$B571="",Housemates!$B$9=""),0,IF($R571&gt;0,IF(G571="",0,IF(ISNUMBER(G571),G571,1)),IF($C571="Paying back",0,IF(AND(OR(Housemates!$C$9="",Housemates!$C$9&lt;=$B571),OR(Housemates!$D$9="",Housemates!$D$9&gt;=$B571)),IF($Q571=0,1,INDEX(Bills!$AB$6:$AB$25,$Q571)),0))))</f>
        <v/>
      </c>
      <c r="U571">
        <f>IF(OR($D571="",$B571="",Housemates!$B$10=""),0,IF($R571&gt;0,IF(H571="",0,IF(ISNUMBER(H571),H571,1)),IF($C571="Paying back",0,IF(AND(OR(Housemates!$C$10="",Housemates!$C$10&lt;=$B571),OR(Housemates!$D$10="",Housemates!$D$10&gt;=$B571)),IF($Q571=0,1,INDEX(Bills!$AC$6:$AC$25,$Q571)),0))))</f>
        <v/>
      </c>
      <c r="V571">
        <f>IF(OR($D571="",$B571="",Housemates!$B$11=""),0,IF($R571&gt;0,IF(I571="",0,IF(ISNUMBER(I571),I571,1)),IF($C571="Paying back",0,IF(AND(OR(Housemates!$C$11="",Housemates!$C$11&lt;=$B571),OR(Housemates!$D$11="",Housemates!$D$11&gt;=$B571)),IF($Q571=0,1,INDEX(Bills!$AD$6:$AD$25,$Q571)),0))))</f>
        <v/>
      </c>
      <c r="W571">
        <f>IF(OR($D571="",$B571="",Housemates!$B$12=""),0,IF($R571&gt;0,IF(J571="",0,IF(ISNUMBER(J571),J571,1)),IF($C571="Paying back",0,IF(AND(OR(Housemates!$C$12="",Housemates!$C$12&lt;=$B571),OR(Housemates!$D$12="",Housemates!$D$12&gt;=$B571)),IF($Q571=0,1,INDEX(Bills!$AE$6:$AE$25,$Q571)),0))))</f>
        <v/>
      </c>
      <c r="X571">
        <f>IF(OR($D571="",$B571="",Housemates!$B$13=""),0,IF($R571&gt;0,IF(K571="",0,IF(ISNUMBER(K571),K571,1)),IF($C571="Paying back",0,IF(AND(OR(Housemates!$C$13="",Housemates!$C$13&lt;=$B571),OR(Housemates!$D$13="",Housemates!$D$13&gt;=$B571)),IF($Q571=0,1,INDEX(Bills!$AF$6:$AF$25,$Q571)),0))))</f>
        <v/>
      </c>
      <c r="Y571">
        <f>IF(OR($D571="",$B571="",Housemates!$B$14=""),0,IF($R571&gt;0,IF(L571="",0,IF(ISNUMBER(L571),L571,1)),IF($C571="Paying back",0,IF(AND(OR(Housemates!$C$14="",Housemates!$C$14&lt;=$B571),OR(Housemates!$D$14="",Housemates!$D$14&gt;=$B571)),IF($Q571=0,1,INDEX(Bills!$AG$6:$AG$25,$Q571)),0))))</f>
        <v/>
      </c>
      <c r="Z571">
        <f>IF(OR($D571="",$B571="",Housemates!$B$15=""),0,IF($R571&gt;0,IF(M571="",0,IF(ISNUMBER(M571),M571,1)),IF($C571="Paying back",0,IF(AND(OR(Housemates!$C$15="",Housemates!$C$15&lt;=$B571),OR(Housemates!$D$15="",Housemates!$D$15&gt;=$B571)),IF($Q571=0,1,INDEX(Bills!$AH$6:$AH$25,$Q571)),0))))</f>
        <v/>
      </c>
      <c r="AA571">
        <f>SUM(S571:Z571)</f>
        <v/>
      </c>
      <c r="AB571">
        <f>IF(AA571=0,0,D571*S571/AA571)</f>
        <v/>
      </c>
      <c r="AC571">
        <f>IF(AA571=0,0,D571*T571/AA571)</f>
        <v/>
      </c>
      <c r="AD571">
        <f>IF(AA571=0,0,D571*U571/AA571)</f>
        <v/>
      </c>
      <c r="AE571">
        <f>IF(AA571=0,0,D571*V571/AA571)</f>
        <v/>
      </c>
      <c r="AF571">
        <f>IF(AA571=0,0,D571*W571/AA571)</f>
        <v/>
      </c>
      <c r="AG571">
        <f>IF(AA571=0,0,D571*X571/AA571)</f>
        <v/>
      </c>
      <c r="AH571">
        <f>IF(AA571=0,0,D571*Y571/AA571)</f>
        <v/>
      </c>
      <c r="AI571">
        <f>IF(AA571=0,0,D571*Z571/AA571)</f>
        <v/>
      </c>
      <c r="AJ571">
        <f>IF(OR(C571="",B571=""),"",C571&amp;"|"&amp;(YEAR(B571)*100+MONTH(B571)))</f>
        <v/>
      </c>
    </row>
    <row r="572">
      <c r="A572" s="1" t="n"/>
      <c r="B572" s="23" t="n"/>
      <c r="C572" s="24" t="n"/>
      <c r="D572" s="25" t="n"/>
      <c r="E572" s="26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1">
        <f>IF(D572="","",IF(B572="","No date",IF(AND(C572="Paying back",R572=0),"To whom?",IF(AA572=0,"Nobody",IF(C572="Paying back","To "&amp;INDEX(Housemates!$B$8:$B$15,MATCH(MAX(S572:Z572),S572:Z572,0)),IF(R572&gt;0,IF(COUNTIF(S572:Z572,"&gt;0")=1,"1 person",COUNTIF(S572:Z572,"&gt;0")&amp;" people"),IF(Q572=0,"Everyone",INDEX(Bills!$Q$6:$Q$25,Q572))))))))</f>
        <v/>
      </c>
      <c r="O572" s="18">
        <f>IF(D572="","",IF(C572="Paying back","Paying back",IF(Q572=0,"Other",IF(INDEX(Bills!$C$6:$C$25,Q572)="","Other",INDEX(Bills!$C$6:$C$25,Q572)))))</f>
        <v/>
      </c>
      <c r="P572" s="1" t="n"/>
      <c r="Q572">
        <f>IF(C572="",0,IFERROR(MATCH(C572,Bills!$B$6:$B$25,0),0))</f>
        <v/>
      </c>
      <c r="R572">
        <f>COUNTA(F572:M572)</f>
        <v/>
      </c>
      <c r="S572">
        <f>IF(OR($D572="",$B572="",Housemates!$B$8=""),0,IF($R572&gt;0,IF(F572="",0,IF(ISNUMBER(F572),F572,1)),IF($C572="Paying back",0,IF(AND(OR(Housemates!$C$8="",Housemates!$C$8&lt;=$B572),OR(Housemates!$D$8="",Housemates!$D$8&gt;=$B572)),IF($Q572=0,1,INDEX(Bills!$AA$6:$AA$25,$Q572)),0))))</f>
        <v/>
      </c>
      <c r="T572">
        <f>IF(OR($D572="",$B572="",Housemates!$B$9=""),0,IF($R572&gt;0,IF(G572="",0,IF(ISNUMBER(G572),G572,1)),IF($C572="Paying back",0,IF(AND(OR(Housemates!$C$9="",Housemates!$C$9&lt;=$B572),OR(Housemates!$D$9="",Housemates!$D$9&gt;=$B572)),IF($Q572=0,1,INDEX(Bills!$AB$6:$AB$25,$Q572)),0))))</f>
        <v/>
      </c>
      <c r="U572">
        <f>IF(OR($D572="",$B572="",Housemates!$B$10=""),0,IF($R572&gt;0,IF(H572="",0,IF(ISNUMBER(H572),H572,1)),IF($C572="Paying back",0,IF(AND(OR(Housemates!$C$10="",Housemates!$C$10&lt;=$B572),OR(Housemates!$D$10="",Housemates!$D$10&gt;=$B572)),IF($Q572=0,1,INDEX(Bills!$AC$6:$AC$25,$Q572)),0))))</f>
        <v/>
      </c>
      <c r="V572">
        <f>IF(OR($D572="",$B572="",Housemates!$B$11=""),0,IF($R572&gt;0,IF(I572="",0,IF(ISNUMBER(I572),I572,1)),IF($C572="Paying back",0,IF(AND(OR(Housemates!$C$11="",Housemates!$C$11&lt;=$B572),OR(Housemates!$D$11="",Housemates!$D$11&gt;=$B572)),IF($Q572=0,1,INDEX(Bills!$AD$6:$AD$25,$Q572)),0))))</f>
        <v/>
      </c>
      <c r="W572">
        <f>IF(OR($D572="",$B572="",Housemates!$B$12=""),0,IF($R572&gt;0,IF(J572="",0,IF(ISNUMBER(J572),J572,1)),IF($C572="Paying back",0,IF(AND(OR(Housemates!$C$12="",Housemates!$C$12&lt;=$B572),OR(Housemates!$D$12="",Housemates!$D$12&gt;=$B572)),IF($Q572=0,1,INDEX(Bills!$AE$6:$AE$25,$Q572)),0))))</f>
        <v/>
      </c>
      <c r="X572">
        <f>IF(OR($D572="",$B572="",Housemates!$B$13=""),0,IF($R572&gt;0,IF(K572="",0,IF(ISNUMBER(K572),K572,1)),IF($C572="Paying back",0,IF(AND(OR(Housemates!$C$13="",Housemates!$C$13&lt;=$B572),OR(Housemates!$D$13="",Housemates!$D$13&gt;=$B572)),IF($Q572=0,1,INDEX(Bills!$AF$6:$AF$25,$Q572)),0))))</f>
        <v/>
      </c>
      <c r="Y572">
        <f>IF(OR($D572="",$B572="",Housemates!$B$14=""),0,IF($R572&gt;0,IF(L572="",0,IF(ISNUMBER(L572),L572,1)),IF($C572="Paying back",0,IF(AND(OR(Housemates!$C$14="",Housemates!$C$14&lt;=$B572),OR(Housemates!$D$14="",Housemates!$D$14&gt;=$B572)),IF($Q572=0,1,INDEX(Bills!$AG$6:$AG$25,$Q572)),0))))</f>
        <v/>
      </c>
      <c r="Z572">
        <f>IF(OR($D572="",$B572="",Housemates!$B$15=""),0,IF($R572&gt;0,IF(M572="",0,IF(ISNUMBER(M572),M572,1)),IF($C572="Paying back",0,IF(AND(OR(Housemates!$C$15="",Housemates!$C$15&lt;=$B572),OR(Housemates!$D$15="",Housemates!$D$15&gt;=$B572)),IF($Q572=0,1,INDEX(Bills!$AH$6:$AH$25,$Q572)),0))))</f>
        <v/>
      </c>
      <c r="AA572">
        <f>SUM(S572:Z572)</f>
        <v/>
      </c>
      <c r="AB572">
        <f>IF(AA572=0,0,D572*S572/AA572)</f>
        <v/>
      </c>
      <c r="AC572">
        <f>IF(AA572=0,0,D572*T572/AA572)</f>
        <v/>
      </c>
      <c r="AD572">
        <f>IF(AA572=0,0,D572*U572/AA572)</f>
        <v/>
      </c>
      <c r="AE572">
        <f>IF(AA572=0,0,D572*V572/AA572)</f>
        <v/>
      </c>
      <c r="AF572">
        <f>IF(AA572=0,0,D572*W572/AA572)</f>
        <v/>
      </c>
      <c r="AG572">
        <f>IF(AA572=0,0,D572*X572/AA572)</f>
        <v/>
      </c>
      <c r="AH572">
        <f>IF(AA572=0,0,D572*Y572/AA572)</f>
        <v/>
      </c>
      <c r="AI572">
        <f>IF(AA572=0,0,D572*Z572/AA572)</f>
        <v/>
      </c>
      <c r="AJ572">
        <f>IF(OR(C572="",B572=""),"",C572&amp;"|"&amp;(YEAR(B572)*100+MONTH(B572)))</f>
        <v/>
      </c>
    </row>
    <row r="573">
      <c r="A573" s="1" t="n"/>
      <c r="B573" s="23" t="n"/>
      <c r="C573" s="24" t="n"/>
      <c r="D573" s="25" t="n"/>
      <c r="E573" s="26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1">
        <f>IF(D573="","",IF(B573="","No date",IF(AND(C573="Paying back",R573=0),"To whom?",IF(AA573=0,"Nobody",IF(C573="Paying back","To "&amp;INDEX(Housemates!$B$8:$B$15,MATCH(MAX(S573:Z573),S573:Z573,0)),IF(R573&gt;0,IF(COUNTIF(S573:Z573,"&gt;0")=1,"1 person",COUNTIF(S573:Z573,"&gt;0")&amp;" people"),IF(Q573=0,"Everyone",INDEX(Bills!$Q$6:$Q$25,Q573))))))))</f>
        <v/>
      </c>
      <c r="O573" s="18">
        <f>IF(D573="","",IF(C573="Paying back","Paying back",IF(Q573=0,"Other",IF(INDEX(Bills!$C$6:$C$25,Q573)="","Other",INDEX(Bills!$C$6:$C$25,Q573)))))</f>
        <v/>
      </c>
      <c r="P573" s="1" t="n"/>
      <c r="Q573">
        <f>IF(C573="",0,IFERROR(MATCH(C573,Bills!$B$6:$B$25,0),0))</f>
        <v/>
      </c>
      <c r="R573">
        <f>COUNTA(F573:M573)</f>
        <v/>
      </c>
      <c r="S573">
        <f>IF(OR($D573="",$B573="",Housemates!$B$8=""),0,IF($R573&gt;0,IF(F573="",0,IF(ISNUMBER(F573),F573,1)),IF($C573="Paying back",0,IF(AND(OR(Housemates!$C$8="",Housemates!$C$8&lt;=$B573),OR(Housemates!$D$8="",Housemates!$D$8&gt;=$B573)),IF($Q573=0,1,INDEX(Bills!$AA$6:$AA$25,$Q573)),0))))</f>
        <v/>
      </c>
      <c r="T573">
        <f>IF(OR($D573="",$B573="",Housemates!$B$9=""),0,IF($R573&gt;0,IF(G573="",0,IF(ISNUMBER(G573),G573,1)),IF($C573="Paying back",0,IF(AND(OR(Housemates!$C$9="",Housemates!$C$9&lt;=$B573),OR(Housemates!$D$9="",Housemates!$D$9&gt;=$B573)),IF($Q573=0,1,INDEX(Bills!$AB$6:$AB$25,$Q573)),0))))</f>
        <v/>
      </c>
      <c r="U573">
        <f>IF(OR($D573="",$B573="",Housemates!$B$10=""),0,IF($R573&gt;0,IF(H573="",0,IF(ISNUMBER(H573),H573,1)),IF($C573="Paying back",0,IF(AND(OR(Housemates!$C$10="",Housemates!$C$10&lt;=$B573),OR(Housemates!$D$10="",Housemates!$D$10&gt;=$B573)),IF($Q573=0,1,INDEX(Bills!$AC$6:$AC$25,$Q573)),0))))</f>
        <v/>
      </c>
      <c r="V573">
        <f>IF(OR($D573="",$B573="",Housemates!$B$11=""),0,IF($R573&gt;0,IF(I573="",0,IF(ISNUMBER(I573),I573,1)),IF($C573="Paying back",0,IF(AND(OR(Housemates!$C$11="",Housemates!$C$11&lt;=$B573),OR(Housemates!$D$11="",Housemates!$D$11&gt;=$B573)),IF($Q573=0,1,INDEX(Bills!$AD$6:$AD$25,$Q573)),0))))</f>
        <v/>
      </c>
      <c r="W573">
        <f>IF(OR($D573="",$B573="",Housemates!$B$12=""),0,IF($R573&gt;0,IF(J573="",0,IF(ISNUMBER(J573),J573,1)),IF($C573="Paying back",0,IF(AND(OR(Housemates!$C$12="",Housemates!$C$12&lt;=$B573),OR(Housemates!$D$12="",Housemates!$D$12&gt;=$B573)),IF($Q573=0,1,INDEX(Bills!$AE$6:$AE$25,$Q573)),0))))</f>
        <v/>
      </c>
      <c r="X573">
        <f>IF(OR($D573="",$B573="",Housemates!$B$13=""),0,IF($R573&gt;0,IF(K573="",0,IF(ISNUMBER(K573),K573,1)),IF($C573="Paying back",0,IF(AND(OR(Housemates!$C$13="",Housemates!$C$13&lt;=$B573),OR(Housemates!$D$13="",Housemates!$D$13&gt;=$B573)),IF($Q573=0,1,INDEX(Bills!$AF$6:$AF$25,$Q573)),0))))</f>
        <v/>
      </c>
      <c r="Y573">
        <f>IF(OR($D573="",$B573="",Housemates!$B$14=""),0,IF($R573&gt;0,IF(L573="",0,IF(ISNUMBER(L573),L573,1)),IF($C573="Paying back",0,IF(AND(OR(Housemates!$C$14="",Housemates!$C$14&lt;=$B573),OR(Housemates!$D$14="",Housemates!$D$14&gt;=$B573)),IF($Q573=0,1,INDEX(Bills!$AG$6:$AG$25,$Q573)),0))))</f>
        <v/>
      </c>
      <c r="Z573">
        <f>IF(OR($D573="",$B573="",Housemates!$B$15=""),0,IF($R573&gt;0,IF(M573="",0,IF(ISNUMBER(M573),M573,1)),IF($C573="Paying back",0,IF(AND(OR(Housemates!$C$15="",Housemates!$C$15&lt;=$B573),OR(Housemates!$D$15="",Housemates!$D$15&gt;=$B573)),IF($Q573=0,1,INDEX(Bills!$AH$6:$AH$25,$Q573)),0))))</f>
        <v/>
      </c>
      <c r="AA573">
        <f>SUM(S573:Z573)</f>
        <v/>
      </c>
      <c r="AB573">
        <f>IF(AA573=0,0,D573*S573/AA573)</f>
        <v/>
      </c>
      <c r="AC573">
        <f>IF(AA573=0,0,D573*T573/AA573)</f>
        <v/>
      </c>
      <c r="AD573">
        <f>IF(AA573=0,0,D573*U573/AA573)</f>
        <v/>
      </c>
      <c r="AE573">
        <f>IF(AA573=0,0,D573*V573/AA573)</f>
        <v/>
      </c>
      <c r="AF573">
        <f>IF(AA573=0,0,D573*W573/AA573)</f>
        <v/>
      </c>
      <c r="AG573">
        <f>IF(AA573=0,0,D573*X573/AA573)</f>
        <v/>
      </c>
      <c r="AH573">
        <f>IF(AA573=0,0,D573*Y573/AA573)</f>
        <v/>
      </c>
      <c r="AI573">
        <f>IF(AA573=0,0,D573*Z573/AA573)</f>
        <v/>
      </c>
      <c r="AJ573">
        <f>IF(OR(C573="",B573=""),"",C573&amp;"|"&amp;(YEAR(B573)*100+MONTH(B573)))</f>
        <v/>
      </c>
    </row>
    <row r="574">
      <c r="A574" s="1" t="n"/>
      <c r="B574" s="23" t="n"/>
      <c r="C574" s="24" t="n"/>
      <c r="D574" s="25" t="n"/>
      <c r="E574" s="26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1">
        <f>IF(D574="","",IF(B574="","No date",IF(AND(C574="Paying back",R574=0),"To whom?",IF(AA574=0,"Nobody",IF(C574="Paying back","To "&amp;INDEX(Housemates!$B$8:$B$15,MATCH(MAX(S574:Z574),S574:Z574,0)),IF(R574&gt;0,IF(COUNTIF(S574:Z574,"&gt;0")=1,"1 person",COUNTIF(S574:Z574,"&gt;0")&amp;" people"),IF(Q574=0,"Everyone",INDEX(Bills!$Q$6:$Q$25,Q574))))))))</f>
        <v/>
      </c>
      <c r="O574" s="18">
        <f>IF(D574="","",IF(C574="Paying back","Paying back",IF(Q574=0,"Other",IF(INDEX(Bills!$C$6:$C$25,Q574)="","Other",INDEX(Bills!$C$6:$C$25,Q574)))))</f>
        <v/>
      </c>
      <c r="P574" s="1" t="n"/>
      <c r="Q574">
        <f>IF(C574="",0,IFERROR(MATCH(C574,Bills!$B$6:$B$25,0),0))</f>
        <v/>
      </c>
      <c r="R574">
        <f>COUNTA(F574:M574)</f>
        <v/>
      </c>
      <c r="S574">
        <f>IF(OR($D574="",$B574="",Housemates!$B$8=""),0,IF($R574&gt;0,IF(F574="",0,IF(ISNUMBER(F574),F574,1)),IF($C574="Paying back",0,IF(AND(OR(Housemates!$C$8="",Housemates!$C$8&lt;=$B574),OR(Housemates!$D$8="",Housemates!$D$8&gt;=$B574)),IF($Q574=0,1,INDEX(Bills!$AA$6:$AA$25,$Q574)),0))))</f>
        <v/>
      </c>
      <c r="T574">
        <f>IF(OR($D574="",$B574="",Housemates!$B$9=""),0,IF($R574&gt;0,IF(G574="",0,IF(ISNUMBER(G574),G574,1)),IF($C574="Paying back",0,IF(AND(OR(Housemates!$C$9="",Housemates!$C$9&lt;=$B574),OR(Housemates!$D$9="",Housemates!$D$9&gt;=$B574)),IF($Q574=0,1,INDEX(Bills!$AB$6:$AB$25,$Q574)),0))))</f>
        <v/>
      </c>
      <c r="U574">
        <f>IF(OR($D574="",$B574="",Housemates!$B$10=""),0,IF($R574&gt;0,IF(H574="",0,IF(ISNUMBER(H574),H574,1)),IF($C574="Paying back",0,IF(AND(OR(Housemates!$C$10="",Housemates!$C$10&lt;=$B574),OR(Housemates!$D$10="",Housemates!$D$10&gt;=$B574)),IF($Q574=0,1,INDEX(Bills!$AC$6:$AC$25,$Q574)),0))))</f>
        <v/>
      </c>
      <c r="V574">
        <f>IF(OR($D574="",$B574="",Housemates!$B$11=""),0,IF($R574&gt;0,IF(I574="",0,IF(ISNUMBER(I574),I574,1)),IF($C574="Paying back",0,IF(AND(OR(Housemates!$C$11="",Housemates!$C$11&lt;=$B574),OR(Housemates!$D$11="",Housemates!$D$11&gt;=$B574)),IF($Q574=0,1,INDEX(Bills!$AD$6:$AD$25,$Q574)),0))))</f>
        <v/>
      </c>
      <c r="W574">
        <f>IF(OR($D574="",$B574="",Housemates!$B$12=""),0,IF($R574&gt;0,IF(J574="",0,IF(ISNUMBER(J574),J574,1)),IF($C574="Paying back",0,IF(AND(OR(Housemates!$C$12="",Housemates!$C$12&lt;=$B574),OR(Housemates!$D$12="",Housemates!$D$12&gt;=$B574)),IF($Q574=0,1,INDEX(Bills!$AE$6:$AE$25,$Q574)),0))))</f>
        <v/>
      </c>
      <c r="X574">
        <f>IF(OR($D574="",$B574="",Housemates!$B$13=""),0,IF($R574&gt;0,IF(K574="",0,IF(ISNUMBER(K574),K574,1)),IF($C574="Paying back",0,IF(AND(OR(Housemates!$C$13="",Housemates!$C$13&lt;=$B574),OR(Housemates!$D$13="",Housemates!$D$13&gt;=$B574)),IF($Q574=0,1,INDEX(Bills!$AF$6:$AF$25,$Q574)),0))))</f>
        <v/>
      </c>
      <c r="Y574">
        <f>IF(OR($D574="",$B574="",Housemates!$B$14=""),0,IF($R574&gt;0,IF(L574="",0,IF(ISNUMBER(L574),L574,1)),IF($C574="Paying back",0,IF(AND(OR(Housemates!$C$14="",Housemates!$C$14&lt;=$B574),OR(Housemates!$D$14="",Housemates!$D$14&gt;=$B574)),IF($Q574=0,1,INDEX(Bills!$AG$6:$AG$25,$Q574)),0))))</f>
        <v/>
      </c>
      <c r="Z574">
        <f>IF(OR($D574="",$B574="",Housemates!$B$15=""),0,IF($R574&gt;0,IF(M574="",0,IF(ISNUMBER(M574),M574,1)),IF($C574="Paying back",0,IF(AND(OR(Housemates!$C$15="",Housemates!$C$15&lt;=$B574),OR(Housemates!$D$15="",Housemates!$D$15&gt;=$B574)),IF($Q574=0,1,INDEX(Bills!$AH$6:$AH$25,$Q574)),0))))</f>
        <v/>
      </c>
      <c r="AA574">
        <f>SUM(S574:Z574)</f>
        <v/>
      </c>
      <c r="AB574">
        <f>IF(AA574=0,0,D574*S574/AA574)</f>
        <v/>
      </c>
      <c r="AC574">
        <f>IF(AA574=0,0,D574*T574/AA574)</f>
        <v/>
      </c>
      <c r="AD574">
        <f>IF(AA574=0,0,D574*U574/AA574)</f>
        <v/>
      </c>
      <c r="AE574">
        <f>IF(AA574=0,0,D574*V574/AA574)</f>
        <v/>
      </c>
      <c r="AF574">
        <f>IF(AA574=0,0,D574*W574/AA574)</f>
        <v/>
      </c>
      <c r="AG574">
        <f>IF(AA574=0,0,D574*X574/AA574)</f>
        <v/>
      </c>
      <c r="AH574">
        <f>IF(AA574=0,0,D574*Y574/AA574)</f>
        <v/>
      </c>
      <c r="AI574">
        <f>IF(AA574=0,0,D574*Z574/AA574)</f>
        <v/>
      </c>
      <c r="AJ574">
        <f>IF(OR(C574="",B574=""),"",C574&amp;"|"&amp;(YEAR(B574)*100+MONTH(B574)))</f>
        <v/>
      </c>
    </row>
    <row r="575">
      <c r="A575" s="1" t="n"/>
      <c r="B575" s="23" t="n"/>
      <c r="C575" s="24" t="n"/>
      <c r="D575" s="25" t="n"/>
      <c r="E575" s="26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1">
        <f>IF(D575="","",IF(B575="","No date",IF(AND(C575="Paying back",R575=0),"To whom?",IF(AA575=0,"Nobody",IF(C575="Paying back","To "&amp;INDEX(Housemates!$B$8:$B$15,MATCH(MAX(S575:Z575),S575:Z575,0)),IF(R575&gt;0,IF(COUNTIF(S575:Z575,"&gt;0")=1,"1 person",COUNTIF(S575:Z575,"&gt;0")&amp;" people"),IF(Q575=0,"Everyone",INDEX(Bills!$Q$6:$Q$25,Q575))))))))</f>
        <v/>
      </c>
      <c r="O575" s="18">
        <f>IF(D575="","",IF(C575="Paying back","Paying back",IF(Q575=0,"Other",IF(INDEX(Bills!$C$6:$C$25,Q575)="","Other",INDEX(Bills!$C$6:$C$25,Q575)))))</f>
        <v/>
      </c>
      <c r="P575" s="1" t="n"/>
      <c r="Q575">
        <f>IF(C575="",0,IFERROR(MATCH(C575,Bills!$B$6:$B$25,0),0))</f>
        <v/>
      </c>
      <c r="R575">
        <f>COUNTA(F575:M575)</f>
        <v/>
      </c>
      <c r="S575">
        <f>IF(OR($D575="",$B575="",Housemates!$B$8=""),0,IF($R575&gt;0,IF(F575="",0,IF(ISNUMBER(F575),F575,1)),IF($C575="Paying back",0,IF(AND(OR(Housemates!$C$8="",Housemates!$C$8&lt;=$B575),OR(Housemates!$D$8="",Housemates!$D$8&gt;=$B575)),IF($Q575=0,1,INDEX(Bills!$AA$6:$AA$25,$Q575)),0))))</f>
        <v/>
      </c>
      <c r="T575">
        <f>IF(OR($D575="",$B575="",Housemates!$B$9=""),0,IF($R575&gt;0,IF(G575="",0,IF(ISNUMBER(G575),G575,1)),IF($C575="Paying back",0,IF(AND(OR(Housemates!$C$9="",Housemates!$C$9&lt;=$B575),OR(Housemates!$D$9="",Housemates!$D$9&gt;=$B575)),IF($Q575=0,1,INDEX(Bills!$AB$6:$AB$25,$Q575)),0))))</f>
        <v/>
      </c>
      <c r="U575">
        <f>IF(OR($D575="",$B575="",Housemates!$B$10=""),0,IF($R575&gt;0,IF(H575="",0,IF(ISNUMBER(H575),H575,1)),IF($C575="Paying back",0,IF(AND(OR(Housemates!$C$10="",Housemates!$C$10&lt;=$B575),OR(Housemates!$D$10="",Housemates!$D$10&gt;=$B575)),IF($Q575=0,1,INDEX(Bills!$AC$6:$AC$25,$Q575)),0))))</f>
        <v/>
      </c>
      <c r="V575">
        <f>IF(OR($D575="",$B575="",Housemates!$B$11=""),0,IF($R575&gt;0,IF(I575="",0,IF(ISNUMBER(I575),I575,1)),IF($C575="Paying back",0,IF(AND(OR(Housemates!$C$11="",Housemates!$C$11&lt;=$B575),OR(Housemates!$D$11="",Housemates!$D$11&gt;=$B575)),IF($Q575=0,1,INDEX(Bills!$AD$6:$AD$25,$Q575)),0))))</f>
        <v/>
      </c>
      <c r="W575">
        <f>IF(OR($D575="",$B575="",Housemates!$B$12=""),0,IF($R575&gt;0,IF(J575="",0,IF(ISNUMBER(J575),J575,1)),IF($C575="Paying back",0,IF(AND(OR(Housemates!$C$12="",Housemates!$C$12&lt;=$B575),OR(Housemates!$D$12="",Housemates!$D$12&gt;=$B575)),IF($Q575=0,1,INDEX(Bills!$AE$6:$AE$25,$Q575)),0))))</f>
        <v/>
      </c>
      <c r="X575">
        <f>IF(OR($D575="",$B575="",Housemates!$B$13=""),0,IF($R575&gt;0,IF(K575="",0,IF(ISNUMBER(K575),K575,1)),IF($C575="Paying back",0,IF(AND(OR(Housemates!$C$13="",Housemates!$C$13&lt;=$B575),OR(Housemates!$D$13="",Housemates!$D$13&gt;=$B575)),IF($Q575=0,1,INDEX(Bills!$AF$6:$AF$25,$Q575)),0))))</f>
        <v/>
      </c>
      <c r="Y575">
        <f>IF(OR($D575="",$B575="",Housemates!$B$14=""),0,IF($R575&gt;0,IF(L575="",0,IF(ISNUMBER(L575),L575,1)),IF($C575="Paying back",0,IF(AND(OR(Housemates!$C$14="",Housemates!$C$14&lt;=$B575),OR(Housemates!$D$14="",Housemates!$D$14&gt;=$B575)),IF($Q575=0,1,INDEX(Bills!$AG$6:$AG$25,$Q575)),0))))</f>
        <v/>
      </c>
      <c r="Z575">
        <f>IF(OR($D575="",$B575="",Housemates!$B$15=""),0,IF($R575&gt;0,IF(M575="",0,IF(ISNUMBER(M575),M575,1)),IF($C575="Paying back",0,IF(AND(OR(Housemates!$C$15="",Housemates!$C$15&lt;=$B575),OR(Housemates!$D$15="",Housemates!$D$15&gt;=$B575)),IF($Q575=0,1,INDEX(Bills!$AH$6:$AH$25,$Q575)),0))))</f>
        <v/>
      </c>
      <c r="AA575">
        <f>SUM(S575:Z575)</f>
        <v/>
      </c>
      <c r="AB575">
        <f>IF(AA575=0,0,D575*S575/AA575)</f>
        <v/>
      </c>
      <c r="AC575">
        <f>IF(AA575=0,0,D575*T575/AA575)</f>
        <v/>
      </c>
      <c r="AD575">
        <f>IF(AA575=0,0,D575*U575/AA575)</f>
        <v/>
      </c>
      <c r="AE575">
        <f>IF(AA575=0,0,D575*V575/AA575)</f>
        <v/>
      </c>
      <c r="AF575">
        <f>IF(AA575=0,0,D575*W575/AA575)</f>
        <v/>
      </c>
      <c r="AG575">
        <f>IF(AA575=0,0,D575*X575/AA575)</f>
        <v/>
      </c>
      <c r="AH575">
        <f>IF(AA575=0,0,D575*Y575/AA575)</f>
        <v/>
      </c>
      <c r="AI575">
        <f>IF(AA575=0,0,D575*Z575/AA575)</f>
        <v/>
      </c>
      <c r="AJ575">
        <f>IF(OR(C575="",B575=""),"",C575&amp;"|"&amp;(YEAR(B575)*100+MONTH(B575)))</f>
        <v/>
      </c>
    </row>
    <row r="576">
      <c r="A576" s="1" t="n"/>
      <c r="B576" s="23" t="n"/>
      <c r="C576" s="24" t="n"/>
      <c r="D576" s="25" t="n"/>
      <c r="E576" s="26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1">
        <f>IF(D576="","",IF(B576="","No date",IF(AND(C576="Paying back",R576=0),"To whom?",IF(AA576=0,"Nobody",IF(C576="Paying back","To "&amp;INDEX(Housemates!$B$8:$B$15,MATCH(MAX(S576:Z576),S576:Z576,0)),IF(R576&gt;0,IF(COUNTIF(S576:Z576,"&gt;0")=1,"1 person",COUNTIF(S576:Z576,"&gt;0")&amp;" people"),IF(Q576=0,"Everyone",INDEX(Bills!$Q$6:$Q$25,Q576))))))))</f>
        <v/>
      </c>
      <c r="O576" s="18">
        <f>IF(D576="","",IF(C576="Paying back","Paying back",IF(Q576=0,"Other",IF(INDEX(Bills!$C$6:$C$25,Q576)="","Other",INDEX(Bills!$C$6:$C$25,Q576)))))</f>
        <v/>
      </c>
      <c r="P576" s="1" t="n"/>
      <c r="Q576">
        <f>IF(C576="",0,IFERROR(MATCH(C576,Bills!$B$6:$B$25,0),0))</f>
        <v/>
      </c>
      <c r="R576">
        <f>COUNTA(F576:M576)</f>
        <v/>
      </c>
      <c r="S576">
        <f>IF(OR($D576="",$B576="",Housemates!$B$8=""),0,IF($R576&gt;0,IF(F576="",0,IF(ISNUMBER(F576),F576,1)),IF($C576="Paying back",0,IF(AND(OR(Housemates!$C$8="",Housemates!$C$8&lt;=$B576),OR(Housemates!$D$8="",Housemates!$D$8&gt;=$B576)),IF($Q576=0,1,INDEX(Bills!$AA$6:$AA$25,$Q576)),0))))</f>
        <v/>
      </c>
      <c r="T576">
        <f>IF(OR($D576="",$B576="",Housemates!$B$9=""),0,IF($R576&gt;0,IF(G576="",0,IF(ISNUMBER(G576),G576,1)),IF($C576="Paying back",0,IF(AND(OR(Housemates!$C$9="",Housemates!$C$9&lt;=$B576),OR(Housemates!$D$9="",Housemates!$D$9&gt;=$B576)),IF($Q576=0,1,INDEX(Bills!$AB$6:$AB$25,$Q576)),0))))</f>
        <v/>
      </c>
      <c r="U576">
        <f>IF(OR($D576="",$B576="",Housemates!$B$10=""),0,IF($R576&gt;0,IF(H576="",0,IF(ISNUMBER(H576),H576,1)),IF($C576="Paying back",0,IF(AND(OR(Housemates!$C$10="",Housemates!$C$10&lt;=$B576),OR(Housemates!$D$10="",Housemates!$D$10&gt;=$B576)),IF($Q576=0,1,INDEX(Bills!$AC$6:$AC$25,$Q576)),0))))</f>
        <v/>
      </c>
      <c r="V576">
        <f>IF(OR($D576="",$B576="",Housemates!$B$11=""),0,IF($R576&gt;0,IF(I576="",0,IF(ISNUMBER(I576),I576,1)),IF($C576="Paying back",0,IF(AND(OR(Housemates!$C$11="",Housemates!$C$11&lt;=$B576),OR(Housemates!$D$11="",Housemates!$D$11&gt;=$B576)),IF($Q576=0,1,INDEX(Bills!$AD$6:$AD$25,$Q576)),0))))</f>
        <v/>
      </c>
      <c r="W576">
        <f>IF(OR($D576="",$B576="",Housemates!$B$12=""),0,IF($R576&gt;0,IF(J576="",0,IF(ISNUMBER(J576),J576,1)),IF($C576="Paying back",0,IF(AND(OR(Housemates!$C$12="",Housemates!$C$12&lt;=$B576),OR(Housemates!$D$12="",Housemates!$D$12&gt;=$B576)),IF($Q576=0,1,INDEX(Bills!$AE$6:$AE$25,$Q576)),0))))</f>
        <v/>
      </c>
      <c r="X576">
        <f>IF(OR($D576="",$B576="",Housemates!$B$13=""),0,IF($R576&gt;0,IF(K576="",0,IF(ISNUMBER(K576),K576,1)),IF($C576="Paying back",0,IF(AND(OR(Housemates!$C$13="",Housemates!$C$13&lt;=$B576),OR(Housemates!$D$13="",Housemates!$D$13&gt;=$B576)),IF($Q576=0,1,INDEX(Bills!$AF$6:$AF$25,$Q576)),0))))</f>
        <v/>
      </c>
      <c r="Y576">
        <f>IF(OR($D576="",$B576="",Housemates!$B$14=""),0,IF($R576&gt;0,IF(L576="",0,IF(ISNUMBER(L576),L576,1)),IF($C576="Paying back",0,IF(AND(OR(Housemates!$C$14="",Housemates!$C$14&lt;=$B576),OR(Housemates!$D$14="",Housemates!$D$14&gt;=$B576)),IF($Q576=0,1,INDEX(Bills!$AG$6:$AG$25,$Q576)),0))))</f>
        <v/>
      </c>
      <c r="Z576">
        <f>IF(OR($D576="",$B576="",Housemates!$B$15=""),0,IF($R576&gt;0,IF(M576="",0,IF(ISNUMBER(M576),M576,1)),IF($C576="Paying back",0,IF(AND(OR(Housemates!$C$15="",Housemates!$C$15&lt;=$B576),OR(Housemates!$D$15="",Housemates!$D$15&gt;=$B576)),IF($Q576=0,1,INDEX(Bills!$AH$6:$AH$25,$Q576)),0))))</f>
        <v/>
      </c>
      <c r="AA576">
        <f>SUM(S576:Z576)</f>
        <v/>
      </c>
      <c r="AB576">
        <f>IF(AA576=0,0,D576*S576/AA576)</f>
        <v/>
      </c>
      <c r="AC576">
        <f>IF(AA576=0,0,D576*T576/AA576)</f>
        <v/>
      </c>
      <c r="AD576">
        <f>IF(AA576=0,0,D576*U576/AA576)</f>
        <v/>
      </c>
      <c r="AE576">
        <f>IF(AA576=0,0,D576*V576/AA576)</f>
        <v/>
      </c>
      <c r="AF576">
        <f>IF(AA576=0,0,D576*W576/AA576)</f>
        <v/>
      </c>
      <c r="AG576">
        <f>IF(AA576=0,0,D576*X576/AA576)</f>
        <v/>
      </c>
      <c r="AH576">
        <f>IF(AA576=0,0,D576*Y576/AA576)</f>
        <v/>
      </c>
      <c r="AI576">
        <f>IF(AA576=0,0,D576*Z576/AA576)</f>
        <v/>
      </c>
      <c r="AJ576">
        <f>IF(OR(C576="",B576=""),"",C576&amp;"|"&amp;(YEAR(B576)*100+MONTH(B576)))</f>
        <v/>
      </c>
    </row>
    <row r="577">
      <c r="A577" s="1" t="n"/>
      <c r="B577" s="23" t="n"/>
      <c r="C577" s="24" t="n"/>
      <c r="D577" s="25" t="n"/>
      <c r="E577" s="26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1">
        <f>IF(D577="","",IF(B577="","No date",IF(AND(C577="Paying back",R577=0),"To whom?",IF(AA577=0,"Nobody",IF(C577="Paying back","To "&amp;INDEX(Housemates!$B$8:$B$15,MATCH(MAX(S577:Z577),S577:Z577,0)),IF(R577&gt;0,IF(COUNTIF(S577:Z577,"&gt;0")=1,"1 person",COUNTIF(S577:Z577,"&gt;0")&amp;" people"),IF(Q577=0,"Everyone",INDEX(Bills!$Q$6:$Q$25,Q577))))))))</f>
        <v/>
      </c>
      <c r="O577" s="18">
        <f>IF(D577="","",IF(C577="Paying back","Paying back",IF(Q577=0,"Other",IF(INDEX(Bills!$C$6:$C$25,Q577)="","Other",INDEX(Bills!$C$6:$C$25,Q577)))))</f>
        <v/>
      </c>
      <c r="P577" s="1" t="n"/>
      <c r="Q577">
        <f>IF(C577="",0,IFERROR(MATCH(C577,Bills!$B$6:$B$25,0),0))</f>
        <v/>
      </c>
      <c r="R577">
        <f>COUNTA(F577:M577)</f>
        <v/>
      </c>
      <c r="S577">
        <f>IF(OR($D577="",$B577="",Housemates!$B$8=""),0,IF($R577&gt;0,IF(F577="",0,IF(ISNUMBER(F577),F577,1)),IF($C577="Paying back",0,IF(AND(OR(Housemates!$C$8="",Housemates!$C$8&lt;=$B577),OR(Housemates!$D$8="",Housemates!$D$8&gt;=$B577)),IF($Q577=0,1,INDEX(Bills!$AA$6:$AA$25,$Q577)),0))))</f>
        <v/>
      </c>
      <c r="T577">
        <f>IF(OR($D577="",$B577="",Housemates!$B$9=""),0,IF($R577&gt;0,IF(G577="",0,IF(ISNUMBER(G577),G577,1)),IF($C577="Paying back",0,IF(AND(OR(Housemates!$C$9="",Housemates!$C$9&lt;=$B577),OR(Housemates!$D$9="",Housemates!$D$9&gt;=$B577)),IF($Q577=0,1,INDEX(Bills!$AB$6:$AB$25,$Q577)),0))))</f>
        <v/>
      </c>
      <c r="U577">
        <f>IF(OR($D577="",$B577="",Housemates!$B$10=""),0,IF($R577&gt;0,IF(H577="",0,IF(ISNUMBER(H577),H577,1)),IF($C577="Paying back",0,IF(AND(OR(Housemates!$C$10="",Housemates!$C$10&lt;=$B577),OR(Housemates!$D$10="",Housemates!$D$10&gt;=$B577)),IF($Q577=0,1,INDEX(Bills!$AC$6:$AC$25,$Q577)),0))))</f>
        <v/>
      </c>
      <c r="V577">
        <f>IF(OR($D577="",$B577="",Housemates!$B$11=""),0,IF($R577&gt;0,IF(I577="",0,IF(ISNUMBER(I577),I577,1)),IF($C577="Paying back",0,IF(AND(OR(Housemates!$C$11="",Housemates!$C$11&lt;=$B577),OR(Housemates!$D$11="",Housemates!$D$11&gt;=$B577)),IF($Q577=0,1,INDEX(Bills!$AD$6:$AD$25,$Q577)),0))))</f>
        <v/>
      </c>
      <c r="W577">
        <f>IF(OR($D577="",$B577="",Housemates!$B$12=""),0,IF($R577&gt;0,IF(J577="",0,IF(ISNUMBER(J577),J577,1)),IF($C577="Paying back",0,IF(AND(OR(Housemates!$C$12="",Housemates!$C$12&lt;=$B577),OR(Housemates!$D$12="",Housemates!$D$12&gt;=$B577)),IF($Q577=0,1,INDEX(Bills!$AE$6:$AE$25,$Q577)),0))))</f>
        <v/>
      </c>
      <c r="X577">
        <f>IF(OR($D577="",$B577="",Housemates!$B$13=""),0,IF($R577&gt;0,IF(K577="",0,IF(ISNUMBER(K577),K577,1)),IF($C577="Paying back",0,IF(AND(OR(Housemates!$C$13="",Housemates!$C$13&lt;=$B577),OR(Housemates!$D$13="",Housemates!$D$13&gt;=$B577)),IF($Q577=0,1,INDEX(Bills!$AF$6:$AF$25,$Q577)),0))))</f>
        <v/>
      </c>
      <c r="Y577">
        <f>IF(OR($D577="",$B577="",Housemates!$B$14=""),0,IF($R577&gt;0,IF(L577="",0,IF(ISNUMBER(L577),L577,1)),IF($C577="Paying back",0,IF(AND(OR(Housemates!$C$14="",Housemates!$C$14&lt;=$B577),OR(Housemates!$D$14="",Housemates!$D$14&gt;=$B577)),IF($Q577=0,1,INDEX(Bills!$AG$6:$AG$25,$Q577)),0))))</f>
        <v/>
      </c>
      <c r="Z577">
        <f>IF(OR($D577="",$B577="",Housemates!$B$15=""),0,IF($R577&gt;0,IF(M577="",0,IF(ISNUMBER(M577),M577,1)),IF($C577="Paying back",0,IF(AND(OR(Housemates!$C$15="",Housemates!$C$15&lt;=$B577),OR(Housemates!$D$15="",Housemates!$D$15&gt;=$B577)),IF($Q577=0,1,INDEX(Bills!$AH$6:$AH$25,$Q577)),0))))</f>
        <v/>
      </c>
      <c r="AA577">
        <f>SUM(S577:Z577)</f>
        <v/>
      </c>
      <c r="AB577">
        <f>IF(AA577=0,0,D577*S577/AA577)</f>
        <v/>
      </c>
      <c r="AC577">
        <f>IF(AA577=0,0,D577*T577/AA577)</f>
        <v/>
      </c>
      <c r="AD577">
        <f>IF(AA577=0,0,D577*U577/AA577)</f>
        <v/>
      </c>
      <c r="AE577">
        <f>IF(AA577=0,0,D577*V577/AA577)</f>
        <v/>
      </c>
      <c r="AF577">
        <f>IF(AA577=0,0,D577*W577/AA577)</f>
        <v/>
      </c>
      <c r="AG577">
        <f>IF(AA577=0,0,D577*X577/AA577)</f>
        <v/>
      </c>
      <c r="AH577">
        <f>IF(AA577=0,0,D577*Y577/AA577)</f>
        <v/>
      </c>
      <c r="AI577">
        <f>IF(AA577=0,0,D577*Z577/AA577)</f>
        <v/>
      </c>
      <c r="AJ577">
        <f>IF(OR(C577="",B577=""),"",C577&amp;"|"&amp;(YEAR(B577)*100+MONTH(B577)))</f>
        <v/>
      </c>
    </row>
    <row r="578">
      <c r="A578" s="1" t="n"/>
      <c r="B578" s="23" t="n"/>
      <c r="C578" s="24" t="n"/>
      <c r="D578" s="25" t="n"/>
      <c r="E578" s="26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1">
        <f>IF(D578="","",IF(B578="","No date",IF(AND(C578="Paying back",R578=0),"To whom?",IF(AA578=0,"Nobody",IF(C578="Paying back","To "&amp;INDEX(Housemates!$B$8:$B$15,MATCH(MAX(S578:Z578),S578:Z578,0)),IF(R578&gt;0,IF(COUNTIF(S578:Z578,"&gt;0")=1,"1 person",COUNTIF(S578:Z578,"&gt;0")&amp;" people"),IF(Q578=0,"Everyone",INDEX(Bills!$Q$6:$Q$25,Q578))))))))</f>
        <v/>
      </c>
      <c r="O578" s="18">
        <f>IF(D578="","",IF(C578="Paying back","Paying back",IF(Q578=0,"Other",IF(INDEX(Bills!$C$6:$C$25,Q578)="","Other",INDEX(Bills!$C$6:$C$25,Q578)))))</f>
        <v/>
      </c>
      <c r="P578" s="1" t="n"/>
      <c r="Q578">
        <f>IF(C578="",0,IFERROR(MATCH(C578,Bills!$B$6:$B$25,0),0))</f>
        <v/>
      </c>
      <c r="R578">
        <f>COUNTA(F578:M578)</f>
        <v/>
      </c>
      <c r="S578">
        <f>IF(OR($D578="",$B578="",Housemates!$B$8=""),0,IF($R578&gt;0,IF(F578="",0,IF(ISNUMBER(F578),F578,1)),IF($C578="Paying back",0,IF(AND(OR(Housemates!$C$8="",Housemates!$C$8&lt;=$B578),OR(Housemates!$D$8="",Housemates!$D$8&gt;=$B578)),IF($Q578=0,1,INDEX(Bills!$AA$6:$AA$25,$Q578)),0))))</f>
        <v/>
      </c>
      <c r="T578">
        <f>IF(OR($D578="",$B578="",Housemates!$B$9=""),0,IF($R578&gt;0,IF(G578="",0,IF(ISNUMBER(G578),G578,1)),IF($C578="Paying back",0,IF(AND(OR(Housemates!$C$9="",Housemates!$C$9&lt;=$B578),OR(Housemates!$D$9="",Housemates!$D$9&gt;=$B578)),IF($Q578=0,1,INDEX(Bills!$AB$6:$AB$25,$Q578)),0))))</f>
        <v/>
      </c>
      <c r="U578">
        <f>IF(OR($D578="",$B578="",Housemates!$B$10=""),0,IF($R578&gt;0,IF(H578="",0,IF(ISNUMBER(H578),H578,1)),IF($C578="Paying back",0,IF(AND(OR(Housemates!$C$10="",Housemates!$C$10&lt;=$B578),OR(Housemates!$D$10="",Housemates!$D$10&gt;=$B578)),IF($Q578=0,1,INDEX(Bills!$AC$6:$AC$25,$Q578)),0))))</f>
        <v/>
      </c>
      <c r="V578">
        <f>IF(OR($D578="",$B578="",Housemates!$B$11=""),0,IF($R578&gt;0,IF(I578="",0,IF(ISNUMBER(I578),I578,1)),IF($C578="Paying back",0,IF(AND(OR(Housemates!$C$11="",Housemates!$C$11&lt;=$B578),OR(Housemates!$D$11="",Housemates!$D$11&gt;=$B578)),IF($Q578=0,1,INDEX(Bills!$AD$6:$AD$25,$Q578)),0))))</f>
        <v/>
      </c>
      <c r="W578">
        <f>IF(OR($D578="",$B578="",Housemates!$B$12=""),0,IF($R578&gt;0,IF(J578="",0,IF(ISNUMBER(J578),J578,1)),IF($C578="Paying back",0,IF(AND(OR(Housemates!$C$12="",Housemates!$C$12&lt;=$B578),OR(Housemates!$D$12="",Housemates!$D$12&gt;=$B578)),IF($Q578=0,1,INDEX(Bills!$AE$6:$AE$25,$Q578)),0))))</f>
        <v/>
      </c>
      <c r="X578">
        <f>IF(OR($D578="",$B578="",Housemates!$B$13=""),0,IF($R578&gt;0,IF(K578="",0,IF(ISNUMBER(K578),K578,1)),IF($C578="Paying back",0,IF(AND(OR(Housemates!$C$13="",Housemates!$C$13&lt;=$B578),OR(Housemates!$D$13="",Housemates!$D$13&gt;=$B578)),IF($Q578=0,1,INDEX(Bills!$AF$6:$AF$25,$Q578)),0))))</f>
        <v/>
      </c>
      <c r="Y578">
        <f>IF(OR($D578="",$B578="",Housemates!$B$14=""),0,IF($R578&gt;0,IF(L578="",0,IF(ISNUMBER(L578),L578,1)),IF($C578="Paying back",0,IF(AND(OR(Housemates!$C$14="",Housemates!$C$14&lt;=$B578),OR(Housemates!$D$14="",Housemates!$D$14&gt;=$B578)),IF($Q578=0,1,INDEX(Bills!$AG$6:$AG$25,$Q578)),0))))</f>
        <v/>
      </c>
      <c r="Z578">
        <f>IF(OR($D578="",$B578="",Housemates!$B$15=""),0,IF($R578&gt;0,IF(M578="",0,IF(ISNUMBER(M578),M578,1)),IF($C578="Paying back",0,IF(AND(OR(Housemates!$C$15="",Housemates!$C$15&lt;=$B578),OR(Housemates!$D$15="",Housemates!$D$15&gt;=$B578)),IF($Q578=0,1,INDEX(Bills!$AH$6:$AH$25,$Q578)),0))))</f>
        <v/>
      </c>
      <c r="AA578">
        <f>SUM(S578:Z578)</f>
        <v/>
      </c>
      <c r="AB578">
        <f>IF(AA578=0,0,D578*S578/AA578)</f>
        <v/>
      </c>
      <c r="AC578">
        <f>IF(AA578=0,0,D578*T578/AA578)</f>
        <v/>
      </c>
      <c r="AD578">
        <f>IF(AA578=0,0,D578*U578/AA578)</f>
        <v/>
      </c>
      <c r="AE578">
        <f>IF(AA578=0,0,D578*V578/AA578)</f>
        <v/>
      </c>
      <c r="AF578">
        <f>IF(AA578=0,0,D578*W578/AA578)</f>
        <v/>
      </c>
      <c r="AG578">
        <f>IF(AA578=0,0,D578*X578/AA578)</f>
        <v/>
      </c>
      <c r="AH578">
        <f>IF(AA578=0,0,D578*Y578/AA578)</f>
        <v/>
      </c>
      <c r="AI578">
        <f>IF(AA578=0,0,D578*Z578/AA578)</f>
        <v/>
      </c>
      <c r="AJ578">
        <f>IF(OR(C578="",B578=""),"",C578&amp;"|"&amp;(YEAR(B578)*100+MONTH(B578)))</f>
        <v/>
      </c>
    </row>
    <row r="579">
      <c r="A579" s="1" t="n"/>
      <c r="B579" s="23" t="n"/>
      <c r="C579" s="24" t="n"/>
      <c r="D579" s="25" t="n"/>
      <c r="E579" s="26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1">
        <f>IF(D579="","",IF(B579="","No date",IF(AND(C579="Paying back",R579=0),"To whom?",IF(AA579=0,"Nobody",IF(C579="Paying back","To "&amp;INDEX(Housemates!$B$8:$B$15,MATCH(MAX(S579:Z579),S579:Z579,0)),IF(R579&gt;0,IF(COUNTIF(S579:Z579,"&gt;0")=1,"1 person",COUNTIF(S579:Z579,"&gt;0")&amp;" people"),IF(Q579=0,"Everyone",INDEX(Bills!$Q$6:$Q$25,Q579))))))))</f>
        <v/>
      </c>
      <c r="O579" s="18">
        <f>IF(D579="","",IF(C579="Paying back","Paying back",IF(Q579=0,"Other",IF(INDEX(Bills!$C$6:$C$25,Q579)="","Other",INDEX(Bills!$C$6:$C$25,Q579)))))</f>
        <v/>
      </c>
      <c r="P579" s="1" t="n"/>
      <c r="Q579">
        <f>IF(C579="",0,IFERROR(MATCH(C579,Bills!$B$6:$B$25,0),0))</f>
        <v/>
      </c>
      <c r="R579">
        <f>COUNTA(F579:M579)</f>
        <v/>
      </c>
      <c r="S579">
        <f>IF(OR($D579="",$B579="",Housemates!$B$8=""),0,IF($R579&gt;0,IF(F579="",0,IF(ISNUMBER(F579),F579,1)),IF($C579="Paying back",0,IF(AND(OR(Housemates!$C$8="",Housemates!$C$8&lt;=$B579),OR(Housemates!$D$8="",Housemates!$D$8&gt;=$B579)),IF($Q579=0,1,INDEX(Bills!$AA$6:$AA$25,$Q579)),0))))</f>
        <v/>
      </c>
      <c r="T579">
        <f>IF(OR($D579="",$B579="",Housemates!$B$9=""),0,IF($R579&gt;0,IF(G579="",0,IF(ISNUMBER(G579),G579,1)),IF($C579="Paying back",0,IF(AND(OR(Housemates!$C$9="",Housemates!$C$9&lt;=$B579),OR(Housemates!$D$9="",Housemates!$D$9&gt;=$B579)),IF($Q579=0,1,INDEX(Bills!$AB$6:$AB$25,$Q579)),0))))</f>
        <v/>
      </c>
      <c r="U579">
        <f>IF(OR($D579="",$B579="",Housemates!$B$10=""),0,IF($R579&gt;0,IF(H579="",0,IF(ISNUMBER(H579),H579,1)),IF($C579="Paying back",0,IF(AND(OR(Housemates!$C$10="",Housemates!$C$10&lt;=$B579),OR(Housemates!$D$10="",Housemates!$D$10&gt;=$B579)),IF($Q579=0,1,INDEX(Bills!$AC$6:$AC$25,$Q579)),0))))</f>
        <v/>
      </c>
      <c r="V579">
        <f>IF(OR($D579="",$B579="",Housemates!$B$11=""),0,IF($R579&gt;0,IF(I579="",0,IF(ISNUMBER(I579),I579,1)),IF($C579="Paying back",0,IF(AND(OR(Housemates!$C$11="",Housemates!$C$11&lt;=$B579),OR(Housemates!$D$11="",Housemates!$D$11&gt;=$B579)),IF($Q579=0,1,INDEX(Bills!$AD$6:$AD$25,$Q579)),0))))</f>
        <v/>
      </c>
      <c r="W579">
        <f>IF(OR($D579="",$B579="",Housemates!$B$12=""),0,IF($R579&gt;0,IF(J579="",0,IF(ISNUMBER(J579),J579,1)),IF($C579="Paying back",0,IF(AND(OR(Housemates!$C$12="",Housemates!$C$12&lt;=$B579),OR(Housemates!$D$12="",Housemates!$D$12&gt;=$B579)),IF($Q579=0,1,INDEX(Bills!$AE$6:$AE$25,$Q579)),0))))</f>
        <v/>
      </c>
      <c r="X579">
        <f>IF(OR($D579="",$B579="",Housemates!$B$13=""),0,IF($R579&gt;0,IF(K579="",0,IF(ISNUMBER(K579),K579,1)),IF($C579="Paying back",0,IF(AND(OR(Housemates!$C$13="",Housemates!$C$13&lt;=$B579),OR(Housemates!$D$13="",Housemates!$D$13&gt;=$B579)),IF($Q579=0,1,INDEX(Bills!$AF$6:$AF$25,$Q579)),0))))</f>
        <v/>
      </c>
      <c r="Y579">
        <f>IF(OR($D579="",$B579="",Housemates!$B$14=""),0,IF($R579&gt;0,IF(L579="",0,IF(ISNUMBER(L579),L579,1)),IF($C579="Paying back",0,IF(AND(OR(Housemates!$C$14="",Housemates!$C$14&lt;=$B579),OR(Housemates!$D$14="",Housemates!$D$14&gt;=$B579)),IF($Q579=0,1,INDEX(Bills!$AG$6:$AG$25,$Q579)),0))))</f>
        <v/>
      </c>
      <c r="Z579">
        <f>IF(OR($D579="",$B579="",Housemates!$B$15=""),0,IF($R579&gt;0,IF(M579="",0,IF(ISNUMBER(M579),M579,1)),IF($C579="Paying back",0,IF(AND(OR(Housemates!$C$15="",Housemates!$C$15&lt;=$B579),OR(Housemates!$D$15="",Housemates!$D$15&gt;=$B579)),IF($Q579=0,1,INDEX(Bills!$AH$6:$AH$25,$Q579)),0))))</f>
        <v/>
      </c>
      <c r="AA579">
        <f>SUM(S579:Z579)</f>
        <v/>
      </c>
      <c r="AB579">
        <f>IF(AA579=0,0,D579*S579/AA579)</f>
        <v/>
      </c>
      <c r="AC579">
        <f>IF(AA579=0,0,D579*T579/AA579)</f>
        <v/>
      </c>
      <c r="AD579">
        <f>IF(AA579=0,0,D579*U579/AA579)</f>
        <v/>
      </c>
      <c r="AE579">
        <f>IF(AA579=0,0,D579*V579/AA579)</f>
        <v/>
      </c>
      <c r="AF579">
        <f>IF(AA579=0,0,D579*W579/AA579)</f>
        <v/>
      </c>
      <c r="AG579">
        <f>IF(AA579=0,0,D579*X579/AA579)</f>
        <v/>
      </c>
      <c r="AH579">
        <f>IF(AA579=0,0,D579*Y579/AA579)</f>
        <v/>
      </c>
      <c r="AI579">
        <f>IF(AA579=0,0,D579*Z579/AA579)</f>
        <v/>
      </c>
      <c r="AJ579">
        <f>IF(OR(C579="",B579=""),"",C579&amp;"|"&amp;(YEAR(B579)*100+MONTH(B579)))</f>
        <v/>
      </c>
    </row>
    <row r="580">
      <c r="A580" s="1" t="n"/>
      <c r="B580" s="23" t="n"/>
      <c r="C580" s="24" t="n"/>
      <c r="D580" s="25" t="n"/>
      <c r="E580" s="26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1">
        <f>IF(D580="","",IF(B580="","No date",IF(AND(C580="Paying back",R580=0),"To whom?",IF(AA580=0,"Nobody",IF(C580="Paying back","To "&amp;INDEX(Housemates!$B$8:$B$15,MATCH(MAX(S580:Z580),S580:Z580,0)),IF(R580&gt;0,IF(COUNTIF(S580:Z580,"&gt;0")=1,"1 person",COUNTIF(S580:Z580,"&gt;0")&amp;" people"),IF(Q580=0,"Everyone",INDEX(Bills!$Q$6:$Q$25,Q580))))))))</f>
        <v/>
      </c>
      <c r="O580" s="18">
        <f>IF(D580="","",IF(C580="Paying back","Paying back",IF(Q580=0,"Other",IF(INDEX(Bills!$C$6:$C$25,Q580)="","Other",INDEX(Bills!$C$6:$C$25,Q580)))))</f>
        <v/>
      </c>
      <c r="P580" s="1" t="n"/>
      <c r="Q580">
        <f>IF(C580="",0,IFERROR(MATCH(C580,Bills!$B$6:$B$25,0),0))</f>
        <v/>
      </c>
      <c r="R580">
        <f>COUNTA(F580:M580)</f>
        <v/>
      </c>
      <c r="S580">
        <f>IF(OR($D580="",$B580="",Housemates!$B$8=""),0,IF($R580&gt;0,IF(F580="",0,IF(ISNUMBER(F580),F580,1)),IF($C580="Paying back",0,IF(AND(OR(Housemates!$C$8="",Housemates!$C$8&lt;=$B580),OR(Housemates!$D$8="",Housemates!$D$8&gt;=$B580)),IF($Q580=0,1,INDEX(Bills!$AA$6:$AA$25,$Q580)),0))))</f>
        <v/>
      </c>
      <c r="T580">
        <f>IF(OR($D580="",$B580="",Housemates!$B$9=""),0,IF($R580&gt;0,IF(G580="",0,IF(ISNUMBER(G580),G580,1)),IF($C580="Paying back",0,IF(AND(OR(Housemates!$C$9="",Housemates!$C$9&lt;=$B580),OR(Housemates!$D$9="",Housemates!$D$9&gt;=$B580)),IF($Q580=0,1,INDEX(Bills!$AB$6:$AB$25,$Q580)),0))))</f>
        <v/>
      </c>
      <c r="U580">
        <f>IF(OR($D580="",$B580="",Housemates!$B$10=""),0,IF($R580&gt;0,IF(H580="",0,IF(ISNUMBER(H580),H580,1)),IF($C580="Paying back",0,IF(AND(OR(Housemates!$C$10="",Housemates!$C$10&lt;=$B580),OR(Housemates!$D$10="",Housemates!$D$10&gt;=$B580)),IF($Q580=0,1,INDEX(Bills!$AC$6:$AC$25,$Q580)),0))))</f>
        <v/>
      </c>
      <c r="V580">
        <f>IF(OR($D580="",$B580="",Housemates!$B$11=""),0,IF($R580&gt;0,IF(I580="",0,IF(ISNUMBER(I580),I580,1)),IF($C580="Paying back",0,IF(AND(OR(Housemates!$C$11="",Housemates!$C$11&lt;=$B580),OR(Housemates!$D$11="",Housemates!$D$11&gt;=$B580)),IF($Q580=0,1,INDEX(Bills!$AD$6:$AD$25,$Q580)),0))))</f>
        <v/>
      </c>
      <c r="W580">
        <f>IF(OR($D580="",$B580="",Housemates!$B$12=""),0,IF($R580&gt;0,IF(J580="",0,IF(ISNUMBER(J580),J580,1)),IF($C580="Paying back",0,IF(AND(OR(Housemates!$C$12="",Housemates!$C$12&lt;=$B580),OR(Housemates!$D$12="",Housemates!$D$12&gt;=$B580)),IF($Q580=0,1,INDEX(Bills!$AE$6:$AE$25,$Q580)),0))))</f>
        <v/>
      </c>
      <c r="X580">
        <f>IF(OR($D580="",$B580="",Housemates!$B$13=""),0,IF($R580&gt;0,IF(K580="",0,IF(ISNUMBER(K580),K580,1)),IF($C580="Paying back",0,IF(AND(OR(Housemates!$C$13="",Housemates!$C$13&lt;=$B580),OR(Housemates!$D$13="",Housemates!$D$13&gt;=$B580)),IF($Q580=0,1,INDEX(Bills!$AF$6:$AF$25,$Q580)),0))))</f>
        <v/>
      </c>
      <c r="Y580">
        <f>IF(OR($D580="",$B580="",Housemates!$B$14=""),0,IF($R580&gt;0,IF(L580="",0,IF(ISNUMBER(L580),L580,1)),IF($C580="Paying back",0,IF(AND(OR(Housemates!$C$14="",Housemates!$C$14&lt;=$B580),OR(Housemates!$D$14="",Housemates!$D$14&gt;=$B580)),IF($Q580=0,1,INDEX(Bills!$AG$6:$AG$25,$Q580)),0))))</f>
        <v/>
      </c>
      <c r="Z580">
        <f>IF(OR($D580="",$B580="",Housemates!$B$15=""),0,IF($R580&gt;0,IF(M580="",0,IF(ISNUMBER(M580),M580,1)),IF($C580="Paying back",0,IF(AND(OR(Housemates!$C$15="",Housemates!$C$15&lt;=$B580),OR(Housemates!$D$15="",Housemates!$D$15&gt;=$B580)),IF($Q580=0,1,INDEX(Bills!$AH$6:$AH$25,$Q580)),0))))</f>
        <v/>
      </c>
      <c r="AA580">
        <f>SUM(S580:Z580)</f>
        <v/>
      </c>
      <c r="AB580">
        <f>IF(AA580=0,0,D580*S580/AA580)</f>
        <v/>
      </c>
      <c r="AC580">
        <f>IF(AA580=0,0,D580*T580/AA580)</f>
        <v/>
      </c>
      <c r="AD580">
        <f>IF(AA580=0,0,D580*U580/AA580)</f>
        <v/>
      </c>
      <c r="AE580">
        <f>IF(AA580=0,0,D580*V580/AA580)</f>
        <v/>
      </c>
      <c r="AF580">
        <f>IF(AA580=0,0,D580*W580/AA580)</f>
        <v/>
      </c>
      <c r="AG580">
        <f>IF(AA580=0,0,D580*X580/AA580)</f>
        <v/>
      </c>
      <c r="AH580">
        <f>IF(AA580=0,0,D580*Y580/AA580)</f>
        <v/>
      </c>
      <c r="AI580">
        <f>IF(AA580=0,0,D580*Z580/AA580)</f>
        <v/>
      </c>
      <c r="AJ580">
        <f>IF(OR(C580="",B580=""),"",C580&amp;"|"&amp;(YEAR(B580)*100+MONTH(B580)))</f>
        <v/>
      </c>
    </row>
    <row r="581">
      <c r="A581" s="1" t="n"/>
      <c r="B581" s="23" t="n"/>
      <c r="C581" s="24" t="n"/>
      <c r="D581" s="25" t="n"/>
      <c r="E581" s="26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1">
        <f>IF(D581="","",IF(B581="","No date",IF(AND(C581="Paying back",R581=0),"To whom?",IF(AA581=0,"Nobody",IF(C581="Paying back","To "&amp;INDEX(Housemates!$B$8:$B$15,MATCH(MAX(S581:Z581),S581:Z581,0)),IF(R581&gt;0,IF(COUNTIF(S581:Z581,"&gt;0")=1,"1 person",COUNTIF(S581:Z581,"&gt;0")&amp;" people"),IF(Q581=0,"Everyone",INDEX(Bills!$Q$6:$Q$25,Q581))))))))</f>
        <v/>
      </c>
      <c r="O581" s="18">
        <f>IF(D581="","",IF(C581="Paying back","Paying back",IF(Q581=0,"Other",IF(INDEX(Bills!$C$6:$C$25,Q581)="","Other",INDEX(Bills!$C$6:$C$25,Q581)))))</f>
        <v/>
      </c>
      <c r="P581" s="1" t="n"/>
      <c r="Q581">
        <f>IF(C581="",0,IFERROR(MATCH(C581,Bills!$B$6:$B$25,0),0))</f>
        <v/>
      </c>
      <c r="R581">
        <f>COUNTA(F581:M581)</f>
        <v/>
      </c>
      <c r="S581">
        <f>IF(OR($D581="",$B581="",Housemates!$B$8=""),0,IF($R581&gt;0,IF(F581="",0,IF(ISNUMBER(F581),F581,1)),IF($C581="Paying back",0,IF(AND(OR(Housemates!$C$8="",Housemates!$C$8&lt;=$B581),OR(Housemates!$D$8="",Housemates!$D$8&gt;=$B581)),IF($Q581=0,1,INDEX(Bills!$AA$6:$AA$25,$Q581)),0))))</f>
        <v/>
      </c>
      <c r="T581">
        <f>IF(OR($D581="",$B581="",Housemates!$B$9=""),0,IF($R581&gt;0,IF(G581="",0,IF(ISNUMBER(G581),G581,1)),IF($C581="Paying back",0,IF(AND(OR(Housemates!$C$9="",Housemates!$C$9&lt;=$B581),OR(Housemates!$D$9="",Housemates!$D$9&gt;=$B581)),IF($Q581=0,1,INDEX(Bills!$AB$6:$AB$25,$Q581)),0))))</f>
        <v/>
      </c>
      <c r="U581">
        <f>IF(OR($D581="",$B581="",Housemates!$B$10=""),0,IF($R581&gt;0,IF(H581="",0,IF(ISNUMBER(H581),H581,1)),IF($C581="Paying back",0,IF(AND(OR(Housemates!$C$10="",Housemates!$C$10&lt;=$B581),OR(Housemates!$D$10="",Housemates!$D$10&gt;=$B581)),IF($Q581=0,1,INDEX(Bills!$AC$6:$AC$25,$Q581)),0))))</f>
        <v/>
      </c>
      <c r="V581">
        <f>IF(OR($D581="",$B581="",Housemates!$B$11=""),0,IF($R581&gt;0,IF(I581="",0,IF(ISNUMBER(I581),I581,1)),IF($C581="Paying back",0,IF(AND(OR(Housemates!$C$11="",Housemates!$C$11&lt;=$B581),OR(Housemates!$D$11="",Housemates!$D$11&gt;=$B581)),IF($Q581=0,1,INDEX(Bills!$AD$6:$AD$25,$Q581)),0))))</f>
        <v/>
      </c>
      <c r="W581">
        <f>IF(OR($D581="",$B581="",Housemates!$B$12=""),0,IF($R581&gt;0,IF(J581="",0,IF(ISNUMBER(J581),J581,1)),IF($C581="Paying back",0,IF(AND(OR(Housemates!$C$12="",Housemates!$C$12&lt;=$B581),OR(Housemates!$D$12="",Housemates!$D$12&gt;=$B581)),IF($Q581=0,1,INDEX(Bills!$AE$6:$AE$25,$Q581)),0))))</f>
        <v/>
      </c>
      <c r="X581">
        <f>IF(OR($D581="",$B581="",Housemates!$B$13=""),0,IF($R581&gt;0,IF(K581="",0,IF(ISNUMBER(K581),K581,1)),IF($C581="Paying back",0,IF(AND(OR(Housemates!$C$13="",Housemates!$C$13&lt;=$B581),OR(Housemates!$D$13="",Housemates!$D$13&gt;=$B581)),IF($Q581=0,1,INDEX(Bills!$AF$6:$AF$25,$Q581)),0))))</f>
        <v/>
      </c>
      <c r="Y581">
        <f>IF(OR($D581="",$B581="",Housemates!$B$14=""),0,IF($R581&gt;0,IF(L581="",0,IF(ISNUMBER(L581),L581,1)),IF($C581="Paying back",0,IF(AND(OR(Housemates!$C$14="",Housemates!$C$14&lt;=$B581),OR(Housemates!$D$14="",Housemates!$D$14&gt;=$B581)),IF($Q581=0,1,INDEX(Bills!$AG$6:$AG$25,$Q581)),0))))</f>
        <v/>
      </c>
      <c r="Z581">
        <f>IF(OR($D581="",$B581="",Housemates!$B$15=""),0,IF($R581&gt;0,IF(M581="",0,IF(ISNUMBER(M581),M581,1)),IF($C581="Paying back",0,IF(AND(OR(Housemates!$C$15="",Housemates!$C$15&lt;=$B581),OR(Housemates!$D$15="",Housemates!$D$15&gt;=$B581)),IF($Q581=0,1,INDEX(Bills!$AH$6:$AH$25,$Q581)),0))))</f>
        <v/>
      </c>
      <c r="AA581">
        <f>SUM(S581:Z581)</f>
        <v/>
      </c>
      <c r="AB581">
        <f>IF(AA581=0,0,D581*S581/AA581)</f>
        <v/>
      </c>
      <c r="AC581">
        <f>IF(AA581=0,0,D581*T581/AA581)</f>
        <v/>
      </c>
      <c r="AD581">
        <f>IF(AA581=0,0,D581*U581/AA581)</f>
        <v/>
      </c>
      <c r="AE581">
        <f>IF(AA581=0,0,D581*V581/AA581)</f>
        <v/>
      </c>
      <c r="AF581">
        <f>IF(AA581=0,0,D581*W581/AA581)</f>
        <v/>
      </c>
      <c r="AG581">
        <f>IF(AA581=0,0,D581*X581/AA581)</f>
        <v/>
      </c>
      <c r="AH581">
        <f>IF(AA581=0,0,D581*Y581/AA581)</f>
        <v/>
      </c>
      <c r="AI581">
        <f>IF(AA581=0,0,D581*Z581/AA581)</f>
        <v/>
      </c>
      <c r="AJ581">
        <f>IF(OR(C581="",B581=""),"",C581&amp;"|"&amp;(YEAR(B581)*100+MONTH(B581)))</f>
        <v/>
      </c>
    </row>
    <row r="582">
      <c r="A582" s="1" t="n"/>
      <c r="B582" s="23" t="n"/>
      <c r="C582" s="24" t="n"/>
      <c r="D582" s="25" t="n"/>
      <c r="E582" s="26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1">
        <f>IF(D582="","",IF(B582="","No date",IF(AND(C582="Paying back",R582=0),"To whom?",IF(AA582=0,"Nobody",IF(C582="Paying back","To "&amp;INDEX(Housemates!$B$8:$B$15,MATCH(MAX(S582:Z582),S582:Z582,0)),IF(R582&gt;0,IF(COUNTIF(S582:Z582,"&gt;0")=1,"1 person",COUNTIF(S582:Z582,"&gt;0")&amp;" people"),IF(Q582=0,"Everyone",INDEX(Bills!$Q$6:$Q$25,Q582))))))))</f>
        <v/>
      </c>
      <c r="O582" s="18">
        <f>IF(D582="","",IF(C582="Paying back","Paying back",IF(Q582=0,"Other",IF(INDEX(Bills!$C$6:$C$25,Q582)="","Other",INDEX(Bills!$C$6:$C$25,Q582)))))</f>
        <v/>
      </c>
      <c r="P582" s="1" t="n"/>
      <c r="Q582">
        <f>IF(C582="",0,IFERROR(MATCH(C582,Bills!$B$6:$B$25,0),0))</f>
        <v/>
      </c>
      <c r="R582">
        <f>COUNTA(F582:M582)</f>
        <v/>
      </c>
      <c r="S582">
        <f>IF(OR($D582="",$B582="",Housemates!$B$8=""),0,IF($R582&gt;0,IF(F582="",0,IF(ISNUMBER(F582),F582,1)),IF($C582="Paying back",0,IF(AND(OR(Housemates!$C$8="",Housemates!$C$8&lt;=$B582),OR(Housemates!$D$8="",Housemates!$D$8&gt;=$B582)),IF($Q582=0,1,INDEX(Bills!$AA$6:$AA$25,$Q582)),0))))</f>
        <v/>
      </c>
      <c r="T582">
        <f>IF(OR($D582="",$B582="",Housemates!$B$9=""),0,IF($R582&gt;0,IF(G582="",0,IF(ISNUMBER(G582),G582,1)),IF($C582="Paying back",0,IF(AND(OR(Housemates!$C$9="",Housemates!$C$9&lt;=$B582),OR(Housemates!$D$9="",Housemates!$D$9&gt;=$B582)),IF($Q582=0,1,INDEX(Bills!$AB$6:$AB$25,$Q582)),0))))</f>
        <v/>
      </c>
      <c r="U582">
        <f>IF(OR($D582="",$B582="",Housemates!$B$10=""),0,IF($R582&gt;0,IF(H582="",0,IF(ISNUMBER(H582),H582,1)),IF($C582="Paying back",0,IF(AND(OR(Housemates!$C$10="",Housemates!$C$10&lt;=$B582),OR(Housemates!$D$10="",Housemates!$D$10&gt;=$B582)),IF($Q582=0,1,INDEX(Bills!$AC$6:$AC$25,$Q582)),0))))</f>
        <v/>
      </c>
      <c r="V582">
        <f>IF(OR($D582="",$B582="",Housemates!$B$11=""),0,IF($R582&gt;0,IF(I582="",0,IF(ISNUMBER(I582),I582,1)),IF($C582="Paying back",0,IF(AND(OR(Housemates!$C$11="",Housemates!$C$11&lt;=$B582),OR(Housemates!$D$11="",Housemates!$D$11&gt;=$B582)),IF($Q582=0,1,INDEX(Bills!$AD$6:$AD$25,$Q582)),0))))</f>
        <v/>
      </c>
      <c r="W582">
        <f>IF(OR($D582="",$B582="",Housemates!$B$12=""),0,IF($R582&gt;0,IF(J582="",0,IF(ISNUMBER(J582),J582,1)),IF($C582="Paying back",0,IF(AND(OR(Housemates!$C$12="",Housemates!$C$12&lt;=$B582),OR(Housemates!$D$12="",Housemates!$D$12&gt;=$B582)),IF($Q582=0,1,INDEX(Bills!$AE$6:$AE$25,$Q582)),0))))</f>
        <v/>
      </c>
      <c r="X582">
        <f>IF(OR($D582="",$B582="",Housemates!$B$13=""),0,IF($R582&gt;0,IF(K582="",0,IF(ISNUMBER(K582),K582,1)),IF($C582="Paying back",0,IF(AND(OR(Housemates!$C$13="",Housemates!$C$13&lt;=$B582),OR(Housemates!$D$13="",Housemates!$D$13&gt;=$B582)),IF($Q582=0,1,INDEX(Bills!$AF$6:$AF$25,$Q582)),0))))</f>
        <v/>
      </c>
      <c r="Y582">
        <f>IF(OR($D582="",$B582="",Housemates!$B$14=""),0,IF($R582&gt;0,IF(L582="",0,IF(ISNUMBER(L582),L582,1)),IF($C582="Paying back",0,IF(AND(OR(Housemates!$C$14="",Housemates!$C$14&lt;=$B582),OR(Housemates!$D$14="",Housemates!$D$14&gt;=$B582)),IF($Q582=0,1,INDEX(Bills!$AG$6:$AG$25,$Q582)),0))))</f>
        <v/>
      </c>
      <c r="Z582">
        <f>IF(OR($D582="",$B582="",Housemates!$B$15=""),0,IF($R582&gt;0,IF(M582="",0,IF(ISNUMBER(M582),M582,1)),IF($C582="Paying back",0,IF(AND(OR(Housemates!$C$15="",Housemates!$C$15&lt;=$B582),OR(Housemates!$D$15="",Housemates!$D$15&gt;=$B582)),IF($Q582=0,1,INDEX(Bills!$AH$6:$AH$25,$Q582)),0))))</f>
        <v/>
      </c>
      <c r="AA582">
        <f>SUM(S582:Z582)</f>
        <v/>
      </c>
      <c r="AB582">
        <f>IF(AA582=0,0,D582*S582/AA582)</f>
        <v/>
      </c>
      <c r="AC582">
        <f>IF(AA582=0,0,D582*T582/AA582)</f>
        <v/>
      </c>
      <c r="AD582">
        <f>IF(AA582=0,0,D582*U582/AA582)</f>
        <v/>
      </c>
      <c r="AE582">
        <f>IF(AA582=0,0,D582*V582/AA582)</f>
        <v/>
      </c>
      <c r="AF582">
        <f>IF(AA582=0,0,D582*W582/AA582)</f>
        <v/>
      </c>
      <c r="AG582">
        <f>IF(AA582=0,0,D582*X582/AA582)</f>
        <v/>
      </c>
      <c r="AH582">
        <f>IF(AA582=0,0,D582*Y582/AA582)</f>
        <v/>
      </c>
      <c r="AI582">
        <f>IF(AA582=0,0,D582*Z582/AA582)</f>
        <v/>
      </c>
      <c r="AJ582">
        <f>IF(OR(C582="",B582=""),"",C582&amp;"|"&amp;(YEAR(B582)*100+MONTH(B582)))</f>
        <v/>
      </c>
    </row>
    <row r="583">
      <c r="A583" s="1" t="n"/>
      <c r="B583" s="23" t="n"/>
      <c r="C583" s="24" t="n"/>
      <c r="D583" s="25" t="n"/>
      <c r="E583" s="26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1">
        <f>IF(D583="","",IF(B583="","No date",IF(AND(C583="Paying back",R583=0),"To whom?",IF(AA583=0,"Nobody",IF(C583="Paying back","To "&amp;INDEX(Housemates!$B$8:$B$15,MATCH(MAX(S583:Z583),S583:Z583,0)),IF(R583&gt;0,IF(COUNTIF(S583:Z583,"&gt;0")=1,"1 person",COUNTIF(S583:Z583,"&gt;0")&amp;" people"),IF(Q583=0,"Everyone",INDEX(Bills!$Q$6:$Q$25,Q583))))))))</f>
        <v/>
      </c>
      <c r="O583" s="18">
        <f>IF(D583="","",IF(C583="Paying back","Paying back",IF(Q583=0,"Other",IF(INDEX(Bills!$C$6:$C$25,Q583)="","Other",INDEX(Bills!$C$6:$C$25,Q583)))))</f>
        <v/>
      </c>
      <c r="P583" s="1" t="n"/>
      <c r="Q583">
        <f>IF(C583="",0,IFERROR(MATCH(C583,Bills!$B$6:$B$25,0),0))</f>
        <v/>
      </c>
      <c r="R583">
        <f>COUNTA(F583:M583)</f>
        <v/>
      </c>
      <c r="S583">
        <f>IF(OR($D583="",$B583="",Housemates!$B$8=""),0,IF($R583&gt;0,IF(F583="",0,IF(ISNUMBER(F583),F583,1)),IF($C583="Paying back",0,IF(AND(OR(Housemates!$C$8="",Housemates!$C$8&lt;=$B583),OR(Housemates!$D$8="",Housemates!$D$8&gt;=$B583)),IF($Q583=0,1,INDEX(Bills!$AA$6:$AA$25,$Q583)),0))))</f>
        <v/>
      </c>
      <c r="T583">
        <f>IF(OR($D583="",$B583="",Housemates!$B$9=""),0,IF($R583&gt;0,IF(G583="",0,IF(ISNUMBER(G583),G583,1)),IF($C583="Paying back",0,IF(AND(OR(Housemates!$C$9="",Housemates!$C$9&lt;=$B583),OR(Housemates!$D$9="",Housemates!$D$9&gt;=$B583)),IF($Q583=0,1,INDEX(Bills!$AB$6:$AB$25,$Q583)),0))))</f>
        <v/>
      </c>
      <c r="U583">
        <f>IF(OR($D583="",$B583="",Housemates!$B$10=""),0,IF($R583&gt;0,IF(H583="",0,IF(ISNUMBER(H583),H583,1)),IF($C583="Paying back",0,IF(AND(OR(Housemates!$C$10="",Housemates!$C$10&lt;=$B583),OR(Housemates!$D$10="",Housemates!$D$10&gt;=$B583)),IF($Q583=0,1,INDEX(Bills!$AC$6:$AC$25,$Q583)),0))))</f>
        <v/>
      </c>
      <c r="V583">
        <f>IF(OR($D583="",$B583="",Housemates!$B$11=""),0,IF($R583&gt;0,IF(I583="",0,IF(ISNUMBER(I583),I583,1)),IF($C583="Paying back",0,IF(AND(OR(Housemates!$C$11="",Housemates!$C$11&lt;=$B583),OR(Housemates!$D$11="",Housemates!$D$11&gt;=$B583)),IF($Q583=0,1,INDEX(Bills!$AD$6:$AD$25,$Q583)),0))))</f>
        <v/>
      </c>
      <c r="W583">
        <f>IF(OR($D583="",$B583="",Housemates!$B$12=""),0,IF($R583&gt;0,IF(J583="",0,IF(ISNUMBER(J583),J583,1)),IF($C583="Paying back",0,IF(AND(OR(Housemates!$C$12="",Housemates!$C$12&lt;=$B583),OR(Housemates!$D$12="",Housemates!$D$12&gt;=$B583)),IF($Q583=0,1,INDEX(Bills!$AE$6:$AE$25,$Q583)),0))))</f>
        <v/>
      </c>
      <c r="X583">
        <f>IF(OR($D583="",$B583="",Housemates!$B$13=""),0,IF($R583&gt;0,IF(K583="",0,IF(ISNUMBER(K583),K583,1)),IF($C583="Paying back",0,IF(AND(OR(Housemates!$C$13="",Housemates!$C$13&lt;=$B583),OR(Housemates!$D$13="",Housemates!$D$13&gt;=$B583)),IF($Q583=0,1,INDEX(Bills!$AF$6:$AF$25,$Q583)),0))))</f>
        <v/>
      </c>
      <c r="Y583">
        <f>IF(OR($D583="",$B583="",Housemates!$B$14=""),0,IF($R583&gt;0,IF(L583="",0,IF(ISNUMBER(L583),L583,1)),IF($C583="Paying back",0,IF(AND(OR(Housemates!$C$14="",Housemates!$C$14&lt;=$B583),OR(Housemates!$D$14="",Housemates!$D$14&gt;=$B583)),IF($Q583=0,1,INDEX(Bills!$AG$6:$AG$25,$Q583)),0))))</f>
        <v/>
      </c>
      <c r="Z583">
        <f>IF(OR($D583="",$B583="",Housemates!$B$15=""),0,IF($R583&gt;0,IF(M583="",0,IF(ISNUMBER(M583),M583,1)),IF($C583="Paying back",0,IF(AND(OR(Housemates!$C$15="",Housemates!$C$15&lt;=$B583),OR(Housemates!$D$15="",Housemates!$D$15&gt;=$B583)),IF($Q583=0,1,INDEX(Bills!$AH$6:$AH$25,$Q583)),0))))</f>
        <v/>
      </c>
      <c r="AA583">
        <f>SUM(S583:Z583)</f>
        <v/>
      </c>
      <c r="AB583">
        <f>IF(AA583=0,0,D583*S583/AA583)</f>
        <v/>
      </c>
      <c r="AC583">
        <f>IF(AA583=0,0,D583*T583/AA583)</f>
        <v/>
      </c>
      <c r="AD583">
        <f>IF(AA583=0,0,D583*U583/AA583)</f>
        <v/>
      </c>
      <c r="AE583">
        <f>IF(AA583=0,0,D583*V583/AA583)</f>
        <v/>
      </c>
      <c r="AF583">
        <f>IF(AA583=0,0,D583*W583/AA583)</f>
        <v/>
      </c>
      <c r="AG583">
        <f>IF(AA583=0,0,D583*X583/AA583)</f>
        <v/>
      </c>
      <c r="AH583">
        <f>IF(AA583=0,0,D583*Y583/AA583)</f>
        <v/>
      </c>
      <c r="AI583">
        <f>IF(AA583=0,0,D583*Z583/AA583)</f>
        <v/>
      </c>
      <c r="AJ583">
        <f>IF(OR(C583="",B583=""),"",C583&amp;"|"&amp;(YEAR(B583)*100+MONTH(B583)))</f>
        <v/>
      </c>
    </row>
    <row r="584">
      <c r="A584" s="1" t="n"/>
      <c r="B584" s="23" t="n"/>
      <c r="C584" s="24" t="n"/>
      <c r="D584" s="25" t="n"/>
      <c r="E584" s="26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1">
        <f>IF(D584="","",IF(B584="","No date",IF(AND(C584="Paying back",R584=0),"To whom?",IF(AA584=0,"Nobody",IF(C584="Paying back","To "&amp;INDEX(Housemates!$B$8:$B$15,MATCH(MAX(S584:Z584),S584:Z584,0)),IF(R584&gt;0,IF(COUNTIF(S584:Z584,"&gt;0")=1,"1 person",COUNTIF(S584:Z584,"&gt;0")&amp;" people"),IF(Q584=0,"Everyone",INDEX(Bills!$Q$6:$Q$25,Q584))))))))</f>
        <v/>
      </c>
      <c r="O584" s="18">
        <f>IF(D584="","",IF(C584="Paying back","Paying back",IF(Q584=0,"Other",IF(INDEX(Bills!$C$6:$C$25,Q584)="","Other",INDEX(Bills!$C$6:$C$25,Q584)))))</f>
        <v/>
      </c>
      <c r="P584" s="1" t="n"/>
      <c r="Q584">
        <f>IF(C584="",0,IFERROR(MATCH(C584,Bills!$B$6:$B$25,0),0))</f>
        <v/>
      </c>
      <c r="R584">
        <f>COUNTA(F584:M584)</f>
        <v/>
      </c>
      <c r="S584">
        <f>IF(OR($D584="",$B584="",Housemates!$B$8=""),0,IF($R584&gt;0,IF(F584="",0,IF(ISNUMBER(F584),F584,1)),IF($C584="Paying back",0,IF(AND(OR(Housemates!$C$8="",Housemates!$C$8&lt;=$B584),OR(Housemates!$D$8="",Housemates!$D$8&gt;=$B584)),IF($Q584=0,1,INDEX(Bills!$AA$6:$AA$25,$Q584)),0))))</f>
        <v/>
      </c>
      <c r="T584">
        <f>IF(OR($D584="",$B584="",Housemates!$B$9=""),0,IF($R584&gt;0,IF(G584="",0,IF(ISNUMBER(G584),G584,1)),IF($C584="Paying back",0,IF(AND(OR(Housemates!$C$9="",Housemates!$C$9&lt;=$B584),OR(Housemates!$D$9="",Housemates!$D$9&gt;=$B584)),IF($Q584=0,1,INDEX(Bills!$AB$6:$AB$25,$Q584)),0))))</f>
        <v/>
      </c>
      <c r="U584">
        <f>IF(OR($D584="",$B584="",Housemates!$B$10=""),0,IF($R584&gt;0,IF(H584="",0,IF(ISNUMBER(H584),H584,1)),IF($C584="Paying back",0,IF(AND(OR(Housemates!$C$10="",Housemates!$C$10&lt;=$B584),OR(Housemates!$D$10="",Housemates!$D$10&gt;=$B584)),IF($Q584=0,1,INDEX(Bills!$AC$6:$AC$25,$Q584)),0))))</f>
        <v/>
      </c>
      <c r="V584">
        <f>IF(OR($D584="",$B584="",Housemates!$B$11=""),0,IF($R584&gt;0,IF(I584="",0,IF(ISNUMBER(I584),I584,1)),IF($C584="Paying back",0,IF(AND(OR(Housemates!$C$11="",Housemates!$C$11&lt;=$B584),OR(Housemates!$D$11="",Housemates!$D$11&gt;=$B584)),IF($Q584=0,1,INDEX(Bills!$AD$6:$AD$25,$Q584)),0))))</f>
        <v/>
      </c>
      <c r="W584">
        <f>IF(OR($D584="",$B584="",Housemates!$B$12=""),0,IF($R584&gt;0,IF(J584="",0,IF(ISNUMBER(J584),J584,1)),IF($C584="Paying back",0,IF(AND(OR(Housemates!$C$12="",Housemates!$C$12&lt;=$B584),OR(Housemates!$D$12="",Housemates!$D$12&gt;=$B584)),IF($Q584=0,1,INDEX(Bills!$AE$6:$AE$25,$Q584)),0))))</f>
        <v/>
      </c>
      <c r="X584">
        <f>IF(OR($D584="",$B584="",Housemates!$B$13=""),0,IF($R584&gt;0,IF(K584="",0,IF(ISNUMBER(K584),K584,1)),IF($C584="Paying back",0,IF(AND(OR(Housemates!$C$13="",Housemates!$C$13&lt;=$B584),OR(Housemates!$D$13="",Housemates!$D$13&gt;=$B584)),IF($Q584=0,1,INDEX(Bills!$AF$6:$AF$25,$Q584)),0))))</f>
        <v/>
      </c>
      <c r="Y584">
        <f>IF(OR($D584="",$B584="",Housemates!$B$14=""),0,IF($R584&gt;0,IF(L584="",0,IF(ISNUMBER(L584),L584,1)),IF($C584="Paying back",0,IF(AND(OR(Housemates!$C$14="",Housemates!$C$14&lt;=$B584),OR(Housemates!$D$14="",Housemates!$D$14&gt;=$B584)),IF($Q584=0,1,INDEX(Bills!$AG$6:$AG$25,$Q584)),0))))</f>
        <v/>
      </c>
      <c r="Z584">
        <f>IF(OR($D584="",$B584="",Housemates!$B$15=""),0,IF($R584&gt;0,IF(M584="",0,IF(ISNUMBER(M584),M584,1)),IF($C584="Paying back",0,IF(AND(OR(Housemates!$C$15="",Housemates!$C$15&lt;=$B584),OR(Housemates!$D$15="",Housemates!$D$15&gt;=$B584)),IF($Q584=0,1,INDEX(Bills!$AH$6:$AH$25,$Q584)),0))))</f>
        <v/>
      </c>
      <c r="AA584">
        <f>SUM(S584:Z584)</f>
        <v/>
      </c>
      <c r="AB584">
        <f>IF(AA584=0,0,D584*S584/AA584)</f>
        <v/>
      </c>
      <c r="AC584">
        <f>IF(AA584=0,0,D584*T584/AA584)</f>
        <v/>
      </c>
      <c r="AD584">
        <f>IF(AA584=0,0,D584*U584/AA584)</f>
        <v/>
      </c>
      <c r="AE584">
        <f>IF(AA584=0,0,D584*V584/AA584)</f>
        <v/>
      </c>
      <c r="AF584">
        <f>IF(AA584=0,0,D584*W584/AA584)</f>
        <v/>
      </c>
      <c r="AG584">
        <f>IF(AA584=0,0,D584*X584/AA584)</f>
        <v/>
      </c>
      <c r="AH584">
        <f>IF(AA584=0,0,D584*Y584/AA584)</f>
        <v/>
      </c>
      <c r="AI584">
        <f>IF(AA584=0,0,D584*Z584/AA584)</f>
        <v/>
      </c>
      <c r="AJ584">
        <f>IF(OR(C584="",B584=""),"",C584&amp;"|"&amp;(YEAR(B584)*100+MONTH(B584)))</f>
        <v/>
      </c>
    </row>
    <row r="585">
      <c r="A585" s="1" t="n"/>
      <c r="B585" s="23" t="n"/>
      <c r="C585" s="24" t="n"/>
      <c r="D585" s="25" t="n"/>
      <c r="E585" s="26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1">
        <f>IF(D585="","",IF(B585="","No date",IF(AND(C585="Paying back",R585=0),"To whom?",IF(AA585=0,"Nobody",IF(C585="Paying back","To "&amp;INDEX(Housemates!$B$8:$B$15,MATCH(MAX(S585:Z585),S585:Z585,0)),IF(R585&gt;0,IF(COUNTIF(S585:Z585,"&gt;0")=1,"1 person",COUNTIF(S585:Z585,"&gt;0")&amp;" people"),IF(Q585=0,"Everyone",INDEX(Bills!$Q$6:$Q$25,Q585))))))))</f>
        <v/>
      </c>
      <c r="O585" s="18">
        <f>IF(D585="","",IF(C585="Paying back","Paying back",IF(Q585=0,"Other",IF(INDEX(Bills!$C$6:$C$25,Q585)="","Other",INDEX(Bills!$C$6:$C$25,Q585)))))</f>
        <v/>
      </c>
      <c r="P585" s="1" t="n"/>
      <c r="Q585">
        <f>IF(C585="",0,IFERROR(MATCH(C585,Bills!$B$6:$B$25,0),0))</f>
        <v/>
      </c>
      <c r="R585">
        <f>COUNTA(F585:M585)</f>
        <v/>
      </c>
      <c r="S585">
        <f>IF(OR($D585="",$B585="",Housemates!$B$8=""),0,IF($R585&gt;0,IF(F585="",0,IF(ISNUMBER(F585),F585,1)),IF($C585="Paying back",0,IF(AND(OR(Housemates!$C$8="",Housemates!$C$8&lt;=$B585),OR(Housemates!$D$8="",Housemates!$D$8&gt;=$B585)),IF($Q585=0,1,INDEX(Bills!$AA$6:$AA$25,$Q585)),0))))</f>
        <v/>
      </c>
      <c r="T585">
        <f>IF(OR($D585="",$B585="",Housemates!$B$9=""),0,IF($R585&gt;0,IF(G585="",0,IF(ISNUMBER(G585),G585,1)),IF($C585="Paying back",0,IF(AND(OR(Housemates!$C$9="",Housemates!$C$9&lt;=$B585),OR(Housemates!$D$9="",Housemates!$D$9&gt;=$B585)),IF($Q585=0,1,INDEX(Bills!$AB$6:$AB$25,$Q585)),0))))</f>
        <v/>
      </c>
      <c r="U585">
        <f>IF(OR($D585="",$B585="",Housemates!$B$10=""),0,IF($R585&gt;0,IF(H585="",0,IF(ISNUMBER(H585),H585,1)),IF($C585="Paying back",0,IF(AND(OR(Housemates!$C$10="",Housemates!$C$10&lt;=$B585),OR(Housemates!$D$10="",Housemates!$D$10&gt;=$B585)),IF($Q585=0,1,INDEX(Bills!$AC$6:$AC$25,$Q585)),0))))</f>
        <v/>
      </c>
      <c r="V585">
        <f>IF(OR($D585="",$B585="",Housemates!$B$11=""),0,IF($R585&gt;0,IF(I585="",0,IF(ISNUMBER(I585),I585,1)),IF($C585="Paying back",0,IF(AND(OR(Housemates!$C$11="",Housemates!$C$11&lt;=$B585),OR(Housemates!$D$11="",Housemates!$D$11&gt;=$B585)),IF($Q585=0,1,INDEX(Bills!$AD$6:$AD$25,$Q585)),0))))</f>
        <v/>
      </c>
      <c r="W585">
        <f>IF(OR($D585="",$B585="",Housemates!$B$12=""),0,IF($R585&gt;0,IF(J585="",0,IF(ISNUMBER(J585),J585,1)),IF($C585="Paying back",0,IF(AND(OR(Housemates!$C$12="",Housemates!$C$12&lt;=$B585),OR(Housemates!$D$12="",Housemates!$D$12&gt;=$B585)),IF($Q585=0,1,INDEX(Bills!$AE$6:$AE$25,$Q585)),0))))</f>
        <v/>
      </c>
      <c r="X585">
        <f>IF(OR($D585="",$B585="",Housemates!$B$13=""),0,IF($R585&gt;0,IF(K585="",0,IF(ISNUMBER(K585),K585,1)),IF($C585="Paying back",0,IF(AND(OR(Housemates!$C$13="",Housemates!$C$13&lt;=$B585),OR(Housemates!$D$13="",Housemates!$D$13&gt;=$B585)),IF($Q585=0,1,INDEX(Bills!$AF$6:$AF$25,$Q585)),0))))</f>
        <v/>
      </c>
      <c r="Y585">
        <f>IF(OR($D585="",$B585="",Housemates!$B$14=""),0,IF($R585&gt;0,IF(L585="",0,IF(ISNUMBER(L585),L585,1)),IF($C585="Paying back",0,IF(AND(OR(Housemates!$C$14="",Housemates!$C$14&lt;=$B585),OR(Housemates!$D$14="",Housemates!$D$14&gt;=$B585)),IF($Q585=0,1,INDEX(Bills!$AG$6:$AG$25,$Q585)),0))))</f>
        <v/>
      </c>
      <c r="Z585">
        <f>IF(OR($D585="",$B585="",Housemates!$B$15=""),0,IF($R585&gt;0,IF(M585="",0,IF(ISNUMBER(M585),M585,1)),IF($C585="Paying back",0,IF(AND(OR(Housemates!$C$15="",Housemates!$C$15&lt;=$B585),OR(Housemates!$D$15="",Housemates!$D$15&gt;=$B585)),IF($Q585=0,1,INDEX(Bills!$AH$6:$AH$25,$Q585)),0))))</f>
        <v/>
      </c>
      <c r="AA585">
        <f>SUM(S585:Z585)</f>
        <v/>
      </c>
      <c r="AB585">
        <f>IF(AA585=0,0,D585*S585/AA585)</f>
        <v/>
      </c>
      <c r="AC585">
        <f>IF(AA585=0,0,D585*T585/AA585)</f>
        <v/>
      </c>
      <c r="AD585">
        <f>IF(AA585=0,0,D585*U585/AA585)</f>
        <v/>
      </c>
      <c r="AE585">
        <f>IF(AA585=0,0,D585*V585/AA585)</f>
        <v/>
      </c>
      <c r="AF585">
        <f>IF(AA585=0,0,D585*W585/AA585)</f>
        <v/>
      </c>
      <c r="AG585">
        <f>IF(AA585=0,0,D585*X585/AA585)</f>
        <v/>
      </c>
      <c r="AH585">
        <f>IF(AA585=0,0,D585*Y585/AA585)</f>
        <v/>
      </c>
      <c r="AI585">
        <f>IF(AA585=0,0,D585*Z585/AA585)</f>
        <v/>
      </c>
      <c r="AJ585">
        <f>IF(OR(C585="",B585=""),"",C585&amp;"|"&amp;(YEAR(B585)*100+MONTH(B585)))</f>
        <v/>
      </c>
    </row>
    <row r="586">
      <c r="A586" s="1" t="n"/>
      <c r="B586" s="23" t="n"/>
      <c r="C586" s="24" t="n"/>
      <c r="D586" s="25" t="n"/>
      <c r="E586" s="26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1">
        <f>IF(D586="","",IF(B586="","No date",IF(AND(C586="Paying back",R586=0),"To whom?",IF(AA586=0,"Nobody",IF(C586="Paying back","To "&amp;INDEX(Housemates!$B$8:$B$15,MATCH(MAX(S586:Z586),S586:Z586,0)),IF(R586&gt;0,IF(COUNTIF(S586:Z586,"&gt;0")=1,"1 person",COUNTIF(S586:Z586,"&gt;0")&amp;" people"),IF(Q586=0,"Everyone",INDEX(Bills!$Q$6:$Q$25,Q586))))))))</f>
        <v/>
      </c>
      <c r="O586" s="18">
        <f>IF(D586="","",IF(C586="Paying back","Paying back",IF(Q586=0,"Other",IF(INDEX(Bills!$C$6:$C$25,Q586)="","Other",INDEX(Bills!$C$6:$C$25,Q586)))))</f>
        <v/>
      </c>
      <c r="P586" s="1" t="n"/>
      <c r="Q586">
        <f>IF(C586="",0,IFERROR(MATCH(C586,Bills!$B$6:$B$25,0),0))</f>
        <v/>
      </c>
      <c r="R586">
        <f>COUNTA(F586:M586)</f>
        <v/>
      </c>
      <c r="S586">
        <f>IF(OR($D586="",$B586="",Housemates!$B$8=""),0,IF($R586&gt;0,IF(F586="",0,IF(ISNUMBER(F586),F586,1)),IF($C586="Paying back",0,IF(AND(OR(Housemates!$C$8="",Housemates!$C$8&lt;=$B586),OR(Housemates!$D$8="",Housemates!$D$8&gt;=$B586)),IF($Q586=0,1,INDEX(Bills!$AA$6:$AA$25,$Q586)),0))))</f>
        <v/>
      </c>
      <c r="T586">
        <f>IF(OR($D586="",$B586="",Housemates!$B$9=""),0,IF($R586&gt;0,IF(G586="",0,IF(ISNUMBER(G586),G586,1)),IF($C586="Paying back",0,IF(AND(OR(Housemates!$C$9="",Housemates!$C$9&lt;=$B586),OR(Housemates!$D$9="",Housemates!$D$9&gt;=$B586)),IF($Q586=0,1,INDEX(Bills!$AB$6:$AB$25,$Q586)),0))))</f>
        <v/>
      </c>
      <c r="U586">
        <f>IF(OR($D586="",$B586="",Housemates!$B$10=""),0,IF($R586&gt;0,IF(H586="",0,IF(ISNUMBER(H586),H586,1)),IF($C586="Paying back",0,IF(AND(OR(Housemates!$C$10="",Housemates!$C$10&lt;=$B586),OR(Housemates!$D$10="",Housemates!$D$10&gt;=$B586)),IF($Q586=0,1,INDEX(Bills!$AC$6:$AC$25,$Q586)),0))))</f>
        <v/>
      </c>
      <c r="V586">
        <f>IF(OR($D586="",$B586="",Housemates!$B$11=""),0,IF($R586&gt;0,IF(I586="",0,IF(ISNUMBER(I586),I586,1)),IF($C586="Paying back",0,IF(AND(OR(Housemates!$C$11="",Housemates!$C$11&lt;=$B586),OR(Housemates!$D$11="",Housemates!$D$11&gt;=$B586)),IF($Q586=0,1,INDEX(Bills!$AD$6:$AD$25,$Q586)),0))))</f>
        <v/>
      </c>
      <c r="W586">
        <f>IF(OR($D586="",$B586="",Housemates!$B$12=""),0,IF($R586&gt;0,IF(J586="",0,IF(ISNUMBER(J586),J586,1)),IF($C586="Paying back",0,IF(AND(OR(Housemates!$C$12="",Housemates!$C$12&lt;=$B586),OR(Housemates!$D$12="",Housemates!$D$12&gt;=$B586)),IF($Q586=0,1,INDEX(Bills!$AE$6:$AE$25,$Q586)),0))))</f>
        <v/>
      </c>
      <c r="X586">
        <f>IF(OR($D586="",$B586="",Housemates!$B$13=""),0,IF($R586&gt;0,IF(K586="",0,IF(ISNUMBER(K586),K586,1)),IF($C586="Paying back",0,IF(AND(OR(Housemates!$C$13="",Housemates!$C$13&lt;=$B586),OR(Housemates!$D$13="",Housemates!$D$13&gt;=$B586)),IF($Q586=0,1,INDEX(Bills!$AF$6:$AF$25,$Q586)),0))))</f>
        <v/>
      </c>
      <c r="Y586">
        <f>IF(OR($D586="",$B586="",Housemates!$B$14=""),0,IF($R586&gt;0,IF(L586="",0,IF(ISNUMBER(L586),L586,1)),IF($C586="Paying back",0,IF(AND(OR(Housemates!$C$14="",Housemates!$C$14&lt;=$B586),OR(Housemates!$D$14="",Housemates!$D$14&gt;=$B586)),IF($Q586=0,1,INDEX(Bills!$AG$6:$AG$25,$Q586)),0))))</f>
        <v/>
      </c>
      <c r="Z586">
        <f>IF(OR($D586="",$B586="",Housemates!$B$15=""),0,IF($R586&gt;0,IF(M586="",0,IF(ISNUMBER(M586),M586,1)),IF($C586="Paying back",0,IF(AND(OR(Housemates!$C$15="",Housemates!$C$15&lt;=$B586),OR(Housemates!$D$15="",Housemates!$D$15&gt;=$B586)),IF($Q586=0,1,INDEX(Bills!$AH$6:$AH$25,$Q586)),0))))</f>
        <v/>
      </c>
      <c r="AA586">
        <f>SUM(S586:Z586)</f>
        <v/>
      </c>
      <c r="AB586">
        <f>IF(AA586=0,0,D586*S586/AA586)</f>
        <v/>
      </c>
      <c r="AC586">
        <f>IF(AA586=0,0,D586*T586/AA586)</f>
        <v/>
      </c>
      <c r="AD586">
        <f>IF(AA586=0,0,D586*U586/AA586)</f>
        <v/>
      </c>
      <c r="AE586">
        <f>IF(AA586=0,0,D586*V586/AA586)</f>
        <v/>
      </c>
      <c r="AF586">
        <f>IF(AA586=0,0,D586*W586/AA586)</f>
        <v/>
      </c>
      <c r="AG586">
        <f>IF(AA586=0,0,D586*X586/AA586)</f>
        <v/>
      </c>
      <c r="AH586">
        <f>IF(AA586=0,0,D586*Y586/AA586)</f>
        <v/>
      </c>
      <c r="AI586">
        <f>IF(AA586=0,0,D586*Z586/AA586)</f>
        <v/>
      </c>
      <c r="AJ586">
        <f>IF(OR(C586="",B586=""),"",C586&amp;"|"&amp;(YEAR(B586)*100+MONTH(B586)))</f>
        <v/>
      </c>
    </row>
    <row r="587">
      <c r="A587" s="1" t="n"/>
      <c r="B587" s="23" t="n"/>
      <c r="C587" s="24" t="n"/>
      <c r="D587" s="25" t="n"/>
      <c r="E587" s="26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1">
        <f>IF(D587="","",IF(B587="","No date",IF(AND(C587="Paying back",R587=0),"To whom?",IF(AA587=0,"Nobody",IF(C587="Paying back","To "&amp;INDEX(Housemates!$B$8:$B$15,MATCH(MAX(S587:Z587),S587:Z587,0)),IF(R587&gt;0,IF(COUNTIF(S587:Z587,"&gt;0")=1,"1 person",COUNTIF(S587:Z587,"&gt;0")&amp;" people"),IF(Q587=0,"Everyone",INDEX(Bills!$Q$6:$Q$25,Q587))))))))</f>
        <v/>
      </c>
      <c r="O587" s="18">
        <f>IF(D587="","",IF(C587="Paying back","Paying back",IF(Q587=0,"Other",IF(INDEX(Bills!$C$6:$C$25,Q587)="","Other",INDEX(Bills!$C$6:$C$25,Q587)))))</f>
        <v/>
      </c>
      <c r="P587" s="1" t="n"/>
      <c r="Q587">
        <f>IF(C587="",0,IFERROR(MATCH(C587,Bills!$B$6:$B$25,0),0))</f>
        <v/>
      </c>
      <c r="R587">
        <f>COUNTA(F587:M587)</f>
        <v/>
      </c>
      <c r="S587">
        <f>IF(OR($D587="",$B587="",Housemates!$B$8=""),0,IF($R587&gt;0,IF(F587="",0,IF(ISNUMBER(F587),F587,1)),IF($C587="Paying back",0,IF(AND(OR(Housemates!$C$8="",Housemates!$C$8&lt;=$B587),OR(Housemates!$D$8="",Housemates!$D$8&gt;=$B587)),IF($Q587=0,1,INDEX(Bills!$AA$6:$AA$25,$Q587)),0))))</f>
        <v/>
      </c>
      <c r="T587">
        <f>IF(OR($D587="",$B587="",Housemates!$B$9=""),0,IF($R587&gt;0,IF(G587="",0,IF(ISNUMBER(G587),G587,1)),IF($C587="Paying back",0,IF(AND(OR(Housemates!$C$9="",Housemates!$C$9&lt;=$B587),OR(Housemates!$D$9="",Housemates!$D$9&gt;=$B587)),IF($Q587=0,1,INDEX(Bills!$AB$6:$AB$25,$Q587)),0))))</f>
        <v/>
      </c>
      <c r="U587">
        <f>IF(OR($D587="",$B587="",Housemates!$B$10=""),0,IF($R587&gt;0,IF(H587="",0,IF(ISNUMBER(H587),H587,1)),IF($C587="Paying back",0,IF(AND(OR(Housemates!$C$10="",Housemates!$C$10&lt;=$B587),OR(Housemates!$D$10="",Housemates!$D$10&gt;=$B587)),IF($Q587=0,1,INDEX(Bills!$AC$6:$AC$25,$Q587)),0))))</f>
        <v/>
      </c>
      <c r="V587">
        <f>IF(OR($D587="",$B587="",Housemates!$B$11=""),0,IF($R587&gt;0,IF(I587="",0,IF(ISNUMBER(I587),I587,1)),IF($C587="Paying back",0,IF(AND(OR(Housemates!$C$11="",Housemates!$C$11&lt;=$B587),OR(Housemates!$D$11="",Housemates!$D$11&gt;=$B587)),IF($Q587=0,1,INDEX(Bills!$AD$6:$AD$25,$Q587)),0))))</f>
        <v/>
      </c>
      <c r="W587">
        <f>IF(OR($D587="",$B587="",Housemates!$B$12=""),0,IF($R587&gt;0,IF(J587="",0,IF(ISNUMBER(J587),J587,1)),IF($C587="Paying back",0,IF(AND(OR(Housemates!$C$12="",Housemates!$C$12&lt;=$B587),OR(Housemates!$D$12="",Housemates!$D$12&gt;=$B587)),IF($Q587=0,1,INDEX(Bills!$AE$6:$AE$25,$Q587)),0))))</f>
        <v/>
      </c>
      <c r="X587">
        <f>IF(OR($D587="",$B587="",Housemates!$B$13=""),0,IF($R587&gt;0,IF(K587="",0,IF(ISNUMBER(K587),K587,1)),IF($C587="Paying back",0,IF(AND(OR(Housemates!$C$13="",Housemates!$C$13&lt;=$B587),OR(Housemates!$D$13="",Housemates!$D$13&gt;=$B587)),IF($Q587=0,1,INDEX(Bills!$AF$6:$AF$25,$Q587)),0))))</f>
        <v/>
      </c>
      <c r="Y587">
        <f>IF(OR($D587="",$B587="",Housemates!$B$14=""),0,IF($R587&gt;0,IF(L587="",0,IF(ISNUMBER(L587),L587,1)),IF($C587="Paying back",0,IF(AND(OR(Housemates!$C$14="",Housemates!$C$14&lt;=$B587),OR(Housemates!$D$14="",Housemates!$D$14&gt;=$B587)),IF($Q587=0,1,INDEX(Bills!$AG$6:$AG$25,$Q587)),0))))</f>
        <v/>
      </c>
      <c r="Z587">
        <f>IF(OR($D587="",$B587="",Housemates!$B$15=""),0,IF($R587&gt;0,IF(M587="",0,IF(ISNUMBER(M587),M587,1)),IF($C587="Paying back",0,IF(AND(OR(Housemates!$C$15="",Housemates!$C$15&lt;=$B587),OR(Housemates!$D$15="",Housemates!$D$15&gt;=$B587)),IF($Q587=0,1,INDEX(Bills!$AH$6:$AH$25,$Q587)),0))))</f>
        <v/>
      </c>
      <c r="AA587">
        <f>SUM(S587:Z587)</f>
        <v/>
      </c>
      <c r="AB587">
        <f>IF(AA587=0,0,D587*S587/AA587)</f>
        <v/>
      </c>
      <c r="AC587">
        <f>IF(AA587=0,0,D587*T587/AA587)</f>
        <v/>
      </c>
      <c r="AD587">
        <f>IF(AA587=0,0,D587*U587/AA587)</f>
        <v/>
      </c>
      <c r="AE587">
        <f>IF(AA587=0,0,D587*V587/AA587)</f>
        <v/>
      </c>
      <c r="AF587">
        <f>IF(AA587=0,0,D587*W587/AA587)</f>
        <v/>
      </c>
      <c r="AG587">
        <f>IF(AA587=0,0,D587*X587/AA587)</f>
        <v/>
      </c>
      <c r="AH587">
        <f>IF(AA587=0,0,D587*Y587/AA587)</f>
        <v/>
      </c>
      <c r="AI587">
        <f>IF(AA587=0,0,D587*Z587/AA587)</f>
        <v/>
      </c>
      <c r="AJ587">
        <f>IF(OR(C587="",B587=""),"",C587&amp;"|"&amp;(YEAR(B587)*100+MONTH(B587)))</f>
        <v/>
      </c>
    </row>
    <row r="588">
      <c r="A588" s="1" t="n"/>
      <c r="B588" s="23" t="n"/>
      <c r="C588" s="24" t="n"/>
      <c r="D588" s="25" t="n"/>
      <c r="E588" s="26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1">
        <f>IF(D588="","",IF(B588="","No date",IF(AND(C588="Paying back",R588=0),"To whom?",IF(AA588=0,"Nobody",IF(C588="Paying back","To "&amp;INDEX(Housemates!$B$8:$B$15,MATCH(MAX(S588:Z588),S588:Z588,0)),IF(R588&gt;0,IF(COUNTIF(S588:Z588,"&gt;0")=1,"1 person",COUNTIF(S588:Z588,"&gt;0")&amp;" people"),IF(Q588=0,"Everyone",INDEX(Bills!$Q$6:$Q$25,Q588))))))))</f>
        <v/>
      </c>
      <c r="O588" s="18">
        <f>IF(D588="","",IF(C588="Paying back","Paying back",IF(Q588=0,"Other",IF(INDEX(Bills!$C$6:$C$25,Q588)="","Other",INDEX(Bills!$C$6:$C$25,Q588)))))</f>
        <v/>
      </c>
      <c r="P588" s="1" t="n"/>
      <c r="Q588">
        <f>IF(C588="",0,IFERROR(MATCH(C588,Bills!$B$6:$B$25,0),0))</f>
        <v/>
      </c>
      <c r="R588">
        <f>COUNTA(F588:M588)</f>
        <v/>
      </c>
      <c r="S588">
        <f>IF(OR($D588="",$B588="",Housemates!$B$8=""),0,IF($R588&gt;0,IF(F588="",0,IF(ISNUMBER(F588),F588,1)),IF($C588="Paying back",0,IF(AND(OR(Housemates!$C$8="",Housemates!$C$8&lt;=$B588),OR(Housemates!$D$8="",Housemates!$D$8&gt;=$B588)),IF($Q588=0,1,INDEX(Bills!$AA$6:$AA$25,$Q588)),0))))</f>
        <v/>
      </c>
      <c r="T588">
        <f>IF(OR($D588="",$B588="",Housemates!$B$9=""),0,IF($R588&gt;0,IF(G588="",0,IF(ISNUMBER(G588),G588,1)),IF($C588="Paying back",0,IF(AND(OR(Housemates!$C$9="",Housemates!$C$9&lt;=$B588),OR(Housemates!$D$9="",Housemates!$D$9&gt;=$B588)),IF($Q588=0,1,INDEX(Bills!$AB$6:$AB$25,$Q588)),0))))</f>
        <v/>
      </c>
      <c r="U588">
        <f>IF(OR($D588="",$B588="",Housemates!$B$10=""),0,IF($R588&gt;0,IF(H588="",0,IF(ISNUMBER(H588),H588,1)),IF($C588="Paying back",0,IF(AND(OR(Housemates!$C$10="",Housemates!$C$10&lt;=$B588),OR(Housemates!$D$10="",Housemates!$D$10&gt;=$B588)),IF($Q588=0,1,INDEX(Bills!$AC$6:$AC$25,$Q588)),0))))</f>
        <v/>
      </c>
      <c r="V588">
        <f>IF(OR($D588="",$B588="",Housemates!$B$11=""),0,IF($R588&gt;0,IF(I588="",0,IF(ISNUMBER(I588),I588,1)),IF($C588="Paying back",0,IF(AND(OR(Housemates!$C$11="",Housemates!$C$11&lt;=$B588),OR(Housemates!$D$11="",Housemates!$D$11&gt;=$B588)),IF($Q588=0,1,INDEX(Bills!$AD$6:$AD$25,$Q588)),0))))</f>
        <v/>
      </c>
      <c r="W588">
        <f>IF(OR($D588="",$B588="",Housemates!$B$12=""),0,IF($R588&gt;0,IF(J588="",0,IF(ISNUMBER(J588),J588,1)),IF($C588="Paying back",0,IF(AND(OR(Housemates!$C$12="",Housemates!$C$12&lt;=$B588),OR(Housemates!$D$12="",Housemates!$D$12&gt;=$B588)),IF($Q588=0,1,INDEX(Bills!$AE$6:$AE$25,$Q588)),0))))</f>
        <v/>
      </c>
      <c r="X588">
        <f>IF(OR($D588="",$B588="",Housemates!$B$13=""),0,IF($R588&gt;0,IF(K588="",0,IF(ISNUMBER(K588),K588,1)),IF($C588="Paying back",0,IF(AND(OR(Housemates!$C$13="",Housemates!$C$13&lt;=$B588),OR(Housemates!$D$13="",Housemates!$D$13&gt;=$B588)),IF($Q588=0,1,INDEX(Bills!$AF$6:$AF$25,$Q588)),0))))</f>
        <v/>
      </c>
      <c r="Y588">
        <f>IF(OR($D588="",$B588="",Housemates!$B$14=""),0,IF($R588&gt;0,IF(L588="",0,IF(ISNUMBER(L588),L588,1)),IF($C588="Paying back",0,IF(AND(OR(Housemates!$C$14="",Housemates!$C$14&lt;=$B588),OR(Housemates!$D$14="",Housemates!$D$14&gt;=$B588)),IF($Q588=0,1,INDEX(Bills!$AG$6:$AG$25,$Q588)),0))))</f>
        <v/>
      </c>
      <c r="Z588">
        <f>IF(OR($D588="",$B588="",Housemates!$B$15=""),0,IF($R588&gt;0,IF(M588="",0,IF(ISNUMBER(M588),M588,1)),IF($C588="Paying back",0,IF(AND(OR(Housemates!$C$15="",Housemates!$C$15&lt;=$B588),OR(Housemates!$D$15="",Housemates!$D$15&gt;=$B588)),IF($Q588=0,1,INDEX(Bills!$AH$6:$AH$25,$Q588)),0))))</f>
        <v/>
      </c>
      <c r="AA588">
        <f>SUM(S588:Z588)</f>
        <v/>
      </c>
      <c r="AB588">
        <f>IF(AA588=0,0,D588*S588/AA588)</f>
        <v/>
      </c>
      <c r="AC588">
        <f>IF(AA588=0,0,D588*T588/AA588)</f>
        <v/>
      </c>
      <c r="AD588">
        <f>IF(AA588=0,0,D588*U588/AA588)</f>
        <v/>
      </c>
      <c r="AE588">
        <f>IF(AA588=0,0,D588*V588/AA588)</f>
        <v/>
      </c>
      <c r="AF588">
        <f>IF(AA588=0,0,D588*W588/AA588)</f>
        <v/>
      </c>
      <c r="AG588">
        <f>IF(AA588=0,0,D588*X588/AA588)</f>
        <v/>
      </c>
      <c r="AH588">
        <f>IF(AA588=0,0,D588*Y588/AA588)</f>
        <v/>
      </c>
      <c r="AI588">
        <f>IF(AA588=0,0,D588*Z588/AA588)</f>
        <v/>
      </c>
      <c r="AJ588">
        <f>IF(OR(C588="",B588=""),"",C588&amp;"|"&amp;(YEAR(B588)*100+MONTH(B588)))</f>
        <v/>
      </c>
    </row>
    <row r="589">
      <c r="A589" s="1" t="n"/>
      <c r="B589" s="23" t="n"/>
      <c r="C589" s="24" t="n"/>
      <c r="D589" s="25" t="n"/>
      <c r="E589" s="26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1">
        <f>IF(D589="","",IF(B589="","No date",IF(AND(C589="Paying back",R589=0),"To whom?",IF(AA589=0,"Nobody",IF(C589="Paying back","To "&amp;INDEX(Housemates!$B$8:$B$15,MATCH(MAX(S589:Z589),S589:Z589,0)),IF(R589&gt;0,IF(COUNTIF(S589:Z589,"&gt;0")=1,"1 person",COUNTIF(S589:Z589,"&gt;0")&amp;" people"),IF(Q589=0,"Everyone",INDEX(Bills!$Q$6:$Q$25,Q589))))))))</f>
        <v/>
      </c>
      <c r="O589" s="18">
        <f>IF(D589="","",IF(C589="Paying back","Paying back",IF(Q589=0,"Other",IF(INDEX(Bills!$C$6:$C$25,Q589)="","Other",INDEX(Bills!$C$6:$C$25,Q589)))))</f>
        <v/>
      </c>
      <c r="P589" s="1" t="n"/>
      <c r="Q589">
        <f>IF(C589="",0,IFERROR(MATCH(C589,Bills!$B$6:$B$25,0),0))</f>
        <v/>
      </c>
      <c r="R589">
        <f>COUNTA(F589:M589)</f>
        <v/>
      </c>
      <c r="S589">
        <f>IF(OR($D589="",$B589="",Housemates!$B$8=""),0,IF($R589&gt;0,IF(F589="",0,IF(ISNUMBER(F589),F589,1)),IF($C589="Paying back",0,IF(AND(OR(Housemates!$C$8="",Housemates!$C$8&lt;=$B589),OR(Housemates!$D$8="",Housemates!$D$8&gt;=$B589)),IF($Q589=0,1,INDEX(Bills!$AA$6:$AA$25,$Q589)),0))))</f>
        <v/>
      </c>
      <c r="T589">
        <f>IF(OR($D589="",$B589="",Housemates!$B$9=""),0,IF($R589&gt;0,IF(G589="",0,IF(ISNUMBER(G589),G589,1)),IF($C589="Paying back",0,IF(AND(OR(Housemates!$C$9="",Housemates!$C$9&lt;=$B589),OR(Housemates!$D$9="",Housemates!$D$9&gt;=$B589)),IF($Q589=0,1,INDEX(Bills!$AB$6:$AB$25,$Q589)),0))))</f>
        <v/>
      </c>
      <c r="U589">
        <f>IF(OR($D589="",$B589="",Housemates!$B$10=""),0,IF($R589&gt;0,IF(H589="",0,IF(ISNUMBER(H589),H589,1)),IF($C589="Paying back",0,IF(AND(OR(Housemates!$C$10="",Housemates!$C$10&lt;=$B589),OR(Housemates!$D$10="",Housemates!$D$10&gt;=$B589)),IF($Q589=0,1,INDEX(Bills!$AC$6:$AC$25,$Q589)),0))))</f>
        <v/>
      </c>
      <c r="V589">
        <f>IF(OR($D589="",$B589="",Housemates!$B$11=""),0,IF($R589&gt;0,IF(I589="",0,IF(ISNUMBER(I589),I589,1)),IF($C589="Paying back",0,IF(AND(OR(Housemates!$C$11="",Housemates!$C$11&lt;=$B589),OR(Housemates!$D$11="",Housemates!$D$11&gt;=$B589)),IF($Q589=0,1,INDEX(Bills!$AD$6:$AD$25,$Q589)),0))))</f>
        <v/>
      </c>
      <c r="W589">
        <f>IF(OR($D589="",$B589="",Housemates!$B$12=""),0,IF($R589&gt;0,IF(J589="",0,IF(ISNUMBER(J589),J589,1)),IF($C589="Paying back",0,IF(AND(OR(Housemates!$C$12="",Housemates!$C$12&lt;=$B589),OR(Housemates!$D$12="",Housemates!$D$12&gt;=$B589)),IF($Q589=0,1,INDEX(Bills!$AE$6:$AE$25,$Q589)),0))))</f>
        <v/>
      </c>
      <c r="X589">
        <f>IF(OR($D589="",$B589="",Housemates!$B$13=""),0,IF($R589&gt;0,IF(K589="",0,IF(ISNUMBER(K589),K589,1)),IF($C589="Paying back",0,IF(AND(OR(Housemates!$C$13="",Housemates!$C$13&lt;=$B589),OR(Housemates!$D$13="",Housemates!$D$13&gt;=$B589)),IF($Q589=0,1,INDEX(Bills!$AF$6:$AF$25,$Q589)),0))))</f>
        <v/>
      </c>
      <c r="Y589">
        <f>IF(OR($D589="",$B589="",Housemates!$B$14=""),0,IF($R589&gt;0,IF(L589="",0,IF(ISNUMBER(L589),L589,1)),IF($C589="Paying back",0,IF(AND(OR(Housemates!$C$14="",Housemates!$C$14&lt;=$B589),OR(Housemates!$D$14="",Housemates!$D$14&gt;=$B589)),IF($Q589=0,1,INDEX(Bills!$AG$6:$AG$25,$Q589)),0))))</f>
        <v/>
      </c>
      <c r="Z589">
        <f>IF(OR($D589="",$B589="",Housemates!$B$15=""),0,IF($R589&gt;0,IF(M589="",0,IF(ISNUMBER(M589),M589,1)),IF($C589="Paying back",0,IF(AND(OR(Housemates!$C$15="",Housemates!$C$15&lt;=$B589),OR(Housemates!$D$15="",Housemates!$D$15&gt;=$B589)),IF($Q589=0,1,INDEX(Bills!$AH$6:$AH$25,$Q589)),0))))</f>
        <v/>
      </c>
      <c r="AA589">
        <f>SUM(S589:Z589)</f>
        <v/>
      </c>
      <c r="AB589">
        <f>IF(AA589=0,0,D589*S589/AA589)</f>
        <v/>
      </c>
      <c r="AC589">
        <f>IF(AA589=0,0,D589*T589/AA589)</f>
        <v/>
      </c>
      <c r="AD589">
        <f>IF(AA589=0,0,D589*U589/AA589)</f>
        <v/>
      </c>
      <c r="AE589">
        <f>IF(AA589=0,0,D589*V589/AA589)</f>
        <v/>
      </c>
      <c r="AF589">
        <f>IF(AA589=0,0,D589*W589/AA589)</f>
        <v/>
      </c>
      <c r="AG589">
        <f>IF(AA589=0,0,D589*X589/AA589)</f>
        <v/>
      </c>
      <c r="AH589">
        <f>IF(AA589=0,0,D589*Y589/AA589)</f>
        <v/>
      </c>
      <c r="AI589">
        <f>IF(AA589=0,0,D589*Z589/AA589)</f>
        <v/>
      </c>
      <c r="AJ589">
        <f>IF(OR(C589="",B589=""),"",C589&amp;"|"&amp;(YEAR(B589)*100+MONTH(B589)))</f>
        <v/>
      </c>
    </row>
    <row r="590">
      <c r="A590" s="1" t="n"/>
      <c r="B590" s="23" t="n"/>
      <c r="C590" s="24" t="n"/>
      <c r="D590" s="25" t="n"/>
      <c r="E590" s="26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1">
        <f>IF(D590="","",IF(B590="","No date",IF(AND(C590="Paying back",R590=0),"To whom?",IF(AA590=0,"Nobody",IF(C590="Paying back","To "&amp;INDEX(Housemates!$B$8:$B$15,MATCH(MAX(S590:Z590),S590:Z590,0)),IF(R590&gt;0,IF(COUNTIF(S590:Z590,"&gt;0")=1,"1 person",COUNTIF(S590:Z590,"&gt;0")&amp;" people"),IF(Q590=0,"Everyone",INDEX(Bills!$Q$6:$Q$25,Q590))))))))</f>
        <v/>
      </c>
      <c r="O590" s="18">
        <f>IF(D590="","",IF(C590="Paying back","Paying back",IF(Q590=0,"Other",IF(INDEX(Bills!$C$6:$C$25,Q590)="","Other",INDEX(Bills!$C$6:$C$25,Q590)))))</f>
        <v/>
      </c>
      <c r="P590" s="1" t="n"/>
      <c r="Q590">
        <f>IF(C590="",0,IFERROR(MATCH(C590,Bills!$B$6:$B$25,0),0))</f>
        <v/>
      </c>
      <c r="R590">
        <f>COUNTA(F590:M590)</f>
        <v/>
      </c>
      <c r="S590">
        <f>IF(OR($D590="",$B590="",Housemates!$B$8=""),0,IF($R590&gt;0,IF(F590="",0,IF(ISNUMBER(F590),F590,1)),IF($C590="Paying back",0,IF(AND(OR(Housemates!$C$8="",Housemates!$C$8&lt;=$B590),OR(Housemates!$D$8="",Housemates!$D$8&gt;=$B590)),IF($Q590=0,1,INDEX(Bills!$AA$6:$AA$25,$Q590)),0))))</f>
        <v/>
      </c>
      <c r="T590">
        <f>IF(OR($D590="",$B590="",Housemates!$B$9=""),0,IF($R590&gt;0,IF(G590="",0,IF(ISNUMBER(G590),G590,1)),IF($C590="Paying back",0,IF(AND(OR(Housemates!$C$9="",Housemates!$C$9&lt;=$B590),OR(Housemates!$D$9="",Housemates!$D$9&gt;=$B590)),IF($Q590=0,1,INDEX(Bills!$AB$6:$AB$25,$Q590)),0))))</f>
        <v/>
      </c>
      <c r="U590">
        <f>IF(OR($D590="",$B590="",Housemates!$B$10=""),0,IF($R590&gt;0,IF(H590="",0,IF(ISNUMBER(H590),H590,1)),IF($C590="Paying back",0,IF(AND(OR(Housemates!$C$10="",Housemates!$C$10&lt;=$B590),OR(Housemates!$D$10="",Housemates!$D$10&gt;=$B590)),IF($Q590=0,1,INDEX(Bills!$AC$6:$AC$25,$Q590)),0))))</f>
        <v/>
      </c>
      <c r="V590">
        <f>IF(OR($D590="",$B590="",Housemates!$B$11=""),0,IF($R590&gt;0,IF(I590="",0,IF(ISNUMBER(I590),I590,1)),IF($C590="Paying back",0,IF(AND(OR(Housemates!$C$11="",Housemates!$C$11&lt;=$B590),OR(Housemates!$D$11="",Housemates!$D$11&gt;=$B590)),IF($Q590=0,1,INDEX(Bills!$AD$6:$AD$25,$Q590)),0))))</f>
        <v/>
      </c>
      <c r="W590">
        <f>IF(OR($D590="",$B590="",Housemates!$B$12=""),0,IF($R590&gt;0,IF(J590="",0,IF(ISNUMBER(J590),J590,1)),IF($C590="Paying back",0,IF(AND(OR(Housemates!$C$12="",Housemates!$C$12&lt;=$B590),OR(Housemates!$D$12="",Housemates!$D$12&gt;=$B590)),IF($Q590=0,1,INDEX(Bills!$AE$6:$AE$25,$Q590)),0))))</f>
        <v/>
      </c>
      <c r="X590">
        <f>IF(OR($D590="",$B590="",Housemates!$B$13=""),0,IF($R590&gt;0,IF(K590="",0,IF(ISNUMBER(K590),K590,1)),IF($C590="Paying back",0,IF(AND(OR(Housemates!$C$13="",Housemates!$C$13&lt;=$B590),OR(Housemates!$D$13="",Housemates!$D$13&gt;=$B590)),IF($Q590=0,1,INDEX(Bills!$AF$6:$AF$25,$Q590)),0))))</f>
        <v/>
      </c>
      <c r="Y590">
        <f>IF(OR($D590="",$B590="",Housemates!$B$14=""),0,IF($R590&gt;0,IF(L590="",0,IF(ISNUMBER(L590),L590,1)),IF($C590="Paying back",0,IF(AND(OR(Housemates!$C$14="",Housemates!$C$14&lt;=$B590),OR(Housemates!$D$14="",Housemates!$D$14&gt;=$B590)),IF($Q590=0,1,INDEX(Bills!$AG$6:$AG$25,$Q590)),0))))</f>
        <v/>
      </c>
      <c r="Z590">
        <f>IF(OR($D590="",$B590="",Housemates!$B$15=""),0,IF($R590&gt;0,IF(M590="",0,IF(ISNUMBER(M590),M590,1)),IF($C590="Paying back",0,IF(AND(OR(Housemates!$C$15="",Housemates!$C$15&lt;=$B590),OR(Housemates!$D$15="",Housemates!$D$15&gt;=$B590)),IF($Q590=0,1,INDEX(Bills!$AH$6:$AH$25,$Q590)),0))))</f>
        <v/>
      </c>
      <c r="AA590">
        <f>SUM(S590:Z590)</f>
        <v/>
      </c>
      <c r="AB590">
        <f>IF(AA590=0,0,D590*S590/AA590)</f>
        <v/>
      </c>
      <c r="AC590">
        <f>IF(AA590=0,0,D590*T590/AA590)</f>
        <v/>
      </c>
      <c r="AD590">
        <f>IF(AA590=0,0,D590*U590/AA590)</f>
        <v/>
      </c>
      <c r="AE590">
        <f>IF(AA590=0,0,D590*V590/AA590)</f>
        <v/>
      </c>
      <c r="AF590">
        <f>IF(AA590=0,0,D590*W590/AA590)</f>
        <v/>
      </c>
      <c r="AG590">
        <f>IF(AA590=0,0,D590*X590/AA590)</f>
        <v/>
      </c>
      <c r="AH590">
        <f>IF(AA590=0,0,D590*Y590/AA590)</f>
        <v/>
      </c>
      <c r="AI590">
        <f>IF(AA590=0,0,D590*Z590/AA590)</f>
        <v/>
      </c>
      <c r="AJ590">
        <f>IF(OR(C590="",B590=""),"",C590&amp;"|"&amp;(YEAR(B590)*100+MONTH(B590)))</f>
        <v/>
      </c>
    </row>
    <row r="591">
      <c r="A591" s="1" t="n"/>
      <c r="B591" s="23" t="n"/>
      <c r="C591" s="24" t="n"/>
      <c r="D591" s="25" t="n"/>
      <c r="E591" s="26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1">
        <f>IF(D591="","",IF(B591="","No date",IF(AND(C591="Paying back",R591=0),"To whom?",IF(AA591=0,"Nobody",IF(C591="Paying back","To "&amp;INDEX(Housemates!$B$8:$B$15,MATCH(MAX(S591:Z591),S591:Z591,0)),IF(R591&gt;0,IF(COUNTIF(S591:Z591,"&gt;0")=1,"1 person",COUNTIF(S591:Z591,"&gt;0")&amp;" people"),IF(Q591=0,"Everyone",INDEX(Bills!$Q$6:$Q$25,Q591))))))))</f>
        <v/>
      </c>
      <c r="O591" s="18">
        <f>IF(D591="","",IF(C591="Paying back","Paying back",IF(Q591=0,"Other",IF(INDEX(Bills!$C$6:$C$25,Q591)="","Other",INDEX(Bills!$C$6:$C$25,Q591)))))</f>
        <v/>
      </c>
      <c r="P591" s="1" t="n"/>
      <c r="Q591">
        <f>IF(C591="",0,IFERROR(MATCH(C591,Bills!$B$6:$B$25,0),0))</f>
        <v/>
      </c>
      <c r="R591">
        <f>COUNTA(F591:M591)</f>
        <v/>
      </c>
      <c r="S591">
        <f>IF(OR($D591="",$B591="",Housemates!$B$8=""),0,IF($R591&gt;0,IF(F591="",0,IF(ISNUMBER(F591),F591,1)),IF($C591="Paying back",0,IF(AND(OR(Housemates!$C$8="",Housemates!$C$8&lt;=$B591),OR(Housemates!$D$8="",Housemates!$D$8&gt;=$B591)),IF($Q591=0,1,INDEX(Bills!$AA$6:$AA$25,$Q591)),0))))</f>
        <v/>
      </c>
      <c r="T591">
        <f>IF(OR($D591="",$B591="",Housemates!$B$9=""),0,IF($R591&gt;0,IF(G591="",0,IF(ISNUMBER(G591),G591,1)),IF($C591="Paying back",0,IF(AND(OR(Housemates!$C$9="",Housemates!$C$9&lt;=$B591),OR(Housemates!$D$9="",Housemates!$D$9&gt;=$B591)),IF($Q591=0,1,INDEX(Bills!$AB$6:$AB$25,$Q591)),0))))</f>
        <v/>
      </c>
      <c r="U591">
        <f>IF(OR($D591="",$B591="",Housemates!$B$10=""),0,IF($R591&gt;0,IF(H591="",0,IF(ISNUMBER(H591),H591,1)),IF($C591="Paying back",0,IF(AND(OR(Housemates!$C$10="",Housemates!$C$10&lt;=$B591),OR(Housemates!$D$10="",Housemates!$D$10&gt;=$B591)),IF($Q591=0,1,INDEX(Bills!$AC$6:$AC$25,$Q591)),0))))</f>
        <v/>
      </c>
      <c r="V591">
        <f>IF(OR($D591="",$B591="",Housemates!$B$11=""),0,IF($R591&gt;0,IF(I591="",0,IF(ISNUMBER(I591),I591,1)),IF($C591="Paying back",0,IF(AND(OR(Housemates!$C$11="",Housemates!$C$11&lt;=$B591),OR(Housemates!$D$11="",Housemates!$D$11&gt;=$B591)),IF($Q591=0,1,INDEX(Bills!$AD$6:$AD$25,$Q591)),0))))</f>
        <v/>
      </c>
      <c r="W591">
        <f>IF(OR($D591="",$B591="",Housemates!$B$12=""),0,IF($R591&gt;0,IF(J591="",0,IF(ISNUMBER(J591),J591,1)),IF($C591="Paying back",0,IF(AND(OR(Housemates!$C$12="",Housemates!$C$12&lt;=$B591),OR(Housemates!$D$12="",Housemates!$D$12&gt;=$B591)),IF($Q591=0,1,INDEX(Bills!$AE$6:$AE$25,$Q591)),0))))</f>
        <v/>
      </c>
      <c r="X591">
        <f>IF(OR($D591="",$B591="",Housemates!$B$13=""),0,IF($R591&gt;0,IF(K591="",0,IF(ISNUMBER(K591),K591,1)),IF($C591="Paying back",0,IF(AND(OR(Housemates!$C$13="",Housemates!$C$13&lt;=$B591),OR(Housemates!$D$13="",Housemates!$D$13&gt;=$B591)),IF($Q591=0,1,INDEX(Bills!$AF$6:$AF$25,$Q591)),0))))</f>
        <v/>
      </c>
      <c r="Y591">
        <f>IF(OR($D591="",$B591="",Housemates!$B$14=""),0,IF($R591&gt;0,IF(L591="",0,IF(ISNUMBER(L591),L591,1)),IF($C591="Paying back",0,IF(AND(OR(Housemates!$C$14="",Housemates!$C$14&lt;=$B591),OR(Housemates!$D$14="",Housemates!$D$14&gt;=$B591)),IF($Q591=0,1,INDEX(Bills!$AG$6:$AG$25,$Q591)),0))))</f>
        <v/>
      </c>
      <c r="Z591">
        <f>IF(OR($D591="",$B591="",Housemates!$B$15=""),0,IF($R591&gt;0,IF(M591="",0,IF(ISNUMBER(M591),M591,1)),IF($C591="Paying back",0,IF(AND(OR(Housemates!$C$15="",Housemates!$C$15&lt;=$B591),OR(Housemates!$D$15="",Housemates!$D$15&gt;=$B591)),IF($Q591=0,1,INDEX(Bills!$AH$6:$AH$25,$Q591)),0))))</f>
        <v/>
      </c>
      <c r="AA591">
        <f>SUM(S591:Z591)</f>
        <v/>
      </c>
      <c r="AB591">
        <f>IF(AA591=0,0,D591*S591/AA591)</f>
        <v/>
      </c>
      <c r="AC591">
        <f>IF(AA591=0,0,D591*T591/AA591)</f>
        <v/>
      </c>
      <c r="AD591">
        <f>IF(AA591=0,0,D591*U591/AA591)</f>
        <v/>
      </c>
      <c r="AE591">
        <f>IF(AA591=0,0,D591*V591/AA591)</f>
        <v/>
      </c>
      <c r="AF591">
        <f>IF(AA591=0,0,D591*W591/AA591)</f>
        <v/>
      </c>
      <c r="AG591">
        <f>IF(AA591=0,0,D591*X591/AA591)</f>
        <v/>
      </c>
      <c r="AH591">
        <f>IF(AA591=0,0,D591*Y591/AA591)</f>
        <v/>
      </c>
      <c r="AI591">
        <f>IF(AA591=0,0,D591*Z591/AA591)</f>
        <v/>
      </c>
      <c r="AJ591">
        <f>IF(OR(C591="",B591=""),"",C591&amp;"|"&amp;(YEAR(B591)*100+MONTH(B591)))</f>
        <v/>
      </c>
    </row>
    <row r="592">
      <c r="A592" s="1" t="n"/>
      <c r="B592" s="23" t="n"/>
      <c r="C592" s="24" t="n"/>
      <c r="D592" s="25" t="n"/>
      <c r="E592" s="26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1">
        <f>IF(D592="","",IF(B592="","No date",IF(AND(C592="Paying back",R592=0),"To whom?",IF(AA592=0,"Nobody",IF(C592="Paying back","To "&amp;INDEX(Housemates!$B$8:$B$15,MATCH(MAX(S592:Z592),S592:Z592,0)),IF(R592&gt;0,IF(COUNTIF(S592:Z592,"&gt;0")=1,"1 person",COUNTIF(S592:Z592,"&gt;0")&amp;" people"),IF(Q592=0,"Everyone",INDEX(Bills!$Q$6:$Q$25,Q592))))))))</f>
        <v/>
      </c>
      <c r="O592" s="18">
        <f>IF(D592="","",IF(C592="Paying back","Paying back",IF(Q592=0,"Other",IF(INDEX(Bills!$C$6:$C$25,Q592)="","Other",INDEX(Bills!$C$6:$C$25,Q592)))))</f>
        <v/>
      </c>
      <c r="P592" s="1" t="n"/>
      <c r="Q592">
        <f>IF(C592="",0,IFERROR(MATCH(C592,Bills!$B$6:$B$25,0),0))</f>
        <v/>
      </c>
      <c r="R592">
        <f>COUNTA(F592:M592)</f>
        <v/>
      </c>
      <c r="S592">
        <f>IF(OR($D592="",$B592="",Housemates!$B$8=""),0,IF($R592&gt;0,IF(F592="",0,IF(ISNUMBER(F592),F592,1)),IF($C592="Paying back",0,IF(AND(OR(Housemates!$C$8="",Housemates!$C$8&lt;=$B592),OR(Housemates!$D$8="",Housemates!$D$8&gt;=$B592)),IF($Q592=0,1,INDEX(Bills!$AA$6:$AA$25,$Q592)),0))))</f>
        <v/>
      </c>
      <c r="T592">
        <f>IF(OR($D592="",$B592="",Housemates!$B$9=""),0,IF($R592&gt;0,IF(G592="",0,IF(ISNUMBER(G592),G592,1)),IF($C592="Paying back",0,IF(AND(OR(Housemates!$C$9="",Housemates!$C$9&lt;=$B592),OR(Housemates!$D$9="",Housemates!$D$9&gt;=$B592)),IF($Q592=0,1,INDEX(Bills!$AB$6:$AB$25,$Q592)),0))))</f>
        <v/>
      </c>
      <c r="U592">
        <f>IF(OR($D592="",$B592="",Housemates!$B$10=""),0,IF($R592&gt;0,IF(H592="",0,IF(ISNUMBER(H592),H592,1)),IF($C592="Paying back",0,IF(AND(OR(Housemates!$C$10="",Housemates!$C$10&lt;=$B592),OR(Housemates!$D$10="",Housemates!$D$10&gt;=$B592)),IF($Q592=0,1,INDEX(Bills!$AC$6:$AC$25,$Q592)),0))))</f>
        <v/>
      </c>
      <c r="V592">
        <f>IF(OR($D592="",$B592="",Housemates!$B$11=""),0,IF($R592&gt;0,IF(I592="",0,IF(ISNUMBER(I592),I592,1)),IF($C592="Paying back",0,IF(AND(OR(Housemates!$C$11="",Housemates!$C$11&lt;=$B592),OR(Housemates!$D$11="",Housemates!$D$11&gt;=$B592)),IF($Q592=0,1,INDEX(Bills!$AD$6:$AD$25,$Q592)),0))))</f>
        <v/>
      </c>
      <c r="W592">
        <f>IF(OR($D592="",$B592="",Housemates!$B$12=""),0,IF($R592&gt;0,IF(J592="",0,IF(ISNUMBER(J592),J592,1)),IF($C592="Paying back",0,IF(AND(OR(Housemates!$C$12="",Housemates!$C$12&lt;=$B592),OR(Housemates!$D$12="",Housemates!$D$12&gt;=$B592)),IF($Q592=0,1,INDEX(Bills!$AE$6:$AE$25,$Q592)),0))))</f>
        <v/>
      </c>
      <c r="X592">
        <f>IF(OR($D592="",$B592="",Housemates!$B$13=""),0,IF($R592&gt;0,IF(K592="",0,IF(ISNUMBER(K592),K592,1)),IF($C592="Paying back",0,IF(AND(OR(Housemates!$C$13="",Housemates!$C$13&lt;=$B592),OR(Housemates!$D$13="",Housemates!$D$13&gt;=$B592)),IF($Q592=0,1,INDEX(Bills!$AF$6:$AF$25,$Q592)),0))))</f>
        <v/>
      </c>
      <c r="Y592">
        <f>IF(OR($D592="",$B592="",Housemates!$B$14=""),0,IF($R592&gt;0,IF(L592="",0,IF(ISNUMBER(L592),L592,1)),IF($C592="Paying back",0,IF(AND(OR(Housemates!$C$14="",Housemates!$C$14&lt;=$B592),OR(Housemates!$D$14="",Housemates!$D$14&gt;=$B592)),IF($Q592=0,1,INDEX(Bills!$AG$6:$AG$25,$Q592)),0))))</f>
        <v/>
      </c>
      <c r="Z592">
        <f>IF(OR($D592="",$B592="",Housemates!$B$15=""),0,IF($R592&gt;0,IF(M592="",0,IF(ISNUMBER(M592),M592,1)),IF($C592="Paying back",0,IF(AND(OR(Housemates!$C$15="",Housemates!$C$15&lt;=$B592),OR(Housemates!$D$15="",Housemates!$D$15&gt;=$B592)),IF($Q592=0,1,INDEX(Bills!$AH$6:$AH$25,$Q592)),0))))</f>
        <v/>
      </c>
      <c r="AA592">
        <f>SUM(S592:Z592)</f>
        <v/>
      </c>
      <c r="AB592">
        <f>IF(AA592=0,0,D592*S592/AA592)</f>
        <v/>
      </c>
      <c r="AC592">
        <f>IF(AA592=0,0,D592*T592/AA592)</f>
        <v/>
      </c>
      <c r="AD592">
        <f>IF(AA592=0,0,D592*U592/AA592)</f>
        <v/>
      </c>
      <c r="AE592">
        <f>IF(AA592=0,0,D592*V592/AA592)</f>
        <v/>
      </c>
      <c r="AF592">
        <f>IF(AA592=0,0,D592*W592/AA592)</f>
        <v/>
      </c>
      <c r="AG592">
        <f>IF(AA592=0,0,D592*X592/AA592)</f>
        <v/>
      </c>
      <c r="AH592">
        <f>IF(AA592=0,0,D592*Y592/AA592)</f>
        <v/>
      </c>
      <c r="AI592">
        <f>IF(AA592=0,0,D592*Z592/AA592)</f>
        <v/>
      </c>
      <c r="AJ592">
        <f>IF(OR(C592="",B592=""),"",C592&amp;"|"&amp;(YEAR(B592)*100+MONTH(B592)))</f>
        <v/>
      </c>
    </row>
    <row r="593">
      <c r="A593" s="1" t="n"/>
      <c r="B593" s="23" t="n"/>
      <c r="C593" s="24" t="n"/>
      <c r="D593" s="25" t="n"/>
      <c r="E593" s="26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1">
        <f>IF(D593="","",IF(B593="","No date",IF(AND(C593="Paying back",R593=0),"To whom?",IF(AA593=0,"Nobody",IF(C593="Paying back","To "&amp;INDEX(Housemates!$B$8:$B$15,MATCH(MAX(S593:Z593),S593:Z593,0)),IF(R593&gt;0,IF(COUNTIF(S593:Z593,"&gt;0")=1,"1 person",COUNTIF(S593:Z593,"&gt;0")&amp;" people"),IF(Q593=0,"Everyone",INDEX(Bills!$Q$6:$Q$25,Q593))))))))</f>
        <v/>
      </c>
      <c r="O593" s="18">
        <f>IF(D593="","",IF(C593="Paying back","Paying back",IF(Q593=0,"Other",IF(INDEX(Bills!$C$6:$C$25,Q593)="","Other",INDEX(Bills!$C$6:$C$25,Q593)))))</f>
        <v/>
      </c>
      <c r="P593" s="1" t="n"/>
      <c r="Q593">
        <f>IF(C593="",0,IFERROR(MATCH(C593,Bills!$B$6:$B$25,0),0))</f>
        <v/>
      </c>
      <c r="R593">
        <f>COUNTA(F593:M593)</f>
        <v/>
      </c>
      <c r="S593">
        <f>IF(OR($D593="",$B593="",Housemates!$B$8=""),0,IF($R593&gt;0,IF(F593="",0,IF(ISNUMBER(F593),F593,1)),IF($C593="Paying back",0,IF(AND(OR(Housemates!$C$8="",Housemates!$C$8&lt;=$B593),OR(Housemates!$D$8="",Housemates!$D$8&gt;=$B593)),IF($Q593=0,1,INDEX(Bills!$AA$6:$AA$25,$Q593)),0))))</f>
        <v/>
      </c>
      <c r="T593">
        <f>IF(OR($D593="",$B593="",Housemates!$B$9=""),0,IF($R593&gt;0,IF(G593="",0,IF(ISNUMBER(G593),G593,1)),IF($C593="Paying back",0,IF(AND(OR(Housemates!$C$9="",Housemates!$C$9&lt;=$B593),OR(Housemates!$D$9="",Housemates!$D$9&gt;=$B593)),IF($Q593=0,1,INDEX(Bills!$AB$6:$AB$25,$Q593)),0))))</f>
        <v/>
      </c>
      <c r="U593">
        <f>IF(OR($D593="",$B593="",Housemates!$B$10=""),0,IF($R593&gt;0,IF(H593="",0,IF(ISNUMBER(H593),H593,1)),IF($C593="Paying back",0,IF(AND(OR(Housemates!$C$10="",Housemates!$C$10&lt;=$B593),OR(Housemates!$D$10="",Housemates!$D$10&gt;=$B593)),IF($Q593=0,1,INDEX(Bills!$AC$6:$AC$25,$Q593)),0))))</f>
        <v/>
      </c>
      <c r="V593">
        <f>IF(OR($D593="",$B593="",Housemates!$B$11=""),0,IF($R593&gt;0,IF(I593="",0,IF(ISNUMBER(I593),I593,1)),IF($C593="Paying back",0,IF(AND(OR(Housemates!$C$11="",Housemates!$C$11&lt;=$B593),OR(Housemates!$D$11="",Housemates!$D$11&gt;=$B593)),IF($Q593=0,1,INDEX(Bills!$AD$6:$AD$25,$Q593)),0))))</f>
        <v/>
      </c>
      <c r="W593">
        <f>IF(OR($D593="",$B593="",Housemates!$B$12=""),0,IF($R593&gt;0,IF(J593="",0,IF(ISNUMBER(J593),J593,1)),IF($C593="Paying back",0,IF(AND(OR(Housemates!$C$12="",Housemates!$C$12&lt;=$B593),OR(Housemates!$D$12="",Housemates!$D$12&gt;=$B593)),IF($Q593=0,1,INDEX(Bills!$AE$6:$AE$25,$Q593)),0))))</f>
        <v/>
      </c>
      <c r="X593">
        <f>IF(OR($D593="",$B593="",Housemates!$B$13=""),0,IF($R593&gt;0,IF(K593="",0,IF(ISNUMBER(K593),K593,1)),IF($C593="Paying back",0,IF(AND(OR(Housemates!$C$13="",Housemates!$C$13&lt;=$B593),OR(Housemates!$D$13="",Housemates!$D$13&gt;=$B593)),IF($Q593=0,1,INDEX(Bills!$AF$6:$AF$25,$Q593)),0))))</f>
        <v/>
      </c>
      <c r="Y593">
        <f>IF(OR($D593="",$B593="",Housemates!$B$14=""),0,IF($R593&gt;0,IF(L593="",0,IF(ISNUMBER(L593),L593,1)),IF($C593="Paying back",0,IF(AND(OR(Housemates!$C$14="",Housemates!$C$14&lt;=$B593),OR(Housemates!$D$14="",Housemates!$D$14&gt;=$B593)),IF($Q593=0,1,INDEX(Bills!$AG$6:$AG$25,$Q593)),0))))</f>
        <v/>
      </c>
      <c r="Z593">
        <f>IF(OR($D593="",$B593="",Housemates!$B$15=""),0,IF($R593&gt;0,IF(M593="",0,IF(ISNUMBER(M593),M593,1)),IF($C593="Paying back",0,IF(AND(OR(Housemates!$C$15="",Housemates!$C$15&lt;=$B593),OR(Housemates!$D$15="",Housemates!$D$15&gt;=$B593)),IF($Q593=0,1,INDEX(Bills!$AH$6:$AH$25,$Q593)),0))))</f>
        <v/>
      </c>
      <c r="AA593">
        <f>SUM(S593:Z593)</f>
        <v/>
      </c>
      <c r="AB593">
        <f>IF(AA593=0,0,D593*S593/AA593)</f>
        <v/>
      </c>
      <c r="AC593">
        <f>IF(AA593=0,0,D593*T593/AA593)</f>
        <v/>
      </c>
      <c r="AD593">
        <f>IF(AA593=0,0,D593*U593/AA593)</f>
        <v/>
      </c>
      <c r="AE593">
        <f>IF(AA593=0,0,D593*V593/AA593)</f>
        <v/>
      </c>
      <c r="AF593">
        <f>IF(AA593=0,0,D593*W593/AA593)</f>
        <v/>
      </c>
      <c r="AG593">
        <f>IF(AA593=0,0,D593*X593/AA593)</f>
        <v/>
      </c>
      <c r="AH593">
        <f>IF(AA593=0,0,D593*Y593/AA593)</f>
        <v/>
      </c>
      <c r="AI593">
        <f>IF(AA593=0,0,D593*Z593/AA593)</f>
        <v/>
      </c>
      <c r="AJ593">
        <f>IF(OR(C593="",B593=""),"",C593&amp;"|"&amp;(YEAR(B593)*100+MONTH(B593)))</f>
        <v/>
      </c>
    </row>
    <row r="594">
      <c r="A594" s="1" t="n"/>
      <c r="B594" s="23" t="n"/>
      <c r="C594" s="24" t="n"/>
      <c r="D594" s="25" t="n"/>
      <c r="E594" s="26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1">
        <f>IF(D594="","",IF(B594="","No date",IF(AND(C594="Paying back",R594=0),"To whom?",IF(AA594=0,"Nobody",IF(C594="Paying back","To "&amp;INDEX(Housemates!$B$8:$B$15,MATCH(MAX(S594:Z594),S594:Z594,0)),IF(R594&gt;0,IF(COUNTIF(S594:Z594,"&gt;0")=1,"1 person",COUNTIF(S594:Z594,"&gt;0")&amp;" people"),IF(Q594=0,"Everyone",INDEX(Bills!$Q$6:$Q$25,Q594))))))))</f>
        <v/>
      </c>
      <c r="O594" s="18">
        <f>IF(D594="","",IF(C594="Paying back","Paying back",IF(Q594=0,"Other",IF(INDEX(Bills!$C$6:$C$25,Q594)="","Other",INDEX(Bills!$C$6:$C$25,Q594)))))</f>
        <v/>
      </c>
      <c r="P594" s="1" t="n"/>
      <c r="Q594">
        <f>IF(C594="",0,IFERROR(MATCH(C594,Bills!$B$6:$B$25,0),0))</f>
        <v/>
      </c>
      <c r="R594">
        <f>COUNTA(F594:M594)</f>
        <v/>
      </c>
      <c r="S594">
        <f>IF(OR($D594="",$B594="",Housemates!$B$8=""),0,IF($R594&gt;0,IF(F594="",0,IF(ISNUMBER(F594),F594,1)),IF($C594="Paying back",0,IF(AND(OR(Housemates!$C$8="",Housemates!$C$8&lt;=$B594),OR(Housemates!$D$8="",Housemates!$D$8&gt;=$B594)),IF($Q594=0,1,INDEX(Bills!$AA$6:$AA$25,$Q594)),0))))</f>
        <v/>
      </c>
      <c r="T594">
        <f>IF(OR($D594="",$B594="",Housemates!$B$9=""),0,IF($R594&gt;0,IF(G594="",0,IF(ISNUMBER(G594),G594,1)),IF($C594="Paying back",0,IF(AND(OR(Housemates!$C$9="",Housemates!$C$9&lt;=$B594),OR(Housemates!$D$9="",Housemates!$D$9&gt;=$B594)),IF($Q594=0,1,INDEX(Bills!$AB$6:$AB$25,$Q594)),0))))</f>
        <v/>
      </c>
      <c r="U594">
        <f>IF(OR($D594="",$B594="",Housemates!$B$10=""),0,IF($R594&gt;0,IF(H594="",0,IF(ISNUMBER(H594),H594,1)),IF($C594="Paying back",0,IF(AND(OR(Housemates!$C$10="",Housemates!$C$10&lt;=$B594),OR(Housemates!$D$10="",Housemates!$D$10&gt;=$B594)),IF($Q594=0,1,INDEX(Bills!$AC$6:$AC$25,$Q594)),0))))</f>
        <v/>
      </c>
      <c r="V594">
        <f>IF(OR($D594="",$B594="",Housemates!$B$11=""),0,IF($R594&gt;0,IF(I594="",0,IF(ISNUMBER(I594),I594,1)),IF($C594="Paying back",0,IF(AND(OR(Housemates!$C$11="",Housemates!$C$11&lt;=$B594),OR(Housemates!$D$11="",Housemates!$D$11&gt;=$B594)),IF($Q594=0,1,INDEX(Bills!$AD$6:$AD$25,$Q594)),0))))</f>
        <v/>
      </c>
      <c r="W594">
        <f>IF(OR($D594="",$B594="",Housemates!$B$12=""),0,IF($R594&gt;0,IF(J594="",0,IF(ISNUMBER(J594),J594,1)),IF($C594="Paying back",0,IF(AND(OR(Housemates!$C$12="",Housemates!$C$12&lt;=$B594),OR(Housemates!$D$12="",Housemates!$D$12&gt;=$B594)),IF($Q594=0,1,INDEX(Bills!$AE$6:$AE$25,$Q594)),0))))</f>
        <v/>
      </c>
      <c r="X594">
        <f>IF(OR($D594="",$B594="",Housemates!$B$13=""),0,IF($R594&gt;0,IF(K594="",0,IF(ISNUMBER(K594),K594,1)),IF($C594="Paying back",0,IF(AND(OR(Housemates!$C$13="",Housemates!$C$13&lt;=$B594),OR(Housemates!$D$13="",Housemates!$D$13&gt;=$B594)),IF($Q594=0,1,INDEX(Bills!$AF$6:$AF$25,$Q594)),0))))</f>
        <v/>
      </c>
      <c r="Y594">
        <f>IF(OR($D594="",$B594="",Housemates!$B$14=""),0,IF($R594&gt;0,IF(L594="",0,IF(ISNUMBER(L594),L594,1)),IF($C594="Paying back",0,IF(AND(OR(Housemates!$C$14="",Housemates!$C$14&lt;=$B594),OR(Housemates!$D$14="",Housemates!$D$14&gt;=$B594)),IF($Q594=0,1,INDEX(Bills!$AG$6:$AG$25,$Q594)),0))))</f>
        <v/>
      </c>
      <c r="Z594">
        <f>IF(OR($D594="",$B594="",Housemates!$B$15=""),0,IF($R594&gt;0,IF(M594="",0,IF(ISNUMBER(M594),M594,1)),IF($C594="Paying back",0,IF(AND(OR(Housemates!$C$15="",Housemates!$C$15&lt;=$B594),OR(Housemates!$D$15="",Housemates!$D$15&gt;=$B594)),IF($Q594=0,1,INDEX(Bills!$AH$6:$AH$25,$Q594)),0))))</f>
        <v/>
      </c>
      <c r="AA594">
        <f>SUM(S594:Z594)</f>
        <v/>
      </c>
      <c r="AB594">
        <f>IF(AA594=0,0,D594*S594/AA594)</f>
        <v/>
      </c>
      <c r="AC594">
        <f>IF(AA594=0,0,D594*T594/AA594)</f>
        <v/>
      </c>
      <c r="AD594">
        <f>IF(AA594=0,0,D594*U594/AA594)</f>
        <v/>
      </c>
      <c r="AE594">
        <f>IF(AA594=0,0,D594*V594/AA594)</f>
        <v/>
      </c>
      <c r="AF594">
        <f>IF(AA594=0,0,D594*W594/AA594)</f>
        <v/>
      </c>
      <c r="AG594">
        <f>IF(AA594=0,0,D594*X594/AA594)</f>
        <v/>
      </c>
      <c r="AH594">
        <f>IF(AA594=0,0,D594*Y594/AA594)</f>
        <v/>
      </c>
      <c r="AI594">
        <f>IF(AA594=0,0,D594*Z594/AA594)</f>
        <v/>
      </c>
      <c r="AJ594">
        <f>IF(OR(C594="",B594=""),"",C594&amp;"|"&amp;(YEAR(B594)*100+MONTH(B594)))</f>
        <v/>
      </c>
    </row>
    <row r="595">
      <c r="A595" s="1" t="n"/>
      <c r="B595" s="23" t="n"/>
      <c r="C595" s="24" t="n"/>
      <c r="D595" s="25" t="n"/>
      <c r="E595" s="26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1">
        <f>IF(D595="","",IF(B595="","No date",IF(AND(C595="Paying back",R595=0),"To whom?",IF(AA595=0,"Nobody",IF(C595="Paying back","To "&amp;INDEX(Housemates!$B$8:$B$15,MATCH(MAX(S595:Z595),S595:Z595,0)),IF(R595&gt;0,IF(COUNTIF(S595:Z595,"&gt;0")=1,"1 person",COUNTIF(S595:Z595,"&gt;0")&amp;" people"),IF(Q595=0,"Everyone",INDEX(Bills!$Q$6:$Q$25,Q595))))))))</f>
        <v/>
      </c>
      <c r="O595" s="18">
        <f>IF(D595="","",IF(C595="Paying back","Paying back",IF(Q595=0,"Other",IF(INDEX(Bills!$C$6:$C$25,Q595)="","Other",INDEX(Bills!$C$6:$C$25,Q595)))))</f>
        <v/>
      </c>
      <c r="P595" s="1" t="n"/>
      <c r="Q595">
        <f>IF(C595="",0,IFERROR(MATCH(C595,Bills!$B$6:$B$25,0),0))</f>
        <v/>
      </c>
      <c r="R595">
        <f>COUNTA(F595:M595)</f>
        <v/>
      </c>
      <c r="S595">
        <f>IF(OR($D595="",$B595="",Housemates!$B$8=""),0,IF($R595&gt;0,IF(F595="",0,IF(ISNUMBER(F595),F595,1)),IF($C595="Paying back",0,IF(AND(OR(Housemates!$C$8="",Housemates!$C$8&lt;=$B595),OR(Housemates!$D$8="",Housemates!$D$8&gt;=$B595)),IF($Q595=0,1,INDEX(Bills!$AA$6:$AA$25,$Q595)),0))))</f>
        <v/>
      </c>
      <c r="T595">
        <f>IF(OR($D595="",$B595="",Housemates!$B$9=""),0,IF($R595&gt;0,IF(G595="",0,IF(ISNUMBER(G595),G595,1)),IF($C595="Paying back",0,IF(AND(OR(Housemates!$C$9="",Housemates!$C$9&lt;=$B595),OR(Housemates!$D$9="",Housemates!$D$9&gt;=$B595)),IF($Q595=0,1,INDEX(Bills!$AB$6:$AB$25,$Q595)),0))))</f>
        <v/>
      </c>
      <c r="U595">
        <f>IF(OR($D595="",$B595="",Housemates!$B$10=""),0,IF($R595&gt;0,IF(H595="",0,IF(ISNUMBER(H595),H595,1)),IF($C595="Paying back",0,IF(AND(OR(Housemates!$C$10="",Housemates!$C$10&lt;=$B595),OR(Housemates!$D$10="",Housemates!$D$10&gt;=$B595)),IF($Q595=0,1,INDEX(Bills!$AC$6:$AC$25,$Q595)),0))))</f>
        <v/>
      </c>
      <c r="V595">
        <f>IF(OR($D595="",$B595="",Housemates!$B$11=""),0,IF($R595&gt;0,IF(I595="",0,IF(ISNUMBER(I595),I595,1)),IF($C595="Paying back",0,IF(AND(OR(Housemates!$C$11="",Housemates!$C$11&lt;=$B595),OR(Housemates!$D$11="",Housemates!$D$11&gt;=$B595)),IF($Q595=0,1,INDEX(Bills!$AD$6:$AD$25,$Q595)),0))))</f>
        <v/>
      </c>
      <c r="W595">
        <f>IF(OR($D595="",$B595="",Housemates!$B$12=""),0,IF($R595&gt;0,IF(J595="",0,IF(ISNUMBER(J595),J595,1)),IF($C595="Paying back",0,IF(AND(OR(Housemates!$C$12="",Housemates!$C$12&lt;=$B595),OR(Housemates!$D$12="",Housemates!$D$12&gt;=$B595)),IF($Q595=0,1,INDEX(Bills!$AE$6:$AE$25,$Q595)),0))))</f>
        <v/>
      </c>
      <c r="X595">
        <f>IF(OR($D595="",$B595="",Housemates!$B$13=""),0,IF($R595&gt;0,IF(K595="",0,IF(ISNUMBER(K595),K595,1)),IF($C595="Paying back",0,IF(AND(OR(Housemates!$C$13="",Housemates!$C$13&lt;=$B595),OR(Housemates!$D$13="",Housemates!$D$13&gt;=$B595)),IF($Q595=0,1,INDEX(Bills!$AF$6:$AF$25,$Q595)),0))))</f>
        <v/>
      </c>
      <c r="Y595">
        <f>IF(OR($D595="",$B595="",Housemates!$B$14=""),0,IF($R595&gt;0,IF(L595="",0,IF(ISNUMBER(L595),L595,1)),IF($C595="Paying back",0,IF(AND(OR(Housemates!$C$14="",Housemates!$C$14&lt;=$B595),OR(Housemates!$D$14="",Housemates!$D$14&gt;=$B595)),IF($Q595=0,1,INDEX(Bills!$AG$6:$AG$25,$Q595)),0))))</f>
        <v/>
      </c>
      <c r="Z595">
        <f>IF(OR($D595="",$B595="",Housemates!$B$15=""),0,IF($R595&gt;0,IF(M595="",0,IF(ISNUMBER(M595),M595,1)),IF($C595="Paying back",0,IF(AND(OR(Housemates!$C$15="",Housemates!$C$15&lt;=$B595),OR(Housemates!$D$15="",Housemates!$D$15&gt;=$B595)),IF($Q595=0,1,INDEX(Bills!$AH$6:$AH$25,$Q595)),0))))</f>
        <v/>
      </c>
      <c r="AA595">
        <f>SUM(S595:Z595)</f>
        <v/>
      </c>
      <c r="AB595">
        <f>IF(AA595=0,0,D595*S595/AA595)</f>
        <v/>
      </c>
      <c r="AC595">
        <f>IF(AA595=0,0,D595*T595/AA595)</f>
        <v/>
      </c>
      <c r="AD595">
        <f>IF(AA595=0,0,D595*U595/AA595)</f>
        <v/>
      </c>
      <c r="AE595">
        <f>IF(AA595=0,0,D595*V595/AA595)</f>
        <v/>
      </c>
      <c r="AF595">
        <f>IF(AA595=0,0,D595*W595/AA595)</f>
        <v/>
      </c>
      <c r="AG595">
        <f>IF(AA595=0,0,D595*X595/AA595)</f>
        <v/>
      </c>
      <c r="AH595">
        <f>IF(AA595=0,0,D595*Y595/AA595)</f>
        <v/>
      </c>
      <c r="AI595">
        <f>IF(AA595=0,0,D595*Z595/AA595)</f>
        <v/>
      </c>
      <c r="AJ595">
        <f>IF(OR(C595="",B595=""),"",C595&amp;"|"&amp;(YEAR(B595)*100+MONTH(B595)))</f>
        <v/>
      </c>
    </row>
    <row r="596">
      <c r="A596" s="1" t="n"/>
      <c r="B596" s="23" t="n"/>
      <c r="C596" s="24" t="n"/>
      <c r="D596" s="25" t="n"/>
      <c r="E596" s="26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1">
        <f>IF(D596="","",IF(B596="","No date",IF(AND(C596="Paying back",R596=0),"To whom?",IF(AA596=0,"Nobody",IF(C596="Paying back","To "&amp;INDEX(Housemates!$B$8:$B$15,MATCH(MAX(S596:Z596),S596:Z596,0)),IF(R596&gt;0,IF(COUNTIF(S596:Z596,"&gt;0")=1,"1 person",COUNTIF(S596:Z596,"&gt;0")&amp;" people"),IF(Q596=0,"Everyone",INDEX(Bills!$Q$6:$Q$25,Q596))))))))</f>
        <v/>
      </c>
      <c r="O596" s="18">
        <f>IF(D596="","",IF(C596="Paying back","Paying back",IF(Q596=0,"Other",IF(INDEX(Bills!$C$6:$C$25,Q596)="","Other",INDEX(Bills!$C$6:$C$25,Q596)))))</f>
        <v/>
      </c>
      <c r="P596" s="1" t="n"/>
      <c r="Q596">
        <f>IF(C596="",0,IFERROR(MATCH(C596,Bills!$B$6:$B$25,0),0))</f>
        <v/>
      </c>
      <c r="R596">
        <f>COUNTA(F596:M596)</f>
        <v/>
      </c>
      <c r="S596">
        <f>IF(OR($D596="",$B596="",Housemates!$B$8=""),0,IF($R596&gt;0,IF(F596="",0,IF(ISNUMBER(F596),F596,1)),IF($C596="Paying back",0,IF(AND(OR(Housemates!$C$8="",Housemates!$C$8&lt;=$B596),OR(Housemates!$D$8="",Housemates!$D$8&gt;=$B596)),IF($Q596=0,1,INDEX(Bills!$AA$6:$AA$25,$Q596)),0))))</f>
        <v/>
      </c>
      <c r="T596">
        <f>IF(OR($D596="",$B596="",Housemates!$B$9=""),0,IF($R596&gt;0,IF(G596="",0,IF(ISNUMBER(G596),G596,1)),IF($C596="Paying back",0,IF(AND(OR(Housemates!$C$9="",Housemates!$C$9&lt;=$B596),OR(Housemates!$D$9="",Housemates!$D$9&gt;=$B596)),IF($Q596=0,1,INDEX(Bills!$AB$6:$AB$25,$Q596)),0))))</f>
        <v/>
      </c>
      <c r="U596">
        <f>IF(OR($D596="",$B596="",Housemates!$B$10=""),0,IF($R596&gt;0,IF(H596="",0,IF(ISNUMBER(H596),H596,1)),IF($C596="Paying back",0,IF(AND(OR(Housemates!$C$10="",Housemates!$C$10&lt;=$B596),OR(Housemates!$D$10="",Housemates!$D$10&gt;=$B596)),IF($Q596=0,1,INDEX(Bills!$AC$6:$AC$25,$Q596)),0))))</f>
        <v/>
      </c>
      <c r="V596">
        <f>IF(OR($D596="",$B596="",Housemates!$B$11=""),0,IF($R596&gt;0,IF(I596="",0,IF(ISNUMBER(I596),I596,1)),IF($C596="Paying back",0,IF(AND(OR(Housemates!$C$11="",Housemates!$C$11&lt;=$B596),OR(Housemates!$D$11="",Housemates!$D$11&gt;=$B596)),IF($Q596=0,1,INDEX(Bills!$AD$6:$AD$25,$Q596)),0))))</f>
        <v/>
      </c>
      <c r="W596">
        <f>IF(OR($D596="",$B596="",Housemates!$B$12=""),0,IF($R596&gt;0,IF(J596="",0,IF(ISNUMBER(J596),J596,1)),IF($C596="Paying back",0,IF(AND(OR(Housemates!$C$12="",Housemates!$C$12&lt;=$B596),OR(Housemates!$D$12="",Housemates!$D$12&gt;=$B596)),IF($Q596=0,1,INDEX(Bills!$AE$6:$AE$25,$Q596)),0))))</f>
        <v/>
      </c>
      <c r="X596">
        <f>IF(OR($D596="",$B596="",Housemates!$B$13=""),0,IF($R596&gt;0,IF(K596="",0,IF(ISNUMBER(K596),K596,1)),IF($C596="Paying back",0,IF(AND(OR(Housemates!$C$13="",Housemates!$C$13&lt;=$B596),OR(Housemates!$D$13="",Housemates!$D$13&gt;=$B596)),IF($Q596=0,1,INDEX(Bills!$AF$6:$AF$25,$Q596)),0))))</f>
        <v/>
      </c>
      <c r="Y596">
        <f>IF(OR($D596="",$B596="",Housemates!$B$14=""),0,IF($R596&gt;0,IF(L596="",0,IF(ISNUMBER(L596),L596,1)),IF($C596="Paying back",0,IF(AND(OR(Housemates!$C$14="",Housemates!$C$14&lt;=$B596),OR(Housemates!$D$14="",Housemates!$D$14&gt;=$B596)),IF($Q596=0,1,INDEX(Bills!$AG$6:$AG$25,$Q596)),0))))</f>
        <v/>
      </c>
      <c r="Z596">
        <f>IF(OR($D596="",$B596="",Housemates!$B$15=""),0,IF($R596&gt;0,IF(M596="",0,IF(ISNUMBER(M596),M596,1)),IF($C596="Paying back",0,IF(AND(OR(Housemates!$C$15="",Housemates!$C$15&lt;=$B596),OR(Housemates!$D$15="",Housemates!$D$15&gt;=$B596)),IF($Q596=0,1,INDEX(Bills!$AH$6:$AH$25,$Q596)),0))))</f>
        <v/>
      </c>
      <c r="AA596">
        <f>SUM(S596:Z596)</f>
        <v/>
      </c>
      <c r="AB596">
        <f>IF(AA596=0,0,D596*S596/AA596)</f>
        <v/>
      </c>
      <c r="AC596">
        <f>IF(AA596=0,0,D596*T596/AA596)</f>
        <v/>
      </c>
      <c r="AD596">
        <f>IF(AA596=0,0,D596*U596/AA596)</f>
        <v/>
      </c>
      <c r="AE596">
        <f>IF(AA596=0,0,D596*V596/AA596)</f>
        <v/>
      </c>
      <c r="AF596">
        <f>IF(AA596=0,0,D596*W596/AA596)</f>
        <v/>
      </c>
      <c r="AG596">
        <f>IF(AA596=0,0,D596*X596/AA596)</f>
        <v/>
      </c>
      <c r="AH596">
        <f>IF(AA596=0,0,D596*Y596/AA596)</f>
        <v/>
      </c>
      <c r="AI596">
        <f>IF(AA596=0,0,D596*Z596/AA596)</f>
        <v/>
      </c>
      <c r="AJ596">
        <f>IF(OR(C596="",B596=""),"",C596&amp;"|"&amp;(YEAR(B596)*100+MONTH(B596)))</f>
        <v/>
      </c>
    </row>
    <row r="597">
      <c r="A597" s="1" t="n"/>
      <c r="B597" s="23" t="n"/>
      <c r="C597" s="24" t="n"/>
      <c r="D597" s="25" t="n"/>
      <c r="E597" s="26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1">
        <f>IF(D597="","",IF(B597="","No date",IF(AND(C597="Paying back",R597=0),"To whom?",IF(AA597=0,"Nobody",IF(C597="Paying back","To "&amp;INDEX(Housemates!$B$8:$B$15,MATCH(MAX(S597:Z597),S597:Z597,0)),IF(R597&gt;0,IF(COUNTIF(S597:Z597,"&gt;0")=1,"1 person",COUNTIF(S597:Z597,"&gt;0")&amp;" people"),IF(Q597=0,"Everyone",INDEX(Bills!$Q$6:$Q$25,Q597))))))))</f>
        <v/>
      </c>
      <c r="O597" s="18">
        <f>IF(D597="","",IF(C597="Paying back","Paying back",IF(Q597=0,"Other",IF(INDEX(Bills!$C$6:$C$25,Q597)="","Other",INDEX(Bills!$C$6:$C$25,Q597)))))</f>
        <v/>
      </c>
      <c r="P597" s="1" t="n"/>
      <c r="Q597">
        <f>IF(C597="",0,IFERROR(MATCH(C597,Bills!$B$6:$B$25,0),0))</f>
        <v/>
      </c>
      <c r="R597">
        <f>COUNTA(F597:M597)</f>
        <v/>
      </c>
      <c r="S597">
        <f>IF(OR($D597="",$B597="",Housemates!$B$8=""),0,IF($R597&gt;0,IF(F597="",0,IF(ISNUMBER(F597),F597,1)),IF($C597="Paying back",0,IF(AND(OR(Housemates!$C$8="",Housemates!$C$8&lt;=$B597),OR(Housemates!$D$8="",Housemates!$D$8&gt;=$B597)),IF($Q597=0,1,INDEX(Bills!$AA$6:$AA$25,$Q597)),0))))</f>
        <v/>
      </c>
      <c r="T597">
        <f>IF(OR($D597="",$B597="",Housemates!$B$9=""),0,IF($R597&gt;0,IF(G597="",0,IF(ISNUMBER(G597),G597,1)),IF($C597="Paying back",0,IF(AND(OR(Housemates!$C$9="",Housemates!$C$9&lt;=$B597),OR(Housemates!$D$9="",Housemates!$D$9&gt;=$B597)),IF($Q597=0,1,INDEX(Bills!$AB$6:$AB$25,$Q597)),0))))</f>
        <v/>
      </c>
      <c r="U597">
        <f>IF(OR($D597="",$B597="",Housemates!$B$10=""),0,IF($R597&gt;0,IF(H597="",0,IF(ISNUMBER(H597),H597,1)),IF($C597="Paying back",0,IF(AND(OR(Housemates!$C$10="",Housemates!$C$10&lt;=$B597),OR(Housemates!$D$10="",Housemates!$D$10&gt;=$B597)),IF($Q597=0,1,INDEX(Bills!$AC$6:$AC$25,$Q597)),0))))</f>
        <v/>
      </c>
      <c r="V597">
        <f>IF(OR($D597="",$B597="",Housemates!$B$11=""),0,IF($R597&gt;0,IF(I597="",0,IF(ISNUMBER(I597),I597,1)),IF($C597="Paying back",0,IF(AND(OR(Housemates!$C$11="",Housemates!$C$11&lt;=$B597),OR(Housemates!$D$11="",Housemates!$D$11&gt;=$B597)),IF($Q597=0,1,INDEX(Bills!$AD$6:$AD$25,$Q597)),0))))</f>
        <v/>
      </c>
      <c r="W597">
        <f>IF(OR($D597="",$B597="",Housemates!$B$12=""),0,IF($R597&gt;0,IF(J597="",0,IF(ISNUMBER(J597),J597,1)),IF($C597="Paying back",0,IF(AND(OR(Housemates!$C$12="",Housemates!$C$12&lt;=$B597),OR(Housemates!$D$12="",Housemates!$D$12&gt;=$B597)),IF($Q597=0,1,INDEX(Bills!$AE$6:$AE$25,$Q597)),0))))</f>
        <v/>
      </c>
      <c r="X597">
        <f>IF(OR($D597="",$B597="",Housemates!$B$13=""),0,IF($R597&gt;0,IF(K597="",0,IF(ISNUMBER(K597),K597,1)),IF($C597="Paying back",0,IF(AND(OR(Housemates!$C$13="",Housemates!$C$13&lt;=$B597),OR(Housemates!$D$13="",Housemates!$D$13&gt;=$B597)),IF($Q597=0,1,INDEX(Bills!$AF$6:$AF$25,$Q597)),0))))</f>
        <v/>
      </c>
      <c r="Y597">
        <f>IF(OR($D597="",$B597="",Housemates!$B$14=""),0,IF($R597&gt;0,IF(L597="",0,IF(ISNUMBER(L597),L597,1)),IF($C597="Paying back",0,IF(AND(OR(Housemates!$C$14="",Housemates!$C$14&lt;=$B597),OR(Housemates!$D$14="",Housemates!$D$14&gt;=$B597)),IF($Q597=0,1,INDEX(Bills!$AG$6:$AG$25,$Q597)),0))))</f>
        <v/>
      </c>
      <c r="Z597">
        <f>IF(OR($D597="",$B597="",Housemates!$B$15=""),0,IF($R597&gt;0,IF(M597="",0,IF(ISNUMBER(M597),M597,1)),IF($C597="Paying back",0,IF(AND(OR(Housemates!$C$15="",Housemates!$C$15&lt;=$B597),OR(Housemates!$D$15="",Housemates!$D$15&gt;=$B597)),IF($Q597=0,1,INDEX(Bills!$AH$6:$AH$25,$Q597)),0))))</f>
        <v/>
      </c>
      <c r="AA597">
        <f>SUM(S597:Z597)</f>
        <v/>
      </c>
      <c r="AB597">
        <f>IF(AA597=0,0,D597*S597/AA597)</f>
        <v/>
      </c>
      <c r="AC597">
        <f>IF(AA597=0,0,D597*T597/AA597)</f>
        <v/>
      </c>
      <c r="AD597">
        <f>IF(AA597=0,0,D597*U597/AA597)</f>
        <v/>
      </c>
      <c r="AE597">
        <f>IF(AA597=0,0,D597*V597/AA597)</f>
        <v/>
      </c>
      <c r="AF597">
        <f>IF(AA597=0,0,D597*W597/AA597)</f>
        <v/>
      </c>
      <c r="AG597">
        <f>IF(AA597=0,0,D597*X597/AA597)</f>
        <v/>
      </c>
      <c r="AH597">
        <f>IF(AA597=0,0,D597*Y597/AA597)</f>
        <v/>
      </c>
      <c r="AI597">
        <f>IF(AA597=0,0,D597*Z597/AA597)</f>
        <v/>
      </c>
      <c r="AJ597">
        <f>IF(OR(C597="",B597=""),"",C597&amp;"|"&amp;(YEAR(B597)*100+MONTH(B597)))</f>
        <v/>
      </c>
    </row>
    <row r="598">
      <c r="A598" s="1" t="n"/>
      <c r="B598" s="23" t="n"/>
      <c r="C598" s="24" t="n"/>
      <c r="D598" s="25" t="n"/>
      <c r="E598" s="26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1">
        <f>IF(D598="","",IF(B598="","No date",IF(AND(C598="Paying back",R598=0),"To whom?",IF(AA598=0,"Nobody",IF(C598="Paying back","To "&amp;INDEX(Housemates!$B$8:$B$15,MATCH(MAX(S598:Z598),S598:Z598,0)),IF(R598&gt;0,IF(COUNTIF(S598:Z598,"&gt;0")=1,"1 person",COUNTIF(S598:Z598,"&gt;0")&amp;" people"),IF(Q598=0,"Everyone",INDEX(Bills!$Q$6:$Q$25,Q598))))))))</f>
        <v/>
      </c>
      <c r="O598" s="18">
        <f>IF(D598="","",IF(C598="Paying back","Paying back",IF(Q598=0,"Other",IF(INDEX(Bills!$C$6:$C$25,Q598)="","Other",INDEX(Bills!$C$6:$C$25,Q598)))))</f>
        <v/>
      </c>
      <c r="P598" s="1" t="n"/>
      <c r="Q598">
        <f>IF(C598="",0,IFERROR(MATCH(C598,Bills!$B$6:$B$25,0),0))</f>
        <v/>
      </c>
      <c r="R598">
        <f>COUNTA(F598:M598)</f>
        <v/>
      </c>
      <c r="S598">
        <f>IF(OR($D598="",$B598="",Housemates!$B$8=""),0,IF($R598&gt;0,IF(F598="",0,IF(ISNUMBER(F598),F598,1)),IF($C598="Paying back",0,IF(AND(OR(Housemates!$C$8="",Housemates!$C$8&lt;=$B598),OR(Housemates!$D$8="",Housemates!$D$8&gt;=$B598)),IF($Q598=0,1,INDEX(Bills!$AA$6:$AA$25,$Q598)),0))))</f>
        <v/>
      </c>
      <c r="T598">
        <f>IF(OR($D598="",$B598="",Housemates!$B$9=""),0,IF($R598&gt;0,IF(G598="",0,IF(ISNUMBER(G598),G598,1)),IF($C598="Paying back",0,IF(AND(OR(Housemates!$C$9="",Housemates!$C$9&lt;=$B598),OR(Housemates!$D$9="",Housemates!$D$9&gt;=$B598)),IF($Q598=0,1,INDEX(Bills!$AB$6:$AB$25,$Q598)),0))))</f>
        <v/>
      </c>
      <c r="U598">
        <f>IF(OR($D598="",$B598="",Housemates!$B$10=""),0,IF($R598&gt;0,IF(H598="",0,IF(ISNUMBER(H598),H598,1)),IF($C598="Paying back",0,IF(AND(OR(Housemates!$C$10="",Housemates!$C$10&lt;=$B598),OR(Housemates!$D$10="",Housemates!$D$10&gt;=$B598)),IF($Q598=0,1,INDEX(Bills!$AC$6:$AC$25,$Q598)),0))))</f>
        <v/>
      </c>
      <c r="V598">
        <f>IF(OR($D598="",$B598="",Housemates!$B$11=""),0,IF($R598&gt;0,IF(I598="",0,IF(ISNUMBER(I598),I598,1)),IF($C598="Paying back",0,IF(AND(OR(Housemates!$C$11="",Housemates!$C$11&lt;=$B598),OR(Housemates!$D$11="",Housemates!$D$11&gt;=$B598)),IF($Q598=0,1,INDEX(Bills!$AD$6:$AD$25,$Q598)),0))))</f>
        <v/>
      </c>
      <c r="W598">
        <f>IF(OR($D598="",$B598="",Housemates!$B$12=""),0,IF($R598&gt;0,IF(J598="",0,IF(ISNUMBER(J598),J598,1)),IF($C598="Paying back",0,IF(AND(OR(Housemates!$C$12="",Housemates!$C$12&lt;=$B598),OR(Housemates!$D$12="",Housemates!$D$12&gt;=$B598)),IF($Q598=0,1,INDEX(Bills!$AE$6:$AE$25,$Q598)),0))))</f>
        <v/>
      </c>
      <c r="X598">
        <f>IF(OR($D598="",$B598="",Housemates!$B$13=""),0,IF($R598&gt;0,IF(K598="",0,IF(ISNUMBER(K598),K598,1)),IF($C598="Paying back",0,IF(AND(OR(Housemates!$C$13="",Housemates!$C$13&lt;=$B598),OR(Housemates!$D$13="",Housemates!$D$13&gt;=$B598)),IF($Q598=0,1,INDEX(Bills!$AF$6:$AF$25,$Q598)),0))))</f>
        <v/>
      </c>
      <c r="Y598">
        <f>IF(OR($D598="",$B598="",Housemates!$B$14=""),0,IF($R598&gt;0,IF(L598="",0,IF(ISNUMBER(L598),L598,1)),IF($C598="Paying back",0,IF(AND(OR(Housemates!$C$14="",Housemates!$C$14&lt;=$B598),OR(Housemates!$D$14="",Housemates!$D$14&gt;=$B598)),IF($Q598=0,1,INDEX(Bills!$AG$6:$AG$25,$Q598)),0))))</f>
        <v/>
      </c>
      <c r="Z598">
        <f>IF(OR($D598="",$B598="",Housemates!$B$15=""),0,IF($R598&gt;0,IF(M598="",0,IF(ISNUMBER(M598),M598,1)),IF($C598="Paying back",0,IF(AND(OR(Housemates!$C$15="",Housemates!$C$15&lt;=$B598),OR(Housemates!$D$15="",Housemates!$D$15&gt;=$B598)),IF($Q598=0,1,INDEX(Bills!$AH$6:$AH$25,$Q598)),0))))</f>
        <v/>
      </c>
      <c r="AA598">
        <f>SUM(S598:Z598)</f>
        <v/>
      </c>
      <c r="AB598">
        <f>IF(AA598=0,0,D598*S598/AA598)</f>
        <v/>
      </c>
      <c r="AC598">
        <f>IF(AA598=0,0,D598*T598/AA598)</f>
        <v/>
      </c>
      <c r="AD598">
        <f>IF(AA598=0,0,D598*U598/AA598)</f>
        <v/>
      </c>
      <c r="AE598">
        <f>IF(AA598=0,0,D598*V598/AA598)</f>
        <v/>
      </c>
      <c r="AF598">
        <f>IF(AA598=0,0,D598*W598/AA598)</f>
        <v/>
      </c>
      <c r="AG598">
        <f>IF(AA598=0,0,D598*X598/AA598)</f>
        <v/>
      </c>
      <c r="AH598">
        <f>IF(AA598=0,0,D598*Y598/AA598)</f>
        <v/>
      </c>
      <c r="AI598">
        <f>IF(AA598=0,0,D598*Z598/AA598)</f>
        <v/>
      </c>
      <c r="AJ598">
        <f>IF(OR(C598="",B598=""),"",C598&amp;"|"&amp;(YEAR(B598)*100+MONTH(B598)))</f>
        <v/>
      </c>
    </row>
    <row r="599">
      <c r="A599" s="1" t="n"/>
      <c r="B599" s="23" t="n"/>
      <c r="C599" s="24" t="n"/>
      <c r="D599" s="25" t="n"/>
      <c r="E599" s="26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1">
        <f>IF(D599="","",IF(B599="","No date",IF(AND(C599="Paying back",R599=0),"To whom?",IF(AA599=0,"Nobody",IF(C599="Paying back","To "&amp;INDEX(Housemates!$B$8:$B$15,MATCH(MAX(S599:Z599),S599:Z599,0)),IF(R599&gt;0,IF(COUNTIF(S599:Z599,"&gt;0")=1,"1 person",COUNTIF(S599:Z599,"&gt;0")&amp;" people"),IF(Q599=0,"Everyone",INDEX(Bills!$Q$6:$Q$25,Q599))))))))</f>
        <v/>
      </c>
      <c r="O599" s="18">
        <f>IF(D599="","",IF(C599="Paying back","Paying back",IF(Q599=0,"Other",IF(INDEX(Bills!$C$6:$C$25,Q599)="","Other",INDEX(Bills!$C$6:$C$25,Q599)))))</f>
        <v/>
      </c>
      <c r="P599" s="1" t="n"/>
      <c r="Q599">
        <f>IF(C599="",0,IFERROR(MATCH(C599,Bills!$B$6:$B$25,0),0))</f>
        <v/>
      </c>
      <c r="R599">
        <f>COUNTA(F599:M599)</f>
        <v/>
      </c>
      <c r="S599">
        <f>IF(OR($D599="",$B599="",Housemates!$B$8=""),0,IF($R599&gt;0,IF(F599="",0,IF(ISNUMBER(F599),F599,1)),IF($C599="Paying back",0,IF(AND(OR(Housemates!$C$8="",Housemates!$C$8&lt;=$B599),OR(Housemates!$D$8="",Housemates!$D$8&gt;=$B599)),IF($Q599=0,1,INDEX(Bills!$AA$6:$AA$25,$Q599)),0))))</f>
        <v/>
      </c>
      <c r="T599">
        <f>IF(OR($D599="",$B599="",Housemates!$B$9=""),0,IF($R599&gt;0,IF(G599="",0,IF(ISNUMBER(G599),G599,1)),IF($C599="Paying back",0,IF(AND(OR(Housemates!$C$9="",Housemates!$C$9&lt;=$B599),OR(Housemates!$D$9="",Housemates!$D$9&gt;=$B599)),IF($Q599=0,1,INDEX(Bills!$AB$6:$AB$25,$Q599)),0))))</f>
        <v/>
      </c>
      <c r="U599">
        <f>IF(OR($D599="",$B599="",Housemates!$B$10=""),0,IF($R599&gt;0,IF(H599="",0,IF(ISNUMBER(H599),H599,1)),IF($C599="Paying back",0,IF(AND(OR(Housemates!$C$10="",Housemates!$C$10&lt;=$B599),OR(Housemates!$D$10="",Housemates!$D$10&gt;=$B599)),IF($Q599=0,1,INDEX(Bills!$AC$6:$AC$25,$Q599)),0))))</f>
        <v/>
      </c>
      <c r="V599">
        <f>IF(OR($D599="",$B599="",Housemates!$B$11=""),0,IF($R599&gt;0,IF(I599="",0,IF(ISNUMBER(I599),I599,1)),IF($C599="Paying back",0,IF(AND(OR(Housemates!$C$11="",Housemates!$C$11&lt;=$B599),OR(Housemates!$D$11="",Housemates!$D$11&gt;=$B599)),IF($Q599=0,1,INDEX(Bills!$AD$6:$AD$25,$Q599)),0))))</f>
        <v/>
      </c>
      <c r="W599">
        <f>IF(OR($D599="",$B599="",Housemates!$B$12=""),0,IF($R599&gt;0,IF(J599="",0,IF(ISNUMBER(J599),J599,1)),IF($C599="Paying back",0,IF(AND(OR(Housemates!$C$12="",Housemates!$C$12&lt;=$B599),OR(Housemates!$D$12="",Housemates!$D$12&gt;=$B599)),IF($Q599=0,1,INDEX(Bills!$AE$6:$AE$25,$Q599)),0))))</f>
        <v/>
      </c>
      <c r="X599">
        <f>IF(OR($D599="",$B599="",Housemates!$B$13=""),0,IF($R599&gt;0,IF(K599="",0,IF(ISNUMBER(K599),K599,1)),IF($C599="Paying back",0,IF(AND(OR(Housemates!$C$13="",Housemates!$C$13&lt;=$B599),OR(Housemates!$D$13="",Housemates!$D$13&gt;=$B599)),IF($Q599=0,1,INDEX(Bills!$AF$6:$AF$25,$Q599)),0))))</f>
        <v/>
      </c>
      <c r="Y599">
        <f>IF(OR($D599="",$B599="",Housemates!$B$14=""),0,IF($R599&gt;0,IF(L599="",0,IF(ISNUMBER(L599),L599,1)),IF($C599="Paying back",0,IF(AND(OR(Housemates!$C$14="",Housemates!$C$14&lt;=$B599),OR(Housemates!$D$14="",Housemates!$D$14&gt;=$B599)),IF($Q599=0,1,INDEX(Bills!$AG$6:$AG$25,$Q599)),0))))</f>
        <v/>
      </c>
      <c r="Z599">
        <f>IF(OR($D599="",$B599="",Housemates!$B$15=""),0,IF($R599&gt;0,IF(M599="",0,IF(ISNUMBER(M599),M599,1)),IF($C599="Paying back",0,IF(AND(OR(Housemates!$C$15="",Housemates!$C$15&lt;=$B599),OR(Housemates!$D$15="",Housemates!$D$15&gt;=$B599)),IF($Q599=0,1,INDEX(Bills!$AH$6:$AH$25,$Q599)),0))))</f>
        <v/>
      </c>
      <c r="AA599">
        <f>SUM(S599:Z599)</f>
        <v/>
      </c>
      <c r="AB599">
        <f>IF(AA599=0,0,D599*S599/AA599)</f>
        <v/>
      </c>
      <c r="AC599">
        <f>IF(AA599=0,0,D599*T599/AA599)</f>
        <v/>
      </c>
      <c r="AD599">
        <f>IF(AA599=0,0,D599*U599/AA599)</f>
        <v/>
      </c>
      <c r="AE599">
        <f>IF(AA599=0,0,D599*V599/AA599)</f>
        <v/>
      </c>
      <c r="AF599">
        <f>IF(AA599=0,0,D599*W599/AA599)</f>
        <v/>
      </c>
      <c r="AG599">
        <f>IF(AA599=0,0,D599*X599/AA599)</f>
        <v/>
      </c>
      <c r="AH599">
        <f>IF(AA599=0,0,D599*Y599/AA599)</f>
        <v/>
      </c>
      <c r="AI599">
        <f>IF(AA599=0,0,D599*Z599/AA599)</f>
        <v/>
      </c>
      <c r="AJ599">
        <f>IF(OR(C599="",B599=""),"",C599&amp;"|"&amp;(YEAR(B599)*100+MONTH(B599)))</f>
        <v/>
      </c>
    </row>
    <row r="600">
      <c r="A600" s="1" t="n"/>
      <c r="B600" s="23" t="n"/>
      <c r="C600" s="24" t="n"/>
      <c r="D600" s="25" t="n"/>
      <c r="E600" s="26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1">
        <f>IF(D600="","",IF(B600="","No date",IF(AND(C600="Paying back",R600=0),"To whom?",IF(AA600=0,"Nobody",IF(C600="Paying back","To "&amp;INDEX(Housemates!$B$8:$B$15,MATCH(MAX(S600:Z600),S600:Z600,0)),IF(R600&gt;0,IF(COUNTIF(S600:Z600,"&gt;0")=1,"1 person",COUNTIF(S600:Z600,"&gt;0")&amp;" people"),IF(Q600=0,"Everyone",INDEX(Bills!$Q$6:$Q$25,Q600))))))))</f>
        <v/>
      </c>
      <c r="O600" s="18">
        <f>IF(D600="","",IF(C600="Paying back","Paying back",IF(Q600=0,"Other",IF(INDEX(Bills!$C$6:$C$25,Q600)="","Other",INDEX(Bills!$C$6:$C$25,Q600)))))</f>
        <v/>
      </c>
      <c r="P600" s="1" t="n"/>
      <c r="Q600">
        <f>IF(C600="",0,IFERROR(MATCH(C600,Bills!$B$6:$B$25,0),0))</f>
        <v/>
      </c>
      <c r="R600">
        <f>COUNTA(F600:M600)</f>
        <v/>
      </c>
      <c r="S600">
        <f>IF(OR($D600="",$B600="",Housemates!$B$8=""),0,IF($R600&gt;0,IF(F600="",0,IF(ISNUMBER(F600),F600,1)),IF($C600="Paying back",0,IF(AND(OR(Housemates!$C$8="",Housemates!$C$8&lt;=$B600),OR(Housemates!$D$8="",Housemates!$D$8&gt;=$B600)),IF($Q600=0,1,INDEX(Bills!$AA$6:$AA$25,$Q600)),0))))</f>
        <v/>
      </c>
      <c r="T600">
        <f>IF(OR($D600="",$B600="",Housemates!$B$9=""),0,IF($R600&gt;0,IF(G600="",0,IF(ISNUMBER(G600),G600,1)),IF($C600="Paying back",0,IF(AND(OR(Housemates!$C$9="",Housemates!$C$9&lt;=$B600),OR(Housemates!$D$9="",Housemates!$D$9&gt;=$B600)),IF($Q600=0,1,INDEX(Bills!$AB$6:$AB$25,$Q600)),0))))</f>
        <v/>
      </c>
      <c r="U600">
        <f>IF(OR($D600="",$B600="",Housemates!$B$10=""),0,IF($R600&gt;0,IF(H600="",0,IF(ISNUMBER(H600),H600,1)),IF($C600="Paying back",0,IF(AND(OR(Housemates!$C$10="",Housemates!$C$10&lt;=$B600),OR(Housemates!$D$10="",Housemates!$D$10&gt;=$B600)),IF($Q600=0,1,INDEX(Bills!$AC$6:$AC$25,$Q600)),0))))</f>
        <v/>
      </c>
      <c r="V600">
        <f>IF(OR($D600="",$B600="",Housemates!$B$11=""),0,IF($R600&gt;0,IF(I600="",0,IF(ISNUMBER(I600),I600,1)),IF($C600="Paying back",0,IF(AND(OR(Housemates!$C$11="",Housemates!$C$11&lt;=$B600),OR(Housemates!$D$11="",Housemates!$D$11&gt;=$B600)),IF($Q600=0,1,INDEX(Bills!$AD$6:$AD$25,$Q600)),0))))</f>
        <v/>
      </c>
      <c r="W600">
        <f>IF(OR($D600="",$B600="",Housemates!$B$12=""),0,IF($R600&gt;0,IF(J600="",0,IF(ISNUMBER(J600),J600,1)),IF($C600="Paying back",0,IF(AND(OR(Housemates!$C$12="",Housemates!$C$12&lt;=$B600),OR(Housemates!$D$12="",Housemates!$D$12&gt;=$B600)),IF($Q600=0,1,INDEX(Bills!$AE$6:$AE$25,$Q600)),0))))</f>
        <v/>
      </c>
      <c r="X600">
        <f>IF(OR($D600="",$B600="",Housemates!$B$13=""),0,IF($R600&gt;0,IF(K600="",0,IF(ISNUMBER(K600),K600,1)),IF($C600="Paying back",0,IF(AND(OR(Housemates!$C$13="",Housemates!$C$13&lt;=$B600),OR(Housemates!$D$13="",Housemates!$D$13&gt;=$B600)),IF($Q600=0,1,INDEX(Bills!$AF$6:$AF$25,$Q600)),0))))</f>
        <v/>
      </c>
      <c r="Y600">
        <f>IF(OR($D600="",$B600="",Housemates!$B$14=""),0,IF($R600&gt;0,IF(L600="",0,IF(ISNUMBER(L600),L600,1)),IF($C600="Paying back",0,IF(AND(OR(Housemates!$C$14="",Housemates!$C$14&lt;=$B600),OR(Housemates!$D$14="",Housemates!$D$14&gt;=$B600)),IF($Q600=0,1,INDEX(Bills!$AG$6:$AG$25,$Q600)),0))))</f>
        <v/>
      </c>
      <c r="Z600">
        <f>IF(OR($D600="",$B600="",Housemates!$B$15=""),0,IF($R600&gt;0,IF(M600="",0,IF(ISNUMBER(M600),M600,1)),IF($C600="Paying back",0,IF(AND(OR(Housemates!$C$15="",Housemates!$C$15&lt;=$B600),OR(Housemates!$D$15="",Housemates!$D$15&gt;=$B600)),IF($Q600=0,1,INDEX(Bills!$AH$6:$AH$25,$Q600)),0))))</f>
        <v/>
      </c>
      <c r="AA600">
        <f>SUM(S600:Z600)</f>
        <v/>
      </c>
      <c r="AB600">
        <f>IF(AA600=0,0,D600*S600/AA600)</f>
        <v/>
      </c>
      <c r="AC600">
        <f>IF(AA600=0,0,D600*T600/AA600)</f>
        <v/>
      </c>
      <c r="AD600">
        <f>IF(AA600=0,0,D600*U600/AA600)</f>
        <v/>
      </c>
      <c r="AE600">
        <f>IF(AA600=0,0,D600*V600/AA600)</f>
        <v/>
      </c>
      <c r="AF600">
        <f>IF(AA600=0,0,D600*W600/AA600)</f>
        <v/>
      </c>
      <c r="AG600">
        <f>IF(AA600=0,0,D600*X600/AA600)</f>
        <v/>
      </c>
      <c r="AH600">
        <f>IF(AA600=0,0,D600*Y600/AA600)</f>
        <v/>
      </c>
      <c r="AI600">
        <f>IF(AA600=0,0,D600*Z600/AA600)</f>
        <v/>
      </c>
      <c r="AJ600">
        <f>IF(OR(C600="",B600=""),"",C600&amp;"|"&amp;(YEAR(B600)*100+MONTH(B600)))</f>
        <v/>
      </c>
    </row>
    <row r="601">
      <c r="A601" s="1" t="n"/>
      <c r="B601" s="23" t="n"/>
      <c r="C601" s="24" t="n"/>
      <c r="D601" s="25" t="n"/>
      <c r="E601" s="26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1">
        <f>IF(D601="","",IF(B601="","No date",IF(AND(C601="Paying back",R601=0),"To whom?",IF(AA601=0,"Nobody",IF(C601="Paying back","To "&amp;INDEX(Housemates!$B$8:$B$15,MATCH(MAX(S601:Z601),S601:Z601,0)),IF(R601&gt;0,IF(COUNTIF(S601:Z601,"&gt;0")=1,"1 person",COUNTIF(S601:Z601,"&gt;0")&amp;" people"),IF(Q601=0,"Everyone",INDEX(Bills!$Q$6:$Q$25,Q601))))))))</f>
        <v/>
      </c>
      <c r="O601" s="18">
        <f>IF(D601="","",IF(C601="Paying back","Paying back",IF(Q601=0,"Other",IF(INDEX(Bills!$C$6:$C$25,Q601)="","Other",INDEX(Bills!$C$6:$C$25,Q601)))))</f>
        <v/>
      </c>
      <c r="P601" s="1" t="n"/>
      <c r="Q601">
        <f>IF(C601="",0,IFERROR(MATCH(C601,Bills!$B$6:$B$25,0),0))</f>
        <v/>
      </c>
      <c r="R601">
        <f>COUNTA(F601:M601)</f>
        <v/>
      </c>
      <c r="S601">
        <f>IF(OR($D601="",$B601="",Housemates!$B$8=""),0,IF($R601&gt;0,IF(F601="",0,IF(ISNUMBER(F601),F601,1)),IF($C601="Paying back",0,IF(AND(OR(Housemates!$C$8="",Housemates!$C$8&lt;=$B601),OR(Housemates!$D$8="",Housemates!$D$8&gt;=$B601)),IF($Q601=0,1,INDEX(Bills!$AA$6:$AA$25,$Q601)),0))))</f>
        <v/>
      </c>
      <c r="T601">
        <f>IF(OR($D601="",$B601="",Housemates!$B$9=""),0,IF($R601&gt;0,IF(G601="",0,IF(ISNUMBER(G601),G601,1)),IF($C601="Paying back",0,IF(AND(OR(Housemates!$C$9="",Housemates!$C$9&lt;=$B601),OR(Housemates!$D$9="",Housemates!$D$9&gt;=$B601)),IF($Q601=0,1,INDEX(Bills!$AB$6:$AB$25,$Q601)),0))))</f>
        <v/>
      </c>
      <c r="U601">
        <f>IF(OR($D601="",$B601="",Housemates!$B$10=""),0,IF($R601&gt;0,IF(H601="",0,IF(ISNUMBER(H601),H601,1)),IF($C601="Paying back",0,IF(AND(OR(Housemates!$C$10="",Housemates!$C$10&lt;=$B601),OR(Housemates!$D$10="",Housemates!$D$10&gt;=$B601)),IF($Q601=0,1,INDEX(Bills!$AC$6:$AC$25,$Q601)),0))))</f>
        <v/>
      </c>
      <c r="V601">
        <f>IF(OR($D601="",$B601="",Housemates!$B$11=""),0,IF($R601&gt;0,IF(I601="",0,IF(ISNUMBER(I601),I601,1)),IF($C601="Paying back",0,IF(AND(OR(Housemates!$C$11="",Housemates!$C$11&lt;=$B601),OR(Housemates!$D$11="",Housemates!$D$11&gt;=$B601)),IF($Q601=0,1,INDEX(Bills!$AD$6:$AD$25,$Q601)),0))))</f>
        <v/>
      </c>
      <c r="W601">
        <f>IF(OR($D601="",$B601="",Housemates!$B$12=""),0,IF($R601&gt;0,IF(J601="",0,IF(ISNUMBER(J601),J601,1)),IF($C601="Paying back",0,IF(AND(OR(Housemates!$C$12="",Housemates!$C$12&lt;=$B601),OR(Housemates!$D$12="",Housemates!$D$12&gt;=$B601)),IF($Q601=0,1,INDEX(Bills!$AE$6:$AE$25,$Q601)),0))))</f>
        <v/>
      </c>
      <c r="X601">
        <f>IF(OR($D601="",$B601="",Housemates!$B$13=""),0,IF($R601&gt;0,IF(K601="",0,IF(ISNUMBER(K601),K601,1)),IF($C601="Paying back",0,IF(AND(OR(Housemates!$C$13="",Housemates!$C$13&lt;=$B601),OR(Housemates!$D$13="",Housemates!$D$13&gt;=$B601)),IF($Q601=0,1,INDEX(Bills!$AF$6:$AF$25,$Q601)),0))))</f>
        <v/>
      </c>
      <c r="Y601">
        <f>IF(OR($D601="",$B601="",Housemates!$B$14=""),0,IF($R601&gt;0,IF(L601="",0,IF(ISNUMBER(L601),L601,1)),IF($C601="Paying back",0,IF(AND(OR(Housemates!$C$14="",Housemates!$C$14&lt;=$B601),OR(Housemates!$D$14="",Housemates!$D$14&gt;=$B601)),IF($Q601=0,1,INDEX(Bills!$AG$6:$AG$25,$Q601)),0))))</f>
        <v/>
      </c>
      <c r="Z601">
        <f>IF(OR($D601="",$B601="",Housemates!$B$15=""),0,IF($R601&gt;0,IF(M601="",0,IF(ISNUMBER(M601),M601,1)),IF($C601="Paying back",0,IF(AND(OR(Housemates!$C$15="",Housemates!$C$15&lt;=$B601),OR(Housemates!$D$15="",Housemates!$D$15&gt;=$B601)),IF($Q601=0,1,INDEX(Bills!$AH$6:$AH$25,$Q601)),0))))</f>
        <v/>
      </c>
      <c r="AA601">
        <f>SUM(S601:Z601)</f>
        <v/>
      </c>
      <c r="AB601">
        <f>IF(AA601=0,0,D601*S601/AA601)</f>
        <v/>
      </c>
      <c r="AC601">
        <f>IF(AA601=0,0,D601*T601/AA601)</f>
        <v/>
      </c>
      <c r="AD601">
        <f>IF(AA601=0,0,D601*U601/AA601)</f>
        <v/>
      </c>
      <c r="AE601">
        <f>IF(AA601=0,0,D601*V601/AA601)</f>
        <v/>
      </c>
      <c r="AF601">
        <f>IF(AA601=0,0,D601*W601/AA601)</f>
        <v/>
      </c>
      <c r="AG601">
        <f>IF(AA601=0,0,D601*X601/AA601)</f>
        <v/>
      </c>
      <c r="AH601">
        <f>IF(AA601=0,0,D601*Y601/AA601)</f>
        <v/>
      </c>
      <c r="AI601">
        <f>IF(AA601=0,0,D601*Z601/AA601)</f>
        <v/>
      </c>
      <c r="AJ601">
        <f>IF(OR(C601="",B601=""),"",C601&amp;"|"&amp;(YEAR(B601)*100+MONTH(B601)))</f>
        <v/>
      </c>
    </row>
    <row r="602">
      <c r="A602" s="1" t="n"/>
      <c r="B602" s="23" t="n"/>
      <c r="C602" s="24" t="n"/>
      <c r="D602" s="25" t="n"/>
      <c r="E602" s="26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1">
        <f>IF(D602="","",IF(B602="","No date",IF(AND(C602="Paying back",R602=0),"To whom?",IF(AA602=0,"Nobody",IF(C602="Paying back","To "&amp;INDEX(Housemates!$B$8:$B$15,MATCH(MAX(S602:Z602),S602:Z602,0)),IF(R602&gt;0,IF(COUNTIF(S602:Z602,"&gt;0")=1,"1 person",COUNTIF(S602:Z602,"&gt;0")&amp;" people"),IF(Q602=0,"Everyone",INDEX(Bills!$Q$6:$Q$25,Q602))))))))</f>
        <v/>
      </c>
      <c r="O602" s="18">
        <f>IF(D602="","",IF(C602="Paying back","Paying back",IF(Q602=0,"Other",IF(INDEX(Bills!$C$6:$C$25,Q602)="","Other",INDEX(Bills!$C$6:$C$25,Q602)))))</f>
        <v/>
      </c>
      <c r="P602" s="1" t="n"/>
      <c r="Q602">
        <f>IF(C602="",0,IFERROR(MATCH(C602,Bills!$B$6:$B$25,0),0))</f>
        <v/>
      </c>
      <c r="R602">
        <f>COUNTA(F602:M602)</f>
        <v/>
      </c>
      <c r="S602">
        <f>IF(OR($D602="",$B602="",Housemates!$B$8=""),0,IF($R602&gt;0,IF(F602="",0,IF(ISNUMBER(F602),F602,1)),IF($C602="Paying back",0,IF(AND(OR(Housemates!$C$8="",Housemates!$C$8&lt;=$B602),OR(Housemates!$D$8="",Housemates!$D$8&gt;=$B602)),IF($Q602=0,1,INDEX(Bills!$AA$6:$AA$25,$Q602)),0))))</f>
        <v/>
      </c>
      <c r="T602">
        <f>IF(OR($D602="",$B602="",Housemates!$B$9=""),0,IF($R602&gt;0,IF(G602="",0,IF(ISNUMBER(G602),G602,1)),IF($C602="Paying back",0,IF(AND(OR(Housemates!$C$9="",Housemates!$C$9&lt;=$B602),OR(Housemates!$D$9="",Housemates!$D$9&gt;=$B602)),IF($Q602=0,1,INDEX(Bills!$AB$6:$AB$25,$Q602)),0))))</f>
        <v/>
      </c>
      <c r="U602">
        <f>IF(OR($D602="",$B602="",Housemates!$B$10=""),0,IF($R602&gt;0,IF(H602="",0,IF(ISNUMBER(H602),H602,1)),IF($C602="Paying back",0,IF(AND(OR(Housemates!$C$10="",Housemates!$C$10&lt;=$B602),OR(Housemates!$D$10="",Housemates!$D$10&gt;=$B602)),IF($Q602=0,1,INDEX(Bills!$AC$6:$AC$25,$Q602)),0))))</f>
        <v/>
      </c>
      <c r="V602">
        <f>IF(OR($D602="",$B602="",Housemates!$B$11=""),0,IF($R602&gt;0,IF(I602="",0,IF(ISNUMBER(I602),I602,1)),IF($C602="Paying back",0,IF(AND(OR(Housemates!$C$11="",Housemates!$C$11&lt;=$B602),OR(Housemates!$D$11="",Housemates!$D$11&gt;=$B602)),IF($Q602=0,1,INDEX(Bills!$AD$6:$AD$25,$Q602)),0))))</f>
        <v/>
      </c>
      <c r="W602">
        <f>IF(OR($D602="",$B602="",Housemates!$B$12=""),0,IF($R602&gt;0,IF(J602="",0,IF(ISNUMBER(J602),J602,1)),IF($C602="Paying back",0,IF(AND(OR(Housemates!$C$12="",Housemates!$C$12&lt;=$B602),OR(Housemates!$D$12="",Housemates!$D$12&gt;=$B602)),IF($Q602=0,1,INDEX(Bills!$AE$6:$AE$25,$Q602)),0))))</f>
        <v/>
      </c>
      <c r="X602">
        <f>IF(OR($D602="",$B602="",Housemates!$B$13=""),0,IF($R602&gt;0,IF(K602="",0,IF(ISNUMBER(K602),K602,1)),IF($C602="Paying back",0,IF(AND(OR(Housemates!$C$13="",Housemates!$C$13&lt;=$B602),OR(Housemates!$D$13="",Housemates!$D$13&gt;=$B602)),IF($Q602=0,1,INDEX(Bills!$AF$6:$AF$25,$Q602)),0))))</f>
        <v/>
      </c>
      <c r="Y602">
        <f>IF(OR($D602="",$B602="",Housemates!$B$14=""),0,IF($R602&gt;0,IF(L602="",0,IF(ISNUMBER(L602),L602,1)),IF($C602="Paying back",0,IF(AND(OR(Housemates!$C$14="",Housemates!$C$14&lt;=$B602),OR(Housemates!$D$14="",Housemates!$D$14&gt;=$B602)),IF($Q602=0,1,INDEX(Bills!$AG$6:$AG$25,$Q602)),0))))</f>
        <v/>
      </c>
      <c r="Z602">
        <f>IF(OR($D602="",$B602="",Housemates!$B$15=""),0,IF($R602&gt;0,IF(M602="",0,IF(ISNUMBER(M602),M602,1)),IF($C602="Paying back",0,IF(AND(OR(Housemates!$C$15="",Housemates!$C$15&lt;=$B602),OR(Housemates!$D$15="",Housemates!$D$15&gt;=$B602)),IF($Q602=0,1,INDEX(Bills!$AH$6:$AH$25,$Q602)),0))))</f>
        <v/>
      </c>
      <c r="AA602">
        <f>SUM(S602:Z602)</f>
        <v/>
      </c>
      <c r="AB602">
        <f>IF(AA602=0,0,D602*S602/AA602)</f>
        <v/>
      </c>
      <c r="AC602">
        <f>IF(AA602=0,0,D602*T602/AA602)</f>
        <v/>
      </c>
      <c r="AD602">
        <f>IF(AA602=0,0,D602*U602/AA602)</f>
        <v/>
      </c>
      <c r="AE602">
        <f>IF(AA602=0,0,D602*V602/AA602)</f>
        <v/>
      </c>
      <c r="AF602">
        <f>IF(AA602=0,0,D602*W602/AA602)</f>
        <v/>
      </c>
      <c r="AG602">
        <f>IF(AA602=0,0,D602*X602/AA602)</f>
        <v/>
      </c>
      <c r="AH602">
        <f>IF(AA602=0,0,D602*Y602/AA602)</f>
        <v/>
      </c>
      <c r="AI602">
        <f>IF(AA602=0,0,D602*Z602/AA602)</f>
        <v/>
      </c>
      <c r="AJ602">
        <f>IF(OR(C602="",B602=""),"",C602&amp;"|"&amp;(YEAR(B602)*100+MONTH(B602)))</f>
        <v/>
      </c>
    </row>
    <row r="603">
      <c r="A603" s="1" t="n"/>
      <c r="B603" s="23" t="n"/>
      <c r="C603" s="24" t="n"/>
      <c r="D603" s="25" t="n"/>
      <c r="E603" s="26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1">
        <f>IF(D603="","",IF(B603="","No date",IF(AND(C603="Paying back",R603=0),"To whom?",IF(AA603=0,"Nobody",IF(C603="Paying back","To "&amp;INDEX(Housemates!$B$8:$B$15,MATCH(MAX(S603:Z603),S603:Z603,0)),IF(R603&gt;0,IF(COUNTIF(S603:Z603,"&gt;0")=1,"1 person",COUNTIF(S603:Z603,"&gt;0")&amp;" people"),IF(Q603=0,"Everyone",INDEX(Bills!$Q$6:$Q$25,Q603))))))))</f>
        <v/>
      </c>
      <c r="O603" s="18">
        <f>IF(D603="","",IF(C603="Paying back","Paying back",IF(Q603=0,"Other",IF(INDEX(Bills!$C$6:$C$25,Q603)="","Other",INDEX(Bills!$C$6:$C$25,Q603)))))</f>
        <v/>
      </c>
      <c r="P603" s="1" t="n"/>
      <c r="Q603">
        <f>IF(C603="",0,IFERROR(MATCH(C603,Bills!$B$6:$B$25,0),0))</f>
        <v/>
      </c>
      <c r="R603">
        <f>COUNTA(F603:M603)</f>
        <v/>
      </c>
      <c r="S603">
        <f>IF(OR($D603="",$B603="",Housemates!$B$8=""),0,IF($R603&gt;0,IF(F603="",0,IF(ISNUMBER(F603),F603,1)),IF($C603="Paying back",0,IF(AND(OR(Housemates!$C$8="",Housemates!$C$8&lt;=$B603),OR(Housemates!$D$8="",Housemates!$D$8&gt;=$B603)),IF($Q603=0,1,INDEX(Bills!$AA$6:$AA$25,$Q603)),0))))</f>
        <v/>
      </c>
      <c r="T603">
        <f>IF(OR($D603="",$B603="",Housemates!$B$9=""),0,IF($R603&gt;0,IF(G603="",0,IF(ISNUMBER(G603),G603,1)),IF($C603="Paying back",0,IF(AND(OR(Housemates!$C$9="",Housemates!$C$9&lt;=$B603),OR(Housemates!$D$9="",Housemates!$D$9&gt;=$B603)),IF($Q603=0,1,INDEX(Bills!$AB$6:$AB$25,$Q603)),0))))</f>
        <v/>
      </c>
      <c r="U603">
        <f>IF(OR($D603="",$B603="",Housemates!$B$10=""),0,IF($R603&gt;0,IF(H603="",0,IF(ISNUMBER(H603),H603,1)),IF($C603="Paying back",0,IF(AND(OR(Housemates!$C$10="",Housemates!$C$10&lt;=$B603),OR(Housemates!$D$10="",Housemates!$D$10&gt;=$B603)),IF($Q603=0,1,INDEX(Bills!$AC$6:$AC$25,$Q603)),0))))</f>
        <v/>
      </c>
      <c r="V603">
        <f>IF(OR($D603="",$B603="",Housemates!$B$11=""),0,IF($R603&gt;0,IF(I603="",0,IF(ISNUMBER(I603),I603,1)),IF($C603="Paying back",0,IF(AND(OR(Housemates!$C$11="",Housemates!$C$11&lt;=$B603),OR(Housemates!$D$11="",Housemates!$D$11&gt;=$B603)),IF($Q603=0,1,INDEX(Bills!$AD$6:$AD$25,$Q603)),0))))</f>
        <v/>
      </c>
      <c r="W603">
        <f>IF(OR($D603="",$B603="",Housemates!$B$12=""),0,IF($R603&gt;0,IF(J603="",0,IF(ISNUMBER(J603),J603,1)),IF($C603="Paying back",0,IF(AND(OR(Housemates!$C$12="",Housemates!$C$12&lt;=$B603),OR(Housemates!$D$12="",Housemates!$D$12&gt;=$B603)),IF($Q603=0,1,INDEX(Bills!$AE$6:$AE$25,$Q603)),0))))</f>
        <v/>
      </c>
      <c r="X603">
        <f>IF(OR($D603="",$B603="",Housemates!$B$13=""),0,IF($R603&gt;0,IF(K603="",0,IF(ISNUMBER(K603),K603,1)),IF($C603="Paying back",0,IF(AND(OR(Housemates!$C$13="",Housemates!$C$13&lt;=$B603),OR(Housemates!$D$13="",Housemates!$D$13&gt;=$B603)),IF($Q603=0,1,INDEX(Bills!$AF$6:$AF$25,$Q603)),0))))</f>
        <v/>
      </c>
      <c r="Y603">
        <f>IF(OR($D603="",$B603="",Housemates!$B$14=""),0,IF($R603&gt;0,IF(L603="",0,IF(ISNUMBER(L603),L603,1)),IF($C603="Paying back",0,IF(AND(OR(Housemates!$C$14="",Housemates!$C$14&lt;=$B603),OR(Housemates!$D$14="",Housemates!$D$14&gt;=$B603)),IF($Q603=0,1,INDEX(Bills!$AG$6:$AG$25,$Q603)),0))))</f>
        <v/>
      </c>
      <c r="Z603">
        <f>IF(OR($D603="",$B603="",Housemates!$B$15=""),0,IF($R603&gt;0,IF(M603="",0,IF(ISNUMBER(M603),M603,1)),IF($C603="Paying back",0,IF(AND(OR(Housemates!$C$15="",Housemates!$C$15&lt;=$B603),OR(Housemates!$D$15="",Housemates!$D$15&gt;=$B603)),IF($Q603=0,1,INDEX(Bills!$AH$6:$AH$25,$Q603)),0))))</f>
        <v/>
      </c>
      <c r="AA603">
        <f>SUM(S603:Z603)</f>
        <v/>
      </c>
      <c r="AB603">
        <f>IF(AA603=0,0,D603*S603/AA603)</f>
        <v/>
      </c>
      <c r="AC603">
        <f>IF(AA603=0,0,D603*T603/AA603)</f>
        <v/>
      </c>
      <c r="AD603">
        <f>IF(AA603=0,0,D603*U603/AA603)</f>
        <v/>
      </c>
      <c r="AE603">
        <f>IF(AA603=0,0,D603*V603/AA603)</f>
        <v/>
      </c>
      <c r="AF603">
        <f>IF(AA603=0,0,D603*W603/AA603)</f>
        <v/>
      </c>
      <c r="AG603">
        <f>IF(AA603=0,0,D603*X603/AA603)</f>
        <v/>
      </c>
      <c r="AH603">
        <f>IF(AA603=0,0,D603*Y603/AA603)</f>
        <v/>
      </c>
      <c r="AI603">
        <f>IF(AA603=0,0,D603*Z603/AA603)</f>
        <v/>
      </c>
      <c r="AJ603">
        <f>IF(OR(C603="",B603=""),"",C603&amp;"|"&amp;(YEAR(B603)*100+MONTH(B603)))</f>
        <v/>
      </c>
    </row>
    <row r="604">
      <c r="A604" s="1" t="n"/>
      <c r="B604" s="23" t="n"/>
      <c r="C604" s="24" t="n"/>
      <c r="D604" s="25" t="n"/>
      <c r="E604" s="26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1">
        <f>IF(D604="","",IF(B604="","No date",IF(AND(C604="Paying back",R604=0),"To whom?",IF(AA604=0,"Nobody",IF(C604="Paying back","To "&amp;INDEX(Housemates!$B$8:$B$15,MATCH(MAX(S604:Z604),S604:Z604,0)),IF(R604&gt;0,IF(COUNTIF(S604:Z604,"&gt;0")=1,"1 person",COUNTIF(S604:Z604,"&gt;0")&amp;" people"),IF(Q604=0,"Everyone",INDEX(Bills!$Q$6:$Q$25,Q604))))))))</f>
        <v/>
      </c>
      <c r="O604" s="18">
        <f>IF(D604="","",IF(C604="Paying back","Paying back",IF(Q604=0,"Other",IF(INDEX(Bills!$C$6:$C$25,Q604)="","Other",INDEX(Bills!$C$6:$C$25,Q604)))))</f>
        <v/>
      </c>
      <c r="P604" s="1" t="n"/>
      <c r="Q604">
        <f>IF(C604="",0,IFERROR(MATCH(C604,Bills!$B$6:$B$25,0),0))</f>
        <v/>
      </c>
      <c r="R604">
        <f>COUNTA(F604:M604)</f>
        <v/>
      </c>
      <c r="S604">
        <f>IF(OR($D604="",$B604="",Housemates!$B$8=""),0,IF($R604&gt;0,IF(F604="",0,IF(ISNUMBER(F604),F604,1)),IF($C604="Paying back",0,IF(AND(OR(Housemates!$C$8="",Housemates!$C$8&lt;=$B604),OR(Housemates!$D$8="",Housemates!$D$8&gt;=$B604)),IF($Q604=0,1,INDEX(Bills!$AA$6:$AA$25,$Q604)),0))))</f>
        <v/>
      </c>
      <c r="T604">
        <f>IF(OR($D604="",$B604="",Housemates!$B$9=""),0,IF($R604&gt;0,IF(G604="",0,IF(ISNUMBER(G604),G604,1)),IF($C604="Paying back",0,IF(AND(OR(Housemates!$C$9="",Housemates!$C$9&lt;=$B604),OR(Housemates!$D$9="",Housemates!$D$9&gt;=$B604)),IF($Q604=0,1,INDEX(Bills!$AB$6:$AB$25,$Q604)),0))))</f>
        <v/>
      </c>
      <c r="U604">
        <f>IF(OR($D604="",$B604="",Housemates!$B$10=""),0,IF($R604&gt;0,IF(H604="",0,IF(ISNUMBER(H604),H604,1)),IF($C604="Paying back",0,IF(AND(OR(Housemates!$C$10="",Housemates!$C$10&lt;=$B604),OR(Housemates!$D$10="",Housemates!$D$10&gt;=$B604)),IF($Q604=0,1,INDEX(Bills!$AC$6:$AC$25,$Q604)),0))))</f>
        <v/>
      </c>
      <c r="V604">
        <f>IF(OR($D604="",$B604="",Housemates!$B$11=""),0,IF($R604&gt;0,IF(I604="",0,IF(ISNUMBER(I604),I604,1)),IF($C604="Paying back",0,IF(AND(OR(Housemates!$C$11="",Housemates!$C$11&lt;=$B604),OR(Housemates!$D$11="",Housemates!$D$11&gt;=$B604)),IF($Q604=0,1,INDEX(Bills!$AD$6:$AD$25,$Q604)),0))))</f>
        <v/>
      </c>
      <c r="W604">
        <f>IF(OR($D604="",$B604="",Housemates!$B$12=""),0,IF($R604&gt;0,IF(J604="",0,IF(ISNUMBER(J604),J604,1)),IF($C604="Paying back",0,IF(AND(OR(Housemates!$C$12="",Housemates!$C$12&lt;=$B604),OR(Housemates!$D$12="",Housemates!$D$12&gt;=$B604)),IF($Q604=0,1,INDEX(Bills!$AE$6:$AE$25,$Q604)),0))))</f>
        <v/>
      </c>
      <c r="X604">
        <f>IF(OR($D604="",$B604="",Housemates!$B$13=""),0,IF($R604&gt;0,IF(K604="",0,IF(ISNUMBER(K604),K604,1)),IF($C604="Paying back",0,IF(AND(OR(Housemates!$C$13="",Housemates!$C$13&lt;=$B604),OR(Housemates!$D$13="",Housemates!$D$13&gt;=$B604)),IF($Q604=0,1,INDEX(Bills!$AF$6:$AF$25,$Q604)),0))))</f>
        <v/>
      </c>
      <c r="Y604">
        <f>IF(OR($D604="",$B604="",Housemates!$B$14=""),0,IF($R604&gt;0,IF(L604="",0,IF(ISNUMBER(L604),L604,1)),IF($C604="Paying back",0,IF(AND(OR(Housemates!$C$14="",Housemates!$C$14&lt;=$B604),OR(Housemates!$D$14="",Housemates!$D$14&gt;=$B604)),IF($Q604=0,1,INDEX(Bills!$AG$6:$AG$25,$Q604)),0))))</f>
        <v/>
      </c>
      <c r="Z604">
        <f>IF(OR($D604="",$B604="",Housemates!$B$15=""),0,IF($R604&gt;0,IF(M604="",0,IF(ISNUMBER(M604),M604,1)),IF($C604="Paying back",0,IF(AND(OR(Housemates!$C$15="",Housemates!$C$15&lt;=$B604),OR(Housemates!$D$15="",Housemates!$D$15&gt;=$B604)),IF($Q604=0,1,INDEX(Bills!$AH$6:$AH$25,$Q604)),0))))</f>
        <v/>
      </c>
      <c r="AA604">
        <f>SUM(S604:Z604)</f>
        <v/>
      </c>
      <c r="AB604">
        <f>IF(AA604=0,0,D604*S604/AA604)</f>
        <v/>
      </c>
      <c r="AC604">
        <f>IF(AA604=0,0,D604*T604/AA604)</f>
        <v/>
      </c>
      <c r="AD604">
        <f>IF(AA604=0,0,D604*U604/AA604)</f>
        <v/>
      </c>
      <c r="AE604">
        <f>IF(AA604=0,0,D604*V604/AA604)</f>
        <v/>
      </c>
      <c r="AF604">
        <f>IF(AA604=0,0,D604*W604/AA604)</f>
        <v/>
      </c>
      <c r="AG604">
        <f>IF(AA604=0,0,D604*X604/AA604)</f>
        <v/>
      </c>
      <c r="AH604">
        <f>IF(AA604=0,0,D604*Y604/AA604)</f>
        <v/>
      </c>
      <c r="AI604">
        <f>IF(AA604=0,0,D604*Z604/AA604)</f>
        <v/>
      </c>
      <c r="AJ604">
        <f>IF(OR(C604="",B604=""),"",C604&amp;"|"&amp;(YEAR(B604)*100+MONTH(B604)))</f>
        <v/>
      </c>
    </row>
    <row r="605">
      <c r="A605" s="1" t="n"/>
      <c r="B605" s="23" t="n"/>
      <c r="C605" s="24" t="n"/>
      <c r="D605" s="25" t="n"/>
      <c r="E605" s="26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1">
        <f>IF(D605="","",IF(B605="","No date",IF(AND(C605="Paying back",R605=0),"To whom?",IF(AA605=0,"Nobody",IF(C605="Paying back","To "&amp;INDEX(Housemates!$B$8:$B$15,MATCH(MAX(S605:Z605),S605:Z605,0)),IF(R605&gt;0,IF(COUNTIF(S605:Z605,"&gt;0")=1,"1 person",COUNTIF(S605:Z605,"&gt;0")&amp;" people"),IF(Q605=0,"Everyone",INDEX(Bills!$Q$6:$Q$25,Q605))))))))</f>
        <v/>
      </c>
      <c r="O605" s="18">
        <f>IF(D605="","",IF(C605="Paying back","Paying back",IF(Q605=0,"Other",IF(INDEX(Bills!$C$6:$C$25,Q605)="","Other",INDEX(Bills!$C$6:$C$25,Q605)))))</f>
        <v/>
      </c>
      <c r="P605" s="1" t="n"/>
      <c r="Q605">
        <f>IF(C605="",0,IFERROR(MATCH(C605,Bills!$B$6:$B$25,0),0))</f>
        <v/>
      </c>
      <c r="R605">
        <f>COUNTA(F605:M605)</f>
        <v/>
      </c>
      <c r="S605">
        <f>IF(OR($D605="",$B605="",Housemates!$B$8=""),0,IF($R605&gt;0,IF(F605="",0,IF(ISNUMBER(F605),F605,1)),IF($C605="Paying back",0,IF(AND(OR(Housemates!$C$8="",Housemates!$C$8&lt;=$B605),OR(Housemates!$D$8="",Housemates!$D$8&gt;=$B605)),IF($Q605=0,1,INDEX(Bills!$AA$6:$AA$25,$Q605)),0))))</f>
        <v/>
      </c>
      <c r="T605">
        <f>IF(OR($D605="",$B605="",Housemates!$B$9=""),0,IF($R605&gt;0,IF(G605="",0,IF(ISNUMBER(G605),G605,1)),IF($C605="Paying back",0,IF(AND(OR(Housemates!$C$9="",Housemates!$C$9&lt;=$B605),OR(Housemates!$D$9="",Housemates!$D$9&gt;=$B605)),IF($Q605=0,1,INDEX(Bills!$AB$6:$AB$25,$Q605)),0))))</f>
        <v/>
      </c>
      <c r="U605">
        <f>IF(OR($D605="",$B605="",Housemates!$B$10=""),0,IF($R605&gt;0,IF(H605="",0,IF(ISNUMBER(H605),H605,1)),IF($C605="Paying back",0,IF(AND(OR(Housemates!$C$10="",Housemates!$C$10&lt;=$B605),OR(Housemates!$D$10="",Housemates!$D$10&gt;=$B605)),IF($Q605=0,1,INDEX(Bills!$AC$6:$AC$25,$Q605)),0))))</f>
        <v/>
      </c>
      <c r="V605">
        <f>IF(OR($D605="",$B605="",Housemates!$B$11=""),0,IF($R605&gt;0,IF(I605="",0,IF(ISNUMBER(I605),I605,1)),IF($C605="Paying back",0,IF(AND(OR(Housemates!$C$11="",Housemates!$C$11&lt;=$B605),OR(Housemates!$D$11="",Housemates!$D$11&gt;=$B605)),IF($Q605=0,1,INDEX(Bills!$AD$6:$AD$25,$Q605)),0))))</f>
        <v/>
      </c>
      <c r="W605">
        <f>IF(OR($D605="",$B605="",Housemates!$B$12=""),0,IF($R605&gt;0,IF(J605="",0,IF(ISNUMBER(J605),J605,1)),IF($C605="Paying back",0,IF(AND(OR(Housemates!$C$12="",Housemates!$C$12&lt;=$B605),OR(Housemates!$D$12="",Housemates!$D$12&gt;=$B605)),IF($Q605=0,1,INDEX(Bills!$AE$6:$AE$25,$Q605)),0))))</f>
        <v/>
      </c>
      <c r="X605">
        <f>IF(OR($D605="",$B605="",Housemates!$B$13=""),0,IF($R605&gt;0,IF(K605="",0,IF(ISNUMBER(K605),K605,1)),IF($C605="Paying back",0,IF(AND(OR(Housemates!$C$13="",Housemates!$C$13&lt;=$B605),OR(Housemates!$D$13="",Housemates!$D$13&gt;=$B605)),IF($Q605=0,1,INDEX(Bills!$AF$6:$AF$25,$Q605)),0))))</f>
        <v/>
      </c>
      <c r="Y605">
        <f>IF(OR($D605="",$B605="",Housemates!$B$14=""),0,IF($R605&gt;0,IF(L605="",0,IF(ISNUMBER(L605),L605,1)),IF($C605="Paying back",0,IF(AND(OR(Housemates!$C$14="",Housemates!$C$14&lt;=$B605),OR(Housemates!$D$14="",Housemates!$D$14&gt;=$B605)),IF($Q605=0,1,INDEX(Bills!$AG$6:$AG$25,$Q605)),0))))</f>
        <v/>
      </c>
      <c r="Z605">
        <f>IF(OR($D605="",$B605="",Housemates!$B$15=""),0,IF($R605&gt;0,IF(M605="",0,IF(ISNUMBER(M605),M605,1)),IF($C605="Paying back",0,IF(AND(OR(Housemates!$C$15="",Housemates!$C$15&lt;=$B605),OR(Housemates!$D$15="",Housemates!$D$15&gt;=$B605)),IF($Q605=0,1,INDEX(Bills!$AH$6:$AH$25,$Q605)),0))))</f>
        <v/>
      </c>
      <c r="AA605">
        <f>SUM(S605:Z605)</f>
        <v/>
      </c>
      <c r="AB605">
        <f>IF(AA605=0,0,D605*S605/AA605)</f>
        <v/>
      </c>
      <c r="AC605">
        <f>IF(AA605=0,0,D605*T605/AA605)</f>
        <v/>
      </c>
      <c r="AD605">
        <f>IF(AA605=0,0,D605*U605/AA605)</f>
        <v/>
      </c>
      <c r="AE605">
        <f>IF(AA605=0,0,D605*V605/AA605)</f>
        <v/>
      </c>
      <c r="AF605">
        <f>IF(AA605=0,0,D605*W605/AA605)</f>
        <v/>
      </c>
      <c r="AG605">
        <f>IF(AA605=0,0,D605*X605/AA605)</f>
        <v/>
      </c>
      <c r="AH605">
        <f>IF(AA605=0,0,D605*Y605/AA605)</f>
        <v/>
      </c>
      <c r="AI605">
        <f>IF(AA605=0,0,D605*Z605/AA605)</f>
        <v/>
      </c>
      <c r="AJ605">
        <f>IF(OR(C605="",B605=""),"",C605&amp;"|"&amp;(YEAR(B605)*100+MONTH(B605)))</f>
        <v/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</row>
  </sheetData>
  <conditionalFormatting sqref="F6:M605">
    <cfRule type="expression" priority="1" dxfId="5">
      <formula>AND(F6&lt;&gt;"",F$5&lt;&gt;"")</formula>
    </cfRule>
  </conditionalFormatting>
  <conditionalFormatting sqref="N6:N605">
    <cfRule type="expression" priority="2" dxfId="3">
      <formula>OR(N6="Nobody",N6="To whom?",N6="No date")</formula>
    </cfRule>
  </conditionalFormatting>
  <conditionalFormatting sqref="E6:E605">
    <cfRule type="expression" priority="3" dxfId="3">
      <formula>AND(E6&lt;&gt;"",COUNTIF(Housemates!$B$8:$B$15,E6)=0)</formula>
    </cfRule>
  </conditionalFormatting>
  <conditionalFormatting sqref="B6:O605">
    <cfRule type="expression" priority="4" dxfId="4">
      <formula>$C6="Paying back"</formula>
    </cfRule>
  </conditionalFormatting>
  <dataValidations count="2">
    <dataValidation sqref="C6:C605" showDropDown="0" showInputMessage="0" showErrorMessage="0" allowBlank="1" type="list">
      <formula1>=Bills!$AK$6:$AK$26</formula1>
    </dataValidation>
    <dataValidation sqref="E6:E605" showDropDown="0" showInputMessage="0" showErrorMessage="1" allowBlank="1" type="list">
      <formula1>=Housemates!$B$8:$B$15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1" customWidth="1" min="4" max="4"/>
    <col width="15" customWidth="1" min="5" max="5"/>
    <col width="12" customWidth="1" min="6" max="6"/>
    <col width="13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3" customWidth="1" min="16" max="16"/>
    <col width="11" customWidth="1" min="17" max="17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2" customHeight="1">
      <c r="A2" s="1" t="n"/>
      <c r="B2" s="2" t="inlineStr">
        <is>
          <t>Bills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1" t="n"/>
      <c r="B3" s="3" t="inlineStr">
        <is>
          <t>Every bill the house pays, how often, and how it is split. Leave the split empty to share it equally, put an x under the people who share it, or numbers, like the size of each room.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30" customHeight="1">
      <c r="A5" s="1" t="n"/>
      <c r="B5" s="14" t="inlineStr">
        <is>
          <t>Bill</t>
        </is>
      </c>
      <c r="C5" s="14" t="inlineStr">
        <is>
          <t>Category</t>
        </is>
      </c>
      <c r="D5" s="14" t="inlineStr">
        <is>
          <t>Usual amount</t>
        </is>
      </c>
      <c r="E5" s="14" t="inlineStr">
        <is>
          <t>How often</t>
        </is>
      </c>
      <c r="F5" s="14" t="inlineStr">
        <is>
          <t>First due</t>
        </is>
      </c>
      <c r="G5" s="14" t="inlineStr">
        <is>
          <t>Usually paid by</t>
        </is>
      </c>
      <c r="H5" s="22">
        <f>IF(Housemates!$B$8="","",Housemates!$B$8)</f>
        <v/>
      </c>
      <c r="I5" s="22">
        <f>IF(Housemates!$B$9="","",Housemates!$B$9)</f>
        <v/>
      </c>
      <c r="J5" s="22">
        <f>IF(Housemates!$B$10="","",Housemates!$B$10)</f>
        <v/>
      </c>
      <c r="K5" s="22">
        <f>IF(Housemates!$B$11="","",Housemates!$B$11)</f>
        <v/>
      </c>
      <c r="L5" s="22">
        <f>IF(Housemates!$B$12="","",Housemates!$B$12)</f>
        <v/>
      </c>
      <c r="M5" s="22">
        <f>IF(Housemates!$B$13="","",Housemates!$B$13)</f>
        <v/>
      </c>
      <c r="N5" s="22">
        <f>IF(Housemates!$B$14="","",Housemates!$B$14)</f>
        <v/>
      </c>
      <c r="O5" s="22">
        <f>IF(Housemates!$B$15="","",Housemates!$B$15)</f>
        <v/>
      </c>
      <c r="P5" s="14" t="inlineStr">
        <is>
          <t>Next due</t>
        </is>
      </c>
      <c r="Q5" s="14" t="inlineStr">
        <is>
          <t>Split</t>
        </is>
      </c>
      <c r="R5" s="1" t="n"/>
    </row>
    <row r="6">
      <c r="A6" s="1" t="n"/>
      <c r="B6" s="26" t="inlineStr">
        <is>
          <t>Rent</t>
        </is>
      </c>
      <c r="C6" s="24" t="inlineStr">
        <is>
          <t>Rent</t>
        </is>
      </c>
      <c r="D6" s="25" t="n">
        <v>2400</v>
      </c>
      <c r="E6" s="24" t="inlineStr">
        <is>
          <t>Monthly</t>
        </is>
      </c>
      <c r="F6" s="23" t="n">
        <v>46023</v>
      </c>
      <c r="G6" s="24" t="inlineStr">
        <is>
          <t>Maya</t>
        </is>
      </c>
      <c r="H6" s="27" t="n">
        <v>30</v>
      </c>
      <c r="I6" s="27" t="n">
        <v>25</v>
      </c>
      <c r="J6" s="27" t="n">
        <v>25</v>
      </c>
      <c r="K6" s="27" t="n">
        <v>20</v>
      </c>
      <c r="L6" s="27" t="n">
        <v>20</v>
      </c>
      <c r="M6" s="27" t="n"/>
      <c r="N6" s="27" t="n"/>
      <c r="O6" s="27" t="n"/>
      <c r="P6" s="28">
        <f>IF(Y6="","",IF(Y6&lt;0,F6,DATE(YEAR(DATE(YEAR(TODAY()),MONTH(TODAY())+IF(MOD(Y6,S6)=0,IF(Z6&gt;0,S6,0),S6-MOD(Y6,S6)),1)),MONTH(DATE(YEAR(TODAY()),MONTH(TODAY())+IF(MOD(Y6,S6)=0,IF(Z6&gt;0,S6,0),S6-MOD(Y6,S6)),1)),MIN(DAY(F6),DAY(EOMONTH(DATE(YEAR(TODAY()),MONTH(TODAY())+IF(MOD(Y6,S6)=0,IF(Z6&gt;0,S6,0),S6-MOD(Y6,S6)),1),0))))))</f>
        <v/>
      </c>
      <c r="Q6" s="21">
        <f>IF(B6="","",IF(T6=0,"Everyone",IF(COUNT(H6:O6)&gt;0,"By shares",IF(T6=1,"1 person",T6&amp;" people"))))</f>
        <v/>
      </c>
      <c r="R6" s="1" t="n"/>
      <c r="S6">
        <f>IF(B6="","",IF(E6="Monthly",1,IF(E6="Every 2 months",2,IF(E6="Every 3 months",3,IF(E6="Every 6 months",6,IF(E6="Yearly",12,0))))))</f>
        <v/>
      </c>
      <c r="T6">
        <f>COUNTA(H6:O6)</f>
        <v/>
      </c>
      <c r="U6">
        <f>IF(OR(N(S6)=0,F6=""),0,IF(AND(((YEAR(Dashboard!$AK$2)-YEAR(F6))*12+MONTH(Dashboard!$AK$2)-MONTH(F6))&gt;=0,MOD(((YEAR(Dashboard!$AK$2)-YEAR(F6))*12+MONTH(Dashboard!$AK$2)-MONTH(F6)),S6)=0),1,0))</f>
        <v/>
      </c>
      <c r="V6">
        <f>IF(U6=1,DATE(YEAR(Dashboard!$AK$2),MONTH(Dashboard!$AK$2),MIN(DAY(F6),DAY(Dashboard!$AK$3))),"")</f>
        <v/>
      </c>
      <c r="W6">
        <f>IF(B6="",0,SUMIFS(Payments!$D$6:$D$605,Payments!$C$6:$C$605,B6,Payments!$B$6:$B$605,"&gt;="&amp;Dashboard!$AK$2,Payments!$B$6:$B$605,"&lt;="&amp;Dashboard!$AK$3))</f>
        <v/>
      </c>
      <c r="X6">
        <f>IF(U6=1,V6+ROW()/10000000,"")</f>
        <v/>
      </c>
      <c r="Y6">
        <f>IF(OR(N(S6)=0,F6=""),"",(YEAR(TODAY())-YEAR(F6))*12+MONTH(TODAY())-MONTH(F6))</f>
        <v/>
      </c>
      <c r="Z6">
        <f>IF(Y6="",0,SUMIFS(Payments!$D$6:$D$605,Payments!$C$6:$C$605,B6,Payments!$B$6:$B$605,"&gt;="&amp;DATE(YEAR(TODAY()),MONTH(TODAY()),1),Payments!$B$6:$B$605,"&lt;="&amp;EOMONTH(TODAY(),0)))</f>
        <v/>
      </c>
      <c r="AA6">
        <f>IF(Housemates!$B$8="",0,IF($T6=0,1,IF(H6="",0,IF(ISNUMBER(H6),H6,1))))</f>
        <v/>
      </c>
      <c r="AB6">
        <f>IF(Housemates!$B$9="",0,IF($T6=0,1,IF(I6="",0,IF(ISNUMBER(I6),I6,1))))</f>
        <v/>
      </c>
      <c r="AC6">
        <f>IF(Housemates!$B$10="",0,IF($T6=0,1,IF(J6="",0,IF(ISNUMBER(J6),J6,1))))</f>
        <v/>
      </c>
      <c r="AD6">
        <f>IF(Housemates!$B$11="",0,IF($T6=0,1,IF(K6="",0,IF(ISNUMBER(K6),K6,1))))</f>
        <v/>
      </c>
      <c r="AE6">
        <f>IF(Housemates!$B$12="",0,IF($T6=0,1,IF(L6="",0,IF(ISNUMBER(L6),L6,1))))</f>
        <v/>
      </c>
      <c r="AF6">
        <f>IF(Housemates!$B$13="",0,IF($T6=0,1,IF(M6="",0,IF(ISNUMBER(M6),M6,1))))</f>
        <v/>
      </c>
      <c r="AG6">
        <f>IF(Housemates!$B$14="",0,IF($T6=0,1,IF(N6="",0,IF(ISNUMBER(N6),N6,1))))</f>
        <v/>
      </c>
      <c r="AH6">
        <f>IF(Housemates!$B$15="",0,IF($T6=0,1,IF(O6="",0,IF(ISNUMBER(O6),O6,1))))</f>
        <v/>
      </c>
      <c r="AI6">
        <f>IF(P6="","",P6+ROW()/10000000)</f>
        <v/>
      </c>
      <c r="AK6" t="inlineStr">
        <is>
          <t>Paying back</t>
        </is>
      </c>
    </row>
    <row r="7">
      <c r="A7" s="1" t="n"/>
      <c r="B7" s="26" t="inlineStr">
        <is>
          <t>Electricity</t>
        </is>
      </c>
      <c r="C7" s="24" t="inlineStr">
        <is>
          <t>Energy</t>
        </is>
      </c>
      <c r="D7" s="25" t="n">
        <v>110</v>
      </c>
      <c r="E7" s="24" t="inlineStr">
        <is>
          <t>Monthly</t>
        </is>
      </c>
      <c r="F7" s="23" t="n">
        <v>46037</v>
      </c>
      <c r="G7" s="24" t="inlineStr">
        <is>
          <t>Leo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8">
        <f>IF(Y7="","",IF(Y7&lt;0,F7,DATE(YEAR(DATE(YEAR(TODAY()),MONTH(TODAY())+IF(MOD(Y7,S7)=0,IF(Z7&gt;0,S7,0),S7-MOD(Y7,S7)),1)),MONTH(DATE(YEAR(TODAY()),MONTH(TODAY())+IF(MOD(Y7,S7)=0,IF(Z7&gt;0,S7,0),S7-MOD(Y7,S7)),1)),MIN(DAY(F7),DAY(EOMONTH(DATE(YEAR(TODAY()),MONTH(TODAY())+IF(MOD(Y7,S7)=0,IF(Z7&gt;0,S7,0),S7-MOD(Y7,S7)),1),0))))))</f>
        <v/>
      </c>
      <c r="Q7" s="21">
        <f>IF(B7="","",IF(T7=0,"Everyone",IF(COUNT(H7:O7)&gt;0,"By shares",IF(T7=1,"1 person",T7&amp;" people"))))</f>
        <v/>
      </c>
      <c r="R7" s="1" t="n"/>
      <c r="S7">
        <f>IF(B7="","",IF(E7="Monthly",1,IF(E7="Every 2 months",2,IF(E7="Every 3 months",3,IF(E7="Every 6 months",6,IF(E7="Yearly",12,0))))))</f>
        <v/>
      </c>
      <c r="T7">
        <f>COUNTA(H7:O7)</f>
        <v/>
      </c>
      <c r="U7">
        <f>IF(OR(N(S7)=0,F7=""),0,IF(AND(((YEAR(Dashboard!$AK$2)-YEAR(F7))*12+MONTH(Dashboard!$AK$2)-MONTH(F7))&gt;=0,MOD(((YEAR(Dashboard!$AK$2)-YEAR(F7))*12+MONTH(Dashboard!$AK$2)-MONTH(F7)),S7)=0),1,0))</f>
        <v/>
      </c>
      <c r="V7">
        <f>IF(U7=1,DATE(YEAR(Dashboard!$AK$2),MONTH(Dashboard!$AK$2),MIN(DAY(F7),DAY(Dashboard!$AK$3))),"")</f>
        <v/>
      </c>
      <c r="W7">
        <f>IF(B7="",0,SUMIFS(Payments!$D$6:$D$605,Payments!$C$6:$C$605,B7,Payments!$B$6:$B$605,"&gt;="&amp;Dashboard!$AK$2,Payments!$B$6:$B$605,"&lt;="&amp;Dashboard!$AK$3))</f>
        <v/>
      </c>
      <c r="X7">
        <f>IF(U7=1,V7+ROW()/10000000,"")</f>
        <v/>
      </c>
      <c r="Y7">
        <f>IF(OR(N(S7)=0,F7=""),"",(YEAR(TODAY())-YEAR(F7))*12+MONTH(TODAY())-MONTH(F7))</f>
        <v/>
      </c>
      <c r="Z7">
        <f>IF(Y7="",0,SUMIFS(Payments!$D$6:$D$605,Payments!$C$6:$C$605,B7,Payments!$B$6:$B$605,"&gt;="&amp;DATE(YEAR(TODAY()),MONTH(TODAY()),1),Payments!$B$6:$B$605,"&lt;="&amp;EOMONTH(TODAY(),0)))</f>
        <v/>
      </c>
      <c r="AA7">
        <f>IF(Housemates!$B$8="",0,IF($T7=0,1,IF(H7="",0,IF(ISNUMBER(H7),H7,1))))</f>
        <v/>
      </c>
      <c r="AB7">
        <f>IF(Housemates!$B$9="",0,IF($T7=0,1,IF(I7="",0,IF(ISNUMBER(I7),I7,1))))</f>
        <v/>
      </c>
      <c r="AC7">
        <f>IF(Housemates!$B$10="",0,IF($T7=0,1,IF(J7="",0,IF(ISNUMBER(J7),J7,1))))</f>
        <v/>
      </c>
      <c r="AD7">
        <f>IF(Housemates!$B$11="",0,IF($T7=0,1,IF(K7="",0,IF(ISNUMBER(K7),K7,1))))</f>
        <v/>
      </c>
      <c r="AE7">
        <f>IF(Housemates!$B$12="",0,IF($T7=0,1,IF(L7="",0,IF(ISNUMBER(L7),L7,1))))</f>
        <v/>
      </c>
      <c r="AF7">
        <f>IF(Housemates!$B$13="",0,IF($T7=0,1,IF(M7="",0,IF(ISNUMBER(M7),M7,1))))</f>
        <v/>
      </c>
      <c r="AG7">
        <f>IF(Housemates!$B$14="",0,IF($T7=0,1,IF(N7="",0,IF(ISNUMBER(N7),N7,1))))</f>
        <v/>
      </c>
      <c r="AH7">
        <f>IF(Housemates!$B$15="",0,IF($T7=0,1,IF(O7="",0,IF(ISNUMBER(O7),O7,1))))</f>
        <v/>
      </c>
      <c r="AI7">
        <f>IF(P7="","",P7+ROW()/10000000)</f>
        <v/>
      </c>
      <c r="AK7">
        <f>IF(B6="","",B6)</f>
        <v/>
      </c>
    </row>
    <row r="8">
      <c r="A8" s="1" t="n"/>
      <c r="B8" s="26" t="inlineStr">
        <is>
          <t>Gas</t>
        </is>
      </c>
      <c r="C8" s="24" t="inlineStr">
        <is>
          <t>Energy</t>
        </is>
      </c>
      <c r="D8" s="25" t="n">
        <v>190</v>
      </c>
      <c r="E8" s="24" t="inlineStr">
        <is>
          <t>Every 3 months</t>
        </is>
      </c>
      <c r="F8" s="23" t="n">
        <v>46073</v>
      </c>
      <c r="G8" s="24" t="inlineStr">
        <is>
          <t>Priya</t>
        </is>
      </c>
      <c r="H8" s="27" t="n"/>
      <c r="I8" s="27" t="n"/>
      <c r="J8" s="27" t="n"/>
      <c r="K8" s="27" t="n"/>
      <c r="L8" s="27" t="n"/>
      <c r="M8" s="27" t="n"/>
      <c r="N8" s="27" t="n"/>
      <c r="O8" s="27" t="n"/>
      <c r="P8" s="28">
        <f>IF(Y8="","",IF(Y8&lt;0,F8,DATE(YEAR(DATE(YEAR(TODAY()),MONTH(TODAY())+IF(MOD(Y8,S8)=0,IF(Z8&gt;0,S8,0),S8-MOD(Y8,S8)),1)),MONTH(DATE(YEAR(TODAY()),MONTH(TODAY())+IF(MOD(Y8,S8)=0,IF(Z8&gt;0,S8,0),S8-MOD(Y8,S8)),1)),MIN(DAY(F8),DAY(EOMONTH(DATE(YEAR(TODAY()),MONTH(TODAY())+IF(MOD(Y8,S8)=0,IF(Z8&gt;0,S8,0),S8-MOD(Y8,S8)),1),0))))))</f>
        <v/>
      </c>
      <c r="Q8" s="21">
        <f>IF(B8="","",IF(T8=0,"Everyone",IF(COUNT(H8:O8)&gt;0,"By shares",IF(T8=1,"1 person",T8&amp;" people"))))</f>
        <v/>
      </c>
      <c r="R8" s="1" t="n"/>
      <c r="S8">
        <f>IF(B8="","",IF(E8="Monthly",1,IF(E8="Every 2 months",2,IF(E8="Every 3 months",3,IF(E8="Every 6 months",6,IF(E8="Yearly",12,0))))))</f>
        <v/>
      </c>
      <c r="T8">
        <f>COUNTA(H8:O8)</f>
        <v/>
      </c>
      <c r="U8">
        <f>IF(OR(N(S8)=0,F8=""),0,IF(AND(((YEAR(Dashboard!$AK$2)-YEAR(F8))*12+MONTH(Dashboard!$AK$2)-MONTH(F8))&gt;=0,MOD(((YEAR(Dashboard!$AK$2)-YEAR(F8))*12+MONTH(Dashboard!$AK$2)-MONTH(F8)),S8)=0),1,0))</f>
        <v/>
      </c>
      <c r="V8">
        <f>IF(U8=1,DATE(YEAR(Dashboard!$AK$2),MONTH(Dashboard!$AK$2),MIN(DAY(F8),DAY(Dashboard!$AK$3))),"")</f>
        <v/>
      </c>
      <c r="W8">
        <f>IF(B8="",0,SUMIFS(Payments!$D$6:$D$605,Payments!$C$6:$C$605,B8,Payments!$B$6:$B$605,"&gt;="&amp;Dashboard!$AK$2,Payments!$B$6:$B$605,"&lt;="&amp;Dashboard!$AK$3))</f>
        <v/>
      </c>
      <c r="X8">
        <f>IF(U8=1,V8+ROW()/10000000,"")</f>
        <v/>
      </c>
      <c r="Y8">
        <f>IF(OR(N(S8)=0,F8=""),"",(YEAR(TODAY())-YEAR(F8))*12+MONTH(TODAY())-MONTH(F8))</f>
        <v/>
      </c>
      <c r="Z8">
        <f>IF(Y8="",0,SUMIFS(Payments!$D$6:$D$605,Payments!$C$6:$C$605,B8,Payments!$B$6:$B$605,"&gt;="&amp;DATE(YEAR(TODAY()),MONTH(TODAY()),1),Payments!$B$6:$B$605,"&lt;="&amp;EOMONTH(TODAY(),0)))</f>
        <v/>
      </c>
      <c r="AA8">
        <f>IF(Housemates!$B$8="",0,IF($T8=0,1,IF(H8="",0,IF(ISNUMBER(H8),H8,1))))</f>
        <v/>
      </c>
      <c r="AB8">
        <f>IF(Housemates!$B$9="",0,IF($T8=0,1,IF(I8="",0,IF(ISNUMBER(I8),I8,1))))</f>
        <v/>
      </c>
      <c r="AC8">
        <f>IF(Housemates!$B$10="",0,IF($T8=0,1,IF(J8="",0,IF(ISNUMBER(J8),J8,1))))</f>
        <v/>
      </c>
      <c r="AD8">
        <f>IF(Housemates!$B$11="",0,IF($T8=0,1,IF(K8="",0,IF(ISNUMBER(K8),K8,1))))</f>
        <v/>
      </c>
      <c r="AE8">
        <f>IF(Housemates!$B$12="",0,IF($T8=0,1,IF(L8="",0,IF(ISNUMBER(L8),L8,1))))</f>
        <v/>
      </c>
      <c r="AF8">
        <f>IF(Housemates!$B$13="",0,IF($T8=0,1,IF(M8="",0,IF(ISNUMBER(M8),M8,1))))</f>
        <v/>
      </c>
      <c r="AG8">
        <f>IF(Housemates!$B$14="",0,IF($T8=0,1,IF(N8="",0,IF(ISNUMBER(N8),N8,1))))</f>
        <v/>
      </c>
      <c r="AH8">
        <f>IF(Housemates!$B$15="",0,IF($T8=0,1,IF(O8="",0,IF(ISNUMBER(O8),O8,1))))</f>
        <v/>
      </c>
      <c r="AI8">
        <f>IF(P8="","",P8+ROW()/10000000)</f>
        <v/>
      </c>
      <c r="AK8">
        <f>IF(B7="","",B7)</f>
        <v/>
      </c>
    </row>
    <row r="9">
      <c r="A9" s="1" t="n"/>
      <c r="B9" s="26" t="inlineStr">
        <is>
          <t>Water</t>
        </is>
      </c>
      <c r="C9" s="24" t="inlineStr">
        <is>
          <t>Water</t>
        </is>
      </c>
      <c r="D9" s="25" t="n">
        <v>75</v>
      </c>
      <c r="E9" s="24" t="inlineStr">
        <is>
          <t>Every 2 months</t>
        </is>
      </c>
      <c r="F9" s="23" t="n">
        <v>46032</v>
      </c>
      <c r="G9" s="24" t="inlineStr">
        <is>
          <t>Maya</t>
        </is>
      </c>
      <c r="H9" s="27" t="n"/>
      <c r="I9" s="27" t="n"/>
      <c r="J9" s="27" t="n"/>
      <c r="K9" s="27" t="n"/>
      <c r="L9" s="27" t="n"/>
      <c r="M9" s="27" t="n"/>
      <c r="N9" s="27" t="n"/>
      <c r="O9" s="27" t="n"/>
      <c r="P9" s="28">
        <f>IF(Y9="","",IF(Y9&lt;0,F9,DATE(YEAR(DATE(YEAR(TODAY()),MONTH(TODAY())+IF(MOD(Y9,S9)=0,IF(Z9&gt;0,S9,0),S9-MOD(Y9,S9)),1)),MONTH(DATE(YEAR(TODAY()),MONTH(TODAY())+IF(MOD(Y9,S9)=0,IF(Z9&gt;0,S9,0),S9-MOD(Y9,S9)),1)),MIN(DAY(F9),DAY(EOMONTH(DATE(YEAR(TODAY()),MONTH(TODAY())+IF(MOD(Y9,S9)=0,IF(Z9&gt;0,S9,0),S9-MOD(Y9,S9)),1),0))))))</f>
        <v/>
      </c>
      <c r="Q9" s="21">
        <f>IF(B9="","",IF(T9=0,"Everyone",IF(COUNT(H9:O9)&gt;0,"By shares",IF(T9=1,"1 person",T9&amp;" people"))))</f>
        <v/>
      </c>
      <c r="R9" s="1" t="n"/>
      <c r="S9">
        <f>IF(B9="","",IF(E9="Monthly",1,IF(E9="Every 2 months",2,IF(E9="Every 3 months",3,IF(E9="Every 6 months",6,IF(E9="Yearly",12,0))))))</f>
        <v/>
      </c>
      <c r="T9">
        <f>COUNTA(H9:O9)</f>
        <v/>
      </c>
      <c r="U9">
        <f>IF(OR(N(S9)=0,F9=""),0,IF(AND(((YEAR(Dashboard!$AK$2)-YEAR(F9))*12+MONTH(Dashboard!$AK$2)-MONTH(F9))&gt;=0,MOD(((YEAR(Dashboard!$AK$2)-YEAR(F9))*12+MONTH(Dashboard!$AK$2)-MONTH(F9)),S9)=0),1,0))</f>
        <v/>
      </c>
      <c r="V9">
        <f>IF(U9=1,DATE(YEAR(Dashboard!$AK$2),MONTH(Dashboard!$AK$2),MIN(DAY(F9),DAY(Dashboard!$AK$3))),"")</f>
        <v/>
      </c>
      <c r="W9">
        <f>IF(B9="",0,SUMIFS(Payments!$D$6:$D$605,Payments!$C$6:$C$605,B9,Payments!$B$6:$B$605,"&gt;="&amp;Dashboard!$AK$2,Payments!$B$6:$B$605,"&lt;="&amp;Dashboard!$AK$3))</f>
        <v/>
      </c>
      <c r="X9">
        <f>IF(U9=1,V9+ROW()/10000000,"")</f>
        <v/>
      </c>
      <c r="Y9">
        <f>IF(OR(N(S9)=0,F9=""),"",(YEAR(TODAY())-YEAR(F9))*12+MONTH(TODAY())-MONTH(F9))</f>
        <v/>
      </c>
      <c r="Z9">
        <f>IF(Y9="",0,SUMIFS(Payments!$D$6:$D$605,Payments!$C$6:$C$605,B9,Payments!$B$6:$B$605,"&gt;="&amp;DATE(YEAR(TODAY()),MONTH(TODAY()),1),Payments!$B$6:$B$605,"&lt;="&amp;EOMONTH(TODAY(),0)))</f>
        <v/>
      </c>
      <c r="AA9">
        <f>IF(Housemates!$B$8="",0,IF($T9=0,1,IF(H9="",0,IF(ISNUMBER(H9),H9,1))))</f>
        <v/>
      </c>
      <c r="AB9">
        <f>IF(Housemates!$B$9="",0,IF($T9=0,1,IF(I9="",0,IF(ISNUMBER(I9),I9,1))))</f>
        <v/>
      </c>
      <c r="AC9">
        <f>IF(Housemates!$B$10="",0,IF($T9=0,1,IF(J9="",0,IF(ISNUMBER(J9),J9,1))))</f>
        <v/>
      </c>
      <c r="AD9">
        <f>IF(Housemates!$B$11="",0,IF($T9=0,1,IF(K9="",0,IF(ISNUMBER(K9),K9,1))))</f>
        <v/>
      </c>
      <c r="AE9">
        <f>IF(Housemates!$B$12="",0,IF($T9=0,1,IF(L9="",0,IF(ISNUMBER(L9),L9,1))))</f>
        <v/>
      </c>
      <c r="AF9">
        <f>IF(Housemates!$B$13="",0,IF($T9=0,1,IF(M9="",0,IF(ISNUMBER(M9),M9,1))))</f>
        <v/>
      </c>
      <c r="AG9">
        <f>IF(Housemates!$B$14="",0,IF($T9=0,1,IF(N9="",0,IF(ISNUMBER(N9),N9,1))))</f>
        <v/>
      </c>
      <c r="AH9">
        <f>IF(Housemates!$B$15="",0,IF($T9=0,1,IF(O9="",0,IF(ISNUMBER(O9),O9,1))))</f>
        <v/>
      </c>
      <c r="AI9">
        <f>IF(P9="","",P9+ROW()/10000000)</f>
        <v/>
      </c>
      <c r="AK9">
        <f>IF(B8="","",B8)</f>
        <v/>
      </c>
    </row>
    <row r="10">
      <c r="A10" s="1" t="n"/>
      <c r="B10" s="26" t="inlineStr">
        <is>
          <t>Internet</t>
        </is>
      </c>
      <c r="C10" s="24" t="inlineStr">
        <is>
          <t>Internet</t>
        </is>
      </c>
      <c r="D10" s="25" t="n">
        <v>45</v>
      </c>
      <c r="E10" s="24" t="inlineStr">
        <is>
          <t>Monthly</t>
        </is>
      </c>
      <c r="F10" s="23" t="n">
        <v>46027</v>
      </c>
      <c r="G10" s="24" t="inlineStr">
        <is>
          <t>Leo</t>
        </is>
      </c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>
        <f>IF(Y10="","",IF(Y10&lt;0,F10,DATE(YEAR(DATE(YEAR(TODAY()),MONTH(TODAY())+IF(MOD(Y10,S10)=0,IF(Z10&gt;0,S10,0),S10-MOD(Y10,S10)),1)),MONTH(DATE(YEAR(TODAY()),MONTH(TODAY())+IF(MOD(Y10,S10)=0,IF(Z10&gt;0,S10,0),S10-MOD(Y10,S10)),1)),MIN(DAY(F10),DAY(EOMONTH(DATE(YEAR(TODAY()),MONTH(TODAY())+IF(MOD(Y10,S10)=0,IF(Z10&gt;0,S10,0),S10-MOD(Y10,S10)),1),0))))))</f>
        <v/>
      </c>
      <c r="Q10" s="21">
        <f>IF(B10="","",IF(T10=0,"Everyone",IF(COUNT(H10:O10)&gt;0,"By shares",IF(T10=1,"1 person",T10&amp;" people"))))</f>
        <v/>
      </c>
      <c r="R10" s="1" t="n"/>
      <c r="S10">
        <f>IF(B10="","",IF(E10="Monthly",1,IF(E10="Every 2 months",2,IF(E10="Every 3 months",3,IF(E10="Every 6 months",6,IF(E10="Yearly",12,0))))))</f>
        <v/>
      </c>
      <c r="T10">
        <f>COUNTA(H10:O10)</f>
        <v/>
      </c>
      <c r="U10">
        <f>IF(OR(N(S10)=0,F10=""),0,IF(AND(((YEAR(Dashboard!$AK$2)-YEAR(F10))*12+MONTH(Dashboard!$AK$2)-MONTH(F10))&gt;=0,MOD(((YEAR(Dashboard!$AK$2)-YEAR(F10))*12+MONTH(Dashboard!$AK$2)-MONTH(F10)),S10)=0),1,0))</f>
        <v/>
      </c>
      <c r="V10">
        <f>IF(U10=1,DATE(YEAR(Dashboard!$AK$2),MONTH(Dashboard!$AK$2),MIN(DAY(F10),DAY(Dashboard!$AK$3))),"")</f>
        <v/>
      </c>
      <c r="W10">
        <f>IF(B10="",0,SUMIFS(Payments!$D$6:$D$605,Payments!$C$6:$C$605,B10,Payments!$B$6:$B$605,"&gt;="&amp;Dashboard!$AK$2,Payments!$B$6:$B$605,"&lt;="&amp;Dashboard!$AK$3))</f>
        <v/>
      </c>
      <c r="X10">
        <f>IF(U10=1,V10+ROW()/10000000,"")</f>
        <v/>
      </c>
      <c r="Y10">
        <f>IF(OR(N(S10)=0,F10=""),"",(YEAR(TODAY())-YEAR(F10))*12+MONTH(TODAY())-MONTH(F10))</f>
        <v/>
      </c>
      <c r="Z10">
        <f>IF(Y10="",0,SUMIFS(Payments!$D$6:$D$605,Payments!$C$6:$C$605,B10,Payments!$B$6:$B$605,"&gt;="&amp;DATE(YEAR(TODAY()),MONTH(TODAY()),1),Payments!$B$6:$B$605,"&lt;="&amp;EOMONTH(TODAY(),0)))</f>
        <v/>
      </c>
      <c r="AA10">
        <f>IF(Housemates!$B$8="",0,IF($T10=0,1,IF(H10="",0,IF(ISNUMBER(H10),H10,1))))</f>
        <v/>
      </c>
      <c r="AB10">
        <f>IF(Housemates!$B$9="",0,IF($T10=0,1,IF(I10="",0,IF(ISNUMBER(I10),I10,1))))</f>
        <v/>
      </c>
      <c r="AC10">
        <f>IF(Housemates!$B$10="",0,IF($T10=0,1,IF(J10="",0,IF(ISNUMBER(J10),J10,1))))</f>
        <v/>
      </c>
      <c r="AD10">
        <f>IF(Housemates!$B$11="",0,IF($T10=0,1,IF(K10="",0,IF(ISNUMBER(K10),K10,1))))</f>
        <v/>
      </c>
      <c r="AE10">
        <f>IF(Housemates!$B$12="",0,IF($T10=0,1,IF(L10="",0,IF(ISNUMBER(L10),L10,1))))</f>
        <v/>
      </c>
      <c r="AF10">
        <f>IF(Housemates!$B$13="",0,IF($T10=0,1,IF(M10="",0,IF(ISNUMBER(M10),M10,1))))</f>
        <v/>
      </c>
      <c r="AG10">
        <f>IF(Housemates!$B$14="",0,IF($T10=0,1,IF(N10="",0,IF(ISNUMBER(N10),N10,1))))</f>
        <v/>
      </c>
      <c r="AH10">
        <f>IF(Housemates!$B$15="",0,IF($T10=0,1,IF(O10="",0,IF(ISNUMBER(O10),O10,1))))</f>
        <v/>
      </c>
      <c r="AI10">
        <f>IF(P10="","",P10+ROW()/10000000)</f>
        <v/>
      </c>
      <c r="AK10">
        <f>IF(B9="","",B9)</f>
        <v/>
      </c>
    </row>
    <row r="11">
      <c r="A11" s="1" t="n"/>
      <c r="B11" s="26" t="inlineStr">
        <is>
          <t>Streaming</t>
        </is>
      </c>
      <c r="C11" s="24" t="inlineStr">
        <is>
          <t>Subscriptions</t>
        </is>
      </c>
      <c r="D11" s="25" t="n">
        <v>15.96</v>
      </c>
      <c r="E11" s="24" t="inlineStr">
        <is>
          <t>Monthly</t>
        </is>
      </c>
      <c r="F11" s="23" t="n">
        <v>46044</v>
      </c>
      <c r="G11" s="24" t="inlineStr">
        <is>
          <t>Priya</t>
        </is>
      </c>
      <c r="H11" s="27" t="n"/>
      <c r="I11" s="27" t="inlineStr">
        <is>
          <t>x</t>
        </is>
      </c>
      <c r="J11" s="27" t="inlineStr">
        <is>
          <t>x</t>
        </is>
      </c>
      <c r="K11" s="27" t="inlineStr">
        <is>
          <t>x</t>
        </is>
      </c>
      <c r="L11" s="27" t="inlineStr">
        <is>
          <t>x</t>
        </is>
      </c>
      <c r="M11" s="27" t="n"/>
      <c r="N11" s="27" t="n"/>
      <c r="O11" s="27" t="n"/>
      <c r="P11" s="28">
        <f>IF(Y11="","",IF(Y11&lt;0,F11,DATE(YEAR(DATE(YEAR(TODAY()),MONTH(TODAY())+IF(MOD(Y11,S11)=0,IF(Z11&gt;0,S11,0),S11-MOD(Y11,S11)),1)),MONTH(DATE(YEAR(TODAY()),MONTH(TODAY())+IF(MOD(Y11,S11)=0,IF(Z11&gt;0,S11,0),S11-MOD(Y11,S11)),1)),MIN(DAY(F11),DAY(EOMONTH(DATE(YEAR(TODAY()),MONTH(TODAY())+IF(MOD(Y11,S11)=0,IF(Z11&gt;0,S11,0),S11-MOD(Y11,S11)),1),0))))))</f>
        <v/>
      </c>
      <c r="Q11" s="21">
        <f>IF(B11="","",IF(T11=0,"Everyone",IF(COUNT(H11:O11)&gt;0,"By shares",IF(T11=1,"1 person",T11&amp;" people"))))</f>
        <v/>
      </c>
      <c r="R11" s="1" t="n"/>
      <c r="S11">
        <f>IF(B11="","",IF(E11="Monthly",1,IF(E11="Every 2 months",2,IF(E11="Every 3 months",3,IF(E11="Every 6 months",6,IF(E11="Yearly",12,0))))))</f>
        <v/>
      </c>
      <c r="T11">
        <f>COUNTA(H11:O11)</f>
        <v/>
      </c>
      <c r="U11">
        <f>IF(OR(N(S11)=0,F11=""),0,IF(AND(((YEAR(Dashboard!$AK$2)-YEAR(F11))*12+MONTH(Dashboard!$AK$2)-MONTH(F11))&gt;=0,MOD(((YEAR(Dashboard!$AK$2)-YEAR(F11))*12+MONTH(Dashboard!$AK$2)-MONTH(F11)),S11)=0),1,0))</f>
        <v/>
      </c>
      <c r="V11">
        <f>IF(U11=1,DATE(YEAR(Dashboard!$AK$2),MONTH(Dashboard!$AK$2),MIN(DAY(F11),DAY(Dashboard!$AK$3))),"")</f>
        <v/>
      </c>
      <c r="W11">
        <f>IF(B11="",0,SUMIFS(Payments!$D$6:$D$605,Payments!$C$6:$C$605,B11,Payments!$B$6:$B$605,"&gt;="&amp;Dashboard!$AK$2,Payments!$B$6:$B$605,"&lt;="&amp;Dashboard!$AK$3))</f>
        <v/>
      </c>
      <c r="X11">
        <f>IF(U11=1,V11+ROW()/10000000,"")</f>
        <v/>
      </c>
      <c r="Y11">
        <f>IF(OR(N(S11)=0,F11=""),"",(YEAR(TODAY())-YEAR(F11))*12+MONTH(TODAY())-MONTH(F11))</f>
        <v/>
      </c>
      <c r="Z11">
        <f>IF(Y11="",0,SUMIFS(Payments!$D$6:$D$605,Payments!$C$6:$C$605,B11,Payments!$B$6:$B$605,"&gt;="&amp;DATE(YEAR(TODAY()),MONTH(TODAY()),1),Payments!$B$6:$B$605,"&lt;="&amp;EOMONTH(TODAY(),0)))</f>
        <v/>
      </c>
      <c r="AA11">
        <f>IF(Housemates!$B$8="",0,IF($T11=0,1,IF(H11="",0,IF(ISNUMBER(H11),H11,1))))</f>
        <v/>
      </c>
      <c r="AB11">
        <f>IF(Housemates!$B$9="",0,IF($T11=0,1,IF(I11="",0,IF(ISNUMBER(I11),I11,1))))</f>
        <v/>
      </c>
      <c r="AC11">
        <f>IF(Housemates!$B$10="",0,IF($T11=0,1,IF(J11="",0,IF(ISNUMBER(J11),J11,1))))</f>
        <v/>
      </c>
      <c r="AD11">
        <f>IF(Housemates!$B$11="",0,IF($T11=0,1,IF(K11="",0,IF(ISNUMBER(K11),K11,1))))</f>
        <v/>
      </c>
      <c r="AE11">
        <f>IF(Housemates!$B$12="",0,IF($T11=0,1,IF(L11="",0,IF(ISNUMBER(L11),L11,1))))</f>
        <v/>
      </c>
      <c r="AF11">
        <f>IF(Housemates!$B$13="",0,IF($T11=0,1,IF(M11="",0,IF(ISNUMBER(M11),M11,1))))</f>
        <v/>
      </c>
      <c r="AG11">
        <f>IF(Housemates!$B$14="",0,IF($T11=0,1,IF(N11="",0,IF(ISNUMBER(N11),N11,1))))</f>
        <v/>
      </c>
      <c r="AH11">
        <f>IF(Housemates!$B$15="",0,IF($T11=0,1,IF(O11="",0,IF(ISNUMBER(O11),O11,1))))</f>
        <v/>
      </c>
      <c r="AI11">
        <f>IF(P11="","",P11+ROW()/10000000)</f>
        <v/>
      </c>
      <c r="AK11">
        <f>IF(B10="","",B10)</f>
        <v/>
      </c>
    </row>
    <row r="12">
      <c r="A12" s="1" t="n"/>
      <c r="B12" s="26" t="inlineStr">
        <is>
          <t>Home insurance</t>
        </is>
      </c>
      <c r="C12" s="24" t="inlineStr">
        <is>
          <t>Insurance</t>
        </is>
      </c>
      <c r="D12" s="25" t="n">
        <v>264</v>
      </c>
      <c r="E12" s="24" t="inlineStr">
        <is>
          <t>Yearly</t>
        </is>
      </c>
      <c r="F12" s="23" t="n">
        <v>46084</v>
      </c>
      <c r="G12" s="24" t="inlineStr">
        <is>
          <t>Maya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>
        <f>IF(Y12="","",IF(Y12&lt;0,F12,DATE(YEAR(DATE(YEAR(TODAY()),MONTH(TODAY())+IF(MOD(Y12,S12)=0,IF(Z12&gt;0,S12,0),S12-MOD(Y12,S12)),1)),MONTH(DATE(YEAR(TODAY()),MONTH(TODAY())+IF(MOD(Y12,S12)=0,IF(Z12&gt;0,S12,0),S12-MOD(Y12,S12)),1)),MIN(DAY(F12),DAY(EOMONTH(DATE(YEAR(TODAY()),MONTH(TODAY())+IF(MOD(Y12,S12)=0,IF(Z12&gt;0,S12,0),S12-MOD(Y12,S12)),1),0))))))</f>
        <v/>
      </c>
      <c r="Q12" s="21">
        <f>IF(B12="","",IF(T12=0,"Everyone",IF(COUNT(H12:O12)&gt;0,"By shares",IF(T12=1,"1 person",T12&amp;" people"))))</f>
        <v/>
      </c>
      <c r="R12" s="1" t="n"/>
      <c r="S12">
        <f>IF(B12="","",IF(E12="Monthly",1,IF(E12="Every 2 months",2,IF(E12="Every 3 months",3,IF(E12="Every 6 months",6,IF(E12="Yearly",12,0))))))</f>
        <v/>
      </c>
      <c r="T12">
        <f>COUNTA(H12:O12)</f>
        <v/>
      </c>
      <c r="U12">
        <f>IF(OR(N(S12)=0,F12=""),0,IF(AND(((YEAR(Dashboard!$AK$2)-YEAR(F12))*12+MONTH(Dashboard!$AK$2)-MONTH(F12))&gt;=0,MOD(((YEAR(Dashboard!$AK$2)-YEAR(F12))*12+MONTH(Dashboard!$AK$2)-MONTH(F12)),S12)=0),1,0))</f>
        <v/>
      </c>
      <c r="V12">
        <f>IF(U12=1,DATE(YEAR(Dashboard!$AK$2),MONTH(Dashboard!$AK$2),MIN(DAY(F12),DAY(Dashboard!$AK$3))),"")</f>
        <v/>
      </c>
      <c r="W12">
        <f>IF(B12="",0,SUMIFS(Payments!$D$6:$D$605,Payments!$C$6:$C$605,B12,Payments!$B$6:$B$605,"&gt;="&amp;Dashboard!$AK$2,Payments!$B$6:$B$605,"&lt;="&amp;Dashboard!$AK$3))</f>
        <v/>
      </c>
      <c r="X12">
        <f>IF(U12=1,V12+ROW()/10000000,"")</f>
        <v/>
      </c>
      <c r="Y12">
        <f>IF(OR(N(S12)=0,F12=""),"",(YEAR(TODAY())-YEAR(F12))*12+MONTH(TODAY())-MONTH(F12))</f>
        <v/>
      </c>
      <c r="Z12">
        <f>IF(Y12="",0,SUMIFS(Payments!$D$6:$D$605,Payments!$C$6:$C$605,B12,Payments!$B$6:$B$605,"&gt;="&amp;DATE(YEAR(TODAY()),MONTH(TODAY()),1),Payments!$B$6:$B$605,"&lt;="&amp;EOMONTH(TODAY(),0)))</f>
        <v/>
      </c>
      <c r="AA12">
        <f>IF(Housemates!$B$8="",0,IF($T12=0,1,IF(H12="",0,IF(ISNUMBER(H12),H12,1))))</f>
        <v/>
      </c>
      <c r="AB12">
        <f>IF(Housemates!$B$9="",0,IF($T12=0,1,IF(I12="",0,IF(ISNUMBER(I12),I12,1))))</f>
        <v/>
      </c>
      <c r="AC12">
        <f>IF(Housemates!$B$10="",0,IF($T12=0,1,IF(J12="",0,IF(ISNUMBER(J12),J12,1))))</f>
        <v/>
      </c>
      <c r="AD12">
        <f>IF(Housemates!$B$11="",0,IF($T12=0,1,IF(K12="",0,IF(ISNUMBER(K12),K12,1))))</f>
        <v/>
      </c>
      <c r="AE12">
        <f>IF(Housemates!$B$12="",0,IF($T12=0,1,IF(L12="",0,IF(ISNUMBER(L12),L12,1))))</f>
        <v/>
      </c>
      <c r="AF12">
        <f>IF(Housemates!$B$13="",0,IF($T12=0,1,IF(M12="",0,IF(ISNUMBER(M12),M12,1))))</f>
        <v/>
      </c>
      <c r="AG12">
        <f>IF(Housemates!$B$14="",0,IF($T12=0,1,IF(N12="",0,IF(ISNUMBER(N12),N12,1))))</f>
        <v/>
      </c>
      <c r="AH12">
        <f>IF(Housemates!$B$15="",0,IF($T12=0,1,IF(O12="",0,IF(ISNUMBER(O12),O12,1))))</f>
        <v/>
      </c>
      <c r="AI12">
        <f>IF(P12="","",P12+ROW()/10000000)</f>
        <v/>
      </c>
      <c r="AK12">
        <f>IF(B11="","",B11)</f>
        <v/>
      </c>
    </row>
    <row r="13">
      <c r="A13" s="1" t="n"/>
      <c r="B13" s="26" t="inlineStr">
        <is>
          <t>Groceries</t>
        </is>
      </c>
      <c r="C13" s="24" t="inlineStr">
        <is>
          <t>Groceries</t>
        </is>
      </c>
      <c r="D13" s="25" t="n"/>
      <c r="E13" s="24" t="inlineStr">
        <is>
          <t>When needed</t>
        </is>
      </c>
      <c r="F13" s="23" t="n"/>
      <c r="G13" s="24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>
        <f>IF(Y13="","",IF(Y13&lt;0,F13,DATE(YEAR(DATE(YEAR(TODAY()),MONTH(TODAY())+IF(MOD(Y13,S13)=0,IF(Z13&gt;0,S13,0),S13-MOD(Y13,S13)),1)),MONTH(DATE(YEAR(TODAY()),MONTH(TODAY())+IF(MOD(Y13,S13)=0,IF(Z13&gt;0,S13,0),S13-MOD(Y13,S13)),1)),MIN(DAY(F13),DAY(EOMONTH(DATE(YEAR(TODAY()),MONTH(TODAY())+IF(MOD(Y13,S13)=0,IF(Z13&gt;0,S13,0),S13-MOD(Y13,S13)),1),0))))))</f>
        <v/>
      </c>
      <c r="Q13" s="21">
        <f>IF(B13="","",IF(T13=0,"Everyone",IF(COUNT(H13:O13)&gt;0,"By shares",IF(T13=1,"1 person",T13&amp;" people"))))</f>
        <v/>
      </c>
      <c r="R13" s="1" t="n"/>
      <c r="S13">
        <f>IF(B13="","",IF(E13="Monthly",1,IF(E13="Every 2 months",2,IF(E13="Every 3 months",3,IF(E13="Every 6 months",6,IF(E13="Yearly",12,0))))))</f>
        <v/>
      </c>
      <c r="T13">
        <f>COUNTA(H13:O13)</f>
        <v/>
      </c>
      <c r="U13">
        <f>IF(OR(N(S13)=0,F13=""),0,IF(AND(((YEAR(Dashboard!$AK$2)-YEAR(F13))*12+MONTH(Dashboard!$AK$2)-MONTH(F13))&gt;=0,MOD(((YEAR(Dashboard!$AK$2)-YEAR(F13))*12+MONTH(Dashboard!$AK$2)-MONTH(F13)),S13)=0),1,0))</f>
        <v/>
      </c>
      <c r="V13">
        <f>IF(U13=1,DATE(YEAR(Dashboard!$AK$2),MONTH(Dashboard!$AK$2),MIN(DAY(F13),DAY(Dashboard!$AK$3))),"")</f>
        <v/>
      </c>
      <c r="W13">
        <f>IF(B13="",0,SUMIFS(Payments!$D$6:$D$605,Payments!$C$6:$C$605,B13,Payments!$B$6:$B$605,"&gt;="&amp;Dashboard!$AK$2,Payments!$B$6:$B$605,"&lt;="&amp;Dashboard!$AK$3))</f>
        <v/>
      </c>
      <c r="X13">
        <f>IF(U13=1,V13+ROW()/10000000,"")</f>
        <v/>
      </c>
      <c r="Y13">
        <f>IF(OR(N(S13)=0,F13=""),"",(YEAR(TODAY())-YEAR(F13))*12+MONTH(TODAY())-MONTH(F13))</f>
        <v/>
      </c>
      <c r="Z13">
        <f>IF(Y13="",0,SUMIFS(Payments!$D$6:$D$605,Payments!$C$6:$C$605,B13,Payments!$B$6:$B$605,"&gt;="&amp;DATE(YEAR(TODAY()),MONTH(TODAY()),1),Payments!$B$6:$B$605,"&lt;="&amp;EOMONTH(TODAY(),0)))</f>
        <v/>
      </c>
      <c r="AA13">
        <f>IF(Housemates!$B$8="",0,IF($T13=0,1,IF(H13="",0,IF(ISNUMBER(H13),H13,1))))</f>
        <v/>
      </c>
      <c r="AB13">
        <f>IF(Housemates!$B$9="",0,IF($T13=0,1,IF(I13="",0,IF(ISNUMBER(I13),I13,1))))</f>
        <v/>
      </c>
      <c r="AC13">
        <f>IF(Housemates!$B$10="",0,IF($T13=0,1,IF(J13="",0,IF(ISNUMBER(J13),J13,1))))</f>
        <v/>
      </c>
      <c r="AD13">
        <f>IF(Housemates!$B$11="",0,IF($T13=0,1,IF(K13="",0,IF(ISNUMBER(K13),K13,1))))</f>
        <v/>
      </c>
      <c r="AE13">
        <f>IF(Housemates!$B$12="",0,IF($T13=0,1,IF(L13="",0,IF(ISNUMBER(L13),L13,1))))</f>
        <v/>
      </c>
      <c r="AF13">
        <f>IF(Housemates!$B$13="",0,IF($T13=0,1,IF(M13="",0,IF(ISNUMBER(M13),M13,1))))</f>
        <v/>
      </c>
      <c r="AG13">
        <f>IF(Housemates!$B$14="",0,IF($T13=0,1,IF(N13="",0,IF(ISNUMBER(N13),N13,1))))</f>
        <v/>
      </c>
      <c r="AH13">
        <f>IF(Housemates!$B$15="",0,IF($T13=0,1,IF(O13="",0,IF(ISNUMBER(O13),O13,1))))</f>
        <v/>
      </c>
      <c r="AI13">
        <f>IF(P13="","",P13+ROW()/10000000)</f>
        <v/>
      </c>
      <c r="AK13">
        <f>IF(B12="","",B12)</f>
        <v/>
      </c>
    </row>
    <row r="14">
      <c r="A14" s="1" t="n"/>
      <c r="B14" s="26" t="inlineStr">
        <is>
          <t>Cleaning and household</t>
        </is>
      </c>
      <c r="C14" s="24" t="inlineStr">
        <is>
          <t>Household</t>
        </is>
      </c>
      <c r="D14" s="25" t="n"/>
      <c r="E14" s="24" t="inlineStr">
        <is>
          <t>When needed</t>
        </is>
      </c>
      <c r="F14" s="23" t="n"/>
      <c r="G14" s="24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>
        <f>IF(Y14="","",IF(Y14&lt;0,F14,DATE(YEAR(DATE(YEAR(TODAY()),MONTH(TODAY())+IF(MOD(Y14,S14)=0,IF(Z14&gt;0,S14,0),S14-MOD(Y14,S14)),1)),MONTH(DATE(YEAR(TODAY()),MONTH(TODAY())+IF(MOD(Y14,S14)=0,IF(Z14&gt;0,S14,0),S14-MOD(Y14,S14)),1)),MIN(DAY(F14),DAY(EOMONTH(DATE(YEAR(TODAY()),MONTH(TODAY())+IF(MOD(Y14,S14)=0,IF(Z14&gt;0,S14,0),S14-MOD(Y14,S14)),1),0))))))</f>
        <v/>
      </c>
      <c r="Q14" s="21">
        <f>IF(B14="","",IF(T14=0,"Everyone",IF(COUNT(H14:O14)&gt;0,"By shares",IF(T14=1,"1 person",T14&amp;" people"))))</f>
        <v/>
      </c>
      <c r="R14" s="1" t="n"/>
      <c r="S14">
        <f>IF(B14="","",IF(E14="Monthly",1,IF(E14="Every 2 months",2,IF(E14="Every 3 months",3,IF(E14="Every 6 months",6,IF(E14="Yearly",12,0))))))</f>
        <v/>
      </c>
      <c r="T14">
        <f>COUNTA(H14:O14)</f>
        <v/>
      </c>
      <c r="U14">
        <f>IF(OR(N(S14)=0,F14=""),0,IF(AND(((YEAR(Dashboard!$AK$2)-YEAR(F14))*12+MONTH(Dashboard!$AK$2)-MONTH(F14))&gt;=0,MOD(((YEAR(Dashboard!$AK$2)-YEAR(F14))*12+MONTH(Dashboard!$AK$2)-MONTH(F14)),S14)=0),1,0))</f>
        <v/>
      </c>
      <c r="V14">
        <f>IF(U14=1,DATE(YEAR(Dashboard!$AK$2),MONTH(Dashboard!$AK$2),MIN(DAY(F14),DAY(Dashboard!$AK$3))),"")</f>
        <v/>
      </c>
      <c r="W14">
        <f>IF(B14="",0,SUMIFS(Payments!$D$6:$D$605,Payments!$C$6:$C$605,B14,Payments!$B$6:$B$605,"&gt;="&amp;Dashboard!$AK$2,Payments!$B$6:$B$605,"&lt;="&amp;Dashboard!$AK$3))</f>
        <v/>
      </c>
      <c r="X14">
        <f>IF(U14=1,V14+ROW()/10000000,"")</f>
        <v/>
      </c>
      <c r="Y14">
        <f>IF(OR(N(S14)=0,F14=""),"",(YEAR(TODAY())-YEAR(F14))*12+MONTH(TODAY())-MONTH(F14))</f>
        <v/>
      </c>
      <c r="Z14">
        <f>IF(Y14="",0,SUMIFS(Payments!$D$6:$D$605,Payments!$C$6:$C$605,B14,Payments!$B$6:$B$605,"&gt;="&amp;DATE(YEAR(TODAY()),MONTH(TODAY()),1),Payments!$B$6:$B$605,"&lt;="&amp;EOMONTH(TODAY(),0)))</f>
        <v/>
      </c>
      <c r="AA14">
        <f>IF(Housemates!$B$8="",0,IF($T14=0,1,IF(H14="",0,IF(ISNUMBER(H14),H14,1))))</f>
        <v/>
      </c>
      <c r="AB14">
        <f>IF(Housemates!$B$9="",0,IF($T14=0,1,IF(I14="",0,IF(ISNUMBER(I14),I14,1))))</f>
        <v/>
      </c>
      <c r="AC14">
        <f>IF(Housemates!$B$10="",0,IF($T14=0,1,IF(J14="",0,IF(ISNUMBER(J14),J14,1))))</f>
        <v/>
      </c>
      <c r="AD14">
        <f>IF(Housemates!$B$11="",0,IF($T14=0,1,IF(K14="",0,IF(ISNUMBER(K14),K14,1))))</f>
        <v/>
      </c>
      <c r="AE14">
        <f>IF(Housemates!$B$12="",0,IF($T14=0,1,IF(L14="",0,IF(ISNUMBER(L14),L14,1))))</f>
        <v/>
      </c>
      <c r="AF14">
        <f>IF(Housemates!$B$13="",0,IF($T14=0,1,IF(M14="",0,IF(ISNUMBER(M14),M14,1))))</f>
        <v/>
      </c>
      <c r="AG14">
        <f>IF(Housemates!$B$14="",0,IF($T14=0,1,IF(N14="",0,IF(ISNUMBER(N14),N14,1))))</f>
        <v/>
      </c>
      <c r="AH14">
        <f>IF(Housemates!$B$15="",0,IF($T14=0,1,IF(O14="",0,IF(ISNUMBER(O14),O14,1))))</f>
        <v/>
      </c>
      <c r="AI14">
        <f>IF(P14="","",P14+ROW()/10000000)</f>
        <v/>
      </c>
      <c r="AK14">
        <f>IF(B13="","",B13)</f>
        <v/>
      </c>
    </row>
    <row r="15">
      <c r="A15" s="1" t="n"/>
      <c r="B15" s="26" t="n"/>
      <c r="C15" s="24" t="n"/>
      <c r="D15" s="25" t="n"/>
      <c r="E15" s="24" t="n"/>
      <c r="F15" s="23" t="n"/>
      <c r="G15" s="24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>
        <f>IF(Y15="","",IF(Y15&lt;0,F15,DATE(YEAR(DATE(YEAR(TODAY()),MONTH(TODAY())+IF(MOD(Y15,S15)=0,IF(Z15&gt;0,S15,0),S15-MOD(Y15,S15)),1)),MONTH(DATE(YEAR(TODAY()),MONTH(TODAY())+IF(MOD(Y15,S15)=0,IF(Z15&gt;0,S15,0),S15-MOD(Y15,S15)),1)),MIN(DAY(F15),DAY(EOMONTH(DATE(YEAR(TODAY()),MONTH(TODAY())+IF(MOD(Y15,S15)=0,IF(Z15&gt;0,S15,0),S15-MOD(Y15,S15)),1),0))))))</f>
        <v/>
      </c>
      <c r="Q15" s="21">
        <f>IF(B15="","",IF(T15=0,"Everyone",IF(COUNT(H15:O15)&gt;0,"By shares",IF(T15=1,"1 person",T15&amp;" people"))))</f>
        <v/>
      </c>
      <c r="R15" s="1" t="n"/>
      <c r="S15">
        <f>IF(B15="","",IF(E15="Monthly",1,IF(E15="Every 2 months",2,IF(E15="Every 3 months",3,IF(E15="Every 6 months",6,IF(E15="Yearly",12,0))))))</f>
        <v/>
      </c>
      <c r="T15">
        <f>COUNTA(H15:O15)</f>
        <v/>
      </c>
      <c r="U15">
        <f>IF(OR(N(S15)=0,F15=""),0,IF(AND(((YEAR(Dashboard!$AK$2)-YEAR(F15))*12+MONTH(Dashboard!$AK$2)-MONTH(F15))&gt;=0,MOD(((YEAR(Dashboard!$AK$2)-YEAR(F15))*12+MONTH(Dashboard!$AK$2)-MONTH(F15)),S15)=0),1,0))</f>
        <v/>
      </c>
      <c r="V15">
        <f>IF(U15=1,DATE(YEAR(Dashboard!$AK$2),MONTH(Dashboard!$AK$2),MIN(DAY(F15),DAY(Dashboard!$AK$3))),"")</f>
        <v/>
      </c>
      <c r="W15">
        <f>IF(B15="",0,SUMIFS(Payments!$D$6:$D$605,Payments!$C$6:$C$605,B15,Payments!$B$6:$B$605,"&gt;="&amp;Dashboard!$AK$2,Payments!$B$6:$B$605,"&lt;="&amp;Dashboard!$AK$3))</f>
        <v/>
      </c>
      <c r="X15">
        <f>IF(U15=1,V15+ROW()/10000000,"")</f>
        <v/>
      </c>
      <c r="Y15">
        <f>IF(OR(N(S15)=0,F15=""),"",(YEAR(TODAY())-YEAR(F15))*12+MONTH(TODAY())-MONTH(F15))</f>
        <v/>
      </c>
      <c r="Z15">
        <f>IF(Y15="",0,SUMIFS(Payments!$D$6:$D$605,Payments!$C$6:$C$605,B15,Payments!$B$6:$B$605,"&gt;="&amp;DATE(YEAR(TODAY()),MONTH(TODAY()),1),Payments!$B$6:$B$605,"&lt;="&amp;EOMONTH(TODAY(),0)))</f>
        <v/>
      </c>
      <c r="AA15">
        <f>IF(Housemates!$B$8="",0,IF($T15=0,1,IF(H15="",0,IF(ISNUMBER(H15),H15,1))))</f>
        <v/>
      </c>
      <c r="AB15">
        <f>IF(Housemates!$B$9="",0,IF($T15=0,1,IF(I15="",0,IF(ISNUMBER(I15),I15,1))))</f>
        <v/>
      </c>
      <c r="AC15">
        <f>IF(Housemates!$B$10="",0,IF($T15=0,1,IF(J15="",0,IF(ISNUMBER(J15),J15,1))))</f>
        <v/>
      </c>
      <c r="AD15">
        <f>IF(Housemates!$B$11="",0,IF($T15=0,1,IF(K15="",0,IF(ISNUMBER(K15),K15,1))))</f>
        <v/>
      </c>
      <c r="AE15">
        <f>IF(Housemates!$B$12="",0,IF($T15=0,1,IF(L15="",0,IF(ISNUMBER(L15),L15,1))))</f>
        <v/>
      </c>
      <c r="AF15">
        <f>IF(Housemates!$B$13="",0,IF($T15=0,1,IF(M15="",0,IF(ISNUMBER(M15),M15,1))))</f>
        <v/>
      </c>
      <c r="AG15">
        <f>IF(Housemates!$B$14="",0,IF($T15=0,1,IF(N15="",0,IF(ISNUMBER(N15),N15,1))))</f>
        <v/>
      </c>
      <c r="AH15">
        <f>IF(Housemates!$B$15="",0,IF($T15=0,1,IF(O15="",0,IF(ISNUMBER(O15),O15,1))))</f>
        <v/>
      </c>
      <c r="AI15">
        <f>IF(P15="","",P15+ROW()/10000000)</f>
        <v/>
      </c>
      <c r="AK15">
        <f>IF(B14="","",B14)</f>
        <v/>
      </c>
    </row>
    <row r="16">
      <c r="A16" s="1" t="n"/>
      <c r="B16" s="26" t="n"/>
      <c r="C16" s="24" t="n"/>
      <c r="D16" s="25" t="n"/>
      <c r="E16" s="24" t="n"/>
      <c r="F16" s="23" t="n"/>
      <c r="G16" s="24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>
        <f>IF(Y16="","",IF(Y16&lt;0,F16,DATE(YEAR(DATE(YEAR(TODAY()),MONTH(TODAY())+IF(MOD(Y16,S16)=0,IF(Z16&gt;0,S16,0),S16-MOD(Y16,S16)),1)),MONTH(DATE(YEAR(TODAY()),MONTH(TODAY())+IF(MOD(Y16,S16)=0,IF(Z16&gt;0,S16,0),S16-MOD(Y16,S16)),1)),MIN(DAY(F16),DAY(EOMONTH(DATE(YEAR(TODAY()),MONTH(TODAY())+IF(MOD(Y16,S16)=0,IF(Z16&gt;0,S16,0),S16-MOD(Y16,S16)),1),0))))))</f>
        <v/>
      </c>
      <c r="Q16" s="21">
        <f>IF(B16="","",IF(T16=0,"Everyone",IF(COUNT(H16:O16)&gt;0,"By shares",IF(T16=1,"1 person",T16&amp;" people"))))</f>
        <v/>
      </c>
      <c r="R16" s="1" t="n"/>
      <c r="S16">
        <f>IF(B16="","",IF(E16="Monthly",1,IF(E16="Every 2 months",2,IF(E16="Every 3 months",3,IF(E16="Every 6 months",6,IF(E16="Yearly",12,0))))))</f>
        <v/>
      </c>
      <c r="T16">
        <f>COUNTA(H16:O16)</f>
        <v/>
      </c>
      <c r="U16">
        <f>IF(OR(N(S16)=0,F16=""),0,IF(AND(((YEAR(Dashboard!$AK$2)-YEAR(F16))*12+MONTH(Dashboard!$AK$2)-MONTH(F16))&gt;=0,MOD(((YEAR(Dashboard!$AK$2)-YEAR(F16))*12+MONTH(Dashboard!$AK$2)-MONTH(F16)),S16)=0),1,0))</f>
        <v/>
      </c>
      <c r="V16">
        <f>IF(U16=1,DATE(YEAR(Dashboard!$AK$2),MONTH(Dashboard!$AK$2),MIN(DAY(F16),DAY(Dashboard!$AK$3))),"")</f>
        <v/>
      </c>
      <c r="W16">
        <f>IF(B16="",0,SUMIFS(Payments!$D$6:$D$605,Payments!$C$6:$C$605,B16,Payments!$B$6:$B$605,"&gt;="&amp;Dashboard!$AK$2,Payments!$B$6:$B$605,"&lt;="&amp;Dashboard!$AK$3))</f>
        <v/>
      </c>
      <c r="X16">
        <f>IF(U16=1,V16+ROW()/10000000,"")</f>
        <v/>
      </c>
      <c r="Y16">
        <f>IF(OR(N(S16)=0,F16=""),"",(YEAR(TODAY())-YEAR(F16))*12+MONTH(TODAY())-MONTH(F16))</f>
        <v/>
      </c>
      <c r="Z16">
        <f>IF(Y16="",0,SUMIFS(Payments!$D$6:$D$605,Payments!$C$6:$C$605,B16,Payments!$B$6:$B$605,"&gt;="&amp;DATE(YEAR(TODAY()),MONTH(TODAY()),1),Payments!$B$6:$B$605,"&lt;="&amp;EOMONTH(TODAY(),0)))</f>
        <v/>
      </c>
      <c r="AA16">
        <f>IF(Housemates!$B$8="",0,IF($T16=0,1,IF(H16="",0,IF(ISNUMBER(H16),H16,1))))</f>
        <v/>
      </c>
      <c r="AB16">
        <f>IF(Housemates!$B$9="",0,IF($T16=0,1,IF(I16="",0,IF(ISNUMBER(I16),I16,1))))</f>
        <v/>
      </c>
      <c r="AC16">
        <f>IF(Housemates!$B$10="",0,IF($T16=0,1,IF(J16="",0,IF(ISNUMBER(J16),J16,1))))</f>
        <v/>
      </c>
      <c r="AD16">
        <f>IF(Housemates!$B$11="",0,IF($T16=0,1,IF(K16="",0,IF(ISNUMBER(K16),K16,1))))</f>
        <v/>
      </c>
      <c r="AE16">
        <f>IF(Housemates!$B$12="",0,IF($T16=0,1,IF(L16="",0,IF(ISNUMBER(L16),L16,1))))</f>
        <v/>
      </c>
      <c r="AF16">
        <f>IF(Housemates!$B$13="",0,IF($T16=0,1,IF(M16="",0,IF(ISNUMBER(M16),M16,1))))</f>
        <v/>
      </c>
      <c r="AG16">
        <f>IF(Housemates!$B$14="",0,IF($T16=0,1,IF(N16="",0,IF(ISNUMBER(N16),N16,1))))</f>
        <v/>
      </c>
      <c r="AH16">
        <f>IF(Housemates!$B$15="",0,IF($T16=0,1,IF(O16="",0,IF(ISNUMBER(O16),O16,1))))</f>
        <v/>
      </c>
      <c r="AI16">
        <f>IF(P16="","",P16+ROW()/10000000)</f>
        <v/>
      </c>
      <c r="AK16">
        <f>IF(B15="","",B15)</f>
        <v/>
      </c>
    </row>
    <row r="17">
      <c r="A17" s="1" t="n"/>
      <c r="B17" s="26" t="n"/>
      <c r="C17" s="24" t="n"/>
      <c r="D17" s="25" t="n"/>
      <c r="E17" s="24" t="n"/>
      <c r="F17" s="23" t="n"/>
      <c r="G17" s="24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>
        <f>IF(Y17="","",IF(Y17&lt;0,F17,DATE(YEAR(DATE(YEAR(TODAY()),MONTH(TODAY())+IF(MOD(Y17,S17)=0,IF(Z17&gt;0,S17,0),S17-MOD(Y17,S17)),1)),MONTH(DATE(YEAR(TODAY()),MONTH(TODAY())+IF(MOD(Y17,S17)=0,IF(Z17&gt;0,S17,0),S17-MOD(Y17,S17)),1)),MIN(DAY(F17),DAY(EOMONTH(DATE(YEAR(TODAY()),MONTH(TODAY())+IF(MOD(Y17,S17)=0,IF(Z17&gt;0,S17,0),S17-MOD(Y17,S17)),1),0))))))</f>
        <v/>
      </c>
      <c r="Q17" s="21">
        <f>IF(B17="","",IF(T17=0,"Everyone",IF(COUNT(H17:O17)&gt;0,"By shares",IF(T17=1,"1 person",T17&amp;" people"))))</f>
        <v/>
      </c>
      <c r="R17" s="1" t="n"/>
      <c r="S17">
        <f>IF(B17="","",IF(E17="Monthly",1,IF(E17="Every 2 months",2,IF(E17="Every 3 months",3,IF(E17="Every 6 months",6,IF(E17="Yearly",12,0))))))</f>
        <v/>
      </c>
      <c r="T17">
        <f>COUNTA(H17:O17)</f>
        <v/>
      </c>
      <c r="U17">
        <f>IF(OR(N(S17)=0,F17=""),0,IF(AND(((YEAR(Dashboard!$AK$2)-YEAR(F17))*12+MONTH(Dashboard!$AK$2)-MONTH(F17))&gt;=0,MOD(((YEAR(Dashboard!$AK$2)-YEAR(F17))*12+MONTH(Dashboard!$AK$2)-MONTH(F17)),S17)=0),1,0))</f>
        <v/>
      </c>
      <c r="V17">
        <f>IF(U17=1,DATE(YEAR(Dashboard!$AK$2),MONTH(Dashboard!$AK$2),MIN(DAY(F17),DAY(Dashboard!$AK$3))),"")</f>
        <v/>
      </c>
      <c r="W17">
        <f>IF(B17="",0,SUMIFS(Payments!$D$6:$D$605,Payments!$C$6:$C$605,B17,Payments!$B$6:$B$605,"&gt;="&amp;Dashboard!$AK$2,Payments!$B$6:$B$605,"&lt;="&amp;Dashboard!$AK$3))</f>
        <v/>
      </c>
      <c r="X17">
        <f>IF(U17=1,V17+ROW()/10000000,"")</f>
        <v/>
      </c>
      <c r="Y17">
        <f>IF(OR(N(S17)=0,F17=""),"",(YEAR(TODAY())-YEAR(F17))*12+MONTH(TODAY())-MONTH(F17))</f>
        <v/>
      </c>
      <c r="Z17">
        <f>IF(Y17="",0,SUMIFS(Payments!$D$6:$D$605,Payments!$C$6:$C$605,B17,Payments!$B$6:$B$605,"&gt;="&amp;DATE(YEAR(TODAY()),MONTH(TODAY()),1),Payments!$B$6:$B$605,"&lt;="&amp;EOMONTH(TODAY(),0)))</f>
        <v/>
      </c>
      <c r="AA17">
        <f>IF(Housemates!$B$8="",0,IF($T17=0,1,IF(H17="",0,IF(ISNUMBER(H17),H17,1))))</f>
        <v/>
      </c>
      <c r="AB17">
        <f>IF(Housemates!$B$9="",0,IF($T17=0,1,IF(I17="",0,IF(ISNUMBER(I17),I17,1))))</f>
        <v/>
      </c>
      <c r="AC17">
        <f>IF(Housemates!$B$10="",0,IF($T17=0,1,IF(J17="",0,IF(ISNUMBER(J17),J17,1))))</f>
        <v/>
      </c>
      <c r="AD17">
        <f>IF(Housemates!$B$11="",0,IF($T17=0,1,IF(K17="",0,IF(ISNUMBER(K17),K17,1))))</f>
        <v/>
      </c>
      <c r="AE17">
        <f>IF(Housemates!$B$12="",0,IF($T17=0,1,IF(L17="",0,IF(ISNUMBER(L17),L17,1))))</f>
        <v/>
      </c>
      <c r="AF17">
        <f>IF(Housemates!$B$13="",0,IF($T17=0,1,IF(M17="",0,IF(ISNUMBER(M17),M17,1))))</f>
        <v/>
      </c>
      <c r="AG17">
        <f>IF(Housemates!$B$14="",0,IF($T17=0,1,IF(N17="",0,IF(ISNUMBER(N17),N17,1))))</f>
        <v/>
      </c>
      <c r="AH17">
        <f>IF(Housemates!$B$15="",0,IF($T17=0,1,IF(O17="",0,IF(ISNUMBER(O17),O17,1))))</f>
        <v/>
      </c>
      <c r="AI17">
        <f>IF(P17="","",P17+ROW()/10000000)</f>
        <v/>
      </c>
      <c r="AK17">
        <f>IF(B16="","",B16)</f>
        <v/>
      </c>
    </row>
    <row r="18">
      <c r="A18" s="1" t="n"/>
      <c r="B18" s="26" t="n"/>
      <c r="C18" s="24" t="n"/>
      <c r="D18" s="25" t="n"/>
      <c r="E18" s="24" t="n"/>
      <c r="F18" s="23" t="n"/>
      <c r="G18" s="24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>
        <f>IF(Y18="","",IF(Y18&lt;0,F18,DATE(YEAR(DATE(YEAR(TODAY()),MONTH(TODAY())+IF(MOD(Y18,S18)=0,IF(Z18&gt;0,S18,0),S18-MOD(Y18,S18)),1)),MONTH(DATE(YEAR(TODAY()),MONTH(TODAY())+IF(MOD(Y18,S18)=0,IF(Z18&gt;0,S18,0),S18-MOD(Y18,S18)),1)),MIN(DAY(F18),DAY(EOMONTH(DATE(YEAR(TODAY()),MONTH(TODAY())+IF(MOD(Y18,S18)=0,IF(Z18&gt;0,S18,0),S18-MOD(Y18,S18)),1),0))))))</f>
        <v/>
      </c>
      <c r="Q18" s="21">
        <f>IF(B18="","",IF(T18=0,"Everyone",IF(COUNT(H18:O18)&gt;0,"By shares",IF(T18=1,"1 person",T18&amp;" people"))))</f>
        <v/>
      </c>
      <c r="R18" s="1" t="n"/>
      <c r="S18">
        <f>IF(B18="","",IF(E18="Monthly",1,IF(E18="Every 2 months",2,IF(E18="Every 3 months",3,IF(E18="Every 6 months",6,IF(E18="Yearly",12,0))))))</f>
        <v/>
      </c>
      <c r="T18">
        <f>COUNTA(H18:O18)</f>
        <v/>
      </c>
      <c r="U18">
        <f>IF(OR(N(S18)=0,F18=""),0,IF(AND(((YEAR(Dashboard!$AK$2)-YEAR(F18))*12+MONTH(Dashboard!$AK$2)-MONTH(F18))&gt;=0,MOD(((YEAR(Dashboard!$AK$2)-YEAR(F18))*12+MONTH(Dashboard!$AK$2)-MONTH(F18)),S18)=0),1,0))</f>
        <v/>
      </c>
      <c r="V18">
        <f>IF(U18=1,DATE(YEAR(Dashboard!$AK$2),MONTH(Dashboard!$AK$2),MIN(DAY(F18),DAY(Dashboard!$AK$3))),"")</f>
        <v/>
      </c>
      <c r="W18">
        <f>IF(B18="",0,SUMIFS(Payments!$D$6:$D$605,Payments!$C$6:$C$605,B18,Payments!$B$6:$B$605,"&gt;="&amp;Dashboard!$AK$2,Payments!$B$6:$B$605,"&lt;="&amp;Dashboard!$AK$3))</f>
        <v/>
      </c>
      <c r="X18">
        <f>IF(U18=1,V18+ROW()/10000000,"")</f>
        <v/>
      </c>
      <c r="Y18">
        <f>IF(OR(N(S18)=0,F18=""),"",(YEAR(TODAY())-YEAR(F18))*12+MONTH(TODAY())-MONTH(F18))</f>
        <v/>
      </c>
      <c r="Z18">
        <f>IF(Y18="",0,SUMIFS(Payments!$D$6:$D$605,Payments!$C$6:$C$605,B18,Payments!$B$6:$B$605,"&gt;="&amp;DATE(YEAR(TODAY()),MONTH(TODAY()),1),Payments!$B$6:$B$605,"&lt;="&amp;EOMONTH(TODAY(),0)))</f>
        <v/>
      </c>
      <c r="AA18">
        <f>IF(Housemates!$B$8="",0,IF($T18=0,1,IF(H18="",0,IF(ISNUMBER(H18),H18,1))))</f>
        <v/>
      </c>
      <c r="AB18">
        <f>IF(Housemates!$B$9="",0,IF($T18=0,1,IF(I18="",0,IF(ISNUMBER(I18),I18,1))))</f>
        <v/>
      </c>
      <c r="AC18">
        <f>IF(Housemates!$B$10="",0,IF($T18=0,1,IF(J18="",0,IF(ISNUMBER(J18),J18,1))))</f>
        <v/>
      </c>
      <c r="AD18">
        <f>IF(Housemates!$B$11="",0,IF($T18=0,1,IF(K18="",0,IF(ISNUMBER(K18),K18,1))))</f>
        <v/>
      </c>
      <c r="AE18">
        <f>IF(Housemates!$B$12="",0,IF($T18=0,1,IF(L18="",0,IF(ISNUMBER(L18),L18,1))))</f>
        <v/>
      </c>
      <c r="AF18">
        <f>IF(Housemates!$B$13="",0,IF($T18=0,1,IF(M18="",0,IF(ISNUMBER(M18),M18,1))))</f>
        <v/>
      </c>
      <c r="AG18">
        <f>IF(Housemates!$B$14="",0,IF($T18=0,1,IF(N18="",0,IF(ISNUMBER(N18),N18,1))))</f>
        <v/>
      </c>
      <c r="AH18">
        <f>IF(Housemates!$B$15="",0,IF($T18=0,1,IF(O18="",0,IF(ISNUMBER(O18),O18,1))))</f>
        <v/>
      </c>
      <c r="AI18">
        <f>IF(P18="","",P18+ROW()/10000000)</f>
        <v/>
      </c>
      <c r="AK18">
        <f>IF(B17="","",B17)</f>
        <v/>
      </c>
    </row>
    <row r="19">
      <c r="A19" s="1" t="n"/>
      <c r="B19" s="26" t="n"/>
      <c r="C19" s="24" t="n"/>
      <c r="D19" s="25" t="n"/>
      <c r="E19" s="24" t="n"/>
      <c r="F19" s="23" t="n"/>
      <c r="G19" s="24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>
        <f>IF(Y19="","",IF(Y19&lt;0,F19,DATE(YEAR(DATE(YEAR(TODAY()),MONTH(TODAY())+IF(MOD(Y19,S19)=0,IF(Z19&gt;0,S19,0),S19-MOD(Y19,S19)),1)),MONTH(DATE(YEAR(TODAY()),MONTH(TODAY())+IF(MOD(Y19,S19)=0,IF(Z19&gt;0,S19,0),S19-MOD(Y19,S19)),1)),MIN(DAY(F19),DAY(EOMONTH(DATE(YEAR(TODAY()),MONTH(TODAY())+IF(MOD(Y19,S19)=0,IF(Z19&gt;0,S19,0),S19-MOD(Y19,S19)),1),0))))))</f>
        <v/>
      </c>
      <c r="Q19" s="21">
        <f>IF(B19="","",IF(T19=0,"Everyone",IF(COUNT(H19:O19)&gt;0,"By shares",IF(T19=1,"1 person",T19&amp;" people"))))</f>
        <v/>
      </c>
      <c r="R19" s="1" t="n"/>
      <c r="S19">
        <f>IF(B19="","",IF(E19="Monthly",1,IF(E19="Every 2 months",2,IF(E19="Every 3 months",3,IF(E19="Every 6 months",6,IF(E19="Yearly",12,0))))))</f>
        <v/>
      </c>
      <c r="T19">
        <f>COUNTA(H19:O19)</f>
        <v/>
      </c>
      <c r="U19">
        <f>IF(OR(N(S19)=0,F19=""),0,IF(AND(((YEAR(Dashboard!$AK$2)-YEAR(F19))*12+MONTH(Dashboard!$AK$2)-MONTH(F19))&gt;=0,MOD(((YEAR(Dashboard!$AK$2)-YEAR(F19))*12+MONTH(Dashboard!$AK$2)-MONTH(F19)),S19)=0),1,0))</f>
        <v/>
      </c>
      <c r="V19">
        <f>IF(U19=1,DATE(YEAR(Dashboard!$AK$2),MONTH(Dashboard!$AK$2),MIN(DAY(F19),DAY(Dashboard!$AK$3))),"")</f>
        <v/>
      </c>
      <c r="W19">
        <f>IF(B19="",0,SUMIFS(Payments!$D$6:$D$605,Payments!$C$6:$C$605,B19,Payments!$B$6:$B$605,"&gt;="&amp;Dashboard!$AK$2,Payments!$B$6:$B$605,"&lt;="&amp;Dashboard!$AK$3))</f>
        <v/>
      </c>
      <c r="X19">
        <f>IF(U19=1,V19+ROW()/10000000,"")</f>
        <v/>
      </c>
      <c r="Y19">
        <f>IF(OR(N(S19)=0,F19=""),"",(YEAR(TODAY())-YEAR(F19))*12+MONTH(TODAY())-MONTH(F19))</f>
        <v/>
      </c>
      <c r="Z19">
        <f>IF(Y19="",0,SUMIFS(Payments!$D$6:$D$605,Payments!$C$6:$C$605,B19,Payments!$B$6:$B$605,"&gt;="&amp;DATE(YEAR(TODAY()),MONTH(TODAY()),1),Payments!$B$6:$B$605,"&lt;="&amp;EOMONTH(TODAY(),0)))</f>
        <v/>
      </c>
      <c r="AA19">
        <f>IF(Housemates!$B$8="",0,IF($T19=0,1,IF(H19="",0,IF(ISNUMBER(H19),H19,1))))</f>
        <v/>
      </c>
      <c r="AB19">
        <f>IF(Housemates!$B$9="",0,IF($T19=0,1,IF(I19="",0,IF(ISNUMBER(I19),I19,1))))</f>
        <v/>
      </c>
      <c r="AC19">
        <f>IF(Housemates!$B$10="",0,IF($T19=0,1,IF(J19="",0,IF(ISNUMBER(J19),J19,1))))</f>
        <v/>
      </c>
      <c r="AD19">
        <f>IF(Housemates!$B$11="",0,IF($T19=0,1,IF(K19="",0,IF(ISNUMBER(K19),K19,1))))</f>
        <v/>
      </c>
      <c r="AE19">
        <f>IF(Housemates!$B$12="",0,IF($T19=0,1,IF(L19="",0,IF(ISNUMBER(L19),L19,1))))</f>
        <v/>
      </c>
      <c r="AF19">
        <f>IF(Housemates!$B$13="",0,IF($T19=0,1,IF(M19="",0,IF(ISNUMBER(M19),M19,1))))</f>
        <v/>
      </c>
      <c r="AG19">
        <f>IF(Housemates!$B$14="",0,IF($T19=0,1,IF(N19="",0,IF(ISNUMBER(N19),N19,1))))</f>
        <v/>
      </c>
      <c r="AH19">
        <f>IF(Housemates!$B$15="",0,IF($T19=0,1,IF(O19="",0,IF(ISNUMBER(O19),O19,1))))</f>
        <v/>
      </c>
      <c r="AI19">
        <f>IF(P19="","",P19+ROW()/10000000)</f>
        <v/>
      </c>
      <c r="AK19">
        <f>IF(B18="","",B18)</f>
        <v/>
      </c>
    </row>
    <row r="20">
      <c r="A20" s="1" t="n"/>
      <c r="B20" s="26" t="n"/>
      <c r="C20" s="24" t="n"/>
      <c r="D20" s="25" t="n"/>
      <c r="E20" s="24" t="n"/>
      <c r="F20" s="23" t="n"/>
      <c r="G20" s="24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>
        <f>IF(Y20="","",IF(Y20&lt;0,F20,DATE(YEAR(DATE(YEAR(TODAY()),MONTH(TODAY())+IF(MOD(Y20,S20)=0,IF(Z20&gt;0,S20,0),S20-MOD(Y20,S20)),1)),MONTH(DATE(YEAR(TODAY()),MONTH(TODAY())+IF(MOD(Y20,S20)=0,IF(Z20&gt;0,S20,0),S20-MOD(Y20,S20)),1)),MIN(DAY(F20),DAY(EOMONTH(DATE(YEAR(TODAY()),MONTH(TODAY())+IF(MOD(Y20,S20)=0,IF(Z20&gt;0,S20,0),S20-MOD(Y20,S20)),1),0))))))</f>
        <v/>
      </c>
      <c r="Q20" s="21">
        <f>IF(B20="","",IF(T20=0,"Everyone",IF(COUNT(H20:O20)&gt;0,"By shares",IF(T20=1,"1 person",T20&amp;" people"))))</f>
        <v/>
      </c>
      <c r="R20" s="1" t="n"/>
      <c r="S20">
        <f>IF(B20="","",IF(E20="Monthly",1,IF(E20="Every 2 months",2,IF(E20="Every 3 months",3,IF(E20="Every 6 months",6,IF(E20="Yearly",12,0))))))</f>
        <v/>
      </c>
      <c r="T20">
        <f>COUNTA(H20:O20)</f>
        <v/>
      </c>
      <c r="U20">
        <f>IF(OR(N(S20)=0,F20=""),0,IF(AND(((YEAR(Dashboard!$AK$2)-YEAR(F20))*12+MONTH(Dashboard!$AK$2)-MONTH(F20))&gt;=0,MOD(((YEAR(Dashboard!$AK$2)-YEAR(F20))*12+MONTH(Dashboard!$AK$2)-MONTH(F20)),S20)=0),1,0))</f>
        <v/>
      </c>
      <c r="V20">
        <f>IF(U20=1,DATE(YEAR(Dashboard!$AK$2),MONTH(Dashboard!$AK$2),MIN(DAY(F20),DAY(Dashboard!$AK$3))),"")</f>
        <v/>
      </c>
      <c r="W20">
        <f>IF(B20="",0,SUMIFS(Payments!$D$6:$D$605,Payments!$C$6:$C$605,B20,Payments!$B$6:$B$605,"&gt;="&amp;Dashboard!$AK$2,Payments!$B$6:$B$605,"&lt;="&amp;Dashboard!$AK$3))</f>
        <v/>
      </c>
      <c r="X20">
        <f>IF(U20=1,V20+ROW()/10000000,"")</f>
        <v/>
      </c>
      <c r="Y20">
        <f>IF(OR(N(S20)=0,F20=""),"",(YEAR(TODAY())-YEAR(F20))*12+MONTH(TODAY())-MONTH(F20))</f>
        <v/>
      </c>
      <c r="Z20">
        <f>IF(Y20="",0,SUMIFS(Payments!$D$6:$D$605,Payments!$C$6:$C$605,B20,Payments!$B$6:$B$605,"&gt;="&amp;DATE(YEAR(TODAY()),MONTH(TODAY()),1),Payments!$B$6:$B$605,"&lt;="&amp;EOMONTH(TODAY(),0)))</f>
        <v/>
      </c>
      <c r="AA20">
        <f>IF(Housemates!$B$8="",0,IF($T20=0,1,IF(H20="",0,IF(ISNUMBER(H20),H20,1))))</f>
        <v/>
      </c>
      <c r="AB20">
        <f>IF(Housemates!$B$9="",0,IF($T20=0,1,IF(I20="",0,IF(ISNUMBER(I20),I20,1))))</f>
        <v/>
      </c>
      <c r="AC20">
        <f>IF(Housemates!$B$10="",0,IF($T20=0,1,IF(J20="",0,IF(ISNUMBER(J20),J20,1))))</f>
        <v/>
      </c>
      <c r="AD20">
        <f>IF(Housemates!$B$11="",0,IF($T20=0,1,IF(K20="",0,IF(ISNUMBER(K20),K20,1))))</f>
        <v/>
      </c>
      <c r="AE20">
        <f>IF(Housemates!$B$12="",0,IF($T20=0,1,IF(L20="",0,IF(ISNUMBER(L20),L20,1))))</f>
        <v/>
      </c>
      <c r="AF20">
        <f>IF(Housemates!$B$13="",0,IF($T20=0,1,IF(M20="",0,IF(ISNUMBER(M20),M20,1))))</f>
        <v/>
      </c>
      <c r="AG20">
        <f>IF(Housemates!$B$14="",0,IF($T20=0,1,IF(N20="",0,IF(ISNUMBER(N20),N20,1))))</f>
        <v/>
      </c>
      <c r="AH20">
        <f>IF(Housemates!$B$15="",0,IF($T20=0,1,IF(O20="",0,IF(ISNUMBER(O20),O20,1))))</f>
        <v/>
      </c>
      <c r="AI20">
        <f>IF(P20="","",P20+ROW()/10000000)</f>
        <v/>
      </c>
      <c r="AK20">
        <f>IF(B19="","",B19)</f>
        <v/>
      </c>
    </row>
    <row r="21">
      <c r="A21" s="1" t="n"/>
      <c r="B21" s="26" t="n"/>
      <c r="C21" s="24" t="n"/>
      <c r="D21" s="25" t="n"/>
      <c r="E21" s="24" t="n"/>
      <c r="F21" s="23" t="n"/>
      <c r="G21" s="24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>
        <f>IF(Y21="","",IF(Y21&lt;0,F21,DATE(YEAR(DATE(YEAR(TODAY()),MONTH(TODAY())+IF(MOD(Y21,S21)=0,IF(Z21&gt;0,S21,0),S21-MOD(Y21,S21)),1)),MONTH(DATE(YEAR(TODAY()),MONTH(TODAY())+IF(MOD(Y21,S21)=0,IF(Z21&gt;0,S21,0),S21-MOD(Y21,S21)),1)),MIN(DAY(F21),DAY(EOMONTH(DATE(YEAR(TODAY()),MONTH(TODAY())+IF(MOD(Y21,S21)=0,IF(Z21&gt;0,S21,0),S21-MOD(Y21,S21)),1),0))))))</f>
        <v/>
      </c>
      <c r="Q21" s="21">
        <f>IF(B21="","",IF(T21=0,"Everyone",IF(COUNT(H21:O21)&gt;0,"By shares",IF(T21=1,"1 person",T21&amp;" people"))))</f>
        <v/>
      </c>
      <c r="R21" s="1" t="n"/>
      <c r="S21">
        <f>IF(B21="","",IF(E21="Monthly",1,IF(E21="Every 2 months",2,IF(E21="Every 3 months",3,IF(E21="Every 6 months",6,IF(E21="Yearly",12,0))))))</f>
        <v/>
      </c>
      <c r="T21">
        <f>COUNTA(H21:O21)</f>
        <v/>
      </c>
      <c r="U21">
        <f>IF(OR(N(S21)=0,F21=""),0,IF(AND(((YEAR(Dashboard!$AK$2)-YEAR(F21))*12+MONTH(Dashboard!$AK$2)-MONTH(F21))&gt;=0,MOD(((YEAR(Dashboard!$AK$2)-YEAR(F21))*12+MONTH(Dashboard!$AK$2)-MONTH(F21)),S21)=0),1,0))</f>
        <v/>
      </c>
      <c r="V21">
        <f>IF(U21=1,DATE(YEAR(Dashboard!$AK$2),MONTH(Dashboard!$AK$2),MIN(DAY(F21),DAY(Dashboard!$AK$3))),"")</f>
        <v/>
      </c>
      <c r="W21">
        <f>IF(B21="",0,SUMIFS(Payments!$D$6:$D$605,Payments!$C$6:$C$605,B21,Payments!$B$6:$B$605,"&gt;="&amp;Dashboard!$AK$2,Payments!$B$6:$B$605,"&lt;="&amp;Dashboard!$AK$3))</f>
        <v/>
      </c>
      <c r="X21">
        <f>IF(U21=1,V21+ROW()/10000000,"")</f>
        <v/>
      </c>
      <c r="Y21">
        <f>IF(OR(N(S21)=0,F21=""),"",(YEAR(TODAY())-YEAR(F21))*12+MONTH(TODAY())-MONTH(F21))</f>
        <v/>
      </c>
      <c r="Z21">
        <f>IF(Y21="",0,SUMIFS(Payments!$D$6:$D$605,Payments!$C$6:$C$605,B21,Payments!$B$6:$B$605,"&gt;="&amp;DATE(YEAR(TODAY()),MONTH(TODAY()),1),Payments!$B$6:$B$605,"&lt;="&amp;EOMONTH(TODAY(),0)))</f>
        <v/>
      </c>
      <c r="AA21">
        <f>IF(Housemates!$B$8="",0,IF($T21=0,1,IF(H21="",0,IF(ISNUMBER(H21),H21,1))))</f>
        <v/>
      </c>
      <c r="AB21">
        <f>IF(Housemates!$B$9="",0,IF($T21=0,1,IF(I21="",0,IF(ISNUMBER(I21),I21,1))))</f>
        <v/>
      </c>
      <c r="AC21">
        <f>IF(Housemates!$B$10="",0,IF($T21=0,1,IF(J21="",0,IF(ISNUMBER(J21),J21,1))))</f>
        <v/>
      </c>
      <c r="AD21">
        <f>IF(Housemates!$B$11="",0,IF($T21=0,1,IF(K21="",0,IF(ISNUMBER(K21),K21,1))))</f>
        <v/>
      </c>
      <c r="AE21">
        <f>IF(Housemates!$B$12="",0,IF($T21=0,1,IF(L21="",0,IF(ISNUMBER(L21),L21,1))))</f>
        <v/>
      </c>
      <c r="AF21">
        <f>IF(Housemates!$B$13="",0,IF($T21=0,1,IF(M21="",0,IF(ISNUMBER(M21),M21,1))))</f>
        <v/>
      </c>
      <c r="AG21">
        <f>IF(Housemates!$B$14="",0,IF($T21=0,1,IF(N21="",0,IF(ISNUMBER(N21),N21,1))))</f>
        <v/>
      </c>
      <c r="AH21">
        <f>IF(Housemates!$B$15="",0,IF($T21=0,1,IF(O21="",0,IF(ISNUMBER(O21),O21,1))))</f>
        <v/>
      </c>
      <c r="AI21">
        <f>IF(P21="","",P21+ROW()/10000000)</f>
        <v/>
      </c>
      <c r="AK21">
        <f>IF(B20="","",B20)</f>
        <v/>
      </c>
    </row>
    <row r="22">
      <c r="A22" s="1" t="n"/>
      <c r="B22" s="26" t="n"/>
      <c r="C22" s="24" t="n"/>
      <c r="D22" s="25" t="n"/>
      <c r="E22" s="24" t="n"/>
      <c r="F22" s="23" t="n"/>
      <c r="G22" s="24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>
        <f>IF(Y22="","",IF(Y22&lt;0,F22,DATE(YEAR(DATE(YEAR(TODAY()),MONTH(TODAY())+IF(MOD(Y22,S22)=0,IF(Z22&gt;0,S22,0),S22-MOD(Y22,S22)),1)),MONTH(DATE(YEAR(TODAY()),MONTH(TODAY())+IF(MOD(Y22,S22)=0,IF(Z22&gt;0,S22,0),S22-MOD(Y22,S22)),1)),MIN(DAY(F22),DAY(EOMONTH(DATE(YEAR(TODAY()),MONTH(TODAY())+IF(MOD(Y22,S22)=0,IF(Z22&gt;0,S22,0),S22-MOD(Y22,S22)),1),0))))))</f>
        <v/>
      </c>
      <c r="Q22" s="21">
        <f>IF(B22="","",IF(T22=0,"Everyone",IF(COUNT(H22:O22)&gt;0,"By shares",IF(T22=1,"1 person",T22&amp;" people"))))</f>
        <v/>
      </c>
      <c r="R22" s="1" t="n"/>
      <c r="S22">
        <f>IF(B22="","",IF(E22="Monthly",1,IF(E22="Every 2 months",2,IF(E22="Every 3 months",3,IF(E22="Every 6 months",6,IF(E22="Yearly",12,0))))))</f>
        <v/>
      </c>
      <c r="T22">
        <f>COUNTA(H22:O22)</f>
        <v/>
      </c>
      <c r="U22">
        <f>IF(OR(N(S22)=0,F22=""),0,IF(AND(((YEAR(Dashboard!$AK$2)-YEAR(F22))*12+MONTH(Dashboard!$AK$2)-MONTH(F22))&gt;=0,MOD(((YEAR(Dashboard!$AK$2)-YEAR(F22))*12+MONTH(Dashboard!$AK$2)-MONTH(F22)),S22)=0),1,0))</f>
        <v/>
      </c>
      <c r="V22">
        <f>IF(U22=1,DATE(YEAR(Dashboard!$AK$2),MONTH(Dashboard!$AK$2),MIN(DAY(F22),DAY(Dashboard!$AK$3))),"")</f>
        <v/>
      </c>
      <c r="W22">
        <f>IF(B22="",0,SUMIFS(Payments!$D$6:$D$605,Payments!$C$6:$C$605,B22,Payments!$B$6:$B$605,"&gt;="&amp;Dashboard!$AK$2,Payments!$B$6:$B$605,"&lt;="&amp;Dashboard!$AK$3))</f>
        <v/>
      </c>
      <c r="X22">
        <f>IF(U22=1,V22+ROW()/10000000,"")</f>
        <v/>
      </c>
      <c r="Y22">
        <f>IF(OR(N(S22)=0,F22=""),"",(YEAR(TODAY())-YEAR(F22))*12+MONTH(TODAY())-MONTH(F22))</f>
        <v/>
      </c>
      <c r="Z22">
        <f>IF(Y22="",0,SUMIFS(Payments!$D$6:$D$605,Payments!$C$6:$C$605,B22,Payments!$B$6:$B$605,"&gt;="&amp;DATE(YEAR(TODAY()),MONTH(TODAY()),1),Payments!$B$6:$B$605,"&lt;="&amp;EOMONTH(TODAY(),0)))</f>
        <v/>
      </c>
      <c r="AA22">
        <f>IF(Housemates!$B$8="",0,IF($T22=0,1,IF(H22="",0,IF(ISNUMBER(H22),H22,1))))</f>
        <v/>
      </c>
      <c r="AB22">
        <f>IF(Housemates!$B$9="",0,IF($T22=0,1,IF(I22="",0,IF(ISNUMBER(I22),I22,1))))</f>
        <v/>
      </c>
      <c r="AC22">
        <f>IF(Housemates!$B$10="",0,IF($T22=0,1,IF(J22="",0,IF(ISNUMBER(J22),J22,1))))</f>
        <v/>
      </c>
      <c r="AD22">
        <f>IF(Housemates!$B$11="",0,IF($T22=0,1,IF(K22="",0,IF(ISNUMBER(K22),K22,1))))</f>
        <v/>
      </c>
      <c r="AE22">
        <f>IF(Housemates!$B$12="",0,IF($T22=0,1,IF(L22="",0,IF(ISNUMBER(L22),L22,1))))</f>
        <v/>
      </c>
      <c r="AF22">
        <f>IF(Housemates!$B$13="",0,IF($T22=0,1,IF(M22="",0,IF(ISNUMBER(M22),M22,1))))</f>
        <v/>
      </c>
      <c r="AG22">
        <f>IF(Housemates!$B$14="",0,IF($T22=0,1,IF(N22="",0,IF(ISNUMBER(N22),N22,1))))</f>
        <v/>
      </c>
      <c r="AH22">
        <f>IF(Housemates!$B$15="",0,IF($T22=0,1,IF(O22="",0,IF(ISNUMBER(O22),O22,1))))</f>
        <v/>
      </c>
      <c r="AI22">
        <f>IF(P22="","",P22+ROW()/10000000)</f>
        <v/>
      </c>
      <c r="AK22">
        <f>IF(B21="","",B21)</f>
        <v/>
      </c>
    </row>
    <row r="23">
      <c r="A23" s="1" t="n"/>
      <c r="B23" s="26" t="n"/>
      <c r="C23" s="24" t="n"/>
      <c r="D23" s="25" t="n"/>
      <c r="E23" s="24" t="n"/>
      <c r="F23" s="23" t="n"/>
      <c r="G23" s="24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>
        <f>IF(Y23="","",IF(Y23&lt;0,F23,DATE(YEAR(DATE(YEAR(TODAY()),MONTH(TODAY())+IF(MOD(Y23,S23)=0,IF(Z23&gt;0,S23,0),S23-MOD(Y23,S23)),1)),MONTH(DATE(YEAR(TODAY()),MONTH(TODAY())+IF(MOD(Y23,S23)=0,IF(Z23&gt;0,S23,0),S23-MOD(Y23,S23)),1)),MIN(DAY(F23),DAY(EOMONTH(DATE(YEAR(TODAY()),MONTH(TODAY())+IF(MOD(Y23,S23)=0,IF(Z23&gt;0,S23,0),S23-MOD(Y23,S23)),1),0))))))</f>
        <v/>
      </c>
      <c r="Q23" s="21">
        <f>IF(B23="","",IF(T23=0,"Everyone",IF(COUNT(H23:O23)&gt;0,"By shares",IF(T23=1,"1 person",T23&amp;" people"))))</f>
        <v/>
      </c>
      <c r="R23" s="1" t="n"/>
      <c r="S23">
        <f>IF(B23="","",IF(E23="Monthly",1,IF(E23="Every 2 months",2,IF(E23="Every 3 months",3,IF(E23="Every 6 months",6,IF(E23="Yearly",12,0))))))</f>
        <v/>
      </c>
      <c r="T23">
        <f>COUNTA(H23:O23)</f>
        <v/>
      </c>
      <c r="U23">
        <f>IF(OR(N(S23)=0,F23=""),0,IF(AND(((YEAR(Dashboard!$AK$2)-YEAR(F23))*12+MONTH(Dashboard!$AK$2)-MONTH(F23))&gt;=0,MOD(((YEAR(Dashboard!$AK$2)-YEAR(F23))*12+MONTH(Dashboard!$AK$2)-MONTH(F23)),S23)=0),1,0))</f>
        <v/>
      </c>
      <c r="V23">
        <f>IF(U23=1,DATE(YEAR(Dashboard!$AK$2),MONTH(Dashboard!$AK$2),MIN(DAY(F23),DAY(Dashboard!$AK$3))),"")</f>
        <v/>
      </c>
      <c r="W23">
        <f>IF(B23="",0,SUMIFS(Payments!$D$6:$D$605,Payments!$C$6:$C$605,B23,Payments!$B$6:$B$605,"&gt;="&amp;Dashboard!$AK$2,Payments!$B$6:$B$605,"&lt;="&amp;Dashboard!$AK$3))</f>
        <v/>
      </c>
      <c r="X23">
        <f>IF(U23=1,V23+ROW()/10000000,"")</f>
        <v/>
      </c>
      <c r="Y23">
        <f>IF(OR(N(S23)=0,F23=""),"",(YEAR(TODAY())-YEAR(F23))*12+MONTH(TODAY())-MONTH(F23))</f>
        <v/>
      </c>
      <c r="Z23">
        <f>IF(Y23="",0,SUMIFS(Payments!$D$6:$D$605,Payments!$C$6:$C$605,B23,Payments!$B$6:$B$605,"&gt;="&amp;DATE(YEAR(TODAY()),MONTH(TODAY()),1),Payments!$B$6:$B$605,"&lt;="&amp;EOMONTH(TODAY(),0)))</f>
        <v/>
      </c>
      <c r="AA23">
        <f>IF(Housemates!$B$8="",0,IF($T23=0,1,IF(H23="",0,IF(ISNUMBER(H23),H23,1))))</f>
        <v/>
      </c>
      <c r="AB23">
        <f>IF(Housemates!$B$9="",0,IF($T23=0,1,IF(I23="",0,IF(ISNUMBER(I23),I23,1))))</f>
        <v/>
      </c>
      <c r="AC23">
        <f>IF(Housemates!$B$10="",0,IF($T23=0,1,IF(J23="",0,IF(ISNUMBER(J23),J23,1))))</f>
        <v/>
      </c>
      <c r="AD23">
        <f>IF(Housemates!$B$11="",0,IF($T23=0,1,IF(K23="",0,IF(ISNUMBER(K23),K23,1))))</f>
        <v/>
      </c>
      <c r="AE23">
        <f>IF(Housemates!$B$12="",0,IF($T23=0,1,IF(L23="",0,IF(ISNUMBER(L23),L23,1))))</f>
        <v/>
      </c>
      <c r="AF23">
        <f>IF(Housemates!$B$13="",0,IF($T23=0,1,IF(M23="",0,IF(ISNUMBER(M23),M23,1))))</f>
        <v/>
      </c>
      <c r="AG23">
        <f>IF(Housemates!$B$14="",0,IF($T23=0,1,IF(N23="",0,IF(ISNUMBER(N23),N23,1))))</f>
        <v/>
      </c>
      <c r="AH23">
        <f>IF(Housemates!$B$15="",0,IF($T23=0,1,IF(O23="",0,IF(ISNUMBER(O23),O23,1))))</f>
        <v/>
      </c>
      <c r="AI23">
        <f>IF(P23="","",P23+ROW()/10000000)</f>
        <v/>
      </c>
      <c r="AK23">
        <f>IF(B22="","",B22)</f>
        <v/>
      </c>
    </row>
    <row r="24">
      <c r="A24" s="1" t="n"/>
      <c r="B24" s="26" t="n"/>
      <c r="C24" s="24" t="n"/>
      <c r="D24" s="25" t="n"/>
      <c r="E24" s="24" t="n"/>
      <c r="F24" s="23" t="n"/>
      <c r="G24" s="24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>
        <f>IF(Y24="","",IF(Y24&lt;0,F24,DATE(YEAR(DATE(YEAR(TODAY()),MONTH(TODAY())+IF(MOD(Y24,S24)=0,IF(Z24&gt;0,S24,0),S24-MOD(Y24,S24)),1)),MONTH(DATE(YEAR(TODAY()),MONTH(TODAY())+IF(MOD(Y24,S24)=0,IF(Z24&gt;0,S24,0),S24-MOD(Y24,S24)),1)),MIN(DAY(F24),DAY(EOMONTH(DATE(YEAR(TODAY()),MONTH(TODAY())+IF(MOD(Y24,S24)=0,IF(Z24&gt;0,S24,0),S24-MOD(Y24,S24)),1),0))))))</f>
        <v/>
      </c>
      <c r="Q24" s="21">
        <f>IF(B24="","",IF(T24=0,"Everyone",IF(COUNT(H24:O24)&gt;0,"By shares",IF(T24=1,"1 person",T24&amp;" people"))))</f>
        <v/>
      </c>
      <c r="R24" s="1" t="n"/>
      <c r="S24">
        <f>IF(B24="","",IF(E24="Monthly",1,IF(E24="Every 2 months",2,IF(E24="Every 3 months",3,IF(E24="Every 6 months",6,IF(E24="Yearly",12,0))))))</f>
        <v/>
      </c>
      <c r="T24">
        <f>COUNTA(H24:O24)</f>
        <v/>
      </c>
      <c r="U24">
        <f>IF(OR(N(S24)=0,F24=""),0,IF(AND(((YEAR(Dashboard!$AK$2)-YEAR(F24))*12+MONTH(Dashboard!$AK$2)-MONTH(F24))&gt;=0,MOD(((YEAR(Dashboard!$AK$2)-YEAR(F24))*12+MONTH(Dashboard!$AK$2)-MONTH(F24)),S24)=0),1,0))</f>
        <v/>
      </c>
      <c r="V24">
        <f>IF(U24=1,DATE(YEAR(Dashboard!$AK$2),MONTH(Dashboard!$AK$2),MIN(DAY(F24),DAY(Dashboard!$AK$3))),"")</f>
        <v/>
      </c>
      <c r="W24">
        <f>IF(B24="",0,SUMIFS(Payments!$D$6:$D$605,Payments!$C$6:$C$605,B24,Payments!$B$6:$B$605,"&gt;="&amp;Dashboard!$AK$2,Payments!$B$6:$B$605,"&lt;="&amp;Dashboard!$AK$3))</f>
        <v/>
      </c>
      <c r="X24">
        <f>IF(U24=1,V24+ROW()/10000000,"")</f>
        <v/>
      </c>
      <c r="Y24">
        <f>IF(OR(N(S24)=0,F24=""),"",(YEAR(TODAY())-YEAR(F24))*12+MONTH(TODAY())-MONTH(F24))</f>
        <v/>
      </c>
      <c r="Z24">
        <f>IF(Y24="",0,SUMIFS(Payments!$D$6:$D$605,Payments!$C$6:$C$605,B24,Payments!$B$6:$B$605,"&gt;="&amp;DATE(YEAR(TODAY()),MONTH(TODAY()),1),Payments!$B$6:$B$605,"&lt;="&amp;EOMONTH(TODAY(),0)))</f>
        <v/>
      </c>
      <c r="AA24">
        <f>IF(Housemates!$B$8="",0,IF($T24=0,1,IF(H24="",0,IF(ISNUMBER(H24),H24,1))))</f>
        <v/>
      </c>
      <c r="AB24">
        <f>IF(Housemates!$B$9="",0,IF($T24=0,1,IF(I24="",0,IF(ISNUMBER(I24),I24,1))))</f>
        <v/>
      </c>
      <c r="AC24">
        <f>IF(Housemates!$B$10="",0,IF($T24=0,1,IF(J24="",0,IF(ISNUMBER(J24),J24,1))))</f>
        <v/>
      </c>
      <c r="AD24">
        <f>IF(Housemates!$B$11="",0,IF($T24=0,1,IF(K24="",0,IF(ISNUMBER(K24),K24,1))))</f>
        <v/>
      </c>
      <c r="AE24">
        <f>IF(Housemates!$B$12="",0,IF($T24=0,1,IF(L24="",0,IF(ISNUMBER(L24),L24,1))))</f>
        <v/>
      </c>
      <c r="AF24">
        <f>IF(Housemates!$B$13="",0,IF($T24=0,1,IF(M24="",0,IF(ISNUMBER(M24),M24,1))))</f>
        <v/>
      </c>
      <c r="AG24">
        <f>IF(Housemates!$B$14="",0,IF($T24=0,1,IF(N24="",0,IF(ISNUMBER(N24),N24,1))))</f>
        <v/>
      </c>
      <c r="AH24">
        <f>IF(Housemates!$B$15="",0,IF($T24=0,1,IF(O24="",0,IF(ISNUMBER(O24),O24,1))))</f>
        <v/>
      </c>
      <c r="AI24">
        <f>IF(P24="","",P24+ROW()/10000000)</f>
        <v/>
      </c>
      <c r="AK24">
        <f>IF(B23="","",B23)</f>
        <v/>
      </c>
    </row>
    <row r="25">
      <c r="A25" s="1" t="n"/>
      <c r="B25" s="26" t="n"/>
      <c r="C25" s="24" t="n"/>
      <c r="D25" s="25" t="n"/>
      <c r="E25" s="24" t="n"/>
      <c r="F25" s="23" t="n"/>
      <c r="G25" s="24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>
        <f>IF(Y25="","",IF(Y25&lt;0,F25,DATE(YEAR(DATE(YEAR(TODAY()),MONTH(TODAY())+IF(MOD(Y25,S25)=0,IF(Z25&gt;0,S25,0),S25-MOD(Y25,S25)),1)),MONTH(DATE(YEAR(TODAY()),MONTH(TODAY())+IF(MOD(Y25,S25)=0,IF(Z25&gt;0,S25,0),S25-MOD(Y25,S25)),1)),MIN(DAY(F25),DAY(EOMONTH(DATE(YEAR(TODAY()),MONTH(TODAY())+IF(MOD(Y25,S25)=0,IF(Z25&gt;0,S25,0),S25-MOD(Y25,S25)),1),0))))))</f>
        <v/>
      </c>
      <c r="Q25" s="21">
        <f>IF(B25="","",IF(T25=0,"Everyone",IF(COUNT(H25:O25)&gt;0,"By shares",IF(T25=1,"1 person",T25&amp;" people"))))</f>
        <v/>
      </c>
      <c r="R25" s="1" t="n"/>
      <c r="S25">
        <f>IF(B25="","",IF(E25="Monthly",1,IF(E25="Every 2 months",2,IF(E25="Every 3 months",3,IF(E25="Every 6 months",6,IF(E25="Yearly",12,0))))))</f>
        <v/>
      </c>
      <c r="T25">
        <f>COUNTA(H25:O25)</f>
        <v/>
      </c>
      <c r="U25">
        <f>IF(OR(N(S25)=0,F25=""),0,IF(AND(((YEAR(Dashboard!$AK$2)-YEAR(F25))*12+MONTH(Dashboard!$AK$2)-MONTH(F25))&gt;=0,MOD(((YEAR(Dashboard!$AK$2)-YEAR(F25))*12+MONTH(Dashboard!$AK$2)-MONTH(F25)),S25)=0),1,0))</f>
        <v/>
      </c>
      <c r="V25">
        <f>IF(U25=1,DATE(YEAR(Dashboard!$AK$2),MONTH(Dashboard!$AK$2),MIN(DAY(F25),DAY(Dashboard!$AK$3))),"")</f>
        <v/>
      </c>
      <c r="W25">
        <f>IF(B25="",0,SUMIFS(Payments!$D$6:$D$605,Payments!$C$6:$C$605,B25,Payments!$B$6:$B$605,"&gt;="&amp;Dashboard!$AK$2,Payments!$B$6:$B$605,"&lt;="&amp;Dashboard!$AK$3))</f>
        <v/>
      </c>
      <c r="X25">
        <f>IF(U25=1,V25+ROW()/10000000,"")</f>
        <v/>
      </c>
      <c r="Y25">
        <f>IF(OR(N(S25)=0,F25=""),"",(YEAR(TODAY())-YEAR(F25))*12+MONTH(TODAY())-MONTH(F25))</f>
        <v/>
      </c>
      <c r="Z25">
        <f>IF(Y25="",0,SUMIFS(Payments!$D$6:$D$605,Payments!$C$6:$C$605,B25,Payments!$B$6:$B$605,"&gt;="&amp;DATE(YEAR(TODAY()),MONTH(TODAY()),1),Payments!$B$6:$B$605,"&lt;="&amp;EOMONTH(TODAY(),0)))</f>
        <v/>
      </c>
      <c r="AA25">
        <f>IF(Housemates!$B$8="",0,IF($T25=0,1,IF(H25="",0,IF(ISNUMBER(H25),H25,1))))</f>
        <v/>
      </c>
      <c r="AB25">
        <f>IF(Housemates!$B$9="",0,IF($T25=0,1,IF(I25="",0,IF(ISNUMBER(I25),I25,1))))</f>
        <v/>
      </c>
      <c r="AC25">
        <f>IF(Housemates!$B$10="",0,IF($T25=0,1,IF(J25="",0,IF(ISNUMBER(J25),J25,1))))</f>
        <v/>
      </c>
      <c r="AD25">
        <f>IF(Housemates!$B$11="",0,IF($T25=0,1,IF(K25="",0,IF(ISNUMBER(K25),K25,1))))</f>
        <v/>
      </c>
      <c r="AE25">
        <f>IF(Housemates!$B$12="",0,IF($T25=0,1,IF(L25="",0,IF(ISNUMBER(L25),L25,1))))</f>
        <v/>
      </c>
      <c r="AF25">
        <f>IF(Housemates!$B$13="",0,IF($T25=0,1,IF(M25="",0,IF(ISNUMBER(M25),M25,1))))</f>
        <v/>
      </c>
      <c r="AG25">
        <f>IF(Housemates!$B$14="",0,IF($T25=0,1,IF(N25="",0,IF(ISNUMBER(N25),N25,1))))</f>
        <v/>
      </c>
      <c r="AH25">
        <f>IF(Housemates!$B$15="",0,IF($T25=0,1,IF(O25="",0,IF(ISNUMBER(O25),O25,1))))</f>
        <v/>
      </c>
      <c r="AI25">
        <f>IF(P25="","",P25+ROW()/10000000)</f>
        <v/>
      </c>
      <c r="AK25">
        <f>IF(B24="","",B24)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AK26">
        <f>IF(B25="","",B25)</f>
        <v/>
      </c>
    </row>
    <row r="27">
      <c r="A27" s="1" t="n"/>
      <c r="B27" s="19" t="inlineStr">
        <is>
          <t>Next due is the first date from this month on that is not paid yet. A bill counts as paid when a payment for it is dated in the month it is due.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</sheetData>
  <conditionalFormatting sqref="H6:O25">
    <cfRule type="expression" priority="1" dxfId="5">
      <formula>AND(H6&lt;&gt;"",H$5&lt;&gt;"")</formula>
    </cfRule>
  </conditionalFormatting>
  <conditionalFormatting sqref="P6:P25">
    <cfRule type="expression" priority="2" dxfId="3">
      <formula>AND($P6&lt;&gt;"",$P6&lt;TODAY())</formula>
    </cfRule>
    <cfRule type="expression" priority="3" dxfId="1">
      <formula>AND($P6&lt;&gt;"",$P6-TODAY()&lt;=3)</formula>
    </cfRule>
  </conditionalFormatting>
  <dataValidations count="3">
    <dataValidation sqref="C6:C25" showDropDown="0" showInputMessage="0" showErrorMessage="1" allowBlank="1" type="list">
      <formula1>"Rent,Energy,Water,Internet,Subscriptions,Insurance,Groceries,Household,Other"</formula1>
    </dataValidation>
    <dataValidation sqref="E6:E25" showDropDown="0" showInputMessage="0" showErrorMessage="1" allowBlank="1" type="list">
      <formula1>"Monthly,Every 2 months,Every 3 months,Every 6 months,Yearly,When needed"</formula1>
    </dataValidation>
    <dataValidation sqref="G6:G25" showDropDown="0" showInputMessage="0" showErrorMessage="0" allowBlank="1" type="list">
      <formula1>=Housemates!$B$8:$B$15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56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Chores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A rota that moves one step every Monday, between the people who live here now.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4" t="inlineStr">
        <is>
          <t>Chore</t>
        </is>
      </c>
      <c r="C5" s="14" t="inlineStr">
        <is>
          <t>This week</t>
        </is>
      </c>
      <c r="D5" s="14" t="inlineStr">
        <is>
          <t>Next week</t>
        </is>
      </c>
      <c r="E5" s="14">
        <f>"Week of "&amp;DAY((TODAY()-WEEKDAY(TODAY(),3)+14))&amp;" "&amp;CHOOSE(MONTH((TODAY()-WEEKDAY(TODAY(),3)+14)),"Jan","Feb","Mar","Apr","May","Jun","Jul","Aug","Sep","Oct","Nov","Dec")</f>
        <v/>
      </c>
      <c r="F5" s="14">
        <f>"Week of "&amp;DAY((TODAY()-WEEKDAY(TODAY(),3)+21))&amp;" "&amp;CHOOSE(MONTH((TODAY()-WEEKDAY(TODAY(),3)+21)),"Jan","Feb","Mar","Apr","May","Jun","Jul","Aug","Sep","Oct","Nov","Dec")</f>
        <v/>
      </c>
      <c r="G5" s="14">
        <f>"Week of "&amp;DAY((TODAY()-WEEKDAY(TODAY(),3)+28))&amp;" "&amp;CHOOSE(MONTH((TODAY()-WEEKDAY(TODAY(),3)+28)),"Jan","Feb","Mar","Apr","May","Jun","Jul","Aug","Sep","Oct","Nov","Dec")</f>
        <v/>
      </c>
      <c r="H5" s="14">
        <f>"Week of "&amp;DAY((TODAY()-WEEKDAY(TODAY(),3)+35))&amp;" "&amp;CHOOSE(MONTH((TODAY()-WEEKDAY(TODAY(),3)+35)),"Jan","Feb","Mar","Apr","May","Jun","Jul","Aug","Sep","Oct","Nov","Dec")</f>
        <v/>
      </c>
      <c r="I5" s="1" t="n"/>
      <c r="J5" s="1" t="n"/>
      <c r="K5" s="1" t="n"/>
    </row>
    <row r="6">
      <c r="A6" s="1" t="n"/>
      <c r="B6" s="26" t="inlineStr">
        <is>
          <t>Clean the kitchen</t>
        </is>
      </c>
      <c r="C6" s="21">
        <f>IF(OR($B6="",COUNT(Housemates!$I$8:$I$15)=0),"",INDEX(Housemates!$B$8:$B$15,SMALL(Housemates!$I$8:$I$15,MOD(INT((TODAY()-WEEKDAY(TODAY(),3)+0-DATE(2024,1,1))/7)+0,COUNT(Housemates!$I$8:$I$15))+1)))</f>
        <v/>
      </c>
      <c r="D6" s="21">
        <f>IF(OR($B6="",COUNT(Housemates!$I$8:$I$15)=0),"",INDEX(Housemates!$B$8:$B$15,SMALL(Housemates!$I$8:$I$15,MOD(INT((TODAY()-WEEKDAY(TODAY(),3)+7-DATE(2024,1,1))/7)+0,COUNT(Housemates!$I$8:$I$15))+1)))</f>
        <v/>
      </c>
      <c r="E6" s="21">
        <f>IF(OR($B6="",COUNT(Housemates!$I$8:$I$15)=0),"",INDEX(Housemates!$B$8:$B$15,SMALL(Housemates!$I$8:$I$15,MOD(INT((TODAY()-WEEKDAY(TODAY(),3)+14-DATE(2024,1,1))/7)+0,COUNT(Housemates!$I$8:$I$15))+1)))</f>
        <v/>
      </c>
      <c r="F6" s="21">
        <f>IF(OR($B6="",COUNT(Housemates!$I$8:$I$15)=0),"",INDEX(Housemates!$B$8:$B$15,SMALL(Housemates!$I$8:$I$15,MOD(INT((TODAY()-WEEKDAY(TODAY(),3)+21-DATE(2024,1,1))/7)+0,COUNT(Housemates!$I$8:$I$15))+1)))</f>
        <v/>
      </c>
      <c r="G6" s="21">
        <f>IF(OR($B6="",COUNT(Housemates!$I$8:$I$15)=0),"",INDEX(Housemates!$B$8:$B$15,SMALL(Housemates!$I$8:$I$15,MOD(INT((TODAY()-WEEKDAY(TODAY(),3)+28-DATE(2024,1,1))/7)+0,COUNT(Housemates!$I$8:$I$15))+1)))</f>
        <v/>
      </c>
      <c r="H6" s="21">
        <f>IF(OR($B6="",COUNT(Housemates!$I$8:$I$15)=0),"",INDEX(Housemates!$B$8:$B$15,SMALL(Housemates!$I$8:$I$15,MOD(INT((TODAY()-WEEKDAY(TODAY(),3)+35-DATE(2024,1,1))/7)+0,COUNT(Housemates!$I$8:$I$15))+1)))</f>
        <v/>
      </c>
      <c r="I6" s="1" t="n"/>
      <c r="J6" s="29" t="inlineStr">
        <is>
          <t>Everyone who lives here now takes a turn, and each chore moves to the next person every Monday.</t>
        </is>
      </c>
      <c r="K6" s="1" t="n"/>
    </row>
    <row r="7">
      <c r="A7" s="1" t="n"/>
      <c r="B7" s="26" t="inlineStr">
        <is>
          <t>Clean the bathroom</t>
        </is>
      </c>
      <c r="C7" s="21">
        <f>IF(OR($B7="",COUNT(Housemates!$I$8:$I$15)=0),"",INDEX(Housemates!$B$8:$B$15,SMALL(Housemates!$I$8:$I$15,MOD(INT((TODAY()-WEEKDAY(TODAY(),3)+0-DATE(2024,1,1))/7)+1,COUNT(Housemates!$I$8:$I$15))+1)))</f>
        <v/>
      </c>
      <c r="D7" s="21">
        <f>IF(OR($B7="",COUNT(Housemates!$I$8:$I$15)=0),"",INDEX(Housemates!$B$8:$B$15,SMALL(Housemates!$I$8:$I$15,MOD(INT((TODAY()-WEEKDAY(TODAY(),3)+7-DATE(2024,1,1))/7)+1,COUNT(Housemates!$I$8:$I$15))+1)))</f>
        <v/>
      </c>
      <c r="E7" s="21">
        <f>IF(OR($B7="",COUNT(Housemates!$I$8:$I$15)=0),"",INDEX(Housemates!$B$8:$B$15,SMALL(Housemates!$I$8:$I$15,MOD(INT((TODAY()-WEEKDAY(TODAY(),3)+14-DATE(2024,1,1))/7)+1,COUNT(Housemates!$I$8:$I$15))+1)))</f>
        <v/>
      </c>
      <c r="F7" s="21">
        <f>IF(OR($B7="",COUNT(Housemates!$I$8:$I$15)=0),"",INDEX(Housemates!$B$8:$B$15,SMALL(Housemates!$I$8:$I$15,MOD(INT((TODAY()-WEEKDAY(TODAY(),3)+21-DATE(2024,1,1))/7)+1,COUNT(Housemates!$I$8:$I$15))+1)))</f>
        <v/>
      </c>
      <c r="G7" s="21">
        <f>IF(OR($B7="",COUNT(Housemates!$I$8:$I$15)=0),"",INDEX(Housemates!$B$8:$B$15,SMALL(Housemates!$I$8:$I$15,MOD(INT((TODAY()-WEEKDAY(TODAY(),3)+28-DATE(2024,1,1))/7)+1,COUNT(Housemates!$I$8:$I$15))+1)))</f>
        <v/>
      </c>
      <c r="H7" s="21">
        <f>IF(OR($B7="",COUNT(Housemates!$I$8:$I$15)=0),"",INDEX(Housemates!$B$8:$B$15,SMALL(Housemates!$I$8:$I$15,MOD(INT((TODAY()-WEEKDAY(TODAY(),3)+35-DATE(2024,1,1))/7)+1,COUNT(Housemates!$I$8:$I$15))+1)))</f>
        <v/>
      </c>
      <c r="I7" s="1" t="n"/>
      <c r="J7" s="29" t="inlineStr">
        <is>
          <t>More chores than people? Some get two in a week.</t>
        </is>
      </c>
      <c r="K7" s="1" t="n"/>
    </row>
    <row r="8">
      <c r="A8" s="1" t="n"/>
      <c r="B8" s="26" t="inlineStr">
        <is>
          <t>Vacuum and mop</t>
        </is>
      </c>
      <c r="C8" s="21">
        <f>IF(OR($B8="",COUNT(Housemates!$I$8:$I$15)=0),"",INDEX(Housemates!$B$8:$B$15,SMALL(Housemates!$I$8:$I$15,MOD(INT((TODAY()-WEEKDAY(TODAY(),3)+0-DATE(2024,1,1))/7)+2,COUNT(Housemates!$I$8:$I$15))+1)))</f>
        <v/>
      </c>
      <c r="D8" s="21">
        <f>IF(OR($B8="",COUNT(Housemates!$I$8:$I$15)=0),"",INDEX(Housemates!$B$8:$B$15,SMALL(Housemates!$I$8:$I$15,MOD(INT((TODAY()-WEEKDAY(TODAY(),3)+7-DATE(2024,1,1))/7)+2,COUNT(Housemates!$I$8:$I$15))+1)))</f>
        <v/>
      </c>
      <c r="E8" s="21">
        <f>IF(OR($B8="",COUNT(Housemates!$I$8:$I$15)=0),"",INDEX(Housemates!$B$8:$B$15,SMALL(Housemates!$I$8:$I$15,MOD(INT((TODAY()-WEEKDAY(TODAY(),3)+14-DATE(2024,1,1))/7)+2,COUNT(Housemates!$I$8:$I$15))+1)))</f>
        <v/>
      </c>
      <c r="F8" s="21">
        <f>IF(OR($B8="",COUNT(Housemates!$I$8:$I$15)=0),"",INDEX(Housemates!$B$8:$B$15,SMALL(Housemates!$I$8:$I$15,MOD(INT((TODAY()-WEEKDAY(TODAY(),3)+21-DATE(2024,1,1))/7)+2,COUNT(Housemates!$I$8:$I$15))+1)))</f>
        <v/>
      </c>
      <c r="G8" s="21">
        <f>IF(OR($B8="",COUNT(Housemates!$I$8:$I$15)=0),"",INDEX(Housemates!$B$8:$B$15,SMALL(Housemates!$I$8:$I$15,MOD(INT((TODAY()-WEEKDAY(TODAY(),3)+28-DATE(2024,1,1))/7)+2,COUNT(Housemates!$I$8:$I$15))+1)))</f>
        <v/>
      </c>
      <c r="H8" s="21">
        <f>IF(OR($B8="",COUNT(Housemates!$I$8:$I$15)=0),"",INDEX(Housemates!$B$8:$B$15,SMALL(Housemates!$I$8:$I$15,MOD(INT((TODAY()-WEEKDAY(TODAY(),3)+35-DATE(2024,1,1))/7)+2,COUNT(Housemates!$I$8:$I$15))+1)))</f>
        <v/>
      </c>
      <c r="I8" s="1" t="n"/>
      <c r="J8" s="29" t="inlineStr">
        <is>
          <t>Add or rename chores in column B.</t>
        </is>
      </c>
      <c r="K8" s="1" t="n"/>
    </row>
    <row r="9">
      <c r="A9" s="1" t="n"/>
      <c r="B9" s="26" t="inlineStr">
        <is>
          <t>Take out the bins</t>
        </is>
      </c>
      <c r="C9" s="21">
        <f>IF(OR($B9="",COUNT(Housemates!$I$8:$I$15)=0),"",INDEX(Housemates!$B$8:$B$15,SMALL(Housemates!$I$8:$I$15,MOD(INT((TODAY()-WEEKDAY(TODAY(),3)+0-DATE(2024,1,1))/7)+3,COUNT(Housemates!$I$8:$I$15))+1)))</f>
        <v/>
      </c>
      <c r="D9" s="21">
        <f>IF(OR($B9="",COUNT(Housemates!$I$8:$I$15)=0),"",INDEX(Housemates!$B$8:$B$15,SMALL(Housemates!$I$8:$I$15,MOD(INT((TODAY()-WEEKDAY(TODAY(),3)+7-DATE(2024,1,1))/7)+3,COUNT(Housemates!$I$8:$I$15))+1)))</f>
        <v/>
      </c>
      <c r="E9" s="21">
        <f>IF(OR($B9="",COUNT(Housemates!$I$8:$I$15)=0),"",INDEX(Housemates!$B$8:$B$15,SMALL(Housemates!$I$8:$I$15,MOD(INT((TODAY()-WEEKDAY(TODAY(),3)+14-DATE(2024,1,1))/7)+3,COUNT(Housemates!$I$8:$I$15))+1)))</f>
        <v/>
      </c>
      <c r="F9" s="21">
        <f>IF(OR($B9="",COUNT(Housemates!$I$8:$I$15)=0),"",INDEX(Housemates!$B$8:$B$15,SMALL(Housemates!$I$8:$I$15,MOD(INT((TODAY()-WEEKDAY(TODAY(),3)+21-DATE(2024,1,1))/7)+3,COUNT(Housemates!$I$8:$I$15))+1)))</f>
        <v/>
      </c>
      <c r="G9" s="21">
        <f>IF(OR($B9="",COUNT(Housemates!$I$8:$I$15)=0),"",INDEX(Housemates!$B$8:$B$15,SMALL(Housemates!$I$8:$I$15,MOD(INT((TODAY()-WEEKDAY(TODAY(),3)+28-DATE(2024,1,1))/7)+3,COUNT(Housemates!$I$8:$I$15))+1)))</f>
        <v/>
      </c>
      <c r="H9" s="21">
        <f>IF(OR($B9="",COUNT(Housemates!$I$8:$I$15)=0),"",INDEX(Housemates!$B$8:$B$15,SMALL(Housemates!$I$8:$I$15,MOD(INT((TODAY()-WEEKDAY(TODAY(),3)+35-DATE(2024,1,1))/7)+3,COUNT(Housemates!$I$8:$I$15))+1)))</f>
        <v/>
      </c>
      <c r="I9" s="1" t="n"/>
      <c r="J9" s="1" t="n"/>
      <c r="K9" s="1" t="n"/>
    </row>
    <row r="10">
      <c r="A10" s="1" t="n"/>
      <c r="B10" s="26" t="inlineStr">
        <is>
          <t>Tidy the living room</t>
        </is>
      </c>
      <c r="C10" s="21">
        <f>IF(OR($B10="",COUNT(Housemates!$I$8:$I$15)=0),"",INDEX(Housemates!$B$8:$B$15,SMALL(Housemates!$I$8:$I$15,MOD(INT((TODAY()-WEEKDAY(TODAY(),3)+0-DATE(2024,1,1))/7)+4,COUNT(Housemates!$I$8:$I$15))+1)))</f>
        <v/>
      </c>
      <c r="D10" s="21">
        <f>IF(OR($B10="",COUNT(Housemates!$I$8:$I$15)=0),"",INDEX(Housemates!$B$8:$B$15,SMALL(Housemates!$I$8:$I$15,MOD(INT((TODAY()-WEEKDAY(TODAY(),3)+7-DATE(2024,1,1))/7)+4,COUNT(Housemates!$I$8:$I$15))+1)))</f>
        <v/>
      </c>
      <c r="E10" s="21">
        <f>IF(OR($B10="",COUNT(Housemates!$I$8:$I$15)=0),"",INDEX(Housemates!$B$8:$B$15,SMALL(Housemates!$I$8:$I$15,MOD(INT((TODAY()-WEEKDAY(TODAY(),3)+14-DATE(2024,1,1))/7)+4,COUNT(Housemates!$I$8:$I$15))+1)))</f>
        <v/>
      </c>
      <c r="F10" s="21">
        <f>IF(OR($B10="",COUNT(Housemates!$I$8:$I$15)=0),"",INDEX(Housemates!$B$8:$B$15,SMALL(Housemates!$I$8:$I$15,MOD(INT((TODAY()-WEEKDAY(TODAY(),3)+21-DATE(2024,1,1))/7)+4,COUNT(Housemates!$I$8:$I$15))+1)))</f>
        <v/>
      </c>
      <c r="G10" s="21">
        <f>IF(OR($B10="",COUNT(Housemates!$I$8:$I$15)=0),"",INDEX(Housemates!$B$8:$B$15,SMALL(Housemates!$I$8:$I$15,MOD(INT((TODAY()-WEEKDAY(TODAY(),3)+28-DATE(2024,1,1))/7)+4,COUNT(Housemates!$I$8:$I$15))+1)))</f>
        <v/>
      </c>
      <c r="H10" s="21">
        <f>IF(OR($B10="",COUNT(Housemates!$I$8:$I$15)=0),"",INDEX(Housemates!$B$8:$B$15,SMALL(Housemates!$I$8:$I$15,MOD(INT((TODAY()-WEEKDAY(TODAY(),3)+35-DATE(2024,1,1))/7)+4,COUNT(Housemates!$I$8:$I$15))+1)))</f>
        <v/>
      </c>
      <c r="I10" s="1" t="n"/>
      <c r="J10" s="1" t="n"/>
      <c r="K10" s="1" t="n"/>
    </row>
    <row r="11">
      <c r="A11" s="1" t="n"/>
      <c r="B11" s="26" t="n"/>
      <c r="C11" s="21">
        <f>IF(OR($B11="",COUNT(Housemates!$I$8:$I$15)=0),"",INDEX(Housemates!$B$8:$B$15,SMALL(Housemates!$I$8:$I$15,MOD(INT((TODAY()-WEEKDAY(TODAY(),3)+0-DATE(2024,1,1))/7)+5,COUNT(Housemates!$I$8:$I$15))+1)))</f>
        <v/>
      </c>
      <c r="D11" s="21">
        <f>IF(OR($B11="",COUNT(Housemates!$I$8:$I$15)=0),"",INDEX(Housemates!$B$8:$B$15,SMALL(Housemates!$I$8:$I$15,MOD(INT((TODAY()-WEEKDAY(TODAY(),3)+7-DATE(2024,1,1))/7)+5,COUNT(Housemates!$I$8:$I$15))+1)))</f>
        <v/>
      </c>
      <c r="E11" s="21">
        <f>IF(OR($B11="",COUNT(Housemates!$I$8:$I$15)=0),"",INDEX(Housemates!$B$8:$B$15,SMALL(Housemates!$I$8:$I$15,MOD(INT((TODAY()-WEEKDAY(TODAY(),3)+14-DATE(2024,1,1))/7)+5,COUNT(Housemates!$I$8:$I$15))+1)))</f>
        <v/>
      </c>
      <c r="F11" s="21">
        <f>IF(OR($B11="",COUNT(Housemates!$I$8:$I$15)=0),"",INDEX(Housemates!$B$8:$B$15,SMALL(Housemates!$I$8:$I$15,MOD(INT((TODAY()-WEEKDAY(TODAY(),3)+21-DATE(2024,1,1))/7)+5,COUNT(Housemates!$I$8:$I$15))+1)))</f>
        <v/>
      </c>
      <c r="G11" s="21">
        <f>IF(OR($B11="",COUNT(Housemates!$I$8:$I$15)=0),"",INDEX(Housemates!$B$8:$B$15,SMALL(Housemates!$I$8:$I$15,MOD(INT((TODAY()-WEEKDAY(TODAY(),3)+28-DATE(2024,1,1))/7)+5,COUNT(Housemates!$I$8:$I$15))+1)))</f>
        <v/>
      </c>
      <c r="H11" s="21">
        <f>IF(OR($B11="",COUNT(Housemates!$I$8:$I$15)=0),"",INDEX(Housemates!$B$8:$B$15,SMALL(Housemates!$I$8:$I$15,MOD(INT((TODAY()-WEEKDAY(TODAY(),3)+35-DATE(2024,1,1))/7)+5,COUNT(Housemates!$I$8:$I$15))+1)))</f>
        <v/>
      </c>
      <c r="I11" s="1" t="n"/>
      <c r="J11" s="1" t="n"/>
      <c r="K11" s="1" t="n"/>
    </row>
    <row r="12">
      <c r="A12" s="1" t="n"/>
      <c r="B12" s="26" t="n"/>
      <c r="C12" s="21">
        <f>IF(OR($B12="",COUNT(Housemates!$I$8:$I$15)=0),"",INDEX(Housemates!$B$8:$B$15,SMALL(Housemates!$I$8:$I$15,MOD(INT((TODAY()-WEEKDAY(TODAY(),3)+0-DATE(2024,1,1))/7)+6,COUNT(Housemates!$I$8:$I$15))+1)))</f>
        <v/>
      </c>
      <c r="D12" s="21">
        <f>IF(OR($B12="",COUNT(Housemates!$I$8:$I$15)=0),"",INDEX(Housemates!$B$8:$B$15,SMALL(Housemates!$I$8:$I$15,MOD(INT((TODAY()-WEEKDAY(TODAY(),3)+7-DATE(2024,1,1))/7)+6,COUNT(Housemates!$I$8:$I$15))+1)))</f>
        <v/>
      </c>
      <c r="E12" s="21">
        <f>IF(OR($B12="",COUNT(Housemates!$I$8:$I$15)=0),"",INDEX(Housemates!$B$8:$B$15,SMALL(Housemates!$I$8:$I$15,MOD(INT((TODAY()-WEEKDAY(TODAY(),3)+14-DATE(2024,1,1))/7)+6,COUNT(Housemates!$I$8:$I$15))+1)))</f>
        <v/>
      </c>
      <c r="F12" s="21">
        <f>IF(OR($B12="",COUNT(Housemates!$I$8:$I$15)=0),"",INDEX(Housemates!$B$8:$B$15,SMALL(Housemates!$I$8:$I$15,MOD(INT((TODAY()-WEEKDAY(TODAY(),3)+21-DATE(2024,1,1))/7)+6,COUNT(Housemates!$I$8:$I$15))+1)))</f>
        <v/>
      </c>
      <c r="G12" s="21">
        <f>IF(OR($B12="",COUNT(Housemates!$I$8:$I$15)=0),"",INDEX(Housemates!$B$8:$B$15,SMALL(Housemates!$I$8:$I$15,MOD(INT((TODAY()-WEEKDAY(TODAY(),3)+28-DATE(2024,1,1))/7)+6,COUNT(Housemates!$I$8:$I$15))+1)))</f>
        <v/>
      </c>
      <c r="H12" s="21">
        <f>IF(OR($B12="",COUNT(Housemates!$I$8:$I$15)=0),"",INDEX(Housemates!$B$8:$B$15,SMALL(Housemates!$I$8:$I$15,MOD(INT((TODAY()-WEEKDAY(TODAY(),3)+35-DATE(2024,1,1))/7)+6,COUNT(Housemates!$I$8:$I$15))+1)))</f>
        <v/>
      </c>
      <c r="I12" s="1" t="n"/>
      <c r="J12" s="1" t="n"/>
      <c r="K12" s="1" t="n"/>
    </row>
    <row r="13">
      <c r="A13" s="1" t="n"/>
      <c r="B13" s="26" t="n"/>
      <c r="C13" s="21">
        <f>IF(OR($B13="",COUNT(Housemates!$I$8:$I$15)=0),"",INDEX(Housemates!$B$8:$B$15,SMALL(Housemates!$I$8:$I$15,MOD(INT((TODAY()-WEEKDAY(TODAY(),3)+0-DATE(2024,1,1))/7)+7,COUNT(Housemates!$I$8:$I$15))+1)))</f>
        <v/>
      </c>
      <c r="D13" s="21">
        <f>IF(OR($B13="",COUNT(Housemates!$I$8:$I$15)=0),"",INDEX(Housemates!$B$8:$B$15,SMALL(Housemates!$I$8:$I$15,MOD(INT((TODAY()-WEEKDAY(TODAY(),3)+7-DATE(2024,1,1))/7)+7,COUNT(Housemates!$I$8:$I$15))+1)))</f>
        <v/>
      </c>
      <c r="E13" s="21">
        <f>IF(OR($B13="",COUNT(Housemates!$I$8:$I$15)=0),"",INDEX(Housemates!$B$8:$B$15,SMALL(Housemates!$I$8:$I$15,MOD(INT((TODAY()-WEEKDAY(TODAY(),3)+14-DATE(2024,1,1))/7)+7,COUNT(Housemates!$I$8:$I$15))+1)))</f>
        <v/>
      </c>
      <c r="F13" s="21">
        <f>IF(OR($B13="",COUNT(Housemates!$I$8:$I$15)=0),"",INDEX(Housemates!$B$8:$B$15,SMALL(Housemates!$I$8:$I$15,MOD(INT((TODAY()-WEEKDAY(TODAY(),3)+21-DATE(2024,1,1))/7)+7,COUNT(Housemates!$I$8:$I$15))+1)))</f>
        <v/>
      </c>
      <c r="G13" s="21">
        <f>IF(OR($B13="",COUNT(Housemates!$I$8:$I$15)=0),"",INDEX(Housemates!$B$8:$B$15,SMALL(Housemates!$I$8:$I$15,MOD(INT((TODAY()-WEEKDAY(TODAY(),3)+28-DATE(2024,1,1))/7)+7,COUNT(Housemates!$I$8:$I$15))+1)))</f>
        <v/>
      </c>
      <c r="H13" s="21">
        <f>IF(OR($B13="",COUNT(Housemates!$I$8:$I$15)=0),"",INDEX(Housemates!$B$8:$B$15,SMALL(Housemates!$I$8:$I$15,MOD(INT((TODAY()-WEEKDAY(TODAY(),3)+35-DATE(2024,1,1))/7)+7,COUNT(Housemates!$I$8:$I$15))+1)))</f>
        <v/>
      </c>
      <c r="I13" s="1" t="n"/>
      <c r="J13" s="1" t="n"/>
      <c r="K13" s="1" t="n"/>
    </row>
    <row r="14">
      <c r="A14" s="1" t="n"/>
      <c r="B14" s="26" t="n"/>
      <c r="C14" s="21">
        <f>IF(OR($B14="",COUNT(Housemates!$I$8:$I$15)=0),"",INDEX(Housemates!$B$8:$B$15,SMALL(Housemates!$I$8:$I$15,MOD(INT((TODAY()-WEEKDAY(TODAY(),3)+0-DATE(2024,1,1))/7)+8,COUNT(Housemates!$I$8:$I$15))+1)))</f>
        <v/>
      </c>
      <c r="D14" s="21">
        <f>IF(OR($B14="",COUNT(Housemates!$I$8:$I$15)=0),"",INDEX(Housemates!$B$8:$B$15,SMALL(Housemates!$I$8:$I$15,MOD(INT((TODAY()-WEEKDAY(TODAY(),3)+7-DATE(2024,1,1))/7)+8,COUNT(Housemates!$I$8:$I$15))+1)))</f>
        <v/>
      </c>
      <c r="E14" s="21">
        <f>IF(OR($B14="",COUNT(Housemates!$I$8:$I$15)=0),"",INDEX(Housemates!$B$8:$B$15,SMALL(Housemates!$I$8:$I$15,MOD(INT((TODAY()-WEEKDAY(TODAY(),3)+14-DATE(2024,1,1))/7)+8,COUNT(Housemates!$I$8:$I$15))+1)))</f>
        <v/>
      </c>
      <c r="F14" s="21">
        <f>IF(OR($B14="",COUNT(Housemates!$I$8:$I$15)=0),"",INDEX(Housemates!$B$8:$B$15,SMALL(Housemates!$I$8:$I$15,MOD(INT((TODAY()-WEEKDAY(TODAY(),3)+21-DATE(2024,1,1))/7)+8,COUNT(Housemates!$I$8:$I$15))+1)))</f>
        <v/>
      </c>
      <c r="G14" s="21">
        <f>IF(OR($B14="",COUNT(Housemates!$I$8:$I$15)=0),"",INDEX(Housemates!$B$8:$B$15,SMALL(Housemates!$I$8:$I$15,MOD(INT((TODAY()-WEEKDAY(TODAY(),3)+28-DATE(2024,1,1))/7)+8,COUNT(Housemates!$I$8:$I$15))+1)))</f>
        <v/>
      </c>
      <c r="H14" s="21">
        <f>IF(OR($B14="",COUNT(Housemates!$I$8:$I$15)=0),"",INDEX(Housemates!$B$8:$B$15,SMALL(Housemates!$I$8:$I$15,MOD(INT((TODAY()-WEEKDAY(TODAY(),3)+35-DATE(2024,1,1))/7)+8,COUNT(Housemates!$I$8:$I$15))+1)))</f>
        <v/>
      </c>
      <c r="I14" s="1" t="n"/>
      <c r="J14" s="1" t="n"/>
      <c r="K14" s="1" t="n"/>
    </row>
    <row r="15">
      <c r="A15" s="1" t="n"/>
      <c r="B15" s="26" t="n"/>
      <c r="C15" s="21">
        <f>IF(OR($B15="",COUNT(Housemates!$I$8:$I$15)=0),"",INDEX(Housemates!$B$8:$B$15,SMALL(Housemates!$I$8:$I$15,MOD(INT((TODAY()-WEEKDAY(TODAY(),3)+0-DATE(2024,1,1))/7)+9,COUNT(Housemates!$I$8:$I$15))+1)))</f>
        <v/>
      </c>
      <c r="D15" s="21">
        <f>IF(OR($B15="",COUNT(Housemates!$I$8:$I$15)=0),"",INDEX(Housemates!$B$8:$B$15,SMALL(Housemates!$I$8:$I$15,MOD(INT((TODAY()-WEEKDAY(TODAY(),3)+7-DATE(2024,1,1))/7)+9,COUNT(Housemates!$I$8:$I$15))+1)))</f>
        <v/>
      </c>
      <c r="E15" s="21">
        <f>IF(OR($B15="",COUNT(Housemates!$I$8:$I$15)=0),"",INDEX(Housemates!$B$8:$B$15,SMALL(Housemates!$I$8:$I$15,MOD(INT((TODAY()-WEEKDAY(TODAY(),3)+14-DATE(2024,1,1))/7)+9,COUNT(Housemates!$I$8:$I$15))+1)))</f>
        <v/>
      </c>
      <c r="F15" s="21">
        <f>IF(OR($B15="",COUNT(Housemates!$I$8:$I$15)=0),"",INDEX(Housemates!$B$8:$B$15,SMALL(Housemates!$I$8:$I$15,MOD(INT((TODAY()-WEEKDAY(TODAY(),3)+21-DATE(2024,1,1))/7)+9,COUNT(Housemates!$I$8:$I$15))+1)))</f>
        <v/>
      </c>
      <c r="G15" s="21">
        <f>IF(OR($B15="",COUNT(Housemates!$I$8:$I$15)=0),"",INDEX(Housemates!$B$8:$B$15,SMALL(Housemates!$I$8:$I$15,MOD(INT((TODAY()-WEEKDAY(TODAY(),3)+28-DATE(2024,1,1))/7)+9,COUNT(Housemates!$I$8:$I$15))+1)))</f>
        <v/>
      </c>
      <c r="H15" s="21">
        <f>IF(OR($B15="",COUNT(Housemates!$I$8:$I$15)=0),"",INDEX(Housemates!$B$8:$B$15,SMALL(Housemates!$I$8:$I$15,MOD(INT((TODAY()-WEEKDAY(TODAY(),3)+35-DATE(2024,1,1))/7)+9,COUNT(Housemates!$I$8:$I$15))+1)))</f>
        <v/>
      </c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</sheetData>
  <conditionalFormatting sqref="C6:C15">
    <cfRule type="expression" priority="1" dxfId="5">
      <formula>C6&lt;&gt;""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3" customWidth="1" min="13" max="13"/>
    <col width="14" customWidth="1" min="14" max="14"/>
    <col width="12" customWidth="1" min="15" max="15"/>
    <col width="12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Year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Every month by category, and what each housemate paid and shared in the year.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4" t="inlineStr">
        <is>
          <t>Year</t>
        </is>
      </c>
      <c r="C4" s="7" t="n">
        <v>2026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30" customHeight="1">
      <c r="A6" s="1" t="n"/>
      <c r="B6" s="14" t="inlineStr">
        <is>
          <t>Month</t>
        </is>
      </c>
      <c r="C6" s="14" t="inlineStr">
        <is>
          <t>Rent</t>
        </is>
      </c>
      <c r="D6" s="14" t="inlineStr">
        <is>
          <t>Energy</t>
        </is>
      </c>
      <c r="E6" s="14" t="inlineStr">
        <is>
          <t>Water</t>
        </is>
      </c>
      <c r="F6" s="14" t="inlineStr">
        <is>
          <t>Internet</t>
        </is>
      </c>
      <c r="G6" s="14" t="inlineStr">
        <is>
          <t>Subscriptions</t>
        </is>
      </c>
      <c r="H6" s="14" t="inlineStr">
        <is>
          <t>Insurance</t>
        </is>
      </c>
      <c r="I6" s="14" t="inlineStr">
        <is>
          <t>Groceries</t>
        </is>
      </c>
      <c r="J6" s="14" t="inlineStr">
        <is>
          <t>Household</t>
        </is>
      </c>
      <c r="K6" s="14" t="inlineStr">
        <is>
          <t>Other</t>
        </is>
      </c>
      <c r="L6" s="14" t="inlineStr">
        <is>
          <t>Total</t>
        </is>
      </c>
      <c r="M6" s="1" t="n"/>
      <c r="N6" s="14" t="inlineStr">
        <is>
          <t>Housemate</t>
        </is>
      </c>
      <c r="O6" s="14" t="inlineStr">
        <is>
          <t>Paid</t>
        </is>
      </c>
      <c r="P6" s="14" t="inlineStr">
        <is>
          <t>Share</t>
        </is>
      </c>
      <c r="Q6" s="1" t="n"/>
    </row>
    <row r="7">
      <c r="A7" s="1" t="n"/>
      <c r="B7" s="30" t="inlineStr">
        <is>
          <t>Jan</t>
        </is>
      </c>
      <c r="C7" s="31">
        <f>SUMIFS(Payments!$D$6:$D$605,Payments!$O$6:$O$605,C$6,Payments!$B$6:$B$605,"&gt;="&amp;DATE($C$4,1,1),Payments!$B$6:$B$605,"&lt;="&amp;EOMONTH(DATE($C$4,1,1),0))</f>
        <v/>
      </c>
      <c r="D7" s="31">
        <f>SUMIFS(Payments!$D$6:$D$605,Payments!$O$6:$O$605,D$6,Payments!$B$6:$B$605,"&gt;="&amp;DATE($C$4,1,1),Payments!$B$6:$B$605,"&lt;="&amp;EOMONTH(DATE($C$4,1,1),0))</f>
        <v/>
      </c>
      <c r="E7" s="31">
        <f>SUMIFS(Payments!$D$6:$D$605,Payments!$O$6:$O$605,E$6,Payments!$B$6:$B$605,"&gt;="&amp;DATE($C$4,1,1),Payments!$B$6:$B$605,"&lt;="&amp;EOMONTH(DATE($C$4,1,1),0))</f>
        <v/>
      </c>
      <c r="F7" s="31">
        <f>SUMIFS(Payments!$D$6:$D$605,Payments!$O$6:$O$605,F$6,Payments!$B$6:$B$605,"&gt;="&amp;DATE($C$4,1,1),Payments!$B$6:$B$605,"&lt;="&amp;EOMONTH(DATE($C$4,1,1),0))</f>
        <v/>
      </c>
      <c r="G7" s="31">
        <f>SUMIFS(Payments!$D$6:$D$605,Payments!$O$6:$O$605,G$6,Payments!$B$6:$B$605,"&gt;="&amp;DATE($C$4,1,1),Payments!$B$6:$B$605,"&lt;="&amp;EOMONTH(DATE($C$4,1,1),0))</f>
        <v/>
      </c>
      <c r="H7" s="31">
        <f>SUMIFS(Payments!$D$6:$D$605,Payments!$O$6:$O$605,H$6,Payments!$B$6:$B$605,"&gt;="&amp;DATE($C$4,1,1),Payments!$B$6:$B$605,"&lt;="&amp;EOMONTH(DATE($C$4,1,1),0))</f>
        <v/>
      </c>
      <c r="I7" s="31">
        <f>SUMIFS(Payments!$D$6:$D$605,Payments!$O$6:$O$605,I$6,Payments!$B$6:$B$605,"&gt;="&amp;DATE($C$4,1,1),Payments!$B$6:$B$605,"&lt;="&amp;EOMONTH(DATE($C$4,1,1),0))</f>
        <v/>
      </c>
      <c r="J7" s="31">
        <f>SUMIFS(Payments!$D$6:$D$605,Payments!$O$6:$O$605,J$6,Payments!$B$6:$B$605,"&gt;="&amp;DATE($C$4,1,1),Payments!$B$6:$B$605,"&lt;="&amp;EOMONTH(DATE($C$4,1,1),0))</f>
        <v/>
      </c>
      <c r="K7" s="31">
        <f>SUMIFS(Payments!$D$6:$D$605,Payments!$O$6:$O$605,K$6,Payments!$B$6:$B$605,"&gt;="&amp;DATE($C$4,1,1),Payments!$B$6:$B$605,"&lt;="&amp;EOMONTH(DATE($C$4,1,1),0))</f>
        <v/>
      </c>
      <c r="L7" s="32">
        <f>SUM(C7:K7)</f>
        <v/>
      </c>
      <c r="M7" s="1" t="n"/>
      <c r="N7" s="15">
        <f>IF(Housemates!B8="","",Housemates!B8)</f>
        <v/>
      </c>
      <c r="O7" s="16">
        <f>IF(N7="","",SUMIFS(Payments!$D$6:$D$605,Payments!$E$6:$E$605,N7,Payments!$B$6:$B$605,"&gt;="&amp;DATE($C$4,1,1),Payments!$B$6:$B$605,"&lt;="&amp;DATE($C$4,12,31),Payments!$C$6:$C$605,"&lt;&gt;Paying back"))</f>
        <v/>
      </c>
      <c r="P7" s="16">
        <f>IF(N7="","",SUMIFS(Payments!$AB$6:$AB$605,Payments!$B$6:$B$605,"&gt;="&amp;DATE($C$4,1,1),Payments!$B$6:$B$605,"&lt;="&amp;DATE($C$4,12,31),Payments!$C$6:$C$605,"&lt;&gt;Paying back"))</f>
        <v/>
      </c>
      <c r="Q7" s="1" t="n"/>
    </row>
    <row r="8">
      <c r="A8" s="1" t="n"/>
      <c r="B8" s="30" t="inlineStr">
        <is>
          <t>Feb</t>
        </is>
      </c>
      <c r="C8" s="31">
        <f>SUMIFS(Payments!$D$6:$D$605,Payments!$O$6:$O$605,C$6,Payments!$B$6:$B$605,"&gt;="&amp;DATE($C$4,2,1),Payments!$B$6:$B$605,"&lt;="&amp;EOMONTH(DATE($C$4,2,1),0))</f>
        <v/>
      </c>
      <c r="D8" s="31">
        <f>SUMIFS(Payments!$D$6:$D$605,Payments!$O$6:$O$605,D$6,Payments!$B$6:$B$605,"&gt;="&amp;DATE($C$4,2,1),Payments!$B$6:$B$605,"&lt;="&amp;EOMONTH(DATE($C$4,2,1),0))</f>
        <v/>
      </c>
      <c r="E8" s="31">
        <f>SUMIFS(Payments!$D$6:$D$605,Payments!$O$6:$O$605,E$6,Payments!$B$6:$B$605,"&gt;="&amp;DATE($C$4,2,1),Payments!$B$6:$B$605,"&lt;="&amp;EOMONTH(DATE($C$4,2,1),0))</f>
        <v/>
      </c>
      <c r="F8" s="31">
        <f>SUMIFS(Payments!$D$6:$D$605,Payments!$O$6:$O$605,F$6,Payments!$B$6:$B$605,"&gt;="&amp;DATE($C$4,2,1),Payments!$B$6:$B$605,"&lt;="&amp;EOMONTH(DATE($C$4,2,1),0))</f>
        <v/>
      </c>
      <c r="G8" s="31">
        <f>SUMIFS(Payments!$D$6:$D$605,Payments!$O$6:$O$605,G$6,Payments!$B$6:$B$605,"&gt;="&amp;DATE($C$4,2,1),Payments!$B$6:$B$605,"&lt;="&amp;EOMONTH(DATE($C$4,2,1),0))</f>
        <v/>
      </c>
      <c r="H8" s="31">
        <f>SUMIFS(Payments!$D$6:$D$605,Payments!$O$6:$O$605,H$6,Payments!$B$6:$B$605,"&gt;="&amp;DATE($C$4,2,1),Payments!$B$6:$B$605,"&lt;="&amp;EOMONTH(DATE($C$4,2,1),0))</f>
        <v/>
      </c>
      <c r="I8" s="31">
        <f>SUMIFS(Payments!$D$6:$D$605,Payments!$O$6:$O$605,I$6,Payments!$B$6:$B$605,"&gt;="&amp;DATE($C$4,2,1),Payments!$B$6:$B$605,"&lt;="&amp;EOMONTH(DATE($C$4,2,1),0))</f>
        <v/>
      </c>
      <c r="J8" s="31">
        <f>SUMIFS(Payments!$D$6:$D$605,Payments!$O$6:$O$605,J$6,Payments!$B$6:$B$605,"&gt;="&amp;DATE($C$4,2,1),Payments!$B$6:$B$605,"&lt;="&amp;EOMONTH(DATE($C$4,2,1),0))</f>
        <v/>
      </c>
      <c r="K8" s="31">
        <f>SUMIFS(Payments!$D$6:$D$605,Payments!$O$6:$O$605,K$6,Payments!$B$6:$B$605,"&gt;="&amp;DATE($C$4,2,1),Payments!$B$6:$B$605,"&lt;="&amp;EOMONTH(DATE($C$4,2,1),0))</f>
        <v/>
      </c>
      <c r="L8" s="32">
        <f>SUM(C8:K8)</f>
        <v/>
      </c>
      <c r="M8" s="1" t="n"/>
      <c r="N8" s="15">
        <f>IF(Housemates!B9="","",Housemates!B9)</f>
        <v/>
      </c>
      <c r="O8" s="16">
        <f>IF(N8="","",SUMIFS(Payments!$D$6:$D$605,Payments!$E$6:$E$605,N8,Payments!$B$6:$B$605,"&gt;="&amp;DATE($C$4,1,1),Payments!$B$6:$B$605,"&lt;="&amp;DATE($C$4,12,31),Payments!$C$6:$C$605,"&lt;&gt;Paying back"))</f>
        <v/>
      </c>
      <c r="P8" s="16">
        <f>IF(N8="","",SUMIFS(Payments!$AC$6:$AC$605,Payments!$B$6:$B$605,"&gt;="&amp;DATE($C$4,1,1),Payments!$B$6:$B$605,"&lt;="&amp;DATE($C$4,12,31),Payments!$C$6:$C$605,"&lt;&gt;Paying back"))</f>
        <v/>
      </c>
      <c r="Q8" s="1" t="n"/>
    </row>
    <row r="9">
      <c r="A9" s="1" t="n"/>
      <c r="B9" s="30" t="inlineStr">
        <is>
          <t>Mar</t>
        </is>
      </c>
      <c r="C9" s="31">
        <f>SUMIFS(Payments!$D$6:$D$605,Payments!$O$6:$O$605,C$6,Payments!$B$6:$B$605,"&gt;="&amp;DATE($C$4,3,1),Payments!$B$6:$B$605,"&lt;="&amp;EOMONTH(DATE($C$4,3,1),0))</f>
        <v/>
      </c>
      <c r="D9" s="31">
        <f>SUMIFS(Payments!$D$6:$D$605,Payments!$O$6:$O$605,D$6,Payments!$B$6:$B$605,"&gt;="&amp;DATE($C$4,3,1),Payments!$B$6:$B$605,"&lt;="&amp;EOMONTH(DATE($C$4,3,1),0))</f>
        <v/>
      </c>
      <c r="E9" s="31">
        <f>SUMIFS(Payments!$D$6:$D$605,Payments!$O$6:$O$605,E$6,Payments!$B$6:$B$605,"&gt;="&amp;DATE($C$4,3,1),Payments!$B$6:$B$605,"&lt;="&amp;EOMONTH(DATE($C$4,3,1),0))</f>
        <v/>
      </c>
      <c r="F9" s="31">
        <f>SUMIFS(Payments!$D$6:$D$605,Payments!$O$6:$O$605,F$6,Payments!$B$6:$B$605,"&gt;="&amp;DATE($C$4,3,1),Payments!$B$6:$B$605,"&lt;="&amp;EOMONTH(DATE($C$4,3,1),0))</f>
        <v/>
      </c>
      <c r="G9" s="31">
        <f>SUMIFS(Payments!$D$6:$D$605,Payments!$O$6:$O$605,G$6,Payments!$B$6:$B$605,"&gt;="&amp;DATE($C$4,3,1),Payments!$B$6:$B$605,"&lt;="&amp;EOMONTH(DATE($C$4,3,1),0))</f>
        <v/>
      </c>
      <c r="H9" s="31">
        <f>SUMIFS(Payments!$D$6:$D$605,Payments!$O$6:$O$605,H$6,Payments!$B$6:$B$605,"&gt;="&amp;DATE($C$4,3,1),Payments!$B$6:$B$605,"&lt;="&amp;EOMONTH(DATE($C$4,3,1),0))</f>
        <v/>
      </c>
      <c r="I9" s="31">
        <f>SUMIFS(Payments!$D$6:$D$605,Payments!$O$6:$O$605,I$6,Payments!$B$6:$B$605,"&gt;="&amp;DATE($C$4,3,1),Payments!$B$6:$B$605,"&lt;="&amp;EOMONTH(DATE($C$4,3,1),0))</f>
        <v/>
      </c>
      <c r="J9" s="31">
        <f>SUMIFS(Payments!$D$6:$D$605,Payments!$O$6:$O$605,J$6,Payments!$B$6:$B$605,"&gt;="&amp;DATE($C$4,3,1),Payments!$B$6:$B$605,"&lt;="&amp;EOMONTH(DATE($C$4,3,1),0))</f>
        <v/>
      </c>
      <c r="K9" s="31">
        <f>SUMIFS(Payments!$D$6:$D$605,Payments!$O$6:$O$605,K$6,Payments!$B$6:$B$605,"&gt;="&amp;DATE($C$4,3,1),Payments!$B$6:$B$605,"&lt;="&amp;EOMONTH(DATE($C$4,3,1),0))</f>
        <v/>
      </c>
      <c r="L9" s="32">
        <f>SUM(C9:K9)</f>
        <v/>
      </c>
      <c r="M9" s="1" t="n"/>
      <c r="N9" s="15">
        <f>IF(Housemates!B10="","",Housemates!B10)</f>
        <v/>
      </c>
      <c r="O9" s="16">
        <f>IF(N9="","",SUMIFS(Payments!$D$6:$D$605,Payments!$E$6:$E$605,N9,Payments!$B$6:$B$605,"&gt;="&amp;DATE($C$4,1,1),Payments!$B$6:$B$605,"&lt;="&amp;DATE($C$4,12,31),Payments!$C$6:$C$605,"&lt;&gt;Paying back"))</f>
        <v/>
      </c>
      <c r="P9" s="16">
        <f>IF(N9="","",SUMIFS(Payments!$AD$6:$AD$605,Payments!$B$6:$B$605,"&gt;="&amp;DATE($C$4,1,1),Payments!$B$6:$B$605,"&lt;="&amp;DATE($C$4,12,31),Payments!$C$6:$C$605,"&lt;&gt;Paying back"))</f>
        <v/>
      </c>
      <c r="Q9" s="1" t="n"/>
    </row>
    <row r="10">
      <c r="A10" s="1" t="n"/>
      <c r="B10" s="30" t="inlineStr">
        <is>
          <t>Apr</t>
        </is>
      </c>
      <c r="C10" s="31">
        <f>SUMIFS(Payments!$D$6:$D$605,Payments!$O$6:$O$605,C$6,Payments!$B$6:$B$605,"&gt;="&amp;DATE($C$4,4,1),Payments!$B$6:$B$605,"&lt;="&amp;EOMONTH(DATE($C$4,4,1),0))</f>
        <v/>
      </c>
      <c r="D10" s="31">
        <f>SUMIFS(Payments!$D$6:$D$605,Payments!$O$6:$O$605,D$6,Payments!$B$6:$B$605,"&gt;="&amp;DATE($C$4,4,1),Payments!$B$6:$B$605,"&lt;="&amp;EOMONTH(DATE($C$4,4,1),0))</f>
        <v/>
      </c>
      <c r="E10" s="31">
        <f>SUMIFS(Payments!$D$6:$D$605,Payments!$O$6:$O$605,E$6,Payments!$B$6:$B$605,"&gt;="&amp;DATE($C$4,4,1),Payments!$B$6:$B$605,"&lt;="&amp;EOMONTH(DATE($C$4,4,1),0))</f>
        <v/>
      </c>
      <c r="F10" s="31">
        <f>SUMIFS(Payments!$D$6:$D$605,Payments!$O$6:$O$605,F$6,Payments!$B$6:$B$605,"&gt;="&amp;DATE($C$4,4,1),Payments!$B$6:$B$605,"&lt;="&amp;EOMONTH(DATE($C$4,4,1),0))</f>
        <v/>
      </c>
      <c r="G10" s="31">
        <f>SUMIFS(Payments!$D$6:$D$605,Payments!$O$6:$O$605,G$6,Payments!$B$6:$B$605,"&gt;="&amp;DATE($C$4,4,1),Payments!$B$6:$B$605,"&lt;="&amp;EOMONTH(DATE($C$4,4,1),0))</f>
        <v/>
      </c>
      <c r="H10" s="31">
        <f>SUMIFS(Payments!$D$6:$D$605,Payments!$O$6:$O$605,H$6,Payments!$B$6:$B$605,"&gt;="&amp;DATE($C$4,4,1),Payments!$B$6:$B$605,"&lt;="&amp;EOMONTH(DATE($C$4,4,1),0))</f>
        <v/>
      </c>
      <c r="I10" s="31">
        <f>SUMIFS(Payments!$D$6:$D$605,Payments!$O$6:$O$605,I$6,Payments!$B$6:$B$605,"&gt;="&amp;DATE($C$4,4,1),Payments!$B$6:$B$605,"&lt;="&amp;EOMONTH(DATE($C$4,4,1),0))</f>
        <v/>
      </c>
      <c r="J10" s="31">
        <f>SUMIFS(Payments!$D$6:$D$605,Payments!$O$6:$O$605,J$6,Payments!$B$6:$B$605,"&gt;="&amp;DATE($C$4,4,1),Payments!$B$6:$B$605,"&lt;="&amp;EOMONTH(DATE($C$4,4,1),0))</f>
        <v/>
      </c>
      <c r="K10" s="31">
        <f>SUMIFS(Payments!$D$6:$D$605,Payments!$O$6:$O$605,K$6,Payments!$B$6:$B$605,"&gt;="&amp;DATE($C$4,4,1),Payments!$B$6:$B$605,"&lt;="&amp;EOMONTH(DATE($C$4,4,1),0))</f>
        <v/>
      </c>
      <c r="L10" s="32">
        <f>SUM(C10:K10)</f>
        <v/>
      </c>
      <c r="M10" s="1" t="n"/>
      <c r="N10" s="15">
        <f>IF(Housemates!B11="","",Housemates!B11)</f>
        <v/>
      </c>
      <c r="O10" s="16">
        <f>IF(N10="","",SUMIFS(Payments!$D$6:$D$605,Payments!$E$6:$E$605,N10,Payments!$B$6:$B$605,"&gt;="&amp;DATE($C$4,1,1),Payments!$B$6:$B$605,"&lt;="&amp;DATE($C$4,12,31),Payments!$C$6:$C$605,"&lt;&gt;Paying back"))</f>
        <v/>
      </c>
      <c r="P10" s="16">
        <f>IF(N10="","",SUMIFS(Payments!$AE$6:$AE$605,Payments!$B$6:$B$605,"&gt;="&amp;DATE($C$4,1,1),Payments!$B$6:$B$605,"&lt;="&amp;DATE($C$4,12,31),Payments!$C$6:$C$605,"&lt;&gt;Paying back"))</f>
        <v/>
      </c>
      <c r="Q10" s="1" t="n"/>
    </row>
    <row r="11">
      <c r="A11" s="1" t="n"/>
      <c r="B11" s="30" t="inlineStr">
        <is>
          <t>May</t>
        </is>
      </c>
      <c r="C11" s="31">
        <f>SUMIFS(Payments!$D$6:$D$605,Payments!$O$6:$O$605,C$6,Payments!$B$6:$B$605,"&gt;="&amp;DATE($C$4,5,1),Payments!$B$6:$B$605,"&lt;="&amp;EOMONTH(DATE($C$4,5,1),0))</f>
        <v/>
      </c>
      <c r="D11" s="31">
        <f>SUMIFS(Payments!$D$6:$D$605,Payments!$O$6:$O$605,D$6,Payments!$B$6:$B$605,"&gt;="&amp;DATE($C$4,5,1),Payments!$B$6:$B$605,"&lt;="&amp;EOMONTH(DATE($C$4,5,1),0))</f>
        <v/>
      </c>
      <c r="E11" s="31">
        <f>SUMIFS(Payments!$D$6:$D$605,Payments!$O$6:$O$605,E$6,Payments!$B$6:$B$605,"&gt;="&amp;DATE($C$4,5,1),Payments!$B$6:$B$605,"&lt;="&amp;EOMONTH(DATE($C$4,5,1),0))</f>
        <v/>
      </c>
      <c r="F11" s="31">
        <f>SUMIFS(Payments!$D$6:$D$605,Payments!$O$6:$O$605,F$6,Payments!$B$6:$B$605,"&gt;="&amp;DATE($C$4,5,1),Payments!$B$6:$B$605,"&lt;="&amp;EOMONTH(DATE($C$4,5,1),0))</f>
        <v/>
      </c>
      <c r="G11" s="31">
        <f>SUMIFS(Payments!$D$6:$D$605,Payments!$O$6:$O$605,G$6,Payments!$B$6:$B$605,"&gt;="&amp;DATE($C$4,5,1),Payments!$B$6:$B$605,"&lt;="&amp;EOMONTH(DATE($C$4,5,1),0))</f>
        <v/>
      </c>
      <c r="H11" s="31">
        <f>SUMIFS(Payments!$D$6:$D$605,Payments!$O$6:$O$605,H$6,Payments!$B$6:$B$605,"&gt;="&amp;DATE($C$4,5,1),Payments!$B$6:$B$605,"&lt;="&amp;EOMONTH(DATE($C$4,5,1),0))</f>
        <v/>
      </c>
      <c r="I11" s="31">
        <f>SUMIFS(Payments!$D$6:$D$605,Payments!$O$6:$O$605,I$6,Payments!$B$6:$B$605,"&gt;="&amp;DATE($C$4,5,1),Payments!$B$6:$B$605,"&lt;="&amp;EOMONTH(DATE($C$4,5,1),0))</f>
        <v/>
      </c>
      <c r="J11" s="31">
        <f>SUMIFS(Payments!$D$6:$D$605,Payments!$O$6:$O$605,J$6,Payments!$B$6:$B$605,"&gt;="&amp;DATE($C$4,5,1),Payments!$B$6:$B$605,"&lt;="&amp;EOMONTH(DATE($C$4,5,1),0))</f>
        <v/>
      </c>
      <c r="K11" s="31">
        <f>SUMIFS(Payments!$D$6:$D$605,Payments!$O$6:$O$605,K$6,Payments!$B$6:$B$605,"&gt;="&amp;DATE($C$4,5,1),Payments!$B$6:$B$605,"&lt;="&amp;EOMONTH(DATE($C$4,5,1),0))</f>
        <v/>
      </c>
      <c r="L11" s="32">
        <f>SUM(C11:K11)</f>
        <v/>
      </c>
      <c r="M11" s="1" t="n"/>
      <c r="N11" s="15">
        <f>IF(Housemates!B12="","",Housemates!B12)</f>
        <v/>
      </c>
      <c r="O11" s="16">
        <f>IF(N11="","",SUMIFS(Payments!$D$6:$D$605,Payments!$E$6:$E$605,N11,Payments!$B$6:$B$605,"&gt;="&amp;DATE($C$4,1,1),Payments!$B$6:$B$605,"&lt;="&amp;DATE($C$4,12,31),Payments!$C$6:$C$605,"&lt;&gt;Paying back"))</f>
        <v/>
      </c>
      <c r="P11" s="16">
        <f>IF(N11="","",SUMIFS(Payments!$AF$6:$AF$605,Payments!$B$6:$B$605,"&gt;="&amp;DATE($C$4,1,1),Payments!$B$6:$B$605,"&lt;="&amp;DATE($C$4,12,31),Payments!$C$6:$C$605,"&lt;&gt;Paying back"))</f>
        <v/>
      </c>
      <c r="Q11" s="1" t="n"/>
    </row>
    <row r="12">
      <c r="A12" s="1" t="n"/>
      <c r="B12" s="30" t="inlineStr">
        <is>
          <t>Jun</t>
        </is>
      </c>
      <c r="C12" s="31">
        <f>SUMIFS(Payments!$D$6:$D$605,Payments!$O$6:$O$605,C$6,Payments!$B$6:$B$605,"&gt;="&amp;DATE($C$4,6,1),Payments!$B$6:$B$605,"&lt;="&amp;EOMONTH(DATE($C$4,6,1),0))</f>
        <v/>
      </c>
      <c r="D12" s="31">
        <f>SUMIFS(Payments!$D$6:$D$605,Payments!$O$6:$O$605,D$6,Payments!$B$6:$B$605,"&gt;="&amp;DATE($C$4,6,1),Payments!$B$6:$B$605,"&lt;="&amp;EOMONTH(DATE($C$4,6,1),0))</f>
        <v/>
      </c>
      <c r="E12" s="31">
        <f>SUMIFS(Payments!$D$6:$D$605,Payments!$O$6:$O$605,E$6,Payments!$B$6:$B$605,"&gt;="&amp;DATE($C$4,6,1),Payments!$B$6:$B$605,"&lt;="&amp;EOMONTH(DATE($C$4,6,1),0))</f>
        <v/>
      </c>
      <c r="F12" s="31">
        <f>SUMIFS(Payments!$D$6:$D$605,Payments!$O$6:$O$605,F$6,Payments!$B$6:$B$605,"&gt;="&amp;DATE($C$4,6,1),Payments!$B$6:$B$605,"&lt;="&amp;EOMONTH(DATE($C$4,6,1),0))</f>
        <v/>
      </c>
      <c r="G12" s="31">
        <f>SUMIFS(Payments!$D$6:$D$605,Payments!$O$6:$O$605,G$6,Payments!$B$6:$B$605,"&gt;="&amp;DATE($C$4,6,1),Payments!$B$6:$B$605,"&lt;="&amp;EOMONTH(DATE($C$4,6,1),0))</f>
        <v/>
      </c>
      <c r="H12" s="31">
        <f>SUMIFS(Payments!$D$6:$D$605,Payments!$O$6:$O$605,H$6,Payments!$B$6:$B$605,"&gt;="&amp;DATE($C$4,6,1),Payments!$B$6:$B$605,"&lt;="&amp;EOMONTH(DATE($C$4,6,1),0))</f>
        <v/>
      </c>
      <c r="I12" s="31">
        <f>SUMIFS(Payments!$D$6:$D$605,Payments!$O$6:$O$605,I$6,Payments!$B$6:$B$605,"&gt;="&amp;DATE($C$4,6,1),Payments!$B$6:$B$605,"&lt;="&amp;EOMONTH(DATE($C$4,6,1),0))</f>
        <v/>
      </c>
      <c r="J12" s="31">
        <f>SUMIFS(Payments!$D$6:$D$605,Payments!$O$6:$O$605,J$6,Payments!$B$6:$B$605,"&gt;="&amp;DATE($C$4,6,1),Payments!$B$6:$B$605,"&lt;="&amp;EOMONTH(DATE($C$4,6,1),0))</f>
        <v/>
      </c>
      <c r="K12" s="31">
        <f>SUMIFS(Payments!$D$6:$D$605,Payments!$O$6:$O$605,K$6,Payments!$B$6:$B$605,"&gt;="&amp;DATE($C$4,6,1),Payments!$B$6:$B$605,"&lt;="&amp;EOMONTH(DATE($C$4,6,1),0))</f>
        <v/>
      </c>
      <c r="L12" s="32">
        <f>SUM(C12:K12)</f>
        <v/>
      </c>
      <c r="M12" s="1" t="n"/>
      <c r="N12" s="15">
        <f>IF(Housemates!B13="","",Housemates!B13)</f>
        <v/>
      </c>
      <c r="O12" s="16">
        <f>IF(N12="","",SUMIFS(Payments!$D$6:$D$605,Payments!$E$6:$E$605,N12,Payments!$B$6:$B$605,"&gt;="&amp;DATE($C$4,1,1),Payments!$B$6:$B$605,"&lt;="&amp;DATE($C$4,12,31),Payments!$C$6:$C$605,"&lt;&gt;Paying back"))</f>
        <v/>
      </c>
      <c r="P12" s="16">
        <f>IF(N12="","",SUMIFS(Payments!$AG$6:$AG$605,Payments!$B$6:$B$605,"&gt;="&amp;DATE($C$4,1,1),Payments!$B$6:$B$605,"&lt;="&amp;DATE($C$4,12,31),Payments!$C$6:$C$605,"&lt;&gt;Paying back"))</f>
        <v/>
      </c>
      <c r="Q12" s="1" t="n"/>
    </row>
    <row r="13">
      <c r="A13" s="1" t="n"/>
      <c r="B13" s="30" t="inlineStr">
        <is>
          <t>Jul</t>
        </is>
      </c>
      <c r="C13" s="31">
        <f>SUMIFS(Payments!$D$6:$D$605,Payments!$O$6:$O$605,C$6,Payments!$B$6:$B$605,"&gt;="&amp;DATE($C$4,7,1),Payments!$B$6:$B$605,"&lt;="&amp;EOMONTH(DATE($C$4,7,1),0))</f>
        <v/>
      </c>
      <c r="D13" s="31">
        <f>SUMIFS(Payments!$D$6:$D$605,Payments!$O$6:$O$605,D$6,Payments!$B$6:$B$605,"&gt;="&amp;DATE($C$4,7,1),Payments!$B$6:$B$605,"&lt;="&amp;EOMONTH(DATE($C$4,7,1),0))</f>
        <v/>
      </c>
      <c r="E13" s="31">
        <f>SUMIFS(Payments!$D$6:$D$605,Payments!$O$6:$O$605,E$6,Payments!$B$6:$B$605,"&gt;="&amp;DATE($C$4,7,1),Payments!$B$6:$B$605,"&lt;="&amp;EOMONTH(DATE($C$4,7,1),0))</f>
        <v/>
      </c>
      <c r="F13" s="31">
        <f>SUMIFS(Payments!$D$6:$D$605,Payments!$O$6:$O$605,F$6,Payments!$B$6:$B$605,"&gt;="&amp;DATE($C$4,7,1),Payments!$B$6:$B$605,"&lt;="&amp;EOMONTH(DATE($C$4,7,1),0))</f>
        <v/>
      </c>
      <c r="G13" s="31">
        <f>SUMIFS(Payments!$D$6:$D$605,Payments!$O$6:$O$605,G$6,Payments!$B$6:$B$605,"&gt;="&amp;DATE($C$4,7,1),Payments!$B$6:$B$605,"&lt;="&amp;EOMONTH(DATE($C$4,7,1),0))</f>
        <v/>
      </c>
      <c r="H13" s="31">
        <f>SUMIFS(Payments!$D$6:$D$605,Payments!$O$6:$O$605,H$6,Payments!$B$6:$B$605,"&gt;="&amp;DATE($C$4,7,1),Payments!$B$6:$B$605,"&lt;="&amp;EOMONTH(DATE($C$4,7,1),0))</f>
        <v/>
      </c>
      <c r="I13" s="31">
        <f>SUMIFS(Payments!$D$6:$D$605,Payments!$O$6:$O$605,I$6,Payments!$B$6:$B$605,"&gt;="&amp;DATE($C$4,7,1),Payments!$B$6:$B$605,"&lt;="&amp;EOMONTH(DATE($C$4,7,1),0))</f>
        <v/>
      </c>
      <c r="J13" s="31">
        <f>SUMIFS(Payments!$D$6:$D$605,Payments!$O$6:$O$605,J$6,Payments!$B$6:$B$605,"&gt;="&amp;DATE($C$4,7,1),Payments!$B$6:$B$605,"&lt;="&amp;EOMONTH(DATE($C$4,7,1),0))</f>
        <v/>
      </c>
      <c r="K13" s="31">
        <f>SUMIFS(Payments!$D$6:$D$605,Payments!$O$6:$O$605,K$6,Payments!$B$6:$B$605,"&gt;="&amp;DATE($C$4,7,1),Payments!$B$6:$B$605,"&lt;="&amp;EOMONTH(DATE($C$4,7,1),0))</f>
        <v/>
      </c>
      <c r="L13" s="32">
        <f>SUM(C13:K13)</f>
        <v/>
      </c>
      <c r="M13" s="1" t="n"/>
      <c r="N13" s="15">
        <f>IF(Housemates!B14="","",Housemates!B14)</f>
        <v/>
      </c>
      <c r="O13" s="16">
        <f>IF(N13="","",SUMIFS(Payments!$D$6:$D$605,Payments!$E$6:$E$605,N13,Payments!$B$6:$B$605,"&gt;="&amp;DATE($C$4,1,1),Payments!$B$6:$B$605,"&lt;="&amp;DATE($C$4,12,31),Payments!$C$6:$C$605,"&lt;&gt;Paying back"))</f>
        <v/>
      </c>
      <c r="P13" s="16">
        <f>IF(N13="","",SUMIFS(Payments!$AH$6:$AH$605,Payments!$B$6:$B$605,"&gt;="&amp;DATE($C$4,1,1),Payments!$B$6:$B$605,"&lt;="&amp;DATE($C$4,12,31),Payments!$C$6:$C$605,"&lt;&gt;Paying back"))</f>
        <v/>
      </c>
      <c r="Q13" s="1" t="n"/>
    </row>
    <row r="14">
      <c r="A14" s="1" t="n"/>
      <c r="B14" s="30" t="inlineStr">
        <is>
          <t>Aug</t>
        </is>
      </c>
      <c r="C14" s="31">
        <f>SUMIFS(Payments!$D$6:$D$605,Payments!$O$6:$O$605,C$6,Payments!$B$6:$B$605,"&gt;="&amp;DATE($C$4,8,1),Payments!$B$6:$B$605,"&lt;="&amp;EOMONTH(DATE($C$4,8,1),0))</f>
        <v/>
      </c>
      <c r="D14" s="31">
        <f>SUMIFS(Payments!$D$6:$D$605,Payments!$O$6:$O$605,D$6,Payments!$B$6:$B$605,"&gt;="&amp;DATE($C$4,8,1),Payments!$B$6:$B$605,"&lt;="&amp;EOMONTH(DATE($C$4,8,1),0))</f>
        <v/>
      </c>
      <c r="E14" s="31">
        <f>SUMIFS(Payments!$D$6:$D$605,Payments!$O$6:$O$605,E$6,Payments!$B$6:$B$605,"&gt;="&amp;DATE($C$4,8,1),Payments!$B$6:$B$605,"&lt;="&amp;EOMONTH(DATE($C$4,8,1),0))</f>
        <v/>
      </c>
      <c r="F14" s="31">
        <f>SUMIFS(Payments!$D$6:$D$605,Payments!$O$6:$O$605,F$6,Payments!$B$6:$B$605,"&gt;="&amp;DATE($C$4,8,1),Payments!$B$6:$B$605,"&lt;="&amp;EOMONTH(DATE($C$4,8,1),0))</f>
        <v/>
      </c>
      <c r="G14" s="31">
        <f>SUMIFS(Payments!$D$6:$D$605,Payments!$O$6:$O$605,G$6,Payments!$B$6:$B$605,"&gt;="&amp;DATE($C$4,8,1),Payments!$B$6:$B$605,"&lt;="&amp;EOMONTH(DATE($C$4,8,1),0))</f>
        <v/>
      </c>
      <c r="H14" s="31">
        <f>SUMIFS(Payments!$D$6:$D$605,Payments!$O$6:$O$605,H$6,Payments!$B$6:$B$605,"&gt;="&amp;DATE($C$4,8,1),Payments!$B$6:$B$605,"&lt;="&amp;EOMONTH(DATE($C$4,8,1),0))</f>
        <v/>
      </c>
      <c r="I14" s="31">
        <f>SUMIFS(Payments!$D$6:$D$605,Payments!$O$6:$O$605,I$6,Payments!$B$6:$B$605,"&gt;="&amp;DATE($C$4,8,1),Payments!$B$6:$B$605,"&lt;="&amp;EOMONTH(DATE($C$4,8,1),0))</f>
        <v/>
      </c>
      <c r="J14" s="31">
        <f>SUMIFS(Payments!$D$6:$D$605,Payments!$O$6:$O$605,J$6,Payments!$B$6:$B$605,"&gt;="&amp;DATE($C$4,8,1),Payments!$B$6:$B$605,"&lt;="&amp;EOMONTH(DATE($C$4,8,1),0))</f>
        <v/>
      </c>
      <c r="K14" s="31">
        <f>SUMIFS(Payments!$D$6:$D$605,Payments!$O$6:$O$605,K$6,Payments!$B$6:$B$605,"&gt;="&amp;DATE($C$4,8,1),Payments!$B$6:$B$605,"&lt;="&amp;EOMONTH(DATE($C$4,8,1),0))</f>
        <v/>
      </c>
      <c r="L14" s="32">
        <f>SUM(C14:K14)</f>
        <v/>
      </c>
      <c r="M14" s="1" t="n"/>
      <c r="N14" s="15">
        <f>IF(Housemates!B15="","",Housemates!B15)</f>
        <v/>
      </c>
      <c r="O14" s="16">
        <f>IF(N14="","",SUMIFS(Payments!$D$6:$D$605,Payments!$E$6:$E$605,N14,Payments!$B$6:$B$605,"&gt;="&amp;DATE($C$4,1,1),Payments!$B$6:$B$605,"&lt;="&amp;DATE($C$4,12,31),Payments!$C$6:$C$605,"&lt;&gt;Paying back"))</f>
        <v/>
      </c>
      <c r="P14" s="16">
        <f>IF(N14="","",SUMIFS(Payments!$AI$6:$AI$605,Payments!$B$6:$B$605,"&gt;="&amp;DATE($C$4,1,1),Payments!$B$6:$B$605,"&lt;="&amp;DATE($C$4,12,31),Payments!$C$6:$C$605,"&lt;&gt;Paying back"))</f>
        <v/>
      </c>
      <c r="Q14" s="1" t="n"/>
    </row>
    <row r="15">
      <c r="A15" s="1" t="n"/>
      <c r="B15" s="30" t="inlineStr">
        <is>
          <t>Sep</t>
        </is>
      </c>
      <c r="C15" s="31">
        <f>SUMIFS(Payments!$D$6:$D$605,Payments!$O$6:$O$605,C$6,Payments!$B$6:$B$605,"&gt;="&amp;DATE($C$4,9,1),Payments!$B$6:$B$605,"&lt;="&amp;EOMONTH(DATE($C$4,9,1),0))</f>
        <v/>
      </c>
      <c r="D15" s="31">
        <f>SUMIFS(Payments!$D$6:$D$605,Payments!$O$6:$O$605,D$6,Payments!$B$6:$B$605,"&gt;="&amp;DATE($C$4,9,1),Payments!$B$6:$B$605,"&lt;="&amp;EOMONTH(DATE($C$4,9,1),0))</f>
        <v/>
      </c>
      <c r="E15" s="31">
        <f>SUMIFS(Payments!$D$6:$D$605,Payments!$O$6:$O$605,E$6,Payments!$B$6:$B$605,"&gt;="&amp;DATE($C$4,9,1),Payments!$B$6:$B$605,"&lt;="&amp;EOMONTH(DATE($C$4,9,1),0))</f>
        <v/>
      </c>
      <c r="F15" s="31">
        <f>SUMIFS(Payments!$D$6:$D$605,Payments!$O$6:$O$605,F$6,Payments!$B$6:$B$605,"&gt;="&amp;DATE($C$4,9,1),Payments!$B$6:$B$605,"&lt;="&amp;EOMONTH(DATE($C$4,9,1),0))</f>
        <v/>
      </c>
      <c r="G15" s="31">
        <f>SUMIFS(Payments!$D$6:$D$605,Payments!$O$6:$O$605,G$6,Payments!$B$6:$B$605,"&gt;="&amp;DATE($C$4,9,1),Payments!$B$6:$B$605,"&lt;="&amp;EOMONTH(DATE($C$4,9,1),0))</f>
        <v/>
      </c>
      <c r="H15" s="31">
        <f>SUMIFS(Payments!$D$6:$D$605,Payments!$O$6:$O$605,H$6,Payments!$B$6:$B$605,"&gt;="&amp;DATE($C$4,9,1),Payments!$B$6:$B$605,"&lt;="&amp;EOMONTH(DATE($C$4,9,1),0))</f>
        <v/>
      </c>
      <c r="I15" s="31">
        <f>SUMIFS(Payments!$D$6:$D$605,Payments!$O$6:$O$605,I$6,Payments!$B$6:$B$605,"&gt;="&amp;DATE($C$4,9,1),Payments!$B$6:$B$605,"&lt;="&amp;EOMONTH(DATE($C$4,9,1),0))</f>
        <v/>
      </c>
      <c r="J15" s="31">
        <f>SUMIFS(Payments!$D$6:$D$605,Payments!$O$6:$O$605,J$6,Payments!$B$6:$B$605,"&gt;="&amp;DATE($C$4,9,1),Payments!$B$6:$B$605,"&lt;="&amp;EOMONTH(DATE($C$4,9,1),0))</f>
        <v/>
      </c>
      <c r="K15" s="31">
        <f>SUMIFS(Payments!$D$6:$D$605,Payments!$O$6:$O$605,K$6,Payments!$B$6:$B$605,"&gt;="&amp;DATE($C$4,9,1),Payments!$B$6:$B$605,"&lt;="&amp;EOMONTH(DATE($C$4,9,1),0))</f>
        <v/>
      </c>
      <c r="L15" s="32">
        <f>SUM(C15:K15)</f>
        <v/>
      </c>
      <c r="M15" s="1" t="n"/>
      <c r="N15" s="1" t="n"/>
      <c r="O15" s="1" t="n"/>
      <c r="P15" s="1" t="n"/>
      <c r="Q15" s="1" t="n"/>
    </row>
    <row r="16">
      <c r="A16" s="1" t="n"/>
      <c r="B16" s="30" t="inlineStr">
        <is>
          <t>Oct</t>
        </is>
      </c>
      <c r="C16" s="31">
        <f>SUMIFS(Payments!$D$6:$D$605,Payments!$O$6:$O$605,C$6,Payments!$B$6:$B$605,"&gt;="&amp;DATE($C$4,10,1),Payments!$B$6:$B$605,"&lt;="&amp;EOMONTH(DATE($C$4,10,1),0))</f>
        <v/>
      </c>
      <c r="D16" s="31">
        <f>SUMIFS(Payments!$D$6:$D$605,Payments!$O$6:$O$605,D$6,Payments!$B$6:$B$605,"&gt;="&amp;DATE($C$4,10,1),Payments!$B$6:$B$605,"&lt;="&amp;EOMONTH(DATE($C$4,10,1),0))</f>
        <v/>
      </c>
      <c r="E16" s="31">
        <f>SUMIFS(Payments!$D$6:$D$605,Payments!$O$6:$O$605,E$6,Payments!$B$6:$B$605,"&gt;="&amp;DATE($C$4,10,1),Payments!$B$6:$B$605,"&lt;="&amp;EOMONTH(DATE($C$4,10,1),0))</f>
        <v/>
      </c>
      <c r="F16" s="31">
        <f>SUMIFS(Payments!$D$6:$D$605,Payments!$O$6:$O$605,F$6,Payments!$B$6:$B$605,"&gt;="&amp;DATE($C$4,10,1),Payments!$B$6:$B$605,"&lt;="&amp;EOMONTH(DATE($C$4,10,1),0))</f>
        <v/>
      </c>
      <c r="G16" s="31">
        <f>SUMIFS(Payments!$D$6:$D$605,Payments!$O$6:$O$605,G$6,Payments!$B$6:$B$605,"&gt;="&amp;DATE($C$4,10,1),Payments!$B$6:$B$605,"&lt;="&amp;EOMONTH(DATE($C$4,10,1),0))</f>
        <v/>
      </c>
      <c r="H16" s="31">
        <f>SUMIFS(Payments!$D$6:$D$605,Payments!$O$6:$O$605,H$6,Payments!$B$6:$B$605,"&gt;="&amp;DATE($C$4,10,1),Payments!$B$6:$B$605,"&lt;="&amp;EOMONTH(DATE($C$4,10,1),0))</f>
        <v/>
      </c>
      <c r="I16" s="31">
        <f>SUMIFS(Payments!$D$6:$D$605,Payments!$O$6:$O$605,I$6,Payments!$B$6:$B$605,"&gt;="&amp;DATE($C$4,10,1),Payments!$B$6:$B$605,"&lt;="&amp;EOMONTH(DATE($C$4,10,1),0))</f>
        <v/>
      </c>
      <c r="J16" s="31">
        <f>SUMIFS(Payments!$D$6:$D$605,Payments!$O$6:$O$605,J$6,Payments!$B$6:$B$605,"&gt;="&amp;DATE($C$4,10,1),Payments!$B$6:$B$605,"&lt;="&amp;EOMONTH(DATE($C$4,10,1),0))</f>
        <v/>
      </c>
      <c r="K16" s="31">
        <f>SUMIFS(Payments!$D$6:$D$605,Payments!$O$6:$O$605,K$6,Payments!$B$6:$B$605,"&gt;="&amp;DATE($C$4,10,1),Payments!$B$6:$B$605,"&lt;="&amp;EOMONTH(DATE($C$4,10,1),0))</f>
        <v/>
      </c>
      <c r="L16" s="32">
        <f>SUM(C16:K16)</f>
        <v/>
      </c>
      <c r="M16" s="1" t="n"/>
      <c r="N16" s="19" t="inlineStr">
        <is>
          <t>Money paid back between you is left out here.</t>
        </is>
      </c>
      <c r="O16" s="1" t="n"/>
      <c r="P16" s="1" t="n"/>
      <c r="Q16" s="1" t="n"/>
    </row>
    <row r="17">
      <c r="A17" s="1" t="n"/>
      <c r="B17" s="30" t="inlineStr">
        <is>
          <t>Nov</t>
        </is>
      </c>
      <c r="C17" s="31">
        <f>SUMIFS(Payments!$D$6:$D$605,Payments!$O$6:$O$605,C$6,Payments!$B$6:$B$605,"&gt;="&amp;DATE($C$4,11,1),Payments!$B$6:$B$605,"&lt;="&amp;EOMONTH(DATE($C$4,11,1),0))</f>
        <v/>
      </c>
      <c r="D17" s="31">
        <f>SUMIFS(Payments!$D$6:$D$605,Payments!$O$6:$O$605,D$6,Payments!$B$6:$B$605,"&gt;="&amp;DATE($C$4,11,1),Payments!$B$6:$B$605,"&lt;="&amp;EOMONTH(DATE($C$4,11,1),0))</f>
        <v/>
      </c>
      <c r="E17" s="31">
        <f>SUMIFS(Payments!$D$6:$D$605,Payments!$O$6:$O$605,E$6,Payments!$B$6:$B$605,"&gt;="&amp;DATE($C$4,11,1),Payments!$B$6:$B$605,"&lt;="&amp;EOMONTH(DATE($C$4,11,1),0))</f>
        <v/>
      </c>
      <c r="F17" s="31">
        <f>SUMIFS(Payments!$D$6:$D$605,Payments!$O$6:$O$605,F$6,Payments!$B$6:$B$605,"&gt;="&amp;DATE($C$4,11,1),Payments!$B$6:$B$605,"&lt;="&amp;EOMONTH(DATE($C$4,11,1),0))</f>
        <v/>
      </c>
      <c r="G17" s="31">
        <f>SUMIFS(Payments!$D$6:$D$605,Payments!$O$6:$O$605,G$6,Payments!$B$6:$B$605,"&gt;="&amp;DATE($C$4,11,1),Payments!$B$6:$B$605,"&lt;="&amp;EOMONTH(DATE($C$4,11,1),0))</f>
        <v/>
      </c>
      <c r="H17" s="31">
        <f>SUMIFS(Payments!$D$6:$D$605,Payments!$O$6:$O$605,H$6,Payments!$B$6:$B$605,"&gt;="&amp;DATE($C$4,11,1),Payments!$B$6:$B$605,"&lt;="&amp;EOMONTH(DATE($C$4,11,1),0))</f>
        <v/>
      </c>
      <c r="I17" s="31">
        <f>SUMIFS(Payments!$D$6:$D$605,Payments!$O$6:$O$605,I$6,Payments!$B$6:$B$605,"&gt;="&amp;DATE($C$4,11,1),Payments!$B$6:$B$605,"&lt;="&amp;EOMONTH(DATE($C$4,11,1),0))</f>
        <v/>
      </c>
      <c r="J17" s="31">
        <f>SUMIFS(Payments!$D$6:$D$605,Payments!$O$6:$O$605,J$6,Payments!$B$6:$B$605,"&gt;="&amp;DATE($C$4,11,1),Payments!$B$6:$B$605,"&lt;="&amp;EOMONTH(DATE($C$4,11,1),0))</f>
        <v/>
      </c>
      <c r="K17" s="31">
        <f>SUMIFS(Payments!$D$6:$D$605,Payments!$O$6:$O$605,K$6,Payments!$B$6:$B$605,"&gt;="&amp;DATE($C$4,11,1),Payments!$B$6:$B$605,"&lt;="&amp;EOMONTH(DATE($C$4,11,1),0))</f>
        <v/>
      </c>
      <c r="L17" s="32">
        <f>SUM(C17:K17)</f>
        <v/>
      </c>
      <c r="M17" s="1" t="n"/>
      <c r="N17" s="1" t="n"/>
      <c r="O17" s="1" t="n"/>
      <c r="P17" s="1" t="n"/>
      <c r="Q17" s="1" t="n"/>
    </row>
    <row r="18">
      <c r="A18" s="1" t="n"/>
      <c r="B18" s="30" t="inlineStr">
        <is>
          <t>Dec</t>
        </is>
      </c>
      <c r="C18" s="31">
        <f>SUMIFS(Payments!$D$6:$D$605,Payments!$O$6:$O$605,C$6,Payments!$B$6:$B$605,"&gt;="&amp;DATE($C$4,12,1),Payments!$B$6:$B$605,"&lt;="&amp;EOMONTH(DATE($C$4,12,1),0))</f>
        <v/>
      </c>
      <c r="D18" s="31">
        <f>SUMIFS(Payments!$D$6:$D$605,Payments!$O$6:$O$605,D$6,Payments!$B$6:$B$605,"&gt;="&amp;DATE($C$4,12,1),Payments!$B$6:$B$605,"&lt;="&amp;EOMONTH(DATE($C$4,12,1),0))</f>
        <v/>
      </c>
      <c r="E18" s="31">
        <f>SUMIFS(Payments!$D$6:$D$605,Payments!$O$6:$O$605,E$6,Payments!$B$6:$B$605,"&gt;="&amp;DATE($C$4,12,1),Payments!$B$6:$B$605,"&lt;="&amp;EOMONTH(DATE($C$4,12,1),0))</f>
        <v/>
      </c>
      <c r="F18" s="31">
        <f>SUMIFS(Payments!$D$6:$D$605,Payments!$O$6:$O$605,F$6,Payments!$B$6:$B$605,"&gt;="&amp;DATE($C$4,12,1),Payments!$B$6:$B$605,"&lt;="&amp;EOMONTH(DATE($C$4,12,1),0))</f>
        <v/>
      </c>
      <c r="G18" s="31">
        <f>SUMIFS(Payments!$D$6:$D$605,Payments!$O$6:$O$605,G$6,Payments!$B$6:$B$605,"&gt;="&amp;DATE($C$4,12,1),Payments!$B$6:$B$605,"&lt;="&amp;EOMONTH(DATE($C$4,12,1),0))</f>
        <v/>
      </c>
      <c r="H18" s="31">
        <f>SUMIFS(Payments!$D$6:$D$605,Payments!$O$6:$O$605,H$6,Payments!$B$6:$B$605,"&gt;="&amp;DATE($C$4,12,1),Payments!$B$6:$B$605,"&lt;="&amp;EOMONTH(DATE($C$4,12,1),0))</f>
        <v/>
      </c>
      <c r="I18" s="31">
        <f>SUMIFS(Payments!$D$6:$D$605,Payments!$O$6:$O$605,I$6,Payments!$B$6:$B$605,"&gt;="&amp;DATE($C$4,12,1),Payments!$B$6:$B$605,"&lt;="&amp;EOMONTH(DATE($C$4,12,1),0))</f>
        <v/>
      </c>
      <c r="J18" s="31">
        <f>SUMIFS(Payments!$D$6:$D$605,Payments!$O$6:$O$605,J$6,Payments!$B$6:$B$605,"&gt;="&amp;DATE($C$4,12,1),Payments!$B$6:$B$605,"&lt;="&amp;EOMONTH(DATE($C$4,12,1),0))</f>
        <v/>
      </c>
      <c r="K18" s="31">
        <f>SUMIFS(Payments!$D$6:$D$605,Payments!$O$6:$O$605,K$6,Payments!$B$6:$B$605,"&gt;="&amp;DATE($C$4,12,1),Payments!$B$6:$B$605,"&lt;="&amp;EOMONTH(DATE($C$4,12,1),0))</f>
        <v/>
      </c>
      <c r="L18" s="32">
        <f>SUM(C18:K18)</f>
        <v/>
      </c>
      <c r="M18" s="1" t="n"/>
      <c r="N18" s="1" t="n"/>
      <c r="O18" s="1" t="n"/>
      <c r="P18" s="1" t="n"/>
      <c r="Q18" s="1" t="n"/>
    </row>
    <row r="19">
      <c r="A19" s="1" t="n"/>
      <c r="B19" s="30" t="inlineStr">
        <is>
          <t>Total</t>
        </is>
      </c>
      <c r="C19" s="32">
        <f>SUM(C7:C18)</f>
        <v/>
      </c>
      <c r="D19" s="32">
        <f>SUM(D7:D18)</f>
        <v/>
      </c>
      <c r="E19" s="32">
        <f>SUM(E7:E18)</f>
        <v/>
      </c>
      <c r="F19" s="32">
        <f>SUM(F7:F18)</f>
        <v/>
      </c>
      <c r="G19" s="32">
        <f>SUM(G7:G18)</f>
        <v/>
      </c>
      <c r="H19" s="32">
        <f>SUM(H7:H18)</f>
        <v/>
      </c>
      <c r="I19" s="32">
        <f>SUM(I7:I18)</f>
        <v/>
      </c>
      <c r="J19" s="32">
        <f>SUM(J7:J18)</f>
        <v/>
      </c>
      <c r="K19" s="32">
        <f>SUM(K7:K18)</f>
        <v/>
      </c>
      <c r="L19" s="32">
        <f>SUM(L7:L18)</f>
        <v/>
      </c>
      <c r="M19" s="1" t="n"/>
      <c r="N19" s="1" t="n"/>
      <c r="O19" s="1" t="n"/>
      <c r="P19" s="1" t="n"/>
      <c r="Q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6" customWidth="1" min="5" max="5"/>
    <col width="4" customWidth="1" min="6" max="6"/>
    <col width="72" customWidth="1" min="7" max="7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Housemates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Everyone who lives in the house, and when they moved in or out.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4" t="inlineStr">
        <is>
          <t>Home</t>
        </is>
      </c>
      <c r="C4" s="26" t="inlineStr">
        <is>
          <t>Rowan Street</t>
        </is>
      </c>
      <c r="D4" s="33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30" customHeight="1">
      <c r="A7" s="1" t="n"/>
      <c r="B7" s="14" t="inlineStr">
        <is>
          <t>Name</t>
        </is>
      </c>
      <c r="C7" s="14" t="inlineStr">
        <is>
          <t>Moved in</t>
        </is>
      </c>
      <c r="D7" s="14" t="inlineStr">
        <is>
          <t>Moved out</t>
        </is>
      </c>
      <c r="E7" s="14" t="inlineStr">
        <is>
          <t>Lives here now</t>
        </is>
      </c>
      <c r="F7" s="1" t="n"/>
      <c r="G7" s="1" t="n"/>
      <c r="H7" s="1" t="n"/>
    </row>
    <row r="8">
      <c r="A8" s="1" t="n"/>
      <c r="B8" s="26" t="inlineStr">
        <is>
          <t>Maya</t>
        </is>
      </c>
      <c r="C8" s="23" t="n"/>
      <c r="D8" s="23" t="n"/>
      <c r="E8" s="21">
        <f>IF(B8="","",IF(AND(OR(C8="",C8&lt;=TODAY()),OR(D8="",D8&gt;=TODAY())),"Yes","No"))</f>
        <v/>
      </c>
      <c r="F8" s="1" t="n"/>
      <c r="G8" s="29" t="inlineStr">
        <is>
          <t>Leave Moved in empty for someone who was there from the start.</t>
        </is>
      </c>
      <c r="H8" s="1" t="n"/>
      <c r="I8">
        <f>IF(E8="Yes",1,"")</f>
        <v/>
      </c>
    </row>
    <row r="9">
      <c r="A9" s="1" t="n"/>
      <c r="B9" s="26" t="inlineStr">
        <is>
          <t>Leo</t>
        </is>
      </c>
      <c r="C9" s="23" t="n"/>
      <c r="D9" s="23" t="n"/>
      <c r="E9" s="21">
        <f>IF(B9="","",IF(AND(OR(C9="",C9&lt;=TODAY()),OR(D9="",D9&gt;=TODAY())),"Yes","No"))</f>
        <v/>
      </c>
      <c r="F9" s="1" t="n"/>
      <c r="G9" s="29" t="inlineStr">
        <is>
          <t>When someone moves out, type the date. Bills after it are no longer split with them.</t>
        </is>
      </c>
      <c r="H9" s="1" t="n"/>
      <c r="I9">
        <f>IF(E9="Yes",2,"")</f>
        <v/>
      </c>
    </row>
    <row r="10">
      <c r="A10" s="1" t="n"/>
      <c r="B10" s="26" t="inlineStr">
        <is>
          <t>Priya</t>
        </is>
      </c>
      <c r="C10" s="23" t="n"/>
      <c r="D10" s="23" t="n"/>
      <c r="E10" s="21">
        <f>IF(B10="","",IF(AND(OR(C10="",C10&lt;=TODAY()),OR(D10="",D10&gt;=TODAY())),"Yes","No"))</f>
        <v/>
      </c>
      <c r="F10" s="1" t="n"/>
      <c r="G10" s="29" t="inlineStr">
        <is>
          <t>Up to 8 people. Payments and Bills get one column for each.</t>
        </is>
      </c>
      <c r="H10" s="1" t="n"/>
      <c r="I10">
        <f>IF(E10="Yes",3,"")</f>
        <v/>
      </c>
    </row>
    <row r="11">
      <c r="A11" s="1" t="n"/>
      <c r="B11" s="26" t="inlineStr">
        <is>
          <t>Tom</t>
        </is>
      </c>
      <c r="C11" s="23" t="n"/>
      <c r="D11" s="23" t="n">
        <v>46173</v>
      </c>
      <c r="E11" s="21">
        <f>IF(B11="","",IF(AND(OR(C11="",C11&lt;=TODAY()),OR(D11="",D11&gt;=TODAY())),"Yes","No"))</f>
        <v/>
      </c>
      <c r="F11" s="1" t="n"/>
      <c r="G11" s="1" t="n"/>
      <c r="H11" s="1" t="n"/>
      <c r="I11">
        <f>IF(E11="Yes",4,"")</f>
        <v/>
      </c>
    </row>
    <row r="12">
      <c r="A12" s="1" t="n"/>
      <c r="B12" s="26" t="inlineStr">
        <is>
          <t>Zoe</t>
        </is>
      </c>
      <c r="C12" s="23" t="n">
        <v>46174</v>
      </c>
      <c r="D12" s="23" t="n"/>
      <c r="E12" s="21">
        <f>IF(B12="","",IF(AND(OR(C12="",C12&lt;=TODAY()),OR(D12="",D12&gt;=TODAY())),"Yes","No"))</f>
        <v/>
      </c>
      <c r="F12" s="1" t="n"/>
      <c r="G12" s="1" t="n"/>
      <c r="H12" s="1" t="n"/>
      <c r="I12">
        <f>IF(E12="Yes",5,"")</f>
        <v/>
      </c>
    </row>
    <row r="13">
      <c r="A13" s="1" t="n"/>
      <c r="B13" s="26" t="n"/>
      <c r="C13" s="23" t="n"/>
      <c r="D13" s="23" t="n"/>
      <c r="E13" s="21">
        <f>IF(B13="","",IF(AND(OR(C13="",C13&lt;=TODAY()),OR(D13="",D13&gt;=TODAY())),"Yes","No"))</f>
        <v/>
      </c>
      <c r="F13" s="1" t="n"/>
      <c r="G13" s="1" t="n"/>
      <c r="H13" s="1" t="n"/>
      <c r="I13">
        <f>IF(E13="Yes",6,"")</f>
        <v/>
      </c>
    </row>
    <row r="14">
      <c r="A14" s="1" t="n"/>
      <c r="B14" s="26" t="n"/>
      <c r="C14" s="23" t="n"/>
      <c r="D14" s="23" t="n"/>
      <c r="E14" s="21">
        <f>IF(B14="","",IF(AND(OR(C14="",C14&lt;=TODAY()),OR(D14="",D14&gt;=TODAY())),"Yes","No"))</f>
        <v/>
      </c>
      <c r="F14" s="1" t="n"/>
      <c r="G14" s="1" t="n"/>
      <c r="H14" s="1" t="n"/>
      <c r="I14">
        <f>IF(E14="Yes",7,"")</f>
        <v/>
      </c>
    </row>
    <row r="15">
      <c r="A15" s="1" t="n"/>
      <c r="B15" s="26" t="n"/>
      <c r="C15" s="23" t="n"/>
      <c r="D15" s="23" t="n"/>
      <c r="E15" s="21">
        <f>IF(B15="","",IF(AND(OR(C15="",C15&lt;=TODAY()),OR(D15="",D15&gt;=TODAY())),"Yes","No"))</f>
        <v/>
      </c>
      <c r="F15" s="1" t="n"/>
      <c r="G15" s="1" t="n"/>
      <c r="H15" s="1" t="n"/>
      <c r="I15">
        <f>IF(E15="Yes",8,"")</f>
        <v/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</sheetData>
  <mergeCells count="1">
    <mergeCell ref="C4:D4"/>
  </mergeCells>
  <conditionalFormatting sqref="B8:E15">
    <cfRule type="expression" priority="1" dxfId="6">
      <formula>$E8="No"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4" t="inlineStr">
        <is>
          <t>1</t>
        </is>
      </c>
      <c r="C5" s="35" t="inlineStr">
        <is>
          <t>Housemates: the people who live in the house, and the date for anyone who moved in or out.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4" t="inlineStr">
        <is>
          <t>2</t>
        </is>
      </c>
      <c r="C7" s="35" t="inlineStr">
        <is>
          <t>Bills: each bill once, with how often it comes, the first date it is due, and how it is split.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4" t="inlineStr">
        <is>
          <t>3</t>
        </is>
      </c>
      <c r="C9" s="35" t="inlineStr">
        <is>
          <t>Payments: one line each time someone pays a bill or buys something for the house.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4" t="inlineStr">
        <is>
          <t>4</t>
        </is>
      </c>
      <c r="C11" s="35" t="inlineStr">
        <is>
          <t>When someone pays another housemate back, add it as Paying back, with an x under the one who gets it.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4" t="inlineStr">
        <is>
          <t>5</t>
        </is>
      </c>
      <c r="C13" s="35" t="inlineStr">
        <is>
          <t>Dashboard: pick a month to see who owes whom, the fewest payments to settle up, and the bills due.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house, its people and its amounts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Chores: list the jobs and the rota shares them out every week.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2026-09-28T14:46:18Z</dcterms:created>
  <dcterms:modified xsi:type="dcterms:W3CDTF">2026-09-28T14:46:20Z</dcterms:modified>
</cp:coreProperties>
</file>