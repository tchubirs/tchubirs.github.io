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tches" sheetId="2" state="visible" r:id="rId2"/>
    <sheet name="Label" sheetId="3" state="visible" r:id="rId3"/>
    <sheet name="Products" sheetId="4" state="visible" r:id="rId4"/>
    <sheet name="Recipes" sheetId="5" state="visible" r:id="rId5"/>
    <sheet name="Ingredients" sheetId="6" state="visible" r:id="rId6"/>
    <sheet name="Purchases" sheetId="7" state="visible" r:id="rId7"/>
    <sheet name="Settings" sheetId="8" state="visible" r:id="rId8"/>
    <sheet name="Start He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0000"/>
    <numFmt numFmtId="166" formatCode="yyyy-mm-dd"/>
    <numFmt numFmtId="167" formatCode="DD MMM YYYY"/>
  </numFmts>
  <fonts count="22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2"/>
    </font>
    <font>
      <name val="Arial"/>
      <color rgb="006B7B8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5525A"/>
      <sz val="15"/>
    </font>
    <font>
      <name val="Arial"/>
      <b val="1"/>
      <color rgb="0015525A"/>
      <sz val="14"/>
    </font>
    <font>
      <name val="Arial"/>
      <color rgb="001E2A2F"/>
      <sz val="9"/>
    </font>
    <font>
      <name val="Arial"/>
      <b val="1"/>
      <color rgb="001E2A2F"/>
      <sz val="9"/>
    </font>
    <font>
      <name val="Arial"/>
      <color rgb="001E2A2F"/>
      <sz val="8"/>
    </font>
    <font>
      <name val="Arial"/>
      <i val="1"/>
      <color rgb="006B7B80"/>
      <sz val="8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86E1C"/>
      <sz val="16"/>
    </font>
    <font>
      <name val="Arial"/>
      <b val="1"/>
      <color rgb="00B23B2E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 style="dashed">
        <color rgb="009AA5A6"/>
      </left>
      <right style="dashed">
        <color rgb="009AA5A6"/>
      </right>
      <top style="dashed">
        <color rgb="009AA5A6"/>
      </top>
    </border>
    <border>
      <left style="dashed">
        <color rgb="009AA5A6"/>
      </left>
      <right style="dashed">
        <color rgb="009AA5A6"/>
      </right>
    </border>
    <border>
      <left style="dashed">
        <color rgb="009AA5A6"/>
      </left>
      <right style="dashed">
        <color rgb="009AA5A6"/>
      </right>
      <bottom style="dashed">
        <color rgb="009AA5A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6" fillId="2" borderId="1" pivotButton="0" quotePrefix="0" xfId="0"/>
    <xf numFmtId="1" fontId="17" fillId="2" borderId="1" applyAlignment="1" pivotButton="0" quotePrefix="0" xfId="0">
      <alignment horizontal="right"/>
    </xf>
    <xf numFmtId="1" fontId="18" fillId="2" borderId="1" applyAlignment="1" pivotButton="0" quotePrefix="0" xfId="0">
      <alignment horizontal="right"/>
    </xf>
    <xf numFmtId="1" fontId="19" fillId="2" borderId="1" applyAlignment="1" pivotButton="0" quotePrefix="0" xfId="0">
      <alignment horizontal="right"/>
    </xf>
    <xf numFmtId="9" fontId="17" fillId="2" borderId="1" applyAlignment="1" pivotButton="0" quotePrefix="0" xfId="0">
      <alignment horizontal="right"/>
    </xf>
    <xf numFmtId="4" fontId="17" fillId="2" borderId="1" applyAlignment="1" pivotButton="0" quotePrefix="0" xfId="0">
      <alignment horizontal="right"/>
    </xf>
    <xf numFmtId="0" fontId="8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2" borderId="1" pivotButton="0" quotePrefix="0" xfId="0"/>
    <xf numFmtId="9" fontId="4" fillId="2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3" fillId="3" borderId="1" pivotButton="0" quotePrefix="0" xfId="0"/>
    <xf numFmtId="1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4" fontId="4" fillId="2" borderId="1" pivotButton="0" quotePrefix="0" xfId="0"/>
    <xf numFmtId="0" fontId="10" fillId="2" borderId="0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0" fontId="5" fillId="2" borderId="0" pivotButton="0" quotePrefix="0" xfId="0"/>
    <xf numFmtId="0" fontId="11" fillId="2" borderId="2" applyAlignment="1" pivotButton="0" quotePrefix="0" xfId="0">
      <alignment vertical="center" wrapText="1" indent="1"/>
    </xf>
    <xf numFmtId="0" fontId="12" fillId="2" borderId="3" applyAlignment="1" pivotButton="0" quotePrefix="0" xfId="0">
      <alignment vertical="top" wrapText="1" indent="1"/>
    </xf>
    <xf numFmtId="0" fontId="13" fillId="2" borderId="3" applyAlignment="1" pivotButton="0" quotePrefix="0" xfId="0">
      <alignment vertical="center" wrapText="1" indent="1"/>
    </xf>
    <xf numFmtId="0" fontId="12" fillId="2" borderId="3" applyAlignment="1" pivotButton="0" quotePrefix="0" xfId="0">
      <alignment vertical="center" wrapText="1" indent="1"/>
    </xf>
    <xf numFmtId="0" fontId="14" fillId="2" borderId="3" applyAlignment="1" pivotButton="0" quotePrefix="0" xfId="0">
      <alignment vertical="center" wrapText="1" indent="1"/>
    </xf>
    <xf numFmtId="0" fontId="15" fillId="2" borderId="4" applyAlignment="1" pivotButton="0" quotePrefix="0" xfId="0">
      <alignment vertical="center" wrapText="1" indent="1"/>
    </xf>
    <xf numFmtId="0" fontId="4" fillId="3" borderId="1" applyAlignment="1" pivotButton="0" quotePrefix="0" xfId="0">
      <alignment horizontal="center" vertical="center"/>
    </xf>
    <xf numFmtId="4" fontId="4" fillId="3" borderId="1" pivotButton="0" quotePrefix="0" xfId="0"/>
    <xf numFmtId="0" fontId="4" fillId="2" borderId="1" applyAlignment="1" pivotButton="0" quotePrefix="0" xfId="0">
      <alignment horizontal="left" indent="1"/>
    </xf>
    <xf numFmtId="0" fontId="4" fillId="3" borderId="1" pivotButton="0" quotePrefix="0" xfId="0"/>
    <xf numFmtId="164" fontId="4" fillId="3" borderId="1" pivotButton="0" quotePrefix="0" xfId="0"/>
    <xf numFmtId="0" fontId="9" fillId="4" borderId="1" applyAlignment="1" pivotButton="0" quotePrefix="0" xfId="0">
      <alignment horizontal="center" vertical="bottom" textRotation="90"/>
    </xf>
    <xf numFmtId="165" fontId="4" fillId="2" borderId="1" pivotButton="0" quotePrefix="0" xfId="0"/>
    <xf numFmtId="164" fontId="4" fillId="2" borderId="1" pivotButton="0" quotePrefix="0" xfId="0"/>
    <xf numFmtId="0" fontId="3" fillId="2" borderId="0" pivotButton="0" quotePrefix="0" xfId="0"/>
    <xf numFmtId="0" fontId="6" fillId="2" borderId="0" pivotButton="0" quotePrefix="0" xfId="0"/>
    <xf numFmtId="0" fontId="7" fillId="2" borderId="0" applyAlignment="1" pivotButton="0" quotePrefix="0" xfId="0">
      <alignment horizontal="right"/>
    </xf>
    <xf numFmtId="0" fontId="20" fillId="2" borderId="0" pivotButton="0" quotePrefix="0" xfId="0"/>
    <xf numFmtId="0" fontId="2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ont>
        <color rgb="008A969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Made and wasted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'Dashboard'!$B$20:$B$31</f>
            </numRef>
          </cat>
          <val>
            <numRef>
              <f>'Dashboard'!$C$20:$C$31</f>
            </numRef>
          </val>
        </ser>
        <ser>
          <idx val="1"/>
          <order val="1"/>
          <tx>
            <strRef>
              <f>'Dashboard'!D19</f>
            </strRef>
          </tx>
          <spPr>
            <a:solidFill>
              <a:srgbClr val="E07A5F"/>
            </a:solidFill>
            <a:ln>
              <a:prstDash val="solid"/>
            </a:ln>
          </spPr>
          <cat>
            <numRef>
              <f>'Dashboard'!$B$20:$B$31</f>
            </numRef>
          </cat>
          <val>
            <numRef>
              <f>'Dashboard'!$D$20:$D$31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18</row>
      <rowOff>0</rowOff>
    </from>
    <ext cx="4608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0" customWidth="1" min="4" max="4"/>
    <col width="14" customWidth="1" min="5" max="5"/>
    <col width="3" customWidth="1" min="6" max="6"/>
    <col width="20" customWidth="1" min="7" max="7"/>
    <col width="13" customWidth="1" min="8" max="8"/>
    <col width="13" customWidth="1" min="9" max="9"/>
    <col width="14" customWidth="1" min="10" max="10"/>
    <col width="3" customWidth="1" min="11" max="11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>
        <f>Settings!$C$5</f>
        <v/>
      </c>
    </row>
    <row r="2" ht="32" customHeight="1">
      <c r="A2" s="1" t="n"/>
      <c r="B2" s="2" t="inlineStr">
        <is>
          <t>Batches and best before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What to sell first, what to buy, and how much goes to waste.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In stock</t>
        </is>
      </c>
      <c r="C4" s="4" t="inlineStr">
        <is>
          <t>Use soon</t>
        </is>
      </c>
      <c r="D4" s="4" t="inlineStr">
        <is>
          <t>Past its date</t>
        </is>
      </c>
      <c r="E4" s="4" t="inlineStr">
        <is>
          <t>Waste this month</t>
        </is>
      </c>
      <c r="F4" s="1" t="n"/>
      <c r="G4" s="4" t="inlineStr">
        <is>
          <t>Made this month</t>
        </is>
      </c>
      <c r="H4" s="4" t="inlineStr">
        <is>
          <t>Cost of waste</t>
        </is>
      </c>
      <c r="I4" s="4" t="inlineStr">
        <is>
          <t>To buy</t>
        </is>
      </c>
      <c r="J4" s="4" t="inlineStr">
        <is>
          <t>Pantry going off</t>
        </is>
      </c>
      <c r="K4" s="1" t="n"/>
      <c r="L4" s="1" t="n"/>
    </row>
    <row r="5" ht="34" customHeight="1">
      <c r="A5" s="1" t="n"/>
      <c r="B5" s="5">
        <f>SUMIFS(Batches!$K$6:$K$505,Batches!$M$6:$M$505,"In stock")+SUMIFS(Batches!$K$6:$K$505,Batches!$M$6:$M$505,"Use soon")</f>
        <v/>
      </c>
      <c r="C5" s="6">
        <f>SUMIFS(Batches!$K$6:$K$505,Batches!$M$6:$M$505,"Use soon")</f>
        <v/>
      </c>
      <c r="D5" s="7">
        <f>SUMIFS(Batches!$K$6:$K$505,Batches!$M$6:$M$505,"Past its date")</f>
        <v/>
      </c>
      <c r="E5" s="8">
        <f>IF(SUMIFS(Batches!$D$6:$D$505,Batches!$R$6:$R$505,(YEAR(TODAY())*100+MONTH(TODAY())))=0,"",SUMIFS(Batches!$G$6:$G$505,Batches!$R$6:$R$505,(YEAR(TODAY())*100+MONTH(TODAY())))/SUMIFS(Batches!$D$6:$D$505,Batches!$R$6:$R$505,(YEAR(TODAY())*100+MONTH(TODAY()))))</f>
        <v/>
      </c>
      <c r="F5" s="1" t="n"/>
      <c r="G5" s="5">
        <f>SUMIFS(Batches!$D$6:$D$505,Batches!$R$6:$R$505,(YEAR(TODAY())*100+MONTH(TODAY())))</f>
        <v/>
      </c>
      <c r="H5" s="9">
        <f>SUMIFS(Batches!$S$6:$S$505,Batches!$R$6:$R$505,(YEAR(TODAY())*100+MONTH(TODAY())))</f>
        <v/>
      </c>
      <c r="I5" s="5">
        <f>COUNTIF(Ingredients!$L$6:$L$105,"Buy more")</f>
        <v/>
      </c>
      <c r="J5" s="5">
        <f>COUNTIF(Purchases!$K$6:$K$405,"Past its date")+COUNTIF(Purchases!$K$6:$K$405,"Use soon")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30" customHeight="1">
      <c r="A7" s="1" t="n"/>
      <c r="B7" s="10" t="inlineStr">
        <is>
          <t>Sell first</t>
        </is>
      </c>
      <c r="C7" s="10" t="inlineStr">
        <is>
          <t>Batch</t>
        </is>
      </c>
      <c r="D7" s="10" t="inlineStr">
        <is>
          <t>Left</t>
        </is>
      </c>
      <c r="E7" s="10">
        <f>Settings!$C$7</f>
        <v/>
      </c>
      <c r="F7" s="1" t="n"/>
      <c r="G7" s="10" t="inlineStr">
        <is>
          <t>To buy</t>
        </is>
      </c>
      <c r="H7" s="10" t="inlineStr">
        <is>
          <t>Left</t>
        </is>
      </c>
      <c r="I7" s="10" t="inlineStr">
        <is>
          <t>Buy more at</t>
        </is>
      </c>
      <c r="J7" s="10" t="inlineStr">
        <is>
          <t>Unit</t>
        </is>
      </c>
      <c r="K7" s="1" t="n"/>
      <c r="L7" s="1" t="n"/>
    </row>
    <row r="8" ht="18" customHeight="1">
      <c r="A8" s="1" t="n"/>
      <c r="B8" s="11">
        <f>IF(N8="","",INDEX(Batches!$C$1:$C$505,MOD(N8,1000)))</f>
        <v/>
      </c>
      <c r="C8" s="12">
        <f>IF(N8="","",INDEX(Batches!$I$1:$I$505,MOD(N8,1000)))</f>
        <v/>
      </c>
      <c r="D8" s="13">
        <f>IF(N8="","",INDEX(Batches!$K$1:$K$505,MOD(N8,1000)))</f>
        <v/>
      </c>
      <c r="E8" s="14">
        <f>IF(N8="","",INDEX(Batches!$J$1:$J$505,MOD(N8,1000)))</f>
        <v/>
      </c>
      <c r="F8" s="15" t="n"/>
      <c r="G8" s="11">
        <f>IF(O8="","",INDEX(Ingredients!$B$1:$B$105,O8))</f>
        <v/>
      </c>
      <c r="H8" s="16">
        <f>IF(O8="","",INDEX(Ingredients!$K$1:$K$105,O8))</f>
        <v/>
      </c>
      <c r="I8" s="16">
        <f>IF(O8="","",N(INDEX(Ingredients!$F$1:$F$105,O8)))</f>
        <v/>
      </c>
      <c r="J8" s="12">
        <f>IF(O8="","",INDEX(Ingredients!$C$1:$C$105,O8))</f>
        <v/>
      </c>
      <c r="K8" s="1" t="n"/>
      <c r="L8" s="1" t="n"/>
      <c r="N8">
        <f>IFERROR(SMALL(Batches!$T$6:$T$505,1),"")</f>
        <v/>
      </c>
      <c r="O8">
        <f>IFERROR(SMALL(Ingredients!$AR$6:$AR$105,1),"")</f>
        <v/>
      </c>
    </row>
    <row r="9" ht="18" customHeight="1">
      <c r="A9" s="1" t="n"/>
      <c r="B9" s="11">
        <f>IF(N9="","",INDEX(Batches!$C$1:$C$505,MOD(N9,1000)))</f>
        <v/>
      </c>
      <c r="C9" s="12">
        <f>IF(N9="","",INDEX(Batches!$I$1:$I$505,MOD(N9,1000)))</f>
        <v/>
      </c>
      <c r="D9" s="13">
        <f>IF(N9="","",INDEX(Batches!$K$1:$K$505,MOD(N9,1000)))</f>
        <v/>
      </c>
      <c r="E9" s="14">
        <f>IF(N9="","",INDEX(Batches!$J$1:$J$505,MOD(N9,1000)))</f>
        <v/>
      </c>
      <c r="F9" s="15" t="n"/>
      <c r="G9" s="11">
        <f>IF(O9="","",INDEX(Ingredients!$B$1:$B$105,O9))</f>
        <v/>
      </c>
      <c r="H9" s="16">
        <f>IF(O9="","",INDEX(Ingredients!$K$1:$K$105,O9))</f>
        <v/>
      </c>
      <c r="I9" s="16">
        <f>IF(O9="","",N(INDEX(Ingredients!$F$1:$F$105,O9)))</f>
        <v/>
      </c>
      <c r="J9" s="12">
        <f>IF(O9="","",INDEX(Ingredients!$C$1:$C$105,O9))</f>
        <v/>
      </c>
      <c r="K9" s="1" t="n"/>
      <c r="L9" s="1" t="n"/>
      <c r="N9">
        <f>IFERROR(SMALL(Batches!$T$6:$T$505,2),"")</f>
        <v/>
      </c>
      <c r="O9">
        <f>IFERROR(SMALL(Ingredients!$AR$6:$AR$105,2),"")</f>
        <v/>
      </c>
    </row>
    <row r="10" ht="18" customHeight="1">
      <c r="A10" s="1" t="n"/>
      <c r="B10" s="11">
        <f>IF(N10="","",INDEX(Batches!$C$1:$C$505,MOD(N10,1000)))</f>
        <v/>
      </c>
      <c r="C10" s="12">
        <f>IF(N10="","",INDEX(Batches!$I$1:$I$505,MOD(N10,1000)))</f>
        <v/>
      </c>
      <c r="D10" s="13">
        <f>IF(N10="","",INDEX(Batches!$K$1:$K$505,MOD(N10,1000)))</f>
        <v/>
      </c>
      <c r="E10" s="14">
        <f>IF(N10="","",INDEX(Batches!$J$1:$J$505,MOD(N10,1000)))</f>
        <v/>
      </c>
      <c r="F10" s="15" t="n"/>
      <c r="G10" s="11">
        <f>IF(O10="","",INDEX(Ingredients!$B$1:$B$105,O10))</f>
        <v/>
      </c>
      <c r="H10" s="16">
        <f>IF(O10="","",INDEX(Ingredients!$K$1:$K$105,O10))</f>
        <v/>
      </c>
      <c r="I10" s="16">
        <f>IF(O10="","",N(INDEX(Ingredients!$F$1:$F$105,O10)))</f>
        <v/>
      </c>
      <c r="J10" s="12">
        <f>IF(O10="","",INDEX(Ingredients!$C$1:$C$105,O10))</f>
        <v/>
      </c>
      <c r="K10" s="1" t="n"/>
      <c r="L10" s="1" t="n"/>
      <c r="N10">
        <f>IFERROR(SMALL(Batches!$T$6:$T$505,3),"")</f>
        <v/>
      </c>
      <c r="O10">
        <f>IFERROR(SMALL(Ingredients!$AR$6:$AR$105,3),"")</f>
        <v/>
      </c>
    </row>
    <row r="11" ht="18" customHeight="1">
      <c r="A11" s="1" t="n"/>
      <c r="B11" s="11">
        <f>IF(N11="","",INDEX(Batches!$C$1:$C$505,MOD(N11,1000)))</f>
        <v/>
      </c>
      <c r="C11" s="12">
        <f>IF(N11="","",INDEX(Batches!$I$1:$I$505,MOD(N11,1000)))</f>
        <v/>
      </c>
      <c r="D11" s="13">
        <f>IF(N11="","",INDEX(Batches!$K$1:$K$505,MOD(N11,1000)))</f>
        <v/>
      </c>
      <c r="E11" s="14">
        <f>IF(N11="","",INDEX(Batches!$J$1:$J$505,MOD(N11,1000)))</f>
        <v/>
      </c>
      <c r="F11" s="15" t="n"/>
      <c r="G11" s="11">
        <f>IF(O11="","",INDEX(Ingredients!$B$1:$B$105,O11))</f>
        <v/>
      </c>
      <c r="H11" s="16">
        <f>IF(O11="","",INDEX(Ingredients!$K$1:$K$105,O11))</f>
        <v/>
      </c>
      <c r="I11" s="16">
        <f>IF(O11="","",N(INDEX(Ingredients!$F$1:$F$105,O11)))</f>
        <v/>
      </c>
      <c r="J11" s="12">
        <f>IF(O11="","",INDEX(Ingredients!$C$1:$C$105,O11))</f>
        <v/>
      </c>
      <c r="K11" s="1" t="n"/>
      <c r="L11" s="1" t="n"/>
      <c r="N11">
        <f>IFERROR(SMALL(Batches!$T$6:$T$505,4),"")</f>
        <v/>
      </c>
      <c r="O11">
        <f>IFERROR(SMALL(Ingredients!$AR$6:$AR$105,4),"")</f>
        <v/>
      </c>
    </row>
    <row r="12" ht="18" customHeight="1">
      <c r="A12" s="1" t="n"/>
      <c r="B12" s="11">
        <f>IF(N12="","",INDEX(Batches!$C$1:$C$505,MOD(N12,1000)))</f>
        <v/>
      </c>
      <c r="C12" s="12">
        <f>IF(N12="","",INDEX(Batches!$I$1:$I$505,MOD(N12,1000)))</f>
        <v/>
      </c>
      <c r="D12" s="13">
        <f>IF(N12="","",INDEX(Batches!$K$1:$K$505,MOD(N12,1000)))</f>
        <v/>
      </c>
      <c r="E12" s="14">
        <f>IF(N12="","",INDEX(Batches!$J$1:$J$505,MOD(N12,1000)))</f>
        <v/>
      </c>
      <c r="F12" s="15" t="n"/>
      <c r="G12" s="15" t="n"/>
      <c r="H12" s="15" t="n"/>
      <c r="I12" s="15" t="n"/>
      <c r="J12" s="15" t="n"/>
      <c r="K12" s="1" t="n"/>
      <c r="L12" s="1" t="n"/>
      <c r="N12">
        <f>IFERROR(SMALL(Batches!$T$6:$T$505,5),"")</f>
        <v/>
      </c>
    </row>
    <row r="13" ht="18" customHeight="1">
      <c r="A13" s="1" t="n"/>
      <c r="B13" s="11">
        <f>IF(N13="","",INDEX(Batches!$C$1:$C$505,MOD(N13,1000)))</f>
        <v/>
      </c>
      <c r="C13" s="12">
        <f>IF(N13="","",INDEX(Batches!$I$1:$I$505,MOD(N13,1000)))</f>
        <v/>
      </c>
      <c r="D13" s="13">
        <f>IF(N13="","",INDEX(Batches!$K$1:$K$505,MOD(N13,1000)))</f>
        <v/>
      </c>
      <c r="E13" s="14">
        <f>IF(N13="","",INDEX(Batches!$J$1:$J$505,MOD(N13,1000)))</f>
        <v/>
      </c>
      <c r="F13" s="15" t="n"/>
      <c r="G13" s="17" t="inlineStr">
        <is>
          <t>Pantry</t>
        </is>
      </c>
      <c r="H13" s="17" t="inlineStr">
        <is>
          <t>Lot</t>
        </is>
      </c>
      <c r="I13" s="17" t="inlineStr">
        <is>
          <t>Date on pack</t>
        </is>
      </c>
      <c r="J13" s="17" t="inlineStr">
        <is>
          <t>Status</t>
        </is>
      </c>
      <c r="K13" s="1" t="n"/>
      <c r="L13" s="1" t="n"/>
      <c r="N13">
        <f>IFERROR(SMALL(Batches!$T$6:$T$505,6),"")</f>
        <v/>
      </c>
    </row>
    <row r="14" ht="18" customHeight="1">
      <c r="A14" s="1" t="n"/>
      <c r="B14" s="11">
        <f>IF(N14="","",INDEX(Batches!$C$1:$C$505,MOD(N14,1000)))</f>
        <v/>
      </c>
      <c r="C14" s="12">
        <f>IF(N14="","",INDEX(Batches!$I$1:$I$505,MOD(N14,1000)))</f>
        <v/>
      </c>
      <c r="D14" s="13">
        <f>IF(N14="","",INDEX(Batches!$K$1:$K$505,MOD(N14,1000)))</f>
        <v/>
      </c>
      <c r="E14" s="14">
        <f>IF(N14="","",INDEX(Batches!$J$1:$J$505,MOD(N14,1000)))</f>
        <v/>
      </c>
      <c r="F14" s="15" t="n"/>
      <c r="G14" s="11">
        <f>IF(O14="","",INDEX(Purchases!$C$1:$C$405,MOD(O14,1000)))</f>
        <v/>
      </c>
      <c r="H14" s="12">
        <f>IF(O14="","",INDEX(Purchases!$G$1:$G$405,MOD(O14,1000)))</f>
        <v/>
      </c>
      <c r="I14" s="14">
        <f>IF(O14="","",INDEX(Purchases!$H$1:$H$405,MOD(O14,1000)))</f>
        <v/>
      </c>
      <c r="J14" s="12">
        <f>IF(O14="","",INDEX(Purchases!$K$1:$K$405,MOD(O14,1000)))</f>
        <v/>
      </c>
      <c r="K14" s="1" t="n"/>
      <c r="L14" s="1" t="n"/>
      <c r="N14">
        <f>IFERROR(SMALL(Batches!$T$6:$T$505,7),"")</f>
        <v/>
      </c>
      <c r="O14">
        <f>IFERROR(SMALL(Purchases!$L$6:$L$405,1),"")</f>
        <v/>
      </c>
    </row>
    <row r="15" ht="18" customHeight="1">
      <c r="A15" s="1" t="n"/>
      <c r="B15" s="11">
        <f>IF(N15="","",INDEX(Batches!$C$1:$C$505,MOD(N15,1000)))</f>
        <v/>
      </c>
      <c r="C15" s="12">
        <f>IF(N15="","",INDEX(Batches!$I$1:$I$505,MOD(N15,1000)))</f>
        <v/>
      </c>
      <c r="D15" s="13">
        <f>IF(N15="","",INDEX(Batches!$K$1:$K$505,MOD(N15,1000)))</f>
        <v/>
      </c>
      <c r="E15" s="14">
        <f>IF(N15="","",INDEX(Batches!$J$1:$J$505,MOD(N15,1000)))</f>
        <v/>
      </c>
      <c r="F15" s="15" t="n"/>
      <c r="G15" s="11">
        <f>IF(O15="","",INDEX(Purchases!$C$1:$C$405,MOD(O15,1000)))</f>
        <v/>
      </c>
      <c r="H15" s="12">
        <f>IF(O15="","",INDEX(Purchases!$G$1:$G$405,MOD(O15,1000)))</f>
        <v/>
      </c>
      <c r="I15" s="14">
        <f>IF(O15="","",INDEX(Purchases!$H$1:$H$405,MOD(O15,1000)))</f>
        <v/>
      </c>
      <c r="J15" s="12">
        <f>IF(O15="","",INDEX(Purchases!$K$1:$K$405,MOD(O15,1000)))</f>
        <v/>
      </c>
      <c r="K15" s="1" t="n"/>
      <c r="L15" s="1" t="n"/>
      <c r="N15">
        <f>IFERROR(SMALL(Batches!$T$6:$T$505,8),"")</f>
        <v/>
      </c>
      <c r="O15">
        <f>IFERROR(SMALL(Purchases!$L$6:$L$405,2),"")</f>
        <v/>
      </c>
    </row>
    <row r="16" ht="18" customHeight="1">
      <c r="A16" s="1" t="n"/>
      <c r="B16" s="11">
        <f>IF(N16="","",INDEX(Batches!$C$1:$C$505,MOD(N16,1000)))</f>
        <v/>
      </c>
      <c r="C16" s="12">
        <f>IF(N16="","",INDEX(Batches!$I$1:$I$505,MOD(N16,1000)))</f>
        <v/>
      </c>
      <c r="D16" s="13">
        <f>IF(N16="","",INDEX(Batches!$K$1:$K$505,MOD(N16,1000)))</f>
        <v/>
      </c>
      <c r="E16" s="14">
        <f>IF(N16="","",INDEX(Batches!$J$1:$J$505,MOD(N16,1000)))</f>
        <v/>
      </c>
      <c r="F16" s="15" t="n"/>
      <c r="G16" s="11">
        <f>IF(O16="","",INDEX(Purchases!$C$1:$C$405,MOD(O16,1000)))</f>
        <v/>
      </c>
      <c r="H16" s="12">
        <f>IF(O16="","",INDEX(Purchases!$G$1:$G$405,MOD(O16,1000)))</f>
        <v/>
      </c>
      <c r="I16" s="14">
        <f>IF(O16="","",INDEX(Purchases!$H$1:$H$405,MOD(O16,1000)))</f>
        <v/>
      </c>
      <c r="J16" s="12">
        <f>IF(O16="","",INDEX(Purchases!$K$1:$K$405,MOD(O16,1000)))</f>
        <v/>
      </c>
      <c r="K16" s="1" t="n"/>
      <c r="L16" s="1" t="n"/>
      <c r="N16">
        <f>IFERROR(SMALL(Batches!$T$6:$T$505,9),"")</f>
        <v/>
      </c>
      <c r="O16">
        <f>IFERROR(SMALL(Purchases!$L$6:$L$405,3),"")</f>
        <v/>
      </c>
    </row>
    <row r="17" ht="18" customHeight="1">
      <c r="A17" s="1" t="n"/>
      <c r="B17" s="11">
        <f>IF(N17="","",INDEX(Batches!$C$1:$C$505,MOD(N17,1000)))</f>
        <v/>
      </c>
      <c r="C17" s="12">
        <f>IF(N17="","",INDEX(Batches!$I$1:$I$505,MOD(N17,1000)))</f>
        <v/>
      </c>
      <c r="D17" s="13">
        <f>IF(N17="","",INDEX(Batches!$K$1:$K$505,MOD(N17,1000)))</f>
        <v/>
      </c>
      <c r="E17" s="14">
        <f>IF(N17="","",INDEX(Batches!$J$1:$J$505,MOD(N17,1000)))</f>
        <v/>
      </c>
      <c r="F17" s="15" t="n"/>
      <c r="G17" s="11">
        <f>IF(O17="","",INDEX(Purchases!$C$1:$C$405,MOD(O17,1000)))</f>
        <v/>
      </c>
      <c r="H17" s="12">
        <f>IF(O17="","",INDEX(Purchases!$G$1:$G$405,MOD(O17,1000)))</f>
        <v/>
      </c>
      <c r="I17" s="14">
        <f>IF(O17="","",INDEX(Purchases!$H$1:$H$405,MOD(O17,1000)))</f>
        <v/>
      </c>
      <c r="J17" s="12">
        <f>IF(O17="","",INDEX(Purchases!$K$1:$K$405,MOD(O17,1000)))</f>
        <v/>
      </c>
      <c r="K17" s="1" t="n"/>
      <c r="L17" s="1" t="n"/>
      <c r="N17">
        <f>IFERROR(SMALL(Batches!$T$6:$T$505,10),"")</f>
        <v/>
      </c>
      <c r="O17">
        <f>IFERROR(SMALL(Purchases!$L$6:$L$405,4),"")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30" customHeight="1">
      <c r="A19" s="1" t="n"/>
      <c r="B19" s="10" t="inlineStr">
        <is>
          <t>Month made</t>
        </is>
      </c>
      <c r="C19" s="10" t="inlineStr">
        <is>
          <t>Made</t>
        </is>
      </c>
      <c r="D19" s="10" t="inlineStr">
        <is>
          <t>Wasted</t>
        </is>
      </c>
      <c r="E19" s="10" t="inlineStr">
        <is>
          <t>Waste</t>
        </is>
      </c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8">
        <f>CHOOSE(MONTH(DATE(YEAR(TODAY()),MONTH(TODAY())-11,1)),"Jan","Feb","Mar","Apr","May","Jun","Jul","Aug","Sep","Oct","Nov","Dec")&amp;" "&amp;YEAR(DATE(YEAR(TODAY()),MONTH(TODAY())-11,1))</f>
        <v/>
      </c>
      <c r="C20" s="13">
        <f>SUMIFS(Batches!$D$6:$D$505,Batches!$R$6:$R$505,M20)</f>
        <v/>
      </c>
      <c r="D20" s="13">
        <f>SUMIFS(Batches!$G$6:$G$505,Batches!$R$6:$R$505,M20)</f>
        <v/>
      </c>
      <c r="E20" s="19">
        <f>IF(C20=0,"",D20/C20)</f>
        <v/>
      </c>
      <c r="F20" s="1" t="n"/>
      <c r="G20" s="1" t="n"/>
      <c r="H20" s="1" t="n"/>
      <c r="I20" s="1" t="n"/>
      <c r="J20" s="1" t="n"/>
      <c r="K20" s="1" t="n"/>
      <c r="L20" s="1" t="n"/>
      <c r="M20">
        <f>YEAR(DATE(YEAR(TODAY()),MONTH(TODAY())-11,1))*100+MONTH(DATE(YEAR(TODAY()),MONTH(TODAY())-11,1))</f>
        <v/>
      </c>
    </row>
    <row r="21">
      <c r="A21" s="1" t="n"/>
      <c r="B21" s="18">
        <f>CHOOSE(MONTH(DATE(YEAR(TODAY()),MONTH(TODAY())-10,1)),"Jan","Feb","Mar","Apr","May","Jun","Jul","Aug","Sep","Oct","Nov","Dec")&amp;" "&amp;YEAR(DATE(YEAR(TODAY()),MONTH(TODAY())-10,1))</f>
        <v/>
      </c>
      <c r="C21" s="13">
        <f>SUMIFS(Batches!$D$6:$D$505,Batches!$R$6:$R$505,M21)</f>
        <v/>
      </c>
      <c r="D21" s="13">
        <f>SUMIFS(Batches!$G$6:$G$505,Batches!$R$6:$R$505,M21)</f>
        <v/>
      </c>
      <c r="E21" s="19">
        <f>IF(C21=0,"",D21/C21)</f>
        <v/>
      </c>
      <c r="F21" s="1" t="n"/>
      <c r="G21" s="1" t="n"/>
      <c r="H21" s="1" t="n"/>
      <c r="I21" s="1" t="n"/>
      <c r="J21" s="1" t="n"/>
      <c r="K21" s="1" t="n"/>
      <c r="L21" s="1" t="n"/>
      <c r="M21">
        <f>YEAR(DATE(YEAR(TODAY()),MONTH(TODAY())-10,1))*100+MONTH(DATE(YEAR(TODAY()),MONTH(TODAY())-10,1))</f>
        <v/>
      </c>
    </row>
    <row r="22">
      <c r="A22" s="1" t="n"/>
      <c r="B22" s="18">
        <f>CHOOSE(MONTH(DATE(YEAR(TODAY()),MONTH(TODAY())-9,1)),"Jan","Feb","Mar","Apr","May","Jun","Jul","Aug","Sep","Oct","Nov","Dec")&amp;" "&amp;YEAR(DATE(YEAR(TODAY()),MONTH(TODAY())-9,1))</f>
        <v/>
      </c>
      <c r="C22" s="13">
        <f>SUMIFS(Batches!$D$6:$D$505,Batches!$R$6:$R$505,M22)</f>
        <v/>
      </c>
      <c r="D22" s="13">
        <f>SUMIFS(Batches!$G$6:$G$505,Batches!$R$6:$R$505,M22)</f>
        <v/>
      </c>
      <c r="E22" s="19">
        <f>IF(C22=0,"",D22/C22)</f>
        <v/>
      </c>
      <c r="F22" s="1" t="n"/>
      <c r="G22" s="1" t="n"/>
      <c r="H22" s="1" t="n"/>
      <c r="I22" s="1" t="n"/>
      <c r="J22" s="1" t="n"/>
      <c r="K22" s="1" t="n"/>
      <c r="L22" s="1" t="n"/>
      <c r="M22">
        <f>YEAR(DATE(YEAR(TODAY()),MONTH(TODAY())-9,1))*100+MONTH(DATE(YEAR(TODAY()),MONTH(TODAY())-9,1))</f>
        <v/>
      </c>
    </row>
    <row r="23">
      <c r="A23" s="1" t="n"/>
      <c r="B23" s="18">
        <f>CHOOSE(MONTH(DATE(YEAR(TODAY()),MONTH(TODAY())-8,1)),"Jan","Feb","Mar","Apr","May","Jun","Jul","Aug","Sep","Oct","Nov","Dec")&amp;" "&amp;YEAR(DATE(YEAR(TODAY()),MONTH(TODAY())-8,1))</f>
        <v/>
      </c>
      <c r="C23" s="13">
        <f>SUMIFS(Batches!$D$6:$D$505,Batches!$R$6:$R$505,M23)</f>
        <v/>
      </c>
      <c r="D23" s="13">
        <f>SUMIFS(Batches!$G$6:$G$505,Batches!$R$6:$R$505,M23)</f>
        <v/>
      </c>
      <c r="E23" s="19">
        <f>IF(C23=0,"",D23/C23)</f>
        <v/>
      </c>
      <c r="F23" s="1" t="n"/>
      <c r="G23" s="1" t="n"/>
      <c r="H23" s="1" t="n"/>
      <c r="I23" s="1" t="n"/>
      <c r="J23" s="1" t="n"/>
      <c r="K23" s="1" t="n"/>
      <c r="L23" s="1" t="n"/>
      <c r="M23">
        <f>YEAR(DATE(YEAR(TODAY()),MONTH(TODAY())-8,1))*100+MONTH(DATE(YEAR(TODAY()),MONTH(TODAY())-8,1))</f>
        <v/>
      </c>
    </row>
    <row r="24">
      <c r="A24" s="1" t="n"/>
      <c r="B24" s="18">
        <f>CHOOSE(MONTH(DATE(YEAR(TODAY()),MONTH(TODAY())-7,1)),"Jan","Feb","Mar","Apr","May","Jun","Jul","Aug","Sep","Oct","Nov","Dec")&amp;" "&amp;YEAR(DATE(YEAR(TODAY()),MONTH(TODAY())-7,1))</f>
        <v/>
      </c>
      <c r="C24" s="13">
        <f>SUMIFS(Batches!$D$6:$D$505,Batches!$R$6:$R$505,M24)</f>
        <v/>
      </c>
      <c r="D24" s="13">
        <f>SUMIFS(Batches!$G$6:$G$505,Batches!$R$6:$R$505,M24)</f>
        <v/>
      </c>
      <c r="E24" s="19">
        <f>IF(C24=0,"",D24/C24)</f>
        <v/>
      </c>
      <c r="F24" s="1" t="n"/>
      <c r="G24" s="1" t="n"/>
      <c r="H24" s="1" t="n"/>
      <c r="I24" s="1" t="n"/>
      <c r="J24" s="1" t="n"/>
      <c r="K24" s="1" t="n"/>
      <c r="L24" s="1" t="n"/>
      <c r="M24">
        <f>YEAR(DATE(YEAR(TODAY()),MONTH(TODAY())-7,1))*100+MONTH(DATE(YEAR(TODAY()),MONTH(TODAY())-7,1))</f>
        <v/>
      </c>
    </row>
    <row r="25">
      <c r="A25" s="1" t="n"/>
      <c r="B25" s="18">
        <f>CHOOSE(MONTH(DATE(YEAR(TODAY()),MONTH(TODAY())-6,1)),"Jan","Feb","Mar","Apr","May","Jun","Jul","Aug","Sep","Oct","Nov","Dec")&amp;" "&amp;YEAR(DATE(YEAR(TODAY()),MONTH(TODAY())-6,1))</f>
        <v/>
      </c>
      <c r="C25" s="13">
        <f>SUMIFS(Batches!$D$6:$D$505,Batches!$R$6:$R$505,M25)</f>
        <v/>
      </c>
      <c r="D25" s="13">
        <f>SUMIFS(Batches!$G$6:$G$505,Batches!$R$6:$R$505,M25)</f>
        <v/>
      </c>
      <c r="E25" s="19">
        <f>IF(C25=0,"",D25/C25)</f>
        <v/>
      </c>
      <c r="F25" s="1" t="n"/>
      <c r="G25" s="1" t="n"/>
      <c r="H25" s="1" t="n"/>
      <c r="I25" s="1" t="n"/>
      <c r="J25" s="1" t="n"/>
      <c r="K25" s="1" t="n"/>
      <c r="L25" s="1" t="n"/>
      <c r="M25">
        <f>YEAR(DATE(YEAR(TODAY()),MONTH(TODAY())-6,1))*100+MONTH(DATE(YEAR(TODAY()),MONTH(TODAY())-6,1))</f>
        <v/>
      </c>
    </row>
    <row r="26">
      <c r="A26" s="1" t="n"/>
      <c r="B26" s="18">
        <f>CHOOSE(MONTH(DATE(YEAR(TODAY()),MONTH(TODAY())-5,1)),"Jan","Feb","Mar","Apr","May","Jun","Jul","Aug","Sep","Oct","Nov","Dec")&amp;" "&amp;YEAR(DATE(YEAR(TODAY()),MONTH(TODAY())-5,1))</f>
        <v/>
      </c>
      <c r="C26" s="13">
        <f>SUMIFS(Batches!$D$6:$D$505,Batches!$R$6:$R$505,M26)</f>
        <v/>
      </c>
      <c r="D26" s="13">
        <f>SUMIFS(Batches!$G$6:$G$505,Batches!$R$6:$R$505,M26)</f>
        <v/>
      </c>
      <c r="E26" s="19">
        <f>IF(C26=0,"",D26/C26)</f>
        <v/>
      </c>
      <c r="F26" s="1" t="n"/>
      <c r="G26" s="1" t="n"/>
      <c r="H26" s="1" t="n"/>
      <c r="I26" s="1" t="n"/>
      <c r="J26" s="1" t="n"/>
      <c r="K26" s="1" t="n"/>
      <c r="L26" s="1" t="n"/>
      <c r="M26">
        <f>YEAR(DATE(YEAR(TODAY()),MONTH(TODAY())-5,1))*100+MONTH(DATE(YEAR(TODAY()),MONTH(TODAY())-5,1))</f>
        <v/>
      </c>
    </row>
    <row r="27">
      <c r="A27" s="1" t="n"/>
      <c r="B27" s="18">
        <f>CHOOSE(MONTH(DATE(YEAR(TODAY()),MONTH(TODAY())-4,1)),"Jan","Feb","Mar","Apr","May","Jun","Jul","Aug","Sep","Oct","Nov","Dec")&amp;" "&amp;YEAR(DATE(YEAR(TODAY()),MONTH(TODAY())-4,1))</f>
        <v/>
      </c>
      <c r="C27" s="13">
        <f>SUMIFS(Batches!$D$6:$D$505,Batches!$R$6:$R$505,M27)</f>
        <v/>
      </c>
      <c r="D27" s="13">
        <f>SUMIFS(Batches!$G$6:$G$505,Batches!$R$6:$R$505,M27)</f>
        <v/>
      </c>
      <c r="E27" s="19">
        <f>IF(C27=0,"",D27/C27)</f>
        <v/>
      </c>
      <c r="F27" s="1" t="n"/>
      <c r="G27" s="1" t="n"/>
      <c r="H27" s="1" t="n"/>
      <c r="I27" s="1" t="n"/>
      <c r="J27" s="1" t="n"/>
      <c r="K27" s="1" t="n"/>
      <c r="L27" s="1" t="n"/>
      <c r="M27">
        <f>YEAR(DATE(YEAR(TODAY()),MONTH(TODAY())-4,1))*100+MONTH(DATE(YEAR(TODAY()),MONTH(TODAY())-4,1))</f>
        <v/>
      </c>
    </row>
    <row r="28">
      <c r="A28" s="1" t="n"/>
      <c r="B28" s="18">
        <f>CHOOSE(MONTH(DATE(YEAR(TODAY()),MONTH(TODAY())-3,1)),"Jan","Feb","Mar","Apr","May","Jun","Jul","Aug","Sep","Oct","Nov","Dec")&amp;" "&amp;YEAR(DATE(YEAR(TODAY()),MONTH(TODAY())-3,1))</f>
        <v/>
      </c>
      <c r="C28" s="13">
        <f>SUMIFS(Batches!$D$6:$D$505,Batches!$R$6:$R$505,M28)</f>
        <v/>
      </c>
      <c r="D28" s="13">
        <f>SUMIFS(Batches!$G$6:$G$505,Batches!$R$6:$R$505,M28)</f>
        <v/>
      </c>
      <c r="E28" s="19">
        <f>IF(C28=0,"",D28/C28)</f>
        <v/>
      </c>
      <c r="F28" s="1" t="n"/>
      <c r="G28" s="1" t="n"/>
      <c r="H28" s="1" t="n"/>
      <c r="I28" s="1" t="n"/>
      <c r="J28" s="1" t="n"/>
      <c r="K28" s="1" t="n"/>
      <c r="L28" s="1" t="n"/>
      <c r="M28">
        <f>YEAR(DATE(YEAR(TODAY()),MONTH(TODAY())-3,1))*100+MONTH(DATE(YEAR(TODAY()),MONTH(TODAY())-3,1))</f>
        <v/>
      </c>
    </row>
    <row r="29">
      <c r="A29" s="1" t="n"/>
      <c r="B29" s="18">
        <f>CHOOSE(MONTH(DATE(YEAR(TODAY()),MONTH(TODAY())-2,1)),"Jan","Feb","Mar","Apr","May","Jun","Jul","Aug","Sep","Oct","Nov","Dec")&amp;" "&amp;YEAR(DATE(YEAR(TODAY()),MONTH(TODAY())-2,1))</f>
        <v/>
      </c>
      <c r="C29" s="13">
        <f>SUMIFS(Batches!$D$6:$D$505,Batches!$R$6:$R$505,M29)</f>
        <v/>
      </c>
      <c r="D29" s="13">
        <f>SUMIFS(Batches!$G$6:$G$505,Batches!$R$6:$R$505,M29)</f>
        <v/>
      </c>
      <c r="E29" s="19">
        <f>IF(C29=0,"",D29/C29)</f>
        <v/>
      </c>
      <c r="F29" s="1" t="n"/>
      <c r="G29" s="1" t="n"/>
      <c r="H29" s="1" t="n"/>
      <c r="I29" s="1" t="n"/>
      <c r="J29" s="1" t="n"/>
      <c r="K29" s="1" t="n"/>
      <c r="L29" s="1" t="n"/>
      <c r="M29">
        <f>YEAR(DATE(YEAR(TODAY()),MONTH(TODAY())-2,1))*100+MONTH(DATE(YEAR(TODAY()),MONTH(TODAY())-2,1))</f>
        <v/>
      </c>
    </row>
    <row r="30">
      <c r="A30" s="1" t="n"/>
      <c r="B30" s="18">
        <f>CHOOSE(MONTH(DATE(YEAR(TODAY()),MONTH(TODAY())-1,1)),"Jan","Feb","Mar","Apr","May","Jun","Jul","Aug","Sep","Oct","Nov","Dec")&amp;" "&amp;YEAR(DATE(YEAR(TODAY()),MONTH(TODAY())-1,1))</f>
        <v/>
      </c>
      <c r="C30" s="13">
        <f>SUMIFS(Batches!$D$6:$D$505,Batches!$R$6:$R$505,M30)</f>
        <v/>
      </c>
      <c r="D30" s="13">
        <f>SUMIFS(Batches!$G$6:$G$505,Batches!$R$6:$R$505,M30)</f>
        <v/>
      </c>
      <c r="E30" s="19">
        <f>IF(C30=0,"",D30/C30)</f>
        <v/>
      </c>
      <c r="F30" s="1" t="n"/>
      <c r="G30" s="1" t="n"/>
      <c r="H30" s="1" t="n"/>
      <c r="I30" s="1" t="n"/>
      <c r="J30" s="1" t="n"/>
      <c r="K30" s="1" t="n"/>
      <c r="L30" s="1" t="n"/>
      <c r="M30">
        <f>YEAR(DATE(YEAR(TODAY()),MONTH(TODAY())-1,1))*100+MONTH(DATE(YEAR(TODAY()),MONTH(TODAY())-1,1))</f>
        <v/>
      </c>
    </row>
    <row r="31">
      <c r="A31" s="1" t="n"/>
      <c r="B31" s="18">
        <f>CHOOSE(MONTH(DATE(YEAR(TODAY()),MONTH(TODAY())-0,1)),"Jan","Feb","Mar","Apr","May","Jun","Jul","Aug","Sep","Oct","Nov","Dec")&amp;" "&amp;YEAR(DATE(YEAR(TODAY()),MONTH(TODAY())-0,1))</f>
        <v/>
      </c>
      <c r="C31" s="13">
        <f>SUMIFS(Batches!$D$6:$D$505,Batches!$R$6:$R$505,M31)</f>
        <v/>
      </c>
      <c r="D31" s="13">
        <f>SUMIFS(Batches!$G$6:$G$505,Batches!$R$6:$R$505,M31)</f>
        <v/>
      </c>
      <c r="E31" s="19">
        <f>IF(C31=0,"",D31/C31)</f>
        <v/>
      </c>
      <c r="F31" s="1" t="n"/>
      <c r="G31" s="1" t="n"/>
      <c r="H31" s="1" t="n"/>
      <c r="I31" s="1" t="n"/>
      <c r="J31" s="1" t="n"/>
      <c r="K31" s="1" t="n"/>
      <c r="L31" s="1" t="n"/>
      <c r="M31">
        <f>YEAR(DATE(YEAR(TODAY()),MONTH(TODAY())-0,1))*100+MONTH(DATE(YEAR(TODAY()),MONTH(TODAY())-0,1))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</sheetData>
  <conditionalFormatting sqref="B8:E17">
    <cfRule type="expression" priority="1" dxfId="0">
      <formula>AND(ISNUMBER($E8),$E8&lt;TODAY())</formula>
    </cfRule>
    <cfRule type="expression" priority="2" dxfId="1">
      <formula>AND(ISNUMBER($E8),$E8-TODAY()&lt;=$M$1)</formula>
    </cfRule>
  </conditionalFormatting>
  <conditionalFormatting sqref="G14:J17">
    <cfRule type="expression" priority="3" dxfId="0">
      <formula>$J14="Past its date"</formula>
    </cfRule>
    <cfRule type="expression" priority="4" dxfId="1">
      <formula>$J14="Use soon"</formula>
    </cfRule>
    <cfRule type="expression" priority="5" dxfId="2">
      <formula>$J14="Sold out"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8" customWidth="1" min="4" max="4"/>
    <col width="8" customWidth="1" min="5" max="5"/>
    <col width="9" customWidth="1" min="6" max="6"/>
    <col width="8" customWidth="1" min="7" max="7"/>
    <col width="26" customWidth="1" min="8" max="8"/>
    <col width="15" customWidth="1" min="9" max="9"/>
    <col width="13" customWidth="1" min="10" max="10"/>
    <col width="7" customWidth="1" min="11" max="11"/>
    <col width="8" customWidth="1" min="12" max="12"/>
    <col width="16" customWidth="1" min="13" max="13"/>
    <col width="10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Batches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One line for each batch you make. Update what was sold, given away and thrown out.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10" t="inlineStr">
        <is>
          <t>Made on</t>
        </is>
      </c>
      <c r="C5" s="10" t="inlineStr">
        <is>
          <t>Product</t>
        </is>
      </c>
      <c r="D5" s="10" t="inlineStr">
        <is>
          <t>Made</t>
        </is>
      </c>
      <c r="E5" s="10" t="inlineStr">
        <is>
          <t>Sold</t>
        </is>
      </c>
      <c r="F5" s="10" t="inlineStr">
        <is>
          <t>Given or used</t>
        </is>
      </c>
      <c r="G5" s="10" t="inlineStr">
        <is>
          <t>Wasted</t>
        </is>
      </c>
      <c r="H5" s="10" t="inlineStr">
        <is>
          <t>Notes</t>
        </is>
      </c>
      <c r="I5" s="10" t="inlineStr">
        <is>
          <t>Batch code</t>
        </is>
      </c>
      <c r="J5" s="10">
        <f>Settings!$C$7</f>
        <v/>
      </c>
      <c r="K5" s="10" t="inlineStr">
        <is>
          <t>Left</t>
        </is>
      </c>
      <c r="L5" s="10" t="inlineStr">
        <is>
          <t>Days left</t>
        </is>
      </c>
      <c r="M5" s="10" t="inlineStr">
        <is>
          <t>Status</t>
        </is>
      </c>
      <c r="N5" s="10" t="inlineStr">
        <is>
          <t>Cost</t>
        </is>
      </c>
      <c r="O5" s="1" t="n"/>
    </row>
    <row r="6">
      <c r="A6" s="1" t="n"/>
      <c r="B6" s="20" t="n">
        <v>45990</v>
      </c>
      <c r="C6" s="21" t="inlineStr">
        <is>
          <t>Chocolate chip cookies</t>
        </is>
      </c>
      <c r="D6" s="22" t="n">
        <v>8</v>
      </c>
      <c r="E6" s="22" t="n">
        <v>8</v>
      </c>
      <c r="F6" s="22" t="n">
        <v>0</v>
      </c>
      <c r="G6" s="22" t="n">
        <v>0</v>
      </c>
      <c r="H6" s="23" t="n"/>
      <c r="I6" s="24">
        <f>IF(OR(C6="",NOT(ISNUMBER(B6))),"",UPPER(IF(IFERROR(IF(INDEX(Products!$C$6:$C$45,MATCH(C6,Products!$B$6:$B$45,0))="","",INDEX(Products!$C$6:$C$45,MATCH(C6,Products!$B$6:$B$45,0))),"")="",LEFT(SUBSTITUTE(C6," ",""),3),IFERROR(IF(INDEX(Products!$C$6:$C$45,MATCH(C6,Products!$B$6:$B$45,0))="","",INDEX(Products!$C$6:$C$45,MATCH(C6,Products!$B$6:$B$45,0))),"")))&amp;"-"&amp;RIGHT(YEAR(B6),2)&amp;RIGHT("0"&amp;MONTH(B6),2)&amp;RIGHT("0"&amp;DAY(B6),2)&amp;"-"&amp;COUNTIFS(C$6:C6,C6,B$6:B6,B6))</f>
        <v/>
      </c>
      <c r="J6" s="14">
        <f>IF(OR(C6="",NOT(ISNUMBER(B6)),N(P6)=0),"",B6+P6)</f>
        <v/>
      </c>
      <c r="K6" s="25">
        <f>IF(C6="","",N(D6)-N(E6)-N(F6)-N(G6))</f>
        <v/>
      </c>
      <c r="L6" s="13">
        <f>IF(OR(C6="",N(K6)&lt;=0,NOT(ISNUMBER(J6))),"",J6-TODAY())</f>
        <v/>
      </c>
      <c r="M6" s="12">
        <f>IF(C6="","",IF(N(K6)&lt;=0,"Sold out",IF(NOT(ISNUMBER(J6)),"In stock",IF(J6&lt;TODAY(),"Past its date",IF(J6-TODAY()&lt;=Settings!$C$5,"Use soon","In stock")))))</f>
        <v/>
      </c>
      <c r="N6" s="26">
        <f>IF(C6="","",N(D6)*Q6)</f>
        <v/>
      </c>
      <c r="O6" s="1" t="n"/>
      <c r="P6">
        <f>IF(C6="",0,IFERROR(N(INDEX(Products!$E$6:$E$45,MATCH(C6,Products!$B$6:$B$45,0))),0))</f>
        <v/>
      </c>
      <c r="Q6">
        <f>IF(C6="",0,IFERROR(N(INDEX(Products!$I$6:$I$45,MATCH(C6,Products!$B$6:$B$45,0))),0))</f>
        <v/>
      </c>
      <c r="R6">
        <f>IF(OR(C6="",NOT(ISNUMBER(B6))),"",YEAR(B6)*100+MONTH(B6))</f>
        <v/>
      </c>
      <c r="S6">
        <f>N(G6)*Q6</f>
        <v/>
      </c>
      <c r="T6">
        <f>IF(OR(M6="",M6="Sold out",NOT(ISNUMBER(J6))),"",J6*1000+ROW())</f>
        <v/>
      </c>
    </row>
    <row r="7">
      <c r="A7" s="1" t="n"/>
      <c r="B7" s="20" t="n">
        <v>45995</v>
      </c>
      <c r="C7" s="21" t="inlineStr">
        <is>
          <t>Lemon drizzle loaf</t>
        </is>
      </c>
      <c r="D7" s="22" t="n">
        <v>4</v>
      </c>
      <c r="E7" s="22" t="n">
        <v>3</v>
      </c>
      <c r="F7" s="22" t="n">
        <v>0</v>
      </c>
      <c r="G7" s="22" t="n">
        <v>1</v>
      </c>
      <c r="H7" s="23" t="n"/>
      <c r="I7" s="24">
        <f>IF(OR(C7="",NOT(ISNUMBER(B7))),"",UPPER(IF(IFERROR(IF(INDEX(Products!$C$6:$C$45,MATCH(C7,Products!$B$6:$B$45,0))="","",INDEX(Products!$C$6:$C$45,MATCH(C7,Products!$B$6:$B$45,0))),"")="",LEFT(SUBSTITUTE(C7," ",""),3),IFERROR(IF(INDEX(Products!$C$6:$C$45,MATCH(C7,Products!$B$6:$B$45,0))="","",INDEX(Products!$C$6:$C$45,MATCH(C7,Products!$B$6:$B$45,0))),"")))&amp;"-"&amp;RIGHT(YEAR(B7),2)&amp;RIGHT("0"&amp;MONTH(B7),2)&amp;RIGHT("0"&amp;DAY(B7),2)&amp;"-"&amp;COUNTIFS(C$6:C7,C7,B$6:B7,B7))</f>
        <v/>
      </c>
      <c r="J7" s="14">
        <f>IF(OR(C7="",NOT(ISNUMBER(B7)),N(P7)=0),"",B7+P7)</f>
        <v/>
      </c>
      <c r="K7" s="25">
        <f>IF(C7="","",N(D7)-N(E7)-N(F7)-N(G7))</f>
        <v/>
      </c>
      <c r="L7" s="13">
        <f>IF(OR(C7="",N(K7)&lt;=0,NOT(ISNUMBER(J7))),"",J7-TODAY())</f>
        <v/>
      </c>
      <c r="M7" s="12">
        <f>IF(C7="","",IF(N(K7)&lt;=0,"Sold out",IF(NOT(ISNUMBER(J7)),"In stock",IF(J7&lt;TODAY(),"Past its date",IF(J7-TODAY()&lt;=Settings!$C$5,"Use soon","In stock")))))</f>
        <v/>
      </c>
      <c r="N7" s="26">
        <f>IF(C7="","",N(D7)*Q7)</f>
        <v/>
      </c>
      <c r="O7" s="1" t="n"/>
      <c r="P7">
        <f>IF(C7="",0,IFERROR(N(INDEX(Products!$E$6:$E$45,MATCH(C7,Products!$B$6:$B$45,0))),0))</f>
        <v/>
      </c>
      <c r="Q7">
        <f>IF(C7="",0,IFERROR(N(INDEX(Products!$I$6:$I$45,MATCH(C7,Products!$B$6:$B$45,0))),0))</f>
        <v/>
      </c>
      <c r="R7">
        <f>IF(OR(C7="",NOT(ISNUMBER(B7))),"",YEAR(B7)*100+MONTH(B7))</f>
        <v/>
      </c>
      <c r="S7">
        <f>N(G7)*Q7</f>
        <v/>
      </c>
      <c r="T7">
        <f>IF(OR(M7="",M7="Sold out",NOT(ISNUMBER(J7))),"",J7*1000+ROW())</f>
        <v/>
      </c>
    </row>
    <row r="8">
      <c r="A8" s="1" t="n"/>
      <c r="B8" s="20" t="n">
        <v>46005</v>
      </c>
      <c r="C8" s="21" t="inlineStr">
        <is>
          <t>Sourdough loaf</t>
        </is>
      </c>
      <c r="D8" s="22" t="n">
        <v>4</v>
      </c>
      <c r="E8" s="22" t="n">
        <v>4</v>
      </c>
      <c r="F8" s="22" t="n">
        <v>0</v>
      </c>
      <c r="G8" s="22" t="n">
        <v>0</v>
      </c>
      <c r="H8" s="23" t="n"/>
      <c r="I8" s="24">
        <f>IF(OR(C8="",NOT(ISNUMBER(B8))),"",UPPER(IF(IFERROR(IF(INDEX(Products!$C$6:$C$45,MATCH(C8,Products!$B$6:$B$45,0))="","",INDEX(Products!$C$6:$C$45,MATCH(C8,Products!$B$6:$B$45,0))),"")="",LEFT(SUBSTITUTE(C8," ",""),3),IFERROR(IF(INDEX(Products!$C$6:$C$45,MATCH(C8,Products!$B$6:$B$45,0))="","",INDEX(Products!$C$6:$C$45,MATCH(C8,Products!$B$6:$B$45,0))),"")))&amp;"-"&amp;RIGHT(YEAR(B8),2)&amp;RIGHT("0"&amp;MONTH(B8),2)&amp;RIGHT("0"&amp;DAY(B8),2)&amp;"-"&amp;COUNTIFS(C$6:C8,C8,B$6:B8,B8))</f>
        <v/>
      </c>
      <c r="J8" s="14">
        <f>IF(OR(C8="",NOT(ISNUMBER(B8)),N(P8)=0),"",B8+P8)</f>
        <v/>
      </c>
      <c r="K8" s="25">
        <f>IF(C8="","",N(D8)-N(E8)-N(F8)-N(G8))</f>
        <v/>
      </c>
      <c r="L8" s="13">
        <f>IF(OR(C8="",N(K8)&lt;=0,NOT(ISNUMBER(J8))),"",J8-TODAY())</f>
        <v/>
      </c>
      <c r="M8" s="12">
        <f>IF(C8="","",IF(N(K8)&lt;=0,"Sold out",IF(NOT(ISNUMBER(J8)),"In stock",IF(J8&lt;TODAY(),"Past its date",IF(J8-TODAY()&lt;=Settings!$C$5,"Use soon","In stock")))))</f>
        <v/>
      </c>
      <c r="N8" s="26">
        <f>IF(C8="","",N(D8)*Q8)</f>
        <v/>
      </c>
      <c r="O8" s="1" t="n"/>
      <c r="P8">
        <f>IF(C8="",0,IFERROR(N(INDEX(Products!$E$6:$E$45,MATCH(C8,Products!$B$6:$B$45,0))),0))</f>
        <v/>
      </c>
      <c r="Q8">
        <f>IF(C8="",0,IFERROR(N(INDEX(Products!$I$6:$I$45,MATCH(C8,Products!$B$6:$B$45,0))),0))</f>
        <v/>
      </c>
      <c r="R8">
        <f>IF(OR(C8="",NOT(ISNUMBER(B8))),"",YEAR(B8)*100+MONTH(B8))</f>
        <v/>
      </c>
      <c r="S8">
        <f>N(G8)*Q8</f>
        <v/>
      </c>
      <c r="T8">
        <f>IF(OR(M8="",M8="Sold out",NOT(ISNUMBER(J8))),"",J8*1000+ROW())</f>
        <v/>
      </c>
    </row>
    <row r="9">
      <c r="A9" s="1" t="n"/>
      <c r="B9" s="20" t="n">
        <v>46010</v>
      </c>
      <c r="C9" s="21" t="inlineStr">
        <is>
          <t>Cinnamon rolls</t>
        </is>
      </c>
      <c r="D9" s="22" t="n">
        <v>12</v>
      </c>
      <c r="E9" s="22" t="n">
        <v>9</v>
      </c>
      <c r="F9" s="22" t="n">
        <v>0</v>
      </c>
      <c r="G9" s="22" t="n">
        <v>3</v>
      </c>
      <c r="H9" s="23" t="n"/>
      <c r="I9" s="24">
        <f>IF(OR(C9="",NOT(ISNUMBER(B9))),"",UPPER(IF(IFERROR(IF(INDEX(Products!$C$6:$C$45,MATCH(C9,Products!$B$6:$B$45,0))="","",INDEX(Products!$C$6:$C$45,MATCH(C9,Products!$B$6:$B$45,0))),"")="",LEFT(SUBSTITUTE(C9," ",""),3),IFERROR(IF(INDEX(Products!$C$6:$C$45,MATCH(C9,Products!$B$6:$B$45,0))="","",INDEX(Products!$C$6:$C$45,MATCH(C9,Products!$B$6:$B$45,0))),"")))&amp;"-"&amp;RIGHT(YEAR(B9),2)&amp;RIGHT("0"&amp;MONTH(B9),2)&amp;RIGHT("0"&amp;DAY(B9),2)&amp;"-"&amp;COUNTIFS(C$6:C9,C9,B$6:B9,B9))</f>
        <v/>
      </c>
      <c r="J9" s="14">
        <f>IF(OR(C9="",NOT(ISNUMBER(B9)),N(P9)=0),"",B9+P9)</f>
        <v/>
      </c>
      <c r="K9" s="25">
        <f>IF(C9="","",N(D9)-N(E9)-N(F9)-N(G9))</f>
        <v/>
      </c>
      <c r="L9" s="13">
        <f>IF(OR(C9="",N(K9)&lt;=0,NOT(ISNUMBER(J9))),"",J9-TODAY())</f>
        <v/>
      </c>
      <c r="M9" s="12">
        <f>IF(C9="","",IF(N(K9)&lt;=0,"Sold out",IF(NOT(ISNUMBER(J9)),"In stock",IF(J9&lt;TODAY(),"Past its date",IF(J9-TODAY()&lt;=Settings!$C$5,"Use soon","In stock")))))</f>
        <v/>
      </c>
      <c r="N9" s="26">
        <f>IF(C9="","",N(D9)*Q9)</f>
        <v/>
      </c>
      <c r="O9" s="1" t="n"/>
      <c r="P9">
        <f>IF(C9="",0,IFERROR(N(INDEX(Products!$E$6:$E$45,MATCH(C9,Products!$B$6:$B$45,0))),0))</f>
        <v/>
      </c>
      <c r="Q9">
        <f>IF(C9="",0,IFERROR(N(INDEX(Products!$I$6:$I$45,MATCH(C9,Products!$B$6:$B$45,0))),0))</f>
        <v/>
      </c>
      <c r="R9">
        <f>IF(OR(C9="",NOT(ISNUMBER(B9))),"",YEAR(B9)*100+MONTH(B9))</f>
        <v/>
      </c>
      <c r="S9">
        <f>N(G9)*Q9</f>
        <v/>
      </c>
      <c r="T9">
        <f>IF(OR(M9="",M9="Sold out",NOT(ISNUMBER(J9))),"",J9*1000+ROW())</f>
        <v/>
      </c>
    </row>
    <row r="10">
      <c r="A10" s="1" t="n"/>
      <c r="B10" s="20" t="n">
        <v>46013</v>
      </c>
      <c r="C10" s="21" t="inlineStr">
        <is>
          <t>Strawberry jam</t>
        </is>
      </c>
      <c r="D10" s="22" t="n">
        <v>12</v>
      </c>
      <c r="E10" s="22" t="n">
        <v>12</v>
      </c>
      <c r="F10" s="22" t="n">
        <v>0</v>
      </c>
      <c r="G10" s="22" t="n">
        <v>0</v>
      </c>
      <c r="H10" s="23" t="n"/>
      <c r="I10" s="24">
        <f>IF(OR(C10="",NOT(ISNUMBER(B10))),"",UPPER(IF(IFERROR(IF(INDEX(Products!$C$6:$C$45,MATCH(C10,Products!$B$6:$B$45,0))="","",INDEX(Products!$C$6:$C$45,MATCH(C10,Products!$B$6:$B$45,0))),"")="",LEFT(SUBSTITUTE(C10," ",""),3),IFERROR(IF(INDEX(Products!$C$6:$C$45,MATCH(C10,Products!$B$6:$B$45,0))="","",INDEX(Products!$C$6:$C$45,MATCH(C10,Products!$B$6:$B$45,0))),"")))&amp;"-"&amp;RIGHT(YEAR(B10),2)&amp;RIGHT("0"&amp;MONTH(B10),2)&amp;RIGHT("0"&amp;DAY(B10),2)&amp;"-"&amp;COUNTIFS(C$6:C10,C10,B$6:B10,B10))</f>
        <v/>
      </c>
      <c r="J10" s="14">
        <f>IF(OR(C10="",NOT(ISNUMBER(B10)),N(P10)=0),"",B10+P10)</f>
        <v/>
      </c>
      <c r="K10" s="25">
        <f>IF(C10="","",N(D10)-N(E10)-N(F10)-N(G10))</f>
        <v/>
      </c>
      <c r="L10" s="13">
        <f>IF(OR(C10="",N(K10)&lt;=0,NOT(ISNUMBER(J10))),"",J10-TODAY())</f>
        <v/>
      </c>
      <c r="M10" s="12">
        <f>IF(C10="","",IF(N(K10)&lt;=0,"Sold out",IF(NOT(ISNUMBER(J10)),"In stock",IF(J10&lt;TODAY(),"Past its date",IF(J10-TODAY()&lt;=Settings!$C$5,"Use soon","In stock")))))</f>
        <v/>
      </c>
      <c r="N10" s="26">
        <f>IF(C10="","",N(D10)*Q10)</f>
        <v/>
      </c>
      <c r="O10" s="1" t="n"/>
      <c r="P10">
        <f>IF(C10="",0,IFERROR(N(INDEX(Products!$E$6:$E$45,MATCH(C10,Products!$B$6:$B$45,0))),0))</f>
        <v/>
      </c>
      <c r="Q10">
        <f>IF(C10="",0,IFERROR(N(INDEX(Products!$I$6:$I$45,MATCH(C10,Products!$B$6:$B$45,0))),0))</f>
        <v/>
      </c>
      <c r="R10">
        <f>IF(OR(C10="",NOT(ISNUMBER(B10))),"",YEAR(B10)*100+MONTH(B10))</f>
        <v/>
      </c>
      <c r="S10">
        <f>N(G10)*Q10</f>
        <v/>
      </c>
      <c r="T10">
        <f>IF(OR(M10="",M10="Sold out",NOT(ISNUMBER(J10))),"",J10*1000+ROW())</f>
        <v/>
      </c>
    </row>
    <row r="11">
      <c r="A11" s="1" t="n"/>
      <c r="B11" s="20" t="n">
        <v>46025</v>
      </c>
      <c r="C11" s="21" t="inlineStr">
        <is>
          <t>Lemon drizzle loaf</t>
        </is>
      </c>
      <c r="D11" s="22" t="n">
        <v>4</v>
      </c>
      <c r="E11" s="22" t="n">
        <v>3</v>
      </c>
      <c r="F11" s="22" t="n">
        <v>0</v>
      </c>
      <c r="G11" s="22" t="n">
        <v>1</v>
      </c>
      <c r="H11" s="23" t="n"/>
      <c r="I11" s="24">
        <f>IF(OR(C11="",NOT(ISNUMBER(B11))),"",UPPER(IF(IFERROR(IF(INDEX(Products!$C$6:$C$45,MATCH(C11,Products!$B$6:$B$45,0))="","",INDEX(Products!$C$6:$C$45,MATCH(C11,Products!$B$6:$B$45,0))),"")="",LEFT(SUBSTITUTE(C11," ",""),3),IFERROR(IF(INDEX(Products!$C$6:$C$45,MATCH(C11,Products!$B$6:$B$45,0))="","",INDEX(Products!$C$6:$C$45,MATCH(C11,Products!$B$6:$B$45,0))),"")))&amp;"-"&amp;RIGHT(YEAR(B11),2)&amp;RIGHT("0"&amp;MONTH(B11),2)&amp;RIGHT("0"&amp;DAY(B11),2)&amp;"-"&amp;COUNTIFS(C$6:C11,C11,B$6:B11,B11))</f>
        <v/>
      </c>
      <c r="J11" s="14">
        <f>IF(OR(C11="",NOT(ISNUMBER(B11)),N(P11)=0),"",B11+P11)</f>
        <v/>
      </c>
      <c r="K11" s="25">
        <f>IF(C11="","",N(D11)-N(E11)-N(F11)-N(G11))</f>
        <v/>
      </c>
      <c r="L11" s="13">
        <f>IF(OR(C11="",N(K11)&lt;=0,NOT(ISNUMBER(J11))),"",J11-TODAY())</f>
        <v/>
      </c>
      <c r="M11" s="12">
        <f>IF(C11="","",IF(N(K11)&lt;=0,"Sold out",IF(NOT(ISNUMBER(J11)),"In stock",IF(J11&lt;TODAY(),"Past its date",IF(J11-TODAY()&lt;=Settings!$C$5,"Use soon","In stock")))))</f>
        <v/>
      </c>
      <c r="N11" s="26">
        <f>IF(C11="","",N(D11)*Q11)</f>
        <v/>
      </c>
      <c r="O11" s="1" t="n"/>
      <c r="P11">
        <f>IF(C11="",0,IFERROR(N(INDEX(Products!$E$6:$E$45,MATCH(C11,Products!$B$6:$B$45,0))),0))</f>
        <v/>
      </c>
      <c r="Q11">
        <f>IF(C11="",0,IFERROR(N(INDEX(Products!$I$6:$I$45,MATCH(C11,Products!$B$6:$B$45,0))),0))</f>
        <v/>
      </c>
      <c r="R11">
        <f>IF(OR(C11="",NOT(ISNUMBER(B11))),"",YEAR(B11)*100+MONTH(B11))</f>
        <v/>
      </c>
      <c r="S11">
        <f>N(G11)*Q11</f>
        <v/>
      </c>
      <c r="T11">
        <f>IF(OR(M11="",M11="Sold out",NOT(ISNUMBER(J11))),"",J11*1000+ROW())</f>
        <v/>
      </c>
    </row>
    <row r="12">
      <c r="A12" s="1" t="n"/>
      <c r="B12" s="20" t="n">
        <v>46030</v>
      </c>
      <c r="C12" s="21" t="inlineStr">
        <is>
          <t>Brownies</t>
        </is>
      </c>
      <c r="D12" s="22" t="n">
        <v>16</v>
      </c>
      <c r="E12" s="22" t="n">
        <v>14</v>
      </c>
      <c r="F12" s="22" t="n">
        <v>0</v>
      </c>
      <c r="G12" s="22" t="n">
        <v>2</v>
      </c>
      <c r="H12" s="23" t="n"/>
      <c r="I12" s="24">
        <f>IF(OR(C12="",NOT(ISNUMBER(B12))),"",UPPER(IF(IFERROR(IF(INDEX(Products!$C$6:$C$45,MATCH(C12,Products!$B$6:$B$45,0))="","",INDEX(Products!$C$6:$C$45,MATCH(C12,Products!$B$6:$B$45,0))),"")="",LEFT(SUBSTITUTE(C12," ",""),3),IFERROR(IF(INDEX(Products!$C$6:$C$45,MATCH(C12,Products!$B$6:$B$45,0))="","",INDEX(Products!$C$6:$C$45,MATCH(C12,Products!$B$6:$B$45,0))),"")))&amp;"-"&amp;RIGHT(YEAR(B12),2)&amp;RIGHT("0"&amp;MONTH(B12),2)&amp;RIGHT("0"&amp;DAY(B12),2)&amp;"-"&amp;COUNTIFS(C$6:C12,C12,B$6:B12,B12))</f>
        <v/>
      </c>
      <c r="J12" s="14">
        <f>IF(OR(C12="",NOT(ISNUMBER(B12)),N(P12)=0),"",B12+P12)</f>
        <v/>
      </c>
      <c r="K12" s="25">
        <f>IF(C12="","",N(D12)-N(E12)-N(F12)-N(G12))</f>
        <v/>
      </c>
      <c r="L12" s="13">
        <f>IF(OR(C12="",N(K12)&lt;=0,NOT(ISNUMBER(J12))),"",J12-TODAY())</f>
        <v/>
      </c>
      <c r="M12" s="12">
        <f>IF(C12="","",IF(N(K12)&lt;=0,"Sold out",IF(NOT(ISNUMBER(J12)),"In stock",IF(J12&lt;TODAY(),"Past its date",IF(J12-TODAY()&lt;=Settings!$C$5,"Use soon","In stock")))))</f>
        <v/>
      </c>
      <c r="N12" s="26">
        <f>IF(C12="","",N(D12)*Q12)</f>
        <v/>
      </c>
      <c r="O12" s="1" t="n"/>
      <c r="P12">
        <f>IF(C12="",0,IFERROR(N(INDEX(Products!$E$6:$E$45,MATCH(C12,Products!$B$6:$B$45,0))),0))</f>
        <v/>
      </c>
      <c r="Q12">
        <f>IF(C12="",0,IFERROR(N(INDEX(Products!$I$6:$I$45,MATCH(C12,Products!$B$6:$B$45,0))),0))</f>
        <v/>
      </c>
      <c r="R12">
        <f>IF(OR(C12="",NOT(ISNUMBER(B12))),"",YEAR(B12)*100+MONTH(B12))</f>
        <v/>
      </c>
      <c r="S12">
        <f>N(G12)*Q12</f>
        <v/>
      </c>
      <c r="T12">
        <f>IF(OR(M12="",M12="Sold out",NOT(ISNUMBER(J12))),"",J12*1000+ROW())</f>
        <v/>
      </c>
    </row>
    <row r="13">
      <c r="A13" s="1" t="n"/>
      <c r="B13" s="20" t="n">
        <v>46040</v>
      </c>
      <c r="C13" s="21" t="inlineStr">
        <is>
          <t>Cinnamon rolls</t>
        </is>
      </c>
      <c r="D13" s="22" t="n">
        <v>12</v>
      </c>
      <c r="E13" s="22" t="n">
        <v>9</v>
      </c>
      <c r="F13" s="22" t="n">
        <v>0</v>
      </c>
      <c r="G13" s="22" t="n">
        <v>3</v>
      </c>
      <c r="H13" s="23" t="n"/>
      <c r="I13" s="24">
        <f>IF(OR(C13="",NOT(ISNUMBER(B13))),"",UPPER(IF(IFERROR(IF(INDEX(Products!$C$6:$C$45,MATCH(C13,Products!$B$6:$B$45,0))="","",INDEX(Products!$C$6:$C$45,MATCH(C13,Products!$B$6:$B$45,0))),"")="",LEFT(SUBSTITUTE(C13," ",""),3),IFERROR(IF(INDEX(Products!$C$6:$C$45,MATCH(C13,Products!$B$6:$B$45,0))="","",INDEX(Products!$C$6:$C$45,MATCH(C13,Products!$B$6:$B$45,0))),"")))&amp;"-"&amp;RIGHT(YEAR(B13),2)&amp;RIGHT("0"&amp;MONTH(B13),2)&amp;RIGHT("0"&amp;DAY(B13),2)&amp;"-"&amp;COUNTIFS(C$6:C13,C13,B$6:B13,B13))</f>
        <v/>
      </c>
      <c r="J13" s="14">
        <f>IF(OR(C13="",NOT(ISNUMBER(B13)),N(P13)=0),"",B13+P13)</f>
        <v/>
      </c>
      <c r="K13" s="25">
        <f>IF(C13="","",N(D13)-N(E13)-N(F13)-N(G13))</f>
        <v/>
      </c>
      <c r="L13" s="13">
        <f>IF(OR(C13="",N(K13)&lt;=0,NOT(ISNUMBER(J13))),"",J13-TODAY())</f>
        <v/>
      </c>
      <c r="M13" s="12">
        <f>IF(C13="","",IF(N(K13)&lt;=0,"Sold out",IF(NOT(ISNUMBER(J13)),"In stock",IF(J13&lt;TODAY(),"Past its date",IF(J13-TODAY()&lt;=Settings!$C$5,"Use soon","In stock")))))</f>
        <v/>
      </c>
      <c r="N13" s="26">
        <f>IF(C13="","",N(D13)*Q13)</f>
        <v/>
      </c>
      <c r="O13" s="1" t="n"/>
      <c r="P13">
        <f>IF(C13="",0,IFERROR(N(INDEX(Products!$E$6:$E$45,MATCH(C13,Products!$B$6:$B$45,0))),0))</f>
        <v/>
      </c>
      <c r="Q13">
        <f>IF(C13="",0,IFERROR(N(INDEX(Products!$I$6:$I$45,MATCH(C13,Products!$B$6:$B$45,0))),0))</f>
        <v/>
      </c>
      <c r="R13">
        <f>IF(OR(C13="",NOT(ISNUMBER(B13))),"",YEAR(B13)*100+MONTH(B13))</f>
        <v/>
      </c>
      <c r="S13">
        <f>N(G13)*Q13</f>
        <v/>
      </c>
      <c r="T13">
        <f>IF(OR(M13="",M13="Sold out",NOT(ISNUMBER(J13))),"",J13*1000+ROW())</f>
        <v/>
      </c>
    </row>
    <row r="14">
      <c r="A14" s="1" t="n"/>
      <c r="B14" s="20" t="n">
        <v>46041</v>
      </c>
      <c r="C14" s="21" t="inlineStr">
        <is>
          <t>Granola</t>
        </is>
      </c>
      <c r="D14" s="22" t="n">
        <v>10</v>
      </c>
      <c r="E14" s="22" t="n">
        <v>9</v>
      </c>
      <c r="F14" s="22" t="n">
        <v>1</v>
      </c>
      <c r="G14" s="22" t="n">
        <v>0</v>
      </c>
      <c r="H14" s="23" t="n"/>
      <c r="I14" s="24">
        <f>IF(OR(C14="",NOT(ISNUMBER(B14))),"",UPPER(IF(IFERROR(IF(INDEX(Products!$C$6:$C$45,MATCH(C14,Products!$B$6:$B$45,0))="","",INDEX(Products!$C$6:$C$45,MATCH(C14,Products!$B$6:$B$45,0))),"")="",LEFT(SUBSTITUTE(C14," ",""),3),IFERROR(IF(INDEX(Products!$C$6:$C$45,MATCH(C14,Products!$B$6:$B$45,0))="","",INDEX(Products!$C$6:$C$45,MATCH(C14,Products!$B$6:$B$45,0))),"")))&amp;"-"&amp;RIGHT(YEAR(B14),2)&amp;RIGHT("0"&amp;MONTH(B14),2)&amp;RIGHT("0"&amp;DAY(B14),2)&amp;"-"&amp;COUNTIFS(C$6:C14,C14,B$6:B14,B14))</f>
        <v/>
      </c>
      <c r="J14" s="14">
        <f>IF(OR(C14="",NOT(ISNUMBER(B14)),N(P14)=0),"",B14+P14)</f>
        <v/>
      </c>
      <c r="K14" s="25">
        <f>IF(C14="","",N(D14)-N(E14)-N(F14)-N(G14))</f>
        <v/>
      </c>
      <c r="L14" s="13">
        <f>IF(OR(C14="",N(K14)&lt;=0,NOT(ISNUMBER(J14))),"",J14-TODAY())</f>
        <v/>
      </c>
      <c r="M14" s="12">
        <f>IF(C14="","",IF(N(K14)&lt;=0,"Sold out",IF(NOT(ISNUMBER(J14)),"In stock",IF(J14&lt;TODAY(),"Past its date",IF(J14-TODAY()&lt;=Settings!$C$5,"Use soon","In stock")))))</f>
        <v/>
      </c>
      <c r="N14" s="26">
        <f>IF(C14="","",N(D14)*Q14)</f>
        <v/>
      </c>
      <c r="O14" s="1" t="n"/>
      <c r="P14">
        <f>IF(C14="",0,IFERROR(N(INDEX(Products!$E$6:$E$45,MATCH(C14,Products!$B$6:$B$45,0))),0))</f>
        <v/>
      </c>
      <c r="Q14">
        <f>IF(C14="",0,IFERROR(N(INDEX(Products!$I$6:$I$45,MATCH(C14,Products!$B$6:$B$45,0))),0))</f>
        <v/>
      </c>
      <c r="R14">
        <f>IF(OR(C14="",NOT(ISNUMBER(B14))),"",YEAR(B14)*100+MONTH(B14))</f>
        <v/>
      </c>
      <c r="S14">
        <f>N(G14)*Q14</f>
        <v/>
      </c>
      <c r="T14">
        <f>IF(OR(M14="",M14="Sold out",NOT(ISNUMBER(J14))),"",J14*1000+ROW())</f>
        <v/>
      </c>
    </row>
    <row r="15">
      <c r="A15" s="1" t="n"/>
      <c r="B15" s="20" t="n">
        <v>46050</v>
      </c>
      <c r="C15" s="21" t="inlineStr">
        <is>
          <t>Chocolate chip cookies</t>
        </is>
      </c>
      <c r="D15" s="22" t="n">
        <v>8</v>
      </c>
      <c r="E15" s="22" t="n">
        <v>8</v>
      </c>
      <c r="F15" s="22" t="n">
        <v>0</v>
      </c>
      <c r="G15" s="22" t="n">
        <v>0</v>
      </c>
      <c r="H15" s="23" t="n"/>
      <c r="I15" s="24">
        <f>IF(OR(C15="",NOT(ISNUMBER(B15))),"",UPPER(IF(IFERROR(IF(INDEX(Products!$C$6:$C$45,MATCH(C15,Products!$B$6:$B$45,0))="","",INDEX(Products!$C$6:$C$45,MATCH(C15,Products!$B$6:$B$45,0))),"")="",LEFT(SUBSTITUTE(C15," ",""),3),IFERROR(IF(INDEX(Products!$C$6:$C$45,MATCH(C15,Products!$B$6:$B$45,0))="","",INDEX(Products!$C$6:$C$45,MATCH(C15,Products!$B$6:$B$45,0))),"")))&amp;"-"&amp;RIGHT(YEAR(B15),2)&amp;RIGHT("0"&amp;MONTH(B15),2)&amp;RIGHT("0"&amp;DAY(B15),2)&amp;"-"&amp;COUNTIFS(C$6:C15,C15,B$6:B15,B15))</f>
        <v/>
      </c>
      <c r="J15" s="14">
        <f>IF(OR(C15="",NOT(ISNUMBER(B15)),N(P15)=0),"",B15+P15)</f>
        <v/>
      </c>
      <c r="K15" s="25">
        <f>IF(C15="","",N(D15)-N(E15)-N(F15)-N(G15))</f>
        <v/>
      </c>
      <c r="L15" s="13">
        <f>IF(OR(C15="",N(K15)&lt;=0,NOT(ISNUMBER(J15))),"",J15-TODAY())</f>
        <v/>
      </c>
      <c r="M15" s="12">
        <f>IF(C15="","",IF(N(K15)&lt;=0,"Sold out",IF(NOT(ISNUMBER(J15)),"In stock",IF(J15&lt;TODAY(),"Past its date",IF(J15-TODAY()&lt;=Settings!$C$5,"Use soon","In stock")))))</f>
        <v/>
      </c>
      <c r="N15" s="26">
        <f>IF(C15="","",N(D15)*Q15)</f>
        <v/>
      </c>
      <c r="O15" s="1" t="n"/>
      <c r="P15">
        <f>IF(C15="",0,IFERROR(N(INDEX(Products!$E$6:$E$45,MATCH(C15,Products!$B$6:$B$45,0))),0))</f>
        <v/>
      </c>
      <c r="Q15">
        <f>IF(C15="",0,IFERROR(N(INDEX(Products!$I$6:$I$45,MATCH(C15,Products!$B$6:$B$45,0))),0))</f>
        <v/>
      </c>
      <c r="R15">
        <f>IF(OR(C15="",NOT(ISNUMBER(B15))),"",YEAR(B15)*100+MONTH(B15))</f>
        <v/>
      </c>
      <c r="S15">
        <f>N(G15)*Q15</f>
        <v/>
      </c>
      <c r="T15">
        <f>IF(OR(M15="",M15="Sold out",NOT(ISNUMBER(J15))),"",J15*1000+ROW())</f>
        <v/>
      </c>
    </row>
    <row r="16">
      <c r="A16" s="1" t="n"/>
      <c r="B16" s="20" t="n">
        <v>46060</v>
      </c>
      <c r="C16" s="21" t="inlineStr">
        <is>
          <t>Brownies</t>
        </is>
      </c>
      <c r="D16" s="22" t="n">
        <v>16</v>
      </c>
      <c r="E16" s="22" t="n">
        <v>15</v>
      </c>
      <c r="F16" s="22" t="n">
        <v>0</v>
      </c>
      <c r="G16" s="22" t="n">
        <v>1</v>
      </c>
      <c r="H16" s="23" t="n"/>
      <c r="I16" s="24">
        <f>IF(OR(C16="",NOT(ISNUMBER(B16))),"",UPPER(IF(IFERROR(IF(INDEX(Products!$C$6:$C$45,MATCH(C16,Products!$B$6:$B$45,0))="","",INDEX(Products!$C$6:$C$45,MATCH(C16,Products!$B$6:$B$45,0))),"")="",LEFT(SUBSTITUTE(C16," ",""),3),IFERROR(IF(INDEX(Products!$C$6:$C$45,MATCH(C16,Products!$B$6:$B$45,0))="","",INDEX(Products!$C$6:$C$45,MATCH(C16,Products!$B$6:$B$45,0))),"")))&amp;"-"&amp;RIGHT(YEAR(B16),2)&amp;RIGHT("0"&amp;MONTH(B16),2)&amp;RIGHT("0"&amp;DAY(B16),2)&amp;"-"&amp;COUNTIFS(C$6:C16,C16,B$6:B16,B16))</f>
        <v/>
      </c>
      <c r="J16" s="14">
        <f>IF(OR(C16="",NOT(ISNUMBER(B16)),N(P16)=0),"",B16+P16)</f>
        <v/>
      </c>
      <c r="K16" s="25">
        <f>IF(C16="","",N(D16)-N(E16)-N(F16)-N(G16))</f>
        <v/>
      </c>
      <c r="L16" s="13">
        <f>IF(OR(C16="",N(K16)&lt;=0,NOT(ISNUMBER(J16))),"",J16-TODAY())</f>
        <v/>
      </c>
      <c r="M16" s="12">
        <f>IF(C16="","",IF(N(K16)&lt;=0,"Sold out",IF(NOT(ISNUMBER(J16)),"In stock",IF(J16&lt;TODAY(),"Past its date",IF(J16-TODAY()&lt;=Settings!$C$5,"Use soon","In stock")))))</f>
        <v/>
      </c>
      <c r="N16" s="26">
        <f>IF(C16="","",N(D16)*Q16)</f>
        <v/>
      </c>
      <c r="O16" s="1" t="n"/>
      <c r="P16">
        <f>IF(C16="",0,IFERROR(N(INDEX(Products!$E$6:$E$45,MATCH(C16,Products!$B$6:$B$45,0))),0))</f>
        <v/>
      </c>
      <c r="Q16">
        <f>IF(C16="",0,IFERROR(N(INDEX(Products!$I$6:$I$45,MATCH(C16,Products!$B$6:$B$45,0))),0))</f>
        <v/>
      </c>
      <c r="R16">
        <f>IF(OR(C16="",NOT(ISNUMBER(B16))),"",YEAR(B16)*100+MONTH(B16))</f>
        <v/>
      </c>
      <c r="S16">
        <f>N(G16)*Q16</f>
        <v/>
      </c>
      <c r="T16">
        <f>IF(OR(M16="",M16="Sold out",NOT(ISNUMBER(J16))),"",J16*1000+ROW())</f>
        <v/>
      </c>
    </row>
    <row r="17">
      <c r="A17" s="1" t="n"/>
      <c r="B17" s="20" t="n">
        <v>46065</v>
      </c>
      <c r="C17" s="21" t="inlineStr">
        <is>
          <t>Sourdough loaf</t>
        </is>
      </c>
      <c r="D17" s="22" t="n">
        <v>4</v>
      </c>
      <c r="E17" s="22" t="n">
        <v>4</v>
      </c>
      <c r="F17" s="22" t="n">
        <v>0</v>
      </c>
      <c r="G17" s="22" t="n">
        <v>0</v>
      </c>
      <c r="H17" s="23" t="n"/>
      <c r="I17" s="24">
        <f>IF(OR(C17="",NOT(ISNUMBER(B17))),"",UPPER(IF(IFERROR(IF(INDEX(Products!$C$6:$C$45,MATCH(C17,Products!$B$6:$B$45,0))="","",INDEX(Products!$C$6:$C$45,MATCH(C17,Products!$B$6:$B$45,0))),"")="",LEFT(SUBSTITUTE(C17," ",""),3),IFERROR(IF(INDEX(Products!$C$6:$C$45,MATCH(C17,Products!$B$6:$B$45,0))="","",INDEX(Products!$C$6:$C$45,MATCH(C17,Products!$B$6:$B$45,0))),"")))&amp;"-"&amp;RIGHT(YEAR(B17),2)&amp;RIGHT("0"&amp;MONTH(B17),2)&amp;RIGHT("0"&amp;DAY(B17),2)&amp;"-"&amp;COUNTIFS(C$6:C17,C17,B$6:B17,B17))</f>
        <v/>
      </c>
      <c r="J17" s="14">
        <f>IF(OR(C17="",NOT(ISNUMBER(B17)),N(P17)=0),"",B17+P17)</f>
        <v/>
      </c>
      <c r="K17" s="25">
        <f>IF(C17="","",N(D17)-N(E17)-N(F17)-N(G17))</f>
        <v/>
      </c>
      <c r="L17" s="13">
        <f>IF(OR(C17="",N(K17)&lt;=0,NOT(ISNUMBER(J17))),"",J17-TODAY())</f>
        <v/>
      </c>
      <c r="M17" s="12">
        <f>IF(C17="","",IF(N(K17)&lt;=0,"Sold out",IF(NOT(ISNUMBER(J17)),"In stock",IF(J17&lt;TODAY(),"Past its date",IF(J17-TODAY()&lt;=Settings!$C$5,"Use soon","In stock")))))</f>
        <v/>
      </c>
      <c r="N17" s="26">
        <f>IF(C17="","",N(D17)*Q17)</f>
        <v/>
      </c>
      <c r="O17" s="1" t="n"/>
      <c r="P17">
        <f>IF(C17="",0,IFERROR(N(INDEX(Products!$E$6:$E$45,MATCH(C17,Products!$B$6:$B$45,0))),0))</f>
        <v/>
      </c>
      <c r="Q17">
        <f>IF(C17="",0,IFERROR(N(INDEX(Products!$I$6:$I$45,MATCH(C17,Products!$B$6:$B$45,0))),0))</f>
        <v/>
      </c>
      <c r="R17">
        <f>IF(OR(C17="",NOT(ISNUMBER(B17))),"",YEAR(B17)*100+MONTH(B17))</f>
        <v/>
      </c>
      <c r="S17">
        <f>N(G17)*Q17</f>
        <v/>
      </c>
      <c r="T17">
        <f>IF(OR(M17="",M17="Sold out",NOT(ISNUMBER(J17))),"",J17*1000+ROW())</f>
        <v/>
      </c>
    </row>
    <row r="18">
      <c r="A18" s="1" t="n"/>
      <c r="B18" s="20" t="n">
        <v>46080</v>
      </c>
      <c r="C18" s="21" t="inlineStr">
        <is>
          <t>Chocolate chip cookies</t>
        </is>
      </c>
      <c r="D18" s="22" t="n">
        <v>8</v>
      </c>
      <c r="E18" s="22" t="n">
        <v>8</v>
      </c>
      <c r="F18" s="22" t="n">
        <v>0</v>
      </c>
      <c r="G18" s="22" t="n">
        <v>0</v>
      </c>
      <c r="H18" s="23" t="n"/>
      <c r="I18" s="24">
        <f>IF(OR(C18="",NOT(ISNUMBER(B18))),"",UPPER(IF(IFERROR(IF(INDEX(Products!$C$6:$C$45,MATCH(C18,Products!$B$6:$B$45,0))="","",INDEX(Products!$C$6:$C$45,MATCH(C18,Products!$B$6:$B$45,0))),"")="",LEFT(SUBSTITUTE(C18," ",""),3),IFERROR(IF(INDEX(Products!$C$6:$C$45,MATCH(C18,Products!$B$6:$B$45,0))="","",INDEX(Products!$C$6:$C$45,MATCH(C18,Products!$B$6:$B$45,0))),"")))&amp;"-"&amp;RIGHT(YEAR(B18),2)&amp;RIGHT("0"&amp;MONTH(B18),2)&amp;RIGHT("0"&amp;DAY(B18),2)&amp;"-"&amp;COUNTIFS(C$6:C18,C18,B$6:B18,B18))</f>
        <v/>
      </c>
      <c r="J18" s="14">
        <f>IF(OR(C18="",NOT(ISNUMBER(B18)),N(P18)=0),"",B18+P18)</f>
        <v/>
      </c>
      <c r="K18" s="25">
        <f>IF(C18="","",N(D18)-N(E18)-N(F18)-N(G18))</f>
        <v/>
      </c>
      <c r="L18" s="13">
        <f>IF(OR(C18="",N(K18)&lt;=0,NOT(ISNUMBER(J18))),"",J18-TODAY())</f>
        <v/>
      </c>
      <c r="M18" s="12">
        <f>IF(C18="","",IF(N(K18)&lt;=0,"Sold out",IF(NOT(ISNUMBER(J18)),"In stock",IF(J18&lt;TODAY(),"Past its date",IF(J18-TODAY()&lt;=Settings!$C$5,"Use soon","In stock")))))</f>
        <v/>
      </c>
      <c r="N18" s="26">
        <f>IF(C18="","",N(D18)*Q18)</f>
        <v/>
      </c>
      <c r="O18" s="1" t="n"/>
      <c r="P18">
        <f>IF(C18="",0,IFERROR(N(INDEX(Products!$E$6:$E$45,MATCH(C18,Products!$B$6:$B$45,0))),0))</f>
        <v/>
      </c>
      <c r="Q18">
        <f>IF(C18="",0,IFERROR(N(INDEX(Products!$I$6:$I$45,MATCH(C18,Products!$B$6:$B$45,0))),0))</f>
        <v/>
      </c>
      <c r="R18">
        <f>IF(OR(C18="",NOT(ISNUMBER(B18))),"",YEAR(B18)*100+MONTH(B18))</f>
        <v/>
      </c>
      <c r="S18">
        <f>N(G18)*Q18</f>
        <v/>
      </c>
      <c r="T18">
        <f>IF(OR(M18="",M18="Sold out",NOT(ISNUMBER(J18))),"",J18*1000+ROW())</f>
        <v/>
      </c>
    </row>
    <row r="19">
      <c r="A19" s="1" t="n"/>
      <c r="B19" s="20" t="n">
        <v>46085</v>
      </c>
      <c r="C19" s="21" t="inlineStr">
        <is>
          <t>Lemon drizzle loaf</t>
        </is>
      </c>
      <c r="D19" s="22" t="n">
        <v>4</v>
      </c>
      <c r="E19" s="22" t="n">
        <v>3</v>
      </c>
      <c r="F19" s="22" t="n">
        <v>1</v>
      </c>
      <c r="G19" s="22" t="n">
        <v>0</v>
      </c>
      <c r="H19" s="23" t="n"/>
      <c r="I19" s="24">
        <f>IF(OR(C19="",NOT(ISNUMBER(B19))),"",UPPER(IF(IFERROR(IF(INDEX(Products!$C$6:$C$45,MATCH(C19,Products!$B$6:$B$45,0))="","",INDEX(Products!$C$6:$C$45,MATCH(C19,Products!$B$6:$B$45,0))),"")="",LEFT(SUBSTITUTE(C19," ",""),3),IFERROR(IF(INDEX(Products!$C$6:$C$45,MATCH(C19,Products!$B$6:$B$45,0))="","",INDEX(Products!$C$6:$C$45,MATCH(C19,Products!$B$6:$B$45,0))),"")))&amp;"-"&amp;RIGHT(YEAR(B19),2)&amp;RIGHT("0"&amp;MONTH(B19),2)&amp;RIGHT("0"&amp;DAY(B19),2)&amp;"-"&amp;COUNTIFS(C$6:C19,C19,B$6:B19,B19))</f>
        <v/>
      </c>
      <c r="J19" s="14">
        <f>IF(OR(C19="",NOT(ISNUMBER(B19)),N(P19)=0),"",B19+P19)</f>
        <v/>
      </c>
      <c r="K19" s="25">
        <f>IF(C19="","",N(D19)-N(E19)-N(F19)-N(G19))</f>
        <v/>
      </c>
      <c r="L19" s="13">
        <f>IF(OR(C19="",N(K19)&lt;=0,NOT(ISNUMBER(J19))),"",J19-TODAY())</f>
        <v/>
      </c>
      <c r="M19" s="12">
        <f>IF(C19="","",IF(N(K19)&lt;=0,"Sold out",IF(NOT(ISNUMBER(J19)),"In stock",IF(J19&lt;TODAY(),"Past its date",IF(J19-TODAY()&lt;=Settings!$C$5,"Use soon","In stock")))))</f>
        <v/>
      </c>
      <c r="N19" s="26">
        <f>IF(C19="","",N(D19)*Q19)</f>
        <v/>
      </c>
      <c r="O19" s="1" t="n"/>
      <c r="P19">
        <f>IF(C19="",0,IFERROR(N(INDEX(Products!$E$6:$E$45,MATCH(C19,Products!$B$6:$B$45,0))),0))</f>
        <v/>
      </c>
      <c r="Q19">
        <f>IF(C19="",0,IFERROR(N(INDEX(Products!$I$6:$I$45,MATCH(C19,Products!$B$6:$B$45,0))),0))</f>
        <v/>
      </c>
      <c r="R19">
        <f>IF(OR(C19="",NOT(ISNUMBER(B19))),"",YEAR(B19)*100+MONTH(B19))</f>
        <v/>
      </c>
      <c r="S19">
        <f>N(G19)*Q19</f>
        <v/>
      </c>
      <c r="T19">
        <f>IF(OR(M19="",M19="Sold out",NOT(ISNUMBER(J19))),"",J19*1000+ROW())</f>
        <v/>
      </c>
    </row>
    <row r="20">
      <c r="A20" s="1" t="n"/>
      <c r="B20" s="20" t="n">
        <v>46095</v>
      </c>
      <c r="C20" s="21" t="inlineStr">
        <is>
          <t>Sourdough loaf</t>
        </is>
      </c>
      <c r="D20" s="22" t="n">
        <v>4</v>
      </c>
      <c r="E20" s="22" t="n">
        <v>4</v>
      </c>
      <c r="F20" s="22" t="n">
        <v>0</v>
      </c>
      <c r="G20" s="22" t="n">
        <v>0</v>
      </c>
      <c r="H20" s="23" t="n"/>
      <c r="I20" s="24">
        <f>IF(OR(C20="",NOT(ISNUMBER(B20))),"",UPPER(IF(IFERROR(IF(INDEX(Products!$C$6:$C$45,MATCH(C20,Products!$B$6:$B$45,0))="","",INDEX(Products!$C$6:$C$45,MATCH(C20,Products!$B$6:$B$45,0))),"")="",LEFT(SUBSTITUTE(C20," ",""),3),IFERROR(IF(INDEX(Products!$C$6:$C$45,MATCH(C20,Products!$B$6:$B$45,0))="","",INDEX(Products!$C$6:$C$45,MATCH(C20,Products!$B$6:$B$45,0))),"")))&amp;"-"&amp;RIGHT(YEAR(B20),2)&amp;RIGHT("0"&amp;MONTH(B20),2)&amp;RIGHT("0"&amp;DAY(B20),2)&amp;"-"&amp;COUNTIFS(C$6:C20,C20,B$6:B20,B20))</f>
        <v/>
      </c>
      <c r="J20" s="14">
        <f>IF(OR(C20="",NOT(ISNUMBER(B20)),N(P20)=0),"",B20+P20)</f>
        <v/>
      </c>
      <c r="K20" s="25">
        <f>IF(C20="","",N(D20)-N(E20)-N(F20)-N(G20))</f>
        <v/>
      </c>
      <c r="L20" s="13">
        <f>IF(OR(C20="",N(K20)&lt;=0,NOT(ISNUMBER(J20))),"",J20-TODAY())</f>
        <v/>
      </c>
      <c r="M20" s="12">
        <f>IF(C20="","",IF(N(K20)&lt;=0,"Sold out",IF(NOT(ISNUMBER(J20)),"In stock",IF(J20&lt;TODAY(),"Past its date",IF(J20-TODAY()&lt;=Settings!$C$5,"Use soon","In stock")))))</f>
        <v/>
      </c>
      <c r="N20" s="26">
        <f>IF(C20="","",N(D20)*Q20)</f>
        <v/>
      </c>
      <c r="O20" s="1" t="n"/>
      <c r="P20">
        <f>IF(C20="",0,IFERROR(N(INDEX(Products!$E$6:$E$45,MATCH(C20,Products!$B$6:$B$45,0))),0))</f>
        <v/>
      </c>
      <c r="Q20">
        <f>IF(C20="",0,IFERROR(N(INDEX(Products!$I$6:$I$45,MATCH(C20,Products!$B$6:$B$45,0))),0))</f>
        <v/>
      </c>
      <c r="R20">
        <f>IF(OR(C20="",NOT(ISNUMBER(B20))),"",YEAR(B20)*100+MONTH(B20))</f>
        <v/>
      </c>
      <c r="S20">
        <f>N(G20)*Q20</f>
        <v/>
      </c>
      <c r="T20">
        <f>IF(OR(M20="",M20="Sold out",NOT(ISNUMBER(J20))),"",J20*1000+ROW())</f>
        <v/>
      </c>
    </row>
    <row r="21">
      <c r="A21" s="1" t="n"/>
      <c r="B21" s="20" t="n">
        <v>46100</v>
      </c>
      <c r="C21" s="21" t="inlineStr">
        <is>
          <t>Cinnamon rolls</t>
        </is>
      </c>
      <c r="D21" s="22" t="n">
        <v>12</v>
      </c>
      <c r="E21" s="22" t="n">
        <v>9</v>
      </c>
      <c r="F21" s="22" t="n">
        <v>0</v>
      </c>
      <c r="G21" s="22" t="n">
        <v>3</v>
      </c>
      <c r="H21" s="23" t="n"/>
      <c r="I21" s="24">
        <f>IF(OR(C21="",NOT(ISNUMBER(B21))),"",UPPER(IF(IFERROR(IF(INDEX(Products!$C$6:$C$45,MATCH(C21,Products!$B$6:$B$45,0))="","",INDEX(Products!$C$6:$C$45,MATCH(C21,Products!$B$6:$B$45,0))),"")="",LEFT(SUBSTITUTE(C21," ",""),3),IFERROR(IF(INDEX(Products!$C$6:$C$45,MATCH(C21,Products!$B$6:$B$45,0))="","",INDEX(Products!$C$6:$C$45,MATCH(C21,Products!$B$6:$B$45,0))),"")))&amp;"-"&amp;RIGHT(YEAR(B21),2)&amp;RIGHT("0"&amp;MONTH(B21),2)&amp;RIGHT("0"&amp;DAY(B21),2)&amp;"-"&amp;COUNTIFS(C$6:C21,C21,B$6:B21,B21))</f>
        <v/>
      </c>
      <c r="J21" s="14">
        <f>IF(OR(C21="",NOT(ISNUMBER(B21)),N(P21)=0),"",B21+P21)</f>
        <v/>
      </c>
      <c r="K21" s="25">
        <f>IF(C21="","",N(D21)-N(E21)-N(F21)-N(G21))</f>
        <v/>
      </c>
      <c r="L21" s="13">
        <f>IF(OR(C21="",N(K21)&lt;=0,NOT(ISNUMBER(J21))),"",J21-TODAY())</f>
        <v/>
      </c>
      <c r="M21" s="12">
        <f>IF(C21="","",IF(N(K21)&lt;=0,"Sold out",IF(NOT(ISNUMBER(J21)),"In stock",IF(J21&lt;TODAY(),"Past its date",IF(J21-TODAY()&lt;=Settings!$C$5,"Use soon","In stock")))))</f>
        <v/>
      </c>
      <c r="N21" s="26">
        <f>IF(C21="","",N(D21)*Q21)</f>
        <v/>
      </c>
      <c r="O21" s="1" t="n"/>
      <c r="P21">
        <f>IF(C21="",0,IFERROR(N(INDEX(Products!$E$6:$E$45,MATCH(C21,Products!$B$6:$B$45,0))),0))</f>
        <v/>
      </c>
      <c r="Q21">
        <f>IF(C21="",0,IFERROR(N(INDEX(Products!$I$6:$I$45,MATCH(C21,Products!$B$6:$B$45,0))),0))</f>
        <v/>
      </c>
      <c r="R21">
        <f>IF(OR(C21="",NOT(ISNUMBER(B21))),"",YEAR(B21)*100+MONTH(B21))</f>
        <v/>
      </c>
      <c r="S21">
        <f>N(G21)*Q21</f>
        <v/>
      </c>
      <c r="T21">
        <f>IF(OR(M21="",M21="Sold out",NOT(ISNUMBER(J21))),"",J21*1000+ROW())</f>
        <v/>
      </c>
    </row>
    <row r="22">
      <c r="A22" s="1" t="n"/>
      <c r="B22" s="20" t="n">
        <v>46103</v>
      </c>
      <c r="C22" s="21" t="inlineStr">
        <is>
          <t>Strawberry jam</t>
        </is>
      </c>
      <c r="D22" s="22" t="n">
        <v>12</v>
      </c>
      <c r="E22" s="22" t="n">
        <v>12</v>
      </c>
      <c r="F22" s="22" t="n">
        <v>0</v>
      </c>
      <c r="G22" s="22" t="n">
        <v>0</v>
      </c>
      <c r="H22" s="23" t="n"/>
      <c r="I22" s="24">
        <f>IF(OR(C22="",NOT(ISNUMBER(B22))),"",UPPER(IF(IFERROR(IF(INDEX(Products!$C$6:$C$45,MATCH(C22,Products!$B$6:$B$45,0))="","",INDEX(Products!$C$6:$C$45,MATCH(C22,Products!$B$6:$B$45,0))),"")="",LEFT(SUBSTITUTE(C22," ",""),3),IFERROR(IF(INDEX(Products!$C$6:$C$45,MATCH(C22,Products!$B$6:$B$45,0))="","",INDEX(Products!$C$6:$C$45,MATCH(C22,Products!$B$6:$B$45,0))),"")))&amp;"-"&amp;RIGHT(YEAR(B22),2)&amp;RIGHT("0"&amp;MONTH(B22),2)&amp;RIGHT("0"&amp;DAY(B22),2)&amp;"-"&amp;COUNTIFS(C$6:C22,C22,B$6:B22,B22))</f>
        <v/>
      </c>
      <c r="J22" s="14">
        <f>IF(OR(C22="",NOT(ISNUMBER(B22)),N(P22)=0),"",B22+P22)</f>
        <v/>
      </c>
      <c r="K22" s="25">
        <f>IF(C22="","",N(D22)-N(E22)-N(F22)-N(G22))</f>
        <v/>
      </c>
      <c r="L22" s="13">
        <f>IF(OR(C22="",N(K22)&lt;=0,NOT(ISNUMBER(J22))),"",J22-TODAY())</f>
        <v/>
      </c>
      <c r="M22" s="12">
        <f>IF(C22="","",IF(N(K22)&lt;=0,"Sold out",IF(NOT(ISNUMBER(J22)),"In stock",IF(J22&lt;TODAY(),"Past its date",IF(J22-TODAY()&lt;=Settings!$C$5,"Use soon","In stock")))))</f>
        <v/>
      </c>
      <c r="N22" s="26">
        <f>IF(C22="","",N(D22)*Q22)</f>
        <v/>
      </c>
      <c r="O22" s="1" t="n"/>
      <c r="P22">
        <f>IF(C22="",0,IFERROR(N(INDEX(Products!$E$6:$E$45,MATCH(C22,Products!$B$6:$B$45,0))),0))</f>
        <v/>
      </c>
      <c r="Q22">
        <f>IF(C22="",0,IFERROR(N(INDEX(Products!$I$6:$I$45,MATCH(C22,Products!$B$6:$B$45,0))),0))</f>
        <v/>
      </c>
      <c r="R22">
        <f>IF(OR(C22="",NOT(ISNUMBER(B22))),"",YEAR(B22)*100+MONTH(B22))</f>
        <v/>
      </c>
      <c r="S22">
        <f>N(G22)*Q22</f>
        <v/>
      </c>
      <c r="T22">
        <f>IF(OR(M22="",M22="Sold out",NOT(ISNUMBER(J22))),"",J22*1000+ROW())</f>
        <v/>
      </c>
    </row>
    <row r="23">
      <c r="A23" s="1" t="n"/>
      <c r="B23" s="20" t="n">
        <v>46115</v>
      </c>
      <c r="C23" s="21" t="inlineStr">
        <is>
          <t>Lemon drizzle loaf</t>
        </is>
      </c>
      <c r="D23" s="22" t="n">
        <v>4</v>
      </c>
      <c r="E23" s="22" t="n">
        <v>3</v>
      </c>
      <c r="F23" s="22" t="n">
        <v>0</v>
      </c>
      <c r="G23" s="22" t="n">
        <v>1</v>
      </c>
      <c r="H23" s="23" t="n"/>
      <c r="I23" s="24">
        <f>IF(OR(C23="",NOT(ISNUMBER(B23))),"",UPPER(IF(IFERROR(IF(INDEX(Products!$C$6:$C$45,MATCH(C23,Products!$B$6:$B$45,0))="","",INDEX(Products!$C$6:$C$45,MATCH(C23,Products!$B$6:$B$45,0))),"")="",LEFT(SUBSTITUTE(C23," ",""),3),IFERROR(IF(INDEX(Products!$C$6:$C$45,MATCH(C23,Products!$B$6:$B$45,0))="","",INDEX(Products!$C$6:$C$45,MATCH(C23,Products!$B$6:$B$45,0))),"")))&amp;"-"&amp;RIGHT(YEAR(B23),2)&amp;RIGHT("0"&amp;MONTH(B23),2)&amp;RIGHT("0"&amp;DAY(B23),2)&amp;"-"&amp;COUNTIFS(C$6:C23,C23,B$6:B23,B23))</f>
        <v/>
      </c>
      <c r="J23" s="14">
        <f>IF(OR(C23="",NOT(ISNUMBER(B23)),N(P23)=0),"",B23+P23)</f>
        <v/>
      </c>
      <c r="K23" s="25">
        <f>IF(C23="","",N(D23)-N(E23)-N(F23)-N(G23))</f>
        <v/>
      </c>
      <c r="L23" s="13">
        <f>IF(OR(C23="",N(K23)&lt;=0,NOT(ISNUMBER(J23))),"",J23-TODAY())</f>
        <v/>
      </c>
      <c r="M23" s="12">
        <f>IF(C23="","",IF(N(K23)&lt;=0,"Sold out",IF(NOT(ISNUMBER(J23)),"In stock",IF(J23&lt;TODAY(),"Past its date",IF(J23-TODAY()&lt;=Settings!$C$5,"Use soon","In stock")))))</f>
        <v/>
      </c>
      <c r="N23" s="26">
        <f>IF(C23="","",N(D23)*Q23)</f>
        <v/>
      </c>
      <c r="O23" s="1" t="n"/>
      <c r="P23">
        <f>IF(C23="",0,IFERROR(N(INDEX(Products!$E$6:$E$45,MATCH(C23,Products!$B$6:$B$45,0))),0))</f>
        <v/>
      </c>
      <c r="Q23">
        <f>IF(C23="",0,IFERROR(N(INDEX(Products!$I$6:$I$45,MATCH(C23,Products!$B$6:$B$45,0))),0))</f>
        <v/>
      </c>
      <c r="R23">
        <f>IF(OR(C23="",NOT(ISNUMBER(B23))),"",YEAR(B23)*100+MONTH(B23))</f>
        <v/>
      </c>
      <c r="S23">
        <f>N(G23)*Q23</f>
        <v/>
      </c>
      <c r="T23">
        <f>IF(OR(M23="",M23="Sold out",NOT(ISNUMBER(J23))),"",J23*1000+ROW())</f>
        <v/>
      </c>
    </row>
    <row r="24">
      <c r="A24" s="1" t="n"/>
      <c r="B24" s="20" t="n">
        <v>46120</v>
      </c>
      <c r="C24" s="21" t="inlineStr">
        <is>
          <t>Brownies</t>
        </is>
      </c>
      <c r="D24" s="22" t="n">
        <v>16</v>
      </c>
      <c r="E24" s="22" t="n">
        <v>14</v>
      </c>
      <c r="F24" s="22" t="n">
        <v>1</v>
      </c>
      <c r="G24" s="22" t="n">
        <v>1</v>
      </c>
      <c r="H24" s="23" t="n"/>
      <c r="I24" s="24">
        <f>IF(OR(C24="",NOT(ISNUMBER(B24))),"",UPPER(IF(IFERROR(IF(INDEX(Products!$C$6:$C$45,MATCH(C24,Products!$B$6:$B$45,0))="","",INDEX(Products!$C$6:$C$45,MATCH(C24,Products!$B$6:$B$45,0))),"")="",LEFT(SUBSTITUTE(C24," ",""),3),IFERROR(IF(INDEX(Products!$C$6:$C$45,MATCH(C24,Products!$B$6:$B$45,0))="","",INDEX(Products!$C$6:$C$45,MATCH(C24,Products!$B$6:$B$45,0))),"")))&amp;"-"&amp;RIGHT(YEAR(B24),2)&amp;RIGHT("0"&amp;MONTH(B24),2)&amp;RIGHT("0"&amp;DAY(B24),2)&amp;"-"&amp;COUNTIFS(C$6:C24,C24,B$6:B24,B24))</f>
        <v/>
      </c>
      <c r="J24" s="14">
        <f>IF(OR(C24="",NOT(ISNUMBER(B24)),N(P24)=0),"",B24+P24)</f>
        <v/>
      </c>
      <c r="K24" s="25">
        <f>IF(C24="","",N(D24)-N(E24)-N(F24)-N(G24))</f>
        <v/>
      </c>
      <c r="L24" s="13">
        <f>IF(OR(C24="",N(K24)&lt;=0,NOT(ISNUMBER(J24))),"",J24-TODAY())</f>
        <v/>
      </c>
      <c r="M24" s="12">
        <f>IF(C24="","",IF(N(K24)&lt;=0,"Sold out",IF(NOT(ISNUMBER(J24)),"In stock",IF(J24&lt;TODAY(),"Past its date",IF(J24-TODAY()&lt;=Settings!$C$5,"Use soon","In stock")))))</f>
        <v/>
      </c>
      <c r="N24" s="26">
        <f>IF(C24="","",N(D24)*Q24)</f>
        <v/>
      </c>
      <c r="O24" s="1" t="n"/>
      <c r="P24">
        <f>IF(C24="",0,IFERROR(N(INDEX(Products!$E$6:$E$45,MATCH(C24,Products!$B$6:$B$45,0))),0))</f>
        <v/>
      </c>
      <c r="Q24">
        <f>IF(C24="",0,IFERROR(N(INDEX(Products!$I$6:$I$45,MATCH(C24,Products!$B$6:$B$45,0))),0))</f>
        <v/>
      </c>
      <c r="R24">
        <f>IF(OR(C24="",NOT(ISNUMBER(B24))),"",YEAR(B24)*100+MONTH(B24))</f>
        <v/>
      </c>
      <c r="S24">
        <f>N(G24)*Q24</f>
        <v/>
      </c>
      <c r="T24">
        <f>IF(OR(M24="",M24="Sold out",NOT(ISNUMBER(J24))),"",J24*1000+ROW())</f>
        <v/>
      </c>
    </row>
    <row r="25">
      <c r="A25" s="1" t="n"/>
      <c r="B25" s="20" t="n">
        <v>46130</v>
      </c>
      <c r="C25" s="21" t="inlineStr">
        <is>
          <t>Cinnamon rolls</t>
        </is>
      </c>
      <c r="D25" s="22" t="n">
        <v>12</v>
      </c>
      <c r="E25" s="22" t="n">
        <v>9</v>
      </c>
      <c r="F25" s="22" t="n">
        <v>0</v>
      </c>
      <c r="G25" s="22" t="n">
        <v>3</v>
      </c>
      <c r="H25" s="23" t="n"/>
      <c r="I25" s="24">
        <f>IF(OR(C25="",NOT(ISNUMBER(B25))),"",UPPER(IF(IFERROR(IF(INDEX(Products!$C$6:$C$45,MATCH(C25,Products!$B$6:$B$45,0))="","",INDEX(Products!$C$6:$C$45,MATCH(C25,Products!$B$6:$B$45,0))),"")="",LEFT(SUBSTITUTE(C25," ",""),3),IFERROR(IF(INDEX(Products!$C$6:$C$45,MATCH(C25,Products!$B$6:$B$45,0))="","",INDEX(Products!$C$6:$C$45,MATCH(C25,Products!$B$6:$B$45,0))),"")))&amp;"-"&amp;RIGHT(YEAR(B25),2)&amp;RIGHT("0"&amp;MONTH(B25),2)&amp;RIGHT("0"&amp;DAY(B25),2)&amp;"-"&amp;COUNTIFS(C$6:C25,C25,B$6:B25,B25))</f>
        <v/>
      </c>
      <c r="J25" s="14">
        <f>IF(OR(C25="",NOT(ISNUMBER(B25)),N(P25)=0),"",B25+P25)</f>
        <v/>
      </c>
      <c r="K25" s="25">
        <f>IF(C25="","",N(D25)-N(E25)-N(F25)-N(G25))</f>
        <v/>
      </c>
      <c r="L25" s="13">
        <f>IF(OR(C25="",N(K25)&lt;=0,NOT(ISNUMBER(J25))),"",J25-TODAY())</f>
        <v/>
      </c>
      <c r="M25" s="12">
        <f>IF(C25="","",IF(N(K25)&lt;=0,"Sold out",IF(NOT(ISNUMBER(J25)),"In stock",IF(J25&lt;TODAY(),"Past its date",IF(J25-TODAY()&lt;=Settings!$C$5,"Use soon","In stock")))))</f>
        <v/>
      </c>
      <c r="N25" s="26">
        <f>IF(C25="","",N(D25)*Q25)</f>
        <v/>
      </c>
      <c r="O25" s="1" t="n"/>
      <c r="P25">
        <f>IF(C25="",0,IFERROR(N(INDEX(Products!$E$6:$E$45,MATCH(C25,Products!$B$6:$B$45,0))),0))</f>
        <v/>
      </c>
      <c r="Q25">
        <f>IF(C25="",0,IFERROR(N(INDEX(Products!$I$6:$I$45,MATCH(C25,Products!$B$6:$B$45,0))),0))</f>
        <v/>
      </c>
      <c r="R25">
        <f>IF(OR(C25="",NOT(ISNUMBER(B25))),"",YEAR(B25)*100+MONTH(B25))</f>
        <v/>
      </c>
      <c r="S25">
        <f>N(G25)*Q25</f>
        <v/>
      </c>
      <c r="T25">
        <f>IF(OR(M25="",M25="Sold out",NOT(ISNUMBER(J25))),"",J25*1000+ROW())</f>
        <v/>
      </c>
    </row>
    <row r="26">
      <c r="A26" s="1" t="n"/>
      <c r="B26" s="20" t="n">
        <v>46131</v>
      </c>
      <c r="C26" s="21" t="inlineStr">
        <is>
          <t>Granola</t>
        </is>
      </c>
      <c r="D26" s="22" t="n">
        <v>10</v>
      </c>
      <c r="E26" s="22" t="n">
        <v>9</v>
      </c>
      <c r="F26" s="22" t="n">
        <v>1</v>
      </c>
      <c r="G26" s="22" t="n">
        <v>0</v>
      </c>
      <c r="H26" s="23" t="n"/>
      <c r="I26" s="24">
        <f>IF(OR(C26="",NOT(ISNUMBER(B26))),"",UPPER(IF(IFERROR(IF(INDEX(Products!$C$6:$C$45,MATCH(C26,Products!$B$6:$B$45,0))="","",INDEX(Products!$C$6:$C$45,MATCH(C26,Products!$B$6:$B$45,0))),"")="",LEFT(SUBSTITUTE(C26," ",""),3),IFERROR(IF(INDEX(Products!$C$6:$C$45,MATCH(C26,Products!$B$6:$B$45,0))="","",INDEX(Products!$C$6:$C$45,MATCH(C26,Products!$B$6:$B$45,0))),"")))&amp;"-"&amp;RIGHT(YEAR(B26),2)&amp;RIGHT("0"&amp;MONTH(B26),2)&amp;RIGHT("0"&amp;DAY(B26),2)&amp;"-"&amp;COUNTIFS(C$6:C26,C26,B$6:B26,B26))</f>
        <v/>
      </c>
      <c r="J26" s="14">
        <f>IF(OR(C26="",NOT(ISNUMBER(B26)),N(P26)=0),"",B26+P26)</f>
        <v/>
      </c>
      <c r="K26" s="25">
        <f>IF(C26="","",N(D26)-N(E26)-N(F26)-N(G26))</f>
        <v/>
      </c>
      <c r="L26" s="13">
        <f>IF(OR(C26="",N(K26)&lt;=0,NOT(ISNUMBER(J26))),"",J26-TODAY())</f>
        <v/>
      </c>
      <c r="M26" s="12">
        <f>IF(C26="","",IF(N(K26)&lt;=0,"Sold out",IF(NOT(ISNUMBER(J26)),"In stock",IF(J26&lt;TODAY(),"Past its date",IF(J26-TODAY()&lt;=Settings!$C$5,"Use soon","In stock")))))</f>
        <v/>
      </c>
      <c r="N26" s="26">
        <f>IF(C26="","",N(D26)*Q26)</f>
        <v/>
      </c>
      <c r="O26" s="1" t="n"/>
      <c r="P26">
        <f>IF(C26="",0,IFERROR(N(INDEX(Products!$E$6:$E$45,MATCH(C26,Products!$B$6:$B$45,0))),0))</f>
        <v/>
      </c>
      <c r="Q26">
        <f>IF(C26="",0,IFERROR(N(INDEX(Products!$I$6:$I$45,MATCH(C26,Products!$B$6:$B$45,0))),0))</f>
        <v/>
      </c>
      <c r="R26">
        <f>IF(OR(C26="",NOT(ISNUMBER(B26))),"",YEAR(B26)*100+MONTH(B26))</f>
        <v/>
      </c>
      <c r="S26">
        <f>N(G26)*Q26</f>
        <v/>
      </c>
      <c r="T26">
        <f>IF(OR(M26="",M26="Sold out",NOT(ISNUMBER(J26))),"",J26*1000+ROW())</f>
        <v/>
      </c>
    </row>
    <row r="27">
      <c r="A27" s="1" t="n"/>
      <c r="B27" s="20" t="n">
        <v>46140</v>
      </c>
      <c r="C27" s="21" t="inlineStr">
        <is>
          <t>Chocolate chip cookies</t>
        </is>
      </c>
      <c r="D27" s="22" t="n">
        <v>8</v>
      </c>
      <c r="E27" s="22" t="n">
        <v>8</v>
      </c>
      <c r="F27" s="22" t="n">
        <v>0</v>
      </c>
      <c r="G27" s="22" t="n">
        <v>0</v>
      </c>
      <c r="H27" s="23" t="n"/>
      <c r="I27" s="24">
        <f>IF(OR(C27="",NOT(ISNUMBER(B27))),"",UPPER(IF(IFERROR(IF(INDEX(Products!$C$6:$C$45,MATCH(C27,Products!$B$6:$B$45,0))="","",INDEX(Products!$C$6:$C$45,MATCH(C27,Products!$B$6:$B$45,0))),"")="",LEFT(SUBSTITUTE(C27," ",""),3),IFERROR(IF(INDEX(Products!$C$6:$C$45,MATCH(C27,Products!$B$6:$B$45,0))="","",INDEX(Products!$C$6:$C$45,MATCH(C27,Products!$B$6:$B$45,0))),"")))&amp;"-"&amp;RIGHT(YEAR(B27),2)&amp;RIGHT("0"&amp;MONTH(B27),2)&amp;RIGHT("0"&amp;DAY(B27),2)&amp;"-"&amp;COUNTIFS(C$6:C27,C27,B$6:B27,B27))</f>
        <v/>
      </c>
      <c r="J27" s="14">
        <f>IF(OR(C27="",NOT(ISNUMBER(B27)),N(P27)=0),"",B27+P27)</f>
        <v/>
      </c>
      <c r="K27" s="25">
        <f>IF(C27="","",N(D27)-N(E27)-N(F27)-N(G27))</f>
        <v/>
      </c>
      <c r="L27" s="13">
        <f>IF(OR(C27="",N(K27)&lt;=0,NOT(ISNUMBER(J27))),"",J27-TODAY())</f>
        <v/>
      </c>
      <c r="M27" s="12">
        <f>IF(C27="","",IF(N(K27)&lt;=0,"Sold out",IF(NOT(ISNUMBER(J27)),"In stock",IF(J27&lt;TODAY(),"Past its date",IF(J27-TODAY()&lt;=Settings!$C$5,"Use soon","In stock")))))</f>
        <v/>
      </c>
      <c r="N27" s="26">
        <f>IF(C27="","",N(D27)*Q27)</f>
        <v/>
      </c>
      <c r="O27" s="1" t="n"/>
      <c r="P27">
        <f>IF(C27="",0,IFERROR(N(INDEX(Products!$E$6:$E$45,MATCH(C27,Products!$B$6:$B$45,0))),0))</f>
        <v/>
      </c>
      <c r="Q27">
        <f>IF(C27="",0,IFERROR(N(INDEX(Products!$I$6:$I$45,MATCH(C27,Products!$B$6:$B$45,0))),0))</f>
        <v/>
      </c>
      <c r="R27">
        <f>IF(OR(C27="",NOT(ISNUMBER(B27))),"",YEAR(B27)*100+MONTH(B27))</f>
        <v/>
      </c>
      <c r="S27">
        <f>N(G27)*Q27</f>
        <v/>
      </c>
      <c r="T27">
        <f>IF(OR(M27="",M27="Sold out",NOT(ISNUMBER(J27))),"",J27*1000+ROW())</f>
        <v/>
      </c>
    </row>
    <row r="28">
      <c r="A28" s="1" t="n"/>
      <c r="B28" s="20" t="n">
        <v>46150</v>
      </c>
      <c r="C28" s="21" t="inlineStr">
        <is>
          <t>Brownies</t>
        </is>
      </c>
      <c r="D28" s="22" t="n">
        <v>16</v>
      </c>
      <c r="E28" s="22" t="n">
        <v>15</v>
      </c>
      <c r="F28" s="22" t="n">
        <v>0</v>
      </c>
      <c r="G28" s="22" t="n">
        <v>1</v>
      </c>
      <c r="H28" s="23" t="n"/>
      <c r="I28" s="24">
        <f>IF(OR(C28="",NOT(ISNUMBER(B28))),"",UPPER(IF(IFERROR(IF(INDEX(Products!$C$6:$C$45,MATCH(C28,Products!$B$6:$B$45,0))="","",INDEX(Products!$C$6:$C$45,MATCH(C28,Products!$B$6:$B$45,0))),"")="",LEFT(SUBSTITUTE(C28," ",""),3),IFERROR(IF(INDEX(Products!$C$6:$C$45,MATCH(C28,Products!$B$6:$B$45,0))="","",INDEX(Products!$C$6:$C$45,MATCH(C28,Products!$B$6:$B$45,0))),"")))&amp;"-"&amp;RIGHT(YEAR(B28),2)&amp;RIGHT("0"&amp;MONTH(B28),2)&amp;RIGHT("0"&amp;DAY(B28),2)&amp;"-"&amp;COUNTIFS(C$6:C28,C28,B$6:B28,B28))</f>
        <v/>
      </c>
      <c r="J28" s="14">
        <f>IF(OR(C28="",NOT(ISNUMBER(B28)),N(P28)=0),"",B28+P28)</f>
        <v/>
      </c>
      <c r="K28" s="25">
        <f>IF(C28="","",N(D28)-N(E28)-N(F28)-N(G28))</f>
        <v/>
      </c>
      <c r="L28" s="13">
        <f>IF(OR(C28="",N(K28)&lt;=0,NOT(ISNUMBER(J28))),"",J28-TODAY())</f>
        <v/>
      </c>
      <c r="M28" s="12">
        <f>IF(C28="","",IF(N(K28)&lt;=0,"Sold out",IF(NOT(ISNUMBER(J28)),"In stock",IF(J28&lt;TODAY(),"Past its date",IF(J28-TODAY()&lt;=Settings!$C$5,"Use soon","In stock")))))</f>
        <v/>
      </c>
      <c r="N28" s="26">
        <f>IF(C28="","",N(D28)*Q28)</f>
        <v/>
      </c>
      <c r="O28" s="1" t="n"/>
      <c r="P28">
        <f>IF(C28="",0,IFERROR(N(INDEX(Products!$E$6:$E$45,MATCH(C28,Products!$B$6:$B$45,0))),0))</f>
        <v/>
      </c>
      <c r="Q28">
        <f>IF(C28="",0,IFERROR(N(INDEX(Products!$I$6:$I$45,MATCH(C28,Products!$B$6:$B$45,0))),0))</f>
        <v/>
      </c>
      <c r="R28">
        <f>IF(OR(C28="",NOT(ISNUMBER(B28))),"",YEAR(B28)*100+MONTH(B28))</f>
        <v/>
      </c>
      <c r="S28">
        <f>N(G28)*Q28</f>
        <v/>
      </c>
      <c r="T28">
        <f>IF(OR(M28="",M28="Sold out",NOT(ISNUMBER(J28))),"",J28*1000+ROW())</f>
        <v/>
      </c>
    </row>
    <row r="29">
      <c r="A29" s="1" t="n"/>
      <c r="B29" s="20" t="n">
        <v>46155</v>
      </c>
      <c r="C29" s="21" t="inlineStr">
        <is>
          <t>Sourdough loaf</t>
        </is>
      </c>
      <c r="D29" s="22" t="n">
        <v>4</v>
      </c>
      <c r="E29" s="22" t="n">
        <v>4</v>
      </c>
      <c r="F29" s="22" t="n">
        <v>0</v>
      </c>
      <c r="G29" s="22" t="n">
        <v>0</v>
      </c>
      <c r="H29" s="23" t="n"/>
      <c r="I29" s="24">
        <f>IF(OR(C29="",NOT(ISNUMBER(B29))),"",UPPER(IF(IFERROR(IF(INDEX(Products!$C$6:$C$45,MATCH(C29,Products!$B$6:$B$45,0))="","",INDEX(Products!$C$6:$C$45,MATCH(C29,Products!$B$6:$B$45,0))),"")="",LEFT(SUBSTITUTE(C29," ",""),3),IFERROR(IF(INDEX(Products!$C$6:$C$45,MATCH(C29,Products!$B$6:$B$45,0))="","",INDEX(Products!$C$6:$C$45,MATCH(C29,Products!$B$6:$B$45,0))),"")))&amp;"-"&amp;RIGHT(YEAR(B29),2)&amp;RIGHT("0"&amp;MONTH(B29),2)&amp;RIGHT("0"&amp;DAY(B29),2)&amp;"-"&amp;COUNTIFS(C$6:C29,C29,B$6:B29,B29))</f>
        <v/>
      </c>
      <c r="J29" s="14">
        <f>IF(OR(C29="",NOT(ISNUMBER(B29)),N(P29)=0),"",B29+P29)</f>
        <v/>
      </c>
      <c r="K29" s="25">
        <f>IF(C29="","",N(D29)-N(E29)-N(F29)-N(G29))</f>
        <v/>
      </c>
      <c r="L29" s="13">
        <f>IF(OR(C29="",N(K29)&lt;=0,NOT(ISNUMBER(J29))),"",J29-TODAY())</f>
        <v/>
      </c>
      <c r="M29" s="12">
        <f>IF(C29="","",IF(N(K29)&lt;=0,"Sold out",IF(NOT(ISNUMBER(J29)),"In stock",IF(J29&lt;TODAY(),"Past its date",IF(J29-TODAY()&lt;=Settings!$C$5,"Use soon","In stock")))))</f>
        <v/>
      </c>
      <c r="N29" s="26">
        <f>IF(C29="","",N(D29)*Q29)</f>
        <v/>
      </c>
      <c r="O29" s="1" t="n"/>
      <c r="P29">
        <f>IF(C29="",0,IFERROR(N(INDEX(Products!$E$6:$E$45,MATCH(C29,Products!$B$6:$B$45,0))),0))</f>
        <v/>
      </c>
      <c r="Q29">
        <f>IF(C29="",0,IFERROR(N(INDEX(Products!$I$6:$I$45,MATCH(C29,Products!$B$6:$B$45,0))),0))</f>
        <v/>
      </c>
      <c r="R29">
        <f>IF(OR(C29="",NOT(ISNUMBER(B29))),"",YEAR(B29)*100+MONTH(B29))</f>
        <v/>
      </c>
      <c r="S29">
        <f>N(G29)*Q29</f>
        <v/>
      </c>
      <c r="T29">
        <f>IF(OR(M29="",M29="Sold out",NOT(ISNUMBER(J29))),"",J29*1000+ROW())</f>
        <v/>
      </c>
    </row>
    <row r="30">
      <c r="A30" s="1" t="n"/>
      <c r="B30" s="20" t="n">
        <v>46170</v>
      </c>
      <c r="C30" s="21" t="inlineStr">
        <is>
          <t>Chocolate chip cookies</t>
        </is>
      </c>
      <c r="D30" s="22" t="n">
        <v>8</v>
      </c>
      <c r="E30" s="22" t="n">
        <v>8</v>
      </c>
      <c r="F30" s="22" t="n">
        <v>0</v>
      </c>
      <c r="G30" s="22" t="n">
        <v>0</v>
      </c>
      <c r="H30" s="23" t="n"/>
      <c r="I30" s="24">
        <f>IF(OR(C30="",NOT(ISNUMBER(B30))),"",UPPER(IF(IFERROR(IF(INDEX(Products!$C$6:$C$45,MATCH(C30,Products!$B$6:$B$45,0))="","",INDEX(Products!$C$6:$C$45,MATCH(C30,Products!$B$6:$B$45,0))),"")="",LEFT(SUBSTITUTE(C30," ",""),3),IFERROR(IF(INDEX(Products!$C$6:$C$45,MATCH(C30,Products!$B$6:$B$45,0))="","",INDEX(Products!$C$6:$C$45,MATCH(C30,Products!$B$6:$B$45,0))),"")))&amp;"-"&amp;RIGHT(YEAR(B30),2)&amp;RIGHT("0"&amp;MONTH(B30),2)&amp;RIGHT("0"&amp;DAY(B30),2)&amp;"-"&amp;COUNTIFS(C$6:C30,C30,B$6:B30,B30))</f>
        <v/>
      </c>
      <c r="J30" s="14">
        <f>IF(OR(C30="",NOT(ISNUMBER(B30)),N(P30)=0),"",B30+P30)</f>
        <v/>
      </c>
      <c r="K30" s="25">
        <f>IF(C30="","",N(D30)-N(E30)-N(F30)-N(G30))</f>
        <v/>
      </c>
      <c r="L30" s="13">
        <f>IF(OR(C30="",N(K30)&lt;=0,NOT(ISNUMBER(J30))),"",J30-TODAY())</f>
        <v/>
      </c>
      <c r="M30" s="12">
        <f>IF(C30="","",IF(N(K30)&lt;=0,"Sold out",IF(NOT(ISNUMBER(J30)),"In stock",IF(J30&lt;TODAY(),"Past its date",IF(J30-TODAY()&lt;=Settings!$C$5,"Use soon","In stock")))))</f>
        <v/>
      </c>
      <c r="N30" s="26">
        <f>IF(C30="","",N(D30)*Q30)</f>
        <v/>
      </c>
      <c r="O30" s="1" t="n"/>
      <c r="P30">
        <f>IF(C30="",0,IFERROR(N(INDEX(Products!$E$6:$E$45,MATCH(C30,Products!$B$6:$B$45,0))),0))</f>
        <v/>
      </c>
      <c r="Q30">
        <f>IF(C30="",0,IFERROR(N(INDEX(Products!$I$6:$I$45,MATCH(C30,Products!$B$6:$B$45,0))),0))</f>
        <v/>
      </c>
      <c r="R30">
        <f>IF(OR(C30="",NOT(ISNUMBER(B30))),"",YEAR(B30)*100+MONTH(B30))</f>
        <v/>
      </c>
      <c r="S30">
        <f>N(G30)*Q30</f>
        <v/>
      </c>
      <c r="T30">
        <f>IF(OR(M30="",M30="Sold out",NOT(ISNUMBER(J30))),"",J30*1000+ROW())</f>
        <v/>
      </c>
    </row>
    <row r="31">
      <c r="A31" s="1" t="n"/>
      <c r="B31" s="20" t="n">
        <v>46175</v>
      </c>
      <c r="C31" s="21" t="inlineStr">
        <is>
          <t>Lemon drizzle loaf</t>
        </is>
      </c>
      <c r="D31" s="22" t="n">
        <v>4</v>
      </c>
      <c r="E31" s="22" t="n">
        <v>3</v>
      </c>
      <c r="F31" s="22" t="n">
        <v>0</v>
      </c>
      <c r="G31" s="22" t="n">
        <v>1</v>
      </c>
      <c r="H31" s="23" t="n"/>
      <c r="I31" s="24">
        <f>IF(OR(C31="",NOT(ISNUMBER(B31))),"",UPPER(IF(IFERROR(IF(INDEX(Products!$C$6:$C$45,MATCH(C31,Products!$B$6:$B$45,0))="","",INDEX(Products!$C$6:$C$45,MATCH(C31,Products!$B$6:$B$45,0))),"")="",LEFT(SUBSTITUTE(C31," ",""),3),IFERROR(IF(INDEX(Products!$C$6:$C$45,MATCH(C31,Products!$B$6:$B$45,0))="","",INDEX(Products!$C$6:$C$45,MATCH(C31,Products!$B$6:$B$45,0))),"")))&amp;"-"&amp;RIGHT(YEAR(B31),2)&amp;RIGHT("0"&amp;MONTH(B31),2)&amp;RIGHT("0"&amp;DAY(B31),2)&amp;"-"&amp;COUNTIFS(C$6:C31,C31,B$6:B31,B31))</f>
        <v/>
      </c>
      <c r="J31" s="14">
        <f>IF(OR(C31="",NOT(ISNUMBER(B31)),N(P31)=0),"",B31+P31)</f>
        <v/>
      </c>
      <c r="K31" s="25">
        <f>IF(C31="","",N(D31)-N(E31)-N(F31)-N(G31))</f>
        <v/>
      </c>
      <c r="L31" s="13">
        <f>IF(OR(C31="",N(K31)&lt;=0,NOT(ISNUMBER(J31))),"",J31-TODAY())</f>
        <v/>
      </c>
      <c r="M31" s="12">
        <f>IF(C31="","",IF(N(K31)&lt;=0,"Sold out",IF(NOT(ISNUMBER(J31)),"In stock",IF(J31&lt;TODAY(),"Past its date",IF(J31-TODAY()&lt;=Settings!$C$5,"Use soon","In stock")))))</f>
        <v/>
      </c>
      <c r="N31" s="26">
        <f>IF(C31="","",N(D31)*Q31)</f>
        <v/>
      </c>
      <c r="O31" s="1" t="n"/>
      <c r="P31">
        <f>IF(C31="",0,IFERROR(N(INDEX(Products!$E$6:$E$45,MATCH(C31,Products!$B$6:$B$45,0))),0))</f>
        <v/>
      </c>
      <c r="Q31">
        <f>IF(C31="",0,IFERROR(N(INDEX(Products!$I$6:$I$45,MATCH(C31,Products!$B$6:$B$45,0))),0))</f>
        <v/>
      </c>
      <c r="R31">
        <f>IF(OR(C31="",NOT(ISNUMBER(B31))),"",YEAR(B31)*100+MONTH(B31))</f>
        <v/>
      </c>
      <c r="S31">
        <f>N(G31)*Q31</f>
        <v/>
      </c>
      <c r="T31">
        <f>IF(OR(M31="",M31="Sold out",NOT(ISNUMBER(J31))),"",J31*1000+ROW())</f>
        <v/>
      </c>
    </row>
    <row r="32">
      <c r="A32" s="1" t="n"/>
      <c r="B32" s="20" t="n">
        <v>46185</v>
      </c>
      <c r="C32" s="21" t="inlineStr">
        <is>
          <t>Sourdough loaf</t>
        </is>
      </c>
      <c r="D32" s="22" t="n">
        <v>4</v>
      </c>
      <c r="E32" s="22" t="n">
        <v>4</v>
      </c>
      <c r="F32" s="22" t="n">
        <v>0</v>
      </c>
      <c r="G32" s="22" t="n">
        <v>0</v>
      </c>
      <c r="H32" s="23" t="n"/>
      <c r="I32" s="24">
        <f>IF(OR(C32="",NOT(ISNUMBER(B32))),"",UPPER(IF(IFERROR(IF(INDEX(Products!$C$6:$C$45,MATCH(C32,Products!$B$6:$B$45,0))="","",INDEX(Products!$C$6:$C$45,MATCH(C32,Products!$B$6:$B$45,0))),"")="",LEFT(SUBSTITUTE(C32," ",""),3),IFERROR(IF(INDEX(Products!$C$6:$C$45,MATCH(C32,Products!$B$6:$B$45,0))="","",INDEX(Products!$C$6:$C$45,MATCH(C32,Products!$B$6:$B$45,0))),"")))&amp;"-"&amp;RIGHT(YEAR(B32),2)&amp;RIGHT("0"&amp;MONTH(B32),2)&amp;RIGHT("0"&amp;DAY(B32),2)&amp;"-"&amp;COUNTIFS(C$6:C32,C32,B$6:B32,B32))</f>
        <v/>
      </c>
      <c r="J32" s="14">
        <f>IF(OR(C32="",NOT(ISNUMBER(B32)),N(P32)=0),"",B32+P32)</f>
        <v/>
      </c>
      <c r="K32" s="25">
        <f>IF(C32="","",N(D32)-N(E32)-N(F32)-N(G32))</f>
        <v/>
      </c>
      <c r="L32" s="13">
        <f>IF(OR(C32="",N(K32)&lt;=0,NOT(ISNUMBER(J32))),"",J32-TODAY())</f>
        <v/>
      </c>
      <c r="M32" s="12">
        <f>IF(C32="","",IF(N(K32)&lt;=0,"Sold out",IF(NOT(ISNUMBER(J32)),"In stock",IF(J32&lt;TODAY(),"Past its date",IF(J32-TODAY()&lt;=Settings!$C$5,"Use soon","In stock")))))</f>
        <v/>
      </c>
      <c r="N32" s="26">
        <f>IF(C32="","",N(D32)*Q32)</f>
        <v/>
      </c>
      <c r="O32" s="1" t="n"/>
      <c r="P32">
        <f>IF(C32="",0,IFERROR(N(INDEX(Products!$E$6:$E$45,MATCH(C32,Products!$B$6:$B$45,0))),0))</f>
        <v/>
      </c>
      <c r="Q32">
        <f>IF(C32="",0,IFERROR(N(INDEX(Products!$I$6:$I$45,MATCH(C32,Products!$B$6:$B$45,0))),0))</f>
        <v/>
      </c>
      <c r="R32">
        <f>IF(OR(C32="",NOT(ISNUMBER(B32))),"",YEAR(B32)*100+MONTH(B32))</f>
        <v/>
      </c>
      <c r="S32">
        <f>N(G32)*Q32</f>
        <v/>
      </c>
      <c r="T32">
        <f>IF(OR(M32="",M32="Sold out",NOT(ISNUMBER(J32))),"",J32*1000+ROW())</f>
        <v/>
      </c>
    </row>
    <row r="33">
      <c r="A33" s="1" t="n"/>
      <c r="B33" s="20" t="n">
        <v>46190</v>
      </c>
      <c r="C33" s="21" t="inlineStr">
        <is>
          <t>Cinnamon rolls</t>
        </is>
      </c>
      <c r="D33" s="22" t="n">
        <v>12</v>
      </c>
      <c r="E33" s="22" t="n">
        <v>9</v>
      </c>
      <c r="F33" s="22" t="n">
        <v>1</v>
      </c>
      <c r="G33" s="22" t="n">
        <v>2</v>
      </c>
      <c r="H33" s="23" t="n"/>
      <c r="I33" s="24">
        <f>IF(OR(C33="",NOT(ISNUMBER(B33))),"",UPPER(IF(IFERROR(IF(INDEX(Products!$C$6:$C$45,MATCH(C33,Products!$B$6:$B$45,0))="","",INDEX(Products!$C$6:$C$45,MATCH(C33,Products!$B$6:$B$45,0))),"")="",LEFT(SUBSTITUTE(C33," ",""),3),IFERROR(IF(INDEX(Products!$C$6:$C$45,MATCH(C33,Products!$B$6:$B$45,0))="","",INDEX(Products!$C$6:$C$45,MATCH(C33,Products!$B$6:$B$45,0))),"")))&amp;"-"&amp;RIGHT(YEAR(B33),2)&amp;RIGHT("0"&amp;MONTH(B33),2)&amp;RIGHT("0"&amp;DAY(B33),2)&amp;"-"&amp;COUNTIFS(C$6:C33,C33,B$6:B33,B33))</f>
        <v/>
      </c>
      <c r="J33" s="14">
        <f>IF(OR(C33="",NOT(ISNUMBER(B33)),N(P33)=0),"",B33+P33)</f>
        <v/>
      </c>
      <c r="K33" s="25">
        <f>IF(C33="","",N(D33)-N(E33)-N(F33)-N(G33))</f>
        <v/>
      </c>
      <c r="L33" s="13">
        <f>IF(OR(C33="",N(K33)&lt;=0,NOT(ISNUMBER(J33))),"",J33-TODAY())</f>
        <v/>
      </c>
      <c r="M33" s="12">
        <f>IF(C33="","",IF(N(K33)&lt;=0,"Sold out",IF(NOT(ISNUMBER(J33)),"In stock",IF(J33&lt;TODAY(),"Past its date",IF(J33-TODAY()&lt;=Settings!$C$5,"Use soon","In stock")))))</f>
        <v/>
      </c>
      <c r="N33" s="26">
        <f>IF(C33="","",N(D33)*Q33)</f>
        <v/>
      </c>
      <c r="O33" s="1" t="n"/>
      <c r="P33">
        <f>IF(C33="",0,IFERROR(N(INDEX(Products!$E$6:$E$45,MATCH(C33,Products!$B$6:$B$45,0))),0))</f>
        <v/>
      </c>
      <c r="Q33">
        <f>IF(C33="",0,IFERROR(N(INDEX(Products!$I$6:$I$45,MATCH(C33,Products!$B$6:$B$45,0))),0))</f>
        <v/>
      </c>
      <c r="R33">
        <f>IF(OR(C33="",NOT(ISNUMBER(B33))),"",YEAR(B33)*100+MONTH(B33))</f>
        <v/>
      </c>
      <c r="S33">
        <f>N(G33)*Q33</f>
        <v/>
      </c>
      <c r="T33">
        <f>IF(OR(M33="",M33="Sold out",NOT(ISNUMBER(J33))),"",J33*1000+ROW())</f>
        <v/>
      </c>
    </row>
    <row r="34">
      <c r="A34" s="1" t="n"/>
      <c r="B34" s="20" t="n">
        <v>46193</v>
      </c>
      <c r="C34" s="21" t="inlineStr">
        <is>
          <t>Strawberry jam</t>
        </is>
      </c>
      <c r="D34" s="22" t="n">
        <v>12</v>
      </c>
      <c r="E34" s="22" t="n">
        <v>12</v>
      </c>
      <c r="F34" s="22" t="n">
        <v>0</v>
      </c>
      <c r="G34" s="22" t="n">
        <v>0</v>
      </c>
      <c r="H34" s="23" t="n"/>
      <c r="I34" s="24">
        <f>IF(OR(C34="",NOT(ISNUMBER(B34))),"",UPPER(IF(IFERROR(IF(INDEX(Products!$C$6:$C$45,MATCH(C34,Products!$B$6:$B$45,0))="","",INDEX(Products!$C$6:$C$45,MATCH(C34,Products!$B$6:$B$45,0))),"")="",LEFT(SUBSTITUTE(C34," ",""),3),IFERROR(IF(INDEX(Products!$C$6:$C$45,MATCH(C34,Products!$B$6:$B$45,0))="","",INDEX(Products!$C$6:$C$45,MATCH(C34,Products!$B$6:$B$45,0))),"")))&amp;"-"&amp;RIGHT(YEAR(B34),2)&amp;RIGHT("0"&amp;MONTH(B34),2)&amp;RIGHT("0"&amp;DAY(B34),2)&amp;"-"&amp;COUNTIFS(C$6:C34,C34,B$6:B34,B34))</f>
        <v/>
      </c>
      <c r="J34" s="14">
        <f>IF(OR(C34="",NOT(ISNUMBER(B34)),N(P34)=0),"",B34+P34)</f>
        <v/>
      </c>
      <c r="K34" s="25">
        <f>IF(C34="","",N(D34)-N(E34)-N(F34)-N(G34))</f>
        <v/>
      </c>
      <c r="L34" s="13">
        <f>IF(OR(C34="",N(K34)&lt;=0,NOT(ISNUMBER(J34))),"",J34-TODAY())</f>
        <v/>
      </c>
      <c r="M34" s="12">
        <f>IF(C34="","",IF(N(K34)&lt;=0,"Sold out",IF(NOT(ISNUMBER(J34)),"In stock",IF(J34&lt;TODAY(),"Past its date",IF(J34-TODAY()&lt;=Settings!$C$5,"Use soon","In stock")))))</f>
        <v/>
      </c>
      <c r="N34" s="26">
        <f>IF(C34="","",N(D34)*Q34)</f>
        <v/>
      </c>
      <c r="O34" s="1" t="n"/>
      <c r="P34">
        <f>IF(C34="",0,IFERROR(N(INDEX(Products!$E$6:$E$45,MATCH(C34,Products!$B$6:$B$45,0))),0))</f>
        <v/>
      </c>
      <c r="Q34">
        <f>IF(C34="",0,IFERROR(N(INDEX(Products!$I$6:$I$45,MATCH(C34,Products!$B$6:$B$45,0))),0))</f>
        <v/>
      </c>
      <c r="R34">
        <f>IF(OR(C34="",NOT(ISNUMBER(B34))),"",YEAR(B34)*100+MONTH(B34))</f>
        <v/>
      </c>
      <c r="S34">
        <f>N(G34)*Q34</f>
        <v/>
      </c>
      <c r="T34">
        <f>IF(OR(M34="",M34="Sold out",NOT(ISNUMBER(J34))),"",J34*1000+ROW())</f>
        <v/>
      </c>
    </row>
    <row r="35">
      <c r="A35" s="1" t="n"/>
      <c r="B35" s="20" t="n">
        <v>46193</v>
      </c>
      <c r="C35" s="21" t="inlineStr">
        <is>
          <t>Dog biscuits</t>
        </is>
      </c>
      <c r="D35" s="22" t="n">
        <v>10</v>
      </c>
      <c r="E35" s="22" t="n">
        <v>10</v>
      </c>
      <c r="F35" s="22" t="n">
        <v>0</v>
      </c>
      <c r="G35" s="22" t="n">
        <v>0</v>
      </c>
      <c r="H35" s="23" t="n"/>
      <c r="I35" s="24">
        <f>IF(OR(C35="",NOT(ISNUMBER(B35))),"",UPPER(IF(IFERROR(IF(INDEX(Products!$C$6:$C$45,MATCH(C35,Products!$B$6:$B$45,0))="","",INDEX(Products!$C$6:$C$45,MATCH(C35,Products!$B$6:$B$45,0))),"")="",LEFT(SUBSTITUTE(C35," ",""),3),IFERROR(IF(INDEX(Products!$C$6:$C$45,MATCH(C35,Products!$B$6:$B$45,0))="","",INDEX(Products!$C$6:$C$45,MATCH(C35,Products!$B$6:$B$45,0))),"")))&amp;"-"&amp;RIGHT(YEAR(B35),2)&amp;RIGHT("0"&amp;MONTH(B35),2)&amp;RIGHT("0"&amp;DAY(B35),2)&amp;"-"&amp;COUNTIFS(C$6:C35,C35,B$6:B35,B35))</f>
        <v/>
      </c>
      <c r="J35" s="14">
        <f>IF(OR(C35="",NOT(ISNUMBER(B35)),N(P35)=0),"",B35+P35)</f>
        <v/>
      </c>
      <c r="K35" s="25">
        <f>IF(C35="","",N(D35)-N(E35)-N(F35)-N(G35))</f>
        <v/>
      </c>
      <c r="L35" s="13">
        <f>IF(OR(C35="",N(K35)&lt;=0,NOT(ISNUMBER(J35))),"",J35-TODAY())</f>
        <v/>
      </c>
      <c r="M35" s="12">
        <f>IF(C35="","",IF(N(K35)&lt;=0,"Sold out",IF(NOT(ISNUMBER(J35)),"In stock",IF(J35&lt;TODAY(),"Past its date",IF(J35-TODAY()&lt;=Settings!$C$5,"Use soon","In stock")))))</f>
        <v/>
      </c>
      <c r="N35" s="26">
        <f>IF(C35="","",N(D35)*Q35)</f>
        <v/>
      </c>
      <c r="O35" s="1" t="n"/>
      <c r="P35">
        <f>IF(C35="",0,IFERROR(N(INDEX(Products!$E$6:$E$45,MATCH(C35,Products!$B$6:$B$45,0))),0))</f>
        <v/>
      </c>
      <c r="Q35">
        <f>IF(C35="",0,IFERROR(N(INDEX(Products!$I$6:$I$45,MATCH(C35,Products!$B$6:$B$45,0))),0))</f>
        <v/>
      </c>
      <c r="R35">
        <f>IF(OR(C35="",NOT(ISNUMBER(B35))),"",YEAR(B35)*100+MONTH(B35))</f>
        <v/>
      </c>
      <c r="S35">
        <f>N(G35)*Q35</f>
        <v/>
      </c>
      <c r="T35">
        <f>IF(OR(M35="",M35="Sold out",NOT(ISNUMBER(J35))),"",J35*1000+ROW())</f>
        <v/>
      </c>
    </row>
    <row r="36">
      <c r="A36" s="1" t="n"/>
      <c r="B36" s="20" t="n">
        <v>46205</v>
      </c>
      <c r="C36" s="21" t="inlineStr">
        <is>
          <t>Lemon drizzle loaf</t>
        </is>
      </c>
      <c r="D36" s="22" t="n">
        <v>4</v>
      </c>
      <c r="E36" s="22" t="n">
        <v>3</v>
      </c>
      <c r="F36" s="22" t="n">
        <v>1</v>
      </c>
      <c r="G36" s="22" t="n">
        <v>0</v>
      </c>
      <c r="H36" s="23" t="n"/>
      <c r="I36" s="24">
        <f>IF(OR(C36="",NOT(ISNUMBER(B36))),"",UPPER(IF(IFERROR(IF(INDEX(Products!$C$6:$C$45,MATCH(C36,Products!$B$6:$B$45,0))="","",INDEX(Products!$C$6:$C$45,MATCH(C36,Products!$B$6:$B$45,0))),"")="",LEFT(SUBSTITUTE(C36," ",""),3),IFERROR(IF(INDEX(Products!$C$6:$C$45,MATCH(C36,Products!$B$6:$B$45,0))="","",INDEX(Products!$C$6:$C$45,MATCH(C36,Products!$B$6:$B$45,0))),"")))&amp;"-"&amp;RIGHT(YEAR(B36),2)&amp;RIGHT("0"&amp;MONTH(B36),2)&amp;RIGHT("0"&amp;DAY(B36),2)&amp;"-"&amp;COUNTIFS(C$6:C36,C36,B$6:B36,B36))</f>
        <v/>
      </c>
      <c r="J36" s="14">
        <f>IF(OR(C36="",NOT(ISNUMBER(B36)),N(P36)=0),"",B36+P36)</f>
        <v/>
      </c>
      <c r="K36" s="25">
        <f>IF(C36="","",N(D36)-N(E36)-N(F36)-N(G36))</f>
        <v/>
      </c>
      <c r="L36" s="13">
        <f>IF(OR(C36="",N(K36)&lt;=0,NOT(ISNUMBER(J36))),"",J36-TODAY())</f>
        <v/>
      </c>
      <c r="M36" s="12">
        <f>IF(C36="","",IF(N(K36)&lt;=0,"Sold out",IF(NOT(ISNUMBER(J36)),"In stock",IF(J36&lt;TODAY(),"Past its date",IF(J36-TODAY()&lt;=Settings!$C$5,"Use soon","In stock")))))</f>
        <v/>
      </c>
      <c r="N36" s="26">
        <f>IF(C36="","",N(D36)*Q36)</f>
        <v/>
      </c>
      <c r="O36" s="1" t="n"/>
      <c r="P36">
        <f>IF(C36="",0,IFERROR(N(INDEX(Products!$E$6:$E$45,MATCH(C36,Products!$B$6:$B$45,0))),0))</f>
        <v/>
      </c>
      <c r="Q36">
        <f>IF(C36="",0,IFERROR(N(INDEX(Products!$I$6:$I$45,MATCH(C36,Products!$B$6:$B$45,0))),0))</f>
        <v/>
      </c>
      <c r="R36">
        <f>IF(OR(C36="",NOT(ISNUMBER(B36))),"",YEAR(B36)*100+MONTH(B36))</f>
        <v/>
      </c>
      <c r="S36">
        <f>N(G36)*Q36</f>
        <v/>
      </c>
      <c r="T36">
        <f>IF(OR(M36="",M36="Sold out",NOT(ISNUMBER(J36))),"",J36*1000+ROW())</f>
        <v/>
      </c>
    </row>
    <row r="37">
      <c r="A37" s="1" t="n"/>
      <c r="B37" s="20" t="n">
        <v>46210</v>
      </c>
      <c r="C37" s="21" t="inlineStr">
        <is>
          <t>Brownies</t>
        </is>
      </c>
      <c r="D37" s="22" t="n">
        <v>16</v>
      </c>
      <c r="E37" s="22" t="n">
        <v>14</v>
      </c>
      <c r="F37" s="22" t="n">
        <v>0</v>
      </c>
      <c r="G37" s="22" t="n">
        <v>2</v>
      </c>
      <c r="H37" s="23" t="n"/>
      <c r="I37" s="24">
        <f>IF(OR(C37="",NOT(ISNUMBER(B37))),"",UPPER(IF(IFERROR(IF(INDEX(Products!$C$6:$C$45,MATCH(C37,Products!$B$6:$B$45,0))="","",INDEX(Products!$C$6:$C$45,MATCH(C37,Products!$B$6:$B$45,0))),"")="",LEFT(SUBSTITUTE(C37," ",""),3),IFERROR(IF(INDEX(Products!$C$6:$C$45,MATCH(C37,Products!$B$6:$B$45,0))="","",INDEX(Products!$C$6:$C$45,MATCH(C37,Products!$B$6:$B$45,0))),"")))&amp;"-"&amp;RIGHT(YEAR(B37),2)&amp;RIGHT("0"&amp;MONTH(B37),2)&amp;RIGHT("0"&amp;DAY(B37),2)&amp;"-"&amp;COUNTIFS(C$6:C37,C37,B$6:B37,B37))</f>
        <v/>
      </c>
      <c r="J37" s="14">
        <f>IF(OR(C37="",NOT(ISNUMBER(B37)),N(P37)=0),"",B37+P37)</f>
        <v/>
      </c>
      <c r="K37" s="25">
        <f>IF(C37="","",N(D37)-N(E37)-N(F37)-N(G37))</f>
        <v/>
      </c>
      <c r="L37" s="13">
        <f>IF(OR(C37="",N(K37)&lt;=0,NOT(ISNUMBER(J37))),"",J37-TODAY())</f>
        <v/>
      </c>
      <c r="M37" s="12">
        <f>IF(C37="","",IF(N(K37)&lt;=0,"Sold out",IF(NOT(ISNUMBER(J37)),"In stock",IF(J37&lt;TODAY(),"Past its date",IF(J37-TODAY()&lt;=Settings!$C$5,"Use soon","In stock")))))</f>
        <v/>
      </c>
      <c r="N37" s="26">
        <f>IF(C37="","",N(D37)*Q37)</f>
        <v/>
      </c>
      <c r="O37" s="1" t="n"/>
      <c r="P37">
        <f>IF(C37="",0,IFERROR(N(INDEX(Products!$E$6:$E$45,MATCH(C37,Products!$B$6:$B$45,0))),0))</f>
        <v/>
      </c>
      <c r="Q37">
        <f>IF(C37="",0,IFERROR(N(INDEX(Products!$I$6:$I$45,MATCH(C37,Products!$B$6:$B$45,0))),0))</f>
        <v/>
      </c>
      <c r="R37">
        <f>IF(OR(C37="",NOT(ISNUMBER(B37))),"",YEAR(B37)*100+MONTH(B37))</f>
        <v/>
      </c>
      <c r="S37">
        <f>N(G37)*Q37</f>
        <v/>
      </c>
      <c r="T37">
        <f>IF(OR(M37="",M37="Sold out",NOT(ISNUMBER(J37))),"",J37*1000+ROW())</f>
        <v/>
      </c>
    </row>
    <row r="38">
      <c r="A38" s="1" t="n"/>
      <c r="B38" s="20" t="n">
        <v>46220</v>
      </c>
      <c r="C38" s="21" t="inlineStr">
        <is>
          <t>Cinnamon rolls</t>
        </is>
      </c>
      <c r="D38" s="22" t="n">
        <v>12</v>
      </c>
      <c r="E38" s="22" t="n">
        <v>9</v>
      </c>
      <c r="F38" s="22" t="n">
        <v>0</v>
      </c>
      <c r="G38" s="22" t="n">
        <v>3</v>
      </c>
      <c r="H38" s="23" t="n"/>
      <c r="I38" s="24">
        <f>IF(OR(C38="",NOT(ISNUMBER(B38))),"",UPPER(IF(IFERROR(IF(INDEX(Products!$C$6:$C$45,MATCH(C38,Products!$B$6:$B$45,0))="","",INDEX(Products!$C$6:$C$45,MATCH(C38,Products!$B$6:$B$45,0))),"")="",LEFT(SUBSTITUTE(C38," ",""),3),IFERROR(IF(INDEX(Products!$C$6:$C$45,MATCH(C38,Products!$B$6:$B$45,0))="","",INDEX(Products!$C$6:$C$45,MATCH(C38,Products!$B$6:$B$45,0))),"")))&amp;"-"&amp;RIGHT(YEAR(B38),2)&amp;RIGHT("0"&amp;MONTH(B38),2)&amp;RIGHT("0"&amp;DAY(B38),2)&amp;"-"&amp;COUNTIFS(C$6:C38,C38,B$6:B38,B38))</f>
        <v/>
      </c>
      <c r="J38" s="14">
        <f>IF(OR(C38="",NOT(ISNUMBER(B38)),N(P38)=0),"",B38+P38)</f>
        <v/>
      </c>
      <c r="K38" s="25">
        <f>IF(C38="","",N(D38)-N(E38)-N(F38)-N(G38))</f>
        <v/>
      </c>
      <c r="L38" s="13">
        <f>IF(OR(C38="",N(K38)&lt;=0,NOT(ISNUMBER(J38))),"",J38-TODAY())</f>
        <v/>
      </c>
      <c r="M38" s="12">
        <f>IF(C38="","",IF(N(K38)&lt;=0,"Sold out",IF(NOT(ISNUMBER(J38)),"In stock",IF(J38&lt;TODAY(),"Past its date",IF(J38-TODAY()&lt;=Settings!$C$5,"Use soon","In stock")))))</f>
        <v/>
      </c>
      <c r="N38" s="26">
        <f>IF(C38="","",N(D38)*Q38)</f>
        <v/>
      </c>
      <c r="O38" s="1" t="n"/>
      <c r="P38">
        <f>IF(C38="",0,IFERROR(N(INDEX(Products!$E$6:$E$45,MATCH(C38,Products!$B$6:$B$45,0))),0))</f>
        <v/>
      </c>
      <c r="Q38">
        <f>IF(C38="",0,IFERROR(N(INDEX(Products!$I$6:$I$45,MATCH(C38,Products!$B$6:$B$45,0))),0))</f>
        <v/>
      </c>
      <c r="R38">
        <f>IF(OR(C38="",NOT(ISNUMBER(B38))),"",YEAR(B38)*100+MONTH(B38))</f>
        <v/>
      </c>
      <c r="S38">
        <f>N(G38)*Q38</f>
        <v/>
      </c>
      <c r="T38">
        <f>IF(OR(M38="",M38="Sold out",NOT(ISNUMBER(J38))),"",J38*1000+ROW())</f>
        <v/>
      </c>
    </row>
    <row r="39">
      <c r="A39" s="1" t="n"/>
      <c r="B39" s="20" t="n">
        <v>46221</v>
      </c>
      <c r="C39" s="21" t="inlineStr">
        <is>
          <t>Granola</t>
        </is>
      </c>
      <c r="D39" s="22" t="n">
        <v>10</v>
      </c>
      <c r="E39" s="22" t="n">
        <v>9</v>
      </c>
      <c r="F39" s="22" t="n">
        <v>1</v>
      </c>
      <c r="G39" s="22" t="n">
        <v>0</v>
      </c>
      <c r="H39" s="23" t="n"/>
      <c r="I39" s="24">
        <f>IF(OR(C39="",NOT(ISNUMBER(B39))),"",UPPER(IF(IFERROR(IF(INDEX(Products!$C$6:$C$45,MATCH(C39,Products!$B$6:$B$45,0))="","",INDEX(Products!$C$6:$C$45,MATCH(C39,Products!$B$6:$B$45,0))),"")="",LEFT(SUBSTITUTE(C39," ",""),3),IFERROR(IF(INDEX(Products!$C$6:$C$45,MATCH(C39,Products!$B$6:$B$45,0))="","",INDEX(Products!$C$6:$C$45,MATCH(C39,Products!$B$6:$B$45,0))),"")))&amp;"-"&amp;RIGHT(YEAR(B39),2)&amp;RIGHT("0"&amp;MONTH(B39),2)&amp;RIGHT("0"&amp;DAY(B39),2)&amp;"-"&amp;COUNTIFS(C$6:C39,C39,B$6:B39,B39))</f>
        <v/>
      </c>
      <c r="J39" s="14">
        <f>IF(OR(C39="",NOT(ISNUMBER(B39)),N(P39)=0),"",B39+P39)</f>
        <v/>
      </c>
      <c r="K39" s="25">
        <f>IF(C39="","",N(D39)-N(E39)-N(F39)-N(G39))</f>
        <v/>
      </c>
      <c r="L39" s="13">
        <f>IF(OR(C39="",N(K39)&lt;=0,NOT(ISNUMBER(J39))),"",J39-TODAY())</f>
        <v/>
      </c>
      <c r="M39" s="12">
        <f>IF(C39="","",IF(N(K39)&lt;=0,"Sold out",IF(NOT(ISNUMBER(J39)),"In stock",IF(J39&lt;TODAY(),"Past its date",IF(J39-TODAY()&lt;=Settings!$C$5,"Use soon","In stock")))))</f>
        <v/>
      </c>
      <c r="N39" s="26">
        <f>IF(C39="","",N(D39)*Q39)</f>
        <v/>
      </c>
      <c r="O39" s="1" t="n"/>
      <c r="P39">
        <f>IF(C39="",0,IFERROR(N(INDEX(Products!$E$6:$E$45,MATCH(C39,Products!$B$6:$B$45,0))),0))</f>
        <v/>
      </c>
      <c r="Q39">
        <f>IF(C39="",0,IFERROR(N(INDEX(Products!$I$6:$I$45,MATCH(C39,Products!$B$6:$B$45,0))),0))</f>
        <v/>
      </c>
      <c r="R39">
        <f>IF(OR(C39="",NOT(ISNUMBER(B39))),"",YEAR(B39)*100+MONTH(B39))</f>
        <v/>
      </c>
      <c r="S39">
        <f>N(G39)*Q39</f>
        <v/>
      </c>
      <c r="T39">
        <f>IF(OR(M39="",M39="Sold out",NOT(ISNUMBER(J39))),"",J39*1000+ROW())</f>
        <v/>
      </c>
    </row>
    <row r="40">
      <c r="A40" s="1" t="n"/>
      <c r="B40" s="20" t="n">
        <v>46230</v>
      </c>
      <c r="C40" s="21" t="inlineStr">
        <is>
          <t>Chocolate chip cookies</t>
        </is>
      </c>
      <c r="D40" s="22" t="n">
        <v>8</v>
      </c>
      <c r="E40" s="22" t="n">
        <v>8</v>
      </c>
      <c r="F40" s="22" t="n">
        <v>0</v>
      </c>
      <c r="G40" s="22" t="n">
        <v>0</v>
      </c>
      <c r="H40" s="23" t="n"/>
      <c r="I40" s="24">
        <f>IF(OR(C40="",NOT(ISNUMBER(B40))),"",UPPER(IF(IFERROR(IF(INDEX(Products!$C$6:$C$45,MATCH(C40,Products!$B$6:$B$45,0))="","",INDEX(Products!$C$6:$C$45,MATCH(C40,Products!$B$6:$B$45,0))),"")="",LEFT(SUBSTITUTE(C40," ",""),3),IFERROR(IF(INDEX(Products!$C$6:$C$45,MATCH(C40,Products!$B$6:$B$45,0))="","",INDEX(Products!$C$6:$C$45,MATCH(C40,Products!$B$6:$B$45,0))),"")))&amp;"-"&amp;RIGHT(YEAR(B40),2)&amp;RIGHT("0"&amp;MONTH(B40),2)&amp;RIGHT("0"&amp;DAY(B40),2)&amp;"-"&amp;COUNTIFS(C$6:C40,C40,B$6:B40,B40))</f>
        <v/>
      </c>
      <c r="J40" s="14">
        <f>IF(OR(C40="",NOT(ISNUMBER(B40)),N(P40)=0),"",B40+P40)</f>
        <v/>
      </c>
      <c r="K40" s="25">
        <f>IF(C40="","",N(D40)-N(E40)-N(F40)-N(G40))</f>
        <v/>
      </c>
      <c r="L40" s="13">
        <f>IF(OR(C40="",N(K40)&lt;=0,NOT(ISNUMBER(J40))),"",J40-TODAY())</f>
        <v/>
      </c>
      <c r="M40" s="12">
        <f>IF(C40="","",IF(N(K40)&lt;=0,"Sold out",IF(NOT(ISNUMBER(J40)),"In stock",IF(J40&lt;TODAY(),"Past its date",IF(J40-TODAY()&lt;=Settings!$C$5,"Use soon","In stock")))))</f>
        <v/>
      </c>
      <c r="N40" s="26">
        <f>IF(C40="","",N(D40)*Q40)</f>
        <v/>
      </c>
      <c r="O40" s="1" t="n"/>
      <c r="P40">
        <f>IF(C40="",0,IFERROR(N(INDEX(Products!$E$6:$E$45,MATCH(C40,Products!$B$6:$B$45,0))),0))</f>
        <v/>
      </c>
      <c r="Q40">
        <f>IF(C40="",0,IFERROR(N(INDEX(Products!$I$6:$I$45,MATCH(C40,Products!$B$6:$B$45,0))),0))</f>
        <v/>
      </c>
      <c r="R40">
        <f>IF(OR(C40="",NOT(ISNUMBER(B40))),"",YEAR(B40)*100+MONTH(B40))</f>
        <v/>
      </c>
      <c r="S40">
        <f>N(G40)*Q40</f>
        <v/>
      </c>
      <c r="T40">
        <f>IF(OR(M40="",M40="Sold out",NOT(ISNUMBER(J40))),"",J40*1000+ROW())</f>
        <v/>
      </c>
    </row>
    <row r="41">
      <c r="A41" s="1" t="n"/>
      <c r="B41" s="20" t="n">
        <v>46240</v>
      </c>
      <c r="C41" s="21" t="inlineStr">
        <is>
          <t>Brownies</t>
        </is>
      </c>
      <c r="D41" s="22" t="n">
        <v>16</v>
      </c>
      <c r="E41" s="22" t="n">
        <v>15</v>
      </c>
      <c r="F41" s="22" t="n">
        <v>1</v>
      </c>
      <c r="G41" s="22" t="n">
        <v>0</v>
      </c>
      <c r="H41" s="23" t="n"/>
      <c r="I41" s="24">
        <f>IF(OR(C41="",NOT(ISNUMBER(B41))),"",UPPER(IF(IFERROR(IF(INDEX(Products!$C$6:$C$45,MATCH(C41,Products!$B$6:$B$45,0))="","",INDEX(Products!$C$6:$C$45,MATCH(C41,Products!$B$6:$B$45,0))),"")="",LEFT(SUBSTITUTE(C41," ",""),3),IFERROR(IF(INDEX(Products!$C$6:$C$45,MATCH(C41,Products!$B$6:$B$45,0))="","",INDEX(Products!$C$6:$C$45,MATCH(C41,Products!$B$6:$B$45,0))),"")))&amp;"-"&amp;RIGHT(YEAR(B41),2)&amp;RIGHT("0"&amp;MONTH(B41),2)&amp;RIGHT("0"&amp;DAY(B41),2)&amp;"-"&amp;COUNTIFS(C$6:C41,C41,B$6:B41,B41))</f>
        <v/>
      </c>
      <c r="J41" s="14">
        <f>IF(OR(C41="",NOT(ISNUMBER(B41)),N(P41)=0),"",B41+P41)</f>
        <v/>
      </c>
      <c r="K41" s="25">
        <f>IF(C41="","",N(D41)-N(E41)-N(F41)-N(G41))</f>
        <v/>
      </c>
      <c r="L41" s="13">
        <f>IF(OR(C41="",N(K41)&lt;=0,NOT(ISNUMBER(J41))),"",J41-TODAY())</f>
        <v/>
      </c>
      <c r="M41" s="12">
        <f>IF(C41="","",IF(N(K41)&lt;=0,"Sold out",IF(NOT(ISNUMBER(J41)),"In stock",IF(J41&lt;TODAY(),"Past its date",IF(J41-TODAY()&lt;=Settings!$C$5,"Use soon","In stock")))))</f>
        <v/>
      </c>
      <c r="N41" s="26">
        <f>IF(C41="","",N(D41)*Q41)</f>
        <v/>
      </c>
      <c r="O41" s="1" t="n"/>
      <c r="P41">
        <f>IF(C41="",0,IFERROR(N(INDEX(Products!$E$6:$E$45,MATCH(C41,Products!$B$6:$B$45,0))),0))</f>
        <v/>
      </c>
      <c r="Q41">
        <f>IF(C41="",0,IFERROR(N(INDEX(Products!$I$6:$I$45,MATCH(C41,Products!$B$6:$B$45,0))),0))</f>
        <v/>
      </c>
      <c r="R41">
        <f>IF(OR(C41="",NOT(ISNUMBER(B41))),"",YEAR(B41)*100+MONTH(B41))</f>
        <v/>
      </c>
      <c r="S41">
        <f>N(G41)*Q41</f>
        <v/>
      </c>
      <c r="T41">
        <f>IF(OR(M41="",M41="Sold out",NOT(ISNUMBER(J41))),"",J41*1000+ROW())</f>
        <v/>
      </c>
    </row>
    <row r="42">
      <c r="A42" s="1" t="n"/>
      <c r="B42" s="20" t="n">
        <v>46245</v>
      </c>
      <c r="C42" s="21" t="inlineStr">
        <is>
          <t>Sourdough loaf</t>
        </is>
      </c>
      <c r="D42" s="22" t="n">
        <v>4</v>
      </c>
      <c r="E42" s="22" t="n">
        <v>4</v>
      </c>
      <c r="F42" s="22" t="n">
        <v>0</v>
      </c>
      <c r="G42" s="22" t="n">
        <v>0</v>
      </c>
      <c r="H42" s="23" t="n"/>
      <c r="I42" s="24">
        <f>IF(OR(C42="",NOT(ISNUMBER(B42))),"",UPPER(IF(IFERROR(IF(INDEX(Products!$C$6:$C$45,MATCH(C42,Products!$B$6:$B$45,0))="","",INDEX(Products!$C$6:$C$45,MATCH(C42,Products!$B$6:$B$45,0))),"")="",LEFT(SUBSTITUTE(C42," ",""),3),IFERROR(IF(INDEX(Products!$C$6:$C$45,MATCH(C42,Products!$B$6:$B$45,0))="","",INDEX(Products!$C$6:$C$45,MATCH(C42,Products!$B$6:$B$45,0))),"")))&amp;"-"&amp;RIGHT(YEAR(B42),2)&amp;RIGHT("0"&amp;MONTH(B42),2)&amp;RIGHT("0"&amp;DAY(B42),2)&amp;"-"&amp;COUNTIFS(C$6:C42,C42,B$6:B42,B42))</f>
        <v/>
      </c>
      <c r="J42" s="14">
        <f>IF(OR(C42="",NOT(ISNUMBER(B42)),N(P42)=0),"",B42+P42)</f>
        <v/>
      </c>
      <c r="K42" s="25">
        <f>IF(C42="","",N(D42)-N(E42)-N(F42)-N(G42))</f>
        <v/>
      </c>
      <c r="L42" s="13">
        <f>IF(OR(C42="",N(K42)&lt;=0,NOT(ISNUMBER(J42))),"",J42-TODAY())</f>
        <v/>
      </c>
      <c r="M42" s="12">
        <f>IF(C42="","",IF(N(K42)&lt;=0,"Sold out",IF(NOT(ISNUMBER(J42)),"In stock",IF(J42&lt;TODAY(),"Past its date",IF(J42-TODAY()&lt;=Settings!$C$5,"Use soon","In stock")))))</f>
        <v/>
      </c>
      <c r="N42" s="26">
        <f>IF(C42="","",N(D42)*Q42)</f>
        <v/>
      </c>
      <c r="O42" s="1" t="n"/>
      <c r="P42">
        <f>IF(C42="",0,IFERROR(N(INDEX(Products!$E$6:$E$45,MATCH(C42,Products!$B$6:$B$45,0))),0))</f>
        <v/>
      </c>
      <c r="Q42">
        <f>IF(C42="",0,IFERROR(N(INDEX(Products!$I$6:$I$45,MATCH(C42,Products!$B$6:$B$45,0))),0))</f>
        <v/>
      </c>
      <c r="R42">
        <f>IF(OR(C42="",NOT(ISNUMBER(B42))),"",YEAR(B42)*100+MONTH(B42))</f>
        <v/>
      </c>
      <c r="S42">
        <f>N(G42)*Q42</f>
        <v/>
      </c>
      <c r="T42">
        <f>IF(OR(M42="",M42="Sold out",NOT(ISNUMBER(J42))),"",J42*1000+ROW())</f>
        <v/>
      </c>
    </row>
    <row r="43">
      <c r="A43" s="1" t="n"/>
      <c r="B43" s="20" t="n">
        <v>46253</v>
      </c>
      <c r="C43" s="21" t="inlineStr">
        <is>
          <t>Strawberry jam</t>
        </is>
      </c>
      <c r="D43" s="22" t="n">
        <v>12</v>
      </c>
      <c r="E43" s="22" t="n">
        <v>7</v>
      </c>
      <c r="F43" s="22" t="n">
        <v>1</v>
      </c>
      <c r="G43" s="22" t="n">
        <v>0</v>
      </c>
      <c r="H43" s="23" t="inlineStr">
        <is>
          <t>Strawberries lot B-2207</t>
        </is>
      </c>
      <c r="I43" s="24">
        <f>IF(OR(C43="",NOT(ISNUMBER(B43))),"",UPPER(IF(IFERROR(IF(INDEX(Products!$C$6:$C$45,MATCH(C43,Products!$B$6:$B$45,0))="","",INDEX(Products!$C$6:$C$45,MATCH(C43,Products!$B$6:$B$45,0))),"")="",LEFT(SUBSTITUTE(C43," ",""),3),IFERROR(IF(INDEX(Products!$C$6:$C$45,MATCH(C43,Products!$B$6:$B$45,0))="","",INDEX(Products!$C$6:$C$45,MATCH(C43,Products!$B$6:$B$45,0))),"")))&amp;"-"&amp;RIGHT(YEAR(B43),2)&amp;RIGHT("0"&amp;MONTH(B43),2)&amp;RIGHT("0"&amp;DAY(B43),2)&amp;"-"&amp;COUNTIFS(C$6:C43,C43,B$6:B43,B43))</f>
        <v/>
      </c>
      <c r="J43" s="14">
        <f>IF(OR(C43="",NOT(ISNUMBER(B43)),N(P43)=0),"",B43+P43)</f>
        <v/>
      </c>
      <c r="K43" s="25">
        <f>IF(C43="","",N(D43)-N(E43)-N(F43)-N(G43))</f>
        <v/>
      </c>
      <c r="L43" s="13">
        <f>IF(OR(C43="",N(K43)&lt;=0,NOT(ISNUMBER(J43))),"",J43-TODAY())</f>
        <v/>
      </c>
      <c r="M43" s="12">
        <f>IF(C43="","",IF(N(K43)&lt;=0,"Sold out",IF(NOT(ISNUMBER(J43)),"In stock",IF(J43&lt;TODAY(),"Past its date",IF(J43-TODAY()&lt;=Settings!$C$5,"Use soon","In stock")))))</f>
        <v/>
      </c>
      <c r="N43" s="26">
        <f>IF(C43="","",N(D43)*Q43)</f>
        <v/>
      </c>
      <c r="O43" s="1" t="n"/>
      <c r="P43">
        <f>IF(C43="",0,IFERROR(N(INDEX(Products!$E$6:$E$45,MATCH(C43,Products!$B$6:$B$45,0))),0))</f>
        <v/>
      </c>
      <c r="Q43">
        <f>IF(C43="",0,IFERROR(N(INDEX(Products!$I$6:$I$45,MATCH(C43,Products!$B$6:$B$45,0))),0))</f>
        <v/>
      </c>
      <c r="R43">
        <f>IF(OR(C43="",NOT(ISNUMBER(B43))),"",YEAR(B43)*100+MONTH(B43))</f>
        <v/>
      </c>
      <c r="S43">
        <f>N(G43)*Q43</f>
        <v/>
      </c>
      <c r="T43">
        <f>IF(OR(M43="",M43="Sold out",NOT(ISNUMBER(J43))),"",J43*1000+ROW())</f>
        <v/>
      </c>
    </row>
    <row r="44">
      <c r="A44" s="1" t="n"/>
      <c r="B44" s="20" t="n">
        <v>46258</v>
      </c>
      <c r="C44" s="21" t="inlineStr">
        <is>
          <t>Dog biscuits</t>
        </is>
      </c>
      <c r="D44" s="22" t="n">
        <v>10</v>
      </c>
      <c r="E44" s="22" t="n">
        <v>8</v>
      </c>
      <c r="F44" s="22" t="n">
        <v>0</v>
      </c>
      <c r="G44" s="22" t="n">
        <v>0</v>
      </c>
      <c r="H44" s="23" t="n"/>
      <c r="I44" s="24">
        <f>IF(OR(C44="",NOT(ISNUMBER(B44))),"",UPPER(IF(IFERROR(IF(INDEX(Products!$C$6:$C$45,MATCH(C44,Products!$B$6:$B$45,0))="","",INDEX(Products!$C$6:$C$45,MATCH(C44,Products!$B$6:$B$45,0))),"")="",LEFT(SUBSTITUTE(C44," ",""),3),IFERROR(IF(INDEX(Products!$C$6:$C$45,MATCH(C44,Products!$B$6:$B$45,0))="","",INDEX(Products!$C$6:$C$45,MATCH(C44,Products!$B$6:$B$45,0))),"")))&amp;"-"&amp;RIGHT(YEAR(B44),2)&amp;RIGHT("0"&amp;MONTH(B44),2)&amp;RIGHT("0"&amp;DAY(B44),2)&amp;"-"&amp;COUNTIFS(C$6:C44,C44,B$6:B44,B44))</f>
        <v/>
      </c>
      <c r="J44" s="14">
        <f>IF(OR(C44="",NOT(ISNUMBER(B44)),N(P44)=0),"",B44+P44)</f>
        <v/>
      </c>
      <c r="K44" s="25">
        <f>IF(C44="","",N(D44)-N(E44)-N(F44)-N(G44))</f>
        <v/>
      </c>
      <c r="L44" s="13">
        <f>IF(OR(C44="",N(K44)&lt;=0,NOT(ISNUMBER(J44))),"",J44-TODAY())</f>
        <v/>
      </c>
      <c r="M44" s="12">
        <f>IF(C44="","",IF(N(K44)&lt;=0,"Sold out",IF(NOT(ISNUMBER(J44)),"In stock",IF(J44&lt;TODAY(),"Past its date",IF(J44-TODAY()&lt;=Settings!$C$5,"Use soon","In stock")))))</f>
        <v/>
      </c>
      <c r="N44" s="26">
        <f>IF(C44="","",N(D44)*Q44)</f>
        <v/>
      </c>
      <c r="O44" s="1" t="n"/>
      <c r="P44">
        <f>IF(C44="",0,IFERROR(N(INDEX(Products!$E$6:$E$45,MATCH(C44,Products!$B$6:$B$45,0))),0))</f>
        <v/>
      </c>
      <c r="Q44">
        <f>IF(C44="",0,IFERROR(N(INDEX(Products!$I$6:$I$45,MATCH(C44,Products!$B$6:$B$45,0))),0))</f>
        <v/>
      </c>
      <c r="R44">
        <f>IF(OR(C44="",NOT(ISNUMBER(B44))),"",YEAR(B44)*100+MONTH(B44))</f>
        <v/>
      </c>
      <c r="S44">
        <f>N(G44)*Q44</f>
        <v/>
      </c>
      <c r="T44">
        <f>IF(OR(M44="",M44="Sold out",NOT(ISNUMBER(J44))),"",J44*1000+ROW())</f>
        <v/>
      </c>
    </row>
    <row r="45">
      <c r="A45" s="1" t="n"/>
      <c r="B45" s="20" t="n">
        <v>46260</v>
      </c>
      <c r="C45" s="21" t="inlineStr">
        <is>
          <t>Chocolate chip cookies</t>
        </is>
      </c>
      <c r="D45" s="22" t="n">
        <v>8</v>
      </c>
      <c r="E45" s="22" t="n">
        <v>8</v>
      </c>
      <c r="F45" s="22" t="n">
        <v>0</v>
      </c>
      <c r="G45" s="22" t="n">
        <v>0</v>
      </c>
      <c r="H45" s="23" t="n"/>
      <c r="I45" s="24">
        <f>IF(OR(C45="",NOT(ISNUMBER(B45))),"",UPPER(IF(IFERROR(IF(INDEX(Products!$C$6:$C$45,MATCH(C45,Products!$B$6:$B$45,0))="","",INDEX(Products!$C$6:$C$45,MATCH(C45,Products!$B$6:$B$45,0))),"")="",LEFT(SUBSTITUTE(C45," ",""),3),IFERROR(IF(INDEX(Products!$C$6:$C$45,MATCH(C45,Products!$B$6:$B$45,0))="","",INDEX(Products!$C$6:$C$45,MATCH(C45,Products!$B$6:$B$45,0))),"")))&amp;"-"&amp;RIGHT(YEAR(B45),2)&amp;RIGHT("0"&amp;MONTH(B45),2)&amp;RIGHT("0"&amp;DAY(B45),2)&amp;"-"&amp;COUNTIFS(C$6:C45,C45,B$6:B45,B45))</f>
        <v/>
      </c>
      <c r="J45" s="14">
        <f>IF(OR(C45="",NOT(ISNUMBER(B45)),N(P45)=0),"",B45+P45)</f>
        <v/>
      </c>
      <c r="K45" s="25">
        <f>IF(C45="","",N(D45)-N(E45)-N(F45)-N(G45))</f>
        <v/>
      </c>
      <c r="L45" s="13">
        <f>IF(OR(C45="",N(K45)&lt;=0,NOT(ISNUMBER(J45))),"",J45-TODAY())</f>
        <v/>
      </c>
      <c r="M45" s="12">
        <f>IF(C45="","",IF(N(K45)&lt;=0,"Sold out",IF(NOT(ISNUMBER(J45)),"In stock",IF(J45&lt;TODAY(),"Past its date",IF(J45-TODAY()&lt;=Settings!$C$5,"Use soon","In stock")))))</f>
        <v/>
      </c>
      <c r="N45" s="26">
        <f>IF(C45="","",N(D45)*Q45)</f>
        <v/>
      </c>
      <c r="O45" s="1" t="n"/>
      <c r="P45">
        <f>IF(C45="",0,IFERROR(N(INDEX(Products!$E$6:$E$45,MATCH(C45,Products!$B$6:$B$45,0))),0))</f>
        <v/>
      </c>
      <c r="Q45">
        <f>IF(C45="",0,IFERROR(N(INDEX(Products!$I$6:$I$45,MATCH(C45,Products!$B$6:$B$45,0))),0))</f>
        <v/>
      </c>
      <c r="R45">
        <f>IF(OR(C45="",NOT(ISNUMBER(B45))),"",YEAR(B45)*100+MONTH(B45))</f>
        <v/>
      </c>
      <c r="S45">
        <f>N(G45)*Q45</f>
        <v/>
      </c>
      <c r="T45">
        <f>IF(OR(M45="",M45="Sold out",NOT(ISNUMBER(J45))),"",J45*1000+ROW())</f>
        <v/>
      </c>
    </row>
    <row r="46">
      <c r="A46" s="1" t="n"/>
      <c r="B46" s="20" t="n">
        <v>46265</v>
      </c>
      <c r="C46" s="21" t="inlineStr">
        <is>
          <t>Lemon drizzle loaf</t>
        </is>
      </c>
      <c r="D46" s="22" t="n">
        <v>4</v>
      </c>
      <c r="E46" s="22" t="n">
        <v>3</v>
      </c>
      <c r="F46" s="22" t="n">
        <v>0</v>
      </c>
      <c r="G46" s="22" t="n">
        <v>1</v>
      </c>
      <c r="H46" s="23" t="n"/>
      <c r="I46" s="24">
        <f>IF(OR(C46="",NOT(ISNUMBER(B46))),"",UPPER(IF(IFERROR(IF(INDEX(Products!$C$6:$C$45,MATCH(C46,Products!$B$6:$B$45,0))="","",INDEX(Products!$C$6:$C$45,MATCH(C46,Products!$B$6:$B$45,0))),"")="",LEFT(SUBSTITUTE(C46," ",""),3),IFERROR(IF(INDEX(Products!$C$6:$C$45,MATCH(C46,Products!$B$6:$B$45,0))="","",INDEX(Products!$C$6:$C$45,MATCH(C46,Products!$B$6:$B$45,0))),"")))&amp;"-"&amp;RIGHT(YEAR(B46),2)&amp;RIGHT("0"&amp;MONTH(B46),2)&amp;RIGHT("0"&amp;DAY(B46),2)&amp;"-"&amp;COUNTIFS(C$6:C46,C46,B$6:B46,B46))</f>
        <v/>
      </c>
      <c r="J46" s="14">
        <f>IF(OR(C46="",NOT(ISNUMBER(B46)),N(P46)=0),"",B46+P46)</f>
        <v/>
      </c>
      <c r="K46" s="25">
        <f>IF(C46="","",N(D46)-N(E46)-N(F46)-N(G46))</f>
        <v/>
      </c>
      <c r="L46" s="13">
        <f>IF(OR(C46="",N(K46)&lt;=0,NOT(ISNUMBER(J46))),"",J46-TODAY())</f>
        <v/>
      </c>
      <c r="M46" s="12">
        <f>IF(C46="","",IF(N(K46)&lt;=0,"Sold out",IF(NOT(ISNUMBER(J46)),"In stock",IF(J46&lt;TODAY(),"Past its date",IF(J46-TODAY()&lt;=Settings!$C$5,"Use soon","In stock")))))</f>
        <v/>
      </c>
      <c r="N46" s="26">
        <f>IF(C46="","",N(D46)*Q46)</f>
        <v/>
      </c>
      <c r="O46" s="1" t="n"/>
      <c r="P46">
        <f>IF(C46="",0,IFERROR(N(INDEX(Products!$E$6:$E$45,MATCH(C46,Products!$B$6:$B$45,0))),0))</f>
        <v/>
      </c>
      <c r="Q46">
        <f>IF(C46="",0,IFERROR(N(INDEX(Products!$I$6:$I$45,MATCH(C46,Products!$B$6:$B$45,0))),0))</f>
        <v/>
      </c>
      <c r="R46">
        <f>IF(OR(C46="",NOT(ISNUMBER(B46))),"",YEAR(B46)*100+MONTH(B46))</f>
        <v/>
      </c>
      <c r="S46">
        <f>N(G46)*Q46</f>
        <v/>
      </c>
      <c r="T46">
        <f>IF(OR(M46="",M46="Sold out",NOT(ISNUMBER(J46))),"",J46*1000+ROW())</f>
        <v/>
      </c>
    </row>
    <row r="47">
      <c r="A47" s="1" t="n"/>
      <c r="B47" s="20" t="n">
        <v>46273</v>
      </c>
      <c r="C47" s="21" t="inlineStr">
        <is>
          <t>Granola</t>
        </is>
      </c>
      <c r="D47" s="22" t="n">
        <v>10</v>
      </c>
      <c r="E47" s="22" t="n">
        <v>6</v>
      </c>
      <c r="F47" s="22" t="n">
        <v>0</v>
      </c>
      <c r="G47" s="22" t="n">
        <v>0</v>
      </c>
      <c r="H47" s="23" t="n"/>
      <c r="I47" s="24">
        <f>IF(OR(C47="",NOT(ISNUMBER(B47))),"",UPPER(IF(IFERROR(IF(INDEX(Products!$C$6:$C$45,MATCH(C47,Products!$B$6:$B$45,0))="","",INDEX(Products!$C$6:$C$45,MATCH(C47,Products!$B$6:$B$45,0))),"")="",LEFT(SUBSTITUTE(C47," ",""),3),IFERROR(IF(INDEX(Products!$C$6:$C$45,MATCH(C47,Products!$B$6:$B$45,0))="","",INDEX(Products!$C$6:$C$45,MATCH(C47,Products!$B$6:$B$45,0))),"")))&amp;"-"&amp;RIGHT(YEAR(B47),2)&amp;RIGHT("0"&amp;MONTH(B47),2)&amp;RIGHT("0"&amp;DAY(B47),2)&amp;"-"&amp;COUNTIFS(C$6:C47,C47,B$6:B47,B47))</f>
        <v/>
      </c>
      <c r="J47" s="14">
        <f>IF(OR(C47="",NOT(ISNUMBER(B47)),N(P47)=0),"",B47+P47)</f>
        <v/>
      </c>
      <c r="K47" s="25">
        <f>IF(C47="","",N(D47)-N(E47)-N(F47)-N(G47))</f>
        <v/>
      </c>
      <c r="L47" s="13">
        <f>IF(OR(C47="",N(K47)&lt;=0,NOT(ISNUMBER(J47))),"",J47-TODAY())</f>
        <v/>
      </c>
      <c r="M47" s="12">
        <f>IF(C47="","",IF(N(K47)&lt;=0,"Sold out",IF(NOT(ISNUMBER(J47)),"In stock",IF(J47&lt;TODAY(),"Past its date",IF(J47-TODAY()&lt;=Settings!$C$5,"Use soon","In stock")))))</f>
        <v/>
      </c>
      <c r="N47" s="26">
        <f>IF(C47="","",N(D47)*Q47)</f>
        <v/>
      </c>
      <c r="O47" s="1" t="n"/>
      <c r="P47">
        <f>IF(C47="",0,IFERROR(N(INDEX(Products!$E$6:$E$45,MATCH(C47,Products!$B$6:$B$45,0))),0))</f>
        <v/>
      </c>
      <c r="Q47">
        <f>IF(C47="",0,IFERROR(N(INDEX(Products!$I$6:$I$45,MATCH(C47,Products!$B$6:$B$45,0))),0))</f>
        <v/>
      </c>
      <c r="R47">
        <f>IF(OR(C47="",NOT(ISNUMBER(B47))),"",YEAR(B47)*100+MONTH(B47))</f>
        <v/>
      </c>
      <c r="S47">
        <f>N(G47)*Q47</f>
        <v/>
      </c>
      <c r="T47">
        <f>IF(OR(M47="",M47="Sold out",NOT(ISNUMBER(J47))),"",J47*1000+ROW())</f>
        <v/>
      </c>
    </row>
    <row r="48">
      <c r="A48" s="1" t="n"/>
      <c r="B48" s="20" t="n">
        <v>46275</v>
      </c>
      <c r="C48" s="21" t="inlineStr">
        <is>
          <t>Sourdough loaf</t>
        </is>
      </c>
      <c r="D48" s="22" t="n">
        <v>4</v>
      </c>
      <c r="E48" s="22" t="n">
        <v>4</v>
      </c>
      <c r="F48" s="22" t="n">
        <v>0</v>
      </c>
      <c r="G48" s="22" t="n">
        <v>0</v>
      </c>
      <c r="H48" s="23" t="n"/>
      <c r="I48" s="24">
        <f>IF(OR(C48="",NOT(ISNUMBER(B48))),"",UPPER(IF(IFERROR(IF(INDEX(Products!$C$6:$C$45,MATCH(C48,Products!$B$6:$B$45,0))="","",INDEX(Products!$C$6:$C$45,MATCH(C48,Products!$B$6:$B$45,0))),"")="",LEFT(SUBSTITUTE(C48," ",""),3),IFERROR(IF(INDEX(Products!$C$6:$C$45,MATCH(C48,Products!$B$6:$B$45,0))="","",INDEX(Products!$C$6:$C$45,MATCH(C48,Products!$B$6:$B$45,0))),"")))&amp;"-"&amp;RIGHT(YEAR(B48),2)&amp;RIGHT("0"&amp;MONTH(B48),2)&amp;RIGHT("0"&amp;DAY(B48),2)&amp;"-"&amp;COUNTIFS(C$6:C48,C48,B$6:B48,B48))</f>
        <v/>
      </c>
      <c r="J48" s="14">
        <f>IF(OR(C48="",NOT(ISNUMBER(B48)),N(P48)=0),"",B48+P48)</f>
        <v/>
      </c>
      <c r="K48" s="25">
        <f>IF(C48="","",N(D48)-N(E48)-N(F48)-N(G48))</f>
        <v/>
      </c>
      <c r="L48" s="13">
        <f>IF(OR(C48="",N(K48)&lt;=0,NOT(ISNUMBER(J48))),"",J48-TODAY())</f>
        <v/>
      </c>
      <c r="M48" s="12">
        <f>IF(C48="","",IF(N(K48)&lt;=0,"Sold out",IF(NOT(ISNUMBER(J48)),"In stock",IF(J48&lt;TODAY(),"Past its date",IF(J48-TODAY()&lt;=Settings!$C$5,"Use soon","In stock")))))</f>
        <v/>
      </c>
      <c r="N48" s="26">
        <f>IF(C48="","",N(D48)*Q48)</f>
        <v/>
      </c>
      <c r="O48" s="1" t="n"/>
      <c r="P48">
        <f>IF(C48="",0,IFERROR(N(INDEX(Products!$E$6:$E$45,MATCH(C48,Products!$B$6:$B$45,0))),0))</f>
        <v/>
      </c>
      <c r="Q48">
        <f>IF(C48="",0,IFERROR(N(INDEX(Products!$I$6:$I$45,MATCH(C48,Products!$B$6:$B$45,0))),0))</f>
        <v/>
      </c>
      <c r="R48">
        <f>IF(OR(C48="",NOT(ISNUMBER(B48))),"",YEAR(B48)*100+MONTH(B48))</f>
        <v/>
      </c>
      <c r="S48">
        <f>N(G48)*Q48</f>
        <v/>
      </c>
      <c r="T48">
        <f>IF(OR(M48="",M48="Sold out",NOT(ISNUMBER(J48))),"",J48*1000+ROW())</f>
        <v/>
      </c>
    </row>
    <row r="49">
      <c r="A49" s="1" t="n"/>
      <c r="B49" s="20" t="n">
        <v>46280</v>
      </c>
      <c r="C49" s="21" t="inlineStr">
        <is>
          <t>Cinnamon rolls</t>
        </is>
      </c>
      <c r="D49" s="22" t="n">
        <v>12</v>
      </c>
      <c r="E49" s="22" t="n">
        <v>9</v>
      </c>
      <c r="F49" s="22" t="n">
        <v>0</v>
      </c>
      <c r="G49" s="22" t="n">
        <v>3</v>
      </c>
      <c r="H49" s="23" t="n"/>
      <c r="I49" s="24">
        <f>IF(OR(C49="",NOT(ISNUMBER(B49))),"",UPPER(IF(IFERROR(IF(INDEX(Products!$C$6:$C$45,MATCH(C49,Products!$B$6:$B$45,0))="","",INDEX(Products!$C$6:$C$45,MATCH(C49,Products!$B$6:$B$45,0))),"")="",LEFT(SUBSTITUTE(C49," ",""),3),IFERROR(IF(INDEX(Products!$C$6:$C$45,MATCH(C49,Products!$B$6:$B$45,0))="","",INDEX(Products!$C$6:$C$45,MATCH(C49,Products!$B$6:$B$45,0))),"")))&amp;"-"&amp;RIGHT(YEAR(B49),2)&amp;RIGHT("0"&amp;MONTH(B49),2)&amp;RIGHT("0"&amp;DAY(B49),2)&amp;"-"&amp;COUNTIFS(C$6:C49,C49,B$6:B49,B49))</f>
        <v/>
      </c>
      <c r="J49" s="14">
        <f>IF(OR(C49="",NOT(ISNUMBER(B49)),N(P49)=0),"",B49+P49)</f>
        <v/>
      </c>
      <c r="K49" s="25">
        <f>IF(C49="","",N(D49)-N(E49)-N(F49)-N(G49))</f>
        <v/>
      </c>
      <c r="L49" s="13">
        <f>IF(OR(C49="",N(K49)&lt;=0,NOT(ISNUMBER(J49))),"",J49-TODAY())</f>
        <v/>
      </c>
      <c r="M49" s="12">
        <f>IF(C49="","",IF(N(K49)&lt;=0,"Sold out",IF(NOT(ISNUMBER(J49)),"In stock",IF(J49&lt;TODAY(),"Past its date",IF(J49-TODAY()&lt;=Settings!$C$5,"Use soon","In stock")))))</f>
        <v/>
      </c>
      <c r="N49" s="26">
        <f>IF(C49="","",N(D49)*Q49)</f>
        <v/>
      </c>
      <c r="O49" s="1" t="n"/>
      <c r="P49">
        <f>IF(C49="",0,IFERROR(N(INDEX(Products!$E$6:$E$45,MATCH(C49,Products!$B$6:$B$45,0))),0))</f>
        <v/>
      </c>
      <c r="Q49">
        <f>IF(C49="",0,IFERROR(N(INDEX(Products!$I$6:$I$45,MATCH(C49,Products!$B$6:$B$45,0))),0))</f>
        <v/>
      </c>
      <c r="R49">
        <f>IF(OR(C49="",NOT(ISNUMBER(B49))),"",YEAR(B49)*100+MONTH(B49))</f>
        <v/>
      </c>
      <c r="S49">
        <f>N(G49)*Q49</f>
        <v/>
      </c>
      <c r="T49">
        <f>IF(OR(M49="",M49="Sold out",NOT(ISNUMBER(J49))),"",J49*1000+ROW())</f>
        <v/>
      </c>
    </row>
    <row r="50">
      <c r="A50" s="1" t="n"/>
      <c r="B50" s="20" t="n">
        <v>46285</v>
      </c>
      <c r="C50" s="21" t="inlineStr">
        <is>
          <t>Brownies</t>
        </is>
      </c>
      <c r="D50" s="22" t="n">
        <v>16</v>
      </c>
      <c r="E50" s="22" t="n">
        <v>13</v>
      </c>
      <c r="F50" s="22" t="n">
        <v>0</v>
      </c>
      <c r="G50" s="22" t="n">
        <v>3</v>
      </c>
      <c r="H50" s="23" t="n"/>
      <c r="I50" s="24">
        <f>IF(OR(C50="",NOT(ISNUMBER(B50))),"",UPPER(IF(IFERROR(IF(INDEX(Products!$C$6:$C$45,MATCH(C50,Products!$B$6:$B$45,0))="","",INDEX(Products!$C$6:$C$45,MATCH(C50,Products!$B$6:$B$45,0))),"")="",LEFT(SUBSTITUTE(C50," ",""),3),IFERROR(IF(INDEX(Products!$C$6:$C$45,MATCH(C50,Products!$B$6:$B$45,0))="","",INDEX(Products!$C$6:$C$45,MATCH(C50,Products!$B$6:$B$45,0))),"")))&amp;"-"&amp;RIGHT(YEAR(B50),2)&amp;RIGHT("0"&amp;MONTH(B50),2)&amp;RIGHT("0"&amp;DAY(B50),2)&amp;"-"&amp;COUNTIFS(C$6:C50,C50,B$6:B50,B50))</f>
        <v/>
      </c>
      <c r="J50" s="14">
        <f>IF(OR(C50="",NOT(ISNUMBER(B50)),N(P50)=0),"",B50+P50)</f>
        <v/>
      </c>
      <c r="K50" s="25">
        <f>IF(C50="","",N(D50)-N(E50)-N(F50)-N(G50))</f>
        <v/>
      </c>
      <c r="L50" s="13">
        <f>IF(OR(C50="",N(K50)&lt;=0,NOT(ISNUMBER(J50))),"",J50-TODAY())</f>
        <v/>
      </c>
      <c r="M50" s="12">
        <f>IF(C50="","",IF(N(K50)&lt;=0,"Sold out",IF(NOT(ISNUMBER(J50)),"In stock",IF(J50&lt;TODAY(),"Past its date",IF(J50-TODAY()&lt;=Settings!$C$5,"Use soon","In stock")))))</f>
        <v/>
      </c>
      <c r="N50" s="26">
        <f>IF(C50="","",N(D50)*Q50)</f>
        <v/>
      </c>
      <c r="O50" s="1" t="n"/>
      <c r="P50">
        <f>IF(C50="",0,IFERROR(N(INDEX(Products!$E$6:$E$45,MATCH(C50,Products!$B$6:$B$45,0))),0))</f>
        <v/>
      </c>
      <c r="Q50">
        <f>IF(C50="",0,IFERROR(N(INDEX(Products!$I$6:$I$45,MATCH(C50,Products!$B$6:$B$45,0))),0))</f>
        <v/>
      </c>
      <c r="R50">
        <f>IF(OR(C50="",NOT(ISNUMBER(B50))),"",YEAR(B50)*100+MONTH(B50))</f>
        <v/>
      </c>
      <c r="S50">
        <f>N(G50)*Q50</f>
        <v/>
      </c>
      <c r="T50">
        <f>IF(OR(M50="",M50="Sold out",NOT(ISNUMBER(J50))),"",J50*1000+ROW())</f>
        <v/>
      </c>
    </row>
    <row r="51">
      <c r="A51" s="1" t="n"/>
      <c r="B51" s="20" t="n">
        <v>46289</v>
      </c>
      <c r="C51" s="21" t="inlineStr">
        <is>
          <t>Brownies</t>
        </is>
      </c>
      <c r="D51" s="22" t="n">
        <v>16</v>
      </c>
      <c r="E51" s="22" t="n">
        <v>10</v>
      </c>
      <c r="F51" s="22" t="n">
        <v>2</v>
      </c>
      <c r="G51" s="22" t="n">
        <v>0</v>
      </c>
      <c r="H51" s="23" t="n"/>
      <c r="I51" s="24">
        <f>IF(OR(C51="",NOT(ISNUMBER(B51))),"",UPPER(IF(IFERROR(IF(INDEX(Products!$C$6:$C$45,MATCH(C51,Products!$B$6:$B$45,0))="","",INDEX(Products!$C$6:$C$45,MATCH(C51,Products!$B$6:$B$45,0))),"")="",LEFT(SUBSTITUTE(C51," ",""),3),IFERROR(IF(INDEX(Products!$C$6:$C$45,MATCH(C51,Products!$B$6:$B$45,0))="","",INDEX(Products!$C$6:$C$45,MATCH(C51,Products!$B$6:$B$45,0))),"")))&amp;"-"&amp;RIGHT(YEAR(B51),2)&amp;RIGHT("0"&amp;MONTH(B51),2)&amp;RIGHT("0"&amp;DAY(B51),2)&amp;"-"&amp;COUNTIFS(C$6:C51,C51,B$6:B51,B51))</f>
        <v/>
      </c>
      <c r="J51" s="14">
        <f>IF(OR(C51="",NOT(ISNUMBER(B51)),N(P51)=0),"",B51+P51)</f>
        <v/>
      </c>
      <c r="K51" s="25">
        <f>IF(C51="","",N(D51)-N(E51)-N(F51)-N(G51))</f>
        <v/>
      </c>
      <c r="L51" s="13">
        <f>IF(OR(C51="",N(K51)&lt;=0,NOT(ISNUMBER(J51))),"",J51-TODAY())</f>
        <v/>
      </c>
      <c r="M51" s="12">
        <f>IF(C51="","",IF(N(K51)&lt;=0,"Sold out",IF(NOT(ISNUMBER(J51)),"In stock",IF(J51&lt;TODAY(),"Past its date",IF(J51-TODAY()&lt;=Settings!$C$5,"Use soon","In stock")))))</f>
        <v/>
      </c>
      <c r="N51" s="26">
        <f>IF(C51="","",N(D51)*Q51)</f>
        <v/>
      </c>
      <c r="O51" s="1" t="n"/>
      <c r="P51">
        <f>IF(C51="",0,IFERROR(N(INDEX(Products!$E$6:$E$45,MATCH(C51,Products!$B$6:$B$45,0))),0))</f>
        <v/>
      </c>
      <c r="Q51">
        <f>IF(C51="",0,IFERROR(N(INDEX(Products!$I$6:$I$45,MATCH(C51,Products!$B$6:$B$45,0))),0))</f>
        <v/>
      </c>
      <c r="R51">
        <f>IF(OR(C51="",NOT(ISNUMBER(B51))),"",YEAR(B51)*100+MONTH(B51))</f>
        <v/>
      </c>
      <c r="S51">
        <f>N(G51)*Q51</f>
        <v/>
      </c>
      <c r="T51">
        <f>IF(OR(M51="",M51="Sold out",NOT(ISNUMBER(J51))),"",J51*1000+ROW())</f>
        <v/>
      </c>
    </row>
    <row r="52">
      <c r="A52" s="1" t="n"/>
      <c r="B52" s="20" t="n">
        <v>46290</v>
      </c>
      <c r="C52" s="21" t="inlineStr">
        <is>
          <t>Lemon drizzle loaf</t>
        </is>
      </c>
      <c r="D52" s="22" t="n">
        <v>4</v>
      </c>
      <c r="E52" s="22" t="n">
        <v>2</v>
      </c>
      <c r="F52" s="22" t="n">
        <v>0</v>
      </c>
      <c r="G52" s="22" t="n">
        <v>0</v>
      </c>
      <c r="H52" s="23" t="n"/>
      <c r="I52" s="24">
        <f>IF(OR(C52="",NOT(ISNUMBER(B52))),"",UPPER(IF(IFERROR(IF(INDEX(Products!$C$6:$C$45,MATCH(C52,Products!$B$6:$B$45,0))="","",INDEX(Products!$C$6:$C$45,MATCH(C52,Products!$B$6:$B$45,0))),"")="",LEFT(SUBSTITUTE(C52," ",""),3),IFERROR(IF(INDEX(Products!$C$6:$C$45,MATCH(C52,Products!$B$6:$B$45,0))="","",INDEX(Products!$C$6:$C$45,MATCH(C52,Products!$B$6:$B$45,0))),"")))&amp;"-"&amp;RIGHT(YEAR(B52),2)&amp;RIGHT("0"&amp;MONTH(B52),2)&amp;RIGHT("0"&amp;DAY(B52),2)&amp;"-"&amp;COUNTIFS(C$6:C52,C52,B$6:B52,B52))</f>
        <v/>
      </c>
      <c r="J52" s="14">
        <f>IF(OR(C52="",NOT(ISNUMBER(B52)),N(P52)=0),"",B52+P52)</f>
        <v/>
      </c>
      <c r="K52" s="25">
        <f>IF(C52="","",N(D52)-N(E52)-N(F52)-N(G52))</f>
        <v/>
      </c>
      <c r="L52" s="13">
        <f>IF(OR(C52="",N(K52)&lt;=0,NOT(ISNUMBER(J52))),"",J52-TODAY())</f>
        <v/>
      </c>
      <c r="M52" s="12">
        <f>IF(C52="","",IF(N(K52)&lt;=0,"Sold out",IF(NOT(ISNUMBER(J52)),"In stock",IF(J52&lt;TODAY(),"Past its date",IF(J52-TODAY()&lt;=Settings!$C$5,"Use soon","In stock")))))</f>
        <v/>
      </c>
      <c r="N52" s="26">
        <f>IF(C52="","",N(D52)*Q52)</f>
        <v/>
      </c>
      <c r="O52" s="1" t="n"/>
      <c r="P52">
        <f>IF(C52="",0,IFERROR(N(INDEX(Products!$E$6:$E$45,MATCH(C52,Products!$B$6:$B$45,0))),0))</f>
        <v/>
      </c>
      <c r="Q52">
        <f>IF(C52="",0,IFERROR(N(INDEX(Products!$I$6:$I$45,MATCH(C52,Products!$B$6:$B$45,0))),0))</f>
        <v/>
      </c>
      <c r="R52">
        <f>IF(OR(C52="",NOT(ISNUMBER(B52))),"",YEAR(B52)*100+MONTH(B52))</f>
        <v/>
      </c>
      <c r="S52">
        <f>N(G52)*Q52</f>
        <v/>
      </c>
      <c r="T52">
        <f>IF(OR(M52="",M52="Sold out",NOT(ISNUMBER(J52))),"",J52*1000+ROW())</f>
        <v/>
      </c>
    </row>
    <row r="53">
      <c r="A53" s="1" t="n"/>
      <c r="B53" s="20" t="n">
        <v>46290</v>
      </c>
      <c r="C53" s="21" t="inlineStr">
        <is>
          <t>Cinnamon rolls</t>
        </is>
      </c>
      <c r="D53" s="22" t="n">
        <v>24</v>
      </c>
      <c r="E53" s="22" t="n">
        <v>20</v>
      </c>
      <c r="F53" s="22" t="n">
        <v>0</v>
      </c>
      <c r="G53" s="22" t="n">
        <v>4</v>
      </c>
      <c r="H53" s="23" t="inlineStr">
        <is>
          <t>Double batch for the market</t>
        </is>
      </c>
      <c r="I53" s="24">
        <f>IF(OR(C53="",NOT(ISNUMBER(B53))),"",UPPER(IF(IFERROR(IF(INDEX(Products!$C$6:$C$45,MATCH(C53,Products!$B$6:$B$45,0))="","",INDEX(Products!$C$6:$C$45,MATCH(C53,Products!$B$6:$B$45,0))),"")="",LEFT(SUBSTITUTE(C53," ",""),3),IFERROR(IF(INDEX(Products!$C$6:$C$45,MATCH(C53,Products!$B$6:$B$45,0))="","",INDEX(Products!$C$6:$C$45,MATCH(C53,Products!$B$6:$B$45,0))),"")))&amp;"-"&amp;RIGHT(YEAR(B53),2)&amp;RIGHT("0"&amp;MONTH(B53),2)&amp;RIGHT("0"&amp;DAY(B53),2)&amp;"-"&amp;COUNTIFS(C$6:C53,C53,B$6:B53,B53))</f>
        <v/>
      </c>
      <c r="J53" s="14">
        <f>IF(OR(C53="",NOT(ISNUMBER(B53)),N(P53)=0),"",B53+P53)</f>
        <v/>
      </c>
      <c r="K53" s="25">
        <f>IF(C53="","",N(D53)-N(E53)-N(F53)-N(G53))</f>
        <v/>
      </c>
      <c r="L53" s="13">
        <f>IF(OR(C53="",N(K53)&lt;=0,NOT(ISNUMBER(J53))),"",J53-TODAY())</f>
        <v/>
      </c>
      <c r="M53" s="12">
        <f>IF(C53="","",IF(N(K53)&lt;=0,"Sold out",IF(NOT(ISNUMBER(J53)),"In stock",IF(J53&lt;TODAY(),"Past its date",IF(J53-TODAY()&lt;=Settings!$C$5,"Use soon","In stock")))))</f>
        <v/>
      </c>
      <c r="N53" s="26">
        <f>IF(C53="","",N(D53)*Q53)</f>
        <v/>
      </c>
      <c r="O53" s="1" t="n"/>
      <c r="P53">
        <f>IF(C53="",0,IFERROR(N(INDEX(Products!$E$6:$E$45,MATCH(C53,Products!$B$6:$B$45,0))),0))</f>
        <v/>
      </c>
      <c r="Q53">
        <f>IF(C53="",0,IFERROR(N(INDEX(Products!$I$6:$I$45,MATCH(C53,Products!$B$6:$B$45,0))),0))</f>
        <v/>
      </c>
      <c r="R53">
        <f>IF(OR(C53="",NOT(ISNUMBER(B53))),"",YEAR(B53)*100+MONTH(B53))</f>
        <v/>
      </c>
      <c r="S53">
        <f>N(G53)*Q53</f>
        <v/>
      </c>
      <c r="T53">
        <f>IF(OR(M53="",M53="Sold out",NOT(ISNUMBER(J53))),"",J53*1000+ROW())</f>
        <v/>
      </c>
    </row>
    <row r="54">
      <c r="A54" s="1" t="n"/>
      <c r="B54" s="20" t="n">
        <v>46291</v>
      </c>
      <c r="C54" s="21" t="inlineStr">
        <is>
          <t>Chocolate chip cookies</t>
        </is>
      </c>
      <c r="D54" s="22" t="n">
        <v>8</v>
      </c>
      <c r="E54" s="22" t="n">
        <v>5</v>
      </c>
      <c r="F54" s="22" t="n">
        <v>0</v>
      </c>
      <c r="G54" s="22" t="n">
        <v>0</v>
      </c>
      <c r="H54" s="23" t="n"/>
      <c r="I54" s="24">
        <f>IF(OR(C54="",NOT(ISNUMBER(B54))),"",UPPER(IF(IFERROR(IF(INDEX(Products!$C$6:$C$45,MATCH(C54,Products!$B$6:$B$45,0))="","",INDEX(Products!$C$6:$C$45,MATCH(C54,Products!$B$6:$B$45,0))),"")="",LEFT(SUBSTITUTE(C54," ",""),3),IFERROR(IF(INDEX(Products!$C$6:$C$45,MATCH(C54,Products!$B$6:$B$45,0))="","",INDEX(Products!$C$6:$C$45,MATCH(C54,Products!$B$6:$B$45,0))),"")))&amp;"-"&amp;RIGHT(YEAR(B54),2)&amp;RIGHT("0"&amp;MONTH(B54),2)&amp;RIGHT("0"&amp;DAY(B54),2)&amp;"-"&amp;COUNTIFS(C$6:C54,C54,B$6:B54,B54))</f>
        <v/>
      </c>
      <c r="J54" s="14">
        <f>IF(OR(C54="",NOT(ISNUMBER(B54)),N(P54)=0),"",B54+P54)</f>
        <v/>
      </c>
      <c r="K54" s="25">
        <f>IF(C54="","",N(D54)-N(E54)-N(F54)-N(G54))</f>
        <v/>
      </c>
      <c r="L54" s="13">
        <f>IF(OR(C54="",N(K54)&lt;=0,NOT(ISNUMBER(J54))),"",J54-TODAY())</f>
        <v/>
      </c>
      <c r="M54" s="12">
        <f>IF(C54="","",IF(N(K54)&lt;=0,"Sold out",IF(NOT(ISNUMBER(J54)),"In stock",IF(J54&lt;TODAY(),"Past its date",IF(J54-TODAY()&lt;=Settings!$C$5,"Use soon","In stock")))))</f>
        <v/>
      </c>
      <c r="N54" s="26">
        <f>IF(C54="","",N(D54)*Q54)</f>
        <v/>
      </c>
      <c r="O54" s="1" t="n"/>
      <c r="P54">
        <f>IF(C54="",0,IFERROR(N(INDEX(Products!$E$6:$E$45,MATCH(C54,Products!$B$6:$B$45,0))),0))</f>
        <v/>
      </c>
      <c r="Q54">
        <f>IF(C54="",0,IFERROR(N(INDEX(Products!$I$6:$I$45,MATCH(C54,Products!$B$6:$B$45,0))),0))</f>
        <v/>
      </c>
      <c r="R54">
        <f>IF(OR(C54="",NOT(ISNUMBER(B54))),"",YEAR(B54)*100+MONTH(B54))</f>
        <v/>
      </c>
      <c r="S54">
        <f>N(G54)*Q54</f>
        <v/>
      </c>
      <c r="T54">
        <f>IF(OR(M54="",M54="Sold out",NOT(ISNUMBER(J54))),"",J54*1000+ROW())</f>
        <v/>
      </c>
    </row>
    <row r="55">
      <c r="A55" s="1" t="n"/>
      <c r="B55" s="20" t="n">
        <v>46291</v>
      </c>
      <c r="C55" s="21" t="inlineStr">
        <is>
          <t>Cinnamon rolls</t>
        </is>
      </c>
      <c r="D55" s="22" t="n">
        <v>12</v>
      </c>
      <c r="E55" s="22" t="n">
        <v>9</v>
      </c>
      <c r="F55" s="22" t="n">
        <v>0</v>
      </c>
      <c r="G55" s="22" t="n">
        <v>0</v>
      </c>
      <c r="H55" s="23" t="n"/>
      <c r="I55" s="24">
        <f>IF(OR(C55="",NOT(ISNUMBER(B55))),"",UPPER(IF(IFERROR(IF(INDEX(Products!$C$6:$C$45,MATCH(C55,Products!$B$6:$B$45,0))="","",INDEX(Products!$C$6:$C$45,MATCH(C55,Products!$B$6:$B$45,0))),"")="",LEFT(SUBSTITUTE(C55," ",""),3),IFERROR(IF(INDEX(Products!$C$6:$C$45,MATCH(C55,Products!$B$6:$B$45,0))="","",INDEX(Products!$C$6:$C$45,MATCH(C55,Products!$B$6:$B$45,0))),"")))&amp;"-"&amp;RIGHT(YEAR(B55),2)&amp;RIGHT("0"&amp;MONTH(B55),2)&amp;RIGHT("0"&amp;DAY(B55),2)&amp;"-"&amp;COUNTIFS(C$6:C55,C55,B$6:B55,B55))</f>
        <v/>
      </c>
      <c r="J55" s="14">
        <f>IF(OR(C55="",NOT(ISNUMBER(B55)),N(P55)=0),"",B55+P55)</f>
        <v/>
      </c>
      <c r="K55" s="25">
        <f>IF(C55="","",N(D55)-N(E55)-N(F55)-N(G55))</f>
        <v/>
      </c>
      <c r="L55" s="13">
        <f>IF(OR(C55="",N(K55)&lt;=0,NOT(ISNUMBER(J55))),"",J55-TODAY())</f>
        <v/>
      </c>
      <c r="M55" s="12">
        <f>IF(C55="","",IF(N(K55)&lt;=0,"Sold out",IF(NOT(ISNUMBER(J55)),"In stock",IF(J55&lt;TODAY(),"Past its date",IF(J55-TODAY()&lt;=Settings!$C$5,"Use soon","In stock")))))</f>
        <v/>
      </c>
      <c r="N55" s="26">
        <f>IF(C55="","",N(D55)*Q55)</f>
        <v/>
      </c>
      <c r="O55" s="1" t="n"/>
      <c r="P55">
        <f>IF(C55="",0,IFERROR(N(INDEX(Products!$E$6:$E$45,MATCH(C55,Products!$B$6:$B$45,0))),0))</f>
        <v/>
      </c>
      <c r="Q55">
        <f>IF(C55="",0,IFERROR(N(INDEX(Products!$I$6:$I$45,MATCH(C55,Products!$B$6:$B$45,0))),0))</f>
        <v/>
      </c>
      <c r="R55">
        <f>IF(OR(C55="",NOT(ISNUMBER(B55))),"",YEAR(B55)*100+MONTH(B55))</f>
        <v/>
      </c>
      <c r="S55">
        <f>N(G55)*Q55</f>
        <v/>
      </c>
      <c r="T55">
        <f>IF(OR(M55="",M55="Sold out",NOT(ISNUMBER(J55))),"",J55*1000+ROW())</f>
        <v/>
      </c>
    </row>
    <row r="56">
      <c r="A56" s="1" t="n"/>
      <c r="B56" s="20" t="n">
        <v>46292</v>
      </c>
      <c r="C56" s="21" t="inlineStr">
        <is>
          <t>Sourdough loaf</t>
        </is>
      </c>
      <c r="D56" s="22" t="n">
        <v>4</v>
      </c>
      <c r="E56" s="22" t="n">
        <v>3</v>
      </c>
      <c r="F56" s="22" t="n">
        <v>0</v>
      </c>
      <c r="G56" s="22" t="n">
        <v>0</v>
      </c>
      <c r="H56" s="23" t="n"/>
      <c r="I56" s="24">
        <f>IF(OR(C56="",NOT(ISNUMBER(B56))),"",UPPER(IF(IFERROR(IF(INDEX(Products!$C$6:$C$45,MATCH(C56,Products!$B$6:$B$45,0))="","",INDEX(Products!$C$6:$C$45,MATCH(C56,Products!$B$6:$B$45,0))),"")="",LEFT(SUBSTITUTE(C56," ",""),3),IFERROR(IF(INDEX(Products!$C$6:$C$45,MATCH(C56,Products!$B$6:$B$45,0))="","",INDEX(Products!$C$6:$C$45,MATCH(C56,Products!$B$6:$B$45,0))),"")))&amp;"-"&amp;RIGHT(YEAR(B56),2)&amp;RIGHT("0"&amp;MONTH(B56),2)&amp;RIGHT("0"&amp;DAY(B56),2)&amp;"-"&amp;COUNTIFS(C$6:C56,C56,B$6:B56,B56))</f>
        <v/>
      </c>
      <c r="J56" s="14">
        <f>IF(OR(C56="",NOT(ISNUMBER(B56)),N(P56)=0),"",B56+P56)</f>
        <v/>
      </c>
      <c r="K56" s="25">
        <f>IF(C56="","",N(D56)-N(E56)-N(F56)-N(G56))</f>
        <v/>
      </c>
      <c r="L56" s="13">
        <f>IF(OR(C56="",N(K56)&lt;=0,NOT(ISNUMBER(J56))),"",J56-TODAY())</f>
        <v/>
      </c>
      <c r="M56" s="12">
        <f>IF(C56="","",IF(N(K56)&lt;=0,"Sold out",IF(NOT(ISNUMBER(J56)),"In stock",IF(J56&lt;TODAY(),"Past its date",IF(J56-TODAY()&lt;=Settings!$C$5,"Use soon","In stock")))))</f>
        <v/>
      </c>
      <c r="N56" s="26">
        <f>IF(C56="","",N(D56)*Q56)</f>
        <v/>
      </c>
      <c r="O56" s="1" t="n"/>
      <c r="P56">
        <f>IF(C56="",0,IFERROR(N(INDEX(Products!$E$6:$E$45,MATCH(C56,Products!$B$6:$B$45,0))),0))</f>
        <v/>
      </c>
      <c r="Q56">
        <f>IF(C56="",0,IFERROR(N(INDEX(Products!$I$6:$I$45,MATCH(C56,Products!$B$6:$B$45,0))),0))</f>
        <v/>
      </c>
      <c r="R56">
        <f>IF(OR(C56="",NOT(ISNUMBER(B56))),"",YEAR(B56)*100+MONTH(B56))</f>
        <v/>
      </c>
      <c r="S56">
        <f>N(G56)*Q56</f>
        <v/>
      </c>
      <c r="T56">
        <f>IF(OR(M56="",M56="Sold out",NOT(ISNUMBER(J56))),"",J56*1000+ROW())</f>
        <v/>
      </c>
    </row>
    <row r="57">
      <c r="A57" s="1" t="n"/>
      <c r="B57" s="20" t="n"/>
      <c r="C57" s="21" t="n"/>
      <c r="D57" s="22" t="n"/>
      <c r="E57" s="22" t="n"/>
      <c r="F57" s="22" t="n"/>
      <c r="G57" s="22" t="n"/>
      <c r="H57" s="23" t="n"/>
      <c r="I57" s="24">
        <f>IF(OR(C57="",NOT(ISNUMBER(B57))),"",UPPER(IF(IFERROR(IF(INDEX(Products!$C$6:$C$45,MATCH(C57,Products!$B$6:$B$45,0))="","",INDEX(Products!$C$6:$C$45,MATCH(C57,Products!$B$6:$B$45,0))),"")="",LEFT(SUBSTITUTE(C57," ",""),3),IFERROR(IF(INDEX(Products!$C$6:$C$45,MATCH(C57,Products!$B$6:$B$45,0))="","",INDEX(Products!$C$6:$C$45,MATCH(C57,Products!$B$6:$B$45,0))),"")))&amp;"-"&amp;RIGHT(YEAR(B57),2)&amp;RIGHT("0"&amp;MONTH(B57),2)&amp;RIGHT("0"&amp;DAY(B57),2)&amp;"-"&amp;COUNTIFS(C$6:C57,C57,B$6:B57,B57))</f>
        <v/>
      </c>
      <c r="J57" s="14">
        <f>IF(OR(C57="",NOT(ISNUMBER(B57)),N(P57)=0),"",B57+P57)</f>
        <v/>
      </c>
      <c r="K57" s="25">
        <f>IF(C57="","",N(D57)-N(E57)-N(F57)-N(G57))</f>
        <v/>
      </c>
      <c r="L57" s="13">
        <f>IF(OR(C57="",N(K57)&lt;=0,NOT(ISNUMBER(J57))),"",J57-TODAY())</f>
        <v/>
      </c>
      <c r="M57" s="12">
        <f>IF(C57="","",IF(N(K57)&lt;=0,"Sold out",IF(NOT(ISNUMBER(J57)),"In stock",IF(J57&lt;TODAY(),"Past its date",IF(J57-TODAY()&lt;=Settings!$C$5,"Use soon","In stock")))))</f>
        <v/>
      </c>
      <c r="N57" s="26">
        <f>IF(C57="","",N(D57)*Q57)</f>
        <v/>
      </c>
      <c r="O57" s="1" t="n"/>
      <c r="P57">
        <f>IF(C57="",0,IFERROR(N(INDEX(Products!$E$6:$E$45,MATCH(C57,Products!$B$6:$B$45,0))),0))</f>
        <v/>
      </c>
      <c r="Q57">
        <f>IF(C57="",0,IFERROR(N(INDEX(Products!$I$6:$I$45,MATCH(C57,Products!$B$6:$B$45,0))),0))</f>
        <v/>
      </c>
      <c r="R57">
        <f>IF(OR(C57="",NOT(ISNUMBER(B57))),"",YEAR(B57)*100+MONTH(B57))</f>
        <v/>
      </c>
      <c r="S57">
        <f>N(G57)*Q57</f>
        <v/>
      </c>
      <c r="T57">
        <f>IF(OR(M57="",M57="Sold out",NOT(ISNUMBER(J57))),"",J57*1000+ROW())</f>
        <v/>
      </c>
    </row>
    <row r="58">
      <c r="A58" s="1" t="n"/>
      <c r="B58" s="20" t="n"/>
      <c r="C58" s="21" t="n"/>
      <c r="D58" s="22" t="n"/>
      <c r="E58" s="22" t="n"/>
      <c r="F58" s="22" t="n"/>
      <c r="G58" s="22" t="n"/>
      <c r="H58" s="23" t="n"/>
      <c r="I58" s="24">
        <f>IF(OR(C58="",NOT(ISNUMBER(B58))),"",UPPER(IF(IFERROR(IF(INDEX(Products!$C$6:$C$45,MATCH(C58,Products!$B$6:$B$45,0))="","",INDEX(Products!$C$6:$C$45,MATCH(C58,Products!$B$6:$B$45,0))),"")="",LEFT(SUBSTITUTE(C58," ",""),3),IFERROR(IF(INDEX(Products!$C$6:$C$45,MATCH(C58,Products!$B$6:$B$45,0))="","",INDEX(Products!$C$6:$C$45,MATCH(C58,Products!$B$6:$B$45,0))),"")))&amp;"-"&amp;RIGHT(YEAR(B58),2)&amp;RIGHT("0"&amp;MONTH(B58),2)&amp;RIGHT("0"&amp;DAY(B58),2)&amp;"-"&amp;COUNTIFS(C$6:C58,C58,B$6:B58,B58))</f>
        <v/>
      </c>
      <c r="J58" s="14">
        <f>IF(OR(C58="",NOT(ISNUMBER(B58)),N(P58)=0),"",B58+P58)</f>
        <v/>
      </c>
      <c r="K58" s="25">
        <f>IF(C58="","",N(D58)-N(E58)-N(F58)-N(G58))</f>
        <v/>
      </c>
      <c r="L58" s="13">
        <f>IF(OR(C58="",N(K58)&lt;=0,NOT(ISNUMBER(J58))),"",J58-TODAY())</f>
        <v/>
      </c>
      <c r="M58" s="12">
        <f>IF(C58="","",IF(N(K58)&lt;=0,"Sold out",IF(NOT(ISNUMBER(J58)),"In stock",IF(J58&lt;TODAY(),"Past its date",IF(J58-TODAY()&lt;=Settings!$C$5,"Use soon","In stock")))))</f>
        <v/>
      </c>
      <c r="N58" s="26">
        <f>IF(C58="","",N(D58)*Q58)</f>
        <v/>
      </c>
      <c r="O58" s="1" t="n"/>
      <c r="P58">
        <f>IF(C58="",0,IFERROR(N(INDEX(Products!$E$6:$E$45,MATCH(C58,Products!$B$6:$B$45,0))),0))</f>
        <v/>
      </c>
      <c r="Q58">
        <f>IF(C58="",0,IFERROR(N(INDEX(Products!$I$6:$I$45,MATCH(C58,Products!$B$6:$B$45,0))),0))</f>
        <v/>
      </c>
      <c r="R58">
        <f>IF(OR(C58="",NOT(ISNUMBER(B58))),"",YEAR(B58)*100+MONTH(B58))</f>
        <v/>
      </c>
      <c r="S58">
        <f>N(G58)*Q58</f>
        <v/>
      </c>
      <c r="T58">
        <f>IF(OR(M58="",M58="Sold out",NOT(ISNUMBER(J58))),"",J58*1000+ROW())</f>
        <v/>
      </c>
    </row>
    <row r="59">
      <c r="A59" s="1" t="n"/>
      <c r="B59" s="20" t="n"/>
      <c r="C59" s="21" t="n"/>
      <c r="D59" s="22" t="n"/>
      <c r="E59" s="22" t="n"/>
      <c r="F59" s="22" t="n"/>
      <c r="G59" s="22" t="n"/>
      <c r="H59" s="23" t="n"/>
      <c r="I59" s="24">
        <f>IF(OR(C59="",NOT(ISNUMBER(B59))),"",UPPER(IF(IFERROR(IF(INDEX(Products!$C$6:$C$45,MATCH(C59,Products!$B$6:$B$45,0))="","",INDEX(Products!$C$6:$C$45,MATCH(C59,Products!$B$6:$B$45,0))),"")="",LEFT(SUBSTITUTE(C59," ",""),3),IFERROR(IF(INDEX(Products!$C$6:$C$45,MATCH(C59,Products!$B$6:$B$45,0))="","",INDEX(Products!$C$6:$C$45,MATCH(C59,Products!$B$6:$B$45,0))),"")))&amp;"-"&amp;RIGHT(YEAR(B59),2)&amp;RIGHT("0"&amp;MONTH(B59),2)&amp;RIGHT("0"&amp;DAY(B59),2)&amp;"-"&amp;COUNTIFS(C$6:C59,C59,B$6:B59,B59))</f>
        <v/>
      </c>
      <c r="J59" s="14">
        <f>IF(OR(C59="",NOT(ISNUMBER(B59)),N(P59)=0),"",B59+P59)</f>
        <v/>
      </c>
      <c r="K59" s="25">
        <f>IF(C59="","",N(D59)-N(E59)-N(F59)-N(G59))</f>
        <v/>
      </c>
      <c r="L59" s="13">
        <f>IF(OR(C59="",N(K59)&lt;=0,NOT(ISNUMBER(J59))),"",J59-TODAY())</f>
        <v/>
      </c>
      <c r="M59" s="12">
        <f>IF(C59="","",IF(N(K59)&lt;=0,"Sold out",IF(NOT(ISNUMBER(J59)),"In stock",IF(J59&lt;TODAY(),"Past its date",IF(J59-TODAY()&lt;=Settings!$C$5,"Use soon","In stock")))))</f>
        <v/>
      </c>
      <c r="N59" s="26">
        <f>IF(C59="","",N(D59)*Q59)</f>
        <v/>
      </c>
      <c r="O59" s="1" t="n"/>
      <c r="P59">
        <f>IF(C59="",0,IFERROR(N(INDEX(Products!$E$6:$E$45,MATCH(C59,Products!$B$6:$B$45,0))),0))</f>
        <v/>
      </c>
      <c r="Q59">
        <f>IF(C59="",0,IFERROR(N(INDEX(Products!$I$6:$I$45,MATCH(C59,Products!$B$6:$B$45,0))),0))</f>
        <v/>
      </c>
      <c r="R59">
        <f>IF(OR(C59="",NOT(ISNUMBER(B59))),"",YEAR(B59)*100+MONTH(B59))</f>
        <v/>
      </c>
      <c r="S59">
        <f>N(G59)*Q59</f>
        <v/>
      </c>
      <c r="T59">
        <f>IF(OR(M59="",M59="Sold out",NOT(ISNUMBER(J59))),"",J59*1000+ROW())</f>
        <v/>
      </c>
    </row>
    <row r="60">
      <c r="A60" s="1" t="n"/>
      <c r="B60" s="20" t="n"/>
      <c r="C60" s="21" t="n"/>
      <c r="D60" s="22" t="n"/>
      <c r="E60" s="22" t="n"/>
      <c r="F60" s="22" t="n"/>
      <c r="G60" s="22" t="n"/>
      <c r="H60" s="23" t="n"/>
      <c r="I60" s="24">
        <f>IF(OR(C60="",NOT(ISNUMBER(B60))),"",UPPER(IF(IFERROR(IF(INDEX(Products!$C$6:$C$45,MATCH(C60,Products!$B$6:$B$45,0))="","",INDEX(Products!$C$6:$C$45,MATCH(C60,Products!$B$6:$B$45,0))),"")="",LEFT(SUBSTITUTE(C60," ",""),3),IFERROR(IF(INDEX(Products!$C$6:$C$45,MATCH(C60,Products!$B$6:$B$45,0))="","",INDEX(Products!$C$6:$C$45,MATCH(C60,Products!$B$6:$B$45,0))),"")))&amp;"-"&amp;RIGHT(YEAR(B60),2)&amp;RIGHT("0"&amp;MONTH(B60),2)&amp;RIGHT("0"&amp;DAY(B60),2)&amp;"-"&amp;COUNTIFS(C$6:C60,C60,B$6:B60,B60))</f>
        <v/>
      </c>
      <c r="J60" s="14">
        <f>IF(OR(C60="",NOT(ISNUMBER(B60)),N(P60)=0),"",B60+P60)</f>
        <v/>
      </c>
      <c r="K60" s="25">
        <f>IF(C60="","",N(D60)-N(E60)-N(F60)-N(G60))</f>
        <v/>
      </c>
      <c r="L60" s="13">
        <f>IF(OR(C60="",N(K60)&lt;=0,NOT(ISNUMBER(J60))),"",J60-TODAY())</f>
        <v/>
      </c>
      <c r="M60" s="12">
        <f>IF(C60="","",IF(N(K60)&lt;=0,"Sold out",IF(NOT(ISNUMBER(J60)),"In stock",IF(J60&lt;TODAY(),"Past its date",IF(J60-TODAY()&lt;=Settings!$C$5,"Use soon","In stock")))))</f>
        <v/>
      </c>
      <c r="N60" s="26">
        <f>IF(C60="","",N(D60)*Q60)</f>
        <v/>
      </c>
      <c r="O60" s="1" t="n"/>
      <c r="P60">
        <f>IF(C60="",0,IFERROR(N(INDEX(Products!$E$6:$E$45,MATCH(C60,Products!$B$6:$B$45,0))),0))</f>
        <v/>
      </c>
      <c r="Q60">
        <f>IF(C60="",0,IFERROR(N(INDEX(Products!$I$6:$I$45,MATCH(C60,Products!$B$6:$B$45,0))),0))</f>
        <v/>
      </c>
      <c r="R60">
        <f>IF(OR(C60="",NOT(ISNUMBER(B60))),"",YEAR(B60)*100+MONTH(B60))</f>
        <v/>
      </c>
      <c r="S60">
        <f>N(G60)*Q60</f>
        <v/>
      </c>
      <c r="T60">
        <f>IF(OR(M60="",M60="Sold out",NOT(ISNUMBER(J60))),"",J60*1000+ROW())</f>
        <v/>
      </c>
    </row>
    <row r="61">
      <c r="A61" s="1" t="n"/>
      <c r="B61" s="20" t="n"/>
      <c r="C61" s="21" t="n"/>
      <c r="D61" s="22" t="n"/>
      <c r="E61" s="22" t="n"/>
      <c r="F61" s="22" t="n"/>
      <c r="G61" s="22" t="n"/>
      <c r="H61" s="23" t="n"/>
      <c r="I61" s="24">
        <f>IF(OR(C61="",NOT(ISNUMBER(B61))),"",UPPER(IF(IFERROR(IF(INDEX(Products!$C$6:$C$45,MATCH(C61,Products!$B$6:$B$45,0))="","",INDEX(Products!$C$6:$C$45,MATCH(C61,Products!$B$6:$B$45,0))),"")="",LEFT(SUBSTITUTE(C61," ",""),3),IFERROR(IF(INDEX(Products!$C$6:$C$45,MATCH(C61,Products!$B$6:$B$45,0))="","",INDEX(Products!$C$6:$C$45,MATCH(C61,Products!$B$6:$B$45,0))),"")))&amp;"-"&amp;RIGHT(YEAR(B61),2)&amp;RIGHT("0"&amp;MONTH(B61),2)&amp;RIGHT("0"&amp;DAY(B61),2)&amp;"-"&amp;COUNTIFS(C$6:C61,C61,B$6:B61,B61))</f>
        <v/>
      </c>
      <c r="J61" s="14">
        <f>IF(OR(C61="",NOT(ISNUMBER(B61)),N(P61)=0),"",B61+P61)</f>
        <v/>
      </c>
      <c r="K61" s="25">
        <f>IF(C61="","",N(D61)-N(E61)-N(F61)-N(G61))</f>
        <v/>
      </c>
      <c r="L61" s="13">
        <f>IF(OR(C61="",N(K61)&lt;=0,NOT(ISNUMBER(J61))),"",J61-TODAY())</f>
        <v/>
      </c>
      <c r="M61" s="12">
        <f>IF(C61="","",IF(N(K61)&lt;=0,"Sold out",IF(NOT(ISNUMBER(J61)),"In stock",IF(J61&lt;TODAY(),"Past its date",IF(J61-TODAY()&lt;=Settings!$C$5,"Use soon","In stock")))))</f>
        <v/>
      </c>
      <c r="N61" s="26">
        <f>IF(C61="","",N(D61)*Q61)</f>
        <v/>
      </c>
      <c r="O61" s="1" t="n"/>
      <c r="P61">
        <f>IF(C61="",0,IFERROR(N(INDEX(Products!$E$6:$E$45,MATCH(C61,Products!$B$6:$B$45,0))),0))</f>
        <v/>
      </c>
      <c r="Q61">
        <f>IF(C61="",0,IFERROR(N(INDEX(Products!$I$6:$I$45,MATCH(C61,Products!$B$6:$B$45,0))),0))</f>
        <v/>
      </c>
      <c r="R61">
        <f>IF(OR(C61="",NOT(ISNUMBER(B61))),"",YEAR(B61)*100+MONTH(B61))</f>
        <v/>
      </c>
      <c r="S61">
        <f>N(G61)*Q61</f>
        <v/>
      </c>
      <c r="T61">
        <f>IF(OR(M61="",M61="Sold out",NOT(ISNUMBER(J61))),"",J61*1000+ROW())</f>
        <v/>
      </c>
    </row>
    <row r="62">
      <c r="A62" s="1" t="n"/>
      <c r="B62" s="20" t="n"/>
      <c r="C62" s="21" t="n"/>
      <c r="D62" s="22" t="n"/>
      <c r="E62" s="22" t="n"/>
      <c r="F62" s="22" t="n"/>
      <c r="G62" s="22" t="n"/>
      <c r="H62" s="23" t="n"/>
      <c r="I62" s="24">
        <f>IF(OR(C62="",NOT(ISNUMBER(B62))),"",UPPER(IF(IFERROR(IF(INDEX(Products!$C$6:$C$45,MATCH(C62,Products!$B$6:$B$45,0))="","",INDEX(Products!$C$6:$C$45,MATCH(C62,Products!$B$6:$B$45,0))),"")="",LEFT(SUBSTITUTE(C62," ",""),3),IFERROR(IF(INDEX(Products!$C$6:$C$45,MATCH(C62,Products!$B$6:$B$45,0))="","",INDEX(Products!$C$6:$C$45,MATCH(C62,Products!$B$6:$B$45,0))),"")))&amp;"-"&amp;RIGHT(YEAR(B62),2)&amp;RIGHT("0"&amp;MONTH(B62),2)&amp;RIGHT("0"&amp;DAY(B62),2)&amp;"-"&amp;COUNTIFS(C$6:C62,C62,B$6:B62,B62))</f>
        <v/>
      </c>
      <c r="J62" s="14">
        <f>IF(OR(C62="",NOT(ISNUMBER(B62)),N(P62)=0),"",B62+P62)</f>
        <v/>
      </c>
      <c r="K62" s="25">
        <f>IF(C62="","",N(D62)-N(E62)-N(F62)-N(G62))</f>
        <v/>
      </c>
      <c r="L62" s="13">
        <f>IF(OR(C62="",N(K62)&lt;=0,NOT(ISNUMBER(J62))),"",J62-TODAY())</f>
        <v/>
      </c>
      <c r="M62" s="12">
        <f>IF(C62="","",IF(N(K62)&lt;=0,"Sold out",IF(NOT(ISNUMBER(J62)),"In stock",IF(J62&lt;TODAY(),"Past its date",IF(J62-TODAY()&lt;=Settings!$C$5,"Use soon","In stock")))))</f>
        <v/>
      </c>
      <c r="N62" s="26">
        <f>IF(C62="","",N(D62)*Q62)</f>
        <v/>
      </c>
      <c r="O62" s="1" t="n"/>
      <c r="P62">
        <f>IF(C62="",0,IFERROR(N(INDEX(Products!$E$6:$E$45,MATCH(C62,Products!$B$6:$B$45,0))),0))</f>
        <v/>
      </c>
      <c r="Q62">
        <f>IF(C62="",0,IFERROR(N(INDEX(Products!$I$6:$I$45,MATCH(C62,Products!$B$6:$B$45,0))),0))</f>
        <v/>
      </c>
      <c r="R62">
        <f>IF(OR(C62="",NOT(ISNUMBER(B62))),"",YEAR(B62)*100+MONTH(B62))</f>
        <v/>
      </c>
      <c r="S62">
        <f>N(G62)*Q62</f>
        <v/>
      </c>
      <c r="T62">
        <f>IF(OR(M62="",M62="Sold out",NOT(ISNUMBER(J62))),"",J62*1000+ROW())</f>
        <v/>
      </c>
    </row>
    <row r="63">
      <c r="A63" s="1" t="n"/>
      <c r="B63" s="20" t="n"/>
      <c r="C63" s="21" t="n"/>
      <c r="D63" s="22" t="n"/>
      <c r="E63" s="22" t="n"/>
      <c r="F63" s="22" t="n"/>
      <c r="G63" s="22" t="n"/>
      <c r="H63" s="23" t="n"/>
      <c r="I63" s="24">
        <f>IF(OR(C63="",NOT(ISNUMBER(B63))),"",UPPER(IF(IFERROR(IF(INDEX(Products!$C$6:$C$45,MATCH(C63,Products!$B$6:$B$45,0))="","",INDEX(Products!$C$6:$C$45,MATCH(C63,Products!$B$6:$B$45,0))),"")="",LEFT(SUBSTITUTE(C63," ",""),3),IFERROR(IF(INDEX(Products!$C$6:$C$45,MATCH(C63,Products!$B$6:$B$45,0))="","",INDEX(Products!$C$6:$C$45,MATCH(C63,Products!$B$6:$B$45,0))),"")))&amp;"-"&amp;RIGHT(YEAR(B63),2)&amp;RIGHT("0"&amp;MONTH(B63),2)&amp;RIGHT("0"&amp;DAY(B63),2)&amp;"-"&amp;COUNTIFS(C$6:C63,C63,B$6:B63,B63))</f>
        <v/>
      </c>
      <c r="J63" s="14">
        <f>IF(OR(C63="",NOT(ISNUMBER(B63)),N(P63)=0),"",B63+P63)</f>
        <v/>
      </c>
      <c r="K63" s="25">
        <f>IF(C63="","",N(D63)-N(E63)-N(F63)-N(G63))</f>
        <v/>
      </c>
      <c r="L63" s="13">
        <f>IF(OR(C63="",N(K63)&lt;=0,NOT(ISNUMBER(J63))),"",J63-TODAY())</f>
        <v/>
      </c>
      <c r="M63" s="12">
        <f>IF(C63="","",IF(N(K63)&lt;=0,"Sold out",IF(NOT(ISNUMBER(J63)),"In stock",IF(J63&lt;TODAY(),"Past its date",IF(J63-TODAY()&lt;=Settings!$C$5,"Use soon","In stock")))))</f>
        <v/>
      </c>
      <c r="N63" s="26">
        <f>IF(C63="","",N(D63)*Q63)</f>
        <v/>
      </c>
      <c r="O63" s="1" t="n"/>
      <c r="P63">
        <f>IF(C63="",0,IFERROR(N(INDEX(Products!$E$6:$E$45,MATCH(C63,Products!$B$6:$B$45,0))),0))</f>
        <v/>
      </c>
      <c r="Q63">
        <f>IF(C63="",0,IFERROR(N(INDEX(Products!$I$6:$I$45,MATCH(C63,Products!$B$6:$B$45,0))),0))</f>
        <v/>
      </c>
      <c r="R63">
        <f>IF(OR(C63="",NOT(ISNUMBER(B63))),"",YEAR(B63)*100+MONTH(B63))</f>
        <v/>
      </c>
      <c r="S63">
        <f>N(G63)*Q63</f>
        <v/>
      </c>
      <c r="T63">
        <f>IF(OR(M63="",M63="Sold out",NOT(ISNUMBER(J63))),"",J63*1000+ROW())</f>
        <v/>
      </c>
    </row>
    <row r="64">
      <c r="A64" s="1" t="n"/>
      <c r="B64" s="20" t="n"/>
      <c r="C64" s="21" t="n"/>
      <c r="D64" s="22" t="n"/>
      <c r="E64" s="22" t="n"/>
      <c r="F64" s="22" t="n"/>
      <c r="G64" s="22" t="n"/>
      <c r="H64" s="23" t="n"/>
      <c r="I64" s="24">
        <f>IF(OR(C64="",NOT(ISNUMBER(B64))),"",UPPER(IF(IFERROR(IF(INDEX(Products!$C$6:$C$45,MATCH(C64,Products!$B$6:$B$45,0))="","",INDEX(Products!$C$6:$C$45,MATCH(C64,Products!$B$6:$B$45,0))),"")="",LEFT(SUBSTITUTE(C64," ",""),3),IFERROR(IF(INDEX(Products!$C$6:$C$45,MATCH(C64,Products!$B$6:$B$45,0))="","",INDEX(Products!$C$6:$C$45,MATCH(C64,Products!$B$6:$B$45,0))),"")))&amp;"-"&amp;RIGHT(YEAR(B64),2)&amp;RIGHT("0"&amp;MONTH(B64),2)&amp;RIGHT("0"&amp;DAY(B64),2)&amp;"-"&amp;COUNTIFS(C$6:C64,C64,B$6:B64,B64))</f>
        <v/>
      </c>
      <c r="J64" s="14">
        <f>IF(OR(C64="",NOT(ISNUMBER(B64)),N(P64)=0),"",B64+P64)</f>
        <v/>
      </c>
      <c r="K64" s="25">
        <f>IF(C64="","",N(D64)-N(E64)-N(F64)-N(G64))</f>
        <v/>
      </c>
      <c r="L64" s="13">
        <f>IF(OR(C64="",N(K64)&lt;=0,NOT(ISNUMBER(J64))),"",J64-TODAY())</f>
        <v/>
      </c>
      <c r="M64" s="12">
        <f>IF(C64="","",IF(N(K64)&lt;=0,"Sold out",IF(NOT(ISNUMBER(J64)),"In stock",IF(J64&lt;TODAY(),"Past its date",IF(J64-TODAY()&lt;=Settings!$C$5,"Use soon","In stock")))))</f>
        <v/>
      </c>
      <c r="N64" s="26">
        <f>IF(C64="","",N(D64)*Q64)</f>
        <v/>
      </c>
      <c r="O64" s="1" t="n"/>
      <c r="P64">
        <f>IF(C64="",0,IFERROR(N(INDEX(Products!$E$6:$E$45,MATCH(C64,Products!$B$6:$B$45,0))),0))</f>
        <v/>
      </c>
      <c r="Q64">
        <f>IF(C64="",0,IFERROR(N(INDEX(Products!$I$6:$I$45,MATCH(C64,Products!$B$6:$B$45,0))),0))</f>
        <v/>
      </c>
      <c r="R64">
        <f>IF(OR(C64="",NOT(ISNUMBER(B64))),"",YEAR(B64)*100+MONTH(B64))</f>
        <v/>
      </c>
      <c r="S64">
        <f>N(G64)*Q64</f>
        <v/>
      </c>
      <c r="T64">
        <f>IF(OR(M64="",M64="Sold out",NOT(ISNUMBER(J64))),"",J64*1000+ROW())</f>
        <v/>
      </c>
    </row>
    <row r="65">
      <c r="A65" s="1" t="n"/>
      <c r="B65" s="20" t="n"/>
      <c r="C65" s="21" t="n"/>
      <c r="D65" s="22" t="n"/>
      <c r="E65" s="22" t="n"/>
      <c r="F65" s="22" t="n"/>
      <c r="G65" s="22" t="n"/>
      <c r="H65" s="23" t="n"/>
      <c r="I65" s="24">
        <f>IF(OR(C65="",NOT(ISNUMBER(B65))),"",UPPER(IF(IFERROR(IF(INDEX(Products!$C$6:$C$45,MATCH(C65,Products!$B$6:$B$45,0))="","",INDEX(Products!$C$6:$C$45,MATCH(C65,Products!$B$6:$B$45,0))),"")="",LEFT(SUBSTITUTE(C65," ",""),3),IFERROR(IF(INDEX(Products!$C$6:$C$45,MATCH(C65,Products!$B$6:$B$45,0))="","",INDEX(Products!$C$6:$C$45,MATCH(C65,Products!$B$6:$B$45,0))),"")))&amp;"-"&amp;RIGHT(YEAR(B65),2)&amp;RIGHT("0"&amp;MONTH(B65),2)&amp;RIGHT("0"&amp;DAY(B65),2)&amp;"-"&amp;COUNTIFS(C$6:C65,C65,B$6:B65,B65))</f>
        <v/>
      </c>
      <c r="J65" s="14">
        <f>IF(OR(C65="",NOT(ISNUMBER(B65)),N(P65)=0),"",B65+P65)</f>
        <v/>
      </c>
      <c r="K65" s="25">
        <f>IF(C65="","",N(D65)-N(E65)-N(F65)-N(G65))</f>
        <v/>
      </c>
      <c r="L65" s="13">
        <f>IF(OR(C65="",N(K65)&lt;=0,NOT(ISNUMBER(J65))),"",J65-TODAY())</f>
        <v/>
      </c>
      <c r="M65" s="12">
        <f>IF(C65="","",IF(N(K65)&lt;=0,"Sold out",IF(NOT(ISNUMBER(J65)),"In stock",IF(J65&lt;TODAY(),"Past its date",IF(J65-TODAY()&lt;=Settings!$C$5,"Use soon","In stock")))))</f>
        <v/>
      </c>
      <c r="N65" s="26">
        <f>IF(C65="","",N(D65)*Q65)</f>
        <v/>
      </c>
      <c r="O65" s="1" t="n"/>
      <c r="P65">
        <f>IF(C65="",0,IFERROR(N(INDEX(Products!$E$6:$E$45,MATCH(C65,Products!$B$6:$B$45,0))),0))</f>
        <v/>
      </c>
      <c r="Q65">
        <f>IF(C65="",0,IFERROR(N(INDEX(Products!$I$6:$I$45,MATCH(C65,Products!$B$6:$B$45,0))),0))</f>
        <v/>
      </c>
      <c r="R65">
        <f>IF(OR(C65="",NOT(ISNUMBER(B65))),"",YEAR(B65)*100+MONTH(B65))</f>
        <v/>
      </c>
      <c r="S65">
        <f>N(G65)*Q65</f>
        <v/>
      </c>
      <c r="T65">
        <f>IF(OR(M65="",M65="Sold out",NOT(ISNUMBER(J65))),"",J65*1000+ROW())</f>
        <v/>
      </c>
    </row>
    <row r="66">
      <c r="A66" s="1" t="n"/>
      <c r="B66" s="20" t="n"/>
      <c r="C66" s="21" t="n"/>
      <c r="D66" s="22" t="n"/>
      <c r="E66" s="22" t="n"/>
      <c r="F66" s="22" t="n"/>
      <c r="G66" s="22" t="n"/>
      <c r="H66" s="23" t="n"/>
      <c r="I66" s="24">
        <f>IF(OR(C66="",NOT(ISNUMBER(B66))),"",UPPER(IF(IFERROR(IF(INDEX(Products!$C$6:$C$45,MATCH(C66,Products!$B$6:$B$45,0))="","",INDEX(Products!$C$6:$C$45,MATCH(C66,Products!$B$6:$B$45,0))),"")="",LEFT(SUBSTITUTE(C66," ",""),3),IFERROR(IF(INDEX(Products!$C$6:$C$45,MATCH(C66,Products!$B$6:$B$45,0))="","",INDEX(Products!$C$6:$C$45,MATCH(C66,Products!$B$6:$B$45,0))),"")))&amp;"-"&amp;RIGHT(YEAR(B66),2)&amp;RIGHT("0"&amp;MONTH(B66),2)&amp;RIGHT("0"&amp;DAY(B66),2)&amp;"-"&amp;COUNTIFS(C$6:C66,C66,B$6:B66,B66))</f>
        <v/>
      </c>
      <c r="J66" s="14">
        <f>IF(OR(C66="",NOT(ISNUMBER(B66)),N(P66)=0),"",B66+P66)</f>
        <v/>
      </c>
      <c r="K66" s="25">
        <f>IF(C66="","",N(D66)-N(E66)-N(F66)-N(G66))</f>
        <v/>
      </c>
      <c r="L66" s="13">
        <f>IF(OR(C66="",N(K66)&lt;=0,NOT(ISNUMBER(J66))),"",J66-TODAY())</f>
        <v/>
      </c>
      <c r="M66" s="12">
        <f>IF(C66="","",IF(N(K66)&lt;=0,"Sold out",IF(NOT(ISNUMBER(J66)),"In stock",IF(J66&lt;TODAY(),"Past its date",IF(J66-TODAY()&lt;=Settings!$C$5,"Use soon","In stock")))))</f>
        <v/>
      </c>
      <c r="N66" s="26">
        <f>IF(C66="","",N(D66)*Q66)</f>
        <v/>
      </c>
      <c r="O66" s="1" t="n"/>
      <c r="P66">
        <f>IF(C66="",0,IFERROR(N(INDEX(Products!$E$6:$E$45,MATCH(C66,Products!$B$6:$B$45,0))),0))</f>
        <v/>
      </c>
      <c r="Q66">
        <f>IF(C66="",0,IFERROR(N(INDEX(Products!$I$6:$I$45,MATCH(C66,Products!$B$6:$B$45,0))),0))</f>
        <v/>
      </c>
      <c r="R66">
        <f>IF(OR(C66="",NOT(ISNUMBER(B66))),"",YEAR(B66)*100+MONTH(B66))</f>
        <v/>
      </c>
      <c r="S66">
        <f>N(G66)*Q66</f>
        <v/>
      </c>
      <c r="T66">
        <f>IF(OR(M66="",M66="Sold out",NOT(ISNUMBER(J66))),"",J66*1000+ROW())</f>
        <v/>
      </c>
    </row>
    <row r="67">
      <c r="A67" s="1" t="n"/>
      <c r="B67" s="20" t="n"/>
      <c r="C67" s="21" t="n"/>
      <c r="D67" s="22" t="n"/>
      <c r="E67" s="22" t="n"/>
      <c r="F67" s="22" t="n"/>
      <c r="G67" s="22" t="n"/>
      <c r="H67" s="23" t="n"/>
      <c r="I67" s="24">
        <f>IF(OR(C67="",NOT(ISNUMBER(B67))),"",UPPER(IF(IFERROR(IF(INDEX(Products!$C$6:$C$45,MATCH(C67,Products!$B$6:$B$45,0))="","",INDEX(Products!$C$6:$C$45,MATCH(C67,Products!$B$6:$B$45,0))),"")="",LEFT(SUBSTITUTE(C67," ",""),3),IFERROR(IF(INDEX(Products!$C$6:$C$45,MATCH(C67,Products!$B$6:$B$45,0))="","",INDEX(Products!$C$6:$C$45,MATCH(C67,Products!$B$6:$B$45,0))),"")))&amp;"-"&amp;RIGHT(YEAR(B67),2)&amp;RIGHT("0"&amp;MONTH(B67),2)&amp;RIGHT("0"&amp;DAY(B67),2)&amp;"-"&amp;COUNTIFS(C$6:C67,C67,B$6:B67,B67))</f>
        <v/>
      </c>
      <c r="J67" s="14">
        <f>IF(OR(C67="",NOT(ISNUMBER(B67)),N(P67)=0),"",B67+P67)</f>
        <v/>
      </c>
      <c r="K67" s="25">
        <f>IF(C67="","",N(D67)-N(E67)-N(F67)-N(G67))</f>
        <v/>
      </c>
      <c r="L67" s="13">
        <f>IF(OR(C67="",N(K67)&lt;=0,NOT(ISNUMBER(J67))),"",J67-TODAY())</f>
        <v/>
      </c>
      <c r="M67" s="12">
        <f>IF(C67="","",IF(N(K67)&lt;=0,"Sold out",IF(NOT(ISNUMBER(J67)),"In stock",IF(J67&lt;TODAY(),"Past its date",IF(J67-TODAY()&lt;=Settings!$C$5,"Use soon","In stock")))))</f>
        <v/>
      </c>
      <c r="N67" s="26">
        <f>IF(C67="","",N(D67)*Q67)</f>
        <v/>
      </c>
      <c r="O67" s="1" t="n"/>
      <c r="P67">
        <f>IF(C67="",0,IFERROR(N(INDEX(Products!$E$6:$E$45,MATCH(C67,Products!$B$6:$B$45,0))),0))</f>
        <v/>
      </c>
      <c r="Q67">
        <f>IF(C67="",0,IFERROR(N(INDEX(Products!$I$6:$I$45,MATCH(C67,Products!$B$6:$B$45,0))),0))</f>
        <v/>
      </c>
      <c r="R67">
        <f>IF(OR(C67="",NOT(ISNUMBER(B67))),"",YEAR(B67)*100+MONTH(B67))</f>
        <v/>
      </c>
      <c r="S67">
        <f>N(G67)*Q67</f>
        <v/>
      </c>
      <c r="T67">
        <f>IF(OR(M67="",M67="Sold out",NOT(ISNUMBER(J67))),"",J67*1000+ROW())</f>
        <v/>
      </c>
    </row>
    <row r="68">
      <c r="A68" s="1" t="n"/>
      <c r="B68" s="20" t="n"/>
      <c r="C68" s="21" t="n"/>
      <c r="D68" s="22" t="n"/>
      <c r="E68" s="22" t="n"/>
      <c r="F68" s="22" t="n"/>
      <c r="G68" s="22" t="n"/>
      <c r="H68" s="23" t="n"/>
      <c r="I68" s="24">
        <f>IF(OR(C68="",NOT(ISNUMBER(B68))),"",UPPER(IF(IFERROR(IF(INDEX(Products!$C$6:$C$45,MATCH(C68,Products!$B$6:$B$45,0))="","",INDEX(Products!$C$6:$C$45,MATCH(C68,Products!$B$6:$B$45,0))),"")="",LEFT(SUBSTITUTE(C68," ",""),3),IFERROR(IF(INDEX(Products!$C$6:$C$45,MATCH(C68,Products!$B$6:$B$45,0))="","",INDEX(Products!$C$6:$C$45,MATCH(C68,Products!$B$6:$B$45,0))),"")))&amp;"-"&amp;RIGHT(YEAR(B68),2)&amp;RIGHT("0"&amp;MONTH(B68),2)&amp;RIGHT("0"&amp;DAY(B68),2)&amp;"-"&amp;COUNTIFS(C$6:C68,C68,B$6:B68,B68))</f>
        <v/>
      </c>
      <c r="J68" s="14">
        <f>IF(OR(C68="",NOT(ISNUMBER(B68)),N(P68)=0),"",B68+P68)</f>
        <v/>
      </c>
      <c r="K68" s="25">
        <f>IF(C68="","",N(D68)-N(E68)-N(F68)-N(G68))</f>
        <v/>
      </c>
      <c r="L68" s="13">
        <f>IF(OR(C68="",N(K68)&lt;=0,NOT(ISNUMBER(J68))),"",J68-TODAY())</f>
        <v/>
      </c>
      <c r="M68" s="12">
        <f>IF(C68="","",IF(N(K68)&lt;=0,"Sold out",IF(NOT(ISNUMBER(J68)),"In stock",IF(J68&lt;TODAY(),"Past its date",IF(J68-TODAY()&lt;=Settings!$C$5,"Use soon","In stock")))))</f>
        <v/>
      </c>
      <c r="N68" s="26">
        <f>IF(C68="","",N(D68)*Q68)</f>
        <v/>
      </c>
      <c r="O68" s="1" t="n"/>
      <c r="P68">
        <f>IF(C68="",0,IFERROR(N(INDEX(Products!$E$6:$E$45,MATCH(C68,Products!$B$6:$B$45,0))),0))</f>
        <v/>
      </c>
      <c r="Q68">
        <f>IF(C68="",0,IFERROR(N(INDEX(Products!$I$6:$I$45,MATCH(C68,Products!$B$6:$B$45,0))),0))</f>
        <v/>
      </c>
      <c r="R68">
        <f>IF(OR(C68="",NOT(ISNUMBER(B68))),"",YEAR(B68)*100+MONTH(B68))</f>
        <v/>
      </c>
      <c r="S68">
        <f>N(G68)*Q68</f>
        <v/>
      </c>
      <c r="T68">
        <f>IF(OR(M68="",M68="Sold out",NOT(ISNUMBER(J68))),"",J68*1000+ROW())</f>
        <v/>
      </c>
    </row>
    <row r="69">
      <c r="A69" s="1" t="n"/>
      <c r="B69" s="20" t="n"/>
      <c r="C69" s="21" t="n"/>
      <c r="D69" s="22" t="n"/>
      <c r="E69" s="22" t="n"/>
      <c r="F69" s="22" t="n"/>
      <c r="G69" s="22" t="n"/>
      <c r="H69" s="23" t="n"/>
      <c r="I69" s="24">
        <f>IF(OR(C69="",NOT(ISNUMBER(B69))),"",UPPER(IF(IFERROR(IF(INDEX(Products!$C$6:$C$45,MATCH(C69,Products!$B$6:$B$45,0))="","",INDEX(Products!$C$6:$C$45,MATCH(C69,Products!$B$6:$B$45,0))),"")="",LEFT(SUBSTITUTE(C69," ",""),3),IFERROR(IF(INDEX(Products!$C$6:$C$45,MATCH(C69,Products!$B$6:$B$45,0))="","",INDEX(Products!$C$6:$C$45,MATCH(C69,Products!$B$6:$B$45,0))),"")))&amp;"-"&amp;RIGHT(YEAR(B69),2)&amp;RIGHT("0"&amp;MONTH(B69),2)&amp;RIGHT("0"&amp;DAY(B69),2)&amp;"-"&amp;COUNTIFS(C$6:C69,C69,B$6:B69,B69))</f>
        <v/>
      </c>
      <c r="J69" s="14">
        <f>IF(OR(C69="",NOT(ISNUMBER(B69)),N(P69)=0),"",B69+P69)</f>
        <v/>
      </c>
      <c r="K69" s="25">
        <f>IF(C69="","",N(D69)-N(E69)-N(F69)-N(G69))</f>
        <v/>
      </c>
      <c r="L69" s="13">
        <f>IF(OR(C69="",N(K69)&lt;=0,NOT(ISNUMBER(J69))),"",J69-TODAY())</f>
        <v/>
      </c>
      <c r="M69" s="12">
        <f>IF(C69="","",IF(N(K69)&lt;=0,"Sold out",IF(NOT(ISNUMBER(J69)),"In stock",IF(J69&lt;TODAY(),"Past its date",IF(J69-TODAY()&lt;=Settings!$C$5,"Use soon","In stock")))))</f>
        <v/>
      </c>
      <c r="N69" s="26">
        <f>IF(C69="","",N(D69)*Q69)</f>
        <v/>
      </c>
      <c r="O69" s="1" t="n"/>
      <c r="P69">
        <f>IF(C69="",0,IFERROR(N(INDEX(Products!$E$6:$E$45,MATCH(C69,Products!$B$6:$B$45,0))),0))</f>
        <v/>
      </c>
      <c r="Q69">
        <f>IF(C69="",0,IFERROR(N(INDEX(Products!$I$6:$I$45,MATCH(C69,Products!$B$6:$B$45,0))),0))</f>
        <v/>
      </c>
      <c r="R69">
        <f>IF(OR(C69="",NOT(ISNUMBER(B69))),"",YEAR(B69)*100+MONTH(B69))</f>
        <v/>
      </c>
      <c r="S69">
        <f>N(G69)*Q69</f>
        <v/>
      </c>
      <c r="T69">
        <f>IF(OR(M69="",M69="Sold out",NOT(ISNUMBER(J69))),"",J69*1000+ROW())</f>
        <v/>
      </c>
    </row>
    <row r="70">
      <c r="A70" s="1" t="n"/>
      <c r="B70" s="20" t="n"/>
      <c r="C70" s="21" t="n"/>
      <c r="D70" s="22" t="n"/>
      <c r="E70" s="22" t="n"/>
      <c r="F70" s="22" t="n"/>
      <c r="G70" s="22" t="n"/>
      <c r="H70" s="23" t="n"/>
      <c r="I70" s="24">
        <f>IF(OR(C70="",NOT(ISNUMBER(B70))),"",UPPER(IF(IFERROR(IF(INDEX(Products!$C$6:$C$45,MATCH(C70,Products!$B$6:$B$45,0))="","",INDEX(Products!$C$6:$C$45,MATCH(C70,Products!$B$6:$B$45,0))),"")="",LEFT(SUBSTITUTE(C70," ",""),3),IFERROR(IF(INDEX(Products!$C$6:$C$45,MATCH(C70,Products!$B$6:$B$45,0))="","",INDEX(Products!$C$6:$C$45,MATCH(C70,Products!$B$6:$B$45,0))),"")))&amp;"-"&amp;RIGHT(YEAR(B70),2)&amp;RIGHT("0"&amp;MONTH(B70),2)&amp;RIGHT("0"&amp;DAY(B70),2)&amp;"-"&amp;COUNTIFS(C$6:C70,C70,B$6:B70,B70))</f>
        <v/>
      </c>
      <c r="J70" s="14">
        <f>IF(OR(C70="",NOT(ISNUMBER(B70)),N(P70)=0),"",B70+P70)</f>
        <v/>
      </c>
      <c r="K70" s="25">
        <f>IF(C70="","",N(D70)-N(E70)-N(F70)-N(G70))</f>
        <v/>
      </c>
      <c r="L70" s="13">
        <f>IF(OR(C70="",N(K70)&lt;=0,NOT(ISNUMBER(J70))),"",J70-TODAY())</f>
        <v/>
      </c>
      <c r="M70" s="12">
        <f>IF(C70="","",IF(N(K70)&lt;=0,"Sold out",IF(NOT(ISNUMBER(J70)),"In stock",IF(J70&lt;TODAY(),"Past its date",IF(J70-TODAY()&lt;=Settings!$C$5,"Use soon","In stock")))))</f>
        <v/>
      </c>
      <c r="N70" s="26">
        <f>IF(C70="","",N(D70)*Q70)</f>
        <v/>
      </c>
      <c r="O70" s="1" t="n"/>
      <c r="P70">
        <f>IF(C70="",0,IFERROR(N(INDEX(Products!$E$6:$E$45,MATCH(C70,Products!$B$6:$B$45,0))),0))</f>
        <v/>
      </c>
      <c r="Q70">
        <f>IF(C70="",0,IFERROR(N(INDEX(Products!$I$6:$I$45,MATCH(C70,Products!$B$6:$B$45,0))),0))</f>
        <v/>
      </c>
      <c r="R70">
        <f>IF(OR(C70="",NOT(ISNUMBER(B70))),"",YEAR(B70)*100+MONTH(B70))</f>
        <v/>
      </c>
      <c r="S70">
        <f>N(G70)*Q70</f>
        <v/>
      </c>
      <c r="T70">
        <f>IF(OR(M70="",M70="Sold out",NOT(ISNUMBER(J70))),"",J70*1000+ROW())</f>
        <v/>
      </c>
    </row>
    <row r="71">
      <c r="A71" s="1" t="n"/>
      <c r="B71" s="20" t="n"/>
      <c r="C71" s="21" t="n"/>
      <c r="D71" s="22" t="n"/>
      <c r="E71" s="22" t="n"/>
      <c r="F71" s="22" t="n"/>
      <c r="G71" s="22" t="n"/>
      <c r="H71" s="23" t="n"/>
      <c r="I71" s="24">
        <f>IF(OR(C71="",NOT(ISNUMBER(B71))),"",UPPER(IF(IFERROR(IF(INDEX(Products!$C$6:$C$45,MATCH(C71,Products!$B$6:$B$45,0))="","",INDEX(Products!$C$6:$C$45,MATCH(C71,Products!$B$6:$B$45,0))),"")="",LEFT(SUBSTITUTE(C71," ",""),3),IFERROR(IF(INDEX(Products!$C$6:$C$45,MATCH(C71,Products!$B$6:$B$45,0))="","",INDEX(Products!$C$6:$C$45,MATCH(C71,Products!$B$6:$B$45,0))),"")))&amp;"-"&amp;RIGHT(YEAR(B71),2)&amp;RIGHT("0"&amp;MONTH(B71),2)&amp;RIGHT("0"&amp;DAY(B71),2)&amp;"-"&amp;COUNTIFS(C$6:C71,C71,B$6:B71,B71))</f>
        <v/>
      </c>
      <c r="J71" s="14">
        <f>IF(OR(C71="",NOT(ISNUMBER(B71)),N(P71)=0),"",B71+P71)</f>
        <v/>
      </c>
      <c r="K71" s="25">
        <f>IF(C71="","",N(D71)-N(E71)-N(F71)-N(G71))</f>
        <v/>
      </c>
      <c r="L71" s="13">
        <f>IF(OR(C71="",N(K71)&lt;=0,NOT(ISNUMBER(J71))),"",J71-TODAY())</f>
        <v/>
      </c>
      <c r="M71" s="12">
        <f>IF(C71="","",IF(N(K71)&lt;=0,"Sold out",IF(NOT(ISNUMBER(J71)),"In stock",IF(J71&lt;TODAY(),"Past its date",IF(J71-TODAY()&lt;=Settings!$C$5,"Use soon","In stock")))))</f>
        <v/>
      </c>
      <c r="N71" s="26">
        <f>IF(C71="","",N(D71)*Q71)</f>
        <v/>
      </c>
      <c r="O71" s="1" t="n"/>
      <c r="P71">
        <f>IF(C71="",0,IFERROR(N(INDEX(Products!$E$6:$E$45,MATCH(C71,Products!$B$6:$B$45,0))),0))</f>
        <v/>
      </c>
      <c r="Q71">
        <f>IF(C71="",0,IFERROR(N(INDEX(Products!$I$6:$I$45,MATCH(C71,Products!$B$6:$B$45,0))),0))</f>
        <v/>
      </c>
      <c r="R71">
        <f>IF(OR(C71="",NOT(ISNUMBER(B71))),"",YEAR(B71)*100+MONTH(B71))</f>
        <v/>
      </c>
      <c r="S71">
        <f>N(G71)*Q71</f>
        <v/>
      </c>
      <c r="T71">
        <f>IF(OR(M71="",M71="Sold out",NOT(ISNUMBER(J71))),"",J71*1000+ROW())</f>
        <v/>
      </c>
    </row>
    <row r="72">
      <c r="A72" s="1" t="n"/>
      <c r="B72" s="20" t="n"/>
      <c r="C72" s="21" t="n"/>
      <c r="D72" s="22" t="n"/>
      <c r="E72" s="22" t="n"/>
      <c r="F72" s="22" t="n"/>
      <c r="G72" s="22" t="n"/>
      <c r="H72" s="23" t="n"/>
      <c r="I72" s="24">
        <f>IF(OR(C72="",NOT(ISNUMBER(B72))),"",UPPER(IF(IFERROR(IF(INDEX(Products!$C$6:$C$45,MATCH(C72,Products!$B$6:$B$45,0))="","",INDEX(Products!$C$6:$C$45,MATCH(C72,Products!$B$6:$B$45,0))),"")="",LEFT(SUBSTITUTE(C72," ",""),3),IFERROR(IF(INDEX(Products!$C$6:$C$45,MATCH(C72,Products!$B$6:$B$45,0))="","",INDEX(Products!$C$6:$C$45,MATCH(C72,Products!$B$6:$B$45,0))),"")))&amp;"-"&amp;RIGHT(YEAR(B72),2)&amp;RIGHT("0"&amp;MONTH(B72),2)&amp;RIGHT("0"&amp;DAY(B72),2)&amp;"-"&amp;COUNTIFS(C$6:C72,C72,B$6:B72,B72))</f>
        <v/>
      </c>
      <c r="J72" s="14">
        <f>IF(OR(C72="",NOT(ISNUMBER(B72)),N(P72)=0),"",B72+P72)</f>
        <v/>
      </c>
      <c r="K72" s="25">
        <f>IF(C72="","",N(D72)-N(E72)-N(F72)-N(G72))</f>
        <v/>
      </c>
      <c r="L72" s="13">
        <f>IF(OR(C72="",N(K72)&lt;=0,NOT(ISNUMBER(J72))),"",J72-TODAY())</f>
        <v/>
      </c>
      <c r="M72" s="12">
        <f>IF(C72="","",IF(N(K72)&lt;=0,"Sold out",IF(NOT(ISNUMBER(J72)),"In stock",IF(J72&lt;TODAY(),"Past its date",IF(J72-TODAY()&lt;=Settings!$C$5,"Use soon","In stock")))))</f>
        <v/>
      </c>
      <c r="N72" s="26">
        <f>IF(C72="","",N(D72)*Q72)</f>
        <v/>
      </c>
      <c r="O72" s="1" t="n"/>
      <c r="P72">
        <f>IF(C72="",0,IFERROR(N(INDEX(Products!$E$6:$E$45,MATCH(C72,Products!$B$6:$B$45,0))),0))</f>
        <v/>
      </c>
      <c r="Q72">
        <f>IF(C72="",0,IFERROR(N(INDEX(Products!$I$6:$I$45,MATCH(C72,Products!$B$6:$B$45,0))),0))</f>
        <v/>
      </c>
      <c r="R72">
        <f>IF(OR(C72="",NOT(ISNUMBER(B72))),"",YEAR(B72)*100+MONTH(B72))</f>
        <v/>
      </c>
      <c r="S72">
        <f>N(G72)*Q72</f>
        <v/>
      </c>
      <c r="T72">
        <f>IF(OR(M72="",M72="Sold out",NOT(ISNUMBER(J72))),"",J72*1000+ROW())</f>
        <v/>
      </c>
    </row>
    <row r="73">
      <c r="A73" s="1" t="n"/>
      <c r="B73" s="20" t="n"/>
      <c r="C73" s="21" t="n"/>
      <c r="D73" s="22" t="n"/>
      <c r="E73" s="22" t="n"/>
      <c r="F73" s="22" t="n"/>
      <c r="G73" s="22" t="n"/>
      <c r="H73" s="23" t="n"/>
      <c r="I73" s="24">
        <f>IF(OR(C73="",NOT(ISNUMBER(B73))),"",UPPER(IF(IFERROR(IF(INDEX(Products!$C$6:$C$45,MATCH(C73,Products!$B$6:$B$45,0))="","",INDEX(Products!$C$6:$C$45,MATCH(C73,Products!$B$6:$B$45,0))),"")="",LEFT(SUBSTITUTE(C73," ",""),3),IFERROR(IF(INDEX(Products!$C$6:$C$45,MATCH(C73,Products!$B$6:$B$45,0))="","",INDEX(Products!$C$6:$C$45,MATCH(C73,Products!$B$6:$B$45,0))),"")))&amp;"-"&amp;RIGHT(YEAR(B73),2)&amp;RIGHT("0"&amp;MONTH(B73),2)&amp;RIGHT("0"&amp;DAY(B73),2)&amp;"-"&amp;COUNTIFS(C$6:C73,C73,B$6:B73,B73))</f>
        <v/>
      </c>
      <c r="J73" s="14">
        <f>IF(OR(C73="",NOT(ISNUMBER(B73)),N(P73)=0),"",B73+P73)</f>
        <v/>
      </c>
      <c r="K73" s="25">
        <f>IF(C73="","",N(D73)-N(E73)-N(F73)-N(G73))</f>
        <v/>
      </c>
      <c r="L73" s="13">
        <f>IF(OR(C73="",N(K73)&lt;=0,NOT(ISNUMBER(J73))),"",J73-TODAY())</f>
        <v/>
      </c>
      <c r="M73" s="12">
        <f>IF(C73="","",IF(N(K73)&lt;=0,"Sold out",IF(NOT(ISNUMBER(J73)),"In stock",IF(J73&lt;TODAY(),"Past its date",IF(J73-TODAY()&lt;=Settings!$C$5,"Use soon","In stock")))))</f>
        <v/>
      </c>
      <c r="N73" s="26">
        <f>IF(C73="","",N(D73)*Q73)</f>
        <v/>
      </c>
      <c r="O73" s="1" t="n"/>
      <c r="P73">
        <f>IF(C73="",0,IFERROR(N(INDEX(Products!$E$6:$E$45,MATCH(C73,Products!$B$6:$B$45,0))),0))</f>
        <v/>
      </c>
      <c r="Q73">
        <f>IF(C73="",0,IFERROR(N(INDEX(Products!$I$6:$I$45,MATCH(C73,Products!$B$6:$B$45,0))),0))</f>
        <v/>
      </c>
      <c r="R73">
        <f>IF(OR(C73="",NOT(ISNUMBER(B73))),"",YEAR(B73)*100+MONTH(B73))</f>
        <v/>
      </c>
      <c r="S73">
        <f>N(G73)*Q73</f>
        <v/>
      </c>
      <c r="T73">
        <f>IF(OR(M73="",M73="Sold out",NOT(ISNUMBER(J73))),"",J73*1000+ROW())</f>
        <v/>
      </c>
    </row>
    <row r="74">
      <c r="A74" s="1" t="n"/>
      <c r="B74" s="20" t="n"/>
      <c r="C74" s="21" t="n"/>
      <c r="D74" s="22" t="n"/>
      <c r="E74" s="22" t="n"/>
      <c r="F74" s="22" t="n"/>
      <c r="G74" s="22" t="n"/>
      <c r="H74" s="23" t="n"/>
      <c r="I74" s="24">
        <f>IF(OR(C74="",NOT(ISNUMBER(B74))),"",UPPER(IF(IFERROR(IF(INDEX(Products!$C$6:$C$45,MATCH(C74,Products!$B$6:$B$45,0))="","",INDEX(Products!$C$6:$C$45,MATCH(C74,Products!$B$6:$B$45,0))),"")="",LEFT(SUBSTITUTE(C74," ",""),3),IFERROR(IF(INDEX(Products!$C$6:$C$45,MATCH(C74,Products!$B$6:$B$45,0))="","",INDEX(Products!$C$6:$C$45,MATCH(C74,Products!$B$6:$B$45,0))),"")))&amp;"-"&amp;RIGHT(YEAR(B74),2)&amp;RIGHT("0"&amp;MONTH(B74),2)&amp;RIGHT("0"&amp;DAY(B74),2)&amp;"-"&amp;COUNTIFS(C$6:C74,C74,B$6:B74,B74))</f>
        <v/>
      </c>
      <c r="J74" s="14">
        <f>IF(OR(C74="",NOT(ISNUMBER(B74)),N(P74)=0),"",B74+P74)</f>
        <v/>
      </c>
      <c r="K74" s="25">
        <f>IF(C74="","",N(D74)-N(E74)-N(F74)-N(G74))</f>
        <v/>
      </c>
      <c r="L74" s="13">
        <f>IF(OR(C74="",N(K74)&lt;=0,NOT(ISNUMBER(J74))),"",J74-TODAY())</f>
        <v/>
      </c>
      <c r="M74" s="12">
        <f>IF(C74="","",IF(N(K74)&lt;=0,"Sold out",IF(NOT(ISNUMBER(J74)),"In stock",IF(J74&lt;TODAY(),"Past its date",IF(J74-TODAY()&lt;=Settings!$C$5,"Use soon","In stock")))))</f>
        <v/>
      </c>
      <c r="N74" s="26">
        <f>IF(C74="","",N(D74)*Q74)</f>
        <v/>
      </c>
      <c r="O74" s="1" t="n"/>
      <c r="P74">
        <f>IF(C74="",0,IFERROR(N(INDEX(Products!$E$6:$E$45,MATCH(C74,Products!$B$6:$B$45,0))),0))</f>
        <v/>
      </c>
      <c r="Q74">
        <f>IF(C74="",0,IFERROR(N(INDEX(Products!$I$6:$I$45,MATCH(C74,Products!$B$6:$B$45,0))),0))</f>
        <v/>
      </c>
      <c r="R74">
        <f>IF(OR(C74="",NOT(ISNUMBER(B74))),"",YEAR(B74)*100+MONTH(B74))</f>
        <v/>
      </c>
      <c r="S74">
        <f>N(G74)*Q74</f>
        <v/>
      </c>
      <c r="T74">
        <f>IF(OR(M74="",M74="Sold out",NOT(ISNUMBER(J74))),"",J74*1000+ROW())</f>
        <v/>
      </c>
    </row>
    <row r="75">
      <c r="A75" s="1" t="n"/>
      <c r="B75" s="20" t="n"/>
      <c r="C75" s="21" t="n"/>
      <c r="D75" s="22" t="n"/>
      <c r="E75" s="22" t="n"/>
      <c r="F75" s="22" t="n"/>
      <c r="G75" s="22" t="n"/>
      <c r="H75" s="23" t="n"/>
      <c r="I75" s="24">
        <f>IF(OR(C75="",NOT(ISNUMBER(B75))),"",UPPER(IF(IFERROR(IF(INDEX(Products!$C$6:$C$45,MATCH(C75,Products!$B$6:$B$45,0))="","",INDEX(Products!$C$6:$C$45,MATCH(C75,Products!$B$6:$B$45,0))),"")="",LEFT(SUBSTITUTE(C75," ",""),3),IFERROR(IF(INDEX(Products!$C$6:$C$45,MATCH(C75,Products!$B$6:$B$45,0))="","",INDEX(Products!$C$6:$C$45,MATCH(C75,Products!$B$6:$B$45,0))),"")))&amp;"-"&amp;RIGHT(YEAR(B75),2)&amp;RIGHT("0"&amp;MONTH(B75),2)&amp;RIGHT("0"&amp;DAY(B75),2)&amp;"-"&amp;COUNTIFS(C$6:C75,C75,B$6:B75,B75))</f>
        <v/>
      </c>
      <c r="J75" s="14">
        <f>IF(OR(C75="",NOT(ISNUMBER(B75)),N(P75)=0),"",B75+P75)</f>
        <v/>
      </c>
      <c r="K75" s="25">
        <f>IF(C75="","",N(D75)-N(E75)-N(F75)-N(G75))</f>
        <v/>
      </c>
      <c r="L75" s="13">
        <f>IF(OR(C75="",N(K75)&lt;=0,NOT(ISNUMBER(J75))),"",J75-TODAY())</f>
        <v/>
      </c>
      <c r="M75" s="12">
        <f>IF(C75="","",IF(N(K75)&lt;=0,"Sold out",IF(NOT(ISNUMBER(J75)),"In stock",IF(J75&lt;TODAY(),"Past its date",IF(J75-TODAY()&lt;=Settings!$C$5,"Use soon","In stock")))))</f>
        <v/>
      </c>
      <c r="N75" s="26">
        <f>IF(C75="","",N(D75)*Q75)</f>
        <v/>
      </c>
      <c r="O75" s="1" t="n"/>
      <c r="P75">
        <f>IF(C75="",0,IFERROR(N(INDEX(Products!$E$6:$E$45,MATCH(C75,Products!$B$6:$B$45,0))),0))</f>
        <v/>
      </c>
      <c r="Q75">
        <f>IF(C75="",0,IFERROR(N(INDEX(Products!$I$6:$I$45,MATCH(C75,Products!$B$6:$B$45,0))),0))</f>
        <v/>
      </c>
      <c r="R75">
        <f>IF(OR(C75="",NOT(ISNUMBER(B75))),"",YEAR(B75)*100+MONTH(B75))</f>
        <v/>
      </c>
      <c r="S75">
        <f>N(G75)*Q75</f>
        <v/>
      </c>
      <c r="T75">
        <f>IF(OR(M75="",M75="Sold out",NOT(ISNUMBER(J75))),"",J75*1000+ROW())</f>
        <v/>
      </c>
    </row>
    <row r="76">
      <c r="A76" s="1" t="n"/>
      <c r="B76" s="20" t="n"/>
      <c r="C76" s="21" t="n"/>
      <c r="D76" s="22" t="n"/>
      <c r="E76" s="22" t="n"/>
      <c r="F76" s="22" t="n"/>
      <c r="G76" s="22" t="n"/>
      <c r="H76" s="23" t="n"/>
      <c r="I76" s="24">
        <f>IF(OR(C76="",NOT(ISNUMBER(B76))),"",UPPER(IF(IFERROR(IF(INDEX(Products!$C$6:$C$45,MATCH(C76,Products!$B$6:$B$45,0))="","",INDEX(Products!$C$6:$C$45,MATCH(C76,Products!$B$6:$B$45,0))),"")="",LEFT(SUBSTITUTE(C76," ",""),3),IFERROR(IF(INDEX(Products!$C$6:$C$45,MATCH(C76,Products!$B$6:$B$45,0))="","",INDEX(Products!$C$6:$C$45,MATCH(C76,Products!$B$6:$B$45,0))),"")))&amp;"-"&amp;RIGHT(YEAR(B76),2)&amp;RIGHT("0"&amp;MONTH(B76),2)&amp;RIGHT("0"&amp;DAY(B76),2)&amp;"-"&amp;COUNTIFS(C$6:C76,C76,B$6:B76,B76))</f>
        <v/>
      </c>
      <c r="J76" s="14">
        <f>IF(OR(C76="",NOT(ISNUMBER(B76)),N(P76)=0),"",B76+P76)</f>
        <v/>
      </c>
      <c r="K76" s="25">
        <f>IF(C76="","",N(D76)-N(E76)-N(F76)-N(G76))</f>
        <v/>
      </c>
      <c r="L76" s="13">
        <f>IF(OR(C76="",N(K76)&lt;=0,NOT(ISNUMBER(J76))),"",J76-TODAY())</f>
        <v/>
      </c>
      <c r="M76" s="12">
        <f>IF(C76="","",IF(N(K76)&lt;=0,"Sold out",IF(NOT(ISNUMBER(J76)),"In stock",IF(J76&lt;TODAY(),"Past its date",IF(J76-TODAY()&lt;=Settings!$C$5,"Use soon","In stock")))))</f>
        <v/>
      </c>
      <c r="N76" s="26">
        <f>IF(C76="","",N(D76)*Q76)</f>
        <v/>
      </c>
      <c r="O76" s="1" t="n"/>
      <c r="P76">
        <f>IF(C76="",0,IFERROR(N(INDEX(Products!$E$6:$E$45,MATCH(C76,Products!$B$6:$B$45,0))),0))</f>
        <v/>
      </c>
      <c r="Q76">
        <f>IF(C76="",0,IFERROR(N(INDEX(Products!$I$6:$I$45,MATCH(C76,Products!$B$6:$B$45,0))),0))</f>
        <v/>
      </c>
      <c r="R76">
        <f>IF(OR(C76="",NOT(ISNUMBER(B76))),"",YEAR(B76)*100+MONTH(B76))</f>
        <v/>
      </c>
      <c r="S76">
        <f>N(G76)*Q76</f>
        <v/>
      </c>
      <c r="T76">
        <f>IF(OR(M76="",M76="Sold out",NOT(ISNUMBER(J76))),"",J76*1000+ROW())</f>
        <v/>
      </c>
    </row>
    <row r="77">
      <c r="A77" s="1" t="n"/>
      <c r="B77" s="20" t="n"/>
      <c r="C77" s="21" t="n"/>
      <c r="D77" s="22" t="n"/>
      <c r="E77" s="22" t="n"/>
      <c r="F77" s="22" t="n"/>
      <c r="G77" s="22" t="n"/>
      <c r="H77" s="23" t="n"/>
      <c r="I77" s="24">
        <f>IF(OR(C77="",NOT(ISNUMBER(B77))),"",UPPER(IF(IFERROR(IF(INDEX(Products!$C$6:$C$45,MATCH(C77,Products!$B$6:$B$45,0))="","",INDEX(Products!$C$6:$C$45,MATCH(C77,Products!$B$6:$B$45,0))),"")="",LEFT(SUBSTITUTE(C77," ",""),3),IFERROR(IF(INDEX(Products!$C$6:$C$45,MATCH(C77,Products!$B$6:$B$45,0))="","",INDEX(Products!$C$6:$C$45,MATCH(C77,Products!$B$6:$B$45,0))),"")))&amp;"-"&amp;RIGHT(YEAR(B77),2)&amp;RIGHT("0"&amp;MONTH(B77),2)&amp;RIGHT("0"&amp;DAY(B77),2)&amp;"-"&amp;COUNTIFS(C$6:C77,C77,B$6:B77,B77))</f>
        <v/>
      </c>
      <c r="J77" s="14">
        <f>IF(OR(C77="",NOT(ISNUMBER(B77)),N(P77)=0),"",B77+P77)</f>
        <v/>
      </c>
      <c r="K77" s="25">
        <f>IF(C77="","",N(D77)-N(E77)-N(F77)-N(G77))</f>
        <v/>
      </c>
      <c r="L77" s="13">
        <f>IF(OR(C77="",N(K77)&lt;=0,NOT(ISNUMBER(J77))),"",J77-TODAY())</f>
        <v/>
      </c>
      <c r="M77" s="12">
        <f>IF(C77="","",IF(N(K77)&lt;=0,"Sold out",IF(NOT(ISNUMBER(J77)),"In stock",IF(J77&lt;TODAY(),"Past its date",IF(J77-TODAY()&lt;=Settings!$C$5,"Use soon","In stock")))))</f>
        <v/>
      </c>
      <c r="N77" s="26">
        <f>IF(C77="","",N(D77)*Q77)</f>
        <v/>
      </c>
      <c r="O77" s="1" t="n"/>
      <c r="P77">
        <f>IF(C77="",0,IFERROR(N(INDEX(Products!$E$6:$E$45,MATCH(C77,Products!$B$6:$B$45,0))),0))</f>
        <v/>
      </c>
      <c r="Q77">
        <f>IF(C77="",0,IFERROR(N(INDEX(Products!$I$6:$I$45,MATCH(C77,Products!$B$6:$B$45,0))),0))</f>
        <v/>
      </c>
      <c r="R77">
        <f>IF(OR(C77="",NOT(ISNUMBER(B77))),"",YEAR(B77)*100+MONTH(B77))</f>
        <v/>
      </c>
      <c r="S77">
        <f>N(G77)*Q77</f>
        <v/>
      </c>
      <c r="T77">
        <f>IF(OR(M77="",M77="Sold out",NOT(ISNUMBER(J77))),"",J77*1000+ROW())</f>
        <v/>
      </c>
    </row>
    <row r="78">
      <c r="A78" s="1" t="n"/>
      <c r="B78" s="20" t="n"/>
      <c r="C78" s="21" t="n"/>
      <c r="D78" s="22" t="n"/>
      <c r="E78" s="22" t="n"/>
      <c r="F78" s="22" t="n"/>
      <c r="G78" s="22" t="n"/>
      <c r="H78" s="23" t="n"/>
      <c r="I78" s="24">
        <f>IF(OR(C78="",NOT(ISNUMBER(B78))),"",UPPER(IF(IFERROR(IF(INDEX(Products!$C$6:$C$45,MATCH(C78,Products!$B$6:$B$45,0))="","",INDEX(Products!$C$6:$C$45,MATCH(C78,Products!$B$6:$B$45,0))),"")="",LEFT(SUBSTITUTE(C78," ",""),3),IFERROR(IF(INDEX(Products!$C$6:$C$45,MATCH(C78,Products!$B$6:$B$45,0))="","",INDEX(Products!$C$6:$C$45,MATCH(C78,Products!$B$6:$B$45,0))),"")))&amp;"-"&amp;RIGHT(YEAR(B78),2)&amp;RIGHT("0"&amp;MONTH(B78),2)&amp;RIGHT("0"&amp;DAY(B78),2)&amp;"-"&amp;COUNTIFS(C$6:C78,C78,B$6:B78,B78))</f>
        <v/>
      </c>
      <c r="J78" s="14">
        <f>IF(OR(C78="",NOT(ISNUMBER(B78)),N(P78)=0),"",B78+P78)</f>
        <v/>
      </c>
      <c r="K78" s="25">
        <f>IF(C78="","",N(D78)-N(E78)-N(F78)-N(G78))</f>
        <v/>
      </c>
      <c r="L78" s="13">
        <f>IF(OR(C78="",N(K78)&lt;=0,NOT(ISNUMBER(J78))),"",J78-TODAY())</f>
        <v/>
      </c>
      <c r="M78" s="12">
        <f>IF(C78="","",IF(N(K78)&lt;=0,"Sold out",IF(NOT(ISNUMBER(J78)),"In stock",IF(J78&lt;TODAY(),"Past its date",IF(J78-TODAY()&lt;=Settings!$C$5,"Use soon","In stock")))))</f>
        <v/>
      </c>
      <c r="N78" s="26">
        <f>IF(C78="","",N(D78)*Q78)</f>
        <v/>
      </c>
      <c r="O78" s="1" t="n"/>
      <c r="P78">
        <f>IF(C78="",0,IFERROR(N(INDEX(Products!$E$6:$E$45,MATCH(C78,Products!$B$6:$B$45,0))),0))</f>
        <v/>
      </c>
      <c r="Q78">
        <f>IF(C78="",0,IFERROR(N(INDEX(Products!$I$6:$I$45,MATCH(C78,Products!$B$6:$B$45,0))),0))</f>
        <v/>
      </c>
      <c r="R78">
        <f>IF(OR(C78="",NOT(ISNUMBER(B78))),"",YEAR(B78)*100+MONTH(B78))</f>
        <v/>
      </c>
      <c r="S78">
        <f>N(G78)*Q78</f>
        <v/>
      </c>
      <c r="T78">
        <f>IF(OR(M78="",M78="Sold out",NOT(ISNUMBER(J78))),"",J78*1000+ROW())</f>
        <v/>
      </c>
    </row>
    <row r="79">
      <c r="A79" s="1" t="n"/>
      <c r="B79" s="20" t="n"/>
      <c r="C79" s="21" t="n"/>
      <c r="D79" s="22" t="n"/>
      <c r="E79" s="22" t="n"/>
      <c r="F79" s="22" t="n"/>
      <c r="G79" s="22" t="n"/>
      <c r="H79" s="23" t="n"/>
      <c r="I79" s="24">
        <f>IF(OR(C79="",NOT(ISNUMBER(B79))),"",UPPER(IF(IFERROR(IF(INDEX(Products!$C$6:$C$45,MATCH(C79,Products!$B$6:$B$45,0))="","",INDEX(Products!$C$6:$C$45,MATCH(C79,Products!$B$6:$B$45,0))),"")="",LEFT(SUBSTITUTE(C79," ",""),3),IFERROR(IF(INDEX(Products!$C$6:$C$45,MATCH(C79,Products!$B$6:$B$45,0))="","",INDEX(Products!$C$6:$C$45,MATCH(C79,Products!$B$6:$B$45,0))),"")))&amp;"-"&amp;RIGHT(YEAR(B79),2)&amp;RIGHT("0"&amp;MONTH(B79),2)&amp;RIGHT("0"&amp;DAY(B79),2)&amp;"-"&amp;COUNTIFS(C$6:C79,C79,B$6:B79,B79))</f>
        <v/>
      </c>
      <c r="J79" s="14">
        <f>IF(OR(C79="",NOT(ISNUMBER(B79)),N(P79)=0),"",B79+P79)</f>
        <v/>
      </c>
      <c r="K79" s="25">
        <f>IF(C79="","",N(D79)-N(E79)-N(F79)-N(G79))</f>
        <v/>
      </c>
      <c r="L79" s="13">
        <f>IF(OR(C79="",N(K79)&lt;=0,NOT(ISNUMBER(J79))),"",J79-TODAY())</f>
        <v/>
      </c>
      <c r="M79" s="12">
        <f>IF(C79="","",IF(N(K79)&lt;=0,"Sold out",IF(NOT(ISNUMBER(J79)),"In stock",IF(J79&lt;TODAY(),"Past its date",IF(J79-TODAY()&lt;=Settings!$C$5,"Use soon","In stock")))))</f>
        <v/>
      </c>
      <c r="N79" s="26">
        <f>IF(C79="","",N(D79)*Q79)</f>
        <v/>
      </c>
      <c r="O79" s="1" t="n"/>
      <c r="P79">
        <f>IF(C79="",0,IFERROR(N(INDEX(Products!$E$6:$E$45,MATCH(C79,Products!$B$6:$B$45,0))),0))</f>
        <v/>
      </c>
      <c r="Q79">
        <f>IF(C79="",0,IFERROR(N(INDEX(Products!$I$6:$I$45,MATCH(C79,Products!$B$6:$B$45,0))),0))</f>
        <v/>
      </c>
      <c r="R79">
        <f>IF(OR(C79="",NOT(ISNUMBER(B79))),"",YEAR(B79)*100+MONTH(B79))</f>
        <v/>
      </c>
      <c r="S79">
        <f>N(G79)*Q79</f>
        <v/>
      </c>
      <c r="T79">
        <f>IF(OR(M79="",M79="Sold out",NOT(ISNUMBER(J79))),"",J79*1000+ROW())</f>
        <v/>
      </c>
    </row>
    <row r="80">
      <c r="A80" s="1" t="n"/>
      <c r="B80" s="20" t="n"/>
      <c r="C80" s="21" t="n"/>
      <c r="D80" s="22" t="n"/>
      <c r="E80" s="22" t="n"/>
      <c r="F80" s="22" t="n"/>
      <c r="G80" s="22" t="n"/>
      <c r="H80" s="23" t="n"/>
      <c r="I80" s="24">
        <f>IF(OR(C80="",NOT(ISNUMBER(B80))),"",UPPER(IF(IFERROR(IF(INDEX(Products!$C$6:$C$45,MATCH(C80,Products!$B$6:$B$45,0))="","",INDEX(Products!$C$6:$C$45,MATCH(C80,Products!$B$6:$B$45,0))),"")="",LEFT(SUBSTITUTE(C80," ",""),3),IFERROR(IF(INDEX(Products!$C$6:$C$45,MATCH(C80,Products!$B$6:$B$45,0))="","",INDEX(Products!$C$6:$C$45,MATCH(C80,Products!$B$6:$B$45,0))),"")))&amp;"-"&amp;RIGHT(YEAR(B80),2)&amp;RIGHT("0"&amp;MONTH(B80),2)&amp;RIGHT("0"&amp;DAY(B80),2)&amp;"-"&amp;COUNTIFS(C$6:C80,C80,B$6:B80,B80))</f>
        <v/>
      </c>
      <c r="J80" s="14">
        <f>IF(OR(C80="",NOT(ISNUMBER(B80)),N(P80)=0),"",B80+P80)</f>
        <v/>
      </c>
      <c r="K80" s="25">
        <f>IF(C80="","",N(D80)-N(E80)-N(F80)-N(G80))</f>
        <v/>
      </c>
      <c r="L80" s="13">
        <f>IF(OR(C80="",N(K80)&lt;=0,NOT(ISNUMBER(J80))),"",J80-TODAY())</f>
        <v/>
      </c>
      <c r="M80" s="12">
        <f>IF(C80="","",IF(N(K80)&lt;=0,"Sold out",IF(NOT(ISNUMBER(J80)),"In stock",IF(J80&lt;TODAY(),"Past its date",IF(J80-TODAY()&lt;=Settings!$C$5,"Use soon","In stock")))))</f>
        <v/>
      </c>
      <c r="N80" s="26">
        <f>IF(C80="","",N(D80)*Q80)</f>
        <v/>
      </c>
      <c r="O80" s="1" t="n"/>
      <c r="P80">
        <f>IF(C80="",0,IFERROR(N(INDEX(Products!$E$6:$E$45,MATCH(C80,Products!$B$6:$B$45,0))),0))</f>
        <v/>
      </c>
      <c r="Q80">
        <f>IF(C80="",0,IFERROR(N(INDEX(Products!$I$6:$I$45,MATCH(C80,Products!$B$6:$B$45,0))),0))</f>
        <v/>
      </c>
      <c r="R80">
        <f>IF(OR(C80="",NOT(ISNUMBER(B80))),"",YEAR(B80)*100+MONTH(B80))</f>
        <v/>
      </c>
      <c r="S80">
        <f>N(G80)*Q80</f>
        <v/>
      </c>
      <c r="T80">
        <f>IF(OR(M80="",M80="Sold out",NOT(ISNUMBER(J80))),"",J80*1000+ROW())</f>
        <v/>
      </c>
    </row>
    <row r="81">
      <c r="A81" s="1" t="n"/>
      <c r="B81" s="20" t="n"/>
      <c r="C81" s="21" t="n"/>
      <c r="D81" s="22" t="n"/>
      <c r="E81" s="22" t="n"/>
      <c r="F81" s="22" t="n"/>
      <c r="G81" s="22" t="n"/>
      <c r="H81" s="23" t="n"/>
      <c r="I81" s="24">
        <f>IF(OR(C81="",NOT(ISNUMBER(B81))),"",UPPER(IF(IFERROR(IF(INDEX(Products!$C$6:$C$45,MATCH(C81,Products!$B$6:$B$45,0))="","",INDEX(Products!$C$6:$C$45,MATCH(C81,Products!$B$6:$B$45,0))),"")="",LEFT(SUBSTITUTE(C81," ",""),3),IFERROR(IF(INDEX(Products!$C$6:$C$45,MATCH(C81,Products!$B$6:$B$45,0))="","",INDEX(Products!$C$6:$C$45,MATCH(C81,Products!$B$6:$B$45,0))),"")))&amp;"-"&amp;RIGHT(YEAR(B81),2)&amp;RIGHT("0"&amp;MONTH(B81),2)&amp;RIGHT("0"&amp;DAY(B81),2)&amp;"-"&amp;COUNTIFS(C$6:C81,C81,B$6:B81,B81))</f>
        <v/>
      </c>
      <c r="J81" s="14">
        <f>IF(OR(C81="",NOT(ISNUMBER(B81)),N(P81)=0),"",B81+P81)</f>
        <v/>
      </c>
      <c r="K81" s="25">
        <f>IF(C81="","",N(D81)-N(E81)-N(F81)-N(G81))</f>
        <v/>
      </c>
      <c r="L81" s="13">
        <f>IF(OR(C81="",N(K81)&lt;=0,NOT(ISNUMBER(J81))),"",J81-TODAY())</f>
        <v/>
      </c>
      <c r="M81" s="12">
        <f>IF(C81="","",IF(N(K81)&lt;=0,"Sold out",IF(NOT(ISNUMBER(J81)),"In stock",IF(J81&lt;TODAY(),"Past its date",IF(J81-TODAY()&lt;=Settings!$C$5,"Use soon","In stock")))))</f>
        <v/>
      </c>
      <c r="N81" s="26">
        <f>IF(C81="","",N(D81)*Q81)</f>
        <v/>
      </c>
      <c r="O81" s="1" t="n"/>
      <c r="P81">
        <f>IF(C81="",0,IFERROR(N(INDEX(Products!$E$6:$E$45,MATCH(C81,Products!$B$6:$B$45,0))),0))</f>
        <v/>
      </c>
      <c r="Q81">
        <f>IF(C81="",0,IFERROR(N(INDEX(Products!$I$6:$I$45,MATCH(C81,Products!$B$6:$B$45,0))),0))</f>
        <v/>
      </c>
      <c r="R81">
        <f>IF(OR(C81="",NOT(ISNUMBER(B81))),"",YEAR(B81)*100+MONTH(B81))</f>
        <v/>
      </c>
      <c r="S81">
        <f>N(G81)*Q81</f>
        <v/>
      </c>
      <c r="T81">
        <f>IF(OR(M81="",M81="Sold out",NOT(ISNUMBER(J81))),"",J81*1000+ROW())</f>
        <v/>
      </c>
    </row>
    <row r="82">
      <c r="A82" s="1" t="n"/>
      <c r="B82" s="20" t="n"/>
      <c r="C82" s="21" t="n"/>
      <c r="D82" s="22" t="n"/>
      <c r="E82" s="22" t="n"/>
      <c r="F82" s="22" t="n"/>
      <c r="G82" s="22" t="n"/>
      <c r="H82" s="23" t="n"/>
      <c r="I82" s="24">
        <f>IF(OR(C82="",NOT(ISNUMBER(B82))),"",UPPER(IF(IFERROR(IF(INDEX(Products!$C$6:$C$45,MATCH(C82,Products!$B$6:$B$45,0))="","",INDEX(Products!$C$6:$C$45,MATCH(C82,Products!$B$6:$B$45,0))),"")="",LEFT(SUBSTITUTE(C82," ",""),3),IFERROR(IF(INDEX(Products!$C$6:$C$45,MATCH(C82,Products!$B$6:$B$45,0))="","",INDEX(Products!$C$6:$C$45,MATCH(C82,Products!$B$6:$B$45,0))),"")))&amp;"-"&amp;RIGHT(YEAR(B82),2)&amp;RIGHT("0"&amp;MONTH(B82),2)&amp;RIGHT("0"&amp;DAY(B82),2)&amp;"-"&amp;COUNTIFS(C$6:C82,C82,B$6:B82,B82))</f>
        <v/>
      </c>
      <c r="J82" s="14">
        <f>IF(OR(C82="",NOT(ISNUMBER(B82)),N(P82)=0),"",B82+P82)</f>
        <v/>
      </c>
      <c r="K82" s="25">
        <f>IF(C82="","",N(D82)-N(E82)-N(F82)-N(G82))</f>
        <v/>
      </c>
      <c r="L82" s="13">
        <f>IF(OR(C82="",N(K82)&lt;=0,NOT(ISNUMBER(J82))),"",J82-TODAY())</f>
        <v/>
      </c>
      <c r="M82" s="12">
        <f>IF(C82="","",IF(N(K82)&lt;=0,"Sold out",IF(NOT(ISNUMBER(J82)),"In stock",IF(J82&lt;TODAY(),"Past its date",IF(J82-TODAY()&lt;=Settings!$C$5,"Use soon","In stock")))))</f>
        <v/>
      </c>
      <c r="N82" s="26">
        <f>IF(C82="","",N(D82)*Q82)</f>
        <v/>
      </c>
      <c r="O82" s="1" t="n"/>
      <c r="P82">
        <f>IF(C82="",0,IFERROR(N(INDEX(Products!$E$6:$E$45,MATCH(C82,Products!$B$6:$B$45,0))),0))</f>
        <v/>
      </c>
      <c r="Q82">
        <f>IF(C82="",0,IFERROR(N(INDEX(Products!$I$6:$I$45,MATCH(C82,Products!$B$6:$B$45,0))),0))</f>
        <v/>
      </c>
      <c r="R82">
        <f>IF(OR(C82="",NOT(ISNUMBER(B82))),"",YEAR(B82)*100+MONTH(B82))</f>
        <v/>
      </c>
      <c r="S82">
        <f>N(G82)*Q82</f>
        <v/>
      </c>
      <c r="T82">
        <f>IF(OR(M82="",M82="Sold out",NOT(ISNUMBER(J82))),"",J82*1000+ROW())</f>
        <v/>
      </c>
    </row>
    <row r="83">
      <c r="A83" s="1" t="n"/>
      <c r="B83" s="20" t="n"/>
      <c r="C83" s="21" t="n"/>
      <c r="D83" s="22" t="n"/>
      <c r="E83" s="22" t="n"/>
      <c r="F83" s="22" t="n"/>
      <c r="G83" s="22" t="n"/>
      <c r="H83" s="23" t="n"/>
      <c r="I83" s="24">
        <f>IF(OR(C83="",NOT(ISNUMBER(B83))),"",UPPER(IF(IFERROR(IF(INDEX(Products!$C$6:$C$45,MATCH(C83,Products!$B$6:$B$45,0))="","",INDEX(Products!$C$6:$C$45,MATCH(C83,Products!$B$6:$B$45,0))),"")="",LEFT(SUBSTITUTE(C83," ",""),3),IFERROR(IF(INDEX(Products!$C$6:$C$45,MATCH(C83,Products!$B$6:$B$45,0))="","",INDEX(Products!$C$6:$C$45,MATCH(C83,Products!$B$6:$B$45,0))),"")))&amp;"-"&amp;RIGHT(YEAR(B83),2)&amp;RIGHT("0"&amp;MONTH(B83),2)&amp;RIGHT("0"&amp;DAY(B83),2)&amp;"-"&amp;COUNTIFS(C$6:C83,C83,B$6:B83,B83))</f>
        <v/>
      </c>
      <c r="J83" s="14">
        <f>IF(OR(C83="",NOT(ISNUMBER(B83)),N(P83)=0),"",B83+P83)</f>
        <v/>
      </c>
      <c r="K83" s="25">
        <f>IF(C83="","",N(D83)-N(E83)-N(F83)-N(G83))</f>
        <v/>
      </c>
      <c r="L83" s="13">
        <f>IF(OR(C83="",N(K83)&lt;=0,NOT(ISNUMBER(J83))),"",J83-TODAY())</f>
        <v/>
      </c>
      <c r="M83" s="12">
        <f>IF(C83="","",IF(N(K83)&lt;=0,"Sold out",IF(NOT(ISNUMBER(J83)),"In stock",IF(J83&lt;TODAY(),"Past its date",IF(J83-TODAY()&lt;=Settings!$C$5,"Use soon","In stock")))))</f>
        <v/>
      </c>
      <c r="N83" s="26">
        <f>IF(C83="","",N(D83)*Q83)</f>
        <v/>
      </c>
      <c r="O83" s="1" t="n"/>
      <c r="P83">
        <f>IF(C83="",0,IFERROR(N(INDEX(Products!$E$6:$E$45,MATCH(C83,Products!$B$6:$B$45,0))),0))</f>
        <v/>
      </c>
      <c r="Q83">
        <f>IF(C83="",0,IFERROR(N(INDEX(Products!$I$6:$I$45,MATCH(C83,Products!$B$6:$B$45,0))),0))</f>
        <v/>
      </c>
      <c r="R83">
        <f>IF(OR(C83="",NOT(ISNUMBER(B83))),"",YEAR(B83)*100+MONTH(B83))</f>
        <v/>
      </c>
      <c r="S83">
        <f>N(G83)*Q83</f>
        <v/>
      </c>
      <c r="T83">
        <f>IF(OR(M83="",M83="Sold out",NOT(ISNUMBER(J83))),"",J83*1000+ROW())</f>
        <v/>
      </c>
    </row>
    <row r="84">
      <c r="A84" s="1" t="n"/>
      <c r="B84" s="20" t="n"/>
      <c r="C84" s="21" t="n"/>
      <c r="D84" s="22" t="n"/>
      <c r="E84" s="22" t="n"/>
      <c r="F84" s="22" t="n"/>
      <c r="G84" s="22" t="n"/>
      <c r="H84" s="23" t="n"/>
      <c r="I84" s="24">
        <f>IF(OR(C84="",NOT(ISNUMBER(B84))),"",UPPER(IF(IFERROR(IF(INDEX(Products!$C$6:$C$45,MATCH(C84,Products!$B$6:$B$45,0))="","",INDEX(Products!$C$6:$C$45,MATCH(C84,Products!$B$6:$B$45,0))),"")="",LEFT(SUBSTITUTE(C84," ",""),3),IFERROR(IF(INDEX(Products!$C$6:$C$45,MATCH(C84,Products!$B$6:$B$45,0))="","",INDEX(Products!$C$6:$C$45,MATCH(C84,Products!$B$6:$B$45,0))),"")))&amp;"-"&amp;RIGHT(YEAR(B84),2)&amp;RIGHT("0"&amp;MONTH(B84),2)&amp;RIGHT("0"&amp;DAY(B84),2)&amp;"-"&amp;COUNTIFS(C$6:C84,C84,B$6:B84,B84))</f>
        <v/>
      </c>
      <c r="J84" s="14">
        <f>IF(OR(C84="",NOT(ISNUMBER(B84)),N(P84)=0),"",B84+P84)</f>
        <v/>
      </c>
      <c r="K84" s="25">
        <f>IF(C84="","",N(D84)-N(E84)-N(F84)-N(G84))</f>
        <v/>
      </c>
      <c r="L84" s="13">
        <f>IF(OR(C84="",N(K84)&lt;=0,NOT(ISNUMBER(J84))),"",J84-TODAY())</f>
        <v/>
      </c>
      <c r="M84" s="12">
        <f>IF(C84="","",IF(N(K84)&lt;=0,"Sold out",IF(NOT(ISNUMBER(J84)),"In stock",IF(J84&lt;TODAY(),"Past its date",IF(J84-TODAY()&lt;=Settings!$C$5,"Use soon","In stock")))))</f>
        <v/>
      </c>
      <c r="N84" s="26">
        <f>IF(C84="","",N(D84)*Q84)</f>
        <v/>
      </c>
      <c r="O84" s="1" t="n"/>
      <c r="P84">
        <f>IF(C84="",0,IFERROR(N(INDEX(Products!$E$6:$E$45,MATCH(C84,Products!$B$6:$B$45,0))),0))</f>
        <v/>
      </c>
      <c r="Q84">
        <f>IF(C84="",0,IFERROR(N(INDEX(Products!$I$6:$I$45,MATCH(C84,Products!$B$6:$B$45,0))),0))</f>
        <v/>
      </c>
      <c r="R84">
        <f>IF(OR(C84="",NOT(ISNUMBER(B84))),"",YEAR(B84)*100+MONTH(B84))</f>
        <v/>
      </c>
      <c r="S84">
        <f>N(G84)*Q84</f>
        <v/>
      </c>
      <c r="T84">
        <f>IF(OR(M84="",M84="Sold out",NOT(ISNUMBER(J84))),"",J84*1000+ROW())</f>
        <v/>
      </c>
    </row>
    <row r="85">
      <c r="A85" s="1" t="n"/>
      <c r="B85" s="20" t="n"/>
      <c r="C85" s="21" t="n"/>
      <c r="D85" s="22" t="n"/>
      <c r="E85" s="22" t="n"/>
      <c r="F85" s="22" t="n"/>
      <c r="G85" s="22" t="n"/>
      <c r="H85" s="23" t="n"/>
      <c r="I85" s="24">
        <f>IF(OR(C85="",NOT(ISNUMBER(B85))),"",UPPER(IF(IFERROR(IF(INDEX(Products!$C$6:$C$45,MATCH(C85,Products!$B$6:$B$45,0))="","",INDEX(Products!$C$6:$C$45,MATCH(C85,Products!$B$6:$B$45,0))),"")="",LEFT(SUBSTITUTE(C85," ",""),3),IFERROR(IF(INDEX(Products!$C$6:$C$45,MATCH(C85,Products!$B$6:$B$45,0))="","",INDEX(Products!$C$6:$C$45,MATCH(C85,Products!$B$6:$B$45,0))),"")))&amp;"-"&amp;RIGHT(YEAR(B85),2)&amp;RIGHT("0"&amp;MONTH(B85),2)&amp;RIGHT("0"&amp;DAY(B85),2)&amp;"-"&amp;COUNTIFS(C$6:C85,C85,B$6:B85,B85))</f>
        <v/>
      </c>
      <c r="J85" s="14">
        <f>IF(OR(C85="",NOT(ISNUMBER(B85)),N(P85)=0),"",B85+P85)</f>
        <v/>
      </c>
      <c r="K85" s="25">
        <f>IF(C85="","",N(D85)-N(E85)-N(F85)-N(G85))</f>
        <v/>
      </c>
      <c r="L85" s="13">
        <f>IF(OR(C85="",N(K85)&lt;=0,NOT(ISNUMBER(J85))),"",J85-TODAY())</f>
        <v/>
      </c>
      <c r="M85" s="12">
        <f>IF(C85="","",IF(N(K85)&lt;=0,"Sold out",IF(NOT(ISNUMBER(J85)),"In stock",IF(J85&lt;TODAY(),"Past its date",IF(J85-TODAY()&lt;=Settings!$C$5,"Use soon","In stock")))))</f>
        <v/>
      </c>
      <c r="N85" s="26">
        <f>IF(C85="","",N(D85)*Q85)</f>
        <v/>
      </c>
      <c r="O85" s="1" t="n"/>
      <c r="P85">
        <f>IF(C85="",0,IFERROR(N(INDEX(Products!$E$6:$E$45,MATCH(C85,Products!$B$6:$B$45,0))),0))</f>
        <v/>
      </c>
      <c r="Q85">
        <f>IF(C85="",0,IFERROR(N(INDEX(Products!$I$6:$I$45,MATCH(C85,Products!$B$6:$B$45,0))),0))</f>
        <v/>
      </c>
      <c r="R85">
        <f>IF(OR(C85="",NOT(ISNUMBER(B85))),"",YEAR(B85)*100+MONTH(B85))</f>
        <v/>
      </c>
      <c r="S85">
        <f>N(G85)*Q85</f>
        <v/>
      </c>
      <c r="T85">
        <f>IF(OR(M85="",M85="Sold out",NOT(ISNUMBER(J85))),"",J85*1000+ROW())</f>
        <v/>
      </c>
    </row>
    <row r="86">
      <c r="A86" s="1" t="n"/>
      <c r="B86" s="20" t="n"/>
      <c r="C86" s="21" t="n"/>
      <c r="D86" s="22" t="n"/>
      <c r="E86" s="22" t="n"/>
      <c r="F86" s="22" t="n"/>
      <c r="G86" s="22" t="n"/>
      <c r="H86" s="23" t="n"/>
      <c r="I86" s="24">
        <f>IF(OR(C86="",NOT(ISNUMBER(B86))),"",UPPER(IF(IFERROR(IF(INDEX(Products!$C$6:$C$45,MATCH(C86,Products!$B$6:$B$45,0))="","",INDEX(Products!$C$6:$C$45,MATCH(C86,Products!$B$6:$B$45,0))),"")="",LEFT(SUBSTITUTE(C86," ",""),3),IFERROR(IF(INDEX(Products!$C$6:$C$45,MATCH(C86,Products!$B$6:$B$45,0))="","",INDEX(Products!$C$6:$C$45,MATCH(C86,Products!$B$6:$B$45,0))),"")))&amp;"-"&amp;RIGHT(YEAR(B86),2)&amp;RIGHT("0"&amp;MONTH(B86),2)&amp;RIGHT("0"&amp;DAY(B86),2)&amp;"-"&amp;COUNTIFS(C$6:C86,C86,B$6:B86,B86))</f>
        <v/>
      </c>
      <c r="J86" s="14">
        <f>IF(OR(C86="",NOT(ISNUMBER(B86)),N(P86)=0),"",B86+P86)</f>
        <v/>
      </c>
      <c r="K86" s="25">
        <f>IF(C86="","",N(D86)-N(E86)-N(F86)-N(G86))</f>
        <v/>
      </c>
      <c r="L86" s="13">
        <f>IF(OR(C86="",N(K86)&lt;=0,NOT(ISNUMBER(J86))),"",J86-TODAY())</f>
        <v/>
      </c>
      <c r="M86" s="12">
        <f>IF(C86="","",IF(N(K86)&lt;=0,"Sold out",IF(NOT(ISNUMBER(J86)),"In stock",IF(J86&lt;TODAY(),"Past its date",IF(J86-TODAY()&lt;=Settings!$C$5,"Use soon","In stock")))))</f>
        <v/>
      </c>
      <c r="N86" s="26">
        <f>IF(C86="","",N(D86)*Q86)</f>
        <v/>
      </c>
      <c r="O86" s="1" t="n"/>
      <c r="P86">
        <f>IF(C86="",0,IFERROR(N(INDEX(Products!$E$6:$E$45,MATCH(C86,Products!$B$6:$B$45,0))),0))</f>
        <v/>
      </c>
      <c r="Q86">
        <f>IF(C86="",0,IFERROR(N(INDEX(Products!$I$6:$I$45,MATCH(C86,Products!$B$6:$B$45,0))),0))</f>
        <v/>
      </c>
      <c r="R86">
        <f>IF(OR(C86="",NOT(ISNUMBER(B86))),"",YEAR(B86)*100+MONTH(B86))</f>
        <v/>
      </c>
      <c r="S86">
        <f>N(G86)*Q86</f>
        <v/>
      </c>
      <c r="T86">
        <f>IF(OR(M86="",M86="Sold out",NOT(ISNUMBER(J86))),"",J86*1000+ROW())</f>
        <v/>
      </c>
    </row>
    <row r="87">
      <c r="A87" s="1" t="n"/>
      <c r="B87" s="20" t="n"/>
      <c r="C87" s="21" t="n"/>
      <c r="D87" s="22" t="n"/>
      <c r="E87" s="22" t="n"/>
      <c r="F87" s="22" t="n"/>
      <c r="G87" s="22" t="n"/>
      <c r="H87" s="23" t="n"/>
      <c r="I87" s="24">
        <f>IF(OR(C87="",NOT(ISNUMBER(B87))),"",UPPER(IF(IFERROR(IF(INDEX(Products!$C$6:$C$45,MATCH(C87,Products!$B$6:$B$45,0))="","",INDEX(Products!$C$6:$C$45,MATCH(C87,Products!$B$6:$B$45,0))),"")="",LEFT(SUBSTITUTE(C87," ",""),3),IFERROR(IF(INDEX(Products!$C$6:$C$45,MATCH(C87,Products!$B$6:$B$45,0))="","",INDEX(Products!$C$6:$C$45,MATCH(C87,Products!$B$6:$B$45,0))),"")))&amp;"-"&amp;RIGHT(YEAR(B87),2)&amp;RIGHT("0"&amp;MONTH(B87),2)&amp;RIGHT("0"&amp;DAY(B87),2)&amp;"-"&amp;COUNTIFS(C$6:C87,C87,B$6:B87,B87))</f>
        <v/>
      </c>
      <c r="J87" s="14">
        <f>IF(OR(C87="",NOT(ISNUMBER(B87)),N(P87)=0),"",B87+P87)</f>
        <v/>
      </c>
      <c r="K87" s="25">
        <f>IF(C87="","",N(D87)-N(E87)-N(F87)-N(G87))</f>
        <v/>
      </c>
      <c r="L87" s="13">
        <f>IF(OR(C87="",N(K87)&lt;=0,NOT(ISNUMBER(J87))),"",J87-TODAY())</f>
        <v/>
      </c>
      <c r="M87" s="12">
        <f>IF(C87="","",IF(N(K87)&lt;=0,"Sold out",IF(NOT(ISNUMBER(J87)),"In stock",IF(J87&lt;TODAY(),"Past its date",IF(J87-TODAY()&lt;=Settings!$C$5,"Use soon","In stock")))))</f>
        <v/>
      </c>
      <c r="N87" s="26">
        <f>IF(C87="","",N(D87)*Q87)</f>
        <v/>
      </c>
      <c r="O87" s="1" t="n"/>
      <c r="P87">
        <f>IF(C87="",0,IFERROR(N(INDEX(Products!$E$6:$E$45,MATCH(C87,Products!$B$6:$B$45,0))),0))</f>
        <v/>
      </c>
      <c r="Q87">
        <f>IF(C87="",0,IFERROR(N(INDEX(Products!$I$6:$I$45,MATCH(C87,Products!$B$6:$B$45,0))),0))</f>
        <v/>
      </c>
      <c r="R87">
        <f>IF(OR(C87="",NOT(ISNUMBER(B87))),"",YEAR(B87)*100+MONTH(B87))</f>
        <v/>
      </c>
      <c r="S87">
        <f>N(G87)*Q87</f>
        <v/>
      </c>
      <c r="T87">
        <f>IF(OR(M87="",M87="Sold out",NOT(ISNUMBER(J87))),"",J87*1000+ROW())</f>
        <v/>
      </c>
    </row>
    <row r="88">
      <c r="A88" s="1" t="n"/>
      <c r="B88" s="20" t="n"/>
      <c r="C88" s="21" t="n"/>
      <c r="D88" s="22" t="n"/>
      <c r="E88" s="22" t="n"/>
      <c r="F88" s="22" t="n"/>
      <c r="G88" s="22" t="n"/>
      <c r="H88" s="23" t="n"/>
      <c r="I88" s="24">
        <f>IF(OR(C88="",NOT(ISNUMBER(B88))),"",UPPER(IF(IFERROR(IF(INDEX(Products!$C$6:$C$45,MATCH(C88,Products!$B$6:$B$45,0))="","",INDEX(Products!$C$6:$C$45,MATCH(C88,Products!$B$6:$B$45,0))),"")="",LEFT(SUBSTITUTE(C88," ",""),3),IFERROR(IF(INDEX(Products!$C$6:$C$45,MATCH(C88,Products!$B$6:$B$45,0))="","",INDEX(Products!$C$6:$C$45,MATCH(C88,Products!$B$6:$B$45,0))),"")))&amp;"-"&amp;RIGHT(YEAR(B88),2)&amp;RIGHT("0"&amp;MONTH(B88),2)&amp;RIGHT("0"&amp;DAY(B88),2)&amp;"-"&amp;COUNTIFS(C$6:C88,C88,B$6:B88,B88))</f>
        <v/>
      </c>
      <c r="J88" s="14">
        <f>IF(OR(C88="",NOT(ISNUMBER(B88)),N(P88)=0),"",B88+P88)</f>
        <v/>
      </c>
      <c r="K88" s="25">
        <f>IF(C88="","",N(D88)-N(E88)-N(F88)-N(G88))</f>
        <v/>
      </c>
      <c r="L88" s="13">
        <f>IF(OR(C88="",N(K88)&lt;=0,NOT(ISNUMBER(J88))),"",J88-TODAY())</f>
        <v/>
      </c>
      <c r="M88" s="12">
        <f>IF(C88="","",IF(N(K88)&lt;=0,"Sold out",IF(NOT(ISNUMBER(J88)),"In stock",IF(J88&lt;TODAY(),"Past its date",IF(J88-TODAY()&lt;=Settings!$C$5,"Use soon","In stock")))))</f>
        <v/>
      </c>
      <c r="N88" s="26">
        <f>IF(C88="","",N(D88)*Q88)</f>
        <v/>
      </c>
      <c r="O88" s="1" t="n"/>
      <c r="P88">
        <f>IF(C88="",0,IFERROR(N(INDEX(Products!$E$6:$E$45,MATCH(C88,Products!$B$6:$B$45,0))),0))</f>
        <v/>
      </c>
      <c r="Q88">
        <f>IF(C88="",0,IFERROR(N(INDEX(Products!$I$6:$I$45,MATCH(C88,Products!$B$6:$B$45,0))),0))</f>
        <v/>
      </c>
      <c r="R88">
        <f>IF(OR(C88="",NOT(ISNUMBER(B88))),"",YEAR(B88)*100+MONTH(B88))</f>
        <v/>
      </c>
      <c r="S88">
        <f>N(G88)*Q88</f>
        <v/>
      </c>
      <c r="T88">
        <f>IF(OR(M88="",M88="Sold out",NOT(ISNUMBER(J88))),"",J88*1000+ROW())</f>
        <v/>
      </c>
    </row>
    <row r="89">
      <c r="A89" s="1" t="n"/>
      <c r="B89" s="20" t="n"/>
      <c r="C89" s="21" t="n"/>
      <c r="D89" s="22" t="n"/>
      <c r="E89" s="22" t="n"/>
      <c r="F89" s="22" t="n"/>
      <c r="G89" s="22" t="n"/>
      <c r="H89" s="23" t="n"/>
      <c r="I89" s="24">
        <f>IF(OR(C89="",NOT(ISNUMBER(B89))),"",UPPER(IF(IFERROR(IF(INDEX(Products!$C$6:$C$45,MATCH(C89,Products!$B$6:$B$45,0))="","",INDEX(Products!$C$6:$C$45,MATCH(C89,Products!$B$6:$B$45,0))),"")="",LEFT(SUBSTITUTE(C89," ",""),3),IFERROR(IF(INDEX(Products!$C$6:$C$45,MATCH(C89,Products!$B$6:$B$45,0))="","",INDEX(Products!$C$6:$C$45,MATCH(C89,Products!$B$6:$B$45,0))),"")))&amp;"-"&amp;RIGHT(YEAR(B89),2)&amp;RIGHT("0"&amp;MONTH(B89),2)&amp;RIGHT("0"&amp;DAY(B89),2)&amp;"-"&amp;COUNTIFS(C$6:C89,C89,B$6:B89,B89))</f>
        <v/>
      </c>
      <c r="J89" s="14">
        <f>IF(OR(C89="",NOT(ISNUMBER(B89)),N(P89)=0),"",B89+P89)</f>
        <v/>
      </c>
      <c r="K89" s="25">
        <f>IF(C89="","",N(D89)-N(E89)-N(F89)-N(G89))</f>
        <v/>
      </c>
      <c r="L89" s="13">
        <f>IF(OR(C89="",N(K89)&lt;=0,NOT(ISNUMBER(J89))),"",J89-TODAY())</f>
        <v/>
      </c>
      <c r="M89" s="12">
        <f>IF(C89="","",IF(N(K89)&lt;=0,"Sold out",IF(NOT(ISNUMBER(J89)),"In stock",IF(J89&lt;TODAY(),"Past its date",IF(J89-TODAY()&lt;=Settings!$C$5,"Use soon","In stock")))))</f>
        <v/>
      </c>
      <c r="N89" s="26">
        <f>IF(C89="","",N(D89)*Q89)</f>
        <v/>
      </c>
      <c r="O89" s="1" t="n"/>
      <c r="P89">
        <f>IF(C89="",0,IFERROR(N(INDEX(Products!$E$6:$E$45,MATCH(C89,Products!$B$6:$B$45,0))),0))</f>
        <v/>
      </c>
      <c r="Q89">
        <f>IF(C89="",0,IFERROR(N(INDEX(Products!$I$6:$I$45,MATCH(C89,Products!$B$6:$B$45,0))),0))</f>
        <v/>
      </c>
      <c r="R89">
        <f>IF(OR(C89="",NOT(ISNUMBER(B89))),"",YEAR(B89)*100+MONTH(B89))</f>
        <v/>
      </c>
      <c r="S89">
        <f>N(G89)*Q89</f>
        <v/>
      </c>
      <c r="T89">
        <f>IF(OR(M89="",M89="Sold out",NOT(ISNUMBER(J89))),"",J89*1000+ROW())</f>
        <v/>
      </c>
    </row>
    <row r="90">
      <c r="A90" s="1" t="n"/>
      <c r="B90" s="20" t="n"/>
      <c r="C90" s="21" t="n"/>
      <c r="D90" s="22" t="n"/>
      <c r="E90" s="22" t="n"/>
      <c r="F90" s="22" t="n"/>
      <c r="G90" s="22" t="n"/>
      <c r="H90" s="23" t="n"/>
      <c r="I90" s="24">
        <f>IF(OR(C90="",NOT(ISNUMBER(B90))),"",UPPER(IF(IFERROR(IF(INDEX(Products!$C$6:$C$45,MATCH(C90,Products!$B$6:$B$45,0))="","",INDEX(Products!$C$6:$C$45,MATCH(C90,Products!$B$6:$B$45,0))),"")="",LEFT(SUBSTITUTE(C90," ",""),3),IFERROR(IF(INDEX(Products!$C$6:$C$45,MATCH(C90,Products!$B$6:$B$45,0))="","",INDEX(Products!$C$6:$C$45,MATCH(C90,Products!$B$6:$B$45,0))),"")))&amp;"-"&amp;RIGHT(YEAR(B90),2)&amp;RIGHT("0"&amp;MONTH(B90),2)&amp;RIGHT("0"&amp;DAY(B90),2)&amp;"-"&amp;COUNTIFS(C$6:C90,C90,B$6:B90,B90))</f>
        <v/>
      </c>
      <c r="J90" s="14">
        <f>IF(OR(C90="",NOT(ISNUMBER(B90)),N(P90)=0),"",B90+P90)</f>
        <v/>
      </c>
      <c r="K90" s="25">
        <f>IF(C90="","",N(D90)-N(E90)-N(F90)-N(G90))</f>
        <v/>
      </c>
      <c r="L90" s="13">
        <f>IF(OR(C90="",N(K90)&lt;=0,NOT(ISNUMBER(J90))),"",J90-TODAY())</f>
        <v/>
      </c>
      <c r="M90" s="12">
        <f>IF(C90="","",IF(N(K90)&lt;=0,"Sold out",IF(NOT(ISNUMBER(J90)),"In stock",IF(J90&lt;TODAY(),"Past its date",IF(J90-TODAY()&lt;=Settings!$C$5,"Use soon","In stock")))))</f>
        <v/>
      </c>
      <c r="N90" s="26">
        <f>IF(C90="","",N(D90)*Q90)</f>
        <v/>
      </c>
      <c r="O90" s="1" t="n"/>
      <c r="P90">
        <f>IF(C90="",0,IFERROR(N(INDEX(Products!$E$6:$E$45,MATCH(C90,Products!$B$6:$B$45,0))),0))</f>
        <v/>
      </c>
      <c r="Q90">
        <f>IF(C90="",0,IFERROR(N(INDEX(Products!$I$6:$I$45,MATCH(C90,Products!$B$6:$B$45,0))),0))</f>
        <v/>
      </c>
      <c r="R90">
        <f>IF(OR(C90="",NOT(ISNUMBER(B90))),"",YEAR(B90)*100+MONTH(B90))</f>
        <v/>
      </c>
      <c r="S90">
        <f>N(G90)*Q90</f>
        <v/>
      </c>
      <c r="T90">
        <f>IF(OR(M90="",M90="Sold out",NOT(ISNUMBER(J90))),"",J90*1000+ROW())</f>
        <v/>
      </c>
    </row>
    <row r="91">
      <c r="A91" s="1" t="n"/>
      <c r="B91" s="20" t="n"/>
      <c r="C91" s="21" t="n"/>
      <c r="D91" s="22" t="n"/>
      <c r="E91" s="22" t="n"/>
      <c r="F91" s="22" t="n"/>
      <c r="G91" s="22" t="n"/>
      <c r="H91" s="23" t="n"/>
      <c r="I91" s="24">
        <f>IF(OR(C91="",NOT(ISNUMBER(B91))),"",UPPER(IF(IFERROR(IF(INDEX(Products!$C$6:$C$45,MATCH(C91,Products!$B$6:$B$45,0))="","",INDEX(Products!$C$6:$C$45,MATCH(C91,Products!$B$6:$B$45,0))),"")="",LEFT(SUBSTITUTE(C91," ",""),3),IFERROR(IF(INDEX(Products!$C$6:$C$45,MATCH(C91,Products!$B$6:$B$45,0))="","",INDEX(Products!$C$6:$C$45,MATCH(C91,Products!$B$6:$B$45,0))),"")))&amp;"-"&amp;RIGHT(YEAR(B91),2)&amp;RIGHT("0"&amp;MONTH(B91),2)&amp;RIGHT("0"&amp;DAY(B91),2)&amp;"-"&amp;COUNTIFS(C$6:C91,C91,B$6:B91,B91))</f>
        <v/>
      </c>
      <c r="J91" s="14">
        <f>IF(OR(C91="",NOT(ISNUMBER(B91)),N(P91)=0),"",B91+P91)</f>
        <v/>
      </c>
      <c r="K91" s="25">
        <f>IF(C91="","",N(D91)-N(E91)-N(F91)-N(G91))</f>
        <v/>
      </c>
      <c r="L91" s="13">
        <f>IF(OR(C91="",N(K91)&lt;=0,NOT(ISNUMBER(J91))),"",J91-TODAY())</f>
        <v/>
      </c>
      <c r="M91" s="12">
        <f>IF(C91="","",IF(N(K91)&lt;=0,"Sold out",IF(NOT(ISNUMBER(J91)),"In stock",IF(J91&lt;TODAY(),"Past its date",IF(J91-TODAY()&lt;=Settings!$C$5,"Use soon","In stock")))))</f>
        <v/>
      </c>
      <c r="N91" s="26">
        <f>IF(C91="","",N(D91)*Q91)</f>
        <v/>
      </c>
      <c r="O91" s="1" t="n"/>
      <c r="P91">
        <f>IF(C91="",0,IFERROR(N(INDEX(Products!$E$6:$E$45,MATCH(C91,Products!$B$6:$B$45,0))),0))</f>
        <v/>
      </c>
      <c r="Q91">
        <f>IF(C91="",0,IFERROR(N(INDEX(Products!$I$6:$I$45,MATCH(C91,Products!$B$6:$B$45,0))),0))</f>
        <v/>
      </c>
      <c r="R91">
        <f>IF(OR(C91="",NOT(ISNUMBER(B91))),"",YEAR(B91)*100+MONTH(B91))</f>
        <v/>
      </c>
      <c r="S91">
        <f>N(G91)*Q91</f>
        <v/>
      </c>
      <c r="T91">
        <f>IF(OR(M91="",M91="Sold out",NOT(ISNUMBER(J91))),"",J91*1000+ROW())</f>
        <v/>
      </c>
    </row>
    <row r="92">
      <c r="A92" s="1" t="n"/>
      <c r="B92" s="20" t="n"/>
      <c r="C92" s="21" t="n"/>
      <c r="D92" s="22" t="n"/>
      <c r="E92" s="22" t="n"/>
      <c r="F92" s="22" t="n"/>
      <c r="G92" s="22" t="n"/>
      <c r="H92" s="23" t="n"/>
      <c r="I92" s="24">
        <f>IF(OR(C92="",NOT(ISNUMBER(B92))),"",UPPER(IF(IFERROR(IF(INDEX(Products!$C$6:$C$45,MATCH(C92,Products!$B$6:$B$45,0))="","",INDEX(Products!$C$6:$C$45,MATCH(C92,Products!$B$6:$B$45,0))),"")="",LEFT(SUBSTITUTE(C92," ",""),3),IFERROR(IF(INDEX(Products!$C$6:$C$45,MATCH(C92,Products!$B$6:$B$45,0))="","",INDEX(Products!$C$6:$C$45,MATCH(C92,Products!$B$6:$B$45,0))),"")))&amp;"-"&amp;RIGHT(YEAR(B92),2)&amp;RIGHT("0"&amp;MONTH(B92),2)&amp;RIGHT("0"&amp;DAY(B92),2)&amp;"-"&amp;COUNTIFS(C$6:C92,C92,B$6:B92,B92))</f>
        <v/>
      </c>
      <c r="J92" s="14">
        <f>IF(OR(C92="",NOT(ISNUMBER(B92)),N(P92)=0),"",B92+P92)</f>
        <v/>
      </c>
      <c r="K92" s="25">
        <f>IF(C92="","",N(D92)-N(E92)-N(F92)-N(G92))</f>
        <v/>
      </c>
      <c r="L92" s="13">
        <f>IF(OR(C92="",N(K92)&lt;=0,NOT(ISNUMBER(J92))),"",J92-TODAY())</f>
        <v/>
      </c>
      <c r="M92" s="12">
        <f>IF(C92="","",IF(N(K92)&lt;=0,"Sold out",IF(NOT(ISNUMBER(J92)),"In stock",IF(J92&lt;TODAY(),"Past its date",IF(J92-TODAY()&lt;=Settings!$C$5,"Use soon","In stock")))))</f>
        <v/>
      </c>
      <c r="N92" s="26">
        <f>IF(C92="","",N(D92)*Q92)</f>
        <v/>
      </c>
      <c r="O92" s="1" t="n"/>
      <c r="P92">
        <f>IF(C92="",0,IFERROR(N(INDEX(Products!$E$6:$E$45,MATCH(C92,Products!$B$6:$B$45,0))),0))</f>
        <v/>
      </c>
      <c r="Q92">
        <f>IF(C92="",0,IFERROR(N(INDEX(Products!$I$6:$I$45,MATCH(C92,Products!$B$6:$B$45,0))),0))</f>
        <v/>
      </c>
      <c r="R92">
        <f>IF(OR(C92="",NOT(ISNUMBER(B92))),"",YEAR(B92)*100+MONTH(B92))</f>
        <v/>
      </c>
      <c r="S92">
        <f>N(G92)*Q92</f>
        <v/>
      </c>
      <c r="T92">
        <f>IF(OR(M92="",M92="Sold out",NOT(ISNUMBER(J92))),"",J92*1000+ROW())</f>
        <v/>
      </c>
    </row>
    <row r="93">
      <c r="A93" s="1" t="n"/>
      <c r="B93" s="20" t="n"/>
      <c r="C93" s="21" t="n"/>
      <c r="D93" s="22" t="n"/>
      <c r="E93" s="22" t="n"/>
      <c r="F93" s="22" t="n"/>
      <c r="G93" s="22" t="n"/>
      <c r="H93" s="23" t="n"/>
      <c r="I93" s="24">
        <f>IF(OR(C93="",NOT(ISNUMBER(B93))),"",UPPER(IF(IFERROR(IF(INDEX(Products!$C$6:$C$45,MATCH(C93,Products!$B$6:$B$45,0))="","",INDEX(Products!$C$6:$C$45,MATCH(C93,Products!$B$6:$B$45,0))),"")="",LEFT(SUBSTITUTE(C93," ",""),3),IFERROR(IF(INDEX(Products!$C$6:$C$45,MATCH(C93,Products!$B$6:$B$45,0))="","",INDEX(Products!$C$6:$C$45,MATCH(C93,Products!$B$6:$B$45,0))),"")))&amp;"-"&amp;RIGHT(YEAR(B93),2)&amp;RIGHT("0"&amp;MONTH(B93),2)&amp;RIGHT("0"&amp;DAY(B93),2)&amp;"-"&amp;COUNTIFS(C$6:C93,C93,B$6:B93,B93))</f>
        <v/>
      </c>
      <c r="J93" s="14">
        <f>IF(OR(C93="",NOT(ISNUMBER(B93)),N(P93)=0),"",B93+P93)</f>
        <v/>
      </c>
      <c r="K93" s="25">
        <f>IF(C93="","",N(D93)-N(E93)-N(F93)-N(G93))</f>
        <v/>
      </c>
      <c r="L93" s="13">
        <f>IF(OR(C93="",N(K93)&lt;=0,NOT(ISNUMBER(J93))),"",J93-TODAY())</f>
        <v/>
      </c>
      <c r="M93" s="12">
        <f>IF(C93="","",IF(N(K93)&lt;=0,"Sold out",IF(NOT(ISNUMBER(J93)),"In stock",IF(J93&lt;TODAY(),"Past its date",IF(J93-TODAY()&lt;=Settings!$C$5,"Use soon","In stock")))))</f>
        <v/>
      </c>
      <c r="N93" s="26">
        <f>IF(C93="","",N(D93)*Q93)</f>
        <v/>
      </c>
      <c r="O93" s="1" t="n"/>
      <c r="P93">
        <f>IF(C93="",0,IFERROR(N(INDEX(Products!$E$6:$E$45,MATCH(C93,Products!$B$6:$B$45,0))),0))</f>
        <v/>
      </c>
      <c r="Q93">
        <f>IF(C93="",0,IFERROR(N(INDEX(Products!$I$6:$I$45,MATCH(C93,Products!$B$6:$B$45,0))),0))</f>
        <v/>
      </c>
      <c r="R93">
        <f>IF(OR(C93="",NOT(ISNUMBER(B93))),"",YEAR(B93)*100+MONTH(B93))</f>
        <v/>
      </c>
      <c r="S93">
        <f>N(G93)*Q93</f>
        <v/>
      </c>
      <c r="T93">
        <f>IF(OR(M93="",M93="Sold out",NOT(ISNUMBER(J93))),"",J93*1000+ROW())</f>
        <v/>
      </c>
    </row>
    <row r="94">
      <c r="A94" s="1" t="n"/>
      <c r="B94" s="20" t="n"/>
      <c r="C94" s="21" t="n"/>
      <c r="D94" s="22" t="n"/>
      <c r="E94" s="22" t="n"/>
      <c r="F94" s="22" t="n"/>
      <c r="G94" s="22" t="n"/>
      <c r="H94" s="23" t="n"/>
      <c r="I94" s="24">
        <f>IF(OR(C94="",NOT(ISNUMBER(B94))),"",UPPER(IF(IFERROR(IF(INDEX(Products!$C$6:$C$45,MATCH(C94,Products!$B$6:$B$45,0))="","",INDEX(Products!$C$6:$C$45,MATCH(C94,Products!$B$6:$B$45,0))),"")="",LEFT(SUBSTITUTE(C94," ",""),3),IFERROR(IF(INDEX(Products!$C$6:$C$45,MATCH(C94,Products!$B$6:$B$45,0))="","",INDEX(Products!$C$6:$C$45,MATCH(C94,Products!$B$6:$B$45,0))),"")))&amp;"-"&amp;RIGHT(YEAR(B94),2)&amp;RIGHT("0"&amp;MONTH(B94),2)&amp;RIGHT("0"&amp;DAY(B94),2)&amp;"-"&amp;COUNTIFS(C$6:C94,C94,B$6:B94,B94))</f>
        <v/>
      </c>
      <c r="J94" s="14">
        <f>IF(OR(C94="",NOT(ISNUMBER(B94)),N(P94)=0),"",B94+P94)</f>
        <v/>
      </c>
      <c r="K94" s="25">
        <f>IF(C94="","",N(D94)-N(E94)-N(F94)-N(G94))</f>
        <v/>
      </c>
      <c r="L94" s="13">
        <f>IF(OR(C94="",N(K94)&lt;=0,NOT(ISNUMBER(J94))),"",J94-TODAY())</f>
        <v/>
      </c>
      <c r="M94" s="12">
        <f>IF(C94="","",IF(N(K94)&lt;=0,"Sold out",IF(NOT(ISNUMBER(J94)),"In stock",IF(J94&lt;TODAY(),"Past its date",IF(J94-TODAY()&lt;=Settings!$C$5,"Use soon","In stock")))))</f>
        <v/>
      </c>
      <c r="N94" s="26">
        <f>IF(C94="","",N(D94)*Q94)</f>
        <v/>
      </c>
      <c r="O94" s="1" t="n"/>
      <c r="P94">
        <f>IF(C94="",0,IFERROR(N(INDEX(Products!$E$6:$E$45,MATCH(C94,Products!$B$6:$B$45,0))),0))</f>
        <v/>
      </c>
      <c r="Q94">
        <f>IF(C94="",0,IFERROR(N(INDEX(Products!$I$6:$I$45,MATCH(C94,Products!$B$6:$B$45,0))),0))</f>
        <v/>
      </c>
      <c r="R94">
        <f>IF(OR(C94="",NOT(ISNUMBER(B94))),"",YEAR(B94)*100+MONTH(B94))</f>
        <v/>
      </c>
      <c r="S94">
        <f>N(G94)*Q94</f>
        <v/>
      </c>
      <c r="T94">
        <f>IF(OR(M94="",M94="Sold out",NOT(ISNUMBER(J94))),"",J94*1000+ROW())</f>
        <v/>
      </c>
    </row>
    <row r="95">
      <c r="A95" s="1" t="n"/>
      <c r="B95" s="20" t="n"/>
      <c r="C95" s="21" t="n"/>
      <c r="D95" s="22" t="n"/>
      <c r="E95" s="22" t="n"/>
      <c r="F95" s="22" t="n"/>
      <c r="G95" s="22" t="n"/>
      <c r="H95" s="23" t="n"/>
      <c r="I95" s="24">
        <f>IF(OR(C95="",NOT(ISNUMBER(B95))),"",UPPER(IF(IFERROR(IF(INDEX(Products!$C$6:$C$45,MATCH(C95,Products!$B$6:$B$45,0))="","",INDEX(Products!$C$6:$C$45,MATCH(C95,Products!$B$6:$B$45,0))),"")="",LEFT(SUBSTITUTE(C95," ",""),3),IFERROR(IF(INDEX(Products!$C$6:$C$45,MATCH(C95,Products!$B$6:$B$45,0))="","",INDEX(Products!$C$6:$C$45,MATCH(C95,Products!$B$6:$B$45,0))),"")))&amp;"-"&amp;RIGHT(YEAR(B95),2)&amp;RIGHT("0"&amp;MONTH(B95),2)&amp;RIGHT("0"&amp;DAY(B95),2)&amp;"-"&amp;COUNTIFS(C$6:C95,C95,B$6:B95,B95))</f>
        <v/>
      </c>
      <c r="J95" s="14">
        <f>IF(OR(C95="",NOT(ISNUMBER(B95)),N(P95)=0),"",B95+P95)</f>
        <v/>
      </c>
      <c r="K95" s="25">
        <f>IF(C95="","",N(D95)-N(E95)-N(F95)-N(G95))</f>
        <v/>
      </c>
      <c r="L95" s="13">
        <f>IF(OR(C95="",N(K95)&lt;=0,NOT(ISNUMBER(J95))),"",J95-TODAY())</f>
        <v/>
      </c>
      <c r="M95" s="12">
        <f>IF(C95="","",IF(N(K95)&lt;=0,"Sold out",IF(NOT(ISNUMBER(J95)),"In stock",IF(J95&lt;TODAY(),"Past its date",IF(J95-TODAY()&lt;=Settings!$C$5,"Use soon","In stock")))))</f>
        <v/>
      </c>
      <c r="N95" s="26">
        <f>IF(C95="","",N(D95)*Q95)</f>
        <v/>
      </c>
      <c r="O95" s="1" t="n"/>
      <c r="P95">
        <f>IF(C95="",0,IFERROR(N(INDEX(Products!$E$6:$E$45,MATCH(C95,Products!$B$6:$B$45,0))),0))</f>
        <v/>
      </c>
      <c r="Q95">
        <f>IF(C95="",0,IFERROR(N(INDEX(Products!$I$6:$I$45,MATCH(C95,Products!$B$6:$B$45,0))),0))</f>
        <v/>
      </c>
      <c r="R95">
        <f>IF(OR(C95="",NOT(ISNUMBER(B95))),"",YEAR(B95)*100+MONTH(B95))</f>
        <v/>
      </c>
      <c r="S95">
        <f>N(G95)*Q95</f>
        <v/>
      </c>
      <c r="T95">
        <f>IF(OR(M95="",M95="Sold out",NOT(ISNUMBER(J95))),"",J95*1000+ROW())</f>
        <v/>
      </c>
    </row>
    <row r="96">
      <c r="A96" s="1" t="n"/>
      <c r="B96" s="20" t="n"/>
      <c r="C96" s="21" t="n"/>
      <c r="D96" s="22" t="n"/>
      <c r="E96" s="22" t="n"/>
      <c r="F96" s="22" t="n"/>
      <c r="G96" s="22" t="n"/>
      <c r="H96" s="23" t="n"/>
      <c r="I96" s="24">
        <f>IF(OR(C96="",NOT(ISNUMBER(B96))),"",UPPER(IF(IFERROR(IF(INDEX(Products!$C$6:$C$45,MATCH(C96,Products!$B$6:$B$45,0))="","",INDEX(Products!$C$6:$C$45,MATCH(C96,Products!$B$6:$B$45,0))),"")="",LEFT(SUBSTITUTE(C96," ",""),3),IFERROR(IF(INDEX(Products!$C$6:$C$45,MATCH(C96,Products!$B$6:$B$45,0))="","",INDEX(Products!$C$6:$C$45,MATCH(C96,Products!$B$6:$B$45,0))),"")))&amp;"-"&amp;RIGHT(YEAR(B96),2)&amp;RIGHT("0"&amp;MONTH(B96),2)&amp;RIGHT("0"&amp;DAY(B96),2)&amp;"-"&amp;COUNTIFS(C$6:C96,C96,B$6:B96,B96))</f>
        <v/>
      </c>
      <c r="J96" s="14">
        <f>IF(OR(C96="",NOT(ISNUMBER(B96)),N(P96)=0),"",B96+P96)</f>
        <v/>
      </c>
      <c r="K96" s="25">
        <f>IF(C96="","",N(D96)-N(E96)-N(F96)-N(G96))</f>
        <v/>
      </c>
      <c r="L96" s="13">
        <f>IF(OR(C96="",N(K96)&lt;=0,NOT(ISNUMBER(J96))),"",J96-TODAY())</f>
        <v/>
      </c>
      <c r="M96" s="12">
        <f>IF(C96="","",IF(N(K96)&lt;=0,"Sold out",IF(NOT(ISNUMBER(J96)),"In stock",IF(J96&lt;TODAY(),"Past its date",IF(J96-TODAY()&lt;=Settings!$C$5,"Use soon","In stock")))))</f>
        <v/>
      </c>
      <c r="N96" s="26">
        <f>IF(C96="","",N(D96)*Q96)</f>
        <v/>
      </c>
      <c r="O96" s="1" t="n"/>
      <c r="P96">
        <f>IF(C96="",0,IFERROR(N(INDEX(Products!$E$6:$E$45,MATCH(C96,Products!$B$6:$B$45,0))),0))</f>
        <v/>
      </c>
      <c r="Q96">
        <f>IF(C96="",0,IFERROR(N(INDEX(Products!$I$6:$I$45,MATCH(C96,Products!$B$6:$B$45,0))),0))</f>
        <v/>
      </c>
      <c r="R96">
        <f>IF(OR(C96="",NOT(ISNUMBER(B96))),"",YEAR(B96)*100+MONTH(B96))</f>
        <v/>
      </c>
      <c r="S96">
        <f>N(G96)*Q96</f>
        <v/>
      </c>
      <c r="T96">
        <f>IF(OR(M96="",M96="Sold out",NOT(ISNUMBER(J96))),"",J96*1000+ROW())</f>
        <v/>
      </c>
    </row>
    <row r="97">
      <c r="A97" s="1" t="n"/>
      <c r="B97" s="20" t="n"/>
      <c r="C97" s="21" t="n"/>
      <c r="D97" s="22" t="n"/>
      <c r="E97" s="22" t="n"/>
      <c r="F97" s="22" t="n"/>
      <c r="G97" s="22" t="n"/>
      <c r="H97" s="23" t="n"/>
      <c r="I97" s="24">
        <f>IF(OR(C97="",NOT(ISNUMBER(B97))),"",UPPER(IF(IFERROR(IF(INDEX(Products!$C$6:$C$45,MATCH(C97,Products!$B$6:$B$45,0))="","",INDEX(Products!$C$6:$C$45,MATCH(C97,Products!$B$6:$B$45,0))),"")="",LEFT(SUBSTITUTE(C97," ",""),3),IFERROR(IF(INDEX(Products!$C$6:$C$45,MATCH(C97,Products!$B$6:$B$45,0))="","",INDEX(Products!$C$6:$C$45,MATCH(C97,Products!$B$6:$B$45,0))),"")))&amp;"-"&amp;RIGHT(YEAR(B97),2)&amp;RIGHT("0"&amp;MONTH(B97),2)&amp;RIGHT("0"&amp;DAY(B97),2)&amp;"-"&amp;COUNTIFS(C$6:C97,C97,B$6:B97,B97))</f>
        <v/>
      </c>
      <c r="J97" s="14">
        <f>IF(OR(C97="",NOT(ISNUMBER(B97)),N(P97)=0),"",B97+P97)</f>
        <v/>
      </c>
      <c r="K97" s="25">
        <f>IF(C97="","",N(D97)-N(E97)-N(F97)-N(G97))</f>
        <v/>
      </c>
      <c r="L97" s="13">
        <f>IF(OR(C97="",N(K97)&lt;=0,NOT(ISNUMBER(J97))),"",J97-TODAY())</f>
        <v/>
      </c>
      <c r="M97" s="12">
        <f>IF(C97="","",IF(N(K97)&lt;=0,"Sold out",IF(NOT(ISNUMBER(J97)),"In stock",IF(J97&lt;TODAY(),"Past its date",IF(J97-TODAY()&lt;=Settings!$C$5,"Use soon","In stock")))))</f>
        <v/>
      </c>
      <c r="N97" s="26">
        <f>IF(C97="","",N(D97)*Q97)</f>
        <v/>
      </c>
      <c r="O97" s="1" t="n"/>
      <c r="P97">
        <f>IF(C97="",0,IFERROR(N(INDEX(Products!$E$6:$E$45,MATCH(C97,Products!$B$6:$B$45,0))),0))</f>
        <v/>
      </c>
      <c r="Q97">
        <f>IF(C97="",0,IFERROR(N(INDEX(Products!$I$6:$I$45,MATCH(C97,Products!$B$6:$B$45,0))),0))</f>
        <v/>
      </c>
      <c r="R97">
        <f>IF(OR(C97="",NOT(ISNUMBER(B97))),"",YEAR(B97)*100+MONTH(B97))</f>
        <v/>
      </c>
      <c r="S97">
        <f>N(G97)*Q97</f>
        <v/>
      </c>
      <c r="T97">
        <f>IF(OR(M97="",M97="Sold out",NOT(ISNUMBER(J97))),"",J97*1000+ROW())</f>
        <v/>
      </c>
    </row>
    <row r="98">
      <c r="A98" s="1" t="n"/>
      <c r="B98" s="20" t="n"/>
      <c r="C98" s="21" t="n"/>
      <c r="D98" s="22" t="n"/>
      <c r="E98" s="22" t="n"/>
      <c r="F98" s="22" t="n"/>
      <c r="G98" s="22" t="n"/>
      <c r="H98" s="23" t="n"/>
      <c r="I98" s="24">
        <f>IF(OR(C98="",NOT(ISNUMBER(B98))),"",UPPER(IF(IFERROR(IF(INDEX(Products!$C$6:$C$45,MATCH(C98,Products!$B$6:$B$45,0))="","",INDEX(Products!$C$6:$C$45,MATCH(C98,Products!$B$6:$B$45,0))),"")="",LEFT(SUBSTITUTE(C98," ",""),3),IFERROR(IF(INDEX(Products!$C$6:$C$45,MATCH(C98,Products!$B$6:$B$45,0))="","",INDEX(Products!$C$6:$C$45,MATCH(C98,Products!$B$6:$B$45,0))),"")))&amp;"-"&amp;RIGHT(YEAR(B98),2)&amp;RIGHT("0"&amp;MONTH(B98),2)&amp;RIGHT("0"&amp;DAY(B98),2)&amp;"-"&amp;COUNTIFS(C$6:C98,C98,B$6:B98,B98))</f>
        <v/>
      </c>
      <c r="J98" s="14">
        <f>IF(OR(C98="",NOT(ISNUMBER(B98)),N(P98)=0),"",B98+P98)</f>
        <v/>
      </c>
      <c r="K98" s="25">
        <f>IF(C98="","",N(D98)-N(E98)-N(F98)-N(G98))</f>
        <v/>
      </c>
      <c r="L98" s="13">
        <f>IF(OR(C98="",N(K98)&lt;=0,NOT(ISNUMBER(J98))),"",J98-TODAY())</f>
        <v/>
      </c>
      <c r="M98" s="12">
        <f>IF(C98="","",IF(N(K98)&lt;=0,"Sold out",IF(NOT(ISNUMBER(J98)),"In stock",IF(J98&lt;TODAY(),"Past its date",IF(J98-TODAY()&lt;=Settings!$C$5,"Use soon","In stock")))))</f>
        <v/>
      </c>
      <c r="N98" s="26">
        <f>IF(C98="","",N(D98)*Q98)</f>
        <v/>
      </c>
      <c r="O98" s="1" t="n"/>
      <c r="P98">
        <f>IF(C98="",0,IFERROR(N(INDEX(Products!$E$6:$E$45,MATCH(C98,Products!$B$6:$B$45,0))),0))</f>
        <v/>
      </c>
      <c r="Q98">
        <f>IF(C98="",0,IFERROR(N(INDEX(Products!$I$6:$I$45,MATCH(C98,Products!$B$6:$B$45,0))),0))</f>
        <v/>
      </c>
      <c r="R98">
        <f>IF(OR(C98="",NOT(ISNUMBER(B98))),"",YEAR(B98)*100+MONTH(B98))</f>
        <v/>
      </c>
      <c r="S98">
        <f>N(G98)*Q98</f>
        <v/>
      </c>
      <c r="T98">
        <f>IF(OR(M98="",M98="Sold out",NOT(ISNUMBER(J98))),"",J98*1000+ROW())</f>
        <v/>
      </c>
    </row>
    <row r="99">
      <c r="A99" s="1" t="n"/>
      <c r="B99" s="20" t="n"/>
      <c r="C99" s="21" t="n"/>
      <c r="D99" s="22" t="n"/>
      <c r="E99" s="22" t="n"/>
      <c r="F99" s="22" t="n"/>
      <c r="G99" s="22" t="n"/>
      <c r="H99" s="23" t="n"/>
      <c r="I99" s="24">
        <f>IF(OR(C99="",NOT(ISNUMBER(B99))),"",UPPER(IF(IFERROR(IF(INDEX(Products!$C$6:$C$45,MATCH(C99,Products!$B$6:$B$45,0))="","",INDEX(Products!$C$6:$C$45,MATCH(C99,Products!$B$6:$B$45,0))),"")="",LEFT(SUBSTITUTE(C99," ",""),3),IFERROR(IF(INDEX(Products!$C$6:$C$45,MATCH(C99,Products!$B$6:$B$45,0))="","",INDEX(Products!$C$6:$C$45,MATCH(C99,Products!$B$6:$B$45,0))),"")))&amp;"-"&amp;RIGHT(YEAR(B99),2)&amp;RIGHT("0"&amp;MONTH(B99),2)&amp;RIGHT("0"&amp;DAY(B99),2)&amp;"-"&amp;COUNTIFS(C$6:C99,C99,B$6:B99,B99))</f>
        <v/>
      </c>
      <c r="J99" s="14">
        <f>IF(OR(C99="",NOT(ISNUMBER(B99)),N(P99)=0),"",B99+P99)</f>
        <v/>
      </c>
      <c r="K99" s="25">
        <f>IF(C99="","",N(D99)-N(E99)-N(F99)-N(G99))</f>
        <v/>
      </c>
      <c r="L99" s="13">
        <f>IF(OR(C99="",N(K99)&lt;=0,NOT(ISNUMBER(J99))),"",J99-TODAY())</f>
        <v/>
      </c>
      <c r="M99" s="12">
        <f>IF(C99="","",IF(N(K99)&lt;=0,"Sold out",IF(NOT(ISNUMBER(J99)),"In stock",IF(J99&lt;TODAY(),"Past its date",IF(J99-TODAY()&lt;=Settings!$C$5,"Use soon","In stock")))))</f>
        <v/>
      </c>
      <c r="N99" s="26">
        <f>IF(C99="","",N(D99)*Q99)</f>
        <v/>
      </c>
      <c r="O99" s="1" t="n"/>
      <c r="P99">
        <f>IF(C99="",0,IFERROR(N(INDEX(Products!$E$6:$E$45,MATCH(C99,Products!$B$6:$B$45,0))),0))</f>
        <v/>
      </c>
      <c r="Q99">
        <f>IF(C99="",0,IFERROR(N(INDEX(Products!$I$6:$I$45,MATCH(C99,Products!$B$6:$B$45,0))),0))</f>
        <v/>
      </c>
      <c r="R99">
        <f>IF(OR(C99="",NOT(ISNUMBER(B99))),"",YEAR(B99)*100+MONTH(B99))</f>
        <v/>
      </c>
      <c r="S99">
        <f>N(G99)*Q99</f>
        <v/>
      </c>
      <c r="T99">
        <f>IF(OR(M99="",M99="Sold out",NOT(ISNUMBER(J99))),"",J99*1000+ROW())</f>
        <v/>
      </c>
    </row>
    <row r="100">
      <c r="A100" s="1" t="n"/>
      <c r="B100" s="20" t="n"/>
      <c r="C100" s="21" t="n"/>
      <c r="D100" s="22" t="n"/>
      <c r="E100" s="22" t="n"/>
      <c r="F100" s="22" t="n"/>
      <c r="G100" s="22" t="n"/>
      <c r="H100" s="23" t="n"/>
      <c r="I100" s="24">
        <f>IF(OR(C100="",NOT(ISNUMBER(B100))),"",UPPER(IF(IFERROR(IF(INDEX(Products!$C$6:$C$45,MATCH(C100,Products!$B$6:$B$45,0))="","",INDEX(Products!$C$6:$C$45,MATCH(C100,Products!$B$6:$B$45,0))),"")="",LEFT(SUBSTITUTE(C100," ",""),3),IFERROR(IF(INDEX(Products!$C$6:$C$45,MATCH(C100,Products!$B$6:$B$45,0))="","",INDEX(Products!$C$6:$C$45,MATCH(C100,Products!$B$6:$B$45,0))),"")))&amp;"-"&amp;RIGHT(YEAR(B100),2)&amp;RIGHT("0"&amp;MONTH(B100),2)&amp;RIGHT("0"&amp;DAY(B100),2)&amp;"-"&amp;COUNTIFS(C$6:C100,C100,B$6:B100,B100))</f>
        <v/>
      </c>
      <c r="J100" s="14">
        <f>IF(OR(C100="",NOT(ISNUMBER(B100)),N(P100)=0),"",B100+P100)</f>
        <v/>
      </c>
      <c r="K100" s="25">
        <f>IF(C100="","",N(D100)-N(E100)-N(F100)-N(G100))</f>
        <v/>
      </c>
      <c r="L100" s="13">
        <f>IF(OR(C100="",N(K100)&lt;=0,NOT(ISNUMBER(J100))),"",J100-TODAY())</f>
        <v/>
      </c>
      <c r="M100" s="12">
        <f>IF(C100="","",IF(N(K100)&lt;=0,"Sold out",IF(NOT(ISNUMBER(J100)),"In stock",IF(J100&lt;TODAY(),"Past its date",IF(J100-TODAY()&lt;=Settings!$C$5,"Use soon","In stock")))))</f>
        <v/>
      </c>
      <c r="N100" s="26">
        <f>IF(C100="","",N(D100)*Q100)</f>
        <v/>
      </c>
      <c r="O100" s="1" t="n"/>
      <c r="P100">
        <f>IF(C100="",0,IFERROR(N(INDEX(Products!$E$6:$E$45,MATCH(C100,Products!$B$6:$B$45,0))),0))</f>
        <v/>
      </c>
      <c r="Q100">
        <f>IF(C100="",0,IFERROR(N(INDEX(Products!$I$6:$I$45,MATCH(C100,Products!$B$6:$B$45,0))),0))</f>
        <v/>
      </c>
      <c r="R100">
        <f>IF(OR(C100="",NOT(ISNUMBER(B100))),"",YEAR(B100)*100+MONTH(B100))</f>
        <v/>
      </c>
      <c r="S100">
        <f>N(G100)*Q100</f>
        <v/>
      </c>
      <c r="T100">
        <f>IF(OR(M100="",M100="Sold out",NOT(ISNUMBER(J100))),"",J100*1000+ROW())</f>
        <v/>
      </c>
    </row>
    <row r="101">
      <c r="A101" s="1" t="n"/>
      <c r="B101" s="20" t="n"/>
      <c r="C101" s="21" t="n"/>
      <c r="D101" s="22" t="n"/>
      <c r="E101" s="22" t="n"/>
      <c r="F101" s="22" t="n"/>
      <c r="G101" s="22" t="n"/>
      <c r="H101" s="23" t="n"/>
      <c r="I101" s="24">
        <f>IF(OR(C101="",NOT(ISNUMBER(B101))),"",UPPER(IF(IFERROR(IF(INDEX(Products!$C$6:$C$45,MATCH(C101,Products!$B$6:$B$45,0))="","",INDEX(Products!$C$6:$C$45,MATCH(C101,Products!$B$6:$B$45,0))),"")="",LEFT(SUBSTITUTE(C101," ",""),3),IFERROR(IF(INDEX(Products!$C$6:$C$45,MATCH(C101,Products!$B$6:$B$45,0))="","",INDEX(Products!$C$6:$C$45,MATCH(C101,Products!$B$6:$B$45,0))),"")))&amp;"-"&amp;RIGHT(YEAR(B101),2)&amp;RIGHT("0"&amp;MONTH(B101),2)&amp;RIGHT("0"&amp;DAY(B101),2)&amp;"-"&amp;COUNTIFS(C$6:C101,C101,B$6:B101,B101))</f>
        <v/>
      </c>
      <c r="J101" s="14">
        <f>IF(OR(C101="",NOT(ISNUMBER(B101)),N(P101)=0),"",B101+P101)</f>
        <v/>
      </c>
      <c r="K101" s="25">
        <f>IF(C101="","",N(D101)-N(E101)-N(F101)-N(G101))</f>
        <v/>
      </c>
      <c r="L101" s="13">
        <f>IF(OR(C101="",N(K101)&lt;=0,NOT(ISNUMBER(J101))),"",J101-TODAY())</f>
        <v/>
      </c>
      <c r="M101" s="12">
        <f>IF(C101="","",IF(N(K101)&lt;=0,"Sold out",IF(NOT(ISNUMBER(J101)),"In stock",IF(J101&lt;TODAY(),"Past its date",IF(J101-TODAY()&lt;=Settings!$C$5,"Use soon","In stock")))))</f>
        <v/>
      </c>
      <c r="N101" s="26">
        <f>IF(C101="","",N(D101)*Q101)</f>
        <v/>
      </c>
      <c r="O101" s="1" t="n"/>
      <c r="P101">
        <f>IF(C101="",0,IFERROR(N(INDEX(Products!$E$6:$E$45,MATCH(C101,Products!$B$6:$B$45,0))),0))</f>
        <v/>
      </c>
      <c r="Q101">
        <f>IF(C101="",0,IFERROR(N(INDEX(Products!$I$6:$I$45,MATCH(C101,Products!$B$6:$B$45,0))),0))</f>
        <v/>
      </c>
      <c r="R101">
        <f>IF(OR(C101="",NOT(ISNUMBER(B101))),"",YEAR(B101)*100+MONTH(B101))</f>
        <v/>
      </c>
      <c r="S101">
        <f>N(G101)*Q101</f>
        <v/>
      </c>
      <c r="T101">
        <f>IF(OR(M101="",M101="Sold out",NOT(ISNUMBER(J101))),"",J101*1000+ROW())</f>
        <v/>
      </c>
    </row>
    <row r="102">
      <c r="A102" s="1" t="n"/>
      <c r="B102" s="20" t="n"/>
      <c r="C102" s="21" t="n"/>
      <c r="D102" s="22" t="n"/>
      <c r="E102" s="22" t="n"/>
      <c r="F102" s="22" t="n"/>
      <c r="G102" s="22" t="n"/>
      <c r="H102" s="23" t="n"/>
      <c r="I102" s="24">
        <f>IF(OR(C102="",NOT(ISNUMBER(B102))),"",UPPER(IF(IFERROR(IF(INDEX(Products!$C$6:$C$45,MATCH(C102,Products!$B$6:$B$45,0))="","",INDEX(Products!$C$6:$C$45,MATCH(C102,Products!$B$6:$B$45,0))),"")="",LEFT(SUBSTITUTE(C102," ",""),3),IFERROR(IF(INDEX(Products!$C$6:$C$45,MATCH(C102,Products!$B$6:$B$45,0))="","",INDEX(Products!$C$6:$C$45,MATCH(C102,Products!$B$6:$B$45,0))),"")))&amp;"-"&amp;RIGHT(YEAR(B102),2)&amp;RIGHT("0"&amp;MONTH(B102),2)&amp;RIGHT("0"&amp;DAY(B102),2)&amp;"-"&amp;COUNTIFS(C$6:C102,C102,B$6:B102,B102))</f>
        <v/>
      </c>
      <c r="J102" s="14">
        <f>IF(OR(C102="",NOT(ISNUMBER(B102)),N(P102)=0),"",B102+P102)</f>
        <v/>
      </c>
      <c r="K102" s="25">
        <f>IF(C102="","",N(D102)-N(E102)-N(F102)-N(G102))</f>
        <v/>
      </c>
      <c r="L102" s="13">
        <f>IF(OR(C102="",N(K102)&lt;=0,NOT(ISNUMBER(J102))),"",J102-TODAY())</f>
        <v/>
      </c>
      <c r="M102" s="12">
        <f>IF(C102="","",IF(N(K102)&lt;=0,"Sold out",IF(NOT(ISNUMBER(J102)),"In stock",IF(J102&lt;TODAY(),"Past its date",IF(J102-TODAY()&lt;=Settings!$C$5,"Use soon","In stock")))))</f>
        <v/>
      </c>
      <c r="N102" s="26">
        <f>IF(C102="","",N(D102)*Q102)</f>
        <v/>
      </c>
      <c r="O102" s="1" t="n"/>
      <c r="P102">
        <f>IF(C102="",0,IFERROR(N(INDEX(Products!$E$6:$E$45,MATCH(C102,Products!$B$6:$B$45,0))),0))</f>
        <v/>
      </c>
      <c r="Q102">
        <f>IF(C102="",0,IFERROR(N(INDEX(Products!$I$6:$I$45,MATCH(C102,Products!$B$6:$B$45,0))),0))</f>
        <v/>
      </c>
      <c r="R102">
        <f>IF(OR(C102="",NOT(ISNUMBER(B102))),"",YEAR(B102)*100+MONTH(B102))</f>
        <v/>
      </c>
      <c r="S102">
        <f>N(G102)*Q102</f>
        <v/>
      </c>
      <c r="T102">
        <f>IF(OR(M102="",M102="Sold out",NOT(ISNUMBER(J102))),"",J102*1000+ROW())</f>
        <v/>
      </c>
    </row>
    <row r="103">
      <c r="A103" s="1" t="n"/>
      <c r="B103" s="20" t="n"/>
      <c r="C103" s="21" t="n"/>
      <c r="D103" s="22" t="n"/>
      <c r="E103" s="22" t="n"/>
      <c r="F103" s="22" t="n"/>
      <c r="G103" s="22" t="n"/>
      <c r="H103" s="23" t="n"/>
      <c r="I103" s="24">
        <f>IF(OR(C103="",NOT(ISNUMBER(B103))),"",UPPER(IF(IFERROR(IF(INDEX(Products!$C$6:$C$45,MATCH(C103,Products!$B$6:$B$45,0))="","",INDEX(Products!$C$6:$C$45,MATCH(C103,Products!$B$6:$B$45,0))),"")="",LEFT(SUBSTITUTE(C103," ",""),3),IFERROR(IF(INDEX(Products!$C$6:$C$45,MATCH(C103,Products!$B$6:$B$45,0))="","",INDEX(Products!$C$6:$C$45,MATCH(C103,Products!$B$6:$B$45,0))),"")))&amp;"-"&amp;RIGHT(YEAR(B103),2)&amp;RIGHT("0"&amp;MONTH(B103),2)&amp;RIGHT("0"&amp;DAY(B103),2)&amp;"-"&amp;COUNTIFS(C$6:C103,C103,B$6:B103,B103))</f>
        <v/>
      </c>
      <c r="J103" s="14">
        <f>IF(OR(C103="",NOT(ISNUMBER(B103)),N(P103)=0),"",B103+P103)</f>
        <v/>
      </c>
      <c r="K103" s="25">
        <f>IF(C103="","",N(D103)-N(E103)-N(F103)-N(G103))</f>
        <v/>
      </c>
      <c r="L103" s="13">
        <f>IF(OR(C103="",N(K103)&lt;=0,NOT(ISNUMBER(J103))),"",J103-TODAY())</f>
        <v/>
      </c>
      <c r="M103" s="12">
        <f>IF(C103="","",IF(N(K103)&lt;=0,"Sold out",IF(NOT(ISNUMBER(J103)),"In stock",IF(J103&lt;TODAY(),"Past its date",IF(J103-TODAY()&lt;=Settings!$C$5,"Use soon","In stock")))))</f>
        <v/>
      </c>
      <c r="N103" s="26">
        <f>IF(C103="","",N(D103)*Q103)</f>
        <v/>
      </c>
      <c r="O103" s="1" t="n"/>
      <c r="P103">
        <f>IF(C103="",0,IFERROR(N(INDEX(Products!$E$6:$E$45,MATCH(C103,Products!$B$6:$B$45,0))),0))</f>
        <v/>
      </c>
      <c r="Q103">
        <f>IF(C103="",0,IFERROR(N(INDEX(Products!$I$6:$I$45,MATCH(C103,Products!$B$6:$B$45,0))),0))</f>
        <v/>
      </c>
      <c r="R103">
        <f>IF(OR(C103="",NOT(ISNUMBER(B103))),"",YEAR(B103)*100+MONTH(B103))</f>
        <v/>
      </c>
      <c r="S103">
        <f>N(G103)*Q103</f>
        <v/>
      </c>
      <c r="T103">
        <f>IF(OR(M103="",M103="Sold out",NOT(ISNUMBER(J103))),"",J103*1000+ROW())</f>
        <v/>
      </c>
    </row>
    <row r="104">
      <c r="A104" s="1" t="n"/>
      <c r="B104" s="20" t="n"/>
      <c r="C104" s="21" t="n"/>
      <c r="D104" s="22" t="n"/>
      <c r="E104" s="22" t="n"/>
      <c r="F104" s="22" t="n"/>
      <c r="G104" s="22" t="n"/>
      <c r="H104" s="23" t="n"/>
      <c r="I104" s="24">
        <f>IF(OR(C104="",NOT(ISNUMBER(B104))),"",UPPER(IF(IFERROR(IF(INDEX(Products!$C$6:$C$45,MATCH(C104,Products!$B$6:$B$45,0))="","",INDEX(Products!$C$6:$C$45,MATCH(C104,Products!$B$6:$B$45,0))),"")="",LEFT(SUBSTITUTE(C104," ",""),3),IFERROR(IF(INDEX(Products!$C$6:$C$45,MATCH(C104,Products!$B$6:$B$45,0))="","",INDEX(Products!$C$6:$C$45,MATCH(C104,Products!$B$6:$B$45,0))),"")))&amp;"-"&amp;RIGHT(YEAR(B104),2)&amp;RIGHT("0"&amp;MONTH(B104),2)&amp;RIGHT("0"&amp;DAY(B104),2)&amp;"-"&amp;COUNTIFS(C$6:C104,C104,B$6:B104,B104))</f>
        <v/>
      </c>
      <c r="J104" s="14">
        <f>IF(OR(C104="",NOT(ISNUMBER(B104)),N(P104)=0),"",B104+P104)</f>
        <v/>
      </c>
      <c r="K104" s="25">
        <f>IF(C104="","",N(D104)-N(E104)-N(F104)-N(G104))</f>
        <v/>
      </c>
      <c r="L104" s="13">
        <f>IF(OR(C104="",N(K104)&lt;=0,NOT(ISNUMBER(J104))),"",J104-TODAY())</f>
        <v/>
      </c>
      <c r="M104" s="12">
        <f>IF(C104="","",IF(N(K104)&lt;=0,"Sold out",IF(NOT(ISNUMBER(J104)),"In stock",IF(J104&lt;TODAY(),"Past its date",IF(J104-TODAY()&lt;=Settings!$C$5,"Use soon","In stock")))))</f>
        <v/>
      </c>
      <c r="N104" s="26">
        <f>IF(C104="","",N(D104)*Q104)</f>
        <v/>
      </c>
      <c r="O104" s="1" t="n"/>
      <c r="P104">
        <f>IF(C104="",0,IFERROR(N(INDEX(Products!$E$6:$E$45,MATCH(C104,Products!$B$6:$B$45,0))),0))</f>
        <v/>
      </c>
      <c r="Q104">
        <f>IF(C104="",0,IFERROR(N(INDEX(Products!$I$6:$I$45,MATCH(C104,Products!$B$6:$B$45,0))),0))</f>
        <v/>
      </c>
      <c r="R104">
        <f>IF(OR(C104="",NOT(ISNUMBER(B104))),"",YEAR(B104)*100+MONTH(B104))</f>
        <v/>
      </c>
      <c r="S104">
        <f>N(G104)*Q104</f>
        <v/>
      </c>
      <c r="T104">
        <f>IF(OR(M104="",M104="Sold out",NOT(ISNUMBER(J104))),"",J104*1000+ROW())</f>
        <v/>
      </c>
    </row>
    <row r="105">
      <c r="A105" s="1" t="n"/>
      <c r="B105" s="20" t="n"/>
      <c r="C105" s="21" t="n"/>
      <c r="D105" s="22" t="n"/>
      <c r="E105" s="22" t="n"/>
      <c r="F105" s="22" t="n"/>
      <c r="G105" s="22" t="n"/>
      <c r="H105" s="23" t="n"/>
      <c r="I105" s="24">
        <f>IF(OR(C105="",NOT(ISNUMBER(B105))),"",UPPER(IF(IFERROR(IF(INDEX(Products!$C$6:$C$45,MATCH(C105,Products!$B$6:$B$45,0))="","",INDEX(Products!$C$6:$C$45,MATCH(C105,Products!$B$6:$B$45,0))),"")="",LEFT(SUBSTITUTE(C105," ",""),3),IFERROR(IF(INDEX(Products!$C$6:$C$45,MATCH(C105,Products!$B$6:$B$45,0))="","",INDEX(Products!$C$6:$C$45,MATCH(C105,Products!$B$6:$B$45,0))),"")))&amp;"-"&amp;RIGHT(YEAR(B105),2)&amp;RIGHT("0"&amp;MONTH(B105),2)&amp;RIGHT("0"&amp;DAY(B105),2)&amp;"-"&amp;COUNTIFS(C$6:C105,C105,B$6:B105,B105))</f>
        <v/>
      </c>
      <c r="J105" s="14">
        <f>IF(OR(C105="",NOT(ISNUMBER(B105)),N(P105)=0),"",B105+P105)</f>
        <v/>
      </c>
      <c r="K105" s="25">
        <f>IF(C105="","",N(D105)-N(E105)-N(F105)-N(G105))</f>
        <v/>
      </c>
      <c r="L105" s="13">
        <f>IF(OR(C105="",N(K105)&lt;=0,NOT(ISNUMBER(J105))),"",J105-TODAY())</f>
        <v/>
      </c>
      <c r="M105" s="12">
        <f>IF(C105="","",IF(N(K105)&lt;=0,"Sold out",IF(NOT(ISNUMBER(J105)),"In stock",IF(J105&lt;TODAY(),"Past its date",IF(J105-TODAY()&lt;=Settings!$C$5,"Use soon","In stock")))))</f>
        <v/>
      </c>
      <c r="N105" s="26">
        <f>IF(C105="","",N(D105)*Q105)</f>
        <v/>
      </c>
      <c r="O105" s="1" t="n"/>
      <c r="P105">
        <f>IF(C105="",0,IFERROR(N(INDEX(Products!$E$6:$E$45,MATCH(C105,Products!$B$6:$B$45,0))),0))</f>
        <v/>
      </c>
      <c r="Q105">
        <f>IF(C105="",0,IFERROR(N(INDEX(Products!$I$6:$I$45,MATCH(C105,Products!$B$6:$B$45,0))),0))</f>
        <v/>
      </c>
      <c r="R105">
        <f>IF(OR(C105="",NOT(ISNUMBER(B105))),"",YEAR(B105)*100+MONTH(B105))</f>
        <v/>
      </c>
      <c r="S105">
        <f>N(G105)*Q105</f>
        <v/>
      </c>
      <c r="T105">
        <f>IF(OR(M105="",M105="Sold out",NOT(ISNUMBER(J105))),"",J105*1000+ROW())</f>
        <v/>
      </c>
    </row>
    <row r="106">
      <c r="A106" s="1" t="n"/>
      <c r="B106" s="20" t="n"/>
      <c r="C106" s="21" t="n"/>
      <c r="D106" s="22" t="n"/>
      <c r="E106" s="22" t="n"/>
      <c r="F106" s="22" t="n"/>
      <c r="G106" s="22" t="n"/>
      <c r="H106" s="23" t="n"/>
      <c r="I106" s="24">
        <f>IF(OR(C106="",NOT(ISNUMBER(B106))),"",UPPER(IF(IFERROR(IF(INDEX(Products!$C$6:$C$45,MATCH(C106,Products!$B$6:$B$45,0))="","",INDEX(Products!$C$6:$C$45,MATCH(C106,Products!$B$6:$B$45,0))),"")="",LEFT(SUBSTITUTE(C106," ",""),3),IFERROR(IF(INDEX(Products!$C$6:$C$45,MATCH(C106,Products!$B$6:$B$45,0))="","",INDEX(Products!$C$6:$C$45,MATCH(C106,Products!$B$6:$B$45,0))),"")))&amp;"-"&amp;RIGHT(YEAR(B106),2)&amp;RIGHT("0"&amp;MONTH(B106),2)&amp;RIGHT("0"&amp;DAY(B106),2)&amp;"-"&amp;COUNTIFS(C$6:C106,C106,B$6:B106,B106))</f>
        <v/>
      </c>
      <c r="J106" s="14">
        <f>IF(OR(C106="",NOT(ISNUMBER(B106)),N(P106)=0),"",B106+P106)</f>
        <v/>
      </c>
      <c r="K106" s="25">
        <f>IF(C106="","",N(D106)-N(E106)-N(F106)-N(G106))</f>
        <v/>
      </c>
      <c r="L106" s="13">
        <f>IF(OR(C106="",N(K106)&lt;=0,NOT(ISNUMBER(J106))),"",J106-TODAY())</f>
        <v/>
      </c>
      <c r="M106" s="12">
        <f>IF(C106="","",IF(N(K106)&lt;=0,"Sold out",IF(NOT(ISNUMBER(J106)),"In stock",IF(J106&lt;TODAY(),"Past its date",IF(J106-TODAY()&lt;=Settings!$C$5,"Use soon","In stock")))))</f>
        <v/>
      </c>
      <c r="N106" s="26">
        <f>IF(C106="","",N(D106)*Q106)</f>
        <v/>
      </c>
      <c r="O106" s="1" t="n"/>
      <c r="P106">
        <f>IF(C106="",0,IFERROR(N(INDEX(Products!$E$6:$E$45,MATCH(C106,Products!$B$6:$B$45,0))),0))</f>
        <v/>
      </c>
      <c r="Q106">
        <f>IF(C106="",0,IFERROR(N(INDEX(Products!$I$6:$I$45,MATCH(C106,Products!$B$6:$B$45,0))),0))</f>
        <v/>
      </c>
      <c r="R106">
        <f>IF(OR(C106="",NOT(ISNUMBER(B106))),"",YEAR(B106)*100+MONTH(B106))</f>
        <v/>
      </c>
      <c r="S106">
        <f>N(G106)*Q106</f>
        <v/>
      </c>
      <c r="T106">
        <f>IF(OR(M106="",M106="Sold out",NOT(ISNUMBER(J106))),"",J106*1000+ROW())</f>
        <v/>
      </c>
    </row>
    <row r="107">
      <c r="A107" s="1" t="n"/>
      <c r="B107" s="20" t="n"/>
      <c r="C107" s="21" t="n"/>
      <c r="D107" s="22" t="n"/>
      <c r="E107" s="22" t="n"/>
      <c r="F107" s="22" t="n"/>
      <c r="G107" s="22" t="n"/>
      <c r="H107" s="23" t="n"/>
      <c r="I107" s="24">
        <f>IF(OR(C107="",NOT(ISNUMBER(B107))),"",UPPER(IF(IFERROR(IF(INDEX(Products!$C$6:$C$45,MATCH(C107,Products!$B$6:$B$45,0))="","",INDEX(Products!$C$6:$C$45,MATCH(C107,Products!$B$6:$B$45,0))),"")="",LEFT(SUBSTITUTE(C107," ",""),3),IFERROR(IF(INDEX(Products!$C$6:$C$45,MATCH(C107,Products!$B$6:$B$45,0))="","",INDEX(Products!$C$6:$C$45,MATCH(C107,Products!$B$6:$B$45,0))),"")))&amp;"-"&amp;RIGHT(YEAR(B107),2)&amp;RIGHT("0"&amp;MONTH(B107),2)&amp;RIGHT("0"&amp;DAY(B107),2)&amp;"-"&amp;COUNTIFS(C$6:C107,C107,B$6:B107,B107))</f>
        <v/>
      </c>
      <c r="J107" s="14">
        <f>IF(OR(C107="",NOT(ISNUMBER(B107)),N(P107)=0),"",B107+P107)</f>
        <v/>
      </c>
      <c r="K107" s="25">
        <f>IF(C107="","",N(D107)-N(E107)-N(F107)-N(G107))</f>
        <v/>
      </c>
      <c r="L107" s="13">
        <f>IF(OR(C107="",N(K107)&lt;=0,NOT(ISNUMBER(J107))),"",J107-TODAY())</f>
        <v/>
      </c>
      <c r="M107" s="12">
        <f>IF(C107="","",IF(N(K107)&lt;=0,"Sold out",IF(NOT(ISNUMBER(J107)),"In stock",IF(J107&lt;TODAY(),"Past its date",IF(J107-TODAY()&lt;=Settings!$C$5,"Use soon","In stock")))))</f>
        <v/>
      </c>
      <c r="N107" s="26">
        <f>IF(C107="","",N(D107)*Q107)</f>
        <v/>
      </c>
      <c r="O107" s="1" t="n"/>
      <c r="P107">
        <f>IF(C107="",0,IFERROR(N(INDEX(Products!$E$6:$E$45,MATCH(C107,Products!$B$6:$B$45,0))),0))</f>
        <v/>
      </c>
      <c r="Q107">
        <f>IF(C107="",0,IFERROR(N(INDEX(Products!$I$6:$I$45,MATCH(C107,Products!$B$6:$B$45,0))),0))</f>
        <v/>
      </c>
      <c r="R107">
        <f>IF(OR(C107="",NOT(ISNUMBER(B107))),"",YEAR(B107)*100+MONTH(B107))</f>
        <v/>
      </c>
      <c r="S107">
        <f>N(G107)*Q107</f>
        <v/>
      </c>
      <c r="T107">
        <f>IF(OR(M107="",M107="Sold out",NOT(ISNUMBER(J107))),"",J107*1000+ROW())</f>
        <v/>
      </c>
    </row>
    <row r="108">
      <c r="A108" s="1" t="n"/>
      <c r="B108" s="20" t="n"/>
      <c r="C108" s="21" t="n"/>
      <c r="D108" s="22" t="n"/>
      <c r="E108" s="22" t="n"/>
      <c r="F108" s="22" t="n"/>
      <c r="G108" s="22" t="n"/>
      <c r="H108" s="23" t="n"/>
      <c r="I108" s="24">
        <f>IF(OR(C108="",NOT(ISNUMBER(B108))),"",UPPER(IF(IFERROR(IF(INDEX(Products!$C$6:$C$45,MATCH(C108,Products!$B$6:$B$45,0))="","",INDEX(Products!$C$6:$C$45,MATCH(C108,Products!$B$6:$B$45,0))),"")="",LEFT(SUBSTITUTE(C108," ",""),3),IFERROR(IF(INDEX(Products!$C$6:$C$45,MATCH(C108,Products!$B$6:$B$45,0))="","",INDEX(Products!$C$6:$C$45,MATCH(C108,Products!$B$6:$B$45,0))),"")))&amp;"-"&amp;RIGHT(YEAR(B108),2)&amp;RIGHT("0"&amp;MONTH(B108),2)&amp;RIGHT("0"&amp;DAY(B108),2)&amp;"-"&amp;COUNTIFS(C$6:C108,C108,B$6:B108,B108))</f>
        <v/>
      </c>
      <c r="J108" s="14">
        <f>IF(OR(C108="",NOT(ISNUMBER(B108)),N(P108)=0),"",B108+P108)</f>
        <v/>
      </c>
      <c r="K108" s="25">
        <f>IF(C108="","",N(D108)-N(E108)-N(F108)-N(G108))</f>
        <v/>
      </c>
      <c r="L108" s="13">
        <f>IF(OR(C108="",N(K108)&lt;=0,NOT(ISNUMBER(J108))),"",J108-TODAY())</f>
        <v/>
      </c>
      <c r="M108" s="12">
        <f>IF(C108="","",IF(N(K108)&lt;=0,"Sold out",IF(NOT(ISNUMBER(J108)),"In stock",IF(J108&lt;TODAY(),"Past its date",IF(J108-TODAY()&lt;=Settings!$C$5,"Use soon","In stock")))))</f>
        <v/>
      </c>
      <c r="N108" s="26">
        <f>IF(C108="","",N(D108)*Q108)</f>
        <v/>
      </c>
      <c r="O108" s="1" t="n"/>
      <c r="P108">
        <f>IF(C108="",0,IFERROR(N(INDEX(Products!$E$6:$E$45,MATCH(C108,Products!$B$6:$B$45,0))),0))</f>
        <v/>
      </c>
      <c r="Q108">
        <f>IF(C108="",0,IFERROR(N(INDEX(Products!$I$6:$I$45,MATCH(C108,Products!$B$6:$B$45,0))),0))</f>
        <v/>
      </c>
      <c r="R108">
        <f>IF(OR(C108="",NOT(ISNUMBER(B108))),"",YEAR(B108)*100+MONTH(B108))</f>
        <v/>
      </c>
      <c r="S108">
        <f>N(G108)*Q108</f>
        <v/>
      </c>
      <c r="T108">
        <f>IF(OR(M108="",M108="Sold out",NOT(ISNUMBER(J108))),"",J108*1000+ROW())</f>
        <v/>
      </c>
    </row>
    <row r="109">
      <c r="A109" s="1" t="n"/>
      <c r="B109" s="20" t="n"/>
      <c r="C109" s="21" t="n"/>
      <c r="D109" s="22" t="n"/>
      <c r="E109" s="22" t="n"/>
      <c r="F109" s="22" t="n"/>
      <c r="G109" s="22" t="n"/>
      <c r="H109" s="23" t="n"/>
      <c r="I109" s="24">
        <f>IF(OR(C109="",NOT(ISNUMBER(B109))),"",UPPER(IF(IFERROR(IF(INDEX(Products!$C$6:$C$45,MATCH(C109,Products!$B$6:$B$45,0))="","",INDEX(Products!$C$6:$C$45,MATCH(C109,Products!$B$6:$B$45,0))),"")="",LEFT(SUBSTITUTE(C109," ",""),3),IFERROR(IF(INDEX(Products!$C$6:$C$45,MATCH(C109,Products!$B$6:$B$45,0))="","",INDEX(Products!$C$6:$C$45,MATCH(C109,Products!$B$6:$B$45,0))),"")))&amp;"-"&amp;RIGHT(YEAR(B109),2)&amp;RIGHT("0"&amp;MONTH(B109),2)&amp;RIGHT("0"&amp;DAY(B109),2)&amp;"-"&amp;COUNTIFS(C$6:C109,C109,B$6:B109,B109))</f>
        <v/>
      </c>
      <c r="J109" s="14">
        <f>IF(OR(C109="",NOT(ISNUMBER(B109)),N(P109)=0),"",B109+P109)</f>
        <v/>
      </c>
      <c r="K109" s="25">
        <f>IF(C109="","",N(D109)-N(E109)-N(F109)-N(G109))</f>
        <v/>
      </c>
      <c r="L109" s="13">
        <f>IF(OR(C109="",N(K109)&lt;=0,NOT(ISNUMBER(J109))),"",J109-TODAY())</f>
        <v/>
      </c>
      <c r="M109" s="12">
        <f>IF(C109="","",IF(N(K109)&lt;=0,"Sold out",IF(NOT(ISNUMBER(J109)),"In stock",IF(J109&lt;TODAY(),"Past its date",IF(J109-TODAY()&lt;=Settings!$C$5,"Use soon","In stock")))))</f>
        <v/>
      </c>
      <c r="N109" s="26">
        <f>IF(C109="","",N(D109)*Q109)</f>
        <v/>
      </c>
      <c r="O109" s="1" t="n"/>
      <c r="P109">
        <f>IF(C109="",0,IFERROR(N(INDEX(Products!$E$6:$E$45,MATCH(C109,Products!$B$6:$B$45,0))),0))</f>
        <v/>
      </c>
      <c r="Q109">
        <f>IF(C109="",0,IFERROR(N(INDEX(Products!$I$6:$I$45,MATCH(C109,Products!$B$6:$B$45,0))),0))</f>
        <v/>
      </c>
      <c r="R109">
        <f>IF(OR(C109="",NOT(ISNUMBER(B109))),"",YEAR(B109)*100+MONTH(B109))</f>
        <v/>
      </c>
      <c r="S109">
        <f>N(G109)*Q109</f>
        <v/>
      </c>
      <c r="T109">
        <f>IF(OR(M109="",M109="Sold out",NOT(ISNUMBER(J109))),"",J109*1000+ROW())</f>
        <v/>
      </c>
    </row>
    <row r="110">
      <c r="A110" s="1" t="n"/>
      <c r="B110" s="20" t="n"/>
      <c r="C110" s="21" t="n"/>
      <c r="D110" s="22" t="n"/>
      <c r="E110" s="22" t="n"/>
      <c r="F110" s="22" t="n"/>
      <c r="G110" s="22" t="n"/>
      <c r="H110" s="23" t="n"/>
      <c r="I110" s="24">
        <f>IF(OR(C110="",NOT(ISNUMBER(B110))),"",UPPER(IF(IFERROR(IF(INDEX(Products!$C$6:$C$45,MATCH(C110,Products!$B$6:$B$45,0))="","",INDEX(Products!$C$6:$C$45,MATCH(C110,Products!$B$6:$B$45,0))),"")="",LEFT(SUBSTITUTE(C110," ",""),3),IFERROR(IF(INDEX(Products!$C$6:$C$45,MATCH(C110,Products!$B$6:$B$45,0))="","",INDEX(Products!$C$6:$C$45,MATCH(C110,Products!$B$6:$B$45,0))),"")))&amp;"-"&amp;RIGHT(YEAR(B110),2)&amp;RIGHT("0"&amp;MONTH(B110),2)&amp;RIGHT("0"&amp;DAY(B110),2)&amp;"-"&amp;COUNTIFS(C$6:C110,C110,B$6:B110,B110))</f>
        <v/>
      </c>
      <c r="J110" s="14">
        <f>IF(OR(C110="",NOT(ISNUMBER(B110)),N(P110)=0),"",B110+P110)</f>
        <v/>
      </c>
      <c r="K110" s="25">
        <f>IF(C110="","",N(D110)-N(E110)-N(F110)-N(G110))</f>
        <v/>
      </c>
      <c r="L110" s="13">
        <f>IF(OR(C110="",N(K110)&lt;=0,NOT(ISNUMBER(J110))),"",J110-TODAY())</f>
        <v/>
      </c>
      <c r="M110" s="12">
        <f>IF(C110="","",IF(N(K110)&lt;=0,"Sold out",IF(NOT(ISNUMBER(J110)),"In stock",IF(J110&lt;TODAY(),"Past its date",IF(J110-TODAY()&lt;=Settings!$C$5,"Use soon","In stock")))))</f>
        <v/>
      </c>
      <c r="N110" s="26">
        <f>IF(C110="","",N(D110)*Q110)</f>
        <v/>
      </c>
      <c r="O110" s="1" t="n"/>
      <c r="P110">
        <f>IF(C110="",0,IFERROR(N(INDEX(Products!$E$6:$E$45,MATCH(C110,Products!$B$6:$B$45,0))),0))</f>
        <v/>
      </c>
      <c r="Q110">
        <f>IF(C110="",0,IFERROR(N(INDEX(Products!$I$6:$I$45,MATCH(C110,Products!$B$6:$B$45,0))),0))</f>
        <v/>
      </c>
      <c r="R110">
        <f>IF(OR(C110="",NOT(ISNUMBER(B110))),"",YEAR(B110)*100+MONTH(B110))</f>
        <v/>
      </c>
      <c r="S110">
        <f>N(G110)*Q110</f>
        <v/>
      </c>
      <c r="T110">
        <f>IF(OR(M110="",M110="Sold out",NOT(ISNUMBER(J110))),"",J110*1000+ROW())</f>
        <v/>
      </c>
    </row>
    <row r="111">
      <c r="A111" s="1" t="n"/>
      <c r="B111" s="20" t="n"/>
      <c r="C111" s="21" t="n"/>
      <c r="D111" s="22" t="n"/>
      <c r="E111" s="22" t="n"/>
      <c r="F111" s="22" t="n"/>
      <c r="G111" s="22" t="n"/>
      <c r="H111" s="23" t="n"/>
      <c r="I111" s="24">
        <f>IF(OR(C111="",NOT(ISNUMBER(B111))),"",UPPER(IF(IFERROR(IF(INDEX(Products!$C$6:$C$45,MATCH(C111,Products!$B$6:$B$45,0))="","",INDEX(Products!$C$6:$C$45,MATCH(C111,Products!$B$6:$B$45,0))),"")="",LEFT(SUBSTITUTE(C111," ",""),3),IFERROR(IF(INDEX(Products!$C$6:$C$45,MATCH(C111,Products!$B$6:$B$45,0))="","",INDEX(Products!$C$6:$C$45,MATCH(C111,Products!$B$6:$B$45,0))),"")))&amp;"-"&amp;RIGHT(YEAR(B111),2)&amp;RIGHT("0"&amp;MONTH(B111),2)&amp;RIGHT("0"&amp;DAY(B111),2)&amp;"-"&amp;COUNTIFS(C$6:C111,C111,B$6:B111,B111))</f>
        <v/>
      </c>
      <c r="J111" s="14">
        <f>IF(OR(C111="",NOT(ISNUMBER(B111)),N(P111)=0),"",B111+P111)</f>
        <v/>
      </c>
      <c r="K111" s="25">
        <f>IF(C111="","",N(D111)-N(E111)-N(F111)-N(G111))</f>
        <v/>
      </c>
      <c r="L111" s="13">
        <f>IF(OR(C111="",N(K111)&lt;=0,NOT(ISNUMBER(J111))),"",J111-TODAY())</f>
        <v/>
      </c>
      <c r="M111" s="12">
        <f>IF(C111="","",IF(N(K111)&lt;=0,"Sold out",IF(NOT(ISNUMBER(J111)),"In stock",IF(J111&lt;TODAY(),"Past its date",IF(J111-TODAY()&lt;=Settings!$C$5,"Use soon","In stock")))))</f>
        <v/>
      </c>
      <c r="N111" s="26">
        <f>IF(C111="","",N(D111)*Q111)</f>
        <v/>
      </c>
      <c r="O111" s="1" t="n"/>
      <c r="P111">
        <f>IF(C111="",0,IFERROR(N(INDEX(Products!$E$6:$E$45,MATCH(C111,Products!$B$6:$B$45,0))),0))</f>
        <v/>
      </c>
      <c r="Q111">
        <f>IF(C111="",0,IFERROR(N(INDEX(Products!$I$6:$I$45,MATCH(C111,Products!$B$6:$B$45,0))),0))</f>
        <v/>
      </c>
      <c r="R111">
        <f>IF(OR(C111="",NOT(ISNUMBER(B111))),"",YEAR(B111)*100+MONTH(B111))</f>
        <v/>
      </c>
      <c r="S111">
        <f>N(G111)*Q111</f>
        <v/>
      </c>
      <c r="T111">
        <f>IF(OR(M111="",M111="Sold out",NOT(ISNUMBER(J111))),"",J111*1000+ROW())</f>
        <v/>
      </c>
    </row>
    <row r="112">
      <c r="A112" s="1" t="n"/>
      <c r="B112" s="20" t="n"/>
      <c r="C112" s="21" t="n"/>
      <c r="D112" s="22" t="n"/>
      <c r="E112" s="22" t="n"/>
      <c r="F112" s="22" t="n"/>
      <c r="G112" s="22" t="n"/>
      <c r="H112" s="23" t="n"/>
      <c r="I112" s="24">
        <f>IF(OR(C112="",NOT(ISNUMBER(B112))),"",UPPER(IF(IFERROR(IF(INDEX(Products!$C$6:$C$45,MATCH(C112,Products!$B$6:$B$45,0))="","",INDEX(Products!$C$6:$C$45,MATCH(C112,Products!$B$6:$B$45,0))),"")="",LEFT(SUBSTITUTE(C112," ",""),3),IFERROR(IF(INDEX(Products!$C$6:$C$45,MATCH(C112,Products!$B$6:$B$45,0))="","",INDEX(Products!$C$6:$C$45,MATCH(C112,Products!$B$6:$B$45,0))),"")))&amp;"-"&amp;RIGHT(YEAR(B112),2)&amp;RIGHT("0"&amp;MONTH(B112),2)&amp;RIGHT("0"&amp;DAY(B112),2)&amp;"-"&amp;COUNTIFS(C$6:C112,C112,B$6:B112,B112))</f>
        <v/>
      </c>
      <c r="J112" s="14">
        <f>IF(OR(C112="",NOT(ISNUMBER(B112)),N(P112)=0),"",B112+P112)</f>
        <v/>
      </c>
      <c r="K112" s="25">
        <f>IF(C112="","",N(D112)-N(E112)-N(F112)-N(G112))</f>
        <v/>
      </c>
      <c r="L112" s="13">
        <f>IF(OR(C112="",N(K112)&lt;=0,NOT(ISNUMBER(J112))),"",J112-TODAY())</f>
        <v/>
      </c>
      <c r="M112" s="12">
        <f>IF(C112="","",IF(N(K112)&lt;=0,"Sold out",IF(NOT(ISNUMBER(J112)),"In stock",IF(J112&lt;TODAY(),"Past its date",IF(J112-TODAY()&lt;=Settings!$C$5,"Use soon","In stock")))))</f>
        <v/>
      </c>
      <c r="N112" s="26">
        <f>IF(C112="","",N(D112)*Q112)</f>
        <v/>
      </c>
      <c r="O112" s="1" t="n"/>
      <c r="P112">
        <f>IF(C112="",0,IFERROR(N(INDEX(Products!$E$6:$E$45,MATCH(C112,Products!$B$6:$B$45,0))),0))</f>
        <v/>
      </c>
      <c r="Q112">
        <f>IF(C112="",0,IFERROR(N(INDEX(Products!$I$6:$I$45,MATCH(C112,Products!$B$6:$B$45,0))),0))</f>
        <v/>
      </c>
      <c r="R112">
        <f>IF(OR(C112="",NOT(ISNUMBER(B112))),"",YEAR(B112)*100+MONTH(B112))</f>
        <v/>
      </c>
      <c r="S112">
        <f>N(G112)*Q112</f>
        <v/>
      </c>
      <c r="T112">
        <f>IF(OR(M112="",M112="Sold out",NOT(ISNUMBER(J112))),"",J112*1000+ROW())</f>
        <v/>
      </c>
    </row>
    <row r="113">
      <c r="A113" s="1" t="n"/>
      <c r="B113" s="20" t="n"/>
      <c r="C113" s="21" t="n"/>
      <c r="D113" s="22" t="n"/>
      <c r="E113" s="22" t="n"/>
      <c r="F113" s="22" t="n"/>
      <c r="G113" s="22" t="n"/>
      <c r="H113" s="23" t="n"/>
      <c r="I113" s="24">
        <f>IF(OR(C113="",NOT(ISNUMBER(B113))),"",UPPER(IF(IFERROR(IF(INDEX(Products!$C$6:$C$45,MATCH(C113,Products!$B$6:$B$45,0))="","",INDEX(Products!$C$6:$C$45,MATCH(C113,Products!$B$6:$B$45,0))),"")="",LEFT(SUBSTITUTE(C113," ",""),3),IFERROR(IF(INDEX(Products!$C$6:$C$45,MATCH(C113,Products!$B$6:$B$45,0))="","",INDEX(Products!$C$6:$C$45,MATCH(C113,Products!$B$6:$B$45,0))),"")))&amp;"-"&amp;RIGHT(YEAR(B113),2)&amp;RIGHT("0"&amp;MONTH(B113),2)&amp;RIGHT("0"&amp;DAY(B113),2)&amp;"-"&amp;COUNTIFS(C$6:C113,C113,B$6:B113,B113))</f>
        <v/>
      </c>
      <c r="J113" s="14">
        <f>IF(OR(C113="",NOT(ISNUMBER(B113)),N(P113)=0),"",B113+P113)</f>
        <v/>
      </c>
      <c r="K113" s="25">
        <f>IF(C113="","",N(D113)-N(E113)-N(F113)-N(G113))</f>
        <v/>
      </c>
      <c r="L113" s="13">
        <f>IF(OR(C113="",N(K113)&lt;=0,NOT(ISNUMBER(J113))),"",J113-TODAY())</f>
        <v/>
      </c>
      <c r="M113" s="12">
        <f>IF(C113="","",IF(N(K113)&lt;=0,"Sold out",IF(NOT(ISNUMBER(J113)),"In stock",IF(J113&lt;TODAY(),"Past its date",IF(J113-TODAY()&lt;=Settings!$C$5,"Use soon","In stock")))))</f>
        <v/>
      </c>
      <c r="N113" s="26">
        <f>IF(C113="","",N(D113)*Q113)</f>
        <v/>
      </c>
      <c r="O113" s="1" t="n"/>
      <c r="P113">
        <f>IF(C113="",0,IFERROR(N(INDEX(Products!$E$6:$E$45,MATCH(C113,Products!$B$6:$B$45,0))),0))</f>
        <v/>
      </c>
      <c r="Q113">
        <f>IF(C113="",0,IFERROR(N(INDEX(Products!$I$6:$I$45,MATCH(C113,Products!$B$6:$B$45,0))),0))</f>
        <v/>
      </c>
      <c r="R113">
        <f>IF(OR(C113="",NOT(ISNUMBER(B113))),"",YEAR(B113)*100+MONTH(B113))</f>
        <v/>
      </c>
      <c r="S113">
        <f>N(G113)*Q113</f>
        <v/>
      </c>
      <c r="T113">
        <f>IF(OR(M113="",M113="Sold out",NOT(ISNUMBER(J113))),"",J113*1000+ROW())</f>
        <v/>
      </c>
    </row>
    <row r="114">
      <c r="A114" s="1" t="n"/>
      <c r="B114" s="20" t="n"/>
      <c r="C114" s="21" t="n"/>
      <c r="D114" s="22" t="n"/>
      <c r="E114" s="22" t="n"/>
      <c r="F114" s="22" t="n"/>
      <c r="G114" s="22" t="n"/>
      <c r="H114" s="23" t="n"/>
      <c r="I114" s="24">
        <f>IF(OR(C114="",NOT(ISNUMBER(B114))),"",UPPER(IF(IFERROR(IF(INDEX(Products!$C$6:$C$45,MATCH(C114,Products!$B$6:$B$45,0))="","",INDEX(Products!$C$6:$C$45,MATCH(C114,Products!$B$6:$B$45,0))),"")="",LEFT(SUBSTITUTE(C114," ",""),3),IFERROR(IF(INDEX(Products!$C$6:$C$45,MATCH(C114,Products!$B$6:$B$45,0))="","",INDEX(Products!$C$6:$C$45,MATCH(C114,Products!$B$6:$B$45,0))),"")))&amp;"-"&amp;RIGHT(YEAR(B114),2)&amp;RIGHT("0"&amp;MONTH(B114),2)&amp;RIGHT("0"&amp;DAY(B114),2)&amp;"-"&amp;COUNTIFS(C$6:C114,C114,B$6:B114,B114))</f>
        <v/>
      </c>
      <c r="J114" s="14">
        <f>IF(OR(C114="",NOT(ISNUMBER(B114)),N(P114)=0),"",B114+P114)</f>
        <v/>
      </c>
      <c r="K114" s="25">
        <f>IF(C114="","",N(D114)-N(E114)-N(F114)-N(G114))</f>
        <v/>
      </c>
      <c r="L114" s="13">
        <f>IF(OR(C114="",N(K114)&lt;=0,NOT(ISNUMBER(J114))),"",J114-TODAY())</f>
        <v/>
      </c>
      <c r="M114" s="12">
        <f>IF(C114="","",IF(N(K114)&lt;=0,"Sold out",IF(NOT(ISNUMBER(J114)),"In stock",IF(J114&lt;TODAY(),"Past its date",IF(J114-TODAY()&lt;=Settings!$C$5,"Use soon","In stock")))))</f>
        <v/>
      </c>
      <c r="N114" s="26">
        <f>IF(C114="","",N(D114)*Q114)</f>
        <v/>
      </c>
      <c r="O114" s="1" t="n"/>
      <c r="P114">
        <f>IF(C114="",0,IFERROR(N(INDEX(Products!$E$6:$E$45,MATCH(C114,Products!$B$6:$B$45,0))),0))</f>
        <v/>
      </c>
      <c r="Q114">
        <f>IF(C114="",0,IFERROR(N(INDEX(Products!$I$6:$I$45,MATCH(C114,Products!$B$6:$B$45,0))),0))</f>
        <v/>
      </c>
      <c r="R114">
        <f>IF(OR(C114="",NOT(ISNUMBER(B114))),"",YEAR(B114)*100+MONTH(B114))</f>
        <v/>
      </c>
      <c r="S114">
        <f>N(G114)*Q114</f>
        <v/>
      </c>
      <c r="T114">
        <f>IF(OR(M114="",M114="Sold out",NOT(ISNUMBER(J114))),"",J114*1000+ROW())</f>
        <v/>
      </c>
    </row>
    <row r="115">
      <c r="A115" s="1" t="n"/>
      <c r="B115" s="20" t="n"/>
      <c r="C115" s="21" t="n"/>
      <c r="D115" s="22" t="n"/>
      <c r="E115" s="22" t="n"/>
      <c r="F115" s="22" t="n"/>
      <c r="G115" s="22" t="n"/>
      <c r="H115" s="23" t="n"/>
      <c r="I115" s="24">
        <f>IF(OR(C115="",NOT(ISNUMBER(B115))),"",UPPER(IF(IFERROR(IF(INDEX(Products!$C$6:$C$45,MATCH(C115,Products!$B$6:$B$45,0))="","",INDEX(Products!$C$6:$C$45,MATCH(C115,Products!$B$6:$B$45,0))),"")="",LEFT(SUBSTITUTE(C115," ",""),3),IFERROR(IF(INDEX(Products!$C$6:$C$45,MATCH(C115,Products!$B$6:$B$45,0))="","",INDEX(Products!$C$6:$C$45,MATCH(C115,Products!$B$6:$B$45,0))),"")))&amp;"-"&amp;RIGHT(YEAR(B115),2)&amp;RIGHT("0"&amp;MONTH(B115),2)&amp;RIGHT("0"&amp;DAY(B115),2)&amp;"-"&amp;COUNTIFS(C$6:C115,C115,B$6:B115,B115))</f>
        <v/>
      </c>
      <c r="J115" s="14">
        <f>IF(OR(C115="",NOT(ISNUMBER(B115)),N(P115)=0),"",B115+P115)</f>
        <v/>
      </c>
      <c r="K115" s="25">
        <f>IF(C115="","",N(D115)-N(E115)-N(F115)-N(G115))</f>
        <v/>
      </c>
      <c r="L115" s="13">
        <f>IF(OR(C115="",N(K115)&lt;=0,NOT(ISNUMBER(J115))),"",J115-TODAY())</f>
        <v/>
      </c>
      <c r="M115" s="12">
        <f>IF(C115="","",IF(N(K115)&lt;=0,"Sold out",IF(NOT(ISNUMBER(J115)),"In stock",IF(J115&lt;TODAY(),"Past its date",IF(J115-TODAY()&lt;=Settings!$C$5,"Use soon","In stock")))))</f>
        <v/>
      </c>
      <c r="N115" s="26">
        <f>IF(C115="","",N(D115)*Q115)</f>
        <v/>
      </c>
      <c r="O115" s="1" t="n"/>
      <c r="P115">
        <f>IF(C115="",0,IFERROR(N(INDEX(Products!$E$6:$E$45,MATCH(C115,Products!$B$6:$B$45,0))),0))</f>
        <v/>
      </c>
      <c r="Q115">
        <f>IF(C115="",0,IFERROR(N(INDEX(Products!$I$6:$I$45,MATCH(C115,Products!$B$6:$B$45,0))),0))</f>
        <v/>
      </c>
      <c r="R115">
        <f>IF(OR(C115="",NOT(ISNUMBER(B115))),"",YEAR(B115)*100+MONTH(B115))</f>
        <v/>
      </c>
      <c r="S115">
        <f>N(G115)*Q115</f>
        <v/>
      </c>
      <c r="T115">
        <f>IF(OR(M115="",M115="Sold out",NOT(ISNUMBER(J115))),"",J115*1000+ROW())</f>
        <v/>
      </c>
    </row>
    <row r="116">
      <c r="A116" s="1" t="n"/>
      <c r="B116" s="20" t="n"/>
      <c r="C116" s="21" t="n"/>
      <c r="D116" s="22" t="n"/>
      <c r="E116" s="22" t="n"/>
      <c r="F116" s="22" t="n"/>
      <c r="G116" s="22" t="n"/>
      <c r="H116" s="23" t="n"/>
      <c r="I116" s="24">
        <f>IF(OR(C116="",NOT(ISNUMBER(B116))),"",UPPER(IF(IFERROR(IF(INDEX(Products!$C$6:$C$45,MATCH(C116,Products!$B$6:$B$45,0))="","",INDEX(Products!$C$6:$C$45,MATCH(C116,Products!$B$6:$B$45,0))),"")="",LEFT(SUBSTITUTE(C116," ",""),3),IFERROR(IF(INDEX(Products!$C$6:$C$45,MATCH(C116,Products!$B$6:$B$45,0))="","",INDEX(Products!$C$6:$C$45,MATCH(C116,Products!$B$6:$B$45,0))),"")))&amp;"-"&amp;RIGHT(YEAR(B116),2)&amp;RIGHT("0"&amp;MONTH(B116),2)&amp;RIGHT("0"&amp;DAY(B116),2)&amp;"-"&amp;COUNTIFS(C$6:C116,C116,B$6:B116,B116))</f>
        <v/>
      </c>
      <c r="J116" s="14">
        <f>IF(OR(C116="",NOT(ISNUMBER(B116)),N(P116)=0),"",B116+P116)</f>
        <v/>
      </c>
      <c r="K116" s="25">
        <f>IF(C116="","",N(D116)-N(E116)-N(F116)-N(G116))</f>
        <v/>
      </c>
      <c r="L116" s="13">
        <f>IF(OR(C116="",N(K116)&lt;=0,NOT(ISNUMBER(J116))),"",J116-TODAY())</f>
        <v/>
      </c>
      <c r="M116" s="12">
        <f>IF(C116="","",IF(N(K116)&lt;=0,"Sold out",IF(NOT(ISNUMBER(J116)),"In stock",IF(J116&lt;TODAY(),"Past its date",IF(J116-TODAY()&lt;=Settings!$C$5,"Use soon","In stock")))))</f>
        <v/>
      </c>
      <c r="N116" s="26">
        <f>IF(C116="","",N(D116)*Q116)</f>
        <v/>
      </c>
      <c r="O116" s="1" t="n"/>
      <c r="P116">
        <f>IF(C116="",0,IFERROR(N(INDEX(Products!$E$6:$E$45,MATCH(C116,Products!$B$6:$B$45,0))),0))</f>
        <v/>
      </c>
      <c r="Q116">
        <f>IF(C116="",0,IFERROR(N(INDEX(Products!$I$6:$I$45,MATCH(C116,Products!$B$6:$B$45,0))),0))</f>
        <v/>
      </c>
      <c r="R116">
        <f>IF(OR(C116="",NOT(ISNUMBER(B116))),"",YEAR(B116)*100+MONTH(B116))</f>
        <v/>
      </c>
      <c r="S116">
        <f>N(G116)*Q116</f>
        <v/>
      </c>
      <c r="T116">
        <f>IF(OR(M116="",M116="Sold out",NOT(ISNUMBER(J116))),"",J116*1000+ROW())</f>
        <v/>
      </c>
    </row>
    <row r="117">
      <c r="A117" s="1" t="n"/>
      <c r="B117" s="20" t="n"/>
      <c r="C117" s="21" t="n"/>
      <c r="D117" s="22" t="n"/>
      <c r="E117" s="22" t="n"/>
      <c r="F117" s="22" t="n"/>
      <c r="G117" s="22" t="n"/>
      <c r="H117" s="23" t="n"/>
      <c r="I117" s="24">
        <f>IF(OR(C117="",NOT(ISNUMBER(B117))),"",UPPER(IF(IFERROR(IF(INDEX(Products!$C$6:$C$45,MATCH(C117,Products!$B$6:$B$45,0))="","",INDEX(Products!$C$6:$C$45,MATCH(C117,Products!$B$6:$B$45,0))),"")="",LEFT(SUBSTITUTE(C117," ",""),3),IFERROR(IF(INDEX(Products!$C$6:$C$45,MATCH(C117,Products!$B$6:$B$45,0))="","",INDEX(Products!$C$6:$C$45,MATCH(C117,Products!$B$6:$B$45,0))),"")))&amp;"-"&amp;RIGHT(YEAR(B117),2)&amp;RIGHT("0"&amp;MONTH(B117),2)&amp;RIGHT("0"&amp;DAY(B117),2)&amp;"-"&amp;COUNTIFS(C$6:C117,C117,B$6:B117,B117))</f>
        <v/>
      </c>
      <c r="J117" s="14">
        <f>IF(OR(C117="",NOT(ISNUMBER(B117)),N(P117)=0),"",B117+P117)</f>
        <v/>
      </c>
      <c r="K117" s="25">
        <f>IF(C117="","",N(D117)-N(E117)-N(F117)-N(G117))</f>
        <v/>
      </c>
      <c r="L117" s="13">
        <f>IF(OR(C117="",N(K117)&lt;=0,NOT(ISNUMBER(J117))),"",J117-TODAY())</f>
        <v/>
      </c>
      <c r="M117" s="12">
        <f>IF(C117="","",IF(N(K117)&lt;=0,"Sold out",IF(NOT(ISNUMBER(J117)),"In stock",IF(J117&lt;TODAY(),"Past its date",IF(J117-TODAY()&lt;=Settings!$C$5,"Use soon","In stock")))))</f>
        <v/>
      </c>
      <c r="N117" s="26">
        <f>IF(C117="","",N(D117)*Q117)</f>
        <v/>
      </c>
      <c r="O117" s="1" t="n"/>
      <c r="P117">
        <f>IF(C117="",0,IFERROR(N(INDEX(Products!$E$6:$E$45,MATCH(C117,Products!$B$6:$B$45,0))),0))</f>
        <v/>
      </c>
      <c r="Q117">
        <f>IF(C117="",0,IFERROR(N(INDEX(Products!$I$6:$I$45,MATCH(C117,Products!$B$6:$B$45,0))),0))</f>
        <v/>
      </c>
      <c r="R117">
        <f>IF(OR(C117="",NOT(ISNUMBER(B117))),"",YEAR(B117)*100+MONTH(B117))</f>
        <v/>
      </c>
      <c r="S117">
        <f>N(G117)*Q117</f>
        <v/>
      </c>
      <c r="T117">
        <f>IF(OR(M117="",M117="Sold out",NOT(ISNUMBER(J117))),"",J117*1000+ROW())</f>
        <v/>
      </c>
    </row>
    <row r="118">
      <c r="A118" s="1" t="n"/>
      <c r="B118" s="20" t="n"/>
      <c r="C118" s="21" t="n"/>
      <c r="D118" s="22" t="n"/>
      <c r="E118" s="22" t="n"/>
      <c r="F118" s="22" t="n"/>
      <c r="G118" s="22" t="n"/>
      <c r="H118" s="23" t="n"/>
      <c r="I118" s="24">
        <f>IF(OR(C118="",NOT(ISNUMBER(B118))),"",UPPER(IF(IFERROR(IF(INDEX(Products!$C$6:$C$45,MATCH(C118,Products!$B$6:$B$45,0))="","",INDEX(Products!$C$6:$C$45,MATCH(C118,Products!$B$6:$B$45,0))),"")="",LEFT(SUBSTITUTE(C118," ",""),3),IFERROR(IF(INDEX(Products!$C$6:$C$45,MATCH(C118,Products!$B$6:$B$45,0))="","",INDEX(Products!$C$6:$C$45,MATCH(C118,Products!$B$6:$B$45,0))),"")))&amp;"-"&amp;RIGHT(YEAR(B118),2)&amp;RIGHT("0"&amp;MONTH(B118),2)&amp;RIGHT("0"&amp;DAY(B118),2)&amp;"-"&amp;COUNTIFS(C$6:C118,C118,B$6:B118,B118))</f>
        <v/>
      </c>
      <c r="J118" s="14">
        <f>IF(OR(C118="",NOT(ISNUMBER(B118)),N(P118)=0),"",B118+P118)</f>
        <v/>
      </c>
      <c r="K118" s="25">
        <f>IF(C118="","",N(D118)-N(E118)-N(F118)-N(G118))</f>
        <v/>
      </c>
      <c r="L118" s="13">
        <f>IF(OR(C118="",N(K118)&lt;=0,NOT(ISNUMBER(J118))),"",J118-TODAY())</f>
        <v/>
      </c>
      <c r="M118" s="12">
        <f>IF(C118="","",IF(N(K118)&lt;=0,"Sold out",IF(NOT(ISNUMBER(J118)),"In stock",IF(J118&lt;TODAY(),"Past its date",IF(J118-TODAY()&lt;=Settings!$C$5,"Use soon","In stock")))))</f>
        <v/>
      </c>
      <c r="N118" s="26">
        <f>IF(C118="","",N(D118)*Q118)</f>
        <v/>
      </c>
      <c r="O118" s="1" t="n"/>
      <c r="P118">
        <f>IF(C118="",0,IFERROR(N(INDEX(Products!$E$6:$E$45,MATCH(C118,Products!$B$6:$B$45,0))),0))</f>
        <v/>
      </c>
      <c r="Q118">
        <f>IF(C118="",0,IFERROR(N(INDEX(Products!$I$6:$I$45,MATCH(C118,Products!$B$6:$B$45,0))),0))</f>
        <v/>
      </c>
      <c r="R118">
        <f>IF(OR(C118="",NOT(ISNUMBER(B118))),"",YEAR(B118)*100+MONTH(B118))</f>
        <v/>
      </c>
      <c r="S118">
        <f>N(G118)*Q118</f>
        <v/>
      </c>
      <c r="T118">
        <f>IF(OR(M118="",M118="Sold out",NOT(ISNUMBER(J118))),"",J118*1000+ROW())</f>
        <v/>
      </c>
    </row>
    <row r="119">
      <c r="A119" s="1" t="n"/>
      <c r="B119" s="20" t="n"/>
      <c r="C119" s="21" t="n"/>
      <c r="D119" s="22" t="n"/>
      <c r="E119" s="22" t="n"/>
      <c r="F119" s="22" t="n"/>
      <c r="G119" s="22" t="n"/>
      <c r="H119" s="23" t="n"/>
      <c r="I119" s="24">
        <f>IF(OR(C119="",NOT(ISNUMBER(B119))),"",UPPER(IF(IFERROR(IF(INDEX(Products!$C$6:$C$45,MATCH(C119,Products!$B$6:$B$45,0))="","",INDEX(Products!$C$6:$C$45,MATCH(C119,Products!$B$6:$B$45,0))),"")="",LEFT(SUBSTITUTE(C119," ",""),3),IFERROR(IF(INDEX(Products!$C$6:$C$45,MATCH(C119,Products!$B$6:$B$45,0))="","",INDEX(Products!$C$6:$C$45,MATCH(C119,Products!$B$6:$B$45,0))),"")))&amp;"-"&amp;RIGHT(YEAR(B119),2)&amp;RIGHT("0"&amp;MONTH(B119),2)&amp;RIGHT("0"&amp;DAY(B119),2)&amp;"-"&amp;COUNTIFS(C$6:C119,C119,B$6:B119,B119))</f>
        <v/>
      </c>
      <c r="J119" s="14">
        <f>IF(OR(C119="",NOT(ISNUMBER(B119)),N(P119)=0),"",B119+P119)</f>
        <v/>
      </c>
      <c r="K119" s="25">
        <f>IF(C119="","",N(D119)-N(E119)-N(F119)-N(G119))</f>
        <v/>
      </c>
      <c r="L119" s="13">
        <f>IF(OR(C119="",N(K119)&lt;=0,NOT(ISNUMBER(J119))),"",J119-TODAY())</f>
        <v/>
      </c>
      <c r="M119" s="12">
        <f>IF(C119="","",IF(N(K119)&lt;=0,"Sold out",IF(NOT(ISNUMBER(J119)),"In stock",IF(J119&lt;TODAY(),"Past its date",IF(J119-TODAY()&lt;=Settings!$C$5,"Use soon","In stock")))))</f>
        <v/>
      </c>
      <c r="N119" s="26">
        <f>IF(C119="","",N(D119)*Q119)</f>
        <v/>
      </c>
      <c r="O119" s="1" t="n"/>
      <c r="P119">
        <f>IF(C119="",0,IFERROR(N(INDEX(Products!$E$6:$E$45,MATCH(C119,Products!$B$6:$B$45,0))),0))</f>
        <v/>
      </c>
      <c r="Q119">
        <f>IF(C119="",0,IFERROR(N(INDEX(Products!$I$6:$I$45,MATCH(C119,Products!$B$6:$B$45,0))),0))</f>
        <v/>
      </c>
      <c r="R119">
        <f>IF(OR(C119="",NOT(ISNUMBER(B119))),"",YEAR(B119)*100+MONTH(B119))</f>
        <v/>
      </c>
      <c r="S119">
        <f>N(G119)*Q119</f>
        <v/>
      </c>
      <c r="T119">
        <f>IF(OR(M119="",M119="Sold out",NOT(ISNUMBER(J119))),"",J119*1000+ROW())</f>
        <v/>
      </c>
    </row>
    <row r="120">
      <c r="A120" s="1" t="n"/>
      <c r="B120" s="20" t="n"/>
      <c r="C120" s="21" t="n"/>
      <c r="D120" s="22" t="n"/>
      <c r="E120" s="22" t="n"/>
      <c r="F120" s="22" t="n"/>
      <c r="G120" s="22" t="n"/>
      <c r="H120" s="23" t="n"/>
      <c r="I120" s="24">
        <f>IF(OR(C120="",NOT(ISNUMBER(B120))),"",UPPER(IF(IFERROR(IF(INDEX(Products!$C$6:$C$45,MATCH(C120,Products!$B$6:$B$45,0))="","",INDEX(Products!$C$6:$C$45,MATCH(C120,Products!$B$6:$B$45,0))),"")="",LEFT(SUBSTITUTE(C120," ",""),3),IFERROR(IF(INDEX(Products!$C$6:$C$45,MATCH(C120,Products!$B$6:$B$45,0))="","",INDEX(Products!$C$6:$C$45,MATCH(C120,Products!$B$6:$B$45,0))),"")))&amp;"-"&amp;RIGHT(YEAR(B120),2)&amp;RIGHT("0"&amp;MONTH(B120),2)&amp;RIGHT("0"&amp;DAY(B120),2)&amp;"-"&amp;COUNTIFS(C$6:C120,C120,B$6:B120,B120))</f>
        <v/>
      </c>
      <c r="J120" s="14">
        <f>IF(OR(C120="",NOT(ISNUMBER(B120)),N(P120)=0),"",B120+P120)</f>
        <v/>
      </c>
      <c r="K120" s="25">
        <f>IF(C120="","",N(D120)-N(E120)-N(F120)-N(G120))</f>
        <v/>
      </c>
      <c r="L120" s="13">
        <f>IF(OR(C120="",N(K120)&lt;=0,NOT(ISNUMBER(J120))),"",J120-TODAY())</f>
        <v/>
      </c>
      <c r="M120" s="12">
        <f>IF(C120="","",IF(N(K120)&lt;=0,"Sold out",IF(NOT(ISNUMBER(J120)),"In stock",IF(J120&lt;TODAY(),"Past its date",IF(J120-TODAY()&lt;=Settings!$C$5,"Use soon","In stock")))))</f>
        <v/>
      </c>
      <c r="N120" s="26">
        <f>IF(C120="","",N(D120)*Q120)</f>
        <v/>
      </c>
      <c r="O120" s="1" t="n"/>
      <c r="P120">
        <f>IF(C120="",0,IFERROR(N(INDEX(Products!$E$6:$E$45,MATCH(C120,Products!$B$6:$B$45,0))),0))</f>
        <v/>
      </c>
      <c r="Q120">
        <f>IF(C120="",0,IFERROR(N(INDEX(Products!$I$6:$I$45,MATCH(C120,Products!$B$6:$B$45,0))),0))</f>
        <v/>
      </c>
      <c r="R120">
        <f>IF(OR(C120="",NOT(ISNUMBER(B120))),"",YEAR(B120)*100+MONTH(B120))</f>
        <v/>
      </c>
      <c r="S120">
        <f>N(G120)*Q120</f>
        <v/>
      </c>
      <c r="T120">
        <f>IF(OR(M120="",M120="Sold out",NOT(ISNUMBER(J120))),"",J120*1000+ROW())</f>
        <v/>
      </c>
    </row>
    <row r="121">
      <c r="A121" s="1" t="n"/>
      <c r="B121" s="20" t="n"/>
      <c r="C121" s="21" t="n"/>
      <c r="D121" s="22" t="n"/>
      <c r="E121" s="22" t="n"/>
      <c r="F121" s="22" t="n"/>
      <c r="G121" s="22" t="n"/>
      <c r="H121" s="23" t="n"/>
      <c r="I121" s="24">
        <f>IF(OR(C121="",NOT(ISNUMBER(B121))),"",UPPER(IF(IFERROR(IF(INDEX(Products!$C$6:$C$45,MATCH(C121,Products!$B$6:$B$45,0))="","",INDEX(Products!$C$6:$C$45,MATCH(C121,Products!$B$6:$B$45,0))),"")="",LEFT(SUBSTITUTE(C121," ",""),3),IFERROR(IF(INDEX(Products!$C$6:$C$45,MATCH(C121,Products!$B$6:$B$45,0))="","",INDEX(Products!$C$6:$C$45,MATCH(C121,Products!$B$6:$B$45,0))),"")))&amp;"-"&amp;RIGHT(YEAR(B121),2)&amp;RIGHT("0"&amp;MONTH(B121),2)&amp;RIGHT("0"&amp;DAY(B121),2)&amp;"-"&amp;COUNTIFS(C$6:C121,C121,B$6:B121,B121))</f>
        <v/>
      </c>
      <c r="J121" s="14">
        <f>IF(OR(C121="",NOT(ISNUMBER(B121)),N(P121)=0),"",B121+P121)</f>
        <v/>
      </c>
      <c r="K121" s="25">
        <f>IF(C121="","",N(D121)-N(E121)-N(F121)-N(G121))</f>
        <v/>
      </c>
      <c r="L121" s="13">
        <f>IF(OR(C121="",N(K121)&lt;=0,NOT(ISNUMBER(J121))),"",J121-TODAY())</f>
        <v/>
      </c>
      <c r="M121" s="12">
        <f>IF(C121="","",IF(N(K121)&lt;=0,"Sold out",IF(NOT(ISNUMBER(J121)),"In stock",IF(J121&lt;TODAY(),"Past its date",IF(J121-TODAY()&lt;=Settings!$C$5,"Use soon","In stock")))))</f>
        <v/>
      </c>
      <c r="N121" s="26">
        <f>IF(C121="","",N(D121)*Q121)</f>
        <v/>
      </c>
      <c r="O121" s="1" t="n"/>
      <c r="P121">
        <f>IF(C121="",0,IFERROR(N(INDEX(Products!$E$6:$E$45,MATCH(C121,Products!$B$6:$B$45,0))),0))</f>
        <v/>
      </c>
      <c r="Q121">
        <f>IF(C121="",0,IFERROR(N(INDEX(Products!$I$6:$I$45,MATCH(C121,Products!$B$6:$B$45,0))),0))</f>
        <v/>
      </c>
      <c r="R121">
        <f>IF(OR(C121="",NOT(ISNUMBER(B121))),"",YEAR(B121)*100+MONTH(B121))</f>
        <v/>
      </c>
      <c r="S121">
        <f>N(G121)*Q121</f>
        <v/>
      </c>
      <c r="T121">
        <f>IF(OR(M121="",M121="Sold out",NOT(ISNUMBER(J121))),"",J121*1000+ROW())</f>
        <v/>
      </c>
    </row>
    <row r="122">
      <c r="A122" s="1" t="n"/>
      <c r="B122" s="20" t="n"/>
      <c r="C122" s="21" t="n"/>
      <c r="D122" s="22" t="n"/>
      <c r="E122" s="22" t="n"/>
      <c r="F122" s="22" t="n"/>
      <c r="G122" s="22" t="n"/>
      <c r="H122" s="23" t="n"/>
      <c r="I122" s="24">
        <f>IF(OR(C122="",NOT(ISNUMBER(B122))),"",UPPER(IF(IFERROR(IF(INDEX(Products!$C$6:$C$45,MATCH(C122,Products!$B$6:$B$45,0))="","",INDEX(Products!$C$6:$C$45,MATCH(C122,Products!$B$6:$B$45,0))),"")="",LEFT(SUBSTITUTE(C122," ",""),3),IFERROR(IF(INDEX(Products!$C$6:$C$45,MATCH(C122,Products!$B$6:$B$45,0))="","",INDEX(Products!$C$6:$C$45,MATCH(C122,Products!$B$6:$B$45,0))),"")))&amp;"-"&amp;RIGHT(YEAR(B122),2)&amp;RIGHT("0"&amp;MONTH(B122),2)&amp;RIGHT("0"&amp;DAY(B122),2)&amp;"-"&amp;COUNTIFS(C$6:C122,C122,B$6:B122,B122))</f>
        <v/>
      </c>
      <c r="J122" s="14">
        <f>IF(OR(C122="",NOT(ISNUMBER(B122)),N(P122)=0),"",B122+P122)</f>
        <v/>
      </c>
      <c r="K122" s="25">
        <f>IF(C122="","",N(D122)-N(E122)-N(F122)-N(G122))</f>
        <v/>
      </c>
      <c r="L122" s="13">
        <f>IF(OR(C122="",N(K122)&lt;=0,NOT(ISNUMBER(J122))),"",J122-TODAY())</f>
        <v/>
      </c>
      <c r="M122" s="12">
        <f>IF(C122="","",IF(N(K122)&lt;=0,"Sold out",IF(NOT(ISNUMBER(J122)),"In stock",IF(J122&lt;TODAY(),"Past its date",IF(J122-TODAY()&lt;=Settings!$C$5,"Use soon","In stock")))))</f>
        <v/>
      </c>
      <c r="N122" s="26">
        <f>IF(C122="","",N(D122)*Q122)</f>
        <v/>
      </c>
      <c r="O122" s="1" t="n"/>
      <c r="P122">
        <f>IF(C122="",0,IFERROR(N(INDEX(Products!$E$6:$E$45,MATCH(C122,Products!$B$6:$B$45,0))),0))</f>
        <v/>
      </c>
      <c r="Q122">
        <f>IF(C122="",0,IFERROR(N(INDEX(Products!$I$6:$I$45,MATCH(C122,Products!$B$6:$B$45,0))),0))</f>
        <v/>
      </c>
      <c r="R122">
        <f>IF(OR(C122="",NOT(ISNUMBER(B122))),"",YEAR(B122)*100+MONTH(B122))</f>
        <v/>
      </c>
      <c r="S122">
        <f>N(G122)*Q122</f>
        <v/>
      </c>
      <c r="T122">
        <f>IF(OR(M122="",M122="Sold out",NOT(ISNUMBER(J122))),"",J122*1000+ROW())</f>
        <v/>
      </c>
    </row>
    <row r="123">
      <c r="A123" s="1" t="n"/>
      <c r="B123" s="20" t="n"/>
      <c r="C123" s="21" t="n"/>
      <c r="D123" s="22" t="n"/>
      <c r="E123" s="22" t="n"/>
      <c r="F123" s="22" t="n"/>
      <c r="G123" s="22" t="n"/>
      <c r="H123" s="23" t="n"/>
      <c r="I123" s="24">
        <f>IF(OR(C123="",NOT(ISNUMBER(B123))),"",UPPER(IF(IFERROR(IF(INDEX(Products!$C$6:$C$45,MATCH(C123,Products!$B$6:$B$45,0))="","",INDEX(Products!$C$6:$C$45,MATCH(C123,Products!$B$6:$B$45,0))),"")="",LEFT(SUBSTITUTE(C123," ",""),3),IFERROR(IF(INDEX(Products!$C$6:$C$45,MATCH(C123,Products!$B$6:$B$45,0))="","",INDEX(Products!$C$6:$C$45,MATCH(C123,Products!$B$6:$B$45,0))),"")))&amp;"-"&amp;RIGHT(YEAR(B123),2)&amp;RIGHT("0"&amp;MONTH(B123),2)&amp;RIGHT("0"&amp;DAY(B123),2)&amp;"-"&amp;COUNTIFS(C$6:C123,C123,B$6:B123,B123))</f>
        <v/>
      </c>
      <c r="J123" s="14">
        <f>IF(OR(C123="",NOT(ISNUMBER(B123)),N(P123)=0),"",B123+P123)</f>
        <v/>
      </c>
      <c r="K123" s="25">
        <f>IF(C123="","",N(D123)-N(E123)-N(F123)-N(G123))</f>
        <v/>
      </c>
      <c r="L123" s="13">
        <f>IF(OR(C123="",N(K123)&lt;=0,NOT(ISNUMBER(J123))),"",J123-TODAY())</f>
        <v/>
      </c>
      <c r="M123" s="12">
        <f>IF(C123="","",IF(N(K123)&lt;=0,"Sold out",IF(NOT(ISNUMBER(J123)),"In stock",IF(J123&lt;TODAY(),"Past its date",IF(J123-TODAY()&lt;=Settings!$C$5,"Use soon","In stock")))))</f>
        <v/>
      </c>
      <c r="N123" s="26">
        <f>IF(C123="","",N(D123)*Q123)</f>
        <v/>
      </c>
      <c r="O123" s="1" t="n"/>
      <c r="P123">
        <f>IF(C123="",0,IFERROR(N(INDEX(Products!$E$6:$E$45,MATCH(C123,Products!$B$6:$B$45,0))),0))</f>
        <v/>
      </c>
      <c r="Q123">
        <f>IF(C123="",0,IFERROR(N(INDEX(Products!$I$6:$I$45,MATCH(C123,Products!$B$6:$B$45,0))),0))</f>
        <v/>
      </c>
      <c r="R123">
        <f>IF(OR(C123="",NOT(ISNUMBER(B123))),"",YEAR(B123)*100+MONTH(B123))</f>
        <v/>
      </c>
      <c r="S123">
        <f>N(G123)*Q123</f>
        <v/>
      </c>
      <c r="T123">
        <f>IF(OR(M123="",M123="Sold out",NOT(ISNUMBER(J123))),"",J123*1000+ROW())</f>
        <v/>
      </c>
    </row>
    <row r="124">
      <c r="A124" s="1" t="n"/>
      <c r="B124" s="20" t="n"/>
      <c r="C124" s="21" t="n"/>
      <c r="D124" s="22" t="n"/>
      <c r="E124" s="22" t="n"/>
      <c r="F124" s="22" t="n"/>
      <c r="G124" s="22" t="n"/>
      <c r="H124" s="23" t="n"/>
      <c r="I124" s="24">
        <f>IF(OR(C124="",NOT(ISNUMBER(B124))),"",UPPER(IF(IFERROR(IF(INDEX(Products!$C$6:$C$45,MATCH(C124,Products!$B$6:$B$45,0))="","",INDEX(Products!$C$6:$C$45,MATCH(C124,Products!$B$6:$B$45,0))),"")="",LEFT(SUBSTITUTE(C124," ",""),3),IFERROR(IF(INDEX(Products!$C$6:$C$45,MATCH(C124,Products!$B$6:$B$45,0))="","",INDEX(Products!$C$6:$C$45,MATCH(C124,Products!$B$6:$B$45,0))),"")))&amp;"-"&amp;RIGHT(YEAR(B124),2)&amp;RIGHT("0"&amp;MONTH(B124),2)&amp;RIGHT("0"&amp;DAY(B124),2)&amp;"-"&amp;COUNTIFS(C$6:C124,C124,B$6:B124,B124))</f>
        <v/>
      </c>
      <c r="J124" s="14">
        <f>IF(OR(C124="",NOT(ISNUMBER(B124)),N(P124)=0),"",B124+P124)</f>
        <v/>
      </c>
      <c r="K124" s="25">
        <f>IF(C124="","",N(D124)-N(E124)-N(F124)-N(G124))</f>
        <v/>
      </c>
      <c r="L124" s="13">
        <f>IF(OR(C124="",N(K124)&lt;=0,NOT(ISNUMBER(J124))),"",J124-TODAY())</f>
        <v/>
      </c>
      <c r="M124" s="12">
        <f>IF(C124="","",IF(N(K124)&lt;=0,"Sold out",IF(NOT(ISNUMBER(J124)),"In stock",IF(J124&lt;TODAY(),"Past its date",IF(J124-TODAY()&lt;=Settings!$C$5,"Use soon","In stock")))))</f>
        <v/>
      </c>
      <c r="N124" s="26">
        <f>IF(C124="","",N(D124)*Q124)</f>
        <v/>
      </c>
      <c r="O124" s="1" t="n"/>
      <c r="P124">
        <f>IF(C124="",0,IFERROR(N(INDEX(Products!$E$6:$E$45,MATCH(C124,Products!$B$6:$B$45,0))),0))</f>
        <v/>
      </c>
      <c r="Q124">
        <f>IF(C124="",0,IFERROR(N(INDEX(Products!$I$6:$I$45,MATCH(C124,Products!$B$6:$B$45,0))),0))</f>
        <v/>
      </c>
      <c r="R124">
        <f>IF(OR(C124="",NOT(ISNUMBER(B124))),"",YEAR(B124)*100+MONTH(B124))</f>
        <v/>
      </c>
      <c r="S124">
        <f>N(G124)*Q124</f>
        <v/>
      </c>
      <c r="T124">
        <f>IF(OR(M124="",M124="Sold out",NOT(ISNUMBER(J124))),"",J124*1000+ROW())</f>
        <v/>
      </c>
    </row>
    <row r="125">
      <c r="A125" s="1" t="n"/>
      <c r="B125" s="20" t="n"/>
      <c r="C125" s="21" t="n"/>
      <c r="D125" s="22" t="n"/>
      <c r="E125" s="22" t="n"/>
      <c r="F125" s="22" t="n"/>
      <c r="G125" s="22" t="n"/>
      <c r="H125" s="23" t="n"/>
      <c r="I125" s="24">
        <f>IF(OR(C125="",NOT(ISNUMBER(B125))),"",UPPER(IF(IFERROR(IF(INDEX(Products!$C$6:$C$45,MATCH(C125,Products!$B$6:$B$45,0))="","",INDEX(Products!$C$6:$C$45,MATCH(C125,Products!$B$6:$B$45,0))),"")="",LEFT(SUBSTITUTE(C125," ",""),3),IFERROR(IF(INDEX(Products!$C$6:$C$45,MATCH(C125,Products!$B$6:$B$45,0))="","",INDEX(Products!$C$6:$C$45,MATCH(C125,Products!$B$6:$B$45,0))),"")))&amp;"-"&amp;RIGHT(YEAR(B125),2)&amp;RIGHT("0"&amp;MONTH(B125),2)&amp;RIGHT("0"&amp;DAY(B125),2)&amp;"-"&amp;COUNTIFS(C$6:C125,C125,B$6:B125,B125))</f>
        <v/>
      </c>
      <c r="J125" s="14">
        <f>IF(OR(C125="",NOT(ISNUMBER(B125)),N(P125)=0),"",B125+P125)</f>
        <v/>
      </c>
      <c r="K125" s="25">
        <f>IF(C125="","",N(D125)-N(E125)-N(F125)-N(G125))</f>
        <v/>
      </c>
      <c r="L125" s="13">
        <f>IF(OR(C125="",N(K125)&lt;=0,NOT(ISNUMBER(J125))),"",J125-TODAY())</f>
        <v/>
      </c>
      <c r="M125" s="12">
        <f>IF(C125="","",IF(N(K125)&lt;=0,"Sold out",IF(NOT(ISNUMBER(J125)),"In stock",IF(J125&lt;TODAY(),"Past its date",IF(J125-TODAY()&lt;=Settings!$C$5,"Use soon","In stock")))))</f>
        <v/>
      </c>
      <c r="N125" s="26">
        <f>IF(C125="","",N(D125)*Q125)</f>
        <v/>
      </c>
      <c r="O125" s="1" t="n"/>
      <c r="P125">
        <f>IF(C125="",0,IFERROR(N(INDEX(Products!$E$6:$E$45,MATCH(C125,Products!$B$6:$B$45,0))),0))</f>
        <v/>
      </c>
      <c r="Q125">
        <f>IF(C125="",0,IFERROR(N(INDEX(Products!$I$6:$I$45,MATCH(C125,Products!$B$6:$B$45,0))),0))</f>
        <v/>
      </c>
      <c r="R125">
        <f>IF(OR(C125="",NOT(ISNUMBER(B125))),"",YEAR(B125)*100+MONTH(B125))</f>
        <v/>
      </c>
      <c r="S125">
        <f>N(G125)*Q125</f>
        <v/>
      </c>
      <c r="T125">
        <f>IF(OR(M125="",M125="Sold out",NOT(ISNUMBER(J125))),"",J125*1000+ROW())</f>
        <v/>
      </c>
    </row>
    <row r="126">
      <c r="A126" s="1" t="n"/>
      <c r="B126" s="20" t="n"/>
      <c r="C126" s="21" t="n"/>
      <c r="D126" s="22" t="n"/>
      <c r="E126" s="22" t="n"/>
      <c r="F126" s="22" t="n"/>
      <c r="G126" s="22" t="n"/>
      <c r="H126" s="23" t="n"/>
      <c r="I126" s="24">
        <f>IF(OR(C126="",NOT(ISNUMBER(B126))),"",UPPER(IF(IFERROR(IF(INDEX(Products!$C$6:$C$45,MATCH(C126,Products!$B$6:$B$45,0))="","",INDEX(Products!$C$6:$C$45,MATCH(C126,Products!$B$6:$B$45,0))),"")="",LEFT(SUBSTITUTE(C126," ",""),3),IFERROR(IF(INDEX(Products!$C$6:$C$45,MATCH(C126,Products!$B$6:$B$45,0))="","",INDEX(Products!$C$6:$C$45,MATCH(C126,Products!$B$6:$B$45,0))),"")))&amp;"-"&amp;RIGHT(YEAR(B126),2)&amp;RIGHT("0"&amp;MONTH(B126),2)&amp;RIGHT("0"&amp;DAY(B126),2)&amp;"-"&amp;COUNTIFS(C$6:C126,C126,B$6:B126,B126))</f>
        <v/>
      </c>
      <c r="J126" s="14">
        <f>IF(OR(C126="",NOT(ISNUMBER(B126)),N(P126)=0),"",B126+P126)</f>
        <v/>
      </c>
      <c r="K126" s="25">
        <f>IF(C126="","",N(D126)-N(E126)-N(F126)-N(G126))</f>
        <v/>
      </c>
      <c r="L126" s="13">
        <f>IF(OR(C126="",N(K126)&lt;=0,NOT(ISNUMBER(J126))),"",J126-TODAY())</f>
        <v/>
      </c>
      <c r="M126" s="12">
        <f>IF(C126="","",IF(N(K126)&lt;=0,"Sold out",IF(NOT(ISNUMBER(J126)),"In stock",IF(J126&lt;TODAY(),"Past its date",IF(J126-TODAY()&lt;=Settings!$C$5,"Use soon","In stock")))))</f>
        <v/>
      </c>
      <c r="N126" s="26">
        <f>IF(C126="","",N(D126)*Q126)</f>
        <v/>
      </c>
      <c r="O126" s="1" t="n"/>
      <c r="P126">
        <f>IF(C126="",0,IFERROR(N(INDEX(Products!$E$6:$E$45,MATCH(C126,Products!$B$6:$B$45,0))),0))</f>
        <v/>
      </c>
      <c r="Q126">
        <f>IF(C126="",0,IFERROR(N(INDEX(Products!$I$6:$I$45,MATCH(C126,Products!$B$6:$B$45,0))),0))</f>
        <v/>
      </c>
      <c r="R126">
        <f>IF(OR(C126="",NOT(ISNUMBER(B126))),"",YEAR(B126)*100+MONTH(B126))</f>
        <v/>
      </c>
      <c r="S126">
        <f>N(G126)*Q126</f>
        <v/>
      </c>
      <c r="T126">
        <f>IF(OR(M126="",M126="Sold out",NOT(ISNUMBER(J126))),"",J126*1000+ROW())</f>
        <v/>
      </c>
    </row>
    <row r="127">
      <c r="A127" s="1" t="n"/>
      <c r="B127" s="20" t="n"/>
      <c r="C127" s="21" t="n"/>
      <c r="D127" s="22" t="n"/>
      <c r="E127" s="22" t="n"/>
      <c r="F127" s="22" t="n"/>
      <c r="G127" s="22" t="n"/>
      <c r="H127" s="23" t="n"/>
      <c r="I127" s="24">
        <f>IF(OR(C127="",NOT(ISNUMBER(B127))),"",UPPER(IF(IFERROR(IF(INDEX(Products!$C$6:$C$45,MATCH(C127,Products!$B$6:$B$45,0))="","",INDEX(Products!$C$6:$C$45,MATCH(C127,Products!$B$6:$B$45,0))),"")="",LEFT(SUBSTITUTE(C127," ",""),3),IFERROR(IF(INDEX(Products!$C$6:$C$45,MATCH(C127,Products!$B$6:$B$45,0))="","",INDEX(Products!$C$6:$C$45,MATCH(C127,Products!$B$6:$B$45,0))),"")))&amp;"-"&amp;RIGHT(YEAR(B127),2)&amp;RIGHT("0"&amp;MONTH(B127),2)&amp;RIGHT("0"&amp;DAY(B127),2)&amp;"-"&amp;COUNTIFS(C$6:C127,C127,B$6:B127,B127))</f>
        <v/>
      </c>
      <c r="J127" s="14">
        <f>IF(OR(C127="",NOT(ISNUMBER(B127)),N(P127)=0),"",B127+P127)</f>
        <v/>
      </c>
      <c r="K127" s="25">
        <f>IF(C127="","",N(D127)-N(E127)-N(F127)-N(G127))</f>
        <v/>
      </c>
      <c r="L127" s="13">
        <f>IF(OR(C127="",N(K127)&lt;=0,NOT(ISNUMBER(J127))),"",J127-TODAY())</f>
        <v/>
      </c>
      <c r="M127" s="12">
        <f>IF(C127="","",IF(N(K127)&lt;=0,"Sold out",IF(NOT(ISNUMBER(J127)),"In stock",IF(J127&lt;TODAY(),"Past its date",IF(J127-TODAY()&lt;=Settings!$C$5,"Use soon","In stock")))))</f>
        <v/>
      </c>
      <c r="N127" s="26">
        <f>IF(C127="","",N(D127)*Q127)</f>
        <v/>
      </c>
      <c r="O127" s="1" t="n"/>
      <c r="P127">
        <f>IF(C127="",0,IFERROR(N(INDEX(Products!$E$6:$E$45,MATCH(C127,Products!$B$6:$B$45,0))),0))</f>
        <v/>
      </c>
      <c r="Q127">
        <f>IF(C127="",0,IFERROR(N(INDEX(Products!$I$6:$I$45,MATCH(C127,Products!$B$6:$B$45,0))),0))</f>
        <v/>
      </c>
      <c r="R127">
        <f>IF(OR(C127="",NOT(ISNUMBER(B127))),"",YEAR(B127)*100+MONTH(B127))</f>
        <v/>
      </c>
      <c r="S127">
        <f>N(G127)*Q127</f>
        <v/>
      </c>
      <c r="T127">
        <f>IF(OR(M127="",M127="Sold out",NOT(ISNUMBER(J127))),"",J127*1000+ROW())</f>
        <v/>
      </c>
    </row>
    <row r="128">
      <c r="A128" s="1" t="n"/>
      <c r="B128" s="20" t="n"/>
      <c r="C128" s="21" t="n"/>
      <c r="D128" s="22" t="n"/>
      <c r="E128" s="22" t="n"/>
      <c r="F128" s="22" t="n"/>
      <c r="G128" s="22" t="n"/>
      <c r="H128" s="23" t="n"/>
      <c r="I128" s="24">
        <f>IF(OR(C128="",NOT(ISNUMBER(B128))),"",UPPER(IF(IFERROR(IF(INDEX(Products!$C$6:$C$45,MATCH(C128,Products!$B$6:$B$45,0))="","",INDEX(Products!$C$6:$C$45,MATCH(C128,Products!$B$6:$B$45,0))),"")="",LEFT(SUBSTITUTE(C128," ",""),3),IFERROR(IF(INDEX(Products!$C$6:$C$45,MATCH(C128,Products!$B$6:$B$45,0))="","",INDEX(Products!$C$6:$C$45,MATCH(C128,Products!$B$6:$B$45,0))),"")))&amp;"-"&amp;RIGHT(YEAR(B128),2)&amp;RIGHT("0"&amp;MONTH(B128),2)&amp;RIGHT("0"&amp;DAY(B128),2)&amp;"-"&amp;COUNTIFS(C$6:C128,C128,B$6:B128,B128))</f>
        <v/>
      </c>
      <c r="J128" s="14">
        <f>IF(OR(C128="",NOT(ISNUMBER(B128)),N(P128)=0),"",B128+P128)</f>
        <v/>
      </c>
      <c r="K128" s="25">
        <f>IF(C128="","",N(D128)-N(E128)-N(F128)-N(G128))</f>
        <v/>
      </c>
      <c r="L128" s="13">
        <f>IF(OR(C128="",N(K128)&lt;=0,NOT(ISNUMBER(J128))),"",J128-TODAY())</f>
        <v/>
      </c>
      <c r="M128" s="12">
        <f>IF(C128="","",IF(N(K128)&lt;=0,"Sold out",IF(NOT(ISNUMBER(J128)),"In stock",IF(J128&lt;TODAY(),"Past its date",IF(J128-TODAY()&lt;=Settings!$C$5,"Use soon","In stock")))))</f>
        <v/>
      </c>
      <c r="N128" s="26">
        <f>IF(C128="","",N(D128)*Q128)</f>
        <v/>
      </c>
      <c r="O128" s="1" t="n"/>
      <c r="P128">
        <f>IF(C128="",0,IFERROR(N(INDEX(Products!$E$6:$E$45,MATCH(C128,Products!$B$6:$B$45,0))),0))</f>
        <v/>
      </c>
      <c r="Q128">
        <f>IF(C128="",0,IFERROR(N(INDEX(Products!$I$6:$I$45,MATCH(C128,Products!$B$6:$B$45,0))),0))</f>
        <v/>
      </c>
      <c r="R128">
        <f>IF(OR(C128="",NOT(ISNUMBER(B128))),"",YEAR(B128)*100+MONTH(B128))</f>
        <v/>
      </c>
      <c r="S128">
        <f>N(G128)*Q128</f>
        <v/>
      </c>
      <c r="T128">
        <f>IF(OR(M128="",M128="Sold out",NOT(ISNUMBER(J128))),"",J128*1000+ROW())</f>
        <v/>
      </c>
    </row>
    <row r="129">
      <c r="A129" s="1" t="n"/>
      <c r="B129" s="20" t="n"/>
      <c r="C129" s="21" t="n"/>
      <c r="D129" s="22" t="n"/>
      <c r="E129" s="22" t="n"/>
      <c r="F129" s="22" t="n"/>
      <c r="G129" s="22" t="n"/>
      <c r="H129" s="23" t="n"/>
      <c r="I129" s="24">
        <f>IF(OR(C129="",NOT(ISNUMBER(B129))),"",UPPER(IF(IFERROR(IF(INDEX(Products!$C$6:$C$45,MATCH(C129,Products!$B$6:$B$45,0))="","",INDEX(Products!$C$6:$C$45,MATCH(C129,Products!$B$6:$B$45,0))),"")="",LEFT(SUBSTITUTE(C129," ",""),3),IFERROR(IF(INDEX(Products!$C$6:$C$45,MATCH(C129,Products!$B$6:$B$45,0))="","",INDEX(Products!$C$6:$C$45,MATCH(C129,Products!$B$6:$B$45,0))),"")))&amp;"-"&amp;RIGHT(YEAR(B129),2)&amp;RIGHT("0"&amp;MONTH(B129),2)&amp;RIGHT("0"&amp;DAY(B129),2)&amp;"-"&amp;COUNTIFS(C$6:C129,C129,B$6:B129,B129))</f>
        <v/>
      </c>
      <c r="J129" s="14">
        <f>IF(OR(C129="",NOT(ISNUMBER(B129)),N(P129)=0),"",B129+P129)</f>
        <v/>
      </c>
      <c r="K129" s="25">
        <f>IF(C129="","",N(D129)-N(E129)-N(F129)-N(G129))</f>
        <v/>
      </c>
      <c r="L129" s="13">
        <f>IF(OR(C129="",N(K129)&lt;=0,NOT(ISNUMBER(J129))),"",J129-TODAY())</f>
        <v/>
      </c>
      <c r="M129" s="12">
        <f>IF(C129="","",IF(N(K129)&lt;=0,"Sold out",IF(NOT(ISNUMBER(J129)),"In stock",IF(J129&lt;TODAY(),"Past its date",IF(J129-TODAY()&lt;=Settings!$C$5,"Use soon","In stock")))))</f>
        <v/>
      </c>
      <c r="N129" s="26">
        <f>IF(C129="","",N(D129)*Q129)</f>
        <v/>
      </c>
      <c r="O129" s="1" t="n"/>
      <c r="P129">
        <f>IF(C129="",0,IFERROR(N(INDEX(Products!$E$6:$E$45,MATCH(C129,Products!$B$6:$B$45,0))),0))</f>
        <v/>
      </c>
      <c r="Q129">
        <f>IF(C129="",0,IFERROR(N(INDEX(Products!$I$6:$I$45,MATCH(C129,Products!$B$6:$B$45,0))),0))</f>
        <v/>
      </c>
      <c r="R129">
        <f>IF(OR(C129="",NOT(ISNUMBER(B129))),"",YEAR(B129)*100+MONTH(B129))</f>
        <v/>
      </c>
      <c r="S129">
        <f>N(G129)*Q129</f>
        <v/>
      </c>
      <c r="T129">
        <f>IF(OR(M129="",M129="Sold out",NOT(ISNUMBER(J129))),"",J129*1000+ROW())</f>
        <v/>
      </c>
    </row>
    <row r="130">
      <c r="A130" s="1" t="n"/>
      <c r="B130" s="20" t="n"/>
      <c r="C130" s="21" t="n"/>
      <c r="D130" s="22" t="n"/>
      <c r="E130" s="22" t="n"/>
      <c r="F130" s="22" t="n"/>
      <c r="G130" s="22" t="n"/>
      <c r="H130" s="23" t="n"/>
      <c r="I130" s="24">
        <f>IF(OR(C130="",NOT(ISNUMBER(B130))),"",UPPER(IF(IFERROR(IF(INDEX(Products!$C$6:$C$45,MATCH(C130,Products!$B$6:$B$45,0))="","",INDEX(Products!$C$6:$C$45,MATCH(C130,Products!$B$6:$B$45,0))),"")="",LEFT(SUBSTITUTE(C130," ",""),3),IFERROR(IF(INDEX(Products!$C$6:$C$45,MATCH(C130,Products!$B$6:$B$45,0))="","",INDEX(Products!$C$6:$C$45,MATCH(C130,Products!$B$6:$B$45,0))),"")))&amp;"-"&amp;RIGHT(YEAR(B130),2)&amp;RIGHT("0"&amp;MONTH(B130),2)&amp;RIGHT("0"&amp;DAY(B130),2)&amp;"-"&amp;COUNTIFS(C$6:C130,C130,B$6:B130,B130))</f>
        <v/>
      </c>
      <c r="J130" s="14">
        <f>IF(OR(C130="",NOT(ISNUMBER(B130)),N(P130)=0),"",B130+P130)</f>
        <v/>
      </c>
      <c r="K130" s="25">
        <f>IF(C130="","",N(D130)-N(E130)-N(F130)-N(G130))</f>
        <v/>
      </c>
      <c r="L130" s="13">
        <f>IF(OR(C130="",N(K130)&lt;=0,NOT(ISNUMBER(J130))),"",J130-TODAY())</f>
        <v/>
      </c>
      <c r="M130" s="12">
        <f>IF(C130="","",IF(N(K130)&lt;=0,"Sold out",IF(NOT(ISNUMBER(J130)),"In stock",IF(J130&lt;TODAY(),"Past its date",IF(J130-TODAY()&lt;=Settings!$C$5,"Use soon","In stock")))))</f>
        <v/>
      </c>
      <c r="N130" s="26">
        <f>IF(C130="","",N(D130)*Q130)</f>
        <v/>
      </c>
      <c r="O130" s="1" t="n"/>
      <c r="P130">
        <f>IF(C130="",0,IFERROR(N(INDEX(Products!$E$6:$E$45,MATCH(C130,Products!$B$6:$B$45,0))),0))</f>
        <v/>
      </c>
      <c r="Q130">
        <f>IF(C130="",0,IFERROR(N(INDEX(Products!$I$6:$I$45,MATCH(C130,Products!$B$6:$B$45,0))),0))</f>
        <v/>
      </c>
      <c r="R130">
        <f>IF(OR(C130="",NOT(ISNUMBER(B130))),"",YEAR(B130)*100+MONTH(B130))</f>
        <v/>
      </c>
      <c r="S130">
        <f>N(G130)*Q130</f>
        <v/>
      </c>
      <c r="T130">
        <f>IF(OR(M130="",M130="Sold out",NOT(ISNUMBER(J130))),"",J130*1000+ROW())</f>
        <v/>
      </c>
    </row>
    <row r="131">
      <c r="A131" s="1" t="n"/>
      <c r="B131" s="20" t="n"/>
      <c r="C131" s="21" t="n"/>
      <c r="D131" s="22" t="n"/>
      <c r="E131" s="22" t="n"/>
      <c r="F131" s="22" t="n"/>
      <c r="G131" s="22" t="n"/>
      <c r="H131" s="23" t="n"/>
      <c r="I131" s="24">
        <f>IF(OR(C131="",NOT(ISNUMBER(B131))),"",UPPER(IF(IFERROR(IF(INDEX(Products!$C$6:$C$45,MATCH(C131,Products!$B$6:$B$45,0))="","",INDEX(Products!$C$6:$C$45,MATCH(C131,Products!$B$6:$B$45,0))),"")="",LEFT(SUBSTITUTE(C131," ",""),3),IFERROR(IF(INDEX(Products!$C$6:$C$45,MATCH(C131,Products!$B$6:$B$45,0))="","",INDEX(Products!$C$6:$C$45,MATCH(C131,Products!$B$6:$B$45,0))),"")))&amp;"-"&amp;RIGHT(YEAR(B131),2)&amp;RIGHT("0"&amp;MONTH(B131),2)&amp;RIGHT("0"&amp;DAY(B131),2)&amp;"-"&amp;COUNTIFS(C$6:C131,C131,B$6:B131,B131))</f>
        <v/>
      </c>
      <c r="J131" s="14">
        <f>IF(OR(C131="",NOT(ISNUMBER(B131)),N(P131)=0),"",B131+P131)</f>
        <v/>
      </c>
      <c r="K131" s="25">
        <f>IF(C131="","",N(D131)-N(E131)-N(F131)-N(G131))</f>
        <v/>
      </c>
      <c r="L131" s="13">
        <f>IF(OR(C131="",N(K131)&lt;=0,NOT(ISNUMBER(J131))),"",J131-TODAY())</f>
        <v/>
      </c>
      <c r="M131" s="12">
        <f>IF(C131="","",IF(N(K131)&lt;=0,"Sold out",IF(NOT(ISNUMBER(J131)),"In stock",IF(J131&lt;TODAY(),"Past its date",IF(J131-TODAY()&lt;=Settings!$C$5,"Use soon","In stock")))))</f>
        <v/>
      </c>
      <c r="N131" s="26">
        <f>IF(C131="","",N(D131)*Q131)</f>
        <v/>
      </c>
      <c r="O131" s="1" t="n"/>
      <c r="P131">
        <f>IF(C131="",0,IFERROR(N(INDEX(Products!$E$6:$E$45,MATCH(C131,Products!$B$6:$B$45,0))),0))</f>
        <v/>
      </c>
      <c r="Q131">
        <f>IF(C131="",0,IFERROR(N(INDEX(Products!$I$6:$I$45,MATCH(C131,Products!$B$6:$B$45,0))),0))</f>
        <v/>
      </c>
      <c r="R131">
        <f>IF(OR(C131="",NOT(ISNUMBER(B131))),"",YEAR(B131)*100+MONTH(B131))</f>
        <v/>
      </c>
      <c r="S131">
        <f>N(G131)*Q131</f>
        <v/>
      </c>
      <c r="T131">
        <f>IF(OR(M131="",M131="Sold out",NOT(ISNUMBER(J131))),"",J131*1000+ROW())</f>
        <v/>
      </c>
    </row>
    <row r="132">
      <c r="A132" s="1" t="n"/>
      <c r="B132" s="20" t="n"/>
      <c r="C132" s="21" t="n"/>
      <c r="D132" s="22" t="n"/>
      <c r="E132" s="22" t="n"/>
      <c r="F132" s="22" t="n"/>
      <c r="G132" s="22" t="n"/>
      <c r="H132" s="23" t="n"/>
      <c r="I132" s="24">
        <f>IF(OR(C132="",NOT(ISNUMBER(B132))),"",UPPER(IF(IFERROR(IF(INDEX(Products!$C$6:$C$45,MATCH(C132,Products!$B$6:$B$45,0))="","",INDEX(Products!$C$6:$C$45,MATCH(C132,Products!$B$6:$B$45,0))),"")="",LEFT(SUBSTITUTE(C132," ",""),3),IFERROR(IF(INDEX(Products!$C$6:$C$45,MATCH(C132,Products!$B$6:$B$45,0))="","",INDEX(Products!$C$6:$C$45,MATCH(C132,Products!$B$6:$B$45,0))),"")))&amp;"-"&amp;RIGHT(YEAR(B132),2)&amp;RIGHT("0"&amp;MONTH(B132),2)&amp;RIGHT("0"&amp;DAY(B132),2)&amp;"-"&amp;COUNTIFS(C$6:C132,C132,B$6:B132,B132))</f>
        <v/>
      </c>
      <c r="J132" s="14">
        <f>IF(OR(C132="",NOT(ISNUMBER(B132)),N(P132)=0),"",B132+P132)</f>
        <v/>
      </c>
      <c r="K132" s="25">
        <f>IF(C132="","",N(D132)-N(E132)-N(F132)-N(G132))</f>
        <v/>
      </c>
      <c r="L132" s="13">
        <f>IF(OR(C132="",N(K132)&lt;=0,NOT(ISNUMBER(J132))),"",J132-TODAY())</f>
        <v/>
      </c>
      <c r="M132" s="12">
        <f>IF(C132="","",IF(N(K132)&lt;=0,"Sold out",IF(NOT(ISNUMBER(J132)),"In stock",IF(J132&lt;TODAY(),"Past its date",IF(J132-TODAY()&lt;=Settings!$C$5,"Use soon","In stock")))))</f>
        <v/>
      </c>
      <c r="N132" s="26">
        <f>IF(C132="","",N(D132)*Q132)</f>
        <v/>
      </c>
      <c r="O132" s="1" t="n"/>
      <c r="P132">
        <f>IF(C132="",0,IFERROR(N(INDEX(Products!$E$6:$E$45,MATCH(C132,Products!$B$6:$B$45,0))),0))</f>
        <v/>
      </c>
      <c r="Q132">
        <f>IF(C132="",0,IFERROR(N(INDEX(Products!$I$6:$I$45,MATCH(C132,Products!$B$6:$B$45,0))),0))</f>
        <v/>
      </c>
      <c r="R132">
        <f>IF(OR(C132="",NOT(ISNUMBER(B132))),"",YEAR(B132)*100+MONTH(B132))</f>
        <v/>
      </c>
      <c r="S132">
        <f>N(G132)*Q132</f>
        <v/>
      </c>
      <c r="T132">
        <f>IF(OR(M132="",M132="Sold out",NOT(ISNUMBER(J132))),"",J132*1000+ROW())</f>
        <v/>
      </c>
    </row>
    <row r="133">
      <c r="A133" s="1" t="n"/>
      <c r="B133" s="20" t="n"/>
      <c r="C133" s="21" t="n"/>
      <c r="D133" s="22" t="n"/>
      <c r="E133" s="22" t="n"/>
      <c r="F133" s="22" t="n"/>
      <c r="G133" s="22" t="n"/>
      <c r="H133" s="23" t="n"/>
      <c r="I133" s="24">
        <f>IF(OR(C133="",NOT(ISNUMBER(B133))),"",UPPER(IF(IFERROR(IF(INDEX(Products!$C$6:$C$45,MATCH(C133,Products!$B$6:$B$45,0))="","",INDEX(Products!$C$6:$C$45,MATCH(C133,Products!$B$6:$B$45,0))),"")="",LEFT(SUBSTITUTE(C133," ",""),3),IFERROR(IF(INDEX(Products!$C$6:$C$45,MATCH(C133,Products!$B$6:$B$45,0))="","",INDEX(Products!$C$6:$C$45,MATCH(C133,Products!$B$6:$B$45,0))),"")))&amp;"-"&amp;RIGHT(YEAR(B133),2)&amp;RIGHT("0"&amp;MONTH(B133),2)&amp;RIGHT("0"&amp;DAY(B133),2)&amp;"-"&amp;COUNTIFS(C$6:C133,C133,B$6:B133,B133))</f>
        <v/>
      </c>
      <c r="J133" s="14">
        <f>IF(OR(C133="",NOT(ISNUMBER(B133)),N(P133)=0),"",B133+P133)</f>
        <v/>
      </c>
      <c r="K133" s="25">
        <f>IF(C133="","",N(D133)-N(E133)-N(F133)-N(G133))</f>
        <v/>
      </c>
      <c r="L133" s="13">
        <f>IF(OR(C133="",N(K133)&lt;=0,NOT(ISNUMBER(J133))),"",J133-TODAY())</f>
        <v/>
      </c>
      <c r="M133" s="12">
        <f>IF(C133="","",IF(N(K133)&lt;=0,"Sold out",IF(NOT(ISNUMBER(J133)),"In stock",IF(J133&lt;TODAY(),"Past its date",IF(J133-TODAY()&lt;=Settings!$C$5,"Use soon","In stock")))))</f>
        <v/>
      </c>
      <c r="N133" s="26">
        <f>IF(C133="","",N(D133)*Q133)</f>
        <v/>
      </c>
      <c r="O133" s="1" t="n"/>
      <c r="P133">
        <f>IF(C133="",0,IFERROR(N(INDEX(Products!$E$6:$E$45,MATCH(C133,Products!$B$6:$B$45,0))),0))</f>
        <v/>
      </c>
      <c r="Q133">
        <f>IF(C133="",0,IFERROR(N(INDEX(Products!$I$6:$I$45,MATCH(C133,Products!$B$6:$B$45,0))),0))</f>
        <v/>
      </c>
      <c r="R133">
        <f>IF(OR(C133="",NOT(ISNUMBER(B133))),"",YEAR(B133)*100+MONTH(B133))</f>
        <v/>
      </c>
      <c r="S133">
        <f>N(G133)*Q133</f>
        <v/>
      </c>
      <c r="T133">
        <f>IF(OR(M133="",M133="Sold out",NOT(ISNUMBER(J133))),"",J133*1000+ROW())</f>
        <v/>
      </c>
    </row>
    <row r="134">
      <c r="A134" s="1" t="n"/>
      <c r="B134" s="20" t="n"/>
      <c r="C134" s="21" t="n"/>
      <c r="D134" s="22" t="n"/>
      <c r="E134" s="22" t="n"/>
      <c r="F134" s="22" t="n"/>
      <c r="G134" s="22" t="n"/>
      <c r="H134" s="23" t="n"/>
      <c r="I134" s="24">
        <f>IF(OR(C134="",NOT(ISNUMBER(B134))),"",UPPER(IF(IFERROR(IF(INDEX(Products!$C$6:$C$45,MATCH(C134,Products!$B$6:$B$45,0))="","",INDEX(Products!$C$6:$C$45,MATCH(C134,Products!$B$6:$B$45,0))),"")="",LEFT(SUBSTITUTE(C134," ",""),3),IFERROR(IF(INDEX(Products!$C$6:$C$45,MATCH(C134,Products!$B$6:$B$45,0))="","",INDEX(Products!$C$6:$C$45,MATCH(C134,Products!$B$6:$B$45,0))),"")))&amp;"-"&amp;RIGHT(YEAR(B134),2)&amp;RIGHT("0"&amp;MONTH(B134),2)&amp;RIGHT("0"&amp;DAY(B134),2)&amp;"-"&amp;COUNTIFS(C$6:C134,C134,B$6:B134,B134))</f>
        <v/>
      </c>
      <c r="J134" s="14">
        <f>IF(OR(C134="",NOT(ISNUMBER(B134)),N(P134)=0),"",B134+P134)</f>
        <v/>
      </c>
      <c r="K134" s="25">
        <f>IF(C134="","",N(D134)-N(E134)-N(F134)-N(G134))</f>
        <v/>
      </c>
      <c r="L134" s="13">
        <f>IF(OR(C134="",N(K134)&lt;=0,NOT(ISNUMBER(J134))),"",J134-TODAY())</f>
        <v/>
      </c>
      <c r="M134" s="12">
        <f>IF(C134="","",IF(N(K134)&lt;=0,"Sold out",IF(NOT(ISNUMBER(J134)),"In stock",IF(J134&lt;TODAY(),"Past its date",IF(J134-TODAY()&lt;=Settings!$C$5,"Use soon","In stock")))))</f>
        <v/>
      </c>
      <c r="N134" s="26">
        <f>IF(C134="","",N(D134)*Q134)</f>
        <v/>
      </c>
      <c r="O134" s="1" t="n"/>
      <c r="P134">
        <f>IF(C134="",0,IFERROR(N(INDEX(Products!$E$6:$E$45,MATCH(C134,Products!$B$6:$B$45,0))),0))</f>
        <v/>
      </c>
      <c r="Q134">
        <f>IF(C134="",0,IFERROR(N(INDEX(Products!$I$6:$I$45,MATCH(C134,Products!$B$6:$B$45,0))),0))</f>
        <v/>
      </c>
      <c r="R134">
        <f>IF(OR(C134="",NOT(ISNUMBER(B134))),"",YEAR(B134)*100+MONTH(B134))</f>
        <v/>
      </c>
      <c r="S134">
        <f>N(G134)*Q134</f>
        <v/>
      </c>
      <c r="T134">
        <f>IF(OR(M134="",M134="Sold out",NOT(ISNUMBER(J134))),"",J134*1000+ROW())</f>
        <v/>
      </c>
    </row>
    <row r="135">
      <c r="A135" s="1" t="n"/>
      <c r="B135" s="20" t="n"/>
      <c r="C135" s="21" t="n"/>
      <c r="D135" s="22" t="n"/>
      <c r="E135" s="22" t="n"/>
      <c r="F135" s="22" t="n"/>
      <c r="G135" s="22" t="n"/>
      <c r="H135" s="23" t="n"/>
      <c r="I135" s="24">
        <f>IF(OR(C135="",NOT(ISNUMBER(B135))),"",UPPER(IF(IFERROR(IF(INDEX(Products!$C$6:$C$45,MATCH(C135,Products!$B$6:$B$45,0))="","",INDEX(Products!$C$6:$C$45,MATCH(C135,Products!$B$6:$B$45,0))),"")="",LEFT(SUBSTITUTE(C135," ",""),3),IFERROR(IF(INDEX(Products!$C$6:$C$45,MATCH(C135,Products!$B$6:$B$45,0))="","",INDEX(Products!$C$6:$C$45,MATCH(C135,Products!$B$6:$B$45,0))),"")))&amp;"-"&amp;RIGHT(YEAR(B135),2)&amp;RIGHT("0"&amp;MONTH(B135),2)&amp;RIGHT("0"&amp;DAY(B135),2)&amp;"-"&amp;COUNTIFS(C$6:C135,C135,B$6:B135,B135))</f>
        <v/>
      </c>
      <c r="J135" s="14">
        <f>IF(OR(C135="",NOT(ISNUMBER(B135)),N(P135)=0),"",B135+P135)</f>
        <v/>
      </c>
      <c r="K135" s="25">
        <f>IF(C135="","",N(D135)-N(E135)-N(F135)-N(G135))</f>
        <v/>
      </c>
      <c r="L135" s="13">
        <f>IF(OR(C135="",N(K135)&lt;=0,NOT(ISNUMBER(J135))),"",J135-TODAY())</f>
        <v/>
      </c>
      <c r="M135" s="12">
        <f>IF(C135="","",IF(N(K135)&lt;=0,"Sold out",IF(NOT(ISNUMBER(J135)),"In stock",IF(J135&lt;TODAY(),"Past its date",IF(J135-TODAY()&lt;=Settings!$C$5,"Use soon","In stock")))))</f>
        <v/>
      </c>
      <c r="N135" s="26">
        <f>IF(C135="","",N(D135)*Q135)</f>
        <v/>
      </c>
      <c r="O135" s="1" t="n"/>
      <c r="P135">
        <f>IF(C135="",0,IFERROR(N(INDEX(Products!$E$6:$E$45,MATCH(C135,Products!$B$6:$B$45,0))),0))</f>
        <v/>
      </c>
      <c r="Q135">
        <f>IF(C135="",0,IFERROR(N(INDEX(Products!$I$6:$I$45,MATCH(C135,Products!$B$6:$B$45,0))),0))</f>
        <v/>
      </c>
      <c r="R135">
        <f>IF(OR(C135="",NOT(ISNUMBER(B135))),"",YEAR(B135)*100+MONTH(B135))</f>
        <v/>
      </c>
      <c r="S135">
        <f>N(G135)*Q135</f>
        <v/>
      </c>
      <c r="T135">
        <f>IF(OR(M135="",M135="Sold out",NOT(ISNUMBER(J135))),"",J135*1000+ROW())</f>
        <v/>
      </c>
    </row>
    <row r="136">
      <c r="A136" s="1" t="n"/>
      <c r="B136" s="20" t="n"/>
      <c r="C136" s="21" t="n"/>
      <c r="D136" s="22" t="n"/>
      <c r="E136" s="22" t="n"/>
      <c r="F136" s="22" t="n"/>
      <c r="G136" s="22" t="n"/>
      <c r="H136" s="23" t="n"/>
      <c r="I136" s="24">
        <f>IF(OR(C136="",NOT(ISNUMBER(B136))),"",UPPER(IF(IFERROR(IF(INDEX(Products!$C$6:$C$45,MATCH(C136,Products!$B$6:$B$45,0))="","",INDEX(Products!$C$6:$C$45,MATCH(C136,Products!$B$6:$B$45,0))),"")="",LEFT(SUBSTITUTE(C136," ",""),3),IFERROR(IF(INDEX(Products!$C$6:$C$45,MATCH(C136,Products!$B$6:$B$45,0))="","",INDEX(Products!$C$6:$C$45,MATCH(C136,Products!$B$6:$B$45,0))),"")))&amp;"-"&amp;RIGHT(YEAR(B136),2)&amp;RIGHT("0"&amp;MONTH(B136),2)&amp;RIGHT("0"&amp;DAY(B136),2)&amp;"-"&amp;COUNTIFS(C$6:C136,C136,B$6:B136,B136))</f>
        <v/>
      </c>
      <c r="J136" s="14">
        <f>IF(OR(C136="",NOT(ISNUMBER(B136)),N(P136)=0),"",B136+P136)</f>
        <v/>
      </c>
      <c r="K136" s="25">
        <f>IF(C136="","",N(D136)-N(E136)-N(F136)-N(G136))</f>
        <v/>
      </c>
      <c r="L136" s="13">
        <f>IF(OR(C136="",N(K136)&lt;=0,NOT(ISNUMBER(J136))),"",J136-TODAY())</f>
        <v/>
      </c>
      <c r="M136" s="12">
        <f>IF(C136="","",IF(N(K136)&lt;=0,"Sold out",IF(NOT(ISNUMBER(J136)),"In stock",IF(J136&lt;TODAY(),"Past its date",IF(J136-TODAY()&lt;=Settings!$C$5,"Use soon","In stock")))))</f>
        <v/>
      </c>
      <c r="N136" s="26">
        <f>IF(C136="","",N(D136)*Q136)</f>
        <v/>
      </c>
      <c r="O136" s="1" t="n"/>
      <c r="P136">
        <f>IF(C136="",0,IFERROR(N(INDEX(Products!$E$6:$E$45,MATCH(C136,Products!$B$6:$B$45,0))),0))</f>
        <v/>
      </c>
      <c r="Q136">
        <f>IF(C136="",0,IFERROR(N(INDEX(Products!$I$6:$I$45,MATCH(C136,Products!$B$6:$B$45,0))),0))</f>
        <v/>
      </c>
      <c r="R136">
        <f>IF(OR(C136="",NOT(ISNUMBER(B136))),"",YEAR(B136)*100+MONTH(B136))</f>
        <v/>
      </c>
      <c r="S136">
        <f>N(G136)*Q136</f>
        <v/>
      </c>
      <c r="T136">
        <f>IF(OR(M136="",M136="Sold out",NOT(ISNUMBER(J136))),"",J136*1000+ROW())</f>
        <v/>
      </c>
    </row>
    <row r="137">
      <c r="A137" s="1" t="n"/>
      <c r="B137" s="20" t="n"/>
      <c r="C137" s="21" t="n"/>
      <c r="D137" s="22" t="n"/>
      <c r="E137" s="22" t="n"/>
      <c r="F137" s="22" t="n"/>
      <c r="G137" s="22" t="n"/>
      <c r="H137" s="23" t="n"/>
      <c r="I137" s="24">
        <f>IF(OR(C137="",NOT(ISNUMBER(B137))),"",UPPER(IF(IFERROR(IF(INDEX(Products!$C$6:$C$45,MATCH(C137,Products!$B$6:$B$45,0))="","",INDEX(Products!$C$6:$C$45,MATCH(C137,Products!$B$6:$B$45,0))),"")="",LEFT(SUBSTITUTE(C137," ",""),3),IFERROR(IF(INDEX(Products!$C$6:$C$45,MATCH(C137,Products!$B$6:$B$45,0))="","",INDEX(Products!$C$6:$C$45,MATCH(C137,Products!$B$6:$B$45,0))),"")))&amp;"-"&amp;RIGHT(YEAR(B137),2)&amp;RIGHT("0"&amp;MONTH(B137),2)&amp;RIGHT("0"&amp;DAY(B137),2)&amp;"-"&amp;COUNTIFS(C$6:C137,C137,B$6:B137,B137))</f>
        <v/>
      </c>
      <c r="J137" s="14">
        <f>IF(OR(C137="",NOT(ISNUMBER(B137)),N(P137)=0),"",B137+P137)</f>
        <v/>
      </c>
      <c r="K137" s="25">
        <f>IF(C137="","",N(D137)-N(E137)-N(F137)-N(G137))</f>
        <v/>
      </c>
      <c r="L137" s="13">
        <f>IF(OR(C137="",N(K137)&lt;=0,NOT(ISNUMBER(J137))),"",J137-TODAY())</f>
        <v/>
      </c>
      <c r="M137" s="12">
        <f>IF(C137="","",IF(N(K137)&lt;=0,"Sold out",IF(NOT(ISNUMBER(J137)),"In stock",IF(J137&lt;TODAY(),"Past its date",IF(J137-TODAY()&lt;=Settings!$C$5,"Use soon","In stock")))))</f>
        <v/>
      </c>
      <c r="N137" s="26">
        <f>IF(C137="","",N(D137)*Q137)</f>
        <v/>
      </c>
      <c r="O137" s="1" t="n"/>
      <c r="P137">
        <f>IF(C137="",0,IFERROR(N(INDEX(Products!$E$6:$E$45,MATCH(C137,Products!$B$6:$B$45,0))),0))</f>
        <v/>
      </c>
      <c r="Q137">
        <f>IF(C137="",0,IFERROR(N(INDEX(Products!$I$6:$I$45,MATCH(C137,Products!$B$6:$B$45,0))),0))</f>
        <v/>
      </c>
      <c r="R137">
        <f>IF(OR(C137="",NOT(ISNUMBER(B137))),"",YEAR(B137)*100+MONTH(B137))</f>
        <v/>
      </c>
      <c r="S137">
        <f>N(G137)*Q137</f>
        <v/>
      </c>
      <c r="T137">
        <f>IF(OR(M137="",M137="Sold out",NOT(ISNUMBER(J137))),"",J137*1000+ROW())</f>
        <v/>
      </c>
    </row>
    <row r="138">
      <c r="A138" s="1" t="n"/>
      <c r="B138" s="20" t="n"/>
      <c r="C138" s="21" t="n"/>
      <c r="D138" s="22" t="n"/>
      <c r="E138" s="22" t="n"/>
      <c r="F138" s="22" t="n"/>
      <c r="G138" s="22" t="n"/>
      <c r="H138" s="23" t="n"/>
      <c r="I138" s="24">
        <f>IF(OR(C138="",NOT(ISNUMBER(B138))),"",UPPER(IF(IFERROR(IF(INDEX(Products!$C$6:$C$45,MATCH(C138,Products!$B$6:$B$45,0))="","",INDEX(Products!$C$6:$C$45,MATCH(C138,Products!$B$6:$B$45,0))),"")="",LEFT(SUBSTITUTE(C138," ",""),3),IFERROR(IF(INDEX(Products!$C$6:$C$45,MATCH(C138,Products!$B$6:$B$45,0))="","",INDEX(Products!$C$6:$C$45,MATCH(C138,Products!$B$6:$B$45,0))),"")))&amp;"-"&amp;RIGHT(YEAR(B138),2)&amp;RIGHT("0"&amp;MONTH(B138),2)&amp;RIGHT("0"&amp;DAY(B138),2)&amp;"-"&amp;COUNTIFS(C$6:C138,C138,B$6:B138,B138))</f>
        <v/>
      </c>
      <c r="J138" s="14">
        <f>IF(OR(C138="",NOT(ISNUMBER(B138)),N(P138)=0),"",B138+P138)</f>
        <v/>
      </c>
      <c r="K138" s="25">
        <f>IF(C138="","",N(D138)-N(E138)-N(F138)-N(G138))</f>
        <v/>
      </c>
      <c r="L138" s="13">
        <f>IF(OR(C138="",N(K138)&lt;=0,NOT(ISNUMBER(J138))),"",J138-TODAY())</f>
        <v/>
      </c>
      <c r="M138" s="12">
        <f>IF(C138="","",IF(N(K138)&lt;=0,"Sold out",IF(NOT(ISNUMBER(J138)),"In stock",IF(J138&lt;TODAY(),"Past its date",IF(J138-TODAY()&lt;=Settings!$C$5,"Use soon","In stock")))))</f>
        <v/>
      </c>
      <c r="N138" s="26">
        <f>IF(C138="","",N(D138)*Q138)</f>
        <v/>
      </c>
      <c r="O138" s="1" t="n"/>
      <c r="P138">
        <f>IF(C138="",0,IFERROR(N(INDEX(Products!$E$6:$E$45,MATCH(C138,Products!$B$6:$B$45,0))),0))</f>
        <v/>
      </c>
      <c r="Q138">
        <f>IF(C138="",0,IFERROR(N(INDEX(Products!$I$6:$I$45,MATCH(C138,Products!$B$6:$B$45,0))),0))</f>
        <v/>
      </c>
      <c r="R138">
        <f>IF(OR(C138="",NOT(ISNUMBER(B138))),"",YEAR(B138)*100+MONTH(B138))</f>
        <v/>
      </c>
      <c r="S138">
        <f>N(G138)*Q138</f>
        <v/>
      </c>
      <c r="T138">
        <f>IF(OR(M138="",M138="Sold out",NOT(ISNUMBER(J138))),"",J138*1000+ROW())</f>
        <v/>
      </c>
    </row>
    <row r="139">
      <c r="A139" s="1" t="n"/>
      <c r="B139" s="20" t="n"/>
      <c r="C139" s="21" t="n"/>
      <c r="D139" s="22" t="n"/>
      <c r="E139" s="22" t="n"/>
      <c r="F139" s="22" t="n"/>
      <c r="G139" s="22" t="n"/>
      <c r="H139" s="23" t="n"/>
      <c r="I139" s="24">
        <f>IF(OR(C139="",NOT(ISNUMBER(B139))),"",UPPER(IF(IFERROR(IF(INDEX(Products!$C$6:$C$45,MATCH(C139,Products!$B$6:$B$45,0))="","",INDEX(Products!$C$6:$C$45,MATCH(C139,Products!$B$6:$B$45,0))),"")="",LEFT(SUBSTITUTE(C139," ",""),3),IFERROR(IF(INDEX(Products!$C$6:$C$45,MATCH(C139,Products!$B$6:$B$45,0))="","",INDEX(Products!$C$6:$C$45,MATCH(C139,Products!$B$6:$B$45,0))),"")))&amp;"-"&amp;RIGHT(YEAR(B139),2)&amp;RIGHT("0"&amp;MONTH(B139),2)&amp;RIGHT("0"&amp;DAY(B139),2)&amp;"-"&amp;COUNTIFS(C$6:C139,C139,B$6:B139,B139))</f>
        <v/>
      </c>
      <c r="J139" s="14">
        <f>IF(OR(C139="",NOT(ISNUMBER(B139)),N(P139)=0),"",B139+P139)</f>
        <v/>
      </c>
      <c r="K139" s="25">
        <f>IF(C139="","",N(D139)-N(E139)-N(F139)-N(G139))</f>
        <v/>
      </c>
      <c r="L139" s="13">
        <f>IF(OR(C139="",N(K139)&lt;=0,NOT(ISNUMBER(J139))),"",J139-TODAY())</f>
        <v/>
      </c>
      <c r="M139" s="12">
        <f>IF(C139="","",IF(N(K139)&lt;=0,"Sold out",IF(NOT(ISNUMBER(J139)),"In stock",IF(J139&lt;TODAY(),"Past its date",IF(J139-TODAY()&lt;=Settings!$C$5,"Use soon","In stock")))))</f>
        <v/>
      </c>
      <c r="N139" s="26">
        <f>IF(C139="","",N(D139)*Q139)</f>
        <v/>
      </c>
      <c r="O139" s="1" t="n"/>
      <c r="P139">
        <f>IF(C139="",0,IFERROR(N(INDEX(Products!$E$6:$E$45,MATCH(C139,Products!$B$6:$B$45,0))),0))</f>
        <v/>
      </c>
      <c r="Q139">
        <f>IF(C139="",0,IFERROR(N(INDEX(Products!$I$6:$I$45,MATCH(C139,Products!$B$6:$B$45,0))),0))</f>
        <v/>
      </c>
      <c r="R139">
        <f>IF(OR(C139="",NOT(ISNUMBER(B139))),"",YEAR(B139)*100+MONTH(B139))</f>
        <v/>
      </c>
      <c r="S139">
        <f>N(G139)*Q139</f>
        <v/>
      </c>
      <c r="T139">
        <f>IF(OR(M139="",M139="Sold out",NOT(ISNUMBER(J139))),"",J139*1000+ROW())</f>
        <v/>
      </c>
    </row>
    <row r="140">
      <c r="A140" s="1" t="n"/>
      <c r="B140" s="20" t="n"/>
      <c r="C140" s="21" t="n"/>
      <c r="D140" s="22" t="n"/>
      <c r="E140" s="22" t="n"/>
      <c r="F140" s="22" t="n"/>
      <c r="G140" s="22" t="n"/>
      <c r="H140" s="23" t="n"/>
      <c r="I140" s="24">
        <f>IF(OR(C140="",NOT(ISNUMBER(B140))),"",UPPER(IF(IFERROR(IF(INDEX(Products!$C$6:$C$45,MATCH(C140,Products!$B$6:$B$45,0))="","",INDEX(Products!$C$6:$C$45,MATCH(C140,Products!$B$6:$B$45,0))),"")="",LEFT(SUBSTITUTE(C140," ",""),3),IFERROR(IF(INDEX(Products!$C$6:$C$45,MATCH(C140,Products!$B$6:$B$45,0))="","",INDEX(Products!$C$6:$C$45,MATCH(C140,Products!$B$6:$B$45,0))),"")))&amp;"-"&amp;RIGHT(YEAR(B140),2)&amp;RIGHT("0"&amp;MONTH(B140),2)&amp;RIGHT("0"&amp;DAY(B140),2)&amp;"-"&amp;COUNTIFS(C$6:C140,C140,B$6:B140,B140))</f>
        <v/>
      </c>
      <c r="J140" s="14">
        <f>IF(OR(C140="",NOT(ISNUMBER(B140)),N(P140)=0),"",B140+P140)</f>
        <v/>
      </c>
      <c r="K140" s="25">
        <f>IF(C140="","",N(D140)-N(E140)-N(F140)-N(G140))</f>
        <v/>
      </c>
      <c r="L140" s="13">
        <f>IF(OR(C140="",N(K140)&lt;=0,NOT(ISNUMBER(J140))),"",J140-TODAY())</f>
        <v/>
      </c>
      <c r="M140" s="12">
        <f>IF(C140="","",IF(N(K140)&lt;=0,"Sold out",IF(NOT(ISNUMBER(J140)),"In stock",IF(J140&lt;TODAY(),"Past its date",IF(J140-TODAY()&lt;=Settings!$C$5,"Use soon","In stock")))))</f>
        <v/>
      </c>
      <c r="N140" s="26">
        <f>IF(C140="","",N(D140)*Q140)</f>
        <v/>
      </c>
      <c r="O140" s="1" t="n"/>
      <c r="P140">
        <f>IF(C140="",0,IFERROR(N(INDEX(Products!$E$6:$E$45,MATCH(C140,Products!$B$6:$B$45,0))),0))</f>
        <v/>
      </c>
      <c r="Q140">
        <f>IF(C140="",0,IFERROR(N(INDEX(Products!$I$6:$I$45,MATCH(C140,Products!$B$6:$B$45,0))),0))</f>
        <v/>
      </c>
      <c r="R140">
        <f>IF(OR(C140="",NOT(ISNUMBER(B140))),"",YEAR(B140)*100+MONTH(B140))</f>
        <v/>
      </c>
      <c r="S140">
        <f>N(G140)*Q140</f>
        <v/>
      </c>
      <c r="T140">
        <f>IF(OR(M140="",M140="Sold out",NOT(ISNUMBER(J140))),"",J140*1000+ROW())</f>
        <v/>
      </c>
    </row>
    <row r="141">
      <c r="A141" s="1" t="n"/>
      <c r="B141" s="20" t="n"/>
      <c r="C141" s="21" t="n"/>
      <c r="D141" s="22" t="n"/>
      <c r="E141" s="22" t="n"/>
      <c r="F141" s="22" t="n"/>
      <c r="G141" s="22" t="n"/>
      <c r="H141" s="23" t="n"/>
      <c r="I141" s="24">
        <f>IF(OR(C141="",NOT(ISNUMBER(B141))),"",UPPER(IF(IFERROR(IF(INDEX(Products!$C$6:$C$45,MATCH(C141,Products!$B$6:$B$45,0))="","",INDEX(Products!$C$6:$C$45,MATCH(C141,Products!$B$6:$B$45,0))),"")="",LEFT(SUBSTITUTE(C141," ",""),3),IFERROR(IF(INDEX(Products!$C$6:$C$45,MATCH(C141,Products!$B$6:$B$45,0))="","",INDEX(Products!$C$6:$C$45,MATCH(C141,Products!$B$6:$B$45,0))),"")))&amp;"-"&amp;RIGHT(YEAR(B141),2)&amp;RIGHT("0"&amp;MONTH(B141),2)&amp;RIGHT("0"&amp;DAY(B141),2)&amp;"-"&amp;COUNTIFS(C$6:C141,C141,B$6:B141,B141))</f>
        <v/>
      </c>
      <c r="J141" s="14">
        <f>IF(OR(C141="",NOT(ISNUMBER(B141)),N(P141)=0),"",B141+P141)</f>
        <v/>
      </c>
      <c r="K141" s="25">
        <f>IF(C141="","",N(D141)-N(E141)-N(F141)-N(G141))</f>
        <v/>
      </c>
      <c r="L141" s="13">
        <f>IF(OR(C141="",N(K141)&lt;=0,NOT(ISNUMBER(J141))),"",J141-TODAY())</f>
        <v/>
      </c>
      <c r="M141" s="12">
        <f>IF(C141="","",IF(N(K141)&lt;=0,"Sold out",IF(NOT(ISNUMBER(J141)),"In stock",IF(J141&lt;TODAY(),"Past its date",IF(J141-TODAY()&lt;=Settings!$C$5,"Use soon","In stock")))))</f>
        <v/>
      </c>
      <c r="N141" s="26">
        <f>IF(C141="","",N(D141)*Q141)</f>
        <v/>
      </c>
      <c r="O141" s="1" t="n"/>
      <c r="P141">
        <f>IF(C141="",0,IFERROR(N(INDEX(Products!$E$6:$E$45,MATCH(C141,Products!$B$6:$B$45,0))),0))</f>
        <v/>
      </c>
      <c r="Q141">
        <f>IF(C141="",0,IFERROR(N(INDEX(Products!$I$6:$I$45,MATCH(C141,Products!$B$6:$B$45,0))),0))</f>
        <v/>
      </c>
      <c r="R141">
        <f>IF(OR(C141="",NOT(ISNUMBER(B141))),"",YEAR(B141)*100+MONTH(B141))</f>
        <v/>
      </c>
      <c r="S141">
        <f>N(G141)*Q141</f>
        <v/>
      </c>
      <c r="T141">
        <f>IF(OR(M141="",M141="Sold out",NOT(ISNUMBER(J141))),"",J141*1000+ROW())</f>
        <v/>
      </c>
    </row>
    <row r="142">
      <c r="A142" s="1" t="n"/>
      <c r="B142" s="20" t="n"/>
      <c r="C142" s="21" t="n"/>
      <c r="D142" s="22" t="n"/>
      <c r="E142" s="22" t="n"/>
      <c r="F142" s="22" t="n"/>
      <c r="G142" s="22" t="n"/>
      <c r="H142" s="23" t="n"/>
      <c r="I142" s="24">
        <f>IF(OR(C142="",NOT(ISNUMBER(B142))),"",UPPER(IF(IFERROR(IF(INDEX(Products!$C$6:$C$45,MATCH(C142,Products!$B$6:$B$45,0))="","",INDEX(Products!$C$6:$C$45,MATCH(C142,Products!$B$6:$B$45,0))),"")="",LEFT(SUBSTITUTE(C142," ",""),3),IFERROR(IF(INDEX(Products!$C$6:$C$45,MATCH(C142,Products!$B$6:$B$45,0))="","",INDEX(Products!$C$6:$C$45,MATCH(C142,Products!$B$6:$B$45,0))),"")))&amp;"-"&amp;RIGHT(YEAR(B142),2)&amp;RIGHT("0"&amp;MONTH(B142),2)&amp;RIGHT("0"&amp;DAY(B142),2)&amp;"-"&amp;COUNTIFS(C$6:C142,C142,B$6:B142,B142))</f>
        <v/>
      </c>
      <c r="J142" s="14">
        <f>IF(OR(C142="",NOT(ISNUMBER(B142)),N(P142)=0),"",B142+P142)</f>
        <v/>
      </c>
      <c r="K142" s="25">
        <f>IF(C142="","",N(D142)-N(E142)-N(F142)-N(G142))</f>
        <v/>
      </c>
      <c r="L142" s="13">
        <f>IF(OR(C142="",N(K142)&lt;=0,NOT(ISNUMBER(J142))),"",J142-TODAY())</f>
        <v/>
      </c>
      <c r="M142" s="12">
        <f>IF(C142="","",IF(N(K142)&lt;=0,"Sold out",IF(NOT(ISNUMBER(J142)),"In stock",IF(J142&lt;TODAY(),"Past its date",IF(J142-TODAY()&lt;=Settings!$C$5,"Use soon","In stock")))))</f>
        <v/>
      </c>
      <c r="N142" s="26">
        <f>IF(C142="","",N(D142)*Q142)</f>
        <v/>
      </c>
      <c r="O142" s="1" t="n"/>
      <c r="P142">
        <f>IF(C142="",0,IFERROR(N(INDEX(Products!$E$6:$E$45,MATCH(C142,Products!$B$6:$B$45,0))),0))</f>
        <v/>
      </c>
      <c r="Q142">
        <f>IF(C142="",0,IFERROR(N(INDEX(Products!$I$6:$I$45,MATCH(C142,Products!$B$6:$B$45,0))),0))</f>
        <v/>
      </c>
      <c r="R142">
        <f>IF(OR(C142="",NOT(ISNUMBER(B142))),"",YEAR(B142)*100+MONTH(B142))</f>
        <v/>
      </c>
      <c r="S142">
        <f>N(G142)*Q142</f>
        <v/>
      </c>
      <c r="T142">
        <f>IF(OR(M142="",M142="Sold out",NOT(ISNUMBER(J142))),"",J142*1000+ROW())</f>
        <v/>
      </c>
    </row>
    <row r="143">
      <c r="A143" s="1" t="n"/>
      <c r="B143" s="20" t="n"/>
      <c r="C143" s="21" t="n"/>
      <c r="D143" s="22" t="n"/>
      <c r="E143" s="22" t="n"/>
      <c r="F143" s="22" t="n"/>
      <c r="G143" s="22" t="n"/>
      <c r="H143" s="23" t="n"/>
      <c r="I143" s="24">
        <f>IF(OR(C143="",NOT(ISNUMBER(B143))),"",UPPER(IF(IFERROR(IF(INDEX(Products!$C$6:$C$45,MATCH(C143,Products!$B$6:$B$45,0))="","",INDEX(Products!$C$6:$C$45,MATCH(C143,Products!$B$6:$B$45,0))),"")="",LEFT(SUBSTITUTE(C143," ",""),3),IFERROR(IF(INDEX(Products!$C$6:$C$45,MATCH(C143,Products!$B$6:$B$45,0))="","",INDEX(Products!$C$6:$C$45,MATCH(C143,Products!$B$6:$B$45,0))),"")))&amp;"-"&amp;RIGHT(YEAR(B143),2)&amp;RIGHT("0"&amp;MONTH(B143),2)&amp;RIGHT("0"&amp;DAY(B143),2)&amp;"-"&amp;COUNTIFS(C$6:C143,C143,B$6:B143,B143))</f>
        <v/>
      </c>
      <c r="J143" s="14">
        <f>IF(OR(C143="",NOT(ISNUMBER(B143)),N(P143)=0),"",B143+P143)</f>
        <v/>
      </c>
      <c r="K143" s="25">
        <f>IF(C143="","",N(D143)-N(E143)-N(F143)-N(G143))</f>
        <v/>
      </c>
      <c r="L143" s="13">
        <f>IF(OR(C143="",N(K143)&lt;=0,NOT(ISNUMBER(J143))),"",J143-TODAY())</f>
        <v/>
      </c>
      <c r="M143" s="12">
        <f>IF(C143="","",IF(N(K143)&lt;=0,"Sold out",IF(NOT(ISNUMBER(J143)),"In stock",IF(J143&lt;TODAY(),"Past its date",IF(J143-TODAY()&lt;=Settings!$C$5,"Use soon","In stock")))))</f>
        <v/>
      </c>
      <c r="N143" s="26">
        <f>IF(C143="","",N(D143)*Q143)</f>
        <v/>
      </c>
      <c r="O143" s="1" t="n"/>
      <c r="P143">
        <f>IF(C143="",0,IFERROR(N(INDEX(Products!$E$6:$E$45,MATCH(C143,Products!$B$6:$B$45,0))),0))</f>
        <v/>
      </c>
      <c r="Q143">
        <f>IF(C143="",0,IFERROR(N(INDEX(Products!$I$6:$I$45,MATCH(C143,Products!$B$6:$B$45,0))),0))</f>
        <v/>
      </c>
      <c r="R143">
        <f>IF(OR(C143="",NOT(ISNUMBER(B143))),"",YEAR(B143)*100+MONTH(B143))</f>
        <v/>
      </c>
      <c r="S143">
        <f>N(G143)*Q143</f>
        <v/>
      </c>
      <c r="T143">
        <f>IF(OR(M143="",M143="Sold out",NOT(ISNUMBER(J143))),"",J143*1000+ROW())</f>
        <v/>
      </c>
    </row>
    <row r="144">
      <c r="A144" s="1" t="n"/>
      <c r="B144" s="20" t="n"/>
      <c r="C144" s="21" t="n"/>
      <c r="D144" s="22" t="n"/>
      <c r="E144" s="22" t="n"/>
      <c r="F144" s="22" t="n"/>
      <c r="G144" s="22" t="n"/>
      <c r="H144" s="23" t="n"/>
      <c r="I144" s="24">
        <f>IF(OR(C144="",NOT(ISNUMBER(B144))),"",UPPER(IF(IFERROR(IF(INDEX(Products!$C$6:$C$45,MATCH(C144,Products!$B$6:$B$45,0))="","",INDEX(Products!$C$6:$C$45,MATCH(C144,Products!$B$6:$B$45,0))),"")="",LEFT(SUBSTITUTE(C144," ",""),3),IFERROR(IF(INDEX(Products!$C$6:$C$45,MATCH(C144,Products!$B$6:$B$45,0))="","",INDEX(Products!$C$6:$C$45,MATCH(C144,Products!$B$6:$B$45,0))),"")))&amp;"-"&amp;RIGHT(YEAR(B144),2)&amp;RIGHT("0"&amp;MONTH(B144),2)&amp;RIGHT("0"&amp;DAY(B144),2)&amp;"-"&amp;COUNTIFS(C$6:C144,C144,B$6:B144,B144))</f>
        <v/>
      </c>
      <c r="J144" s="14">
        <f>IF(OR(C144="",NOT(ISNUMBER(B144)),N(P144)=0),"",B144+P144)</f>
        <v/>
      </c>
      <c r="K144" s="25">
        <f>IF(C144="","",N(D144)-N(E144)-N(F144)-N(G144))</f>
        <v/>
      </c>
      <c r="L144" s="13">
        <f>IF(OR(C144="",N(K144)&lt;=0,NOT(ISNUMBER(J144))),"",J144-TODAY())</f>
        <v/>
      </c>
      <c r="M144" s="12">
        <f>IF(C144="","",IF(N(K144)&lt;=0,"Sold out",IF(NOT(ISNUMBER(J144)),"In stock",IF(J144&lt;TODAY(),"Past its date",IF(J144-TODAY()&lt;=Settings!$C$5,"Use soon","In stock")))))</f>
        <v/>
      </c>
      <c r="N144" s="26">
        <f>IF(C144="","",N(D144)*Q144)</f>
        <v/>
      </c>
      <c r="O144" s="1" t="n"/>
      <c r="P144">
        <f>IF(C144="",0,IFERROR(N(INDEX(Products!$E$6:$E$45,MATCH(C144,Products!$B$6:$B$45,0))),0))</f>
        <v/>
      </c>
      <c r="Q144">
        <f>IF(C144="",0,IFERROR(N(INDEX(Products!$I$6:$I$45,MATCH(C144,Products!$B$6:$B$45,0))),0))</f>
        <v/>
      </c>
      <c r="R144">
        <f>IF(OR(C144="",NOT(ISNUMBER(B144))),"",YEAR(B144)*100+MONTH(B144))</f>
        <v/>
      </c>
      <c r="S144">
        <f>N(G144)*Q144</f>
        <v/>
      </c>
      <c r="T144">
        <f>IF(OR(M144="",M144="Sold out",NOT(ISNUMBER(J144))),"",J144*1000+ROW())</f>
        <v/>
      </c>
    </row>
    <row r="145">
      <c r="A145" s="1" t="n"/>
      <c r="B145" s="20" t="n"/>
      <c r="C145" s="21" t="n"/>
      <c r="D145" s="22" t="n"/>
      <c r="E145" s="22" t="n"/>
      <c r="F145" s="22" t="n"/>
      <c r="G145" s="22" t="n"/>
      <c r="H145" s="23" t="n"/>
      <c r="I145" s="24">
        <f>IF(OR(C145="",NOT(ISNUMBER(B145))),"",UPPER(IF(IFERROR(IF(INDEX(Products!$C$6:$C$45,MATCH(C145,Products!$B$6:$B$45,0))="","",INDEX(Products!$C$6:$C$45,MATCH(C145,Products!$B$6:$B$45,0))),"")="",LEFT(SUBSTITUTE(C145," ",""),3),IFERROR(IF(INDEX(Products!$C$6:$C$45,MATCH(C145,Products!$B$6:$B$45,0))="","",INDEX(Products!$C$6:$C$45,MATCH(C145,Products!$B$6:$B$45,0))),"")))&amp;"-"&amp;RIGHT(YEAR(B145),2)&amp;RIGHT("0"&amp;MONTH(B145),2)&amp;RIGHT("0"&amp;DAY(B145),2)&amp;"-"&amp;COUNTIFS(C$6:C145,C145,B$6:B145,B145))</f>
        <v/>
      </c>
      <c r="J145" s="14">
        <f>IF(OR(C145="",NOT(ISNUMBER(B145)),N(P145)=0),"",B145+P145)</f>
        <v/>
      </c>
      <c r="K145" s="25">
        <f>IF(C145="","",N(D145)-N(E145)-N(F145)-N(G145))</f>
        <v/>
      </c>
      <c r="L145" s="13">
        <f>IF(OR(C145="",N(K145)&lt;=0,NOT(ISNUMBER(J145))),"",J145-TODAY())</f>
        <v/>
      </c>
      <c r="M145" s="12">
        <f>IF(C145="","",IF(N(K145)&lt;=0,"Sold out",IF(NOT(ISNUMBER(J145)),"In stock",IF(J145&lt;TODAY(),"Past its date",IF(J145-TODAY()&lt;=Settings!$C$5,"Use soon","In stock")))))</f>
        <v/>
      </c>
      <c r="N145" s="26">
        <f>IF(C145="","",N(D145)*Q145)</f>
        <v/>
      </c>
      <c r="O145" s="1" t="n"/>
      <c r="P145">
        <f>IF(C145="",0,IFERROR(N(INDEX(Products!$E$6:$E$45,MATCH(C145,Products!$B$6:$B$45,0))),0))</f>
        <v/>
      </c>
      <c r="Q145">
        <f>IF(C145="",0,IFERROR(N(INDEX(Products!$I$6:$I$45,MATCH(C145,Products!$B$6:$B$45,0))),0))</f>
        <v/>
      </c>
      <c r="R145">
        <f>IF(OR(C145="",NOT(ISNUMBER(B145))),"",YEAR(B145)*100+MONTH(B145))</f>
        <v/>
      </c>
      <c r="S145">
        <f>N(G145)*Q145</f>
        <v/>
      </c>
      <c r="T145">
        <f>IF(OR(M145="",M145="Sold out",NOT(ISNUMBER(J145))),"",J145*1000+ROW())</f>
        <v/>
      </c>
    </row>
    <row r="146">
      <c r="A146" s="1" t="n"/>
      <c r="B146" s="20" t="n"/>
      <c r="C146" s="21" t="n"/>
      <c r="D146" s="22" t="n"/>
      <c r="E146" s="22" t="n"/>
      <c r="F146" s="22" t="n"/>
      <c r="G146" s="22" t="n"/>
      <c r="H146" s="23" t="n"/>
      <c r="I146" s="24">
        <f>IF(OR(C146="",NOT(ISNUMBER(B146))),"",UPPER(IF(IFERROR(IF(INDEX(Products!$C$6:$C$45,MATCH(C146,Products!$B$6:$B$45,0))="","",INDEX(Products!$C$6:$C$45,MATCH(C146,Products!$B$6:$B$45,0))),"")="",LEFT(SUBSTITUTE(C146," ",""),3),IFERROR(IF(INDEX(Products!$C$6:$C$45,MATCH(C146,Products!$B$6:$B$45,0))="","",INDEX(Products!$C$6:$C$45,MATCH(C146,Products!$B$6:$B$45,0))),"")))&amp;"-"&amp;RIGHT(YEAR(B146),2)&amp;RIGHT("0"&amp;MONTH(B146),2)&amp;RIGHT("0"&amp;DAY(B146),2)&amp;"-"&amp;COUNTIFS(C$6:C146,C146,B$6:B146,B146))</f>
        <v/>
      </c>
      <c r="J146" s="14">
        <f>IF(OR(C146="",NOT(ISNUMBER(B146)),N(P146)=0),"",B146+P146)</f>
        <v/>
      </c>
      <c r="K146" s="25">
        <f>IF(C146="","",N(D146)-N(E146)-N(F146)-N(G146))</f>
        <v/>
      </c>
      <c r="L146" s="13">
        <f>IF(OR(C146="",N(K146)&lt;=0,NOT(ISNUMBER(J146))),"",J146-TODAY())</f>
        <v/>
      </c>
      <c r="M146" s="12">
        <f>IF(C146="","",IF(N(K146)&lt;=0,"Sold out",IF(NOT(ISNUMBER(J146)),"In stock",IF(J146&lt;TODAY(),"Past its date",IF(J146-TODAY()&lt;=Settings!$C$5,"Use soon","In stock")))))</f>
        <v/>
      </c>
      <c r="N146" s="26">
        <f>IF(C146="","",N(D146)*Q146)</f>
        <v/>
      </c>
      <c r="O146" s="1" t="n"/>
      <c r="P146">
        <f>IF(C146="",0,IFERROR(N(INDEX(Products!$E$6:$E$45,MATCH(C146,Products!$B$6:$B$45,0))),0))</f>
        <v/>
      </c>
      <c r="Q146">
        <f>IF(C146="",0,IFERROR(N(INDEX(Products!$I$6:$I$45,MATCH(C146,Products!$B$6:$B$45,0))),0))</f>
        <v/>
      </c>
      <c r="R146">
        <f>IF(OR(C146="",NOT(ISNUMBER(B146))),"",YEAR(B146)*100+MONTH(B146))</f>
        <v/>
      </c>
      <c r="S146">
        <f>N(G146)*Q146</f>
        <v/>
      </c>
      <c r="T146">
        <f>IF(OR(M146="",M146="Sold out",NOT(ISNUMBER(J146))),"",J146*1000+ROW())</f>
        <v/>
      </c>
    </row>
    <row r="147">
      <c r="A147" s="1" t="n"/>
      <c r="B147" s="20" t="n"/>
      <c r="C147" s="21" t="n"/>
      <c r="D147" s="22" t="n"/>
      <c r="E147" s="22" t="n"/>
      <c r="F147" s="22" t="n"/>
      <c r="G147" s="22" t="n"/>
      <c r="H147" s="23" t="n"/>
      <c r="I147" s="24">
        <f>IF(OR(C147="",NOT(ISNUMBER(B147))),"",UPPER(IF(IFERROR(IF(INDEX(Products!$C$6:$C$45,MATCH(C147,Products!$B$6:$B$45,0))="","",INDEX(Products!$C$6:$C$45,MATCH(C147,Products!$B$6:$B$45,0))),"")="",LEFT(SUBSTITUTE(C147," ",""),3),IFERROR(IF(INDEX(Products!$C$6:$C$45,MATCH(C147,Products!$B$6:$B$45,0))="","",INDEX(Products!$C$6:$C$45,MATCH(C147,Products!$B$6:$B$45,0))),"")))&amp;"-"&amp;RIGHT(YEAR(B147),2)&amp;RIGHT("0"&amp;MONTH(B147),2)&amp;RIGHT("0"&amp;DAY(B147),2)&amp;"-"&amp;COUNTIFS(C$6:C147,C147,B$6:B147,B147))</f>
        <v/>
      </c>
      <c r="J147" s="14">
        <f>IF(OR(C147="",NOT(ISNUMBER(B147)),N(P147)=0),"",B147+P147)</f>
        <v/>
      </c>
      <c r="K147" s="25">
        <f>IF(C147="","",N(D147)-N(E147)-N(F147)-N(G147))</f>
        <v/>
      </c>
      <c r="L147" s="13">
        <f>IF(OR(C147="",N(K147)&lt;=0,NOT(ISNUMBER(J147))),"",J147-TODAY())</f>
        <v/>
      </c>
      <c r="M147" s="12">
        <f>IF(C147="","",IF(N(K147)&lt;=0,"Sold out",IF(NOT(ISNUMBER(J147)),"In stock",IF(J147&lt;TODAY(),"Past its date",IF(J147-TODAY()&lt;=Settings!$C$5,"Use soon","In stock")))))</f>
        <v/>
      </c>
      <c r="N147" s="26">
        <f>IF(C147="","",N(D147)*Q147)</f>
        <v/>
      </c>
      <c r="O147" s="1" t="n"/>
      <c r="P147">
        <f>IF(C147="",0,IFERROR(N(INDEX(Products!$E$6:$E$45,MATCH(C147,Products!$B$6:$B$45,0))),0))</f>
        <v/>
      </c>
      <c r="Q147">
        <f>IF(C147="",0,IFERROR(N(INDEX(Products!$I$6:$I$45,MATCH(C147,Products!$B$6:$B$45,0))),0))</f>
        <v/>
      </c>
      <c r="R147">
        <f>IF(OR(C147="",NOT(ISNUMBER(B147))),"",YEAR(B147)*100+MONTH(B147))</f>
        <v/>
      </c>
      <c r="S147">
        <f>N(G147)*Q147</f>
        <v/>
      </c>
      <c r="T147">
        <f>IF(OR(M147="",M147="Sold out",NOT(ISNUMBER(J147))),"",J147*1000+ROW())</f>
        <v/>
      </c>
    </row>
    <row r="148">
      <c r="A148" s="1" t="n"/>
      <c r="B148" s="20" t="n"/>
      <c r="C148" s="21" t="n"/>
      <c r="D148" s="22" t="n"/>
      <c r="E148" s="22" t="n"/>
      <c r="F148" s="22" t="n"/>
      <c r="G148" s="22" t="n"/>
      <c r="H148" s="23" t="n"/>
      <c r="I148" s="24">
        <f>IF(OR(C148="",NOT(ISNUMBER(B148))),"",UPPER(IF(IFERROR(IF(INDEX(Products!$C$6:$C$45,MATCH(C148,Products!$B$6:$B$45,0))="","",INDEX(Products!$C$6:$C$45,MATCH(C148,Products!$B$6:$B$45,0))),"")="",LEFT(SUBSTITUTE(C148," ",""),3),IFERROR(IF(INDEX(Products!$C$6:$C$45,MATCH(C148,Products!$B$6:$B$45,0))="","",INDEX(Products!$C$6:$C$45,MATCH(C148,Products!$B$6:$B$45,0))),"")))&amp;"-"&amp;RIGHT(YEAR(B148),2)&amp;RIGHT("0"&amp;MONTH(B148),2)&amp;RIGHT("0"&amp;DAY(B148),2)&amp;"-"&amp;COUNTIFS(C$6:C148,C148,B$6:B148,B148))</f>
        <v/>
      </c>
      <c r="J148" s="14">
        <f>IF(OR(C148="",NOT(ISNUMBER(B148)),N(P148)=0),"",B148+P148)</f>
        <v/>
      </c>
      <c r="K148" s="25">
        <f>IF(C148="","",N(D148)-N(E148)-N(F148)-N(G148))</f>
        <v/>
      </c>
      <c r="L148" s="13">
        <f>IF(OR(C148="",N(K148)&lt;=0,NOT(ISNUMBER(J148))),"",J148-TODAY())</f>
        <v/>
      </c>
      <c r="M148" s="12">
        <f>IF(C148="","",IF(N(K148)&lt;=0,"Sold out",IF(NOT(ISNUMBER(J148)),"In stock",IF(J148&lt;TODAY(),"Past its date",IF(J148-TODAY()&lt;=Settings!$C$5,"Use soon","In stock")))))</f>
        <v/>
      </c>
      <c r="N148" s="26">
        <f>IF(C148="","",N(D148)*Q148)</f>
        <v/>
      </c>
      <c r="O148" s="1" t="n"/>
      <c r="P148">
        <f>IF(C148="",0,IFERROR(N(INDEX(Products!$E$6:$E$45,MATCH(C148,Products!$B$6:$B$45,0))),0))</f>
        <v/>
      </c>
      <c r="Q148">
        <f>IF(C148="",0,IFERROR(N(INDEX(Products!$I$6:$I$45,MATCH(C148,Products!$B$6:$B$45,0))),0))</f>
        <v/>
      </c>
      <c r="R148">
        <f>IF(OR(C148="",NOT(ISNUMBER(B148))),"",YEAR(B148)*100+MONTH(B148))</f>
        <v/>
      </c>
      <c r="S148">
        <f>N(G148)*Q148</f>
        <v/>
      </c>
      <c r="T148">
        <f>IF(OR(M148="",M148="Sold out",NOT(ISNUMBER(J148))),"",J148*1000+ROW())</f>
        <v/>
      </c>
    </row>
    <row r="149">
      <c r="A149" s="1" t="n"/>
      <c r="B149" s="20" t="n"/>
      <c r="C149" s="21" t="n"/>
      <c r="D149" s="22" t="n"/>
      <c r="E149" s="22" t="n"/>
      <c r="F149" s="22" t="n"/>
      <c r="G149" s="22" t="n"/>
      <c r="H149" s="23" t="n"/>
      <c r="I149" s="24">
        <f>IF(OR(C149="",NOT(ISNUMBER(B149))),"",UPPER(IF(IFERROR(IF(INDEX(Products!$C$6:$C$45,MATCH(C149,Products!$B$6:$B$45,0))="","",INDEX(Products!$C$6:$C$45,MATCH(C149,Products!$B$6:$B$45,0))),"")="",LEFT(SUBSTITUTE(C149," ",""),3),IFERROR(IF(INDEX(Products!$C$6:$C$45,MATCH(C149,Products!$B$6:$B$45,0))="","",INDEX(Products!$C$6:$C$45,MATCH(C149,Products!$B$6:$B$45,0))),"")))&amp;"-"&amp;RIGHT(YEAR(B149),2)&amp;RIGHT("0"&amp;MONTH(B149),2)&amp;RIGHT("0"&amp;DAY(B149),2)&amp;"-"&amp;COUNTIFS(C$6:C149,C149,B$6:B149,B149))</f>
        <v/>
      </c>
      <c r="J149" s="14">
        <f>IF(OR(C149="",NOT(ISNUMBER(B149)),N(P149)=0),"",B149+P149)</f>
        <v/>
      </c>
      <c r="K149" s="25">
        <f>IF(C149="","",N(D149)-N(E149)-N(F149)-N(G149))</f>
        <v/>
      </c>
      <c r="L149" s="13">
        <f>IF(OR(C149="",N(K149)&lt;=0,NOT(ISNUMBER(J149))),"",J149-TODAY())</f>
        <v/>
      </c>
      <c r="M149" s="12">
        <f>IF(C149="","",IF(N(K149)&lt;=0,"Sold out",IF(NOT(ISNUMBER(J149)),"In stock",IF(J149&lt;TODAY(),"Past its date",IF(J149-TODAY()&lt;=Settings!$C$5,"Use soon","In stock")))))</f>
        <v/>
      </c>
      <c r="N149" s="26">
        <f>IF(C149="","",N(D149)*Q149)</f>
        <v/>
      </c>
      <c r="O149" s="1" t="n"/>
      <c r="P149">
        <f>IF(C149="",0,IFERROR(N(INDEX(Products!$E$6:$E$45,MATCH(C149,Products!$B$6:$B$45,0))),0))</f>
        <v/>
      </c>
      <c r="Q149">
        <f>IF(C149="",0,IFERROR(N(INDEX(Products!$I$6:$I$45,MATCH(C149,Products!$B$6:$B$45,0))),0))</f>
        <v/>
      </c>
      <c r="R149">
        <f>IF(OR(C149="",NOT(ISNUMBER(B149))),"",YEAR(B149)*100+MONTH(B149))</f>
        <v/>
      </c>
      <c r="S149">
        <f>N(G149)*Q149</f>
        <v/>
      </c>
      <c r="T149">
        <f>IF(OR(M149="",M149="Sold out",NOT(ISNUMBER(J149))),"",J149*1000+ROW())</f>
        <v/>
      </c>
    </row>
    <row r="150">
      <c r="A150" s="1" t="n"/>
      <c r="B150" s="20" t="n"/>
      <c r="C150" s="21" t="n"/>
      <c r="D150" s="22" t="n"/>
      <c r="E150" s="22" t="n"/>
      <c r="F150" s="22" t="n"/>
      <c r="G150" s="22" t="n"/>
      <c r="H150" s="23" t="n"/>
      <c r="I150" s="24">
        <f>IF(OR(C150="",NOT(ISNUMBER(B150))),"",UPPER(IF(IFERROR(IF(INDEX(Products!$C$6:$C$45,MATCH(C150,Products!$B$6:$B$45,0))="","",INDEX(Products!$C$6:$C$45,MATCH(C150,Products!$B$6:$B$45,0))),"")="",LEFT(SUBSTITUTE(C150," ",""),3),IFERROR(IF(INDEX(Products!$C$6:$C$45,MATCH(C150,Products!$B$6:$B$45,0))="","",INDEX(Products!$C$6:$C$45,MATCH(C150,Products!$B$6:$B$45,0))),"")))&amp;"-"&amp;RIGHT(YEAR(B150),2)&amp;RIGHT("0"&amp;MONTH(B150),2)&amp;RIGHT("0"&amp;DAY(B150),2)&amp;"-"&amp;COUNTIFS(C$6:C150,C150,B$6:B150,B150))</f>
        <v/>
      </c>
      <c r="J150" s="14">
        <f>IF(OR(C150="",NOT(ISNUMBER(B150)),N(P150)=0),"",B150+P150)</f>
        <v/>
      </c>
      <c r="K150" s="25">
        <f>IF(C150="","",N(D150)-N(E150)-N(F150)-N(G150))</f>
        <v/>
      </c>
      <c r="L150" s="13">
        <f>IF(OR(C150="",N(K150)&lt;=0,NOT(ISNUMBER(J150))),"",J150-TODAY())</f>
        <v/>
      </c>
      <c r="M150" s="12">
        <f>IF(C150="","",IF(N(K150)&lt;=0,"Sold out",IF(NOT(ISNUMBER(J150)),"In stock",IF(J150&lt;TODAY(),"Past its date",IF(J150-TODAY()&lt;=Settings!$C$5,"Use soon","In stock")))))</f>
        <v/>
      </c>
      <c r="N150" s="26">
        <f>IF(C150="","",N(D150)*Q150)</f>
        <v/>
      </c>
      <c r="O150" s="1" t="n"/>
      <c r="P150">
        <f>IF(C150="",0,IFERROR(N(INDEX(Products!$E$6:$E$45,MATCH(C150,Products!$B$6:$B$45,0))),0))</f>
        <v/>
      </c>
      <c r="Q150">
        <f>IF(C150="",0,IFERROR(N(INDEX(Products!$I$6:$I$45,MATCH(C150,Products!$B$6:$B$45,0))),0))</f>
        <v/>
      </c>
      <c r="R150">
        <f>IF(OR(C150="",NOT(ISNUMBER(B150))),"",YEAR(B150)*100+MONTH(B150))</f>
        <v/>
      </c>
      <c r="S150">
        <f>N(G150)*Q150</f>
        <v/>
      </c>
      <c r="T150">
        <f>IF(OR(M150="",M150="Sold out",NOT(ISNUMBER(J150))),"",J150*1000+ROW())</f>
        <v/>
      </c>
    </row>
    <row r="151">
      <c r="A151" s="1" t="n"/>
      <c r="B151" s="20" t="n"/>
      <c r="C151" s="21" t="n"/>
      <c r="D151" s="22" t="n"/>
      <c r="E151" s="22" t="n"/>
      <c r="F151" s="22" t="n"/>
      <c r="G151" s="22" t="n"/>
      <c r="H151" s="23" t="n"/>
      <c r="I151" s="24">
        <f>IF(OR(C151="",NOT(ISNUMBER(B151))),"",UPPER(IF(IFERROR(IF(INDEX(Products!$C$6:$C$45,MATCH(C151,Products!$B$6:$B$45,0))="","",INDEX(Products!$C$6:$C$45,MATCH(C151,Products!$B$6:$B$45,0))),"")="",LEFT(SUBSTITUTE(C151," ",""),3),IFERROR(IF(INDEX(Products!$C$6:$C$45,MATCH(C151,Products!$B$6:$B$45,0))="","",INDEX(Products!$C$6:$C$45,MATCH(C151,Products!$B$6:$B$45,0))),"")))&amp;"-"&amp;RIGHT(YEAR(B151),2)&amp;RIGHT("0"&amp;MONTH(B151),2)&amp;RIGHT("0"&amp;DAY(B151),2)&amp;"-"&amp;COUNTIFS(C$6:C151,C151,B$6:B151,B151))</f>
        <v/>
      </c>
      <c r="J151" s="14">
        <f>IF(OR(C151="",NOT(ISNUMBER(B151)),N(P151)=0),"",B151+P151)</f>
        <v/>
      </c>
      <c r="K151" s="25">
        <f>IF(C151="","",N(D151)-N(E151)-N(F151)-N(G151))</f>
        <v/>
      </c>
      <c r="L151" s="13">
        <f>IF(OR(C151="",N(K151)&lt;=0,NOT(ISNUMBER(J151))),"",J151-TODAY())</f>
        <v/>
      </c>
      <c r="M151" s="12">
        <f>IF(C151="","",IF(N(K151)&lt;=0,"Sold out",IF(NOT(ISNUMBER(J151)),"In stock",IF(J151&lt;TODAY(),"Past its date",IF(J151-TODAY()&lt;=Settings!$C$5,"Use soon","In stock")))))</f>
        <v/>
      </c>
      <c r="N151" s="26">
        <f>IF(C151="","",N(D151)*Q151)</f>
        <v/>
      </c>
      <c r="O151" s="1" t="n"/>
      <c r="P151">
        <f>IF(C151="",0,IFERROR(N(INDEX(Products!$E$6:$E$45,MATCH(C151,Products!$B$6:$B$45,0))),0))</f>
        <v/>
      </c>
      <c r="Q151">
        <f>IF(C151="",0,IFERROR(N(INDEX(Products!$I$6:$I$45,MATCH(C151,Products!$B$6:$B$45,0))),0))</f>
        <v/>
      </c>
      <c r="R151">
        <f>IF(OR(C151="",NOT(ISNUMBER(B151))),"",YEAR(B151)*100+MONTH(B151))</f>
        <v/>
      </c>
      <c r="S151">
        <f>N(G151)*Q151</f>
        <v/>
      </c>
      <c r="T151">
        <f>IF(OR(M151="",M151="Sold out",NOT(ISNUMBER(J151))),"",J151*1000+ROW())</f>
        <v/>
      </c>
    </row>
    <row r="152">
      <c r="A152" s="1" t="n"/>
      <c r="B152" s="20" t="n"/>
      <c r="C152" s="21" t="n"/>
      <c r="D152" s="22" t="n"/>
      <c r="E152" s="22" t="n"/>
      <c r="F152" s="22" t="n"/>
      <c r="G152" s="22" t="n"/>
      <c r="H152" s="23" t="n"/>
      <c r="I152" s="24">
        <f>IF(OR(C152="",NOT(ISNUMBER(B152))),"",UPPER(IF(IFERROR(IF(INDEX(Products!$C$6:$C$45,MATCH(C152,Products!$B$6:$B$45,0))="","",INDEX(Products!$C$6:$C$45,MATCH(C152,Products!$B$6:$B$45,0))),"")="",LEFT(SUBSTITUTE(C152," ",""),3),IFERROR(IF(INDEX(Products!$C$6:$C$45,MATCH(C152,Products!$B$6:$B$45,0))="","",INDEX(Products!$C$6:$C$45,MATCH(C152,Products!$B$6:$B$45,0))),"")))&amp;"-"&amp;RIGHT(YEAR(B152),2)&amp;RIGHT("0"&amp;MONTH(B152),2)&amp;RIGHT("0"&amp;DAY(B152),2)&amp;"-"&amp;COUNTIFS(C$6:C152,C152,B$6:B152,B152))</f>
        <v/>
      </c>
      <c r="J152" s="14">
        <f>IF(OR(C152="",NOT(ISNUMBER(B152)),N(P152)=0),"",B152+P152)</f>
        <v/>
      </c>
      <c r="K152" s="25">
        <f>IF(C152="","",N(D152)-N(E152)-N(F152)-N(G152))</f>
        <v/>
      </c>
      <c r="L152" s="13">
        <f>IF(OR(C152="",N(K152)&lt;=0,NOT(ISNUMBER(J152))),"",J152-TODAY())</f>
        <v/>
      </c>
      <c r="M152" s="12">
        <f>IF(C152="","",IF(N(K152)&lt;=0,"Sold out",IF(NOT(ISNUMBER(J152)),"In stock",IF(J152&lt;TODAY(),"Past its date",IF(J152-TODAY()&lt;=Settings!$C$5,"Use soon","In stock")))))</f>
        <v/>
      </c>
      <c r="N152" s="26">
        <f>IF(C152="","",N(D152)*Q152)</f>
        <v/>
      </c>
      <c r="O152" s="1" t="n"/>
      <c r="P152">
        <f>IF(C152="",0,IFERROR(N(INDEX(Products!$E$6:$E$45,MATCH(C152,Products!$B$6:$B$45,0))),0))</f>
        <v/>
      </c>
      <c r="Q152">
        <f>IF(C152="",0,IFERROR(N(INDEX(Products!$I$6:$I$45,MATCH(C152,Products!$B$6:$B$45,0))),0))</f>
        <v/>
      </c>
      <c r="R152">
        <f>IF(OR(C152="",NOT(ISNUMBER(B152))),"",YEAR(B152)*100+MONTH(B152))</f>
        <v/>
      </c>
      <c r="S152">
        <f>N(G152)*Q152</f>
        <v/>
      </c>
      <c r="T152">
        <f>IF(OR(M152="",M152="Sold out",NOT(ISNUMBER(J152))),"",J152*1000+ROW())</f>
        <v/>
      </c>
    </row>
    <row r="153">
      <c r="A153" s="1" t="n"/>
      <c r="B153" s="20" t="n"/>
      <c r="C153" s="21" t="n"/>
      <c r="D153" s="22" t="n"/>
      <c r="E153" s="22" t="n"/>
      <c r="F153" s="22" t="n"/>
      <c r="G153" s="22" t="n"/>
      <c r="H153" s="23" t="n"/>
      <c r="I153" s="24">
        <f>IF(OR(C153="",NOT(ISNUMBER(B153))),"",UPPER(IF(IFERROR(IF(INDEX(Products!$C$6:$C$45,MATCH(C153,Products!$B$6:$B$45,0))="","",INDEX(Products!$C$6:$C$45,MATCH(C153,Products!$B$6:$B$45,0))),"")="",LEFT(SUBSTITUTE(C153," ",""),3),IFERROR(IF(INDEX(Products!$C$6:$C$45,MATCH(C153,Products!$B$6:$B$45,0))="","",INDEX(Products!$C$6:$C$45,MATCH(C153,Products!$B$6:$B$45,0))),"")))&amp;"-"&amp;RIGHT(YEAR(B153),2)&amp;RIGHT("0"&amp;MONTH(B153),2)&amp;RIGHT("0"&amp;DAY(B153),2)&amp;"-"&amp;COUNTIFS(C$6:C153,C153,B$6:B153,B153))</f>
        <v/>
      </c>
      <c r="J153" s="14">
        <f>IF(OR(C153="",NOT(ISNUMBER(B153)),N(P153)=0),"",B153+P153)</f>
        <v/>
      </c>
      <c r="K153" s="25">
        <f>IF(C153="","",N(D153)-N(E153)-N(F153)-N(G153))</f>
        <v/>
      </c>
      <c r="L153" s="13">
        <f>IF(OR(C153="",N(K153)&lt;=0,NOT(ISNUMBER(J153))),"",J153-TODAY())</f>
        <v/>
      </c>
      <c r="M153" s="12">
        <f>IF(C153="","",IF(N(K153)&lt;=0,"Sold out",IF(NOT(ISNUMBER(J153)),"In stock",IF(J153&lt;TODAY(),"Past its date",IF(J153-TODAY()&lt;=Settings!$C$5,"Use soon","In stock")))))</f>
        <v/>
      </c>
      <c r="N153" s="26">
        <f>IF(C153="","",N(D153)*Q153)</f>
        <v/>
      </c>
      <c r="O153" s="1" t="n"/>
      <c r="P153">
        <f>IF(C153="",0,IFERROR(N(INDEX(Products!$E$6:$E$45,MATCH(C153,Products!$B$6:$B$45,0))),0))</f>
        <v/>
      </c>
      <c r="Q153">
        <f>IF(C153="",0,IFERROR(N(INDEX(Products!$I$6:$I$45,MATCH(C153,Products!$B$6:$B$45,0))),0))</f>
        <v/>
      </c>
      <c r="R153">
        <f>IF(OR(C153="",NOT(ISNUMBER(B153))),"",YEAR(B153)*100+MONTH(B153))</f>
        <v/>
      </c>
      <c r="S153">
        <f>N(G153)*Q153</f>
        <v/>
      </c>
      <c r="T153">
        <f>IF(OR(M153="",M153="Sold out",NOT(ISNUMBER(J153))),"",J153*1000+ROW())</f>
        <v/>
      </c>
    </row>
    <row r="154">
      <c r="A154" s="1" t="n"/>
      <c r="B154" s="20" t="n"/>
      <c r="C154" s="21" t="n"/>
      <c r="D154" s="22" t="n"/>
      <c r="E154" s="22" t="n"/>
      <c r="F154" s="22" t="n"/>
      <c r="G154" s="22" t="n"/>
      <c r="H154" s="23" t="n"/>
      <c r="I154" s="24">
        <f>IF(OR(C154="",NOT(ISNUMBER(B154))),"",UPPER(IF(IFERROR(IF(INDEX(Products!$C$6:$C$45,MATCH(C154,Products!$B$6:$B$45,0))="","",INDEX(Products!$C$6:$C$45,MATCH(C154,Products!$B$6:$B$45,0))),"")="",LEFT(SUBSTITUTE(C154," ",""),3),IFERROR(IF(INDEX(Products!$C$6:$C$45,MATCH(C154,Products!$B$6:$B$45,0))="","",INDEX(Products!$C$6:$C$45,MATCH(C154,Products!$B$6:$B$45,0))),"")))&amp;"-"&amp;RIGHT(YEAR(B154),2)&amp;RIGHT("0"&amp;MONTH(B154),2)&amp;RIGHT("0"&amp;DAY(B154),2)&amp;"-"&amp;COUNTIFS(C$6:C154,C154,B$6:B154,B154))</f>
        <v/>
      </c>
      <c r="J154" s="14">
        <f>IF(OR(C154="",NOT(ISNUMBER(B154)),N(P154)=0),"",B154+P154)</f>
        <v/>
      </c>
      <c r="K154" s="25">
        <f>IF(C154="","",N(D154)-N(E154)-N(F154)-N(G154))</f>
        <v/>
      </c>
      <c r="L154" s="13">
        <f>IF(OR(C154="",N(K154)&lt;=0,NOT(ISNUMBER(J154))),"",J154-TODAY())</f>
        <v/>
      </c>
      <c r="M154" s="12">
        <f>IF(C154="","",IF(N(K154)&lt;=0,"Sold out",IF(NOT(ISNUMBER(J154)),"In stock",IF(J154&lt;TODAY(),"Past its date",IF(J154-TODAY()&lt;=Settings!$C$5,"Use soon","In stock")))))</f>
        <v/>
      </c>
      <c r="N154" s="26">
        <f>IF(C154="","",N(D154)*Q154)</f>
        <v/>
      </c>
      <c r="O154" s="1" t="n"/>
      <c r="P154">
        <f>IF(C154="",0,IFERROR(N(INDEX(Products!$E$6:$E$45,MATCH(C154,Products!$B$6:$B$45,0))),0))</f>
        <v/>
      </c>
      <c r="Q154">
        <f>IF(C154="",0,IFERROR(N(INDEX(Products!$I$6:$I$45,MATCH(C154,Products!$B$6:$B$45,0))),0))</f>
        <v/>
      </c>
      <c r="R154">
        <f>IF(OR(C154="",NOT(ISNUMBER(B154))),"",YEAR(B154)*100+MONTH(B154))</f>
        <v/>
      </c>
      <c r="S154">
        <f>N(G154)*Q154</f>
        <v/>
      </c>
      <c r="T154">
        <f>IF(OR(M154="",M154="Sold out",NOT(ISNUMBER(J154))),"",J154*1000+ROW())</f>
        <v/>
      </c>
    </row>
    <row r="155">
      <c r="A155" s="1" t="n"/>
      <c r="B155" s="20" t="n"/>
      <c r="C155" s="21" t="n"/>
      <c r="D155" s="22" t="n"/>
      <c r="E155" s="22" t="n"/>
      <c r="F155" s="22" t="n"/>
      <c r="G155" s="22" t="n"/>
      <c r="H155" s="23" t="n"/>
      <c r="I155" s="24">
        <f>IF(OR(C155="",NOT(ISNUMBER(B155))),"",UPPER(IF(IFERROR(IF(INDEX(Products!$C$6:$C$45,MATCH(C155,Products!$B$6:$B$45,0))="","",INDEX(Products!$C$6:$C$45,MATCH(C155,Products!$B$6:$B$45,0))),"")="",LEFT(SUBSTITUTE(C155," ",""),3),IFERROR(IF(INDEX(Products!$C$6:$C$45,MATCH(C155,Products!$B$6:$B$45,0))="","",INDEX(Products!$C$6:$C$45,MATCH(C155,Products!$B$6:$B$45,0))),"")))&amp;"-"&amp;RIGHT(YEAR(B155),2)&amp;RIGHT("0"&amp;MONTH(B155),2)&amp;RIGHT("0"&amp;DAY(B155),2)&amp;"-"&amp;COUNTIFS(C$6:C155,C155,B$6:B155,B155))</f>
        <v/>
      </c>
      <c r="J155" s="14">
        <f>IF(OR(C155="",NOT(ISNUMBER(B155)),N(P155)=0),"",B155+P155)</f>
        <v/>
      </c>
      <c r="K155" s="25">
        <f>IF(C155="","",N(D155)-N(E155)-N(F155)-N(G155))</f>
        <v/>
      </c>
      <c r="L155" s="13">
        <f>IF(OR(C155="",N(K155)&lt;=0,NOT(ISNUMBER(J155))),"",J155-TODAY())</f>
        <v/>
      </c>
      <c r="M155" s="12">
        <f>IF(C155="","",IF(N(K155)&lt;=0,"Sold out",IF(NOT(ISNUMBER(J155)),"In stock",IF(J155&lt;TODAY(),"Past its date",IF(J155-TODAY()&lt;=Settings!$C$5,"Use soon","In stock")))))</f>
        <v/>
      </c>
      <c r="N155" s="26">
        <f>IF(C155="","",N(D155)*Q155)</f>
        <v/>
      </c>
      <c r="O155" s="1" t="n"/>
      <c r="P155">
        <f>IF(C155="",0,IFERROR(N(INDEX(Products!$E$6:$E$45,MATCH(C155,Products!$B$6:$B$45,0))),0))</f>
        <v/>
      </c>
      <c r="Q155">
        <f>IF(C155="",0,IFERROR(N(INDEX(Products!$I$6:$I$45,MATCH(C155,Products!$B$6:$B$45,0))),0))</f>
        <v/>
      </c>
      <c r="R155">
        <f>IF(OR(C155="",NOT(ISNUMBER(B155))),"",YEAR(B155)*100+MONTH(B155))</f>
        <v/>
      </c>
      <c r="S155">
        <f>N(G155)*Q155</f>
        <v/>
      </c>
      <c r="T155">
        <f>IF(OR(M155="",M155="Sold out",NOT(ISNUMBER(J155))),"",J155*1000+ROW())</f>
        <v/>
      </c>
    </row>
    <row r="156">
      <c r="A156" s="1" t="n"/>
      <c r="B156" s="20" t="n"/>
      <c r="C156" s="21" t="n"/>
      <c r="D156" s="22" t="n"/>
      <c r="E156" s="22" t="n"/>
      <c r="F156" s="22" t="n"/>
      <c r="G156" s="22" t="n"/>
      <c r="H156" s="23" t="n"/>
      <c r="I156" s="24">
        <f>IF(OR(C156="",NOT(ISNUMBER(B156))),"",UPPER(IF(IFERROR(IF(INDEX(Products!$C$6:$C$45,MATCH(C156,Products!$B$6:$B$45,0))="","",INDEX(Products!$C$6:$C$45,MATCH(C156,Products!$B$6:$B$45,0))),"")="",LEFT(SUBSTITUTE(C156," ",""),3),IFERROR(IF(INDEX(Products!$C$6:$C$45,MATCH(C156,Products!$B$6:$B$45,0))="","",INDEX(Products!$C$6:$C$45,MATCH(C156,Products!$B$6:$B$45,0))),"")))&amp;"-"&amp;RIGHT(YEAR(B156),2)&amp;RIGHT("0"&amp;MONTH(B156),2)&amp;RIGHT("0"&amp;DAY(B156),2)&amp;"-"&amp;COUNTIFS(C$6:C156,C156,B$6:B156,B156))</f>
        <v/>
      </c>
      <c r="J156" s="14">
        <f>IF(OR(C156="",NOT(ISNUMBER(B156)),N(P156)=0),"",B156+P156)</f>
        <v/>
      </c>
      <c r="K156" s="25">
        <f>IF(C156="","",N(D156)-N(E156)-N(F156)-N(G156))</f>
        <v/>
      </c>
      <c r="L156" s="13">
        <f>IF(OR(C156="",N(K156)&lt;=0,NOT(ISNUMBER(J156))),"",J156-TODAY())</f>
        <v/>
      </c>
      <c r="M156" s="12">
        <f>IF(C156="","",IF(N(K156)&lt;=0,"Sold out",IF(NOT(ISNUMBER(J156)),"In stock",IF(J156&lt;TODAY(),"Past its date",IF(J156-TODAY()&lt;=Settings!$C$5,"Use soon","In stock")))))</f>
        <v/>
      </c>
      <c r="N156" s="26">
        <f>IF(C156="","",N(D156)*Q156)</f>
        <v/>
      </c>
      <c r="O156" s="1" t="n"/>
      <c r="P156">
        <f>IF(C156="",0,IFERROR(N(INDEX(Products!$E$6:$E$45,MATCH(C156,Products!$B$6:$B$45,0))),0))</f>
        <v/>
      </c>
      <c r="Q156">
        <f>IF(C156="",0,IFERROR(N(INDEX(Products!$I$6:$I$45,MATCH(C156,Products!$B$6:$B$45,0))),0))</f>
        <v/>
      </c>
      <c r="R156">
        <f>IF(OR(C156="",NOT(ISNUMBER(B156))),"",YEAR(B156)*100+MONTH(B156))</f>
        <v/>
      </c>
      <c r="S156">
        <f>N(G156)*Q156</f>
        <v/>
      </c>
      <c r="T156">
        <f>IF(OR(M156="",M156="Sold out",NOT(ISNUMBER(J156))),"",J156*1000+ROW())</f>
        <v/>
      </c>
    </row>
    <row r="157">
      <c r="A157" s="1" t="n"/>
      <c r="B157" s="20" t="n"/>
      <c r="C157" s="21" t="n"/>
      <c r="D157" s="22" t="n"/>
      <c r="E157" s="22" t="n"/>
      <c r="F157" s="22" t="n"/>
      <c r="G157" s="22" t="n"/>
      <c r="H157" s="23" t="n"/>
      <c r="I157" s="24">
        <f>IF(OR(C157="",NOT(ISNUMBER(B157))),"",UPPER(IF(IFERROR(IF(INDEX(Products!$C$6:$C$45,MATCH(C157,Products!$B$6:$B$45,0))="","",INDEX(Products!$C$6:$C$45,MATCH(C157,Products!$B$6:$B$45,0))),"")="",LEFT(SUBSTITUTE(C157," ",""),3),IFERROR(IF(INDEX(Products!$C$6:$C$45,MATCH(C157,Products!$B$6:$B$45,0))="","",INDEX(Products!$C$6:$C$45,MATCH(C157,Products!$B$6:$B$45,0))),"")))&amp;"-"&amp;RIGHT(YEAR(B157),2)&amp;RIGHT("0"&amp;MONTH(B157),2)&amp;RIGHT("0"&amp;DAY(B157),2)&amp;"-"&amp;COUNTIFS(C$6:C157,C157,B$6:B157,B157))</f>
        <v/>
      </c>
      <c r="J157" s="14">
        <f>IF(OR(C157="",NOT(ISNUMBER(B157)),N(P157)=0),"",B157+P157)</f>
        <v/>
      </c>
      <c r="K157" s="25">
        <f>IF(C157="","",N(D157)-N(E157)-N(F157)-N(G157))</f>
        <v/>
      </c>
      <c r="L157" s="13">
        <f>IF(OR(C157="",N(K157)&lt;=0,NOT(ISNUMBER(J157))),"",J157-TODAY())</f>
        <v/>
      </c>
      <c r="M157" s="12">
        <f>IF(C157="","",IF(N(K157)&lt;=0,"Sold out",IF(NOT(ISNUMBER(J157)),"In stock",IF(J157&lt;TODAY(),"Past its date",IF(J157-TODAY()&lt;=Settings!$C$5,"Use soon","In stock")))))</f>
        <v/>
      </c>
      <c r="N157" s="26">
        <f>IF(C157="","",N(D157)*Q157)</f>
        <v/>
      </c>
      <c r="O157" s="1" t="n"/>
      <c r="P157">
        <f>IF(C157="",0,IFERROR(N(INDEX(Products!$E$6:$E$45,MATCH(C157,Products!$B$6:$B$45,0))),0))</f>
        <v/>
      </c>
      <c r="Q157">
        <f>IF(C157="",0,IFERROR(N(INDEX(Products!$I$6:$I$45,MATCH(C157,Products!$B$6:$B$45,0))),0))</f>
        <v/>
      </c>
      <c r="R157">
        <f>IF(OR(C157="",NOT(ISNUMBER(B157))),"",YEAR(B157)*100+MONTH(B157))</f>
        <v/>
      </c>
      <c r="S157">
        <f>N(G157)*Q157</f>
        <v/>
      </c>
      <c r="T157">
        <f>IF(OR(M157="",M157="Sold out",NOT(ISNUMBER(J157))),"",J157*1000+ROW())</f>
        <v/>
      </c>
    </row>
    <row r="158">
      <c r="A158" s="1" t="n"/>
      <c r="B158" s="20" t="n"/>
      <c r="C158" s="21" t="n"/>
      <c r="D158" s="22" t="n"/>
      <c r="E158" s="22" t="n"/>
      <c r="F158" s="22" t="n"/>
      <c r="G158" s="22" t="n"/>
      <c r="H158" s="23" t="n"/>
      <c r="I158" s="24">
        <f>IF(OR(C158="",NOT(ISNUMBER(B158))),"",UPPER(IF(IFERROR(IF(INDEX(Products!$C$6:$C$45,MATCH(C158,Products!$B$6:$B$45,0))="","",INDEX(Products!$C$6:$C$45,MATCH(C158,Products!$B$6:$B$45,0))),"")="",LEFT(SUBSTITUTE(C158," ",""),3),IFERROR(IF(INDEX(Products!$C$6:$C$45,MATCH(C158,Products!$B$6:$B$45,0))="","",INDEX(Products!$C$6:$C$45,MATCH(C158,Products!$B$6:$B$45,0))),"")))&amp;"-"&amp;RIGHT(YEAR(B158),2)&amp;RIGHT("0"&amp;MONTH(B158),2)&amp;RIGHT("0"&amp;DAY(B158),2)&amp;"-"&amp;COUNTIFS(C$6:C158,C158,B$6:B158,B158))</f>
        <v/>
      </c>
      <c r="J158" s="14">
        <f>IF(OR(C158="",NOT(ISNUMBER(B158)),N(P158)=0),"",B158+P158)</f>
        <v/>
      </c>
      <c r="K158" s="25">
        <f>IF(C158="","",N(D158)-N(E158)-N(F158)-N(G158))</f>
        <v/>
      </c>
      <c r="L158" s="13">
        <f>IF(OR(C158="",N(K158)&lt;=0,NOT(ISNUMBER(J158))),"",J158-TODAY())</f>
        <v/>
      </c>
      <c r="M158" s="12">
        <f>IF(C158="","",IF(N(K158)&lt;=0,"Sold out",IF(NOT(ISNUMBER(J158)),"In stock",IF(J158&lt;TODAY(),"Past its date",IF(J158-TODAY()&lt;=Settings!$C$5,"Use soon","In stock")))))</f>
        <v/>
      </c>
      <c r="N158" s="26">
        <f>IF(C158="","",N(D158)*Q158)</f>
        <v/>
      </c>
      <c r="O158" s="1" t="n"/>
      <c r="P158">
        <f>IF(C158="",0,IFERROR(N(INDEX(Products!$E$6:$E$45,MATCH(C158,Products!$B$6:$B$45,0))),0))</f>
        <v/>
      </c>
      <c r="Q158">
        <f>IF(C158="",0,IFERROR(N(INDEX(Products!$I$6:$I$45,MATCH(C158,Products!$B$6:$B$45,0))),0))</f>
        <v/>
      </c>
      <c r="R158">
        <f>IF(OR(C158="",NOT(ISNUMBER(B158))),"",YEAR(B158)*100+MONTH(B158))</f>
        <v/>
      </c>
      <c r="S158">
        <f>N(G158)*Q158</f>
        <v/>
      </c>
      <c r="T158">
        <f>IF(OR(M158="",M158="Sold out",NOT(ISNUMBER(J158))),"",J158*1000+ROW())</f>
        <v/>
      </c>
    </row>
    <row r="159">
      <c r="A159" s="1" t="n"/>
      <c r="B159" s="20" t="n"/>
      <c r="C159" s="21" t="n"/>
      <c r="D159" s="22" t="n"/>
      <c r="E159" s="22" t="n"/>
      <c r="F159" s="22" t="n"/>
      <c r="G159" s="22" t="n"/>
      <c r="H159" s="23" t="n"/>
      <c r="I159" s="24">
        <f>IF(OR(C159="",NOT(ISNUMBER(B159))),"",UPPER(IF(IFERROR(IF(INDEX(Products!$C$6:$C$45,MATCH(C159,Products!$B$6:$B$45,0))="","",INDEX(Products!$C$6:$C$45,MATCH(C159,Products!$B$6:$B$45,0))),"")="",LEFT(SUBSTITUTE(C159," ",""),3),IFERROR(IF(INDEX(Products!$C$6:$C$45,MATCH(C159,Products!$B$6:$B$45,0))="","",INDEX(Products!$C$6:$C$45,MATCH(C159,Products!$B$6:$B$45,0))),"")))&amp;"-"&amp;RIGHT(YEAR(B159),2)&amp;RIGHT("0"&amp;MONTH(B159),2)&amp;RIGHT("0"&amp;DAY(B159),2)&amp;"-"&amp;COUNTIFS(C$6:C159,C159,B$6:B159,B159))</f>
        <v/>
      </c>
      <c r="J159" s="14">
        <f>IF(OR(C159="",NOT(ISNUMBER(B159)),N(P159)=0),"",B159+P159)</f>
        <v/>
      </c>
      <c r="K159" s="25">
        <f>IF(C159="","",N(D159)-N(E159)-N(F159)-N(G159))</f>
        <v/>
      </c>
      <c r="L159" s="13">
        <f>IF(OR(C159="",N(K159)&lt;=0,NOT(ISNUMBER(J159))),"",J159-TODAY())</f>
        <v/>
      </c>
      <c r="M159" s="12">
        <f>IF(C159="","",IF(N(K159)&lt;=0,"Sold out",IF(NOT(ISNUMBER(J159)),"In stock",IF(J159&lt;TODAY(),"Past its date",IF(J159-TODAY()&lt;=Settings!$C$5,"Use soon","In stock")))))</f>
        <v/>
      </c>
      <c r="N159" s="26">
        <f>IF(C159="","",N(D159)*Q159)</f>
        <v/>
      </c>
      <c r="O159" s="1" t="n"/>
      <c r="P159">
        <f>IF(C159="",0,IFERROR(N(INDEX(Products!$E$6:$E$45,MATCH(C159,Products!$B$6:$B$45,0))),0))</f>
        <v/>
      </c>
      <c r="Q159">
        <f>IF(C159="",0,IFERROR(N(INDEX(Products!$I$6:$I$45,MATCH(C159,Products!$B$6:$B$45,0))),0))</f>
        <v/>
      </c>
      <c r="R159">
        <f>IF(OR(C159="",NOT(ISNUMBER(B159))),"",YEAR(B159)*100+MONTH(B159))</f>
        <v/>
      </c>
      <c r="S159">
        <f>N(G159)*Q159</f>
        <v/>
      </c>
      <c r="T159">
        <f>IF(OR(M159="",M159="Sold out",NOT(ISNUMBER(J159))),"",J159*1000+ROW())</f>
        <v/>
      </c>
    </row>
    <row r="160">
      <c r="A160" s="1" t="n"/>
      <c r="B160" s="20" t="n"/>
      <c r="C160" s="21" t="n"/>
      <c r="D160" s="22" t="n"/>
      <c r="E160" s="22" t="n"/>
      <c r="F160" s="22" t="n"/>
      <c r="G160" s="22" t="n"/>
      <c r="H160" s="23" t="n"/>
      <c r="I160" s="24">
        <f>IF(OR(C160="",NOT(ISNUMBER(B160))),"",UPPER(IF(IFERROR(IF(INDEX(Products!$C$6:$C$45,MATCH(C160,Products!$B$6:$B$45,0))="","",INDEX(Products!$C$6:$C$45,MATCH(C160,Products!$B$6:$B$45,0))),"")="",LEFT(SUBSTITUTE(C160," ",""),3),IFERROR(IF(INDEX(Products!$C$6:$C$45,MATCH(C160,Products!$B$6:$B$45,0))="","",INDEX(Products!$C$6:$C$45,MATCH(C160,Products!$B$6:$B$45,0))),"")))&amp;"-"&amp;RIGHT(YEAR(B160),2)&amp;RIGHT("0"&amp;MONTH(B160),2)&amp;RIGHT("0"&amp;DAY(B160),2)&amp;"-"&amp;COUNTIFS(C$6:C160,C160,B$6:B160,B160))</f>
        <v/>
      </c>
      <c r="J160" s="14">
        <f>IF(OR(C160="",NOT(ISNUMBER(B160)),N(P160)=0),"",B160+P160)</f>
        <v/>
      </c>
      <c r="K160" s="25">
        <f>IF(C160="","",N(D160)-N(E160)-N(F160)-N(G160))</f>
        <v/>
      </c>
      <c r="L160" s="13">
        <f>IF(OR(C160="",N(K160)&lt;=0,NOT(ISNUMBER(J160))),"",J160-TODAY())</f>
        <v/>
      </c>
      <c r="M160" s="12">
        <f>IF(C160="","",IF(N(K160)&lt;=0,"Sold out",IF(NOT(ISNUMBER(J160)),"In stock",IF(J160&lt;TODAY(),"Past its date",IF(J160-TODAY()&lt;=Settings!$C$5,"Use soon","In stock")))))</f>
        <v/>
      </c>
      <c r="N160" s="26">
        <f>IF(C160="","",N(D160)*Q160)</f>
        <v/>
      </c>
      <c r="O160" s="1" t="n"/>
      <c r="P160">
        <f>IF(C160="",0,IFERROR(N(INDEX(Products!$E$6:$E$45,MATCH(C160,Products!$B$6:$B$45,0))),0))</f>
        <v/>
      </c>
      <c r="Q160">
        <f>IF(C160="",0,IFERROR(N(INDEX(Products!$I$6:$I$45,MATCH(C160,Products!$B$6:$B$45,0))),0))</f>
        <v/>
      </c>
      <c r="R160">
        <f>IF(OR(C160="",NOT(ISNUMBER(B160))),"",YEAR(B160)*100+MONTH(B160))</f>
        <v/>
      </c>
      <c r="S160">
        <f>N(G160)*Q160</f>
        <v/>
      </c>
      <c r="T160">
        <f>IF(OR(M160="",M160="Sold out",NOT(ISNUMBER(J160))),"",J160*1000+ROW())</f>
        <v/>
      </c>
    </row>
    <row r="161">
      <c r="A161" s="1" t="n"/>
      <c r="B161" s="20" t="n"/>
      <c r="C161" s="21" t="n"/>
      <c r="D161" s="22" t="n"/>
      <c r="E161" s="22" t="n"/>
      <c r="F161" s="22" t="n"/>
      <c r="G161" s="22" t="n"/>
      <c r="H161" s="23" t="n"/>
      <c r="I161" s="24">
        <f>IF(OR(C161="",NOT(ISNUMBER(B161))),"",UPPER(IF(IFERROR(IF(INDEX(Products!$C$6:$C$45,MATCH(C161,Products!$B$6:$B$45,0))="","",INDEX(Products!$C$6:$C$45,MATCH(C161,Products!$B$6:$B$45,0))),"")="",LEFT(SUBSTITUTE(C161," ",""),3),IFERROR(IF(INDEX(Products!$C$6:$C$45,MATCH(C161,Products!$B$6:$B$45,0))="","",INDEX(Products!$C$6:$C$45,MATCH(C161,Products!$B$6:$B$45,0))),"")))&amp;"-"&amp;RIGHT(YEAR(B161),2)&amp;RIGHT("0"&amp;MONTH(B161),2)&amp;RIGHT("0"&amp;DAY(B161),2)&amp;"-"&amp;COUNTIFS(C$6:C161,C161,B$6:B161,B161))</f>
        <v/>
      </c>
      <c r="J161" s="14">
        <f>IF(OR(C161="",NOT(ISNUMBER(B161)),N(P161)=0),"",B161+P161)</f>
        <v/>
      </c>
      <c r="K161" s="25">
        <f>IF(C161="","",N(D161)-N(E161)-N(F161)-N(G161))</f>
        <v/>
      </c>
      <c r="L161" s="13">
        <f>IF(OR(C161="",N(K161)&lt;=0,NOT(ISNUMBER(J161))),"",J161-TODAY())</f>
        <v/>
      </c>
      <c r="M161" s="12">
        <f>IF(C161="","",IF(N(K161)&lt;=0,"Sold out",IF(NOT(ISNUMBER(J161)),"In stock",IF(J161&lt;TODAY(),"Past its date",IF(J161-TODAY()&lt;=Settings!$C$5,"Use soon","In stock")))))</f>
        <v/>
      </c>
      <c r="N161" s="26">
        <f>IF(C161="","",N(D161)*Q161)</f>
        <v/>
      </c>
      <c r="O161" s="1" t="n"/>
      <c r="P161">
        <f>IF(C161="",0,IFERROR(N(INDEX(Products!$E$6:$E$45,MATCH(C161,Products!$B$6:$B$45,0))),0))</f>
        <v/>
      </c>
      <c r="Q161">
        <f>IF(C161="",0,IFERROR(N(INDEX(Products!$I$6:$I$45,MATCH(C161,Products!$B$6:$B$45,0))),0))</f>
        <v/>
      </c>
      <c r="R161">
        <f>IF(OR(C161="",NOT(ISNUMBER(B161))),"",YEAR(B161)*100+MONTH(B161))</f>
        <v/>
      </c>
      <c r="S161">
        <f>N(G161)*Q161</f>
        <v/>
      </c>
      <c r="T161">
        <f>IF(OR(M161="",M161="Sold out",NOT(ISNUMBER(J161))),"",J161*1000+ROW())</f>
        <v/>
      </c>
    </row>
    <row r="162">
      <c r="A162" s="1" t="n"/>
      <c r="B162" s="20" t="n"/>
      <c r="C162" s="21" t="n"/>
      <c r="D162" s="22" t="n"/>
      <c r="E162" s="22" t="n"/>
      <c r="F162" s="22" t="n"/>
      <c r="G162" s="22" t="n"/>
      <c r="H162" s="23" t="n"/>
      <c r="I162" s="24">
        <f>IF(OR(C162="",NOT(ISNUMBER(B162))),"",UPPER(IF(IFERROR(IF(INDEX(Products!$C$6:$C$45,MATCH(C162,Products!$B$6:$B$45,0))="","",INDEX(Products!$C$6:$C$45,MATCH(C162,Products!$B$6:$B$45,0))),"")="",LEFT(SUBSTITUTE(C162," ",""),3),IFERROR(IF(INDEX(Products!$C$6:$C$45,MATCH(C162,Products!$B$6:$B$45,0))="","",INDEX(Products!$C$6:$C$45,MATCH(C162,Products!$B$6:$B$45,0))),"")))&amp;"-"&amp;RIGHT(YEAR(B162),2)&amp;RIGHT("0"&amp;MONTH(B162),2)&amp;RIGHT("0"&amp;DAY(B162),2)&amp;"-"&amp;COUNTIFS(C$6:C162,C162,B$6:B162,B162))</f>
        <v/>
      </c>
      <c r="J162" s="14">
        <f>IF(OR(C162="",NOT(ISNUMBER(B162)),N(P162)=0),"",B162+P162)</f>
        <v/>
      </c>
      <c r="K162" s="25">
        <f>IF(C162="","",N(D162)-N(E162)-N(F162)-N(G162))</f>
        <v/>
      </c>
      <c r="L162" s="13">
        <f>IF(OR(C162="",N(K162)&lt;=0,NOT(ISNUMBER(J162))),"",J162-TODAY())</f>
        <v/>
      </c>
      <c r="M162" s="12">
        <f>IF(C162="","",IF(N(K162)&lt;=0,"Sold out",IF(NOT(ISNUMBER(J162)),"In stock",IF(J162&lt;TODAY(),"Past its date",IF(J162-TODAY()&lt;=Settings!$C$5,"Use soon","In stock")))))</f>
        <v/>
      </c>
      <c r="N162" s="26">
        <f>IF(C162="","",N(D162)*Q162)</f>
        <v/>
      </c>
      <c r="O162" s="1" t="n"/>
      <c r="P162">
        <f>IF(C162="",0,IFERROR(N(INDEX(Products!$E$6:$E$45,MATCH(C162,Products!$B$6:$B$45,0))),0))</f>
        <v/>
      </c>
      <c r="Q162">
        <f>IF(C162="",0,IFERROR(N(INDEX(Products!$I$6:$I$45,MATCH(C162,Products!$B$6:$B$45,0))),0))</f>
        <v/>
      </c>
      <c r="R162">
        <f>IF(OR(C162="",NOT(ISNUMBER(B162))),"",YEAR(B162)*100+MONTH(B162))</f>
        <v/>
      </c>
      <c r="S162">
        <f>N(G162)*Q162</f>
        <v/>
      </c>
      <c r="T162">
        <f>IF(OR(M162="",M162="Sold out",NOT(ISNUMBER(J162))),"",J162*1000+ROW())</f>
        <v/>
      </c>
    </row>
    <row r="163">
      <c r="A163" s="1" t="n"/>
      <c r="B163" s="20" t="n"/>
      <c r="C163" s="21" t="n"/>
      <c r="D163" s="22" t="n"/>
      <c r="E163" s="22" t="n"/>
      <c r="F163" s="22" t="n"/>
      <c r="G163" s="22" t="n"/>
      <c r="H163" s="23" t="n"/>
      <c r="I163" s="24">
        <f>IF(OR(C163="",NOT(ISNUMBER(B163))),"",UPPER(IF(IFERROR(IF(INDEX(Products!$C$6:$C$45,MATCH(C163,Products!$B$6:$B$45,0))="","",INDEX(Products!$C$6:$C$45,MATCH(C163,Products!$B$6:$B$45,0))),"")="",LEFT(SUBSTITUTE(C163," ",""),3),IFERROR(IF(INDEX(Products!$C$6:$C$45,MATCH(C163,Products!$B$6:$B$45,0))="","",INDEX(Products!$C$6:$C$45,MATCH(C163,Products!$B$6:$B$45,0))),"")))&amp;"-"&amp;RIGHT(YEAR(B163),2)&amp;RIGHT("0"&amp;MONTH(B163),2)&amp;RIGHT("0"&amp;DAY(B163),2)&amp;"-"&amp;COUNTIFS(C$6:C163,C163,B$6:B163,B163))</f>
        <v/>
      </c>
      <c r="J163" s="14">
        <f>IF(OR(C163="",NOT(ISNUMBER(B163)),N(P163)=0),"",B163+P163)</f>
        <v/>
      </c>
      <c r="K163" s="25">
        <f>IF(C163="","",N(D163)-N(E163)-N(F163)-N(G163))</f>
        <v/>
      </c>
      <c r="L163" s="13">
        <f>IF(OR(C163="",N(K163)&lt;=0,NOT(ISNUMBER(J163))),"",J163-TODAY())</f>
        <v/>
      </c>
      <c r="M163" s="12">
        <f>IF(C163="","",IF(N(K163)&lt;=0,"Sold out",IF(NOT(ISNUMBER(J163)),"In stock",IF(J163&lt;TODAY(),"Past its date",IF(J163-TODAY()&lt;=Settings!$C$5,"Use soon","In stock")))))</f>
        <v/>
      </c>
      <c r="N163" s="26">
        <f>IF(C163="","",N(D163)*Q163)</f>
        <v/>
      </c>
      <c r="O163" s="1" t="n"/>
      <c r="P163">
        <f>IF(C163="",0,IFERROR(N(INDEX(Products!$E$6:$E$45,MATCH(C163,Products!$B$6:$B$45,0))),0))</f>
        <v/>
      </c>
      <c r="Q163">
        <f>IF(C163="",0,IFERROR(N(INDEX(Products!$I$6:$I$45,MATCH(C163,Products!$B$6:$B$45,0))),0))</f>
        <v/>
      </c>
      <c r="R163">
        <f>IF(OR(C163="",NOT(ISNUMBER(B163))),"",YEAR(B163)*100+MONTH(B163))</f>
        <v/>
      </c>
      <c r="S163">
        <f>N(G163)*Q163</f>
        <v/>
      </c>
      <c r="T163">
        <f>IF(OR(M163="",M163="Sold out",NOT(ISNUMBER(J163))),"",J163*1000+ROW())</f>
        <v/>
      </c>
    </row>
    <row r="164">
      <c r="A164" s="1" t="n"/>
      <c r="B164" s="20" t="n"/>
      <c r="C164" s="21" t="n"/>
      <c r="D164" s="22" t="n"/>
      <c r="E164" s="22" t="n"/>
      <c r="F164" s="22" t="n"/>
      <c r="G164" s="22" t="n"/>
      <c r="H164" s="23" t="n"/>
      <c r="I164" s="24">
        <f>IF(OR(C164="",NOT(ISNUMBER(B164))),"",UPPER(IF(IFERROR(IF(INDEX(Products!$C$6:$C$45,MATCH(C164,Products!$B$6:$B$45,0))="","",INDEX(Products!$C$6:$C$45,MATCH(C164,Products!$B$6:$B$45,0))),"")="",LEFT(SUBSTITUTE(C164," ",""),3),IFERROR(IF(INDEX(Products!$C$6:$C$45,MATCH(C164,Products!$B$6:$B$45,0))="","",INDEX(Products!$C$6:$C$45,MATCH(C164,Products!$B$6:$B$45,0))),"")))&amp;"-"&amp;RIGHT(YEAR(B164),2)&amp;RIGHT("0"&amp;MONTH(B164),2)&amp;RIGHT("0"&amp;DAY(B164),2)&amp;"-"&amp;COUNTIFS(C$6:C164,C164,B$6:B164,B164))</f>
        <v/>
      </c>
      <c r="J164" s="14">
        <f>IF(OR(C164="",NOT(ISNUMBER(B164)),N(P164)=0),"",B164+P164)</f>
        <v/>
      </c>
      <c r="K164" s="25">
        <f>IF(C164="","",N(D164)-N(E164)-N(F164)-N(G164))</f>
        <v/>
      </c>
      <c r="L164" s="13">
        <f>IF(OR(C164="",N(K164)&lt;=0,NOT(ISNUMBER(J164))),"",J164-TODAY())</f>
        <v/>
      </c>
      <c r="M164" s="12">
        <f>IF(C164="","",IF(N(K164)&lt;=0,"Sold out",IF(NOT(ISNUMBER(J164)),"In stock",IF(J164&lt;TODAY(),"Past its date",IF(J164-TODAY()&lt;=Settings!$C$5,"Use soon","In stock")))))</f>
        <v/>
      </c>
      <c r="N164" s="26">
        <f>IF(C164="","",N(D164)*Q164)</f>
        <v/>
      </c>
      <c r="O164" s="1" t="n"/>
      <c r="P164">
        <f>IF(C164="",0,IFERROR(N(INDEX(Products!$E$6:$E$45,MATCH(C164,Products!$B$6:$B$45,0))),0))</f>
        <v/>
      </c>
      <c r="Q164">
        <f>IF(C164="",0,IFERROR(N(INDEX(Products!$I$6:$I$45,MATCH(C164,Products!$B$6:$B$45,0))),0))</f>
        <v/>
      </c>
      <c r="R164">
        <f>IF(OR(C164="",NOT(ISNUMBER(B164))),"",YEAR(B164)*100+MONTH(B164))</f>
        <v/>
      </c>
      <c r="S164">
        <f>N(G164)*Q164</f>
        <v/>
      </c>
      <c r="T164">
        <f>IF(OR(M164="",M164="Sold out",NOT(ISNUMBER(J164))),"",J164*1000+ROW())</f>
        <v/>
      </c>
    </row>
    <row r="165">
      <c r="A165" s="1" t="n"/>
      <c r="B165" s="20" t="n"/>
      <c r="C165" s="21" t="n"/>
      <c r="D165" s="22" t="n"/>
      <c r="E165" s="22" t="n"/>
      <c r="F165" s="22" t="n"/>
      <c r="G165" s="22" t="n"/>
      <c r="H165" s="23" t="n"/>
      <c r="I165" s="24">
        <f>IF(OR(C165="",NOT(ISNUMBER(B165))),"",UPPER(IF(IFERROR(IF(INDEX(Products!$C$6:$C$45,MATCH(C165,Products!$B$6:$B$45,0))="","",INDEX(Products!$C$6:$C$45,MATCH(C165,Products!$B$6:$B$45,0))),"")="",LEFT(SUBSTITUTE(C165," ",""),3),IFERROR(IF(INDEX(Products!$C$6:$C$45,MATCH(C165,Products!$B$6:$B$45,0))="","",INDEX(Products!$C$6:$C$45,MATCH(C165,Products!$B$6:$B$45,0))),"")))&amp;"-"&amp;RIGHT(YEAR(B165),2)&amp;RIGHT("0"&amp;MONTH(B165),2)&amp;RIGHT("0"&amp;DAY(B165),2)&amp;"-"&amp;COUNTIFS(C$6:C165,C165,B$6:B165,B165))</f>
        <v/>
      </c>
      <c r="J165" s="14">
        <f>IF(OR(C165="",NOT(ISNUMBER(B165)),N(P165)=0),"",B165+P165)</f>
        <v/>
      </c>
      <c r="K165" s="25">
        <f>IF(C165="","",N(D165)-N(E165)-N(F165)-N(G165))</f>
        <v/>
      </c>
      <c r="L165" s="13">
        <f>IF(OR(C165="",N(K165)&lt;=0,NOT(ISNUMBER(J165))),"",J165-TODAY())</f>
        <v/>
      </c>
      <c r="M165" s="12">
        <f>IF(C165="","",IF(N(K165)&lt;=0,"Sold out",IF(NOT(ISNUMBER(J165)),"In stock",IF(J165&lt;TODAY(),"Past its date",IF(J165-TODAY()&lt;=Settings!$C$5,"Use soon","In stock")))))</f>
        <v/>
      </c>
      <c r="N165" s="26">
        <f>IF(C165="","",N(D165)*Q165)</f>
        <v/>
      </c>
      <c r="O165" s="1" t="n"/>
      <c r="P165">
        <f>IF(C165="",0,IFERROR(N(INDEX(Products!$E$6:$E$45,MATCH(C165,Products!$B$6:$B$45,0))),0))</f>
        <v/>
      </c>
      <c r="Q165">
        <f>IF(C165="",0,IFERROR(N(INDEX(Products!$I$6:$I$45,MATCH(C165,Products!$B$6:$B$45,0))),0))</f>
        <v/>
      </c>
      <c r="R165">
        <f>IF(OR(C165="",NOT(ISNUMBER(B165))),"",YEAR(B165)*100+MONTH(B165))</f>
        <v/>
      </c>
      <c r="S165">
        <f>N(G165)*Q165</f>
        <v/>
      </c>
      <c r="T165">
        <f>IF(OR(M165="",M165="Sold out",NOT(ISNUMBER(J165))),"",J165*1000+ROW())</f>
        <v/>
      </c>
    </row>
    <row r="166">
      <c r="A166" s="1" t="n"/>
      <c r="B166" s="20" t="n"/>
      <c r="C166" s="21" t="n"/>
      <c r="D166" s="22" t="n"/>
      <c r="E166" s="22" t="n"/>
      <c r="F166" s="22" t="n"/>
      <c r="G166" s="22" t="n"/>
      <c r="H166" s="23" t="n"/>
      <c r="I166" s="24">
        <f>IF(OR(C166="",NOT(ISNUMBER(B166))),"",UPPER(IF(IFERROR(IF(INDEX(Products!$C$6:$C$45,MATCH(C166,Products!$B$6:$B$45,0))="","",INDEX(Products!$C$6:$C$45,MATCH(C166,Products!$B$6:$B$45,0))),"")="",LEFT(SUBSTITUTE(C166," ",""),3),IFERROR(IF(INDEX(Products!$C$6:$C$45,MATCH(C166,Products!$B$6:$B$45,0))="","",INDEX(Products!$C$6:$C$45,MATCH(C166,Products!$B$6:$B$45,0))),"")))&amp;"-"&amp;RIGHT(YEAR(B166),2)&amp;RIGHT("0"&amp;MONTH(B166),2)&amp;RIGHT("0"&amp;DAY(B166),2)&amp;"-"&amp;COUNTIFS(C$6:C166,C166,B$6:B166,B166))</f>
        <v/>
      </c>
      <c r="J166" s="14">
        <f>IF(OR(C166="",NOT(ISNUMBER(B166)),N(P166)=0),"",B166+P166)</f>
        <v/>
      </c>
      <c r="K166" s="25">
        <f>IF(C166="","",N(D166)-N(E166)-N(F166)-N(G166))</f>
        <v/>
      </c>
      <c r="L166" s="13">
        <f>IF(OR(C166="",N(K166)&lt;=0,NOT(ISNUMBER(J166))),"",J166-TODAY())</f>
        <v/>
      </c>
      <c r="M166" s="12">
        <f>IF(C166="","",IF(N(K166)&lt;=0,"Sold out",IF(NOT(ISNUMBER(J166)),"In stock",IF(J166&lt;TODAY(),"Past its date",IF(J166-TODAY()&lt;=Settings!$C$5,"Use soon","In stock")))))</f>
        <v/>
      </c>
      <c r="N166" s="26">
        <f>IF(C166="","",N(D166)*Q166)</f>
        <v/>
      </c>
      <c r="O166" s="1" t="n"/>
      <c r="P166">
        <f>IF(C166="",0,IFERROR(N(INDEX(Products!$E$6:$E$45,MATCH(C166,Products!$B$6:$B$45,0))),0))</f>
        <v/>
      </c>
      <c r="Q166">
        <f>IF(C166="",0,IFERROR(N(INDEX(Products!$I$6:$I$45,MATCH(C166,Products!$B$6:$B$45,0))),0))</f>
        <v/>
      </c>
      <c r="R166">
        <f>IF(OR(C166="",NOT(ISNUMBER(B166))),"",YEAR(B166)*100+MONTH(B166))</f>
        <v/>
      </c>
      <c r="S166">
        <f>N(G166)*Q166</f>
        <v/>
      </c>
      <c r="T166">
        <f>IF(OR(M166="",M166="Sold out",NOT(ISNUMBER(J166))),"",J166*1000+ROW())</f>
        <v/>
      </c>
    </row>
    <row r="167">
      <c r="A167" s="1" t="n"/>
      <c r="B167" s="20" t="n"/>
      <c r="C167" s="21" t="n"/>
      <c r="D167" s="22" t="n"/>
      <c r="E167" s="22" t="n"/>
      <c r="F167" s="22" t="n"/>
      <c r="G167" s="22" t="n"/>
      <c r="H167" s="23" t="n"/>
      <c r="I167" s="24">
        <f>IF(OR(C167="",NOT(ISNUMBER(B167))),"",UPPER(IF(IFERROR(IF(INDEX(Products!$C$6:$C$45,MATCH(C167,Products!$B$6:$B$45,0))="","",INDEX(Products!$C$6:$C$45,MATCH(C167,Products!$B$6:$B$45,0))),"")="",LEFT(SUBSTITUTE(C167," ",""),3),IFERROR(IF(INDEX(Products!$C$6:$C$45,MATCH(C167,Products!$B$6:$B$45,0))="","",INDEX(Products!$C$6:$C$45,MATCH(C167,Products!$B$6:$B$45,0))),"")))&amp;"-"&amp;RIGHT(YEAR(B167),2)&amp;RIGHT("0"&amp;MONTH(B167),2)&amp;RIGHT("0"&amp;DAY(B167),2)&amp;"-"&amp;COUNTIFS(C$6:C167,C167,B$6:B167,B167))</f>
        <v/>
      </c>
      <c r="J167" s="14">
        <f>IF(OR(C167="",NOT(ISNUMBER(B167)),N(P167)=0),"",B167+P167)</f>
        <v/>
      </c>
      <c r="K167" s="25">
        <f>IF(C167="","",N(D167)-N(E167)-N(F167)-N(G167))</f>
        <v/>
      </c>
      <c r="L167" s="13">
        <f>IF(OR(C167="",N(K167)&lt;=0,NOT(ISNUMBER(J167))),"",J167-TODAY())</f>
        <v/>
      </c>
      <c r="M167" s="12">
        <f>IF(C167="","",IF(N(K167)&lt;=0,"Sold out",IF(NOT(ISNUMBER(J167)),"In stock",IF(J167&lt;TODAY(),"Past its date",IF(J167-TODAY()&lt;=Settings!$C$5,"Use soon","In stock")))))</f>
        <v/>
      </c>
      <c r="N167" s="26">
        <f>IF(C167="","",N(D167)*Q167)</f>
        <v/>
      </c>
      <c r="O167" s="1" t="n"/>
      <c r="P167">
        <f>IF(C167="",0,IFERROR(N(INDEX(Products!$E$6:$E$45,MATCH(C167,Products!$B$6:$B$45,0))),0))</f>
        <v/>
      </c>
      <c r="Q167">
        <f>IF(C167="",0,IFERROR(N(INDEX(Products!$I$6:$I$45,MATCH(C167,Products!$B$6:$B$45,0))),0))</f>
        <v/>
      </c>
      <c r="R167">
        <f>IF(OR(C167="",NOT(ISNUMBER(B167))),"",YEAR(B167)*100+MONTH(B167))</f>
        <v/>
      </c>
      <c r="S167">
        <f>N(G167)*Q167</f>
        <v/>
      </c>
      <c r="T167">
        <f>IF(OR(M167="",M167="Sold out",NOT(ISNUMBER(J167))),"",J167*1000+ROW())</f>
        <v/>
      </c>
    </row>
    <row r="168">
      <c r="A168" s="1" t="n"/>
      <c r="B168" s="20" t="n"/>
      <c r="C168" s="21" t="n"/>
      <c r="D168" s="22" t="n"/>
      <c r="E168" s="22" t="n"/>
      <c r="F168" s="22" t="n"/>
      <c r="G168" s="22" t="n"/>
      <c r="H168" s="23" t="n"/>
      <c r="I168" s="24">
        <f>IF(OR(C168="",NOT(ISNUMBER(B168))),"",UPPER(IF(IFERROR(IF(INDEX(Products!$C$6:$C$45,MATCH(C168,Products!$B$6:$B$45,0))="","",INDEX(Products!$C$6:$C$45,MATCH(C168,Products!$B$6:$B$45,0))),"")="",LEFT(SUBSTITUTE(C168," ",""),3),IFERROR(IF(INDEX(Products!$C$6:$C$45,MATCH(C168,Products!$B$6:$B$45,0))="","",INDEX(Products!$C$6:$C$45,MATCH(C168,Products!$B$6:$B$45,0))),"")))&amp;"-"&amp;RIGHT(YEAR(B168),2)&amp;RIGHT("0"&amp;MONTH(B168),2)&amp;RIGHT("0"&amp;DAY(B168),2)&amp;"-"&amp;COUNTIFS(C$6:C168,C168,B$6:B168,B168))</f>
        <v/>
      </c>
      <c r="J168" s="14">
        <f>IF(OR(C168="",NOT(ISNUMBER(B168)),N(P168)=0),"",B168+P168)</f>
        <v/>
      </c>
      <c r="K168" s="25">
        <f>IF(C168="","",N(D168)-N(E168)-N(F168)-N(G168))</f>
        <v/>
      </c>
      <c r="L168" s="13">
        <f>IF(OR(C168="",N(K168)&lt;=0,NOT(ISNUMBER(J168))),"",J168-TODAY())</f>
        <v/>
      </c>
      <c r="M168" s="12">
        <f>IF(C168="","",IF(N(K168)&lt;=0,"Sold out",IF(NOT(ISNUMBER(J168)),"In stock",IF(J168&lt;TODAY(),"Past its date",IF(J168-TODAY()&lt;=Settings!$C$5,"Use soon","In stock")))))</f>
        <v/>
      </c>
      <c r="N168" s="26">
        <f>IF(C168="","",N(D168)*Q168)</f>
        <v/>
      </c>
      <c r="O168" s="1" t="n"/>
      <c r="P168">
        <f>IF(C168="",0,IFERROR(N(INDEX(Products!$E$6:$E$45,MATCH(C168,Products!$B$6:$B$45,0))),0))</f>
        <v/>
      </c>
      <c r="Q168">
        <f>IF(C168="",0,IFERROR(N(INDEX(Products!$I$6:$I$45,MATCH(C168,Products!$B$6:$B$45,0))),0))</f>
        <v/>
      </c>
      <c r="R168">
        <f>IF(OR(C168="",NOT(ISNUMBER(B168))),"",YEAR(B168)*100+MONTH(B168))</f>
        <v/>
      </c>
      <c r="S168">
        <f>N(G168)*Q168</f>
        <v/>
      </c>
      <c r="T168">
        <f>IF(OR(M168="",M168="Sold out",NOT(ISNUMBER(J168))),"",J168*1000+ROW())</f>
        <v/>
      </c>
    </row>
    <row r="169">
      <c r="A169" s="1" t="n"/>
      <c r="B169" s="20" t="n"/>
      <c r="C169" s="21" t="n"/>
      <c r="D169" s="22" t="n"/>
      <c r="E169" s="22" t="n"/>
      <c r="F169" s="22" t="n"/>
      <c r="G169" s="22" t="n"/>
      <c r="H169" s="23" t="n"/>
      <c r="I169" s="24">
        <f>IF(OR(C169="",NOT(ISNUMBER(B169))),"",UPPER(IF(IFERROR(IF(INDEX(Products!$C$6:$C$45,MATCH(C169,Products!$B$6:$B$45,0))="","",INDEX(Products!$C$6:$C$45,MATCH(C169,Products!$B$6:$B$45,0))),"")="",LEFT(SUBSTITUTE(C169," ",""),3),IFERROR(IF(INDEX(Products!$C$6:$C$45,MATCH(C169,Products!$B$6:$B$45,0))="","",INDEX(Products!$C$6:$C$45,MATCH(C169,Products!$B$6:$B$45,0))),"")))&amp;"-"&amp;RIGHT(YEAR(B169),2)&amp;RIGHT("0"&amp;MONTH(B169),2)&amp;RIGHT("0"&amp;DAY(B169),2)&amp;"-"&amp;COUNTIFS(C$6:C169,C169,B$6:B169,B169))</f>
        <v/>
      </c>
      <c r="J169" s="14">
        <f>IF(OR(C169="",NOT(ISNUMBER(B169)),N(P169)=0),"",B169+P169)</f>
        <v/>
      </c>
      <c r="K169" s="25">
        <f>IF(C169="","",N(D169)-N(E169)-N(F169)-N(G169))</f>
        <v/>
      </c>
      <c r="L169" s="13">
        <f>IF(OR(C169="",N(K169)&lt;=0,NOT(ISNUMBER(J169))),"",J169-TODAY())</f>
        <v/>
      </c>
      <c r="M169" s="12">
        <f>IF(C169="","",IF(N(K169)&lt;=0,"Sold out",IF(NOT(ISNUMBER(J169)),"In stock",IF(J169&lt;TODAY(),"Past its date",IF(J169-TODAY()&lt;=Settings!$C$5,"Use soon","In stock")))))</f>
        <v/>
      </c>
      <c r="N169" s="26">
        <f>IF(C169="","",N(D169)*Q169)</f>
        <v/>
      </c>
      <c r="O169" s="1" t="n"/>
      <c r="P169">
        <f>IF(C169="",0,IFERROR(N(INDEX(Products!$E$6:$E$45,MATCH(C169,Products!$B$6:$B$45,0))),0))</f>
        <v/>
      </c>
      <c r="Q169">
        <f>IF(C169="",0,IFERROR(N(INDEX(Products!$I$6:$I$45,MATCH(C169,Products!$B$6:$B$45,0))),0))</f>
        <v/>
      </c>
      <c r="R169">
        <f>IF(OR(C169="",NOT(ISNUMBER(B169))),"",YEAR(B169)*100+MONTH(B169))</f>
        <v/>
      </c>
      <c r="S169">
        <f>N(G169)*Q169</f>
        <v/>
      </c>
      <c r="T169">
        <f>IF(OR(M169="",M169="Sold out",NOT(ISNUMBER(J169))),"",J169*1000+ROW())</f>
        <v/>
      </c>
    </row>
    <row r="170">
      <c r="A170" s="1" t="n"/>
      <c r="B170" s="20" t="n"/>
      <c r="C170" s="21" t="n"/>
      <c r="D170" s="22" t="n"/>
      <c r="E170" s="22" t="n"/>
      <c r="F170" s="22" t="n"/>
      <c r="G170" s="22" t="n"/>
      <c r="H170" s="23" t="n"/>
      <c r="I170" s="24">
        <f>IF(OR(C170="",NOT(ISNUMBER(B170))),"",UPPER(IF(IFERROR(IF(INDEX(Products!$C$6:$C$45,MATCH(C170,Products!$B$6:$B$45,0))="","",INDEX(Products!$C$6:$C$45,MATCH(C170,Products!$B$6:$B$45,0))),"")="",LEFT(SUBSTITUTE(C170," ",""),3),IFERROR(IF(INDEX(Products!$C$6:$C$45,MATCH(C170,Products!$B$6:$B$45,0))="","",INDEX(Products!$C$6:$C$45,MATCH(C170,Products!$B$6:$B$45,0))),"")))&amp;"-"&amp;RIGHT(YEAR(B170),2)&amp;RIGHT("0"&amp;MONTH(B170),2)&amp;RIGHT("0"&amp;DAY(B170),2)&amp;"-"&amp;COUNTIFS(C$6:C170,C170,B$6:B170,B170))</f>
        <v/>
      </c>
      <c r="J170" s="14">
        <f>IF(OR(C170="",NOT(ISNUMBER(B170)),N(P170)=0),"",B170+P170)</f>
        <v/>
      </c>
      <c r="K170" s="25">
        <f>IF(C170="","",N(D170)-N(E170)-N(F170)-N(G170))</f>
        <v/>
      </c>
      <c r="L170" s="13">
        <f>IF(OR(C170="",N(K170)&lt;=0,NOT(ISNUMBER(J170))),"",J170-TODAY())</f>
        <v/>
      </c>
      <c r="M170" s="12">
        <f>IF(C170="","",IF(N(K170)&lt;=0,"Sold out",IF(NOT(ISNUMBER(J170)),"In stock",IF(J170&lt;TODAY(),"Past its date",IF(J170-TODAY()&lt;=Settings!$C$5,"Use soon","In stock")))))</f>
        <v/>
      </c>
      <c r="N170" s="26">
        <f>IF(C170="","",N(D170)*Q170)</f>
        <v/>
      </c>
      <c r="O170" s="1" t="n"/>
      <c r="P170">
        <f>IF(C170="",0,IFERROR(N(INDEX(Products!$E$6:$E$45,MATCH(C170,Products!$B$6:$B$45,0))),0))</f>
        <v/>
      </c>
      <c r="Q170">
        <f>IF(C170="",0,IFERROR(N(INDEX(Products!$I$6:$I$45,MATCH(C170,Products!$B$6:$B$45,0))),0))</f>
        <v/>
      </c>
      <c r="R170">
        <f>IF(OR(C170="",NOT(ISNUMBER(B170))),"",YEAR(B170)*100+MONTH(B170))</f>
        <v/>
      </c>
      <c r="S170">
        <f>N(G170)*Q170</f>
        <v/>
      </c>
      <c r="T170">
        <f>IF(OR(M170="",M170="Sold out",NOT(ISNUMBER(J170))),"",J170*1000+ROW())</f>
        <v/>
      </c>
    </row>
    <row r="171">
      <c r="A171" s="1" t="n"/>
      <c r="B171" s="20" t="n"/>
      <c r="C171" s="21" t="n"/>
      <c r="D171" s="22" t="n"/>
      <c r="E171" s="22" t="n"/>
      <c r="F171" s="22" t="n"/>
      <c r="G171" s="22" t="n"/>
      <c r="H171" s="23" t="n"/>
      <c r="I171" s="24">
        <f>IF(OR(C171="",NOT(ISNUMBER(B171))),"",UPPER(IF(IFERROR(IF(INDEX(Products!$C$6:$C$45,MATCH(C171,Products!$B$6:$B$45,0))="","",INDEX(Products!$C$6:$C$45,MATCH(C171,Products!$B$6:$B$45,0))),"")="",LEFT(SUBSTITUTE(C171," ",""),3),IFERROR(IF(INDEX(Products!$C$6:$C$45,MATCH(C171,Products!$B$6:$B$45,0))="","",INDEX(Products!$C$6:$C$45,MATCH(C171,Products!$B$6:$B$45,0))),"")))&amp;"-"&amp;RIGHT(YEAR(B171),2)&amp;RIGHT("0"&amp;MONTH(B171),2)&amp;RIGHT("0"&amp;DAY(B171),2)&amp;"-"&amp;COUNTIFS(C$6:C171,C171,B$6:B171,B171))</f>
        <v/>
      </c>
      <c r="J171" s="14">
        <f>IF(OR(C171="",NOT(ISNUMBER(B171)),N(P171)=0),"",B171+P171)</f>
        <v/>
      </c>
      <c r="K171" s="25">
        <f>IF(C171="","",N(D171)-N(E171)-N(F171)-N(G171))</f>
        <v/>
      </c>
      <c r="L171" s="13">
        <f>IF(OR(C171="",N(K171)&lt;=0,NOT(ISNUMBER(J171))),"",J171-TODAY())</f>
        <v/>
      </c>
      <c r="M171" s="12">
        <f>IF(C171="","",IF(N(K171)&lt;=0,"Sold out",IF(NOT(ISNUMBER(J171)),"In stock",IF(J171&lt;TODAY(),"Past its date",IF(J171-TODAY()&lt;=Settings!$C$5,"Use soon","In stock")))))</f>
        <v/>
      </c>
      <c r="N171" s="26">
        <f>IF(C171="","",N(D171)*Q171)</f>
        <v/>
      </c>
      <c r="O171" s="1" t="n"/>
      <c r="P171">
        <f>IF(C171="",0,IFERROR(N(INDEX(Products!$E$6:$E$45,MATCH(C171,Products!$B$6:$B$45,0))),0))</f>
        <v/>
      </c>
      <c r="Q171">
        <f>IF(C171="",0,IFERROR(N(INDEX(Products!$I$6:$I$45,MATCH(C171,Products!$B$6:$B$45,0))),0))</f>
        <v/>
      </c>
      <c r="R171">
        <f>IF(OR(C171="",NOT(ISNUMBER(B171))),"",YEAR(B171)*100+MONTH(B171))</f>
        <v/>
      </c>
      <c r="S171">
        <f>N(G171)*Q171</f>
        <v/>
      </c>
      <c r="T171">
        <f>IF(OR(M171="",M171="Sold out",NOT(ISNUMBER(J171))),"",J171*1000+ROW())</f>
        <v/>
      </c>
    </row>
    <row r="172">
      <c r="A172" s="1" t="n"/>
      <c r="B172" s="20" t="n"/>
      <c r="C172" s="21" t="n"/>
      <c r="D172" s="22" t="n"/>
      <c r="E172" s="22" t="n"/>
      <c r="F172" s="22" t="n"/>
      <c r="G172" s="22" t="n"/>
      <c r="H172" s="23" t="n"/>
      <c r="I172" s="24">
        <f>IF(OR(C172="",NOT(ISNUMBER(B172))),"",UPPER(IF(IFERROR(IF(INDEX(Products!$C$6:$C$45,MATCH(C172,Products!$B$6:$B$45,0))="","",INDEX(Products!$C$6:$C$45,MATCH(C172,Products!$B$6:$B$45,0))),"")="",LEFT(SUBSTITUTE(C172," ",""),3),IFERROR(IF(INDEX(Products!$C$6:$C$45,MATCH(C172,Products!$B$6:$B$45,0))="","",INDEX(Products!$C$6:$C$45,MATCH(C172,Products!$B$6:$B$45,0))),"")))&amp;"-"&amp;RIGHT(YEAR(B172),2)&amp;RIGHT("0"&amp;MONTH(B172),2)&amp;RIGHT("0"&amp;DAY(B172),2)&amp;"-"&amp;COUNTIFS(C$6:C172,C172,B$6:B172,B172))</f>
        <v/>
      </c>
      <c r="J172" s="14">
        <f>IF(OR(C172="",NOT(ISNUMBER(B172)),N(P172)=0),"",B172+P172)</f>
        <v/>
      </c>
      <c r="K172" s="25">
        <f>IF(C172="","",N(D172)-N(E172)-N(F172)-N(G172))</f>
        <v/>
      </c>
      <c r="L172" s="13">
        <f>IF(OR(C172="",N(K172)&lt;=0,NOT(ISNUMBER(J172))),"",J172-TODAY())</f>
        <v/>
      </c>
      <c r="M172" s="12">
        <f>IF(C172="","",IF(N(K172)&lt;=0,"Sold out",IF(NOT(ISNUMBER(J172)),"In stock",IF(J172&lt;TODAY(),"Past its date",IF(J172-TODAY()&lt;=Settings!$C$5,"Use soon","In stock")))))</f>
        <v/>
      </c>
      <c r="N172" s="26">
        <f>IF(C172="","",N(D172)*Q172)</f>
        <v/>
      </c>
      <c r="O172" s="1" t="n"/>
      <c r="P172">
        <f>IF(C172="",0,IFERROR(N(INDEX(Products!$E$6:$E$45,MATCH(C172,Products!$B$6:$B$45,0))),0))</f>
        <v/>
      </c>
      <c r="Q172">
        <f>IF(C172="",0,IFERROR(N(INDEX(Products!$I$6:$I$45,MATCH(C172,Products!$B$6:$B$45,0))),0))</f>
        <v/>
      </c>
      <c r="R172">
        <f>IF(OR(C172="",NOT(ISNUMBER(B172))),"",YEAR(B172)*100+MONTH(B172))</f>
        <v/>
      </c>
      <c r="S172">
        <f>N(G172)*Q172</f>
        <v/>
      </c>
      <c r="T172">
        <f>IF(OR(M172="",M172="Sold out",NOT(ISNUMBER(J172))),"",J172*1000+ROW())</f>
        <v/>
      </c>
    </row>
    <row r="173">
      <c r="A173" s="1" t="n"/>
      <c r="B173" s="20" t="n"/>
      <c r="C173" s="21" t="n"/>
      <c r="D173" s="22" t="n"/>
      <c r="E173" s="22" t="n"/>
      <c r="F173" s="22" t="n"/>
      <c r="G173" s="22" t="n"/>
      <c r="H173" s="23" t="n"/>
      <c r="I173" s="24">
        <f>IF(OR(C173="",NOT(ISNUMBER(B173))),"",UPPER(IF(IFERROR(IF(INDEX(Products!$C$6:$C$45,MATCH(C173,Products!$B$6:$B$45,0))="","",INDEX(Products!$C$6:$C$45,MATCH(C173,Products!$B$6:$B$45,0))),"")="",LEFT(SUBSTITUTE(C173," ",""),3),IFERROR(IF(INDEX(Products!$C$6:$C$45,MATCH(C173,Products!$B$6:$B$45,0))="","",INDEX(Products!$C$6:$C$45,MATCH(C173,Products!$B$6:$B$45,0))),"")))&amp;"-"&amp;RIGHT(YEAR(B173),2)&amp;RIGHT("0"&amp;MONTH(B173),2)&amp;RIGHT("0"&amp;DAY(B173),2)&amp;"-"&amp;COUNTIFS(C$6:C173,C173,B$6:B173,B173))</f>
        <v/>
      </c>
      <c r="J173" s="14">
        <f>IF(OR(C173="",NOT(ISNUMBER(B173)),N(P173)=0),"",B173+P173)</f>
        <v/>
      </c>
      <c r="K173" s="25">
        <f>IF(C173="","",N(D173)-N(E173)-N(F173)-N(G173))</f>
        <v/>
      </c>
      <c r="L173" s="13">
        <f>IF(OR(C173="",N(K173)&lt;=0,NOT(ISNUMBER(J173))),"",J173-TODAY())</f>
        <v/>
      </c>
      <c r="M173" s="12">
        <f>IF(C173="","",IF(N(K173)&lt;=0,"Sold out",IF(NOT(ISNUMBER(J173)),"In stock",IF(J173&lt;TODAY(),"Past its date",IF(J173-TODAY()&lt;=Settings!$C$5,"Use soon","In stock")))))</f>
        <v/>
      </c>
      <c r="N173" s="26">
        <f>IF(C173="","",N(D173)*Q173)</f>
        <v/>
      </c>
      <c r="O173" s="1" t="n"/>
      <c r="P173">
        <f>IF(C173="",0,IFERROR(N(INDEX(Products!$E$6:$E$45,MATCH(C173,Products!$B$6:$B$45,0))),0))</f>
        <v/>
      </c>
      <c r="Q173">
        <f>IF(C173="",0,IFERROR(N(INDEX(Products!$I$6:$I$45,MATCH(C173,Products!$B$6:$B$45,0))),0))</f>
        <v/>
      </c>
      <c r="R173">
        <f>IF(OR(C173="",NOT(ISNUMBER(B173))),"",YEAR(B173)*100+MONTH(B173))</f>
        <v/>
      </c>
      <c r="S173">
        <f>N(G173)*Q173</f>
        <v/>
      </c>
      <c r="T173">
        <f>IF(OR(M173="",M173="Sold out",NOT(ISNUMBER(J173))),"",J173*1000+ROW())</f>
        <v/>
      </c>
    </row>
    <row r="174">
      <c r="A174" s="1" t="n"/>
      <c r="B174" s="20" t="n"/>
      <c r="C174" s="21" t="n"/>
      <c r="D174" s="22" t="n"/>
      <c r="E174" s="22" t="n"/>
      <c r="F174" s="22" t="n"/>
      <c r="G174" s="22" t="n"/>
      <c r="H174" s="23" t="n"/>
      <c r="I174" s="24">
        <f>IF(OR(C174="",NOT(ISNUMBER(B174))),"",UPPER(IF(IFERROR(IF(INDEX(Products!$C$6:$C$45,MATCH(C174,Products!$B$6:$B$45,0))="","",INDEX(Products!$C$6:$C$45,MATCH(C174,Products!$B$6:$B$45,0))),"")="",LEFT(SUBSTITUTE(C174," ",""),3),IFERROR(IF(INDEX(Products!$C$6:$C$45,MATCH(C174,Products!$B$6:$B$45,0))="","",INDEX(Products!$C$6:$C$45,MATCH(C174,Products!$B$6:$B$45,0))),"")))&amp;"-"&amp;RIGHT(YEAR(B174),2)&amp;RIGHT("0"&amp;MONTH(B174),2)&amp;RIGHT("0"&amp;DAY(B174),2)&amp;"-"&amp;COUNTIFS(C$6:C174,C174,B$6:B174,B174))</f>
        <v/>
      </c>
      <c r="J174" s="14">
        <f>IF(OR(C174="",NOT(ISNUMBER(B174)),N(P174)=0),"",B174+P174)</f>
        <v/>
      </c>
      <c r="K174" s="25">
        <f>IF(C174="","",N(D174)-N(E174)-N(F174)-N(G174))</f>
        <v/>
      </c>
      <c r="L174" s="13">
        <f>IF(OR(C174="",N(K174)&lt;=0,NOT(ISNUMBER(J174))),"",J174-TODAY())</f>
        <v/>
      </c>
      <c r="M174" s="12">
        <f>IF(C174="","",IF(N(K174)&lt;=0,"Sold out",IF(NOT(ISNUMBER(J174)),"In stock",IF(J174&lt;TODAY(),"Past its date",IF(J174-TODAY()&lt;=Settings!$C$5,"Use soon","In stock")))))</f>
        <v/>
      </c>
      <c r="N174" s="26">
        <f>IF(C174="","",N(D174)*Q174)</f>
        <v/>
      </c>
      <c r="O174" s="1" t="n"/>
      <c r="P174">
        <f>IF(C174="",0,IFERROR(N(INDEX(Products!$E$6:$E$45,MATCH(C174,Products!$B$6:$B$45,0))),0))</f>
        <v/>
      </c>
      <c r="Q174">
        <f>IF(C174="",0,IFERROR(N(INDEX(Products!$I$6:$I$45,MATCH(C174,Products!$B$6:$B$45,0))),0))</f>
        <v/>
      </c>
      <c r="R174">
        <f>IF(OR(C174="",NOT(ISNUMBER(B174))),"",YEAR(B174)*100+MONTH(B174))</f>
        <v/>
      </c>
      <c r="S174">
        <f>N(G174)*Q174</f>
        <v/>
      </c>
      <c r="T174">
        <f>IF(OR(M174="",M174="Sold out",NOT(ISNUMBER(J174))),"",J174*1000+ROW())</f>
        <v/>
      </c>
    </row>
    <row r="175">
      <c r="A175" s="1" t="n"/>
      <c r="B175" s="20" t="n"/>
      <c r="C175" s="21" t="n"/>
      <c r="D175" s="22" t="n"/>
      <c r="E175" s="22" t="n"/>
      <c r="F175" s="22" t="n"/>
      <c r="G175" s="22" t="n"/>
      <c r="H175" s="23" t="n"/>
      <c r="I175" s="24">
        <f>IF(OR(C175="",NOT(ISNUMBER(B175))),"",UPPER(IF(IFERROR(IF(INDEX(Products!$C$6:$C$45,MATCH(C175,Products!$B$6:$B$45,0))="","",INDEX(Products!$C$6:$C$45,MATCH(C175,Products!$B$6:$B$45,0))),"")="",LEFT(SUBSTITUTE(C175," ",""),3),IFERROR(IF(INDEX(Products!$C$6:$C$45,MATCH(C175,Products!$B$6:$B$45,0))="","",INDEX(Products!$C$6:$C$45,MATCH(C175,Products!$B$6:$B$45,0))),"")))&amp;"-"&amp;RIGHT(YEAR(B175),2)&amp;RIGHT("0"&amp;MONTH(B175),2)&amp;RIGHT("0"&amp;DAY(B175),2)&amp;"-"&amp;COUNTIFS(C$6:C175,C175,B$6:B175,B175))</f>
        <v/>
      </c>
      <c r="J175" s="14">
        <f>IF(OR(C175="",NOT(ISNUMBER(B175)),N(P175)=0),"",B175+P175)</f>
        <v/>
      </c>
      <c r="K175" s="25">
        <f>IF(C175="","",N(D175)-N(E175)-N(F175)-N(G175))</f>
        <v/>
      </c>
      <c r="L175" s="13">
        <f>IF(OR(C175="",N(K175)&lt;=0,NOT(ISNUMBER(J175))),"",J175-TODAY())</f>
        <v/>
      </c>
      <c r="M175" s="12">
        <f>IF(C175="","",IF(N(K175)&lt;=0,"Sold out",IF(NOT(ISNUMBER(J175)),"In stock",IF(J175&lt;TODAY(),"Past its date",IF(J175-TODAY()&lt;=Settings!$C$5,"Use soon","In stock")))))</f>
        <v/>
      </c>
      <c r="N175" s="26">
        <f>IF(C175="","",N(D175)*Q175)</f>
        <v/>
      </c>
      <c r="O175" s="1" t="n"/>
      <c r="P175">
        <f>IF(C175="",0,IFERROR(N(INDEX(Products!$E$6:$E$45,MATCH(C175,Products!$B$6:$B$45,0))),0))</f>
        <v/>
      </c>
      <c r="Q175">
        <f>IF(C175="",0,IFERROR(N(INDEX(Products!$I$6:$I$45,MATCH(C175,Products!$B$6:$B$45,0))),0))</f>
        <v/>
      </c>
      <c r="R175">
        <f>IF(OR(C175="",NOT(ISNUMBER(B175))),"",YEAR(B175)*100+MONTH(B175))</f>
        <v/>
      </c>
      <c r="S175">
        <f>N(G175)*Q175</f>
        <v/>
      </c>
      <c r="T175">
        <f>IF(OR(M175="",M175="Sold out",NOT(ISNUMBER(J175))),"",J175*1000+ROW())</f>
        <v/>
      </c>
    </row>
    <row r="176">
      <c r="A176" s="1" t="n"/>
      <c r="B176" s="20" t="n"/>
      <c r="C176" s="21" t="n"/>
      <c r="D176" s="22" t="n"/>
      <c r="E176" s="22" t="n"/>
      <c r="F176" s="22" t="n"/>
      <c r="G176" s="22" t="n"/>
      <c r="H176" s="23" t="n"/>
      <c r="I176" s="24">
        <f>IF(OR(C176="",NOT(ISNUMBER(B176))),"",UPPER(IF(IFERROR(IF(INDEX(Products!$C$6:$C$45,MATCH(C176,Products!$B$6:$B$45,0))="","",INDEX(Products!$C$6:$C$45,MATCH(C176,Products!$B$6:$B$45,0))),"")="",LEFT(SUBSTITUTE(C176," ",""),3),IFERROR(IF(INDEX(Products!$C$6:$C$45,MATCH(C176,Products!$B$6:$B$45,0))="","",INDEX(Products!$C$6:$C$45,MATCH(C176,Products!$B$6:$B$45,0))),"")))&amp;"-"&amp;RIGHT(YEAR(B176),2)&amp;RIGHT("0"&amp;MONTH(B176),2)&amp;RIGHT("0"&amp;DAY(B176),2)&amp;"-"&amp;COUNTIFS(C$6:C176,C176,B$6:B176,B176))</f>
        <v/>
      </c>
      <c r="J176" s="14">
        <f>IF(OR(C176="",NOT(ISNUMBER(B176)),N(P176)=0),"",B176+P176)</f>
        <v/>
      </c>
      <c r="K176" s="25">
        <f>IF(C176="","",N(D176)-N(E176)-N(F176)-N(G176))</f>
        <v/>
      </c>
      <c r="L176" s="13">
        <f>IF(OR(C176="",N(K176)&lt;=0,NOT(ISNUMBER(J176))),"",J176-TODAY())</f>
        <v/>
      </c>
      <c r="M176" s="12">
        <f>IF(C176="","",IF(N(K176)&lt;=0,"Sold out",IF(NOT(ISNUMBER(J176)),"In stock",IF(J176&lt;TODAY(),"Past its date",IF(J176-TODAY()&lt;=Settings!$C$5,"Use soon","In stock")))))</f>
        <v/>
      </c>
      <c r="N176" s="26">
        <f>IF(C176="","",N(D176)*Q176)</f>
        <v/>
      </c>
      <c r="O176" s="1" t="n"/>
      <c r="P176">
        <f>IF(C176="",0,IFERROR(N(INDEX(Products!$E$6:$E$45,MATCH(C176,Products!$B$6:$B$45,0))),0))</f>
        <v/>
      </c>
      <c r="Q176">
        <f>IF(C176="",0,IFERROR(N(INDEX(Products!$I$6:$I$45,MATCH(C176,Products!$B$6:$B$45,0))),0))</f>
        <v/>
      </c>
      <c r="R176">
        <f>IF(OR(C176="",NOT(ISNUMBER(B176))),"",YEAR(B176)*100+MONTH(B176))</f>
        <v/>
      </c>
      <c r="S176">
        <f>N(G176)*Q176</f>
        <v/>
      </c>
      <c r="T176">
        <f>IF(OR(M176="",M176="Sold out",NOT(ISNUMBER(J176))),"",J176*1000+ROW())</f>
        <v/>
      </c>
    </row>
    <row r="177">
      <c r="A177" s="1" t="n"/>
      <c r="B177" s="20" t="n"/>
      <c r="C177" s="21" t="n"/>
      <c r="D177" s="22" t="n"/>
      <c r="E177" s="22" t="n"/>
      <c r="F177" s="22" t="n"/>
      <c r="G177" s="22" t="n"/>
      <c r="H177" s="23" t="n"/>
      <c r="I177" s="24">
        <f>IF(OR(C177="",NOT(ISNUMBER(B177))),"",UPPER(IF(IFERROR(IF(INDEX(Products!$C$6:$C$45,MATCH(C177,Products!$B$6:$B$45,0))="","",INDEX(Products!$C$6:$C$45,MATCH(C177,Products!$B$6:$B$45,0))),"")="",LEFT(SUBSTITUTE(C177," ",""),3),IFERROR(IF(INDEX(Products!$C$6:$C$45,MATCH(C177,Products!$B$6:$B$45,0))="","",INDEX(Products!$C$6:$C$45,MATCH(C177,Products!$B$6:$B$45,0))),"")))&amp;"-"&amp;RIGHT(YEAR(B177),2)&amp;RIGHT("0"&amp;MONTH(B177),2)&amp;RIGHT("0"&amp;DAY(B177),2)&amp;"-"&amp;COUNTIFS(C$6:C177,C177,B$6:B177,B177))</f>
        <v/>
      </c>
      <c r="J177" s="14">
        <f>IF(OR(C177="",NOT(ISNUMBER(B177)),N(P177)=0),"",B177+P177)</f>
        <v/>
      </c>
      <c r="K177" s="25">
        <f>IF(C177="","",N(D177)-N(E177)-N(F177)-N(G177))</f>
        <v/>
      </c>
      <c r="L177" s="13">
        <f>IF(OR(C177="",N(K177)&lt;=0,NOT(ISNUMBER(J177))),"",J177-TODAY())</f>
        <v/>
      </c>
      <c r="M177" s="12">
        <f>IF(C177="","",IF(N(K177)&lt;=0,"Sold out",IF(NOT(ISNUMBER(J177)),"In stock",IF(J177&lt;TODAY(),"Past its date",IF(J177-TODAY()&lt;=Settings!$C$5,"Use soon","In stock")))))</f>
        <v/>
      </c>
      <c r="N177" s="26">
        <f>IF(C177="","",N(D177)*Q177)</f>
        <v/>
      </c>
      <c r="O177" s="1" t="n"/>
      <c r="P177">
        <f>IF(C177="",0,IFERROR(N(INDEX(Products!$E$6:$E$45,MATCH(C177,Products!$B$6:$B$45,0))),0))</f>
        <v/>
      </c>
      <c r="Q177">
        <f>IF(C177="",0,IFERROR(N(INDEX(Products!$I$6:$I$45,MATCH(C177,Products!$B$6:$B$45,0))),0))</f>
        <v/>
      </c>
      <c r="R177">
        <f>IF(OR(C177="",NOT(ISNUMBER(B177))),"",YEAR(B177)*100+MONTH(B177))</f>
        <v/>
      </c>
      <c r="S177">
        <f>N(G177)*Q177</f>
        <v/>
      </c>
      <c r="T177">
        <f>IF(OR(M177="",M177="Sold out",NOT(ISNUMBER(J177))),"",J177*1000+ROW())</f>
        <v/>
      </c>
    </row>
    <row r="178">
      <c r="A178" s="1" t="n"/>
      <c r="B178" s="20" t="n"/>
      <c r="C178" s="21" t="n"/>
      <c r="D178" s="22" t="n"/>
      <c r="E178" s="22" t="n"/>
      <c r="F178" s="22" t="n"/>
      <c r="G178" s="22" t="n"/>
      <c r="H178" s="23" t="n"/>
      <c r="I178" s="24">
        <f>IF(OR(C178="",NOT(ISNUMBER(B178))),"",UPPER(IF(IFERROR(IF(INDEX(Products!$C$6:$C$45,MATCH(C178,Products!$B$6:$B$45,0))="","",INDEX(Products!$C$6:$C$45,MATCH(C178,Products!$B$6:$B$45,0))),"")="",LEFT(SUBSTITUTE(C178," ",""),3),IFERROR(IF(INDEX(Products!$C$6:$C$45,MATCH(C178,Products!$B$6:$B$45,0))="","",INDEX(Products!$C$6:$C$45,MATCH(C178,Products!$B$6:$B$45,0))),"")))&amp;"-"&amp;RIGHT(YEAR(B178),2)&amp;RIGHT("0"&amp;MONTH(B178),2)&amp;RIGHT("0"&amp;DAY(B178),2)&amp;"-"&amp;COUNTIFS(C$6:C178,C178,B$6:B178,B178))</f>
        <v/>
      </c>
      <c r="J178" s="14">
        <f>IF(OR(C178="",NOT(ISNUMBER(B178)),N(P178)=0),"",B178+P178)</f>
        <v/>
      </c>
      <c r="K178" s="25">
        <f>IF(C178="","",N(D178)-N(E178)-N(F178)-N(G178))</f>
        <v/>
      </c>
      <c r="L178" s="13">
        <f>IF(OR(C178="",N(K178)&lt;=0,NOT(ISNUMBER(J178))),"",J178-TODAY())</f>
        <v/>
      </c>
      <c r="M178" s="12">
        <f>IF(C178="","",IF(N(K178)&lt;=0,"Sold out",IF(NOT(ISNUMBER(J178)),"In stock",IF(J178&lt;TODAY(),"Past its date",IF(J178-TODAY()&lt;=Settings!$C$5,"Use soon","In stock")))))</f>
        <v/>
      </c>
      <c r="N178" s="26">
        <f>IF(C178="","",N(D178)*Q178)</f>
        <v/>
      </c>
      <c r="O178" s="1" t="n"/>
      <c r="P178">
        <f>IF(C178="",0,IFERROR(N(INDEX(Products!$E$6:$E$45,MATCH(C178,Products!$B$6:$B$45,0))),0))</f>
        <v/>
      </c>
      <c r="Q178">
        <f>IF(C178="",0,IFERROR(N(INDEX(Products!$I$6:$I$45,MATCH(C178,Products!$B$6:$B$45,0))),0))</f>
        <v/>
      </c>
      <c r="R178">
        <f>IF(OR(C178="",NOT(ISNUMBER(B178))),"",YEAR(B178)*100+MONTH(B178))</f>
        <v/>
      </c>
      <c r="S178">
        <f>N(G178)*Q178</f>
        <v/>
      </c>
      <c r="T178">
        <f>IF(OR(M178="",M178="Sold out",NOT(ISNUMBER(J178))),"",J178*1000+ROW())</f>
        <v/>
      </c>
    </row>
    <row r="179">
      <c r="A179" s="1" t="n"/>
      <c r="B179" s="20" t="n"/>
      <c r="C179" s="21" t="n"/>
      <c r="D179" s="22" t="n"/>
      <c r="E179" s="22" t="n"/>
      <c r="F179" s="22" t="n"/>
      <c r="G179" s="22" t="n"/>
      <c r="H179" s="23" t="n"/>
      <c r="I179" s="24">
        <f>IF(OR(C179="",NOT(ISNUMBER(B179))),"",UPPER(IF(IFERROR(IF(INDEX(Products!$C$6:$C$45,MATCH(C179,Products!$B$6:$B$45,0))="","",INDEX(Products!$C$6:$C$45,MATCH(C179,Products!$B$6:$B$45,0))),"")="",LEFT(SUBSTITUTE(C179," ",""),3),IFERROR(IF(INDEX(Products!$C$6:$C$45,MATCH(C179,Products!$B$6:$B$45,0))="","",INDEX(Products!$C$6:$C$45,MATCH(C179,Products!$B$6:$B$45,0))),"")))&amp;"-"&amp;RIGHT(YEAR(B179),2)&amp;RIGHT("0"&amp;MONTH(B179),2)&amp;RIGHT("0"&amp;DAY(B179),2)&amp;"-"&amp;COUNTIFS(C$6:C179,C179,B$6:B179,B179))</f>
        <v/>
      </c>
      <c r="J179" s="14">
        <f>IF(OR(C179="",NOT(ISNUMBER(B179)),N(P179)=0),"",B179+P179)</f>
        <v/>
      </c>
      <c r="K179" s="25">
        <f>IF(C179="","",N(D179)-N(E179)-N(F179)-N(G179))</f>
        <v/>
      </c>
      <c r="L179" s="13">
        <f>IF(OR(C179="",N(K179)&lt;=0,NOT(ISNUMBER(J179))),"",J179-TODAY())</f>
        <v/>
      </c>
      <c r="M179" s="12">
        <f>IF(C179="","",IF(N(K179)&lt;=0,"Sold out",IF(NOT(ISNUMBER(J179)),"In stock",IF(J179&lt;TODAY(),"Past its date",IF(J179-TODAY()&lt;=Settings!$C$5,"Use soon","In stock")))))</f>
        <v/>
      </c>
      <c r="N179" s="26">
        <f>IF(C179="","",N(D179)*Q179)</f>
        <v/>
      </c>
      <c r="O179" s="1" t="n"/>
      <c r="P179">
        <f>IF(C179="",0,IFERROR(N(INDEX(Products!$E$6:$E$45,MATCH(C179,Products!$B$6:$B$45,0))),0))</f>
        <v/>
      </c>
      <c r="Q179">
        <f>IF(C179="",0,IFERROR(N(INDEX(Products!$I$6:$I$45,MATCH(C179,Products!$B$6:$B$45,0))),0))</f>
        <v/>
      </c>
      <c r="R179">
        <f>IF(OR(C179="",NOT(ISNUMBER(B179))),"",YEAR(B179)*100+MONTH(B179))</f>
        <v/>
      </c>
      <c r="S179">
        <f>N(G179)*Q179</f>
        <v/>
      </c>
      <c r="T179">
        <f>IF(OR(M179="",M179="Sold out",NOT(ISNUMBER(J179))),"",J179*1000+ROW())</f>
        <v/>
      </c>
    </row>
    <row r="180">
      <c r="A180" s="1" t="n"/>
      <c r="B180" s="20" t="n"/>
      <c r="C180" s="21" t="n"/>
      <c r="D180" s="22" t="n"/>
      <c r="E180" s="22" t="n"/>
      <c r="F180" s="22" t="n"/>
      <c r="G180" s="22" t="n"/>
      <c r="H180" s="23" t="n"/>
      <c r="I180" s="24">
        <f>IF(OR(C180="",NOT(ISNUMBER(B180))),"",UPPER(IF(IFERROR(IF(INDEX(Products!$C$6:$C$45,MATCH(C180,Products!$B$6:$B$45,0))="","",INDEX(Products!$C$6:$C$45,MATCH(C180,Products!$B$6:$B$45,0))),"")="",LEFT(SUBSTITUTE(C180," ",""),3),IFERROR(IF(INDEX(Products!$C$6:$C$45,MATCH(C180,Products!$B$6:$B$45,0))="","",INDEX(Products!$C$6:$C$45,MATCH(C180,Products!$B$6:$B$45,0))),"")))&amp;"-"&amp;RIGHT(YEAR(B180),2)&amp;RIGHT("0"&amp;MONTH(B180),2)&amp;RIGHT("0"&amp;DAY(B180),2)&amp;"-"&amp;COUNTIFS(C$6:C180,C180,B$6:B180,B180))</f>
        <v/>
      </c>
      <c r="J180" s="14">
        <f>IF(OR(C180="",NOT(ISNUMBER(B180)),N(P180)=0),"",B180+P180)</f>
        <v/>
      </c>
      <c r="K180" s="25">
        <f>IF(C180="","",N(D180)-N(E180)-N(F180)-N(G180))</f>
        <v/>
      </c>
      <c r="L180" s="13">
        <f>IF(OR(C180="",N(K180)&lt;=0,NOT(ISNUMBER(J180))),"",J180-TODAY())</f>
        <v/>
      </c>
      <c r="M180" s="12">
        <f>IF(C180="","",IF(N(K180)&lt;=0,"Sold out",IF(NOT(ISNUMBER(J180)),"In stock",IF(J180&lt;TODAY(),"Past its date",IF(J180-TODAY()&lt;=Settings!$C$5,"Use soon","In stock")))))</f>
        <v/>
      </c>
      <c r="N180" s="26">
        <f>IF(C180="","",N(D180)*Q180)</f>
        <v/>
      </c>
      <c r="O180" s="1" t="n"/>
      <c r="P180">
        <f>IF(C180="",0,IFERROR(N(INDEX(Products!$E$6:$E$45,MATCH(C180,Products!$B$6:$B$45,0))),0))</f>
        <v/>
      </c>
      <c r="Q180">
        <f>IF(C180="",0,IFERROR(N(INDEX(Products!$I$6:$I$45,MATCH(C180,Products!$B$6:$B$45,0))),0))</f>
        <v/>
      </c>
      <c r="R180">
        <f>IF(OR(C180="",NOT(ISNUMBER(B180))),"",YEAR(B180)*100+MONTH(B180))</f>
        <v/>
      </c>
      <c r="S180">
        <f>N(G180)*Q180</f>
        <v/>
      </c>
      <c r="T180">
        <f>IF(OR(M180="",M180="Sold out",NOT(ISNUMBER(J180))),"",J180*1000+ROW())</f>
        <v/>
      </c>
    </row>
    <row r="181">
      <c r="A181" s="1" t="n"/>
      <c r="B181" s="20" t="n"/>
      <c r="C181" s="21" t="n"/>
      <c r="D181" s="22" t="n"/>
      <c r="E181" s="22" t="n"/>
      <c r="F181" s="22" t="n"/>
      <c r="G181" s="22" t="n"/>
      <c r="H181" s="23" t="n"/>
      <c r="I181" s="24">
        <f>IF(OR(C181="",NOT(ISNUMBER(B181))),"",UPPER(IF(IFERROR(IF(INDEX(Products!$C$6:$C$45,MATCH(C181,Products!$B$6:$B$45,0))="","",INDEX(Products!$C$6:$C$45,MATCH(C181,Products!$B$6:$B$45,0))),"")="",LEFT(SUBSTITUTE(C181," ",""),3),IFERROR(IF(INDEX(Products!$C$6:$C$45,MATCH(C181,Products!$B$6:$B$45,0))="","",INDEX(Products!$C$6:$C$45,MATCH(C181,Products!$B$6:$B$45,0))),"")))&amp;"-"&amp;RIGHT(YEAR(B181),2)&amp;RIGHT("0"&amp;MONTH(B181),2)&amp;RIGHT("0"&amp;DAY(B181),2)&amp;"-"&amp;COUNTIFS(C$6:C181,C181,B$6:B181,B181))</f>
        <v/>
      </c>
      <c r="J181" s="14">
        <f>IF(OR(C181="",NOT(ISNUMBER(B181)),N(P181)=0),"",B181+P181)</f>
        <v/>
      </c>
      <c r="K181" s="25">
        <f>IF(C181="","",N(D181)-N(E181)-N(F181)-N(G181))</f>
        <v/>
      </c>
      <c r="L181" s="13">
        <f>IF(OR(C181="",N(K181)&lt;=0,NOT(ISNUMBER(J181))),"",J181-TODAY())</f>
        <v/>
      </c>
      <c r="M181" s="12">
        <f>IF(C181="","",IF(N(K181)&lt;=0,"Sold out",IF(NOT(ISNUMBER(J181)),"In stock",IF(J181&lt;TODAY(),"Past its date",IF(J181-TODAY()&lt;=Settings!$C$5,"Use soon","In stock")))))</f>
        <v/>
      </c>
      <c r="N181" s="26">
        <f>IF(C181="","",N(D181)*Q181)</f>
        <v/>
      </c>
      <c r="O181" s="1" t="n"/>
      <c r="P181">
        <f>IF(C181="",0,IFERROR(N(INDEX(Products!$E$6:$E$45,MATCH(C181,Products!$B$6:$B$45,0))),0))</f>
        <v/>
      </c>
      <c r="Q181">
        <f>IF(C181="",0,IFERROR(N(INDEX(Products!$I$6:$I$45,MATCH(C181,Products!$B$6:$B$45,0))),0))</f>
        <v/>
      </c>
      <c r="R181">
        <f>IF(OR(C181="",NOT(ISNUMBER(B181))),"",YEAR(B181)*100+MONTH(B181))</f>
        <v/>
      </c>
      <c r="S181">
        <f>N(G181)*Q181</f>
        <v/>
      </c>
      <c r="T181">
        <f>IF(OR(M181="",M181="Sold out",NOT(ISNUMBER(J181))),"",J181*1000+ROW())</f>
        <v/>
      </c>
    </row>
    <row r="182">
      <c r="A182" s="1" t="n"/>
      <c r="B182" s="20" t="n"/>
      <c r="C182" s="21" t="n"/>
      <c r="D182" s="22" t="n"/>
      <c r="E182" s="22" t="n"/>
      <c r="F182" s="22" t="n"/>
      <c r="G182" s="22" t="n"/>
      <c r="H182" s="23" t="n"/>
      <c r="I182" s="24">
        <f>IF(OR(C182="",NOT(ISNUMBER(B182))),"",UPPER(IF(IFERROR(IF(INDEX(Products!$C$6:$C$45,MATCH(C182,Products!$B$6:$B$45,0))="","",INDEX(Products!$C$6:$C$45,MATCH(C182,Products!$B$6:$B$45,0))),"")="",LEFT(SUBSTITUTE(C182," ",""),3),IFERROR(IF(INDEX(Products!$C$6:$C$45,MATCH(C182,Products!$B$6:$B$45,0))="","",INDEX(Products!$C$6:$C$45,MATCH(C182,Products!$B$6:$B$45,0))),"")))&amp;"-"&amp;RIGHT(YEAR(B182),2)&amp;RIGHT("0"&amp;MONTH(B182),2)&amp;RIGHT("0"&amp;DAY(B182),2)&amp;"-"&amp;COUNTIFS(C$6:C182,C182,B$6:B182,B182))</f>
        <v/>
      </c>
      <c r="J182" s="14">
        <f>IF(OR(C182="",NOT(ISNUMBER(B182)),N(P182)=0),"",B182+P182)</f>
        <v/>
      </c>
      <c r="K182" s="25">
        <f>IF(C182="","",N(D182)-N(E182)-N(F182)-N(G182))</f>
        <v/>
      </c>
      <c r="L182" s="13">
        <f>IF(OR(C182="",N(K182)&lt;=0,NOT(ISNUMBER(J182))),"",J182-TODAY())</f>
        <v/>
      </c>
      <c r="M182" s="12">
        <f>IF(C182="","",IF(N(K182)&lt;=0,"Sold out",IF(NOT(ISNUMBER(J182)),"In stock",IF(J182&lt;TODAY(),"Past its date",IF(J182-TODAY()&lt;=Settings!$C$5,"Use soon","In stock")))))</f>
        <v/>
      </c>
      <c r="N182" s="26">
        <f>IF(C182="","",N(D182)*Q182)</f>
        <v/>
      </c>
      <c r="O182" s="1" t="n"/>
      <c r="P182">
        <f>IF(C182="",0,IFERROR(N(INDEX(Products!$E$6:$E$45,MATCH(C182,Products!$B$6:$B$45,0))),0))</f>
        <v/>
      </c>
      <c r="Q182">
        <f>IF(C182="",0,IFERROR(N(INDEX(Products!$I$6:$I$45,MATCH(C182,Products!$B$6:$B$45,0))),0))</f>
        <v/>
      </c>
      <c r="R182">
        <f>IF(OR(C182="",NOT(ISNUMBER(B182))),"",YEAR(B182)*100+MONTH(B182))</f>
        <v/>
      </c>
      <c r="S182">
        <f>N(G182)*Q182</f>
        <v/>
      </c>
      <c r="T182">
        <f>IF(OR(M182="",M182="Sold out",NOT(ISNUMBER(J182))),"",J182*1000+ROW())</f>
        <v/>
      </c>
    </row>
    <row r="183">
      <c r="A183" s="1" t="n"/>
      <c r="B183" s="20" t="n"/>
      <c r="C183" s="21" t="n"/>
      <c r="D183" s="22" t="n"/>
      <c r="E183" s="22" t="n"/>
      <c r="F183" s="22" t="n"/>
      <c r="G183" s="22" t="n"/>
      <c r="H183" s="23" t="n"/>
      <c r="I183" s="24">
        <f>IF(OR(C183="",NOT(ISNUMBER(B183))),"",UPPER(IF(IFERROR(IF(INDEX(Products!$C$6:$C$45,MATCH(C183,Products!$B$6:$B$45,0))="","",INDEX(Products!$C$6:$C$45,MATCH(C183,Products!$B$6:$B$45,0))),"")="",LEFT(SUBSTITUTE(C183," ",""),3),IFERROR(IF(INDEX(Products!$C$6:$C$45,MATCH(C183,Products!$B$6:$B$45,0))="","",INDEX(Products!$C$6:$C$45,MATCH(C183,Products!$B$6:$B$45,0))),"")))&amp;"-"&amp;RIGHT(YEAR(B183),2)&amp;RIGHT("0"&amp;MONTH(B183),2)&amp;RIGHT("0"&amp;DAY(B183),2)&amp;"-"&amp;COUNTIFS(C$6:C183,C183,B$6:B183,B183))</f>
        <v/>
      </c>
      <c r="J183" s="14">
        <f>IF(OR(C183="",NOT(ISNUMBER(B183)),N(P183)=0),"",B183+P183)</f>
        <v/>
      </c>
      <c r="K183" s="25">
        <f>IF(C183="","",N(D183)-N(E183)-N(F183)-N(G183))</f>
        <v/>
      </c>
      <c r="L183" s="13">
        <f>IF(OR(C183="",N(K183)&lt;=0,NOT(ISNUMBER(J183))),"",J183-TODAY())</f>
        <v/>
      </c>
      <c r="M183" s="12">
        <f>IF(C183="","",IF(N(K183)&lt;=0,"Sold out",IF(NOT(ISNUMBER(J183)),"In stock",IF(J183&lt;TODAY(),"Past its date",IF(J183-TODAY()&lt;=Settings!$C$5,"Use soon","In stock")))))</f>
        <v/>
      </c>
      <c r="N183" s="26">
        <f>IF(C183="","",N(D183)*Q183)</f>
        <v/>
      </c>
      <c r="O183" s="1" t="n"/>
      <c r="P183">
        <f>IF(C183="",0,IFERROR(N(INDEX(Products!$E$6:$E$45,MATCH(C183,Products!$B$6:$B$45,0))),0))</f>
        <v/>
      </c>
      <c r="Q183">
        <f>IF(C183="",0,IFERROR(N(INDEX(Products!$I$6:$I$45,MATCH(C183,Products!$B$6:$B$45,0))),0))</f>
        <v/>
      </c>
      <c r="R183">
        <f>IF(OR(C183="",NOT(ISNUMBER(B183))),"",YEAR(B183)*100+MONTH(B183))</f>
        <v/>
      </c>
      <c r="S183">
        <f>N(G183)*Q183</f>
        <v/>
      </c>
      <c r="T183">
        <f>IF(OR(M183="",M183="Sold out",NOT(ISNUMBER(J183))),"",J183*1000+ROW())</f>
        <v/>
      </c>
    </row>
    <row r="184">
      <c r="A184" s="1" t="n"/>
      <c r="B184" s="20" t="n"/>
      <c r="C184" s="21" t="n"/>
      <c r="D184" s="22" t="n"/>
      <c r="E184" s="22" t="n"/>
      <c r="F184" s="22" t="n"/>
      <c r="G184" s="22" t="n"/>
      <c r="H184" s="23" t="n"/>
      <c r="I184" s="24">
        <f>IF(OR(C184="",NOT(ISNUMBER(B184))),"",UPPER(IF(IFERROR(IF(INDEX(Products!$C$6:$C$45,MATCH(C184,Products!$B$6:$B$45,0))="","",INDEX(Products!$C$6:$C$45,MATCH(C184,Products!$B$6:$B$45,0))),"")="",LEFT(SUBSTITUTE(C184," ",""),3),IFERROR(IF(INDEX(Products!$C$6:$C$45,MATCH(C184,Products!$B$6:$B$45,0))="","",INDEX(Products!$C$6:$C$45,MATCH(C184,Products!$B$6:$B$45,0))),"")))&amp;"-"&amp;RIGHT(YEAR(B184),2)&amp;RIGHT("0"&amp;MONTH(B184),2)&amp;RIGHT("0"&amp;DAY(B184),2)&amp;"-"&amp;COUNTIFS(C$6:C184,C184,B$6:B184,B184))</f>
        <v/>
      </c>
      <c r="J184" s="14">
        <f>IF(OR(C184="",NOT(ISNUMBER(B184)),N(P184)=0),"",B184+P184)</f>
        <v/>
      </c>
      <c r="K184" s="25">
        <f>IF(C184="","",N(D184)-N(E184)-N(F184)-N(G184))</f>
        <v/>
      </c>
      <c r="L184" s="13">
        <f>IF(OR(C184="",N(K184)&lt;=0,NOT(ISNUMBER(J184))),"",J184-TODAY())</f>
        <v/>
      </c>
      <c r="M184" s="12">
        <f>IF(C184="","",IF(N(K184)&lt;=0,"Sold out",IF(NOT(ISNUMBER(J184)),"In stock",IF(J184&lt;TODAY(),"Past its date",IF(J184-TODAY()&lt;=Settings!$C$5,"Use soon","In stock")))))</f>
        <v/>
      </c>
      <c r="N184" s="26">
        <f>IF(C184="","",N(D184)*Q184)</f>
        <v/>
      </c>
      <c r="O184" s="1" t="n"/>
      <c r="P184">
        <f>IF(C184="",0,IFERROR(N(INDEX(Products!$E$6:$E$45,MATCH(C184,Products!$B$6:$B$45,0))),0))</f>
        <v/>
      </c>
      <c r="Q184">
        <f>IF(C184="",0,IFERROR(N(INDEX(Products!$I$6:$I$45,MATCH(C184,Products!$B$6:$B$45,0))),0))</f>
        <v/>
      </c>
      <c r="R184">
        <f>IF(OR(C184="",NOT(ISNUMBER(B184))),"",YEAR(B184)*100+MONTH(B184))</f>
        <v/>
      </c>
      <c r="S184">
        <f>N(G184)*Q184</f>
        <v/>
      </c>
      <c r="T184">
        <f>IF(OR(M184="",M184="Sold out",NOT(ISNUMBER(J184))),"",J184*1000+ROW())</f>
        <v/>
      </c>
    </row>
    <row r="185">
      <c r="A185" s="1" t="n"/>
      <c r="B185" s="20" t="n"/>
      <c r="C185" s="21" t="n"/>
      <c r="D185" s="22" t="n"/>
      <c r="E185" s="22" t="n"/>
      <c r="F185" s="22" t="n"/>
      <c r="G185" s="22" t="n"/>
      <c r="H185" s="23" t="n"/>
      <c r="I185" s="24">
        <f>IF(OR(C185="",NOT(ISNUMBER(B185))),"",UPPER(IF(IFERROR(IF(INDEX(Products!$C$6:$C$45,MATCH(C185,Products!$B$6:$B$45,0))="","",INDEX(Products!$C$6:$C$45,MATCH(C185,Products!$B$6:$B$45,0))),"")="",LEFT(SUBSTITUTE(C185," ",""),3),IFERROR(IF(INDEX(Products!$C$6:$C$45,MATCH(C185,Products!$B$6:$B$45,0))="","",INDEX(Products!$C$6:$C$45,MATCH(C185,Products!$B$6:$B$45,0))),"")))&amp;"-"&amp;RIGHT(YEAR(B185),2)&amp;RIGHT("0"&amp;MONTH(B185),2)&amp;RIGHT("0"&amp;DAY(B185),2)&amp;"-"&amp;COUNTIFS(C$6:C185,C185,B$6:B185,B185))</f>
        <v/>
      </c>
      <c r="J185" s="14">
        <f>IF(OR(C185="",NOT(ISNUMBER(B185)),N(P185)=0),"",B185+P185)</f>
        <v/>
      </c>
      <c r="K185" s="25">
        <f>IF(C185="","",N(D185)-N(E185)-N(F185)-N(G185))</f>
        <v/>
      </c>
      <c r="L185" s="13">
        <f>IF(OR(C185="",N(K185)&lt;=0,NOT(ISNUMBER(J185))),"",J185-TODAY())</f>
        <v/>
      </c>
      <c r="M185" s="12">
        <f>IF(C185="","",IF(N(K185)&lt;=0,"Sold out",IF(NOT(ISNUMBER(J185)),"In stock",IF(J185&lt;TODAY(),"Past its date",IF(J185-TODAY()&lt;=Settings!$C$5,"Use soon","In stock")))))</f>
        <v/>
      </c>
      <c r="N185" s="26">
        <f>IF(C185="","",N(D185)*Q185)</f>
        <v/>
      </c>
      <c r="O185" s="1" t="n"/>
      <c r="P185">
        <f>IF(C185="",0,IFERROR(N(INDEX(Products!$E$6:$E$45,MATCH(C185,Products!$B$6:$B$45,0))),0))</f>
        <v/>
      </c>
      <c r="Q185">
        <f>IF(C185="",0,IFERROR(N(INDEX(Products!$I$6:$I$45,MATCH(C185,Products!$B$6:$B$45,0))),0))</f>
        <v/>
      </c>
      <c r="R185">
        <f>IF(OR(C185="",NOT(ISNUMBER(B185))),"",YEAR(B185)*100+MONTH(B185))</f>
        <v/>
      </c>
      <c r="S185">
        <f>N(G185)*Q185</f>
        <v/>
      </c>
      <c r="T185">
        <f>IF(OR(M185="",M185="Sold out",NOT(ISNUMBER(J185))),"",J185*1000+ROW())</f>
        <v/>
      </c>
    </row>
    <row r="186">
      <c r="A186" s="1" t="n"/>
      <c r="B186" s="20" t="n"/>
      <c r="C186" s="21" t="n"/>
      <c r="D186" s="22" t="n"/>
      <c r="E186" s="22" t="n"/>
      <c r="F186" s="22" t="n"/>
      <c r="G186" s="22" t="n"/>
      <c r="H186" s="23" t="n"/>
      <c r="I186" s="24">
        <f>IF(OR(C186="",NOT(ISNUMBER(B186))),"",UPPER(IF(IFERROR(IF(INDEX(Products!$C$6:$C$45,MATCH(C186,Products!$B$6:$B$45,0))="","",INDEX(Products!$C$6:$C$45,MATCH(C186,Products!$B$6:$B$45,0))),"")="",LEFT(SUBSTITUTE(C186," ",""),3),IFERROR(IF(INDEX(Products!$C$6:$C$45,MATCH(C186,Products!$B$6:$B$45,0))="","",INDEX(Products!$C$6:$C$45,MATCH(C186,Products!$B$6:$B$45,0))),"")))&amp;"-"&amp;RIGHT(YEAR(B186),2)&amp;RIGHT("0"&amp;MONTH(B186),2)&amp;RIGHT("0"&amp;DAY(B186),2)&amp;"-"&amp;COUNTIFS(C$6:C186,C186,B$6:B186,B186))</f>
        <v/>
      </c>
      <c r="J186" s="14">
        <f>IF(OR(C186="",NOT(ISNUMBER(B186)),N(P186)=0),"",B186+P186)</f>
        <v/>
      </c>
      <c r="K186" s="25">
        <f>IF(C186="","",N(D186)-N(E186)-N(F186)-N(G186))</f>
        <v/>
      </c>
      <c r="L186" s="13">
        <f>IF(OR(C186="",N(K186)&lt;=0,NOT(ISNUMBER(J186))),"",J186-TODAY())</f>
        <v/>
      </c>
      <c r="M186" s="12">
        <f>IF(C186="","",IF(N(K186)&lt;=0,"Sold out",IF(NOT(ISNUMBER(J186)),"In stock",IF(J186&lt;TODAY(),"Past its date",IF(J186-TODAY()&lt;=Settings!$C$5,"Use soon","In stock")))))</f>
        <v/>
      </c>
      <c r="N186" s="26">
        <f>IF(C186="","",N(D186)*Q186)</f>
        <v/>
      </c>
      <c r="O186" s="1" t="n"/>
      <c r="P186">
        <f>IF(C186="",0,IFERROR(N(INDEX(Products!$E$6:$E$45,MATCH(C186,Products!$B$6:$B$45,0))),0))</f>
        <v/>
      </c>
      <c r="Q186">
        <f>IF(C186="",0,IFERROR(N(INDEX(Products!$I$6:$I$45,MATCH(C186,Products!$B$6:$B$45,0))),0))</f>
        <v/>
      </c>
      <c r="R186">
        <f>IF(OR(C186="",NOT(ISNUMBER(B186))),"",YEAR(B186)*100+MONTH(B186))</f>
        <v/>
      </c>
      <c r="S186">
        <f>N(G186)*Q186</f>
        <v/>
      </c>
      <c r="T186">
        <f>IF(OR(M186="",M186="Sold out",NOT(ISNUMBER(J186))),"",J186*1000+ROW())</f>
        <v/>
      </c>
    </row>
    <row r="187">
      <c r="A187" s="1" t="n"/>
      <c r="B187" s="20" t="n"/>
      <c r="C187" s="21" t="n"/>
      <c r="D187" s="22" t="n"/>
      <c r="E187" s="22" t="n"/>
      <c r="F187" s="22" t="n"/>
      <c r="G187" s="22" t="n"/>
      <c r="H187" s="23" t="n"/>
      <c r="I187" s="24">
        <f>IF(OR(C187="",NOT(ISNUMBER(B187))),"",UPPER(IF(IFERROR(IF(INDEX(Products!$C$6:$C$45,MATCH(C187,Products!$B$6:$B$45,0))="","",INDEX(Products!$C$6:$C$45,MATCH(C187,Products!$B$6:$B$45,0))),"")="",LEFT(SUBSTITUTE(C187," ",""),3),IFERROR(IF(INDEX(Products!$C$6:$C$45,MATCH(C187,Products!$B$6:$B$45,0))="","",INDEX(Products!$C$6:$C$45,MATCH(C187,Products!$B$6:$B$45,0))),"")))&amp;"-"&amp;RIGHT(YEAR(B187),2)&amp;RIGHT("0"&amp;MONTH(B187),2)&amp;RIGHT("0"&amp;DAY(B187),2)&amp;"-"&amp;COUNTIFS(C$6:C187,C187,B$6:B187,B187))</f>
        <v/>
      </c>
      <c r="J187" s="14">
        <f>IF(OR(C187="",NOT(ISNUMBER(B187)),N(P187)=0),"",B187+P187)</f>
        <v/>
      </c>
      <c r="K187" s="25">
        <f>IF(C187="","",N(D187)-N(E187)-N(F187)-N(G187))</f>
        <v/>
      </c>
      <c r="L187" s="13">
        <f>IF(OR(C187="",N(K187)&lt;=0,NOT(ISNUMBER(J187))),"",J187-TODAY())</f>
        <v/>
      </c>
      <c r="M187" s="12">
        <f>IF(C187="","",IF(N(K187)&lt;=0,"Sold out",IF(NOT(ISNUMBER(J187)),"In stock",IF(J187&lt;TODAY(),"Past its date",IF(J187-TODAY()&lt;=Settings!$C$5,"Use soon","In stock")))))</f>
        <v/>
      </c>
      <c r="N187" s="26">
        <f>IF(C187="","",N(D187)*Q187)</f>
        <v/>
      </c>
      <c r="O187" s="1" t="n"/>
      <c r="P187">
        <f>IF(C187="",0,IFERROR(N(INDEX(Products!$E$6:$E$45,MATCH(C187,Products!$B$6:$B$45,0))),0))</f>
        <v/>
      </c>
      <c r="Q187">
        <f>IF(C187="",0,IFERROR(N(INDEX(Products!$I$6:$I$45,MATCH(C187,Products!$B$6:$B$45,0))),0))</f>
        <v/>
      </c>
      <c r="R187">
        <f>IF(OR(C187="",NOT(ISNUMBER(B187))),"",YEAR(B187)*100+MONTH(B187))</f>
        <v/>
      </c>
      <c r="S187">
        <f>N(G187)*Q187</f>
        <v/>
      </c>
      <c r="T187">
        <f>IF(OR(M187="",M187="Sold out",NOT(ISNUMBER(J187))),"",J187*1000+ROW())</f>
        <v/>
      </c>
    </row>
    <row r="188">
      <c r="A188" s="1" t="n"/>
      <c r="B188" s="20" t="n"/>
      <c r="C188" s="21" t="n"/>
      <c r="D188" s="22" t="n"/>
      <c r="E188" s="22" t="n"/>
      <c r="F188" s="22" t="n"/>
      <c r="G188" s="22" t="n"/>
      <c r="H188" s="23" t="n"/>
      <c r="I188" s="24">
        <f>IF(OR(C188="",NOT(ISNUMBER(B188))),"",UPPER(IF(IFERROR(IF(INDEX(Products!$C$6:$C$45,MATCH(C188,Products!$B$6:$B$45,0))="","",INDEX(Products!$C$6:$C$45,MATCH(C188,Products!$B$6:$B$45,0))),"")="",LEFT(SUBSTITUTE(C188," ",""),3),IFERROR(IF(INDEX(Products!$C$6:$C$45,MATCH(C188,Products!$B$6:$B$45,0))="","",INDEX(Products!$C$6:$C$45,MATCH(C188,Products!$B$6:$B$45,0))),"")))&amp;"-"&amp;RIGHT(YEAR(B188),2)&amp;RIGHT("0"&amp;MONTH(B188),2)&amp;RIGHT("0"&amp;DAY(B188),2)&amp;"-"&amp;COUNTIFS(C$6:C188,C188,B$6:B188,B188))</f>
        <v/>
      </c>
      <c r="J188" s="14">
        <f>IF(OR(C188="",NOT(ISNUMBER(B188)),N(P188)=0),"",B188+P188)</f>
        <v/>
      </c>
      <c r="K188" s="25">
        <f>IF(C188="","",N(D188)-N(E188)-N(F188)-N(G188))</f>
        <v/>
      </c>
      <c r="L188" s="13">
        <f>IF(OR(C188="",N(K188)&lt;=0,NOT(ISNUMBER(J188))),"",J188-TODAY())</f>
        <v/>
      </c>
      <c r="M188" s="12">
        <f>IF(C188="","",IF(N(K188)&lt;=0,"Sold out",IF(NOT(ISNUMBER(J188)),"In stock",IF(J188&lt;TODAY(),"Past its date",IF(J188-TODAY()&lt;=Settings!$C$5,"Use soon","In stock")))))</f>
        <v/>
      </c>
      <c r="N188" s="26">
        <f>IF(C188="","",N(D188)*Q188)</f>
        <v/>
      </c>
      <c r="O188" s="1" t="n"/>
      <c r="P188">
        <f>IF(C188="",0,IFERROR(N(INDEX(Products!$E$6:$E$45,MATCH(C188,Products!$B$6:$B$45,0))),0))</f>
        <v/>
      </c>
      <c r="Q188">
        <f>IF(C188="",0,IFERROR(N(INDEX(Products!$I$6:$I$45,MATCH(C188,Products!$B$6:$B$45,0))),0))</f>
        <v/>
      </c>
      <c r="R188">
        <f>IF(OR(C188="",NOT(ISNUMBER(B188))),"",YEAR(B188)*100+MONTH(B188))</f>
        <v/>
      </c>
      <c r="S188">
        <f>N(G188)*Q188</f>
        <v/>
      </c>
      <c r="T188">
        <f>IF(OR(M188="",M188="Sold out",NOT(ISNUMBER(J188))),"",J188*1000+ROW())</f>
        <v/>
      </c>
    </row>
    <row r="189">
      <c r="A189" s="1" t="n"/>
      <c r="B189" s="20" t="n"/>
      <c r="C189" s="21" t="n"/>
      <c r="D189" s="22" t="n"/>
      <c r="E189" s="22" t="n"/>
      <c r="F189" s="22" t="n"/>
      <c r="G189" s="22" t="n"/>
      <c r="H189" s="23" t="n"/>
      <c r="I189" s="24">
        <f>IF(OR(C189="",NOT(ISNUMBER(B189))),"",UPPER(IF(IFERROR(IF(INDEX(Products!$C$6:$C$45,MATCH(C189,Products!$B$6:$B$45,0))="","",INDEX(Products!$C$6:$C$45,MATCH(C189,Products!$B$6:$B$45,0))),"")="",LEFT(SUBSTITUTE(C189," ",""),3),IFERROR(IF(INDEX(Products!$C$6:$C$45,MATCH(C189,Products!$B$6:$B$45,0))="","",INDEX(Products!$C$6:$C$45,MATCH(C189,Products!$B$6:$B$45,0))),"")))&amp;"-"&amp;RIGHT(YEAR(B189),2)&amp;RIGHT("0"&amp;MONTH(B189),2)&amp;RIGHT("0"&amp;DAY(B189),2)&amp;"-"&amp;COUNTIFS(C$6:C189,C189,B$6:B189,B189))</f>
        <v/>
      </c>
      <c r="J189" s="14">
        <f>IF(OR(C189="",NOT(ISNUMBER(B189)),N(P189)=0),"",B189+P189)</f>
        <v/>
      </c>
      <c r="K189" s="25">
        <f>IF(C189="","",N(D189)-N(E189)-N(F189)-N(G189))</f>
        <v/>
      </c>
      <c r="L189" s="13">
        <f>IF(OR(C189="",N(K189)&lt;=0,NOT(ISNUMBER(J189))),"",J189-TODAY())</f>
        <v/>
      </c>
      <c r="M189" s="12">
        <f>IF(C189="","",IF(N(K189)&lt;=0,"Sold out",IF(NOT(ISNUMBER(J189)),"In stock",IF(J189&lt;TODAY(),"Past its date",IF(J189-TODAY()&lt;=Settings!$C$5,"Use soon","In stock")))))</f>
        <v/>
      </c>
      <c r="N189" s="26">
        <f>IF(C189="","",N(D189)*Q189)</f>
        <v/>
      </c>
      <c r="O189" s="1" t="n"/>
      <c r="P189">
        <f>IF(C189="",0,IFERROR(N(INDEX(Products!$E$6:$E$45,MATCH(C189,Products!$B$6:$B$45,0))),0))</f>
        <v/>
      </c>
      <c r="Q189">
        <f>IF(C189="",0,IFERROR(N(INDEX(Products!$I$6:$I$45,MATCH(C189,Products!$B$6:$B$45,0))),0))</f>
        <v/>
      </c>
      <c r="R189">
        <f>IF(OR(C189="",NOT(ISNUMBER(B189))),"",YEAR(B189)*100+MONTH(B189))</f>
        <v/>
      </c>
      <c r="S189">
        <f>N(G189)*Q189</f>
        <v/>
      </c>
      <c r="T189">
        <f>IF(OR(M189="",M189="Sold out",NOT(ISNUMBER(J189))),"",J189*1000+ROW())</f>
        <v/>
      </c>
    </row>
    <row r="190">
      <c r="A190" s="1" t="n"/>
      <c r="B190" s="20" t="n"/>
      <c r="C190" s="21" t="n"/>
      <c r="D190" s="22" t="n"/>
      <c r="E190" s="22" t="n"/>
      <c r="F190" s="22" t="n"/>
      <c r="G190" s="22" t="n"/>
      <c r="H190" s="23" t="n"/>
      <c r="I190" s="24">
        <f>IF(OR(C190="",NOT(ISNUMBER(B190))),"",UPPER(IF(IFERROR(IF(INDEX(Products!$C$6:$C$45,MATCH(C190,Products!$B$6:$B$45,0))="","",INDEX(Products!$C$6:$C$45,MATCH(C190,Products!$B$6:$B$45,0))),"")="",LEFT(SUBSTITUTE(C190," ",""),3),IFERROR(IF(INDEX(Products!$C$6:$C$45,MATCH(C190,Products!$B$6:$B$45,0))="","",INDEX(Products!$C$6:$C$45,MATCH(C190,Products!$B$6:$B$45,0))),"")))&amp;"-"&amp;RIGHT(YEAR(B190),2)&amp;RIGHT("0"&amp;MONTH(B190),2)&amp;RIGHT("0"&amp;DAY(B190),2)&amp;"-"&amp;COUNTIFS(C$6:C190,C190,B$6:B190,B190))</f>
        <v/>
      </c>
      <c r="J190" s="14">
        <f>IF(OR(C190="",NOT(ISNUMBER(B190)),N(P190)=0),"",B190+P190)</f>
        <v/>
      </c>
      <c r="K190" s="25">
        <f>IF(C190="","",N(D190)-N(E190)-N(F190)-N(G190))</f>
        <v/>
      </c>
      <c r="L190" s="13">
        <f>IF(OR(C190="",N(K190)&lt;=0,NOT(ISNUMBER(J190))),"",J190-TODAY())</f>
        <v/>
      </c>
      <c r="M190" s="12">
        <f>IF(C190="","",IF(N(K190)&lt;=0,"Sold out",IF(NOT(ISNUMBER(J190)),"In stock",IF(J190&lt;TODAY(),"Past its date",IF(J190-TODAY()&lt;=Settings!$C$5,"Use soon","In stock")))))</f>
        <v/>
      </c>
      <c r="N190" s="26">
        <f>IF(C190="","",N(D190)*Q190)</f>
        <v/>
      </c>
      <c r="O190" s="1" t="n"/>
      <c r="P190">
        <f>IF(C190="",0,IFERROR(N(INDEX(Products!$E$6:$E$45,MATCH(C190,Products!$B$6:$B$45,0))),0))</f>
        <v/>
      </c>
      <c r="Q190">
        <f>IF(C190="",0,IFERROR(N(INDEX(Products!$I$6:$I$45,MATCH(C190,Products!$B$6:$B$45,0))),0))</f>
        <v/>
      </c>
      <c r="R190">
        <f>IF(OR(C190="",NOT(ISNUMBER(B190))),"",YEAR(B190)*100+MONTH(B190))</f>
        <v/>
      </c>
      <c r="S190">
        <f>N(G190)*Q190</f>
        <v/>
      </c>
      <c r="T190">
        <f>IF(OR(M190="",M190="Sold out",NOT(ISNUMBER(J190))),"",J190*1000+ROW())</f>
        <v/>
      </c>
    </row>
    <row r="191">
      <c r="A191" s="1" t="n"/>
      <c r="B191" s="20" t="n"/>
      <c r="C191" s="21" t="n"/>
      <c r="D191" s="22" t="n"/>
      <c r="E191" s="22" t="n"/>
      <c r="F191" s="22" t="n"/>
      <c r="G191" s="22" t="n"/>
      <c r="H191" s="23" t="n"/>
      <c r="I191" s="24">
        <f>IF(OR(C191="",NOT(ISNUMBER(B191))),"",UPPER(IF(IFERROR(IF(INDEX(Products!$C$6:$C$45,MATCH(C191,Products!$B$6:$B$45,0))="","",INDEX(Products!$C$6:$C$45,MATCH(C191,Products!$B$6:$B$45,0))),"")="",LEFT(SUBSTITUTE(C191," ",""),3),IFERROR(IF(INDEX(Products!$C$6:$C$45,MATCH(C191,Products!$B$6:$B$45,0))="","",INDEX(Products!$C$6:$C$45,MATCH(C191,Products!$B$6:$B$45,0))),"")))&amp;"-"&amp;RIGHT(YEAR(B191),2)&amp;RIGHT("0"&amp;MONTH(B191),2)&amp;RIGHT("0"&amp;DAY(B191),2)&amp;"-"&amp;COUNTIFS(C$6:C191,C191,B$6:B191,B191))</f>
        <v/>
      </c>
      <c r="J191" s="14">
        <f>IF(OR(C191="",NOT(ISNUMBER(B191)),N(P191)=0),"",B191+P191)</f>
        <v/>
      </c>
      <c r="K191" s="25">
        <f>IF(C191="","",N(D191)-N(E191)-N(F191)-N(G191))</f>
        <v/>
      </c>
      <c r="L191" s="13">
        <f>IF(OR(C191="",N(K191)&lt;=0,NOT(ISNUMBER(J191))),"",J191-TODAY())</f>
        <v/>
      </c>
      <c r="M191" s="12">
        <f>IF(C191="","",IF(N(K191)&lt;=0,"Sold out",IF(NOT(ISNUMBER(J191)),"In stock",IF(J191&lt;TODAY(),"Past its date",IF(J191-TODAY()&lt;=Settings!$C$5,"Use soon","In stock")))))</f>
        <v/>
      </c>
      <c r="N191" s="26">
        <f>IF(C191="","",N(D191)*Q191)</f>
        <v/>
      </c>
      <c r="O191" s="1" t="n"/>
      <c r="P191">
        <f>IF(C191="",0,IFERROR(N(INDEX(Products!$E$6:$E$45,MATCH(C191,Products!$B$6:$B$45,0))),0))</f>
        <v/>
      </c>
      <c r="Q191">
        <f>IF(C191="",0,IFERROR(N(INDEX(Products!$I$6:$I$45,MATCH(C191,Products!$B$6:$B$45,0))),0))</f>
        <v/>
      </c>
      <c r="R191">
        <f>IF(OR(C191="",NOT(ISNUMBER(B191))),"",YEAR(B191)*100+MONTH(B191))</f>
        <v/>
      </c>
      <c r="S191">
        <f>N(G191)*Q191</f>
        <v/>
      </c>
      <c r="T191">
        <f>IF(OR(M191="",M191="Sold out",NOT(ISNUMBER(J191))),"",J191*1000+ROW())</f>
        <v/>
      </c>
    </row>
    <row r="192">
      <c r="A192" s="1" t="n"/>
      <c r="B192" s="20" t="n"/>
      <c r="C192" s="21" t="n"/>
      <c r="D192" s="22" t="n"/>
      <c r="E192" s="22" t="n"/>
      <c r="F192" s="22" t="n"/>
      <c r="G192" s="22" t="n"/>
      <c r="H192" s="23" t="n"/>
      <c r="I192" s="24">
        <f>IF(OR(C192="",NOT(ISNUMBER(B192))),"",UPPER(IF(IFERROR(IF(INDEX(Products!$C$6:$C$45,MATCH(C192,Products!$B$6:$B$45,0))="","",INDEX(Products!$C$6:$C$45,MATCH(C192,Products!$B$6:$B$45,0))),"")="",LEFT(SUBSTITUTE(C192," ",""),3),IFERROR(IF(INDEX(Products!$C$6:$C$45,MATCH(C192,Products!$B$6:$B$45,0))="","",INDEX(Products!$C$6:$C$45,MATCH(C192,Products!$B$6:$B$45,0))),"")))&amp;"-"&amp;RIGHT(YEAR(B192),2)&amp;RIGHT("0"&amp;MONTH(B192),2)&amp;RIGHT("0"&amp;DAY(B192),2)&amp;"-"&amp;COUNTIFS(C$6:C192,C192,B$6:B192,B192))</f>
        <v/>
      </c>
      <c r="J192" s="14">
        <f>IF(OR(C192="",NOT(ISNUMBER(B192)),N(P192)=0),"",B192+P192)</f>
        <v/>
      </c>
      <c r="K192" s="25">
        <f>IF(C192="","",N(D192)-N(E192)-N(F192)-N(G192))</f>
        <v/>
      </c>
      <c r="L192" s="13">
        <f>IF(OR(C192="",N(K192)&lt;=0,NOT(ISNUMBER(J192))),"",J192-TODAY())</f>
        <v/>
      </c>
      <c r="M192" s="12">
        <f>IF(C192="","",IF(N(K192)&lt;=0,"Sold out",IF(NOT(ISNUMBER(J192)),"In stock",IF(J192&lt;TODAY(),"Past its date",IF(J192-TODAY()&lt;=Settings!$C$5,"Use soon","In stock")))))</f>
        <v/>
      </c>
      <c r="N192" s="26">
        <f>IF(C192="","",N(D192)*Q192)</f>
        <v/>
      </c>
      <c r="O192" s="1" t="n"/>
      <c r="P192">
        <f>IF(C192="",0,IFERROR(N(INDEX(Products!$E$6:$E$45,MATCH(C192,Products!$B$6:$B$45,0))),0))</f>
        <v/>
      </c>
      <c r="Q192">
        <f>IF(C192="",0,IFERROR(N(INDEX(Products!$I$6:$I$45,MATCH(C192,Products!$B$6:$B$45,0))),0))</f>
        <v/>
      </c>
      <c r="R192">
        <f>IF(OR(C192="",NOT(ISNUMBER(B192))),"",YEAR(B192)*100+MONTH(B192))</f>
        <v/>
      </c>
      <c r="S192">
        <f>N(G192)*Q192</f>
        <v/>
      </c>
      <c r="T192">
        <f>IF(OR(M192="",M192="Sold out",NOT(ISNUMBER(J192))),"",J192*1000+ROW())</f>
        <v/>
      </c>
    </row>
    <row r="193">
      <c r="A193" s="1" t="n"/>
      <c r="B193" s="20" t="n"/>
      <c r="C193" s="21" t="n"/>
      <c r="D193" s="22" t="n"/>
      <c r="E193" s="22" t="n"/>
      <c r="F193" s="22" t="n"/>
      <c r="G193" s="22" t="n"/>
      <c r="H193" s="23" t="n"/>
      <c r="I193" s="24">
        <f>IF(OR(C193="",NOT(ISNUMBER(B193))),"",UPPER(IF(IFERROR(IF(INDEX(Products!$C$6:$C$45,MATCH(C193,Products!$B$6:$B$45,0))="","",INDEX(Products!$C$6:$C$45,MATCH(C193,Products!$B$6:$B$45,0))),"")="",LEFT(SUBSTITUTE(C193," ",""),3),IFERROR(IF(INDEX(Products!$C$6:$C$45,MATCH(C193,Products!$B$6:$B$45,0))="","",INDEX(Products!$C$6:$C$45,MATCH(C193,Products!$B$6:$B$45,0))),"")))&amp;"-"&amp;RIGHT(YEAR(B193),2)&amp;RIGHT("0"&amp;MONTH(B193),2)&amp;RIGHT("0"&amp;DAY(B193),2)&amp;"-"&amp;COUNTIFS(C$6:C193,C193,B$6:B193,B193))</f>
        <v/>
      </c>
      <c r="J193" s="14">
        <f>IF(OR(C193="",NOT(ISNUMBER(B193)),N(P193)=0),"",B193+P193)</f>
        <v/>
      </c>
      <c r="K193" s="25">
        <f>IF(C193="","",N(D193)-N(E193)-N(F193)-N(G193))</f>
        <v/>
      </c>
      <c r="L193" s="13">
        <f>IF(OR(C193="",N(K193)&lt;=0,NOT(ISNUMBER(J193))),"",J193-TODAY())</f>
        <v/>
      </c>
      <c r="M193" s="12">
        <f>IF(C193="","",IF(N(K193)&lt;=0,"Sold out",IF(NOT(ISNUMBER(J193)),"In stock",IF(J193&lt;TODAY(),"Past its date",IF(J193-TODAY()&lt;=Settings!$C$5,"Use soon","In stock")))))</f>
        <v/>
      </c>
      <c r="N193" s="26">
        <f>IF(C193="","",N(D193)*Q193)</f>
        <v/>
      </c>
      <c r="O193" s="1" t="n"/>
      <c r="P193">
        <f>IF(C193="",0,IFERROR(N(INDEX(Products!$E$6:$E$45,MATCH(C193,Products!$B$6:$B$45,0))),0))</f>
        <v/>
      </c>
      <c r="Q193">
        <f>IF(C193="",0,IFERROR(N(INDEX(Products!$I$6:$I$45,MATCH(C193,Products!$B$6:$B$45,0))),0))</f>
        <v/>
      </c>
      <c r="R193">
        <f>IF(OR(C193="",NOT(ISNUMBER(B193))),"",YEAR(B193)*100+MONTH(B193))</f>
        <v/>
      </c>
      <c r="S193">
        <f>N(G193)*Q193</f>
        <v/>
      </c>
      <c r="T193">
        <f>IF(OR(M193="",M193="Sold out",NOT(ISNUMBER(J193))),"",J193*1000+ROW())</f>
        <v/>
      </c>
    </row>
    <row r="194">
      <c r="A194" s="1" t="n"/>
      <c r="B194" s="20" t="n"/>
      <c r="C194" s="21" t="n"/>
      <c r="D194" s="22" t="n"/>
      <c r="E194" s="22" t="n"/>
      <c r="F194" s="22" t="n"/>
      <c r="G194" s="22" t="n"/>
      <c r="H194" s="23" t="n"/>
      <c r="I194" s="24">
        <f>IF(OR(C194="",NOT(ISNUMBER(B194))),"",UPPER(IF(IFERROR(IF(INDEX(Products!$C$6:$C$45,MATCH(C194,Products!$B$6:$B$45,0))="","",INDEX(Products!$C$6:$C$45,MATCH(C194,Products!$B$6:$B$45,0))),"")="",LEFT(SUBSTITUTE(C194," ",""),3),IFERROR(IF(INDEX(Products!$C$6:$C$45,MATCH(C194,Products!$B$6:$B$45,0))="","",INDEX(Products!$C$6:$C$45,MATCH(C194,Products!$B$6:$B$45,0))),"")))&amp;"-"&amp;RIGHT(YEAR(B194),2)&amp;RIGHT("0"&amp;MONTH(B194),2)&amp;RIGHT("0"&amp;DAY(B194),2)&amp;"-"&amp;COUNTIFS(C$6:C194,C194,B$6:B194,B194))</f>
        <v/>
      </c>
      <c r="J194" s="14">
        <f>IF(OR(C194="",NOT(ISNUMBER(B194)),N(P194)=0),"",B194+P194)</f>
        <v/>
      </c>
      <c r="K194" s="25">
        <f>IF(C194="","",N(D194)-N(E194)-N(F194)-N(G194))</f>
        <v/>
      </c>
      <c r="L194" s="13">
        <f>IF(OR(C194="",N(K194)&lt;=0,NOT(ISNUMBER(J194))),"",J194-TODAY())</f>
        <v/>
      </c>
      <c r="M194" s="12">
        <f>IF(C194="","",IF(N(K194)&lt;=0,"Sold out",IF(NOT(ISNUMBER(J194)),"In stock",IF(J194&lt;TODAY(),"Past its date",IF(J194-TODAY()&lt;=Settings!$C$5,"Use soon","In stock")))))</f>
        <v/>
      </c>
      <c r="N194" s="26">
        <f>IF(C194="","",N(D194)*Q194)</f>
        <v/>
      </c>
      <c r="O194" s="1" t="n"/>
      <c r="P194">
        <f>IF(C194="",0,IFERROR(N(INDEX(Products!$E$6:$E$45,MATCH(C194,Products!$B$6:$B$45,0))),0))</f>
        <v/>
      </c>
      <c r="Q194">
        <f>IF(C194="",0,IFERROR(N(INDEX(Products!$I$6:$I$45,MATCH(C194,Products!$B$6:$B$45,0))),0))</f>
        <v/>
      </c>
      <c r="R194">
        <f>IF(OR(C194="",NOT(ISNUMBER(B194))),"",YEAR(B194)*100+MONTH(B194))</f>
        <v/>
      </c>
      <c r="S194">
        <f>N(G194)*Q194</f>
        <v/>
      </c>
      <c r="T194">
        <f>IF(OR(M194="",M194="Sold out",NOT(ISNUMBER(J194))),"",J194*1000+ROW())</f>
        <v/>
      </c>
    </row>
    <row r="195">
      <c r="A195" s="1" t="n"/>
      <c r="B195" s="20" t="n"/>
      <c r="C195" s="21" t="n"/>
      <c r="D195" s="22" t="n"/>
      <c r="E195" s="22" t="n"/>
      <c r="F195" s="22" t="n"/>
      <c r="G195" s="22" t="n"/>
      <c r="H195" s="23" t="n"/>
      <c r="I195" s="24">
        <f>IF(OR(C195="",NOT(ISNUMBER(B195))),"",UPPER(IF(IFERROR(IF(INDEX(Products!$C$6:$C$45,MATCH(C195,Products!$B$6:$B$45,0))="","",INDEX(Products!$C$6:$C$45,MATCH(C195,Products!$B$6:$B$45,0))),"")="",LEFT(SUBSTITUTE(C195," ",""),3),IFERROR(IF(INDEX(Products!$C$6:$C$45,MATCH(C195,Products!$B$6:$B$45,0))="","",INDEX(Products!$C$6:$C$45,MATCH(C195,Products!$B$6:$B$45,0))),"")))&amp;"-"&amp;RIGHT(YEAR(B195),2)&amp;RIGHT("0"&amp;MONTH(B195),2)&amp;RIGHT("0"&amp;DAY(B195),2)&amp;"-"&amp;COUNTIFS(C$6:C195,C195,B$6:B195,B195))</f>
        <v/>
      </c>
      <c r="J195" s="14">
        <f>IF(OR(C195="",NOT(ISNUMBER(B195)),N(P195)=0),"",B195+P195)</f>
        <v/>
      </c>
      <c r="K195" s="25">
        <f>IF(C195="","",N(D195)-N(E195)-N(F195)-N(G195))</f>
        <v/>
      </c>
      <c r="L195" s="13">
        <f>IF(OR(C195="",N(K195)&lt;=0,NOT(ISNUMBER(J195))),"",J195-TODAY())</f>
        <v/>
      </c>
      <c r="M195" s="12">
        <f>IF(C195="","",IF(N(K195)&lt;=0,"Sold out",IF(NOT(ISNUMBER(J195)),"In stock",IF(J195&lt;TODAY(),"Past its date",IF(J195-TODAY()&lt;=Settings!$C$5,"Use soon","In stock")))))</f>
        <v/>
      </c>
      <c r="N195" s="26">
        <f>IF(C195="","",N(D195)*Q195)</f>
        <v/>
      </c>
      <c r="O195" s="1" t="n"/>
      <c r="P195">
        <f>IF(C195="",0,IFERROR(N(INDEX(Products!$E$6:$E$45,MATCH(C195,Products!$B$6:$B$45,0))),0))</f>
        <v/>
      </c>
      <c r="Q195">
        <f>IF(C195="",0,IFERROR(N(INDEX(Products!$I$6:$I$45,MATCH(C195,Products!$B$6:$B$45,0))),0))</f>
        <v/>
      </c>
      <c r="R195">
        <f>IF(OR(C195="",NOT(ISNUMBER(B195))),"",YEAR(B195)*100+MONTH(B195))</f>
        <v/>
      </c>
      <c r="S195">
        <f>N(G195)*Q195</f>
        <v/>
      </c>
      <c r="T195">
        <f>IF(OR(M195="",M195="Sold out",NOT(ISNUMBER(J195))),"",J195*1000+ROW())</f>
        <v/>
      </c>
    </row>
    <row r="196">
      <c r="A196" s="1" t="n"/>
      <c r="B196" s="20" t="n"/>
      <c r="C196" s="21" t="n"/>
      <c r="D196" s="22" t="n"/>
      <c r="E196" s="22" t="n"/>
      <c r="F196" s="22" t="n"/>
      <c r="G196" s="22" t="n"/>
      <c r="H196" s="23" t="n"/>
      <c r="I196" s="24">
        <f>IF(OR(C196="",NOT(ISNUMBER(B196))),"",UPPER(IF(IFERROR(IF(INDEX(Products!$C$6:$C$45,MATCH(C196,Products!$B$6:$B$45,0))="","",INDEX(Products!$C$6:$C$45,MATCH(C196,Products!$B$6:$B$45,0))),"")="",LEFT(SUBSTITUTE(C196," ",""),3),IFERROR(IF(INDEX(Products!$C$6:$C$45,MATCH(C196,Products!$B$6:$B$45,0))="","",INDEX(Products!$C$6:$C$45,MATCH(C196,Products!$B$6:$B$45,0))),"")))&amp;"-"&amp;RIGHT(YEAR(B196),2)&amp;RIGHT("0"&amp;MONTH(B196),2)&amp;RIGHT("0"&amp;DAY(B196),2)&amp;"-"&amp;COUNTIFS(C$6:C196,C196,B$6:B196,B196))</f>
        <v/>
      </c>
      <c r="J196" s="14">
        <f>IF(OR(C196="",NOT(ISNUMBER(B196)),N(P196)=0),"",B196+P196)</f>
        <v/>
      </c>
      <c r="K196" s="25">
        <f>IF(C196="","",N(D196)-N(E196)-N(F196)-N(G196))</f>
        <v/>
      </c>
      <c r="L196" s="13">
        <f>IF(OR(C196="",N(K196)&lt;=0,NOT(ISNUMBER(J196))),"",J196-TODAY())</f>
        <v/>
      </c>
      <c r="M196" s="12">
        <f>IF(C196="","",IF(N(K196)&lt;=0,"Sold out",IF(NOT(ISNUMBER(J196)),"In stock",IF(J196&lt;TODAY(),"Past its date",IF(J196-TODAY()&lt;=Settings!$C$5,"Use soon","In stock")))))</f>
        <v/>
      </c>
      <c r="N196" s="26">
        <f>IF(C196="","",N(D196)*Q196)</f>
        <v/>
      </c>
      <c r="O196" s="1" t="n"/>
      <c r="P196">
        <f>IF(C196="",0,IFERROR(N(INDEX(Products!$E$6:$E$45,MATCH(C196,Products!$B$6:$B$45,0))),0))</f>
        <v/>
      </c>
      <c r="Q196">
        <f>IF(C196="",0,IFERROR(N(INDEX(Products!$I$6:$I$45,MATCH(C196,Products!$B$6:$B$45,0))),0))</f>
        <v/>
      </c>
      <c r="R196">
        <f>IF(OR(C196="",NOT(ISNUMBER(B196))),"",YEAR(B196)*100+MONTH(B196))</f>
        <v/>
      </c>
      <c r="S196">
        <f>N(G196)*Q196</f>
        <v/>
      </c>
      <c r="T196">
        <f>IF(OR(M196="",M196="Sold out",NOT(ISNUMBER(J196))),"",J196*1000+ROW())</f>
        <v/>
      </c>
    </row>
    <row r="197">
      <c r="A197" s="1" t="n"/>
      <c r="B197" s="20" t="n"/>
      <c r="C197" s="21" t="n"/>
      <c r="D197" s="22" t="n"/>
      <c r="E197" s="22" t="n"/>
      <c r="F197" s="22" t="n"/>
      <c r="G197" s="22" t="n"/>
      <c r="H197" s="23" t="n"/>
      <c r="I197" s="24">
        <f>IF(OR(C197="",NOT(ISNUMBER(B197))),"",UPPER(IF(IFERROR(IF(INDEX(Products!$C$6:$C$45,MATCH(C197,Products!$B$6:$B$45,0))="","",INDEX(Products!$C$6:$C$45,MATCH(C197,Products!$B$6:$B$45,0))),"")="",LEFT(SUBSTITUTE(C197," ",""),3),IFERROR(IF(INDEX(Products!$C$6:$C$45,MATCH(C197,Products!$B$6:$B$45,0))="","",INDEX(Products!$C$6:$C$45,MATCH(C197,Products!$B$6:$B$45,0))),"")))&amp;"-"&amp;RIGHT(YEAR(B197),2)&amp;RIGHT("0"&amp;MONTH(B197),2)&amp;RIGHT("0"&amp;DAY(B197),2)&amp;"-"&amp;COUNTIFS(C$6:C197,C197,B$6:B197,B197))</f>
        <v/>
      </c>
      <c r="J197" s="14">
        <f>IF(OR(C197="",NOT(ISNUMBER(B197)),N(P197)=0),"",B197+P197)</f>
        <v/>
      </c>
      <c r="K197" s="25">
        <f>IF(C197="","",N(D197)-N(E197)-N(F197)-N(G197))</f>
        <v/>
      </c>
      <c r="L197" s="13">
        <f>IF(OR(C197="",N(K197)&lt;=0,NOT(ISNUMBER(J197))),"",J197-TODAY())</f>
        <v/>
      </c>
      <c r="M197" s="12">
        <f>IF(C197="","",IF(N(K197)&lt;=0,"Sold out",IF(NOT(ISNUMBER(J197)),"In stock",IF(J197&lt;TODAY(),"Past its date",IF(J197-TODAY()&lt;=Settings!$C$5,"Use soon","In stock")))))</f>
        <v/>
      </c>
      <c r="N197" s="26">
        <f>IF(C197="","",N(D197)*Q197)</f>
        <v/>
      </c>
      <c r="O197" s="1" t="n"/>
      <c r="P197">
        <f>IF(C197="",0,IFERROR(N(INDEX(Products!$E$6:$E$45,MATCH(C197,Products!$B$6:$B$45,0))),0))</f>
        <v/>
      </c>
      <c r="Q197">
        <f>IF(C197="",0,IFERROR(N(INDEX(Products!$I$6:$I$45,MATCH(C197,Products!$B$6:$B$45,0))),0))</f>
        <v/>
      </c>
      <c r="R197">
        <f>IF(OR(C197="",NOT(ISNUMBER(B197))),"",YEAR(B197)*100+MONTH(B197))</f>
        <v/>
      </c>
      <c r="S197">
        <f>N(G197)*Q197</f>
        <v/>
      </c>
      <c r="T197">
        <f>IF(OR(M197="",M197="Sold out",NOT(ISNUMBER(J197))),"",J197*1000+ROW())</f>
        <v/>
      </c>
    </row>
    <row r="198">
      <c r="A198" s="1" t="n"/>
      <c r="B198" s="20" t="n"/>
      <c r="C198" s="21" t="n"/>
      <c r="D198" s="22" t="n"/>
      <c r="E198" s="22" t="n"/>
      <c r="F198" s="22" t="n"/>
      <c r="G198" s="22" t="n"/>
      <c r="H198" s="23" t="n"/>
      <c r="I198" s="24">
        <f>IF(OR(C198="",NOT(ISNUMBER(B198))),"",UPPER(IF(IFERROR(IF(INDEX(Products!$C$6:$C$45,MATCH(C198,Products!$B$6:$B$45,0))="","",INDEX(Products!$C$6:$C$45,MATCH(C198,Products!$B$6:$B$45,0))),"")="",LEFT(SUBSTITUTE(C198," ",""),3),IFERROR(IF(INDEX(Products!$C$6:$C$45,MATCH(C198,Products!$B$6:$B$45,0))="","",INDEX(Products!$C$6:$C$45,MATCH(C198,Products!$B$6:$B$45,0))),"")))&amp;"-"&amp;RIGHT(YEAR(B198),2)&amp;RIGHT("0"&amp;MONTH(B198),2)&amp;RIGHT("0"&amp;DAY(B198),2)&amp;"-"&amp;COUNTIFS(C$6:C198,C198,B$6:B198,B198))</f>
        <v/>
      </c>
      <c r="J198" s="14">
        <f>IF(OR(C198="",NOT(ISNUMBER(B198)),N(P198)=0),"",B198+P198)</f>
        <v/>
      </c>
      <c r="K198" s="25">
        <f>IF(C198="","",N(D198)-N(E198)-N(F198)-N(G198))</f>
        <v/>
      </c>
      <c r="L198" s="13">
        <f>IF(OR(C198="",N(K198)&lt;=0,NOT(ISNUMBER(J198))),"",J198-TODAY())</f>
        <v/>
      </c>
      <c r="M198" s="12">
        <f>IF(C198="","",IF(N(K198)&lt;=0,"Sold out",IF(NOT(ISNUMBER(J198)),"In stock",IF(J198&lt;TODAY(),"Past its date",IF(J198-TODAY()&lt;=Settings!$C$5,"Use soon","In stock")))))</f>
        <v/>
      </c>
      <c r="N198" s="26">
        <f>IF(C198="","",N(D198)*Q198)</f>
        <v/>
      </c>
      <c r="O198" s="1" t="n"/>
      <c r="P198">
        <f>IF(C198="",0,IFERROR(N(INDEX(Products!$E$6:$E$45,MATCH(C198,Products!$B$6:$B$45,0))),0))</f>
        <v/>
      </c>
      <c r="Q198">
        <f>IF(C198="",0,IFERROR(N(INDEX(Products!$I$6:$I$45,MATCH(C198,Products!$B$6:$B$45,0))),0))</f>
        <v/>
      </c>
      <c r="R198">
        <f>IF(OR(C198="",NOT(ISNUMBER(B198))),"",YEAR(B198)*100+MONTH(B198))</f>
        <v/>
      </c>
      <c r="S198">
        <f>N(G198)*Q198</f>
        <v/>
      </c>
      <c r="T198">
        <f>IF(OR(M198="",M198="Sold out",NOT(ISNUMBER(J198))),"",J198*1000+ROW())</f>
        <v/>
      </c>
    </row>
    <row r="199">
      <c r="A199" s="1" t="n"/>
      <c r="B199" s="20" t="n"/>
      <c r="C199" s="21" t="n"/>
      <c r="D199" s="22" t="n"/>
      <c r="E199" s="22" t="n"/>
      <c r="F199" s="22" t="n"/>
      <c r="G199" s="22" t="n"/>
      <c r="H199" s="23" t="n"/>
      <c r="I199" s="24">
        <f>IF(OR(C199="",NOT(ISNUMBER(B199))),"",UPPER(IF(IFERROR(IF(INDEX(Products!$C$6:$C$45,MATCH(C199,Products!$B$6:$B$45,0))="","",INDEX(Products!$C$6:$C$45,MATCH(C199,Products!$B$6:$B$45,0))),"")="",LEFT(SUBSTITUTE(C199," ",""),3),IFERROR(IF(INDEX(Products!$C$6:$C$45,MATCH(C199,Products!$B$6:$B$45,0))="","",INDEX(Products!$C$6:$C$45,MATCH(C199,Products!$B$6:$B$45,0))),"")))&amp;"-"&amp;RIGHT(YEAR(B199),2)&amp;RIGHT("0"&amp;MONTH(B199),2)&amp;RIGHT("0"&amp;DAY(B199),2)&amp;"-"&amp;COUNTIFS(C$6:C199,C199,B$6:B199,B199))</f>
        <v/>
      </c>
      <c r="J199" s="14">
        <f>IF(OR(C199="",NOT(ISNUMBER(B199)),N(P199)=0),"",B199+P199)</f>
        <v/>
      </c>
      <c r="K199" s="25">
        <f>IF(C199="","",N(D199)-N(E199)-N(F199)-N(G199))</f>
        <v/>
      </c>
      <c r="L199" s="13">
        <f>IF(OR(C199="",N(K199)&lt;=0,NOT(ISNUMBER(J199))),"",J199-TODAY())</f>
        <v/>
      </c>
      <c r="M199" s="12">
        <f>IF(C199="","",IF(N(K199)&lt;=0,"Sold out",IF(NOT(ISNUMBER(J199)),"In stock",IF(J199&lt;TODAY(),"Past its date",IF(J199-TODAY()&lt;=Settings!$C$5,"Use soon","In stock")))))</f>
        <v/>
      </c>
      <c r="N199" s="26">
        <f>IF(C199="","",N(D199)*Q199)</f>
        <v/>
      </c>
      <c r="O199" s="1" t="n"/>
      <c r="P199">
        <f>IF(C199="",0,IFERROR(N(INDEX(Products!$E$6:$E$45,MATCH(C199,Products!$B$6:$B$45,0))),0))</f>
        <v/>
      </c>
      <c r="Q199">
        <f>IF(C199="",0,IFERROR(N(INDEX(Products!$I$6:$I$45,MATCH(C199,Products!$B$6:$B$45,0))),0))</f>
        <v/>
      </c>
      <c r="R199">
        <f>IF(OR(C199="",NOT(ISNUMBER(B199))),"",YEAR(B199)*100+MONTH(B199))</f>
        <v/>
      </c>
      <c r="S199">
        <f>N(G199)*Q199</f>
        <v/>
      </c>
      <c r="T199">
        <f>IF(OR(M199="",M199="Sold out",NOT(ISNUMBER(J199))),"",J199*1000+ROW())</f>
        <v/>
      </c>
    </row>
    <row r="200">
      <c r="A200" s="1" t="n"/>
      <c r="B200" s="20" t="n"/>
      <c r="C200" s="21" t="n"/>
      <c r="D200" s="22" t="n"/>
      <c r="E200" s="22" t="n"/>
      <c r="F200" s="22" t="n"/>
      <c r="G200" s="22" t="n"/>
      <c r="H200" s="23" t="n"/>
      <c r="I200" s="24">
        <f>IF(OR(C200="",NOT(ISNUMBER(B200))),"",UPPER(IF(IFERROR(IF(INDEX(Products!$C$6:$C$45,MATCH(C200,Products!$B$6:$B$45,0))="","",INDEX(Products!$C$6:$C$45,MATCH(C200,Products!$B$6:$B$45,0))),"")="",LEFT(SUBSTITUTE(C200," ",""),3),IFERROR(IF(INDEX(Products!$C$6:$C$45,MATCH(C200,Products!$B$6:$B$45,0))="","",INDEX(Products!$C$6:$C$45,MATCH(C200,Products!$B$6:$B$45,0))),"")))&amp;"-"&amp;RIGHT(YEAR(B200),2)&amp;RIGHT("0"&amp;MONTH(B200),2)&amp;RIGHT("0"&amp;DAY(B200),2)&amp;"-"&amp;COUNTIFS(C$6:C200,C200,B$6:B200,B200))</f>
        <v/>
      </c>
      <c r="J200" s="14">
        <f>IF(OR(C200="",NOT(ISNUMBER(B200)),N(P200)=0),"",B200+P200)</f>
        <v/>
      </c>
      <c r="K200" s="25">
        <f>IF(C200="","",N(D200)-N(E200)-N(F200)-N(G200))</f>
        <v/>
      </c>
      <c r="L200" s="13">
        <f>IF(OR(C200="",N(K200)&lt;=0,NOT(ISNUMBER(J200))),"",J200-TODAY())</f>
        <v/>
      </c>
      <c r="M200" s="12">
        <f>IF(C200="","",IF(N(K200)&lt;=0,"Sold out",IF(NOT(ISNUMBER(J200)),"In stock",IF(J200&lt;TODAY(),"Past its date",IF(J200-TODAY()&lt;=Settings!$C$5,"Use soon","In stock")))))</f>
        <v/>
      </c>
      <c r="N200" s="26">
        <f>IF(C200="","",N(D200)*Q200)</f>
        <v/>
      </c>
      <c r="O200" s="1" t="n"/>
      <c r="P200">
        <f>IF(C200="",0,IFERROR(N(INDEX(Products!$E$6:$E$45,MATCH(C200,Products!$B$6:$B$45,0))),0))</f>
        <v/>
      </c>
      <c r="Q200">
        <f>IF(C200="",0,IFERROR(N(INDEX(Products!$I$6:$I$45,MATCH(C200,Products!$B$6:$B$45,0))),0))</f>
        <v/>
      </c>
      <c r="R200">
        <f>IF(OR(C200="",NOT(ISNUMBER(B200))),"",YEAR(B200)*100+MONTH(B200))</f>
        <v/>
      </c>
      <c r="S200">
        <f>N(G200)*Q200</f>
        <v/>
      </c>
      <c r="T200">
        <f>IF(OR(M200="",M200="Sold out",NOT(ISNUMBER(J200))),"",J200*1000+ROW())</f>
        <v/>
      </c>
    </row>
    <row r="201">
      <c r="A201" s="1" t="n"/>
      <c r="B201" s="20" t="n"/>
      <c r="C201" s="21" t="n"/>
      <c r="D201" s="22" t="n"/>
      <c r="E201" s="22" t="n"/>
      <c r="F201" s="22" t="n"/>
      <c r="G201" s="22" t="n"/>
      <c r="H201" s="23" t="n"/>
      <c r="I201" s="24">
        <f>IF(OR(C201="",NOT(ISNUMBER(B201))),"",UPPER(IF(IFERROR(IF(INDEX(Products!$C$6:$C$45,MATCH(C201,Products!$B$6:$B$45,0))="","",INDEX(Products!$C$6:$C$45,MATCH(C201,Products!$B$6:$B$45,0))),"")="",LEFT(SUBSTITUTE(C201," ",""),3),IFERROR(IF(INDEX(Products!$C$6:$C$45,MATCH(C201,Products!$B$6:$B$45,0))="","",INDEX(Products!$C$6:$C$45,MATCH(C201,Products!$B$6:$B$45,0))),"")))&amp;"-"&amp;RIGHT(YEAR(B201),2)&amp;RIGHT("0"&amp;MONTH(B201),2)&amp;RIGHT("0"&amp;DAY(B201),2)&amp;"-"&amp;COUNTIFS(C$6:C201,C201,B$6:B201,B201))</f>
        <v/>
      </c>
      <c r="J201" s="14">
        <f>IF(OR(C201="",NOT(ISNUMBER(B201)),N(P201)=0),"",B201+P201)</f>
        <v/>
      </c>
      <c r="K201" s="25">
        <f>IF(C201="","",N(D201)-N(E201)-N(F201)-N(G201))</f>
        <v/>
      </c>
      <c r="L201" s="13">
        <f>IF(OR(C201="",N(K201)&lt;=0,NOT(ISNUMBER(J201))),"",J201-TODAY())</f>
        <v/>
      </c>
      <c r="M201" s="12">
        <f>IF(C201="","",IF(N(K201)&lt;=0,"Sold out",IF(NOT(ISNUMBER(J201)),"In stock",IF(J201&lt;TODAY(),"Past its date",IF(J201-TODAY()&lt;=Settings!$C$5,"Use soon","In stock")))))</f>
        <v/>
      </c>
      <c r="N201" s="26">
        <f>IF(C201="","",N(D201)*Q201)</f>
        <v/>
      </c>
      <c r="O201" s="1" t="n"/>
      <c r="P201">
        <f>IF(C201="",0,IFERROR(N(INDEX(Products!$E$6:$E$45,MATCH(C201,Products!$B$6:$B$45,0))),0))</f>
        <v/>
      </c>
      <c r="Q201">
        <f>IF(C201="",0,IFERROR(N(INDEX(Products!$I$6:$I$45,MATCH(C201,Products!$B$6:$B$45,0))),0))</f>
        <v/>
      </c>
      <c r="R201">
        <f>IF(OR(C201="",NOT(ISNUMBER(B201))),"",YEAR(B201)*100+MONTH(B201))</f>
        <v/>
      </c>
      <c r="S201">
        <f>N(G201)*Q201</f>
        <v/>
      </c>
      <c r="T201">
        <f>IF(OR(M201="",M201="Sold out",NOT(ISNUMBER(J201))),"",J201*1000+ROW())</f>
        <v/>
      </c>
    </row>
    <row r="202">
      <c r="A202" s="1" t="n"/>
      <c r="B202" s="20" t="n"/>
      <c r="C202" s="21" t="n"/>
      <c r="D202" s="22" t="n"/>
      <c r="E202" s="22" t="n"/>
      <c r="F202" s="22" t="n"/>
      <c r="G202" s="22" t="n"/>
      <c r="H202" s="23" t="n"/>
      <c r="I202" s="24">
        <f>IF(OR(C202="",NOT(ISNUMBER(B202))),"",UPPER(IF(IFERROR(IF(INDEX(Products!$C$6:$C$45,MATCH(C202,Products!$B$6:$B$45,0))="","",INDEX(Products!$C$6:$C$45,MATCH(C202,Products!$B$6:$B$45,0))),"")="",LEFT(SUBSTITUTE(C202," ",""),3),IFERROR(IF(INDEX(Products!$C$6:$C$45,MATCH(C202,Products!$B$6:$B$45,0))="","",INDEX(Products!$C$6:$C$45,MATCH(C202,Products!$B$6:$B$45,0))),"")))&amp;"-"&amp;RIGHT(YEAR(B202),2)&amp;RIGHT("0"&amp;MONTH(B202),2)&amp;RIGHT("0"&amp;DAY(B202),2)&amp;"-"&amp;COUNTIFS(C$6:C202,C202,B$6:B202,B202))</f>
        <v/>
      </c>
      <c r="J202" s="14">
        <f>IF(OR(C202="",NOT(ISNUMBER(B202)),N(P202)=0),"",B202+P202)</f>
        <v/>
      </c>
      <c r="K202" s="25">
        <f>IF(C202="","",N(D202)-N(E202)-N(F202)-N(G202))</f>
        <v/>
      </c>
      <c r="L202" s="13">
        <f>IF(OR(C202="",N(K202)&lt;=0,NOT(ISNUMBER(J202))),"",J202-TODAY())</f>
        <v/>
      </c>
      <c r="M202" s="12">
        <f>IF(C202="","",IF(N(K202)&lt;=0,"Sold out",IF(NOT(ISNUMBER(J202)),"In stock",IF(J202&lt;TODAY(),"Past its date",IF(J202-TODAY()&lt;=Settings!$C$5,"Use soon","In stock")))))</f>
        <v/>
      </c>
      <c r="N202" s="26">
        <f>IF(C202="","",N(D202)*Q202)</f>
        <v/>
      </c>
      <c r="O202" s="1" t="n"/>
      <c r="P202">
        <f>IF(C202="",0,IFERROR(N(INDEX(Products!$E$6:$E$45,MATCH(C202,Products!$B$6:$B$45,0))),0))</f>
        <v/>
      </c>
      <c r="Q202">
        <f>IF(C202="",0,IFERROR(N(INDEX(Products!$I$6:$I$45,MATCH(C202,Products!$B$6:$B$45,0))),0))</f>
        <v/>
      </c>
      <c r="R202">
        <f>IF(OR(C202="",NOT(ISNUMBER(B202))),"",YEAR(B202)*100+MONTH(B202))</f>
        <v/>
      </c>
      <c r="S202">
        <f>N(G202)*Q202</f>
        <v/>
      </c>
      <c r="T202">
        <f>IF(OR(M202="",M202="Sold out",NOT(ISNUMBER(J202))),"",J202*1000+ROW())</f>
        <v/>
      </c>
    </row>
    <row r="203">
      <c r="A203" s="1" t="n"/>
      <c r="B203" s="20" t="n"/>
      <c r="C203" s="21" t="n"/>
      <c r="D203" s="22" t="n"/>
      <c r="E203" s="22" t="n"/>
      <c r="F203" s="22" t="n"/>
      <c r="G203" s="22" t="n"/>
      <c r="H203" s="23" t="n"/>
      <c r="I203" s="24">
        <f>IF(OR(C203="",NOT(ISNUMBER(B203))),"",UPPER(IF(IFERROR(IF(INDEX(Products!$C$6:$C$45,MATCH(C203,Products!$B$6:$B$45,0))="","",INDEX(Products!$C$6:$C$45,MATCH(C203,Products!$B$6:$B$45,0))),"")="",LEFT(SUBSTITUTE(C203," ",""),3),IFERROR(IF(INDEX(Products!$C$6:$C$45,MATCH(C203,Products!$B$6:$B$45,0))="","",INDEX(Products!$C$6:$C$45,MATCH(C203,Products!$B$6:$B$45,0))),"")))&amp;"-"&amp;RIGHT(YEAR(B203),2)&amp;RIGHT("0"&amp;MONTH(B203),2)&amp;RIGHT("0"&amp;DAY(B203),2)&amp;"-"&amp;COUNTIFS(C$6:C203,C203,B$6:B203,B203))</f>
        <v/>
      </c>
      <c r="J203" s="14">
        <f>IF(OR(C203="",NOT(ISNUMBER(B203)),N(P203)=0),"",B203+P203)</f>
        <v/>
      </c>
      <c r="K203" s="25">
        <f>IF(C203="","",N(D203)-N(E203)-N(F203)-N(G203))</f>
        <v/>
      </c>
      <c r="L203" s="13">
        <f>IF(OR(C203="",N(K203)&lt;=0,NOT(ISNUMBER(J203))),"",J203-TODAY())</f>
        <v/>
      </c>
      <c r="M203" s="12">
        <f>IF(C203="","",IF(N(K203)&lt;=0,"Sold out",IF(NOT(ISNUMBER(J203)),"In stock",IF(J203&lt;TODAY(),"Past its date",IF(J203-TODAY()&lt;=Settings!$C$5,"Use soon","In stock")))))</f>
        <v/>
      </c>
      <c r="N203" s="26">
        <f>IF(C203="","",N(D203)*Q203)</f>
        <v/>
      </c>
      <c r="O203" s="1" t="n"/>
      <c r="P203">
        <f>IF(C203="",0,IFERROR(N(INDEX(Products!$E$6:$E$45,MATCH(C203,Products!$B$6:$B$45,0))),0))</f>
        <v/>
      </c>
      <c r="Q203">
        <f>IF(C203="",0,IFERROR(N(INDEX(Products!$I$6:$I$45,MATCH(C203,Products!$B$6:$B$45,0))),0))</f>
        <v/>
      </c>
      <c r="R203">
        <f>IF(OR(C203="",NOT(ISNUMBER(B203))),"",YEAR(B203)*100+MONTH(B203))</f>
        <v/>
      </c>
      <c r="S203">
        <f>N(G203)*Q203</f>
        <v/>
      </c>
      <c r="T203">
        <f>IF(OR(M203="",M203="Sold out",NOT(ISNUMBER(J203))),"",J203*1000+ROW())</f>
        <v/>
      </c>
    </row>
    <row r="204">
      <c r="A204" s="1" t="n"/>
      <c r="B204" s="20" t="n"/>
      <c r="C204" s="21" t="n"/>
      <c r="D204" s="22" t="n"/>
      <c r="E204" s="22" t="n"/>
      <c r="F204" s="22" t="n"/>
      <c r="G204" s="22" t="n"/>
      <c r="H204" s="23" t="n"/>
      <c r="I204" s="24">
        <f>IF(OR(C204="",NOT(ISNUMBER(B204))),"",UPPER(IF(IFERROR(IF(INDEX(Products!$C$6:$C$45,MATCH(C204,Products!$B$6:$B$45,0))="","",INDEX(Products!$C$6:$C$45,MATCH(C204,Products!$B$6:$B$45,0))),"")="",LEFT(SUBSTITUTE(C204," ",""),3),IFERROR(IF(INDEX(Products!$C$6:$C$45,MATCH(C204,Products!$B$6:$B$45,0))="","",INDEX(Products!$C$6:$C$45,MATCH(C204,Products!$B$6:$B$45,0))),"")))&amp;"-"&amp;RIGHT(YEAR(B204),2)&amp;RIGHT("0"&amp;MONTH(B204),2)&amp;RIGHT("0"&amp;DAY(B204),2)&amp;"-"&amp;COUNTIFS(C$6:C204,C204,B$6:B204,B204))</f>
        <v/>
      </c>
      <c r="J204" s="14">
        <f>IF(OR(C204="",NOT(ISNUMBER(B204)),N(P204)=0),"",B204+P204)</f>
        <v/>
      </c>
      <c r="K204" s="25">
        <f>IF(C204="","",N(D204)-N(E204)-N(F204)-N(G204))</f>
        <v/>
      </c>
      <c r="L204" s="13">
        <f>IF(OR(C204="",N(K204)&lt;=0,NOT(ISNUMBER(J204))),"",J204-TODAY())</f>
        <v/>
      </c>
      <c r="M204" s="12">
        <f>IF(C204="","",IF(N(K204)&lt;=0,"Sold out",IF(NOT(ISNUMBER(J204)),"In stock",IF(J204&lt;TODAY(),"Past its date",IF(J204-TODAY()&lt;=Settings!$C$5,"Use soon","In stock")))))</f>
        <v/>
      </c>
      <c r="N204" s="26">
        <f>IF(C204="","",N(D204)*Q204)</f>
        <v/>
      </c>
      <c r="O204" s="1" t="n"/>
      <c r="P204">
        <f>IF(C204="",0,IFERROR(N(INDEX(Products!$E$6:$E$45,MATCH(C204,Products!$B$6:$B$45,0))),0))</f>
        <v/>
      </c>
      <c r="Q204">
        <f>IF(C204="",0,IFERROR(N(INDEX(Products!$I$6:$I$45,MATCH(C204,Products!$B$6:$B$45,0))),0))</f>
        <v/>
      </c>
      <c r="R204">
        <f>IF(OR(C204="",NOT(ISNUMBER(B204))),"",YEAR(B204)*100+MONTH(B204))</f>
        <v/>
      </c>
      <c r="S204">
        <f>N(G204)*Q204</f>
        <v/>
      </c>
      <c r="T204">
        <f>IF(OR(M204="",M204="Sold out",NOT(ISNUMBER(J204))),"",J204*1000+ROW())</f>
        <v/>
      </c>
    </row>
    <row r="205">
      <c r="A205" s="1" t="n"/>
      <c r="B205" s="20" t="n"/>
      <c r="C205" s="21" t="n"/>
      <c r="D205" s="22" t="n"/>
      <c r="E205" s="22" t="n"/>
      <c r="F205" s="22" t="n"/>
      <c r="G205" s="22" t="n"/>
      <c r="H205" s="23" t="n"/>
      <c r="I205" s="24">
        <f>IF(OR(C205="",NOT(ISNUMBER(B205))),"",UPPER(IF(IFERROR(IF(INDEX(Products!$C$6:$C$45,MATCH(C205,Products!$B$6:$B$45,0))="","",INDEX(Products!$C$6:$C$45,MATCH(C205,Products!$B$6:$B$45,0))),"")="",LEFT(SUBSTITUTE(C205," ",""),3),IFERROR(IF(INDEX(Products!$C$6:$C$45,MATCH(C205,Products!$B$6:$B$45,0))="","",INDEX(Products!$C$6:$C$45,MATCH(C205,Products!$B$6:$B$45,0))),"")))&amp;"-"&amp;RIGHT(YEAR(B205),2)&amp;RIGHT("0"&amp;MONTH(B205),2)&amp;RIGHT("0"&amp;DAY(B205),2)&amp;"-"&amp;COUNTIFS(C$6:C205,C205,B$6:B205,B205))</f>
        <v/>
      </c>
      <c r="J205" s="14">
        <f>IF(OR(C205="",NOT(ISNUMBER(B205)),N(P205)=0),"",B205+P205)</f>
        <v/>
      </c>
      <c r="K205" s="25">
        <f>IF(C205="","",N(D205)-N(E205)-N(F205)-N(G205))</f>
        <v/>
      </c>
      <c r="L205" s="13">
        <f>IF(OR(C205="",N(K205)&lt;=0,NOT(ISNUMBER(J205))),"",J205-TODAY())</f>
        <v/>
      </c>
      <c r="M205" s="12">
        <f>IF(C205="","",IF(N(K205)&lt;=0,"Sold out",IF(NOT(ISNUMBER(J205)),"In stock",IF(J205&lt;TODAY(),"Past its date",IF(J205-TODAY()&lt;=Settings!$C$5,"Use soon","In stock")))))</f>
        <v/>
      </c>
      <c r="N205" s="26">
        <f>IF(C205="","",N(D205)*Q205)</f>
        <v/>
      </c>
      <c r="O205" s="1" t="n"/>
      <c r="P205">
        <f>IF(C205="",0,IFERROR(N(INDEX(Products!$E$6:$E$45,MATCH(C205,Products!$B$6:$B$45,0))),0))</f>
        <v/>
      </c>
      <c r="Q205">
        <f>IF(C205="",0,IFERROR(N(INDEX(Products!$I$6:$I$45,MATCH(C205,Products!$B$6:$B$45,0))),0))</f>
        <v/>
      </c>
      <c r="R205">
        <f>IF(OR(C205="",NOT(ISNUMBER(B205))),"",YEAR(B205)*100+MONTH(B205))</f>
        <v/>
      </c>
      <c r="S205">
        <f>N(G205)*Q205</f>
        <v/>
      </c>
      <c r="T205">
        <f>IF(OR(M205="",M205="Sold out",NOT(ISNUMBER(J205))),"",J205*1000+ROW())</f>
        <v/>
      </c>
    </row>
    <row r="206">
      <c r="A206" s="1" t="n"/>
      <c r="B206" s="20" t="n"/>
      <c r="C206" s="21" t="n"/>
      <c r="D206" s="22" t="n"/>
      <c r="E206" s="22" t="n"/>
      <c r="F206" s="22" t="n"/>
      <c r="G206" s="22" t="n"/>
      <c r="H206" s="23" t="n"/>
      <c r="I206" s="24">
        <f>IF(OR(C206="",NOT(ISNUMBER(B206))),"",UPPER(IF(IFERROR(IF(INDEX(Products!$C$6:$C$45,MATCH(C206,Products!$B$6:$B$45,0))="","",INDEX(Products!$C$6:$C$45,MATCH(C206,Products!$B$6:$B$45,0))),"")="",LEFT(SUBSTITUTE(C206," ",""),3),IFERROR(IF(INDEX(Products!$C$6:$C$45,MATCH(C206,Products!$B$6:$B$45,0))="","",INDEX(Products!$C$6:$C$45,MATCH(C206,Products!$B$6:$B$45,0))),"")))&amp;"-"&amp;RIGHT(YEAR(B206),2)&amp;RIGHT("0"&amp;MONTH(B206),2)&amp;RIGHT("0"&amp;DAY(B206),2)&amp;"-"&amp;COUNTIFS(C$6:C206,C206,B$6:B206,B206))</f>
        <v/>
      </c>
      <c r="J206" s="14">
        <f>IF(OR(C206="",NOT(ISNUMBER(B206)),N(P206)=0),"",B206+P206)</f>
        <v/>
      </c>
      <c r="K206" s="25">
        <f>IF(C206="","",N(D206)-N(E206)-N(F206)-N(G206))</f>
        <v/>
      </c>
      <c r="L206" s="13">
        <f>IF(OR(C206="",N(K206)&lt;=0,NOT(ISNUMBER(J206))),"",J206-TODAY())</f>
        <v/>
      </c>
      <c r="M206" s="12">
        <f>IF(C206="","",IF(N(K206)&lt;=0,"Sold out",IF(NOT(ISNUMBER(J206)),"In stock",IF(J206&lt;TODAY(),"Past its date",IF(J206-TODAY()&lt;=Settings!$C$5,"Use soon","In stock")))))</f>
        <v/>
      </c>
      <c r="N206" s="26">
        <f>IF(C206="","",N(D206)*Q206)</f>
        <v/>
      </c>
      <c r="O206" s="1" t="n"/>
      <c r="P206">
        <f>IF(C206="",0,IFERROR(N(INDEX(Products!$E$6:$E$45,MATCH(C206,Products!$B$6:$B$45,0))),0))</f>
        <v/>
      </c>
      <c r="Q206">
        <f>IF(C206="",0,IFERROR(N(INDEX(Products!$I$6:$I$45,MATCH(C206,Products!$B$6:$B$45,0))),0))</f>
        <v/>
      </c>
      <c r="R206">
        <f>IF(OR(C206="",NOT(ISNUMBER(B206))),"",YEAR(B206)*100+MONTH(B206))</f>
        <v/>
      </c>
      <c r="S206">
        <f>N(G206)*Q206</f>
        <v/>
      </c>
      <c r="T206">
        <f>IF(OR(M206="",M206="Sold out",NOT(ISNUMBER(J206))),"",J206*1000+ROW())</f>
        <v/>
      </c>
    </row>
    <row r="207">
      <c r="A207" s="1" t="n"/>
      <c r="B207" s="20" t="n"/>
      <c r="C207" s="21" t="n"/>
      <c r="D207" s="22" t="n"/>
      <c r="E207" s="22" t="n"/>
      <c r="F207" s="22" t="n"/>
      <c r="G207" s="22" t="n"/>
      <c r="H207" s="23" t="n"/>
      <c r="I207" s="24">
        <f>IF(OR(C207="",NOT(ISNUMBER(B207))),"",UPPER(IF(IFERROR(IF(INDEX(Products!$C$6:$C$45,MATCH(C207,Products!$B$6:$B$45,0))="","",INDEX(Products!$C$6:$C$45,MATCH(C207,Products!$B$6:$B$45,0))),"")="",LEFT(SUBSTITUTE(C207," ",""),3),IFERROR(IF(INDEX(Products!$C$6:$C$45,MATCH(C207,Products!$B$6:$B$45,0))="","",INDEX(Products!$C$6:$C$45,MATCH(C207,Products!$B$6:$B$45,0))),"")))&amp;"-"&amp;RIGHT(YEAR(B207),2)&amp;RIGHT("0"&amp;MONTH(B207),2)&amp;RIGHT("0"&amp;DAY(B207),2)&amp;"-"&amp;COUNTIFS(C$6:C207,C207,B$6:B207,B207))</f>
        <v/>
      </c>
      <c r="J207" s="14">
        <f>IF(OR(C207="",NOT(ISNUMBER(B207)),N(P207)=0),"",B207+P207)</f>
        <v/>
      </c>
      <c r="K207" s="25">
        <f>IF(C207="","",N(D207)-N(E207)-N(F207)-N(G207))</f>
        <v/>
      </c>
      <c r="L207" s="13">
        <f>IF(OR(C207="",N(K207)&lt;=0,NOT(ISNUMBER(J207))),"",J207-TODAY())</f>
        <v/>
      </c>
      <c r="M207" s="12">
        <f>IF(C207="","",IF(N(K207)&lt;=0,"Sold out",IF(NOT(ISNUMBER(J207)),"In stock",IF(J207&lt;TODAY(),"Past its date",IF(J207-TODAY()&lt;=Settings!$C$5,"Use soon","In stock")))))</f>
        <v/>
      </c>
      <c r="N207" s="26">
        <f>IF(C207="","",N(D207)*Q207)</f>
        <v/>
      </c>
      <c r="O207" s="1" t="n"/>
      <c r="P207">
        <f>IF(C207="",0,IFERROR(N(INDEX(Products!$E$6:$E$45,MATCH(C207,Products!$B$6:$B$45,0))),0))</f>
        <v/>
      </c>
      <c r="Q207">
        <f>IF(C207="",0,IFERROR(N(INDEX(Products!$I$6:$I$45,MATCH(C207,Products!$B$6:$B$45,0))),0))</f>
        <v/>
      </c>
      <c r="R207">
        <f>IF(OR(C207="",NOT(ISNUMBER(B207))),"",YEAR(B207)*100+MONTH(B207))</f>
        <v/>
      </c>
      <c r="S207">
        <f>N(G207)*Q207</f>
        <v/>
      </c>
      <c r="T207">
        <f>IF(OR(M207="",M207="Sold out",NOT(ISNUMBER(J207))),"",J207*1000+ROW())</f>
        <v/>
      </c>
    </row>
    <row r="208">
      <c r="A208" s="1" t="n"/>
      <c r="B208" s="20" t="n"/>
      <c r="C208" s="21" t="n"/>
      <c r="D208" s="22" t="n"/>
      <c r="E208" s="22" t="n"/>
      <c r="F208" s="22" t="n"/>
      <c r="G208" s="22" t="n"/>
      <c r="H208" s="23" t="n"/>
      <c r="I208" s="24">
        <f>IF(OR(C208="",NOT(ISNUMBER(B208))),"",UPPER(IF(IFERROR(IF(INDEX(Products!$C$6:$C$45,MATCH(C208,Products!$B$6:$B$45,0))="","",INDEX(Products!$C$6:$C$45,MATCH(C208,Products!$B$6:$B$45,0))),"")="",LEFT(SUBSTITUTE(C208," ",""),3),IFERROR(IF(INDEX(Products!$C$6:$C$45,MATCH(C208,Products!$B$6:$B$45,0))="","",INDEX(Products!$C$6:$C$45,MATCH(C208,Products!$B$6:$B$45,0))),"")))&amp;"-"&amp;RIGHT(YEAR(B208),2)&amp;RIGHT("0"&amp;MONTH(B208),2)&amp;RIGHT("0"&amp;DAY(B208),2)&amp;"-"&amp;COUNTIFS(C$6:C208,C208,B$6:B208,B208))</f>
        <v/>
      </c>
      <c r="J208" s="14">
        <f>IF(OR(C208="",NOT(ISNUMBER(B208)),N(P208)=0),"",B208+P208)</f>
        <v/>
      </c>
      <c r="K208" s="25">
        <f>IF(C208="","",N(D208)-N(E208)-N(F208)-N(G208))</f>
        <v/>
      </c>
      <c r="L208" s="13">
        <f>IF(OR(C208="",N(K208)&lt;=0,NOT(ISNUMBER(J208))),"",J208-TODAY())</f>
        <v/>
      </c>
      <c r="M208" s="12">
        <f>IF(C208="","",IF(N(K208)&lt;=0,"Sold out",IF(NOT(ISNUMBER(J208)),"In stock",IF(J208&lt;TODAY(),"Past its date",IF(J208-TODAY()&lt;=Settings!$C$5,"Use soon","In stock")))))</f>
        <v/>
      </c>
      <c r="N208" s="26">
        <f>IF(C208="","",N(D208)*Q208)</f>
        <v/>
      </c>
      <c r="O208" s="1" t="n"/>
      <c r="P208">
        <f>IF(C208="",0,IFERROR(N(INDEX(Products!$E$6:$E$45,MATCH(C208,Products!$B$6:$B$45,0))),0))</f>
        <v/>
      </c>
      <c r="Q208">
        <f>IF(C208="",0,IFERROR(N(INDEX(Products!$I$6:$I$45,MATCH(C208,Products!$B$6:$B$45,0))),0))</f>
        <v/>
      </c>
      <c r="R208">
        <f>IF(OR(C208="",NOT(ISNUMBER(B208))),"",YEAR(B208)*100+MONTH(B208))</f>
        <v/>
      </c>
      <c r="S208">
        <f>N(G208)*Q208</f>
        <v/>
      </c>
      <c r="T208">
        <f>IF(OR(M208="",M208="Sold out",NOT(ISNUMBER(J208))),"",J208*1000+ROW())</f>
        <v/>
      </c>
    </row>
    <row r="209">
      <c r="A209" s="1" t="n"/>
      <c r="B209" s="20" t="n"/>
      <c r="C209" s="21" t="n"/>
      <c r="D209" s="22" t="n"/>
      <c r="E209" s="22" t="n"/>
      <c r="F209" s="22" t="n"/>
      <c r="G209" s="22" t="n"/>
      <c r="H209" s="23" t="n"/>
      <c r="I209" s="24">
        <f>IF(OR(C209="",NOT(ISNUMBER(B209))),"",UPPER(IF(IFERROR(IF(INDEX(Products!$C$6:$C$45,MATCH(C209,Products!$B$6:$B$45,0))="","",INDEX(Products!$C$6:$C$45,MATCH(C209,Products!$B$6:$B$45,0))),"")="",LEFT(SUBSTITUTE(C209," ",""),3),IFERROR(IF(INDEX(Products!$C$6:$C$45,MATCH(C209,Products!$B$6:$B$45,0))="","",INDEX(Products!$C$6:$C$45,MATCH(C209,Products!$B$6:$B$45,0))),"")))&amp;"-"&amp;RIGHT(YEAR(B209),2)&amp;RIGHT("0"&amp;MONTH(B209),2)&amp;RIGHT("0"&amp;DAY(B209),2)&amp;"-"&amp;COUNTIFS(C$6:C209,C209,B$6:B209,B209))</f>
        <v/>
      </c>
      <c r="J209" s="14">
        <f>IF(OR(C209="",NOT(ISNUMBER(B209)),N(P209)=0),"",B209+P209)</f>
        <v/>
      </c>
      <c r="K209" s="25">
        <f>IF(C209="","",N(D209)-N(E209)-N(F209)-N(G209))</f>
        <v/>
      </c>
      <c r="L209" s="13">
        <f>IF(OR(C209="",N(K209)&lt;=0,NOT(ISNUMBER(J209))),"",J209-TODAY())</f>
        <v/>
      </c>
      <c r="M209" s="12">
        <f>IF(C209="","",IF(N(K209)&lt;=0,"Sold out",IF(NOT(ISNUMBER(J209)),"In stock",IF(J209&lt;TODAY(),"Past its date",IF(J209-TODAY()&lt;=Settings!$C$5,"Use soon","In stock")))))</f>
        <v/>
      </c>
      <c r="N209" s="26">
        <f>IF(C209="","",N(D209)*Q209)</f>
        <v/>
      </c>
      <c r="O209" s="1" t="n"/>
      <c r="P209">
        <f>IF(C209="",0,IFERROR(N(INDEX(Products!$E$6:$E$45,MATCH(C209,Products!$B$6:$B$45,0))),0))</f>
        <v/>
      </c>
      <c r="Q209">
        <f>IF(C209="",0,IFERROR(N(INDEX(Products!$I$6:$I$45,MATCH(C209,Products!$B$6:$B$45,0))),0))</f>
        <v/>
      </c>
      <c r="R209">
        <f>IF(OR(C209="",NOT(ISNUMBER(B209))),"",YEAR(B209)*100+MONTH(B209))</f>
        <v/>
      </c>
      <c r="S209">
        <f>N(G209)*Q209</f>
        <v/>
      </c>
      <c r="T209">
        <f>IF(OR(M209="",M209="Sold out",NOT(ISNUMBER(J209))),"",J209*1000+ROW())</f>
        <v/>
      </c>
    </row>
    <row r="210">
      <c r="A210" s="1" t="n"/>
      <c r="B210" s="20" t="n"/>
      <c r="C210" s="21" t="n"/>
      <c r="D210" s="22" t="n"/>
      <c r="E210" s="22" t="n"/>
      <c r="F210" s="22" t="n"/>
      <c r="G210" s="22" t="n"/>
      <c r="H210" s="23" t="n"/>
      <c r="I210" s="24">
        <f>IF(OR(C210="",NOT(ISNUMBER(B210))),"",UPPER(IF(IFERROR(IF(INDEX(Products!$C$6:$C$45,MATCH(C210,Products!$B$6:$B$45,0))="","",INDEX(Products!$C$6:$C$45,MATCH(C210,Products!$B$6:$B$45,0))),"")="",LEFT(SUBSTITUTE(C210," ",""),3),IFERROR(IF(INDEX(Products!$C$6:$C$45,MATCH(C210,Products!$B$6:$B$45,0))="","",INDEX(Products!$C$6:$C$45,MATCH(C210,Products!$B$6:$B$45,0))),"")))&amp;"-"&amp;RIGHT(YEAR(B210),2)&amp;RIGHT("0"&amp;MONTH(B210),2)&amp;RIGHT("0"&amp;DAY(B210),2)&amp;"-"&amp;COUNTIFS(C$6:C210,C210,B$6:B210,B210))</f>
        <v/>
      </c>
      <c r="J210" s="14">
        <f>IF(OR(C210="",NOT(ISNUMBER(B210)),N(P210)=0),"",B210+P210)</f>
        <v/>
      </c>
      <c r="K210" s="25">
        <f>IF(C210="","",N(D210)-N(E210)-N(F210)-N(G210))</f>
        <v/>
      </c>
      <c r="L210" s="13">
        <f>IF(OR(C210="",N(K210)&lt;=0,NOT(ISNUMBER(J210))),"",J210-TODAY())</f>
        <v/>
      </c>
      <c r="M210" s="12">
        <f>IF(C210="","",IF(N(K210)&lt;=0,"Sold out",IF(NOT(ISNUMBER(J210)),"In stock",IF(J210&lt;TODAY(),"Past its date",IF(J210-TODAY()&lt;=Settings!$C$5,"Use soon","In stock")))))</f>
        <v/>
      </c>
      <c r="N210" s="26">
        <f>IF(C210="","",N(D210)*Q210)</f>
        <v/>
      </c>
      <c r="O210" s="1" t="n"/>
      <c r="P210">
        <f>IF(C210="",0,IFERROR(N(INDEX(Products!$E$6:$E$45,MATCH(C210,Products!$B$6:$B$45,0))),0))</f>
        <v/>
      </c>
      <c r="Q210">
        <f>IF(C210="",0,IFERROR(N(INDEX(Products!$I$6:$I$45,MATCH(C210,Products!$B$6:$B$45,0))),0))</f>
        <v/>
      </c>
      <c r="R210">
        <f>IF(OR(C210="",NOT(ISNUMBER(B210))),"",YEAR(B210)*100+MONTH(B210))</f>
        <v/>
      </c>
      <c r="S210">
        <f>N(G210)*Q210</f>
        <v/>
      </c>
      <c r="T210">
        <f>IF(OR(M210="",M210="Sold out",NOT(ISNUMBER(J210))),"",J210*1000+ROW())</f>
        <v/>
      </c>
    </row>
    <row r="211">
      <c r="A211" s="1" t="n"/>
      <c r="B211" s="20" t="n"/>
      <c r="C211" s="21" t="n"/>
      <c r="D211" s="22" t="n"/>
      <c r="E211" s="22" t="n"/>
      <c r="F211" s="22" t="n"/>
      <c r="G211" s="22" t="n"/>
      <c r="H211" s="23" t="n"/>
      <c r="I211" s="24">
        <f>IF(OR(C211="",NOT(ISNUMBER(B211))),"",UPPER(IF(IFERROR(IF(INDEX(Products!$C$6:$C$45,MATCH(C211,Products!$B$6:$B$45,0))="","",INDEX(Products!$C$6:$C$45,MATCH(C211,Products!$B$6:$B$45,0))),"")="",LEFT(SUBSTITUTE(C211," ",""),3),IFERROR(IF(INDEX(Products!$C$6:$C$45,MATCH(C211,Products!$B$6:$B$45,0))="","",INDEX(Products!$C$6:$C$45,MATCH(C211,Products!$B$6:$B$45,0))),"")))&amp;"-"&amp;RIGHT(YEAR(B211),2)&amp;RIGHT("0"&amp;MONTH(B211),2)&amp;RIGHT("0"&amp;DAY(B211),2)&amp;"-"&amp;COUNTIFS(C$6:C211,C211,B$6:B211,B211))</f>
        <v/>
      </c>
      <c r="J211" s="14">
        <f>IF(OR(C211="",NOT(ISNUMBER(B211)),N(P211)=0),"",B211+P211)</f>
        <v/>
      </c>
      <c r="K211" s="25">
        <f>IF(C211="","",N(D211)-N(E211)-N(F211)-N(G211))</f>
        <v/>
      </c>
      <c r="L211" s="13">
        <f>IF(OR(C211="",N(K211)&lt;=0,NOT(ISNUMBER(J211))),"",J211-TODAY())</f>
        <v/>
      </c>
      <c r="M211" s="12">
        <f>IF(C211="","",IF(N(K211)&lt;=0,"Sold out",IF(NOT(ISNUMBER(J211)),"In stock",IF(J211&lt;TODAY(),"Past its date",IF(J211-TODAY()&lt;=Settings!$C$5,"Use soon","In stock")))))</f>
        <v/>
      </c>
      <c r="N211" s="26">
        <f>IF(C211="","",N(D211)*Q211)</f>
        <v/>
      </c>
      <c r="O211" s="1" t="n"/>
      <c r="P211">
        <f>IF(C211="",0,IFERROR(N(INDEX(Products!$E$6:$E$45,MATCH(C211,Products!$B$6:$B$45,0))),0))</f>
        <v/>
      </c>
      <c r="Q211">
        <f>IF(C211="",0,IFERROR(N(INDEX(Products!$I$6:$I$45,MATCH(C211,Products!$B$6:$B$45,0))),0))</f>
        <v/>
      </c>
      <c r="R211">
        <f>IF(OR(C211="",NOT(ISNUMBER(B211))),"",YEAR(B211)*100+MONTH(B211))</f>
        <v/>
      </c>
      <c r="S211">
        <f>N(G211)*Q211</f>
        <v/>
      </c>
      <c r="T211">
        <f>IF(OR(M211="",M211="Sold out",NOT(ISNUMBER(J211))),"",J211*1000+ROW())</f>
        <v/>
      </c>
    </row>
    <row r="212">
      <c r="A212" s="1" t="n"/>
      <c r="B212" s="20" t="n"/>
      <c r="C212" s="21" t="n"/>
      <c r="D212" s="22" t="n"/>
      <c r="E212" s="22" t="n"/>
      <c r="F212" s="22" t="n"/>
      <c r="G212" s="22" t="n"/>
      <c r="H212" s="23" t="n"/>
      <c r="I212" s="24">
        <f>IF(OR(C212="",NOT(ISNUMBER(B212))),"",UPPER(IF(IFERROR(IF(INDEX(Products!$C$6:$C$45,MATCH(C212,Products!$B$6:$B$45,0))="","",INDEX(Products!$C$6:$C$45,MATCH(C212,Products!$B$6:$B$45,0))),"")="",LEFT(SUBSTITUTE(C212," ",""),3),IFERROR(IF(INDEX(Products!$C$6:$C$45,MATCH(C212,Products!$B$6:$B$45,0))="","",INDEX(Products!$C$6:$C$45,MATCH(C212,Products!$B$6:$B$45,0))),"")))&amp;"-"&amp;RIGHT(YEAR(B212),2)&amp;RIGHT("0"&amp;MONTH(B212),2)&amp;RIGHT("0"&amp;DAY(B212),2)&amp;"-"&amp;COUNTIFS(C$6:C212,C212,B$6:B212,B212))</f>
        <v/>
      </c>
      <c r="J212" s="14">
        <f>IF(OR(C212="",NOT(ISNUMBER(B212)),N(P212)=0),"",B212+P212)</f>
        <v/>
      </c>
      <c r="K212" s="25">
        <f>IF(C212="","",N(D212)-N(E212)-N(F212)-N(G212))</f>
        <v/>
      </c>
      <c r="L212" s="13">
        <f>IF(OR(C212="",N(K212)&lt;=0,NOT(ISNUMBER(J212))),"",J212-TODAY())</f>
        <v/>
      </c>
      <c r="M212" s="12">
        <f>IF(C212="","",IF(N(K212)&lt;=0,"Sold out",IF(NOT(ISNUMBER(J212)),"In stock",IF(J212&lt;TODAY(),"Past its date",IF(J212-TODAY()&lt;=Settings!$C$5,"Use soon","In stock")))))</f>
        <v/>
      </c>
      <c r="N212" s="26">
        <f>IF(C212="","",N(D212)*Q212)</f>
        <v/>
      </c>
      <c r="O212" s="1" t="n"/>
      <c r="P212">
        <f>IF(C212="",0,IFERROR(N(INDEX(Products!$E$6:$E$45,MATCH(C212,Products!$B$6:$B$45,0))),0))</f>
        <v/>
      </c>
      <c r="Q212">
        <f>IF(C212="",0,IFERROR(N(INDEX(Products!$I$6:$I$45,MATCH(C212,Products!$B$6:$B$45,0))),0))</f>
        <v/>
      </c>
      <c r="R212">
        <f>IF(OR(C212="",NOT(ISNUMBER(B212))),"",YEAR(B212)*100+MONTH(B212))</f>
        <v/>
      </c>
      <c r="S212">
        <f>N(G212)*Q212</f>
        <v/>
      </c>
      <c r="T212">
        <f>IF(OR(M212="",M212="Sold out",NOT(ISNUMBER(J212))),"",J212*1000+ROW())</f>
        <v/>
      </c>
    </row>
    <row r="213">
      <c r="A213" s="1" t="n"/>
      <c r="B213" s="20" t="n"/>
      <c r="C213" s="21" t="n"/>
      <c r="D213" s="22" t="n"/>
      <c r="E213" s="22" t="n"/>
      <c r="F213" s="22" t="n"/>
      <c r="G213" s="22" t="n"/>
      <c r="H213" s="23" t="n"/>
      <c r="I213" s="24">
        <f>IF(OR(C213="",NOT(ISNUMBER(B213))),"",UPPER(IF(IFERROR(IF(INDEX(Products!$C$6:$C$45,MATCH(C213,Products!$B$6:$B$45,0))="","",INDEX(Products!$C$6:$C$45,MATCH(C213,Products!$B$6:$B$45,0))),"")="",LEFT(SUBSTITUTE(C213," ",""),3),IFERROR(IF(INDEX(Products!$C$6:$C$45,MATCH(C213,Products!$B$6:$B$45,0))="","",INDEX(Products!$C$6:$C$45,MATCH(C213,Products!$B$6:$B$45,0))),"")))&amp;"-"&amp;RIGHT(YEAR(B213),2)&amp;RIGHT("0"&amp;MONTH(B213),2)&amp;RIGHT("0"&amp;DAY(B213),2)&amp;"-"&amp;COUNTIFS(C$6:C213,C213,B$6:B213,B213))</f>
        <v/>
      </c>
      <c r="J213" s="14">
        <f>IF(OR(C213="",NOT(ISNUMBER(B213)),N(P213)=0),"",B213+P213)</f>
        <v/>
      </c>
      <c r="K213" s="25">
        <f>IF(C213="","",N(D213)-N(E213)-N(F213)-N(G213))</f>
        <v/>
      </c>
      <c r="L213" s="13">
        <f>IF(OR(C213="",N(K213)&lt;=0,NOT(ISNUMBER(J213))),"",J213-TODAY())</f>
        <v/>
      </c>
      <c r="M213" s="12">
        <f>IF(C213="","",IF(N(K213)&lt;=0,"Sold out",IF(NOT(ISNUMBER(J213)),"In stock",IF(J213&lt;TODAY(),"Past its date",IF(J213-TODAY()&lt;=Settings!$C$5,"Use soon","In stock")))))</f>
        <v/>
      </c>
      <c r="N213" s="26">
        <f>IF(C213="","",N(D213)*Q213)</f>
        <v/>
      </c>
      <c r="O213" s="1" t="n"/>
      <c r="P213">
        <f>IF(C213="",0,IFERROR(N(INDEX(Products!$E$6:$E$45,MATCH(C213,Products!$B$6:$B$45,0))),0))</f>
        <v/>
      </c>
      <c r="Q213">
        <f>IF(C213="",0,IFERROR(N(INDEX(Products!$I$6:$I$45,MATCH(C213,Products!$B$6:$B$45,0))),0))</f>
        <v/>
      </c>
      <c r="R213">
        <f>IF(OR(C213="",NOT(ISNUMBER(B213))),"",YEAR(B213)*100+MONTH(B213))</f>
        <v/>
      </c>
      <c r="S213">
        <f>N(G213)*Q213</f>
        <v/>
      </c>
      <c r="T213">
        <f>IF(OR(M213="",M213="Sold out",NOT(ISNUMBER(J213))),"",J213*1000+ROW())</f>
        <v/>
      </c>
    </row>
    <row r="214">
      <c r="A214" s="1" t="n"/>
      <c r="B214" s="20" t="n"/>
      <c r="C214" s="21" t="n"/>
      <c r="D214" s="22" t="n"/>
      <c r="E214" s="22" t="n"/>
      <c r="F214" s="22" t="n"/>
      <c r="G214" s="22" t="n"/>
      <c r="H214" s="23" t="n"/>
      <c r="I214" s="24">
        <f>IF(OR(C214="",NOT(ISNUMBER(B214))),"",UPPER(IF(IFERROR(IF(INDEX(Products!$C$6:$C$45,MATCH(C214,Products!$B$6:$B$45,0))="","",INDEX(Products!$C$6:$C$45,MATCH(C214,Products!$B$6:$B$45,0))),"")="",LEFT(SUBSTITUTE(C214," ",""),3),IFERROR(IF(INDEX(Products!$C$6:$C$45,MATCH(C214,Products!$B$6:$B$45,0))="","",INDEX(Products!$C$6:$C$45,MATCH(C214,Products!$B$6:$B$45,0))),"")))&amp;"-"&amp;RIGHT(YEAR(B214),2)&amp;RIGHT("0"&amp;MONTH(B214),2)&amp;RIGHT("0"&amp;DAY(B214),2)&amp;"-"&amp;COUNTIFS(C$6:C214,C214,B$6:B214,B214))</f>
        <v/>
      </c>
      <c r="J214" s="14">
        <f>IF(OR(C214="",NOT(ISNUMBER(B214)),N(P214)=0),"",B214+P214)</f>
        <v/>
      </c>
      <c r="K214" s="25">
        <f>IF(C214="","",N(D214)-N(E214)-N(F214)-N(G214))</f>
        <v/>
      </c>
      <c r="L214" s="13">
        <f>IF(OR(C214="",N(K214)&lt;=0,NOT(ISNUMBER(J214))),"",J214-TODAY())</f>
        <v/>
      </c>
      <c r="M214" s="12">
        <f>IF(C214="","",IF(N(K214)&lt;=0,"Sold out",IF(NOT(ISNUMBER(J214)),"In stock",IF(J214&lt;TODAY(),"Past its date",IF(J214-TODAY()&lt;=Settings!$C$5,"Use soon","In stock")))))</f>
        <v/>
      </c>
      <c r="N214" s="26">
        <f>IF(C214="","",N(D214)*Q214)</f>
        <v/>
      </c>
      <c r="O214" s="1" t="n"/>
      <c r="P214">
        <f>IF(C214="",0,IFERROR(N(INDEX(Products!$E$6:$E$45,MATCH(C214,Products!$B$6:$B$45,0))),0))</f>
        <v/>
      </c>
      <c r="Q214">
        <f>IF(C214="",0,IFERROR(N(INDEX(Products!$I$6:$I$45,MATCH(C214,Products!$B$6:$B$45,0))),0))</f>
        <v/>
      </c>
      <c r="R214">
        <f>IF(OR(C214="",NOT(ISNUMBER(B214))),"",YEAR(B214)*100+MONTH(B214))</f>
        <v/>
      </c>
      <c r="S214">
        <f>N(G214)*Q214</f>
        <v/>
      </c>
      <c r="T214">
        <f>IF(OR(M214="",M214="Sold out",NOT(ISNUMBER(J214))),"",J214*1000+ROW())</f>
        <v/>
      </c>
    </row>
    <row r="215">
      <c r="A215" s="1" t="n"/>
      <c r="B215" s="20" t="n"/>
      <c r="C215" s="21" t="n"/>
      <c r="D215" s="22" t="n"/>
      <c r="E215" s="22" t="n"/>
      <c r="F215" s="22" t="n"/>
      <c r="G215" s="22" t="n"/>
      <c r="H215" s="23" t="n"/>
      <c r="I215" s="24">
        <f>IF(OR(C215="",NOT(ISNUMBER(B215))),"",UPPER(IF(IFERROR(IF(INDEX(Products!$C$6:$C$45,MATCH(C215,Products!$B$6:$B$45,0))="","",INDEX(Products!$C$6:$C$45,MATCH(C215,Products!$B$6:$B$45,0))),"")="",LEFT(SUBSTITUTE(C215," ",""),3),IFERROR(IF(INDEX(Products!$C$6:$C$45,MATCH(C215,Products!$B$6:$B$45,0))="","",INDEX(Products!$C$6:$C$45,MATCH(C215,Products!$B$6:$B$45,0))),"")))&amp;"-"&amp;RIGHT(YEAR(B215),2)&amp;RIGHT("0"&amp;MONTH(B215),2)&amp;RIGHT("0"&amp;DAY(B215),2)&amp;"-"&amp;COUNTIFS(C$6:C215,C215,B$6:B215,B215))</f>
        <v/>
      </c>
      <c r="J215" s="14">
        <f>IF(OR(C215="",NOT(ISNUMBER(B215)),N(P215)=0),"",B215+P215)</f>
        <v/>
      </c>
      <c r="K215" s="25">
        <f>IF(C215="","",N(D215)-N(E215)-N(F215)-N(G215))</f>
        <v/>
      </c>
      <c r="L215" s="13">
        <f>IF(OR(C215="",N(K215)&lt;=0,NOT(ISNUMBER(J215))),"",J215-TODAY())</f>
        <v/>
      </c>
      <c r="M215" s="12">
        <f>IF(C215="","",IF(N(K215)&lt;=0,"Sold out",IF(NOT(ISNUMBER(J215)),"In stock",IF(J215&lt;TODAY(),"Past its date",IF(J215-TODAY()&lt;=Settings!$C$5,"Use soon","In stock")))))</f>
        <v/>
      </c>
      <c r="N215" s="26">
        <f>IF(C215="","",N(D215)*Q215)</f>
        <v/>
      </c>
      <c r="O215" s="1" t="n"/>
      <c r="P215">
        <f>IF(C215="",0,IFERROR(N(INDEX(Products!$E$6:$E$45,MATCH(C215,Products!$B$6:$B$45,0))),0))</f>
        <v/>
      </c>
      <c r="Q215">
        <f>IF(C215="",0,IFERROR(N(INDEX(Products!$I$6:$I$45,MATCH(C215,Products!$B$6:$B$45,0))),0))</f>
        <v/>
      </c>
      <c r="R215">
        <f>IF(OR(C215="",NOT(ISNUMBER(B215))),"",YEAR(B215)*100+MONTH(B215))</f>
        <v/>
      </c>
      <c r="S215">
        <f>N(G215)*Q215</f>
        <v/>
      </c>
      <c r="T215">
        <f>IF(OR(M215="",M215="Sold out",NOT(ISNUMBER(J215))),"",J215*1000+ROW())</f>
        <v/>
      </c>
    </row>
    <row r="216">
      <c r="A216" s="1" t="n"/>
      <c r="B216" s="20" t="n"/>
      <c r="C216" s="21" t="n"/>
      <c r="D216" s="22" t="n"/>
      <c r="E216" s="22" t="n"/>
      <c r="F216" s="22" t="n"/>
      <c r="G216" s="22" t="n"/>
      <c r="H216" s="23" t="n"/>
      <c r="I216" s="24">
        <f>IF(OR(C216="",NOT(ISNUMBER(B216))),"",UPPER(IF(IFERROR(IF(INDEX(Products!$C$6:$C$45,MATCH(C216,Products!$B$6:$B$45,0))="","",INDEX(Products!$C$6:$C$45,MATCH(C216,Products!$B$6:$B$45,0))),"")="",LEFT(SUBSTITUTE(C216," ",""),3),IFERROR(IF(INDEX(Products!$C$6:$C$45,MATCH(C216,Products!$B$6:$B$45,0))="","",INDEX(Products!$C$6:$C$45,MATCH(C216,Products!$B$6:$B$45,0))),"")))&amp;"-"&amp;RIGHT(YEAR(B216),2)&amp;RIGHT("0"&amp;MONTH(B216),2)&amp;RIGHT("0"&amp;DAY(B216),2)&amp;"-"&amp;COUNTIFS(C$6:C216,C216,B$6:B216,B216))</f>
        <v/>
      </c>
      <c r="J216" s="14">
        <f>IF(OR(C216="",NOT(ISNUMBER(B216)),N(P216)=0),"",B216+P216)</f>
        <v/>
      </c>
      <c r="K216" s="25">
        <f>IF(C216="","",N(D216)-N(E216)-N(F216)-N(G216))</f>
        <v/>
      </c>
      <c r="L216" s="13">
        <f>IF(OR(C216="",N(K216)&lt;=0,NOT(ISNUMBER(J216))),"",J216-TODAY())</f>
        <v/>
      </c>
      <c r="M216" s="12">
        <f>IF(C216="","",IF(N(K216)&lt;=0,"Sold out",IF(NOT(ISNUMBER(J216)),"In stock",IF(J216&lt;TODAY(),"Past its date",IF(J216-TODAY()&lt;=Settings!$C$5,"Use soon","In stock")))))</f>
        <v/>
      </c>
      <c r="N216" s="26">
        <f>IF(C216="","",N(D216)*Q216)</f>
        <v/>
      </c>
      <c r="O216" s="1" t="n"/>
      <c r="P216">
        <f>IF(C216="",0,IFERROR(N(INDEX(Products!$E$6:$E$45,MATCH(C216,Products!$B$6:$B$45,0))),0))</f>
        <v/>
      </c>
      <c r="Q216">
        <f>IF(C216="",0,IFERROR(N(INDEX(Products!$I$6:$I$45,MATCH(C216,Products!$B$6:$B$45,0))),0))</f>
        <v/>
      </c>
      <c r="R216">
        <f>IF(OR(C216="",NOT(ISNUMBER(B216))),"",YEAR(B216)*100+MONTH(B216))</f>
        <v/>
      </c>
      <c r="S216">
        <f>N(G216)*Q216</f>
        <v/>
      </c>
      <c r="T216">
        <f>IF(OR(M216="",M216="Sold out",NOT(ISNUMBER(J216))),"",J216*1000+ROW())</f>
        <v/>
      </c>
    </row>
    <row r="217">
      <c r="A217" s="1" t="n"/>
      <c r="B217" s="20" t="n"/>
      <c r="C217" s="21" t="n"/>
      <c r="D217" s="22" t="n"/>
      <c r="E217" s="22" t="n"/>
      <c r="F217" s="22" t="n"/>
      <c r="G217" s="22" t="n"/>
      <c r="H217" s="23" t="n"/>
      <c r="I217" s="24">
        <f>IF(OR(C217="",NOT(ISNUMBER(B217))),"",UPPER(IF(IFERROR(IF(INDEX(Products!$C$6:$C$45,MATCH(C217,Products!$B$6:$B$45,0))="","",INDEX(Products!$C$6:$C$45,MATCH(C217,Products!$B$6:$B$45,0))),"")="",LEFT(SUBSTITUTE(C217," ",""),3),IFERROR(IF(INDEX(Products!$C$6:$C$45,MATCH(C217,Products!$B$6:$B$45,0))="","",INDEX(Products!$C$6:$C$45,MATCH(C217,Products!$B$6:$B$45,0))),"")))&amp;"-"&amp;RIGHT(YEAR(B217),2)&amp;RIGHT("0"&amp;MONTH(B217),2)&amp;RIGHT("0"&amp;DAY(B217),2)&amp;"-"&amp;COUNTIFS(C$6:C217,C217,B$6:B217,B217))</f>
        <v/>
      </c>
      <c r="J217" s="14">
        <f>IF(OR(C217="",NOT(ISNUMBER(B217)),N(P217)=0),"",B217+P217)</f>
        <v/>
      </c>
      <c r="K217" s="25">
        <f>IF(C217="","",N(D217)-N(E217)-N(F217)-N(G217))</f>
        <v/>
      </c>
      <c r="L217" s="13">
        <f>IF(OR(C217="",N(K217)&lt;=0,NOT(ISNUMBER(J217))),"",J217-TODAY())</f>
        <v/>
      </c>
      <c r="M217" s="12">
        <f>IF(C217="","",IF(N(K217)&lt;=0,"Sold out",IF(NOT(ISNUMBER(J217)),"In stock",IF(J217&lt;TODAY(),"Past its date",IF(J217-TODAY()&lt;=Settings!$C$5,"Use soon","In stock")))))</f>
        <v/>
      </c>
      <c r="N217" s="26">
        <f>IF(C217="","",N(D217)*Q217)</f>
        <v/>
      </c>
      <c r="O217" s="1" t="n"/>
      <c r="P217">
        <f>IF(C217="",0,IFERROR(N(INDEX(Products!$E$6:$E$45,MATCH(C217,Products!$B$6:$B$45,0))),0))</f>
        <v/>
      </c>
      <c r="Q217">
        <f>IF(C217="",0,IFERROR(N(INDEX(Products!$I$6:$I$45,MATCH(C217,Products!$B$6:$B$45,0))),0))</f>
        <v/>
      </c>
      <c r="R217">
        <f>IF(OR(C217="",NOT(ISNUMBER(B217))),"",YEAR(B217)*100+MONTH(B217))</f>
        <v/>
      </c>
      <c r="S217">
        <f>N(G217)*Q217</f>
        <v/>
      </c>
      <c r="T217">
        <f>IF(OR(M217="",M217="Sold out",NOT(ISNUMBER(J217))),"",J217*1000+ROW())</f>
        <v/>
      </c>
    </row>
    <row r="218">
      <c r="A218" s="1" t="n"/>
      <c r="B218" s="20" t="n"/>
      <c r="C218" s="21" t="n"/>
      <c r="D218" s="22" t="n"/>
      <c r="E218" s="22" t="n"/>
      <c r="F218" s="22" t="n"/>
      <c r="G218" s="22" t="n"/>
      <c r="H218" s="23" t="n"/>
      <c r="I218" s="24">
        <f>IF(OR(C218="",NOT(ISNUMBER(B218))),"",UPPER(IF(IFERROR(IF(INDEX(Products!$C$6:$C$45,MATCH(C218,Products!$B$6:$B$45,0))="","",INDEX(Products!$C$6:$C$45,MATCH(C218,Products!$B$6:$B$45,0))),"")="",LEFT(SUBSTITUTE(C218," ",""),3),IFERROR(IF(INDEX(Products!$C$6:$C$45,MATCH(C218,Products!$B$6:$B$45,0))="","",INDEX(Products!$C$6:$C$45,MATCH(C218,Products!$B$6:$B$45,0))),"")))&amp;"-"&amp;RIGHT(YEAR(B218),2)&amp;RIGHT("0"&amp;MONTH(B218),2)&amp;RIGHT("0"&amp;DAY(B218),2)&amp;"-"&amp;COUNTIFS(C$6:C218,C218,B$6:B218,B218))</f>
        <v/>
      </c>
      <c r="J218" s="14">
        <f>IF(OR(C218="",NOT(ISNUMBER(B218)),N(P218)=0),"",B218+P218)</f>
        <v/>
      </c>
      <c r="K218" s="25">
        <f>IF(C218="","",N(D218)-N(E218)-N(F218)-N(G218))</f>
        <v/>
      </c>
      <c r="L218" s="13">
        <f>IF(OR(C218="",N(K218)&lt;=0,NOT(ISNUMBER(J218))),"",J218-TODAY())</f>
        <v/>
      </c>
      <c r="M218" s="12">
        <f>IF(C218="","",IF(N(K218)&lt;=0,"Sold out",IF(NOT(ISNUMBER(J218)),"In stock",IF(J218&lt;TODAY(),"Past its date",IF(J218-TODAY()&lt;=Settings!$C$5,"Use soon","In stock")))))</f>
        <v/>
      </c>
      <c r="N218" s="26">
        <f>IF(C218="","",N(D218)*Q218)</f>
        <v/>
      </c>
      <c r="O218" s="1" t="n"/>
      <c r="P218">
        <f>IF(C218="",0,IFERROR(N(INDEX(Products!$E$6:$E$45,MATCH(C218,Products!$B$6:$B$45,0))),0))</f>
        <v/>
      </c>
      <c r="Q218">
        <f>IF(C218="",0,IFERROR(N(INDEX(Products!$I$6:$I$45,MATCH(C218,Products!$B$6:$B$45,0))),0))</f>
        <v/>
      </c>
      <c r="R218">
        <f>IF(OR(C218="",NOT(ISNUMBER(B218))),"",YEAR(B218)*100+MONTH(B218))</f>
        <v/>
      </c>
      <c r="S218">
        <f>N(G218)*Q218</f>
        <v/>
      </c>
      <c r="T218">
        <f>IF(OR(M218="",M218="Sold out",NOT(ISNUMBER(J218))),"",J218*1000+ROW())</f>
        <v/>
      </c>
    </row>
    <row r="219">
      <c r="A219" s="1" t="n"/>
      <c r="B219" s="20" t="n"/>
      <c r="C219" s="21" t="n"/>
      <c r="D219" s="22" t="n"/>
      <c r="E219" s="22" t="n"/>
      <c r="F219" s="22" t="n"/>
      <c r="G219" s="22" t="n"/>
      <c r="H219" s="23" t="n"/>
      <c r="I219" s="24">
        <f>IF(OR(C219="",NOT(ISNUMBER(B219))),"",UPPER(IF(IFERROR(IF(INDEX(Products!$C$6:$C$45,MATCH(C219,Products!$B$6:$B$45,0))="","",INDEX(Products!$C$6:$C$45,MATCH(C219,Products!$B$6:$B$45,0))),"")="",LEFT(SUBSTITUTE(C219," ",""),3),IFERROR(IF(INDEX(Products!$C$6:$C$45,MATCH(C219,Products!$B$6:$B$45,0))="","",INDEX(Products!$C$6:$C$45,MATCH(C219,Products!$B$6:$B$45,0))),"")))&amp;"-"&amp;RIGHT(YEAR(B219),2)&amp;RIGHT("0"&amp;MONTH(B219),2)&amp;RIGHT("0"&amp;DAY(B219),2)&amp;"-"&amp;COUNTIFS(C$6:C219,C219,B$6:B219,B219))</f>
        <v/>
      </c>
      <c r="J219" s="14">
        <f>IF(OR(C219="",NOT(ISNUMBER(B219)),N(P219)=0),"",B219+P219)</f>
        <v/>
      </c>
      <c r="K219" s="25">
        <f>IF(C219="","",N(D219)-N(E219)-N(F219)-N(G219))</f>
        <v/>
      </c>
      <c r="L219" s="13">
        <f>IF(OR(C219="",N(K219)&lt;=0,NOT(ISNUMBER(J219))),"",J219-TODAY())</f>
        <v/>
      </c>
      <c r="M219" s="12">
        <f>IF(C219="","",IF(N(K219)&lt;=0,"Sold out",IF(NOT(ISNUMBER(J219)),"In stock",IF(J219&lt;TODAY(),"Past its date",IF(J219-TODAY()&lt;=Settings!$C$5,"Use soon","In stock")))))</f>
        <v/>
      </c>
      <c r="N219" s="26">
        <f>IF(C219="","",N(D219)*Q219)</f>
        <v/>
      </c>
      <c r="O219" s="1" t="n"/>
      <c r="P219">
        <f>IF(C219="",0,IFERROR(N(INDEX(Products!$E$6:$E$45,MATCH(C219,Products!$B$6:$B$45,0))),0))</f>
        <v/>
      </c>
      <c r="Q219">
        <f>IF(C219="",0,IFERROR(N(INDEX(Products!$I$6:$I$45,MATCH(C219,Products!$B$6:$B$45,0))),0))</f>
        <v/>
      </c>
      <c r="R219">
        <f>IF(OR(C219="",NOT(ISNUMBER(B219))),"",YEAR(B219)*100+MONTH(B219))</f>
        <v/>
      </c>
      <c r="S219">
        <f>N(G219)*Q219</f>
        <v/>
      </c>
      <c r="T219">
        <f>IF(OR(M219="",M219="Sold out",NOT(ISNUMBER(J219))),"",J219*1000+ROW())</f>
        <v/>
      </c>
    </row>
    <row r="220">
      <c r="A220" s="1" t="n"/>
      <c r="B220" s="20" t="n"/>
      <c r="C220" s="21" t="n"/>
      <c r="D220" s="22" t="n"/>
      <c r="E220" s="22" t="n"/>
      <c r="F220" s="22" t="n"/>
      <c r="G220" s="22" t="n"/>
      <c r="H220" s="23" t="n"/>
      <c r="I220" s="24">
        <f>IF(OR(C220="",NOT(ISNUMBER(B220))),"",UPPER(IF(IFERROR(IF(INDEX(Products!$C$6:$C$45,MATCH(C220,Products!$B$6:$B$45,0))="","",INDEX(Products!$C$6:$C$45,MATCH(C220,Products!$B$6:$B$45,0))),"")="",LEFT(SUBSTITUTE(C220," ",""),3),IFERROR(IF(INDEX(Products!$C$6:$C$45,MATCH(C220,Products!$B$6:$B$45,0))="","",INDEX(Products!$C$6:$C$45,MATCH(C220,Products!$B$6:$B$45,0))),"")))&amp;"-"&amp;RIGHT(YEAR(B220),2)&amp;RIGHT("0"&amp;MONTH(B220),2)&amp;RIGHT("0"&amp;DAY(B220),2)&amp;"-"&amp;COUNTIFS(C$6:C220,C220,B$6:B220,B220))</f>
        <v/>
      </c>
      <c r="J220" s="14">
        <f>IF(OR(C220="",NOT(ISNUMBER(B220)),N(P220)=0),"",B220+P220)</f>
        <v/>
      </c>
      <c r="K220" s="25">
        <f>IF(C220="","",N(D220)-N(E220)-N(F220)-N(G220))</f>
        <v/>
      </c>
      <c r="L220" s="13">
        <f>IF(OR(C220="",N(K220)&lt;=0,NOT(ISNUMBER(J220))),"",J220-TODAY())</f>
        <v/>
      </c>
      <c r="M220" s="12">
        <f>IF(C220="","",IF(N(K220)&lt;=0,"Sold out",IF(NOT(ISNUMBER(J220)),"In stock",IF(J220&lt;TODAY(),"Past its date",IF(J220-TODAY()&lt;=Settings!$C$5,"Use soon","In stock")))))</f>
        <v/>
      </c>
      <c r="N220" s="26">
        <f>IF(C220="","",N(D220)*Q220)</f>
        <v/>
      </c>
      <c r="O220" s="1" t="n"/>
      <c r="P220">
        <f>IF(C220="",0,IFERROR(N(INDEX(Products!$E$6:$E$45,MATCH(C220,Products!$B$6:$B$45,0))),0))</f>
        <v/>
      </c>
      <c r="Q220">
        <f>IF(C220="",0,IFERROR(N(INDEX(Products!$I$6:$I$45,MATCH(C220,Products!$B$6:$B$45,0))),0))</f>
        <v/>
      </c>
      <c r="R220">
        <f>IF(OR(C220="",NOT(ISNUMBER(B220))),"",YEAR(B220)*100+MONTH(B220))</f>
        <v/>
      </c>
      <c r="S220">
        <f>N(G220)*Q220</f>
        <v/>
      </c>
      <c r="T220">
        <f>IF(OR(M220="",M220="Sold out",NOT(ISNUMBER(J220))),"",J220*1000+ROW())</f>
        <v/>
      </c>
    </row>
    <row r="221">
      <c r="A221" s="1" t="n"/>
      <c r="B221" s="20" t="n"/>
      <c r="C221" s="21" t="n"/>
      <c r="D221" s="22" t="n"/>
      <c r="E221" s="22" t="n"/>
      <c r="F221" s="22" t="n"/>
      <c r="G221" s="22" t="n"/>
      <c r="H221" s="23" t="n"/>
      <c r="I221" s="24">
        <f>IF(OR(C221="",NOT(ISNUMBER(B221))),"",UPPER(IF(IFERROR(IF(INDEX(Products!$C$6:$C$45,MATCH(C221,Products!$B$6:$B$45,0))="","",INDEX(Products!$C$6:$C$45,MATCH(C221,Products!$B$6:$B$45,0))),"")="",LEFT(SUBSTITUTE(C221," ",""),3),IFERROR(IF(INDEX(Products!$C$6:$C$45,MATCH(C221,Products!$B$6:$B$45,0))="","",INDEX(Products!$C$6:$C$45,MATCH(C221,Products!$B$6:$B$45,0))),"")))&amp;"-"&amp;RIGHT(YEAR(B221),2)&amp;RIGHT("0"&amp;MONTH(B221),2)&amp;RIGHT("0"&amp;DAY(B221),2)&amp;"-"&amp;COUNTIFS(C$6:C221,C221,B$6:B221,B221))</f>
        <v/>
      </c>
      <c r="J221" s="14">
        <f>IF(OR(C221="",NOT(ISNUMBER(B221)),N(P221)=0),"",B221+P221)</f>
        <v/>
      </c>
      <c r="K221" s="25">
        <f>IF(C221="","",N(D221)-N(E221)-N(F221)-N(G221))</f>
        <v/>
      </c>
      <c r="L221" s="13">
        <f>IF(OR(C221="",N(K221)&lt;=0,NOT(ISNUMBER(J221))),"",J221-TODAY())</f>
        <v/>
      </c>
      <c r="M221" s="12">
        <f>IF(C221="","",IF(N(K221)&lt;=0,"Sold out",IF(NOT(ISNUMBER(J221)),"In stock",IF(J221&lt;TODAY(),"Past its date",IF(J221-TODAY()&lt;=Settings!$C$5,"Use soon","In stock")))))</f>
        <v/>
      </c>
      <c r="N221" s="26">
        <f>IF(C221="","",N(D221)*Q221)</f>
        <v/>
      </c>
      <c r="O221" s="1" t="n"/>
      <c r="P221">
        <f>IF(C221="",0,IFERROR(N(INDEX(Products!$E$6:$E$45,MATCH(C221,Products!$B$6:$B$45,0))),0))</f>
        <v/>
      </c>
      <c r="Q221">
        <f>IF(C221="",0,IFERROR(N(INDEX(Products!$I$6:$I$45,MATCH(C221,Products!$B$6:$B$45,0))),0))</f>
        <v/>
      </c>
      <c r="R221">
        <f>IF(OR(C221="",NOT(ISNUMBER(B221))),"",YEAR(B221)*100+MONTH(B221))</f>
        <v/>
      </c>
      <c r="S221">
        <f>N(G221)*Q221</f>
        <v/>
      </c>
      <c r="T221">
        <f>IF(OR(M221="",M221="Sold out",NOT(ISNUMBER(J221))),"",J221*1000+ROW())</f>
        <v/>
      </c>
    </row>
    <row r="222">
      <c r="A222" s="1" t="n"/>
      <c r="B222" s="20" t="n"/>
      <c r="C222" s="21" t="n"/>
      <c r="D222" s="22" t="n"/>
      <c r="E222" s="22" t="n"/>
      <c r="F222" s="22" t="n"/>
      <c r="G222" s="22" t="n"/>
      <c r="H222" s="23" t="n"/>
      <c r="I222" s="24">
        <f>IF(OR(C222="",NOT(ISNUMBER(B222))),"",UPPER(IF(IFERROR(IF(INDEX(Products!$C$6:$C$45,MATCH(C222,Products!$B$6:$B$45,0))="","",INDEX(Products!$C$6:$C$45,MATCH(C222,Products!$B$6:$B$45,0))),"")="",LEFT(SUBSTITUTE(C222," ",""),3),IFERROR(IF(INDEX(Products!$C$6:$C$45,MATCH(C222,Products!$B$6:$B$45,0))="","",INDEX(Products!$C$6:$C$45,MATCH(C222,Products!$B$6:$B$45,0))),"")))&amp;"-"&amp;RIGHT(YEAR(B222),2)&amp;RIGHT("0"&amp;MONTH(B222),2)&amp;RIGHT("0"&amp;DAY(B222),2)&amp;"-"&amp;COUNTIFS(C$6:C222,C222,B$6:B222,B222))</f>
        <v/>
      </c>
      <c r="J222" s="14">
        <f>IF(OR(C222="",NOT(ISNUMBER(B222)),N(P222)=0),"",B222+P222)</f>
        <v/>
      </c>
      <c r="K222" s="25">
        <f>IF(C222="","",N(D222)-N(E222)-N(F222)-N(G222))</f>
        <v/>
      </c>
      <c r="L222" s="13">
        <f>IF(OR(C222="",N(K222)&lt;=0,NOT(ISNUMBER(J222))),"",J222-TODAY())</f>
        <v/>
      </c>
      <c r="M222" s="12">
        <f>IF(C222="","",IF(N(K222)&lt;=0,"Sold out",IF(NOT(ISNUMBER(J222)),"In stock",IF(J222&lt;TODAY(),"Past its date",IF(J222-TODAY()&lt;=Settings!$C$5,"Use soon","In stock")))))</f>
        <v/>
      </c>
      <c r="N222" s="26">
        <f>IF(C222="","",N(D222)*Q222)</f>
        <v/>
      </c>
      <c r="O222" s="1" t="n"/>
      <c r="P222">
        <f>IF(C222="",0,IFERROR(N(INDEX(Products!$E$6:$E$45,MATCH(C222,Products!$B$6:$B$45,0))),0))</f>
        <v/>
      </c>
      <c r="Q222">
        <f>IF(C222="",0,IFERROR(N(INDEX(Products!$I$6:$I$45,MATCH(C222,Products!$B$6:$B$45,0))),0))</f>
        <v/>
      </c>
      <c r="R222">
        <f>IF(OR(C222="",NOT(ISNUMBER(B222))),"",YEAR(B222)*100+MONTH(B222))</f>
        <v/>
      </c>
      <c r="S222">
        <f>N(G222)*Q222</f>
        <v/>
      </c>
      <c r="T222">
        <f>IF(OR(M222="",M222="Sold out",NOT(ISNUMBER(J222))),"",J222*1000+ROW())</f>
        <v/>
      </c>
    </row>
    <row r="223">
      <c r="A223" s="1" t="n"/>
      <c r="B223" s="20" t="n"/>
      <c r="C223" s="21" t="n"/>
      <c r="D223" s="22" t="n"/>
      <c r="E223" s="22" t="n"/>
      <c r="F223" s="22" t="n"/>
      <c r="G223" s="22" t="n"/>
      <c r="H223" s="23" t="n"/>
      <c r="I223" s="24">
        <f>IF(OR(C223="",NOT(ISNUMBER(B223))),"",UPPER(IF(IFERROR(IF(INDEX(Products!$C$6:$C$45,MATCH(C223,Products!$B$6:$B$45,0))="","",INDEX(Products!$C$6:$C$45,MATCH(C223,Products!$B$6:$B$45,0))),"")="",LEFT(SUBSTITUTE(C223," ",""),3),IFERROR(IF(INDEX(Products!$C$6:$C$45,MATCH(C223,Products!$B$6:$B$45,0))="","",INDEX(Products!$C$6:$C$45,MATCH(C223,Products!$B$6:$B$45,0))),"")))&amp;"-"&amp;RIGHT(YEAR(B223),2)&amp;RIGHT("0"&amp;MONTH(B223),2)&amp;RIGHT("0"&amp;DAY(B223),2)&amp;"-"&amp;COUNTIFS(C$6:C223,C223,B$6:B223,B223))</f>
        <v/>
      </c>
      <c r="J223" s="14">
        <f>IF(OR(C223="",NOT(ISNUMBER(B223)),N(P223)=0),"",B223+P223)</f>
        <v/>
      </c>
      <c r="K223" s="25">
        <f>IF(C223="","",N(D223)-N(E223)-N(F223)-N(G223))</f>
        <v/>
      </c>
      <c r="L223" s="13">
        <f>IF(OR(C223="",N(K223)&lt;=0,NOT(ISNUMBER(J223))),"",J223-TODAY())</f>
        <v/>
      </c>
      <c r="M223" s="12">
        <f>IF(C223="","",IF(N(K223)&lt;=0,"Sold out",IF(NOT(ISNUMBER(J223)),"In stock",IF(J223&lt;TODAY(),"Past its date",IF(J223-TODAY()&lt;=Settings!$C$5,"Use soon","In stock")))))</f>
        <v/>
      </c>
      <c r="N223" s="26">
        <f>IF(C223="","",N(D223)*Q223)</f>
        <v/>
      </c>
      <c r="O223" s="1" t="n"/>
      <c r="P223">
        <f>IF(C223="",0,IFERROR(N(INDEX(Products!$E$6:$E$45,MATCH(C223,Products!$B$6:$B$45,0))),0))</f>
        <v/>
      </c>
      <c r="Q223">
        <f>IF(C223="",0,IFERROR(N(INDEX(Products!$I$6:$I$45,MATCH(C223,Products!$B$6:$B$45,0))),0))</f>
        <v/>
      </c>
      <c r="R223">
        <f>IF(OR(C223="",NOT(ISNUMBER(B223))),"",YEAR(B223)*100+MONTH(B223))</f>
        <v/>
      </c>
      <c r="S223">
        <f>N(G223)*Q223</f>
        <v/>
      </c>
      <c r="T223">
        <f>IF(OR(M223="",M223="Sold out",NOT(ISNUMBER(J223))),"",J223*1000+ROW())</f>
        <v/>
      </c>
    </row>
    <row r="224">
      <c r="A224" s="1" t="n"/>
      <c r="B224" s="20" t="n"/>
      <c r="C224" s="21" t="n"/>
      <c r="D224" s="22" t="n"/>
      <c r="E224" s="22" t="n"/>
      <c r="F224" s="22" t="n"/>
      <c r="G224" s="22" t="n"/>
      <c r="H224" s="23" t="n"/>
      <c r="I224" s="24">
        <f>IF(OR(C224="",NOT(ISNUMBER(B224))),"",UPPER(IF(IFERROR(IF(INDEX(Products!$C$6:$C$45,MATCH(C224,Products!$B$6:$B$45,0))="","",INDEX(Products!$C$6:$C$45,MATCH(C224,Products!$B$6:$B$45,0))),"")="",LEFT(SUBSTITUTE(C224," ",""),3),IFERROR(IF(INDEX(Products!$C$6:$C$45,MATCH(C224,Products!$B$6:$B$45,0))="","",INDEX(Products!$C$6:$C$45,MATCH(C224,Products!$B$6:$B$45,0))),"")))&amp;"-"&amp;RIGHT(YEAR(B224),2)&amp;RIGHT("0"&amp;MONTH(B224),2)&amp;RIGHT("0"&amp;DAY(B224),2)&amp;"-"&amp;COUNTIFS(C$6:C224,C224,B$6:B224,B224))</f>
        <v/>
      </c>
      <c r="J224" s="14">
        <f>IF(OR(C224="",NOT(ISNUMBER(B224)),N(P224)=0),"",B224+P224)</f>
        <v/>
      </c>
      <c r="K224" s="25">
        <f>IF(C224="","",N(D224)-N(E224)-N(F224)-N(G224))</f>
        <v/>
      </c>
      <c r="L224" s="13">
        <f>IF(OR(C224="",N(K224)&lt;=0,NOT(ISNUMBER(J224))),"",J224-TODAY())</f>
        <v/>
      </c>
      <c r="M224" s="12">
        <f>IF(C224="","",IF(N(K224)&lt;=0,"Sold out",IF(NOT(ISNUMBER(J224)),"In stock",IF(J224&lt;TODAY(),"Past its date",IF(J224-TODAY()&lt;=Settings!$C$5,"Use soon","In stock")))))</f>
        <v/>
      </c>
      <c r="N224" s="26">
        <f>IF(C224="","",N(D224)*Q224)</f>
        <v/>
      </c>
      <c r="O224" s="1" t="n"/>
      <c r="P224">
        <f>IF(C224="",0,IFERROR(N(INDEX(Products!$E$6:$E$45,MATCH(C224,Products!$B$6:$B$45,0))),0))</f>
        <v/>
      </c>
      <c r="Q224">
        <f>IF(C224="",0,IFERROR(N(INDEX(Products!$I$6:$I$45,MATCH(C224,Products!$B$6:$B$45,0))),0))</f>
        <v/>
      </c>
      <c r="R224">
        <f>IF(OR(C224="",NOT(ISNUMBER(B224))),"",YEAR(B224)*100+MONTH(B224))</f>
        <v/>
      </c>
      <c r="S224">
        <f>N(G224)*Q224</f>
        <v/>
      </c>
      <c r="T224">
        <f>IF(OR(M224="",M224="Sold out",NOT(ISNUMBER(J224))),"",J224*1000+ROW())</f>
        <v/>
      </c>
    </row>
    <row r="225">
      <c r="A225" s="1" t="n"/>
      <c r="B225" s="20" t="n"/>
      <c r="C225" s="21" t="n"/>
      <c r="D225" s="22" t="n"/>
      <c r="E225" s="22" t="n"/>
      <c r="F225" s="22" t="n"/>
      <c r="G225" s="22" t="n"/>
      <c r="H225" s="23" t="n"/>
      <c r="I225" s="24">
        <f>IF(OR(C225="",NOT(ISNUMBER(B225))),"",UPPER(IF(IFERROR(IF(INDEX(Products!$C$6:$C$45,MATCH(C225,Products!$B$6:$B$45,0))="","",INDEX(Products!$C$6:$C$45,MATCH(C225,Products!$B$6:$B$45,0))),"")="",LEFT(SUBSTITUTE(C225," ",""),3),IFERROR(IF(INDEX(Products!$C$6:$C$45,MATCH(C225,Products!$B$6:$B$45,0))="","",INDEX(Products!$C$6:$C$45,MATCH(C225,Products!$B$6:$B$45,0))),"")))&amp;"-"&amp;RIGHT(YEAR(B225),2)&amp;RIGHT("0"&amp;MONTH(B225),2)&amp;RIGHT("0"&amp;DAY(B225),2)&amp;"-"&amp;COUNTIFS(C$6:C225,C225,B$6:B225,B225))</f>
        <v/>
      </c>
      <c r="J225" s="14">
        <f>IF(OR(C225="",NOT(ISNUMBER(B225)),N(P225)=0),"",B225+P225)</f>
        <v/>
      </c>
      <c r="K225" s="25">
        <f>IF(C225="","",N(D225)-N(E225)-N(F225)-N(G225))</f>
        <v/>
      </c>
      <c r="L225" s="13">
        <f>IF(OR(C225="",N(K225)&lt;=0,NOT(ISNUMBER(J225))),"",J225-TODAY())</f>
        <v/>
      </c>
      <c r="M225" s="12">
        <f>IF(C225="","",IF(N(K225)&lt;=0,"Sold out",IF(NOT(ISNUMBER(J225)),"In stock",IF(J225&lt;TODAY(),"Past its date",IF(J225-TODAY()&lt;=Settings!$C$5,"Use soon","In stock")))))</f>
        <v/>
      </c>
      <c r="N225" s="26">
        <f>IF(C225="","",N(D225)*Q225)</f>
        <v/>
      </c>
      <c r="O225" s="1" t="n"/>
      <c r="P225">
        <f>IF(C225="",0,IFERROR(N(INDEX(Products!$E$6:$E$45,MATCH(C225,Products!$B$6:$B$45,0))),0))</f>
        <v/>
      </c>
      <c r="Q225">
        <f>IF(C225="",0,IFERROR(N(INDEX(Products!$I$6:$I$45,MATCH(C225,Products!$B$6:$B$45,0))),0))</f>
        <v/>
      </c>
      <c r="R225">
        <f>IF(OR(C225="",NOT(ISNUMBER(B225))),"",YEAR(B225)*100+MONTH(B225))</f>
        <v/>
      </c>
      <c r="S225">
        <f>N(G225)*Q225</f>
        <v/>
      </c>
      <c r="T225">
        <f>IF(OR(M225="",M225="Sold out",NOT(ISNUMBER(J225))),"",J225*1000+ROW())</f>
        <v/>
      </c>
    </row>
    <row r="226">
      <c r="A226" s="1" t="n"/>
      <c r="B226" s="20" t="n"/>
      <c r="C226" s="21" t="n"/>
      <c r="D226" s="22" t="n"/>
      <c r="E226" s="22" t="n"/>
      <c r="F226" s="22" t="n"/>
      <c r="G226" s="22" t="n"/>
      <c r="H226" s="23" t="n"/>
      <c r="I226" s="24">
        <f>IF(OR(C226="",NOT(ISNUMBER(B226))),"",UPPER(IF(IFERROR(IF(INDEX(Products!$C$6:$C$45,MATCH(C226,Products!$B$6:$B$45,0))="","",INDEX(Products!$C$6:$C$45,MATCH(C226,Products!$B$6:$B$45,0))),"")="",LEFT(SUBSTITUTE(C226," ",""),3),IFERROR(IF(INDEX(Products!$C$6:$C$45,MATCH(C226,Products!$B$6:$B$45,0))="","",INDEX(Products!$C$6:$C$45,MATCH(C226,Products!$B$6:$B$45,0))),"")))&amp;"-"&amp;RIGHT(YEAR(B226),2)&amp;RIGHT("0"&amp;MONTH(B226),2)&amp;RIGHT("0"&amp;DAY(B226),2)&amp;"-"&amp;COUNTIFS(C$6:C226,C226,B$6:B226,B226))</f>
        <v/>
      </c>
      <c r="J226" s="14">
        <f>IF(OR(C226="",NOT(ISNUMBER(B226)),N(P226)=0),"",B226+P226)</f>
        <v/>
      </c>
      <c r="K226" s="25">
        <f>IF(C226="","",N(D226)-N(E226)-N(F226)-N(G226))</f>
        <v/>
      </c>
      <c r="L226" s="13">
        <f>IF(OR(C226="",N(K226)&lt;=0,NOT(ISNUMBER(J226))),"",J226-TODAY())</f>
        <v/>
      </c>
      <c r="M226" s="12">
        <f>IF(C226="","",IF(N(K226)&lt;=0,"Sold out",IF(NOT(ISNUMBER(J226)),"In stock",IF(J226&lt;TODAY(),"Past its date",IF(J226-TODAY()&lt;=Settings!$C$5,"Use soon","In stock")))))</f>
        <v/>
      </c>
      <c r="N226" s="26">
        <f>IF(C226="","",N(D226)*Q226)</f>
        <v/>
      </c>
      <c r="O226" s="1" t="n"/>
      <c r="P226">
        <f>IF(C226="",0,IFERROR(N(INDEX(Products!$E$6:$E$45,MATCH(C226,Products!$B$6:$B$45,0))),0))</f>
        <v/>
      </c>
      <c r="Q226">
        <f>IF(C226="",0,IFERROR(N(INDEX(Products!$I$6:$I$45,MATCH(C226,Products!$B$6:$B$45,0))),0))</f>
        <v/>
      </c>
      <c r="R226">
        <f>IF(OR(C226="",NOT(ISNUMBER(B226))),"",YEAR(B226)*100+MONTH(B226))</f>
        <v/>
      </c>
      <c r="S226">
        <f>N(G226)*Q226</f>
        <v/>
      </c>
      <c r="T226">
        <f>IF(OR(M226="",M226="Sold out",NOT(ISNUMBER(J226))),"",J226*1000+ROW())</f>
        <v/>
      </c>
    </row>
    <row r="227">
      <c r="A227" s="1" t="n"/>
      <c r="B227" s="20" t="n"/>
      <c r="C227" s="21" t="n"/>
      <c r="D227" s="22" t="n"/>
      <c r="E227" s="22" t="n"/>
      <c r="F227" s="22" t="n"/>
      <c r="G227" s="22" t="n"/>
      <c r="H227" s="23" t="n"/>
      <c r="I227" s="24">
        <f>IF(OR(C227="",NOT(ISNUMBER(B227))),"",UPPER(IF(IFERROR(IF(INDEX(Products!$C$6:$C$45,MATCH(C227,Products!$B$6:$B$45,0))="","",INDEX(Products!$C$6:$C$45,MATCH(C227,Products!$B$6:$B$45,0))),"")="",LEFT(SUBSTITUTE(C227," ",""),3),IFERROR(IF(INDEX(Products!$C$6:$C$45,MATCH(C227,Products!$B$6:$B$45,0))="","",INDEX(Products!$C$6:$C$45,MATCH(C227,Products!$B$6:$B$45,0))),"")))&amp;"-"&amp;RIGHT(YEAR(B227),2)&amp;RIGHT("0"&amp;MONTH(B227),2)&amp;RIGHT("0"&amp;DAY(B227),2)&amp;"-"&amp;COUNTIFS(C$6:C227,C227,B$6:B227,B227))</f>
        <v/>
      </c>
      <c r="J227" s="14">
        <f>IF(OR(C227="",NOT(ISNUMBER(B227)),N(P227)=0),"",B227+P227)</f>
        <v/>
      </c>
      <c r="K227" s="25">
        <f>IF(C227="","",N(D227)-N(E227)-N(F227)-N(G227))</f>
        <v/>
      </c>
      <c r="L227" s="13">
        <f>IF(OR(C227="",N(K227)&lt;=0,NOT(ISNUMBER(J227))),"",J227-TODAY())</f>
        <v/>
      </c>
      <c r="M227" s="12">
        <f>IF(C227="","",IF(N(K227)&lt;=0,"Sold out",IF(NOT(ISNUMBER(J227)),"In stock",IF(J227&lt;TODAY(),"Past its date",IF(J227-TODAY()&lt;=Settings!$C$5,"Use soon","In stock")))))</f>
        <v/>
      </c>
      <c r="N227" s="26">
        <f>IF(C227="","",N(D227)*Q227)</f>
        <v/>
      </c>
      <c r="O227" s="1" t="n"/>
      <c r="P227">
        <f>IF(C227="",0,IFERROR(N(INDEX(Products!$E$6:$E$45,MATCH(C227,Products!$B$6:$B$45,0))),0))</f>
        <v/>
      </c>
      <c r="Q227">
        <f>IF(C227="",0,IFERROR(N(INDEX(Products!$I$6:$I$45,MATCH(C227,Products!$B$6:$B$45,0))),0))</f>
        <v/>
      </c>
      <c r="R227">
        <f>IF(OR(C227="",NOT(ISNUMBER(B227))),"",YEAR(B227)*100+MONTH(B227))</f>
        <v/>
      </c>
      <c r="S227">
        <f>N(G227)*Q227</f>
        <v/>
      </c>
      <c r="T227">
        <f>IF(OR(M227="",M227="Sold out",NOT(ISNUMBER(J227))),"",J227*1000+ROW())</f>
        <v/>
      </c>
    </row>
    <row r="228">
      <c r="A228" s="1" t="n"/>
      <c r="B228" s="20" t="n"/>
      <c r="C228" s="21" t="n"/>
      <c r="D228" s="22" t="n"/>
      <c r="E228" s="22" t="n"/>
      <c r="F228" s="22" t="n"/>
      <c r="G228" s="22" t="n"/>
      <c r="H228" s="23" t="n"/>
      <c r="I228" s="24">
        <f>IF(OR(C228="",NOT(ISNUMBER(B228))),"",UPPER(IF(IFERROR(IF(INDEX(Products!$C$6:$C$45,MATCH(C228,Products!$B$6:$B$45,0))="","",INDEX(Products!$C$6:$C$45,MATCH(C228,Products!$B$6:$B$45,0))),"")="",LEFT(SUBSTITUTE(C228," ",""),3),IFERROR(IF(INDEX(Products!$C$6:$C$45,MATCH(C228,Products!$B$6:$B$45,0))="","",INDEX(Products!$C$6:$C$45,MATCH(C228,Products!$B$6:$B$45,0))),"")))&amp;"-"&amp;RIGHT(YEAR(B228),2)&amp;RIGHT("0"&amp;MONTH(B228),2)&amp;RIGHT("0"&amp;DAY(B228),2)&amp;"-"&amp;COUNTIFS(C$6:C228,C228,B$6:B228,B228))</f>
        <v/>
      </c>
      <c r="J228" s="14">
        <f>IF(OR(C228="",NOT(ISNUMBER(B228)),N(P228)=0),"",B228+P228)</f>
        <v/>
      </c>
      <c r="K228" s="25">
        <f>IF(C228="","",N(D228)-N(E228)-N(F228)-N(G228))</f>
        <v/>
      </c>
      <c r="L228" s="13">
        <f>IF(OR(C228="",N(K228)&lt;=0,NOT(ISNUMBER(J228))),"",J228-TODAY())</f>
        <v/>
      </c>
      <c r="M228" s="12">
        <f>IF(C228="","",IF(N(K228)&lt;=0,"Sold out",IF(NOT(ISNUMBER(J228)),"In stock",IF(J228&lt;TODAY(),"Past its date",IF(J228-TODAY()&lt;=Settings!$C$5,"Use soon","In stock")))))</f>
        <v/>
      </c>
      <c r="N228" s="26">
        <f>IF(C228="","",N(D228)*Q228)</f>
        <v/>
      </c>
      <c r="O228" s="1" t="n"/>
      <c r="P228">
        <f>IF(C228="",0,IFERROR(N(INDEX(Products!$E$6:$E$45,MATCH(C228,Products!$B$6:$B$45,0))),0))</f>
        <v/>
      </c>
      <c r="Q228">
        <f>IF(C228="",0,IFERROR(N(INDEX(Products!$I$6:$I$45,MATCH(C228,Products!$B$6:$B$45,0))),0))</f>
        <v/>
      </c>
      <c r="R228">
        <f>IF(OR(C228="",NOT(ISNUMBER(B228))),"",YEAR(B228)*100+MONTH(B228))</f>
        <v/>
      </c>
      <c r="S228">
        <f>N(G228)*Q228</f>
        <v/>
      </c>
      <c r="T228">
        <f>IF(OR(M228="",M228="Sold out",NOT(ISNUMBER(J228))),"",J228*1000+ROW())</f>
        <v/>
      </c>
    </row>
    <row r="229">
      <c r="A229" s="1" t="n"/>
      <c r="B229" s="20" t="n"/>
      <c r="C229" s="21" t="n"/>
      <c r="D229" s="22" t="n"/>
      <c r="E229" s="22" t="n"/>
      <c r="F229" s="22" t="n"/>
      <c r="G229" s="22" t="n"/>
      <c r="H229" s="23" t="n"/>
      <c r="I229" s="24">
        <f>IF(OR(C229="",NOT(ISNUMBER(B229))),"",UPPER(IF(IFERROR(IF(INDEX(Products!$C$6:$C$45,MATCH(C229,Products!$B$6:$B$45,0))="","",INDEX(Products!$C$6:$C$45,MATCH(C229,Products!$B$6:$B$45,0))),"")="",LEFT(SUBSTITUTE(C229," ",""),3),IFERROR(IF(INDEX(Products!$C$6:$C$45,MATCH(C229,Products!$B$6:$B$45,0))="","",INDEX(Products!$C$6:$C$45,MATCH(C229,Products!$B$6:$B$45,0))),"")))&amp;"-"&amp;RIGHT(YEAR(B229),2)&amp;RIGHT("0"&amp;MONTH(B229),2)&amp;RIGHT("0"&amp;DAY(B229),2)&amp;"-"&amp;COUNTIFS(C$6:C229,C229,B$6:B229,B229))</f>
        <v/>
      </c>
      <c r="J229" s="14">
        <f>IF(OR(C229="",NOT(ISNUMBER(B229)),N(P229)=0),"",B229+P229)</f>
        <v/>
      </c>
      <c r="K229" s="25">
        <f>IF(C229="","",N(D229)-N(E229)-N(F229)-N(G229))</f>
        <v/>
      </c>
      <c r="L229" s="13">
        <f>IF(OR(C229="",N(K229)&lt;=0,NOT(ISNUMBER(J229))),"",J229-TODAY())</f>
        <v/>
      </c>
      <c r="M229" s="12">
        <f>IF(C229="","",IF(N(K229)&lt;=0,"Sold out",IF(NOT(ISNUMBER(J229)),"In stock",IF(J229&lt;TODAY(),"Past its date",IF(J229-TODAY()&lt;=Settings!$C$5,"Use soon","In stock")))))</f>
        <v/>
      </c>
      <c r="N229" s="26">
        <f>IF(C229="","",N(D229)*Q229)</f>
        <v/>
      </c>
      <c r="O229" s="1" t="n"/>
      <c r="P229">
        <f>IF(C229="",0,IFERROR(N(INDEX(Products!$E$6:$E$45,MATCH(C229,Products!$B$6:$B$45,0))),0))</f>
        <v/>
      </c>
      <c r="Q229">
        <f>IF(C229="",0,IFERROR(N(INDEX(Products!$I$6:$I$45,MATCH(C229,Products!$B$6:$B$45,0))),0))</f>
        <v/>
      </c>
      <c r="R229">
        <f>IF(OR(C229="",NOT(ISNUMBER(B229))),"",YEAR(B229)*100+MONTH(B229))</f>
        <v/>
      </c>
      <c r="S229">
        <f>N(G229)*Q229</f>
        <v/>
      </c>
      <c r="T229">
        <f>IF(OR(M229="",M229="Sold out",NOT(ISNUMBER(J229))),"",J229*1000+ROW())</f>
        <v/>
      </c>
    </row>
    <row r="230">
      <c r="A230" s="1" t="n"/>
      <c r="B230" s="20" t="n"/>
      <c r="C230" s="21" t="n"/>
      <c r="D230" s="22" t="n"/>
      <c r="E230" s="22" t="n"/>
      <c r="F230" s="22" t="n"/>
      <c r="G230" s="22" t="n"/>
      <c r="H230" s="23" t="n"/>
      <c r="I230" s="24">
        <f>IF(OR(C230="",NOT(ISNUMBER(B230))),"",UPPER(IF(IFERROR(IF(INDEX(Products!$C$6:$C$45,MATCH(C230,Products!$B$6:$B$45,0))="","",INDEX(Products!$C$6:$C$45,MATCH(C230,Products!$B$6:$B$45,0))),"")="",LEFT(SUBSTITUTE(C230," ",""),3),IFERROR(IF(INDEX(Products!$C$6:$C$45,MATCH(C230,Products!$B$6:$B$45,0))="","",INDEX(Products!$C$6:$C$45,MATCH(C230,Products!$B$6:$B$45,0))),"")))&amp;"-"&amp;RIGHT(YEAR(B230),2)&amp;RIGHT("0"&amp;MONTH(B230),2)&amp;RIGHT("0"&amp;DAY(B230),2)&amp;"-"&amp;COUNTIFS(C$6:C230,C230,B$6:B230,B230))</f>
        <v/>
      </c>
      <c r="J230" s="14">
        <f>IF(OR(C230="",NOT(ISNUMBER(B230)),N(P230)=0),"",B230+P230)</f>
        <v/>
      </c>
      <c r="K230" s="25">
        <f>IF(C230="","",N(D230)-N(E230)-N(F230)-N(G230))</f>
        <v/>
      </c>
      <c r="L230" s="13">
        <f>IF(OR(C230="",N(K230)&lt;=0,NOT(ISNUMBER(J230))),"",J230-TODAY())</f>
        <v/>
      </c>
      <c r="M230" s="12">
        <f>IF(C230="","",IF(N(K230)&lt;=0,"Sold out",IF(NOT(ISNUMBER(J230)),"In stock",IF(J230&lt;TODAY(),"Past its date",IF(J230-TODAY()&lt;=Settings!$C$5,"Use soon","In stock")))))</f>
        <v/>
      </c>
      <c r="N230" s="26">
        <f>IF(C230="","",N(D230)*Q230)</f>
        <v/>
      </c>
      <c r="O230" s="1" t="n"/>
      <c r="P230">
        <f>IF(C230="",0,IFERROR(N(INDEX(Products!$E$6:$E$45,MATCH(C230,Products!$B$6:$B$45,0))),0))</f>
        <v/>
      </c>
      <c r="Q230">
        <f>IF(C230="",0,IFERROR(N(INDEX(Products!$I$6:$I$45,MATCH(C230,Products!$B$6:$B$45,0))),0))</f>
        <v/>
      </c>
      <c r="R230">
        <f>IF(OR(C230="",NOT(ISNUMBER(B230))),"",YEAR(B230)*100+MONTH(B230))</f>
        <v/>
      </c>
      <c r="S230">
        <f>N(G230)*Q230</f>
        <v/>
      </c>
      <c r="T230">
        <f>IF(OR(M230="",M230="Sold out",NOT(ISNUMBER(J230))),"",J230*1000+ROW())</f>
        <v/>
      </c>
    </row>
    <row r="231">
      <c r="A231" s="1" t="n"/>
      <c r="B231" s="20" t="n"/>
      <c r="C231" s="21" t="n"/>
      <c r="D231" s="22" t="n"/>
      <c r="E231" s="22" t="n"/>
      <c r="F231" s="22" t="n"/>
      <c r="G231" s="22" t="n"/>
      <c r="H231" s="23" t="n"/>
      <c r="I231" s="24">
        <f>IF(OR(C231="",NOT(ISNUMBER(B231))),"",UPPER(IF(IFERROR(IF(INDEX(Products!$C$6:$C$45,MATCH(C231,Products!$B$6:$B$45,0))="","",INDEX(Products!$C$6:$C$45,MATCH(C231,Products!$B$6:$B$45,0))),"")="",LEFT(SUBSTITUTE(C231," ",""),3),IFERROR(IF(INDEX(Products!$C$6:$C$45,MATCH(C231,Products!$B$6:$B$45,0))="","",INDEX(Products!$C$6:$C$45,MATCH(C231,Products!$B$6:$B$45,0))),"")))&amp;"-"&amp;RIGHT(YEAR(B231),2)&amp;RIGHT("0"&amp;MONTH(B231),2)&amp;RIGHT("0"&amp;DAY(B231),2)&amp;"-"&amp;COUNTIFS(C$6:C231,C231,B$6:B231,B231))</f>
        <v/>
      </c>
      <c r="J231" s="14">
        <f>IF(OR(C231="",NOT(ISNUMBER(B231)),N(P231)=0),"",B231+P231)</f>
        <v/>
      </c>
      <c r="K231" s="25">
        <f>IF(C231="","",N(D231)-N(E231)-N(F231)-N(G231))</f>
        <v/>
      </c>
      <c r="L231" s="13">
        <f>IF(OR(C231="",N(K231)&lt;=0,NOT(ISNUMBER(J231))),"",J231-TODAY())</f>
        <v/>
      </c>
      <c r="M231" s="12">
        <f>IF(C231="","",IF(N(K231)&lt;=0,"Sold out",IF(NOT(ISNUMBER(J231)),"In stock",IF(J231&lt;TODAY(),"Past its date",IF(J231-TODAY()&lt;=Settings!$C$5,"Use soon","In stock")))))</f>
        <v/>
      </c>
      <c r="N231" s="26">
        <f>IF(C231="","",N(D231)*Q231)</f>
        <v/>
      </c>
      <c r="O231" s="1" t="n"/>
      <c r="P231">
        <f>IF(C231="",0,IFERROR(N(INDEX(Products!$E$6:$E$45,MATCH(C231,Products!$B$6:$B$45,0))),0))</f>
        <v/>
      </c>
      <c r="Q231">
        <f>IF(C231="",0,IFERROR(N(INDEX(Products!$I$6:$I$45,MATCH(C231,Products!$B$6:$B$45,0))),0))</f>
        <v/>
      </c>
      <c r="R231">
        <f>IF(OR(C231="",NOT(ISNUMBER(B231))),"",YEAR(B231)*100+MONTH(B231))</f>
        <v/>
      </c>
      <c r="S231">
        <f>N(G231)*Q231</f>
        <v/>
      </c>
      <c r="T231">
        <f>IF(OR(M231="",M231="Sold out",NOT(ISNUMBER(J231))),"",J231*1000+ROW())</f>
        <v/>
      </c>
    </row>
    <row r="232">
      <c r="A232" s="1" t="n"/>
      <c r="B232" s="20" t="n"/>
      <c r="C232" s="21" t="n"/>
      <c r="D232" s="22" t="n"/>
      <c r="E232" s="22" t="n"/>
      <c r="F232" s="22" t="n"/>
      <c r="G232" s="22" t="n"/>
      <c r="H232" s="23" t="n"/>
      <c r="I232" s="24">
        <f>IF(OR(C232="",NOT(ISNUMBER(B232))),"",UPPER(IF(IFERROR(IF(INDEX(Products!$C$6:$C$45,MATCH(C232,Products!$B$6:$B$45,0))="","",INDEX(Products!$C$6:$C$45,MATCH(C232,Products!$B$6:$B$45,0))),"")="",LEFT(SUBSTITUTE(C232," ",""),3),IFERROR(IF(INDEX(Products!$C$6:$C$45,MATCH(C232,Products!$B$6:$B$45,0))="","",INDEX(Products!$C$6:$C$45,MATCH(C232,Products!$B$6:$B$45,0))),"")))&amp;"-"&amp;RIGHT(YEAR(B232),2)&amp;RIGHT("0"&amp;MONTH(B232),2)&amp;RIGHT("0"&amp;DAY(B232),2)&amp;"-"&amp;COUNTIFS(C$6:C232,C232,B$6:B232,B232))</f>
        <v/>
      </c>
      <c r="J232" s="14">
        <f>IF(OR(C232="",NOT(ISNUMBER(B232)),N(P232)=0),"",B232+P232)</f>
        <v/>
      </c>
      <c r="K232" s="25">
        <f>IF(C232="","",N(D232)-N(E232)-N(F232)-N(G232))</f>
        <v/>
      </c>
      <c r="L232" s="13">
        <f>IF(OR(C232="",N(K232)&lt;=0,NOT(ISNUMBER(J232))),"",J232-TODAY())</f>
        <v/>
      </c>
      <c r="M232" s="12">
        <f>IF(C232="","",IF(N(K232)&lt;=0,"Sold out",IF(NOT(ISNUMBER(J232)),"In stock",IF(J232&lt;TODAY(),"Past its date",IF(J232-TODAY()&lt;=Settings!$C$5,"Use soon","In stock")))))</f>
        <v/>
      </c>
      <c r="N232" s="26">
        <f>IF(C232="","",N(D232)*Q232)</f>
        <v/>
      </c>
      <c r="O232" s="1" t="n"/>
      <c r="P232">
        <f>IF(C232="",0,IFERROR(N(INDEX(Products!$E$6:$E$45,MATCH(C232,Products!$B$6:$B$45,0))),0))</f>
        <v/>
      </c>
      <c r="Q232">
        <f>IF(C232="",0,IFERROR(N(INDEX(Products!$I$6:$I$45,MATCH(C232,Products!$B$6:$B$45,0))),0))</f>
        <v/>
      </c>
      <c r="R232">
        <f>IF(OR(C232="",NOT(ISNUMBER(B232))),"",YEAR(B232)*100+MONTH(B232))</f>
        <v/>
      </c>
      <c r="S232">
        <f>N(G232)*Q232</f>
        <v/>
      </c>
      <c r="T232">
        <f>IF(OR(M232="",M232="Sold out",NOT(ISNUMBER(J232))),"",J232*1000+ROW())</f>
        <v/>
      </c>
    </row>
    <row r="233">
      <c r="A233" s="1" t="n"/>
      <c r="B233" s="20" t="n"/>
      <c r="C233" s="21" t="n"/>
      <c r="D233" s="22" t="n"/>
      <c r="E233" s="22" t="n"/>
      <c r="F233" s="22" t="n"/>
      <c r="G233" s="22" t="n"/>
      <c r="H233" s="23" t="n"/>
      <c r="I233" s="24">
        <f>IF(OR(C233="",NOT(ISNUMBER(B233))),"",UPPER(IF(IFERROR(IF(INDEX(Products!$C$6:$C$45,MATCH(C233,Products!$B$6:$B$45,0))="","",INDEX(Products!$C$6:$C$45,MATCH(C233,Products!$B$6:$B$45,0))),"")="",LEFT(SUBSTITUTE(C233," ",""),3),IFERROR(IF(INDEX(Products!$C$6:$C$45,MATCH(C233,Products!$B$6:$B$45,0))="","",INDEX(Products!$C$6:$C$45,MATCH(C233,Products!$B$6:$B$45,0))),"")))&amp;"-"&amp;RIGHT(YEAR(B233),2)&amp;RIGHT("0"&amp;MONTH(B233),2)&amp;RIGHT("0"&amp;DAY(B233),2)&amp;"-"&amp;COUNTIFS(C$6:C233,C233,B$6:B233,B233))</f>
        <v/>
      </c>
      <c r="J233" s="14">
        <f>IF(OR(C233="",NOT(ISNUMBER(B233)),N(P233)=0),"",B233+P233)</f>
        <v/>
      </c>
      <c r="K233" s="25">
        <f>IF(C233="","",N(D233)-N(E233)-N(F233)-N(G233))</f>
        <v/>
      </c>
      <c r="L233" s="13">
        <f>IF(OR(C233="",N(K233)&lt;=0,NOT(ISNUMBER(J233))),"",J233-TODAY())</f>
        <v/>
      </c>
      <c r="M233" s="12">
        <f>IF(C233="","",IF(N(K233)&lt;=0,"Sold out",IF(NOT(ISNUMBER(J233)),"In stock",IF(J233&lt;TODAY(),"Past its date",IF(J233-TODAY()&lt;=Settings!$C$5,"Use soon","In stock")))))</f>
        <v/>
      </c>
      <c r="N233" s="26">
        <f>IF(C233="","",N(D233)*Q233)</f>
        <v/>
      </c>
      <c r="O233" s="1" t="n"/>
      <c r="P233">
        <f>IF(C233="",0,IFERROR(N(INDEX(Products!$E$6:$E$45,MATCH(C233,Products!$B$6:$B$45,0))),0))</f>
        <v/>
      </c>
      <c r="Q233">
        <f>IF(C233="",0,IFERROR(N(INDEX(Products!$I$6:$I$45,MATCH(C233,Products!$B$6:$B$45,0))),0))</f>
        <v/>
      </c>
      <c r="R233">
        <f>IF(OR(C233="",NOT(ISNUMBER(B233))),"",YEAR(B233)*100+MONTH(B233))</f>
        <v/>
      </c>
      <c r="S233">
        <f>N(G233)*Q233</f>
        <v/>
      </c>
      <c r="T233">
        <f>IF(OR(M233="",M233="Sold out",NOT(ISNUMBER(J233))),"",J233*1000+ROW())</f>
        <v/>
      </c>
    </row>
    <row r="234">
      <c r="A234" s="1" t="n"/>
      <c r="B234" s="20" t="n"/>
      <c r="C234" s="21" t="n"/>
      <c r="D234" s="22" t="n"/>
      <c r="E234" s="22" t="n"/>
      <c r="F234" s="22" t="n"/>
      <c r="G234" s="22" t="n"/>
      <c r="H234" s="23" t="n"/>
      <c r="I234" s="24">
        <f>IF(OR(C234="",NOT(ISNUMBER(B234))),"",UPPER(IF(IFERROR(IF(INDEX(Products!$C$6:$C$45,MATCH(C234,Products!$B$6:$B$45,0))="","",INDEX(Products!$C$6:$C$45,MATCH(C234,Products!$B$6:$B$45,0))),"")="",LEFT(SUBSTITUTE(C234," ",""),3),IFERROR(IF(INDEX(Products!$C$6:$C$45,MATCH(C234,Products!$B$6:$B$45,0))="","",INDEX(Products!$C$6:$C$45,MATCH(C234,Products!$B$6:$B$45,0))),"")))&amp;"-"&amp;RIGHT(YEAR(B234),2)&amp;RIGHT("0"&amp;MONTH(B234),2)&amp;RIGHT("0"&amp;DAY(B234),2)&amp;"-"&amp;COUNTIFS(C$6:C234,C234,B$6:B234,B234))</f>
        <v/>
      </c>
      <c r="J234" s="14">
        <f>IF(OR(C234="",NOT(ISNUMBER(B234)),N(P234)=0),"",B234+P234)</f>
        <v/>
      </c>
      <c r="K234" s="25">
        <f>IF(C234="","",N(D234)-N(E234)-N(F234)-N(G234))</f>
        <v/>
      </c>
      <c r="L234" s="13">
        <f>IF(OR(C234="",N(K234)&lt;=0,NOT(ISNUMBER(J234))),"",J234-TODAY())</f>
        <v/>
      </c>
      <c r="M234" s="12">
        <f>IF(C234="","",IF(N(K234)&lt;=0,"Sold out",IF(NOT(ISNUMBER(J234)),"In stock",IF(J234&lt;TODAY(),"Past its date",IF(J234-TODAY()&lt;=Settings!$C$5,"Use soon","In stock")))))</f>
        <v/>
      </c>
      <c r="N234" s="26">
        <f>IF(C234="","",N(D234)*Q234)</f>
        <v/>
      </c>
      <c r="O234" s="1" t="n"/>
      <c r="P234">
        <f>IF(C234="",0,IFERROR(N(INDEX(Products!$E$6:$E$45,MATCH(C234,Products!$B$6:$B$45,0))),0))</f>
        <v/>
      </c>
      <c r="Q234">
        <f>IF(C234="",0,IFERROR(N(INDEX(Products!$I$6:$I$45,MATCH(C234,Products!$B$6:$B$45,0))),0))</f>
        <v/>
      </c>
      <c r="R234">
        <f>IF(OR(C234="",NOT(ISNUMBER(B234))),"",YEAR(B234)*100+MONTH(B234))</f>
        <v/>
      </c>
      <c r="S234">
        <f>N(G234)*Q234</f>
        <v/>
      </c>
      <c r="T234">
        <f>IF(OR(M234="",M234="Sold out",NOT(ISNUMBER(J234))),"",J234*1000+ROW())</f>
        <v/>
      </c>
    </row>
    <row r="235">
      <c r="A235" s="1" t="n"/>
      <c r="B235" s="20" t="n"/>
      <c r="C235" s="21" t="n"/>
      <c r="D235" s="22" t="n"/>
      <c r="E235" s="22" t="n"/>
      <c r="F235" s="22" t="n"/>
      <c r="G235" s="22" t="n"/>
      <c r="H235" s="23" t="n"/>
      <c r="I235" s="24">
        <f>IF(OR(C235="",NOT(ISNUMBER(B235))),"",UPPER(IF(IFERROR(IF(INDEX(Products!$C$6:$C$45,MATCH(C235,Products!$B$6:$B$45,0))="","",INDEX(Products!$C$6:$C$45,MATCH(C235,Products!$B$6:$B$45,0))),"")="",LEFT(SUBSTITUTE(C235," ",""),3),IFERROR(IF(INDEX(Products!$C$6:$C$45,MATCH(C235,Products!$B$6:$B$45,0))="","",INDEX(Products!$C$6:$C$45,MATCH(C235,Products!$B$6:$B$45,0))),"")))&amp;"-"&amp;RIGHT(YEAR(B235),2)&amp;RIGHT("0"&amp;MONTH(B235),2)&amp;RIGHT("0"&amp;DAY(B235),2)&amp;"-"&amp;COUNTIFS(C$6:C235,C235,B$6:B235,B235))</f>
        <v/>
      </c>
      <c r="J235" s="14">
        <f>IF(OR(C235="",NOT(ISNUMBER(B235)),N(P235)=0),"",B235+P235)</f>
        <v/>
      </c>
      <c r="K235" s="25">
        <f>IF(C235="","",N(D235)-N(E235)-N(F235)-N(G235))</f>
        <v/>
      </c>
      <c r="L235" s="13">
        <f>IF(OR(C235="",N(K235)&lt;=0,NOT(ISNUMBER(J235))),"",J235-TODAY())</f>
        <v/>
      </c>
      <c r="M235" s="12">
        <f>IF(C235="","",IF(N(K235)&lt;=0,"Sold out",IF(NOT(ISNUMBER(J235)),"In stock",IF(J235&lt;TODAY(),"Past its date",IF(J235-TODAY()&lt;=Settings!$C$5,"Use soon","In stock")))))</f>
        <v/>
      </c>
      <c r="N235" s="26">
        <f>IF(C235="","",N(D235)*Q235)</f>
        <v/>
      </c>
      <c r="O235" s="1" t="n"/>
      <c r="P235">
        <f>IF(C235="",0,IFERROR(N(INDEX(Products!$E$6:$E$45,MATCH(C235,Products!$B$6:$B$45,0))),0))</f>
        <v/>
      </c>
      <c r="Q235">
        <f>IF(C235="",0,IFERROR(N(INDEX(Products!$I$6:$I$45,MATCH(C235,Products!$B$6:$B$45,0))),0))</f>
        <v/>
      </c>
      <c r="R235">
        <f>IF(OR(C235="",NOT(ISNUMBER(B235))),"",YEAR(B235)*100+MONTH(B235))</f>
        <v/>
      </c>
      <c r="S235">
        <f>N(G235)*Q235</f>
        <v/>
      </c>
      <c r="T235">
        <f>IF(OR(M235="",M235="Sold out",NOT(ISNUMBER(J235))),"",J235*1000+ROW())</f>
        <v/>
      </c>
    </row>
    <row r="236">
      <c r="A236" s="1" t="n"/>
      <c r="B236" s="20" t="n"/>
      <c r="C236" s="21" t="n"/>
      <c r="D236" s="22" t="n"/>
      <c r="E236" s="22" t="n"/>
      <c r="F236" s="22" t="n"/>
      <c r="G236" s="22" t="n"/>
      <c r="H236" s="23" t="n"/>
      <c r="I236" s="24">
        <f>IF(OR(C236="",NOT(ISNUMBER(B236))),"",UPPER(IF(IFERROR(IF(INDEX(Products!$C$6:$C$45,MATCH(C236,Products!$B$6:$B$45,0))="","",INDEX(Products!$C$6:$C$45,MATCH(C236,Products!$B$6:$B$45,0))),"")="",LEFT(SUBSTITUTE(C236," ",""),3),IFERROR(IF(INDEX(Products!$C$6:$C$45,MATCH(C236,Products!$B$6:$B$45,0))="","",INDEX(Products!$C$6:$C$45,MATCH(C236,Products!$B$6:$B$45,0))),"")))&amp;"-"&amp;RIGHT(YEAR(B236),2)&amp;RIGHT("0"&amp;MONTH(B236),2)&amp;RIGHT("0"&amp;DAY(B236),2)&amp;"-"&amp;COUNTIFS(C$6:C236,C236,B$6:B236,B236))</f>
        <v/>
      </c>
      <c r="J236" s="14">
        <f>IF(OR(C236="",NOT(ISNUMBER(B236)),N(P236)=0),"",B236+P236)</f>
        <v/>
      </c>
      <c r="K236" s="25">
        <f>IF(C236="","",N(D236)-N(E236)-N(F236)-N(G236))</f>
        <v/>
      </c>
      <c r="L236" s="13">
        <f>IF(OR(C236="",N(K236)&lt;=0,NOT(ISNUMBER(J236))),"",J236-TODAY())</f>
        <v/>
      </c>
      <c r="M236" s="12">
        <f>IF(C236="","",IF(N(K236)&lt;=0,"Sold out",IF(NOT(ISNUMBER(J236)),"In stock",IF(J236&lt;TODAY(),"Past its date",IF(J236-TODAY()&lt;=Settings!$C$5,"Use soon","In stock")))))</f>
        <v/>
      </c>
      <c r="N236" s="26">
        <f>IF(C236="","",N(D236)*Q236)</f>
        <v/>
      </c>
      <c r="O236" s="1" t="n"/>
      <c r="P236">
        <f>IF(C236="",0,IFERROR(N(INDEX(Products!$E$6:$E$45,MATCH(C236,Products!$B$6:$B$45,0))),0))</f>
        <v/>
      </c>
      <c r="Q236">
        <f>IF(C236="",0,IFERROR(N(INDEX(Products!$I$6:$I$45,MATCH(C236,Products!$B$6:$B$45,0))),0))</f>
        <v/>
      </c>
      <c r="R236">
        <f>IF(OR(C236="",NOT(ISNUMBER(B236))),"",YEAR(B236)*100+MONTH(B236))</f>
        <v/>
      </c>
      <c r="S236">
        <f>N(G236)*Q236</f>
        <v/>
      </c>
      <c r="T236">
        <f>IF(OR(M236="",M236="Sold out",NOT(ISNUMBER(J236))),"",J236*1000+ROW())</f>
        <v/>
      </c>
    </row>
    <row r="237">
      <c r="A237" s="1" t="n"/>
      <c r="B237" s="20" t="n"/>
      <c r="C237" s="21" t="n"/>
      <c r="D237" s="22" t="n"/>
      <c r="E237" s="22" t="n"/>
      <c r="F237" s="22" t="n"/>
      <c r="G237" s="22" t="n"/>
      <c r="H237" s="23" t="n"/>
      <c r="I237" s="24">
        <f>IF(OR(C237="",NOT(ISNUMBER(B237))),"",UPPER(IF(IFERROR(IF(INDEX(Products!$C$6:$C$45,MATCH(C237,Products!$B$6:$B$45,0))="","",INDEX(Products!$C$6:$C$45,MATCH(C237,Products!$B$6:$B$45,0))),"")="",LEFT(SUBSTITUTE(C237," ",""),3),IFERROR(IF(INDEX(Products!$C$6:$C$45,MATCH(C237,Products!$B$6:$B$45,0))="","",INDEX(Products!$C$6:$C$45,MATCH(C237,Products!$B$6:$B$45,0))),"")))&amp;"-"&amp;RIGHT(YEAR(B237),2)&amp;RIGHT("0"&amp;MONTH(B237),2)&amp;RIGHT("0"&amp;DAY(B237),2)&amp;"-"&amp;COUNTIFS(C$6:C237,C237,B$6:B237,B237))</f>
        <v/>
      </c>
      <c r="J237" s="14">
        <f>IF(OR(C237="",NOT(ISNUMBER(B237)),N(P237)=0),"",B237+P237)</f>
        <v/>
      </c>
      <c r="K237" s="25">
        <f>IF(C237="","",N(D237)-N(E237)-N(F237)-N(G237))</f>
        <v/>
      </c>
      <c r="L237" s="13">
        <f>IF(OR(C237="",N(K237)&lt;=0,NOT(ISNUMBER(J237))),"",J237-TODAY())</f>
        <v/>
      </c>
      <c r="M237" s="12">
        <f>IF(C237="","",IF(N(K237)&lt;=0,"Sold out",IF(NOT(ISNUMBER(J237)),"In stock",IF(J237&lt;TODAY(),"Past its date",IF(J237-TODAY()&lt;=Settings!$C$5,"Use soon","In stock")))))</f>
        <v/>
      </c>
      <c r="N237" s="26">
        <f>IF(C237="","",N(D237)*Q237)</f>
        <v/>
      </c>
      <c r="O237" s="1" t="n"/>
      <c r="P237">
        <f>IF(C237="",0,IFERROR(N(INDEX(Products!$E$6:$E$45,MATCH(C237,Products!$B$6:$B$45,0))),0))</f>
        <v/>
      </c>
      <c r="Q237">
        <f>IF(C237="",0,IFERROR(N(INDEX(Products!$I$6:$I$45,MATCH(C237,Products!$B$6:$B$45,0))),0))</f>
        <v/>
      </c>
      <c r="R237">
        <f>IF(OR(C237="",NOT(ISNUMBER(B237))),"",YEAR(B237)*100+MONTH(B237))</f>
        <v/>
      </c>
      <c r="S237">
        <f>N(G237)*Q237</f>
        <v/>
      </c>
      <c r="T237">
        <f>IF(OR(M237="",M237="Sold out",NOT(ISNUMBER(J237))),"",J237*1000+ROW())</f>
        <v/>
      </c>
    </row>
    <row r="238">
      <c r="A238" s="1" t="n"/>
      <c r="B238" s="20" t="n"/>
      <c r="C238" s="21" t="n"/>
      <c r="D238" s="22" t="n"/>
      <c r="E238" s="22" t="n"/>
      <c r="F238" s="22" t="n"/>
      <c r="G238" s="22" t="n"/>
      <c r="H238" s="23" t="n"/>
      <c r="I238" s="24">
        <f>IF(OR(C238="",NOT(ISNUMBER(B238))),"",UPPER(IF(IFERROR(IF(INDEX(Products!$C$6:$C$45,MATCH(C238,Products!$B$6:$B$45,0))="","",INDEX(Products!$C$6:$C$45,MATCH(C238,Products!$B$6:$B$45,0))),"")="",LEFT(SUBSTITUTE(C238," ",""),3),IFERROR(IF(INDEX(Products!$C$6:$C$45,MATCH(C238,Products!$B$6:$B$45,0))="","",INDEX(Products!$C$6:$C$45,MATCH(C238,Products!$B$6:$B$45,0))),"")))&amp;"-"&amp;RIGHT(YEAR(B238),2)&amp;RIGHT("0"&amp;MONTH(B238),2)&amp;RIGHT("0"&amp;DAY(B238),2)&amp;"-"&amp;COUNTIFS(C$6:C238,C238,B$6:B238,B238))</f>
        <v/>
      </c>
      <c r="J238" s="14">
        <f>IF(OR(C238="",NOT(ISNUMBER(B238)),N(P238)=0),"",B238+P238)</f>
        <v/>
      </c>
      <c r="K238" s="25">
        <f>IF(C238="","",N(D238)-N(E238)-N(F238)-N(G238))</f>
        <v/>
      </c>
      <c r="L238" s="13">
        <f>IF(OR(C238="",N(K238)&lt;=0,NOT(ISNUMBER(J238))),"",J238-TODAY())</f>
        <v/>
      </c>
      <c r="M238" s="12">
        <f>IF(C238="","",IF(N(K238)&lt;=0,"Sold out",IF(NOT(ISNUMBER(J238)),"In stock",IF(J238&lt;TODAY(),"Past its date",IF(J238-TODAY()&lt;=Settings!$C$5,"Use soon","In stock")))))</f>
        <v/>
      </c>
      <c r="N238" s="26">
        <f>IF(C238="","",N(D238)*Q238)</f>
        <v/>
      </c>
      <c r="O238" s="1" t="n"/>
      <c r="P238">
        <f>IF(C238="",0,IFERROR(N(INDEX(Products!$E$6:$E$45,MATCH(C238,Products!$B$6:$B$45,0))),0))</f>
        <v/>
      </c>
      <c r="Q238">
        <f>IF(C238="",0,IFERROR(N(INDEX(Products!$I$6:$I$45,MATCH(C238,Products!$B$6:$B$45,0))),0))</f>
        <v/>
      </c>
      <c r="R238">
        <f>IF(OR(C238="",NOT(ISNUMBER(B238))),"",YEAR(B238)*100+MONTH(B238))</f>
        <v/>
      </c>
      <c r="S238">
        <f>N(G238)*Q238</f>
        <v/>
      </c>
      <c r="T238">
        <f>IF(OR(M238="",M238="Sold out",NOT(ISNUMBER(J238))),"",J238*1000+ROW())</f>
        <v/>
      </c>
    </row>
    <row r="239">
      <c r="A239" s="1" t="n"/>
      <c r="B239" s="20" t="n"/>
      <c r="C239" s="21" t="n"/>
      <c r="D239" s="22" t="n"/>
      <c r="E239" s="22" t="n"/>
      <c r="F239" s="22" t="n"/>
      <c r="G239" s="22" t="n"/>
      <c r="H239" s="23" t="n"/>
      <c r="I239" s="24">
        <f>IF(OR(C239="",NOT(ISNUMBER(B239))),"",UPPER(IF(IFERROR(IF(INDEX(Products!$C$6:$C$45,MATCH(C239,Products!$B$6:$B$45,0))="","",INDEX(Products!$C$6:$C$45,MATCH(C239,Products!$B$6:$B$45,0))),"")="",LEFT(SUBSTITUTE(C239," ",""),3),IFERROR(IF(INDEX(Products!$C$6:$C$45,MATCH(C239,Products!$B$6:$B$45,0))="","",INDEX(Products!$C$6:$C$45,MATCH(C239,Products!$B$6:$B$45,0))),"")))&amp;"-"&amp;RIGHT(YEAR(B239),2)&amp;RIGHT("0"&amp;MONTH(B239),2)&amp;RIGHT("0"&amp;DAY(B239),2)&amp;"-"&amp;COUNTIFS(C$6:C239,C239,B$6:B239,B239))</f>
        <v/>
      </c>
      <c r="J239" s="14">
        <f>IF(OR(C239="",NOT(ISNUMBER(B239)),N(P239)=0),"",B239+P239)</f>
        <v/>
      </c>
      <c r="K239" s="25">
        <f>IF(C239="","",N(D239)-N(E239)-N(F239)-N(G239))</f>
        <v/>
      </c>
      <c r="L239" s="13">
        <f>IF(OR(C239="",N(K239)&lt;=0,NOT(ISNUMBER(J239))),"",J239-TODAY())</f>
        <v/>
      </c>
      <c r="M239" s="12">
        <f>IF(C239="","",IF(N(K239)&lt;=0,"Sold out",IF(NOT(ISNUMBER(J239)),"In stock",IF(J239&lt;TODAY(),"Past its date",IF(J239-TODAY()&lt;=Settings!$C$5,"Use soon","In stock")))))</f>
        <v/>
      </c>
      <c r="N239" s="26">
        <f>IF(C239="","",N(D239)*Q239)</f>
        <v/>
      </c>
      <c r="O239" s="1" t="n"/>
      <c r="P239">
        <f>IF(C239="",0,IFERROR(N(INDEX(Products!$E$6:$E$45,MATCH(C239,Products!$B$6:$B$45,0))),0))</f>
        <v/>
      </c>
      <c r="Q239">
        <f>IF(C239="",0,IFERROR(N(INDEX(Products!$I$6:$I$45,MATCH(C239,Products!$B$6:$B$45,0))),0))</f>
        <v/>
      </c>
      <c r="R239">
        <f>IF(OR(C239="",NOT(ISNUMBER(B239))),"",YEAR(B239)*100+MONTH(B239))</f>
        <v/>
      </c>
      <c r="S239">
        <f>N(G239)*Q239</f>
        <v/>
      </c>
      <c r="T239">
        <f>IF(OR(M239="",M239="Sold out",NOT(ISNUMBER(J239))),"",J239*1000+ROW())</f>
        <v/>
      </c>
    </row>
    <row r="240">
      <c r="A240" s="1" t="n"/>
      <c r="B240" s="20" t="n"/>
      <c r="C240" s="21" t="n"/>
      <c r="D240" s="22" t="n"/>
      <c r="E240" s="22" t="n"/>
      <c r="F240" s="22" t="n"/>
      <c r="G240" s="22" t="n"/>
      <c r="H240" s="23" t="n"/>
      <c r="I240" s="24">
        <f>IF(OR(C240="",NOT(ISNUMBER(B240))),"",UPPER(IF(IFERROR(IF(INDEX(Products!$C$6:$C$45,MATCH(C240,Products!$B$6:$B$45,0))="","",INDEX(Products!$C$6:$C$45,MATCH(C240,Products!$B$6:$B$45,0))),"")="",LEFT(SUBSTITUTE(C240," ",""),3),IFERROR(IF(INDEX(Products!$C$6:$C$45,MATCH(C240,Products!$B$6:$B$45,0))="","",INDEX(Products!$C$6:$C$45,MATCH(C240,Products!$B$6:$B$45,0))),"")))&amp;"-"&amp;RIGHT(YEAR(B240),2)&amp;RIGHT("0"&amp;MONTH(B240),2)&amp;RIGHT("0"&amp;DAY(B240),2)&amp;"-"&amp;COUNTIFS(C$6:C240,C240,B$6:B240,B240))</f>
        <v/>
      </c>
      <c r="J240" s="14">
        <f>IF(OR(C240="",NOT(ISNUMBER(B240)),N(P240)=0),"",B240+P240)</f>
        <v/>
      </c>
      <c r="K240" s="25">
        <f>IF(C240="","",N(D240)-N(E240)-N(F240)-N(G240))</f>
        <v/>
      </c>
      <c r="L240" s="13">
        <f>IF(OR(C240="",N(K240)&lt;=0,NOT(ISNUMBER(J240))),"",J240-TODAY())</f>
        <v/>
      </c>
      <c r="M240" s="12">
        <f>IF(C240="","",IF(N(K240)&lt;=0,"Sold out",IF(NOT(ISNUMBER(J240)),"In stock",IF(J240&lt;TODAY(),"Past its date",IF(J240-TODAY()&lt;=Settings!$C$5,"Use soon","In stock")))))</f>
        <v/>
      </c>
      <c r="N240" s="26">
        <f>IF(C240="","",N(D240)*Q240)</f>
        <v/>
      </c>
      <c r="O240" s="1" t="n"/>
      <c r="P240">
        <f>IF(C240="",0,IFERROR(N(INDEX(Products!$E$6:$E$45,MATCH(C240,Products!$B$6:$B$45,0))),0))</f>
        <v/>
      </c>
      <c r="Q240">
        <f>IF(C240="",0,IFERROR(N(INDEX(Products!$I$6:$I$45,MATCH(C240,Products!$B$6:$B$45,0))),0))</f>
        <v/>
      </c>
      <c r="R240">
        <f>IF(OR(C240="",NOT(ISNUMBER(B240))),"",YEAR(B240)*100+MONTH(B240))</f>
        <v/>
      </c>
      <c r="S240">
        <f>N(G240)*Q240</f>
        <v/>
      </c>
      <c r="T240">
        <f>IF(OR(M240="",M240="Sold out",NOT(ISNUMBER(J240))),"",J240*1000+ROW())</f>
        <v/>
      </c>
    </row>
    <row r="241">
      <c r="A241" s="1" t="n"/>
      <c r="B241" s="20" t="n"/>
      <c r="C241" s="21" t="n"/>
      <c r="D241" s="22" t="n"/>
      <c r="E241" s="22" t="n"/>
      <c r="F241" s="22" t="n"/>
      <c r="G241" s="22" t="n"/>
      <c r="H241" s="23" t="n"/>
      <c r="I241" s="24">
        <f>IF(OR(C241="",NOT(ISNUMBER(B241))),"",UPPER(IF(IFERROR(IF(INDEX(Products!$C$6:$C$45,MATCH(C241,Products!$B$6:$B$45,0))="","",INDEX(Products!$C$6:$C$45,MATCH(C241,Products!$B$6:$B$45,0))),"")="",LEFT(SUBSTITUTE(C241," ",""),3),IFERROR(IF(INDEX(Products!$C$6:$C$45,MATCH(C241,Products!$B$6:$B$45,0))="","",INDEX(Products!$C$6:$C$45,MATCH(C241,Products!$B$6:$B$45,0))),"")))&amp;"-"&amp;RIGHT(YEAR(B241),2)&amp;RIGHT("0"&amp;MONTH(B241),2)&amp;RIGHT("0"&amp;DAY(B241),2)&amp;"-"&amp;COUNTIFS(C$6:C241,C241,B$6:B241,B241))</f>
        <v/>
      </c>
      <c r="J241" s="14">
        <f>IF(OR(C241="",NOT(ISNUMBER(B241)),N(P241)=0),"",B241+P241)</f>
        <v/>
      </c>
      <c r="K241" s="25">
        <f>IF(C241="","",N(D241)-N(E241)-N(F241)-N(G241))</f>
        <v/>
      </c>
      <c r="L241" s="13">
        <f>IF(OR(C241="",N(K241)&lt;=0,NOT(ISNUMBER(J241))),"",J241-TODAY())</f>
        <v/>
      </c>
      <c r="M241" s="12">
        <f>IF(C241="","",IF(N(K241)&lt;=0,"Sold out",IF(NOT(ISNUMBER(J241)),"In stock",IF(J241&lt;TODAY(),"Past its date",IF(J241-TODAY()&lt;=Settings!$C$5,"Use soon","In stock")))))</f>
        <v/>
      </c>
      <c r="N241" s="26">
        <f>IF(C241="","",N(D241)*Q241)</f>
        <v/>
      </c>
      <c r="O241" s="1" t="n"/>
      <c r="P241">
        <f>IF(C241="",0,IFERROR(N(INDEX(Products!$E$6:$E$45,MATCH(C241,Products!$B$6:$B$45,0))),0))</f>
        <v/>
      </c>
      <c r="Q241">
        <f>IF(C241="",0,IFERROR(N(INDEX(Products!$I$6:$I$45,MATCH(C241,Products!$B$6:$B$45,0))),0))</f>
        <v/>
      </c>
      <c r="R241">
        <f>IF(OR(C241="",NOT(ISNUMBER(B241))),"",YEAR(B241)*100+MONTH(B241))</f>
        <v/>
      </c>
      <c r="S241">
        <f>N(G241)*Q241</f>
        <v/>
      </c>
      <c r="T241">
        <f>IF(OR(M241="",M241="Sold out",NOT(ISNUMBER(J241))),"",J241*1000+ROW())</f>
        <v/>
      </c>
    </row>
    <row r="242">
      <c r="A242" s="1" t="n"/>
      <c r="B242" s="20" t="n"/>
      <c r="C242" s="21" t="n"/>
      <c r="D242" s="22" t="n"/>
      <c r="E242" s="22" t="n"/>
      <c r="F242" s="22" t="n"/>
      <c r="G242" s="22" t="n"/>
      <c r="H242" s="23" t="n"/>
      <c r="I242" s="24">
        <f>IF(OR(C242="",NOT(ISNUMBER(B242))),"",UPPER(IF(IFERROR(IF(INDEX(Products!$C$6:$C$45,MATCH(C242,Products!$B$6:$B$45,0))="","",INDEX(Products!$C$6:$C$45,MATCH(C242,Products!$B$6:$B$45,0))),"")="",LEFT(SUBSTITUTE(C242," ",""),3),IFERROR(IF(INDEX(Products!$C$6:$C$45,MATCH(C242,Products!$B$6:$B$45,0))="","",INDEX(Products!$C$6:$C$45,MATCH(C242,Products!$B$6:$B$45,0))),"")))&amp;"-"&amp;RIGHT(YEAR(B242),2)&amp;RIGHT("0"&amp;MONTH(B242),2)&amp;RIGHT("0"&amp;DAY(B242),2)&amp;"-"&amp;COUNTIFS(C$6:C242,C242,B$6:B242,B242))</f>
        <v/>
      </c>
      <c r="J242" s="14">
        <f>IF(OR(C242="",NOT(ISNUMBER(B242)),N(P242)=0),"",B242+P242)</f>
        <v/>
      </c>
      <c r="K242" s="25">
        <f>IF(C242="","",N(D242)-N(E242)-N(F242)-N(G242))</f>
        <v/>
      </c>
      <c r="L242" s="13">
        <f>IF(OR(C242="",N(K242)&lt;=0,NOT(ISNUMBER(J242))),"",J242-TODAY())</f>
        <v/>
      </c>
      <c r="M242" s="12">
        <f>IF(C242="","",IF(N(K242)&lt;=0,"Sold out",IF(NOT(ISNUMBER(J242)),"In stock",IF(J242&lt;TODAY(),"Past its date",IF(J242-TODAY()&lt;=Settings!$C$5,"Use soon","In stock")))))</f>
        <v/>
      </c>
      <c r="N242" s="26">
        <f>IF(C242="","",N(D242)*Q242)</f>
        <v/>
      </c>
      <c r="O242" s="1" t="n"/>
      <c r="P242">
        <f>IF(C242="",0,IFERROR(N(INDEX(Products!$E$6:$E$45,MATCH(C242,Products!$B$6:$B$45,0))),0))</f>
        <v/>
      </c>
      <c r="Q242">
        <f>IF(C242="",0,IFERROR(N(INDEX(Products!$I$6:$I$45,MATCH(C242,Products!$B$6:$B$45,0))),0))</f>
        <v/>
      </c>
      <c r="R242">
        <f>IF(OR(C242="",NOT(ISNUMBER(B242))),"",YEAR(B242)*100+MONTH(B242))</f>
        <v/>
      </c>
      <c r="S242">
        <f>N(G242)*Q242</f>
        <v/>
      </c>
      <c r="T242">
        <f>IF(OR(M242="",M242="Sold out",NOT(ISNUMBER(J242))),"",J242*1000+ROW())</f>
        <v/>
      </c>
    </row>
    <row r="243">
      <c r="A243" s="1" t="n"/>
      <c r="B243" s="20" t="n"/>
      <c r="C243" s="21" t="n"/>
      <c r="D243" s="22" t="n"/>
      <c r="E243" s="22" t="n"/>
      <c r="F243" s="22" t="n"/>
      <c r="G243" s="22" t="n"/>
      <c r="H243" s="23" t="n"/>
      <c r="I243" s="24">
        <f>IF(OR(C243="",NOT(ISNUMBER(B243))),"",UPPER(IF(IFERROR(IF(INDEX(Products!$C$6:$C$45,MATCH(C243,Products!$B$6:$B$45,0))="","",INDEX(Products!$C$6:$C$45,MATCH(C243,Products!$B$6:$B$45,0))),"")="",LEFT(SUBSTITUTE(C243," ",""),3),IFERROR(IF(INDEX(Products!$C$6:$C$45,MATCH(C243,Products!$B$6:$B$45,0))="","",INDEX(Products!$C$6:$C$45,MATCH(C243,Products!$B$6:$B$45,0))),"")))&amp;"-"&amp;RIGHT(YEAR(B243),2)&amp;RIGHT("0"&amp;MONTH(B243),2)&amp;RIGHT("0"&amp;DAY(B243),2)&amp;"-"&amp;COUNTIFS(C$6:C243,C243,B$6:B243,B243))</f>
        <v/>
      </c>
      <c r="J243" s="14">
        <f>IF(OR(C243="",NOT(ISNUMBER(B243)),N(P243)=0),"",B243+P243)</f>
        <v/>
      </c>
      <c r="K243" s="25">
        <f>IF(C243="","",N(D243)-N(E243)-N(F243)-N(G243))</f>
        <v/>
      </c>
      <c r="L243" s="13">
        <f>IF(OR(C243="",N(K243)&lt;=0,NOT(ISNUMBER(J243))),"",J243-TODAY())</f>
        <v/>
      </c>
      <c r="M243" s="12">
        <f>IF(C243="","",IF(N(K243)&lt;=0,"Sold out",IF(NOT(ISNUMBER(J243)),"In stock",IF(J243&lt;TODAY(),"Past its date",IF(J243-TODAY()&lt;=Settings!$C$5,"Use soon","In stock")))))</f>
        <v/>
      </c>
      <c r="N243" s="26">
        <f>IF(C243="","",N(D243)*Q243)</f>
        <v/>
      </c>
      <c r="O243" s="1" t="n"/>
      <c r="P243">
        <f>IF(C243="",0,IFERROR(N(INDEX(Products!$E$6:$E$45,MATCH(C243,Products!$B$6:$B$45,0))),0))</f>
        <v/>
      </c>
      <c r="Q243">
        <f>IF(C243="",0,IFERROR(N(INDEX(Products!$I$6:$I$45,MATCH(C243,Products!$B$6:$B$45,0))),0))</f>
        <v/>
      </c>
      <c r="R243">
        <f>IF(OR(C243="",NOT(ISNUMBER(B243))),"",YEAR(B243)*100+MONTH(B243))</f>
        <v/>
      </c>
      <c r="S243">
        <f>N(G243)*Q243</f>
        <v/>
      </c>
      <c r="T243">
        <f>IF(OR(M243="",M243="Sold out",NOT(ISNUMBER(J243))),"",J243*1000+ROW())</f>
        <v/>
      </c>
    </row>
    <row r="244">
      <c r="A244" s="1" t="n"/>
      <c r="B244" s="20" t="n"/>
      <c r="C244" s="21" t="n"/>
      <c r="D244" s="22" t="n"/>
      <c r="E244" s="22" t="n"/>
      <c r="F244" s="22" t="n"/>
      <c r="G244" s="22" t="n"/>
      <c r="H244" s="23" t="n"/>
      <c r="I244" s="24">
        <f>IF(OR(C244="",NOT(ISNUMBER(B244))),"",UPPER(IF(IFERROR(IF(INDEX(Products!$C$6:$C$45,MATCH(C244,Products!$B$6:$B$45,0))="","",INDEX(Products!$C$6:$C$45,MATCH(C244,Products!$B$6:$B$45,0))),"")="",LEFT(SUBSTITUTE(C244," ",""),3),IFERROR(IF(INDEX(Products!$C$6:$C$45,MATCH(C244,Products!$B$6:$B$45,0))="","",INDEX(Products!$C$6:$C$45,MATCH(C244,Products!$B$6:$B$45,0))),"")))&amp;"-"&amp;RIGHT(YEAR(B244),2)&amp;RIGHT("0"&amp;MONTH(B244),2)&amp;RIGHT("0"&amp;DAY(B244),2)&amp;"-"&amp;COUNTIFS(C$6:C244,C244,B$6:B244,B244))</f>
        <v/>
      </c>
      <c r="J244" s="14">
        <f>IF(OR(C244="",NOT(ISNUMBER(B244)),N(P244)=0),"",B244+P244)</f>
        <v/>
      </c>
      <c r="K244" s="25">
        <f>IF(C244="","",N(D244)-N(E244)-N(F244)-N(G244))</f>
        <v/>
      </c>
      <c r="L244" s="13">
        <f>IF(OR(C244="",N(K244)&lt;=0,NOT(ISNUMBER(J244))),"",J244-TODAY())</f>
        <v/>
      </c>
      <c r="M244" s="12">
        <f>IF(C244="","",IF(N(K244)&lt;=0,"Sold out",IF(NOT(ISNUMBER(J244)),"In stock",IF(J244&lt;TODAY(),"Past its date",IF(J244-TODAY()&lt;=Settings!$C$5,"Use soon","In stock")))))</f>
        <v/>
      </c>
      <c r="N244" s="26">
        <f>IF(C244="","",N(D244)*Q244)</f>
        <v/>
      </c>
      <c r="O244" s="1" t="n"/>
      <c r="P244">
        <f>IF(C244="",0,IFERROR(N(INDEX(Products!$E$6:$E$45,MATCH(C244,Products!$B$6:$B$45,0))),0))</f>
        <v/>
      </c>
      <c r="Q244">
        <f>IF(C244="",0,IFERROR(N(INDEX(Products!$I$6:$I$45,MATCH(C244,Products!$B$6:$B$45,0))),0))</f>
        <v/>
      </c>
      <c r="R244">
        <f>IF(OR(C244="",NOT(ISNUMBER(B244))),"",YEAR(B244)*100+MONTH(B244))</f>
        <v/>
      </c>
      <c r="S244">
        <f>N(G244)*Q244</f>
        <v/>
      </c>
      <c r="T244">
        <f>IF(OR(M244="",M244="Sold out",NOT(ISNUMBER(J244))),"",J244*1000+ROW())</f>
        <v/>
      </c>
    </row>
    <row r="245">
      <c r="A245" s="1" t="n"/>
      <c r="B245" s="20" t="n"/>
      <c r="C245" s="21" t="n"/>
      <c r="D245" s="22" t="n"/>
      <c r="E245" s="22" t="n"/>
      <c r="F245" s="22" t="n"/>
      <c r="G245" s="22" t="n"/>
      <c r="H245" s="23" t="n"/>
      <c r="I245" s="24">
        <f>IF(OR(C245="",NOT(ISNUMBER(B245))),"",UPPER(IF(IFERROR(IF(INDEX(Products!$C$6:$C$45,MATCH(C245,Products!$B$6:$B$45,0))="","",INDEX(Products!$C$6:$C$45,MATCH(C245,Products!$B$6:$B$45,0))),"")="",LEFT(SUBSTITUTE(C245," ",""),3),IFERROR(IF(INDEX(Products!$C$6:$C$45,MATCH(C245,Products!$B$6:$B$45,0))="","",INDEX(Products!$C$6:$C$45,MATCH(C245,Products!$B$6:$B$45,0))),"")))&amp;"-"&amp;RIGHT(YEAR(B245),2)&amp;RIGHT("0"&amp;MONTH(B245),2)&amp;RIGHT("0"&amp;DAY(B245),2)&amp;"-"&amp;COUNTIFS(C$6:C245,C245,B$6:B245,B245))</f>
        <v/>
      </c>
      <c r="J245" s="14">
        <f>IF(OR(C245="",NOT(ISNUMBER(B245)),N(P245)=0),"",B245+P245)</f>
        <v/>
      </c>
      <c r="K245" s="25">
        <f>IF(C245="","",N(D245)-N(E245)-N(F245)-N(G245))</f>
        <v/>
      </c>
      <c r="L245" s="13">
        <f>IF(OR(C245="",N(K245)&lt;=0,NOT(ISNUMBER(J245))),"",J245-TODAY())</f>
        <v/>
      </c>
      <c r="M245" s="12">
        <f>IF(C245="","",IF(N(K245)&lt;=0,"Sold out",IF(NOT(ISNUMBER(J245)),"In stock",IF(J245&lt;TODAY(),"Past its date",IF(J245-TODAY()&lt;=Settings!$C$5,"Use soon","In stock")))))</f>
        <v/>
      </c>
      <c r="N245" s="26">
        <f>IF(C245="","",N(D245)*Q245)</f>
        <v/>
      </c>
      <c r="O245" s="1" t="n"/>
      <c r="P245">
        <f>IF(C245="",0,IFERROR(N(INDEX(Products!$E$6:$E$45,MATCH(C245,Products!$B$6:$B$45,0))),0))</f>
        <v/>
      </c>
      <c r="Q245">
        <f>IF(C245="",0,IFERROR(N(INDEX(Products!$I$6:$I$45,MATCH(C245,Products!$B$6:$B$45,0))),0))</f>
        <v/>
      </c>
      <c r="R245">
        <f>IF(OR(C245="",NOT(ISNUMBER(B245))),"",YEAR(B245)*100+MONTH(B245))</f>
        <v/>
      </c>
      <c r="S245">
        <f>N(G245)*Q245</f>
        <v/>
      </c>
      <c r="T245">
        <f>IF(OR(M245="",M245="Sold out",NOT(ISNUMBER(J245))),"",J245*1000+ROW())</f>
        <v/>
      </c>
    </row>
    <row r="246">
      <c r="A246" s="1" t="n"/>
      <c r="B246" s="20" t="n"/>
      <c r="C246" s="21" t="n"/>
      <c r="D246" s="22" t="n"/>
      <c r="E246" s="22" t="n"/>
      <c r="F246" s="22" t="n"/>
      <c r="G246" s="22" t="n"/>
      <c r="H246" s="23" t="n"/>
      <c r="I246" s="24">
        <f>IF(OR(C246="",NOT(ISNUMBER(B246))),"",UPPER(IF(IFERROR(IF(INDEX(Products!$C$6:$C$45,MATCH(C246,Products!$B$6:$B$45,0))="","",INDEX(Products!$C$6:$C$45,MATCH(C246,Products!$B$6:$B$45,0))),"")="",LEFT(SUBSTITUTE(C246," ",""),3),IFERROR(IF(INDEX(Products!$C$6:$C$45,MATCH(C246,Products!$B$6:$B$45,0))="","",INDEX(Products!$C$6:$C$45,MATCH(C246,Products!$B$6:$B$45,0))),"")))&amp;"-"&amp;RIGHT(YEAR(B246),2)&amp;RIGHT("0"&amp;MONTH(B246),2)&amp;RIGHT("0"&amp;DAY(B246),2)&amp;"-"&amp;COUNTIFS(C$6:C246,C246,B$6:B246,B246))</f>
        <v/>
      </c>
      <c r="J246" s="14">
        <f>IF(OR(C246="",NOT(ISNUMBER(B246)),N(P246)=0),"",B246+P246)</f>
        <v/>
      </c>
      <c r="K246" s="25">
        <f>IF(C246="","",N(D246)-N(E246)-N(F246)-N(G246))</f>
        <v/>
      </c>
      <c r="L246" s="13">
        <f>IF(OR(C246="",N(K246)&lt;=0,NOT(ISNUMBER(J246))),"",J246-TODAY())</f>
        <v/>
      </c>
      <c r="M246" s="12">
        <f>IF(C246="","",IF(N(K246)&lt;=0,"Sold out",IF(NOT(ISNUMBER(J246)),"In stock",IF(J246&lt;TODAY(),"Past its date",IF(J246-TODAY()&lt;=Settings!$C$5,"Use soon","In stock")))))</f>
        <v/>
      </c>
      <c r="N246" s="26">
        <f>IF(C246="","",N(D246)*Q246)</f>
        <v/>
      </c>
      <c r="O246" s="1" t="n"/>
      <c r="P246">
        <f>IF(C246="",0,IFERROR(N(INDEX(Products!$E$6:$E$45,MATCH(C246,Products!$B$6:$B$45,0))),0))</f>
        <v/>
      </c>
      <c r="Q246">
        <f>IF(C246="",0,IFERROR(N(INDEX(Products!$I$6:$I$45,MATCH(C246,Products!$B$6:$B$45,0))),0))</f>
        <v/>
      </c>
      <c r="R246">
        <f>IF(OR(C246="",NOT(ISNUMBER(B246))),"",YEAR(B246)*100+MONTH(B246))</f>
        <v/>
      </c>
      <c r="S246">
        <f>N(G246)*Q246</f>
        <v/>
      </c>
      <c r="T246">
        <f>IF(OR(M246="",M246="Sold out",NOT(ISNUMBER(J246))),"",J246*1000+ROW())</f>
        <v/>
      </c>
    </row>
    <row r="247">
      <c r="A247" s="1" t="n"/>
      <c r="B247" s="20" t="n"/>
      <c r="C247" s="21" t="n"/>
      <c r="D247" s="22" t="n"/>
      <c r="E247" s="22" t="n"/>
      <c r="F247" s="22" t="n"/>
      <c r="G247" s="22" t="n"/>
      <c r="H247" s="23" t="n"/>
      <c r="I247" s="24">
        <f>IF(OR(C247="",NOT(ISNUMBER(B247))),"",UPPER(IF(IFERROR(IF(INDEX(Products!$C$6:$C$45,MATCH(C247,Products!$B$6:$B$45,0))="","",INDEX(Products!$C$6:$C$45,MATCH(C247,Products!$B$6:$B$45,0))),"")="",LEFT(SUBSTITUTE(C247," ",""),3),IFERROR(IF(INDEX(Products!$C$6:$C$45,MATCH(C247,Products!$B$6:$B$45,0))="","",INDEX(Products!$C$6:$C$45,MATCH(C247,Products!$B$6:$B$45,0))),"")))&amp;"-"&amp;RIGHT(YEAR(B247),2)&amp;RIGHT("0"&amp;MONTH(B247),2)&amp;RIGHT("0"&amp;DAY(B247),2)&amp;"-"&amp;COUNTIFS(C$6:C247,C247,B$6:B247,B247))</f>
        <v/>
      </c>
      <c r="J247" s="14">
        <f>IF(OR(C247="",NOT(ISNUMBER(B247)),N(P247)=0),"",B247+P247)</f>
        <v/>
      </c>
      <c r="K247" s="25">
        <f>IF(C247="","",N(D247)-N(E247)-N(F247)-N(G247))</f>
        <v/>
      </c>
      <c r="L247" s="13">
        <f>IF(OR(C247="",N(K247)&lt;=0,NOT(ISNUMBER(J247))),"",J247-TODAY())</f>
        <v/>
      </c>
      <c r="M247" s="12">
        <f>IF(C247="","",IF(N(K247)&lt;=0,"Sold out",IF(NOT(ISNUMBER(J247)),"In stock",IF(J247&lt;TODAY(),"Past its date",IF(J247-TODAY()&lt;=Settings!$C$5,"Use soon","In stock")))))</f>
        <v/>
      </c>
      <c r="N247" s="26">
        <f>IF(C247="","",N(D247)*Q247)</f>
        <v/>
      </c>
      <c r="O247" s="1" t="n"/>
      <c r="P247">
        <f>IF(C247="",0,IFERROR(N(INDEX(Products!$E$6:$E$45,MATCH(C247,Products!$B$6:$B$45,0))),0))</f>
        <v/>
      </c>
      <c r="Q247">
        <f>IF(C247="",0,IFERROR(N(INDEX(Products!$I$6:$I$45,MATCH(C247,Products!$B$6:$B$45,0))),0))</f>
        <v/>
      </c>
      <c r="R247">
        <f>IF(OR(C247="",NOT(ISNUMBER(B247))),"",YEAR(B247)*100+MONTH(B247))</f>
        <v/>
      </c>
      <c r="S247">
        <f>N(G247)*Q247</f>
        <v/>
      </c>
      <c r="T247">
        <f>IF(OR(M247="",M247="Sold out",NOT(ISNUMBER(J247))),"",J247*1000+ROW())</f>
        <v/>
      </c>
    </row>
    <row r="248">
      <c r="A248" s="1" t="n"/>
      <c r="B248" s="20" t="n"/>
      <c r="C248" s="21" t="n"/>
      <c r="D248" s="22" t="n"/>
      <c r="E248" s="22" t="n"/>
      <c r="F248" s="22" t="n"/>
      <c r="G248" s="22" t="n"/>
      <c r="H248" s="23" t="n"/>
      <c r="I248" s="24">
        <f>IF(OR(C248="",NOT(ISNUMBER(B248))),"",UPPER(IF(IFERROR(IF(INDEX(Products!$C$6:$C$45,MATCH(C248,Products!$B$6:$B$45,0))="","",INDEX(Products!$C$6:$C$45,MATCH(C248,Products!$B$6:$B$45,0))),"")="",LEFT(SUBSTITUTE(C248," ",""),3),IFERROR(IF(INDEX(Products!$C$6:$C$45,MATCH(C248,Products!$B$6:$B$45,0))="","",INDEX(Products!$C$6:$C$45,MATCH(C248,Products!$B$6:$B$45,0))),"")))&amp;"-"&amp;RIGHT(YEAR(B248),2)&amp;RIGHT("0"&amp;MONTH(B248),2)&amp;RIGHT("0"&amp;DAY(B248),2)&amp;"-"&amp;COUNTIFS(C$6:C248,C248,B$6:B248,B248))</f>
        <v/>
      </c>
      <c r="J248" s="14">
        <f>IF(OR(C248="",NOT(ISNUMBER(B248)),N(P248)=0),"",B248+P248)</f>
        <v/>
      </c>
      <c r="K248" s="25">
        <f>IF(C248="","",N(D248)-N(E248)-N(F248)-N(G248))</f>
        <v/>
      </c>
      <c r="L248" s="13">
        <f>IF(OR(C248="",N(K248)&lt;=0,NOT(ISNUMBER(J248))),"",J248-TODAY())</f>
        <v/>
      </c>
      <c r="M248" s="12">
        <f>IF(C248="","",IF(N(K248)&lt;=0,"Sold out",IF(NOT(ISNUMBER(J248)),"In stock",IF(J248&lt;TODAY(),"Past its date",IF(J248-TODAY()&lt;=Settings!$C$5,"Use soon","In stock")))))</f>
        <v/>
      </c>
      <c r="N248" s="26">
        <f>IF(C248="","",N(D248)*Q248)</f>
        <v/>
      </c>
      <c r="O248" s="1" t="n"/>
      <c r="P248">
        <f>IF(C248="",0,IFERROR(N(INDEX(Products!$E$6:$E$45,MATCH(C248,Products!$B$6:$B$45,0))),0))</f>
        <v/>
      </c>
      <c r="Q248">
        <f>IF(C248="",0,IFERROR(N(INDEX(Products!$I$6:$I$45,MATCH(C248,Products!$B$6:$B$45,0))),0))</f>
        <v/>
      </c>
      <c r="R248">
        <f>IF(OR(C248="",NOT(ISNUMBER(B248))),"",YEAR(B248)*100+MONTH(B248))</f>
        <v/>
      </c>
      <c r="S248">
        <f>N(G248)*Q248</f>
        <v/>
      </c>
      <c r="T248">
        <f>IF(OR(M248="",M248="Sold out",NOT(ISNUMBER(J248))),"",J248*1000+ROW())</f>
        <v/>
      </c>
    </row>
    <row r="249">
      <c r="A249" s="1" t="n"/>
      <c r="B249" s="20" t="n"/>
      <c r="C249" s="21" t="n"/>
      <c r="D249" s="22" t="n"/>
      <c r="E249" s="22" t="n"/>
      <c r="F249" s="22" t="n"/>
      <c r="G249" s="22" t="n"/>
      <c r="H249" s="23" t="n"/>
      <c r="I249" s="24">
        <f>IF(OR(C249="",NOT(ISNUMBER(B249))),"",UPPER(IF(IFERROR(IF(INDEX(Products!$C$6:$C$45,MATCH(C249,Products!$B$6:$B$45,0))="","",INDEX(Products!$C$6:$C$45,MATCH(C249,Products!$B$6:$B$45,0))),"")="",LEFT(SUBSTITUTE(C249," ",""),3),IFERROR(IF(INDEX(Products!$C$6:$C$45,MATCH(C249,Products!$B$6:$B$45,0))="","",INDEX(Products!$C$6:$C$45,MATCH(C249,Products!$B$6:$B$45,0))),"")))&amp;"-"&amp;RIGHT(YEAR(B249),2)&amp;RIGHT("0"&amp;MONTH(B249),2)&amp;RIGHT("0"&amp;DAY(B249),2)&amp;"-"&amp;COUNTIFS(C$6:C249,C249,B$6:B249,B249))</f>
        <v/>
      </c>
      <c r="J249" s="14">
        <f>IF(OR(C249="",NOT(ISNUMBER(B249)),N(P249)=0),"",B249+P249)</f>
        <v/>
      </c>
      <c r="K249" s="25">
        <f>IF(C249="","",N(D249)-N(E249)-N(F249)-N(G249))</f>
        <v/>
      </c>
      <c r="L249" s="13">
        <f>IF(OR(C249="",N(K249)&lt;=0,NOT(ISNUMBER(J249))),"",J249-TODAY())</f>
        <v/>
      </c>
      <c r="M249" s="12">
        <f>IF(C249="","",IF(N(K249)&lt;=0,"Sold out",IF(NOT(ISNUMBER(J249)),"In stock",IF(J249&lt;TODAY(),"Past its date",IF(J249-TODAY()&lt;=Settings!$C$5,"Use soon","In stock")))))</f>
        <v/>
      </c>
      <c r="N249" s="26">
        <f>IF(C249="","",N(D249)*Q249)</f>
        <v/>
      </c>
      <c r="O249" s="1" t="n"/>
      <c r="P249">
        <f>IF(C249="",0,IFERROR(N(INDEX(Products!$E$6:$E$45,MATCH(C249,Products!$B$6:$B$45,0))),0))</f>
        <v/>
      </c>
      <c r="Q249">
        <f>IF(C249="",0,IFERROR(N(INDEX(Products!$I$6:$I$45,MATCH(C249,Products!$B$6:$B$45,0))),0))</f>
        <v/>
      </c>
      <c r="R249">
        <f>IF(OR(C249="",NOT(ISNUMBER(B249))),"",YEAR(B249)*100+MONTH(B249))</f>
        <v/>
      </c>
      <c r="S249">
        <f>N(G249)*Q249</f>
        <v/>
      </c>
      <c r="T249">
        <f>IF(OR(M249="",M249="Sold out",NOT(ISNUMBER(J249))),"",J249*1000+ROW())</f>
        <v/>
      </c>
    </row>
    <row r="250">
      <c r="A250" s="1" t="n"/>
      <c r="B250" s="20" t="n"/>
      <c r="C250" s="21" t="n"/>
      <c r="D250" s="22" t="n"/>
      <c r="E250" s="22" t="n"/>
      <c r="F250" s="22" t="n"/>
      <c r="G250" s="22" t="n"/>
      <c r="H250" s="23" t="n"/>
      <c r="I250" s="24">
        <f>IF(OR(C250="",NOT(ISNUMBER(B250))),"",UPPER(IF(IFERROR(IF(INDEX(Products!$C$6:$C$45,MATCH(C250,Products!$B$6:$B$45,0))="","",INDEX(Products!$C$6:$C$45,MATCH(C250,Products!$B$6:$B$45,0))),"")="",LEFT(SUBSTITUTE(C250," ",""),3),IFERROR(IF(INDEX(Products!$C$6:$C$45,MATCH(C250,Products!$B$6:$B$45,0))="","",INDEX(Products!$C$6:$C$45,MATCH(C250,Products!$B$6:$B$45,0))),"")))&amp;"-"&amp;RIGHT(YEAR(B250),2)&amp;RIGHT("0"&amp;MONTH(B250),2)&amp;RIGHT("0"&amp;DAY(B250),2)&amp;"-"&amp;COUNTIFS(C$6:C250,C250,B$6:B250,B250))</f>
        <v/>
      </c>
      <c r="J250" s="14">
        <f>IF(OR(C250="",NOT(ISNUMBER(B250)),N(P250)=0),"",B250+P250)</f>
        <v/>
      </c>
      <c r="K250" s="25">
        <f>IF(C250="","",N(D250)-N(E250)-N(F250)-N(G250))</f>
        <v/>
      </c>
      <c r="L250" s="13">
        <f>IF(OR(C250="",N(K250)&lt;=0,NOT(ISNUMBER(J250))),"",J250-TODAY())</f>
        <v/>
      </c>
      <c r="M250" s="12">
        <f>IF(C250="","",IF(N(K250)&lt;=0,"Sold out",IF(NOT(ISNUMBER(J250)),"In stock",IF(J250&lt;TODAY(),"Past its date",IF(J250-TODAY()&lt;=Settings!$C$5,"Use soon","In stock")))))</f>
        <v/>
      </c>
      <c r="N250" s="26">
        <f>IF(C250="","",N(D250)*Q250)</f>
        <v/>
      </c>
      <c r="O250" s="1" t="n"/>
      <c r="P250">
        <f>IF(C250="",0,IFERROR(N(INDEX(Products!$E$6:$E$45,MATCH(C250,Products!$B$6:$B$45,0))),0))</f>
        <v/>
      </c>
      <c r="Q250">
        <f>IF(C250="",0,IFERROR(N(INDEX(Products!$I$6:$I$45,MATCH(C250,Products!$B$6:$B$45,0))),0))</f>
        <v/>
      </c>
      <c r="R250">
        <f>IF(OR(C250="",NOT(ISNUMBER(B250))),"",YEAR(B250)*100+MONTH(B250))</f>
        <v/>
      </c>
      <c r="S250">
        <f>N(G250)*Q250</f>
        <v/>
      </c>
      <c r="T250">
        <f>IF(OR(M250="",M250="Sold out",NOT(ISNUMBER(J250))),"",J250*1000+ROW())</f>
        <v/>
      </c>
    </row>
    <row r="251">
      <c r="A251" s="1" t="n"/>
      <c r="B251" s="20" t="n"/>
      <c r="C251" s="21" t="n"/>
      <c r="D251" s="22" t="n"/>
      <c r="E251" s="22" t="n"/>
      <c r="F251" s="22" t="n"/>
      <c r="G251" s="22" t="n"/>
      <c r="H251" s="23" t="n"/>
      <c r="I251" s="24">
        <f>IF(OR(C251="",NOT(ISNUMBER(B251))),"",UPPER(IF(IFERROR(IF(INDEX(Products!$C$6:$C$45,MATCH(C251,Products!$B$6:$B$45,0))="","",INDEX(Products!$C$6:$C$45,MATCH(C251,Products!$B$6:$B$45,0))),"")="",LEFT(SUBSTITUTE(C251," ",""),3),IFERROR(IF(INDEX(Products!$C$6:$C$45,MATCH(C251,Products!$B$6:$B$45,0))="","",INDEX(Products!$C$6:$C$45,MATCH(C251,Products!$B$6:$B$45,0))),"")))&amp;"-"&amp;RIGHT(YEAR(B251),2)&amp;RIGHT("0"&amp;MONTH(B251),2)&amp;RIGHT("0"&amp;DAY(B251),2)&amp;"-"&amp;COUNTIFS(C$6:C251,C251,B$6:B251,B251))</f>
        <v/>
      </c>
      <c r="J251" s="14">
        <f>IF(OR(C251="",NOT(ISNUMBER(B251)),N(P251)=0),"",B251+P251)</f>
        <v/>
      </c>
      <c r="K251" s="25">
        <f>IF(C251="","",N(D251)-N(E251)-N(F251)-N(G251))</f>
        <v/>
      </c>
      <c r="L251" s="13">
        <f>IF(OR(C251="",N(K251)&lt;=0,NOT(ISNUMBER(J251))),"",J251-TODAY())</f>
        <v/>
      </c>
      <c r="M251" s="12">
        <f>IF(C251="","",IF(N(K251)&lt;=0,"Sold out",IF(NOT(ISNUMBER(J251)),"In stock",IF(J251&lt;TODAY(),"Past its date",IF(J251-TODAY()&lt;=Settings!$C$5,"Use soon","In stock")))))</f>
        <v/>
      </c>
      <c r="N251" s="26">
        <f>IF(C251="","",N(D251)*Q251)</f>
        <v/>
      </c>
      <c r="O251" s="1" t="n"/>
      <c r="P251">
        <f>IF(C251="",0,IFERROR(N(INDEX(Products!$E$6:$E$45,MATCH(C251,Products!$B$6:$B$45,0))),0))</f>
        <v/>
      </c>
      <c r="Q251">
        <f>IF(C251="",0,IFERROR(N(INDEX(Products!$I$6:$I$45,MATCH(C251,Products!$B$6:$B$45,0))),0))</f>
        <v/>
      </c>
      <c r="R251">
        <f>IF(OR(C251="",NOT(ISNUMBER(B251))),"",YEAR(B251)*100+MONTH(B251))</f>
        <v/>
      </c>
      <c r="S251">
        <f>N(G251)*Q251</f>
        <v/>
      </c>
      <c r="T251">
        <f>IF(OR(M251="",M251="Sold out",NOT(ISNUMBER(J251))),"",J251*1000+ROW())</f>
        <v/>
      </c>
    </row>
    <row r="252">
      <c r="A252" s="1" t="n"/>
      <c r="B252" s="20" t="n"/>
      <c r="C252" s="21" t="n"/>
      <c r="D252" s="22" t="n"/>
      <c r="E252" s="22" t="n"/>
      <c r="F252" s="22" t="n"/>
      <c r="G252" s="22" t="n"/>
      <c r="H252" s="23" t="n"/>
      <c r="I252" s="24">
        <f>IF(OR(C252="",NOT(ISNUMBER(B252))),"",UPPER(IF(IFERROR(IF(INDEX(Products!$C$6:$C$45,MATCH(C252,Products!$B$6:$B$45,0))="","",INDEX(Products!$C$6:$C$45,MATCH(C252,Products!$B$6:$B$45,0))),"")="",LEFT(SUBSTITUTE(C252," ",""),3),IFERROR(IF(INDEX(Products!$C$6:$C$45,MATCH(C252,Products!$B$6:$B$45,0))="","",INDEX(Products!$C$6:$C$45,MATCH(C252,Products!$B$6:$B$45,0))),"")))&amp;"-"&amp;RIGHT(YEAR(B252),2)&amp;RIGHT("0"&amp;MONTH(B252),2)&amp;RIGHT("0"&amp;DAY(B252),2)&amp;"-"&amp;COUNTIFS(C$6:C252,C252,B$6:B252,B252))</f>
        <v/>
      </c>
      <c r="J252" s="14">
        <f>IF(OR(C252="",NOT(ISNUMBER(B252)),N(P252)=0),"",B252+P252)</f>
        <v/>
      </c>
      <c r="K252" s="25">
        <f>IF(C252="","",N(D252)-N(E252)-N(F252)-N(G252))</f>
        <v/>
      </c>
      <c r="L252" s="13">
        <f>IF(OR(C252="",N(K252)&lt;=0,NOT(ISNUMBER(J252))),"",J252-TODAY())</f>
        <v/>
      </c>
      <c r="M252" s="12">
        <f>IF(C252="","",IF(N(K252)&lt;=0,"Sold out",IF(NOT(ISNUMBER(J252)),"In stock",IF(J252&lt;TODAY(),"Past its date",IF(J252-TODAY()&lt;=Settings!$C$5,"Use soon","In stock")))))</f>
        <v/>
      </c>
      <c r="N252" s="26">
        <f>IF(C252="","",N(D252)*Q252)</f>
        <v/>
      </c>
      <c r="O252" s="1" t="n"/>
      <c r="P252">
        <f>IF(C252="",0,IFERROR(N(INDEX(Products!$E$6:$E$45,MATCH(C252,Products!$B$6:$B$45,0))),0))</f>
        <v/>
      </c>
      <c r="Q252">
        <f>IF(C252="",0,IFERROR(N(INDEX(Products!$I$6:$I$45,MATCH(C252,Products!$B$6:$B$45,0))),0))</f>
        <v/>
      </c>
      <c r="R252">
        <f>IF(OR(C252="",NOT(ISNUMBER(B252))),"",YEAR(B252)*100+MONTH(B252))</f>
        <v/>
      </c>
      <c r="S252">
        <f>N(G252)*Q252</f>
        <v/>
      </c>
      <c r="T252">
        <f>IF(OR(M252="",M252="Sold out",NOT(ISNUMBER(J252))),"",J252*1000+ROW())</f>
        <v/>
      </c>
    </row>
    <row r="253">
      <c r="A253" s="1" t="n"/>
      <c r="B253" s="20" t="n"/>
      <c r="C253" s="21" t="n"/>
      <c r="D253" s="22" t="n"/>
      <c r="E253" s="22" t="n"/>
      <c r="F253" s="22" t="n"/>
      <c r="G253" s="22" t="n"/>
      <c r="H253" s="23" t="n"/>
      <c r="I253" s="24">
        <f>IF(OR(C253="",NOT(ISNUMBER(B253))),"",UPPER(IF(IFERROR(IF(INDEX(Products!$C$6:$C$45,MATCH(C253,Products!$B$6:$B$45,0))="","",INDEX(Products!$C$6:$C$45,MATCH(C253,Products!$B$6:$B$45,0))),"")="",LEFT(SUBSTITUTE(C253," ",""),3),IFERROR(IF(INDEX(Products!$C$6:$C$45,MATCH(C253,Products!$B$6:$B$45,0))="","",INDEX(Products!$C$6:$C$45,MATCH(C253,Products!$B$6:$B$45,0))),"")))&amp;"-"&amp;RIGHT(YEAR(B253),2)&amp;RIGHT("0"&amp;MONTH(B253),2)&amp;RIGHT("0"&amp;DAY(B253),2)&amp;"-"&amp;COUNTIFS(C$6:C253,C253,B$6:B253,B253))</f>
        <v/>
      </c>
      <c r="J253" s="14">
        <f>IF(OR(C253="",NOT(ISNUMBER(B253)),N(P253)=0),"",B253+P253)</f>
        <v/>
      </c>
      <c r="K253" s="25">
        <f>IF(C253="","",N(D253)-N(E253)-N(F253)-N(G253))</f>
        <v/>
      </c>
      <c r="L253" s="13">
        <f>IF(OR(C253="",N(K253)&lt;=0,NOT(ISNUMBER(J253))),"",J253-TODAY())</f>
        <v/>
      </c>
      <c r="M253" s="12">
        <f>IF(C253="","",IF(N(K253)&lt;=0,"Sold out",IF(NOT(ISNUMBER(J253)),"In stock",IF(J253&lt;TODAY(),"Past its date",IF(J253-TODAY()&lt;=Settings!$C$5,"Use soon","In stock")))))</f>
        <v/>
      </c>
      <c r="N253" s="26">
        <f>IF(C253="","",N(D253)*Q253)</f>
        <v/>
      </c>
      <c r="O253" s="1" t="n"/>
      <c r="P253">
        <f>IF(C253="",0,IFERROR(N(INDEX(Products!$E$6:$E$45,MATCH(C253,Products!$B$6:$B$45,0))),0))</f>
        <v/>
      </c>
      <c r="Q253">
        <f>IF(C253="",0,IFERROR(N(INDEX(Products!$I$6:$I$45,MATCH(C253,Products!$B$6:$B$45,0))),0))</f>
        <v/>
      </c>
      <c r="R253">
        <f>IF(OR(C253="",NOT(ISNUMBER(B253))),"",YEAR(B253)*100+MONTH(B253))</f>
        <v/>
      </c>
      <c r="S253">
        <f>N(G253)*Q253</f>
        <v/>
      </c>
      <c r="T253">
        <f>IF(OR(M253="",M253="Sold out",NOT(ISNUMBER(J253))),"",J253*1000+ROW())</f>
        <v/>
      </c>
    </row>
    <row r="254">
      <c r="A254" s="1" t="n"/>
      <c r="B254" s="20" t="n"/>
      <c r="C254" s="21" t="n"/>
      <c r="D254" s="22" t="n"/>
      <c r="E254" s="22" t="n"/>
      <c r="F254" s="22" t="n"/>
      <c r="G254" s="22" t="n"/>
      <c r="H254" s="23" t="n"/>
      <c r="I254" s="24">
        <f>IF(OR(C254="",NOT(ISNUMBER(B254))),"",UPPER(IF(IFERROR(IF(INDEX(Products!$C$6:$C$45,MATCH(C254,Products!$B$6:$B$45,0))="","",INDEX(Products!$C$6:$C$45,MATCH(C254,Products!$B$6:$B$45,0))),"")="",LEFT(SUBSTITUTE(C254," ",""),3),IFERROR(IF(INDEX(Products!$C$6:$C$45,MATCH(C254,Products!$B$6:$B$45,0))="","",INDEX(Products!$C$6:$C$45,MATCH(C254,Products!$B$6:$B$45,0))),"")))&amp;"-"&amp;RIGHT(YEAR(B254),2)&amp;RIGHT("0"&amp;MONTH(B254),2)&amp;RIGHT("0"&amp;DAY(B254),2)&amp;"-"&amp;COUNTIFS(C$6:C254,C254,B$6:B254,B254))</f>
        <v/>
      </c>
      <c r="J254" s="14">
        <f>IF(OR(C254="",NOT(ISNUMBER(B254)),N(P254)=0),"",B254+P254)</f>
        <v/>
      </c>
      <c r="K254" s="25">
        <f>IF(C254="","",N(D254)-N(E254)-N(F254)-N(G254))</f>
        <v/>
      </c>
      <c r="L254" s="13">
        <f>IF(OR(C254="",N(K254)&lt;=0,NOT(ISNUMBER(J254))),"",J254-TODAY())</f>
        <v/>
      </c>
      <c r="M254" s="12">
        <f>IF(C254="","",IF(N(K254)&lt;=0,"Sold out",IF(NOT(ISNUMBER(J254)),"In stock",IF(J254&lt;TODAY(),"Past its date",IF(J254-TODAY()&lt;=Settings!$C$5,"Use soon","In stock")))))</f>
        <v/>
      </c>
      <c r="N254" s="26">
        <f>IF(C254="","",N(D254)*Q254)</f>
        <v/>
      </c>
      <c r="O254" s="1" t="n"/>
      <c r="P254">
        <f>IF(C254="",0,IFERROR(N(INDEX(Products!$E$6:$E$45,MATCH(C254,Products!$B$6:$B$45,0))),0))</f>
        <v/>
      </c>
      <c r="Q254">
        <f>IF(C254="",0,IFERROR(N(INDEX(Products!$I$6:$I$45,MATCH(C254,Products!$B$6:$B$45,0))),0))</f>
        <v/>
      </c>
      <c r="R254">
        <f>IF(OR(C254="",NOT(ISNUMBER(B254))),"",YEAR(B254)*100+MONTH(B254))</f>
        <v/>
      </c>
      <c r="S254">
        <f>N(G254)*Q254</f>
        <v/>
      </c>
      <c r="T254">
        <f>IF(OR(M254="",M254="Sold out",NOT(ISNUMBER(J254))),"",J254*1000+ROW())</f>
        <v/>
      </c>
    </row>
    <row r="255">
      <c r="A255" s="1" t="n"/>
      <c r="B255" s="20" t="n"/>
      <c r="C255" s="21" t="n"/>
      <c r="D255" s="22" t="n"/>
      <c r="E255" s="22" t="n"/>
      <c r="F255" s="22" t="n"/>
      <c r="G255" s="22" t="n"/>
      <c r="H255" s="23" t="n"/>
      <c r="I255" s="24">
        <f>IF(OR(C255="",NOT(ISNUMBER(B255))),"",UPPER(IF(IFERROR(IF(INDEX(Products!$C$6:$C$45,MATCH(C255,Products!$B$6:$B$45,0))="","",INDEX(Products!$C$6:$C$45,MATCH(C255,Products!$B$6:$B$45,0))),"")="",LEFT(SUBSTITUTE(C255," ",""),3),IFERROR(IF(INDEX(Products!$C$6:$C$45,MATCH(C255,Products!$B$6:$B$45,0))="","",INDEX(Products!$C$6:$C$45,MATCH(C255,Products!$B$6:$B$45,0))),"")))&amp;"-"&amp;RIGHT(YEAR(B255),2)&amp;RIGHT("0"&amp;MONTH(B255),2)&amp;RIGHT("0"&amp;DAY(B255),2)&amp;"-"&amp;COUNTIFS(C$6:C255,C255,B$6:B255,B255))</f>
        <v/>
      </c>
      <c r="J255" s="14">
        <f>IF(OR(C255="",NOT(ISNUMBER(B255)),N(P255)=0),"",B255+P255)</f>
        <v/>
      </c>
      <c r="K255" s="25">
        <f>IF(C255="","",N(D255)-N(E255)-N(F255)-N(G255))</f>
        <v/>
      </c>
      <c r="L255" s="13">
        <f>IF(OR(C255="",N(K255)&lt;=0,NOT(ISNUMBER(J255))),"",J255-TODAY())</f>
        <v/>
      </c>
      <c r="M255" s="12">
        <f>IF(C255="","",IF(N(K255)&lt;=0,"Sold out",IF(NOT(ISNUMBER(J255)),"In stock",IF(J255&lt;TODAY(),"Past its date",IF(J255-TODAY()&lt;=Settings!$C$5,"Use soon","In stock")))))</f>
        <v/>
      </c>
      <c r="N255" s="26">
        <f>IF(C255="","",N(D255)*Q255)</f>
        <v/>
      </c>
      <c r="O255" s="1" t="n"/>
      <c r="P255">
        <f>IF(C255="",0,IFERROR(N(INDEX(Products!$E$6:$E$45,MATCH(C255,Products!$B$6:$B$45,0))),0))</f>
        <v/>
      </c>
      <c r="Q255">
        <f>IF(C255="",0,IFERROR(N(INDEX(Products!$I$6:$I$45,MATCH(C255,Products!$B$6:$B$45,0))),0))</f>
        <v/>
      </c>
      <c r="R255">
        <f>IF(OR(C255="",NOT(ISNUMBER(B255))),"",YEAR(B255)*100+MONTH(B255))</f>
        <v/>
      </c>
      <c r="S255">
        <f>N(G255)*Q255</f>
        <v/>
      </c>
      <c r="T255">
        <f>IF(OR(M255="",M255="Sold out",NOT(ISNUMBER(J255))),"",J255*1000+ROW())</f>
        <v/>
      </c>
    </row>
    <row r="256">
      <c r="A256" s="1" t="n"/>
      <c r="B256" s="20" t="n"/>
      <c r="C256" s="21" t="n"/>
      <c r="D256" s="22" t="n"/>
      <c r="E256" s="22" t="n"/>
      <c r="F256" s="22" t="n"/>
      <c r="G256" s="22" t="n"/>
      <c r="H256" s="23" t="n"/>
      <c r="I256" s="24">
        <f>IF(OR(C256="",NOT(ISNUMBER(B256))),"",UPPER(IF(IFERROR(IF(INDEX(Products!$C$6:$C$45,MATCH(C256,Products!$B$6:$B$45,0))="","",INDEX(Products!$C$6:$C$45,MATCH(C256,Products!$B$6:$B$45,0))),"")="",LEFT(SUBSTITUTE(C256," ",""),3),IFERROR(IF(INDEX(Products!$C$6:$C$45,MATCH(C256,Products!$B$6:$B$45,0))="","",INDEX(Products!$C$6:$C$45,MATCH(C256,Products!$B$6:$B$45,0))),"")))&amp;"-"&amp;RIGHT(YEAR(B256),2)&amp;RIGHT("0"&amp;MONTH(B256),2)&amp;RIGHT("0"&amp;DAY(B256),2)&amp;"-"&amp;COUNTIFS(C$6:C256,C256,B$6:B256,B256))</f>
        <v/>
      </c>
      <c r="J256" s="14">
        <f>IF(OR(C256="",NOT(ISNUMBER(B256)),N(P256)=0),"",B256+P256)</f>
        <v/>
      </c>
      <c r="K256" s="25">
        <f>IF(C256="","",N(D256)-N(E256)-N(F256)-N(G256))</f>
        <v/>
      </c>
      <c r="L256" s="13">
        <f>IF(OR(C256="",N(K256)&lt;=0,NOT(ISNUMBER(J256))),"",J256-TODAY())</f>
        <v/>
      </c>
      <c r="M256" s="12">
        <f>IF(C256="","",IF(N(K256)&lt;=0,"Sold out",IF(NOT(ISNUMBER(J256)),"In stock",IF(J256&lt;TODAY(),"Past its date",IF(J256-TODAY()&lt;=Settings!$C$5,"Use soon","In stock")))))</f>
        <v/>
      </c>
      <c r="N256" s="26">
        <f>IF(C256="","",N(D256)*Q256)</f>
        <v/>
      </c>
      <c r="O256" s="1" t="n"/>
      <c r="P256">
        <f>IF(C256="",0,IFERROR(N(INDEX(Products!$E$6:$E$45,MATCH(C256,Products!$B$6:$B$45,0))),0))</f>
        <v/>
      </c>
      <c r="Q256">
        <f>IF(C256="",0,IFERROR(N(INDEX(Products!$I$6:$I$45,MATCH(C256,Products!$B$6:$B$45,0))),0))</f>
        <v/>
      </c>
      <c r="R256">
        <f>IF(OR(C256="",NOT(ISNUMBER(B256))),"",YEAR(B256)*100+MONTH(B256))</f>
        <v/>
      </c>
      <c r="S256">
        <f>N(G256)*Q256</f>
        <v/>
      </c>
      <c r="T256">
        <f>IF(OR(M256="",M256="Sold out",NOT(ISNUMBER(J256))),"",J256*1000+ROW())</f>
        <v/>
      </c>
    </row>
    <row r="257">
      <c r="A257" s="1" t="n"/>
      <c r="B257" s="20" t="n"/>
      <c r="C257" s="21" t="n"/>
      <c r="D257" s="22" t="n"/>
      <c r="E257" s="22" t="n"/>
      <c r="F257" s="22" t="n"/>
      <c r="G257" s="22" t="n"/>
      <c r="H257" s="23" t="n"/>
      <c r="I257" s="24">
        <f>IF(OR(C257="",NOT(ISNUMBER(B257))),"",UPPER(IF(IFERROR(IF(INDEX(Products!$C$6:$C$45,MATCH(C257,Products!$B$6:$B$45,0))="","",INDEX(Products!$C$6:$C$45,MATCH(C257,Products!$B$6:$B$45,0))),"")="",LEFT(SUBSTITUTE(C257," ",""),3),IFERROR(IF(INDEX(Products!$C$6:$C$45,MATCH(C257,Products!$B$6:$B$45,0))="","",INDEX(Products!$C$6:$C$45,MATCH(C257,Products!$B$6:$B$45,0))),"")))&amp;"-"&amp;RIGHT(YEAR(B257),2)&amp;RIGHT("0"&amp;MONTH(B257),2)&amp;RIGHT("0"&amp;DAY(B257),2)&amp;"-"&amp;COUNTIFS(C$6:C257,C257,B$6:B257,B257))</f>
        <v/>
      </c>
      <c r="J257" s="14">
        <f>IF(OR(C257="",NOT(ISNUMBER(B257)),N(P257)=0),"",B257+P257)</f>
        <v/>
      </c>
      <c r="K257" s="25">
        <f>IF(C257="","",N(D257)-N(E257)-N(F257)-N(G257))</f>
        <v/>
      </c>
      <c r="L257" s="13">
        <f>IF(OR(C257="",N(K257)&lt;=0,NOT(ISNUMBER(J257))),"",J257-TODAY())</f>
        <v/>
      </c>
      <c r="M257" s="12">
        <f>IF(C257="","",IF(N(K257)&lt;=0,"Sold out",IF(NOT(ISNUMBER(J257)),"In stock",IF(J257&lt;TODAY(),"Past its date",IF(J257-TODAY()&lt;=Settings!$C$5,"Use soon","In stock")))))</f>
        <v/>
      </c>
      <c r="N257" s="26">
        <f>IF(C257="","",N(D257)*Q257)</f>
        <v/>
      </c>
      <c r="O257" s="1" t="n"/>
      <c r="P257">
        <f>IF(C257="",0,IFERROR(N(INDEX(Products!$E$6:$E$45,MATCH(C257,Products!$B$6:$B$45,0))),0))</f>
        <v/>
      </c>
      <c r="Q257">
        <f>IF(C257="",0,IFERROR(N(INDEX(Products!$I$6:$I$45,MATCH(C257,Products!$B$6:$B$45,0))),0))</f>
        <v/>
      </c>
      <c r="R257">
        <f>IF(OR(C257="",NOT(ISNUMBER(B257))),"",YEAR(B257)*100+MONTH(B257))</f>
        <v/>
      </c>
      <c r="S257">
        <f>N(G257)*Q257</f>
        <v/>
      </c>
      <c r="T257">
        <f>IF(OR(M257="",M257="Sold out",NOT(ISNUMBER(J257))),"",J257*1000+ROW())</f>
        <v/>
      </c>
    </row>
    <row r="258">
      <c r="A258" s="1" t="n"/>
      <c r="B258" s="20" t="n"/>
      <c r="C258" s="21" t="n"/>
      <c r="D258" s="22" t="n"/>
      <c r="E258" s="22" t="n"/>
      <c r="F258" s="22" t="n"/>
      <c r="G258" s="22" t="n"/>
      <c r="H258" s="23" t="n"/>
      <c r="I258" s="24">
        <f>IF(OR(C258="",NOT(ISNUMBER(B258))),"",UPPER(IF(IFERROR(IF(INDEX(Products!$C$6:$C$45,MATCH(C258,Products!$B$6:$B$45,0))="","",INDEX(Products!$C$6:$C$45,MATCH(C258,Products!$B$6:$B$45,0))),"")="",LEFT(SUBSTITUTE(C258," ",""),3),IFERROR(IF(INDEX(Products!$C$6:$C$45,MATCH(C258,Products!$B$6:$B$45,0))="","",INDEX(Products!$C$6:$C$45,MATCH(C258,Products!$B$6:$B$45,0))),"")))&amp;"-"&amp;RIGHT(YEAR(B258),2)&amp;RIGHT("0"&amp;MONTH(B258),2)&amp;RIGHT("0"&amp;DAY(B258),2)&amp;"-"&amp;COUNTIFS(C$6:C258,C258,B$6:B258,B258))</f>
        <v/>
      </c>
      <c r="J258" s="14">
        <f>IF(OR(C258="",NOT(ISNUMBER(B258)),N(P258)=0),"",B258+P258)</f>
        <v/>
      </c>
      <c r="K258" s="25">
        <f>IF(C258="","",N(D258)-N(E258)-N(F258)-N(G258))</f>
        <v/>
      </c>
      <c r="L258" s="13">
        <f>IF(OR(C258="",N(K258)&lt;=0,NOT(ISNUMBER(J258))),"",J258-TODAY())</f>
        <v/>
      </c>
      <c r="M258" s="12">
        <f>IF(C258="","",IF(N(K258)&lt;=0,"Sold out",IF(NOT(ISNUMBER(J258)),"In stock",IF(J258&lt;TODAY(),"Past its date",IF(J258-TODAY()&lt;=Settings!$C$5,"Use soon","In stock")))))</f>
        <v/>
      </c>
      <c r="N258" s="26">
        <f>IF(C258="","",N(D258)*Q258)</f>
        <v/>
      </c>
      <c r="O258" s="1" t="n"/>
      <c r="P258">
        <f>IF(C258="",0,IFERROR(N(INDEX(Products!$E$6:$E$45,MATCH(C258,Products!$B$6:$B$45,0))),0))</f>
        <v/>
      </c>
      <c r="Q258">
        <f>IF(C258="",0,IFERROR(N(INDEX(Products!$I$6:$I$45,MATCH(C258,Products!$B$6:$B$45,0))),0))</f>
        <v/>
      </c>
      <c r="R258">
        <f>IF(OR(C258="",NOT(ISNUMBER(B258))),"",YEAR(B258)*100+MONTH(B258))</f>
        <v/>
      </c>
      <c r="S258">
        <f>N(G258)*Q258</f>
        <v/>
      </c>
      <c r="T258">
        <f>IF(OR(M258="",M258="Sold out",NOT(ISNUMBER(J258))),"",J258*1000+ROW())</f>
        <v/>
      </c>
    </row>
    <row r="259">
      <c r="A259" s="1" t="n"/>
      <c r="B259" s="20" t="n"/>
      <c r="C259" s="21" t="n"/>
      <c r="D259" s="22" t="n"/>
      <c r="E259" s="22" t="n"/>
      <c r="F259" s="22" t="n"/>
      <c r="G259" s="22" t="n"/>
      <c r="H259" s="23" t="n"/>
      <c r="I259" s="24">
        <f>IF(OR(C259="",NOT(ISNUMBER(B259))),"",UPPER(IF(IFERROR(IF(INDEX(Products!$C$6:$C$45,MATCH(C259,Products!$B$6:$B$45,0))="","",INDEX(Products!$C$6:$C$45,MATCH(C259,Products!$B$6:$B$45,0))),"")="",LEFT(SUBSTITUTE(C259," ",""),3),IFERROR(IF(INDEX(Products!$C$6:$C$45,MATCH(C259,Products!$B$6:$B$45,0))="","",INDEX(Products!$C$6:$C$45,MATCH(C259,Products!$B$6:$B$45,0))),"")))&amp;"-"&amp;RIGHT(YEAR(B259),2)&amp;RIGHT("0"&amp;MONTH(B259),2)&amp;RIGHT("0"&amp;DAY(B259),2)&amp;"-"&amp;COUNTIFS(C$6:C259,C259,B$6:B259,B259))</f>
        <v/>
      </c>
      <c r="J259" s="14">
        <f>IF(OR(C259="",NOT(ISNUMBER(B259)),N(P259)=0),"",B259+P259)</f>
        <v/>
      </c>
      <c r="K259" s="25">
        <f>IF(C259="","",N(D259)-N(E259)-N(F259)-N(G259))</f>
        <v/>
      </c>
      <c r="L259" s="13">
        <f>IF(OR(C259="",N(K259)&lt;=0,NOT(ISNUMBER(J259))),"",J259-TODAY())</f>
        <v/>
      </c>
      <c r="M259" s="12">
        <f>IF(C259="","",IF(N(K259)&lt;=0,"Sold out",IF(NOT(ISNUMBER(J259)),"In stock",IF(J259&lt;TODAY(),"Past its date",IF(J259-TODAY()&lt;=Settings!$C$5,"Use soon","In stock")))))</f>
        <v/>
      </c>
      <c r="N259" s="26">
        <f>IF(C259="","",N(D259)*Q259)</f>
        <v/>
      </c>
      <c r="O259" s="1" t="n"/>
      <c r="P259">
        <f>IF(C259="",0,IFERROR(N(INDEX(Products!$E$6:$E$45,MATCH(C259,Products!$B$6:$B$45,0))),0))</f>
        <v/>
      </c>
      <c r="Q259">
        <f>IF(C259="",0,IFERROR(N(INDEX(Products!$I$6:$I$45,MATCH(C259,Products!$B$6:$B$45,0))),0))</f>
        <v/>
      </c>
      <c r="R259">
        <f>IF(OR(C259="",NOT(ISNUMBER(B259))),"",YEAR(B259)*100+MONTH(B259))</f>
        <v/>
      </c>
      <c r="S259">
        <f>N(G259)*Q259</f>
        <v/>
      </c>
      <c r="T259">
        <f>IF(OR(M259="",M259="Sold out",NOT(ISNUMBER(J259))),"",J259*1000+ROW())</f>
        <v/>
      </c>
    </row>
    <row r="260">
      <c r="A260" s="1" t="n"/>
      <c r="B260" s="20" t="n"/>
      <c r="C260" s="21" t="n"/>
      <c r="D260" s="22" t="n"/>
      <c r="E260" s="22" t="n"/>
      <c r="F260" s="22" t="n"/>
      <c r="G260" s="22" t="n"/>
      <c r="H260" s="23" t="n"/>
      <c r="I260" s="24">
        <f>IF(OR(C260="",NOT(ISNUMBER(B260))),"",UPPER(IF(IFERROR(IF(INDEX(Products!$C$6:$C$45,MATCH(C260,Products!$B$6:$B$45,0))="","",INDEX(Products!$C$6:$C$45,MATCH(C260,Products!$B$6:$B$45,0))),"")="",LEFT(SUBSTITUTE(C260," ",""),3),IFERROR(IF(INDEX(Products!$C$6:$C$45,MATCH(C260,Products!$B$6:$B$45,0))="","",INDEX(Products!$C$6:$C$45,MATCH(C260,Products!$B$6:$B$45,0))),"")))&amp;"-"&amp;RIGHT(YEAR(B260),2)&amp;RIGHT("0"&amp;MONTH(B260),2)&amp;RIGHT("0"&amp;DAY(B260),2)&amp;"-"&amp;COUNTIFS(C$6:C260,C260,B$6:B260,B260))</f>
        <v/>
      </c>
      <c r="J260" s="14">
        <f>IF(OR(C260="",NOT(ISNUMBER(B260)),N(P260)=0),"",B260+P260)</f>
        <v/>
      </c>
      <c r="K260" s="25">
        <f>IF(C260="","",N(D260)-N(E260)-N(F260)-N(G260))</f>
        <v/>
      </c>
      <c r="L260" s="13">
        <f>IF(OR(C260="",N(K260)&lt;=0,NOT(ISNUMBER(J260))),"",J260-TODAY())</f>
        <v/>
      </c>
      <c r="M260" s="12">
        <f>IF(C260="","",IF(N(K260)&lt;=0,"Sold out",IF(NOT(ISNUMBER(J260)),"In stock",IF(J260&lt;TODAY(),"Past its date",IF(J260-TODAY()&lt;=Settings!$C$5,"Use soon","In stock")))))</f>
        <v/>
      </c>
      <c r="N260" s="26">
        <f>IF(C260="","",N(D260)*Q260)</f>
        <v/>
      </c>
      <c r="O260" s="1" t="n"/>
      <c r="P260">
        <f>IF(C260="",0,IFERROR(N(INDEX(Products!$E$6:$E$45,MATCH(C260,Products!$B$6:$B$45,0))),0))</f>
        <v/>
      </c>
      <c r="Q260">
        <f>IF(C260="",0,IFERROR(N(INDEX(Products!$I$6:$I$45,MATCH(C260,Products!$B$6:$B$45,0))),0))</f>
        <v/>
      </c>
      <c r="R260">
        <f>IF(OR(C260="",NOT(ISNUMBER(B260))),"",YEAR(B260)*100+MONTH(B260))</f>
        <v/>
      </c>
      <c r="S260">
        <f>N(G260)*Q260</f>
        <v/>
      </c>
      <c r="T260">
        <f>IF(OR(M260="",M260="Sold out",NOT(ISNUMBER(J260))),"",J260*1000+ROW())</f>
        <v/>
      </c>
    </row>
    <row r="261">
      <c r="A261" s="1" t="n"/>
      <c r="B261" s="20" t="n"/>
      <c r="C261" s="21" t="n"/>
      <c r="D261" s="22" t="n"/>
      <c r="E261" s="22" t="n"/>
      <c r="F261" s="22" t="n"/>
      <c r="G261" s="22" t="n"/>
      <c r="H261" s="23" t="n"/>
      <c r="I261" s="24">
        <f>IF(OR(C261="",NOT(ISNUMBER(B261))),"",UPPER(IF(IFERROR(IF(INDEX(Products!$C$6:$C$45,MATCH(C261,Products!$B$6:$B$45,0))="","",INDEX(Products!$C$6:$C$45,MATCH(C261,Products!$B$6:$B$45,0))),"")="",LEFT(SUBSTITUTE(C261," ",""),3),IFERROR(IF(INDEX(Products!$C$6:$C$45,MATCH(C261,Products!$B$6:$B$45,0))="","",INDEX(Products!$C$6:$C$45,MATCH(C261,Products!$B$6:$B$45,0))),"")))&amp;"-"&amp;RIGHT(YEAR(B261),2)&amp;RIGHT("0"&amp;MONTH(B261),2)&amp;RIGHT("0"&amp;DAY(B261),2)&amp;"-"&amp;COUNTIFS(C$6:C261,C261,B$6:B261,B261))</f>
        <v/>
      </c>
      <c r="J261" s="14">
        <f>IF(OR(C261="",NOT(ISNUMBER(B261)),N(P261)=0),"",B261+P261)</f>
        <v/>
      </c>
      <c r="K261" s="25">
        <f>IF(C261="","",N(D261)-N(E261)-N(F261)-N(G261))</f>
        <v/>
      </c>
      <c r="L261" s="13">
        <f>IF(OR(C261="",N(K261)&lt;=0,NOT(ISNUMBER(J261))),"",J261-TODAY())</f>
        <v/>
      </c>
      <c r="M261" s="12">
        <f>IF(C261="","",IF(N(K261)&lt;=0,"Sold out",IF(NOT(ISNUMBER(J261)),"In stock",IF(J261&lt;TODAY(),"Past its date",IF(J261-TODAY()&lt;=Settings!$C$5,"Use soon","In stock")))))</f>
        <v/>
      </c>
      <c r="N261" s="26">
        <f>IF(C261="","",N(D261)*Q261)</f>
        <v/>
      </c>
      <c r="O261" s="1" t="n"/>
      <c r="P261">
        <f>IF(C261="",0,IFERROR(N(INDEX(Products!$E$6:$E$45,MATCH(C261,Products!$B$6:$B$45,0))),0))</f>
        <v/>
      </c>
      <c r="Q261">
        <f>IF(C261="",0,IFERROR(N(INDEX(Products!$I$6:$I$45,MATCH(C261,Products!$B$6:$B$45,0))),0))</f>
        <v/>
      </c>
      <c r="R261">
        <f>IF(OR(C261="",NOT(ISNUMBER(B261))),"",YEAR(B261)*100+MONTH(B261))</f>
        <v/>
      </c>
      <c r="S261">
        <f>N(G261)*Q261</f>
        <v/>
      </c>
      <c r="T261">
        <f>IF(OR(M261="",M261="Sold out",NOT(ISNUMBER(J261))),"",J261*1000+ROW())</f>
        <v/>
      </c>
    </row>
    <row r="262">
      <c r="A262" s="1" t="n"/>
      <c r="B262" s="20" t="n"/>
      <c r="C262" s="21" t="n"/>
      <c r="D262" s="22" t="n"/>
      <c r="E262" s="22" t="n"/>
      <c r="F262" s="22" t="n"/>
      <c r="G262" s="22" t="n"/>
      <c r="H262" s="23" t="n"/>
      <c r="I262" s="24">
        <f>IF(OR(C262="",NOT(ISNUMBER(B262))),"",UPPER(IF(IFERROR(IF(INDEX(Products!$C$6:$C$45,MATCH(C262,Products!$B$6:$B$45,0))="","",INDEX(Products!$C$6:$C$45,MATCH(C262,Products!$B$6:$B$45,0))),"")="",LEFT(SUBSTITUTE(C262," ",""),3),IFERROR(IF(INDEX(Products!$C$6:$C$45,MATCH(C262,Products!$B$6:$B$45,0))="","",INDEX(Products!$C$6:$C$45,MATCH(C262,Products!$B$6:$B$45,0))),"")))&amp;"-"&amp;RIGHT(YEAR(B262),2)&amp;RIGHT("0"&amp;MONTH(B262),2)&amp;RIGHT("0"&amp;DAY(B262),2)&amp;"-"&amp;COUNTIFS(C$6:C262,C262,B$6:B262,B262))</f>
        <v/>
      </c>
      <c r="J262" s="14">
        <f>IF(OR(C262="",NOT(ISNUMBER(B262)),N(P262)=0),"",B262+P262)</f>
        <v/>
      </c>
      <c r="K262" s="25">
        <f>IF(C262="","",N(D262)-N(E262)-N(F262)-N(G262))</f>
        <v/>
      </c>
      <c r="L262" s="13">
        <f>IF(OR(C262="",N(K262)&lt;=0,NOT(ISNUMBER(J262))),"",J262-TODAY())</f>
        <v/>
      </c>
      <c r="M262" s="12">
        <f>IF(C262="","",IF(N(K262)&lt;=0,"Sold out",IF(NOT(ISNUMBER(J262)),"In stock",IF(J262&lt;TODAY(),"Past its date",IF(J262-TODAY()&lt;=Settings!$C$5,"Use soon","In stock")))))</f>
        <v/>
      </c>
      <c r="N262" s="26">
        <f>IF(C262="","",N(D262)*Q262)</f>
        <v/>
      </c>
      <c r="O262" s="1" t="n"/>
      <c r="P262">
        <f>IF(C262="",0,IFERROR(N(INDEX(Products!$E$6:$E$45,MATCH(C262,Products!$B$6:$B$45,0))),0))</f>
        <v/>
      </c>
      <c r="Q262">
        <f>IF(C262="",0,IFERROR(N(INDEX(Products!$I$6:$I$45,MATCH(C262,Products!$B$6:$B$45,0))),0))</f>
        <v/>
      </c>
      <c r="R262">
        <f>IF(OR(C262="",NOT(ISNUMBER(B262))),"",YEAR(B262)*100+MONTH(B262))</f>
        <v/>
      </c>
      <c r="S262">
        <f>N(G262)*Q262</f>
        <v/>
      </c>
      <c r="T262">
        <f>IF(OR(M262="",M262="Sold out",NOT(ISNUMBER(J262))),"",J262*1000+ROW())</f>
        <v/>
      </c>
    </row>
    <row r="263">
      <c r="A263" s="1" t="n"/>
      <c r="B263" s="20" t="n"/>
      <c r="C263" s="21" t="n"/>
      <c r="D263" s="22" t="n"/>
      <c r="E263" s="22" t="n"/>
      <c r="F263" s="22" t="n"/>
      <c r="G263" s="22" t="n"/>
      <c r="H263" s="23" t="n"/>
      <c r="I263" s="24">
        <f>IF(OR(C263="",NOT(ISNUMBER(B263))),"",UPPER(IF(IFERROR(IF(INDEX(Products!$C$6:$C$45,MATCH(C263,Products!$B$6:$B$45,0))="","",INDEX(Products!$C$6:$C$45,MATCH(C263,Products!$B$6:$B$45,0))),"")="",LEFT(SUBSTITUTE(C263," ",""),3),IFERROR(IF(INDEX(Products!$C$6:$C$45,MATCH(C263,Products!$B$6:$B$45,0))="","",INDEX(Products!$C$6:$C$45,MATCH(C263,Products!$B$6:$B$45,0))),"")))&amp;"-"&amp;RIGHT(YEAR(B263),2)&amp;RIGHT("0"&amp;MONTH(B263),2)&amp;RIGHT("0"&amp;DAY(B263),2)&amp;"-"&amp;COUNTIFS(C$6:C263,C263,B$6:B263,B263))</f>
        <v/>
      </c>
      <c r="J263" s="14">
        <f>IF(OR(C263="",NOT(ISNUMBER(B263)),N(P263)=0),"",B263+P263)</f>
        <v/>
      </c>
      <c r="K263" s="25">
        <f>IF(C263="","",N(D263)-N(E263)-N(F263)-N(G263))</f>
        <v/>
      </c>
      <c r="L263" s="13">
        <f>IF(OR(C263="",N(K263)&lt;=0,NOT(ISNUMBER(J263))),"",J263-TODAY())</f>
        <v/>
      </c>
      <c r="M263" s="12">
        <f>IF(C263="","",IF(N(K263)&lt;=0,"Sold out",IF(NOT(ISNUMBER(J263)),"In stock",IF(J263&lt;TODAY(),"Past its date",IF(J263-TODAY()&lt;=Settings!$C$5,"Use soon","In stock")))))</f>
        <v/>
      </c>
      <c r="N263" s="26">
        <f>IF(C263="","",N(D263)*Q263)</f>
        <v/>
      </c>
      <c r="O263" s="1" t="n"/>
      <c r="P263">
        <f>IF(C263="",0,IFERROR(N(INDEX(Products!$E$6:$E$45,MATCH(C263,Products!$B$6:$B$45,0))),0))</f>
        <v/>
      </c>
      <c r="Q263">
        <f>IF(C263="",0,IFERROR(N(INDEX(Products!$I$6:$I$45,MATCH(C263,Products!$B$6:$B$45,0))),0))</f>
        <v/>
      </c>
      <c r="R263">
        <f>IF(OR(C263="",NOT(ISNUMBER(B263))),"",YEAR(B263)*100+MONTH(B263))</f>
        <v/>
      </c>
      <c r="S263">
        <f>N(G263)*Q263</f>
        <v/>
      </c>
      <c r="T263">
        <f>IF(OR(M263="",M263="Sold out",NOT(ISNUMBER(J263))),"",J263*1000+ROW())</f>
        <v/>
      </c>
    </row>
    <row r="264">
      <c r="A264" s="1" t="n"/>
      <c r="B264" s="20" t="n"/>
      <c r="C264" s="21" t="n"/>
      <c r="D264" s="22" t="n"/>
      <c r="E264" s="22" t="n"/>
      <c r="F264" s="22" t="n"/>
      <c r="G264" s="22" t="n"/>
      <c r="H264" s="23" t="n"/>
      <c r="I264" s="24">
        <f>IF(OR(C264="",NOT(ISNUMBER(B264))),"",UPPER(IF(IFERROR(IF(INDEX(Products!$C$6:$C$45,MATCH(C264,Products!$B$6:$B$45,0))="","",INDEX(Products!$C$6:$C$45,MATCH(C264,Products!$B$6:$B$45,0))),"")="",LEFT(SUBSTITUTE(C264," ",""),3),IFERROR(IF(INDEX(Products!$C$6:$C$45,MATCH(C264,Products!$B$6:$B$45,0))="","",INDEX(Products!$C$6:$C$45,MATCH(C264,Products!$B$6:$B$45,0))),"")))&amp;"-"&amp;RIGHT(YEAR(B264),2)&amp;RIGHT("0"&amp;MONTH(B264),2)&amp;RIGHT("0"&amp;DAY(B264),2)&amp;"-"&amp;COUNTIFS(C$6:C264,C264,B$6:B264,B264))</f>
        <v/>
      </c>
      <c r="J264" s="14">
        <f>IF(OR(C264="",NOT(ISNUMBER(B264)),N(P264)=0),"",B264+P264)</f>
        <v/>
      </c>
      <c r="K264" s="25">
        <f>IF(C264="","",N(D264)-N(E264)-N(F264)-N(G264))</f>
        <v/>
      </c>
      <c r="L264" s="13">
        <f>IF(OR(C264="",N(K264)&lt;=0,NOT(ISNUMBER(J264))),"",J264-TODAY())</f>
        <v/>
      </c>
      <c r="M264" s="12">
        <f>IF(C264="","",IF(N(K264)&lt;=0,"Sold out",IF(NOT(ISNUMBER(J264)),"In stock",IF(J264&lt;TODAY(),"Past its date",IF(J264-TODAY()&lt;=Settings!$C$5,"Use soon","In stock")))))</f>
        <v/>
      </c>
      <c r="N264" s="26">
        <f>IF(C264="","",N(D264)*Q264)</f>
        <v/>
      </c>
      <c r="O264" s="1" t="n"/>
      <c r="P264">
        <f>IF(C264="",0,IFERROR(N(INDEX(Products!$E$6:$E$45,MATCH(C264,Products!$B$6:$B$45,0))),0))</f>
        <v/>
      </c>
      <c r="Q264">
        <f>IF(C264="",0,IFERROR(N(INDEX(Products!$I$6:$I$45,MATCH(C264,Products!$B$6:$B$45,0))),0))</f>
        <v/>
      </c>
      <c r="R264">
        <f>IF(OR(C264="",NOT(ISNUMBER(B264))),"",YEAR(B264)*100+MONTH(B264))</f>
        <v/>
      </c>
      <c r="S264">
        <f>N(G264)*Q264</f>
        <v/>
      </c>
      <c r="T264">
        <f>IF(OR(M264="",M264="Sold out",NOT(ISNUMBER(J264))),"",J264*1000+ROW())</f>
        <v/>
      </c>
    </row>
    <row r="265">
      <c r="A265" s="1" t="n"/>
      <c r="B265" s="20" t="n"/>
      <c r="C265" s="21" t="n"/>
      <c r="D265" s="22" t="n"/>
      <c r="E265" s="22" t="n"/>
      <c r="F265" s="22" t="n"/>
      <c r="G265" s="22" t="n"/>
      <c r="H265" s="23" t="n"/>
      <c r="I265" s="24">
        <f>IF(OR(C265="",NOT(ISNUMBER(B265))),"",UPPER(IF(IFERROR(IF(INDEX(Products!$C$6:$C$45,MATCH(C265,Products!$B$6:$B$45,0))="","",INDEX(Products!$C$6:$C$45,MATCH(C265,Products!$B$6:$B$45,0))),"")="",LEFT(SUBSTITUTE(C265," ",""),3),IFERROR(IF(INDEX(Products!$C$6:$C$45,MATCH(C265,Products!$B$6:$B$45,0))="","",INDEX(Products!$C$6:$C$45,MATCH(C265,Products!$B$6:$B$45,0))),"")))&amp;"-"&amp;RIGHT(YEAR(B265),2)&amp;RIGHT("0"&amp;MONTH(B265),2)&amp;RIGHT("0"&amp;DAY(B265),2)&amp;"-"&amp;COUNTIFS(C$6:C265,C265,B$6:B265,B265))</f>
        <v/>
      </c>
      <c r="J265" s="14">
        <f>IF(OR(C265="",NOT(ISNUMBER(B265)),N(P265)=0),"",B265+P265)</f>
        <v/>
      </c>
      <c r="K265" s="25">
        <f>IF(C265="","",N(D265)-N(E265)-N(F265)-N(G265))</f>
        <v/>
      </c>
      <c r="L265" s="13">
        <f>IF(OR(C265="",N(K265)&lt;=0,NOT(ISNUMBER(J265))),"",J265-TODAY())</f>
        <v/>
      </c>
      <c r="M265" s="12">
        <f>IF(C265="","",IF(N(K265)&lt;=0,"Sold out",IF(NOT(ISNUMBER(J265)),"In stock",IF(J265&lt;TODAY(),"Past its date",IF(J265-TODAY()&lt;=Settings!$C$5,"Use soon","In stock")))))</f>
        <v/>
      </c>
      <c r="N265" s="26">
        <f>IF(C265="","",N(D265)*Q265)</f>
        <v/>
      </c>
      <c r="O265" s="1" t="n"/>
      <c r="P265">
        <f>IF(C265="",0,IFERROR(N(INDEX(Products!$E$6:$E$45,MATCH(C265,Products!$B$6:$B$45,0))),0))</f>
        <v/>
      </c>
      <c r="Q265">
        <f>IF(C265="",0,IFERROR(N(INDEX(Products!$I$6:$I$45,MATCH(C265,Products!$B$6:$B$45,0))),0))</f>
        <v/>
      </c>
      <c r="R265">
        <f>IF(OR(C265="",NOT(ISNUMBER(B265))),"",YEAR(B265)*100+MONTH(B265))</f>
        <v/>
      </c>
      <c r="S265">
        <f>N(G265)*Q265</f>
        <v/>
      </c>
      <c r="T265">
        <f>IF(OR(M265="",M265="Sold out",NOT(ISNUMBER(J265))),"",J265*1000+ROW())</f>
        <v/>
      </c>
    </row>
    <row r="266">
      <c r="A266" s="1" t="n"/>
      <c r="B266" s="20" t="n"/>
      <c r="C266" s="21" t="n"/>
      <c r="D266" s="22" t="n"/>
      <c r="E266" s="22" t="n"/>
      <c r="F266" s="22" t="n"/>
      <c r="G266" s="22" t="n"/>
      <c r="H266" s="23" t="n"/>
      <c r="I266" s="24">
        <f>IF(OR(C266="",NOT(ISNUMBER(B266))),"",UPPER(IF(IFERROR(IF(INDEX(Products!$C$6:$C$45,MATCH(C266,Products!$B$6:$B$45,0))="","",INDEX(Products!$C$6:$C$45,MATCH(C266,Products!$B$6:$B$45,0))),"")="",LEFT(SUBSTITUTE(C266," ",""),3),IFERROR(IF(INDEX(Products!$C$6:$C$45,MATCH(C266,Products!$B$6:$B$45,0))="","",INDEX(Products!$C$6:$C$45,MATCH(C266,Products!$B$6:$B$45,0))),"")))&amp;"-"&amp;RIGHT(YEAR(B266),2)&amp;RIGHT("0"&amp;MONTH(B266),2)&amp;RIGHT("0"&amp;DAY(B266),2)&amp;"-"&amp;COUNTIFS(C$6:C266,C266,B$6:B266,B266))</f>
        <v/>
      </c>
      <c r="J266" s="14">
        <f>IF(OR(C266="",NOT(ISNUMBER(B266)),N(P266)=0),"",B266+P266)</f>
        <v/>
      </c>
      <c r="K266" s="25">
        <f>IF(C266="","",N(D266)-N(E266)-N(F266)-N(G266))</f>
        <v/>
      </c>
      <c r="L266" s="13">
        <f>IF(OR(C266="",N(K266)&lt;=0,NOT(ISNUMBER(J266))),"",J266-TODAY())</f>
        <v/>
      </c>
      <c r="M266" s="12">
        <f>IF(C266="","",IF(N(K266)&lt;=0,"Sold out",IF(NOT(ISNUMBER(J266)),"In stock",IF(J266&lt;TODAY(),"Past its date",IF(J266-TODAY()&lt;=Settings!$C$5,"Use soon","In stock")))))</f>
        <v/>
      </c>
      <c r="N266" s="26">
        <f>IF(C266="","",N(D266)*Q266)</f>
        <v/>
      </c>
      <c r="O266" s="1" t="n"/>
      <c r="P266">
        <f>IF(C266="",0,IFERROR(N(INDEX(Products!$E$6:$E$45,MATCH(C266,Products!$B$6:$B$45,0))),0))</f>
        <v/>
      </c>
      <c r="Q266">
        <f>IF(C266="",0,IFERROR(N(INDEX(Products!$I$6:$I$45,MATCH(C266,Products!$B$6:$B$45,0))),0))</f>
        <v/>
      </c>
      <c r="R266">
        <f>IF(OR(C266="",NOT(ISNUMBER(B266))),"",YEAR(B266)*100+MONTH(B266))</f>
        <v/>
      </c>
      <c r="S266">
        <f>N(G266)*Q266</f>
        <v/>
      </c>
      <c r="T266">
        <f>IF(OR(M266="",M266="Sold out",NOT(ISNUMBER(J266))),"",J266*1000+ROW())</f>
        <v/>
      </c>
    </row>
    <row r="267">
      <c r="A267" s="1" t="n"/>
      <c r="B267" s="20" t="n"/>
      <c r="C267" s="21" t="n"/>
      <c r="D267" s="22" t="n"/>
      <c r="E267" s="22" t="n"/>
      <c r="F267" s="22" t="n"/>
      <c r="G267" s="22" t="n"/>
      <c r="H267" s="23" t="n"/>
      <c r="I267" s="24">
        <f>IF(OR(C267="",NOT(ISNUMBER(B267))),"",UPPER(IF(IFERROR(IF(INDEX(Products!$C$6:$C$45,MATCH(C267,Products!$B$6:$B$45,0))="","",INDEX(Products!$C$6:$C$45,MATCH(C267,Products!$B$6:$B$45,0))),"")="",LEFT(SUBSTITUTE(C267," ",""),3),IFERROR(IF(INDEX(Products!$C$6:$C$45,MATCH(C267,Products!$B$6:$B$45,0))="","",INDEX(Products!$C$6:$C$45,MATCH(C267,Products!$B$6:$B$45,0))),"")))&amp;"-"&amp;RIGHT(YEAR(B267),2)&amp;RIGHT("0"&amp;MONTH(B267),2)&amp;RIGHT("0"&amp;DAY(B267),2)&amp;"-"&amp;COUNTIFS(C$6:C267,C267,B$6:B267,B267))</f>
        <v/>
      </c>
      <c r="J267" s="14">
        <f>IF(OR(C267="",NOT(ISNUMBER(B267)),N(P267)=0),"",B267+P267)</f>
        <v/>
      </c>
      <c r="K267" s="25">
        <f>IF(C267="","",N(D267)-N(E267)-N(F267)-N(G267))</f>
        <v/>
      </c>
      <c r="L267" s="13">
        <f>IF(OR(C267="",N(K267)&lt;=0,NOT(ISNUMBER(J267))),"",J267-TODAY())</f>
        <v/>
      </c>
      <c r="M267" s="12">
        <f>IF(C267="","",IF(N(K267)&lt;=0,"Sold out",IF(NOT(ISNUMBER(J267)),"In stock",IF(J267&lt;TODAY(),"Past its date",IF(J267-TODAY()&lt;=Settings!$C$5,"Use soon","In stock")))))</f>
        <v/>
      </c>
      <c r="N267" s="26">
        <f>IF(C267="","",N(D267)*Q267)</f>
        <v/>
      </c>
      <c r="O267" s="1" t="n"/>
      <c r="P267">
        <f>IF(C267="",0,IFERROR(N(INDEX(Products!$E$6:$E$45,MATCH(C267,Products!$B$6:$B$45,0))),0))</f>
        <v/>
      </c>
      <c r="Q267">
        <f>IF(C267="",0,IFERROR(N(INDEX(Products!$I$6:$I$45,MATCH(C267,Products!$B$6:$B$45,0))),0))</f>
        <v/>
      </c>
      <c r="R267">
        <f>IF(OR(C267="",NOT(ISNUMBER(B267))),"",YEAR(B267)*100+MONTH(B267))</f>
        <v/>
      </c>
      <c r="S267">
        <f>N(G267)*Q267</f>
        <v/>
      </c>
      <c r="T267">
        <f>IF(OR(M267="",M267="Sold out",NOT(ISNUMBER(J267))),"",J267*1000+ROW())</f>
        <v/>
      </c>
    </row>
    <row r="268">
      <c r="A268" s="1" t="n"/>
      <c r="B268" s="20" t="n"/>
      <c r="C268" s="21" t="n"/>
      <c r="D268" s="22" t="n"/>
      <c r="E268" s="22" t="n"/>
      <c r="F268" s="22" t="n"/>
      <c r="G268" s="22" t="n"/>
      <c r="H268" s="23" t="n"/>
      <c r="I268" s="24">
        <f>IF(OR(C268="",NOT(ISNUMBER(B268))),"",UPPER(IF(IFERROR(IF(INDEX(Products!$C$6:$C$45,MATCH(C268,Products!$B$6:$B$45,0))="","",INDEX(Products!$C$6:$C$45,MATCH(C268,Products!$B$6:$B$45,0))),"")="",LEFT(SUBSTITUTE(C268," ",""),3),IFERROR(IF(INDEX(Products!$C$6:$C$45,MATCH(C268,Products!$B$6:$B$45,0))="","",INDEX(Products!$C$6:$C$45,MATCH(C268,Products!$B$6:$B$45,0))),"")))&amp;"-"&amp;RIGHT(YEAR(B268),2)&amp;RIGHT("0"&amp;MONTH(B268),2)&amp;RIGHT("0"&amp;DAY(B268),2)&amp;"-"&amp;COUNTIFS(C$6:C268,C268,B$6:B268,B268))</f>
        <v/>
      </c>
      <c r="J268" s="14">
        <f>IF(OR(C268="",NOT(ISNUMBER(B268)),N(P268)=0),"",B268+P268)</f>
        <v/>
      </c>
      <c r="K268" s="25">
        <f>IF(C268="","",N(D268)-N(E268)-N(F268)-N(G268))</f>
        <v/>
      </c>
      <c r="L268" s="13">
        <f>IF(OR(C268="",N(K268)&lt;=0,NOT(ISNUMBER(J268))),"",J268-TODAY())</f>
        <v/>
      </c>
      <c r="M268" s="12">
        <f>IF(C268="","",IF(N(K268)&lt;=0,"Sold out",IF(NOT(ISNUMBER(J268)),"In stock",IF(J268&lt;TODAY(),"Past its date",IF(J268-TODAY()&lt;=Settings!$C$5,"Use soon","In stock")))))</f>
        <v/>
      </c>
      <c r="N268" s="26">
        <f>IF(C268="","",N(D268)*Q268)</f>
        <v/>
      </c>
      <c r="O268" s="1" t="n"/>
      <c r="P268">
        <f>IF(C268="",0,IFERROR(N(INDEX(Products!$E$6:$E$45,MATCH(C268,Products!$B$6:$B$45,0))),0))</f>
        <v/>
      </c>
      <c r="Q268">
        <f>IF(C268="",0,IFERROR(N(INDEX(Products!$I$6:$I$45,MATCH(C268,Products!$B$6:$B$45,0))),0))</f>
        <v/>
      </c>
      <c r="R268">
        <f>IF(OR(C268="",NOT(ISNUMBER(B268))),"",YEAR(B268)*100+MONTH(B268))</f>
        <v/>
      </c>
      <c r="S268">
        <f>N(G268)*Q268</f>
        <v/>
      </c>
      <c r="T268">
        <f>IF(OR(M268="",M268="Sold out",NOT(ISNUMBER(J268))),"",J268*1000+ROW())</f>
        <v/>
      </c>
    </row>
    <row r="269">
      <c r="A269" s="1" t="n"/>
      <c r="B269" s="20" t="n"/>
      <c r="C269" s="21" t="n"/>
      <c r="D269" s="22" t="n"/>
      <c r="E269" s="22" t="n"/>
      <c r="F269" s="22" t="n"/>
      <c r="G269" s="22" t="n"/>
      <c r="H269" s="23" t="n"/>
      <c r="I269" s="24">
        <f>IF(OR(C269="",NOT(ISNUMBER(B269))),"",UPPER(IF(IFERROR(IF(INDEX(Products!$C$6:$C$45,MATCH(C269,Products!$B$6:$B$45,0))="","",INDEX(Products!$C$6:$C$45,MATCH(C269,Products!$B$6:$B$45,0))),"")="",LEFT(SUBSTITUTE(C269," ",""),3),IFERROR(IF(INDEX(Products!$C$6:$C$45,MATCH(C269,Products!$B$6:$B$45,0))="","",INDEX(Products!$C$6:$C$45,MATCH(C269,Products!$B$6:$B$45,0))),"")))&amp;"-"&amp;RIGHT(YEAR(B269),2)&amp;RIGHT("0"&amp;MONTH(B269),2)&amp;RIGHT("0"&amp;DAY(B269),2)&amp;"-"&amp;COUNTIFS(C$6:C269,C269,B$6:B269,B269))</f>
        <v/>
      </c>
      <c r="J269" s="14">
        <f>IF(OR(C269="",NOT(ISNUMBER(B269)),N(P269)=0),"",B269+P269)</f>
        <v/>
      </c>
      <c r="K269" s="25">
        <f>IF(C269="","",N(D269)-N(E269)-N(F269)-N(G269))</f>
        <v/>
      </c>
      <c r="L269" s="13">
        <f>IF(OR(C269="",N(K269)&lt;=0,NOT(ISNUMBER(J269))),"",J269-TODAY())</f>
        <v/>
      </c>
      <c r="M269" s="12">
        <f>IF(C269="","",IF(N(K269)&lt;=0,"Sold out",IF(NOT(ISNUMBER(J269)),"In stock",IF(J269&lt;TODAY(),"Past its date",IF(J269-TODAY()&lt;=Settings!$C$5,"Use soon","In stock")))))</f>
        <v/>
      </c>
      <c r="N269" s="26">
        <f>IF(C269="","",N(D269)*Q269)</f>
        <v/>
      </c>
      <c r="O269" s="1" t="n"/>
      <c r="P269">
        <f>IF(C269="",0,IFERROR(N(INDEX(Products!$E$6:$E$45,MATCH(C269,Products!$B$6:$B$45,0))),0))</f>
        <v/>
      </c>
      <c r="Q269">
        <f>IF(C269="",0,IFERROR(N(INDEX(Products!$I$6:$I$45,MATCH(C269,Products!$B$6:$B$45,0))),0))</f>
        <v/>
      </c>
      <c r="R269">
        <f>IF(OR(C269="",NOT(ISNUMBER(B269))),"",YEAR(B269)*100+MONTH(B269))</f>
        <v/>
      </c>
      <c r="S269">
        <f>N(G269)*Q269</f>
        <v/>
      </c>
      <c r="T269">
        <f>IF(OR(M269="",M269="Sold out",NOT(ISNUMBER(J269))),"",J269*1000+ROW())</f>
        <v/>
      </c>
    </row>
    <row r="270">
      <c r="A270" s="1" t="n"/>
      <c r="B270" s="20" t="n"/>
      <c r="C270" s="21" t="n"/>
      <c r="D270" s="22" t="n"/>
      <c r="E270" s="22" t="n"/>
      <c r="F270" s="22" t="n"/>
      <c r="G270" s="22" t="n"/>
      <c r="H270" s="23" t="n"/>
      <c r="I270" s="24">
        <f>IF(OR(C270="",NOT(ISNUMBER(B270))),"",UPPER(IF(IFERROR(IF(INDEX(Products!$C$6:$C$45,MATCH(C270,Products!$B$6:$B$45,0))="","",INDEX(Products!$C$6:$C$45,MATCH(C270,Products!$B$6:$B$45,0))),"")="",LEFT(SUBSTITUTE(C270," ",""),3),IFERROR(IF(INDEX(Products!$C$6:$C$45,MATCH(C270,Products!$B$6:$B$45,0))="","",INDEX(Products!$C$6:$C$45,MATCH(C270,Products!$B$6:$B$45,0))),"")))&amp;"-"&amp;RIGHT(YEAR(B270),2)&amp;RIGHT("0"&amp;MONTH(B270),2)&amp;RIGHT("0"&amp;DAY(B270),2)&amp;"-"&amp;COUNTIFS(C$6:C270,C270,B$6:B270,B270))</f>
        <v/>
      </c>
      <c r="J270" s="14">
        <f>IF(OR(C270="",NOT(ISNUMBER(B270)),N(P270)=0),"",B270+P270)</f>
        <v/>
      </c>
      <c r="K270" s="25">
        <f>IF(C270="","",N(D270)-N(E270)-N(F270)-N(G270))</f>
        <v/>
      </c>
      <c r="L270" s="13">
        <f>IF(OR(C270="",N(K270)&lt;=0,NOT(ISNUMBER(J270))),"",J270-TODAY())</f>
        <v/>
      </c>
      <c r="M270" s="12">
        <f>IF(C270="","",IF(N(K270)&lt;=0,"Sold out",IF(NOT(ISNUMBER(J270)),"In stock",IF(J270&lt;TODAY(),"Past its date",IF(J270-TODAY()&lt;=Settings!$C$5,"Use soon","In stock")))))</f>
        <v/>
      </c>
      <c r="N270" s="26">
        <f>IF(C270="","",N(D270)*Q270)</f>
        <v/>
      </c>
      <c r="O270" s="1" t="n"/>
      <c r="P270">
        <f>IF(C270="",0,IFERROR(N(INDEX(Products!$E$6:$E$45,MATCH(C270,Products!$B$6:$B$45,0))),0))</f>
        <v/>
      </c>
      <c r="Q270">
        <f>IF(C270="",0,IFERROR(N(INDEX(Products!$I$6:$I$45,MATCH(C270,Products!$B$6:$B$45,0))),0))</f>
        <v/>
      </c>
      <c r="R270">
        <f>IF(OR(C270="",NOT(ISNUMBER(B270))),"",YEAR(B270)*100+MONTH(B270))</f>
        <v/>
      </c>
      <c r="S270">
        <f>N(G270)*Q270</f>
        <v/>
      </c>
      <c r="T270">
        <f>IF(OR(M270="",M270="Sold out",NOT(ISNUMBER(J270))),"",J270*1000+ROW())</f>
        <v/>
      </c>
    </row>
    <row r="271">
      <c r="A271" s="1" t="n"/>
      <c r="B271" s="20" t="n"/>
      <c r="C271" s="21" t="n"/>
      <c r="D271" s="22" t="n"/>
      <c r="E271" s="22" t="n"/>
      <c r="F271" s="22" t="n"/>
      <c r="G271" s="22" t="n"/>
      <c r="H271" s="23" t="n"/>
      <c r="I271" s="24">
        <f>IF(OR(C271="",NOT(ISNUMBER(B271))),"",UPPER(IF(IFERROR(IF(INDEX(Products!$C$6:$C$45,MATCH(C271,Products!$B$6:$B$45,0))="","",INDEX(Products!$C$6:$C$45,MATCH(C271,Products!$B$6:$B$45,0))),"")="",LEFT(SUBSTITUTE(C271," ",""),3),IFERROR(IF(INDEX(Products!$C$6:$C$45,MATCH(C271,Products!$B$6:$B$45,0))="","",INDEX(Products!$C$6:$C$45,MATCH(C271,Products!$B$6:$B$45,0))),"")))&amp;"-"&amp;RIGHT(YEAR(B271),2)&amp;RIGHT("0"&amp;MONTH(B271),2)&amp;RIGHT("0"&amp;DAY(B271),2)&amp;"-"&amp;COUNTIFS(C$6:C271,C271,B$6:B271,B271))</f>
        <v/>
      </c>
      <c r="J271" s="14">
        <f>IF(OR(C271="",NOT(ISNUMBER(B271)),N(P271)=0),"",B271+P271)</f>
        <v/>
      </c>
      <c r="K271" s="25">
        <f>IF(C271="","",N(D271)-N(E271)-N(F271)-N(G271))</f>
        <v/>
      </c>
      <c r="L271" s="13">
        <f>IF(OR(C271="",N(K271)&lt;=0,NOT(ISNUMBER(J271))),"",J271-TODAY())</f>
        <v/>
      </c>
      <c r="M271" s="12">
        <f>IF(C271="","",IF(N(K271)&lt;=0,"Sold out",IF(NOT(ISNUMBER(J271)),"In stock",IF(J271&lt;TODAY(),"Past its date",IF(J271-TODAY()&lt;=Settings!$C$5,"Use soon","In stock")))))</f>
        <v/>
      </c>
      <c r="N271" s="26">
        <f>IF(C271="","",N(D271)*Q271)</f>
        <v/>
      </c>
      <c r="O271" s="1" t="n"/>
      <c r="P271">
        <f>IF(C271="",0,IFERROR(N(INDEX(Products!$E$6:$E$45,MATCH(C271,Products!$B$6:$B$45,0))),0))</f>
        <v/>
      </c>
      <c r="Q271">
        <f>IF(C271="",0,IFERROR(N(INDEX(Products!$I$6:$I$45,MATCH(C271,Products!$B$6:$B$45,0))),0))</f>
        <v/>
      </c>
      <c r="R271">
        <f>IF(OR(C271="",NOT(ISNUMBER(B271))),"",YEAR(B271)*100+MONTH(B271))</f>
        <v/>
      </c>
      <c r="S271">
        <f>N(G271)*Q271</f>
        <v/>
      </c>
      <c r="T271">
        <f>IF(OR(M271="",M271="Sold out",NOT(ISNUMBER(J271))),"",J271*1000+ROW())</f>
        <v/>
      </c>
    </row>
    <row r="272">
      <c r="A272" s="1" t="n"/>
      <c r="B272" s="20" t="n"/>
      <c r="C272" s="21" t="n"/>
      <c r="D272" s="22" t="n"/>
      <c r="E272" s="22" t="n"/>
      <c r="F272" s="22" t="n"/>
      <c r="G272" s="22" t="n"/>
      <c r="H272" s="23" t="n"/>
      <c r="I272" s="24">
        <f>IF(OR(C272="",NOT(ISNUMBER(B272))),"",UPPER(IF(IFERROR(IF(INDEX(Products!$C$6:$C$45,MATCH(C272,Products!$B$6:$B$45,0))="","",INDEX(Products!$C$6:$C$45,MATCH(C272,Products!$B$6:$B$45,0))),"")="",LEFT(SUBSTITUTE(C272," ",""),3),IFERROR(IF(INDEX(Products!$C$6:$C$45,MATCH(C272,Products!$B$6:$B$45,0))="","",INDEX(Products!$C$6:$C$45,MATCH(C272,Products!$B$6:$B$45,0))),"")))&amp;"-"&amp;RIGHT(YEAR(B272),2)&amp;RIGHT("0"&amp;MONTH(B272),2)&amp;RIGHT("0"&amp;DAY(B272),2)&amp;"-"&amp;COUNTIFS(C$6:C272,C272,B$6:B272,B272))</f>
        <v/>
      </c>
      <c r="J272" s="14">
        <f>IF(OR(C272="",NOT(ISNUMBER(B272)),N(P272)=0),"",B272+P272)</f>
        <v/>
      </c>
      <c r="K272" s="25">
        <f>IF(C272="","",N(D272)-N(E272)-N(F272)-N(G272))</f>
        <v/>
      </c>
      <c r="L272" s="13">
        <f>IF(OR(C272="",N(K272)&lt;=0,NOT(ISNUMBER(J272))),"",J272-TODAY())</f>
        <v/>
      </c>
      <c r="M272" s="12">
        <f>IF(C272="","",IF(N(K272)&lt;=0,"Sold out",IF(NOT(ISNUMBER(J272)),"In stock",IF(J272&lt;TODAY(),"Past its date",IF(J272-TODAY()&lt;=Settings!$C$5,"Use soon","In stock")))))</f>
        <v/>
      </c>
      <c r="N272" s="26">
        <f>IF(C272="","",N(D272)*Q272)</f>
        <v/>
      </c>
      <c r="O272" s="1" t="n"/>
      <c r="P272">
        <f>IF(C272="",0,IFERROR(N(INDEX(Products!$E$6:$E$45,MATCH(C272,Products!$B$6:$B$45,0))),0))</f>
        <v/>
      </c>
      <c r="Q272">
        <f>IF(C272="",0,IFERROR(N(INDEX(Products!$I$6:$I$45,MATCH(C272,Products!$B$6:$B$45,0))),0))</f>
        <v/>
      </c>
      <c r="R272">
        <f>IF(OR(C272="",NOT(ISNUMBER(B272))),"",YEAR(B272)*100+MONTH(B272))</f>
        <v/>
      </c>
      <c r="S272">
        <f>N(G272)*Q272</f>
        <v/>
      </c>
      <c r="T272">
        <f>IF(OR(M272="",M272="Sold out",NOT(ISNUMBER(J272))),"",J272*1000+ROW())</f>
        <v/>
      </c>
    </row>
    <row r="273">
      <c r="A273" s="1" t="n"/>
      <c r="B273" s="20" t="n"/>
      <c r="C273" s="21" t="n"/>
      <c r="D273" s="22" t="n"/>
      <c r="E273" s="22" t="n"/>
      <c r="F273" s="22" t="n"/>
      <c r="G273" s="22" t="n"/>
      <c r="H273" s="23" t="n"/>
      <c r="I273" s="24">
        <f>IF(OR(C273="",NOT(ISNUMBER(B273))),"",UPPER(IF(IFERROR(IF(INDEX(Products!$C$6:$C$45,MATCH(C273,Products!$B$6:$B$45,0))="","",INDEX(Products!$C$6:$C$45,MATCH(C273,Products!$B$6:$B$45,0))),"")="",LEFT(SUBSTITUTE(C273," ",""),3),IFERROR(IF(INDEX(Products!$C$6:$C$45,MATCH(C273,Products!$B$6:$B$45,0))="","",INDEX(Products!$C$6:$C$45,MATCH(C273,Products!$B$6:$B$45,0))),"")))&amp;"-"&amp;RIGHT(YEAR(B273),2)&amp;RIGHT("0"&amp;MONTH(B273),2)&amp;RIGHT("0"&amp;DAY(B273),2)&amp;"-"&amp;COUNTIFS(C$6:C273,C273,B$6:B273,B273))</f>
        <v/>
      </c>
      <c r="J273" s="14">
        <f>IF(OR(C273="",NOT(ISNUMBER(B273)),N(P273)=0),"",B273+P273)</f>
        <v/>
      </c>
      <c r="K273" s="25">
        <f>IF(C273="","",N(D273)-N(E273)-N(F273)-N(G273))</f>
        <v/>
      </c>
      <c r="L273" s="13">
        <f>IF(OR(C273="",N(K273)&lt;=0,NOT(ISNUMBER(J273))),"",J273-TODAY())</f>
        <v/>
      </c>
      <c r="M273" s="12">
        <f>IF(C273="","",IF(N(K273)&lt;=0,"Sold out",IF(NOT(ISNUMBER(J273)),"In stock",IF(J273&lt;TODAY(),"Past its date",IF(J273-TODAY()&lt;=Settings!$C$5,"Use soon","In stock")))))</f>
        <v/>
      </c>
      <c r="N273" s="26">
        <f>IF(C273="","",N(D273)*Q273)</f>
        <v/>
      </c>
      <c r="O273" s="1" t="n"/>
      <c r="P273">
        <f>IF(C273="",0,IFERROR(N(INDEX(Products!$E$6:$E$45,MATCH(C273,Products!$B$6:$B$45,0))),0))</f>
        <v/>
      </c>
      <c r="Q273">
        <f>IF(C273="",0,IFERROR(N(INDEX(Products!$I$6:$I$45,MATCH(C273,Products!$B$6:$B$45,0))),0))</f>
        <v/>
      </c>
      <c r="R273">
        <f>IF(OR(C273="",NOT(ISNUMBER(B273))),"",YEAR(B273)*100+MONTH(B273))</f>
        <v/>
      </c>
      <c r="S273">
        <f>N(G273)*Q273</f>
        <v/>
      </c>
      <c r="T273">
        <f>IF(OR(M273="",M273="Sold out",NOT(ISNUMBER(J273))),"",J273*1000+ROW())</f>
        <v/>
      </c>
    </row>
    <row r="274">
      <c r="A274" s="1" t="n"/>
      <c r="B274" s="20" t="n"/>
      <c r="C274" s="21" t="n"/>
      <c r="D274" s="22" t="n"/>
      <c r="E274" s="22" t="n"/>
      <c r="F274" s="22" t="n"/>
      <c r="G274" s="22" t="n"/>
      <c r="H274" s="23" t="n"/>
      <c r="I274" s="24">
        <f>IF(OR(C274="",NOT(ISNUMBER(B274))),"",UPPER(IF(IFERROR(IF(INDEX(Products!$C$6:$C$45,MATCH(C274,Products!$B$6:$B$45,0))="","",INDEX(Products!$C$6:$C$45,MATCH(C274,Products!$B$6:$B$45,0))),"")="",LEFT(SUBSTITUTE(C274," ",""),3),IFERROR(IF(INDEX(Products!$C$6:$C$45,MATCH(C274,Products!$B$6:$B$45,0))="","",INDEX(Products!$C$6:$C$45,MATCH(C274,Products!$B$6:$B$45,0))),"")))&amp;"-"&amp;RIGHT(YEAR(B274),2)&amp;RIGHT("0"&amp;MONTH(B274),2)&amp;RIGHT("0"&amp;DAY(B274),2)&amp;"-"&amp;COUNTIFS(C$6:C274,C274,B$6:B274,B274))</f>
        <v/>
      </c>
      <c r="J274" s="14">
        <f>IF(OR(C274="",NOT(ISNUMBER(B274)),N(P274)=0),"",B274+P274)</f>
        <v/>
      </c>
      <c r="K274" s="25">
        <f>IF(C274="","",N(D274)-N(E274)-N(F274)-N(G274))</f>
        <v/>
      </c>
      <c r="L274" s="13">
        <f>IF(OR(C274="",N(K274)&lt;=0,NOT(ISNUMBER(J274))),"",J274-TODAY())</f>
        <v/>
      </c>
      <c r="M274" s="12">
        <f>IF(C274="","",IF(N(K274)&lt;=0,"Sold out",IF(NOT(ISNUMBER(J274)),"In stock",IF(J274&lt;TODAY(),"Past its date",IF(J274-TODAY()&lt;=Settings!$C$5,"Use soon","In stock")))))</f>
        <v/>
      </c>
      <c r="N274" s="26">
        <f>IF(C274="","",N(D274)*Q274)</f>
        <v/>
      </c>
      <c r="O274" s="1" t="n"/>
      <c r="P274">
        <f>IF(C274="",0,IFERROR(N(INDEX(Products!$E$6:$E$45,MATCH(C274,Products!$B$6:$B$45,0))),0))</f>
        <v/>
      </c>
      <c r="Q274">
        <f>IF(C274="",0,IFERROR(N(INDEX(Products!$I$6:$I$45,MATCH(C274,Products!$B$6:$B$45,0))),0))</f>
        <v/>
      </c>
      <c r="R274">
        <f>IF(OR(C274="",NOT(ISNUMBER(B274))),"",YEAR(B274)*100+MONTH(B274))</f>
        <v/>
      </c>
      <c r="S274">
        <f>N(G274)*Q274</f>
        <v/>
      </c>
      <c r="T274">
        <f>IF(OR(M274="",M274="Sold out",NOT(ISNUMBER(J274))),"",J274*1000+ROW())</f>
        <v/>
      </c>
    </row>
    <row r="275">
      <c r="A275" s="1" t="n"/>
      <c r="B275" s="20" t="n"/>
      <c r="C275" s="21" t="n"/>
      <c r="D275" s="22" t="n"/>
      <c r="E275" s="22" t="n"/>
      <c r="F275" s="22" t="n"/>
      <c r="G275" s="22" t="n"/>
      <c r="H275" s="23" t="n"/>
      <c r="I275" s="24">
        <f>IF(OR(C275="",NOT(ISNUMBER(B275))),"",UPPER(IF(IFERROR(IF(INDEX(Products!$C$6:$C$45,MATCH(C275,Products!$B$6:$B$45,0))="","",INDEX(Products!$C$6:$C$45,MATCH(C275,Products!$B$6:$B$45,0))),"")="",LEFT(SUBSTITUTE(C275," ",""),3),IFERROR(IF(INDEX(Products!$C$6:$C$45,MATCH(C275,Products!$B$6:$B$45,0))="","",INDEX(Products!$C$6:$C$45,MATCH(C275,Products!$B$6:$B$45,0))),"")))&amp;"-"&amp;RIGHT(YEAR(B275),2)&amp;RIGHT("0"&amp;MONTH(B275),2)&amp;RIGHT("0"&amp;DAY(B275),2)&amp;"-"&amp;COUNTIFS(C$6:C275,C275,B$6:B275,B275))</f>
        <v/>
      </c>
      <c r="J275" s="14">
        <f>IF(OR(C275="",NOT(ISNUMBER(B275)),N(P275)=0),"",B275+P275)</f>
        <v/>
      </c>
      <c r="K275" s="25">
        <f>IF(C275="","",N(D275)-N(E275)-N(F275)-N(G275))</f>
        <v/>
      </c>
      <c r="L275" s="13">
        <f>IF(OR(C275="",N(K275)&lt;=0,NOT(ISNUMBER(J275))),"",J275-TODAY())</f>
        <v/>
      </c>
      <c r="M275" s="12">
        <f>IF(C275="","",IF(N(K275)&lt;=0,"Sold out",IF(NOT(ISNUMBER(J275)),"In stock",IF(J275&lt;TODAY(),"Past its date",IF(J275-TODAY()&lt;=Settings!$C$5,"Use soon","In stock")))))</f>
        <v/>
      </c>
      <c r="N275" s="26">
        <f>IF(C275="","",N(D275)*Q275)</f>
        <v/>
      </c>
      <c r="O275" s="1" t="n"/>
      <c r="P275">
        <f>IF(C275="",0,IFERROR(N(INDEX(Products!$E$6:$E$45,MATCH(C275,Products!$B$6:$B$45,0))),0))</f>
        <v/>
      </c>
      <c r="Q275">
        <f>IF(C275="",0,IFERROR(N(INDEX(Products!$I$6:$I$45,MATCH(C275,Products!$B$6:$B$45,0))),0))</f>
        <v/>
      </c>
      <c r="R275">
        <f>IF(OR(C275="",NOT(ISNUMBER(B275))),"",YEAR(B275)*100+MONTH(B275))</f>
        <v/>
      </c>
      <c r="S275">
        <f>N(G275)*Q275</f>
        <v/>
      </c>
      <c r="T275">
        <f>IF(OR(M275="",M275="Sold out",NOT(ISNUMBER(J275))),"",J275*1000+ROW())</f>
        <v/>
      </c>
    </row>
    <row r="276">
      <c r="A276" s="1" t="n"/>
      <c r="B276" s="20" t="n"/>
      <c r="C276" s="21" t="n"/>
      <c r="D276" s="22" t="n"/>
      <c r="E276" s="22" t="n"/>
      <c r="F276" s="22" t="n"/>
      <c r="G276" s="22" t="n"/>
      <c r="H276" s="23" t="n"/>
      <c r="I276" s="24">
        <f>IF(OR(C276="",NOT(ISNUMBER(B276))),"",UPPER(IF(IFERROR(IF(INDEX(Products!$C$6:$C$45,MATCH(C276,Products!$B$6:$B$45,0))="","",INDEX(Products!$C$6:$C$45,MATCH(C276,Products!$B$6:$B$45,0))),"")="",LEFT(SUBSTITUTE(C276," ",""),3),IFERROR(IF(INDEX(Products!$C$6:$C$45,MATCH(C276,Products!$B$6:$B$45,0))="","",INDEX(Products!$C$6:$C$45,MATCH(C276,Products!$B$6:$B$45,0))),"")))&amp;"-"&amp;RIGHT(YEAR(B276),2)&amp;RIGHT("0"&amp;MONTH(B276),2)&amp;RIGHT("0"&amp;DAY(B276),2)&amp;"-"&amp;COUNTIFS(C$6:C276,C276,B$6:B276,B276))</f>
        <v/>
      </c>
      <c r="J276" s="14">
        <f>IF(OR(C276="",NOT(ISNUMBER(B276)),N(P276)=0),"",B276+P276)</f>
        <v/>
      </c>
      <c r="K276" s="25">
        <f>IF(C276="","",N(D276)-N(E276)-N(F276)-N(G276))</f>
        <v/>
      </c>
      <c r="L276" s="13">
        <f>IF(OR(C276="",N(K276)&lt;=0,NOT(ISNUMBER(J276))),"",J276-TODAY())</f>
        <v/>
      </c>
      <c r="M276" s="12">
        <f>IF(C276="","",IF(N(K276)&lt;=0,"Sold out",IF(NOT(ISNUMBER(J276)),"In stock",IF(J276&lt;TODAY(),"Past its date",IF(J276-TODAY()&lt;=Settings!$C$5,"Use soon","In stock")))))</f>
        <v/>
      </c>
      <c r="N276" s="26">
        <f>IF(C276="","",N(D276)*Q276)</f>
        <v/>
      </c>
      <c r="O276" s="1" t="n"/>
      <c r="P276">
        <f>IF(C276="",0,IFERROR(N(INDEX(Products!$E$6:$E$45,MATCH(C276,Products!$B$6:$B$45,0))),0))</f>
        <v/>
      </c>
      <c r="Q276">
        <f>IF(C276="",0,IFERROR(N(INDEX(Products!$I$6:$I$45,MATCH(C276,Products!$B$6:$B$45,0))),0))</f>
        <v/>
      </c>
      <c r="R276">
        <f>IF(OR(C276="",NOT(ISNUMBER(B276))),"",YEAR(B276)*100+MONTH(B276))</f>
        <v/>
      </c>
      <c r="S276">
        <f>N(G276)*Q276</f>
        <v/>
      </c>
      <c r="T276">
        <f>IF(OR(M276="",M276="Sold out",NOT(ISNUMBER(J276))),"",J276*1000+ROW())</f>
        <v/>
      </c>
    </row>
    <row r="277">
      <c r="A277" s="1" t="n"/>
      <c r="B277" s="20" t="n"/>
      <c r="C277" s="21" t="n"/>
      <c r="D277" s="22" t="n"/>
      <c r="E277" s="22" t="n"/>
      <c r="F277" s="22" t="n"/>
      <c r="G277" s="22" t="n"/>
      <c r="H277" s="23" t="n"/>
      <c r="I277" s="24">
        <f>IF(OR(C277="",NOT(ISNUMBER(B277))),"",UPPER(IF(IFERROR(IF(INDEX(Products!$C$6:$C$45,MATCH(C277,Products!$B$6:$B$45,0))="","",INDEX(Products!$C$6:$C$45,MATCH(C277,Products!$B$6:$B$45,0))),"")="",LEFT(SUBSTITUTE(C277," ",""),3),IFERROR(IF(INDEX(Products!$C$6:$C$45,MATCH(C277,Products!$B$6:$B$45,0))="","",INDEX(Products!$C$6:$C$45,MATCH(C277,Products!$B$6:$B$45,0))),"")))&amp;"-"&amp;RIGHT(YEAR(B277),2)&amp;RIGHT("0"&amp;MONTH(B277),2)&amp;RIGHT("0"&amp;DAY(B277),2)&amp;"-"&amp;COUNTIFS(C$6:C277,C277,B$6:B277,B277))</f>
        <v/>
      </c>
      <c r="J277" s="14">
        <f>IF(OR(C277="",NOT(ISNUMBER(B277)),N(P277)=0),"",B277+P277)</f>
        <v/>
      </c>
      <c r="K277" s="25">
        <f>IF(C277="","",N(D277)-N(E277)-N(F277)-N(G277))</f>
        <v/>
      </c>
      <c r="L277" s="13">
        <f>IF(OR(C277="",N(K277)&lt;=0,NOT(ISNUMBER(J277))),"",J277-TODAY())</f>
        <v/>
      </c>
      <c r="M277" s="12">
        <f>IF(C277="","",IF(N(K277)&lt;=0,"Sold out",IF(NOT(ISNUMBER(J277)),"In stock",IF(J277&lt;TODAY(),"Past its date",IF(J277-TODAY()&lt;=Settings!$C$5,"Use soon","In stock")))))</f>
        <v/>
      </c>
      <c r="N277" s="26">
        <f>IF(C277="","",N(D277)*Q277)</f>
        <v/>
      </c>
      <c r="O277" s="1" t="n"/>
      <c r="P277">
        <f>IF(C277="",0,IFERROR(N(INDEX(Products!$E$6:$E$45,MATCH(C277,Products!$B$6:$B$45,0))),0))</f>
        <v/>
      </c>
      <c r="Q277">
        <f>IF(C277="",0,IFERROR(N(INDEX(Products!$I$6:$I$45,MATCH(C277,Products!$B$6:$B$45,0))),0))</f>
        <v/>
      </c>
      <c r="R277">
        <f>IF(OR(C277="",NOT(ISNUMBER(B277))),"",YEAR(B277)*100+MONTH(B277))</f>
        <v/>
      </c>
      <c r="S277">
        <f>N(G277)*Q277</f>
        <v/>
      </c>
      <c r="T277">
        <f>IF(OR(M277="",M277="Sold out",NOT(ISNUMBER(J277))),"",J277*1000+ROW())</f>
        <v/>
      </c>
    </row>
    <row r="278">
      <c r="A278" s="1" t="n"/>
      <c r="B278" s="20" t="n"/>
      <c r="C278" s="21" t="n"/>
      <c r="D278" s="22" t="n"/>
      <c r="E278" s="22" t="n"/>
      <c r="F278" s="22" t="n"/>
      <c r="G278" s="22" t="n"/>
      <c r="H278" s="23" t="n"/>
      <c r="I278" s="24">
        <f>IF(OR(C278="",NOT(ISNUMBER(B278))),"",UPPER(IF(IFERROR(IF(INDEX(Products!$C$6:$C$45,MATCH(C278,Products!$B$6:$B$45,0))="","",INDEX(Products!$C$6:$C$45,MATCH(C278,Products!$B$6:$B$45,0))),"")="",LEFT(SUBSTITUTE(C278," ",""),3),IFERROR(IF(INDEX(Products!$C$6:$C$45,MATCH(C278,Products!$B$6:$B$45,0))="","",INDEX(Products!$C$6:$C$45,MATCH(C278,Products!$B$6:$B$45,0))),"")))&amp;"-"&amp;RIGHT(YEAR(B278),2)&amp;RIGHT("0"&amp;MONTH(B278),2)&amp;RIGHT("0"&amp;DAY(B278),2)&amp;"-"&amp;COUNTIFS(C$6:C278,C278,B$6:B278,B278))</f>
        <v/>
      </c>
      <c r="J278" s="14">
        <f>IF(OR(C278="",NOT(ISNUMBER(B278)),N(P278)=0),"",B278+P278)</f>
        <v/>
      </c>
      <c r="K278" s="25">
        <f>IF(C278="","",N(D278)-N(E278)-N(F278)-N(G278))</f>
        <v/>
      </c>
      <c r="L278" s="13">
        <f>IF(OR(C278="",N(K278)&lt;=0,NOT(ISNUMBER(J278))),"",J278-TODAY())</f>
        <v/>
      </c>
      <c r="M278" s="12">
        <f>IF(C278="","",IF(N(K278)&lt;=0,"Sold out",IF(NOT(ISNUMBER(J278)),"In stock",IF(J278&lt;TODAY(),"Past its date",IF(J278-TODAY()&lt;=Settings!$C$5,"Use soon","In stock")))))</f>
        <v/>
      </c>
      <c r="N278" s="26">
        <f>IF(C278="","",N(D278)*Q278)</f>
        <v/>
      </c>
      <c r="O278" s="1" t="n"/>
      <c r="P278">
        <f>IF(C278="",0,IFERROR(N(INDEX(Products!$E$6:$E$45,MATCH(C278,Products!$B$6:$B$45,0))),0))</f>
        <v/>
      </c>
      <c r="Q278">
        <f>IF(C278="",0,IFERROR(N(INDEX(Products!$I$6:$I$45,MATCH(C278,Products!$B$6:$B$45,0))),0))</f>
        <v/>
      </c>
      <c r="R278">
        <f>IF(OR(C278="",NOT(ISNUMBER(B278))),"",YEAR(B278)*100+MONTH(B278))</f>
        <v/>
      </c>
      <c r="S278">
        <f>N(G278)*Q278</f>
        <v/>
      </c>
      <c r="T278">
        <f>IF(OR(M278="",M278="Sold out",NOT(ISNUMBER(J278))),"",J278*1000+ROW())</f>
        <v/>
      </c>
    </row>
    <row r="279">
      <c r="A279" s="1" t="n"/>
      <c r="B279" s="20" t="n"/>
      <c r="C279" s="21" t="n"/>
      <c r="D279" s="22" t="n"/>
      <c r="E279" s="22" t="n"/>
      <c r="F279" s="22" t="n"/>
      <c r="G279" s="22" t="n"/>
      <c r="H279" s="23" t="n"/>
      <c r="I279" s="24">
        <f>IF(OR(C279="",NOT(ISNUMBER(B279))),"",UPPER(IF(IFERROR(IF(INDEX(Products!$C$6:$C$45,MATCH(C279,Products!$B$6:$B$45,0))="","",INDEX(Products!$C$6:$C$45,MATCH(C279,Products!$B$6:$B$45,0))),"")="",LEFT(SUBSTITUTE(C279," ",""),3),IFERROR(IF(INDEX(Products!$C$6:$C$45,MATCH(C279,Products!$B$6:$B$45,0))="","",INDEX(Products!$C$6:$C$45,MATCH(C279,Products!$B$6:$B$45,0))),"")))&amp;"-"&amp;RIGHT(YEAR(B279),2)&amp;RIGHT("0"&amp;MONTH(B279),2)&amp;RIGHT("0"&amp;DAY(B279),2)&amp;"-"&amp;COUNTIFS(C$6:C279,C279,B$6:B279,B279))</f>
        <v/>
      </c>
      <c r="J279" s="14">
        <f>IF(OR(C279="",NOT(ISNUMBER(B279)),N(P279)=0),"",B279+P279)</f>
        <v/>
      </c>
      <c r="K279" s="25">
        <f>IF(C279="","",N(D279)-N(E279)-N(F279)-N(G279))</f>
        <v/>
      </c>
      <c r="L279" s="13">
        <f>IF(OR(C279="",N(K279)&lt;=0,NOT(ISNUMBER(J279))),"",J279-TODAY())</f>
        <v/>
      </c>
      <c r="M279" s="12">
        <f>IF(C279="","",IF(N(K279)&lt;=0,"Sold out",IF(NOT(ISNUMBER(J279)),"In stock",IF(J279&lt;TODAY(),"Past its date",IF(J279-TODAY()&lt;=Settings!$C$5,"Use soon","In stock")))))</f>
        <v/>
      </c>
      <c r="N279" s="26">
        <f>IF(C279="","",N(D279)*Q279)</f>
        <v/>
      </c>
      <c r="O279" s="1" t="n"/>
      <c r="P279">
        <f>IF(C279="",0,IFERROR(N(INDEX(Products!$E$6:$E$45,MATCH(C279,Products!$B$6:$B$45,0))),0))</f>
        <v/>
      </c>
      <c r="Q279">
        <f>IF(C279="",0,IFERROR(N(INDEX(Products!$I$6:$I$45,MATCH(C279,Products!$B$6:$B$45,0))),0))</f>
        <v/>
      </c>
      <c r="R279">
        <f>IF(OR(C279="",NOT(ISNUMBER(B279))),"",YEAR(B279)*100+MONTH(B279))</f>
        <v/>
      </c>
      <c r="S279">
        <f>N(G279)*Q279</f>
        <v/>
      </c>
      <c r="T279">
        <f>IF(OR(M279="",M279="Sold out",NOT(ISNUMBER(J279))),"",J279*1000+ROW())</f>
        <v/>
      </c>
    </row>
    <row r="280">
      <c r="A280" s="1" t="n"/>
      <c r="B280" s="20" t="n"/>
      <c r="C280" s="21" t="n"/>
      <c r="D280" s="22" t="n"/>
      <c r="E280" s="22" t="n"/>
      <c r="F280" s="22" t="n"/>
      <c r="G280" s="22" t="n"/>
      <c r="H280" s="23" t="n"/>
      <c r="I280" s="24">
        <f>IF(OR(C280="",NOT(ISNUMBER(B280))),"",UPPER(IF(IFERROR(IF(INDEX(Products!$C$6:$C$45,MATCH(C280,Products!$B$6:$B$45,0))="","",INDEX(Products!$C$6:$C$45,MATCH(C280,Products!$B$6:$B$45,0))),"")="",LEFT(SUBSTITUTE(C280," ",""),3),IFERROR(IF(INDEX(Products!$C$6:$C$45,MATCH(C280,Products!$B$6:$B$45,0))="","",INDEX(Products!$C$6:$C$45,MATCH(C280,Products!$B$6:$B$45,0))),"")))&amp;"-"&amp;RIGHT(YEAR(B280),2)&amp;RIGHT("0"&amp;MONTH(B280),2)&amp;RIGHT("0"&amp;DAY(B280),2)&amp;"-"&amp;COUNTIFS(C$6:C280,C280,B$6:B280,B280))</f>
        <v/>
      </c>
      <c r="J280" s="14">
        <f>IF(OR(C280="",NOT(ISNUMBER(B280)),N(P280)=0),"",B280+P280)</f>
        <v/>
      </c>
      <c r="K280" s="25">
        <f>IF(C280="","",N(D280)-N(E280)-N(F280)-N(G280))</f>
        <v/>
      </c>
      <c r="L280" s="13">
        <f>IF(OR(C280="",N(K280)&lt;=0,NOT(ISNUMBER(J280))),"",J280-TODAY())</f>
        <v/>
      </c>
      <c r="M280" s="12">
        <f>IF(C280="","",IF(N(K280)&lt;=0,"Sold out",IF(NOT(ISNUMBER(J280)),"In stock",IF(J280&lt;TODAY(),"Past its date",IF(J280-TODAY()&lt;=Settings!$C$5,"Use soon","In stock")))))</f>
        <v/>
      </c>
      <c r="N280" s="26">
        <f>IF(C280="","",N(D280)*Q280)</f>
        <v/>
      </c>
      <c r="O280" s="1" t="n"/>
      <c r="P280">
        <f>IF(C280="",0,IFERROR(N(INDEX(Products!$E$6:$E$45,MATCH(C280,Products!$B$6:$B$45,0))),0))</f>
        <v/>
      </c>
      <c r="Q280">
        <f>IF(C280="",0,IFERROR(N(INDEX(Products!$I$6:$I$45,MATCH(C280,Products!$B$6:$B$45,0))),0))</f>
        <v/>
      </c>
      <c r="R280">
        <f>IF(OR(C280="",NOT(ISNUMBER(B280))),"",YEAR(B280)*100+MONTH(B280))</f>
        <v/>
      </c>
      <c r="S280">
        <f>N(G280)*Q280</f>
        <v/>
      </c>
      <c r="T280">
        <f>IF(OR(M280="",M280="Sold out",NOT(ISNUMBER(J280))),"",J280*1000+ROW())</f>
        <v/>
      </c>
    </row>
    <row r="281">
      <c r="A281" s="1" t="n"/>
      <c r="B281" s="20" t="n"/>
      <c r="C281" s="21" t="n"/>
      <c r="D281" s="22" t="n"/>
      <c r="E281" s="22" t="n"/>
      <c r="F281" s="22" t="n"/>
      <c r="G281" s="22" t="n"/>
      <c r="H281" s="23" t="n"/>
      <c r="I281" s="24">
        <f>IF(OR(C281="",NOT(ISNUMBER(B281))),"",UPPER(IF(IFERROR(IF(INDEX(Products!$C$6:$C$45,MATCH(C281,Products!$B$6:$B$45,0))="","",INDEX(Products!$C$6:$C$45,MATCH(C281,Products!$B$6:$B$45,0))),"")="",LEFT(SUBSTITUTE(C281," ",""),3),IFERROR(IF(INDEX(Products!$C$6:$C$45,MATCH(C281,Products!$B$6:$B$45,0))="","",INDEX(Products!$C$6:$C$45,MATCH(C281,Products!$B$6:$B$45,0))),"")))&amp;"-"&amp;RIGHT(YEAR(B281),2)&amp;RIGHT("0"&amp;MONTH(B281),2)&amp;RIGHT("0"&amp;DAY(B281),2)&amp;"-"&amp;COUNTIFS(C$6:C281,C281,B$6:B281,B281))</f>
        <v/>
      </c>
      <c r="J281" s="14">
        <f>IF(OR(C281="",NOT(ISNUMBER(B281)),N(P281)=0),"",B281+P281)</f>
        <v/>
      </c>
      <c r="K281" s="25">
        <f>IF(C281="","",N(D281)-N(E281)-N(F281)-N(G281))</f>
        <v/>
      </c>
      <c r="L281" s="13">
        <f>IF(OR(C281="",N(K281)&lt;=0,NOT(ISNUMBER(J281))),"",J281-TODAY())</f>
        <v/>
      </c>
      <c r="M281" s="12">
        <f>IF(C281="","",IF(N(K281)&lt;=0,"Sold out",IF(NOT(ISNUMBER(J281)),"In stock",IF(J281&lt;TODAY(),"Past its date",IF(J281-TODAY()&lt;=Settings!$C$5,"Use soon","In stock")))))</f>
        <v/>
      </c>
      <c r="N281" s="26">
        <f>IF(C281="","",N(D281)*Q281)</f>
        <v/>
      </c>
      <c r="O281" s="1" t="n"/>
      <c r="P281">
        <f>IF(C281="",0,IFERROR(N(INDEX(Products!$E$6:$E$45,MATCH(C281,Products!$B$6:$B$45,0))),0))</f>
        <v/>
      </c>
      <c r="Q281">
        <f>IF(C281="",0,IFERROR(N(INDEX(Products!$I$6:$I$45,MATCH(C281,Products!$B$6:$B$45,0))),0))</f>
        <v/>
      </c>
      <c r="R281">
        <f>IF(OR(C281="",NOT(ISNUMBER(B281))),"",YEAR(B281)*100+MONTH(B281))</f>
        <v/>
      </c>
      <c r="S281">
        <f>N(G281)*Q281</f>
        <v/>
      </c>
      <c r="T281">
        <f>IF(OR(M281="",M281="Sold out",NOT(ISNUMBER(J281))),"",J281*1000+ROW())</f>
        <v/>
      </c>
    </row>
    <row r="282">
      <c r="A282" s="1" t="n"/>
      <c r="B282" s="20" t="n"/>
      <c r="C282" s="21" t="n"/>
      <c r="D282" s="22" t="n"/>
      <c r="E282" s="22" t="n"/>
      <c r="F282" s="22" t="n"/>
      <c r="G282" s="22" t="n"/>
      <c r="H282" s="23" t="n"/>
      <c r="I282" s="24">
        <f>IF(OR(C282="",NOT(ISNUMBER(B282))),"",UPPER(IF(IFERROR(IF(INDEX(Products!$C$6:$C$45,MATCH(C282,Products!$B$6:$B$45,0))="","",INDEX(Products!$C$6:$C$45,MATCH(C282,Products!$B$6:$B$45,0))),"")="",LEFT(SUBSTITUTE(C282," ",""),3),IFERROR(IF(INDEX(Products!$C$6:$C$45,MATCH(C282,Products!$B$6:$B$45,0))="","",INDEX(Products!$C$6:$C$45,MATCH(C282,Products!$B$6:$B$45,0))),"")))&amp;"-"&amp;RIGHT(YEAR(B282),2)&amp;RIGHT("0"&amp;MONTH(B282),2)&amp;RIGHT("0"&amp;DAY(B282),2)&amp;"-"&amp;COUNTIFS(C$6:C282,C282,B$6:B282,B282))</f>
        <v/>
      </c>
      <c r="J282" s="14">
        <f>IF(OR(C282="",NOT(ISNUMBER(B282)),N(P282)=0),"",B282+P282)</f>
        <v/>
      </c>
      <c r="K282" s="25">
        <f>IF(C282="","",N(D282)-N(E282)-N(F282)-N(G282))</f>
        <v/>
      </c>
      <c r="L282" s="13">
        <f>IF(OR(C282="",N(K282)&lt;=0,NOT(ISNUMBER(J282))),"",J282-TODAY())</f>
        <v/>
      </c>
      <c r="M282" s="12">
        <f>IF(C282="","",IF(N(K282)&lt;=0,"Sold out",IF(NOT(ISNUMBER(J282)),"In stock",IF(J282&lt;TODAY(),"Past its date",IF(J282-TODAY()&lt;=Settings!$C$5,"Use soon","In stock")))))</f>
        <v/>
      </c>
      <c r="N282" s="26">
        <f>IF(C282="","",N(D282)*Q282)</f>
        <v/>
      </c>
      <c r="O282" s="1" t="n"/>
      <c r="P282">
        <f>IF(C282="",0,IFERROR(N(INDEX(Products!$E$6:$E$45,MATCH(C282,Products!$B$6:$B$45,0))),0))</f>
        <v/>
      </c>
      <c r="Q282">
        <f>IF(C282="",0,IFERROR(N(INDEX(Products!$I$6:$I$45,MATCH(C282,Products!$B$6:$B$45,0))),0))</f>
        <v/>
      </c>
      <c r="R282">
        <f>IF(OR(C282="",NOT(ISNUMBER(B282))),"",YEAR(B282)*100+MONTH(B282))</f>
        <v/>
      </c>
      <c r="S282">
        <f>N(G282)*Q282</f>
        <v/>
      </c>
      <c r="T282">
        <f>IF(OR(M282="",M282="Sold out",NOT(ISNUMBER(J282))),"",J282*1000+ROW())</f>
        <v/>
      </c>
    </row>
    <row r="283">
      <c r="A283" s="1" t="n"/>
      <c r="B283" s="20" t="n"/>
      <c r="C283" s="21" t="n"/>
      <c r="D283" s="22" t="n"/>
      <c r="E283" s="22" t="n"/>
      <c r="F283" s="22" t="n"/>
      <c r="G283" s="22" t="n"/>
      <c r="H283" s="23" t="n"/>
      <c r="I283" s="24">
        <f>IF(OR(C283="",NOT(ISNUMBER(B283))),"",UPPER(IF(IFERROR(IF(INDEX(Products!$C$6:$C$45,MATCH(C283,Products!$B$6:$B$45,0))="","",INDEX(Products!$C$6:$C$45,MATCH(C283,Products!$B$6:$B$45,0))),"")="",LEFT(SUBSTITUTE(C283," ",""),3),IFERROR(IF(INDEX(Products!$C$6:$C$45,MATCH(C283,Products!$B$6:$B$45,0))="","",INDEX(Products!$C$6:$C$45,MATCH(C283,Products!$B$6:$B$45,0))),"")))&amp;"-"&amp;RIGHT(YEAR(B283),2)&amp;RIGHT("0"&amp;MONTH(B283),2)&amp;RIGHT("0"&amp;DAY(B283),2)&amp;"-"&amp;COUNTIFS(C$6:C283,C283,B$6:B283,B283))</f>
        <v/>
      </c>
      <c r="J283" s="14">
        <f>IF(OR(C283="",NOT(ISNUMBER(B283)),N(P283)=0),"",B283+P283)</f>
        <v/>
      </c>
      <c r="K283" s="25">
        <f>IF(C283="","",N(D283)-N(E283)-N(F283)-N(G283))</f>
        <v/>
      </c>
      <c r="L283" s="13">
        <f>IF(OR(C283="",N(K283)&lt;=0,NOT(ISNUMBER(J283))),"",J283-TODAY())</f>
        <v/>
      </c>
      <c r="M283" s="12">
        <f>IF(C283="","",IF(N(K283)&lt;=0,"Sold out",IF(NOT(ISNUMBER(J283)),"In stock",IF(J283&lt;TODAY(),"Past its date",IF(J283-TODAY()&lt;=Settings!$C$5,"Use soon","In stock")))))</f>
        <v/>
      </c>
      <c r="N283" s="26">
        <f>IF(C283="","",N(D283)*Q283)</f>
        <v/>
      </c>
      <c r="O283" s="1" t="n"/>
      <c r="P283">
        <f>IF(C283="",0,IFERROR(N(INDEX(Products!$E$6:$E$45,MATCH(C283,Products!$B$6:$B$45,0))),0))</f>
        <v/>
      </c>
      <c r="Q283">
        <f>IF(C283="",0,IFERROR(N(INDEX(Products!$I$6:$I$45,MATCH(C283,Products!$B$6:$B$45,0))),0))</f>
        <v/>
      </c>
      <c r="R283">
        <f>IF(OR(C283="",NOT(ISNUMBER(B283))),"",YEAR(B283)*100+MONTH(B283))</f>
        <v/>
      </c>
      <c r="S283">
        <f>N(G283)*Q283</f>
        <v/>
      </c>
      <c r="T283">
        <f>IF(OR(M283="",M283="Sold out",NOT(ISNUMBER(J283))),"",J283*1000+ROW())</f>
        <v/>
      </c>
    </row>
    <row r="284">
      <c r="A284" s="1" t="n"/>
      <c r="B284" s="20" t="n"/>
      <c r="C284" s="21" t="n"/>
      <c r="D284" s="22" t="n"/>
      <c r="E284" s="22" t="n"/>
      <c r="F284" s="22" t="n"/>
      <c r="G284" s="22" t="n"/>
      <c r="H284" s="23" t="n"/>
      <c r="I284" s="24">
        <f>IF(OR(C284="",NOT(ISNUMBER(B284))),"",UPPER(IF(IFERROR(IF(INDEX(Products!$C$6:$C$45,MATCH(C284,Products!$B$6:$B$45,0))="","",INDEX(Products!$C$6:$C$45,MATCH(C284,Products!$B$6:$B$45,0))),"")="",LEFT(SUBSTITUTE(C284," ",""),3),IFERROR(IF(INDEX(Products!$C$6:$C$45,MATCH(C284,Products!$B$6:$B$45,0))="","",INDEX(Products!$C$6:$C$45,MATCH(C284,Products!$B$6:$B$45,0))),"")))&amp;"-"&amp;RIGHT(YEAR(B284),2)&amp;RIGHT("0"&amp;MONTH(B284),2)&amp;RIGHT("0"&amp;DAY(B284),2)&amp;"-"&amp;COUNTIFS(C$6:C284,C284,B$6:B284,B284))</f>
        <v/>
      </c>
      <c r="J284" s="14">
        <f>IF(OR(C284="",NOT(ISNUMBER(B284)),N(P284)=0),"",B284+P284)</f>
        <v/>
      </c>
      <c r="K284" s="25">
        <f>IF(C284="","",N(D284)-N(E284)-N(F284)-N(G284))</f>
        <v/>
      </c>
      <c r="L284" s="13">
        <f>IF(OR(C284="",N(K284)&lt;=0,NOT(ISNUMBER(J284))),"",J284-TODAY())</f>
        <v/>
      </c>
      <c r="M284" s="12">
        <f>IF(C284="","",IF(N(K284)&lt;=0,"Sold out",IF(NOT(ISNUMBER(J284)),"In stock",IF(J284&lt;TODAY(),"Past its date",IF(J284-TODAY()&lt;=Settings!$C$5,"Use soon","In stock")))))</f>
        <v/>
      </c>
      <c r="N284" s="26">
        <f>IF(C284="","",N(D284)*Q284)</f>
        <v/>
      </c>
      <c r="O284" s="1" t="n"/>
      <c r="P284">
        <f>IF(C284="",0,IFERROR(N(INDEX(Products!$E$6:$E$45,MATCH(C284,Products!$B$6:$B$45,0))),0))</f>
        <v/>
      </c>
      <c r="Q284">
        <f>IF(C284="",0,IFERROR(N(INDEX(Products!$I$6:$I$45,MATCH(C284,Products!$B$6:$B$45,0))),0))</f>
        <v/>
      </c>
      <c r="R284">
        <f>IF(OR(C284="",NOT(ISNUMBER(B284))),"",YEAR(B284)*100+MONTH(B284))</f>
        <v/>
      </c>
      <c r="S284">
        <f>N(G284)*Q284</f>
        <v/>
      </c>
      <c r="T284">
        <f>IF(OR(M284="",M284="Sold out",NOT(ISNUMBER(J284))),"",J284*1000+ROW())</f>
        <v/>
      </c>
    </row>
    <row r="285">
      <c r="A285" s="1" t="n"/>
      <c r="B285" s="20" t="n"/>
      <c r="C285" s="21" t="n"/>
      <c r="D285" s="22" t="n"/>
      <c r="E285" s="22" t="n"/>
      <c r="F285" s="22" t="n"/>
      <c r="G285" s="22" t="n"/>
      <c r="H285" s="23" t="n"/>
      <c r="I285" s="24">
        <f>IF(OR(C285="",NOT(ISNUMBER(B285))),"",UPPER(IF(IFERROR(IF(INDEX(Products!$C$6:$C$45,MATCH(C285,Products!$B$6:$B$45,0))="","",INDEX(Products!$C$6:$C$45,MATCH(C285,Products!$B$6:$B$45,0))),"")="",LEFT(SUBSTITUTE(C285," ",""),3),IFERROR(IF(INDEX(Products!$C$6:$C$45,MATCH(C285,Products!$B$6:$B$45,0))="","",INDEX(Products!$C$6:$C$45,MATCH(C285,Products!$B$6:$B$45,0))),"")))&amp;"-"&amp;RIGHT(YEAR(B285),2)&amp;RIGHT("0"&amp;MONTH(B285),2)&amp;RIGHT("0"&amp;DAY(B285),2)&amp;"-"&amp;COUNTIFS(C$6:C285,C285,B$6:B285,B285))</f>
        <v/>
      </c>
      <c r="J285" s="14">
        <f>IF(OR(C285="",NOT(ISNUMBER(B285)),N(P285)=0),"",B285+P285)</f>
        <v/>
      </c>
      <c r="K285" s="25">
        <f>IF(C285="","",N(D285)-N(E285)-N(F285)-N(G285))</f>
        <v/>
      </c>
      <c r="L285" s="13">
        <f>IF(OR(C285="",N(K285)&lt;=0,NOT(ISNUMBER(J285))),"",J285-TODAY())</f>
        <v/>
      </c>
      <c r="M285" s="12">
        <f>IF(C285="","",IF(N(K285)&lt;=0,"Sold out",IF(NOT(ISNUMBER(J285)),"In stock",IF(J285&lt;TODAY(),"Past its date",IF(J285-TODAY()&lt;=Settings!$C$5,"Use soon","In stock")))))</f>
        <v/>
      </c>
      <c r="N285" s="26">
        <f>IF(C285="","",N(D285)*Q285)</f>
        <v/>
      </c>
      <c r="O285" s="1" t="n"/>
      <c r="P285">
        <f>IF(C285="",0,IFERROR(N(INDEX(Products!$E$6:$E$45,MATCH(C285,Products!$B$6:$B$45,0))),0))</f>
        <v/>
      </c>
      <c r="Q285">
        <f>IF(C285="",0,IFERROR(N(INDEX(Products!$I$6:$I$45,MATCH(C285,Products!$B$6:$B$45,0))),0))</f>
        <v/>
      </c>
      <c r="R285">
        <f>IF(OR(C285="",NOT(ISNUMBER(B285))),"",YEAR(B285)*100+MONTH(B285))</f>
        <v/>
      </c>
      <c r="S285">
        <f>N(G285)*Q285</f>
        <v/>
      </c>
      <c r="T285">
        <f>IF(OR(M285="",M285="Sold out",NOT(ISNUMBER(J285))),"",J285*1000+ROW())</f>
        <v/>
      </c>
    </row>
    <row r="286">
      <c r="A286" s="1" t="n"/>
      <c r="B286" s="20" t="n"/>
      <c r="C286" s="21" t="n"/>
      <c r="D286" s="22" t="n"/>
      <c r="E286" s="22" t="n"/>
      <c r="F286" s="22" t="n"/>
      <c r="G286" s="22" t="n"/>
      <c r="H286" s="23" t="n"/>
      <c r="I286" s="24">
        <f>IF(OR(C286="",NOT(ISNUMBER(B286))),"",UPPER(IF(IFERROR(IF(INDEX(Products!$C$6:$C$45,MATCH(C286,Products!$B$6:$B$45,0))="","",INDEX(Products!$C$6:$C$45,MATCH(C286,Products!$B$6:$B$45,0))),"")="",LEFT(SUBSTITUTE(C286," ",""),3),IFERROR(IF(INDEX(Products!$C$6:$C$45,MATCH(C286,Products!$B$6:$B$45,0))="","",INDEX(Products!$C$6:$C$45,MATCH(C286,Products!$B$6:$B$45,0))),"")))&amp;"-"&amp;RIGHT(YEAR(B286),2)&amp;RIGHT("0"&amp;MONTH(B286),2)&amp;RIGHT("0"&amp;DAY(B286),2)&amp;"-"&amp;COUNTIFS(C$6:C286,C286,B$6:B286,B286))</f>
        <v/>
      </c>
      <c r="J286" s="14">
        <f>IF(OR(C286="",NOT(ISNUMBER(B286)),N(P286)=0),"",B286+P286)</f>
        <v/>
      </c>
      <c r="K286" s="25">
        <f>IF(C286="","",N(D286)-N(E286)-N(F286)-N(G286))</f>
        <v/>
      </c>
      <c r="L286" s="13">
        <f>IF(OR(C286="",N(K286)&lt;=0,NOT(ISNUMBER(J286))),"",J286-TODAY())</f>
        <v/>
      </c>
      <c r="M286" s="12">
        <f>IF(C286="","",IF(N(K286)&lt;=0,"Sold out",IF(NOT(ISNUMBER(J286)),"In stock",IF(J286&lt;TODAY(),"Past its date",IF(J286-TODAY()&lt;=Settings!$C$5,"Use soon","In stock")))))</f>
        <v/>
      </c>
      <c r="N286" s="26">
        <f>IF(C286="","",N(D286)*Q286)</f>
        <v/>
      </c>
      <c r="O286" s="1" t="n"/>
      <c r="P286">
        <f>IF(C286="",0,IFERROR(N(INDEX(Products!$E$6:$E$45,MATCH(C286,Products!$B$6:$B$45,0))),0))</f>
        <v/>
      </c>
      <c r="Q286">
        <f>IF(C286="",0,IFERROR(N(INDEX(Products!$I$6:$I$45,MATCH(C286,Products!$B$6:$B$45,0))),0))</f>
        <v/>
      </c>
      <c r="R286">
        <f>IF(OR(C286="",NOT(ISNUMBER(B286))),"",YEAR(B286)*100+MONTH(B286))</f>
        <v/>
      </c>
      <c r="S286">
        <f>N(G286)*Q286</f>
        <v/>
      </c>
      <c r="T286">
        <f>IF(OR(M286="",M286="Sold out",NOT(ISNUMBER(J286))),"",J286*1000+ROW())</f>
        <v/>
      </c>
    </row>
    <row r="287">
      <c r="A287" s="1" t="n"/>
      <c r="B287" s="20" t="n"/>
      <c r="C287" s="21" t="n"/>
      <c r="D287" s="22" t="n"/>
      <c r="E287" s="22" t="n"/>
      <c r="F287" s="22" t="n"/>
      <c r="G287" s="22" t="n"/>
      <c r="H287" s="23" t="n"/>
      <c r="I287" s="24">
        <f>IF(OR(C287="",NOT(ISNUMBER(B287))),"",UPPER(IF(IFERROR(IF(INDEX(Products!$C$6:$C$45,MATCH(C287,Products!$B$6:$B$45,0))="","",INDEX(Products!$C$6:$C$45,MATCH(C287,Products!$B$6:$B$45,0))),"")="",LEFT(SUBSTITUTE(C287," ",""),3),IFERROR(IF(INDEX(Products!$C$6:$C$45,MATCH(C287,Products!$B$6:$B$45,0))="","",INDEX(Products!$C$6:$C$45,MATCH(C287,Products!$B$6:$B$45,0))),"")))&amp;"-"&amp;RIGHT(YEAR(B287),2)&amp;RIGHT("0"&amp;MONTH(B287),2)&amp;RIGHT("0"&amp;DAY(B287),2)&amp;"-"&amp;COUNTIFS(C$6:C287,C287,B$6:B287,B287))</f>
        <v/>
      </c>
      <c r="J287" s="14">
        <f>IF(OR(C287="",NOT(ISNUMBER(B287)),N(P287)=0),"",B287+P287)</f>
        <v/>
      </c>
      <c r="K287" s="25">
        <f>IF(C287="","",N(D287)-N(E287)-N(F287)-N(G287))</f>
        <v/>
      </c>
      <c r="L287" s="13">
        <f>IF(OR(C287="",N(K287)&lt;=0,NOT(ISNUMBER(J287))),"",J287-TODAY())</f>
        <v/>
      </c>
      <c r="M287" s="12">
        <f>IF(C287="","",IF(N(K287)&lt;=0,"Sold out",IF(NOT(ISNUMBER(J287)),"In stock",IF(J287&lt;TODAY(),"Past its date",IF(J287-TODAY()&lt;=Settings!$C$5,"Use soon","In stock")))))</f>
        <v/>
      </c>
      <c r="N287" s="26">
        <f>IF(C287="","",N(D287)*Q287)</f>
        <v/>
      </c>
      <c r="O287" s="1" t="n"/>
      <c r="P287">
        <f>IF(C287="",0,IFERROR(N(INDEX(Products!$E$6:$E$45,MATCH(C287,Products!$B$6:$B$45,0))),0))</f>
        <v/>
      </c>
      <c r="Q287">
        <f>IF(C287="",0,IFERROR(N(INDEX(Products!$I$6:$I$45,MATCH(C287,Products!$B$6:$B$45,0))),0))</f>
        <v/>
      </c>
      <c r="R287">
        <f>IF(OR(C287="",NOT(ISNUMBER(B287))),"",YEAR(B287)*100+MONTH(B287))</f>
        <v/>
      </c>
      <c r="S287">
        <f>N(G287)*Q287</f>
        <v/>
      </c>
      <c r="T287">
        <f>IF(OR(M287="",M287="Sold out",NOT(ISNUMBER(J287))),"",J287*1000+ROW())</f>
        <v/>
      </c>
    </row>
    <row r="288">
      <c r="A288" s="1" t="n"/>
      <c r="B288" s="20" t="n"/>
      <c r="C288" s="21" t="n"/>
      <c r="D288" s="22" t="n"/>
      <c r="E288" s="22" t="n"/>
      <c r="F288" s="22" t="n"/>
      <c r="G288" s="22" t="n"/>
      <c r="H288" s="23" t="n"/>
      <c r="I288" s="24">
        <f>IF(OR(C288="",NOT(ISNUMBER(B288))),"",UPPER(IF(IFERROR(IF(INDEX(Products!$C$6:$C$45,MATCH(C288,Products!$B$6:$B$45,0))="","",INDEX(Products!$C$6:$C$45,MATCH(C288,Products!$B$6:$B$45,0))),"")="",LEFT(SUBSTITUTE(C288," ",""),3),IFERROR(IF(INDEX(Products!$C$6:$C$45,MATCH(C288,Products!$B$6:$B$45,0))="","",INDEX(Products!$C$6:$C$45,MATCH(C288,Products!$B$6:$B$45,0))),"")))&amp;"-"&amp;RIGHT(YEAR(B288),2)&amp;RIGHT("0"&amp;MONTH(B288),2)&amp;RIGHT("0"&amp;DAY(B288),2)&amp;"-"&amp;COUNTIFS(C$6:C288,C288,B$6:B288,B288))</f>
        <v/>
      </c>
      <c r="J288" s="14">
        <f>IF(OR(C288="",NOT(ISNUMBER(B288)),N(P288)=0),"",B288+P288)</f>
        <v/>
      </c>
      <c r="K288" s="25">
        <f>IF(C288="","",N(D288)-N(E288)-N(F288)-N(G288))</f>
        <v/>
      </c>
      <c r="L288" s="13">
        <f>IF(OR(C288="",N(K288)&lt;=0,NOT(ISNUMBER(J288))),"",J288-TODAY())</f>
        <v/>
      </c>
      <c r="M288" s="12">
        <f>IF(C288="","",IF(N(K288)&lt;=0,"Sold out",IF(NOT(ISNUMBER(J288)),"In stock",IF(J288&lt;TODAY(),"Past its date",IF(J288-TODAY()&lt;=Settings!$C$5,"Use soon","In stock")))))</f>
        <v/>
      </c>
      <c r="N288" s="26">
        <f>IF(C288="","",N(D288)*Q288)</f>
        <v/>
      </c>
      <c r="O288" s="1" t="n"/>
      <c r="P288">
        <f>IF(C288="",0,IFERROR(N(INDEX(Products!$E$6:$E$45,MATCH(C288,Products!$B$6:$B$45,0))),0))</f>
        <v/>
      </c>
      <c r="Q288">
        <f>IF(C288="",0,IFERROR(N(INDEX(Products!$I$6:$I$45,MATCH(C288,Products!$B$6:$B$45,0))),0))</f>
        <v/>
      </c>
      <c r="R288">
        <f>IF(OR(C288="",NOT(ISNUMBER(B288))),"",YEAR(B288)*100+MONTH(B288))</f>
        <v/>
      </c>
      <c r="S288">
        <f>N(G288)*Q288</f>
        <v/>
      </c>
      <c r="T288">
        <f>IF(OR(M288="",M288="Sold out",NOT(ISNUMBER(J288))),"",J288*1000+ROW())</f>
        <v/>
      </c>
    </row>
    <row r="289">
      <c r="A289" s="1" t="n"/>
      <c r="B289" s="20" t="n"/>
      <c r="C289" s="21" t="n"/>
      <c r="D289" s="22" t="n"/>
      <c r="E289" s="22" t="n"/>
      <c r="F289" s="22" t="n"/>
      <c r="G289" s="22" t="n"/>
      <c r="H289" s="23" t="n"/>
      <c r="I289" s="24">
        <f>IF(OR(C289="",NOT(ISNUMBER(B289))),"",UPPER(IF(IFERROR(IF(INDEX(Products!$C$6:$C$45,MATCH(C289,Products!$B$6:$B$45,0))="","",INDEX(Products!$C$6:$C$45,MATCH(C289,Products!$B$6:$B$45,0))),"")="",LEFT(SUBSTITUTE(C289," ",""),3),IFERROR(IF(INDEX(Products!$C$6:$C$45,MATCH(C289,Products!$B$6:$B$45,0))="","",INDEX(Products!$C$6:$C$45,MATCH(C289,Products!$B$6:$B$45,0))),"")))&amp;"-"&amp;RIGHT(YEAR(B289),2)&amp;RIGHT("0"&amp;MONTH(B289),2)&amp;RIGHT("0"&amp;DAY(B289),2)&amp;"-"&amp;COUNTIFS(C$6:C289,C289,B$6:B289,B289))</f>
        <v/>
      </c>
      <c r="J289" s="14">
        <f>IF(OR(C289="",NOT(ISNUMBER(B289)),N(P289)=0),"",B289+P289)</f>
        <v/>
      </c>
      <c r="K289" s="25">
        <f>IF(C289="","",N(D289)-N(E289)-N(F289)-N(G289))</f>
        <v/>
      </c>
      <c r="L289" s="13">
        <f>IF(OR(C289="",N(K289)&lt;=0,NOT(ISNUMBER(J289))),"",J289-TODAY())</f>
        <v/>
      </c>
      <c r="M289" s="12">
        <f>IF(C289="","",IF(N(K289)&lt;=0,"Sold out",IF(NOT(ISNUMBER(J289)),"In stock",IF(J289&lt;TODAY(),"Past its date",IF(J289-TODAY()&lt;=Settings!$C$5,"Use soon","In stock")))))</f>
        <v/>
      </c>
      <c r="N289" s="26">
        <f>IF(C289="","",N(D289)*Q289)</f>
        <v/>
      </c>
      <c r="O289" s="1" t="n"/>
      <c r="P289">
        <f>IF(C289="",0,IFERROR(N(INDEX(Products!$E$6:$E$45,MATCH(C289,Products!$B$6:$B$45,0))),0))</f>
        <v/>
      </c>
      <c r="Q289">
        <f>IF(C289="",0,IFERROR(N(INDEX(Products!$I$6:$I$45,MATCH(C289,Products!$B$6:$B$45,0))),0))</f>
        <v/>
      </c>
      <c r="R289">
        <f>IF(OR(C289="",NOT(ISNUMBER(B289))),"",YEAR(B289)*100+MONTH(B289))</f>
        <v/>
      </c>
      <c r="S289">
        <f>N(G289)*Q289</f>
        <v/>
      </c>
      <c r="T289">
        <f>IF(OR(M289="",M289="Sold out",NOT(ISNUMBER(J289))),"",J289*1000+ROW())</f>
        <v/>
      </c>
    </row>
    <row r="290">
      <c r="A290" s="1" t="n"/>
      <c r="B290" s="20" t="n"/>
      <c r="C290" s="21" t="n"/>
      <c r="D290" s="22" t="n"/>
      <c r="E290" s="22" t="n"/>
      <c r="F290" s="22" t="n"/>
      <c r="G290" s="22" t="n"/>
      <c r="H290" s="23" t="n"/>
      <c r="I290" s="24">
        <f>IF(OR(C290="",NOT(ISNUMBER(B290))),"",UPPER(IF(IFERROR(IF(INDEX(Products!$C$6:$C$45,MATCH(C290,Products!$B$6:$B$45,0))="","",INDEX(Products!$C$6:$C$45,MATCH(C290,Products!$B$6:$B$45,0))),"")="",LEFT(SUBSTITUTE(C290," ",""),3),IFERROR(IF(INDEX(Products!$C$6:$C$45,MATCH(C290,Products!$B$6:$B$45,0))="","",INDEX(Products!$C$6:$C$45,MATCH(C290,Products!$B$6:$B$45,0))),"")))&amp;"-"&amp;RIGHT(YEAR(B290),2)&amp;RIGHT("0"&amp;MONTH(B290),2)&amp;RIGHT("0"&amp;DAY(B290),2)&amp;"-"&amp;COUNTIFS(C$6:C290,C290,B$6:B290,B290))</f>
        <v/>
      </c>
      <c r="J290" s="14">
        <f>IF(OR(C290="",NOT(ISNUMBER(B290)),N(P290)=0),"",B290+P290)</f>
        <v/>
      </c>
      <c r="K290" s="25">
        <f>IF(C290="","",N(D290)-N(E290)-N(F290)-N(G290))</f>
        <v/>
      </c>
      <c r="L290" s="13">
        <f>IF(OR(C290="",N(K290)&lt;=0,NOT(ISNUMBER(J290))),"",J290-TODAY())</f>
        <v/>
      </c>
      <c r="M290" s="12">
        <f>IF(C290="","",IF(N(K290)&lt;=0,"Sold out",IF(NOT(ISNUMBER(J290)),"In stock",IF(J290&lt;TODAY(),"Past its date",IF(J290-TODAY()&lt;=Settings!$C$5,"Use soon","In stock")))))</f>
        <v/>
      </c>
      <c r="N290" s="26">
        <f>IF(C290="","",N(D290)*Q290)</f>
        <v/>
      </c>
      <c r="O290" s="1" t="n"/>
      <c r="P290">
        <f>IF(C290="",0,IFERROR(N(INDEX(Products!$E$6:$E$45,MATCH(C290,Products!$B$6:$B$45,0))),0))</f>
        <v/>
      </c>
      <c r="Q290">
        <f>IF(C290="",0,IFERROR(N(INDEX(Products!$I$6:$I$45,MATCH(C290,Products!$B$6:$B$45,0))),0))</f>
        <v/>
      </c>
      <c r="R290">
        <f>IF(OR(C290="",NOT(ISNUMBER(B290))),"",YEAR(B290)*100+MONTH(B290))</f>
        <v/>
      </c>
      <c r="S290">
        <f>N(G290)*Q290</f>
        <v/>
      </c>
      <c r="T290">
        <f>IF(OR(M290="",M290="Sold out",NOT(ISNUMBER(J290))),"",J290*1000+ROW())</f>
        <v/>
      </c>
    </row>
    <row r="291">
      <c r="A291" s="1" t="n"/>
      <c r="B291" s="20" t="n"/>
      <c r="C291" s="21" t="n"/>
      <c r="D291" s="22" t="n"/>
      <c r="E291" s="22" t="n"/>
      <c r="F291" s="22" t="n"/>
      <c r="G291" s="22" t="n"/>
      <c r="H291" s="23" t="n"/>
      <c r="I291" s="24">
        <f>IF(OR(C291="",NOT(ISNUMBER(B291))),"",UPPER(IF(IFERROR(IF(INDEX(Products!$C$6:$C$45,MATCH(C291,Products!$B$6:$B$45,0))="","",INDEX(Products!$C$6:$C$45,MATCH(C291,Products!$B$6:$B$45,0))),"")="",LEFT(SUBSTITUTE(C291," ",""),3),IFERROR(IF(INDEX(Products!$C$6:$C$45,MATCH(C291,Products!$B$6:$B$45,0))="","",INDEX(Products!$C$6:$C$45,MATCH(C291,Products!$B$6:$B$45,0))),"")))&amp;"-"&amp;RIGHT(YEAR(B291),2)&amp;RIGHT("0"&amp;MONTH(B291),2)&amp;RIGHT("0"&amp;DAY(B291),2)&amp;"-"&amp;COUNTIFS(C$6:C291,C291,B$6:B291,B291))</f>
        <v/>
      </c>
      <c r="J291" s="14">
        <f>IF(OR(C291="",NOT(ISNUMBER(B291)),N(P291)=0),"",B291+P291)</f>
        <v/>
      </c>
      <c r="K291" s="25">
        <f>IF(C291="","",N(D291)-N(E291)-N(F291)-N(G291))</f>
        <v/>
      </c>
      <c r="L291" s="13">
        <f>IF(OR(C291="",N(K291)&lt;=0,NOT(ISNUMBER(J291))),"",J291-TODAY())</f>
        <v/>
      </c>
      <c r="M291" s="12">
        <f>IF(C291="","",IF(N(K291)&lt;=0,"Sold out",IF(NOT(ISNUMBER(J291)),"In stock",IF(J291&lt;TODAY(),"Past its date",IF(J291-TODAY()&lt;=Settings!$C$5,"Use soon","In stock")))))</f>
        <v/>
      </c>
      <c r="N291" s="26">
        <f>IF(C291="","",N(D291)*Q291)</f>
        <v/>
      </c>
      <c r="O291" s="1" t="n"/>
      <c r="P291">
        <f>IF(C291="",0,IFERROR(N(INDEX(Products!$E$6:$E$45,MATCH(C291,Products!$B$6:$B$45,0))),0))</f>
        <v/>
      </c>
      <c r="Q291">
        <f>IF(C291="",0,IFERROR(N(INDEX(Products!$I$6:$I$45,MATCH(C291,Products!$B$6:$B$45,0))),0))</f>
        <v/>
      </c>
      <c r="R291">
        <f>IF(OR(C291="",NOT(ISNUMBER(B291))),"",YEAR(B291)*100+MONTH(B291))</f>
        <v/>
      </c>
      <c r="S291">
        <f>N(G291)*Q291</f>
        <v/>
      </c>
      <c r="T291">
        <f>IF(OR(M291="",M291="Sold out",NOT(ISNUMBER(J291))),"",J291*1000+ROW())</f>
        <v/>
      </c>
    </row>
    <row r="292">
      <c r="A292" s="1" t="n"/>
      <c r="B292" s="20" t="n"/>
      <c r="C292" s="21" t="n"/>
      <c r="D292" s="22" t="n"/>
      <c r="E292" s="22" t="n"/>
      <c r="F292" s="22" t="n"/>
      <c r="G292" s="22" t="n"/>
      <c r="H292" s="23" t="n"/>
      <c r="I292" s="24">
        <f>IF(OR(C292="",NOT(ISNUMBER(B292))),"",UPPER(IF(IFERROR(IF(INDEX(Products!$C$6:$C$45,MATCH(C292,Products!$B$6:$B$45,0))="","",INDEX(Products!$C$6:$C$45,MATCH(C292,Products!$B$6:$B$45,0))),"")="",LEFT(SUBSTITUTE(C292," ",""),3),IFERROR(IF(INDEX(Products!$C$6:$C$45,MATCH(C292,Products!$B$6:$B$45,0))="","",INDEX(Products!$C$6:$C$45,MATCH(C292,Products!$B$6:$B$45,0))),"")))&amp;"-"&amp;RIGHT(YEAR(B292),2)&amp;RIGHT("0"&amp;MONTH(B292),2)&amp;RIGHT("0"&amp;DAY(B292),2)&amp;"-"&amp;COUNTIFS(C$6:C292,C292,B$6:B292,B292))</f>
        <v/>
      </c>
      <c r="J292" s="14">
        <f>IF(OR(C292="",NOT(ISNUMBER(B292)),N(P292)=0),"",B292+P292)</f>
        <v/>
      </c>
      <c r="K292" s="25">
        <f>IF(C292="","",N(D292)-N(E292)-N(F292)-N(G292))</f>
        <v/>
      </c>
      <c r="L292" s="13">
        <f>IF(OR(C292="",N(K292)&lt;=0,NOT(ISNUMBER(J292))),"",J292-TODAY())</f>
        <v/>
      </c>
      <c r="M292" s="12">
        <f>IF(C292="","",IF(N(K292)&lt;=0,"Sold out",IF(NOT(ISNUMBER(J292)),"In stock",IF(J292&lt;TODAY(),"Past its date",IF(J292-TODAY()&lt;=Settings!$C$5,"Use soon","In stock")))))</f>
        <v/>
      </c>
      <c r="N292" s="26">
        <f>IF(C292="","",N(D292)*Q292)</f>
        <v/>
      </c>
      <c r="O292" s="1" t="n"/>
      <c r="P292">
        <f>IF(C292="",0,IFERROR(N(INDEX(Products!$E$6:$E$45,MATCH(C292,Products!$B$6:$B$45,0))),0))</f>
        <v/>
      </c>
      <c r="Q292">
        <f>IF(C292="",0,IFERROR(N(INDEX(Products!$I$6:$I$45,MATCH(C292,Products!$B$6:$B$45,0))),0))</f>
        <v/>
      </c>
      <c r="R292">
        <f>IF(OR(C292="",NOT(ISNUMBER(B292))),"",YEAR(B292)*100+MONTH(B292))</f>
        <v/>
      </c>
      <c r="S292">
        <f>N(G292)*Q292</f>
        <v/>
      </c>
      <c r="T292">
        <f>IF(OR(M292="",M292="Sold out",NOT(ISNUMBER(J292))),"",J292*1000+ROW())</f>
        <v/>
      </c>
    </row>
    <row r="293">
      <c r="A293" s="1" t="n"/>
      <c r="B293" s="20" t="n"/>
      <c r="C293" s="21" t="n"/>
      <c r="D293" s="22" t="n"/>
      <c r="E293" s="22" t="n"/>
      <c r="F293" s="22" t="n"/>
      <c r="G293" s="22" t="n"/>
      <c r="H293" s="23" t="n"/>
      <c r="I293" s="24">
        <f>IF(OR(C293="",NOT(ISNUMBER(B293))),"",UPPER(IF(IFERROR(IF(INDEX(Products!$C$6:$C$45,MATCH(C293,Products!$B$6:$B$45,0))="","",INDEX(Products!$C$6:$C$45,MATCH(C293,Products!$B$6:$B$45,0))),"")="",LEFT(SUBSTITUTE(C293," ",""),3),IFERROR(IF(INDEX(Products!$C$6:$C$45,MATCH(C293,Products!$B$6:$B$45,0))="","",INDEX(Products!$C$6:$C$45,MATCH(C293,Products!$B$6:$B$45,0))),"")))&amp;"-"&amp;RIGHT(YEAR(B293),2)&amp;RIGHT("0"&amp;MONTH(B293),2)&amp;RIGHT("0"&amp;DAY(B293),2)&amp;"-"&amp;COUNTIFS(C$6:C293,C293,B$6:B293,B293))</f>
        <v/>
      </c>
      <c r="J293" s="14">
        <f>IF(OR(C293="",NOT(ISNUMBER(B293)),N(P293)=0),"",B293+P293)</f>
        <v/>
      </c>
      <c r="K293" s="25">
        <f>IF(C293="","",N(D293)-N(E293)-N(F293)-N(G293))</f>
        <v/>
      </c>
      <c r="L293" s="13">
        <f>IF(OR(C293="",N(K293)&lt;=0,NOT(ISNUMBER(J293))),"",J293-TODAY())</f>
        <v/>
      </c>
      <c r="M293" s="12">
        <f>IF(C293="","",IF(N(K293)&lt;=0,"Sold out",IF(NOT(ISNUMBER(J293)),"In stock",IF(J293&lt;TODAY(),"Past its date",IF(J293-TODAY()&lt;=Settings!$C$5,"Use soon","In stock")))))</f>
        <v/>
      </c>
      <c r="N293" s="26">
        <f>IF(C293="","",N(D293)*Q293)</f>
        <v/>
      </c>
      <c r="O293" s="1" t="n"/>
      <c r="P293">
        <f>IF(C293="",0,IFERROR(N(INDEX(Products!$E$6:$E$45,MATCH(C293,Products!$B$6:$B$45,0))),0))</f>
        <v/>
      </c>
      <c r="Q293">
        <f>IF(C293="",0,IFERROR(N(INDEX(Products!$I$6:$I$45,MATCH(C293,Products!$B$6:$B$45,0))),0))</f>
        <v/>
      </c>
      <c r="R293">
        <f>IF(OR(C293="",NOT(ISNUMBER(B293))),"",YEAR(B293)*100+MONTH(B293))</f>
        <v/>
      </c>
      <c r="S293">
        <f>N(G293)*Q293</f>
        <v/>
      </c>
      <c r="T293">
        <f>IF(OR(M293="",M293="Sold out",NOT(ISNUMBER(J293))),"",J293*1000+ROW())</f>
        <v/>
      </c>
    </row>
    <row r="294">
      <c r="A294" s="1" t="n"/>
      <c r="B294" s="20" t="n"/>
      <c r="C294" s="21" t="n"/>
      <c r="D294" s="22" t="n"/>
      <c r="E294" s="22" t="n"/>
      <c r="F294" s="22" t="n"/>
      <c r="G294" s="22" t="n"/>
      <c r="H294" s="23" t="n"/>
      <c r="I294" s="24">
        <f>IF(OR(C294="",NOT(ISNUMBER(B294))),"",UPPER(IF(IFERROR(IF(INDEX(Products!$C$6:$C$45,MATCH(C294,Products!$B$6:$B$45,0))="","",INDEX(Products!$C$6:$C$45,MATCH(C294,Products!$B$6:$B$45,0))),"")="",LEFT(SUBSTITUTE(C294," ",""),3),IFERROR(IF(INDEX(Products!$C$6:$C$45,MATCH(C294,Products!$B$6:$B$45,0))="","",INDEX(Products!$C$6:$C$45,MATCH(C294,Products!$B$6:$B$45,0))),"")))&amp;"-"&amp;RIGHT(YEAR(B294),2)&amp;RIGHT("0"&amp;MONTH(B294),2)&amp;RIGHT("0"&amp;DAY(B294),2)&amp;"-"&amp;COUNTIFS(C$6:C294,C294,B$6:B294,B294))</f>
        <v/>
      </c>
      <c r="J294" s="14">
        <f>IF(OR(C294="",NOT(ISNUMBER(B294)),N(P294)=0),"",B294+P294)</f>
        <v/>
      </c>
      <c r="K294" s="25">
        <f>IF(C294="","",N(D294)-N(E294)-N(F294)-N(G294))</f>
        <v/>
      </c>
      <c r="L294" s="13">
        <f>IF(OR(C294="",N(K294)&lt;=0,NOT(ISNUMBER(J294))),"",J294-TODAY())</f>
        <v/>
      </c>
      <c r="M294" s="12">
        <f>IF(C294="","",IF(N(K294)&lt;=0,"Sold out",IF(NOT(ISNUMBER(J294)),"In stock",IF(J294&lt;TODAY(),"Past its date",IF(J294-TODAY()&lt;=Settings!$C$5,"Use soon","In stock")))))</f>
        <v/>
      </c>
      <c r="N294" s="26">
        <f>IF(C294="","",N(D294)*Q294)</f>
        <v/>
      </c>
      <c r="O294" s="1" t="n"/>
      <c r="P294">
        <f>IF(C294="",0,IFERROR(N(INDEX(Products!$E$6:$E$45,MATCH(C294,Products!$B$6:$B$45,0))),0))</f>
        <v/>
      </c>
      <c r="Q294">
        <f>IF(C294="",0,IFERROR(N(INDEX(Products!$I$6:$I$45,MATCH(C294,Products!$B$6:$B$45,0))),0))</f>
        <v/>
      </c>
      <c r="R294">
        <f>IF(OR(C294="",NOT(ISNUMBER(B294))),"",YEAR(B294)*100+MONTH(B294))</f>
        <v/>
      </c>
      <c r="S294">
        <f>N(G294)*Q294</f>
        <v/>
      </c>
      <c r="T294">
        <f>IF(OR(M294="",M294="Sold out",NOT(ISNUMBER(J294))),"",J294*1000+ROW())</f>
        <v/>
      </c>
    </row>
    <row r="295">
      <c r="A295" s="1" t="n"/>
      <c r="B295" s="20" t="n"/>
      <c r="C295" s="21" t="n"/>
      <c r="D295" s="22" t="n"/>
      <c r="E295" s="22" t="n"/>
      <c r="F295" s="22" t="n"/>
      <c r="G295" s="22" t="n"/>
      <c r="H295" s="23" t="n"/>
      <c r="I295" s="24">
        <f>IF(OR(C295="",NOT(ISNUMBER(B295))),"",UPPER(IF(IFERROR(IF(INDEX(Products!$C$6:$C$45,MATCH(C295,Products!$B$6:$B$45,0))="","",INDEX(Products!$C$6:$C$45,MATCH(C295,Products!$B$6:$B$45,0))),"")="",LEFT(SUBSTITUTE(C295," ",""),3),IFERROR(IF(INDEX(Products!$C$6:$C$45,MATCH(C295,Products!$B$6:$B$45,0))="","",INDEX(Products!$C$6:$C$45,MATCH(C295,Products!$B$6:$B$45,0))),"")))&amp;"-"&amp;RIGHT(YEAR(B295),2)&amp;RIGHT("0"&amp;MONTH(B295),2)&amp;RIGHT("0"&amp;DAY(B295),2)&amp;"-"&amp;COUNTIFS(C$6:C295,C295,B$6:B295,B295))</f>
        <v/>
      </c>
      <c r="J295" s="14">
        <f>IF(OR(C295="",NOT(ISNUMBER(B295)),N(P295)=0),"",B295+P295)</f>
        <v/>
      </c>
      <c r="K295" s="25">
        <f>IF(C295="","",N(D295)-N(E295)-N(F295)-N(G295))</f>
        <v/>
      </c>
      <c r="L295" s="13">
        <f>IF(OR(C295="",N(K295)&lt;=0,NOT(ISNUMBER(J295))),"",J295-TODAY())</f>
        <v/>
      </c>
      <c r="M295" s="12">
        <f>IF(C295="","",IF(N(K295)&lt;=0,"Sold out",IF(NOT(ISNUMBER(J295)),"In stock",IF(J295&lt;TODAY(),"Past its date",IF(J295-TODAY()&lt;=Settings!$C$5,"Use soon","In stock")))))</f>
        <v/>
      </c>
      <c r="N295" s="26">
        <f>IF(C295="","",N(D295)*Q295)</f>
        <v/>
      </c>
      <c r="O295" s="1" t="n"/>
      <c r="P295">
        <f>IF(C295="",0,IFERROR(N(INDEX(Products!$E$6:$E$45,MATCH(C295,Products!$B$6:$B$45,0))),0))</f>
        <v/>
      </c>
      <c r="Q295">
        <f>IF(C295="",0,IFERROR(N(INDEX(Products!$I$6:$I$45,MATCH(C295,Products!$B$6:$B$45,0))),0))</f>
        <v/>
      </c>
      <c r="R295">
        <f>IF(OR(C295="",NOT(ISNUMBER(B295))),"",YEAR(B295)*100+MONTH(B295))</f>
        <v/>
      </c>
      <c r="S295">
        <f>N(G295)*Q295</f>
        <v/>
      </c>
      <c r="T295">
        <f>IF(OR(M295="",M295="Sold out",NOT(ISNUMBER(J295))),"",J295*1000+ROW())</f>
        <v/>
      </c>
    </row>
    <row r="296">
      <c r="A296" s="1" t="n"/>
      <c r="B296" s="20" t="n"/>
      <c r="C296" s="21" t="n"/>
      <c r="D296" s="22" t="n"/>
      <c r="E296" s="22" t="n"/>
      <c r="F296" s="22" t="n"/>
      <c r="G296" s="22" t="n"/>
      <c r="H296" s="23" t="n"/>
      <c r="I296" s="24">
        <f>IF(OR(C296="",NOT(ISNUMBER(B296))),"",UPPER(IF(IFERROR(IF(INDEX(Products!$C$6:$C$45,MATCH(C296,Products!$B$6:$B$45,0))="","",INDEX(Products!$C$6:$C$45,MATCH(C296,Products!$B$6:$B$45,0))),"")="",LEFT(SUBSTITUTE(C296," ",""),3),IFERROR(IF(INDEX(Products!$C$6:$C$45,MATCH(C296,Products!$B$6:$B$45,0))="","",INDEX(Products!$C$6:$C$45,MATCH(C296,Products!$B$6:$B$45,0))),"")))&amp;"-"&amp;RIGHT(YEAR(B296),2)&amp;RIGHT("0"&amp;MONTH(B296),2)&amp;RIGHT("0"&amp;DAY(B296),2)&amp;"-"&amp;COUNTIFS(C$6:C296,C296,B$6:B296,B296))</f>
        <v/>
      </c>
      <c r="J296" s="14">
        <f>IF(OR(C296="",NOT(ISNUMBER(B296)),N(P296)=0),"",B296+P296)</f>
        <v/>
      </c>
      <c r="K296" s="25">
        <f>IF(C296="","",N(D296)-N(E296)-N(F296)-N(G296))</f>
        <v/>
      </c>
      <c r="L296" s="13">
        <f>IF(OR(C296="",N(K296)&lt;=0,NOT(ISNUMBER(J296))),"",J296-TODAY())</f>
        <v/>
      </c>
      <c r="M296" s="12">
        <f>IF(C296="","",IF(N(K296)&lt;=0,"Sold out",IF(NOT(ISNUMBER(J296)),"In stock",IF(J296&lt;TODAY(),"Past its date",IF(J296-TODAY()&lt;=Settings!$C$5,"Use soon","In stock")))))</f>
        <v/>
      </c>
      <c r="N296" s="26">
        <f>IF(C296="","",N(D296)*Q296)</f>
        <v/>
      </c>
      <c r="O296" s="1" t="n"/>
      <c r="P296">
        <f>IF(C296="",0,IFERROR(N(INDEX(Products!$E$6:$E$45,MATCH(C296,Products!$B$6:$B$45,0))),0))</f>
        <v/>
      </c>
      <c r="Q296">
        <f>IF(C296="",0,IFERROR(N(INDEX(Products!$I$6:$I$45,MATCH(C296,Products!$B$6:$B$45,0))),0))</f>
        <v/>
      </c>
      <c r="R296">
        <f>IF(OR(C296="",NOT(ISNUMBER(B296))),"",YEAR(B296)*100+MONTH(B296))</f>
        <v/>
      </c>
      <c r="S296">
        <f>N(G296)*Q296</f>
        <v/>
      </c>
      <c r="T296">
        <f>IF(OR(M296="",M296="Sold out",NOT(ISNUMBER(J296))),"",J296*1000+ROW())</f>
        <v/>
      </c>
    </row>
    <row r="297">
      <c r="A297" s="1" t="n"/>
      <c r="B297" s="20" t="n"/>
      <c r="C297" s="21" t="n"/>
      <c r="D297" s="22" t="n"/>
      <c r="E297" s="22" t="n"/>
      <c r="F297" s="22" t="n"/>
      <c r="G297" s="22" t="n"/>
      <c r="H297" s="23" t="n"/>
      <c r="I297" s="24">
        <f>IF(OR(C297="",NOT(ISNUMBER(B297))),"",UPPER(IF(IFERROR(IF(INDEX(Products!$C$6:$C$45,MATCH(C297,Products!$B$6:$B$45,0))="","",INDEX(Products!$C$6:$C$45,MATCH(C297,Products!$B$6:$B$45,0))),"")="",LEFT(SUBSTITUTE(C297," ",""),3),IFERROR(IF(INDEX(Products!$C$6:$C$45,MATCH(C297,Products!$B$6:$B$45,0))="","",INDEX(Products!$C$6:$C$45,MATCH(C297,Products!$B$6:$B$45,0))),"")))&amp;"-"&amp;RIGHT(YEAR(B297),2)&amp;RIGHT("0"&amp;MONTH(B297),2)&amp;RIGHT("0"&amp;DAY(B297),2)&amp;"-"&amp;COUNTIFS(C$6:C297,C297,B$6:B297,B297))</f>
        <v/>
      </c>
      <c r="J297" s="14">
        <f>IF(OR(C297="",NOT(ISNUMBER(B297)),N(P297)=0),"",B297+P297)</f>
        <v/>
      </c>
      <c r="K297" s="25">
        <f>IF(C297="","",N(D297)-N(E297)-N(F297)-N(G297))</f>
        <v/>
      </c>
      <c r="L297" s="13">
        <f>IF(OR(C297="",N(K297)&lt;=0,NOT(ISNUMBER(J297))),"",J297-TODAY())</f>
        <v/>
      </c>
      <c r="M297" s="12">
        <f>IF(C297="","",IF(N(K297)&lt;=0,"Sold out",IF(NOT(ISNUMBER(J297)),"In stock",IF(J297&lt;TODAY(),"Past its date",IF(J297-TODAY()&lt;=Settings!$C$5,"Use soon","In stock")))))</f>
        <v/>
      </c>
      <c r="N297" s="26">
        <f>IF(C297="","",N(D297)*Q297)</f>
        <v/>
      </c>
      <c r="O297" s="1" t="n"/>
      <c r="P297">
        <f>IF(C297="",0,IFERROR(N(INDEX(Products!$E$6:$E$45,MATCH(C297,Products!$B$6:$B$45,0))),0))</f>
        <v/>
      </c>
      <c r="Q297">
        <f>IF(C297="",0,IFERROR(N(INDEX(Products!$I$6:$I$45,MATCH(C297,Products!$B$6:$B$45,0))),0))</f>
        <v/>
      </c>
      <c r="R297">
        <f>IF(OR(C297="",NOT(ISNUMBER(B297))),"",YEAR(B297)*100+MONTH(B297))</f>
        <v/>
      </c>
      <c r="S297">
        <f>N(G297)*Q297</f>
        <v/>
      </c>
      <c r="T297">
        <f>IF(OR(M297="",M297="Sold out",NOT(ISNUMBER(J297))),"",J297*1000+ROW())</f>
        <v/>
      </c>
    </row>
    <row r="298">
      <c r="A298" s="1" t="n"/>
      <c r="B298" s="20" t="n"/>
      <c r="C298" s="21" t="n"/>
      <c r="D298" s="22" t="n"/>
      <c r="E298" s="22" t="n"/>
      <c r="F298" s="22" t="n"/>
      <c r="G298" s="22" t="n"/>
      <c r="H298" s="23" t="n"/>
      <c r="I298" s="24">
        <f>IF(OR(C298="",NOT(ISNUMBER(B298))),"",UPPER(IF(IFERROR(IF(INDEX(Products!$C$6:$C$45,MATCH(C298,Products!$B$6:$B$45,0))="","",INDEX(Products!$C$6:$C$45,MATCH(C298,Products!$B$6:$B$45,0))),"")="",LEFT(SUBSTITUTE(C298," ",""),3),IFERROR(IF(INDEX(Products!$C$6:$C$45,MATCH(C298,Products!$B$6:$B$45,0))="","",INDEX(Products!$C$6:$C$45,MATCH(C298,Products!$B$6:$B$45,0))),"")))&amp;"-"&amp;RIGHT(YEAR(B298),2)&amp;RIGHT("0"&amp;MONTH(B298),2)&amp;RIGHT("0"&amp;DAY(B298),2)&amp;"-"&amp;COUNTIFS(C$6:C298,C298,B$6:B298,B298))</f>
        <v/>
      </c>
      <c r="J298" s="14">
        <f>IF(OR(C298="",NOT(ISNUMBER(B298)),N(P298)=0),"",B298+P298)</f>
        <v/>
      </c>
      <c r="K298" s="25">
        <f>IF(C298="","",N(D298)-N(E298)-N(F298)-N(G298))</f>
        <v/>
      </c>
      <c r="L298" s="13">
        <f>IF(OR(C298="",N(K298)&lt;=0,NOT(ISNUMBER(J298))),"",J298-TODAY())</f>
        <v/>
      </c>
      <c r="M298" s="12">
        <f>IF(C298="","",IF(N(K298)&lt;=0,"Sold out",IF(NOT(ISNUMBER(J298)),"In stock",IF(J298&lt;TODAY(),"Past its date",IF(J298-TODAY()&lt;=Settings!$C$5,"Use soon","In stock")))))</f>
        <v/>
      </c>
      <c r="N298" s="26">
        <f>IF(C298="","",N(D298)*Q298)</f>
        <v/>
      </c>
      <c r="O298" s="1" t="n"/>
      <c r="P298">
        <f>IF(C298="",0,IFERROR(N(INDEX(Products!$E$6:$E$45,MATCH(C298,Products!$B$6:$B$45,0))),0))</f>
        <v/>
      </c>
      <c r="Q298">
        <f>IF(C298="",0,IFERROR(N(INDEX(Products!$I$6:$I$45,MATCH(C298,Products!$B$6:$B$45,0))),0))</f>
        <v/>
      </c>
      <c r="R298">
        <f>IF(OR(C298="",NOT(ISNUMBER(B298))),"",YEAR(B298)*100+MONTH(B298))</f>
        <v/>
      </c>
      <c r="S298">
        <f>N(G298)*Q298</f>
        <v/>
      </c>
      <c r="T298">
        <f>IF(OR(M298="",M298="Sold out",NOT(ISNUMBER(J298))),"",J298*1000+ROW())</f>
        <v/>
      </c>
    </row>
    <row r="299">
      <c r="A299" s="1" t="n"/>
      <c r="B299" s="20" t="n"/>
      <c r="C299" s="21" t="n"/>
      <c r="D299" s="22" t="n"/>
      <c r="E299" s="22" t="n"/>
      <c r="F299" s="22" t="n"/>
      <c r="G299" s="22" t="n"/>
      <c r="H299" s="23" t="n"/>
      <c r="I299" s="24">
        <f>IF(OR(C299="",NOT(ISNUMBER(B299))),"",UPPER(IF(IFERROR(IF(INDEX(Products!$C$6:$C$45,MATCH(C299,Products!$B$6:$B$45,0))="","",INDEX(Products!$C$6:$C$45,MATCH(C299,Products!$B$6:$B$45,0))),"")="",LEFT(SUBSTITUTE(C299," ",""),3),IFERROR(IF(INDEX(Products!$C$6:$C$45,MATCH(C299,Products!$B$6:$B$45,0))="","",INDEX(Products!$C$6:$C$45,MATCH(C299,Products!$B$6:$B$45,0))),"")))&amp;"-"&amp;RIGHT(YEAR(B299),2)&amp;RIGHT("0"&amp;MONTH(B299),2)&amp;RIGHT("0"&amp;DAY(B299),2)&amp;"-"&amp;COUNTIFS(C$6:C299,C299,B$6:B299,B299))</f>
        <v/>
      </c>
      <c r="J299" s="14">
        <f>IF(OR(C299="",NOT(ISNUMBER(B299)),N(P299)=0),"",B299+P299)</f>
        <v/>
      </c>
      <c r="K299" s="25">
        <f>IF(C299="","",N(D299)-N(E299)-N(F299)-N(G299))</f>
        <v/>
      </c>
      <c r="L299" s="13">
        <f>IF(OR(C299="",N(K299)&lt;=0,NOT(ISNUMBER(J299))),"",J299-TODAY())</f>
        <v/>
      </c>
      <c r="M299" s="12">
        <f>IF(C299="","",IF(N(K299)&lt;=0,"Sold out",IF(NOT(ISNUMBER(J299)),"In stock",IF(J299&lt;TODAY(),"Past its date",IF(J299-TODAY()&lt;=Settings!$C$5,"Use soon","In stock")))))</f>
        <v/>
      </c>
      <c r="N299" s="26">
        <f>IF(C299="","",N(D299)*Q299)</f>
        <v/>
      </c>
      <c r="O299" s="1" t="n"/>
      <c r="P299">
        <f>IF(C299="",0,IFERROR(N(INDEX(Products!$E$6:$E$45,MATCH(C299,Products!$B$6:$B$45,0))),0))</f>
        <v/>
      </c>
      <c r="Q299">
        <f>IF(C299="",0,IFERROR(N(INDEX(Products!$I$6:$I$45,MATCH(C299,Products!$B$6:$B$45,0))),0))</f>
        <v/>
      </c>
      <c r="R299">
        <f>IF(OR(C299="",NOT(ISNUMBER(B299))),"",YEAR(B299)*100+MONTH(B299))</f>
        <v/>
      </c>
      <c r="S299">
        <f>N(G299)*Q299</f>
        <v/>
      </c>
      <c r="T299">
        <f>IF(OR(M299="",M299="Sold out",NOT(ISNUMBER(J299))),"",J299*1000+ROW())</f>
        <v/>
      </c>
    </row>
    <row r="300">
      <c r="A300" s="1" t="n"/>
      <c r="B300" s="20" t="n"/>
      <c r="C300" s="21" t="n"/>
      <c r="D300" s="22" t="n"/>
      <c r="E300" s="22" t="n"/>
      <c r="F300" s="22" t="n"/>
      <c r="G300" s="22" t="n"/>
      <c r="H300" s="23" t="n"/>
      <c r="I300" s="24">
        <f>IF(OR(C300="",NOT(ISNUMBER(B300))),"",UPPER(IF(IFERROR(IF(INDEX(Products!$C$6:$C$45,MATCH(C300,Products!$B$6:$B$45,0))="","",INDEX(Products!$C$6:$C$45,MATCH(C300,Products!$B$6:$B$45,0))),"")="",LEFT(SUBSTITUTE(C300," ",""),3),IFERROR(IF(INDEX(Products!$C$6:$C$45,MATCH(C300,Products!$B$6:$B$45,0))="","",INDEX(Products!$C$6:$C$45,MATCH(C300,Products!$B$6:$B$45,0))),"")))&amp;"-"&amp;RIGHT(YEAR(B300),2)&amp;RIGHT("0"&amp;MONTH(B300),2)&amp;RIGHT("0"&amp;DAY(B300),2)&amp;"-"&amp;COUNTIFS(C$6:C300,C300,B$6:B300,B300))</f>
        <v/>
      </c>
      <c r="J300" s="14">
        <f>IF(OR(C300="",NOT(ISNUMBER(B300)),N(P300)=0),"",B300+P300)</f>
        <v/>
      </c>
      <c r="K300" s="25">
        <f>IF(C300="","",N(D300)-N(E300)-N(F300)-N(G300))</f>
        <v/>
      </c>
      <c r="L300" s="13">
        <f>IF(OR(C300="",N(K300)&lt;=0,NOT(ISNUMBER(J300))),"",J300-TODAY())</f>
        <v/>
      </c>
      <c r="M300" s="12">
        <f>IF(C300="","",IF(N(K300)&lt;=0,"Sold out",IF(NOT(ISNUMBER(J300)),"In stock",IF(J300&lt;TODAY(),"Past its date",IF(J300-TODAY()&lt;=Settings!$C$5,"Use soon","In stock")))))</f>
        <v/>
      </c>
      <c r="N300" s="26">
        <f>IF(C300="","",N(D300)*Q300)</f>
        <v/>
      </c>
      <c r="O300" s="1" t="n"/>
      <c r="P300">
        <f>IF(C300="",0,IFERROR(N(INDEX(Products!$E$6:$E$45,MATCH(C300,Products!$B$6:$B$45,0))),0))</f>
        <v/>
      </c>
      <c r="Q300">
        <f>IF(C300="",0,IFERROR(N(INDEX(Products!$I$6:$I$45,MATCH(C300,Products!$B$6:$B$45,0))),0))</f>
        <v/>
      </c>
      <c r="R300">
        <f>IF(OR(C300="",NOT(ISNUMBER(B300))),"",YEAR(B300)*100+MONTH(B300))</f>
        <v/>
      </c>
      <c r="S300">
        <f>N(G300)*Q300</f>
        <v/>
      </c>
      <c r="T300">
        <f>IF(OR(M300="",M300="Sold out",NOT(ISNUMBER(J300))),"",J300*1000+ROW())</f>
        <v/>
      </c>
    </row>
    <row r="301">
      <c r="A301" s="1" t="n"/>
      <c r="B301" s="20" t="n"/>
      <c r="C301" s="21" t="n"/>
      <c r="D301" s="22" t="n"/>
      <c r="E301" s="22" t="n"/>
      <c r="F301" s="22" t="n"/>
      <c r="G301" s="22" t="n"/>
      <c r="H301" s="23" t="n"/>
      <c r="I301" s="24">
        <f>IF(OR(C301="",NOT(ISNUMBER(B301))),"",UPPER(IF(IFERROR(IF(INDEX(Products!$C$6:$C$45,MATCH(C301,Products!$B$6:$B$45,0))="","",INDEX(Products!$C$6:$C$45,MATCH(C301,Products!$B$6:$B$45,0))),"")="",LEFT(SUBSTITUTE(C301," ",""),3),IFERROR(IF(INDEX(Products!$C$6:$C$45,MATCH(C301,Products!$B$6:$B$45,0))="","",INDEX(Products!$C$6:$C$45,MATCH(C301,Products!$B$6:$B$45,0))),"")))&amp;"-"&amp;RIGHT(YEAR(B301),2)&amp;RIGHT("0"&amp;MONTH(B301),2)&amp;RIGHT("0"&amp;DAY(B301),2)&amp;"-"&amp;COUNTIFS(C$6:C301,C301,B$6:B301,B301))</f>
        <v/>
      </c>
      <c r="J301" s="14">
        <f>IF(OR(C301="",NOT(ISNUMBER(B301)),N(P301)=0),"",B301+P301)</f>
        <v/>
      </c>
      <c r="K301" s="25">
        <f>IF(C301="","",N(D301)-N(E301)-N(F301)-N(G301))</f>
        <v/>
      </c>
      <c r="L301" s="13">
        <f>IF(OR(C301="",N(K301)&lt;=0,NOT(ISNUMBER(J301))),"",J301-TODAY())</f>
        <v/>
      </c>
      <c r="M301" s="12">
        <f>IF(C301="","",IF(N(K301)&lt;=0,"Sold out",IF(NOT(ISNUMBER(J301)),"In stock",IF(J301&lt;TODAY(),"Past its date",IF(J301-TODAY()&lt;=Settings!$C$5,"Use soon","In stock")))))</f>
        <v/>
      </c>
      <c r="N301" s="26">
        <f>IF(C301="","",N(D301)*Q301)</f>
        <v/>
      </c>
      <c r="O301" s="1" t="n"/>
      <c r="P301">
        <f>IF(C301="",0,IFERROR(N(INDEX(Products!$E$6:$E$45,MATCH(C301,Products!$B$6:$B$45,0))),0))</f>
        <v/>
      </c>
      <c r="Q301">
        <f>IF(C301="",0,IFERROR(N(INDEX(Products!$I$6:$I$45,MATCH(C301,Products!$B$6:$B$45,0))),0))</f>
        <v/>
      </c>
      <c r="R301">
        <f>IF(OR(C301="",NOT(ISNUMBER(B301))),"",YEAR(B301)*100+MONTH(B301))</f>
        <v/>
      </c>
      <c r="S301">
        <f>N(G301)*Q301</f>
        <v/>
      </c>
      <c r="T301">
        <f>IF(OR(M301="",M301="Sold out",NOT(ISNUMBER(J301))),"",J301*1000+ROW())</f>
        <v/>
      </c>
    </row>
    <row r="302">
      <c r="A302" s="1" t="n"/>
      <c r="B302" s="20" t="n"/>
      <c r="C302" s="21" t="n"/>
      <c r="D302" s="22" t="n"/>
      <c r="E302" s="22" t="n"/>
      <c r="F302" s="22" t="n"/>
      <c r="G302" s="22" t="n"/>
      <c r="H302" s="23" t="n"/>
      <c r="I302" s="24">
        <f>IF(OR(C302="",NOT(ISNUMBER(B302))),"",UPPER(IF(IFERROR(IF(INDEX(Products!$C$6:$C$45,MATCH(C302,Products!$B$6:$B$45,0))="","",INDEX(Products!$C$6:$C$45,MATCH(C302,Products!$B$6:$B$45,0))),"")="",LEFT(SUBSTITUTE(C302," ",""),3),IFERROR(IF(INDEX(Products!$C$6:$C$45,MATCH(C302,Products!$B$6:$B$45,0))="","",INDEX(Products!$C$6:$C$45,MATCH(C302,Products!$B$6:$B$45,0))),"")))&amp;"-"&amp;RIGHT(YEAR(B302),2)&amp;RIGHT("0"&amp;MONTH(B302),2)&amp;RIGHT("0"&amp;DAY(B302),2)&amp;"-"&amp;COUNTIFS(C$6:C302,C302,B$6:B302,B302))</f>
        <v/>
      </c>
      <c r="J302" s="14">
        <f>IF(OR(C302="",NOT(ISNUMBER(B302)),N(P302)=0),"",B302+P302)</f>
        <v/>
      </c>
      <c r="K302" s="25">
        <f>IF(C302="","",N(D302)-N(E302)-N(F302)-N(G302))</f>
        <v/>
      </c>
      <c r="L302" s="13">
        <f>IF(OR(C302="",N(K302)&lt;=0,NOT(ISNUMBER(J302))),"",J302-TODAY())</f>
        <v/>
      </c>
      <c r="M302" s="12">
        <f>IF(C302="","",IF(N(K302)&lt;=0,"Sold out",IF(NOT(ISNUMBER(J302)),"In stock",IF(J302&lt;TODAY(),"Past its date",IF(J302-TODAY()&lt;=Settings!$C$5,"Use soon","In stock")))))</f>
        <v/>
      </c>
      <c r="N302" s="26">
        <f>IF(C302="","",N(D302)*Q302)</f>
        <v/>
      </c>
      <c r="O302" s="1" t="n"/>
      <c r="P302">
        <f>IF(C302="",0,IFERROR(N(INDEX(Products!$E$6:$E$45,MATCH(C302,Products!$B$6:$B$45,0))),0))</f>
        <v/>
      </c>
      <c r="Q302">
        <f>IF(C302="",0,IFERROR(N(INDEX(Products!$I$6:$I$45,MATCH(C302,Products!$B$6:$B$45,0))),0))</f>
        <v/>
      </c>
      <c r="R302">
        <f>IF(OR(C302="",NOT(ISNUMBER(B302))),"",YEAR(B302)*100+MONTH(B302))</f>
        <v/>
      </c>
      <c r="S302">
        <f>N(G302)*Q302</f>
        <v/>
      </c>
      <c r="T302">
        <f>IF(OR(M302="",M302="Sold out",NOT(ISNUMBER(J302))),"",J302*1000+ROW())</f>
        <v/>
      </c>
    </row>
    <row r="303">
      <c r="A303" s="1" t="n"/>
      <c r="B303" s="20" t="n"/>
      <c r="C303" s="21" t="n"/>
      <c r="D303" s="22" t="n"/>
      <c r="E303" s="22" t="n"/>
      <c r="F303" s="22" t="n"/>
      <c r="G303" s="22" t="n"/>
      <c r="H303" s="23" t="n"/>
      <c r="I303" s="24">
        <f>IF(OR(C303="",NOT(ISNUMBER(B303))),"",UPPER(IF(IFERROR(IF(INDEX(Products!$C$6:$C$45,MATCH(C303,Products!$B$6:$B$45,0))="","",INDEX(Products!$C$6:$C$45,MATCH(C303,Products!$B$6:$B$45,0))),"")="",LEFT(SUBSTITUTE(C303," ",""),3),IFERROR(IF(INDEX(Products!$C$6:$C$45,MATCH(C303,Products!$B$6:$B$45,0))="","",INDEX(Products!$C$6:$C$45,MATCH(C303,Products!$B$6:$B$45,0))),"")))&amp;"-"&amp;RIGHT(YEAR(B303),2)&amp;RIGHT("0"&amp;MONTH(B303),2)&amp;RIGHT("0"&amp;DAY(B303),2)&amp;"-"&amp;COUNTIFS(C$6:C303,C303,B$6:B303,B303))</f>
        <v/>
      </c>
      <c r="J303" s="14">
        <f>IF(OR(C303="",NOT(ISNUMBER(B303)),N(P303)=0),"",B303+P303)</f>
        <v/>
      </c>
      <c r="K303" s="25">
        <f>IF(C303="","",N(D303)-N(E303)-N(F303)-N(G303))</f>
        <v/>
      </c>
      <c r="L303" s="13">
        <f>IF(OR(C303="",N(K303)&lt;=0,NOT(ISNUMBER(J303))),"",J303-TODAY())</f>
        <v/>
      </c>
      <c r="M303" s="12">
        <f>IF(C303="","",IF(N(K303)&lt;=0,"Sold out",IF(NOT(ISNUMBER(J303)),"In stock",IF(J303&lt;TODAY(),"Past its date",IF(J303-TODAY()&lt;=Settings!$C$5,"Use soon","In stock")))))</f>
        <v/>
      </c>
      <c r="N303" s="26">
        <f>IF(C303="","",N(D303)*Q303)</f>
        <v/>
      </c>
      <c r="O303" s="1" t="n"/>
      <c r="P303">
        <f>IF(C303="",0,IFERROR(N(INDEX(Products!$E$6:$E$45,MATCH(C303,Products!$B$6:$B$45,0))),0))</f>
        <v/>
      </c>
      <c r="Q303">
        <f>IF(C303="",0,IFERROR(N(INDEX(Products!$I$6:$I$45,MATCH(C303,Products!$B$6:$B$45,0))),0))</f>
        <v/>
      </c>
      <c r="R303">
        <f>IF(OR(C303="",NOT(ISNUMBER(B303))),"",YEAR(B303)*100+MONTH(B303))</f>
        <v/>
      </c>
      <c r="S303">
        <f>N(G303)*Q303</f>
        <v/>
      </c>
      <c r="T303">
        <f>IF(OR(M303="",M303="Sold out",NOT(ISNUMBER(J303))),"",J303*1000+ROW())</f>
        <v/>
      </c>
    </row>
    <row r="304">
      <c r="A304" s="1" t="n"/>
      <c r="B304" s="20" t="n"/>
      <c r="C304" s="21" t="n"/>
      <c r="D304" s="22" t="n"/>
      <c r="E304" s="22" t="n"/>
      <c r="F304" s="22" t="n"/>
      <c r="G304" s="22" t="n"/>
      <c r="H304" s="23" t="n"/>
      <c r="I304" s="24">
        <f>IF(OR(C304="",NOT(ISNUMBER(B304))),"",UPPER(IF(IFERROR(IF(INDEX(Products!$C$6:$C$45,MATCH(C304,Products!$B$6:$B$45,0))="","",INDEX(Products!$C$6:$C$45,MATCH(C304,Products!$B$6:$B$45,0))),"")="",LEFT(SUBSTITUTE(C304," ",""),3),IFERROR(IF(INDEX(Products!$C$6:$C$45,MATCH(C304,Products!$B$6:$B$45,0))="","",INDEX(Products!$C$6:$C$45,MATCH(C304,Products!$B$6:$B$45,0))),"")))&amp;"-"&amp;RIGHT(YEAR(B304),2)&amp;RIGHT("0"&amp;MONTH(B304),2)&amp;RIGHT("0"&amp;DAY(B304),2)&amp;"-"&amp;COUNTIFS(C$6:C304,C304,B$6:B304,B304))</f>
        <v/>
      </c>
      <c r="J304" s="14">
        <f>IF(OR(C304="",NOT(ISNUMBER(B304)),N(P304)=0),"",B304+P304)</f>
        <v/>
      </c>
      <c r="K304" s="25">
        <f>IF(C304="","",N(D304)-N(E304)-N(F304)-N(G304))</f>
        <v/>
      </c>
      <c r="L304" s="13">
        <f>IF(OR(C304="",N(K304)&lt;=0,NOT(ISNUMBER(J304))),"",J304-TODAY())</f>
        <v/>
      </c>
      <c r="M304" s="12">
        <f>IF(C304="","",IF(N(K304)&lt;=0,"Sold out",IF(NOT(ISNUMBER(J304)),"In stock",IF(J304&lt;TODAY(),"Past its date",IF(J304-TODAY()&lt;=Settings!$C$5,"Use soon","In stock")))))</f>
        <v/>
      </c>
      <c r="N304" s="26">
        <f>IF(C304="","",N(D304)*Q304)</f>
        <v/>
      </c>
      <c r="O304" s="1" t="n"/>
      <c r="P304">
        <f>IF(C304="",0,IFERROR(N(INDEX(Products!$E$6:$E$45,MATCH(C304,Products!$B$6:$B$45,0))),0))</f>
        <v/>
      </c>
      <c r="Q304">
        <f>IF(C304="",0,IFERROR(N(INDEX(Products!$I$6:$I$45,MATCH(C304,Products!$B$6:$B$45,0))),0))</f>
        <v/>
      </c>
      <c r="R304">
        <f>IF(OR(C304="",NOT(ISNUMBER(B304))),"",YEAR(B304)*100+MONTH(B304))</f>
        <v/>
      </c>
      <c r="S304">
        <f>N(G304)*Q304</f>
        <v/>
      </c>
      <c r="T304">
        <f>IF(OR(M304="",M304="Sold out",NOT(ISNUMBER(J304))),"",J304*1000+ROW())</f>
        <v/>
      </c>
    </row>
    <row r="305">
      <c r="A305" s="1" t="n"/>
      <c r="B305" s="20" t="n"/>
      <c r="C305" s="21" t="n"/>
      <c r="D305" s="22" t="n"/>
      <c r="E305" s="22" t="n"/>
      <c r="F305" s="22" t="n"/>
      <c r="G305" s="22" t="n"/>
      <c r="H305" s="23" t="n"/>
      <c r="I305" s="24">
        <f>IF(OR(C305="",NOT(ISNUMBER(B305))),"",UPPER(IF(IFERROR(IF(INDEX(Products!$C$6:$C$45,MATCH(C305,Products!$B$6:$B$45,0))="","",INDEX(Products!$C$6:$C$45,MATCH(C305,Products!$B$6:$B$45,0))),"")="",LEFT(SUBSTITUTE(C305," ",""),3),IFERROR(IF(INDEX(Products!$C$6:$C$45,MATCH(C305,Products!$B$6:$B$45,0))="","",INDEX(Products!$C$6:$C$45,MATCH(C305,Products!$B$6:$B$45,0))),"")))&amp;"-"&amp;RIGHT(YEAR(B305),2)&amp;RIGHT("0"&amp;MONTH(B305),2)&amp;RIGHT("0"&amp;DAY(B305),2)&amp;"-"&amp;COUNTIFS(C$6:C305,C305,B$6:B305,B305))</f>
        <v/>
      </c>
      <c r="J305" s="14">
        <f>IF(OR(C305="",NOT(ISNUMBER(B305)),N(P305)=0),"",B305+P305)</f>
        <v/>
      </c>
      <c r="K305" s="25">
        <f>IF(C305="","",N(D305)-N(E305)-N(F305)-N(G305))</f>
        <v/>
      </c>
      <c r="L305" s="13">
        <f>IF(OR(C305="",N(K305)&lt;=0,NOT(ISNUMBER(J305))),"",J305-TODAY())</f>
        <v/>
      </c>
      <c r="M305" s="12">
        <f>IF(C305="","",IF(N(K305)&lt;=0,"Sold out",IF(NOT(ISNUMBER(J305)),"In stock",IF(J305&lt;TODAY(),"Past its date",IF(J305-TODAY()&lt;=Settings!$C$5,"Use soon","In stock")))))</f>
        <v/>
      </c>
      <c r="N305" s="26">
        <f>IF(C305="","",N(D305)*Q305)</f>
        <v/>
      </c>
      <c r="O305" s="1" t="n"/>
      <c r="P305">
        <f>IF(C305="",0,IFERROR(N(INDEX(Products!$E$6:$E$45,MATCH(C305,Products!$B$6:$B$45,0))),0))</f>
        <v/>
      </c>
      <c r="Q305">
        <f>IF(C305="",0,IFERROR(N(INDEX(Products!$I$6:$I$45,MATCH(C305,Products!$B$6:$B$45,0))),0))</f>
        <v/>
      </c>
      <c r="R305">
        <f>IF(OR(C305="",NOT(ISNUMBER(B305))),"",YEAR(B305)*100+MONTH(B305))</f>
        <v/>
      </c>
      <c r="S305">
        <f>N(G305)*Q305</f>
        <v/>
      </c>
      <c r="T305">
        <f>IF(OR(M305="",M305="Sold out",NOT(ISNUMBER(J305))),"",J305*1000+ROW())</f>
        <v/>
      </c>
    </row>
    <row r="306">
      <c r="A306" s="1" t="n"/>
      <c r="B306" s="20" t="n"/>
      <c r="C306" s="21" t="n"/>
      <c r="D306" s="22" t="n"/>
      <c r="E306" s="22" t="n"/>
      <c r="F306" s="22" t="n"/>
      <c r="G306" s="22" t="n"/>
      <c r="H306" s="23" t="n"/>
      <c r="I306" s="24">
        <f>IF(OR(C306="",NOT(ISNUMBER(B306))),"",UPPER(IF(IFERROR(IF(INDEX(Products!$C$6:$C$45,MATCH(C306,Products!$B$6:$B$45,0))="","",INDEX(Products!$C$6:$C$45,MATCH(C306,Products!$B$6:$B$45,0))),"")="",LEFT(SUBSTITUTE(C306," ",""),3),IFERROR(IF(INDEX(Products!$C$6:$C$45,MATCH(C306,Products!$B$6:$B$45,0))="","",INDEX(Products!$C$6:$C$45,MATCH(C306,Products!$B$6:$B$45,0))),"")))&amp;"-"&amp;RIGHT(YEAR(B306),2)&amp;RIGHT("0"&amp;MONTH(B306),2)&amp;RIGHT("0"&amp;DAY(B306),2)&amp;"-"&amp;COUNTIFS(C$6:C306,C306,B$6:B306,B306))</f>
        <v/>
      </c>
      <c r="J306" s="14">
        <f>IF(OR(C306="",NOT(ISNUMBER(B306)),N(P306)=0),"",B306+P306)</f>
        <v/>
      </c>
      <c r="K306" s="25">
        <f>IF(C306="","",N(D306)-N(E306)-N(F306)-N(G306))</f>
        <v/>
      </c>
      <c r="L306" s="13">
        <f>IF(OR(C306="",N(K306)&lt;=0,NOT(ISNUMBER(J306))),"",J306-TODAY())</f>
        <v/>
      </c>
      <c r="M306" s="12">
        <f>IF(C306="","",IF(N(K306)&lt;=0,"Sold out",IF(NOT(ISNUMBER(J306)),"In stock",IF(J306&lt;TODAY(),"Past its date",IF(J306-TODAY()&lt;=Settings!$C$5,"Use soon","In stock")))))</f>
        <v/>
      </c>
      <c r="N306" s="26">
        <f>IF(C306="","",N(D306)*Q306)</f>
        <v/>
      </c>
      <c r="O306" s="1" t="n"/>
      <c r="P306">
        <f>IF(C306="",0,IFERROR(N(INDEX(Products!$E$6:$E$45,MATCH(C306,Products!$B$6:$B$45,0))),0))</f>
        <v/>
      </c>
      <c r="Q306">
        <f>IF(C306="",0,IFERROR(N(INDEX(Products!$I$6:$I$45,MATCH(C306,Products!$B$6:$B$45,0))),0))</f>
        <v/>
      </c>
      <c r="R306">
        <f>IF(OR(C306="",NOT(ISNUMBER(B306))),"",YEAR(B306)*100+MONTH(B306))</f>
        <v/>
      </c>
      <c r="S306">
        <f>N(G306)*Q306</f>
        <v/>
      </c>
      <c r="T306">
        <f>IF(OR(M306="",M306="Sold out",NOT(ISNUMBER(J306))),"",J306*1000+ROW())</f>
        <v/>
      </c>
    </row>
    <row r="307">
      <c r="A307" s="1" t="n"/>
      <c r="B307" s="20" t="n"/>
      <c r="C307" s="21" t="n"/>
      <c r="D307" s="22" t="n"/>
      <c r="E307" s="22" t="n"/>
      <c r="F307" s="22" t="n"/>
      <c r="G307" s="22" t="n"/>
      <c r="H307" s="23" t="n"/>
      <c r="I307" s="24">
        <f>IF(OR(C307="",NOT(ISNUMBER(B307))),"",UPPER(IF(IFERROR(IF(INDEX(Products!$C$6:$C$45,MATCH(C307,Products!$B$6:$B$45,0))="","",INDEX(Products!$C$6:$C$45,MATCH(C307,Products!$B$6:$B$45,0))),"")="",LEFT(SUBSTITUTE(C307," ",""),3),IFERROR(IF(INDEX(Products!$C$6:$C$45,MATCH(C307,Products!$B$6:$B$45,0))="","",INDEX(Products!$C$6:$C$45,MATCH(C307,Products!$B$6:$B$45,0))),"")))&amp;"-"&amp;RIGHT(YEAR(B307),2)&amp;RIGHT("0"&amp;MONTH(B307),2)&amp;RIGHT("0"&amp;DAY(B307),2)&amp;"-"&amp;COUNTIFS(C$6:C307,C307,B$6:B307,B307))</f>
        <v/>
      </c>
      <c r="J307" s="14">
        <f>IF(OR(C307="",NOT(ISNUMBER(B307)),N(P307)=0),"",B307+P307)</f>
        <v/>
      </c>
      <c r="K307" s="25">
        <f>IF(C307="","",N(D307)-N(E307)-N(F307)-N(G307))</f>
        <v/>
      </c>
      <c r="L307" s="13">
        <f>IF(OR(C307="",N(K307)&lt;=0,NOT(ISNUMBER(J307))),"",J307-TODAY())</f>
        <v/>
      </c>
      <c r="M307" s="12">
        <f>IF(C307="","",IF(N(K307)&lt;=0,"Sold out",IF(NOT(ISNUMBER(J307)),"In stock",IF(J307&lt;TODAY(),"Past its date",IF(J307-TODAY()&lt;=Settings!$C$5,"Use soon","In stock")))))</f>
        <v/>
      </c>
      <c r="N307" s="26">
        <f>IF(C307="","",N(D307)*Q307)</f>
        <v/>
      </c>
      <c r="O307" s="1" t="n"/>
      <c r="P307">
        <f>IF(C307="",0,IFERROR(N(INDEX(Products!$E$6:$E$45,MATCH(C307,Products!$B$6:$B$45,0))),0))</f>
        <v/>
      </c>
      <c r="Q307">
        <f>IF(C307="",0,IFERROR(N(INDEX(Products!$I$6:$I$45,MATCH(C307,Products!$B$6:$B$45,0))),0))</f>
        <v/>
      </c>
      <c r="R307">
        <f>IF(OR(C307="",NOT(ISNUMBER(B307))),"",YEAR(B307)*100+MONTH(B307))</f>
        <v/>
      </c>
      <c r="S307">
        <f>N(G307)*Q307</f>
        <v/>
      </c>
      <c r="T307">
        <f>IF(OR(M307="",M307="Sold out",NOT(ISNUMBER(J307))),"",J307*1000+ROW())</f>
        <v/>
      </c>
    </row>
    <row r="308">
      <c r="A308" s="1" t="n"/>
      <c r="B308" s="20" t="n"/>
      <c r="C308" s="21" t="n"/>
      <c r="D308" s="22" t="n"/>
      <c r="E308" s="22" t="n"/>
      <c r="F308" s="22" t="n"/>
      <c r="G308" s="22" t="n"/>
      <c r="H308" s="23" t="n"/>
      <c r="I308" s="24">
        <f>IF(OR(C308="",NOT(ISNUMBER(B308))),"",UPPER(IF(IFERROR(IF(INDEX(Products!$C$6:$C$45,MATCH(C308,Products!$B$6:$B$45,0))="","",INDEX(Products!$C$6:$C$45,MATCH(C308,Products!$B$6:$B$45,0))),"")="",LEFT(SUBSTITUTE(C308," ",""),3),IFERROR(IF(INDEX(Products!$C$6:$C$45,MATCH(C308,Products!$B$6:$B$45,0))="","",INDEX(Products!$C$6:$C$45,MATCH(C308,Products!$B$6:$B$45,0))),"")))&amp;"-"&amp;RIGHT(YEAR(B308),2)&amp;RIGHT("0"&amp;MONTH(B308),2)&amp;RIGHT("0"&amp;DAY(B308),2)&amp;"-"&amp;COUNTIFS(C$6:C308,C308,B$6:B308,B308))</f>
        <v/>
      </c>
      <c r="J308" s="14">
        <f>IF(OR(C308="",NOT(ISNUMBER(B308)),N(P308)=0),"",B308+P308)</f>
        <v/>
      </c>
      <c r="K308" s="25">
        <f>IF(C308="","",N(D308)-N(E308)-N(F308)-N(G308))</f>
        <v/>
      </c>
      <c r="L308" s="13">
        <f>IF(OR(C308="",N(K308)&lt;=0,NOT(ISNUMBER(J308))),"",J308-TODAY())</f>
        <v/>
      </c>
      <c r="M308" s="12">
        <f>IF(C308="","",IF(N(K308)&lt;=0,"Sold out",IF(NOT(ISNUMBER(J308)),"In stock",IF(J308&lt;TODAY(),"Past its date",IF(J308-TODAY()&lt;=Settings!$C$5,"Use soon","In stock")))))</f>
        <v/>
      </c>
      <c r="N308" s="26">
        <f>IF(C308="","",N(D308)*Q308)</f>
        <v/>
      </c>
      <c r="O308" s="1" t="n"/>
      <c r="P308">
        <f>IF(C308="",0,IFERROR(N(INDEX(Products!$E$6:$E$45,MATCH(C308,Products!$B$6:$B$45,0))),0))</f>
        <v/>
      </c>
      <c r="Q308">
        <f>IF(C308="",0,IFERROR(N(INDEX(Products!$I$6:$I$45,MATCH(C308,Products!$B$6:$B$45,0))),0))</f>
        <v/>
      </c>
      <c r="R308">
        <f>IF(OR(C308="",NOT(ISNUMBER(B308))),"",YEAR(B308)*100+MONTH(B308))</f>
        <v/>
      </c>
      <c r="S308">
        <f>N(G308)*Q308</f>
        <v/>
      </c>
      <c r="T308">
        <f>IF(OR(M308="",M308="Sold out",NOT(ISNUMBER(J308))),"",J308*1000+ROW())</f>
        <v/>
      </c>
    </row>
    <row r="309">
      <c r="A309" s="1" t="n"/>
      <c r="B309" s="20" t="n"/>
      <c r="C309" s="21" t="n"/>
      <c r="D309" s="22" t="n"/>
      <c r="E309" s="22" t="n"/>
      <c r="F309" s="22" t="n"/>
      <c r="G309" s="22" t="n"/>
      <c r="H309" s="23" t="n"/>
      <c r="I309" s="24">
        <f>IF(OR(C309="",NOT(ISNUMBER(B309))),"",UPPER(IF(IFERROR(IF(INDEX(Products!$C$6:$C$45,MATCH(C309,Products!$B$6:$B$45,0))="","",INDEX(Products!$C$6:$C$45,MATCH(C309,Products!$B$6:$B$45,0))),"")="",LEFT(SUBSTITUTE(C309," ",""),3),IFERROR(IF(INDEX(Products!$C$6:$C$45,MATCH(C309,Products!$B$6:$B$45,0))="","",INDEX(Products!$C$6:$C$45,MATCH(C309,Products!$B$6:$B$45,0))),"")))&amp;"-"&amp;RIGHT(YEAR(B309),2)&amp;RIGHT("0"&amp;MONTH(B309),2)&amp;RIGHT("0"&amp;DAY(B309),2)&amp;"-"&amp;COUNTIFS(C$6:C309,C309,B$6:B309,B309))</f>
        <v/>
      </c>
      <c r="J309" s="14">
        <f>IF(OR(C309="",NOT(ISNUMBER(B309)),N(P309)=0),"",B309+P309)</f>
        <v/>
      </c>
      <c r="K309" s="25">
        <f>IF(C309="","",N(D309)-N(E309)-N(F309)-N(G309))</f>
        <v/>
      </c>
      <c r="L309" s="13">
        <f>IF(OR(C309="",N(K309)&lt;=0,NOT(ISNUMBER(J309))),"",J309-TODAY())</f>
        <v/>
      </c>
      <c r="M309" s="12">
        <f>IF(C309="","",IF(N(K309)&lt;=0,"Sold out",IF(NOT(ISNUMBER(J309)),"In stock",IF(J309&lt;TODAY(),"Past its date",IF(J309-TODAY()&lt;=Settings!$C$5,"Use soon","In stock")))))</f>
        <v/>
      </c>
      <c r="N309" s="26">
        <f>IF(C309="","",N(D309)*Q309)</f>
        <v/>
      </c>
      <c r="O309" s="1" t="n"/>
      <c r="P309">
        <f>IF(C309="",0,IFERROR(N(INDEX(Products!$E$6:$E$45,MATCH(C309,Products!$B$6:$B$45,0))),0))</f>
        <v/>
      </c>
      <c r="Q309">
        <f>IF(C309="",0,IFERROR(N(INDEX(Products!$I$6:$I$45,MATCH(C309,Products!$B$6:$B$45,0))),0))</f>
        <v/>
      </c>
      <c r="R309">
        <f>IF(OR(C309="",NOT(ISNUMBER(B309))),"",YEAR(B309)*100+MONTH(B309))</f>
        <v/>
      </c>
      <c r="S309">
        <f>N(G309)*Q309</f>
        <v/>
      </c>
      <c r="T309">
        <f>IF(OR(M309="",M309="Sold out",NOT(ISNUMBER(J309))),"",J309*1000+ROW())</f>
        <v/>
      </c>
    </row>
    <row r="310">
      <c r="A310" s="1" t="n"/>
      <c r="B310" s="20" t="n"/>
      <c r="C310" s="21" t="n"/>
      <c r="D310" s="22" t="n"/>
      <c r="E310" s="22" t="n"/>
      <c r="F310" s="22" t="n"/>
      <c r="G310" s="22" t="n"/>
      <c r="H310" s="23" t="n"/>
      <c r="I310" s="24">
        <f>IF(OR(C310="",NOT(ISNUMBER(B310))),"",UPPER(IF(IFERROR(IF(INDEX(Products!$C$6:$C$45,MATCH(C310,Products!$B$6:$B$45,0))="","",INDEX(Products!$C$6:$C$45,MATCH(C310,Products!$B$6:$B$45,0))),"")="",LEFT(SUBSTITUTE(C310," ",""),3),IFERROR(IF(INDEX(Products!$C$6:$C$45,MATCH(C310,Products!$B$6:$B$45,0))="","",INDEX(Products!$C$6:$C$45,MATCH(C310,Products!$B$6:$B$45,0))),"")))&amp;"-"&amp;RIGHT(YEAR(B310),2)&amp;RIGHT("0"&amp;MONTH(B310),2)&amp;RIGHT("0"&amp;DAY(B310),2)&amp;"-"&amp;COUNTIFS(C$6:C310,C310,B$6:B310,B310))</f>
        <v/>
      </c>
      <c r="J310" s="14">
        <f>IF(OR(C310="",NOT(ISNUMBER(B310)),N(P310)=0),"",B310+P310)</f>
        <v/>
      </c>
      <c r="K310" s="25">
        <f>IF(C310="","",N(D310)-N(E310)-N(F310)-N(G310))</f>
        <v/>
      </c>
      <c r="L310" s="13">
        <f>IF(OR(C310="",N(K310)&lt;=0,NOT(ISNUMBER(J310))),"",J310-TODAY())</f>
        <v/>
      </c>
      <c r="M310" s="12">
        <f>IF(C310="","",IF(N(K310)&lt;=0,"Sold out",IF(NOT(ISNUMBER(J310)),"In stock",IF(J310&lt;TODAY(),"Past its date",IF(J310-TODAY()&lt;=Settings!$C$5,"Use soon","In stock")))))</f>
        <v/>
      </c>
      <c r="N310" s="26">
        <f>IF(C310="","",N(D310)*Q310)</f>
        <v/>
      </c>
      <c r="O310" s="1" t="n"/>
      <c r="P310">
        <f>IF(C310="",0,IFERROR(N(INDEX(Products!$E$6:$E$45,MATCH(C310,Products!$B$6:$B$45,0))),0))</f>
        <v/>
      </c>
      <c r="Q310">
        <f>IF(C310="",0,IFERROR(N(INDEX(Products!$I$6:$I$45,MATCH(C310,Products!$B$6:$B$45,0))),0))</f>
        <v/>
      </c>
      <c r="R310">
        <f>IF(OR(C310="",NOT(ISNUMBER(B310))),"",YEAR(B310)*100+MONTH(B310))</f>
        <v/>
      </c>
      <c r="S310">
        <f>N(G310)*Q310</f>
        <v/>
      </c>
      <c r="T310">
        <f>IF(OR(M310="",M310="Sold out",NOT(ISNUMBER(J310))),"",J310*1000+ROW())</f>
        <v/>
      </c>
    </row>
    <row r="311">
      <c r="A311" s="1" t="n"/>
      <c r="B311" s="20" t="n"/>
      <c r="C311" s="21" t="n"/>
      <c r="D311" s="22" t="n"/>
      <c r="E311" s="22" t="n"/>
      <c r="F311" s="22" t="n"/>
      <c r="G311" s="22" t="n"/>
      <c r="H311" s="23" t="n"/>
      <c r="I311" s="24">
        <f>IF(OR(C311="",NOT(ISNUMBER(B311))),"",UPPER(IF(IFERROR(IF(INDEX(Products!$C$6:$C$45,MATCH(C311,Products!$B$6:$B$45,0))="","",INDEX(Products!$C$6:$C$45,MATCH(C311,Products!$B$6:$B$45,0))),"")="",LEFT(SUBSTITUTE(C311," ",""),3),IFERROR(IF(INDEX(Products!$C$6:$C$45,MATCH(C311,Products!$B$6:$B$45,0))="","",INDEX(Products!$C$6:$C$45,MATCH(C311,Products!$B$6:$B$45,0))),"")))&amp;"-"&amp;RIGHT(YEAR(B311),2)&amp;RIGHT("0"&amp;MONTH(B311),2)&amp;RIGHT("0"&amp;DAY(B311),2)&amp;"-"&amp;COUNTIFS(C$6:C311,C311,B$6:B311,B311))</f>
        <v/>
      </c>
      <c r="J311" s="14">
        <f>IF(OR(C311="",NOT(ISNUMBER(B311)),N(P311)=0),"",B311+P311)</f>
        <v/>
      </c>
      <c r="K311" s="25">
        <f>IF(C311="","",N(D311)-N(E311)-N(F311)-N(G311))</f>
        <v/>
      </c>
      <c r="L311" s="13">
        <f>IF(OR(C311="",N(K311)&lt;=0,NOT(ISNUMBER(J311))),"",J311-TODAY())</f>
        <v/>
      </c>
      <c r="M311" s="12">
        <f>IF(C311="","",IF(N(K311)&lt;=0,"Sold out",IF(NOT(ISNUMBER(J311)),"In stock",IF(J311&lt;TODAY(),"Past its date",IF(J311-TODAY()&lt;=Settings!$C$5,"Use soon","In stock")))))</f>
        <v/>
      </c>
      <c r="N311" s="26">
        <f>IF(C311="","",N(D311)*Q311)</f>
        <v/>
      </c>
      <c r="O311" s="1" t="n"/>
      <c r="P311">
        <f>IF(C311="",0,IFERROR(N(INDEX(Products!$E$6:$E$45,MATCH(C311,Products!$B$6:$B$45,0))),0))</f>
        <v/>
      </c>
      <c r="Q311">
        <f>IF(C311="",0,IFERROR(N(INDEX(Products!$I$6:$I$45,MATCH(C311,Products!$B$6:$B$45,0))),0))</f>
        <v/>
      </c>
      <c r="R311">
        <f>IF(OR(C311="",NOT(ISNUMBER(B311))),"",YEAR(B311)*100+MONTH(B311))</f>
        <v/>
      </c>
      <c r="S311">
        <f>N(G311)*Q311</f>
        <v/>
      </c>
      <c r="T311">
        <f>IF(OR(M311="",M311="Sold out",NOT(ISNUMBER(J311))),"",J311*1000+ROW())</f>
        <v/>
      </c>
    </row>
    <row r="312">
      <c r="A312" s="1" t="n"/>
      <c r="B312" s="20" t="n"/>
      <c r="C312" s="21" t="n"/>
      <c r="D312" s="22" t="n"/>
      <c r="E312" s="22" t="n"/>
      <c r="F312" s="22" t="n"/>
      <c r="G312" s="22" t="n"/>
      <c r="H312" s="23" t="n"/>
      <c r="I312" s="24">
        <f>IF(OR(C312="",NOT(ISNUMBER(B312))),"",UPPER(IF(IFERROR(IF(INDEX(Products!$C$6:$C$45,MATCH(C312,Products!$B$6:$B$45,0))="","",INDEX(Products!$C$6:$C$45,MATCH(C312,Products!$B$6:$B$45,0))),"")="",LEFT(SUBSTITUTE(C312," ",""),3),IFERROR(IF(INDEX(Products!$C$6:$C$45,MATCH(C312,Products!$B$6:$B$45,0))="","",INDEX(Products!$C$6:$C$45,MATCH(C312,Products!$B$6:$B$45,0))),"")))&amp;"-"&amp;RIGHT(YEAR(B312),2)&amp;RIGHT("0"&amp;MONTH(B312),2)&amp;RIGHT("0"&amp;DAY(B312),2)&amp;"-"&amp;COUNTIFS(C$6:C312,C312,B$6:B312,B312))</f>
        <v/>
      </c>
      <c r="J312" s="14">
        <f>IF(OR(C312="",NOT(ISNUMBER(B312)),N(P312)=0),"",B312+P312)</f>
        <v/>
      </c>
      <c r="K312" s="25">
        <f>IF(C312="","",N(D312)-N(E312)-N(F312)-N(G312))</f>
        <v/>
      </c>
      <c r="L312" s="13">
        <f>IF(OR(C312="",N(K312)&lt;=0,NOT(ISNUMBER(J312))),"",J312-TODAY())</f>
        <v/>
      </c>
      <c r="M312" s="12">
        <f>IF(C312="","",IF(N(K312)&lt;=0,"Sold out",IF(NOT(ISNUMBER(J312)),"In stock",IF(J312&lt;TODAY(),"Past its date",IF(J312-TODAY()&lt;=Settings!$C$5,"Use soon","In stock")))))</f>
        <v/>
      </c>
      <c r="N312" s="26">
        <f>IF(C312="","",N(D312)*Q312)</f>
        <v/>
      </c>
      <c r="O312" s="1" t="n"/>
      <c r="P312">
        <f>IF(C312="",0,IFERROR(N(INDEX(Products!$E$6:$E$45,MATCH(C312,Products!$B$6:$B$45,0))),0))</f>
        <v/>
      </c>
      <c r="Q312">
        <f>IF(C312="",0,IFERROR(N(INDEX(Products!$I$6:$I$45,MATCH(C312,Products!$B$6:$B$45,0))),0))</f>
        <v/>
      </c>
      <c r="R312">
        <f>IF(OR(C312="",NOT(ISNUMBER(B312))),"",YEAR(B312)*100+MONTH(B312))</f>
        <v/>
      </c>
      <c r="S312">
        <f>N(G312)*Q312</f>
        <v/>
      </c>
      <c r="T312">
        <f>IF(OR(M312="",M312="Sold out",NOT(ISNUMBER(J312))),"",J312*1000+ROW())</f>
        <v/>
      </c>
    </row>
    <row r="313">
      <c r="A313" s="1" t="n"/>
      <c r="B313" s="20" t="n"/>
      <c r="C313" s="21" t="n"/>
      <c r="D313" s="22" t="n"/>
      <c r="E313" s="22" t="n"/>
      <c r="F313" s="22" t="n"/>
      <c r="G313" s="22" t="n"/>
      <c r="H313" s="23" t="n"/>
      <c r="I313" s="24">
        <f>IF(OR(C313="",NOT(ISNUMBER(B313))),"",UPPER(IF(IFERROR(IF(INDEX(Products!$C$6:$C$45,MATCH(C313,Products!$B$6:$B$45,0))="","",INDEX(Products!$C$6:$C$45,MATCH(C313,Products!$B$6:$B$45,0))),"")="",LEFT(SUBSTITUTE(C313," ",""),3),IFERROR(IF(INDEX(Products!$C$6:$C$45,MATCH(C313,Products!$B$6:$B$45,0))="","",INDEX(Products!$C$6:$C$45,MATCH(C313,Products!$B$6:$B$45,0))),"")))&amp;"-"&amp;RIGHT(YEAR(B313),2)&amp;RIGHT("0"&amp;MONTH(B313),2)&amp;RIGHT("0"&amp;DAY(B313),2)&amp;"-"&amp;COUNTIFS(C$6:C313,C313,B$6:B313,B313))</f>
        <v/>
      </c>
      <c r="J313" s="14">
        <f>IF(OR(C313="",NOT(ISNUMBER(B313)),N(P313)=0),"",B313+P313)</f>
        <v/>
      </c>
      <c r="K313" s="25">
        <f>IF(C313="","",N(D313)-N(E313)-N(F313)-N(G313))</f>
        <v/>
      </c>
      <c r="L313" s="13">
        <f>IF(OR(C313="",N(K313)&lt;=0,NOT(ISNUMBER(J313))),"",J313-TODAY())</f>
        <v/>
      </c>
      <c r="M313" s="12">
        <f>IF(C313="","",IF(N(K313)&lt;=0,"Sold out",IF(NOT(ISNUMBER(J313)),"In stock",IF(J313&lt;TODAY(),"Past its date",IF(J313-TODAY()&lt;=Settings!$C$5,"Use soon","In stock")))))</f>
        <v/>
      </c>
      <c r="N313" s="26">
        <f>IF(C313="","",N(D313)*Q313)</f>
        <v/>
      </c>
      <c r="O313" s="1" t="n"/>
      <c r="P313">
        <f>IF(C313="",0,IFERROR(N(INDEX(Products!$E$6:$E$45,MATCH(C313,Products!$B$6:$B$45,0))),0))</f>
        <v/>
      </c>
      <c r="Q313">
        <f>IF(C313="",0,IFERROR(N(INDEX(Products!$I$6:$I$45,MATCH(C313,Products!$B$6:$B$45,0))),0))</f>
        <v/>
      </c>
      <c r="R313">
        <f>IF(OR(C313="",NOT(ISNUMBER(B313))),"",YEAR(B313)*100+MONTH(B313))</f>
        <v/>
      </c>
      <c r="S313">
        <f>N(G313)*Q313</f>
        <v/>
      </c>
      <c r="T313">
        <f>IF(OR(M313="",M313="Sold out",NOT(ISNUMBER(J313))),"",J313*1000+ROW())</f>
        <v/>
      </c>
    </row>
    <row r="314">
      <c r="A314" s="1" t="n"/>
      <c r="B314" s="20" t="n"/>
      <c r="C314" s="21" t="n"/>
      <c r="D314" s="22" t="n"/>
      <c r="E314" s="22" t="n"/>
      <c r="F314" s="22" t="n"/>
      <c r="G314" s="22" t="n"/>
      <c r="H314" s="23" t="n"/>
      <c r="I314" s="24">
        <f>IF(OR(C314="",NOT(ISNUMBER(B314))),"",UPPER(IF(IFERROR(IF(INDEX(Products!$C$6:$C$45,MATCH(C314,Products!$B$6:$B$45,0))="","",INDEX(Products!$C$6:$C$45,MATCH(C314,Products!$B$6:$B$45,0))),"")="",LEFT(SUBSTITUTE(C314," ",""),3),IFERROR(IF(INDEX(Products!$C$6:$C$45,MATCH(C314,Products!$B$6:$B$45,0))="","",INDEX(Products!$C$6:$C$45,MATCH(C314,Products!$B$6:$B$45,0))),"")))&amp;"-"&amp;RIGHT(YEAR(B314),2)&amp;RIGHT("0"&amp;MONTH(B314),2)&amp;RIGHT("0"&amp;DAY(B314),2)&amp;"-"&amp;COUNTIFS(C$6:C314,C314,B$6:B314,B314))</f>
        <v/>
      </c>
      <c r="J314" s="14">
        <f>IF(OR(C314="",NOT(ISNUMBER(B314)),N(P314)=0),"",B314+P314)</f>
        <v/>
      </c>
      <c r="K314" s="25">
        <f>IF(C314="","",N(D314)-N(E314)-N(F314)-N(G314))</f>
        <v/>
      </c>
      <c r="L314" s="13">
        <f>IF(OR(C314="",N(K314)&lt;=0,NOT(ISNUMBER(J314))),"",J314-TODAY())</f>
        <v/>
      </c>
      <c r="M314" s="12">
        <f>IF(C314="","",IF(N(K314)&lt;=0,"Sold out",IF(NOT(ISNUMBER(J314)),"In stock",IF(J314&lt;TODAY(),"Past its date",IF(J314-TODAY()&lt;=Settings!$C$5,"Use soon","In stock")))))</f>
        <v/>
      </c>
      <c r="N314" s="26">
        <f>IF(C314="","",N(D314)*Q314)</f>
        <v/>
      </c>
      <c r="O314" s="1" t="n"/>
      <c r="P314">
        <f>IF(C314="",0,IFERROR(N(INDEX(Products!$E$6:$E$45,MATCH(C314,Products!$B$6:$B$45,0))),0))</f>
        <v/>
      </c>
      <c r="Q314">
        <f>IF(C314="",0,IFERROR(N(INDEX(Products!$I$6:$I$45,MATCH(C314,Products!$B$6:$B$45,0))),0))</f>
        <v/>
      </c>
      <c r="R314">
        <f>IF(OR(C314="",NOT(ISNUMBER(B314))),"",YEAR(B314)*100+MONTH(B314))</f>
        <v/>
      </c>
      <c r="S314">
        <f>N(G314)*Q314</f>
        <v/>
      </c>
      <c r="T314">
        <f>IF(OR(M314="",M314="Sold out",NOT(ISNUMBER(J314))),"",J314*1000+ROW())</f>
        <v/>
      </c>
    </row>
    <row r="315">
      <c r="A315" s="1" t="n"/>
      <c r="B315" s="20" t="n"/>
      <c r="C315" s="21" t="n"/>
      <c r="D315" s="22" t="n"/>
      <c r="E315" s="22" t="n"/>
      <c r="F315" s="22" t="n"/>
      <c r="G315" s="22" t="n"/>
      <c r="H315" s="23" t="n"/>
      <c r="I315" s="24">
        <f>IF(OR(C315="",NOT(ISNUMBER(B315))),"",UPPER(IF(IFERROR(IF(INDEX(Products!$C$6:$C$45,MATCH(C315,Products!$B$6:$B$45,0))="","",INDEX(Products!$C$6:$C$45,MATCH(C315,Products!$B$6:$B$45,0))),"")="",LEFT(SUBSTITUTE(C315," ",""),3),IFERROR(IF(INDEX(Products!$C$6:$C$45,MATCH(C315,Products!$B$6:$B$45,0))="","",INDEX(Products!$C$6:$C$45,MATCH(C315,Products!$B$6:$B$45,0))),"")))&amp;"-"&amp;RIGHT(YEAR(B315),2)&amp;RIGHT("0"&amp;MONTH(B315),2)&amp;RIGHT("0"&amp;DAY(B315),2)&amp;"-"&amp;COUNTIFS(C$6:C315,C315,B$6:B315,B315))</f>
        <v/>
      </c>
      <c r="J315" s="14">
        <f>IF(OR(C315="",NOT(ISNUMBER(B315)),N(P315)=0),"",B315+P315)</f>
        <v/>
      </c>
      <c r="K315" s="25">
        <f>IF(C315="","",N(D315)-N(E315)-N(F315)-N(G315))</f>
        <v/>
      </c>
      <c r="L315" s="13">
        <f>IF(OR(C315="",N(K315)&lt;=0,NOT(ISNUMBER(J315))),"",J315-TODAY())</f>
        <v/>
      </c>
      <c r="M315" s="12">
        <f>IF(C315="","",IF(N(K315)&lt;=0,"Sold out",IF(NOT(ISNUMBER(J315)),"In stock",IF(J315&lt;TODAY(),"Past its date",IF(J315-TODAY()&lt;=Settings!$C$5,"Use soon","In stock")))))</f>
        <v/>
      </c>
      <c r="N315" s="26">
        <f>IF(C315="","",N(D315)*Q315)</f>
        <v/>
      </c>
      <c r="O315" s="1" t="n"/>
      <c r="P315">
        <f>IF(C315="",0,IFERROR(N(INDEX(Products!$E$6:$E$45,MATCH(C315,Products!$B$6:$B$45,0))),0))</f>
        <v/>
      </c>
      <c r="Q315">
        <f>IF(C315="",0,IFERROR(N(INDEX(Products!$I$6:$I$45,MATCH(C315,Products!$B$6:$B$45,0))),0))</f>
        <v/>
      </c>
      <c r="R315">
        <f>IF(OR(C315="",NOT(ISNUMBER(B315))),"",YEAR(B315)*100+MONTH(B315))</f>
        <v/>
      </c>
      <c r="S315">
        <f>N(G315)*Q315</f>
        <v/>
      </c>
      <c r="T315">
        <f>IF(OR(M315="",M315="Sold out",NOT(ISNUMBER(J315))),"",J315*1000+ROW())</f>
        <v/>
      </c>
    </row>
    <row r="316">
      <c r="A316" s="1" t="n"/>
      <c r="B316" s="20" t="n"/>
      <c r="C316" s="21" t="n"/>
      <c r="D316" s="22" t="n"/>
      <c r="E316" s="22" t="n"/>
      <c r="F316" s="22" t="n"/>
      <c r="G316" s="22" t="n"/>
      <c r="H316" s="23" t="n"/>
      <c r="I316" s="24">
        <f>IF(OR(C316="",NOT(ISNUMBER(B316))),"",UPPER(IF(IFERROR(IF(INDEX(Products!$C$6:$C$45,MATCH(C316,Products!$B$6:$B$45,0))="","",INDEX(Products!$C$6:$C$45,MATCH(C316,Products!$B$6:$B$45,0))),"")="",LEFT(SUBSTITUTE(C316," ",""),3),IFERROR(IF(INDEX(Products!$C$6:$C$45,MATCH(C316,Products!$B$6:$B$45,0))="","",INDEX(Products!$C$6:$C$45,MATCH(C316,Products!$B$6:$B$45,0))),"")))&amp;"-"&amp;RIGHT(YEAR(B316),2)&amp;RIGHT("0"&amp;MONTH(B316),2)&amp;RIGHT("0"&amp;DAY(B316),2)&amp;"-"&amp;COUNTIFS(C$6:C316,C316,B$6:B316,B316))</f>
        <v/>
      </c>
      <c r="J316" s="14">
        <f>IF(OR(C316="",NOT(ISNUMBER(B316)),N(P316)=0),"",B316+P316)</f>
        <v/>
      </c>
      <c r="K316" s="25">
        <f>IF(C316="","",N(D316)-N(E316)-N(F316)-N(G316))</f>
        <v/>
      </c>
      <c r="L316" s="13">
        <f>IF(OR(C316="",N(K316)&lt;=0,NOT(ISNUMBER(J316))),"",J316-TODAY())</f>
        <v/>
      </c>
      <c r="M316" s="12">
        <f>IF(C316="","",IF(N(K316)&lt;=0,"Sold out",IF(NOT(ISNUMBER(J316)),"In stock",IF(J316&lt;TODAY(),"Past its date",IF(J316-TODAY()&lt;=Settings!$C$5,"Use soon","In stock")))))</f>
        <v/>
      </c>
      <c r="N316" s="26">
        <f>IF(C316="","",N(D316)*Q316)</f>
        <v/>
      </c>
      <c r="O316" s="1" t="n"/>
      <c r="P316">
        <f>IF(C316="",0,IFERROR(N(INDEX(Products!$E$6:$E$45,MATCH(C316,Products!$B$6:$B$45,0))),0))</f>
        <v/>
      </c>
      <c r="Q316">
        <f>IF(C316="",0,IFERROR(N(INDEX(Products!$I$6:$I$45,MATCH(C316,Products!$B$6:$B$45,0))),0))</f>
        <v/>
      </c>
      <c r="R316">
        <f>IF(OR(C316="",NOT(ISNUMBER(B316))),"",YEAR(B316)*100+MONTH(B316))</f>
        <v/>
      </c>
      <c r="S316">
        <f>N(G316)*Q316</f>
        <v/>
      </c>
      <c r="T316">
        <f>IF(OR(M316="",M316="Sold out",NOT(ISNUMBER(J316))),"",J316*1000+ROW())</f>
        <v/>
      </c>
    </row>
    <row r="317">
      <c r="A317" s="1" t="n"/>
      <c r="B317" s="20" t="n"/>
      <c r="C317" s="21" t="n"/>
      <c r="D317" s="22" t="n"/>
      <c r="E317" s="22" t="n"/>
      <c r="F317" s="22" t="n"/>
      <c r="G317" s="22" t="n"/>
      <c r="H317" s="23" t="n"/>
      <c r="I317" s="24">
        <f>IF(OR(C317="",NOT(ISNUMBER(B317))),"",UPPER(IF(IFERROR(IF(INDEX(Products!$C$6:$C$45,MATCH(C317,Products!$B$6:$B$45,0))="","",INDEX(Products!$C$6:$C$45,MATCH(C317,Products!$B$6:$B$45,0))),"")="",LEFT(SUBSTITUTE(C317," ",""),3),IFERROR(IF(INDEX(Products!$C$6:$C$45,MATCH(C317,Products!$B$6:$B$45,0))="","",INDEX(Products!$C$6:$C$45,MATCH(C317,Products!$B$6:$B$45,0))),"")))&amp;"-"&amp;RIGHT(YEAR(B317),2)&amp;RIGHT("0"&amp;MONTH(B317),2)&amp;RIGHT("0"&amp;DAY(B317),2)&amp;"-"&amp;COUNTIFS(C$6:C317,C317,B$6:B317,B317))</f>
        <v/>
      </c>
      <c r="J317" s="14">
        <f>IF(OR(C317="",NOT(ISNUMBER(B317)),N(P317)=0),"",B317+P317)</f>
        <v/>
      </c>
      <c r="K317" s="25">
        <f>IF(C317="","",N(D317)-N(E317)-N(F317)-N(G317))</f>
        <v/>
      </c>
      <c r="L317" s="13">
        <f>IF(OR(C317="",N(K317)&lt;=0,NOT(ISNUMBER(J317))),"",J317-TODAY())</f>
        <v/>
      </c>
      <c r="M317" s="12">
        <f>IF(C317="","",IF(N(K317)&lt;=0,"Sold out",IF(NOT(ISNUMBER(J317)),"In stock",IF(J317&lt;TODAY(),"Past its date",IF(J317-TODAY()&lt;=Settings!$C$5,"Use soon","In stock")))))</f>
        <v/>
      </c>
      <c r="N317" s="26">
        <f>IF(C317="","",N(D317)*Q317)</f>
        <v/>
      </c>
      <c r="O317" s="1" t="n"/>
      <c r="P317">
        <f>IF(C317="",0,IFERROR(N(INDEX(Products!$E$6:$E$45,MATCH(C317,Products!$B$6:$B$45,0))),0))</f>
        <v/>
      </c>
      <c r="Q317">
        <f>IF(C317="",0,IFERROR(N(INDEX(Products!$I$6:$I$45,MATCH(C317,Products!$B$6:$B$45,0))),0))</f>
        <v/>
      </c>
      <c r="R317">
        <f>IF(OR(C317="",NOT(ISNUMBER(B317))),"",YEAR(B317)*100+MONTH(B317))</f>
        <v/>
      </c>
      <c r="S317">
        <f>N(G317)*Q317</f>
        <v/>
      </c>
      <c r="T317">
        <f>IF(OR(M317="",M317="Sold out",NOT(ISNUMBER(J317))),"",J317*1000+ROW())</f>
        <v/>
      </c>
    </row>
    <row r="318">
      <c r="A318" s="1" t="n"/>
      <c r="B318" s="20" t="n"/>
      <c r="C318" s="21" t="n"/>
      <c r="D318" s="22" t="n"/>
      <c r="E318" s="22" t="n"/>
      <c r="F318" s="22" t="n"/>
      <c r="G318" s="22" t="n"/>
      <c r="H318" s="23" t="n"/>
      <c r="I318" s="24">
        <f>IF(OR(C318="",NOT(ISNUMBER(B318))),"",UPPER(IF(IFERROR(IF(INDEX(Products!$C$6:$C$45,MATCH(C318,Products!$B$6:$B$45,0))="","",INDEX(Products!$C$6:$C$45,MATCH(C318,Products!$B$6:$B$45,0))),"")="",LEFT(SUBSTITUTE(C318," ",""),3),IFERROR(IF(INDEX(Products!$C$6:$C$45,MATCH(C318,Products!$B$6:$B$45,0))="","",INDEX(Products!$C$6:$C$45,MATCH(C318,Products!$B$6:$B$45,0))),"")))&amp;"-"&amp;RIGHT(YEAR(B318),2)&amp;RIGHT("0"&amp;MONTH(B318),2)&amp;RIGHT("0"&amp;DAY(B318),2)&amp;"-"&amp;COUNTIFS(C$6:C318,C318,B$6:B318,B318))</f>
        <v/>
      </c>
      <c r="J318" s="14">
        <f>IF(OR(C318="",NOT(ISNUMBER(B318)),N(P318)=0),"",B318+P318)</f>
        <v/>
      </c>
      <c r="K318" s="25">
        <f>IF(C318="","",N(D318)-N(E318)-N(F318)-N(G318))</f>
        <v/>
      </c>
      <c r="L318" s="13">
        <f>IF(OR(C318="",N(K318)&lt;=0,NOT(ISNUMBER(J318))),"",J318-TODAY())</f>
        <v/>
      </c>
      <c r="M318" s="12">
        <f>IF(C318="","",IF(N(K318)&lt;=0,"Sold out",IF(NOT(ISNUMBER(J318)),"In stock",IF(J318&lt;TODAY(),"Past its date",IF(J318-TODAY()&lt;=Settings!$C$5,"Use soon","In stock")))))</f>
        <v/>
      </c>
      <c r="N318" s="26">
        <f>IF(C318="","",N(D318)*Q318)</f>
        <v/>
      </c>
      <c r="O318" s="1" t="n"/>
      <c r="P318">
        <f>IF(C318="",0,IFERROR(N(INDEX(Products!$E$6:$E$45,MATCH(C318,Products!$B$6:$B$45,0))),0))</f>
        <v/>
      </c>
      <c r="Q318">
        <f>IF(C318="",0,IFERROR(N(INDEX(Products!$I$6:$I$45,MATCH(C318,Products!$B$6:$B$45,0))),0))</f>
        <v/>
      </c>
      <c r="R318">
        <f>IF(OR(C318="",NOT(ISNUMBER(B318))),"",YEAR(B318)*100+MONTH(B318))</f>
        <v/>
      </c>
      <c r="S318">
        <f>N(G318)*Q318</f>
        <v/>
      </c>
      <c r="T318">
        <f>IF(OR(M318="",M318="Sold out",NOT(ISNUMBER(J318))),"",J318*1000+ROW())</f>
        <v/>
      </c>
    </row>
    <row r="319">
      <c r="A319" s="1" t="n"/>
      <c r="B319" s="20" t="n"/>
      <c r="C319" s="21" t="n"/>
      <c r="D319" s="22" t="n"/>
      <c r="E319" s="22" t="n"/>
      <c r="F319" s="22" t="n"/>
      <c r="G319" s="22" t="n"/>
      <c r="H319" s="23" t="n"/>
      <c r="I319" s="24">
        <f>IF(OR(C319="",NOT(ISNUMBER(B319))),"",UPPER(IF(IFERROR(IF(INDEX(Products!$C$6:$C$45,MATCH(C319,Products!$B$6:$B$45,0))="","",INDEX(Products!$C$6:$C$45,MATCH(C319,Products!$B$6:$B$45,0))),"")="",LEFT(SUBSTITUTE(C319," ",""),3),IFERROR(IF(INDEX(Products!$C$6:$C$45,MATCH(C319,Products!$B$6:$B$45,0))="","",INDEX(Products!$C$6:$C$45,MATCH(C319,Products!$B$6:$B$45,0))),"")))&amp;"-"&amp;RIGHT(YEAR(B319),2)&amp;RIGHT("0"&amp;MONTH(B319),2)&amp;RIGHT("0"&amp;DAY(B319),2)&amp;"-"&amp;COUNTIFS(C$6:C319,C319,B$6:B319,B319))</f>
        <v/>
      </c>
      <c r="J319" s="14">
        <f>IF(OR(C319="",NOT(ISNUMBER(B319)),N(P319)=0),"",B319+P319)</f>
        <v/>
      </c>
      <c r="K319" s="25">
        <f>IF(C319="","",N(D319)-N(E319)-N(F319)-N(G319))</f>
        <v/>
      </c>
      <c r="L319" s="13">
        <f>IF(OR(C319="",N(K319)&lt;=0,NOT(ISNUMBER(J319))),"",J319-TODAY())</f>
        <v/>
      </c>
      <c r="M319" s="12">
        <f>IF(C319="","",IF(N(K319)&lt;=0,"Sold out",IF(NOT(ISNUMBER(J319)),"In stock",IF(J319&lt;TODAY(),"Past its date",IF(J319-TODAY()&lt;=Settings!$C$5,"Use soon","In stock")))))</f>
        <v/>
      </c>
      <c r="N319" s="26">
        <f>IF(C319="","",N(D319)*Q319)</f>
        <v/>
      </c>
      <c r="O319" s="1" t="n"/>
      <c r="P319">
        <f>IF(C319="",0,IFERROR(N(INDEX(Products!$E$6:$E$45,MATCH(C319,Products!$B$6:$B$45,0))),0))</f>
        <v/>
      </c>
      <c r="Q319">
        <f>IF(C319="",0,IFERROR(N(INDEX(Products!$I$6:$I$45,MATCH(C319,Products!$B$6:$B$45,0))),0))</f>
        <v/>
      </c>
      <c r="R319">
        <f>IF(OR(C319="",NOT(ISNUMBER(B319))),"",YEAR(B319)*100+MONTH(B319))</f>
        <v/>
      </c>
      <c r="S319">
        <f>N(G319)*Q319</f>
        <v/>
      </c>
      <c r="T319">
        <f>IF(OR(M319="",M319="Sold out",NOT(ISNUMBER(J319))),"",J319*1000+ROW())</f>
        <v/>
      </c>
    </row>
    <row r="320">
      <c r="A320" s="1" t="n"/>
      <c r="B320" s="20" t="n"/>
      <c r="C320" s="21" t="n"/>
      <c r="D320" s="22" t="n"/>
      <c r="E320" s="22" t="n"/>
      <c r="F320" s="22" t="n"/>
      <c r="G320" s="22" t="n"/>
      <c r="H320" s="23" t="n"/>
      <c r="I320" s="24">
        <f>IF(OR(C320="",NOT(ISNUMBER(B320))),"",UPPER(IF(IFERROR(IF(INDEX(Products!$C$6:$C$45,MATCH(C320,Products!$B$6:$B$45,0))="","",INDEX(Products!$C$6:$C$45,MATCH(C320,Products!$B$6:$B$45,0))),"")="",LEFT(SUBSTITUTE(C320," ",""),3),IFERROR(IF(INDEX(Products!$C$6:$C$45,MATCH(C320,Products!$B$6:$B$45,0))="","",INDEX(Products!$C$6:$C$45,MATCH(C320,Products!$B$6:$B$45,0))),"")))&amp;"-"&amp;RIGHT(YEAR(B320),2)&amp;RIGHT("0"&amp;MONTH(B320),2)&amp;RIGHT("0"&amp;DAY(B320),2)&amp;"-"&amp;COUNTIFS(C$6:C320,C320,B$6:B320,B320))</f>
        <v/>
      </c>
      <c r="J320" s="14">
        <f>IF(OR(C320="",NOT(ISNUMBER(B320)),N(P320)=0),"",B320+P320)</f>
        <v/>
      </c>
      <c r="K320" s="25">
        <f>IF(C320="","",N(D320)-N(E320)-N(F320)-N(G320))</f>
        <v/>
      </c>
      <c r="L320" s="13">
        <f>IF(OR(C320="",N(K320)&lt;=0,NOT(ISNUMBER(J320))),"",J320-TODAY())</f>
        <v/>
      </c>
      <c r="M320" s="12">
        <f>IF(C320="","",IF(N(K320)&lt;=0,"Sold out",IF(NOT(ISNUMBER(J320)),"In stock",IF(J320&lt;TODAY(),"Past its date",IF(J320-TODAY()&lt;=Settings!$C$5,"Use soon","In stock")))))</f>
        <v/>
      </c>
      <c r="N320" s="26">
        <f>IF(C320="","",N(D320)*Q320)</f>
        <v/>
      </c>
      <c r="O320" s="1" t="n"/>
      <c r="P320">
        <f>IF(C320="",0,IFERROR(N(INDEX(Products!$E$6:$E$45,MATCH(C320,Products!$B$6:$B$45,0))),0))</f>
        <v/>
      </c>
      <c r="Q320">
        <f>IF(C320="",0,IFERROR(N(INDEX(Products!$I$6:$I$45,MATCH(C320,Products!$B$6:$B$45,0))),0))</f>
        <v/>
      </c>
      <c r="R320">
        <f>IF(OR(C320="",NOT(ISNUMBER(B320))),"",YEAR(B320)*100+MONTH(B320))</f>
        <v/>
      </c>
      <c r="S320">
        <f>N(G320)*Q320</f>
        <v/>
      </c>
      <c r="T320">
        <f>IF(OR(M320="",M320="Sold out",NOT(ISNUMBER(J320))),"",J320*1000+ROW())</f>
        <v/>
      </c>
    </row>
    <row r="321">
      <c r="A321" s="1" t="n"/>
      <c r="B321" s="20" t="n"/>
      <c r="C321" s="21" t="n"/>
      <c r="D321" s="22" t="n"/>
      <c r="E321" s="22" t="n"/>
      <c r="F321" s="22" t="n"/>
      <c r="G321" s="22" t="n"/>
      <c r="H321" s="23" t="n"/>
      <c r="I321" s="24">
        <f>IF(OR(C321="",NOT(ISNUMBER(B321))),"",UPPER(IF(IFERROR(IF(INDEX(Products!$C$6:$C$45,MATCH(C321,Products!$B$6:$B$45,0))="","",INDEX(Products!$C$6:$C$45,MATCH(C321,Products!$B$6:$B$45,0))),"")="",LEFT(SUBSTITUTE(C321," ",""),3),IFERROR(IF(INDEX(Products!$C$6:$C$45,MATCH(C321,Products!$B$6:$B$45,0))="","",INDEX(Products!$C$6:$C$45,MATCH(C321,Products!$B$6:$B$45,0))),"")))&amp;"-"&amp;RIGHT(YEAR(B321),2)&amp;RIGHT("0"&amp;MONTH(B321),2)&amp;RIGHT("0"&amp;DAY(B321),2)&amp;"-"&amp;COUNTIFS(C$6:C321,C321,B$6:B321,B321))</f>
        <v/>
      </c>
      <c r="J321" s="14">
        <f>IF(OR(C321="",NOT(ISNUMBER(B321)),N(P321)=0),"",B321+P321)</f>
        <v/>
      </c>
      <c r="K321" s="25">
        <f>IF(C321="","",N(D321)-N(E321)-N(F321)-N(G321))</f>
        <v/>
      </c>
      <c r="L321" s="13">
        <f>IF(OR(C321="",N(K321)&lt;=0,NOT(ISNUMBER(J321))),"",J321-TODAY())</f>
        <v/>
      </c>
      <c r="M321" s="12">
        <f>IF(C321="","",IF(N(K321)&lt;=0,"Sold out",IF(NOT(ISNUMBER(J321)),"In stock",IF(J321&lt;TODAY(),"Past its date",IF(J321-TODAY()&lt;=Settings!$C$5,"Use soon","In stock")))))</f>
        <v/>
      </c>
      <c r="N321" s="26">
        <f>IF(C321="","",N(D321)*Q321)</f>
        <v/>
      </c>
      <c r="O321" s="1" t="n"/>
      <c r="P321">
        <f>IF(C321="",0,IFERROR(N(INDEX(Products!$E$6:$E$45,MATCH(C321,Products!$B$6:$B$45,0))),0))</f>
        <v/>
      </c>
      <c r="Q321">
        <f>IF(C321="",0,IFERROR(N(INDEX(Products!$I$6:$I$45,MATCH(C321,Products!$B$6:$B$45,0))),0))</f>
        <v/>
      </c>
      <c r="R321">
        <f>IF(OR(C321="",NOT(ISNUMBER(B321))),"",YEAR(B321)*100+MONTH(B321))</f>
        <v/>
      </c>
      <c r="S321">
        <f>N(G321)*Q321</f>
        <v/>
      </c>
      <c r="T321">
        <f>IF(OR(M321="",M321="Sold out",NOT(ISNUMBER(J321))),"",J321*1000+ROW())</f>
        <v/>
      </c>
    </row>
    <row r="322">
      <c r="A322" s="1" t="n"/>
      <c r="B322" s="20" t="n"/>
      <c r="C322" s="21" t="n"/>
      <c r="D322" s="22" t="n"/>
      <c r="E322" s="22" t="n"/>
      <c r="F322" s="22" t="n"/>
      <c r="G322" s="22" t="n"/>
      <c r="H322" s="23" t="n"/>
      <c r="I322" s="24">
        <f>IF(OR(C322="",NOT(ISNUMBER(B322))),"",UPPER(IF(IFERROR(IF(INDEX(Products!$C$6:$C$45,MATCH(C322,Products!$B$6:$B$45,0))="","",INDEX(Products!$C$6:$C$45,MATCH(C322,Products!$B$6:$B$45,0))),"")="",LEFT(SUBSTITUTE(C322," ",""),3),IFERROR(IF(INDEX(Products!$C$6:$C$45,MATCH(C322,Products!$B$6:$B$45,0))="","",INDEX(Products!$C$6:$C$45,MATCH(C322,Products!$B$6:$B$45,0))),"")))&amp;"-"&amp;RIGHT(YEAR(B322),2)&amp;RIGHT("0"&amp;MONTH(B322),2)&amp;RIGHT("0"&amp;DAY(B322),2)&amp;"-"&amp;COUNTIFS(C$6:C322,C322,B$6:B322,B322))</f>
        <v/>
      </c>
      <c r="J322" s="14">
        <f>IF(OR(C322="",NOT(ISNUMBER(B322)),N(P322)=0),"",B322+P322)</f>
        <v/>
      </c>
      <c r="K322" s="25">
        <f>IF(C322="","",N(D322)-N(E322)-N(F322)-N(G322))</f>
        <v/>
      </c>
      <c r="L322" s="13">
        <f>IF(OR(C322="",N(K322)&lt;=0,NOT(ISNUMBER(J322))),"",J322-TODAY())</f>
        <v/>
      </c>
      <c r="M322" s="12">
        <f>IF(C322="","",IF(N(K322)&lt;=0,"Sold out",IF(NOT(ISNUMBER(J322)),"In stock",IF(J322&lt;TODAY(),"Past its date",IF(J322-TODAY()&lt;=Settings!$C$5,"Use soon","In stock")))))</f>
        <v/>
      </c>
      <c r="N322" s="26">
        <f>IF(C322="","",N(D322)*Q322)</f>
        <v/>
      </c>
      <c r="O322" s="1" t="n"/>
      <c r="P322">
        <f>IF(C322="",0,IFERROR(N(INDEX(Products!$E$6:$E$45,MATCH(C322,Products!$B$6:$B$45,0))),0))</f>
        <v/>
      </c>
      <c r="Q322">
        <f>IF(C322="",0,IFERROR(N(INDEX(Products!$I$6:$I$45,MATCH(C322,Products!$B$6:$B$45,0))),0))</f>
        <v/>
      </c>
      <c r="R322">
        <f>IF(OR(C322="",NOT(ISNUMBER(B322))),"",YEAR(B322)*100+MONTH(B322))</f>
        <v/>
      </c>
      <c r="S322">
        <f>N(G322)*Q322</f>
        <v/>
      </c>
      <c r="T322">
        <f>IF(OR(M322="",M322="Sold out",NOT(ISNUMBER(J322))),"",J322*1000+ROW())</f>
        <v/>
      </c>
    </row>
    <row r="323">
      <c r="A323" s="1" t="n"/>
      <c r="B323" s="20" t="n"/>
      <c r="C323" s="21" t="n"/>
      <c r="D323" s="22" t="n"/>
      <c r="E323" s="22" t="n"/>
      <c r="F323" s="22" t="n"/>
      <c r="G323" s="22" t="n"/>
      <c r="H323" s="23" t="n"/>
      <c r="I323" s="24">
        <f>IF(OR(C323="",NOT(ISNUMBER(B323))),"",UPPER(IF(IFERROR(IF(INDEX(Products!$C$6:$C$45,MATCH(C323,Products!$B$6:$B$45,0))="","",INDEX(Products!$C$6:$C$45,MATCH(C323,Products!$B$6:$B$45,0))),"")="",LEFT(SUBSTITUTE(C323," ",""),3),IFERROR(IF(INDEX(Products!$C$6:$C$45,MATCH(C323,Products!$B$6:$B$45,0))="","",INDEX(Products!$C$6:$C$45,MATCH(C323,Products!$B$6:$B$45,0))),"")))&amp;"-"&amp;RIGHT(YEAR(B323),2)&amp;RIGHT("0"&amp;MONTH(B323),2)&amp;RIGHT("0"&amp;DAY(B323),2)&amp;"-"&amp;COUNTIFS(C$6:C323,C323,B$6:B323,B323))</f>
        <v/>
      </c>
      <c r="J323" s="14">
        <f>IF(OR(C323="",NOT(ISNUMBER(B323)),N(P323)=0),"",B323+P323)</f>
        <v/>
      </c>
      <c r="K323" s="25">
        <f>IF(C323="","",N(D323)-N(E323)-N(F323)-N(G323))</f>
        <v/>
      </c>
      <c r="L323" s="13">
        <f>IF(OR(C323="",N(K323)&lt;=0,NOT(ISNUMBER(J323))),"",J323-TODAY())</f>
        <v/>
      </c>
      <c r="M323" s="12">
        <f>IF(C323="","",IF(N(K323)&lt;=0,"Sold out",IF(NOT(ISNUMBER(J323)),"In stock",IF(J323&lt;TODAY(),"Past its date",IF(J323-TODAY()&lt;=Settings!$C$5,"Use soon","In stock")))))</f>
        <v/>
      </c>
      <c r="N323" s="26">
        <f>IF(C323="","",N(D323)*Q323)</f>
        <v/>
      </c>
      <c r="O323" s="1" t="n"/>
      <c r="P323">
        <f>IF(C323="",0,IFERROR(N(INDEX(Products!$E$6:$E$45,MATCH(C323,Products!$B$6:$B$45,0))),0))</f>
        <v/>
      </c>
      <c r="Q323">
        <f>IF(C323="",0,IFERROR(N(INDEX(Products!$I$6:$I$45,MATCH(C323,Products!$B$6:$B$45,0))),0))</f>
        <v/>
      </c>
      <c r="R323">
        <f>IF(OR(C323="",NOT(ISNUMBER(B323))),"",YEAR(B323)*100+MONTH(B323))</f>
        <v/>
      </c>
      <c r="S323">
        <f>N(G323)*Q323</f>
        <v/>
      </c>
      <c r="T323">
        <f>IF(OR(M323="",M323="Sold out",NOT(ISNUMBER(J323))),"",J323*1000+ROW())</f>
        <v/>
      </c>
    </row>
    <row r="324">
      <c r="A324" s="1" t="n"/>
      <c r="B324" s="20" t="n"/>
      <c r="C324" s="21" t="n"/>
      <c r="D324" s="22" t="n"/>
      <c r="E324" s="22" t="n"/>
      <c r="F324" s="22" t="n"/>
      <c r="G324" s="22" t="n"/>
      <c r="H324" s="23" t="n"/>
      <c r="I324" s="24">
        <f>IF(OR(C324="",NOT(ISNUMBER(B324))),"",UPPER(IF(IFERROR(IF(INDEX(Products!$C$6:$C$45,MATCH(C324,Products!$B$6:$B$45,0))="","",INDEX(Products!$C$6:$C$45,MATCH(C324,Products!$B$6:$B$45,0))),"")="",LEFT(SUBSTITUTE(C324," ",""),3),IFERROR(IF(INDEX(Products!$C$6:$C$45,MATCH(C324,Products!$B$6:$B$45,0))="","",INDEX(Products!$C$6:$C$45,MATCH(C324,Products!$B$6:$B$45,0))),"")))&amp;"-"&amp;RIGHT(YEAR(B324),2)&amp;RIGHT("0"&amp;MONTH(B324),2)&amp;RIGHT("0"&amp;DAY(B324),2)&amp;"-"&amp;COUNTIFS(C$6:C324,C324,B$6:B324,B324))</f>
        <v/>
      </c>
      <c r="J324" s="14">
        <f>IF(OR(C324="",NOT(ISNUMBER(B324)),N(P324)=0),"",B324+P324)</f>
        <v/>
      </c>
      <c r="K324" s="25">
        <f>IF(C324="","",N(D324)-N(E324)-N(F324)-N(G324))</f>
        <v/>
      </c>
      <c r="L324" s="13">
        <f>IF(OR(C324="",N(K324)&lt;=0,NOT(ISNUMBER(J324))),"",J324-TODAY())</f>
        <v/>
      </c>
      <c r="M324" s="12">
        <f>IF(C324="","",IF(N(K324)&lt;=0,"Sold out",IF(NOT(ISNUMBER(J324)),"In stock",IF(J324&lt;TODAY(),"Past its date",IF(J324-TODAY()&lt;=Settings!$C$5,"Use soon","In stock")))))</f>
        <v/>
      </c>
      <c r="N324" s="26">
        <f>IF(C324="","",N(D324)*Q324)</f>
        <v/>
      </c>
      <c r="O324" s="1" t="n"/>
      <c r="P324">
        <f>IF(C324="",0,IFERROR(N(INDEX(Products!$E$6:$E$45,MATCH(C324,Products!$B$6:$B$45,0))),0))</f>
        <v/>
      </c>
      <c r="Q324">
        <f>IF(C324="",0,IFERROR(N(INDEX(Products!$I$6:$I$45,MATCH(C324,Products!$B$6:$B$45,0))),0))</f>
        <v/>
      </c>
      <c r="R324">
        <f>IF(OR(C324="",NOT(ISNUMBER(B324))),"",YEAR(B324)*100+MONTH(B324))</f>
        <v/>
      </c>
      <c r="S324">
        <f>N(G324)*Q324</f>
        <v/>
      </c>
      <c r="T324">
        <f>IF(OR(M324="",M324="Sold out",NOT(ISNUMBER(J324))),"",J324*1000+ROW())</f>
        <v/>
      </c>
    </row>
    <row r="325">
      <c r="A325" s="1" t="n"/>
      <c r="B325" s="20" t="n"/>
      <c r="C325" s="21" t="n"/>
      <c r="D325" s="22" t="n"/>
      <c r="E325" s="22" t="n"/>
      <c r="F325" s="22" t="n"/>
      <c r="G325" s="22" t="n"/>
      <c r="H325" s="23" t="n"/>
      <c r="I325" s="24">
        <f>IF(OR(C325="",NOT(ISNUMBER(B325))),"",UPPER(IF(IFERROR(IF(INDEX(Products!$C$6:$C$45,MATCH(C325,Products!$B$6:$B$45,0))="","",INDEX(Products!$C$6:$C$45,MATCH(C325,Products!$B$6:$B$45,0))),"")="",LEFT(SUBSTITUTE(C325," ",""),3),IFERROR(IF(INDEX(Products!$C$6:$C$45,MATCH(C325,Products!$B$6:$B$45,0))="","",INDEX(Products!$C$6:$C$45,MATCH(C325,Products!$B$6:$B$45,0))),"")))&amp;"-"&amp;RIGHT(YEAR(B325),2)&amp;RIGHT("0"&amp;MONTH(B325),2)&amp;RIGHT("0"&amp;DAY(B325),2)&amp;"-"&amp;COUNTIFS(C$6:C325,C325,B$6:B325,B325))</f>
        <v/>
      </c>
      <c r="J325" s="14">
        <f>IF(OR(C325="",NOT(ISNUMBER(B325)),N(P325)=0),"",B325+P325)</f>
        <v/>
      </c>
      <c r="K325" s="25">
        <f>IF(C325="","",N(D325)-N(E325)-N(F325)-N(G325))</f>
        <v/>
      </c>
      <c r="L325" s="13">
        <f>IF(OR(C325="",N(K325)&lt;=0,NOT(ISNUMBER(J325))),"",J325-TODAY())</f>
        <v/>
      </c>
      <c r="M325" s="12">
        <f>IF(C325="","",IF(N(K325)&lt;=0,"Sold out",IF(NOT(ISNUMBER(J325)),"In stock",IF(J325&lt;TODAY(),"Past its date",IF(J325-TODAY()&lt;=Settings!$C$5,"Use soon","In stock")))))</f>
        <v/>
      </c>
      <c r="N325" s="26">
        <f>IF(C325="","",N(D325)*Q325)</f>
        <v/>
      </c>
      <c r="O325" s="1" t="n"/>
      <c r="P325">
        <f>IF(C325="",0,IFERROR(N(INDEX(Products!$E$6:$E$45,MATCH(C325,Products!$B$6:$B$45,0))),0))</f>
        <v/>
      </c>
      <c r="Q325">
        <f>IF(C325="",0,IFERROR(N(INDEX(Products!$I$6:$I$45,MATCH(C325,Products!$B$6:$B$45,0))),0))</f>
        <v/>
      </c>
      <c r="R325">
        <f>IF(OR(C325="",NOT(ISNUMBER(B325))),"",YEAR(B325)*100+MONTH(B325))</f>
        <v/>
      </c>
      <c r="S325">
        <f>N(G325)*Q325</f>
        <v/>
      </c>
      <c r="T325">
        <f>IF(OR(M325="",M325="Sold out",NOT(ISNUMBER(J325))),"",J325*1000+ROW())</f>
        <v/>
      </c>
    </row>
    <row r="326">
      <c r="A326" s="1" t="n"/>
      <c r="B326" s="20" t="n"/>
      <c r="C326" s="21" t="n"/>
      <c r="D326" s="22" t="n"/>
      <c r="E326" s="22" t="n"/>
      <c r="F326" s="22" t="n"/>
      <c r="G326" s="22" t="n"/>
      <c r="H326" s="23" t="n"/>
      <c r="I326" s="24">
        <f>IF(OR(C326="",NOT(ISNUMBER(B326))),"",UPPER(IF(IFERROR(IF(INDEX(Products!$C$6:$C$45,MATCH(C326,Products!$B$6:$B$45,0))="","",INDEX(Products!$C$6:$C$45,MATCH(C326,Products!$B$6:$B$45,0))),"")="",LEFT(SUBSTITUTE(C326," ",""),3),IFERROR(IF(INDEX(Products!$C$6:$C$45,MATCH(C326,Products!$B$6:$B$45,0))="","",INDEX(Products!$C$6:$C$45,MATCH(C326,Products!$B$6:$B$45,0))),"")))&amp;"-"&amp;RIGHT(YEAR(B326),2)&amp;RIGHT("0"&amp;MONTH(B326),2)&amp;RIGHT("0"&amp;DAY(B326),2)&amp;"-"&amp;COUNTIFS(C$6:C326,C326,B$6:B326,B326))</f>
        <v/>
      </c>
      <c r="J326" s="14">
        <f>IF(OR(C326="",NOT(ISNUMBER(B326)),N(P326)=0),"",B326+P326)</f>
        <v/>
      </c>
      <c r="K326" s="25">
        <f>IF(C326="","",N(D326)-N(E326)-N(F326)-N(G326))</f>
        <v/>
      </c>
      <c r="L326" s="13">
        <f>IF(OR(C326="",N(K326)&lt;=0,NOT(ISNUMBER(J326))),"",J326-TODAY())</f>
        <v/>
      </c>
      <c r="M326" s="12">
        <f>IF(C326="","",IF(N(K326)&lt;=0,"Sold out",IF(NOT(ISNUMBER(J326)),"In stock",IF(J326&lt;TODAY(),"Past its date",IF(J326-TODAY()&lt;=Settings!$C$5,"Use soon","In stock")))))</f>
        <v/>
      </c>
      <c r="N326" s="26">
        <f>IF(C326="","",N(D326)*Q326)</f>
        <v/>
      </c>
      <c r="O326" s="1" t="n"/>
      <c r="P326">
        <f>IF(C326="",0,IFERROR(N(INDEX(Products!$E$6:$E$45,MATCH(C326,Products!$B$6:$B$45,0))),0))</f>
        <v/>
      </c>
      <c r="Q326">
        <f>IF(C326="",0,IFERROR(N(INDEX(Products!$I$6:$I$45,MATCH(C326,Products!$B$6:$B$45,0))),0))</f>
        <v/>
      </c>
      <c r="R326">
        <f>IF(OR(C326="",NOT(ISNUMBER(B326))),"",YEAR(B326)*100+MONTH(B326))</f>
        <v/>
      </c>
      <c r="S326">
        <f>N(G326)*Q326</f>
        <v/>
      </c>
      <c r="T326">
        <f>IF(OR(M326="",M326="Sold out",NOT(ISNUMBER(J326))),"",J326*1000+ROW())</f>
        <v/>
      </c>
    </row>
    <row r="327">
      <c r="A327" s="1" t="n"/>
      <c r="B327" s="20" t="n"/>
      <c r="C327" s="21" t="n"/>
      <c r="D327" s="22" t="n"/>
      <c r="E327" s="22" t="n"/>
      <c r="F327" s="22" t="n"/>
      <c r="G327" s="22" t="n"/>
      <c r="H327" s="23" t="n"/>
      <c r="I327" s="24">
        <f>IF(OR(C327="",NOT(ISNUMBER(B327))),"",UPPER(IF(IFERROR(IF(INDEX(Products!$C$6:$C$45,MATCH(C327,Products!$B$6:$B$45,0))="","",INDEX(Products!$C$6:$C$45,MATCH(C327,Products!$B$6:$B$45,0))),"")="",LEFT(SUBSTITUTE(C327," ",""),3),IFERROR(IF(INDEX(Products!$C$6:$C$45,MATCH(C327,Products!$B$6:$B$45,0))="","",INDEX(Products!$C$6:$C$45,MATCH(C327,Products!$B$6:$B$45,0))),"")))&amp;"-"&amp;RIGHT(YEAR(B327),2)&amp;RIGHT("0"&amp;MONTH(B327),2)&amp;RIGHT("0"&amp;DAY(B327),2)&amp;"-"&amp;COUNTIFS(C$6:C327,C327,B$6:B327,B327))</f>
        <v/>
      </c>
      <c r="J327" s="14">
        <f>IF(OR(C327="",NOT(ISNUMBER(B327)),N(P327)=0),"",B327+P327)</f>
        <v/>
      </c>
      <c r="K327" s="25">
        <f>IF(C327="","",N(D327)-N(E327)-N(F327)-N(G327))</f>
        <v/>
      </c>
      <c r="L327" s="13">
        <f>IF(OR(C327="",N(K327)&lt;=0,NOT(ISNUMBER(J327))),"",J327-TODAY())</f>
        <v/>
      </c>
      <c r="M327" s="12">
        <f>IF(C327="","",IF(N(K327)&lt;=0,"Sold out",IF(NOT(ISNUMBER(J327)),"In stock",IF(J327&lt;TODAY(),"Past its date",IF(J327-TODAY()&lt;=Settings!$C$5,"Use soon","In stock")))))</f>
        <v/>
      </c>
      <c r="N327" s="26">
        <f>IF(C327="","",N(D327)*Q327)</f>
        <v/>
      </c>
      <c r="O327" s="1" t="n"/>
      <c r="P327">
        <f>IF(C327="",0,IFERROR(N(INDEX(Products!$E$6:$E$45,MATCH(C327,Products!$B$6:$B$45,0))),0))</f>
        <v/>
      </c>
      <c r="Q327">
        <f>IF(C327="",0,IFERROR(N(INDEX(Products!$I$6:$I$45,MATCH(C327,Products!$B$6:$B$45,0))),0))</f>
        <v/>
      </c>
      <c r="R327">
        <f>IF(OR(C327="",NOT(ISNUMBER(B327))),"",YEAR(B327)*100+MONTH(B327))</f>
        <v/>
      </c>
      <c r="S327">
        <f>N(G327)*Q327</f>
        <v/>
      </c>
      <c r="T327">
        <f>IF(OR(M327="",M327="Sold out",NOT(ISNUMBER(J327))),"",J327*1000+ROW())</f>
        <v/>
      </c>
    </row>
    <row r="328">
      <c r="A328" s="1" t="n"/>
      <c r="B328" s="20" t="n"/>
      <c r="C328" s="21" t="n"/>
      <c r="D328" s="22" t="n"/>
      <c r="E328" s="22" t="n"/>
      <c r="F328" s="22" t="n"/>
      <c r="G328" s="22" t="n"/>
      <c r="H328" s="23" t="n"/>
      <c r="I328" s="24">
        <f>IF(OR(C328="",NOT(ISNUMBER(B328))),"",UPPER(IF(IFERROR(IF(INDEX(Products!$C$6:$C$45,MATCH(C328,Products!$B$6:$B$45,0))="","",INDEX(Products!$C$6:$C$45,MATCH(C328,Products!$B$6:$B$45,0))),"")="",LEFT(SUBSTITUTE(C328," ",""),3),IFERROR(IF(INDEX(Products!$C$6:$C$45,MATCH(C328,Products!$B$6:$B$45,0))="","",INDEX(Products!$C$6:$C$45,MATCH(C328,Products!$B$6:$B$45,0))),"")))&amp;"-"&amp;RIGHT(YEAR(B328),2)&amp;RIGHT("0"&amp;MONTH(B328),2)&amp;RIGHT("0"&amp;DAY(B328),2)&amp;"-"&amp;COUNTIFS(C$6:C328,C328,B$6:B328,B328))</f>
        <v/>
      </c>
      <c r="J328" s="14">
        <f>IF(OR(C328="",NOT(ISNUMBER(B328)),N(P328)=0),"",B328+P328)</f>
        <v/>
      </c>
      <c r="K328" s="25">
        <f>IF(C328="","",N(D328)-N(E328)-N(F328)-N(G328))</f>
        <v/>
      </c>
      <c r="L328" s="13">
        <f>IF(OR(C328="",N(K328)&lt;=0,NOT(ISNUMBER(J328))),"",J328-TODAY())</f>
        <v/>
      </c>
      <c r="M328" s="12">
        <f>IF(C328="","",IF(N(K328)&lt;=0,"Sold out",IF(NOT(ISNUMBER(J328)),"In stock",IF(J328&lt;TODAY(),"Past its date",IF(J328-TODAY()&lt;=Settings!$C$5,"Use soon","In stock")))))</f>
        <v/>
      </c>
      <c r="N328" s="26">
        <f>IF(C328="","",N(D328)*Q328)</f>
        <v/>
      </c>
      <c r="O328" s="1" t="n"/>
      <c r="P328">
        <f>IF(C328="",0,IFERROR(N(INDEX(Products!$E$6:$E$45,MATCH(C328,Products!$B$6:$B$45,0))),0))</f>
        <v/>
      </c>
      <c r="Q328">
        <f>IF(C328="",0,IFERROR(N(INDEX(Products!$I$6:$I$45,MATCH(C328,Products!$B$6:$B$45,0))),0))</f>
        <v/>
      </c>
      <c r="R328">
        <f>IF(OR(C328="",NOT(ISNUMBER(B328))),"",YEAR(B328)*100+MONTH(B328))</f>
        <v/>
      </c>
      <c r="S328">
        <f>N(G328)*Q328</f>
        <v/>
      </c>
      <c r="T328">
        <f>IF(OR(M328="",M328="Sold out",NOT(ISNUMBER(J328))),"",J328*1000+ROW())</f>
        <v/>
      </c>
    </row>
    <row r="329">
      <c r="A329" s="1" t="n"/>
      <c r="B329" s="20" t="n"/>
      <c r="C329" s="21" t="n"/>
      <c r="D329" s="22" t="n"/>
      <c r="E329" s="22" t="n"/>
      <c r="F329" s="22" t="n"/>
      <c r="G329" s="22" t="n"/>
      <c r="H329" s="23" t="n"/>
      <c r="I329" s="24">
        <f>IF(OR(C329="",NOT(ISNUMBER(B329))),"",UPPER(IF(IFERROR(IF(INDEX(Products!$C$6:$C$45,MATCH(C329,Products!$B$6:$B$45,0))="","",INDEX(Products!$C$6:$C$45,MATCH(C329,Products!$B$6:$B$45,0))),"")="",LEFT(SUBSTITUTE(C329," ",""),3),IFERROR(IF(INDEX(Products!$C$6:$C$45,MATCH(C329,Products!$B$6:$B$45,0))="","",INDEX(Products!$C$6:$C$45,MATCH(C329,Products!$B$6:$B$45,0))),"")))&amp;"-"&amp;RIGHT(YEAR(B329),2)&amp;RIGHT("0"&amp;MONTH(B329),2)&amp;RIGHT("0"&amp;DAY(B329),2)&amp;"-"&amp;COUNTIFS(C$6:C329,C329,B$6:B329,B329))</f>
        <v/>
      </c>
      <c r="J329" s="14">
        <f>IF(OR(C329="",NOT(ISNUMBER(B329)),N(P329)=0),"",B329+P329)</f>
        <v/>
      </c>
      <c r="K329" s="25">
        <f>IF(C329="","",N(D329)-N(E329)-N(F329)-N(G329))</f>
        <v/>
      </c>
      <c r="L329" s="13">
        <f>IF(OR(C329="",N(K329)&lt;=0,NOT(ISNUMBER(J329))),"",J329-TODAY())</f>
        <v/>
      </c>
      <c r="M329" s="12">
        <f>IF(C329="","",IF(N(K329)&lt;=0,"Sold out",IF(NOT(ISNUMBER(J329)),"In stock",IF(J329&lt;TODAY(),"Past its date",IF(J329-TODAY()&lt;=Settings!$C$5,"Use soon","In stock")))))</f>
        <v/>
      </c>
      <c r="N329" s="26">
        <f>IF(C329="","",N(D329)*Q329)</f>
        <v/>
      </c>
      <c r="O329" s="1" t="n"/>
      <c r="P329">
        <f>IF(C329="",0,IFERROR(N(INDEX(Products!$E$6:$E$45,MATCH(C329,Products!$B$6:$B$45,0))),0))</f>
        <v/>
      </c>
      <c r="Q329">
        <f>IF(C329="",0,IFERROR(N(INDEX(Products!$I$6:$I$45,MATCH(C329,Products!$B$6:$B$45,0))),0))</f>
        <v/>
      </c>
      <c r="R329">
        <f>IF(OR(C329="",NOT(ISNUMBER(B329))),"",YEAR(B329)*100+MONTH(B329))</f>
        <v/>
      </c>
      <c r="S329">
        <f>N(G329)*Q329</f>
        <v/>
      </c>
      <c r="T329">
        <f>IF(OR(M329="",M329="Sold out",NOT(ISNUMBER(J329))),"",J329*1000+ROW())</f>
        <v/>
      </c>
    </row>
    <row r="330">
      <c r="A330" s="1" t="n"/>
      <c r="B330" s="20" t="n"/>
      <c r="C330" s="21" t="n"/>
      <c r="D330" s="22" t="n"/>
      <c r="E330" s="22" t="n"/>
      <c r="F330" s="22" t="n"/>
      <c r="G330" s="22" t="n"/>
      <c r="H330" s="23" t="n"/>
      <c r="I330" s="24">
        <f>IF(OR(C330="",NOT(ISNUMBER(B330))),"",UPPER(IF(IFERROR(IF(INDEX(Products!$C$6:$C$45,MATCH(C330,Products!$B$6:$B$45,0))="","",INDEX(Products!$C$6:$C$45,MATCH(C330,Products!$B$6:$B$45,0))),"")="",LEFT(SUBSTITUTE(C330," ",""),3),IFERROR(IF(INDEX(Products!$C$6:$C$45,MATCH(C330,Products!$B$6:$B$45,0))="","",INDEX(Products!$C$6:$C$45,MATCH(C330,Products!$B$6:$B$45,0))),"")))&amp;"-"&amp;RIGHT(YEAR(B330),2)&amp;RIGHT("0"&amp;MONTH(B330),2)&amp;RIGHT("0"&amp;DAY(B330),2)&amp;"-"&amp;COUNTIFS(C$6:C330,C330,B$6:B330,B330))</f>
        <v/>
      </c>
      <c r="J330" s="14">
        <f>IF(OR(C330="",NOT(ISNUMBER(B330)),N(P330)=0),"",B330+P330)</f>
        <v/>
      </c>
      <c r="K330" s="25">
        <f>IF(C330="","",N(D330)-N(E330)-N(F330)-N(G330))</f>
        <v/>
      </c>
      <c r="L330" s="13">
        <f>IF(OR(C330="",N(K330)&lt;=0,NOT(ISNUMBER(J330))),"",J330-TODAY())</f>
        <v/>
      </c>
      <c r="M330" s="12">
        <f>IF(C330="","",IF(N(K330)&lt;=0,"Sold out",IF(NOT(ISNUMBER(J330)),"In stock",IF(J330&lt;TODAY(),"Past its date",IF(J330-TODAY()&lt;=Settings!$C$5,"Use soon","In stock")))))</f>
        <v/>
      </c>
      <c r="N330" s="26">
        <f>IF(C330="","",N(D330)*Q330)</f>
        <v/>
      </c>
      <c r="O330" s="1" t="n"/>
      <c r="P330">
        <f>IF(C330="",0,IFERROR(N(INDEX(Products!$E$6:$E$45,MATCH(C330,Products!$B$6:$B$45,0))),0))</f>
        <v/>
      </c>
      <c r="Q330">
        <f>IF(C330="",0,IFERROR(N(INDEX(Products!$I$6:$I$45,MATCH(C330,Products!$B$6:$B$45,0))),0))</f>
        <v/>
      </c>
      <c r="R330">
        <f>IF(OR(C330="",NOT(ISNUMBER(B330))),"",YEAR(B330)*100+MONTH(B330))</f>
        <v/>
      </c>
      <c r="S330">
        <f>N(G330)*Q330</f>
        <v/>
      </c>
      <c r="T330">
        <f>IF(OR(M330="",M330="Sold out",NOT(ISNUMBER(J330))),"",J330*1000+ROW())</f>
        <v/>
      </c>
    </row>
    <row r="331">
      <c r="A331" s="1" t="n"/>
      <c r="B331" s="20" t="n"/>
      <c r="C331" s="21" t="n"/>
      <c r="D331" s="22" t="n"/>
      <c r="E331" s="22" t="n"/>
      <c r="F331" s="22" t="n"/>
      <c r="G331" s="22" t="n"/>
      <c r="H331" s="23" t="n"/>
      <c r="I331" s="24">
        <f>IF(OR(C331="",NOT(ISNUMBER(B331))),"",UPPER(IF(IFERROR(IF(INDEX(Products!$C$6:$C$45,MATCH(C331,Products!$B$6:$B$45,0))="","",INDEX(Products!$C$6:$C$45,MATCH(C331,Products!$B$6:$B$45,0))),"")="",LEFT(SUBSTITUTE(C331," ",""),3),IFERROR(IF(INDEX(Products!$C$6:$C$45,MATCH(C331,Products!$B$6:$B$45,0))="","",INDEX(Products!$C$6:$C$45,MATCH(C331,Products!$B$6:$B$45,0))),"")))&amp;"-"&amp;RIGHT(YEAR(B331),2)&amp;RIGHT("0"&amp;MONTH(B331),2)&amp;RIGHT("0"&amp;DAY(B331),2)&amp;"-"&amp;COUNTIFS(C$6:C331,C331,B$6:B331,B331))</f>
        <v/>
      </c>
      <c r="J331" s="14">
        <f>IF(OR(C331="",NOT(ISNUMBER(B331)),N(P331)=0),"",B331+P331)</f>
        <v/>
      </c>
      <c r="K331" s="25">
        <f>IF(C331="","",N(D331)-N(E331)-N(F331)-N(G331))</f>
        <v/>
      </c>
      <c r="L331" s="13">
        <f>IF(OR(C331="",N(K331)&lt;=0,NOT(ISNUMBER(J331))),"",J331-TODAY())</f>
        <v/>
      </c>
      <c r="M331" s="12">
        <f>IF(C331="","",IF(N(K331)&lt;=0,"Sold out",IF(NOT(ISNUMBER(J331)),"In stock",IF(J331&lt;TODAY(),"Past its date",IF(J331-TODAY()&lt;=Settings!$C$5,"Use soon","In stock")))))</f>
        <v/>
      </c>
      <c r="N331" s="26">
        <f>IF(C331="","",N(D331)*Q331)</f>
        <v/>
      </c>
      <c r="O331" s="1" t="n"/>
      <c r="P331">
        <f>IF(C331="",0,IFERROR(N(INDEX(Products!$E$6:$E$45,MATCH(C331,Products!$B$6:$B$45,0))),0))</f>
        <v/>
      </c>
      <c r="Q331">
        <f>IF(C331="",0,IFERROR(N(INDEX(Products!$I$6:$I$45,MATCH(C331,Products!$B$6:$B$45,0))),0))</f>
        <v/>
      </c>
      <c r="R331">
        <f>IF(OR(C331="",NOT(ISNUMBER(B331))),"",YEAR(B331)*100+MONTH(B331))</f>
        <v/>
      </c>
      <c r="S331">
        <f>N(G331)*Q331</f>
        <v/>
      </c>
      <c r="T331">
        <f>IF(OR(M331="",M331="Sold out",NOT(ISNUMBER(J331))),"",J331*1000+ROW())</f>
        <v/>
      </c>
    </row>
    <row r="332">
      <c r="A332" s="1" t="n"/>
      <c r="B332" s="20" t="n"/>
      <c r="C332" s="21" t="n"/>
      <c r="D332" s="22" t="n"/>
      <c r="E332" s="22" t="n"/>
      <c r="F332" s="22" t="n"/>
      <c r="G332" s="22" t="n"/>
      <c r="H332" s="23" t="n"/>
      <c r="I332" s="24">
        <f>IF(OR(C332="",NOT(ISNUMBER(B332))),"",UPPER(IF(IFERROR(IF(INDEX(Products!$C$6:$C$45,MATCH(C332,Products!$B$6:$B$45,0))="","",INDEX(Products!$C$6:$C$45,MATCH(C332,Products!$B$6:$B$45,0))),"")="",LEFT(SUBSTITUTE(C332," ",""),3),IFERROR(IF(INDEX(Products!$C$6:$C$45,MATCH(C332,Products!$B$6:$B$45,0))="","",INDEX(Products!$C$6:$C$45,MATCH(C332,Products!$B$6:$B$45,0))),"")))&amp;"-"&amp;RIGHT(YEAR(B332),2)&amp;RIGHT("0"&amp;MONTH(B332),2)&amp;RIGHT("0"&amp;DAY(B332),2)&amp;"-"&amp;COUNTIFS(C$6:C332,C332,B$6:B332,B332))</f>
        <v/>
      </c>
      <c r="J332" s="14">
        <f>IF(OR(C332="",NOT(ISNUMBER(B332)),N(P332)=0),"",B332+P332)</f>
        <v/>
      </c>
      <c r="K332" s="25">
        <f>IF(C332="","",N(D332)-N(E332)-N(F332)-N(G332))</f>
        <v/>
      </c>
      <c r="L332" s="13">
        <f>IF(OR(C332="",N(K332)&lt;=0,NOT(ISNUMBER(J332))),"",J332-TODAY())</f>
        <v/>
      </c>
      <c r="M332" s="12">
        <f>IF(C332="","",IF(N(K332)&lt;=0,"Sold out",IF(NOT(ISNUMBER(J332)),"In stock",IF(J332&lt;TODAY(),"Past its date",IF(J332-TODAY()&lt;=Settings!$C$5,"Use soon","In stock")))))</f>
        <v/>
      </c>
      <c r="N332" s="26">
        <f>IF(C332="","",N(D332)*Q332)</f>
        <v/>
      </c>
      <c r="O332" s="1" t="n"/>
      <c r="P332">
        <f>IF(C332="",0,IFERROR(N(INDEX(Products!$E$6:$E$45,MATCH(C332,Products!$B$6:$B$45,0))),0))</f>
        <v/>
      </c>
      <c r="Q332">
        <f>IF(C332="",0,IFERROR(N(INDEX(Products!$I$6:$I$45,MATCH(C332,Products!$B$6:$B$45,0))),0))</f>
        <v/>
      </c>
      <c r="R332">
        <f>IF(OR(C332="",NOT(ISNUMBER(B332))),"",YEAR(B332)*100+MONTH(B332))</f>
        <v/>
      </c>
      <c r="S332">
        <f>N(G332)*Q332</f>
        <v/>
      </c>
      <c r="T332">
        <f>IF(OR(M332="",M332="Sold out",NOT(ISNUMBER(J332))),"",J332*1000+ROW())</f>
        <v/>
      </c>
    </row>
    <row r="333">
      <c r="A333" s="1" t="n"/>
      <c r="B333" s="20" t="n"/>
      <c r="C333" s="21" t="n"/>
      <c r="D333" s="22" t="n"/>
      <c r="E333" s="22" t="n"/>
      <c r="F333" s="22" t="n"/>
      <c r="G333" s="22" t="n"/>
      <c r="H333" s="23" t="n"/>
      <c r="I333" s="24">
        <f>IF(OR(C333="",NOT(ISNUMBER(B333))),"",UPPER(IF(IFERROR(IF(INDEX(Products!$C$6:$C$45,MATCH(C333,Products!$B$6:$B$45,0))="","",INDEX(Products!$C$6:$C$45,MATCH(C333,Products!$B$6:$B$45,0))),"")="",LEFT(SUBSTITUTE(C333," ",""),3),IFERROR(IF(INDEX(Products!$C$6:$C$45,MATCH(C333,Products!$B$6:$B$45,0))="","",INDEX(Products!$C$6:$C$45,MATCH(C333,Products!$B$6:$B$45,0))),"")))&amp;"-"&amp;RIGHT(YEAR(B333),2)&amp;RIGHT("0"&amp;MONTH(B333),2)&amp;RIGHT("0"&amp;DAY(B333),2)&amp;"-"&amp;COUNTIFS(C$6:C333,C333,B$6:B333,B333))</f>
        <v/>
      </c>
      <c r="J333" s="14">
        <f>IF(OR(C333="",NOT(ISNUMBER(B333)),N(P333)=0),"",B333+P333)</f>
        <v/>
      </c>
      <c r="K333" s="25">
        <f>IF(C333="","",N(D333)-N(E333)-N(F333)-N(G333))</f>
        <v/>
      </c>
      <c r="L333" s="13">
        <f>IF(OR(C333="",N(K333)&lt;=0,NOT(ISNUMBER(J333))),"",J333-TODAY())</f>
        <v/>
      </c>
      <c r="M333" s="12">
        <f>IF(C333="","",IF(N(K333)&lt;=0,"Sold out",IF(NOT(ISNUMBER(J333)),"In stock",IF(J333&lt;TODAY(),"Past its date",IF(J333-TODAY()&lt;=Settings!$C$5,"Use soon","In stock")))))</f>
        <v/>
      </c>
      <c r="N333" s="26">
        <f>IF(C333="","",N(D333)*Q333)</f>
        <v/>
      </c>
      <c r="O333" s="1" t="n"/>
      <c r="P333">
        <f>IF(C333="",0,IFERROR(N(INDEX(Products!$E$6:$E$45,MATCH(C333,Products!$B$6:$B$45,0))),0))</f>
        <v/>
      </c>
      <c r="Q333">
        <f>IF(C333="",0,IFERROR(N(INDEX(Products!$I$6:$I$45,MATCH(C333,Products!$B$6:$B$45,0))),0))</f>
        <v/>
      </c>
      <c r="R333">
        <f>IF(OR(C333="",NOT(ISNUMBER(B333))),"",YEAR(B333)*100+MONTH(B333))</f>
        <v/>
      </c>
      <c r="S333">
        <f>N(G333)*Q333</f>
        <v/>
      </c>
      <c r="T333">
        <f>IF(OR(M333="",M333="Sold out",NOT(ISNUMBER(J333))),"",J333*1000+ROW())</f>
        <v/>
      </c>
    </row>
    <row r="334">
      <c r="A334" s="1" t="n"/>
      <c r="B334" s="20" t="n"/>
      <c r="C334" s="21" t="n"/>
      <c r="D334" s="22" t="n"/>
      <c r="E334" s="22" t="n"/>
      <c r="F334" s="22" t="n"/>
      <c r="G334" s="22" t="n"/>
      <c r="H334" s="23" t="n"/>
      <c r="I334" s="24">
        <f>IF(OR(C334="",NOT(ISNUMBER(B334))),"",UPPER(IF(IFERROR(IF(INDEX(Products!$C$6:$C$45,MATCH(C334,Products!$B$6:$B$45,0))="","",INDEX(Products!$C$6:$C$45,MATCH(C334,Products!$B$6:$B$45,0))),"")="",LEFT(SUBSTITUTE(C334," ",""),3),IFERROR(IF(INDEX(Products!$C$6:$C$45,MATCH(C334,Products!$B$6:$B$45,0))="","",INDEX(Products!$C$6:$C$45,MATCH(C334,Products!$B$6:$B$45,0))),"")))&amp;"-"&amp;RIGHT(YEAR(B334),2)&amp;RIGHT("0"&amp;MONTH(B334),2)&amp;RIGHT("0"&amp;DAY(B334),2)&amp;"-"&amp;COUNTIFS(C$6:C334,C334,B$6:B334,B334))</f>
        <v/>
      </c>
      <c r="J334" s="14">
        <f>IF(OR(C334="",NOT(ISNUMBER(B334)),N(P334)=0),"",B334+P334)</f>
        <v/>
      </c>
      <c r="K334" s="25">
        <f>IF(C334="","",N(D334)-N(E334)-N(F334)-N(G334))</f>
        <v/>
      </c>
      <c r="L334" s="13">
        <f>IF(OR(C334="",N(K334)&lt;=0,NOT(ISNUMBER(J334))),"",J334-TODAY())</f>
        <v/>
      </c>
      <c r="M334" s="12">
        <f>IF(C334="","",IF(N(K334)&lt;=0,"Sold out",IF(NOT(ISNUMBER(J334)),"In stock",IF(J334&lt;TODAY(),"Past its date",IF(J334-TODAY()&lt;=Settings!$C$5,"Use soon","In stock")))))</f>
        <v/>
      </c>
      <c r="N334" s="26">
        <f>IF(C334="","",N(D334)*Q334)</f>
        <v/>
      </c>
      <c r="O334" s="1" t="n"/>
      <c r="P334">
        <f>IF(C334="",0,IFERROR(N(INDEX(Products!$E$6:$E$45,MATCH(C334,Products!$B$6:$B$45,0))),0))</f>
        <v/>
      </c>
      <c r="Q334">
        <f>IF(C334="",0,IFERROR(N(INDEX(Products!$I$6:$I$45,MATCH(C334,Products!$B$6:$B$45,0))),0))</f>
        <v/>
      </c>
      <c r="R334">
        <f>IF(OR(C334="",NOT(ISNUMBER(B334))),"",YEAR(B334)*100+MONTH(B334))</f>
        <v/>
      </c>
      <c r="S334">
        <f>N(G334)*Q334</f>
        <v/>
      </c>
      <c r="T334">
        <f>IF(OR(M334="",M334="Sold out",NOT(ISNUMBER(J334))),"",J334*1000+ROW())</f>
        <v/>
      </c>
    </row>
    <row r="335">
      <c r="A335" s="1" t="n"/>
      <c r="B335" s="20" t="n"/>
      <c r="C335" s="21" t="n"/>
      <c r="D335" s="22" t="n"/>
      <c r="E335" s="22" t="n"/>
      <c r="F335" s="22" t="n"/>
      <c r="G335" s="22" t="n"/>
      <c r="H335" s="23" t="n"/>
      <c r="I335" s="24">
        <f>IF(OR(C335="",NOT(ISNUMBER(B335))),"",UPPER(IF(IFERROR(IF(INDEX(Products!$C$6:$C$45,MATCH(C335,Products!$B$6:$B$45,0))="","",INDEX(Products!$C$6:$C$45,MATCH(C335,Products!$B$6:$B$45,0))),"")="",LEFT(SUBSTITUTE(C335," ",""),3),IFERROR(IF(INDEX(Products!$C$6:$C$45,MATCH(C335,Products!$B$6:$B$45,0))="","",INDEX(Products!$C$6:$C$45,MATCH(C335,Products!$B$6:$B$45,0))),"")))&amp;"-"&amp;RIGHT(YEAR(B335),2)&amp;RIGHT("0"&amp;MONTH(B335),2)&amp;RIGHT("0"&amp;DAY(B335),2)&amp;"-"&amp;COUNTIFS(C$6:C335,C335,B$6:B335,B335))</f>
        <v/>
      </c>
      <c r="J335" s="14">
        <f>IF(OR(C335="",NOT(ISNUMBER(B335)),N(P335)=0),"",B335+P335)</f>
        <v/>
      </c>
      <c r="K335" s="25">
        <f>IF(C335="","",N(D335)-N(E335)-N(F335)-N(G335))</f>
        <v/>
      </c>
      <c r="L335" s="13">
        <f>IF(OR(C335="",N(K335)&lt;=0,NOT(ISNUMBER(J335))),"",J335-TODAY())</f>
        <v/>
      </c>
      <c r="M335" s="12">
        <f>IF(C335="","",IF(N(K335)&lt;=0,"Sold out",IF(NOT(ISNUMBER(J335)),"In stock",IF(J335&lt;TODAY(),"Past its date",IF(J335-TODAY()&lt;=Settings!$C$5,"Use soon","In stock")))))</f>
        <v/>
      </c>
      <c r="N335" s="26">
        <f>IF(C335="","",N(D335)*Q335)</f>
        <v/>
      </c>
      <c r="O335" s="1" t="n"/>
      <c r="P335">
        <f>IF(C335="",0,IFERROR(N(INDEX(Products!$E$6:$E$45,MATCH(C335,Products!$B$6:$B$45,0))),0))</f>
        <v/>
      </c>
      <c r="Q335">
        <f>IF(C335="",0,IFERROR(N(INDEX(Products!$I$6:$I$45,MATCH(C335,Products!$B$6:$B$45,0))),0))</f>
        <v/>
      </c>
      <c r="R335">
        <f>IF(OR(C335="",NOT(ISNUMBER(B335))),"",YEAR(B335)*100+MONTH(B335))</f>
        <v/>
      </c>
      <c r="S335">
        <f>N(G335)*Q335</f>
        <v/>
      </c>
      <c r="T335">
        <f>IF(OR(M335="",M335="Sold out",NOT(ISNUMBER(J335))),"",J335*1000+ROW())</f>
        <v/>
      </c>
    </row>
    <row r="336">
      <c r="A336" s="1" t="n"/>
      <c r="B336" s="20" t="n"/>
      <c r="C336" s="21" t="n"/>
      <c r="D336" s="22" t="n"/>
      <c r="E336" s="22" t="n"/>
      <c r="F336" s="22" t="n"/>
      <c r="G336" s="22" t="n"/>
      <c r="H336" s="23" t="n"/>
      <c r="I336" s="24">
        <f>IF(OR(C336="",NOT(ISNUMBER(B336))),"",UPPER(IF(IFERROR(IF(INDEX(Products!$C$6:$C$45,MATCH(C336,Products!$B$6:$B$45,0))="","",INDEX(Products!$C$6:$C$45,MATCH(C336,Products!$B$6:$B$45,0))),"")="",LEFT(SUBSTITUTE(C336," ",""),3),IFERROR(IF(INDEX(Products!$C$6:$C$45,MATCH(C336,Products!$B$6:$B$45,0))="","",INDEX(Products!$C$6:$C$45,MATCH(C336,Products!$B$6:$B$45,0))),"")))&amp;"-"&amp;RIGHT(YEAR(B336),2)&amp;RIGHT("0"&amp;MONTH(B336),2)&amp;RIGHT("0"&amp;DAY(B336),2)&amp;"-"&amp;COUNTIFS(C$6:C336,C336,B$6:B336,B336))</f>
        <v/>
      </c>
      <c r="J336" s="14">
        <f>IF(OR(C336="",NOT(ISNUMBER(B336)),N(P336)=0),"",B336+P336)</f>
        <v/>
      </c>
      <c r="K336" s="25">
        <f>IF(C336="","",N(D336)-N(E336)-N(F336)-N(G336))</f>
        <v/>
      </c>
      <c r="L336" s="13">
        <f>IF(OR(C336="",N(K336)&lt;=0,NOT(ISNUMBER(J336))),"",J336-TODAY())</f>
        <v/>
      </c>
      <c r="M336" s="12">
        <f>IF(C336="","",IF(N(K336)&lt;=0,"Sold out",IF(NOT(ISNUMBER(J336)),"In stock",IF(J336&lt;TODAY(),"Past its date",IF(J336-TODAY()&lt;=Settings!$C$5,"Use soon","In stock")))))</f>
        <v/>
      </c>
      <c r="N336" s="26">
        <f>IF(C336="","",N(D336)*Q336)</f>
        <v/>
      </c>
      <c r="O336" s="1" t="n"/>
      <c r="P336">
        <f>IF(C336="",0,IFERROR(N(INDEX(Products!$E$6:$E$45,MATCH(C336,Products!$B$6:$B$45,0))),0))</f>
        <v/>
      </c>
      <c r="Q336">
        <f>IF(C336="",0,IFERROR(N(INDEX(Products!$I$6:$I$45,MATCH(C336,Products!$B$6:$B$45,0))),0))</f>
        <v/>
      </c>
      <c r="R336">
        <f>IF(OR(C336="",NOT(ISNUMBER(B336))),"",YEAR(B336)*100+MONTH(B336))</f>
        <v/>
      </c>
      <c r="S336">
        <f>N(G336)*Q336</f>
        <v/>
      </c>
      <c r="T336">
        <f>IF(OR(M336="",M336="Sold out",NOT(ISNUMBER(J336))),"",J336*1000+ROW())</f>
        <v/>
      </c>
    </row>
    <row r="337">
      <c r="A337" s="1" t="n"/>
      <c r="B337" s="20" t="n"/>
      <c r="C337" s="21" t="n"/>
      <c r="D337" s="22" t="n"/>
      <c r="E337" s="22" t="n"/>
      <c r="F337" s="22" t="n"/>
      <c r="G337" s="22" t="n"/>
      <c r="H337" s="23" t="n"/>
      <c r="I337" s="24">
        <f>IF(OR(C337="",NOT(ISNUMBER(B337))),"",UPPER(IF(IFERROR(IF(INDEX(Products!$C$6:$C$45,MATCH(C337,Products!$B$6:$B$45,0))="","",INDEX(Products!$C$6:$C$45,MATCH(C337,Products!$B$6:$B$45,0))),"")="",LEFT(SUBSTITUTE(C337," ",""),3),IFERROR(IF(INDEX(Products!$C$6:$C$45,MATCH(C337,Products!$B$6:$B$45,0))="","",INDEX(Products!$C$6:$C$45,MATCH(C337,Products!$B$6:$B$45,0))),"")))&amp;"-"&amp;RIGHT(YEAR(B337),2)&amp;RIGHT("0"&amp;MONTH(B337),2)&amp;RIGHT("0"&amp;DAY(B337),2)&amp;"-"&amp;COUNTIFS(C$6:C337,C337,B$6:B337,B337))</f>
        <v/>
      </c>
      <c r="J337" s="14">
        <f>IF(OR(C337="",NOT(ISNUMBER(B337)),N(P337)=0),"",B337+P337)</f>
        <v/>
      </c>
      <c r="K337" s="25">
        <f>IF(C337="","",N(D337)-N(E337)-N(F337)-N(G337))</f>
        <v/>
      </c>
      <c r="L337" s="13">
        <f>IF(OR(C337="",N(K337)&lt;=0,NOT(ISNUMBER(J337))),"",J337-TODAY())</f>
        <v/>
      </c>
      <c r="M337" s="12">
        <f>IF(C337="","",IF(N(K337)&lt;=0,"Sold out",IF(NOT(ISNUMBER(J337)),"In stock",IF(J337&lt;TODAY(),"Past its date",IF(J337-TODAY()&lt;=Settings!$C$5,"Use soon","In stock")))))</f>
        <v/>
      </c>
      <c r="N337" s="26">
        <f>IF(C337="","",N(D337)*Q337)</f>
        <v/>
      </c>
      <c r="O337" s="1" t="n"/>
      <c r="P337">
        <f>IF(C337="",0,IFERROR(N(INDEX(Products!$E$6:$E$45,MATCH(C337,Products!$B$6:$B$45,0))),0))</f>
        <v/>
      </c>
      <c r="Q337">
        <f>IF(C337="",0,IFERROR(N(INDEX(Products!$I$6:$I$45,MATCH(C337,Products!$B$6:$B$45,0))),0))</f>
        <v/>
      </c>
      <c r="R337">
        <f>IF(OR(C337="",NOT(ISNUMBER(B337))),"",YEAR(B337)*100+MONTH(B337))</f>
        <v/>
      </c>
      <c r="S337">
        <f>N(G337)*Q337</f>
        <v/>
      </c>
      <c r="T337">
        <f>IF(OR(M337="",M337="Sold out",NOT(ISNUMBER(J337))),"",J337*1000+ROW())</f>
        <v/>
      </c>
    </row>
    <row r="338">
      <c r="A338" s="1" t="n"/>
      <c r="B338" s="20" t="n"/>
      <c r="C338" s="21" t="n"/>
      <c r="D338" s="22" t="n"/>
      <c r="E338" s="22" t="n"/>
      <c r="F338" s="22" t="n"/>
      <c r="G338" s="22" t="n"/>
      <c r="H338" s="23" t="n"/>
      <c r="I338" s="24">
        <f>IF(OR(C338="",NOT(ISNUMBER(B338))),"",UPPER(IF(IFERROR(IF(INDEX(Products!$C$6:$C$45,MATCH(C338,Products!$B$6:$B$45,0))="","",INDEX(Products!$C$6:$C$45,MATCH(C338,Products!$B$6:$B$45,0))),"")="",LEFT(SUBSTITUTE(C338," ",""),3),IFERROR(IF(INDEX(Products!$C$6:$C$45,MATCH(C338,Products!$B$6:$B$45,0))="","",INDEX(Products!$C$6:$C$45,MATCH(C338,Products!$B$6:$B$45,0))),"")))&amp;"-"&amp;RIGHT(YEAR(B338),2)&amp;RIGHT("0"&amp;MONTH(B338),2)&amp;RIGHT("0"&amp;DAY(B338),2)&amp;"-"&amp;COUNTIFS(C$6:C338,C338,B$6:B338,B338))</f>
        <v/>
      </c>
      <c r="J338" s="14">
        <f>IF(OR(C338="",NOT(ISNUMBER(B338)),N(P338)=0),"",B338+P338)</f>
        <v/>
      </c>
      <c r="K338" s="25">
        <f>IF(C338="","",N(D338)-N(E338)-N(F338)-N(G338))</f>
        <v/>
      </c>
      <c r="L338" s="13">
        <f>IF(OR(C338="",N(K338)&lt;=0,NOT(ISNUMBER(J338))),"",J338-TODAY())</f>
        <v/>
      </c>
      <c r="M338" s="12">
        <f>IF(C338="","",IF(N(K338)&lt;=0,"Sold out",IF(NOT(ISNUMBER(J338)),"In stock",IF(J338&lt;TODAY(),"Past its date",IF(J338-TODAY()&lt;=Settings!$C$5,"Use soon","In stock")))))</f>
        <v/>
      </c>
      <c r="N338" s="26">
        <f>IF(C338="","",N(D338)*Q338)</f>
        <v/>
      </c>
      <c r="O338" s="1" t="n"/>
      <c r="P338">
        <f>IF(C338="",0,IFERROR(N(INDEX(Products!$E$6:$E$45,MATCH(C338,Products!$B$6:$B$45,0))),0))</f>
        <v/>
      </c>
      <c r="Q338">
        <f>IF(C338="",0,IFERROR(N(INDEX(Products!$I$6:$I$45,MATCH(C338,Products!$B$6:$B$45,0))),0))</f>
        <v/>
      </c>
      <c r="R338">
        <f>IF(OR(C338="",NOT(ISNUMBER(B338))),"",YEAR(B338)*100+MONTH(B338))</f>
        <v/>
      </c>
      <c r="S338">
        <f>N(G338)*Q338</f>
        <v/>
      </c>
      <c r="T338">
        <f>IF(OR(M338="",M338="Sold out",NOT(ISNUMBER(J338))),"",J338*1000+ROW())</f>
        <v/>
      </c>
    </row>
    <row r="339">
      <c r="A339" s="1" t="n"/>
      <c r="B339" s="20" t="n"/>
      <c r="C339" s="21" t="n"/>
      <c r="D339" s="22" t="n"/>
      <c r="E339" s="22" t="n"/>
      <c r="F339" s="22" t="n"/>
      <c r="G339" s="22" t="n"/>
      <c r="H339" s="23" t="n"/>
      <c r="I339" s="24">
        <f>IF(OR(C339="",NOT(ISNUMBER(B339))),"",UPPER(IF(IFERROR(IF(INDEX(Products!$C$6:$C$45,MATCH(C339,Products!$B$6:$B$45,0))="","",INDEX(Products!$C$6:$C$45,MATCH(C339,Products!$B$6:$B$45,0))),"")="",LEFT(SUBSTITUTE(C339," ",""),3),IFERROR(IF(INDEX(Products!$C$6:$C$45,MATCH(C339,Products!$B$6:$B$45,0))="","",INDEX(Products!$C$6:$C$45,MATCH(C339,Products!$B$6:$B$45,0))),"")))&amp;"-"&amp;RIGHT(YEAR(B339),2)&amp;RIGHT("0"&amp;MONTH(B339),2)&amp;RIGHT("0"&amp;DAY(B339),2)&amp;"-"&amp;COUNTIFS(C$6:C339,C339,B$6:B339,B339))</f>
        <v/>
      </c>
      <c r="J339" s="14">
        <f>IF(OR(C339="",NOT(ISNUMBER(B339)),N(P339)=0),"",B339+P339)</f>
        <v/>
      </c>
      <c r="K339" s="25">
        <f>IF(C339="","",N(D339)-N(E339)-N(F339)-N(G339))</f>
        <v/>
      </c>
      <c r="L339" s="13">
        <f>IF(OR(C339="",N(K339)&lt;=0,NOT(ISNUMBER(J339))),"",J339-TODAY())</f>
        <v/>
      </c>
      <c r="M339" s="12">
        <f>IF(C339="","",IF(N(K339)&lt;=0,"Sold out",IF(NOT(ISNUMBER(J339)),"In stock",IF(J339&lt;TODAY(),"Past its date",IF(J339-TODAY()&lt;=Settings!$C$5,"Use soon","In stock")))))</f>
        <v/>
      </c>
      <c r="N339" s="26">
        <f>IF(C339="","",N(D339)*Q339)</f>
        <v/>
      </c>
      <c r="O339" s="1" t="n"/>
      <c r="P339">
        <f>IF(C339="",0,IFERROR(N(INDEX(Products!$E$6:$E$45,MATCH(C339,Products!$B$6:$B$45,0))),0))</f>
        <v/>
      </c>
      <c r="Q339">
        <f>IF(C339="",0,IFERROR(N(INDEX(Products!$I$6:$I$45,MATCH(C339,Products!$B$6:$B$45,0))),0))</f>
        <v/>
      </c>
      <c r="R339">
        <f>IF(OR(C339="",NOT(ISNUMBER(B339))),"",YEAR(B339)*100+MONTH(B339))</f>
        <v/>
      </c>
      <c r="S339">
        <f>N(G339)*Q339</f>
        <v/>
      </c>
      <c r="T339">
        <f>IF(OR(M339="",M339="Sold out",NOT(ISNUMBER(J339))),"",J339*1000+ROW())</f>
        <v/>
      </c>
    </row>
    <row r="340">
      <c r="A340" s="1" t="n"/>
      <c r="B340" s="20" t="n"/>
      <c r="C340" s="21" t="n"/>
      <c r="D340" s="22" t="n"/>
      <c r="E340" s="22" t="n"/>
      <c r="F340" s="22" t="n"/>
      <c r="G340" s="22" t="n"/>
      <c r="H340" s="23" t="n"/>
      <c r="I340" s="24">
        <f>IF(OR(C340="",NOT(ISNUMBER(B340))),"",UPPER(IF(IFERROR(IF(INDEX(Products!$C$6:$C$45,MATCH(C340,Products!$B$6:$B$45,0))="","",INDEX(Products!$C$6:$C$45,MATCH(C340,Products!$B$6:$B$45,0))),"")="",LEFT(SUBSTITUTE(C340," ",""),3),IFERROR(IF(INDEX(Products!$C$6:$C$45,MATCH(C340,Products!$B$6:$B$45,0))="","",INDEX(Products!$C$6:$C$45,MATCH(C340,Products!$B$6:$B$45,0))),"")))&amp;"-"&amp;RIGHT(YEAR(B340),2)&amp;RIGHT("0"&amp;MONTH(B340),2)&amp;RIGHT("0"&amp;DAY(B340),2)&amp;"-"&amp;COUNTIFS(C$6:C340,C340,B$6:B340,B340))</f>
        <v/>
      </c>
      <c r="J340" s="14">
        <f>IF(OR(C340="",NOT(ISNUMBER(B340)),N(P340)=0),"",B340+P340)</f>
        <v/>
      </c>
      <c r="K340" s="25">
        <f>IF(C340="","",N(D340)-N(E340)-N(F340)-N(G340))</f>
        <v/>
      </c>
      <c r="L340" s="13">
        <f>IF(OR(C340="",N(K340)&lt;=0,NOT(ISNUMBER(J340))),"",J340-TODAY())</f>
        <v/>
      </c>
      <c r="M340" s="12">
        <f>IF(C340="","",IF(N(K340)&lt;=0,"Sold out",IF(NOT(ISNUMBER(J340)),"In stock",IF(J340&lt;TODAY(),"Past its date",IF(J340-TODAY()&lt;=Settings!$C$5,"Use soon","In stock")))))</f>
        <v/>
      </c>
      <c r="N340" s="26">
        <f>IF(C340="","",N(D340)*Q340)</f>
        <v/>
      </c>
      <c r="O340" s="1" t="n"/>
      <c r="P340">
        <f>IF(C340="",0,IFERROR(N(INDEX(Products!$E$6:$E$45,MATCH(C340,Products!$B$6:$B$45,0))),0))</f>
        <v/>
      </c>
      <c r="Q340">
        <f>IF(C340="",0,IFERROR(N(INDEX(Products!$I$6:$I$45,MATCH(C340,Products!$B$6:$B$45,0))),0))</f>
        <v/>
      </c>
      <c r="R340">
        <f>IF(OR(C340="",NOT(ISNUMBER(B340))),"",YEAR(B340)*100+MONTH(B340))</f>
        <v/>
      </c>
      <c r="S340">
        <f>N(G340)*Q340</f>
        <v/>
      </c>
      <c r="T340">
        <f>IF(OR(M340="",M340="Sold out",NOT(ISNUMBER(J340))),"",J340*1000+ROW())</f>
        <v/>
      </c>
    </row>
    <row r="341">
      <c r="A341" s="1" t="n"/>
      <c r="B341" s="20" t="n"/>
      <c r="C341" s="21" t="n"/>
      <c r="D341" s="22" t="n"/>
      <c r="E341" s="22" t="n"/>
      <c r="F341" s="22" t="n"/>
      <c r="G341" s="22" t="n"/>
      <c r="H341" s="23" t="n"/>
      <c r="I341" s="24">
        <f>IF(OR(C341="",NOT(ISNUMBER(B341))),"",UPPER(IF(IFERROR(IF(INDEX(Products!$C$6:$C$45,MATCH(C341,Products!$B$6:$B$45,0))="","",INDEX(Products!$C$6:$C$45,MATCH(C341,Products!$B$6:$B$45,0))),"")="",LEFT(SUBSTITUTE(C341," ",""),3),IFERROR(IF(INDEX(Products!$C$6:$C$45,MATCH(C341,Products!$B$6:$B$45,0))="","",INDEX(Products!$C$6:$C$45,MATCH(C341,Products!$B$6:$B$45,0))),"")))&amp;"-"&amp;RIGHT(YEAR(B341),2)&amp;RIGHT("0"&amp;MONTH(B341),2)&amp;RIGHT("0"&amp;DAY(B341),2)&amp;"-"&amp;COUNTIFS(C$6:C341,C341,B$6:B341,B341))</f>
        <v/>
      </c>
      <c r="J341" s="14">
        <f>IF(OR(C341="",NOT(ISNUMBER(B341)),N(P341)=0),"",B341+P341)</f>
        <v/>
      </c>
      <c r="K341" s="25">
        <f>IF(C341="","",N(D341)-N(E341)-N(F341)-N(G341))</f>
        <v/>
      </c>
      <c r="L341" s="13">
        <f>IF(OR(C341="",N(K341)&lt;=0,NOT(ISNUMBER(J341))),"",J341-TODAY())</f>
        <v/>
      </c>
      <c r="M341" s="12">
        <f>IF(C341="","",IF(N(K341)&lt;=0,"Sold out",IF(NOT(ISNUMBER(J341)),"In stock",IF(J341&lt;TODAY(),"Past its date",IF(J341-TODAY()&lt;=Settings!$C$5,"Use soon","In stock")))))</f>
        <v/>
      </c>
      <c r="N341" s="26">
        <f>IF(C341="","",N(D341)*Q341)</f>
        <v/>
      </c>
      <c r="O341" s="1" t="n"/>
      <c r="P341">
        <f>IF(C341="",0,IFERROR(N(INDEX(Products!$E$6:$E$45,MATCH(C341,Products!$B$6:$B$45,0))),0))</f>
        <v/>
      </c>
      <c r="Q341">
        <f>IF(C341="",0,IFERROR(N(INDEX(Products!$I$6:$I$45,MATCH(C341,Products!$B$6:$B$45,0))),0))</f>
        <v/>
      </c>
      <c r="R341">
        <f>IF(OR(C341="",NOT(ISNUMBER(B341))),"",YEAR(B341)*100+MONTH(B341))</f>
        <v/>
      </c>
      <c r="S341">
        <f>N(G341)*Q341</f>
        <v/>
      </c>
      <c r="T341">
        <f>IF(OR(M341="",M341="Sold out",NOT(ISNUMBER(J341))),"",J341*1000+ROW())</f>
        <v/>
      </c>
    </row>
    <row r="342">
      <c r="A342" s="1" t="n"/>
      <c r="B342" s="20" t="n"/>
      <c r="C342" s="21" t="n"/>
      <c r="D342" s="22" t="n"/>
      <c r="E342" s="22" t="n"/>
      <c r="F342" s="22" t="n"/>
      <c r="G342" s="22" t="n"/>
      <c r="H342" s="23" t="n"/>
      <c r="I342" s="24">
        <f>IF(OR(C342="",NOT(ISNUMBER(B342))),"",UPPER(IF(IFERROR(IF(INDEX(Products!$C$6:$C$45,MATCH(C342,Products!$B$6:$B$45,0))="","",INDEX(Products!$C$6:$C$45,MATCH(C342,Products!$B$6:$B$45,0))),"")="",LEFT(SUBSTITUTE(C342," ",""),3),IFERROR(IF(INDEX(Products!$C$6:$C$45,MATCH(C342,Products!$B$6:$B$45,0))="","",INDEX(Products!$C$6:$C$45,MATCH(C342,Products!$B$6:$B$45,0))),"")))&amp;"-"&amp;RIGHT(YEAR(B342),2)&amp;RIGHT("0"&amp;MONTH(B342),2)&amp;RIGHT("0"&amp;DAY(B342),2)&amp;"-"&amp;COUNTIFS(C$6:C342,C342,B$6:B342,B342))</f>
        <v/>
      </c>
      <c r="J342" s="14">
        <f>IF(OR(C342="",NOT(ISNUMBER(B342)),N(P342)=0),"",B342+P342)</f>
        <v/>
      </c>
      <c r="K342" s="25">
        <f>IF(C342="","",N(D342)-N(E342)-N(F342)-N(G342))</f>
        <v/>
      </c>
      <c r="L342" s="13">
        <f>IF(OR(C342="",N(K342)&lt;=0,NOT(ISNUMBER(J342))),"",J342-TODAY())</f>
        <v/>
      </c>
      <c r="M342" s="12">
        <f>IF(C342="","",IF(N(K342)&lt;=0,"Sold out",IF(NOT(ISNUMBER(J342)),"In stock",IF(J342&lt;TODAY(),"Past its date",IF(J342-TODAY()&lt;=Settings!$C$5,"Use soon","In stock")))))</f>
        <v/>
      </c>
      <c r="N342" s="26">
        <f>IF(C342="","",N(D342)*Q342)</f>
        <v/>
      </c>
      <c r="O342" s="1" t="n"/>
      <c r="P342">
        <f>IF(C342="",0,IFERROR(N(INDEX(Products!$E$6:$E$45,MATCH(C342,Products!$B$6:$B$45,0))),0))</f>
        <v/>
      </c>
      <c r="Q342">
        <f>IF(C342="",0,IFERROR(N(INDEX(Products!$I$6:$I$45,MATCH(C342,Products!$B$6:$B$45,0))),0))</f>
        <v/>
      </c>
      <c r="R342">
        <f>IF(OR(C342="",NOT(ISNUMBER(B342))),"",YEAR(B342)*100+MONTH(B342))</f>
        <v/>
      </c>
      <c r="S342">
        <f>N(G342)*Q342</f>
        <v/>
      </c>
      <c r="T342">
        <f>IF(OR(M342="",M342="Sold out",NOT(ISNUMBER(J342))),"",J342*1000+ROW())</f>
        <v/>
      </c>
    </row>
    <row r="343">
      <c r="A343" s="1" t="n"/>
      <c r="B343" s="20" t="n"/>
      <c r="C343" s="21" t="n"/>
      <c r="D343" s="22" t="n"/>
      <c r="E343" s="22" t="n"/>
      <c r="F343" s="22" t="n"/>
      <c r="G343" s="22" t="n"/>
      <c r="H343" s="23" t="n"/>
      <c r="I343" s="24">
        <f>IF(OR(C343="",NOT(ISNUMBER(B343))),"",UPPER(IF(IFERROR(IF(INDEX(Products!$C$6:$C$45,MATCH(C343,Products!$B$6:$B$45,0))="","",INDEX(Products!$C$6:$C$45,MATCH(C343,Products!$B$6:$B$45,0))),"")="",LEFT(SUBSTITUTE(C343," ",""),3),IFERROR(IF(INDEX(Products!$C$6:$C$45,MATCH(C343,Products!$B$6:$B$45,0))="","",INDEX(Products!$C$6:$C$45,MATCH(C343,Products!$B$6:$B$45,0))),"")))&amp;"-"&amp;RIGHT(YEAR(B343),2)&amp;RIGHT("0"&amp;MONTH(B343),2)&amp;RIGHT("0"&amp;DAY(B343),2)&amp;"-"&amp;COUNTIFS(C$6:C343,C343,B$6:B343,B343))</f>
        <v/>
      </c>
      <c r="J343" s="14">
        <f>IF(OR(C343="",NOT(ISNUMBER(B343)),N(P343)=0),"",B343+P343)</f>
        <v/>
      </c>
      <c r="K343" s="25">
        <f>IF(C343="","",N(D343)-N(E343)-N(F343)-N(G343))</f>
        <v/>
      </c>
      <c r="L343" s="13">
        <f>IF(OR(C343="",N(K343)&lt;=0,NOT(ISNUMBER(J343))),"",J343-TODAY())</f>
        <v/>
      </c>
      <c r="M343" s="12">
        <f>IF(C343="","",IF(N(K343)&lt;=0,"Sold out",IF(NOT(ISNUMBER(J343)),"In stock",IF(J343&lt;TODAY(),"Past its date",IF(J343-TODAY()&lt;=Settings!$C$5,"Use soon","In stock")))))</f>
        <v/>
      </c>
      <c r="N343" s="26">
        <f>IF(C343="","",N(D343)*Q343)</f>
        <v/>
      </c>
      <c r="O343" s="1" t="n"/>
      <c r="P343">
        <f>IF(C343="",0,IFERROR(N(INDEX(Products!$E$6:$E$45,MATCH(C343,Products!$B$6:$B$45,0))),0))</f>
        <v/>
      </c>
      <c r="Q343">
        <f>IF(C343="",0,IFERROR(N(INDEX(Products!$I$6:$I$45,MATCH(C343,Products!$B$6:$B$45,0))),0))</f>
        <v/>
      </c>
      <c r="R343">
        <f>IF(OR(C343="",NOT(ISNUMBER(B343))),"",YEAR(B343)*100+MONTH(B343))</f>
        <v/>
      </c>
      <c r="S343">
        <f>N(G343)*Q343</f>
        <v/>
      </c>
      <c r="T343">
        <f>IF(OR(M343="",M343="Sold out",NOT(ISNUMBER(J343))),"",J343*1000+ROW())</f>
        <v/>
      </c>
    </row>
    <row r="344">
      <c r="A344" s="1" t="n"/>
      <c r="B344" s="20" t="n"/>
      <c r="C344" s="21" t="n"/>
      <c r="D344" s="22" t="n"/>
      <c r="E344" s="22" t="n"/>
      <c r="F344" s="22" t="n"/>
      <c r="G344" s="22" t="n"/>
      <c r="H344" s="23" t="n"/>
      <c r="I344" s="24">
        <f>IF(OR(C344="",NOT(ISNUMBER(B344))),"",UPPER(IF(IFERROR(IF(INDEX(Products!$C$6:$C$45,MATCH(C344,Products!$B$6:$B$45,0))="","",INDEX(Products!$C$6:$C$45,MATCH(C344,Products!$B$6:$B$45,0))),"")="",LEFT(SUBSTITUTE(C344," ",""),3),IFERROR(IF(INDEX(Products!$C$6:$C$45,MATCH(C344,Products!$B$6:$B$45,0))="","",INDEX(Products!$C$6:$C$45,MATCH(C344,Products!$B$6:$B$45,0))),"")))&amp;"-"&amp;RIGHT(YEAR(B344),2)&amp;RIGHT("0"&amp;MONTH(B344),2)&amp;RIGHT("0"&amp;DAY(B344),2)&amp;"-"&amp;COUNTIFS(C$6:C344,C344,B$6:B344,B344))</f>
        <v/>
      </c>
      <c r="J344" s="14">
        <f>IF(OR(C344="",NOT(ISNUMBER(B344)),N(P344)=0),"",B344+P344)</f>
        <v/>
      </c>
      <c r="K344" s="25">
        <f>IF(C344="","",N(D344)-N(E344)-N(F344)-N(G344))</f>
        <v/>
      </c>
      <c r="L344" s="13">
        <f>IF(OR(C344="",N(K344)&lt;=0,NOT(ISNUMBER(J344))),"",J344-TODAY())</f>
        <v/>
      </c>
      <c r="M344" s="12">
        <f>IF(C344="","",IF(N(K344)&lt;=0,"Sold out",IF(NOT(ISNUMBER(J344)),"In stock",IF(J344&lt;TODAY(),"Past its date",IF(J344-TODAY()&lt;=Settings!$C$5,"Use soon","In stock")))))</f>
        <v/>
      </c>
      <c r="N344" s="26">
        <f>IF(C344="","",N(D344)*Q344)</f>
        <v/>
      </c>
      <c r="O344" s="1" t="n"/>
      <c r="P344">
        <f>IF(C344="",0,IFERROR(N(INDEX(Products!$E$6:$E$45,MATCH(C344,Products!$B$6:$B$45,0))),0))</f>
        <v/>
      </c>
      <c r="Q344">
        <f>IF(C344="",0,IFERROR(N(INDEX(Products!$I$6:$I$45,MATCH(C344,Products!$B$6:$B$45,0))),0))</f>
        <v/>
      </c>
      <c r="R344">
        <f>IF(OR(C344="",NOT(ISNUMBER(B344))),"",YEAR(B344)*100+MONTH(B344))</f>
        <v/>
      </c>
      <c r="S344">
        <f>N(G344)*Q344</f>
        <v/>
      </c>
      <c r="T344">
        <f>IF(OR(M344="",M344="Sold out",NOT(ISNUMBER(J344))),"",J344*1000+ROW())</f>
        <v/>
      </c>
    </row>
    <row r="345">
      <c r="A345" s="1" t="n"/>
      <c r="B345" s="20" t="n"/>
      <c r="C345" s="21" t="n"/>
      <c r="D345" s="22" t="n"/>
      <c r="E345" s="22" t="n"/>
      <c r="F345" s="22" t="n"/>
      <c r="G345" s="22" t="n"/>
      <c r="H345" s="23" t="n"/>
      <c r="I345" s="24">
        <f>IF(OR(C345="",NOT(ISNUMBER(B345))),"",UPPER(IF(IFERROR(IF(INDEX(Products!$C$6:$C$45,MATCH(C345,Products!$B$6:$B$45,0))="","",INDEX(Products!$C$6:$C$45,MATCH(C345,Products!$B$6:$B$45,0))),"")="",LEFT(SUBSTITUTE(C345," ",""),3),IFERROR(IF(INDEX(Products!$C$6:$C$45,MATCH(C345,Products!$B$6:$B$45,0))="","",INDEX(Products!$C$6:$C$45,MATCH(C345,Products!$B$6:$B$45,0))),"")))&amp;"-"&amp;RIGHT(YEAR(B345),2)&amp;RIGHT("0"&amp;MONTH(B345),2)&amp;RIGHT("0"&amp;DAY(B345),2)&amp;"-"&amp;COUNTIFS(C$6:C345,C345,B$6:B345,B345))</f>
        <v/>
      </c>
      <c r="J345" s="14">
        <f>IF(OR(C345="",NOT(ISNUMBER(B345)),N(P345)=0),"",B345+P345)</f>
        <v/>
      </c>
      <c r="K345" s="25">
        <f>IF(C345="","",N(D345)-N(E345)-N(F345)-N(G345))</f>
        <v/>
      </c>
      <c r="L345" s="13">
        <f>IF(OR(C345="",N(K345)&lt;=0,NOT(ISNUMBER(J345))),"",J345-TODAY())</f>
        <v/>
      </c>
      <c r="M345" s="12">
        <f>IF(C345="","",IF(N(K345)&lt;=0,"Sold out",IF(NOT(ISNUMBER(J345)),"In stock",IF(J345&lt;TODAY(),"Past its date",IF(J345-TODAY()&lt;=Settings!$C$5,"Use soon","In stock")))))</f>
        <v/>
      </c>
      <c r="N345" s="26">
        <f>IF(C345="","",N(D345)*Q345)</f>
        <v/>
      </c>
      <c r="O345" s="1" t="n"/>
      <c r="P345">
        <f>IF(C345="",0,IFERROR(N(INDEX(Products!$E$6:$E$45,MATCH(C345,Products!$B$6:$B$45,0))),0))</f>
        <v/>
      </c>
      <c r="Q345">
        <f>IF(C345="",0,IFERROR(N(INDEX(Products!$I$6:$I$45,MATCH(C345,Products!$B$6:$B$45,0))),0))</f>
        <v/>
      </c>
      <c r="R345">
        <f>IF(OR(C345="",NOT(ISNUMBER(B345))),"",YEAR(B345)*100+MONTH(B345))</f>
        <v/>
      </c>
      <c r="S345">
        <f>N(G345)*Q345</f>
        <v/>
      </c>
      <c r="T345">
        <f>IF(OR(M345="",M345="Sold out",NOT(ISNUMBER(J345))),"",J345*1000+ROW())</f>
        <v/>
      </c>
    </row>
    <row r="346">
      <c r="A346" s="1" t="n"/>
      <c r="B346" s="20" t="n"/>
      <c r="C346" s="21" t="n"/>
      <c r="D346" s="22" t="n"/>
      <c r="E346" s="22" t="n"/>
      <c r="F346" s="22" t="n"/>
      <c r="G346" s="22" t="n"/>
      <c r="H346" s="23" t="n"/>
      <c r="I346" s="24">
        <f>IF(OR(C346="",NOT(ISNUMBER(B346))),"",UPPER(IF(IFERROR(IF(INDEX(Products!$C$6:$C$45,MATCH(C346,Products!$B$6:$B$45,0))="","",INDEX(Products!$C$6:$C$45,MATCH(C346,Products!$B$6:$B$45,0))),"")="",LEFT(SUBSTITUTE(C346," ",""),3),IFERROR(IF(INDEX(Products!$C$6:$C$45,MATCH(C346,Products!$B$6:$B$45,0))="","",INDEX(Products!$C$6:$C$45,MATCH(C346,Products!$B$6:$B$45,0))),"")))&amp;"-"&amp;RIGHT(YEAR(B346),2)&amp;RIGHT("0"&amp;MONTH(B346),2)&amp;RIGHT("0"&amp;DAY(B346),2)&amp;"-"&amp;COUNTIFS(C$6:C346,C346,B$6:B346,B346))</f>
        <v/>
      </c>
      <c r="J346" s="14">
        <f>IF(OR(C346="",NOT(ISNUMBER(B346)),N(P346)=0),"",B346+P346)</f>
        <v/>
      </c>
      <c r="K346" s="25">
        <f>IF(C346="","",N(D346)-N(E346)-N(F346)-N(G346))</f>
        <v/>
      </c>
      <c r="L346" s="13">
        <f>IF(OR(C346="",N(K346)&lt;=0,NOT(ISNUMBER(J346))),"",J346-TODAY())</f>
        <v/>
      </c>
      <c r="M346" s="12">
        <f>IF(C346="","",IF(N(K346)&lt;=0,"Sold out",IF(NOT(ISNUMBER(J346)),"In stock",IF(J346&lt;TODAY(),"Past its date",IF(J346-TODAY()&lt;=Settings!$C$5,"Use soon","In stock")))))</f>
        <v/>
      </c>
      <c r="N346" s="26">
        <f>IF(C346="","",N(D346)*Q346)</f>
        <v/>
      </c>
      <c r="O346" s="1" t="n"/>
      <c r="P346">
        <f>IF(C346="",0,IFERROR(N(INDEX(Products!$E$6:$E$45,MATCH(C346,Products!$B$6:$B$45,0))),0))</f>
        <v/>
      </c>
      <c r="Q346">
        <f>IF(C346="",0,IFERROR(N(INDEX(Products!$I$6:$I$45,MATCH(C346,Products!$B$6:$B$45,0))),0))</f>
        <v/>
      </c>
      <c r="R346">
        <f>IF(OR(C346="",NOT(ISNUMBER(B346))),"",YEAR(B346)*100+MONTH(B346))</f>
        <v/>
      </c>
      <c r="S346">
        <f>N(G346)*Q346</f>
        <v/>
      </c>
      <c r="T346">
        <f>IF(OR(M346="",M346="Sold out",NOT(ISNUMBER(J346))),"",J346*1000+ROW())</f>
        <v/>
      </c>
    </row>
    <row r="347">
      <c r="A347" s="1" t="n"/>
      <c r="B347" s="20" t="n"/>
      <c r="C347" s="21" t="n"/>
      <c r="D347" s="22" t="n"/>
      <c r="E347" s="22" t="n"/>
      <c r="F347" s="22" t="n"/>
      <c r="G347" s="22" t="n"/>
      <c r="H347" s="23" t="n"/>
      <c r="I347" s="24">
        <f>IF(OR(C347="",NOT(ISNUMBER(B347))),"",UPPER(IF(IFERROR(IF(INDEX(Products!$C$6:$C$45,MATCH(C347,Products!$B$6:$B$45,0))="","",INDEX(Products!$C$6:$C$45,MATCH(C347,Products!$B$6:$B$45,0))),"")="",LEFT(SUBSTITUTE(C347," ",""),3),IFERROR(IF(INDEX(Products!$C$6:$C$45,MATCH(C347,Products!$B$6:$B$45,0))="","",INDEX(Products!$C$6:$C$45,MATCH(C347,Products!$B$6:$B$45,0))),"")))&amp;"-"&amp;RIGHT(YEAR(B347),2)&amp;RIGHT("0"&amp;MONTH(B347),2)&amp;RIGHT("0"&amp;DAY(B347),2)&amp;"-"&amp;COUNTIFS(C$6:C347,C347,B$6:B347,B347))</f>
        <v/>
      </c>
      <c r="J347" s="14">
        <f>IF(OR(C347="",NOT(ISNUMBER(B347)),N(P347)=0),"",B347+P347)</f>
        <v/>
      </c>
      <c r="K347" s="25">
        <f>IF(C347="","",N(D347)-N(E347)-N(F347)-N(G347))</f>
        <v/>
      </c>
      <c r="L347" s="13">
        <f>IF(OR(C347="",N(K347)&lt;=0,NOT(ISNUMBER(J347))),"",J347-TODAY())</f>
        <v/>
      </c>
      <c r="M347" s="12">
        <f>IF(C347="","",IF(N(K347)&lt;=0,"Sold out",IF(NOT(ISNUMBER(J347)),"In stock",IF(J347&lt;TODAY(),"Past its date",IF(J347-TODAY()&lt;=Settings!$C$5,"Use soon","In stock")))))</f>
        <v/>
      </c>
      <c r="N347" s="26">
        <f>IF(C347="","",N(D347)*Q347)</f>
        <v/>
      </c>
      <c r="O347" s="1" t="n"/>
      <c r="P347">
        <f>IF(C347="",0,IFERROR(N(INDEX(Products!$E$6:$E$45,MATCH(C347,Products!$B$6:$B$45,0))),0))</f>
        <v/>
      </c>
      <c r="Q347">
        <f>IF(C347="",0,IFERROR(N(INDEX(Products!$I$6:$I$45,MATCH(C347,Products!$B$6:$B$45,0))),0))</f>
        <v/>
      </c>
      <c r="R347">
        <f>IF(OR(C347="",NOT(ISNUMBER(B347))),"",YEAR(B347)*100+MONTH(B347))</f>
        <v/>
      </c>
      <c r="S347">
        <f>N(G347)*Q347</f>
        <v/>
      </c>
      <c r="T347">
        <f>IF(OR(M347="",M347="Sold out",NOT(ISNUMBER(J347))),"",J347*1000+ROW())</f>
        <v/>
      </c>
    </row>
    <row r="348">
      <c r="A348" s="1" t="n"/>
      <c r="B348" s="20" t="n"/>
      <c r="C348" s="21" t="n"/>
      <c r="D348" s="22" t="n"/>
      <c r="E348" s="22" t="n"/>
      <c r="F348" s="22" t="n"/>
      <c r="G348" s="22" t="n"/>
      <c r="H348" s="23" t="n"/>
      <c r="I348" s="24">
        <f>IF(OR(C348="",NOT(ISNUMBER(B348))),"",UPPER(IF(IFERROR(IF(INDEX(Products!$C$6:$C$45,MATCH(C348,Products!$B$6:$B$45,0))="","",INDEX(Products!$C$6:$C$45,MATCH(C348,Products!$B$6:$B$45,0))),"")="",LEFT(SUBSTITUTE(C348," ",""),3),IFERROR(IF(INDEX(Products!$C$6:$C$45,MATCH(C348,Products!$B$6:$B$45,0))="","",INDEX(Products!$C$6:$C$45,MATCH(C348,Products!$B$6:$B$45,0))),"")))&amp;"-"&amp;RIGHT(YEAR(B348),2)&amp;RIGHT("0"&amp;MONTH(B348),2)&amp;RIGHT("0"&amp;DAY(B348),2)&amp;"-"&amp;COUNTIFS(C$6:C348,C348,B$6:B348,B348))</f>
        <v/>
      </c>
      <c r="J348" s="14">
        <f>IF(OR(C348="",NOT(ISNUMBER(B348)),N(P348)=0),"",B348+P348)</f>
        <v/>
      </c>
      <c r="K348" s="25">
        <f>IF(C348="","",N(D348)-N(E348)-N(F348)-N(G348))</f>
        <v/>
      </c>
      <c r="L348" s="13">
        <f>IF(OR(C348="",N(K348)&lt;=0,NOT(ISNUMBER(J348))),"",J348-TODAY())</f>
        <v/>
      </c>
      <c r="M348" s="12">
        <f>IF(C348="","",IF(N(K348)&lt;=0,"Sold out",IF(NOT(ISNUMBER(J348)),"In stock",IF(J348&lt;TODAY(),"Past its date",IF(J348-TODAY()&lt;=Settings!$C$5,"Use soon","In stock")))))</f>
        <v/>
      </c>
      <c r="N348" s="26">
        <f>IF(C348="","",N(D348)*Q348)</f>
        <v/>
      </c>
      <c r="O348" s="1" t="n"/>
      <c r="P348">
        <f>IF(C348="",0,IFERROR(N(INDEX(Products!$E$6:$E$45,MATCH(C348,Products!$B$6:$B$45,0))),0))</f>
        <v/>
      </c>
      <c r="Q348">
        <f>IF(C348="",0,IFERROR(N(INDEX(Products!$I$6:$I$45,MATCH(C348,Products!$B$6:$B$45,0))),0))</f>
        <v/>
      </c>
      <c r="R348">
        <f>IF(OR(C348="",NOT(ISNUMBER(B348))),"",YEAR(B348)*100+MONTH(B348))</f>
        <v/>
      </c>
      <c r="S348">
        <f>N(G348)*Q348</f>
        <v/>
      </c>
      <c r="T348">
        <f>IF(OR(M348="",M348="Sold out",NOT(ISNUMBER(J348))),"",J348*1000+ROW())</f>
        <v/>
      </c>
    </row>
    <row r="349">
      <c r="A349" s="1" t="n"/>
      <c r="B349" s="20" t="n"/>
      <c r="C349" s="21" t="n"/>
      <c r="D349" s="22" t="n"/>
      <c r="E349" s="22" t="n"/>
      <c r="F349" s="22" t="n"/>
      <c r="G349" s="22" t="n"/>
      <c r="H349" s="23" t="n"/>
      <c r="I349" s="24">
        <f>IF(OR(C349="",NOT(ISNUMBER(B349))),"",UPPER(IF(IFERROR(IF(INDEX(Products!$C$6:$C$45,MATCH(C349,Products!$B$6:$B$45,0))="","",INDEX(Products!$C$6:$C$45,MATCH(C349,Products!$B$6:$B$45,0))),"")="",LEFT(SUBSTITUTE(C349," ",""),3),IFERROR(IF(INDEX(Products!$C$6:$C$45,MATCH(C349,Products!$B$6:$B$45,0))="","",INDEX(Products!$C$6:$C$45,MATCH(C349,Products!$B$6:$B$45,0))),"")))&amp;"-"&amp;RIGHT(YEAR(B349),2)&amp;RIGHT("0"&amp;MONTH(B349),2)&amp;RIGHT("0"&amp;DAY(B349),2)&amp;"-"&amp;COUNTIFS(C$6:C349,C349,B$6:B349,B349))</f>
        <v/>
      </c>
      <c r="J349" s="14">
        <f>IF(OR(C349="",NOT(ISNUMBER(B349)),N(P349)=0),"",B349+P349)</f>
        <v/>
      </c>
      <c r="K349" s="25">
        <f>IF(C349="","",N(D349)-N(E349)-N(F349)-N(G349))</f>
        <v/>
      </c>
      <c r="L349" s="13">
        <f>IF(OR(C349="",N(K349)&lt;=0,NOT(ISNUMBER(J349))),"",J349-TODAY())</f>
        <v/>
      </c>
      <c r="M349" s="12">
        <f>IF(C349="","",IF(N(K349)&lt;=0,"Sold out",IF(NOT(ISNUMBER(J349)),"In stock",IF(J349&lt;TODAY(),"Past its date",IF(J349-TODAY()&lt;=Settings!$C$5,"Use soon","In stock")))))</f>
        <v/>
      </c>
      <c r="N349" s="26">
        <f>IF(C349="","",N(D349)*Q349)</f>
        <v/>
      </c>
      <c r="O349" s="1" t="n"/>
      <c r="P349">
        <f>IF(C349="",0,IFERROR(N(INDEX(Products!$E$6:$E$45,MATCH(C349,Products!$B$6:$B$45,0))),0))</f>
        <v/>
      </c>
      <c r="Q349">
        <f>IF(C349="",0,IFERROR(N(INDEX(Products!$I$6:$I$45,MATCH(C349,Products!$B$6:$B$45,0))),0))</f>
        <v/>
      </c>
      <c r="R349">
        <f>IF(OR(C349="",NOT(ISNUMBER(B349))),"",YEAR(B349)*100+MONTH(B349))</f>
        <v/>
      </c>
      <c r="S349">
        <f>N(G349)*Q349</f>
        <v/>
      </c>
      <c r="T349">
        <f>IF(OR(M349="",M349="Sold out",NOT(ISNUMBER(J349))),"",J349*1000+ROW())</f>
        <v/>
      </c>
    </row>
    <row r="350">
      <c r="A350" s="1" t="n"/>
      <c r="B350" s="20" t="n"/>
      <c r="C350" s="21" t="n"/>
      <c r="D350" s="22" t="n"/>
      <c r="E350" s="22" t="n"/>
      <c r="F350" s="22" t="n"/>
      <c r="G350" s="22" t="n"/>
      <c r="H350" s="23" t="n"/>
      <c r="I350" s="24">
        <f>IF(OR(C350="",NOT(ISNUMBER(B350))),"",UPPER(IF(IFERROR(IF(INDEX(Products!$C$6:$C$45,MATCH(C350,Products!$B$6:$B$45,0))="","",INDEX(Products!$C$6:$C$45,MATCH(C350,Products!$B$6:$B$45,0))),"")="",LEFT(SUBSTITUTE(C350," ",""),3),IFERROR(IF(INDEX(Products!$C$6:$C$45,MATCH(C350,Products!$B$6:$B$45,0))="","",INDEX(Products!$C$6:$C$45,MATCH(C350,Products!$B$6:$B$45,0))),"")))&amp;"-"&amp;RIGHT(YEAR(B350),2)&amp;RIGHT("0"&amp;MONTH(B350),2)&amp;RIGHT("0"&amp;DAY(B350),2)&amp;"-"&amp;COUNTIFS(C$6:C350,C350,B$6:B350,B350))</f>
        <v/>
      </c>
      <c r="J350" s="14">
        <f>IF(OR(C350="",NOT(ISNUMBER(B350)),N(P350)=0),"",B350+P350)</f>
        <v/>
      </c>
      <c r="K350" s="25">
        <f>IF(C350="","",N(D350)-N(E350)-N(F350)-N(G350))</f>
        <v/>
      </c>
      <c r="L350" s="13">
        <f>IF(OR(C350="",N(K350)&lt;=0,NOT(ISNUMBER(J350))),"",J350-TODAY())</f>
        <v/>
      </c>
      <c r="M350" s="12">
        <f>IF(C350="","",IF(N(K350)&lt;=0,"Sold out",IF(NOT(ISNUMBER(J350)),"In stock",IF(J350&lt;TODAY(),"Past its date",IF(J350-TODAY()&lt;=Settings!$C$5,"Use soon","In stock")))))</f>
        <v/>
      </c>
      <c r="N350" s="26">
        <f>IF(C350="","",N(D350)*Q350)</f>
        <v/>
      </c>
      <c r="O350" s="1" t="n"/>
      <c r="P350">
        <f>IF(C350="",0,IFERROR(N(INDEX(Products!$E$6:$E$45,MATCH(C350,Products!$B$6:$B$45,0))),0))</f>
        <v/>
      </c>
      <c r="Q350">
        <f>IF(C350="",0,IFERROR(N(INDEX(Products!$I$6:$I$45,MATCH(C350,Products!$B$6:$B$45,0))),0))</f>
        <v/>
      </c>
      <c r="R350">
        <f>IF(OR(C350="",NOT(ISNUMBER(B350))),"",YEAR(B350)*100+MONTH(B350))</f>
        <v/>
      </c>
      <c r="S350">
        <f>N(G350)*Q350</f>
        <v/>
      </c>
      <c r="T350">
        <f>IF(OR(M350="",M350="Sold out",NOT(ISNUMBER(J350))),"",J350*1000+ROW())</f>
        <v/>
      </c>
    </row>
    <row r="351">
      <c r="A351" s="1" t="n"/>
      <c r="B351" s="20" t="n"/>
      <c r="C351" s="21" t="n"/>
      <c r="D351" s="22" t="n"/>
      <c r="E351" s="22" t="n"/>
      <c r="F351" s="22" t="n"/>
      <c r="G351" s="22" t="n"/>
      <c r="H351" s="23" t="n"/>
      <c r="I351" s="24">
        <f>IF(OR(C351="",NOT(ISNUMBER(B351))),"",UPPER(IF(IFERROR(IF(INDEX(Products!$C$6:$C$45,MATCH(C351,Products!$B$6:$B$45,0))="","",INDEX(Products!$C$6:$C$45,MATCH(C351,Products!$B$6:$B$45,0))),"")="",LEFT(SUBSTITUTE(C351," ",""),3),IFERROR(IF(INDEX(Products!$C$6:$C$45,MATCH(C351,Products!$B$6:$B$45,0))="","",INDEX(Products!$C$6:$C$45,MATCH(C351,Products!$B$6:$B$45,0))),"")))&amp;"-"&amp;RIGHT(YEAR(B351),2)&amp;RIGHT("0"&amp;MONTH(B351),2)&amp;RIGHT("0"&amp;DAY(B351),2)&amp;"-"&amp;COUNTIFS(C$6:C351,C351,B$6:B351,B351))</f>
        <v/>
      </c>
      <c r="J351" s="14">
        <f>IF(OR(C351="",NOT(ISNUMBER(B351)),N(P351)=0),"",B351+P351)</f>
        <v/>
      </c>
      <c r="K351" s="25">
        <f>IF(C351="","",N(D351)-N(E351)-N(F351)-N(G351))</f>
        <v/>
      </c>
      <c r="L351" s="13">
        <f>IF(OR(C351="",N(K351)&lt;=0,NOT(ISNUMBER(J351))),"",J351-TODAY())</f>
        <v/>
      </c>
      <c r="M351" s="12">
        <f>IF(C351="","",IF(N(K351)&lt;=0,"Sold out",IF(NOT(ISNUMBER(J351)),"In stock",IF(J351&lt;TODAY(),"Past its date",IF(J351-TODAY()&lt;=Settings!$C$5,"Use soon","In stock")))))</f>
        <v/>
      </c>
      <c r="N351" s="26">
        <f>IF(C351="","",N(D351)*Q351)</f>
        <v/>
      </c>
      <c r="O351" s="1" t="n"/>
      <c r="P351">
        <f>IF(C351="",0,IFERROR(N(INDEX(Products!$E$6:$E$45,MATCH(C351,Products!$B$6:$B$45,0))),0))</f>
        <v/>
      </c>
      <c r="Q351">
        <f>IF(C351="",0,IFERROR(N(INDEX(Products!$I$6:$I$45,MATCH(C351,Products!$B$6:$B$45,0))),0))</f>
        <v/>
      </c>
      <c r="R351">
        <f>IF(OR(C351="",NOT(ISNUMBER(B351))),"",YEAR(B351)*100+MONTH(B351))</f>
        <v/>
      </c>
      <c r="S351">
        <f>N(G351)*Q351</f>
        <v/>
      </c>
      <c r="T351">
        <f>IF(OR(M351="",M351="Sold out",NOT(ISNUMBER(J351))),"",J351*1000+ROW())</f>
        <v/>
      </c>
    </row>
    <row r="352">
      <c r="A352" s="1" t="n"/>
      <c r="B352" s="20" t="n"/>
      <c r="C352" s="21" t="n"/>
      <c r="D352" s="22" t="n"/>
      <c r="E352" s="22" t="n"/>
      <c r="F352" s="22" t="n"/>
      <c r="G352" s="22" t="n"/>
      <c r="H352" s="23" t="n"/>
      <c r="I352" s="24">
        <f>IF(OR(C352="",NOT(ISNUMBER(B352))),"",UPPER(IF(IFERROR(IF(INDEX(Products!$C$6:$C$45,MATCH(C352,Products!$B$6:$B$45,0))="","",INDEX(Products!$C$6:$C$45,MATCH(C352,Products!$B$6:$B$45,0))),"")="",LEFT(SUBSTITUTE(C352," ",""),3),IFERROR(IF(INDEX(Products!$C$6:$C$45,MATCH(C352,Products!$B$6:$B$45,0))="","",INDEX(Products!$C$6:$C$45,MATCH(C352,Products!$B$6:$B$45,0))),"")))&amp;"-"&amp;RIGHT(YEAR(B352),2)&amp;RIGHT("0"&amp;MONTH(B352),2)&amp;RIGHT("0"&amp;DAY(B352),2)&amp;"-"&amp;COUNTIFS(C$6:C352,C352,B$6:B352,B352))</f>
        <v/>
      </c>
      <c r="J352" s="14">
        <f>IF(OR(C352="",NOT(ISNUMBER(B352)),N(P352)=0),"",B352+P352)</f>
        <v/>
      </c>
      <c r="K352" s="25">
        <f>IF(C352="","",N(D352)-N(E352)-N(F352)-N(G352))</f>
        <v/>
      </c>
      <c r="L352" s="13">
        <f>IF(OR(C352="",N(K352)&lt;=0,NOT(ISNUMBER(J352))),"",J352-TODAY())</f>
        <v/>
      </c>
      <c r="M352" s="12">
        <f>IF(C352="","",IF(N(K352)&lt;=0,"Sold out",IF(NOT(ISNUMBER(J352)),"In stock",IF(J352&lt;TODAY(),"Past its date",IF(J352-TODAY()&lt;=Settings!$C$5,"Use soon","In stock")))))</f>
        <v/>
      </c>
      <c r="N352" s="26">
        <f>IF(C352="","",N(D352)*Q352)</f>
        <v/>
      </c>
      <c r="O352" s="1" t="n"/>
      <c r="P352">
        <f>IF(C352="",0,IFERROR(N(INDEX(Products!$E$6:$E$45,MATCH(C352,Products!$B$6:$B$45,0))),0))</f>
        <v/>
      </c>
      <c r="Q352">
        <f>IF(C352="",0,IFERROR(N(INDEX(Products!$I$6:$I$45,MATCH(C352,Products!$B$6:$B$45,0))),0))</f>
        <v/>
      </c>
      <c r="R352">
        <f>IF(OR(C352="",NOT(ISNUMBER(B352))),"",YEAR(B352)*100+MONTH(B352))</f>
        <v/>
      </c>
      <c r="S352">
        <f>N(G352)*Q352</f>
        <v/>
      </c>
      <c r="T352">
        <f>IF(OR(M352="",M352="Sold out",NOT(ISNUMBER(J352))),"",J352*1000+ROW())</f>
        <v/>
      </c>
    </row>
    <row r="353">
      <c r="A353" s="1" t="n"/>
      <c r="B353" s="20" t="n"/>
      <c r="C353" s="21" t="n"/>
      <c r="D353" s="22" t="n"/>
      <c r="E353" s="22" t="n"/>
      <c r="F353" s="22" t="n"/>
      <c r="G353" s="22" t="n"/>
      <c r="H353" s="23" t="n"/>
      <c r="I353" s="24">
        <f>IF(OR(C353="",NOT(ISNUMBER(B353))),"",UPPER(IF(IFERROR(IF(INDEX(Products!$C$6:$C$45,MATCH(C353,Products!$B$6:$B$45,0))="","",INDEX(Products!$C$6:$C$45,MATCH(C353,Products!$B$6:$B$45,0))),"")="",LEFT(SUBSTITUTE(C353," ",""),3),IFERROR(IF(INDEX(Products!$C$6:$C$45,MATCH(C353,Products!$B$6:$B$45,0))="","",INDEX(Products!$C$6:$C$45,MATCH(C353,Products!$B$6:$B$45,0))),"")))&amp;"-"&amp;RIGHT(YEAR(B353),2)&amp;RIGHT("0"&amp;MONTH(B353),2)&amp;RIGHT("0"&amp;DAY(B353),2)&amp;"-"&amp;COUNTIFS(C$6:C353,C353,B$6:B353,B353))</f>
        <v/>
      </c>
      <c r="J353" s="14">
        <f>IF(OR(C353="",NOT(ISNUMBER(B353)),N(P353)=0),"",B353+P353)</f>
        <v/>
      </c>
      <c r="K353" s="25">
        <f>IF(C353="","",N(D353)-N(E353)-N(F353)-N(G353))</f>
        <v/>
      </c>
      <c r="L353" s="13">
        <f>IF(OR(C353="",N(K353)&lt;=0,NOT(ISNUMBER(J353))),"",J353-TODAY())</f>
        <v/>
      </c>
      <c r="M353" s="12">
        <f>IF(C353="","",IF(N(K353)&lt;=0,"Sold out",IF(NOT(ISNUMBER(J353)),"In stock",IF(J353&lt;TODAY(),"Past its date",IF(J353-TODAY()&lt;=Settings!$C$5,"Use soon","In stock")))))</f>
        <v/>
      </c>
      <c r="N353" s="26">
        <f>IF(C353="","",N(D353)*Q353)</f>
        <v/>
      </c>
      <c r="O353" s="1" t="n"/>
      <c r="P353">
        <f>IF(C353="",0,IFERROR(N(INDEX(Products!$E$6:$E$45,MATCH(C353,Products!$B$6:$B$45,0))),0))</f>
        <v/>
      </c>
      <c r="Q353">
        <f>IF(C353="",0,IFERROR(N(INDEX(Products!$I$6:$I$45,MATCH(C353,Products!$B$6:$B$45,0))),0))</f>
        <v/>
      </c>
      <c r="R353">
        <f>IF(OR(C353="",NOT(ISNUMBER(B353))),"",YEAR(B353)*100+MONTH(B353))</f>
        <v/>
      </c>
      <c r="S353">
        <f>N(G353)*Q353</f>
        <v/>
      </c>
      <c r="T353">
        <f>IF(OR(M353="",M353="Sold out",NOT(ISNUMBER(J353))),"",J353*1000+ROW())</f>
        <v/>
      </c>
    </row>
    <row r="354">
      <c r="A354" s="1" t="n"/>
      <c r="B354" s="20" t="n"/>
      <c r="C354" s="21" t="n"/>
      <c r="D354" s="22" t="n"/>
      <c r="E354" s="22" t="n"/>
      <c r="F354" s="22" t="n"/>
      <c r="G354" s="22" t="n"/>
      <c r="H354" s="23" t="n"/>
      <c r="I354" s="24">
        <f>IF(OR(C354="",NOT(ISNUMBER(B354))),"",UPPER(IF(IFERROR(IF(INDEX(Products!$C$6:$C$45,MATCH(C354,Products!$B$6:$B$45,0))="","",INDEX(Products!$C$6:$C$45,MATCH(C354,Products!$B$6:$B$45,0))),"")="",LEFT(SUBSTITUTE(C354," ",""),3),IFERROR(IF(INDEX(Products!$C$6:$C$45,MATCH(C354,Products!$B$6:$B$45,0))="","",INDEX(Products!$C$6:$C$45,MATCH(C354,Products!$B$6:$B$45,0))),"")))&amp;"-"&amp;RIGHT(YEAR(B354),2)&amp;RIGHT("0"&amp;MONTH(B354),2)&amp;RIGHT("0"&amp;DAY(B354),2)&amp;"-"&amp;COUNTIFS(C$6:C354,C354,B$6:B354,B354))</f>
        <v/>
      </c>
      <c r="J354" s="14">
        <f>IF(OR(C354="",NOT(ISNUMBER(B354)),N(P354)=0),"",B354+P354)</f>
        <v/>
      </c>
      <c r="K354" s="25">
        <f>IF(C354="","",N(D354)-N(E354)-N(F354)-N(G354))</f>
        <v/>
      </c>
      <c r="L354" s="13">
        <f>IF(OR(C354="",N(K354)&lt;=0,NOT(ISNUMBER(J354))),"",J354-TODAY())</f>
        <v/>
      </c>
      <c r="M354" s="12">
        <f>IF(C354="","",IF(N(K354)&lt;=0,"Sold out",IF(NOT(ISNUMBER(J354)),"In stock",IF(J354&lt;TODAY(),"Past its date",IF(J354-TODAY()&lt;=Settings!$C$5,"Use soon","In stock")))))</f>
        <v/>
      </c>
      <c r="N354" s="26">
        <f>IF(C354="","",N(D354)*Q354)</f>
        <v/>
      </c>
      <c r="O354" s="1" t="n"/>
      <c r="P354">
        <f>IF(C354="",0,IFERROR(N(INDEX(Products!$E$6:$E$45,MATCH(C354,Products!$B$6:$B$45,0))),0))</f>
        <v/>
      </c>
      <c r="Q354">
        <f>IF(C354="",0,IFERROR(N(INDEX(Products!$I$6:$I$45,MATCH(C354,Products!$B$6:$B$45,0))),0))</f>
        <v/>
      </c>
      <c r="R354">
        <f>IF(OR(C354="",NOT(ISNUMBER(B354))),"",YEAR(B354)*100+MONTH(B354))</f>
        <v/>
      </c>
      <c r="S354">
        <f>N(G354)*Q354</f>
        <v/>
      </c>
      <c r="T354">
        <f>IF(OR(M354="",M354="Sold out",NOT(ISNUMBER(J354))),"",J354*1000+ROW())</f>
        <v/>
      </c>
    </row>
    <row r="355">
      <c r="A355" s="1" t="n"/>
      <c r="B355" s="20" t="n"/>
      <c r="C355" s="21" t="n"/>
      <c r="D355" s="22" t="n"/>
      <c r="E355" s="22" t="n"/>
      <c r="F355" s="22" t="n"/>
      <c r="G355" s="22" t="n"/>
      <c r="H355" s="23" t="n"/>
      <c r="I355" s="24">
        <f>IF(OR(C355="",NOT(ISNUMBER(B355))),"",UPPER(IF(IFERROR(IF(INDEX(Products!$C$6:$C$45,MATCH(C355,Products!$B$6:$B$45,0))="","",INDEX(Products!$C$6:$C$45,MATCH(C355,Products!$B$6:$B$45,0))),"")="",LEFT(SUBSTITUTE(C355," ",""),3),IFERROR(IF(INDEX(Products!$C$6:$C$45,MATCH(C355,Products!$B$6:$B$45,0))="","",INDEX(Products!$C$6:$C$45,MATCH(C355,Products!$B$6:$B$45,0))),"")))&amp;"-"&amp;RIGHT(YEAR(B355),2)&amp;RIGHT("0"&amp;MONTH(B355),2)&amp;RIGHT("0"&amp;DAY(B355),2)&amp;"-"&amp;COUNTIFS(C$6:C355,C355,B$6:B355,B355))</f>
        <v/>
      </c>
      <c r="J355" s="14">
        <f>IF(OR(C355="",NOT(ISNUMBER(B355)),N(P355)=0),"",B355+P355)</f>
        <v/>
      </c>
      <c r="K355" s="25">
        <f>IF(C355="","",N(D355)-N(E355)-N(F355)-N(G355))</f>
        <v/>
      </c>
      <c r="L355" s="13">
        <f>IF(OR(C355="",N(K355)&lt;=0,NOT(ISNUMBER(J355))),"",J355-TODAY())</f>
        <v/>
      </c>
      <c r="M355" s="12">
        <f>IF(C355="","",IF(N(K355)&lt;=0,"Sold out",IF(NOT(ISNUMBER(J355)),"In stock",IF(J355&lt;TODAY(),"Past its date",IF(J355-TODAY()&lt;=Settings!$C$5,"Use soon","In stock")))))</f>
        <v/>
      </c>
      <c r="N355" s="26">
        <f>IF(C355="","",N(D355)*Q355)</f>
        <v/>
      </c>
      <c r="O355" s="1" t="n"/>
      <c r="P355">
        <f>IF(C355="",0,IFERROR(N(INDEX(Products!$E$6:$E$45,MATCH(C355,Products!$B$6:$B$45,0))),0))</f>
        <v/>
      </c>
      <c r="Q355">
        <f>IF(C355="",0,IFERROR(N(INDEX(Products!$I$6:$I$45,MATCH(C355,Products!$B$6:$B$45,0))),0))</f>
        <v/>
      </c>
      <c r="R355">
        <f>IF(OR(C355="",NOT(ISNUMBER(B355))),"",YEAR(B355)*100+MONTH(B355))</f>
        <v/>
      </c>
      <c r="S355">
        <f>N(G355)*Q355</f>
        <v/>
      </c>
      <c r="T355">
        <f>IF(OR(M355="",M355="Sold out",NOT(ISNUMBER(J355))),"",J355*1000+ROW())</f>
        <v/>
      </c>
    </row>
    <row r="356">
      <c r="A356" s="1" t="n"/>
      <c r="B356" s="20" t="n"/>
      <c r="C356" s="21" t="n"/>
      <c r="D356" s="22" t="n"/>
      <c r="E356" s="22" t="n"/>
      <c r="F356" s="22" t="n"/>
      <c r="G356" s="22" t="n"/>
      <c r="H356" s="23" t="n"/>
      <c r="I356" s="24">
        <f>IF(OR(C356="",NOT(ISNUMBER(B356))),"",UPPER(IF(IFERROR(IF(INDEX(Products!$C$6:$C$45,MATCH(C356,Products!$B$6:$B$45,0))="","",INDEX(Products!$C$6:$C$45,MATCH(C356,Products!$B$6:$B$45,0))),"")="",LEFT(SUBSTITUTE(C356," ",""),3),IFERROR(IF(INDEX(Products!$C$6:$C$45,MATCH(C356,Products!$B$6:$B$45,0))="","",INDEX(Products!$C$6:$C$45,MATCH(C356,Products!$B$6:$B$45,0))),"")))&amp;"-"&amp;RIGHT(YEAR(B356),2)&amp;RIGHT("0"&amp;MONTH(B356),2)&amp;RIGHT("0"&amp;DAY(B356),2)&amp;"-"&amp;COUNTIFS(C$6:C356,C356,B$6:B356,B356))</f>
        <v/>
      </c>
      <c r="J356" s="14">
        <f>IF(OR(C356="",NOT(ISNUMBER(B356)),N(P356)=0),"",B356+P356)</f>
        <v/>
      </c>
      <c r="K356" s="25">
        <f>IF(C356="","",N(D356)-N(E356)-N(F356)-N(G356))</f>
        <v/>
      </c>
      <c r="L356" s="13">
        <f>IF(OR(C356="",N(K356)&lt;=0,NOT(ISNUMBER(J356))),"",J356-TODAY())</f>
        <v/>
      </c>
      <c r="M356" s="12">
        <f>IF(C356="","",IF(N(K356)&lt;=0,"Sold out",IF(NOT(ISNUMBER(J356)),"In stock",IF(J356&lt;TODAY(),"Past its date",IF(J356-TODAY()&lt;=Settings!$C$5,"Use soon","In stock")))))</f>
        <v/>
      </c>
      <c r="N356" s="26">
        <f>IF(C356="","",N(D356)*Q356)</f>
        <v/>
      </c>
      <c r="O356" s="1" t="n"/>
      <c r="P356">
        <f>IF(C356="",0,IFERROR(N(INDEX(Products!$E$6:$E$45,MATCH(C356,Products!$B$6:$B$45,0))),0))</f>
        <v/>
      </c>
      <c r="Q356">
        <f>IF(C356="",0,IFERROR(N(INDEX(Products!$I$6:$I$45,MATCH(C356,Products!$B$6:$B$45,0))),0))</f>
        <v/>
      </c>
      <c r="R356">
        <f>IF(OR(C356="",NOT(ISNUMBER(B356))),"",YEAR(B356)*100+MONTH(B356))</f>
        <v/>
      </c>
      <c r="S356">
        <f>N(G356)*Q356</f>
        <v/>
      </c>
      <c r="T356">
        <f>IF(OR(M356="",M356="Sold out",NOT(ISNUMBER(J356))),"",J356*1000+ROW())</f>
        <v/>
      </c>
    </row>
    <row r="357">
      <c r="A357" s="1" t="n"/>
      <c r="B357" s="20" t="n"/>
      <c r="C357" s="21" t="n"/>
      <c r="D357" s="22" t="n"/>
      <c r="E357" s="22" t="n"/>
      <c r="F357" s="22" t="n"/>
      <c r="G357" s="22" t="n"/>
      <c r="H357" s="23" t="n"/>
      <c r="I357" s="24">
        <f>IF(OR(C357="",NOT(ISNUMBER(B357))),"",UPPER(IF(IFERROR(IF(INDEX(Products!$C$6:$C$45,MATCH(C357,Products!$B$6:$B$45,0))="","",INDEX(Products!$C$6:$C$45,MATCH(C357,Products!$B$6:$B$45,0))),"")="",LEFT(SUBSTITUTE(C357," ",""),3),IFERROR(IF(INDEX(Products!$C$6:$C$45,MATCH(C357,Products!$B$6:$B$45,0))="","",INDEX(Products!$C$6:$C$45,MATCH(C357,Products!$B$6:$B$45,0))),"")))&amp;"-"&amp;RIGHT(YEAR(B357),2)&amp;RIGHT("0"&amp;MONTH(B357),2)&amp;RIGHT("0"&amp;DAY(B357),2)&amp;"-"&amp;COUNTIFS(C$6:C357,C357,B$6:B357,B357))</f>
        <v/>
      </c>
      <c r="J357" s="14">
        <f>IF(OR(C357="",NOT(ISNUMBER(B357)),N(P357)=0),"",B357+P357)</f>
        <v/>
      </c>
      <c r="K357" s="25">
        <f>IF(C357="","",N(D357)-N(E357)-N(F357)-N(G357))</f>
        <v/>
      </c>
      <c r="L357" s="13">
        <f>IF(OR(C357="",N(K357)&lt;=0,NOT(ISNUMBER(J357))),"",J357-TODAY())</f>
        <v/>
      </c>
      <c r="M357" s="12">
        <f>IF(C357="","",IF(N(K357)&lt;=0,"Sold out",IF(NOT(ISNUMBER(J357)),"In stock",IF(J357&lt;TODAY(),"Past its date",IF(J357-TODAY()&lt;=Settings!$C$5,"Use soon","In stock")))))</f>
        <v/>
      </c>
      <c r="N357" s="26">
        <f>IF(C357="","",N(D357)*Q357)</f>
        <v/>
      </c>
      <c r="O357" s="1" t="n"/>
      <c r="P357">
        <f>IF(C357="",0,IFERROR(N(INDEX(Products!$E$6:$E$45,MATCH(C357,Products!$B$6:$B$45,0))),0))</f>
        <v/>
      </c>
      <c r="Q357">
        <f>IF(C357="",0,IFERROR(N(INDEX(Products!$I$6:$I$45,MATCH(C357,Products!$B$6:$B$45,0))),0))</f>
        <v/>
      </c>
      <c r="R357">
        <f>IF(OR(C357="",NOT(ISNUMBER(B357))),"",YEAR(B357)*100+MONTH(B357))</f>
        <v/>
      </c>
      <c r="S357">
        <f>N(G357)*Q357</f>
        <v/>
      </c>
      <c r="T357">
        <f>IF(OR(M357="",M357="Sold out",NOT(ISNUMBER(J357))),"",J357*1000+ROW())</f>
        <v/>
      </c>
    </row>
    <row r="358">
      <c r="A358" s="1" t="n"/>
      <c r="B358" s="20" t="n"/>
      <c r="C358" s="21" t="n"/>
      <c r="D358" s="22" t="n"/>
      <c r="E358" s="22" t="n"/>
      <c r="F358" s="22" t="n"/>
      <c r="G358" s="22" t="n"/>
      <c r="H358" s="23" t="n"/>
      <c r="I358" s="24">
        <f>IF(OR(C358="",NOT(ISNUMBER(B358))),"",UPPER(IF(IFERROR(IF(INDEX(Products!$C$6:$C$45,MATCH(C358,Products!$B$6:$B$45,0))="","",INDEX(Products!$C$6:$C$45,MATCH(C358,Products!$B$6:$B$45,0))),"")="",LEFT(SUBSTITUTE(C358," ",""),3),IFERROR(IF(INDEX(Products!$C$6:$C$45,MATCH(C358,Products!$B$6:$B$45,0))="","",INDEX(Products!$C$6:$C$45,MATCH(C358,Products!$B$6:$B$45,0))),"")))&amp;"-"&amp;RIGHT(YEAR(B358),2)&amp;RIGHT("0"&amp;MONTH(B358),2)&amp;RIGHT("0"&amp;DAY(B358),2)&amp;"-"&amp;COUNTIFS(C$6:C358,C358,B$6:B358,B358))</f>
        <v/>
      </c>
      <c r="J358" s="14">
        <f>IF(OR(C358="",NOT(ISNUMBER(B358)),N(P358)=0),"",B358+P358)</f>
        <v/>
      </c>
      <c r="K358" s="25">
        <f>IF(C358="","",N(D358)-N(E358)-N(F358)-N(G358))</f>
        <v/>
      </c>
      <c r="L358" s="13">
        <f>IF(OR(C358="",N(K358)&lt;=0,NOT(ISNUMBER(J358))),"",J358-TODAY())</f>
        <v/>
      </c>
      <c r="M358" s="12">
        <f>IF(C358="","",IF(N(K358)&lt;=0,"Sold out",IF(NOT(ISNUMBER(J358)),"In stock",IF(J358&lt;TODAY(),"Past its date",IF(J358-TODAY()&lt;=Settings!$C$5,"Use soon","In stock")))))</f>
        <v/>
      </c>
      <c r="N358" s="26">
        <f>IF(C358="","",N(D358)*Q358)</f>
        <v/>
      </c>
      <c r="O358" s="1" t="n"/>
      <c r="P358">
        <f>IF(C358="",0,IFERROR(N(INDEX(Products!$E$6:$E$45,MATCH(C358,Products!$B$6:$B$45,0))),0))</f>
        <v/>
      </c>
      <c r="Q358">
        <f>IF(C358="",0,IFERROR(N(INDEX(Products!$I$6:$I$45,MATCH(C358,Products!$B$6:$B$45,0))),0))</f>
        <v/>
      </c>
      <c r="R358">
        <f>IF(OR(C358="",NOT(ISNUMBER(B358))),"",YEAR(B358)*100+MONTH(B358))</f>
        <v/>
      </c>
      <c r="S358">
        <f>N(G358)*Q358</f>
        <v/>
      </c>
      <c r="T358">
        <f>IF(OR(M358="",M358="Sold out",NOT(ISNUMBER(J358))),"",J358*1000+ROW())</f>
        <v/>
      </c>
    </row>
    <row r="359">
      <c r="A359" s="1" t="n"/>
      <c r="B359" s="20" t="n"/>
      <c r="C359" s="21" t="n"/>
      <c r="D359" s="22" t="n"/>
      <c r="E359" s="22" t="n"/>
      <c r="F359" s="22" t="n"/>
      <c r="G359" s="22" t="n"/>
      <c r="H359" s="23" t="n"/>
      <c r="I359" s="24">
        <f>IF(OR(C359="",NOT(ISNUMBER(B359))),"",UPPER(IF(IFERROR(IF(INDEX(Products!$C$6:$C$45,MATCH(C359,Products!$B$6:$B$45,0))="","",INDEX(Products!$C$6:$C$45,MATCH(C359,Products!$B$6:$B$45,0))),"")="",LEFT(SUBSTITUTE(C359," ",""),3),IFERROR(IF(INDEX(Products!$C$6:$C$45,MATCH(C359,Products!$B$6:$B$45,0))="","",INDEX(Products!$C$6:$C$45,MATCH(C359,Products!$B$6:$B$45,0))),"")))&amp;"-"&amp;RIGHT(YEAR(B359),2)&amp;RIGHT("0"&amp;MONTH(B359),2)&amp;RIGHT("0"&amp;DAY(B359),2)&amp;"-"&amp;COUNTIFS(C$6:C359,C359,B$6:B359,B359))</f>
        <v/>
      </c>
      <c r="J359" s="14">
        <f>IF(OR(C359="",NOT(ISNUMBER(B359)),N(P359)=0),"",B359+P359)</f>
        <v/>
      </c>
      <c r="K359" s="25">
        <f>IF(C359="","",N(D359)-N(E359)-N(F359)-N(G359))</f>
        <v/>
      </c>
      <c r="L359" s="13">
        <f>IF(OR(C359="",N(K359)&lt;=0,NOT(ISNUMBER(J359))),"",J359-TODAY())</f>
        <v/>
      </c>
      <c r="M359" s="12">
        <f>IF(C359="","",IF(N(K359)&lt;=0,"Sold out",IF(NOT(ISNUMBER(J359)),"In stock",IF(J359&lt;TODAY(),"Past its date",IF(J359-TODAY()&lt;=Settings!$C$5,"Use soon","In stock")))))</f>
        <v/>
      </c>
      <c r="N359" s="26">
        <f>IF(C359="","",N(D359)*Q359)</f>
        <v/>
      </c>
      <c r="O359" s="1" t="n"/>
      <c r="P359">
        <f>IF(C359="",0,IFERROR(N(INDEX(Products!$E$6:$E$45,MATCH(C359,Products!$B$6:$B$45,0))),0))</f>
        <v/>
      </c>
      <c r="Q359">
        <f>IF(C359="",0,IFERROR(N(INDEX(Products!$I$6:$I$45,MATCH(C359,Products!$B$6:$B$45,0))),0))</f>
        <v/>
      </c>
      <c r="R359">
        <f>IF(OR(C359="",NOT(ISNUMBER(B359))),"",YEAR(B359)*100+MONTH(B359))</f>
        <v/>
      </c>
      <c r="S359">
        <f>N(G359)*Q359</f>
        <v/>
      </c>
      <c r="T359">
        <f>IF(OR(M359="",M359="Sold out",NOT(ISNUMBER(J359))),"",J359*1000+ROW())</f>
        <v/>
      </c>
    </row>
    <row r="360">
      <c r="A360" s="1" t="n"/>
      <c r="B360" s="20" t="n"/>
      <c r="C360" s="21" t="n"/>
      <c r="D360" s="22" t="n"/>
      <c r="E360" s="22" t="n"/>
      <c r="F360" s="22" t="n"/>
      <c r="G360" s="22" t="n"/>
      <c r="H360" s="23" t="n"/>
      <c r="I360" s="24">
        <f>IF(OR(C360="",NOT(ISNUMBER(B360))),"",UPPER(IF(IFERROR(IF(INDEX(Products!$C$6:$C$45,MATCH(C360,Products!$B$6:$B$45,0))="","",INDEX(Products!$C$6:$C$45,MATCH(C360,Products!$B$6:$B$45,0))),"")="",LEFT(SUBSTITUTE(C360," ",""),3),IFERROR(IF(INDEX(Products!$C$6:$C$45,MATCH(C360,Products!$B$6:$B$45,0))="","",INDEX(Products!$C$6:$C$45,MATCH(C360,Products!$B$6:$B$45,0))),"")))&amp;"-"&amp;RIGHT(YEAR(B360),2)&amp;RIGHT("0"&amp;MONTH(B360),2)&amp;RIGHT("0"&amp;DAY(B360),2)&amp;"-"&amp;COUNTIFS(C$6:C360,C360,B$6:B360,B360))</f>
        <v/>
      </c>
      <c r="J360" s="14">
        <f>IF(OR(C360="",NOT(ISNUMBER(B360)),N(P360)=0),"",B360+P360)</f>
        <v/>
      </c>
      <c r="K360" s="25">
        <f>IF(C360="","",N(D360)-N(E360)-N(F360)-N(G360))</f>
        <v/>
      </c>
      <c r="L360" s="13">
        <f>IF(OR(C360="",N(K360)&lt;=0,NOT(ISNUMBER(J360))),"",J360-TODAY())</f>
        <v/>
      </c>
      <c r="M360" s="12">
        <f>IF(C360="","",IF(N(K360)&lt;=0,"Sold out",IF(NOT(ISNUMBER(J360)),"In stock",IF(J360&lt;TODAY(),"Past its date",IF(J360-TODAY()&lt;=Settings!$C$5,"Use soon","In stock")))))</f>
        <v/>
      </c>
      <c r="N360" s="26">
        <f>IF(C360="","",N(D360)*Q360)</f>
        <v/>
      </c>
      <c r="O360" s="1" t="n"/>
      <c r="P360">
        <f>IF(C360="",0,IFERROR(N(INDEX(Products!$E$6:$E$45,MATCH(C360,Products!$B$6:$B$45,0))),0))</f>
        <v/>
      </c>
      <c r="Q360">
        <f>IF(C360="",0,IFERROR(N(INDEX(Products!$I$6:$I$45,MATCH(C360,Products!$B$6:$B$45,0))),0))</f>
        <v/>
      </c>
      <c r="R360">
        <f>IF(OR(C360="",NOT(ISNUMBER(B360))),"",YEAR(B360)*100+MONTH(B360))</f>
        <v/>
      </c>
      <c r="S360">
        <f>N(G360)*Q360</f>
        <v/>
      </c>
      <c r="T360">
        <f>IF(OR(M360="",M360="Sold out",NOT(ISNUMBER(J360))),"",J360*1000+ROW())</f>
        <v/>
      </c>
    </row>
    <row r="361">
      <c r="A361" s="1" t="n"/>
      <c r="B361" s="20" t="n"/>
      <c r="C361" s="21" t="n"/>
      <c r="D361" s="22" t="n"/>
      <c r="E361" s="22" t="n"/>
      <c r="F361" s="22" t="n"/>
      <c r="G361" s="22" t="n"/>
      <c r="H361" s="23" t="n"/>
      <c r="I361" s="24">
        <f>IF(OR(C361="",NOT(ISNUMBER(B361))),"",UPPER(IF(IFERROR(IF(INDEX(Products!$C$6:$C$45,MATCH(C361,Products!$B$6:$B$45,0))="","",INDEX(Products!$C$6:$C$45,MATCH(C361,Products!$B$6:$B$45,0))),"")="",LEFT(SUBSTITUTE(C361," ",""),3),IFERROR(IF(INDEX(Products!$C$6:$C$45,MATCH(C361,Products!$B$6:$B$45,0))="","",INDEX(Products!$C$6:$C$45,MATCH(C361,Products!$B$6:$B$45,0))),"")))&amp;"-"&amp;RIGHT(YEAR(B361),2)&amp;RIGHT("0"&amp;MONTH(B361),2)&amp;RIGHT("0"&amp;DAY(B361),2)&amp;"-"&amp;COUNTIFS(C$6:C361,C361,B$6:B361,B361))</f>
        <v/>
      </c>
      <c r="J361" s="14">
        <f>IF(OR(C361="",NOT(ISNUMBER(B361)),N(P361)=0),"",B361+P361)</f>
        <v/>
      </c>
      <c r="K361" s="25">
        <f>IF(C361="","",N(D361)-N(E361)-N(F361)-N(G361))</f>
        <v/>
      </c>
      <c r="L361" s="13">
        <f>IF(OR(C361="",N(K361)&lt;=0,NOT(ISNUMBER(J361))),"",J361-TODAY())</f>
        <v/>
      </c>
      <c r="M361" s="12">
        <f>IF(C361="","",IF(N(K361)&lt;=0,"Sold out",IF(NOT(ISNUMBER(J361)),"In stock",IF(J361&lt;TODAY(),"Past its date",IF(J361-TODAY()&lt;=Settings!$C$5,"Use soon","In stock")))))</f>
        <v/>
      </c>
      <c r="N361" s="26">
        <f>IF(C361="","",N(D361)*Q361)</f>
        <v/>
      </c>
      <c r="O361" s="1" t="n"/>
      <c r="P361">
        <f>IF(C361="",0,IFERROR(N(INDEX(Products!$E$6:$E$45,MATCH(C361,Products!$B$6:$B$45,0))),0))</f>
        <v/>
      </c>
      <c r="Q361">
        <f>IF(C361="",0,IFERROR(N(INDEX(Products!$I$6:$I$45,MATCH(C361,Products!$B$6:$B$45,0))),0))</f>
        <v/>
      </c>
      <c r="R361">
        <f>IF(OR(C361="",NOT(ISNUMBER(B361))),"",YEAR(B361)*100+MONTH(B361))</f>
        <v/>
      </c>
      <c r="S361">
        <f>N(G361)*Q361</f>
        <v/>
      </c>
      <c r="T361">
        <f>IF(OR(M361="",M361="Sold out",NOT(ISNUMBER(J361))),"",J361*1000+ROW())</f>
        <v/>
      </c>
    </row>
    <row r="362">
      <c r="A362" s="1" t="n"/>
      <c r="B362" s="20" t="n"/>
      <c r="C362" s="21" t="n"/>
      <c r="D362" s="22" t="n"/>
      <c r="E362" s="22" t="n"/>
      <c r="F362" s="22" t="n"/>
      <c r="G362" s="22" t="n"/>
      <c r="H362" s="23" t="n"/>
      <c r="I362" s="24">
        <f>IF(OR(C362="",NOT(ISNUMBER(B362))),"",UPPER(IF(IFERROR(IF(INDEX(Products!$C$6:$C$45,MATCH(C362,Products!$B$6:$B$45,0))="","",INDEX(Products!$C$6:$C$45,MATCH(C362,Products!$B$6:$B$45,0))),"")="",LEFT(SUBSTITUTE(C362," ",""),3),IFERROR(IF(INDEX(Products!$C$6:$C$45,MATCH(C362,Products!$B$6:$B$45,0))="","",INDEX(Products!$C$6:$C$45,MATCH(C362,Products!$B$6:$B$45,0))),"")))&amp;"-"&amp;RIGHT(YEAR(B362),2)&amp;RIGHT("0"&amp;MONTH(B362),2)&amp;RIGHT("0"&amp;DAY(B362),2)&amp;"-"&amp;COUNTIFS(C$6:C362,C362,B$6:B362,B362))</f>
        <v/>
      </c>
      <c r="J362" s="14">
        <f>IF(OR(C362="",NOT(ISNUMBER(B362)),N(P362)=0),"",B362+P362)</f>
        <v/>
      </c>
      <c r="K362" s="25">
        <f>IF(C362="","",N(D362)-N(E362)-N(F362)-N(G362))</f>
        <v/>
      </c>
      <c r="L362" s="13">
        <f>IF(OR(C362="",N(K362)&lt;=0,NOT(ISNUMBER(J362))),"",J362-TODAY())</f>
        <v/>
      </c>
      <c r="M362" s="12">
        <f>IF(C362="","",IF(N(K362)&lt;=0,"Sold out",IF(NOT(ISNUMBER(J362)),"In stock",IF(J362&lt;TODAY(),"Past its date",IF(J362-TODAY()&lt;=Settings!$C$5,"Use soon","In stock")))))</f>
        <v/>
      </c>
      <c r="N362" s="26">
        <f>IF(C362="","",N(D362)*Q362)</f>
        <v/>
      </c>
      <c r="O362" s="1" t="n"/>
      <c r="P362">
        <f>IF(C362="",0,IFERROR(N(INDEX(Products!$E$6:$E$45,MATCH(C362,Products!$B$6:$B$45,0))),0))</f>
        <v/>
      </c>
      <c r="Q362">
        <f>IF(C362="",0,IFERROR(N(INDEX(Products!$I$6:$I$45,MATCH(C362,Products!$B$6:$B$45,0))),0))</f>
        <v/>
      </c>
      <c r="R362">
        <f>IF(OR(C362="",NOT(ISNUMBER(B362))),"",YEAR(B362)*100+MONTH(B362))</f>
        <v/>
      </c>
      <c r="S362">
        <f>N(G362)*Q362</f>
        <v/>
      </c>
      <c r="T362">
        <f>IF(OR(M362="",M362="Sold out",NOT(ISNUMBER(J362))),"",J362*1000+ROW())</f>
        <v/>
      </c>
    </row>
    <row r="363">
      <c r="A363" s="1" t="n"/>
      <c r="B363" s="20" t="n"/>
      <c r="C363" s="21" t="n"/>
      <c r="D363" s="22" t="n"/>
      <c r="E363" s="22" t="n"/>
      <c r="F363" s="22" t="n"/>
      <c r="G363" s="22" t="n"/>
      <c r="H363" s="23" t="n"/>
      <c r="I363" s="24">
        <f>IF(OR(C363="",NOT(ISNUMBER(B363))),"",UPPER(IF(IFERROR(IF(INDEX(Products!$C$6:$C$45,MATCH(C363,Products!$B$6:$B$45,0))="","",INDEX(Products!$C$6:$C$45,MATCH(C363,Products!$B$6:$B$45,0))),"")="",LEFT(SUBSTITUTE(C363," ",""),3),IFERROR(IF(INDEX(Products!$C$6:$C$45,MATCH(C363,Products!$B$6:$B$45,0))="","",INDEX(Products!$C$6:$C$45,MATCH(C363,Products!$B$6:$B$45,0))),"")))&amp;"-"&amp;RIGHT(YEAR(B363),2)&amp;RIGHT("0"&amp;MONTH(B363),2)&amp;RIGHT("0"&amp;DAY(B363),2)&amp;"-"&amp;COUNTIFS(C$6:C363,C363,B$6:B363,B363))</f>
        <v/>
      </c>
      <c r="J363" s="14">
        <f>IF(OR(C363="",NOT(ISNUMBER(B363)),N(P363)=0),"",B363+P363)</f>
        <v/>
      </c>
      <c r="K363" s="25">
        <f>IF(C363="","",N(D363)-N(E363)-N(F363)-N(G363))</f>
        <v/>
      </c>
      <c r="L363" s="13">
        <f>IF(OR(C363="",N(K363)&lt;=0,NOT(ISNUMBER(J363))),"",J363-TODAY())</f>
        <v/>
      </c>
      <c r="M363" s="12">
        <f>IF(C363="","",IF(N(K363)&lt;=0,"Sold out",IF(NOT(ISNUMBER(J363)),"In stock",IF(J363&lt;TODAY(),"Past its date",IF(J363-TODAY()&lt;=Settings!$C$5,"Use soon","In stock")))))</f>
        <v/>
      </c>
      <c r="N363" s="26">
        <f>IF(C363="","",N(D363)*Q363)</f>
        <v/>
      </c>
      <c r="O363" s="1" t="n"/>
      <c r="P363">
        <f>IF(C363="",0,IFERROR(N(INDEX(Products!$E$6:$E$45,MATCH(C363,Products!$B$6:$B$45,0))),0))</f>
        <v/>
      </c>
      <c r="Q363">
        <f>IF(C363="",0,IFERROR(N(INDEX(Products!$I$6:$I$45,MATCH(C363,Products!$B$6:$B$45,0))),0))</f>
        <v/>
      </c>
      <c r="R363">
        <f>IF(OR(C363="",NOT(ISNUMBER(B363))),"",YEAR(B363)*100+MONTH(B363))</f>
        <v/>
      </c>
      <c r="S363">
        <f>N(G363)*Q363</f>
        <v/>
      </c>
      <c r="T363">
        <f>IF(OR(M363="",M363="Sold out",NOT(ISNUMBER(J363))),"",J363*1000+ROW())</f>
        <v/>
      </c>
    </row>
    <row r="364">
      <c r="A364" s="1" t="n"/>
      <c r="B364" s="20" t="n"/>
      <c r="C364" s="21" t="n"/>
      <c r="D364" s="22" t="n"/>
      <c r="E364" s="22" t="n"/>
      <c r="F364" s="22" t="n"/>
      <c r="G364" s="22" t="n"/>
      <c r="H364" s="23" t="n"/>
      <c r="I364" s="24">
        <f>IF(OR(C364="",NOT(ISNUMBER(B364))),"",UPPER(IF(IFERROR(IF(INDEX(Products!$C$6:$C$45,MATCH(C364,Products!$B$6:$B$45,0))="","",INDEX(Products!$C$6:$C$45,MATCH(C364,Products!$B$6:$B$45,0))),"")="",LEFT(SUBSTITUTE(C364," ",""),3),IFERROR(IF(INDEX(Products!$C$6:$C$45,MATCH(C364,Products!$B$6:$B$45,0))="","",INDEX(Products!$C$6:$C$45,MATCH(C364,Products!$B$6:$B$45,0))),"")))&amp;"-"&amp;RIGHT(YEAR(B364),2)&amp;RIGHT("0"&amp;MONTH(B364),2)&amp;RIGHT("0"&amp;DAY(B364),2)&amp;"-"&amp;COUNTIFS(C$6:C364,C364,B$6:B364,B364))</f>
        <v/>
      </c>
      <c r="J364" s="14">
        <f>IF(OR(C364="",NOT(ISNUMBER(B364)),N(P364)=0),"",B364+P364)</f>
        <v/>
      </c>
      <c r="K364" s="25">
        <f>IF(C364="","",N(D364)-N(E364)-N(F364)-N(G364))</f>
        <v/>
      </c>
      <c r="L364" s="13">
        <f>IF(OR(C364="",N(K364)&lt;=0,NOT(ISNUMBER(J364))),"",J364-TODAY())</f>
        <v/>
      </c>
      <c r="M364" s="12">
        <f>IF(C364="","",IF(N(K364)&lt;=0,"Sold out",IF(NOT(ISNUMBER(J364)),"In stock",IF(J364&lt;TODAY(),"Past its date",IF(J364-TODAY()&lt;=Settings!$C$5,"Use soon","In stock")))))</f>
        <v/>
      </c>
      <c r="N364" s="26">
        <f>IF(C364="","",N(D364)*Q364)</f>
        <v/>
      </c>
      <c r="O364" s="1" t="n"/>
      <c r="P364">
        <f>IF(C364="",0,IFERROR(N(INDEX(Products!$E$6:$E$45,MATCH(C364,Products!$B$6:$B$45,0))),0))</f>
        <v/>
      </c>
      <c r="Q364">
        <f>IF(C364="",0,IFERROR(N(INDEX(Products!$I$6:$I$45,MATCH(C364,Products!$B$6:$B$45,0))),0))</f>
        <v/>
      </c>
      <c r="R364">
        <f>IF(OR(C364="",NOT(ISNUMBER(B364))),"",YEAR(B364)*100+MONTH(B364))</f>
        <v/>
      </c>
      <c r="S364">
        <f>N(G364)*Q364</f>
        <v/>
      </c>
      <c r="T364">
        <f>IF(OR(M364="",M364="Sold out",NOT(ISNUMBER(J364))),"",J364*1000+ROW())</f>
        <v/>
      </c>
    </row>
    <row r="365">
      <c r="A365" s="1" t="n"/>
      <c r="B365" s="20" t="n"/>
      <c r="C365" s="21" t="n"/>
      <c r="D365" s="22" t="n"/>
      <c r="E365" s="22" t="n"/>
      <c r="F365" s="22" t="n"/>
      <c r="G365" s="22" t="n"/>
      <c r="H365" s="23" t="n"/>
      <c r="I365" s="24">
        <f>IF(OR(C365="",NOT(ISNUMBER(B365))),"",UPPER(IF(IFERROR(IF(INDEX(Products!$C$6:$C$45,MATCH(C365,Products!$B$6:$B$45,0))="","",INDEX(Products!$C$6:$C$45,MATCH(C365,Products!$B$6:$B$45,0))),"")="",LEFT(SUBSTITUTE(C365," ",""),3),IFERROR(IF(INDEX(Products!$C$6:$C$45,MATCH(C365,Products!$B$6:$B$45,0))="","",INDEX(Products!$C$6:$C$45,MATCH(C365,Products!$B$6:$B$45,0))),"")))&amp;"-"&amp;RIGHT(YEAR(B365),2)&amp;RIGHT("0"&amp;MONTH(B365),2)&amp;RIGHT("0"&amp;DAY(B365),2)&amp;"-"&amp;COUNTIFS(C$6:C365,C365,B$6:B365,B365))</f>
        <v/>
      </c>
      <c r="J365" s="14">
        <f>IF(OR(C365="",NOT(ISNUMBER(B365)),N(P365)=0),"",B365+P365)</f>
        <v/>
      </c>
      <c r="K365" s="25">
        <f>IF(C365="","",N(D365)-N(E365)-N(F365)-N(G365))</f>
        <v/>
      </c>
      <c r="L365" s="13">
        <f>IF(OR(C365="",N(K365)&lt;=0,NOT(ISNUMBER(J365))),"",J365-TODAY())</f>
        <v/>
      </c>
      <c r="M365" s="12">
        <f>IF(C365="","",IF(N(K365)&lt;=0,"Sold out",IF(NOT(ISNUMBER(J365)),"In stock",IF(J365&lt;TODAY(),"Past its date",IF(J365-TODAY()&lt;=Settings!$C$5,"Use soon","In stock")))))</f>
        <v/>
      </c>
      <c r="N365" s="26">
        <f>IF(C365="","",N(D365)*Q365)</f>
        <v/>
      </c>
      <c r="O365" s="1" t="n"/>
      <c r="P365">
        <f>IF(C365="",0,IFERROR(N(INDEX(Products!$E$6:$E$45,MATCH(C365,Products!$B$6:$B$45,0))),0))</f>
        <v/>
      </c>
      <c r="Q365">
        <f>IF(C365="",0,IFERROR(N(INDEX(Products!$I$6:$I$45,MATCH(C365,Products!$B$6:$B$45,0))),0))</f>
        <v/>
      </c>
      <c r="R365">
        <f>IF(OR(C365="",NOT(ISNUMBER(B365))),"",YEAR(B365)*100+MONTH(B365))</f>
        <v/>
      </c>
      <c r="S365">
        <f>N(G365)*Q365</f>
        <v/>
      </c>
      <c r="T365">
        <f>IF(OR(M365="",M365="Sold out",NOT(ISNUMBER(J365))),"",J365*1000+ROW())</f>
        <v/>
      </c>
    </row>
    <row r="366">
      <c r="A366" s="1" t="n"/>
      <c r="B366" s="20" t="n"/>
      <c r="C366" s="21" t="n"/>
      <c r="D366" s="22" t="n"/>
      <c r="E366" s="22" t="n"/>
      <c r="F366" s="22" t="n"/>
      <c r="G366" s="22" t="n"/>
      <c r="H366" s="23" t="n"/>
      <c r="I366" s="24">
        <f>IF(OR(C366="",NOT(ISNUMBER(B366))),"",UPPER(IF(IFERROR(IF(INDEX(Products!$C$6:$C$45,MATCH(C366,Products!$B$6:$B$45,0))="","",INDEX(Products!$C$6:$C$45,MATCH(C366,Products!$B$6:$B$45,0))),"")="",LEFT(SUBSTITUTE(C366," ",""),3),IFERROR(IF(INDEX(Products!$C$6:$C$45,MATCH(C366,Products!$B$6:$B$45,0))="","",INDEX(Products!$C$6:$C$45,MATCH(C366,Products!$B$6:$B$45,0))),"")))&amp;"-"&amp;RIGHT(YEAR(B366),2)&amp;RIGHT("0"&amp;MONTH(B366),2)&amp;RIGHT("0"&amp;DAY(B366),2)&amp;"-"&amp;COUNTIFS(C$6:C366,C366,B$6:B366,B366))</f>
        <v/>
      </c>
      <c r="J366" s="14">
        <f>IF(OR(C366="",NOT(ISNUMBER(B366)),N(P366)=0),"",B366+P366)</f>
        <v/>
      </c>
      <c r="K366" s="25">
        <f>IF(C366="","",N(D366)-N(E366)-N(F366)-N(G366))</f>
        <v/>
      </c>
      <c r="L366" s="13">
        <f>IF(OR(C366="",N(K366)&lt;=0,NOT(ISNUMBER(J366))),"",J366-TODAY())</f>
        <v/>
      </c>
      <c r="M366" s="12">
        <f>IF(C366="","",IF(N(K366)&lt;=0,"Sold out",IF(NOT(ISNUMBER(J366)),"In stock",IF(J366&lt;TODAY(),"Past its date",IF(J366-TODAY()&lt;=Settings!$C$5,"Use soon","In stock")))))</f>
        <v/>
      </c>
      <c r="N366" s="26">
        <f>IF(C366="","",N(D366)*Q366)</f>
        <v/>
      </c>
      <c r="O366" s="1" t="n"/>
      <c r="P366">
        <f>IF(C366="",0,IFERROR(N(INDEX(Products!$E$6:$E$45,MATCH(C366,Products!$B$6:$B$45,0))),0))</f>
        <v/>
      </c>
      <c r="Q366">
        <f>IF(C366="",0,IFERROR(N(INDEX(Products!$I$6:$I$45,MATCH(C366,Products!$B$6:$B$45,0))),0))</f>
        <v/>
      </c>
      <c r="R366">
        <f>IF(OR(C366="",NOT(ISNUMBER(B366))),"",YEAR(B366)*100+MONTH(B366))</f>
        <v/>
      </c>
      <c r="S366">
        <f>N(G366)*Q366</f>
        <v/>
      </c>
      <c r="T366">
        <f>IF(OR(M366="",M366="Sold out",NOT(ISNUMBER(J366))),"",J366*1000+ROW())</f>
        <v/>
      </c>
    </row>
    <row r="367">
      <c r="A367" s="1" t="n"/>
      <c r="B367" s="20" t="n"/>
      <c r="C367" s="21" t="n"/>
      <c r="D367" s="22" t="n"/>
      <c r="E367" s="22" t="n"/>
      <c r="F367" s="22" t="n"/>
      <c r="G367" s="22" t="n"/>
      <c r="H367" s="23" t="n"/>
      <c r="I367" s="24">
        <f>IF(OR(C367="",NOT(ISNUMBER(B367))),"",UPPER(IF(IFERROR(IF(INDEX(Products!$C$6:$C$45,MATCH(C367,Products!$B$6:$B$45,0))="","",INDEX(Products!$C$6:$C$45,MATCH(C367,Products!$B$6:$B$45,0))),"")="",LEFT(SUBSTITUTE(C367," ",""),3),IFERROR(IF(INDEX(Products!$C$6:$C$45,MATCH(C367,Products!$B$6:$B$45,0))="","",INDEX(Products!$C$6:$C$45,MATCH(C367,Products!$B$6:$B$45,0))),"")))&amp;"-"&amp;RIGHT(YEAR(B367),2)&amp;RIGHT("0"&amp;MONTH(B367),2)&amp;RIGHT("0"&amp;DAY(B367),2)&amp;"-"&amp;COUNTIFS(C$6:C367,C367,B$6:B367,B367))</f>
        <v/>
      </c>
      <c r="J367" s="14">
        <f>IF(OR(C367="",NOT(ISNUMBER(B367)),N(P367)=0),"",B367+P367)</f>
        <v/>
      </c>
      <c r="K367" s="25">
        <f>IF(C367="","",N(D367)-N(E367)-N(F367)-N(G367))</f>
        <v/>
      </c>
      <c r="L367" s="13">
        <f>IF(OR(C367="",N(K367)&lt;=0,NOT(ISNUMBER(J367))),"",J367-TODAY())</f>
        <v/>
      </c>
      <c r="M367" s="12">
        <f>IF(C367="","",IF(N(K367)&lt;=0,"Sold out",IF(NOT(ISNUMBER(J367)),"In stock",IF(J367&lt;TODAY(),"Past its date",IF(J367-TODAY()&lt;=Settings!$C$5,"Use soon","In stock")))))</f>
        <v/>
      </c>
      <c r="N367" s="26">
        <f>IF(C367="","",N(D367)*Q367)</f>
        <v/>
      </c>
      <c r="O367" s="1" t="n"/>
      <c r="P367">
        <f>IF(C367="",0,IFERROR(N(INDEX(Products!$E$6:$E$45,MATCH(C367,Products!$B$6:$B$45,0))),0))</f>
        <v/>
      </c>
      <c r="Q367">
        <f>IF(C367="",0,IFERROR(N(INDEX(Products!$I$6:$I$45,MATCH(C367,Products!$B$6:$B$45,0))),0))</f>
        <v/>
      </c>
      <c r="R367">
        <f>IF(OR(C367="",NOT(ISNUMBER(B367))),"",YEAR(B367)*100+MONTH(B367))</f>
        <v/>
      </c>
      <c r="S367">
        <f>N(G367)*Q367</f>
        <v/>
      </c>
      <c r="T367">
        <f>IF(OR(M367="",M367="Sold out",NOT(ISNUMBER(J367))),"",J367*1000+ROW())</f>
        <v/>
      </c>
    </row>
    <row r="368">
      <c r="A368" s="1" t="n"/>
      <c r="B368" s="20" t="n"/>
      <c r="C368" s="21" t="n"/>
      <c r="D368" s="22" t="n"/>
      <c r="E368" s="22" t="n"/>
      <c r="F368" s="22" t="n"/>
      <c r="G368" s="22" t="n"/>
      <c r="H368" s="23" t="n"/>
      <c r="I368" s="24">
        <f>IF(OR(C368="",NOT(ISNUMBER(B368))),"",UPPER(IF(IFERROR(IF(INDEX(Products!$C$6:$C$45,MATCH(C368,Products!$B$6:$B$45,0))="","",INDEX(Products!$C$6:$C$45,MATCH(C368,Products!$B$6:$B$45,0))),"")="",LEFT(SUBSTITUTE(C368," ",""),3),IFERROR(IF(INDEX(Products!$C$6:$C$45,MATCH(C368,Products!$B$6:$B$45,0))="","",INDEX(Products!$C$6:$C$45,MATCH(C368,Products!$B$6:$B$45,0))),"")))&amp;"-"&amp;RIGHT(YEAR(B368),2)&amp;RIGHT("0"&amp;MONTH(B368),2)&amp;RIGHT("0"&amp;DAY(B368),2)&amp;"-"&amp;COUNTIFS(C$6:C368,C368,B$6:B368,B368))</f>
        <v/>
      </c>
      <c r="J368" s="14">
        <f>IF(OR(C368="",NOT(ISNUMBER(B368)),N(P368)=0),"",B368+P368)</f>
        <v/>
      </c>
      <c r="K368" s="25">
        <f>IF(C368="","",N(D368)-N(E368)-N(F368)-N(G368))</f>
        <v/>
      </c>
      <c r="L368" s="13">
        <f>IF(OR(C368="",N(K368)&lt;=0,NOT(ISNUMBER(J368))),"",J368-TODAY())</f>
        <v/>
      </c>
      <c r="M368" s="12">
        <f>IF(C368="","",IF(N(K368)&lt;=0,"Sold out",IF(NOT(ISNUMBER(J368)),"In stock",IF(J368&lt;TODAY(),"Past its date",IF(J368-TODAY()&lt;=Settings!$C$5,"Use soon","In stock")))))</f>
        <v/>
      </c>
      <c r="N368" s="26">
        <f>IF(C368="","",N(D368)*Q368)</f>
        <v/>
      </c>
      <c r="O368" s="1" t="n"/>
      <c r="P368">
        <f>IF(C368="",0,IFERROR(N(INDEX(Products!$E$6:$E$45,MATCH(C368,Products!$B$6:$B$45,0))),0))</f>
        <v/>
      </c>
      <c r="Q368">
        <f>IF(C368="",0,IFERROR(N(INDEX(Products!$I$6:$I$45,MATCH(C368,Products!$B$6:$B$45,0))),0))</f>
        <v/>
      </c>
      <c r="R368">
        <f>IF(OR(C368="",NOT(ISNUMBER(B368))),"",YEAR(B368)*100+MONTH(B368))</f>
        <v/>
      </c>
      <c r="S368">
        <f>N(G368)*Q368</f>
        <v/>
      </c>
      <c r="T368">
        <f>IF(OR(M368="",M368="Sold out",NOT(ISNUMBER(J368))),"",J368*1000+ROW())</f>
        <v/>
      </c>
    </row>
    <row r="369">
      <c r="A369" s="1" t="n"/>
      <c r="B369" s="20" t="n"/>
      <c r="C369" s="21" t="n"/>
      <c r="D369" s="22" t="n"/>
      <c r="E369" s="22" t="n"/>
      <c r="F369" s="22" t="n"/>
      <c r="G369" s="22" t="n"/>
      <c r="H369" s="23" t="n"/>
      <c r="I369" s="24">
        <f>IF(OR(C369="",NOT(ISNUMBER(B369))),"",UPPER(IF(IFERROR(IF(INDEX(Products!$C$6:$C$45,MATCH(C369,Products!$B$6:$B$45,0))="","",INDEX(Products!$C$6:$C$45,MATCH(C369,Products!$B$6:$B$45,0))),"")="",LEFT(SUBSTITUTE(C369," ",""),3),IFERROR(IF(INDEX(Products!$C$6:$C$45,MATCH(C369,Products!$B$6:$B$45,0))="","",INDEX(Products!$C$6:$C$45,MATCH(C369,Products!$B$6:$B$45,0))),"")))&amp;"-"&amp;RIGHT(YEAR(B369),2)&amp;RIGHT("0"&amp;MONTH(B369),2)&amp;RIGHT("0"&amp;DAY(B369),2)&amp;"-"&amp;COUNTIFS(C$6:C369,C369,B$6:B369,B369))</f>
        <v/>
      </c>
      <c r="J369" s="14">
        <f>IF(OR(C369="",NOT(ISNUMBER(B369)),N(P369)=0),"",B369+P369)</f>
        <v/>
      </c>
      <c r="K369" s="25">
        <f>IF(C369="","",N(D369)-N(E369)-N(F369)-N(G369))</f>
        <v/>
      </c>
      <c r="L369" s="13">
        <f>IF(OR(C369="",N(K369)&lt;=0,NOT(ISNUMBER(J369))),"",J369-TODAY())</f>
        <v/>
      </c>
      <c r="M369" s="12">
        <f>IF(C369="","",IF(N(K369)&lt;=0,"Sold out",IF(NOT(ISNUMBER(J369)),"In stock",IF(J369&lt;TODAY(),"Past its date",IF(J369-TODAY()&lt;=Settings!$C$5,"Use soon","In stock")))))</f>
        <v/>
      </c>
      <c r="N369" s="26">
        <f>IF(C369="","",N(D369)*Q369)</f>
        <v/>
      </c>
      <c r="O369" s="1" t="n"/>
      <c r="P369">
        <f>IF(C369="",0,IFERROR(N(INDEX(Products!$E$6:$E$45,MATCH(C369,Products!$B$6:$B$45,0))),0))</f>
        <v/>
      </c>
      <c r="Q369">
        <f>IF(C369="",0,IFERROR(N(INDEX(Products!$I$6:$I$45,MATCH(C369,Products!$B$6:$B$45,0))),0))</f>
        <v/>
      </c>
      <c r="R369">
        <f>IF(OR(C369="",NOT(ISNUMBER(B369))),"",YEAR(B369)*100+MONTH(B369))</f>
        <v/>
      </c>
      <c r="S369">
        <f>N(G369)*Q369</f>
        <v/>
      </c>
      <c r="T369">
        <f>IF(OR(M369="",M369="Sold out",NOT(ISNUMBER(J369))),"",J369*1000+ROW())</f>
        <v/>
      </c>
    </row>
    <row r="370">
      <c r="A370" s="1" t="n"/>
      <c r="B370" s="20" t="n"/>
      <c r="C370" s="21" t="n"/>
      <c r="D370" s="22" t="n"/>
      <c r="E370" s="22" t="n"/>
      <c r="F370" s="22" t="n"/>
      <c r="G370" s="22" t="n"/>
      <c r="H370" s="23" t="n"/>
      <c r="I370" s="24">
        <f>IF(OR(C370="",NOT(ISNUMBER(B370))),"",UPPER(IF(IFERROR(IF(INDEX(Products!$C$6:$C$45,MATCH(C370,Products!$B$6:$B$45,0))="","",INDEX(Products!$C$6:$C$45,MATCH(C370,Products!$B$6:$B$45,0))),"")="",LEFT(SUBSTITUTE(C370," ",""),3),IFERROR(IF(INDEX(Products!$C$6:$C$45,MATCH(C370,Products!$B$6:$B$45,0))="","",INDEX(Products!$C$6:$C$45,MATCH(C370,Products!$B$6:$B$45,0))),"")))&amp;"-"&amp;RIGHT(YEAR(B370),2)&amp;RIGHT("0"&amp;MONTH(B370),2)&amp;RIGHT("0"&amp;DAY(B370),2)&amp;"-"&amp;COUNTIFS(C$6:C370,C370,B$6:B370,B370))</f>
        <v/>
      </c>
      <c r="J370" s="14">
        <f>IF(OR(C370="",NOT(ISNUMBER(B370)),N(P370)=0),"",B370+P370)</f>
        <v/>
      </c>
      <c r="K370" s="25">
        <f>IF(C370="","",N(D370)-N(E370)-N(F370)-N(G370))</f>
        <v/>
      </c>
      <c r="L370" s="13">
        <f>IF(OR(C370="",N(K370)&lt;=0,NOT(ISNUMBER(J370))),"",J370-TODAY())</f>
        <v/>
      </c>
      <c r="M370" s="12">
        <f>IF(C370="","",IF(N(K370)&lt;=0,"Sold out",IF(NOT(ISNUMBER(J370)),"In stock",IF(J370&lt;TODAY(),"Past its date",IF(J370-TODAY()&lt;=Settings!$C$5,"Use soon","In stock")))))</f>
        <v/>
      </c>
      <c r="N370" s="26">
        <f>IF(C370="","",N(D370)*Q370)</f>
        <v/>
      </c>
      <c r="O370" s="1" t="n"/>
      <c r="P370">
        <f>IF(C370="",0,IFERROR(N(INDEX(Products!$E$6:$E$45,MATCH(C370,Products!$B$6:$B$45,0))),0))</f>
        <v/>
      </c>
      <c r="Q370">
        <f>IF(C370="",0,IFERROR(N(INDEX(Products!$I$6:$I$45,MATCH(C370,Products!$B$6:$B$45,0))),0))</f>
        <v/>
      </c>
      <c r="R370">
        <f>IF(OR(C370="",NOT(ISNUMBER(B370))),"",YEAR(B370)*100+MONTH(B370))</f>
        <v/>
      </c>
      <c r="S370">
        <f>N(G370)*Q370</f>
        <v/>
      </c>
      <c r="T370">
        <f>IF(OR(M370="",M370="Sold out",NOT(ISNUMBER(J370))),"",J370*1000+ROW())</f>
        <v/>
      </c>
    </row>
    <row r="371">
      <c r="A371" s="1" t="n"/>
      <c r="B371" s="20" t="n"/>
      <c r="C371" s="21" t="n"/>
      <c r="D371" s="22" t="n"/>
      <c r="E371" s="22" t="n"/>
      <c r="F371" s="22" t="n"/>
      <c r="G371" s="22" t="n"/>
      <c r="H371" s="23" t="n"/>
      <c r="I371" s="24">
        <f>IF(OR(C371="",NOT(ISNUMBER(B371))),"",UPPER(IF(IFERROR(IF(INDEX(Products!$C$6:$C$45,MATCH(C371,Products!$B$6:$B$45,0))="","",INDEX(Products!$C$6:$C$45,MATCH(C371,Products!$B$6:$B$45,0))),"")="",LEFT(SUBSTITUTE(C371," ",""),3),IFERROR(IF(INDEX(Products!$C$6:$C$45,MATCH(C371,Products!$B$6:$B$45,0))="","",INDEX(Products!$C$6:$C$45,MATCH(C371,Products!$B$6:$B$45,0))),"")))&amp;"-"&amp;RIGHT(YEAR(B371),2)&amp;RIGHT("0"&amp;MONTH(B371),2)&amp;RIGHT("0"&amp;DAY(B371),2)&amp;"-"&amp;COUNTIFS(C$6:C371,C371,B$6:B371,B371))</f>
        <v/>
      </c>
      <c r="J371" s="14">
        <f>IF(OR(C371="",NOT(ISNUMBER(B371)),N(P371)=0),"",B371+P371)</f>
        <v/>
      </c>
      <c r="K371" s="25">
        <f>IF(C371="","",N(D371)-N(E371)-N(F371)-N(G371))</f>
        <v/>
      </c>
      <c r="L371" s="13">
        <f>IF(OR(C371="",N(K371)&lt;=0,NOT(ISNUMBER(J371))),"",J371-TODAY())</f>
        <v/>
      </c>
      <c r="M371" s="12">
        <f>IF(C371="","",IF(N(K371)&lt;=0,"Sold out",IF(NOT(ISNUMBER(J371)),"In stock",IF(J371&lt;TODAY(),"Past its date",IF(J371-TODAY()&lt;=Settings!$C$5,"Use soon","In stock")))))</f>
        <v/>
      </c>
      <c r="N371" s="26">
        <f>IF(C371="","",N(D371)*Q371)</f>
        <v/>
      </c>
      <c r="O371" s="1" t="n"/>
      <c r="P371">
        <f>IF(C371="",0,IFERROR(N(INDEX(Products!$E$6:$E$45,MATCH(C371,Products!$B$6:$B$45,0))),0))</f>
        <v/>
      </c>
      <c r="Q371">
        <f>IF(C371="",0,IFERROR(N(INDEX(Products!$I$6:$I$45,MATCH(C371,Products!$B$6:$B$45,0))),0))</f>
        <v/>
      </c>
      <c r="R371">
        <f>IF(OR(C371="",NOT(ISNUMBER(B371))),"",YEAR(B371)*100+MONTH(B371))</f>
        <v/>
      </c>
      <c r="S371">
        <f>N(G371)*Q371</f>
        <v/>
      </c>
      <c r="T371">
        <f>IF(OR(M371="",M371="Sold out",NOT(ISNUMBER(J371))),"",J371*1000+ROW())</f>
        <v/>
      </c>
    </row>
    <row r="372">
      <c r="A372" s="1" t="n"/>
      <c r="B372" s="20" t="n"/>
      <c r="C372" s="21" t="n"/>
      <c r="D372" s="22" t="n"/>
      <c r="E372" s="22" t="n"/>
      <c r="F372" s="22" t="n"/>
      <c r="G372" s="22" t="n"/>
      <c r="H372" s="23" t="n"/>
      <c r="I372" s="24">
        <f>IF(OR(C372="",NOT(ISNUMBER(B372))),"",UPPER(IF(IFERROR(IF(INDEX(Products!$C$6:$C$45,MATCH(C372,Products!$B$6:$B$45,0))="","",INDEX(Products!$C$6:$C$45,MATCH(C372,Products!$B$6:$B$45,0))),"")="",LEFT(SUBSTITUTE(C372," ",""),3),IFERROR(IF(INDEX(Products!$C$6:$C$45,MATCH(C372,Products!$B$6:$B$45,0))="","",INDEX(Products!$C$6:$C$45,MATCH(C372,Products!$B$6:$B$45,0))),"")))&amp;"-"&amp;RIGHT(YEAR(B372),2)&amp;RIGHT("0"&amp;MONTH(B372),2)&amp;RIGHT("0"&amp;DAY(B372),2)&amp;"-"&amp;COUNTIFS(C$6:C372,C372,B$6:B372,B372))</f>
        <v/>
      </c>
      <c r="J372" s="14">
        <f>IF(OR(C372="",NOT(ISNUMBER(B372)),N(P372)=0),"",B372+P372)</f>
        <v/>
      </c>
      <c r="K372" s="25">
        <f>IF(C372="","",N(D372)-N(E372)-N(F372)-N(G372))</f>
        <v/>
      </c>
      <c r="L372" s="13">
        <f>IF(OR(C372="",N(K372)&lt;=0,NOT(ISNUMBER(J372))),"",J372-TODAY())</f>
        <v/>
      </c>
      <c r="M372" s="12">
        <f>IF(C372="","",IF(N(K372)&lt;=0,"Sold out",IF(NOT(ISNUMBER(J372)),"In stock",IF(J372&lt;TODAY(),"Past its date",IF(J372-TODAY()&lt;=Settings!$C$5,"Use soon","In stock")))))</f>
        <v/>
      </c>
      <c r="N372" s="26">
        <f>IF(C372="","",N(D372)*Q372)</f>
        <v/>
      </c>
      <c r="O372" s="1" t="n"/>
      <c r="P372">
        <f>IF(C372="",0,IFERROR(N(INDEX(Products!$E$6:$E$45,MATCH(C372,Products!$B$6:$B$45,0))),0))</f>
        <v/>
      </c>
      <c r="Q372">
        <f>IF(C372="",0,IFERROR(N(INDEX(Products!$I$6:$I$45,MATCH(C372,Products!$B$6:$B$45,0))),0))</f>
        <v/>
      </c>
      <c r="R372">
        <f>IF(OR(C372="",NOT(ISNUMBER(B372))),"",YEAR(B372)*100+MONTH(B372))</f>
        <v/>
      </c>
      <c r="S372">
        <f>N(G372)*Q372</f>
        <v/>
      </c>
      <c r="T372">
        <f>IF(OR(M372="",M372="Sold out",NOT(ISNUMBER(J372))),"",J372*1000+ROW())</f>
        <v/>
      </c>
    </row>
    <row r="373">
      <c r="A373" s="1" t="n"/>
      <c r="B373" s="20" t="n"/>
      <c r="C373" s="21" t="n"/>
      <c r="D373" s="22" t="n"/>
      <c r="E373" s="22" t="n"/>
      <c r="F373" s="22" t="n"/>
      <c r="G373" s="22" t="n"/>
      <c r="H373" s="23" t="n"/>
      <c r="I373" s="24">
        <f>IF(OR(C373="",NOT(ISNUMBER(B373))),"",UPPER(IF(IFERROR(IF(INDEX(Products!$C$6:$C$45,MATCH(C373,Products!$B$6:$B$45,0))="","",INDEX(Products!$C$6:$C$45,MATCH(C373,Products!$B$6:$B$45,0))),"")="",LEFT(SUBSTITUTE(C373," ",""),3),IFERROR(IF(INDEX(Products!$C$6:$C$45,MATCH(C373,Products!$B$6:$B$45,0))="","",INDEX(Products!$C$6:$C$45,MATCH(C373,Products!$B$6:$B$45,0))),"")))&amp;"-"&amp;RIGHT(YEAR(B373),2)&amp;RIGHT("0"&amp;MONTH(B373),2)&amp;RIGHT("0"&amp;DAY(B373),2)&amp;"-"&amp;COUNTIFS(C$6:C373,C373,B$6:B373,B373))</f>
        <v/>
      </c>
      <c r="J373" s="14">
        <f>IF(OR(C373="",NOT(ISNUMBER(B373)),N(P373)=0),"",B373+P373)</f>
        <v/>
      </c>
      <c r="K373" s="25">
        <f>IF(C373="","",N(D373)-N(E373)-N(F373)-N(G373))</f>
        <v/>
      </c>
      <c r="L373" s="13">
        <f>IF(OR(C373="",N(K373)&lt;=0,NOT(ISNUMBER(J373))),"",J373-TODAY())</f>
        <v/>
      </c>
      <c r="M373" s="12">
        <f>IF(C373="","",IF(N(K373)&lt;=0,"Sold out",IF(NOT(ISNUMBER(J373)),"In stock",IF(J373&lt;TODAY(),"Past its date",IF(J373-TODAY()&lt;=Settings!$C$5,"Use soon","In stock")))))</f>
        <v/>
      </c>
      <c r="N373" s="26">
        <f>IF(C373="","",N(D373)*Q373)</f>
        <v/>
      </c>
      <c r="O373" s="1" t="n"/>
      <c r="P373">
        <f>IF(C373="",0,IFERROR(N(INDEX(Products!$E$6:$E$45,MATCH(C373,Products!$B$6:$B$45,0))),0))</f>
        <v/>
      </c>
      <c r="Q373">
        <f>IF(C373="",0,IFERROR(N(INDEX(Products!$I$6:$I$45,MATCH(C373,Products!$B$6:$B$45,0))),0))</f>
        <v/>
      </c>
      <c r="R373">
        <f>IF(OR(C373="",NOT(ISNUMBER(B373))),"",YEAR(B373)*100+MONTH(B373))</f>
        <v/>
      </c>
      <c r="S373">
        <f>N(G373)*Q373</f>
        <v/>
      </c>
      <c r="T373">
        <f>IF(OR(M373="",M373="Sold out",NOT(ISNUMBER(J373))),"",J373*1000+ROW())</f>
        <v/>
      </c>
    </row>
    <row r="374">
      <c r="A374" s="1" t="n"/>
      <c r="B374" s="20" t="n"/>
      <c r="C374" s="21" t="n"/>
      <c r="D374" s="22" t="n"/>
      <c r="E374" s="22" t="n"/>
      <c r="F374" s="22" t="n"/>
      <c r="G374" s="22" t="n"/>
      <c r="H374" s="23" t="n"/>
      <c r="I374" s="24">
        <f>IF(OR(C374="",NOT(ISNUMBER(B374))),"",UPPER(IF(IFERROR(IF(INDEX(Products!$C$6:$C$45,MATCH(C374,Products!$B$6:$B$45,0))="","",INDEX(Products!$C$6:$C$45,MATCH(C374,Products!$B$6:$B$45,0))),"")="",LEFT(SUBSTITUTE(C374," ",""),3),IFERROR(IF(INDEX(Products!$C$6:$C$45,MATCH(C374,Products!$B$6:$B$45,0))="","",INDEX(Products!$C$6:$C$45,MATCH(C374,Products!$B$6:$B$45,0))),"")))&amp;"-"&amp;RIGHT(YEAR(B374),2)&amp;RIGHT("0"&amp;MONTH(B374),2)&amp;RIGHT("0"&amp;DAY(B374),2)&amp;"-"&amp;COUNTIFS(C$6:C374,C374,B$6:B374,B374))</f>
        <v/>
      </c>
      <c r="J374" s="14">
        <f>IF(OR(C374="",NOT(ISNUMBER(B374)),N(P374)=0),"",B374+P374)</f>
        <v/>
      </c>
      <c r="K374" s="25">
        <f>IF(C374="","",N(D374)-N(E374)-N(F374)-N(G374))</f>
        <v/>
      </c>
      <c r="L374" s="13">
        <f>IF(OR(C374="",N(K374)&lt;=0,NOT(ISNUMBER(J374))),"",J374-TODAY())</f>
        <v/>
      </c>
      <c r="M374" s="12">
        <f>IF(C374="","",IF(N(K374)&lt;=0,"Sold out",IF(NOT(ISNUMBER(J374)),"In stock",IF(J374&lt;TODAY(),"Past its date",IF(J374-TODAY()&lt;=Settings!$C$5,"Use soon","In stock")))))</f>
        <v/>
      </c>
      <c r="N374" s="26">
        <f>IF(C374="","",N(D374)*Q374)</f>
        <v/>
      </c>
      <c r="O374" s="1" t="n"/>
      <c r="P374">
        <f>IF(C374="",0,IFERROR(N(INDEX(Products!$E$6:$E$45,MATCH(C374,Products!$B$6:$B$45,0))),0))</f>
        <v/>
      </c>
      <c r="Q374">
        <f>IF(C374="",0,IFERROR(N(INDEX(Products!$I$6:$I$45,MATCH(C374,Products!$B$6:$B$45,0))),0))</f>
        <v/>
      </c>
      <c r="R374">
        <f>IF(OR(C374="",NOT(ISNUMBER(B374))),"",YEAR(B374)*100+MONTH(B374))</f>
        <v/>
      </c>
      <c r="S374">
        <f>N(G374)*Q374</f>
        <v/>
      </c>
      <c r="T374">
        <f>IF(OR(M374="",M374="Sold out",NOT(ISNUMBER(J374))),"",J374*1000+ROW())</f>
        <v/>
      </c>
    </row>
    <row r="375">
      <c r="A375" s="1" t="n"/>
      <c r="B375" s="20" t="n"/>
      <c r="C375" s="21" t="n"/>
      <c r="D375" s="22" t="n"/>
      <c r="E375" s="22" t="n"/>
      <c r="F375" s="22" t="n"/>
      <c r="G375" s="22" t="n"/>
      <c r="H375" s="23" t="n"/>
      <c r="I375" s="24">
        <f>IF(OR(C375="",NOT(ISNUMBER(B375))),"",UPPER(IF(IFERROR(IF(INDEX(Products!$C$6:$C$45,MATCH(C375,Products!$B$6:$B$45,0))="","",INDEX(Products!$C$6:$C$45,MATCH(C375,Products!$B$6:$B$45,0))),"")="",LEFT(SUBSTITUTE(C375," ",""),3),IFERROR(IF(INDEX(Products!$C$6:$C$45,MATCH(C375,Products!$B$6:$B$45,0))="","",INDEX(Products!$C$6:$C$45,MATCH(C375,Products!$B$6:$B$45,0))),"")))&amp;"-"&amp;RIGHT(YEAR(B375),2)&amp;RIGHT("0"&amp;MONTH(B375),2)&amp;RIGHT("0"&amp;DAY(B375),2)&amp;"-"&amp;COUNTIFS(C$6:C375,C375,B$6:B375,B375))</f>
        <v/>
      </c>
      <c r="J375" s="14">
        <f>IF(OR(C375="",NOT(ISNUMBER(B375)),N(P375)=0),"",B375+P375)</f>
        <v/>
      </c>
      <c r="K375" s="25">
        <f>IF(C375="","",N(D375)-N(E375)-N(F375)-N(G375))</f>
        <v/>
      </c>
      <c r="L375" s="13">
        <f>IF(OR(C375="",N(K375)&lt;=0,NOT(ISNUMBER(J375))),"",J375-TODAY())</f>
        <v/>
      </c>
      <c r="M375" s="12">
        <f>IF(C375="","",IF(N(K375)&lt;=0,"Sold out",IF(NOT(ISNUMBER(J375)),"In stock",IF(J375&lt;TODAY(),"Past its date",IF(J375-TODAY()&lt;=Settings!$C$5,"Use soon","In stock")))))</f>
        <v/>
      </c>
      <c r="N375" s="26">
        <f>IF(C375="","",N(D375)*Q375)</f>
        <v/>
      </c>
      <c r="O375" s="1" t="n"/>
      <c r="P375">
        <f>IF(C375="",0,IFERROR(N(INDEX(Products!$E$6:$E$45,MATCH(C375,Products!$B$6:$B$45,0))),0))</f>
        <v/>
      </c>
      <c r="Q375">
        <f>IF(C375="",0,IFERROR(N(INDEX(Products!$I$6:$I$45,MATCH(C375,Products!$B$6:$B$45,0))),0))</f>
        <v/>
      </c>
      <c r="R375">
        <f>IF(OR(C375="",NOT(ISNUMBER(B375))),"",YEAR(B375)*100+MONTH(B375))</f>
        <v/>
      </c>
      <c r="S375">
        <f>N(G375)*Q375</f>
        <v/>
      </c>
      <c r="T375">
        <f>IF(OR(M375="",M375="Sold out",NOT(ISNUMBER(J375))),"",J375*1000+ROW())</f>
        <v/>
      </c>
    </row>
    <row r="376">
      <c r="A376" s="1" t="n"/>
      <c r="B376" s="20" t="n"/>
      <c r="C376" s="21" t="n"/>
      <c r="D376" s="22" t="n"/>
      <c r="E376" s="22" t="n"/>
      <c r="F376" s="22" t="n"/>
      <c r="G376" s="22" t="n"/>
      <c r="H376" s="23" t="n"/>
      <c r="I376" s="24">
        <f>IF(OR(C376="",NOT(ISNUMBER(B376))),"",UPPER(IF(IFERROR(IF(INDEX(Products!$C$6:$C$45,MATCH(C376,Products!$B$6:$B$45,0))="","",INDEX(Products!$C$6:$C$45,MATCH(C376,Products!$B$6:$B$45,0))),"")="",LEFT(SUBSTITUTE(C376," ",""),3),IFERROR(IF(INDEX(Products!$C$6:$C$45,MATCH(C376,Products!$B$6:$B$45,0))="","",INDEX(Products!$C$6:$C$45,MATCH(C376,Products!$B$6:$B$45,0))),"")))&amp;"-"&amp;RIGHT(YEAR(B376),2)&amp;RIGHT("0"&amp;MONTH(B376),2)&amp;RIGHT("0"&amp;DAY(B376),2)&amp;"-"&amp;COUNTIFS(C$6:C376,C376,B$6:B376,B376))</f>
        <v/>
      </c>
      <c r="J376" s="14">
        <f>IF(OR(C376="",NOT(ISNUMBER(B376)),N(P376)=0),"",B376+P376)</f>
        <v/>
      </c>
      <c r="K376" s="25">
        <f>IF(C376="","",N(D376)-N(E376)-N(F376)-N(G376))</f>
        <v/>
      </c>
      <c r="L376" s="13">
        <f>IF(OR(C376="",N(K376)&lt;=0,NOT(ISNUMBER(J376))),"",J376-TODAY())</f>
        <v/>
      </c>
      <c r="M376" s="12">
        <f>IF(C376="","",IF(N(K376)&lt;=0,"Sold out",IF(NOT(ISNUMBER(J376)),"In stock",IF(J376&lt;TODAY(),"Past its date",IF(J376-TODAY()&lt;=Settings!$C$5,"Use soon","In stock")))))</f>
        <v/>
      </c>
      <c r="N376" s="26">
        <f>IF(C376="","",N(D376)*Q376)</f>
        <v/>
      </c>
      <c r="O376" s="1" t="n"/>
      <c r="P376">
        <f>IF(C376="",0,IFERROR(N(INDEX(Products!$E$6:$E$45,MATCH(C376,Products!$B$6:$B$45,0))),0))</f>
        <v/>
      </c>
      <c r="Q376">
        <f>IF(C376="",0,IFERROR(N(INDEX(Products!$I$6:$I$45,MATCH(C376,Products!$B$6:$B$45,0))),0))</f>
        <v/>
      </c>
      <c r="R376">
        <f>IF(OR(C376="",NOT(ISNUMBER(B376))),"",YEAR(B376)*100+MONTH(B376))</f>
        <v/>
      </c>
      <c r="S376">
        <f>N(G376)*Q376</f>
        <v/>
      </c>
      <c r="T376">
        <f>IF(OR(M376="",M376="Sold out",NOT(ISNUMBER(J376))),"",J376*1000+ROW())</f>
        <v/>
      </c>
    </row>
    <row r="377">
      <c r="A377" s="1" t="n"/>
      <c r="B377" s="20" t="n"/>
      <c r="C377" s="21" t="n"/>
      <c r="D377" s="22" t="n"/>
      <c r="E377" s="22" t="n"/>
      <c r="F377" s="22" t="n"/>
      <c r="G377" s="22" t="n"/>
      <c r="H377" s="23" t="n"/>
      <c r="I377" s="24">
        <f>IF(OR(C377="",NOT(ISNUMBER(B377))),"",UPPER(IF(IFERROR(IF(INDEX(Products!$C$6:$C$45,MATCH(C377,Products!$B$6:$B$45,0))="","",INDEX(Products!$C$6:$C$45,MATCH(C377,Products!$B$6:$B$45,0))),"")="",LEFT(SUBSTITUTE(C377," ",""),3),IFERROR(IF(INDEX(Products!$C$6:$C$45,MATCH(C377,Products!$B$6:$B$45,0))="","",INDEX(Products!$C$6:$C$45,MATCH(C377,Products!$B$6:$B$45,0))),"")))&amp;"-"&amp;RIGHT(YEAR(B377),2)&amp;RIGHT("0"&amp;MONTH(B377),2)&amp;RIGHT("0"&amp;DAY(B377),2)&amp;"-"&amp;COUNTIFS(C$6:C377,C377,B$6:B377,B377))</f>
        <v/>
      </c>
      <c r="J377" s="14">
        <f>IF(OR(C377="",NOT(ISNUMBER(B377)),N(P377)=0),"",B377+P377)</f>
        <v/>
      </c>
      <c r="K377" s="25">
        <f>IF(C377="","",N(D377)-N(E377)-N(F377)-N(G377))</f>
        <v/>
      </c>
      <c r="L377" s="13">
        <f>IF(OR(C377="",N(K377)&lt;=0,NOT(ISNUMBER(J377))),"",J377-TODAY())</f>
        <v/>
      </c>
      <c r="M377" s="12">
        <f>IF(C377="","",IF(N(K377)&lt;=0,"Sold out",IF(NOT(ISNUMBER(J377)),"In stock",IF(J377&lt;TODAY(),"Past its date",IF(J377-TODAY()&lt;=Settings!$C$5,"Use soon","In stock")))))</f>
        <v/>
      </c>
      <c r="N377" s="26">
        <f>IF(C377="","",N(D377)*Q377)</f>
        <v/>
      </c>
      <c r="O377" s="1" t="n"/>
      <c r="P377">
        <f>IF(C377="",0,IFERROR(N(INDEX(Products!$E$6:$E$45,MATCH(C377,Products!$B$6:$B$45,0))),0))</f>
        <v/>
      </c>
      <c r="Q377">
        <f>IF(C377="",0,IFERROR(N(INDEX(Products!$I$6:$I$45,MATCH(C377,Products!$B$6:$B$45,0))),0))</f>
        <v/>
      </c>
      <c r="R377">
        <f>IF(OR(C377="",NOT(ISNUMBER(B377))),"",YEAR(B377)*100+MONTH(B377))</f>
        <v/>
      </c>
      <c r="S377">
        <f>N(G377)*Q377</f>
        <v/>
      </c>
      <c r="T377">
        <f>IF(OR(M377="",M377="Sold out",NOT(ISNUMBER(J377))),"",J377*1000+ROW())</f>
        <v/>
      </c>
    </row>
    <row r="378">
      <c r="A378" s="1" t="n"/>
      <c r="B378" s="20" t="n"/>
      <c r="C378" s="21" t="n"/>
      <c r="D378" s="22" t="n"/>
      <c r="E378" s="22" t="n"/>
      <c r="F378" s="22" t="n"/>
      <c r="G378" s="22" t="n"/>
      <c r="H378" s="23" t="n"/>
      <c r="I378" s="24">
        <f>IF(OR(C378="",NOT(ISNUMBER(B378))),"",UPPER(IF(IFERROR(IF(INDEX(Products!$C$6:$C$45,MATCH(C378,Products!$B$6:$B$45,0))="","",INDEX(Products!$C$6:$C$45,MATCH(C378,Products!$B$6:$B$45,0))),"")="",LEFT(SUBSTITUTE(C378," ",""),3),IFERROR(IF(INDEX(Products!$C$6:$C$45,MATCH(C378,Products!$B$6:$B$45,0))="","",INDEX(Products!$C$6:$C$45,MATCH(C378,Products!$B$6:$B$45,0))),"")))&amp;"-"&amp;RIGHT(YEAR(B378),2)&amp;RIGHT("0"&amp;MONTH(B378),2)&amp;RIGHT("0"&amp;DAY(B378),2)&amp;"-"&amp;COUNTIFS(C$6:C378,C378,B$6:B378,B378))</f>
        <v/>
      </c>
      <c r="J378" s="14">
        <f>IF(OR(C378="",NOT(ISNUMBER(B378)),N(P378)=0),"",B378+P378)</f>
        <v/>
      </c>
      <c r="K378" s="25">
        <f>IF(C378="","",N(D378)-N(E378)-N(F378)-N(G378))</f>
        <v/>
      </c>
      <c r="L378" s="13">
        <f>IF(OR(C378="",N(K378)&lt;=0,NOT(ISNUMBER(J378))),"",J378-TODAY())</f>
        <v/>
      </c>
      <c r="M378" s="12">
        <f>IF(C378="","",IF(N(K378)&lt;=0,"Sold out",IF(NOT(ISNUMBER(J378)),"In stock",IF(J378&lt;TODAY(),"Past its date",IF(J378-TODAY()&lt;=Settings!$C$5,"Use soon","In stock")))))</f>
        <v/>
      </c>
      <c r="N378" s="26">
        <f>IF(C378="","",N(D378)*Q378)</f>
        <v/>
      </c>
      <c r="O378" s="1" t="n"/>
      <c r="P378">
        <f>IF(C378="",0,IFERROR(N(INDEX(Products!$E$6:$E$45,MATCH(C378,Products!$B$6:$B$45,0))),0))</f>
        <v/>
      </c>
      <c r="Q378">
        <f>IF(C378="",0,IFERROR(N(INDEX(Products!$I$6:$I$45,MATCH(C378,Products!$B$6:$B$45,0))),0))</f>
        <v/>
      </c>
      <c r="R378">
        <f>IF(OR(C378="",NOT(ISNUMBER(B378))),"",YEAR(B378)*100+MONTH(B378))</f>
        <v/>
      </c>
      <c r="S378">
        <f>N(G378)*Q378</f>
        <v/>
      </c>
      <c r="T378">
        <f>IF(OR(M378="",M378="Sold out",NOT(ISNUMBER(J378))),"",J378*1000+ROW())</f>
        <v/>
      </c>
    </row>
    <row r="379">
      <c r="A379" s="1" t="n"/>
      <c r="B379" s="20" t="n"/>
      <c r="C379" s="21" t="n"/>
      <c r="D379" s="22" t="n"/>
      <c r="E379" s="22" t="n"/>
      <c r="F379" s="22" t="n"/>
      <c r="G379" s="22" t="n"/>
      <c r="H379" s="23" t="n"/>
      <c r="I379" s="24">
        <f>IF(OR(C379="",NOT(ISNUMBER(B379))),"",UPPER(IF(IFERROR(IF(INDEX(Products!$C$6:$C$45,MATCH(C379,Products!$B$6:$B$45,0))="","",INDEX(Products!$C$6:$C$45,MATCH(C379,Products!$B$6:$B$45,0))),"")="",LEFT(SUBSTITUTE(C379," ",""),3),IFERROR(IF(INDEX(Products!$C$6:$C$45,MATCH(C379,Products!$B$6:$B$45,0))="","",INDEX(Products!$C$6:$C$45,MATCH(C379,Products!$B$6:$B$45,0))),"")))&amp;"-"&amp;RIGHT(YEAR(B379),2)&amp;RIGHT("0"&amp;MONTH(B379),2)&amp;RIGHT("0"&amp;DAY(B379),2)&amp;"-"&amp;COUNTIFS(C$6:C379,C379,B$6:B379,B379))</f>
        <v/>
      </c>
      <c r="J379" s="14">
        <f>IF(OR(C379="",NOT(ISNUMBER(B379)),N(P379)=0),"",B379+P379)</f>
        <v/>
      </c>
      <c r="K379" s="25">
        <f>IF(C379="","",N(D379)-N(E379)-N(F379)-N(G379))</f>
        <v/>
      </c>
      <c r="L379" s="13">
        <f>IF(OR(C379="",N(K379)&lt;=0,NOT(ISNUMBER(J379))),"",J379-TODAY())</f>
        <v/>
      </c>
      <c r="M379" s="12">
        <f>IF(C379="","",IF(N(K379)&lt;=0,"Sold out",IF(NOT(ISNUMBER(J379)),"In stock",IF(J379&lt;TODAY(),"Past its date",IF(J379-TODAY()&lt;=Settings!$C$5,"Use soon","In stock")))))</f>
        <v/>
      </c>
      <c r="N379" s="26">
        <f>IF(C379="","",N(D379)*Q379)</f>
        <v/>
      </c>
      <c r="O379" s="1" t="n"/>
      <c r="P379">
        <f>IF(C379="",0,IFERROR(N(INDEX(Products!$E$6:$E$45,MATCH(C379,Products!$B$6:$B$45,0))),0))</f>
        <v/>
      </c>
      <c r="Q379">
        <f>IF(C379="",0,IFERROR(N(INDEX(Products!$I$6:$I$45,MATCH(C379,Products!$B$6:$B$45,0))),0))</f>
        <v/>
      </c>
      <c r="R379">
        <f>IF(OR(C379="",NOT(ISNUMBER(B379))),"",YEAR(B379)*100+MONTH(B379))</f>
        <v/>
      </c>
      <c r="S379">
        <f>N(G379)*Q379</f>
        <v/>
      </c>
      <c r="T379">
        <f>IF(OR(M379="",M379="Sold out",NOT(ISNUMBER(J379))),"",J379*1000+ROW())</f>
        <v/>
      </c>
    </row>
    <row r="380">
      <c r="A380" s="1" t="n"/>
      <c r="B380" s="20" t="n"/>
      <c r="C380" s="21" t="n"/>
      <c r="D380" s="22" t="n"/>
      <c r="E380" s="22" t="n"/>
      <c r="F380" s="22" t="n"/>
      <c r="G380" s="22" t="n"/>
      <c r="H380" s="23" t="n"/>
      <c r="I380" s="24">
        <f>IF(OR(C380="",NOT(ISNUMBER(B380))),"",UPPER(IF(IFERROR(IF(INDEX(Products!$C$6:$C$45,MATCH(C380,Products!$B$6:$B$45,0))="","",INDEX(Products!$C$6:$C$45,MATCH(C380,Products!$B$6:$B$45,0))),"")="",LEFT(SUBSTITUTE(C380," ",""),3),IFERROR(IF(INDEX(Products!$C$6:$C$45,MATCH(C380,Products!$B$6:$B$45,0))="","",INDEX(Products!$C$6:$C$45,MATCH(C380,Products!$B$6:$B$45,0))),"")))&amp;"-"&amp;RIGHT(YEAR(B380),2)&amp;RIGHT("0"&amp;MONTH(B380),2)&amp;RIGHT("0"&amp;DAY(B380),2)&amp;"-"&amp;COUNTIFS(C$6:C380,C380,B$6:B380,B380))</f>
        <v/>
      </c>
      <c r="J380" s="14">
        <f>IF(OR(C380="",NOT(ISNUMBER(B380)),N(P380)=0),"",B380+P380)</f>
        <v/>
      </c>
      <c r="K380" s="25">
        <f>IF(C380="","",N(D380)-N(E380)-N(F380)-N(G380))</f>
        <v/>
      </c>
      <c r="L380" s="13">
        <f>IF(OR(C380="",N(K380)&lt;=0,NOT(ISNUMBER(J380))),"",J380-TODAY())</f>
        <v/>
      </c>
      <c r="M380" s="12">
        <f>IF(C380="","",IF(N(K380)&lt;=0,"Sold out",IF(NOT(ISNUMBER(J380)),"In stock",IF(J380&lt;TODAY(),"Past its date",IF(J380-TODAY()&lt;=Settings!$C$5,"Use soon","In stock")))))</f>
        <v/>
      </c>
      <c r="N380" s="26">
        <f>IF(C380="","",N(D380)*Q380)</f>
        <v/>
      </c>
      <c r="O380" s="1" t="n"/>
      <c r="P380">
        <f>IF(C380="",0,IFERROR(N(INDEX(Products!$E$6:$E$45,MATCH(C380,Products!$B$6:$B$45,0))),0))</f>
        <v/>
      </c>
      <c r="Q380">
        <f>IF(C380="",0,IFERROR(N(INDEX(Products!$I$6:$I$45,MATCH(C380,Products!$B$6:$B$45,0))),0))</f>
        <v/>
      </c>
      <c r="R380">
        <f>IF(OR(C380="",NOT(ISNUMBER(B380))),"",YEAR(B380)*100+MONTH(B380))</f>
        <v/>
      </c>
      <c r="S380">
        <f>N(G380)*Q380</f>
        <v/>
      </c>
      <c r="T380">
        <f>IF(OR(M380="",M380="Sold out",NOT(ISNUMBER(J380))),"",J380*1000+ROW())</f>
        <v/>
      </c>
    </row>
    <row r="381">
      <c r="A381" s="1" t="n"/>
      <c r="B381" s="20" t="n"/>
      <c r="C381" s="21" t="n"/>
      <c r="D381" s="22" t="n"/>
      <c r="E381" s="22" t="n"/>
      <c r="F381" s="22" t="n"/>
      <c r="G381" s="22" t="n"/>
      <c r="H381" s="23" t="n"/>
      <c r="I381" s="24">
        <f>IF(OR(C381="",NOT(ISNUMBER(B381))),"",UPPER(IF(IFERROR(IF(INDEX(Products!$C$6:$C$45,MATCH(C381,Products!$B$6:$B$45,0))="","",INDEX(Products!$C$6:$C$45,MATCH(C381,Products!$B$6:$B$45,0))),"")="",LEFT(SUBSTITUTE(C381," ",""),3),IFERROR(IF(INDEX(Products!$C$6:$C$45,MATCH(C381,Products!$B$6:$B$45,0))="","",INDEX(Products!$C$6:$C$45,MATCH(C381,Products!$B$6:$B$45,0))),"")))&amp;"-"&amp;RIGHT(YEAR(B381),2)&amp;RIGHT("0"&amp;MONTH(B381),2)&amp;RIGHT("0"&amp;DAY(B381),2)&amp;"-"&amp;COUNTIFS(C$6:C381,C381,B$6:B381,B381))</f>
        <v/>
      </c>
      <c r="J381" s="14">
        <f>IF(OR(C381="",NOT(ISNUMBER(B381)),N(P381)=0),"",B381+P381)</f>
        <v/>
      </c>
      <c r="K381" s="25">
        <f>IF(C381="","",N(D381)-N(E381)-N(F381)-N(G381))</f>
        <v/>
      </c>
      <c r="L381" s="13">
        <f>IF(OR(C381="",N(K381)&lt;=0,NOT(ISNUMBER(J381))),"",J381-TODAY())</f>
        <v/>
      </c>
      <c r="M381" s="12">
        <f>IF(C381="","",IF(N(K381)&lt;=0,"Sold out",IF(NOT(ISNUMBER(J381)),"In stock",IF(J381&lt;TODAY(),"Past its date",IF(J381-TODAY()&lt;=Settings!$C$5,"Use soon","In stock")))))</f>
        <v/>
      </c>
      <c r="N381" s="26">
        <f>IF(C381="","",N(D381)*Q381)</f>
        <v/>
      </c>
      <c r="O381" s="1" t="n"/>
      <c r="P381">
        <f>IF(C381="",0,IFERROR(N(INDEX(Products!$E$6:$E$45,MATCH(C381,Products!$B$6:$B$45,0))),0))</f>
        <v/>
      </c>
      <c r="Q381">
        <f>IF(C381="",0,IFERROR(N(INDEX(Products!$I$6:$I$45,MATCH(C381,Products!$B$6:$B$45,0))),0))</f>
        <v/>
      </c>
      <c r="R381">
        <f>IF(OR(C381="",NOT(ISNUMBER(B381))),"",YEAR(B381)*100+MONTH(B381))</f>
        <v/>
      </c>
      <c r="S381">
        <f>N(G381)*Q381</f>
        <v/>
      </c>
      <c r="T381">
        <f>IF(OR(M381="",M381="Sold out",NOT(ISNUMBER(J381))),"",J381*1000+ROW())</f>
        <v/>
      </c>
    </row>
    <row r="382">
      <c r="A382" s="1" t="n"/>
      <c r="B382" s="20" t="n"/>
      <c r="C382" s="21" t="n"/>
      <c r="D382" s="22" t="n"/>
      <c r="E382" s="22" t="n"/>
      <c r="F382" s="22" t="n"/>
      <c r="G382" s="22" t="n"/>
      <c r="H382" s="23" t="n"/>
      <c r="I382" s="24">
        <f>IF(OR(C382="",NOT(ISNUMBER(B382))),"",UPPER(IF(IFERROR(IF(INDEX(Products!$C$6:$C$45,MATCH(C382,Products!$B$6:$B$45,0))="","",INDEX(Products!$C$6:$C$45,MATCH(C382,Products!$B$6:$B$45,0))),"")="",LEFT(SUBSTITUTE(C382," ",""),3),IFERROR(IF(INDEX(Products!$C$6:$C$45,MATCH(C382,Products!$B$6:$B$45,0))="","",INDEX(Products!$C$6:$C$45,MATCH(C382,Products!$B$6:$B$45,0))),"")))&amp;"-"&amp;RIGHT(YEAR(B382),2)&amp;RIGHT("0"&amp;MONTH(B382),2)&amp;RIGHT("0"&amp;DAY(B382),2)&amp;"-"&amp;COUNTIFS(C$6:C382,C382,B$6:B382,B382))</f>
        <v/>
      </c>
      <c r="J382" s="14">
        <f>IF(OR(C382="",NOT(ISNUMBER(B382)),N(P382)=0),"",B382+P382)</f>
        <v/>
      </c>
      <c r="K382" s="25">
        <f>IF(C382="","",N(D382)-N(E382)-N(F382)-N(G382))</f>
        <v/>
      </c>
      <c r="L382" s="13">
        <f>IF(OR(C382="",N(K382)&lt;=0,NOT(ISNUMBER(J382))),"",J382-TODAY())</f>
        <v/>
      </c>
      <c r="M382" s="12">
        <f>IF(C382="","",IF(N(K382)&lt;=0,"Sold out",IF(NOT(ISNUMBER(J382)),"In stock",IF(J382&lt;TODAY(),"Past its date",IF(J382-TODAY()&lt;=Settings!$C$5,"Use soon","In stock")))))</f>
        <v/>
      </c>
      <c r="N382" s="26">
        <f>IF(C382="","",N(D382)*Q382)</f>
        <v/>
      </c>
      <c r="O382" s="1" t="n"/>
      <c r="P382">
        <f>IF(C382="",0,IFERROR(N(INDEX(Products!$E$6:$E$45,MATCH(C382,Products!$B$6:$B$45,0))),0))</f>
        <v/>
      </c>
      <c r="Q382">
        <f>IF(C382="",0,IFERROR(N(INDEX(Products!$I$6:$I$45,MATCH(C382,Products!$B$6:$B$45,0))),0))</f>
        <v/>
      </c>
      <c r="R382">
        <f>IF(OR(C382="",NOT(ISNUMBER(B382))),"",YEAR(B382)*100+MONTH(B382))</f>
        <v/>
      </c>
      <c r="S382">
        <f>N(G382)*Q382</f>
        <v/>
      </c>
      <c r="T382">
        <f>IF(OR(M382="",M382="Sold out",NOT(ISNUMBER(J382))),"",J382*1000+ROW())</f>
        <v/>
      </c>
    </row>
    <row r="383">
      <c r="A383" s="1" t="n"/>
      <c r="B383" s="20" t="n"/>
      <c r="C383" s="21" t="n"/>
      <c r="D383" s="22" t="n"/>
      <c r="E383" s="22" t="n"/>
      <c r="F383" s="22" t="n"/>
      <c r="G383" s="22" t="n"/>
      <c r="H383" s="23" t="n"/>
      <c r="I383" s="24">
        <f>IF(OR(C383="",NOT(ISNUMBER(B383))),"",UPPER(IF(IFERROR(IF(INDEX(Products!$C$6:$C$45,MATCH(C383,Products!$B$6:$B$45,0))="","",INDEX(Products!$C$6:$C$45,MATCH(C383,Products!$B$6:$B$45,0))),"")="",LEFT(SUBSTITUTE(C383," ",""),3),IFERROR(IF(INDEX(Products!$C$6:$C$45,MATCH(C383,Products!$B$6:$B$45,0))="","",INDEX(Products!$C$6:$C$45,MATCH(C383,Products!$B$6:$B$45,0))),"")))&amp;"-"&amp;RIGHT(YEAR(B383),2)&amp;RIGHT("0"&amp;MONTH(B383),2)&amp;RIGHT("0"&amp;DAY(B383),2)&amp;"-"&amp;COUNTIFS(C$6:C383,C383,B$6:B383,B383))</f>
        <v/>
      </c>
      <c r="J383" s="14">
        <f>IF(OR(C383="",NOT(ISNUMBER(B383)),N(P383)=0),"",B383+P383)</f>
        <v/>
      </c>
      <c r="K383" s="25">
        <f>IF(C383="","",N(D383)-N(E383)-N(F383)-N(G383))</f>
        <v/>
      </c>
      <c r="L383" s="13">
        <f>IF(OR(C383="",N(K383)&lt;=0,NOT(ISNUMBER(J383))),"",J383-TODAY())</f>
        <v/>
      </c>
      <c r="M383" s="12">
        <f>IF(C383="","",IF(N(K383)&lt;=0,"Sold out",IF(NOT(ISNUMBER(J383)),"In stock",IF(J383&lt;TODAY(),"Past its date",IF(J383-TODAY()&lt;=Settings!$C$5,"Use soon","In stock")))))</f>
        <v/>
      </c>
      <c r="N383" s="26">
        <f>IF(C383="","",N(D383)*Q383)</f>
        <v/>
      </c>
      <c r="O383" s="1" t="n"/>
      <c r="P383">
        <f>IF(C383="",0,IFERROR(N(INDEX(Products!$E$6:$E$45,MATCH(C383,Products!$B$6:$B$45,0))),0))</f>
        <v/>
      </c>
      <c r="Q383">
        <f>IF(C383="",0,IFERROR(N(INDEX(Products!$I$6:$I$45,MATCH(C383,Products!$B$6:$B$45,0))),0))</f>
        <v/>
      </c>
      <c r="R383">
        <f>IF(OR(C383="",NOT(ISNUMBER(B383))),"",YEAR(B383)*100+MONTH(B383))</f>
        <v/>
      </c>
      <c r="S383">
        <f>N(G383)*Q383</f>
        <v/>
      </c>
      <c r="T383">
        <f>IF(OR(M383="",M383="Sold out",NOT(ISNUMBER(J383))),"",J383*1000+ROW())</f>
        <v/>
      </c>
    </row>
    <row r="384">
      <c r="A384" s="1" t="n"/>
      <c r="B384" s="20" t="n"/>
      <c r="C384" s="21" t="n"/>
      <c r="D384" s="22" t="n"/>
      <c r="E384" s="22" t="n"/>
      <c r="F384" s="22" t="n"/>
      <c r="G384" s="22" t="n"/>
      <c r="H384" s="23" t="n"/>
      <c r="I384" s="24">
        <f>IF(OR(C384="",NOT(ISNUMBER(B384))),"",UPPER(IF(IFERROR(IF(INDEX(Products!$C$6:$C$45,MATCH(C384,Products!$B$6:$B$45,0))="","",INDEX(Products!$C$6:$C$45,MATCH(C384,Products!$B$6:$B$45,0))),"")="",LEFT(SUBSTITUTE(C384," ",""),3),IFERROR(IF(INDEX(Products!$C$6:$C$45,MATCH(C384,Products!$B$6:$B$45,0))="","",INDEX(Products!$C$6:$C$45,MATCH(C384,Products!$B$6:$B$45,0))),"")))&amp;"-"&amp;RIGHT(YEAR(B384),2)&amp;RIGHT("0"&amp;MONTH(B384),2)&amp;RIGHT("0"&amp;DAY(B384),2)&amp;"-"&amp;COUNTIFS(C$6:C384,C384,B$6:B384,B384))</f>
        <v/>
      </c>
      <c r="J384" s="14">
        <f>IF(OR(C384="",NOT(ISNUMBER(B384)),N(P384)=0),"",B384+P384)</f>
        <v/>
      </c>
      <c r="K384" s="25">
        <f>IF(C384="","",N(D384)-N(E384)-N(F384)-N(G384))</f>
        <v/>
      </c>
      <c r="L384" s="13">
        <f>IF(OR(C384="",N(K384)&lt;=0,NOT(ISNUMBER(J384))),"",J384-TODAY())</f>
        <v/>
      </c>
      <c r="M384" s="12">
        <f>IF(C384="","",IF(N(K384)&lt;=0,"Sold out",IF(NOT(ISNUMBER(J384)),"In stock",IF(J384&lt;TODAY(),"Past its date",IF(J384-TODAY()&lt;=Settings!$C$5,"Use soon","In stock")))))</f>
        <v/>
      </c>
      <c r="N384" s="26">
        <f>IF(C384="","",N(D384)*Q384)</f>
        <v/>
      </c>
      <c r="O384" s="1" t="n"/>
      <c r="P384">
        <f>IF(C384="",0,IFERROR(N(INDEX(Products!$E$6:$E$45,MATCH(C384,Products!$B$6:$B$45,0))),0))</f>
        <v/>
      </c>
      <c r="Q384">
        <f>IF(C384="",0,IFERROR(N(INDEX(Products!$I$6:$I$45,MATCH(C384,Products!$B$6:$B$45,0))),0))</f>
        <v/>
      </c>
      <c r="R384">
        <f>IF(OR(C384="",NOT(ISNUMBER(B384))),"",YEAR(B384)*100+MONTH(B384))</f>
        <v/>
      </c>
      <c r="S384">
        <f>N(G384)*Q384</f>
        <v/>
      </c>
      <c r="T384">
        <f>IF(OR(M384="",M384="Sold out",NOT(ISNUMBER(J384))),"",J384*1000+ROW())</f>
        <v/>
      </c>
    </row>
    <row r="385">
      <c r="A385" s="1" t="n"/>
      <c r="B385" s="20" t="n"/>
      <c r="C385" s="21" t="n"/>
      <c r="D385" s="22" t="n"/>
      <c r="E385" s="22" t="n"/>
      <c r="F385" s="22" t="n"/>
      <c r="G385" s="22" t="n"/>
      <c r="H385" s="23" t="n"/>
      <c r="I385" s="24">
        <f>IF(OR(C385="",NOT(ISNUMBER(B385))),"",UPPER(IF(IFERROR(IF(INDEX(Products!$C$6:$C$45,MATCH(C385,Products!$B$6:$B$45,0))="","",INDEX(Products!$C$6:$C$45,MATCH(C385,Products!$B$6:$B$45,0))),"")="",LEFT(SUBSTITUTE(C385," ",""),3),IFERROR(IF(INDEX(Products!$C$6:$C$45,MATCH(C385,Products!$B$6:$B$45,0))="","",INDEX(Products!$C$6:$C$45,MATCH(C385,Products!$B$6:$B$45,0))),"")))&amp;"-"&amp;RIGHT(YEAR(B385),2)&amp;RIGHT("0"&amp;MONTH(B385),2)&amp;RIGHT("0"&amp;DAY(B385),2)&amp;"-"&amp;COUNTIFS(C$6:C385,C385,B$6:B385,B385))</f>
        <v/>
      </c>
      <c r="J385" s="14">
        <f>IF(OR(C385="",NOT(ISNUMBER(B385)),N(P385)=0),"",B385+P385)</f>
        <v/>
      </c>
      <c r="K385" s="25">
        <f>IF(C385="","",N(D385)-N(E385)-N(F385)-N(G385))</f>
        <v/>
      </c>
      <c r="L385" s="13">
        <f>IF(OR(C385="",N(K385)&lt;=0,NOT(ISNUMBER(J385))),"",J385-TODAY())</f>
        <v/>
      </c>
      <c r="M385" s="12">
        <f>IF(C385="","",IF(N(K385)&lt;=0,"Sold out",IF(NOT(ISNUMBER(J385)),"In stock",IF(J385&lt;TODAY(),"Past its date",IF(J385-TODAY()&lt;=Settings!$C$5,"Use soon","In stock")))))</f>
        <v/>
      </c>
      <c r="N385" s="26">
        <f>IF(C385="","",N(D385)*Q385)</f>
        <v/>
      </c>
      <c r="O385" s="1" t="n"/>
      <c r="P385">
        <f>IF(C385="",0,IFERROR(N(INDEX(Products!$E$6:$E$45,MATCH(C385,Products!$B$6:$B$45,0))),0))</f>
        <v/>
      </c>
      <c r="Q385">
        <f>IF(C385="",0,IFERROR(N(INDEX(Products!$I$6:$I$45,MATCH(C385,Products!$B$6:$B$45,0))),0))</f>
        <v/>
      </c>
      <c r="R385">
        <f>IF(OR(C385="",NOT(ISNUMBER(B385))),"",YEAR(B385)*100+MONTH(B385))</f>
        <v/>
      </c>
      <c r="S385">
        <f>N(G385)*Q385</f>
        <v/>
      </c>
      <c r="T385">
        <f>IF(OR(M385="",M385="Sold out",NOT(ISNUMBER(J385))),"",J385*1000+ROW())</f>
        <v/>
      </c>
    </row>
    <row r="386">
      <c r="A386" s="1" t="n"/>
      <c r="B386" s="20" t="n"/>
      <c r="C386" s="21" t="n"/>
      <c r="D386" s="22" t="n"/>
      <c r="E386" s="22" t="n"/>
      <c r="F386" s="22" t="n"/>
      <c r="G386" s="22" t="n"/>
      <c r="H386" s="23" t="n"/>
      <c r="I386" s="24">
        <f>IF(OR(C386="",NOT(ISNUMBER(B386))),"",UPPER(IF(IFERROR(IF(INDEX(Products!$C$6:$C$45,MATCH(C386,Products!$B$6:$B$45,0))="","",INDEX(Products!$C$6:$C$45,MATCH(C386,Products!$B$6:$B$45,0))),"")="",LEFT(SUBSTITUTE(C386," ",""),3),IFERROR(IF(INDEX(Products!$C$6:$C$45,MATCH(C386,Products!$B$6:$B$45,0))="","",INDEX(Products!$C$6:$C$45,MATCH(C386,Products!$B$6:$B$45,0))),"")))&amp;"-"&amp;RIGHT(YEAR(B386),2)&amp;RIGHT("0"&amp;MONTH(B386),2)&amp;RIGHT("0"&amp;DAY(B386),2)&amp;"-"&amp;COUNTIFS(C$6:C386,C386,B$6:B386,B386))</f>
        <v/>
      </c>
      <c r="J386" s="14">
        <f>IF(OR(C386="",NOT(ISNUMBER(B386)),N(P386)=0),"",B386+P386)</f>
        <v/>
      </c>
      <c r="K386" s="25">
        <f>IF(C386="","",N(D386)-N(E386)-N(F386)-N(G386))</f>
        <v/>
      </c>
      <c r="L386" s="13">
        <f>IF(OR(C386="",N(K386)&lt;=0,NOT(ISNUMBER(J386))),"",J386-TODAY())</f>
        <v/>
      </c>
      <c r="M386" s="12">
        <f>IF(C386="","",IF(N(K386)&lt;=0,"Sold out",IF(NOT(ISNUMBER(J386)),"In stock",IF(J386&lt;TODAY(),"Past its date",IF(J386-TODAY()&lt;=Settings!$C$5,"Use soon","In stock")))))</f>
        <v/>
      </c>
      <c r="N386" s="26">
        <f>IF(C386="","",N(D386)*Q386)</f>
        <v/>
      </c>
      <c r="O386" s="1" t="n"/>
      <c r="P386">
        <f>IF(C386="",0,IFERROR(N(INDEX(Products!$E$6:$E$45,MATCH(C386,Products!$B$6:$B$45,0))),0))</f>
        <v/>
      </c>
      <c r="Q386">
        <f>IF(C386="",0,IFERROR(N(INDEX(Products!$I$6:$I$45,MATCH(C386,Products!$B$6:$B$45,0))),0))</f>
        <v/>
      </c>
      <c r="R386">
        <f>IF(OR(C386="",NOT(ISNUMBER(B386))),"",YEAR(B386)*100+MONTH(B386))</f>
        <v/>
      </c>
      <c r="S386">
        <f>N(G386)*Q386</f>
        <v/>
      </c>
      <c r="T386">
        <f>IF(OR(M386="",M386="Sold out",NOT(ISNUMBER(J386))),"",J386*1000+ROW())</f>
        <v/>
      </c>
    </row>
    <row r="387">
      <c r="A387" s="1" t="n"/>
      <c r="B387" s="20" t="n"/>
      <c r="C387" s="21" t="n"/>
      <c r="D387" s="22" t="n"/>
      <c r="E387" s="22" t="n"/>
      <c r="F387" s="22" t="n"/>
      <c r="G387" s="22" t="n"/>
      <c r="H387" s="23" t="n"/>
      <c r="I387" s="24">
        <f>IF(OR(C387="",NOT(ISNUMBER(B387))),"",UPPER(IF(IFERROR(IF(INDEX(Products!$C$6:$C$45,MATCH(C387,Products!$B$6:$B$45,0))="","",INDEX(Products!$C$6:$C$45,MATCH(C387,Products!$B$6:$B$45,0))),"")="",LEFT(SUBSTITUTE(C387," ",""),3),IFERROR(IF(INDEX(Products!$C$6:$C$45,MATCH(C387,Products!$B$6:$B$45,0))="","",INDEX(Products!$C$6:$C$45,MATCH(C387,Products!$B$6:$B$45,0))),"")))&amp;"-"&amp;RIGHT(YEAR(B387),2)&amp;RIGHT("0"&amp;MONTH(B387),2)&amp;RIGHT("0"&amp;DAY(B387),2)&amp;"-"&amp;COUNTIFS(C$6:C387,C387,B$6:B387,B387))</f>
        <v/>
      </c>
      <c r="J387" s="14">
        <f>IF(OR(C387="",NOT(ISNUMBER(B387)),N(P387)=0),"",B387+P387)</f>
        <v/>
      </c>
      <c r="K387" s="25">
        <f>IF(C387="","",N(D387)-N(E387)-N(F387)-N(G387))</f>
        <v/>
      </c>
      <c r="L387" s="13">
        <f>IF(OR(C387="",N(K387)&lt;=0,NOT(ISNUMBER(J387))),"",J387-TODAY())</f>
        <v/>
      </c>
      <c r="M387" s="12">
        <f>IF(C387="","",IF(N(K387)&lt;=0,"Sold out",IF(NOT(ISNUMBER(J387)),"In stock",IF(J387&lt;TODAY(),"Past its date",IF(J387-TODAY()&lt;=Settings!$C$5,"Use soon","In stock")))))</f>
        <v/>
      </c>
      <c r="N387" s="26">
        <f>IF(C387="","",N(D387)*Q387)</f>
        <v/>
      </c>
      <c r="O387" s="1" t="n"/>
      <c r="P387">
        <f>IF(C387="",0,IFERROR(N(INDEX(Products!$E$6:$E$45,MATCH(C387,Products!$B$6:$B$45,0))),0))</f>
        <v/>
      </c>
      <c r="Q387">
        <f>IF(C387="",0,IFERROR(N(INDEX(Products!$I$6:$I$45,MATCH(C387,Products!$B$6:$B$45,0))),0))</f>
        <v/>
      </c>
      <c r="R387">
        <f>IF(OR(C387="",NOT(ISNUMBER(B387))),"",YEAR(B387)*100+MONTH(B387))</f>
        <v/>
      </c>
      <c r="S387">
        <f>N(G387)*Q387</f>
        <v/>
      </c>
      <c r="T387">
        <f>IF(OR(M387="",M387="Sold out",NOT(ISNUMBER(J387))),"",J387*1000+ROW())</f>
        <v/>
      </c>
    </row>
    <row r="388">
      <c r="A388" s="1" t="n"/>
      <c r="B388" s="20" t="n"/>
      <c r="C388" s="21" t="n"/>
      <c r="D388" s="22" t="n"/>
      <c r="E388" s="22" t="n"/>
      <c r="F388" s="22" t="n"/>
      <c r="G388" s="22" t="n"/>
      <c r="H388" s="23" t="n"/>
      <c r="I388" s="24">
        <f>IF(OR(C388="",NOT(ISNUMBER(B388))),"",UPPER(IF(IFERROR(IF(INDEX(Products!$C$6:$C$45,MATCH(C388,Products!$B$6:$B$45,0))="","",INDEX(Products!$C$6:$C$45,MATCH(C388,Products!$B$6:$B$45,0))),"")="",LEFT(SUBSTITUTE(C388," ",""),3),IFERROR(IF(INDEX(Products!$C$6:$C$45,MATCH(C388,Products!$B$6:$B$45,0))="","",INDEX(Products!$C$6:$C$45,MATCH(C388,Products!$B$6:$B$45,0))),"")))&amp;"-"&amp;RIGHT(YEAR(B388),2)&amp;RIGHT("0"&amp;MONTH(B388),2)&amp;RIGHT("0"&amp;DAY(B388),2)&amp;"-"&amp;COUNTIFS(C$6:C388,C388,B$6:B388,B388))</f>
        <v/>
      </c>
      <c r="J388" s="14">
        <f>IF(OR(C388="",NOT(ISNUMBER(B388)),N(P388)=0),"",B388+P388)</f>
        <v/>
      </c>
      <c r="K388" s="25">
        <f>IF(C388="","",N(D388)-N(E388)-N(F388)-N(G388))</f>
        <v/>
      </c>
      <c r="L388" s="13">
        <f>IF(OR(C388="",N(K388)&lt;=0,NOT(ISNUMBER(J388))),"",J388-TODAY())</f>
        <v/>
      </c>
      <c r="M388" s="12">
        <f>IF(C388="","",IF(N(K388)&lt;=0,"Sold out",IF(NOT(ISNUMBER(J388)),"In stock",IF(J388&lt;TODAY(),"Past its date",IF(J388-TODAY()&lt;=Settings!$C$5,"Use soon","In stock")))))</f>
        <v/>
      </c>
      <c r="N388" s="26">
        <f>IF(C388="","",N(D388)*Q388)</f>
        <v/>
      </c>
      <c r="O388" s="1" t="n"/>
      <c r="P388">
        <f>IF(C388="",0,IFERROR(N(INDEX(Products!$E$6:$E$45,MATCH(C388,Products!$B$6:$B$45,0))),0))</f>
        <v/>
      </c>
      <c r="Q388">
        <f>IF(C388="",0,IFERROR(N(INDEX(Products!$I$6:$I$45,MATCH(C388,Products!$B$6:$B$45,0))),0))</f>
        <v/>
      </c>
      <c r="R388">
        <f>IF(OR(C388="",NOT(ISNUMBER(B388))),"",YEAR(B388)*100+MONTH(B388))</f>
        <v/>
      </c>
      <c r="S388">
        <f>N(G388)*Q388</f>
        <v/>
      </c>
      <c r="T388">
        <f>IF(OR(M388="",M388="Sold out",NOT(ISNUMBER(J388))),"",J388*1000+ROW())</f>
        <v/>
      </c>
    </row>
    <row r="389">
      <c r="A389" s="1" t="n"/>
      <c r="B389" s="20" t="n"/>
      <c r="C389" s="21" t="n"/>
      <c r="D389" s="22" t="n"/>
      <c r="E389" s="22" t="n"/>
      <c r="F389" s="22" t="n"/>
      <c r="G389" s="22" t="n"/>
      <c r="H389" s="23" t="n"/>
      <c r="I389" s="24">
        <f>IF(OR(C389="",NOT(ISNUMBER(B389))),"",UPPER(IF(IFERROR(IF(INDEX(Products!$C$6:$C$45,MATCH(C389,Products!$B$6:$B$45,0))="","",INDEX(Products!$C$6:$C$45,MATCH(C389,Products!$B$6:$B$45,0))),"")="",LEFT(SUBSTITUTE(C389," ",""),3),IFERROR(IF(INDEX(Products!$C$6:$C$45,MATCH(C389,Products!$B$6:$B$45,0))="","",INDEX(Products!$C$6:$C$45,MATCH(C389,Products!$B$6:$B$45,0))),"")))&amp;"-"&amp;RIGHT(YEAR(B389),2)&amp;RIGHT("0"&amp;MONTH(B389),2)&amp;RIGHT("0"&amp;DAY(B389),2)&amp;"-"&amp;COUNTIFS(C$6:C389,C389,B$6:B389,B389))</f>
        <v/>
      </c>
      <c r="J389" s="14">
        <f>IF(OR(C389="",NOT(ISNUMBER(B389)),N(P389)=0),"",B389+P389)</f>
        <v/>
      </c>
      <c r="K389" s="25">
        <f>IF(C389="","",N(D389)-N(E389)-N(F389)-N(G389))</f>
        <v/>
      </c>
      <c r="L389" s="13">
        <f>IF(OR(C389="",N(K389)&lt;=0,NOT(ISNUMBER(J389))),"",J389-TODAY())</f>
        <v/>
      </c>
      <c r="M389" s="12">
        <f>IF(C389="","",IF(N(K389)&lt;=0,"Sold out",IF(NOT(ISNUMBER(J389)),"In stock",IF(J389&lt;TODAY(),"Past its date",IF(J389-TODAY()&lt;=Settings!$C$5,"Use soon","In stock")))))</f>
        <v/>
      </c>
      <c r="N389" s="26">
        <f>IF(C389="","",N(D389)*Q389)</f>
        <v/>
      </c>
      <c r="O389" s="1" t="n"/>
      <c r="P389">
        <f>IF(C389="",0,IFERROR(N(INDEX(Products!$E$6:$E$45,MATCH(C389,Products!$B$6:$B$45,0))),0))</f>
        <v/>
      </c>
      <c r="Q389">
        <f>IF(C389="",0,IFERROR(N(INDEX(Products!$I$6:$I$45,MATCH(C389,Products!$B$6:$B$45,0))),0))</f>
        <v/>
      </c>
      <c r="R389">
        <f>IF(OR(C389="",NOT(ISNUMBER(B389))),"",YEAR(B389)*100+MONTH(B389))</f>
        <v/>
      </c>
      <c r="S389">
        <f>N(G389)*Q389</f>
        <v/>
      </c>
      <c r="T389">
        <f>IF(OR(M389="",M389="Sold out",NOT(ISNUMBER(J389))),"",J389*1000+ROW())</f>
        <v/>
      </c>
    </row>
    <row r="390">
      <c r="A390" s="1" t="n"/>
      <c r="B390" s="20" t="n"/>
      <c r="C390" s="21" t="n"/>
      <c r="D390" s="22" t="n"/>
      <c r="E390" s="22" t="n"/>
      <c r="F390" s="22" t="n"/>
      <c r="G390" s="22" t="n"/>
      <c r="H390" s="23" t="n"/>
      <c r="I390" s="24">
        <f>IF(OR(C390="",NOT(ISNUMBER(B390))),"",UPPER(IF(IFERROR(IF(INDEX(Products!$C$6:$C$45,MATCH(C390,Products!$B$6:$B$45,0))="","",INDEX(Products!$C$6:$C$45,MATCH(C390,Products!$B$6:$B$45,0))),"")="",LEFT(SUBSTITUTE(C390," ",""),3),IFERROR(IF(INDEX(Products!$C$6:$C$45,MATCH(C390,Products!$B$6:$B$45,0))="","",INDEX(Products!$C$6:$C$45,MATCH(C390,Products!$B$6:$B$45,0))),"")))&amp;"-"&amp;RIGHT(YEAR(B390),2)&amp;RIGHT("0"&amp;MONTH(B390),2)&amp;RIGHT("0"&amp;DAY(B390),2)&amp;"-"&amp;COUNTIFS(C$6:C390,C390,B$6:B390,B390))</f>
        <v/>
      </c>
      <c r="J390" s="14">
        <f>IF(OR(C390="",NOT(ISNUMBER(B390)),N(P390)=0),"",B390+P390)</f>
        <v/>
      </c>
      <c r="K390" s="25">
        <f>IF(C390="","",N(D390)-N(E390)-N(F390)-N(G390))</f>
        <v/>
      </c>
      <c r="L390" s="13">
        <f>IF(OR(C390="",N(K390)&lt;=0,NOT(ISNUMBER(J390))),"",J390-TODAY())</f>
        <v/>
      </c>
      <c r="M390" s="12">
        <f>IF(C390="","",IF(N(K390)&lt;=0,"Sold out",IF(NOT(ISNUMBER(J390)),"In stock",IF(J390&lt;TODAY(),"Past its date",IF(J390-TODAY()&lt;=Settings!$C$5,"Use soon","In stock")))))</f>
        <v/>
      </c>
      <c r="N390" s="26">
        <f>IF(C390="","",N(D390)*Q390)</f>
        <v/>
      </c>
      <c r="O390" s="1" t="n"/>
      <c r="P390">
        <f>IF(C390="",0,IFERROR(N(INDEX(Products!$E$6:$E$45,MATCH(C390,Products!$B$6:$B$45,0))),0))</f>
        <v/>
      </c>
      <c r="Q390">
        <f>IF(C390="",0,IFERROR(N(INDEX(Products!$I$6:$I$45,MATCH(C390,Products!$B$6:$B$45,0))),0))</f>
        <v/>
      </c>
      <c r="R390">
        <f>IF(OR(C390="",NOT(ISNUMBER(B390))),"",YEAR(B390)*100+MONTH(B390))</f>
        <v/>
      </c>
      <c r="S390">
        <f>N(G390)*Q390</f>
        <v/>
      </c>
      <c r="T390">
        <f>IF(OR(M390="",M390="Sold out",NOT(ISNUMBER(J390))),"",J390*1000+ROW())</f>
        <v/>
      </c>
    </row>
    <row r="391">
      <c r="A391" s="1" t="n"/>
      <c r="B391" s="20" t="n"/>
      <c r="C391" s="21" t="n"/>
      <c r="D391" s="22" t="n"/>
      <c r="E391" s="22" t="n"/>
      <c r="F391" s="22" t="n"/>
      <c r="G391" s="22" t="n"/>
      <c r="H391" s="23" t="n"/>
      <c r="I391" s="24">
        <f>IF(OR(C391="",NOT(ISNUMBER(B391))),"",UPPER(IF(IFERROR(IF(INDEX(Products!$C$6:$C$45,MATCH(C391,Products!$B$6:$B$45,0))="","",INDEX(Products!$C$6:$C$45,MATCH(C391,Products!$B$6:$B$45,0))),"")="",LEFT(SUBSTITUTE(C391," ",""),3),IFERROR(IF(INDEX(Products!$C$6:$C$45,MATCH(C391,Products!$B$6:$B$45,0))="","",INDEX(Products!$C$6:$C$45,MATCH(C391,Products!$B$6:$B$45,0))),"")))&amp;"-"&amp;RIGHT(YEAR(B391),2)&amp;RIGHT("0"&amp;MONTH(B391),2)&amp;RIGHT("0"&amp;DAY(B391),2)&amp;"-"&amp;COUNTIFS(C$6:C391,C391,B$6:B391,B391))</f>
        <v/>
      </c>
      <c r="J391" s="14">
        <f>IF(OR(C391="",NOT(ISNUMBER(B391)),N(P391)=0),"",B391+P391)</f>
        <v/>
      </c>
      <c r="K391" s="25">
        <f>IF(C391="","",N(D391)-N(E391)-N(F391)-N(G391))</f>
        <v/>
      </c>
      <c r="L391" s="13">
        <f>IF(OR(C391="",N(K391)&lt;=0,NOT(ISNUMBER(J391))),"",J391-TODAY())</f>
        <v/>
      </c>
      <c r="M391" s="12">
        <f>IF(C391="","",IF(N(K391)&lt;=0,"Sold out",IF(NOT(ISNUMBER(J391)),"In stock",IF(J391&lt;TODAY(),"Past its date",IF(J391-TODAY()&lt;=Settings!$C$5,"Use soon","In stock")))))</f>
        <v/>
      </c>
      <c r="N391" s="26">
        <f>IF(C391="","",N(D391)*Q391)</f>
        <v/>
      </c>
      <c r="O391" s="1" t="n"/>
      <c r="P391">
        <f>IF(C391="",0,IFERROR(N(INDEX(Products!$E$6:$E$45,MATCH(C391,Products!$B$6:$B$45,0))),0))</f>
        <v/>
      </c>
      <c r="Q391">
        <f>IF(C391="",0,IFERROR(N(INDEX(Products!$I$6:$I$45,MATCH(C391,Products!$B$6:$B$45,0))),0))</f>
        <v/>
      </c>
      <c r="R391">
        <f>IF(OR(C391="",NOT(ISNUMBER(B391))),"",YEAR(B391)*100+MONTH(B391))</f>
        <v/>
      </c>
      <c r="S391">
        <f>N(G391)*Q391</f>
        <v/>
      </c>
      <c r="T391">
        <f>IF(OR(M391="",M391="Sold out",NOT(ISNUMBER(J391))),"",J391*1000+ROW())</f>
        <v/>
      </c>
    </row>
    <row r="392">
      <c r="A392" s="1" t="n"/>
      <c r="B392" s="20" t="n"/>
      <c r="C392" s="21" t="n"/>
      <c r="D392" s="22" t="n"/>
      <c r="E392" s="22" t="n"/>
      <c r="F392" s="22" t="n"/>
      <c r="G392" s="22" t="n"/>
      <c r="H392" s="23" t="n"/>
      <c r="I392" s="24">
        <f>IF(OR(C392="",NOT(ISNUMBER(B392))),"",UPPER(IF(IFERROR(IF(INDEX(Products!$C$6:$C$45,MATCH(C392,Products!$B$6:$B$45,0))="","",INDEX(Products!$C$6:$C$45,MATCH(C392,Products!$B$6:$B$45,0))),"")="",LEFT(SUBSTITUTE(C392," ",""),3),IFERROR(IF(INDEX(Products!$C$6:$C$45,MATCH(C392,Products!$B$6:$B$45,0))="","",INDEX(Products!$C$6:$C$45,MATCH(C392,Products!$B$6:$B$45,0))),"")))&amp;"-"&amp;RIGHT(YEAR(B392),2)&amp;RIGHT("0"&amp;MONTH(B392),2)&amp;RIGHT("0"&amp;DAY(B392),2)&amp;"-"&amp;COUNTIFS(C$6:C392,C392,B$6:B392,B392))</f>
        <v/>
      </c>
      <c r="J392" s="14">
        <f>IF(OR(C392="",NOT(ISNUMBER(B392)),N(P392)=0),"",B392+P392)</f>
        <v/>
      </c>
      <c r="K392" s="25">
        <f>IF(C392="","",N(D392)-N(E392)-N(F392)-N(G392))</f>
        <v/>
      </c>
      <c r="L392" s="13">
        <f>IF(OR(C392="",N(K392)&lt;=0,NOT(ISNUMBER(J392))),"",J392-TODAY())</f>
        <v/>
      </c>
      <c r="M392" s="12">
        <f>IF(C392="","",IF(N(K392)&lt;=0,"Sold out",IF(NOT(ISNUMBER(J392)),"In stock",IF(J392&lt;TODAY(),"Past its date",IF(J392-TODAY()&lt;=Settings!$C$5,"Use soon","In stock")))))</f>
        <v/>
      </c>
      <c r="N392" s="26">
        <f>IF(C392="","",N(D392)*Q392)</f>
        <v/>
      </c>
      <c r="O392" s="1" t="n"/>
      <c r="P392">
        <f>IF(C392="",0,IFERROR(N(INDEX(Products!$E$6:$E$45,MATCH(C392,Products!$B$6:$B$45,0))),0))</f>
        <v/>
      </c>
      <c r="Q392">
        <f>IF(C392="",0,IFERROR(N(INDEX(Products!$I$6:$I$45,MATCH(C392,Products!$B$6:$B$45,0))),0))</f>
        <v/>
      </c>
      <c r="R392">
        <f>IF(OR(C392="",NOT(ISNUMBER(B392))),"",YEAR(B392)*100+MONTH(B392))</f>
        <v/>
      </c>
      <c r="S392">
        <f>N(G392)*Q392</f>
        <v/>
      </c>
      <c r="T392">
        <f>IF(OR(M392="",M392="Sold out",NOT(ISNUMBER(J392))),"",J392*1000+ROW())</f>
        <v/>
      </c>
    </row>
    <row r="393">
      <c r="A393" s="1" t="n"/>
      <c r="B393" s="20" t="n"/>
      <c r="C393" s="21" t="n"/>
      <c r="D393" s="22" t="n"/>
      <c r="E393" s="22" t="n"/>
      <c r="F393" s="22" t="n"/>
      <c r="G393" s="22" t="n"/>
      <c r="H393" s="23" t="n"/>
      <c r="I393" s="24">
        <f>IF(OR(C393="",NOT(ISNUMBER(B393))),"",UPPER(IF(IFERROR(IF(INDEX(Products!$C$6:$C$45,MATCH(C393,Products!$B$6:$B$45,0))="","",INDEX(Products!$C$6:$C$45,MATCH(C393,Products!$B$6:$B$45,0))),"")="",LEFT(SUBSTITUTE(C393," ",""),3),IFERROR(IF(INDEX(Products!$C$6:$C$45,MATCH(C393,Products!$B$6:$B$45,0))="","",INDEX(Products!$C$6:$C$45,MATCH(C393,Products!$B$6:$B$45,0))),"")))&amp;"-"&amp;RIGHT(YEAR(B393),2)&amp;RIGHT("0"&amp;MONTH(B393),2)&amp;RIGHT("0"&amp;DAY(B393),2)&amp;"-"&amp;COUNTIFS(C$6:C393,C393,B$6:B393,B393))</f>
        <v/>
      </c>
      <c r="J393" s="14">
        <f>IF(OR(C393="",NOT(ISNUMBER(B393)),N(P393)=0),"",B393+P393)</f>
        <v/>
      </c>
      <c r="K393" s="25">
        <f>IF(C393="","",N(D393)-N(E393)-N(F393)-N(G393))</f>
        <v/>
      </c>
      <c r="L393" s="13">
        <f>IF(OR(C393="",N(K393)&lt;=0,NOT(ISNUMBER(J393))),"",J393-TODAY())</f>
        <v/>
      </c>
      <c r="M393" s="12">
        <f>IF(C393="","",IF(N(K393)&lt;=0,"Sold out",IF(NOT(ISNUMBER(J393)),"In stock",IF(J393&lt;TODAY(),"Past its date",IF(J393-TODAY()&lt;=Settings!$C$5,"Use soon","In stock")))))</f>
        <v/>
      </c>
      <c r="N393" s="26">
        <f>IF(C393="","",N(D393)*Q393)</f>
        <v/>
      </c>
      <c r="O393" s="1" t="n"/>
      <c r="P393">
        <f>IF(C393="",0,IFERROR(N(INDEX(Products!$E$6:$E$45,MATCH(C393,Products!$B$6:$B$45,0))),0))</f>
        <v/>
      </c>
      <c r="Q393">
        <f>IF(C393="",0,IFERROR(N(INDEX(Products!$I$6:$I$45,MATCH(C393,Products!$B$6:$B$45,0))),0))</f>
        <v/>
      </c>
      <c r="R393">
        <f>IF(OR(C393="",NOT(ISNUMBER(B393))),"",YEAR(B393)*100+MONTH(B393))</f>
        <v/>
      </c>
      <c r="S393">
        <f>N(G393)*Q393</f>
        <v/>
      </c>
      <c r="T393">
        <f>IF(OR(M393="",M393="Sold out",NOT(ISNUMBER(J393))),"",J393*1000+ROW())</f>
        <v/>
      </c>
    </row>
    <row r="394">
      <c r="A394" s="1" t="n"/>
      <c r="B394" s="20" t="n"/>
      <c r="C394" s="21" t="n"/>
      <c r="D394" s="22" t="n"/>
      <c r="E394" s="22" t="n"/>
      <c r="F394" s="22" t="n"/>
      <c r="G394" s="22" t="n"/>
      <c r="H394" s="23" t="n"/>
      <c r="I394" s="24">
        <f>IF(OR(C394="",NOT(ISNUMBER(B394))),"",UPPER(IF(IFERROR(IF(INDEX(Products!$C$6:$C$45,MATCH(C394,Products!$B$6:$B$45,0))="","",INDEX(Products!$C$6:$C$45,MATCH(C394,Products!$B$6:$B$45,0))),"")="",LEFT(SUBSTITUTE(C394," ",""),3),IFERROR(IF(INDEX(Products!$C$6:$C$45,MATCH(C394,Products!$B$6:$B$45,0))="","",INDEX(Products!$C$6:$C$45,MATCH(C394,Products!$B$6:$B$45,0))),"")))&amp;"-"&amp;RIGHT(YEAR(B394),2)&amp;RIGHT("0"&amp;MONTH(B394),2)&amp;RIGHT("0"&amp;DAY(B394),2)&amp;"-"&amp;COUNTIFS(C$6:C394,C394,B$6:B394,B394))</f>
        <v/>
      </c>
      <c r="J394" s="14">
        <f>IF(OR(C394="",NOT(ISNUMBER(B394)),N(P394)=0),"",B394+P394)</f>
        <v/>
      </c>
      <c r="K394" s="25">
        <f>IF(C394="","",N(D394)-N(E394)-N(F394)-N(G394))</f>
        <v/>
      </c>
      <c r="L394" s="13">
        <f>IF(OR(C394="",N(K394)&lt;=0,NOT(ISNUMBER(J394))),"",J394-TODAY())</f>
        <v/>
      </c>
      <c r="M394" s="12">
        <f>IF(C394="","",IF(N(K394)&lt;=0,"Sold out",IF(NOT(ISNUMBER(J394)),"In stock",IF(J394&lt;TODAY(),"Past its date",IF(J394-TODAY()&lt;=Settings!$C$5,"Use soon","In stock")))))</f>
        <v/>
      </c>
      <c r="N394" s="26">
        <f>IF(C394="","",N(D394)*Q394)</f>
        <v/>
      </c>
      <c r="O394" s="1" t="n"/>
      <c r="P394">
        <f>IF(C394="",0,IFERROR(N(INDEX(Products!$E$6:$E$45,MATCH(C394,Products!$B$6:$B$45,0))),0))</f>
        <v/>
      </c>
      <c r="Q394">
        <f>IF(C394="",0,IFERROR(N(INDEX(Products!$I$6:$I$45,MATCH(C394,Products!$B$6:$B$45,0))),0))</f>
        <v/>
      </c>
      <c r="R394">
        <f>IF(OR(C394="",NOT(ISNUMBER(B394))),"",YEAR(B394)*100+MONTH(B394))</f>
        <v/>
      </c>
      <c r="S394">
        <f>N(G394)*Q394</f>
        <v/>
      </c>
      <c r="T394">
        <f>IF(OR(M394="",M394="Sold out",NOT(ISNUMBER(J394))),"",J394*1000+ROW())</f>
        <v/>
      </c>
    </row>
    <row r="395">
      <c r="A395" s="1" t="n"/>
      <c r="B395" s="20" t="n"/>
      <c r="C395" s="21" t="n"/>
      <c r="D395" s="22" t="n"/>
      <c r="E395" s="22" t="n"/>
      <c r="F395" s="22" t="n"/>
      <c r="G395" s="22" t="n"/>
      <c r="H395" s="23" t="n"/>
      <c r="I395" s="24">
        <f>IF(OR(C395="",NOT(ISNUMBER(B395))),"",UPPER(IF(IFERROR(IF(INDEX(Products!$C$6:$C$45,MATCH(C395,Products!$B$6:$B$45,0))="","",INDEX(Products!$C$6:$C$45,MATCH(C395,Products!$B$6:$B$45,0))),"")="",LEFT(SUBSTITUTE(C395," ",""),3),IFERROR(IF(INDEX(Products!$C$6:$C$45,MATCH(C395,Products!$B$6:$B$45,0))="","",INDEX(Products!$C$6:$C$45,MATCH(C395,Products!$B$6:$B$45,0))),"")))&amp;"-"&amp;RIGHT(YEAR(B395),2)&amp;RIGHT("0"&amp;MONTH(B395),2)&amp;RIGHT("0"&amp;DAY(B395),2)&amp;"-"&amp;COUNTIFS(C$6:C395,C395,B$6:B395,B395))</f>
        <v/>
      </c>
      <c r="J395" s="14">
        <f>IF(OR(C395="",NOT(ISNUMBER(B395)),N(P395)=0),"",B395+P395)</f>
        <v/>
      </c>
      <c r="K395" s="25">
        <f>IF(C395="","",N(D395)-N(E395)-N(F395)-N(G395))</f>
        <v/>
      </c>
      <c r="L395" s="13">
        <f>IF(OR(C395="",N(K395)&lt;=0,NOT(ISNUMBER(J395))),"",J395-TODAY())</f>
        <v/>
      </c>
      <c r="M395" s="12">
        <f>IF(C395="","",IF(N(K395)&lt;=0,"Sold out",IF(NOT(ISNUMBER(J395)),"In stock",IF(J395&lt;TODAY(),"Past its date",IF(J395-TODAY()&lt;=Settings!$C$5,"Use soon","In stock")))))</f>
        <v/>
      </c>
      <c r="N395" s="26">
        <f>IF(C395="","",N(D395)*Q395)</f>
        <v/>
      </c>
      <c r="O395" s="1" t="n"/>
      <c r="P395">
        <f>IF(C395="",0,IFERROR(N(INDEX(Products!$E$6:$E$45,MATCH(C395,Products!$B$6:$B$45,0))),0))</f>
        <v/>
      </c>
      <c r="Q395">
        <f>IF(C395="",0,IFERROR(N(INDEX(Products!$I$6:$I$45,MATCH(C395,Products!$B$6:$B$45,0))),0))</f>
        <v/>
      </c>
      <c r="R395">
        <f>IF(OR(C395="",NOT(ISNUMBER(B395))),"",YEAR(B395)*100+MONTH(B395))</f>
        <v/>
      </c>
      <c r="S395">
        <f>N(G395)*Q395</f>
        <v/>
      </c>
      <c r="T395">
        <f>IF(OR(M395="",M395="Sold out",NOT(ISNUMBER(J395))),"",J395*1000+ROW())</f>
        <v/>
      </c>
    </row>
    <row r="396">
      <c r="A396" s="1" t="n"/>
      <c r="B396" s="20" t="n"/>
      <c r="C396" s="21" t="n"/>
      <c r="D396" s="22" t="n"/>
      <c r="E396" s="22" t="n"/>
      <c r="F396" s="22" t="n"/>
      <c r="G396" s="22" t="n"/>
      <c r="H396" s="23" t="n"/>
      <c r="I396" s="24">
        <f>IF(OR(C396="",NOT(ISNUMBER(B396))),"",UPPER(IF(IFERROR(IF(INDEX(Products!$C$6:$C$45,MATCH(C396,Products!$B$6:$B$45,0))="","",INDEX(Products!$C$6:$C$45,MATCH(C396,Products!$B$6:$B$45,0))),"")="",LEFT(SUBSTITUTE(C396," ",""),3),IFERROR(IF(INDEX(Products!$C$6:$C$45,MATCH(C396,Products!$B$6:$B$45,0))="","",INDEX(Products!$C$6:$C$45,MATCH(C396,Products!$B$6:$B$45,0))),"")))&amp;"-"&amp;RIGHT(YEAR(B396),2)&amp;RIGHT("0"&amp;MONTH(B396),2)&amp;RIGHT("0"&amp;DAY(B396),2)&amp;"-"&amp;COUNTIFS(C$6:C396,C396,B$6:B396,B396))</f>
        <v/>
      </c>
      <c r="J396" s="14">
        <f>IF(OR(C396="",NOT(ISNUMBER(B396)),N(P396)=0),"",B396+P396)</f>
        <v/>
      </c>
      <c r="K396" s="25">
        <f>IF(C396="","",N(D396)-N(E396)-N(F396)-N(G396))</f>
        <v/>
      </c>
      <c r="L396" s="13">
        <f>IF(OR(C396="",N(K396)&lt;=0,NOT(ISNUMBER(J396))),"",J396-TODAY())</f>
        <v/>
      </c>
      <c r="M396" s="12">
        <f>IF(C396="","",IF(N(K396)&lt;=0,"Sold out",IF(NOT(ISNUMBER(J396)),"In stock",IF(J396&lt;TODAY(),"Past its date",IF(J396-TODAY()&lt;=Settings!$C$5,"Use soon","In stock")))))</f>
        <v/>
      </c>
      <c r="N396" s="26">
        <f>IF(C396="","",N(D396)*Q396)</f>
        <v/>
      </c>
      <c r="O396" s="1" t="n"/>
      <c r="P396">
        <f>IF(C396="",0,IFERROR(N(INDEX(Products!$E$6:$E$45,MATCH(C396,Products!$B$6:$B$45,0))),0))</f>
        <v/>
      </c>
      <c r="Q396">
        <f>IF(C396="",0,IFERROR(N(INDEX(Products!$I$6:$I$45,MATCH(C396,Products!$B$6:$B$45,0))),0))</f>
        <v/>
      </c>
      <c r="R396">
        <f>IF(OR(C396="",NOT(ISNUMBER(B396))),"",YEAR(B396)*100+MONTH(B396))</f>
        <v/>
      </c>
      <c r="S396">
        <f>N(G396)*Q396</f>
        <v/>
      </c>
      <c r="T396">
        <f>IF(OR(M396="",M396="Sold out",NOT(ISNUMBER(J396))),"",J396*1000+ROW())</f>
        <v/>
      </c>
    </row>
    <row r="397">
      <c r="A397" s="1" t="n"/>
      <c r="B397" s="20" t="n"/>
      <c r="C397" s="21" t="n"/>
      <c r="D397" s="22" t="n"/>
      <c r="E397" s="22" t="n"/>
      <c r="F397" s="22" t="n"/>
      <c r="G397" s="22" t="n"/>
      <c r="H397" s="23" t="n"/>
      <c r="I397" s="24">
        <f>IF(OR(C397="",NOT(ISNUMBER(B397))),"",UPPER(IF(IFERROR(IF(INDEX(Products!$C$6:$C$45,MATCH(C397,Products!$B$6:$B$45,0))="","",INDEX(Products!$C$6:$C$45,MATCH(C397,Products!$B$6:$B$45,0))),"")="",LEFT(SUBSTITUTE(C397," ",""),3),IFERROR(IF(INDEX(Products!$C$6:$C$45,MATCH(C397,Products!$B$6:$B$45,0))="","",INDEX(Products!$C$6:$C$45,MATCH(C397,Products!$B$6:$B$45,0))),"")))&amp;"-"&amp;RIGHT(YEAR(B397),2)&amp;RIGHT("0"&amp;MONTH(B397),2)&amp;RIGHT("0"&amp;DAY(B397),2)&amp;"-"&amp;COUNTIFS(C$6:C397,C397,B$6:B397,B397))</f>
        <v/>
      </c>
      <c r="J397" s="14">
        <f>IF(OR(C397="",NOT(ISNUMBER(B397)),N(P397)=0),"",B397+P397)</f>
        <v/>
      </c>
      <c r="K397" s="25">
        <f>IF(C397="","",N(D397)-N(E397)-N(F397)-N(G397))</f>
        <v/>
      </c>
      <c r="L397" s="13">
        <f>IF(OR(C397="",N(K397)&lt;=0,NOT(ISNUMBER(J397))),"",J397-TODAY())</f>
        <v/>
      </c>
      <c r="M397" s="12">
        <f>IF(C397="","",IF(N(K397)&lt;=0,"Sold out",IF(NOT(ISNUMBER(J397)),"In stock",IF(J397&lt;TODAY(),"Past its date",IF(J397-TODAY()&lt;=Settings!$C$5,"Use soon","In stock")))))</f>
        <v/>
      </c>
      <c r="N397" s="26">
        <f>IF(C397="","",N(D397)*Q397)</f>
        <v/>
      </c>
      <c r="O397" s="1" t="n"/>
      <c r="P397">
        <f>IF(C397="",0,IFERROR(N(INDEX(Products!$E$6:$E$45,MATCH(C397,Products!$B$6:$B$45,0))),0))</f>
        <v/>
      </c>
      <c r="Q397">
        <f>IF(C397="",0,IFERROR(N(INDEX(Products!$I$6:$I$45,MATCH(C397,Products!$B$6:$B$45,0))),0))</f>
        <v/>
      </c>
      <c r="R397">
        <f>IF(OR(C397="",NOT(ISNUMBER(B397))),"",YEAR(B397)*100+MONTH(B397))</f>
        <v/>
      </c>
      <c r="S397">
        <f>N(G397)*Q397</f>
        <v/>
      </c>
      <c r="T397">
        <f>IF(OR(M397="",M397="Sold out",NOT(ISNUMBER(J397))),"",J397*1000+ROW())</f>
        <v/>
      </c>
    </row>
    <row r="398">
      <c r="A398" s="1" t="n"/>
      <c r="B398" s="20" t="n"/>
      <c r="C398" s="21" t="n"/>
      <c r="D398" s="22" t="n"/>
      <c r="E398" s="22" t="n"/>
      <c r="F398" s="22" t="n"/>
      <c r="G398" s="22" t="n"/>
      <c r="H398" s="23" t="n"/>
      <c r="I398" s="24">
        <f>IF(OR(C398="",NOT(ISNUMBER(B398))),"",UPPER(IF(IFERROR(IF(INDEX(Products!$C$6:$C$45,MATCH(C398,Products!$B$6:$B$45,0))="","",INDEX(Products!$C$6:$C$45,MATCH(C398,Products!$B$6:$B$45,0))),"")="",LEFT(SUBSTITUTE(C398," ",""),3),IFERROR(IF(INDEX(Products!$C$6:$C$45,MATCH(C398,Products!$B$6:$B$45,0))="","",INDEX(Products!$C$6:$C$45,MATCH(C398,Products!$B$6:$B$45,0))),"")))&amp;"-"&amp;RIGHT(YEAR(B398),2)&amp;RIGHT("0"&amp;MONTH(B398),2)&amp;RIGHT("0"&amp;DAY(B398),2)&amp;"-"&amp;COUNTIFS(C$6:C398,C398,B$6:B398,B398))</f>
        <v/>
      </c>
      <c r="J398" s="14">
        <f>IF(OR(C398="",NOT(ISNUMBER(B398)),N(P398)=0),"",B398+P398)</f>
        <v/>
      </c>
      <c r="K398" s="25">
        <f>IF(C398="","",N(D398)-N(E398)-N(F398)-N(G398))</f>
        <v/>
      </c>
      <c r="L398" s="13">
        <f>IF(OR(C398="",N(K398)&lt;=0,NOT(ISNUMBER(J398))),"",J398-TODAY())</f>
        <v/>
      </c>
      <c r="M398" s="12">
        <f>IF(C398="","",IF(N(K398)&lt;=0,"Sold out",IF(NOT(ISNUMBER(J398)),"In stock",IF(J398&lt;TODAY(),"Past its date",IF(J398-TODAY()&lt;=Settings!$C$5,"Use soon","In stock")))))</f>
        <v/>
      </c>
      <c r="N398" s="26">
        <f>IF(C398="","",N(D398)*Q398)</f>
        <v/>
      </c>
      <c r="O398" s="1" t="n"/>
      <c r="P398">
        <f>IF(C398="",0,IFERROR(N(INDEX(Products!$E$6:$E$45,MATCH(C398,Products!$B$6:$B$45,0))),0))</f>
        <v/>
      </c>
      <c r="Q398">
        <f>IF(C398="",0,IFERROR(N(INDEX(Products!$I$6:$I$45,MATCH(C398,Products!$B$6:$B$45,0))),0))</f>
        <v/>
      </c>
      <c r="R398">
        <f>IF(OR(C398="",NOT(ISNUMBER(B398))),"",YEAR(B398)*100+MONTH(B398))</f>
        <v/>
      </c>
      <c r="S398">
        <f>N(G398)*Q398</f>
        <v/>
      </c>
      <c r="T398">
        <f>IF(OR(M398="",M398="Sold out",NOT(ISNUMBER(J398))),"",J398*1000+ROW())</f>
        <v/>
      </c>
    </row>
    <row r="399">
      <c r="A399" s="1" t="n"/>
      <c r="B399" s="20" t="n"/>
      <c r="C399" s="21" t="n"/>
      <c r="D399" s="22" t="n"/>
      <c r="E399" s="22" t="n"/>
      <c r="F399" s="22" t="n"/>
      <c r="G399" s="22" t="n"/>
      <c r="H399" s="23" t="n"/>
      <c r="I399" s="24">
        <f>IF(OR(C399="",NOT(ISNUMBER(B399))),"",UPPER(IF(IFERROR(IF(INDEX(Products!$C$6:$C$45,MATCH(C399,Products!$B$6:$B$45,0))="","",INDEX(Products!$C$6:$C$45,MATCH(C399,Products!$B$6:$B$45,0))),"")="",LEFT(SUBSTITUTE(C399," ",""),3),IFERROR(IF(INDEX(Products!$C$6:$C$45,MATCH(C399,Products!$B$6:$B$45,0))="","",INDEX(Products!$C$6:$C$45,MATCH(C399,Products!$B$6:$B$45,0))),"")))&amp;"-"&amp;RIGHT(YEAR(B399),2)&amp;RIGHT("0"&amp;MONTH(B399),2)&amp;RIGHT("0"&amp;DAY(B399),2)&amp;"-"&amp;COUNTIFS(C$6:C399,C399,B$6:B399,B399))</f>
        <v/>
      </c>
      <c r="J399" s="14">
        <f>IF(OR(C399="",NOT(ISNUMBER(B399)),N(P399)=0),"",B399+P399)</f>
        <v/>
      </c>
      <c r="K399" s="25">
        <f>IF(C399="","",N(D399)-N(E399)-N(F399)-N(G399))</f>
        <v/>
      </c>
      <c r="L399" s="13">
        <f>IF(OR(C399="",N(K399)&lt;=0,NOT(ISNUMBER(J399))),"",J399-TODAY())</f>
        <v/>
      </c>
      <c r="M399" s="12">
        <f>IF(C399="","",IF(N(K399)&lt;=0,"Sold out",IF(NOT(ISNUMBER(J399)),"In stock",IF(J399&lt;TODAY(),"Past its date",IF(J399-TODAY()&lt;=Settings!$C$5,"Use soon","In stock")))))</f>
        <v/>
      </c>
      <c r="N399" s="26">
        <f>IF(C399="","",N(D399)*Q399)</f>
        <v/>
      </c>
      <c r="O399" s="1" t="n"/>
      <c r="P399">
        <f>IF(C399="",0,IFERROR(N(INDEX(Products!$E$6:$E$45,MATCH(C399,Products!$B$6:$B$45,0))),0))</f>
        <v/>
      </c>
      <c r="Q399">
        <f>IF(C399="",0,IFERROR(N(INDEX(Products!$I$6:$I$45,MATCH(C399,Products!$B$6:$B$45,0))),0))</f>
        <v/>
      </c>
      <c r="R399">
        <f>IF(OR(C399="",NOT(ISNUMBER(B399))),"",YEAR(B399)*100+MONTH(B399))</f>
        <v/>
      </c>
      <c r="S399">
        <f>N(G399)*Q399</f>
        <v/>
      </c>
      <c r="T399">
        <f>IF(OR(M399="",M399="Sold out",NOT(ISNUMBER(J399))),"",J399*1000+ROW())</f>
        <v/>
      </c>
    </row>
    <row r="400">
      <c r="A400" s="1" t="n"/>
      <c r="B400" s="20" t="n"/>
      <c r="C400" s="21" t="n"/>
      <c r="D400" s="22" t="n"/>
      <c r="E400" s="22" t="n"/>
      <c r="F400" s="22" t="n"/>
      <c r="G400" s="22" t="n"/>
      <c r="H400" s="23" t="n"/>
      <c r="I400" s="24">
        <f>IF(OR(C400="",NOT(ISNUMBER(B400))),"",UPPER(IF(IFERROR(IF(INDEX(Products!$C$6:$C$45,MATCH(C400,Products!$B$6:$B$45,0))="","",INDEX(Products!$C$6:$C$45,MATCH(C400,Products!$B$6:$B$45,0))),"")="",LEFT(SUBSTITUTE(C400," ",""),3),IFERROR(IF(INDEX(Products!$C$6:$C$45,MATCH(C400,Products!$B$6:$B$45,0))="","",INDEX(Products!$C$6:$C$45,MATCH(C400,Products!$B$6:$B$45,0))),"")))&amp;"-"&amp;RIGHT(YEAR(B400),2)&amp;RIGHT("0"&amp;MONTH(B400),2)&amp;RIGHT("0"&amp;DAY(B400),2)&amp;"-"&amp;COUNTIFS(C$6:C400,C400,B$6:B400,B400))</f>
        <v/>
      </c>
      <c r="J400" s="14">
        <f>IF(OR(C400="",NOT(ISNUMBER(B400)),N(P400)=0),"",B400+P400)</f>
        <v/>
      </c>
      <c r="K400" s="25">
        <f>IF(C400="","",N(D400)-N(E400)-N(F400)-N(G400))</f>
        <v/>
      </c>
      <c r="L400" s="13">
        <f>IF(OR(C400="",N(K400)&lt;=0,NOT(ISNUMBER(J400))),"",J400-TODAY())</f>
        <v/>
      </c>
      <c r="M400" s="12">
        <f>IF(C400="","",IF(N(K400)&lt;=0,"Sold out",IF(NOT(ISNUMBER(J400)),"In stock",IF(J400&lt;TODAY(),"Past its date",IF(J400-TODAY()&lt;=Settings!$C$5,"Use soon","In stock")))))</f>
        <v/>
      </c>
      <c r="N400" s="26">
        <f>IF(C400="","",N(D400)*Q400)</f>
        <v/>
      </c>
      <c r="O400" s="1" t="n"/>
      <c r="P400">
        <f>IF(C400="",0,IFERROR(N(INDEX(Products!$E$6:$E$45,MATCH(C400,Products!$B$6:$B$45,0))),0))</f>
        <v/>
      </c>
      <c r="Q400">
        <f>IF(C400="",0,IFERROR(N(INDEX(Products!$I$6:$I$45,MATCH(C400,Products!$B$6:$B$45,0))),0))</f>
        <v/>
      </c>
      <c r="R400">
        <f>IF(OR(C400="",NOT(ISNUMBER(B400))),"",YEAR(B400)*100+MONTH(B400))</f>
        <v/>
      </c>
      <c r="S400">
        <f>N(G400)*Q400</f>
        <v/>
      </c>
      <c r="T400">
        <f>IF(OR(M400="",M400="Sold out",NOT(ISNUMBER(J400))),"",J400*1000+ROW())</f>
        <v/>
      </c>
    </row>
    <row r="401">
      <c r="A401" s="1" t="n"/>
      <c r="B401" s="20" t="n"/>
      <c r="C401" s="21" t="n"/>
      <c r="D401" s="22" t="n"/>
      <c r="E401" s="22" t="n"/>
      <c r="F401" s="22" t="n"/>
      <c r="G401" s="22" t="n"/>
      <c r="H401" s="23" t="n"/>
      <c r="I401" s="24">
        <f>IF(OR(C401="",NOT(ISNUMBER(B401))),"",UPPER(IF(IFERROR(IF(INDEX(Products!$C$6:$C$45,MATCH(C401,Products!$B$6:$B$45,0))="","",INDEX(Products!$C$6:$C$45,MATCH(C401,Products!$B$6:$B$45,0))),"")="",LEFT(SUBSTITUTE(C401," ",""),3),IFERROR(IF(INDEX(Products!$C$6:$C$45,MATCH(C401,Products!$B$6:$B$45,0))="","",INDEX(Products!$C$6:$C$45,MATCH(C401,Products!$B$6:$B$45,0))),"")))&amp;"-"&amp;RIGHT(YEAR(B401),2)&amp;RIGHT("0"&amp;MONTH(B401),2)&amp;RIGHT("0"&amp;DAY(B401),2)&amp;"-"&amp;COUNTIFS(C$6:C401,C401,B$6:B401,B401))</f>
        <v/>
      </c>
      <c r="J401" s="14">
        <f>IF(OR(C401="",NOT(ISNUMBER(B401)),N(P401)=0),"",B401+P401)</f>
        <v/>
      </c>
      <c r="K401" s="25">
        <f>IF(C401="","",N(D401)-N(E401)-N(F401)-N(G401))</f>
        <v/>
      </c>
      <c r="L401" s="13">
        <f>IF(OR(C401="",N(K401)&lt;=0,NOT(ISNUMBER(J401))),"",J401-TODAY())</f>
        <v/>
      </c>
      <c r="M401" s="12">
        <f>IF(C401="","",IF(N(K401)&lt;=0,"Sold out",IF(NOT(ISNUMBER(J401)),"In stock",IF(J401&lt;TODAY(),"Past its date",IF(J401-TODAY()&lt;=Settings!$C$5,"Use soon","In stock")))))</f>
        <v/>
      </c>
      <c r="N401" s="26">
        <f>IF(C401="","",N(D401)*Q401)</f>
        <v/>
      </c>
      <c r="O401" s="1" t="n"/>
      <c r="P401">
        <f>IF(C401="",0,IFERROR(N(INDEX(Products!$E$6:$E$45,MATCH(C401,Products!$B$6:$B$45,0))),0))</f>
        <v/>
      </c>
      <c r="Q401">
        <f>IF(C401="",0,IFERROR(N(INDEX(Products!$I$6:$I$45,MATCH(C401,Products!$B$6:$B$45,0))),0))</f>
        <v/>
      </c>
      <c r="R401">
        <f>IF(OR(C401="",NOT(ISNUMBER(B401))),"",YEAR(B401)*100+MONTH(B401))</f>
        <v/>
      </c>
      <c r="S401">
        <f>N(G401)*Q401</f>
        <v/>
      </c>
      <c r="T401">
        <f>IF(OR(M401="",M401="Sold out",NOT(ISNUMBER(J401))),"",J401*1000+ROW())</f>
        <v/>
      </c>
    </row>
    <row r="402">
      <c r="A402" s="1" t="n"/>
      <c r="B402" s="20" t="n"/>
      <c r="C402" s="21" t="n"/>
      <c r="D402" s="22" t="n"/>
      <c r="E402" s="22" t="n"/>
      <c r="F402" s="22" t="n"/>
      <c r="G402" s="22" t="n"/>
      <c r="H402" s="23" t="n"/>
      <c r="I402" s="24">
        <f>IF(OR(C402="",NOT(ISNUMBER(B402))),"",UPPER(IF(IFERROR(IF(INDEX(Products!$C$6:$C$45,MATCH(C402,Products!$B$6:$B$45,0))="","",INDEX(Products!$C$6:$C$45,MATCH(C402,Products!$B$6:$B$45,0))),"")="",LEFT(SUBSTITUTE(C402," ",""),3),IFERROR(IF(INDEX(Products!$C$6:$C$45,MATCH(C402,Products!$B$6:$B$45,0))="","",INDEX(Products!$C$6:$C$45,MATCH(C402,Products!$B$6:$B$45,0))),"")))&amp;"-"&amp;RIGHT(YEAR(B402),2)&amp;RIGHT("0"&amp;MONTH(B402),2)&amp;RIGHT("0"&amp;DAY(B402),2)&amp;"-"&amp;COUNTIFS(C$6:C402,C402,B$6:B402,B402))</f>
        <v/>
      </c>
      <c r="J402" s="14">
        <f>IF(OR(C402="",NOT(ISNUMBER(B402)),N(P402)=0),"",B402+P402)</f>
        <v/>
      </c>
      <c r="K402" s="25">
        <f>IF(C402="","",N(D402)-N(E402)-N(F402)-N(G402))</f>
        <v/>
      </c>
      <c r="L402" s="13">
        <f>IF(OR(C402="",N(K402)&lt;=0,NOT(ISNUMBER(J402))),"",J402-TODAY())</f>
        <v/>
      </c>
      <c r="M402" s="12">
        <f>IF(C402="","",IF(N(K402)&lt;=0,"Sold out",IF(NOT(ISNUMBER(J402)),"In stock",IF(J402&lt;TODAY(),"Past its date",IF(J402-TODAY()&lt;=Settings!$C$5,"Use soon","In stock")))))</f>
        <v/>
      </c>
      <c r="N402" s="26">
        <f>IF(C402="","",N(D402)*Q402)</f>
        <v/>
      </c>
      <c r="O402" s="1" t="n"/>
      <c r="P402">
        <f>IF(C402="",0,IFERROR(N(INDEX(Products!$E$6:$E$45,MATCH(C402,Products!$B$6:$B$45,0))),0))</f>
        <v/>
      </c>
      <c r="Q402">
        <f>IF(C402="",0,IFERROR(N(INDEX(Products!$I$6:$I$45,MATCH(C402,Products!$B$6:$B$45,0))),0))</f>
        <v/>
      </c>
      <c r="R402">
        <f>IF(OR(C402="",NOT(ISNUMBER(B402))),"",YEAR(B402)*100+MONTH(B402))</f>
        <v/>
      </c>
      <c r="S402">
        <f>N(G402)*Q402</f>
        <v/>
      </c>
      <c r="T402">
        <f>IF(OR(M402="",M402="Sold out",NOT(ISNUMBER(J402))),"",J402*1000+ROW())</f>
        <v/>
      </c>
    </row>
    <row r="403">
      <c r="A403" s="1" t="n"/>
      <c r="B403" s="20" t="n"/>
      <c r="C403" s="21" t="n"/>
      <c r="D403" s="22" t="n"/>
      <c r="E403" s="22" t="n"/>
      <c r="F403" s="22" t="n"/>
      <c r="G403" s="22" t="n"/>
      <c r="H403" s="23" t="n"/>
      <c r="I403" s="24">
        <f>IF(OR(C403="",NOT(ISNUMBER(B403))),"",UPPER(IF(IFERROR(IF(INDEX(Products!$C$6:$C$45,MATCH(C403,Products!$B$6:$B$45,0))="","",INDEX(Products!$C$6:$C$45,MATCH(C403,Products!$B$6:$B$45,0))),"")="",LEFT(SUBSTITUTE(C403," ",""),3),IFERROR(IF(INDEX(Products!$C$6:$C$45,MATCH(C403,Products!$B$6:$B$45,0))="","",INDEX(Products!$C$6:$C$45,MATCH(C403,Products!$B$6:$B$45,0))),"")))&amp;"-"&amp;RIGHT(YEAR(B403),2)&amp;RIGHT("0"&amp;MONTH(B403),2)&amp;RIGHT("0"&amp;DAY(B403),2)&amp;"-"&amp;COUNTIFS(C$6:C403,C403,B$6:B403,B403))</f>
        <v/>
      </c>
      <c r="J403" s="14">
        <f>IF(OR(C403="",NOT(ISNUMBER(B403)),N(P403)=0),"",B403+P403)</f>
        <v/>
      </c>
      <c r="K403" s="25">
        <f>IF(C403="","",N(D403)-N(E403)-N(F403)-N(G403))</f>
        <v/>
      </c>
      <c r="L403" s="13">
        <f>IF(OR(C403="",N(K403)&lt;=0,NOT(ISNUMBER(J403))),"",J403-TODAY())</f>
        <v/>
      </c>
      <c r="M403" s="12">
        <f>IF(C403="","",IF(N(K403)&lt;=0,"Sold out",IF(NOT(ISNUMBER(J403)),"In stock",IF(J403&lt;TODAY(),"Past its date",IF(J403-TODAY()&lt;=Settings!$C$5,"Use soon","In stock")))))</f>
        <v/>
      </c>
      <c r="N403" s="26">
        <f>IF(C403="","",N(D403)*Q403)</f>
        <v/>
      </c>
      <c r="O403" s="1" t="n"/>
      <c r="P403">
        <f>IF(C403="",0,IFERROR(N(INDEX(Products!$E$6:$E$45,MATCH(C403,Products!$B$6:$B$45,0))),0))</f>
        <v/>
      </c>
      <c r="Q403">
        <f>IF(C403="",0,IFERROR(N(INDEX(Products!$I$6:$I$45,MATCH(C403,Products!$B$6:$B$45,0))),0))</f>
        <v/>
      </c>
      <c r="R403">
        <f>IF(OR(C403="",NOT(ISNUMBER(B403))),"",YEAR(B403)*100+MONTH(B403))</f>
        <v/>
      </c>
      <c r="S403">
        <f>N(G403)*Q403</f>
        <v/>
      </c>
      <c r="T403">
        <f>IF(OR(M403="",M403="Sold out",NOT(ISNUMBER(J403))),"",J403*1000+ROW())</f>
        <v/>
      </c>
    </row>
    <row r="404">
      <c r="A404" s="1" t="n"/>
      <c r="B404" s="20" t="n"/>
      <c r="C404" s="21" t="n"/>
      <c r="D404" s="22" t="n"/>
      <c r="E404" s="22" t="n"/>
      <c r="F404" s="22" t="n"/>
      <c r="G404" s="22" t="n"/>
      <c r="H404" s="23" t="n"/>
      <c r="I404" s="24">
        <f>IF(OR(C404="",NOT(ISNUMBER(B404))),"",UPPER(IF(IFERROR(IF(INDEX(Products!$C$6:$C$45,MATCH(C404,Products!$B$6:$B$45,0))="","",INDEX(Products!$C$6:$C$45,MATCH(C404,Products!$B$6:$B$45,0))),"")="",LEFT(SUBSTITUTE(C404," ",""),3),IFERROR(IF(INDEX(Products!$C$6:$C$45,MATCH(C404,Products!$B$6:$B$45,0))="","",INDEX(Products!$C$6:$C$45,MATCH(C404,Products!$B$6:$B$45,0))),"")))&amp;"-"&amp;RIGHT(YEAR(B404),2)&amp;RIGHT("0"&amp;MONTH(B404),2)&amp;RIGHT("0"&amp;DAY(B404),2)&amp;"-"&amp;COUNTIFS(C$6:C404,C404,B$6:B404,B404))</f>
        <v/>
      </c>
      <c r="J404" s="14">
        <f>IF(OR(C404="",NOT(ISNUMBER(B404)),N(P404)=0),"",B404+P404)</f>
        <v/>
      </c>
      <c r="K404" s="25">
        <f>IF(C404="","",N(D404)-N(E404)-N(F404)-N(G404))</f>
        <v/>
      </c>
      <c r="L404" s="13">
        <f>IF(OR(C404="",N(K404)&lt;=0,NOT(ISNUMBER(J404))),"",J404-TODAY())</f>
        <v/>
      </c>
      <c r="M404" s="12">
        <f>IF(C404="","",IF(N(K404)&lt;=0,"Sold out",IF(NOT(ISNUMBER(J404)),"In stock",IF(J404&lt;TODAY(),"Past its date",IF(J404-TODAY()&lt;=Settings!$C$5,"Use soon","In stock")))))</f>
        <v/>
      </c>
      <c r="N404" s="26">
        <f>IF(C404="","",N(D404)*Q404)</f>
        <v/>
      </c>
      <c r="O404" s="1" t="n"/>
      <c r="P404">
        <f>IF(C404="",0,IFERROR(N(INDEX(Products!$E$6:$E$45,MATCH(C404,Products!$B$6:$B$45,0))),0))</f>
        <v/>
      </c>
      <c r="Q404">
        <f>IF(C404="",0,IFERROR(N(INDEX(Products!$I$6:$I$45,MATCH(C404,Products!$B$6:$B$45,0))),0))</f>
        <v/>
      </c>
      <c r="R404">
        <f>IF(OR(C404="",NOT(ISNUMBER(B404))),"",YEAR(B404)*100+MONTH(B404))</f>
        <v/>
      </c>
      <c r="S404">
        <f>N(G404)*Q404</f>
        <v/>
      </c>
      <c r="T404">
        <f>IF(OR(M404="",M404="Sold out",NOT(ISNUMBER(J404))),"",J404*1000+ROW())</f>
        <v/>
      </c>
    </row>
    <row r="405">
      <c r="A405" s="1" t="n"/>
      <c r="B405" s="20" t="n"/>
      <c r="C405" s="21" t="n"/>
      <c r="D405" s="22" t="n"/>
      <c r="E405" s="22" t="n"/>
      <c r="F405" s="22" t="n"/>
      <c r="G405" s="22" t="n"/>
      <c r="H405" s="23" t="n"/>
      <c r="I405" s="24">
        <f>IF(OR(C405="",NOT(ISNUMBER(B405))),"",UPPER(IF(IFERROR(IF(INDEX(Products!$C$6:$C$45,MATCH(C405,Products!$B$6:$B$45,0))="","",INDEX(Products!$C$6:$C$45,MATCH(C405,Products!$B$6:$B$45,0))),"")="",LEFT(SUBSTITUTE(C405," ",""),3),IFERROR(IF(INDEX(Products!$C$6:$C$45,MATCH(C405,Products!$B$6:$B$45,0))="","",INDEX(Products!$C$6:$C$45,MATCH(C405,Products!$B$6:$B$45,0))),"")))&amp;"-"&amp;RIGHT(YEAR(B405),2)&amp;RIGHT("0"&amp;MONTH(B405),2)&amp;RIGHT("0"&amp;DAY(B405),2)&amp;"-"&amp;COUNTIFS(C$6:C405,C405,B$6:B405,B405))</f>
        <v/>
      </c>
      <c r="J405" s="14">
        <f>IF(OR(C405="",NOT(ISNUMBER(B405)),N(P405)=0),"",B405+P405)</f>
        <v/>
      </c>
      <c r="K405" s="25">
        <f>IF(C405="","",N(D405)-N(E405)-N(F405)-N(G405))</f>
        <v/>
      </c>
      <c r="L405" s="13">
        <f>IF(OR(C405="",N(K405)&lt;=0,NOT(ISNUMBER(J405))),"",J405-TODAY())</f>
        <v/>
      </c>
      <c r="M405" s="12">
        <f>IF(C405="","",IF(N(K405)&lt;=0,"Sold out",IF(NOT(ISNUMBER(J405)),"In stock",IF(J405&lt;TODAY(),"Past its date",IF(J405-TODAY()&lt;=Settings!$C$5,"Use soon","In stock")))))</f>
        <v/>
      </c>
      <c r="N405" s="26">
        <f>IF(C405="","",N(D405)*Q405)</f>
        <v/>
      </c>
      <c r="O405" s="1" t="n"/>
      <c r="P405">
        <f>IF(C405="",0,IFERROR(N(INDEX(Products!$E$6:$E$45,MATCH(C405,Products!$B$6:$B$45,0))),0))</f>
        <v/>
      </c>
      <c r="Q405">
        <f>IF(C405="",0,IFERROR(N(INDEX(Products!$I$6:$I$45,MATCH(C405,Products!$B$6:$B$45,0))),0))</f>
        <v/>
      </c>
      <c r="R405">
        <f>IF(OR(C405="",NOT(ISNUMBER(B405))),"",YEAR(B405)*100+MONTH(B405))</f>
        <v/>
      </c>
      <c r="S405">
        <f>N(G405)*Q405</f>
        <v/>
      </c>
      <c r="T405">
        <f>IF(OR(M405="",M405="Sold out",NOT(ISNUMBER(J405))),"",J405*1000+ROW())</f>
        <v/>
      </c>
    </row>
    <row r="406">
      <c r="A406" s="1" t="n"/>
      <c r="B406" s="20" t="n"/>
      <c r="C406" s="21" t="n"/>
      <c r="D406" s="22" t="n"/>
      <c r="E406" s="22" t="n"/>
      <c r="F406" s="22" t="n"/>
      <c r="G406" s="22" t="n"/>
      <c r="H406" s="23" t="n"/>
      <c r="I406" s="24">
        <f>IF(OR(C406="",NOT(ISNUMBER(B406))),"",UPPER(IF(IFERROR(IF(INDEX(Products!$C$6:$C$45,MATCH(C406,Products!$B$6:$B$45,0))="","",INDEX(Products!$C$6:$C$45,MATCH(C406,Products!$B$6:$B$45,0))),"")="",LEFT(SUBSTITUTE(C406," ",""),3),IFERROR(IF(INDEX(Products!$C$6:$C$45,MATCH(C406,Products!$B$6:$B$45,0))="","",INDEX(Products!$C$6:$C$45,MATCH(C406,Products!$B$6:$B$45,0))),"")))&amp;"-"&amp;RIGHT(YEAR(B406),2)&amp;RIGHT("0"&amp;MONTH(B406),2)&amp;RIGHT("0"&amp;DAY(B406),2)&amp;"-"&amp;COUNTIFS(C$6:C406,C406,B$6:B406,B406))</f>
        <v/>
      </c>
      <c r="J406" s="14">
        <f>IF(OR(C406="",NOT(ISNUMBER(B406)),N(P406)=0),"",B406+P406)</f>
        <v/>
      </c>
      <c r="K406" s="25">
        <f>IF(C406="","",N(D406)-N(E406)-N(F406)-N(G406))</f>
        <v/>
      </c>
      <c r="L406" s="13">
        <f>IF(OR(C406="",N(K406)&lt;=0,NOT(ISNUMBER(J406))),"",J406-TODAY())</f>
        <v/>
      </c>
      <c r="M406" s="12">
        <f>IF(C406="","",IF(N(K406)&lt;=0,"Sold out",IF(NOT(ISNUMBER(J406)),"In stock",IF(J406&lt;TODAY(),"Past its date",IF(J406-TODAY()&lt;=Settings!$C$5,"Use soon","In stock")))))</f>
        <v/>
      </c>
      <c r="N406" s="26">
        <f>IF(C406="","",N(D406)*Q406)</f>
        <v/>
      </c>
      <c r="O406" s="1" t="n"/>
      <c r="P406">
        <f>IF(C406="",0,IFERROR(N(INDEX(Products!$E$6:$E$45,MATCH(C406,Products!$B$6:$B$45,0))),0))</f>
        <v/>
      </c>
      <c r="Q406">
        <f>IF(C406="",0,IFERROR(N(INDEX(Products!$I$6:$I$45,MATCH(C406,Products!$B$6:$B$45,0))),0))</f>
        <v/>
      </c>
      <c r="R406">
        <f>IF(OR(C406="",NOT(ISNUMBER(B406))),"",YEAR(B406)*100+MONTH(B406))</f>
        <v/>
      </c>
      <c r="S406">
        <f>N(G406)*Q406</f>
        <v/>
      </c>
      <c r="T406">
        <f>IF(OR(M406="",M406="Sold out",NOT(ISNUMBER(J406))),"",J406*1000+ROW())</f>
        <v/>
      </c>
    </row>
    <row r="407">
      <c r="A407" s="1" t="n"/>
      <c r="B407" s="20" t="n"/>
      <c r="C407" s="21" t="n"/>
      <c r="D407" s="22" t="n"/>
      <c r="E407" s="22" t="n"/>
      <c r="F407" s="22" t="n"/>
      <c r="G407" s="22" t="n"/>
      <c r="H407" s="23" t="n"/>
      <c r="I407" s="24">
        <f>IF(OR(C407="",NOT(ISNUMBER(B407))),"",UPPER(IF(IFERROR(IF(INDEX(Products!$C$6:$C$45,MATCH(C407,Products!$B$6:$B$45,0))="","",INDEX(Products!$C$6:$C$45,MATCH(C407,Products!$B$6:$B$45,0))),"")="",LEFT(SUBSTITUTE(C407," ",""),3),IFERROR(IF(INDEX(Products!$C$6:$C$45,MATCH(C407,Products!$B$6:$B$45,0))="","",INDEX(Products!$C$6:$C$45,MATCH(C407,Products!$B$6:$B$45,0))),"")))&amp;"-"&amp;RIGHT(YEAR(B407),2)&amp;RIGHT("0"&amp;MONTH(B407),2)&amp;RIGHT("0"&amp;DAY(B407),2)&amp;"-"&amp;COUNTIFS(C$6:C407,C407,B$6:B407,B407))</f>
        <v/>
      </c>
      <c r="J407" s="14">
        <f>IF(OR(C407="",NOT(ISNUMBER(B407)),N(P407)=0),"",B407+P407)</f>
        <v/>
      </c>
      <c r="K407" s="25">
        <f>IF(C407="","",N(D407)-N(E407)-N(F407)-N(G407))</f>
        <v/>
      </c>
      <c r="L407" s="13">
        <f>IF(OR(C407="",N(K407)&lt;=0,NOT(ISNUMBER(J407))),"",J407-TODAY())</f>
        <v/>
      </c>
      <c r="M407" s="12">
        <f>IF(C407="","",IF(N(K407)&lt;=0,"Sold out",IF(NOT(ISNUMBER(J407)),"In stock",IF(J407&lt;TODAY(),"Past its date",IF(J407-TODAY()&lt;=Settings!$C$5,"Use soon","In stock")))))</f>
        <v/>
      </c>
      <c r="N407" s="26">
        <f>IF(C407="","",N(D407)*Q407)</f>
        <v/>
      </c>
      <c r="O407" s="1" t="n"/>
      <c r="P407">
        <f>IF(C407="",0,IFERROR(N(INDEX(Products!$E$6:$E$45,MATCH(C407,Products!$B$6:$B$45,0))),0))</f>
        <v/>
      </c>
      <c r="Q407">
        <f>IF(C407="",0,IFERROR(N(INDEX(Products!$I$6:$I$45,MATCH(C407,Products!$B$6:$B$45,0))),0))</f>
        <v/>
      </c>
      <c r="R407">
        <f>IF(OR(C407="",NOT(ISNUMBER(B407))),"",YEAR(B407)*100+MONTH(B407))</f>
        <v/>
      </c>
      <c r="S407">
        <f>N(G407)*Q407</f>
        <v/>
      </c>
      <c r="T407">
        <f>IF(OR(M407="",M407="Sold out",NOT(ISNUMBER(J407))),"",J407*1000+ROW())</f>
        <v/>
      </c>
    </row>
    <row r="408">
      <c r="A408" s="1" t="n"/>
      <c r="B408" s="20" t="n"/>
      <c r="C408" s="21" t="n"/>
      <c r="D408" s="22" t="n"/>
      <c r="E408" s="22" t="n"/>
      <c r="F408" s="22" t="n"/>
      <c r="G408" s="22" t="n"/>
      <c r="H408" s="23" t="n"/>
      <c r="I408" s="24">
        <f>IF(OR(C408="",NOT(ISNUMBER(B408))),"",UPPER(IF(IFERROR(IF(INDEX(Products!$C$6:$C$45,MATCH(C408,Products!$B$6:$B$45,0))="","",INDEX(Products!$C$6:$C$45,MATCH(C408,Products!$B$6:$B$45,0))),"")="",LEFT(SUBSTITUTE(C408," ",""),3),IFERROR(IF(INDEX(Products!$C$6:$C$45,MATCH(C408,Products!$B$6:$B$45,0))="","",INDEX(Products!$C$6:$C$45,MATCH(C408,Products!$B$6:$B$45,0))),"")))&amp;"-"&amp;RIGHT(YEAR(B408),2)&amp;RIGHT("0"&amp;MONTH(B408),2)&amp;RIGHT("0"&amp;DAY(B408),2)&amp;"-"&amp;COUNTIFS(C$6:C408,C408,B$6:B408,B408))</f>
        <v/>
      </c>
      <c r="J408" s="14">
        <f>IF(OR(C408="",NOT(ISNUMBER(B408)),N(P408)=0),"",B408+P408)</f>
        <v/>
      </c>
      <c r="K408" s="25">
        <f>IF(C408="","",N(D408)-N(E408)-N(F408)-N(G408))</f>
        <v/>
      </c>
      <c r="L408" s="13">
        <f>IF(OR(C408="",N(K408)&lt;=0,NOT(ISNUMBER(J408))),"",J408-TODAY())</f>
        <v/>
      </c>
      <c r="M408" s="12">
        <f>IF(C408="","",IF(N(K408)&lt;=0,"Sold out",IF(NOT(ISNUMBER(J408)),"In stock",IF(J408&lt;TODAY(),"Past its date",IF(J408-TODAY()&lt;=Settings!$C$5,"Use soon","In stock")))))</f>
        <v/>
      </c>
      <c r="N408" s="26">
        <f>IF(C408="","",N(D408)*Q408)</f>
        <v/>
      </c>
      <c r="O408" s="1" t="n"/>
      <c r="P408">
        <f>IF(C408="",0,IFERROR(N(INDEX(Products!$E$6:$E$45,MATCH(C408,Products!$B$6:$B$45,0))),0))</f>
        <v/>
      </c>
      <c r="Q408">
        <f>IF(C408="",0,IFERROR(N(INDEX(Products!$I$6:$I$45,MATCH(C408,Products!$B$6:$B$45,0))),0))</f>
        <v/>
      </c>
      <c r="R408">
        <f>IF(OR(C408="",NOT(ISNUMBER(B408))),"",YEAR(B408)*100+MONTH(B408))</f>
        <v/>
      </c>
      <c r="S408">
        <f>N(G408)*Q408</f>
        <v/>
      </c>
      <c r="T408">
        <f>IF(OR(M408="",M408="Sold out",NOT(ISNUMBER(J408))),"",J408*1000+ROW())</f>
        <v/>
      </c>
    </row>
    <row r="409">
      <c r="A409" s="1" t="n"/>
      <c r="B409" s="20" t="n"/>
      <c r="C409" s="21" t="n"/>
      <c r="D409" s="22" t="n"/>
      <c r="E409" s="22" t="n"/>
      <c r="F409" s="22" t="n"/>
      <c r="G409" s="22" t="n"/>
      <c r="H409" s="23" t="n"/>
      <c r="I409" s="24">
        <f>IF(OR(C409="",NOT(ISNUMBER(B409))),"",UPPER(IF(IFERROR(IF(INDEX(Products!$C$6:$C$45,MATCH(C409,Products!$B$6:$B$45,0))="","",INDEX(Products!$C$6:$C$45,MATCH(C409,Products!$B$6:$B$45,0))),"")="",LEFT(SUBSTITUTE(C409," ",""),3),IFERROR(IF(INDEX(Products!$C$6:$C$45,MATCH(C409,Products!$B$6:$B$45,0))="","",INDEX(Products!$C$6:$C$45,MATCH(C409,Products!$B$6:$B$45,0))),"")))&amp;"-"&amp;RIGHT(YEAR(B409),2)&amp;RIGHT("0"&amp;MONTH(B409),2)&amp;RIGHT("0"&amp;DAY(B409),2)&amp;"-"&amp;COUNTIFS(C$6:C409,C409,B$6:B409,B409))</f>
        <v/>
      </c>
      <c r="J409" s="14">
        <f>IF(OR(C409="",NOT(ISNUMBER(B409)),N(P409)=0),"",B409+P409)</f>
        <v/>
      </c>
      <c r="K409" s="25">
        <f>IF(C409="","",N(D409)-N(E409)-N(F409)-N(G409))</f>
        <v/>
      </c>
      <c r="L409" s="13">
        <f>IF(OR(C409="",N(K409)&lt;=0,NOT(ISNUMBER(J409))),"",J409-TODAY())</f>
        <v/>
      </c>
      <c r="M409" s="12">
        <f>IF(C409="","",IF(N(K409)&lt;=0,"Sold out",IF(NOT(ISNUMBER(J409)),"In stock",IF(J409&lt;TODAY(),"Past its date",IF(J409-TODAY()&lt;=Settings!$C$5,"Use soon","In stock")))))</f>
        <v/>
      </c>
      <c r="N409" s="26">
        <f>IF(C409="","",N(D409)*Q409)</f>
        <v/>
      </c>
      <c r="O409" s="1" t="n"/>
      <c r="P409">
        <f>IF(C409="",0,IFERROR(N(INDEX(Products!$E$6:$E$45,MATCH(C409,Products!$B$6:$B$45,0))),0))</f>
        <v/>
      </c>
      <c r="Q409">
        <f>IF(C409="",0,IFERROR(N(INDEX(Products!$I$6:$I$45,MATCH(C409,Products!$B$6:$B$45,0))),0))</f>
        <v/>
      </c>
      <c r="R409">
        <f>IF(OR(C409="",NOT(ISNUMBER(B409))),"",YEAR(B409)*100+MONTH(B409))</f>
        <v/>
      </c>
      <c r="S409">
        <f>N(G409)*Q409</f>
        <v/>
      </c>
      <c r="T409">
        <f>IF(OR(M409="",M409="Sold out",NOT(ISNUMBER(J409))),"",J409*1000+ROW())</f>
        <v/>
      </c>
    </row>
    <row r="410">
      <c r="A410" s="1" t="n"/>
      <c r="B410" s="20" t="n"/>
      <c r="C410" s="21" t="n"/>
      <c r="D410" s="22" t="n"/>
      <c r="E410" s="22" t="n"/>
      <c r="F410" s="22" t="n"/>
      <c r="G410" s="22" t="n"/>
      <c r="H410" s="23" t="n"/>
      <c r="I410" s="24">
        <f>IF(OR(C410="",NOT(ISNUMBER(B410))),"",UPPER(IF(IFERROR(IF(INDEX(Products!$C$6:$C$45,MATCH(C410,Products!$B$6:$B$45,0))="","",INDEX(Products!$C$6:$C$45,MATCH(C410,Products!$B$6:$B$45,0))),"")="",LEFT(SUBSTITUTE(C410," ",""),3),IFERROR(IF(INDEX(Products!$C$6:$C$45,MATCH(C410,Products!$B$6:$B$45,0))="","",INDEX(Products!$C$6:$C$45,MATCH(C410,Products!$B$6:$B$45,0))),"")))&amp;"-"&amp;RIGHT(YEAR(B410),2)&amp;RIGHT("0"&amp;MONTH(B410),2)&amp;RIGHT("0"&amp;DAY(B410),2)&amp;"-"&amp;COUNTIFS(C$6:C410,C410,B$6:B410,B410))</f>
        <v/>
      </c>
      <c r="J410" s="14">
        <f>IF(OR(C410="",NOT(ISNUMBER(B410)),N(P410)=0),"",B410+P410)</f>
        <v/>
      </c>
      <c r="K410" s="25">
        <f>IF(C410="","",N(D410)-N(E410)-N(F410)-N(G410))</f>
        <v/>
      </c>
      <c r="L410" s="13">
        <f>IF(OR(C410="",N(K410)&lt;=0,NOT(ISNUMBER(J410))),"",J410-TODAY())</f>
        <v/>
      </c>
      <c r="M410" s="12">
        <f>IF(C410="","",IF(N(K410)&lt;=0,"Sold out",IF(NOT(ISNUMBER(J410)),"In stock",IF(J410&lt;TODAY(),"Past its date",IF(J410-TODAY()&lt;=Settings!$C$5,"Use soon","In stock")))))</f>
        <v/>
      </c>
      <c r="N410" s="26">
        <f>IF(C410="","",N(D410)*Q410)</f>
        <v/>
      </c>
      <c r="O410" s="1" t="n"/>
      <c r="P410">
        <f>IF(C410="",0,IFERROR(N(INDEX(Products!$E$6:$E$45,MATCH(C410,Products!$B$6:$B$45,0))),0))</f>
        <v/>
      </c>
      <c r="Q410">
        <f>IF(C410="",0,IFERROR(N(INDEX(Products!$I$6:$I$45,MATCH(C410,Products!$B$6:$B$45,0))),0))</f>
        <v/>
      </c>
      <c r="R410">
        <f>IF(OR(C410="",NOT(ISNUMBER(B410))),"",YEAR(B410)*100+MONTH(B410))</f>
        <v/>
      </c>
      <c r="S410">
        <f>N(G410)*Q410</f>
        <v/>
      </c>
      <c r="T410">
        <f>IF(OR(M410="",M410="Sold out",NOT(ISNUMBER(J410))),"",J410*1000+ROW())</f>
        <v/>
      </c>
    </row>
    <row r="411">
      <c r="A411" s="1" t="n"/>
      <c r="B411" s="20" t="n"/>
      <c r="C411" s="21" t="n"/>
      <c r="D411" s="22" t="n"/>
      <c r="E411" s="22" t="n"/>
      <c r="F411" s="22" t="n"/>
      <c r="G411" s="22" t="n"/>
      <c r="H411" s="23" t="n"/>
      <c r="I411" s="24">
        <f>IF(OR(C411="",NOT(ISNUMBER(B411))),"",UPPER(IF(IFERROR(IF(INDEX(Products!$C$6:$C$45,MATCH(C411,Products!$B$6:$B$45,0))="","",INDEX(Products!$C$6:$C$45,MATCH(C411,Products!$B$6:$B$45,0))),"")="",LEFT(SUBSTITUTE(C411," ",""),3),IFERROR(IF(INDEX(Products!$C$6:$C$45,MATCH(C411,Products!$B$6:$B$45,0))="","",INDEX(Products!$C$6:$C$45,MATCH(C411,Products!$B$6:$B$45,0))),"")))&amp;"-"&amp;RIGHT(YEAR(B411),2)&amp;RIGHT("0"&amp;MONTH(B411),2)&amp;RIGHT("0"&amp;DAY(B411),2)&amp;"-"&amp;COUNTIFS(C$6:C411,C411,B$6:B411,B411))</f>
        <v/>
      </c>
      <c r="J411" s="14">
        <f>IF(OR(C411="",NOT(ISNUMBER(B411)),N(P411)=0),"",B411+P411)</f>
        <v/>
      </c>
      <c r="K411" s="25">
        <f>IF(C411="","",N(D411)-N(E411)-N(F411)-N(G411))</f>
        <v/>
      </c>
      <c r="L411" s="13">
        <f>IF(OR(C411="",N(K411)&lt;=0,NOT(ISNUMBER(J411))),"",J411-TODAY())</f>
        <v/>
      </c>
      <c r="M411" s="12">
        <f>IF(C411="","",IF(N(K411)&lt;=0,"Sold out",IF(NOT(ISNUMBER(J411)),"In stock",IF(J411&lt;TODAY(),"Past its date",IF(J411-TODAY()&lt;=Settings!$C$5,"Use soon","In stock")))))</f>
        <v/>
      </c>
      <c r="N411" s="26">
        <f>IF(C411="","",N(D411)*Q411)</f>
        <v/>
      </c>
      <c r="O411" s="1" t="n"/>
      <c r="P411">
        <f>IF(C411="",0,IFERROR(N(INDEX(Products!$E$6:$E$45,MATCH(C411,Products!$B$6:$B$45,0))),0))</f>
        <v/>
      </c>
      <c r="Q411">
        <f>IF(C411="",0,IFERROR(N(INDEX(Products!$I$6:$I$45,MATCH(C411,Products!$B$6:$B$45,0))),0))</f>
        <v/>
      </c>
      <c r="R411">
        <f>IF(OR(C411="",NOT(ISNUMBER(B411))),"",YEAR(B411)*100+MONTH(B411))</f>
        <v/>
      </c>
      <c r="S411">
        <f>N(G411)*Q411</f>
        <v/>
      </c>
      <c r="T411">
        <f>IF(OR(M411="",M411="Sold out",NOT(ISNUMBER(J411))),"",J411*1000+ROW())</f>
        <v/>
      </c>
    </row>
    <row r="412">
      <c r="A412" s="1" t="n"/>
      <c r="B412" s="20" t="n"/>
      <c r="C412" s="21" t="n"/>
      <c r="D412" s="22" t="n"/>
      <c r="E412" s="22" t="n"/>
      <c r="F412" s="22" t="n"/>
      <c r="G412" s="22" t="n"/>
      <c r="H412" s="23" t="n"/>
      <c r="I412" s="24">
        <f>IF(OR(C412="",NOT(ISNUMBER(B412))),"",UPPER(IF(IFERROR(IF(INDEX(Products!$C$6:$C$45,MATCH(C412,Products!$B$6:$B$45,0))="","",INDEX(Products!$C$6:$C$45,MATCH(C412,Products!$B$6:$B$45,0))),"")="",LEFT(SUBSTITUTE(C412," ",""),3),IFERROR(IF(INDEX(Products!$C$6:$C$45,MATCH(C412,Products!$B$6:$B$45,0))="","",INDEX(Products!$C$6:$C$45,MATCH(C412,Products!$B$6:$B$45,0))),"")))&amp;"-"&amp;RIGHT(YEAR(B412),2)&amp;RIGHT("0"&amp;MONTH(B412),2)&amp;RIGHT("0"&amp;DAY(B412),2)&amp;"-"&amp;COUNTIFS(C$6:C412,C412,B$6:B412,B412))</f>
        <v/>
      </c>
      <c r="J412" s="14">
        <f>IF(OR(C412="",NOT(ISNUMBER(B412)),N(P412)=0),"",B412+P412)</f>
        <v/>
      </c>
      <c r="K412" s="25">
        <f>IF(C412="","",N(D412)-N(E412)-N(F412)-N(G412))</f>
        <v/>
      </c>
      <c r="L412" s="13">
        <f>IF(OR(C412="",N(K412)&lt;=0,NOT(ISNUMBER(J412))),"",J412-TODAY())</f>
        <v/>
      </c>
      <c r="M412" s="12">
        <f>IF(C412="","",IF(N(K412)&lt;=0,"Sold out",IF(NOT(ISNUMBER(J412)),"In stock",IF(J412&lt;TODAY(),"Past its date",IF(J412-TODAY()&lt;=Settings!$C$5,"Use soon","In stock")))))</f>
        <v/>
      </c>
      <c r="N412" s="26">
        <f>IF(C412="","",N(D412)*Q412)</f>
        <v/>
      </c>
      <c r="O412" s="1" t="n"/>
      <c r="P412">
        <f>IF(C412="",0,IFERROR(N(INDEX(Products!$E$6:$E$45,MATCH(C412,Products!$B$6:$B$45,0))),0))</f>
        <v/>
      </c>
      <c r="Q412">
        <f>IF(C412="",0,IFERROR(N(INDEX(Products!$I$6:$I$45,MATCH(C412,Products!$B$6:$B$45,0))),0))</f>
        <v/>
      </c>
      <c r="R412">
        <f>IF(OR(C412="",NOT(ISNUMBER(B412))),"",YEAR(B412)*100+MONTH(B412))</f>
        <v/>
      </c>
      <c r="S412">
        <f>N(G412)*Q412</f>
        <v/>
      </c>
      <c r="T412">
        <f>IF(OR(M412="",M412="Sold out",NOT(ISNUMBER(J412))),"",J412*1000+ROW())</f>
        <v/>
      </c>
    </row>
    <row r="413">
      <c r="A413" s="1" t="n"/>
      <c r="B413" s="20" t="n"/>
      <c r="C413" s="21" t="n"/>
      <c r="D413" s="22" t="n"/>
      <c r="E413" s="22" t="n"/>
      <c r="F413" s="22" t="n"/>
      <c r="G413" s="22" t="n"/>
      <c r="H413" s="23" t="n"/>
      <c r="I413" s="24">
        <f>IF(OR(C413="",NOT(ISNUMBER(B413))),"",UPPER(IF(IFERROR(IF(INDEX(Products!$C$6:$C$45,MATCH(C413,Products!$B$6:$B$45,0))="","",INDEX(Products!$C$6:$C$45,MATCH(C413,Products!$B$6:$B$45,0))),"")="",LEFT(SUBSTITUTE(C413," ",""),3),IFERROR(IF(INDEX(Products!$C$6:$C$45,MATCH(C413,Products!$B$6:$B$45,0))="","",INDEX(Products!$C$6:$C$45,MATCH(C413,Products!$B$6:$B$45,0))),"")))&amp;"-"&amp;RIGHT(YEAR(B413),2)&amp;RIGHT("0"&amp;MONTH(B413),2)&amp;RIGHT("0"&amp;DAY(B413),2)&amp;"-"&amp;COUNTIFS(C$6:C413,C413,B$6:B413,B413))</f>
        <v/>
      </c>
      <c r="J413" s="14">
        <f>IF(OR(C413="",NOT(ISNUMBER(B413)),N(P413)=0),"",B413+P413)</f>
        <v/>
      </c>
      <c r="K413" s="25">
        <f>IF(C413="","",N(D413)-N(E413)-N(F413)-N(G413))</f>
        <v/>
      </c>
      <c r="L413" s="13">
        <f>IF(OR(C413="",N(K413)&lt;=0,NOT(ISNUMBER(J413))),"",J413-TODAY())</f>
        <v/>
      </c>
      <c r="M413" s="12">
        <f>IF(C413="","",IF(N(K413)&lt;=0,"Sold out",IF(NOT(ISNUMBER(J413)),"In stock",IF(J413&lt;TODAY(),"Past its date",IF(J413-TODAY()&lt;=Settings!$C$5,"Use soon","In stock")))))</f>
        <v/>
      </c>
      <c r="N413" s="26">
        <f>IF(C413="","",N(D413)*Q413)</f>
        <v/>
      </c>
      <c r="O413" s="1" t="n"/>
      <c r="P413">
        <f>IF(C413="",0,IFERROR(N(INDEX(Products!$E$6:$E$45,MATCH(C413,Products!$B$6:$B$45,0))),0))</f>
        <v/>
      </c>
      <c r="Q413">
        <f>IF(C413="",0,IFERROR(N(INDEX(Products!$I$6:$I$45,MATCH(C413,Products!$B$6:$B$45,0))),0))</f>
        <v/>
      </c>
      <c r="R413">
        <f>IF(OR(C413="",NOT(ISNUMBER(B413))),"",YEAR(B413)*100+MONTH(B413))</f>
        <v/>
      </c>
      <c r="S413">
        <f>N(G413)*Q413</f>
        <v/>
      </c>
      <c r="T413">
        <f>IF(OR(M413="",M413="Sold out",NOT(ISNUMBER(J413))),"",J413*1000+ROW())</f>
        <v/>
      </c>
    </row>
    <row r="414">
      <c r="A414" s="1" t="n"/>
      <c r="B414" s="20" t="n"/>
      <c r="C414" s="21" t="n"/>
      <c r="D414" s="22" t="n"/>
      <c r="E414" s="22" t="n"/>
      <c r="F414" s="22" t="n"/>
      <c r="G414" s="22" t="n"/>
      <c r="H414" s="23" t="n"/>
      <c r="I414" s="24">
        <f>IF(OR(C414="",NOT(ISNUMBER(B414))),"",UPPER(IF(IFERROR(IF(INDEX(Products!$C$6:$C$45,MATCH(C414,Products!$B$6:$B$45,0))="","",INDEX(Products!$C$6:$C$45,MATCH(C414,Products!$B$6:$B$45,0))),"")="",LEFT(SUBSTITUTE(C414," ",""),3),IFERROR(IF(INDEX(Products!$C$6:$C$45,MATCH(C414,Products!$B$6:$B$45,0))="","",INDEX(Products!$C$6:$C$45,MATCH(C414,Products!$B$6:$B$45,0))),"")))&amp;"-"&amp;RIGHT(YEAR(B414),2)&amp;RIGHT("0"&amp;MONTH(B414),2)&amp;RIGHT("0"&amp;DAY(B414),2)&amp;"-"&amp;COUNTIFS(C$6:C414,C414,B$6:B414,B414))</f>
        <v/>
      </c>
      <c r="J414" s="14">
        <f>IF(OR(C414="",NOT(ISNUMBER(B414)),N(P414)=0),"",B414+P414)</f>
        <v/>
      </c>
      <c r="K414" s="25">
        <f>IF(C414="","",N(D414)-N(E414)-N(F414)-N(G414))</f>
        <v/>
      </c>
      <c r="L414" s="13">
        <f>IF(OR(C414="",N(K414)&lt;=0,NOT(ISNUMBER(J414))),"",J414-TODAY())</f>
        <v/>
      </c>
      <c r="M414" s="12">
        <f>IF(C414="","",IF(N(K414)&lt;=0,"Sold out",IF(NOT(ISNUMBER(J414)),"In stock",IF(J414&lt;TODAY(),"Past its date",IF(J414-TODAY()&lt;=Settings!$C$5,"Use soon","In stock")))))</f>
        <v/>
      </c>
      <c r="N414" s="26">
        <f>IF(C414="","",N(D414)*Q414)</f>
        <v/>
      </c>
      <c r="O414" s="1" t="n"/>
      <c r="P414">
        <f>IF(C414="",0,IFERROR(N(INDEX(Products!$E$6:$E$45,MATCH(C414,Products!$B$6:$B$45,0))),0))</f>
        <v/>
      </c>
      <c r="Q414">
        <f>IF(C414="",0,IFERROR(N(INDEX(Products!$I$6:$I$45,MATCH(C414,Products!$B$6:$B$45,0))),0))</f>
        <v/>
      </c>
      <c r="R414">
        <f>IF(OR(C414="",NOT(ISNUMBER(B414))),"",YEAR(B414)*100+MONTH(B414))</f>
        <v/>
      </c>
      <c r="S414">
        <f>N(G414)*Q414</f>
        <v/>
      </c>
      <c r="T414">
        <f>IF(OR(M414="",M414="Sold out",NOT(ISNUMBER(J414))),"",J414*1000+ROW())</f>
        <v/>
      </c>
    </row>
    <row r="415">
      <c r="A415" s="1" t="n"/>
      <c r="B415" s="20" t="n"/>
      <c r="C415" s="21" t="n"/>
      <c r="D415" s="22" t="n"/>
      <c r="E415" s="22" t="n"/>
      <c r="F415" s="22" t="n"/>
      <c r="G415" s="22" t="n"/>
      <c r="H415" s="23" t="n"/>
      <c r="I415" s="24">
        <f>IF(OR(C415="",NOT(ISNUMBER(B415))),"",UPPER(IF(IFERROR(IF(INDEX(Products!$C$6:$C$45,MATCH(C415,Products!$B$6:$B$45,0))="","",INDEX(Products!$C$6:$C$45,MATCH(C415,Products!$B$6:$B$45,0))),"")="",LEFT(SUBSTITUTE(C415," ",""),3),IFERROR(IF(INDEX(Products!$C$6:$C$45,MATCH(C415,Products!$B$6:$B$45,0))="","",INDEX(Products!$C$6:$C$45,MATCH(C415,Products!$B$6:$B$45,0))),"")))&amp;"-"&amp;RIGHT(YEAR(B415),2)&amp;RIGHT("0"&amp;MONTH(B415),2)&amp;RIGHT("0"&amp;DAY(B415),2)&amp;"-"&amp;COUNTIFS(C$6:C415,C415,B$6:B415,B415))</f>
        <v/>
      </c>
      <c r="J415" s="14">
        <f>IF(OR(C415="",NOT(ISNUMBER(B415)),N(P415)=0),"",B415+P415)</f>
        <v/>
      </c>
      <c r="K415" s="25">
        <f>IF(C415="","",N(D415)-N(E415)-N(F415)-N(G415))</f>
        <v/>
      </c>
      <c r="L415" s="13">
        <f>IF(OR(C415="",N(K415)&lt;=0,NOT(ISNUMBER(J415))),"",J415-TODAY())</f>
        <v/>
      </c>
      <c r="M415" s="12">
        <f>IF(C415="","",IF(N(K415)&lt;=0,"Sold out",IF(NOT(ISNUMBER(J415)),"In stock",IF(J415&lt;TODAY(),"Past its date",IF(J415-TODAY()&lt;=Settings!$C$5,"Use soon","In stock")))))</f>
        <v/>
      </c>
      <c r="N415" s="26">
        <f>IF(C415="","",N(D415)*Q415)</f>
        <v/>
      </c>
      <c r="O415" s="1" t="n"/>
      <c r="P415">
        <f>IF(C415="",0,IFERROR(N(INDEX(Products!$E$6:$E$45,MATCH(C415,Products!$B$6:$B$45,0))),0))</f>
        <v/>
      </c>
      <c r="Q415">
        <f>IF(C415="",0,IFERROR(N(INDEX(Products!$I$6:$I$45,MATCH(C415,Products!$B$6:$B$45,0))),0))</f>
        <v/>
      </c>
      <c r="R415">
        <f>IF(OR(C415="",NOT(ISNUMBER(B415))),"",YEAR(B415)*100+MONTH(B415))</f>
        <v/>
      </c>
      <c r="S415">
        <f>N(G415)*Q415</f>
        <v/>
      </c>
      <c r="T415">
        <f>IF(OR(M415="",M415="Sold out",NOT(ISNUMBER(J415))),"",J415*1000+ROW())</f>
        <v/>
      </c>
    </row>
    <row r="416">
      <c r="A416" s="1" t="n"/>
      <c r="B416" s="20" t="n"/>
      <c r="C416" s="21" t="n"/>
      <c r="D416" s="22" t="n"/>
      <c r="E416" s="22" t="n"/>
      <c r="F416" s="22" t="n"/>
      <c r="G416" s="22" t="n"/>
      <c r="H416" s="23" t="n"/>
      <c r="I416" s="24">
        <f>IF(OR(C416="",NOT(ISNUMBER(B416))),"",UPPER(IF(IFERROR(IF(INDEX(Products!$C$6:$C$45,MATCH(C416,Products!$B$6:$B$45,0))="","",INDEX(Products!$C$6:$C$45,MATCH(C416,Products!$B$6:$B$45,0))),"")="",LEFT(SUBSTITUTE(C416," ",""),3),IFERROR(IF(INDEX(Products!$C$6:$C$45,MATCH(C416,Products!$B$6:$B$45,0))="","",INDEX(Products!$C$6:$C$45,MATCH(C416,Products!$B$6:$B$45,0))),"")))&amp;"-"&amp;RIGHT(YEAR(B416),2)&amp;RIGHT("0"&amp;MONTH(B416),2)&amp;RIGHT("0"&amp;DAY(B416),2)&amp;"-"&amp;COUNTIFS(C$6:C416,C416,B$6:B416,B416))</f>
        <v/>
      </c>
      <c r="J416" s="14">
        <f>IF(OR(C416="",NOT(ISNUMBER(B416)),N(P416)=0),"",B416+P416)</f>
        <v/>
      </c>
      <c r="K416" s="25">
        <f>IF(C416="","",N(D416)-N(E416)-N(F416)-N(G416))</f>
        <v/>
      </c>
      <c r="L416" s="13">
        <f>IF(OR(C416="",N(K416)&lt;=0,NOT(ISNUMBER(J416))),"",J416-TODAY())</f>
        <v/>
      </c>
      <c r="M416" s="12">
        <f>IF(C416="","",IF(N(K416)&lt;=0,"Sold out",IF(NOT(ISNUMBER(J416)),"In stock",IF(J416&lt;TODAY(),"Past its date",IF(J416-TODAY()&lt;=Settings!$C$5,"Use soon","In stock")))))</f>
        <v/>
      </c>
      <c r="N416" s="26">
        <f>IF(C416="","",N(D416)*Q416)</f>
        <v/>
      </c>
      <c r="O416" s="1" t="n"/>
      <c r="P416">
        <f>IF(C416="",0,IFERROR(N(INDEX(Products!$E$6:$E$45,MATCH(C416,Products!$B$6:$B$45,0))),0))</f>
        <v/>
      </c>
      <c r="Q416">
        <f>IF(C416="",0,IFERROR(N(INDEX(Products!$I$6:$I$45,MATCH(C416,Products!$B$6:$B$45,0))),0))</f>
        <v/>
      </c>
      <c r="R416">
        <f>IF(OR(C416="",NOT(ISNUMBER(B416))),"",YEAR(B416)*100+MONTH(B416))</f>
        <v/>
      </c>
      <c r="S416">
        <f>N(G416)*Q416</f>
        <v/>
      </c>
      <c r="T416">
        <f>IF(OR(M416="",M416="Sold out",NOT(ISNUMBER(J416))),"",J416*1000+ROW())</f>
        <v/>
      </c>
    </row>
    <row r="417">
      <c r="A417" s="1" t="n"/>
      <c r="B417" s="20" t="n"/>
      <c r="C417" s="21" t="n"/>
      <c r="D417" s="22" t="n"/>
      <c r="E417" s="22" t="n"/>
      <c r="F417" s="22" t="n"/>
      <c r="G417" s="22" t="n"/>
      <c r="H417" s="23" t="n"/>
      <c r="I417" s="24">
        <f>IF(OR(C417="",NOT(ISNUMBER(B417))),"",UPPER(IF(IFERROR(IF(INDEX(Products!$C$6:$C$45,MATCH(C417,Products!$B$6:$B$45,0))="","",INDEX(Products!$C$6:$C$45,MATCH(C417,Products!$B$6:$B$45,0))),"")="",LEFT(SUBSTITUTE(C417," ",""),3),IFERROR(IF(INDEX(Products!$C$6:$C$45,MATCH(C417,Products!$B$6:$B$45,0))="","",INDEX(Products!$C$6:$C$45,MATCH(C417,Products!$B$6:$B$45,0))),"")))&amp;"-"&amp;RIGHT(YEAR(B417),2)&amp;RIGHT("0"&amp;MONTH(B417),2)&amp;RIGHT("0"&amp;DAY(B417),2)&amp;"-"&amp;COUNTIFS(C$6:C417,C417,B$6:B417,B417))</f>
        <v/>
      </c>
      <c r="J417" s="14">
        <f>IF(OR(C417="",NOT(ISNUMBER(B417)),N(P417)=0),"",B417+P417)</f>
        <v/>
      </c>
      <c r="K417" s="25">
        <f>IF(C417="","",N(D417)-N(E417)-N(F417)-N(G417))</f>
        <v/>
      </c>
      <c r="L417" s="13">
        <f>IF(OR(C417="",N(K417)&lt;=0,NOT(ISNUMBER(J417))),"",J417-TODAY())</f>
        <v/>
      </c>
      <c r="M417" s="12">
        <f>IF(C417="","",IF(N(K417)&lt;=0,"Sold out",IF(NOT(ISNUMBER(J417)),"In stock",IF(J417&lt;TODAY(),"Past its date",IF(J417-TODAY()&lt;=Settings!$C$5,"Use soon","In stock")))))</f>
        <v/>
      </c>
      <c r="N417" s="26">
        <f>IF(C417="","",N(D417)*Q417)</f>
        <v/>
      </c>
      <c r="O417" s="1" t="n"/>
      <c r="P417">
        <f>IF(C417="",0,IFERROR(N(INDEX(Products!$E$6:$E$45,MATCH(C417,Products!$B$6:$B$45,0))),0))</f>
        <v/>
      </c>
      <c r="Q417">
        <f>IF(C417="",0,IFERROR(N(INDEX(Products!$I$6:$I$45,MATCH(C417,Products!$B$6:$B$45,0))),0))</f>
        <v/>
      </c>
      <c r="R417">
        <f>IF(OR(C417="",NOT(ISNUMBER(B417))),"",YEAR(B417)*100+MONTH(B417))</f>
        <v/>
      </c>
      <c r="S417">
        <f>N(G417)*Q417</f>
        <v/>
      </c>
      <c r="T417">
        <f>IF(OR(M417="",M417="Sold out",NOT(ISNUMBER(J417))),"",J417*1000+ROW())</f>
        <v/>
      </c>
    </row>
    <row r="418">
      <c r="A418" s="1" t="n"/>
      <c r="B418" s="20" t="n"/>
      <c r="C418" s="21" t="n"/>
      <c r="D418" s="22" t="n"/>
      <c r="E418" s="22" t="n"/>
      <c r="F418" s="22" t="n"/>
      <c r="G418" s="22" t="n"/>
      <c r="H418" s="23" t="n"/>
      <c r="I418" s="24">
        <f>IF(OR(C418="",NOT(ISNUMBER(B418))),"",UPPER(IF(IFERROR(IF(INDEX(Products!$C$6:$C$45,MATCH(C418,Products!$B$6:$B$45,0))="","",INDEX(Products!$C$6:$C$45,MATCH(C418,Products!$B$6:$B$45,0))),"")="",LEFT(SUBSTITUTE(C418," ",""),3),IFERROR(IF(INDEX(Products!$C$6:$C$45,MATCH(C418,Products!$B$6:$B$45,0))="","",INDEX(Products!$C$6:$C$45,MATCH(C418,Products!$B$6:$B$45,0))),"")))&amp;"-"&amp;RIGHT(YEAR(B418),2)&amp;RIGHT("0"&amp;MONTH(B418),2)&amp;RIGHT("0"&amp;DAY(B418),2)&amp;"-"&amp;COUNTIFS(C$6:C418,C418,B$6:B418,B418))</f>
        <v/>
      </c>
      <c r="J418" s="14">
        <f>IF(OR(C418="",NOT(ISNUMBER(B418)),N(P418)=0),"",B418+P418)</f>
        <v/>
      </c>
      <c r="K418" s="25">
        <f>IF(C418="","",N(D418)-N(E418)-N(F418)-N(G418))</f>
        <v/>
      </c>
      <c r="L418" s="13">
        <f>IF(OR(C418="",N(K418)&lt;=0,NOT(ISNUMBER(J418))),"",J418-TODAY())</f>
        <v/>
      </c>
      <c r="M418" s="12">
        <f>IF(C418="","",IF(N(K418)&lt;=0,"Sold out",IF(NOT(ISNUMBER(J418)),"In stock",IF(J418&lt;TODAY(),"Past its date",IF(J418-TODAY()&lt;=Settings!$C$5,"Use soon","In stock")))))</f>
        <v/>
      </c>
      <c r="N418" s="26">
        <f>IF(C418="","",N(D418)*Q418)</f>
        <v/>
      </c>
      <c r="O418" s="1" t="n"/>
      <c r="P418">
        <f>IF(C418="",0,IFERROR(N(INDEX(Products!$E$6:$E$45,MATCH(C418,Products!$B$6:$B$45,0))),0))</f>
        <v/>
      </c>
      <c r="Q418">
        <f>IF(C418="",0,IFERROR(N(INDEX(Products!$I$6:$I$45,MATCH(C418,Products!$B$6:$B$45,0))),0))</f>
        <v/>
      </c>
      <c r="R418">
        <f>IF(OR(C418="",NOT(ISNUMBER(B418))),"",YEAR(B418)*100+MONTH(B418))</f>
        <v/>
      </c>
      <c r="S418">
        <f>N(G418)*Q418</f>
        <v/>
      </c>
      <c r="T418">
        <f>IF(OR(M418="",M418="Sold out",NOT(ISNUMBER(J418))),"",J418*1000+ROW())</f>
        <v/>
      </c>
    </row>
    <row r="419">
      <c r="A419" s="1" t="n"/>
      <c r="B419" s="20" t="n"/>
      <c r="C419" s="21" t="n"/>
      <c r="D419" s="22" t="n"/>
      <c r="E419" s="22" t="n"/>
      <c r="F419" s="22" t="n"/>
      <c r="G419" s="22" t="n"/>
      <c r="H419" s="23" t="n"/>
      <c r="I419" s="24">
        <f>IF(OR(C419="",NOT(ISNUMBER(B419))),"",UPPER(IF(IFERROR(IF(INDEX(Products!$C$6:$C$45,MATCH(C419,Products!$B$6:$B$45,0))="","",INDEX(Products!$C$6:$C$45,MATCH(C419,Products!$B$6:$B$45,0))),"")="",LEFT(SUBSTITUTE(C419," ",""),3),IFERROR(IF(INDEX(Products!$C$6:$C$45,MATCH(C419,Products!$B$6:$B$45,0))="","",INDEX(Products!$C$6:$C$45,MATCH(C419,Products!$B$6:$B$45,0))),"")))&amp;"-"&amp;RIGHT(YEAR(B419),2)&amp;RIGHT("0"&amp;MONTH(B419),2)&amp;RIGHT("0"&amp;DAY(B419),2)&amp;"-"&amp;COUNTIFS(C$6:C419,C419,B$6:B419,B419))</f>
        <v/>
      </c>
      <c r="J419" s="14">
        <f>IF(OR(C419="",NOT(ISNUMBER(B419)),N(P419)=0),"",B419+P419)</f>
        <v/>
      </c>
      <c r="K419" s="25">
        <f>IF(C419="","",N(D419)-N(E419)-N(F419)-N(G419))</f>
        <v/>
      </c>
      <c r="L419" s="13">
        <f>IF(OR(C419="",N(K419)&lt;=0,NOT(ISNUMBER(J419))),"",J419-TODAY())</f>
        <v/>
      </c>
      <c r="M419" s="12">
        <f>IF(C419="","",IF(N(K419)&lt;=0,"Sold out",IF(NOT(ISNUMBER(J419)),"In stock",IF(J419&lt;TODAY(),"Past its date",IF(J419-TODAY()&lt;=Settings!$C$5,"Use soon","In stock")))))</f>
        <v/>
      </c>
      <c r="N419" s="26">
        <f>IF(C419="","",N(D419)*Q419)</f>
        <v/>
      </c>
      <c r="O419" s="1" t="n"/>
      <c r="P419">
        <f>IF(C419="",0,IFERROR(N(INDEX(Products!$E$6:$E$45,MATCH(C419,Products!$B$6:$B$45,0))),0))</f>
        <v/>
      </c>
      <c r="Q419">
        <f>IF(C419="",0,IFERROR(N(INDEX(Products!$I$6:$I$45,MATCH(C419,Products!$B$6:$B$45,0))),0))</f>
        <v/>
      </c>
      <c r="R419">
        <f>IF(OR(C419="",NOT(ISNUMBER(B419))),"",YEAR(B419)*100+MONTH(B419))</f>
        <v/>
      </c>
      <c r="S419">
        <f>N(G419)*Q419</f>
        <v/>
      </c>
      <c r="T419">
        <f>IF(OR(M419="",M419="Sold out",NOT(ISNUMBER(J419))),"",J419*1000+ROW())</f>
        <v/>
      </c>
    </row>
    <row r="420">
      <c r="A420" s="1" t="n"/>
      <c r="B420" s="20" t="n"/>
      <c r="C420" s="21" t="n"/>
      <c r="D420" s="22" t="n"/>
      <c r="E420" s="22" t="n"/>
      <c r="F420" s="22" t="n"/>
      <c r="G420" s="22" t="n"/>
      <c r="H420" s="23" t="n"/>
      <c r="I420" s="24">
        <f>IF(OR(C420="",NOT(ISNUMBER(B420))),"",UPPER(IF(IFERROR(IF(INDEX(Products!$C$6:$C$45,MATCH(C420,Products!$B$6:$B$45,0))="","",INDEX(Products!$C$6:$C$45,MATCH(C420,Products!$B$6:$B$45,0))),"")="",LEFT(SUBSTITUTE(C420," ",""),3),IFERROR(IF(INDEX(Products!$C$6:$C$45,MATCH(C420,Products!$B$6:$B$45,0))="","",INDEX(Products!$C$6:$C$45,MATCH(C420,Products!$B$6:$B$45,0))),"")))&amp;"-"&amp;RIGHT(YEAR(B420),2)&amp;RIGHT("0"&amp;MONTH(B420),2)&amp;RIGHT("0"&amp;DAY(B420),2)&amp;"-"&amp;COUNTIFS(C$6:C420,C420,B$6:B420,B420))</f>
        <v/>
      </c>
      <c r="J420" s="14">
        <f>IF(OR(C420="",NOT(ISNUMBER(B420)),N(P420)=0),"",B420+P420)</f>
        <v/>
      </c>
      <c r="K420" s="25">
        <f>IF(C420="","",N(D420)-N(E420)-N(F420)-N(G420))</f>
        <v/>
      </c>
      <c r="L420" s="13">
        <f>IF(OR(C420="",N(K420)&lt;=0,NOT(ISNUMBER(J420))),"",J420-TODAY())</f>
        <v/>
      </c>
      <c r="M420" s="12">
        <f>IF(C420="","",IF(N(K420)&lt;=0,"Sold out",IF(NOT(ISNUMBER(J420)),"In stock",IF(J420&lt;TODAY(),"Past its date",IF(J420-TODAY()&lt;=Settings!$C$5,"Use soon","In stock")))))</f>
        <v/>
      </c>
      <c r="N420" s="26">
        <f>IF(C420="","",N(D420)*Q420)</f>
        <v/>
      </c>
      <c r="O420" s="1" t="n"/>
      <c r="P420">
        <f>IF(C420="",0,IFERROR(N(INDEX(Products!$E$6:$E$45,MATCH(C420,Products!$B$6:$B$45,0))),0))</f>
        <v/>
      </c>
      <c r="Q420">
        <f>IF(C420="",0,IFERROR(N(INDEX(Products!$I$6:$I$45,MATCH(C420,Products!$B$6:$B$45,0))),0))</f>
        <v/>
      </c>
      <c r="R420">
        <f>IF(OR(C420="",NOT(ISNUMBER(B420))),"",YEAR(B420)*100+MONTH(B420))</f>
        <v/>
      </c>
      <c r="S420">
        <f>N(G420)*Q420</f>
        <v/>
      </c>
      <c r="T420">
        <f>IF(OR(M420="",M420="Sold out",NOT(ISNUMBER(J420))),"",J420*1000+ROW())</f>
        <v/>
      </c>
    </row>
    <row r="421">
      <c r="A421" s="1" t="n"/>
      <c r="B421" s="20" t="n"/>
      <c r="C421" s="21" t="n"/>
      <c r="D421" s="22" t="n"/>
      <c r="E421" s="22" t="n"/>
      <c r="F421" s="22" t="n"/>
      <c r="G421" s="22" t="n"/>
      <c r="H421" s="23" t="n"/>
      <c r="I421" s="24">
        <f>IF(OR(C421="",NOT(ISNUMBER(B421))),"",UPPER(IF(IFERROR(IF(INDEX(Products!$C$6:$C$45,MATCH(C421,Products!$B$6:$B$45,0))="","",INDEX(Products!$C$6:$C$45,MATCH(C421,Products!$B$6:$B$45,0))),"")="",LEFT(SUBSTITUTE(C421," ",""),3),IFERROR(IF(INDEX(Products!$C$6:$C$45,MATCH(C421,Products!$B$6:$B$45,0))="","",INDEX(Products!$C$6:$C$45,MATCH(C421,Products!$B$6:$B$45,0))),"")))&amp;"-"&amp;RIGHT(YEAR(B421),2)&amp;RIGHT("0"&amp;MONTH(B421),2)&amp;RIGHT("0"&amp;DAY(B421),2)&amp;"-"&amp;COUNTIFS(C$6:C421,C421,B$6:B421,B421))</f>
        <v/>
      </c>
      <c r="J421" s="14">
        <f>IF(OR(C421="",NOT(ISNUMBER(B421)),N(P421)=0),"",B421+P421)</f>
        <v/>
      </c>
      <c r="K421" s="25">
        <f>IF(C421="","",N(D421)-N(E421)-N(F421)-N(G421))</f>
        <v/>
      </c>
      <c r="L421" s="13">
        <f>IF(OR(C421="",N(K421)&lt;=0,NOT(ISNUMBER(J421))),"",J421-TODAY())</f>
        <v/>
      </c>
      <c r="M421" s="12">
        <f>IF(C421="","",IF(N(K421)&lt;=0,"Sold out",IF(NOT(ISNUMBER(J421)),"In stock",IF(J421&lt;TODAY(),"Past its date",IF(J421-TODAY()&lt;=Settings!$C$5,"Use soon","In stock")))))</f>
        <v/>
      </c>
      <c r="N421" s="26">
        <f>IF(C421="","",N(D421)*Q421)</f>
        <v/>
      </c>
      <c r="O421" s="1" t="n"/>
      <c r="P421">
        <f>IF(C421="",0,IFERROR(N(INDEX(Products!$E$6:$E$45,MATCH(C421,Products!$B$6:$B$45,0))),0))</f>
        <v/>
      </c>
      <c r="Q421">
        <f>IF(C421="",0,IFERROR(N(INDEX(Products!$I$6:$I$45,MATCH(C421,Products!$B$6:$B$45,0))),0))</f>
        <v/>
      </c>
      <c r="R421">
        <f>IF(OR(C421="",NOT(ISNUMBER(B421))),"",YEAR(B421)*100+MONTH(B421))</f>
        <v/>
      </c>
      <c r="S421">
        <f>N(G421)*Q421</f>
        <v/>
      </c>
      <c r="T421">
        <f>IF(OR(M421="",M421="Sold out",NOT(ISNUMBER(J421))),"",J421*1000+ROW())</f>
        <v/>
      </c>
    </row>
    <row r="422">
      <c r="A422" s="1" t="n"/>
      <c r="B422" s="20" t="n"/>
      <c r="C422" s="21" t="n"/>
      <c r="D422" s="22" t="n"/>
      <c r="E422" s="22" t="n"/>
      <c r="F422" s="22" t="n"/>
      <c r="G422" s="22" t="n"/>
      <c r="H422" s="23" t="n"/>
      <c r="I422" s="24">
        <f>IF(OR(C422="",NOT(ISNUMBER(B422))),"",UPPER(IF(IFERROR(IF(INDEX(Products!$C$6:$C$45,MATCH(C422,Products!$B$6:$B$45,0))="","",INDEX(Products!$C$6:$C$45,MATCH(C422,Products!$B$6:$B$45,0))),"")="",LEFT(SUBSTITUTE(C422," ",""),3),IFERROR(IF(INDEX(Products!$C$6:$C$45,MATCH(C422,Products!$B$6:$B$45,0))="","",INDEX(Products!$C$6:$C$45,MATCH(C422,Products!$B$6:$B$45,0))),"")))&amp;"-"&amp;RIGHT(YEAR(B422),2)&amp;RIGHT("0"&amp;MONTH(B422),2)&amp;RIGHT("0"&amp;DAY(B422),2)&amp;"-"&amp;COUNTIFS(C$6:C422,C422,B$6:B422,B422))</f>
        <v/>
      </c>
      <c r="J422" s="14">
        <f>IF(OR(C422="",NOT(ISNUMBER(B422)),N(P422)=0),"",B422+P422)</f>
        <v/>
      </c>
      <c r="K422" s="25">
        <f>IF(C422="","",N(D422)-N(E422)-N(F422)-N(G422))</f>
        <v/>
      </c>
      <c r="L422" s="13">
        <f>IF(OR(C422="",N(K422)&lt;=0,NOT(ISNUMBER(J422))),"",J422-TODAY())</f>
        <v/>
      </c>
      <c r="M422" s="12">
        <f>IF(C422="","",IF(N(K422)&lt;=0,"Sold out",IF(NOT(ISNUMBER(J422)),"In stock",IF(J422&lt;TODAY(),"Past its date",IF(J422-TODAY()&lt;=Settings!$C$5,"Use soon","In stock")))))</f>
        <v/>
      </c>
      <c r="N422" s="26">
        <f>IF(C422="","",N(D422)*Q422)</f>
        <v/>
      </c>
      <c r="O422" s="1" t="n"/>
      <c r="P422">
        <f>IF(C422="",0,IFERROR(N(INDEX(Products!$E$6:$E$45,MATCH(C422,Products!$B$6:$B$45,0))),0))</f>
        <v/>
      </c>
      <c r="Q422">
        <f>IF(C422="",0,IFERROR(N(INDEX(Products!$I$6:$I$45,MATCH(C422,Products!$B$6:$B$45,0))),0))</f>
        <v/>
      </c>
      <c r="R422">
        <f>IF(OR(C422="",NOT(ISNUMBER(B422))),"",YEAR(B422)*100+MONTH(B422))</f>
        <v/>
      </c>
      <c r="S422">
        <f>N(G422)*Q422</f>
        <v/>
      </c>
      <c r="T422">
        <f>IF(OR(M422="",M422="Sold out",NOT(ISNUMBER(J422))),"",J422*1000+ROW())</f>
        <v/>
      </c>
    </row>
    <row r="423">
      <c r="A423" s="1" t="n"/>
      <c r="B423" s="20" t="n"/>
      <c r="C423" s="21" t="n"/>
      <c r="D423" s="22" t="n"/>
      <c r="E423" s="22" t="n"/>
      <c r="F423" s="22" t="n"/>
      <c r="G423" s="22" t="n"/>
      <c r="H423" s="23" t="n"/>
      <c r="I423" s="24">
        <f>IF(OR(C423="",NOT(ISNUMBER(B423))),"",UPPER(IF(IFERROR(IF(INDEX(Products!$C$6:$C$45,MATCH(C423,Products!$B$6:$B$45,0))="","",INDEX(Products!$C$6:$C$45,MATCH(C423,Products!$B$6:$B$45,0))),"")="",LEFT(SUBSTITUTE(C423," ",""),3),IFERROR(IF(INDEX(Products!$C$6:$C$45,MATCH(C423,Products!$B$6:$B$45,0))="","",INDEX(Products!$C$6:$C$45,MATCH(C423,Products!$B$6:$B$45,0))),"")))&amp;"-"&amp;RIGHT(YEAR(B423),2)&amp;RIGHT("0"&amp;MONTH(B423),2)&amp;RIGHT("0"&amp;DAY(B423),2)&amp;"-"&amp;COUNTIFS(C$6:C423,C423,B$6:B423,B423))</f>
        <v/>
      </c>
      <c r="J423" s="14">
        <f>IF(OR(C423="",NOT(ISNUMBER(B423)),N(P423)=0),"",B423+P423)</f>
        <v/>
      </c>
      <c r="K423" s="25">
        <f>IF(C423="","",N(D423)-N(E423)-N(F423)-N(G423))</f>
        <v/>
      </c>
      <c r="L423" s="13">
        <f>IF(OR(C423="",N(K423)&lt;=0,NOT(ISNUMBER(J423))),"",J423-TODAY())</f>
        <v/>
      </c>
      <c r="M423" s="12">
        <f>IF(C423="","",IF(N(K423)&lt;=0,"Sold out",IF(NOT(ISNUMBER(J423)),"In stock",IF(J423&lt;TODAY(),"Past its date",IF(J423-TODAY()&lt;=Settings!$C$5,"Use soon","In stock")))))</f>
        <v/>
      </c>
      <c r="N423" s="26">
        <f>IF(C423="","",N(D423)*Q423)</f>
        <v/>
      </c>
      <c r="O423" s="1" t="n"/>
      <c r="P423">
        <f>IF(C423="",0,IFERROR(N(INDEX(Products!$E$6:$E$45,MATCH(C423,Products!$B$6:$B$45,0))),0))</f>
        <v/>
      </c>
      <c r="Q423">
        <f>IF(C423="",0,IFERROR(N(INDEX(Products!$I$6:$I$45,MATCH(C423,Products!$B$6:$B$45,0))),0))</f>
        <v/>
      </c>
      <c r="R423">
        <f>IF(OR(C423="",NOT(ISNUMBER(B423))),"",YEAR(B423)*100+MONTH(B423))</f>
        <v/>
      </c>
      <c r="S423">
        <f>N(G423)*Q423</f>
        <v/>
      </c>
      <c r="T423">
        <f>IF(OR(M423="",M423="Sold out",NOT(ISNUMBER(J423))),"",J423*1000+ROW())</f>
        <v/>
      </c>
    </row>
    <row r="424">
      <c r="A424" s="1" t="n"/>
      <c r="B424" s="20" t="n"/>
      <c r="C424" s="21" t="n"/>
      <c r="D424" s="22" t="n"/>
      <c r="E424" s="22" t="n"/>
      <c r="F424" s="22" t="n"/>
      <c r="G424" s="22" t="n"/>
      <c r="H424" s="23" t="n"/>
      <c r="I424" s="24">
        <f>IF(OR(C424="",NOT(ISNUMBER(B424))),"",UPPER(IF(IFERROR(IF(INDEX(Products!$C$6:$C$45,MATCH(C424,Products!$B$6:$B$45,0))="","",INDEX(Products!$C$6:$C$45,MATCH(C424,Products!$B$6:$B$45,0))),"")="",LEFT(SUBSTITUTE(C424," ",""),3),IFERROR(IF(INDEX(Products!$C$6:$C$45,MATCH(C424,Products!$B$6:$B$45,0))="","",INDEX(Products!$C$6:$C$45,MATCH(C424,Products!$B$6:$B$45,0))),"")))&amp;"-"&amp;RIGHT(YEAR(B424),2)&amp;RIGHT("0"&amp;MONTH(B424),2)&amp;RIGHT("0"&amp;DAY(B424),2)&amp;"-"&amp;COUNTIFS(C$6:C424,C424,B$6:B424,B424))</f>
        <v/>
      </c>
      <c r="J424" s="14">
        <f>IF(OR(C424="",NOT(ISNUMBER(B424)),N(P424)=0),"",B424+P424)</f>
        <v/>
      </c>
      <c r="K424" s="25">
        <f>IF(C424="","",N(D424)-N(E424)-N(F424)-N(G424))</f>
        <v/>
      </c>
      <c r="L424" s="13">
        <f>IF(OR(C424="",N(K424)&lt;=0,NOT(ISNUMBER(J424))),"",J424-TODAY())</f>
        <v/>
      </c>
      <c r="M424" s="12">
        <f>IF(C424="","",IF(N(K424)&lt;=0,"Sold out",IF(NOT(ISNUMBER(J424)),"In stock",IF(J424&lt;TODAY(),"Past its date",IF(J424-TODAY()&lt;=Settings!$C$5,"Use soon","In stock")))))</f>
        <v/>
      </c>
      <c r="N424" s="26">
        <f>IF(C424="","",N(D424)*Q424)</f>
        <v/>
      </c>
      <c r="O424" s="1" t="n"/>
      <c r="P424">
        <f>IF(C424="",0,IFERROR(N(INDEX(Products!$E$6:$E$45,MATCH(C424,Products!$B$6:$B$45,0))),0))</f>
        <v/>
      </c>
      <c r="Q424">
        <f>IF(C424="",0,IFERROR(N(INDEX(Products!$I$6:$I$45,MATCH(C424,Products!$B$6:$B$45,0))),0))</f>
        <v/>
      </c>
      <c r="R424">
        <f>IF(OR(C424="",NOT(ISNUMBER(B424))),"",YEAR(B424)*100+MONTH(B424))</f>
        <v/>
      </c>
      <c r="S424">
        <f>N(G424)*Q424</f>
        <v/>
      </c>
      <c r="T424">
        <f>IF(OR(M424="",M424="Sold out",NOT(ISNUMBER(J424))),"",J424*1000+ROW())</f>
        <v/>
      </c>
    </row>
    <row r="425">
      <c r="A425" s="1" t="n"/>
      <c r="B425" s="20" t="n"/>
      <c r="C425" s="21" t="n"/>
      <c r="D425" s="22" t="n"/>
      <c r="E425" s="22" t="n"/>
      <c r="F425" s="22" t="n"/>
      <c r="G425" s="22" t="n"/>
      <c r="H425" s="23" t="n"/>
      <c r="I425" s="24">
        <f>IF(OR(C425="",NOT(ISNUMBER(B425))),"",UPPER(IF(IFERROR(IF(INDEX(Products!$C$6:$C$45,MATCH(C425,Products!$B$6:$B$45,0))="","",INDEX(Products!$C$6:$C$45,MATCH(C425,Products!$B$6:$B$45,0))),"")="",LEFT(SUBSTITUTE(C425," ",""),3),IFERROR(IF(INDEX(Products!$C$6:$C$45,MATCH(C425,Products!$B$6:$B$45,0))="","",INDEX(Products!$C$6:$C$45,MATCH(C425,Products!$B$6:$B$45,0))),"")))&amp;"-"&amp;RIGHT(YEAR(B425),2)&amp;RIGHT("0"&amp;MONTH(B425),2)&amp;RIGHT("0"&amp;DAY(B425),2)&amp;"-"&amp;COUNTIFS(C$6:C425,C425,B$6:B425,B425))</f>
        <v/>
      </c>
      <c r="J425" s="14">
        <f>IF(OR(C425="",NOT(ISNUMBER(B425)),N(P425)=0),"",B425+P425)</f>
        <v/>
      </c>
      <c r="K425" s="25">
        <f>IF(C425="","",N(D425)-N(E425)-N(F425)-N(G425))</f>
        <v/>
      </c>
      <c r="L425" s="13">
        <f>IF(OR(C425="",N(K425)&lt;=0,NOT(ISNUMBER(J425))),"",J425-TODAY())</f>
        <v/>
      </c>
      <c r="M425" s="12">
        <f>IF(C425="","",IF(N(K425)&lt;=0,"Sold out",IF(NOT(ISNUMBER(J425)),"In stock",IF(J425&lt;TODAY(),"Past its date",IF(J425-TODAY()&lt;=Settings!$C$5,"Use soon","In stock")))))</f>
        <v/>
      </c>
      <c r="N425" s="26">
        <f>IF(C425="","",N(D425)*Q425)</f>
        <v/>
      </c>
      <c r="O425" s="1" t="n"/>
      <c r="P425">
        <f>IF(C425="",0,IFERROR(N(INDEX(Products!$E$6:$E$45,MATCH(C425,Products!$B$6:$B$45,0))),0))</f>
        <v/>
      </c>
      <c r="Q425">
        <f>IF(C425="",0,IFERROR(N(INDEX(Products!$I$6:$I$45,MATCH(C425,Products!$B$6:$B$45,0))),0))</f>
        <v/>
      </c>
      <c r="R425">
        <f>IF(OR(C425="",NOT(ISNUMBER(B425))),"",YEAR(B425)*100+MONTH(B425))</f>
        <v/>
      </c>
      <c r="S425">
        <f>N(G425)*Q425</f>
        <v/>
      </c>
      <c r="T425">
        <f>IF(OR(M425="",M425="Sold out",NOT(ISNUMBER(J425))),"",J425*1000+ROW())</f>
        <v/>
      </c>
    </row>
    <row r="426">
      <c r="A426" s="1" t="n"/>
      <c r="B426" s="20" t="n"/>
      <c r="C426" s="21" t="n"/>
      <c r="D426" s="22" t="n"/>
      <c r="E426" s="22" t="n"/>
      <c r="F426" s="22" t="n"/>
      <c r="G426" s="22" t="n"/>
      <c r="H426" s="23" t="n"/>
      <c r="I426" s="24">
        <f>IF(OR(C426="",NOT(ISNUMBER(B426))),"",UPPER(IF(IFERROR(IF(INDEX(Products!$C$6:$C$45,MATCH(C426,Products!$B$6:$B$45,0))="","",INDEX(Products!$C$6:$C$45,MATCH(C426,Products!$B$6:$B$45,0))),"")="",LEFT(SUBSTITUTE(C426," ",""),3),IFERROR(IF(INDEX(Products!$C$6:$C$45,MATCH(C426,Products!$B$6:$B$45,0))="","",INDEX(Products!$C$6:$C$45,MATCH(C426,Products!$B$6:$B$45,0))),"")))&amp;"-"&amp;RIGHT(YEAR(B426),2)&amp;RIGHT("0"&amp;MONTH(B426),2)&amp;RIGHT("0"&amp;DAY(B426),2)&amp;"-"&amp;COUNTIFS(C$6:C426,C426,B$6:B426,B426))</f>
        <v/>
      </c>
      <c r="J426" s="14">
        <f>IF(OR(C426="",NOT(ISNUMBER(B426)),N(P426)=0),"",B426+P426)</f>
        <v/>
      </c>
      <c r="K426" s="25">
        <f>IF(C426="","",N(D426)-N(E426)-N(F426)-N(G426))</f>
        <v/>
      </c>
      <c r="L426" s="13">
        <f>IF(OR(C426="",N(K426)&lt;=0,NOT(ISNUMBER(J426))),"",J426-TODAY())</f>
        <v/>
      </c>
      <c r="M426" s="12">
        <f>IF(C426="","",IF(N(K426)&lt;=0,"Sold out",IF(NOT(ISNUMBER(J426)),"In stock",IF(J426&lt;TODAY(),"Past its date",IF(J426-TODAY()&lt;=Settings!$C$5,"Use soon","In stock")))))</f>
        <v/>
      </c>
      <c r="N426" s="26">
        <f>IF(C426="","",N(D426)*Q426)</f>
        <v/>
      </c>
      <c r="O426" s="1" t="n"/>
      <c r="P426">
        <f>IF(C426="",0,IFERROR(N(INDEX(Products!$E$6:$E$45,MATCH(C426,Products!$B$6:$B$45,0))),0))</f>
        <v/>
      </c>
      <c r="Q426">
        <f>IF(C426="",0,IFERROR(N(INDEX(Products!$I$6:$I$45,MATCH(C426,Products!$B$6:$B$45,0))),0))</f>
        <v/>
      </c>
      <c r="R426">
        <f>IF(OR(C426="",NOT(ISNUMBER(B426))),"",YEAR(B426)*100+MONTH(B426))</f>
        <v/>
      </c>
      <c r="S426">
        <f>N(G426)*Q426</f>
        <v/>
      </c>
      <c r="T426">
        <f>IF(OR(M426="",M426="Sold out",NOT(ISNUMBER(J426))),"",J426*1000+ROW())</f>
        <v/>
      </c>
    </row>
    <row r="427">
      <c r="A427" s="1" t="n"/>
      <c r="B427" s="20" t="n"/>
      <c r="C427" s="21" t="n"/>
      <c r="D427" s="22" t="n"/>
      <c r="E427" s="22" t="n"/>
      <c r="F427" s="22" t="n"/>
      <c r="G427" s="22" t="n"/>
      <c r="H427" s="23" t="n"/>
      <c r="I427" s="24">
        <f>IF(OR(C427="",NOT(ISNUMBER(B427))),"",UPPER(IF(IFERROR(IF(INDEX(Products!$C$6:$C$45,MATCH(C427,Products!$B$6:$B$45,0))="","",INDEX(Products!$C$6:$C$45,MATCH(C427,Products!$B$6:$B$45,0))),"")="",LEFT(SUBSTITUTE(C427," ",""),3),IFERROR(IF(INDEX(Products!$C$6:$C$45,MATCH(C427,Products!$B$6:$B$45,0))="","",INDEX(Products!$C$6:$C$45,MATCH(C427,Products!$B$6:$B$45,0))),"")))&amp;"-"&amp;RIGHT(YEAR(B427),2)&amp;RIGHT("0"&amp;MONTH(B427),2)&amp;RIGHT("0"&amp;DAY(B427),2)&amp;"-"&amp;COUNTIFS(C$6:C427,C427,B$6:B427,B427))</f>
        <v/>
      </c>
      <c r="J427" s="14">
        <f>IF(OR(C427="",NOT(ISNUMBER(B427)),N(P427)=0),"",B427+P427)</f>
        <v/>
      </c>
      <c r="K427" s="25">
        <f>IF(C427="","",N(D427)-N(E427)-N(F427)-N(G427))</f>
        <v/>
      </c>
      <c r="L427" s="13">
        <f>IF(OR(C427="",N(K427)&lt;=0,NOT(ISNUMBER(J427))),"",J427-TODAY())</f>
        <v/>
      </c>
      <c r="M427" s="12">
        <f>IF(C427="","",IF(N(K427)&lt;=0,"Sold out",IF(NOT(ISNUMBER(J427)),"In stock",IF(J427&lt;TODAY(),"Past its date",IF(J427-TODAY()&lt;=Settings!$C$5,"Use soon","In stock")))))</f>
        <v/>
      </c>
      <c r="N427" s="26">
        <f>IF(C427="","",N(D427)*Q427)</f>
        <v/>
      </c>
      <c r="O427" s="1" t="n"/>
      <c r="P427">
        <f>IF(C427="",0,IFERROR(N(INDEX(Products!$E$6:$E$45,MATCH(C427,Products!$B$6:$B$45,0))),0))</f>
        <v/>
      </c>
      <c r="Q427">
        <f>IF(C427="",0,IFERROR(N(INDEX(Products!$I$6:$I$45,MATCH(C427,Products!$B$6:$B$45,0))),0))</f>
        <v/>
      </c>
      <c r="R427">
        <f>IF(OR(C427="",NOT(ISNUMBER(B427))),"",YEAR(B427)*100+MONTH(B427))</f>
        <v/>
      </c>
      <c r="S427">
        <f>N(G427)*Q427</f>
        <v/>
      </c>
      <c r="T427">
        <f>IF(OR(M427="",M427="Sold out",NOT(ISNUMBER(J427))),"",J427*1000+ROW())</f>
        <v/>
      </c>
    </row>
    <row r="428">
      <c r="A428" s="1" t="n"/>
      <c r="B428" s="20" t="n"/>
      <c r="C428" s="21" t="n"/>
      <c r="D428" s="22" t="n"/>
      <c r="E428" s="22" t="n"/>
      <c r="F428" s="22" t="n"/>
      <c r="G428" s="22" t="n"/>
      <c r="H428" s="23" t="n"/>
      <c r="I428" s="24">
        <f>IF(OR(C428="",NOT(ISNUMBER(B428))),"",UPPER(IF(IFERROR(IF(INDEX(Products!$C$6:$C$45,MATCH(C428,Products!$B$6:$B$45,0))="","",INDEX(Products!$C$6:$C$45,MATCH(C428,Products!$B$6:$B$45,0))),"")="",LEFT(SUBSTITUTE(C428," ",""),3),IFERROR(IF(INDEX(Products!$C$6:$C$45,MATCH(C428,Products!$B$6:$B$45,0))="","",INDEX(Products!$C$6:$C$45,MATCH(C428,Products!$B$6:$B$45,0))),"")))&amp;"-"&amp;RIGHT(YEAR(B428),2)&amp;RIGHT("0"&amp;MONTH(B428),2)&amp;RIGHT("0"&amp;DAY(B428),2)&amp;"-"&amp;COUNTIFS(C$6:C428,C428,B$6:B428,B428))</f>
        <v/>
      </c>
      <c r="J428" s="14">
        <f>IF(OR(C428="",NOT(ISNUMBER(B428)),N(P428)=0),"",B428+P428)</f>
        <v/>
      </c>
      <c r="K428" s="25">
        <f>IF(C428="","",N(D428)-N(E428)-N(F428)-N(G428))</f>
        <v/>
      </c>
      <c r="L428" s="13">
        <f>IF(OR(C428="",N(K428)&lt;=0,NOT(ISNUMBER(J428))),"",J428-TODAY())</f>
        <v/>
      </c>
      <c r="M428" s="12">
        <f>IF(C428="","",IF(N(K428)&lt;=0,"Sold out",IF(NOT(ISNUMBER(J428)),"In stock",IF(J428&lt;TODAY(),"Past its date",IF(J428-TODAY()&lt;=Settings!$C$5,"Use soon","In stock")))))</f>
        <v/>
      </c>
      <c r="N428" s="26">
        <f>IF(C428="","",N(D428)*Q428)</f>
        <v/>
      </c>
      <c r="O428" s="1" t="n"/>
      <c r="P428">
        <f>IF(C428="",0,IFERROR(N(INDEX(Products!$E$6:$E$45,MATCH(C428,Products!$B$6:$B$45,0))),0))</f>
        <v/>
      </c>
      <c r="Q428">
        <f>IF(C428="",0,IFERROR(N(INDEX(Products!$I$6:$I$45,MATCH(C428,Products!$B$6:$B$45,0))),0))</f>
        <v/>
      </c>
      <c r="R428">
        <f>IF(OR(C428="",NOT(ISNUMBER(B428))),"",YEAR(B428)*100+MONTH(B428))</f>
        <v/>
      </c>
      <c r="S428">
        <f>N(G428)*Q428</f>
        <v/>
      </c>
      <c r="T428">
        <f>IF(OR(M428="",M428="Sold out",NOT(ISNUMBER(J428))),"",J428*1000+ROW())</f>
        <v/>
      </c>
    </row>
    <row r="429">
      <c r="A429" s="1" t="n"/>
      <c r="B429" s="20" t="n"/>
      <c r="C429" s="21" t="n"/>
      <c r="D429" s="22" t="n"/>
      <c r="E429" s="22" t="n"/>
      <c r="F429" s="22" t="n"/>
      <c r="G429" s="22" t="n"/>
      <c r="H429" s="23" t="n"/>
      <c r="I429" s="24">
        <f>IF(OR(C429="",NOT(ISNUMBER(B429))),"",UPPER(IF(IFERROR(IF(INDEX(Products!$C$6:$C$45,MATCH(C429,Products!$B$6:$B$45,0))="","",INDEX(Products!$C$6:$C$45,MATCH(C429,Products!$B$6:$B$45,0))),"")="",LEFT(SUBSTITUTE(C429," ",""),3),IFERROR(IF(INDEX(Products!$C$6:$C$45,MATCH(C429,Products!$B$6:$B$45,0))="","",INDEX(Products!$C$6:$C$45,MATCH(C429,Products!$B$6:$B$45,0))),"")))&amp;"-"&amp;RIGHT(YEAR(B429),2)&amp;RIGHT("0"&amp;MONTH(B429),2)&amp;RIGHT("0"&amp;DAY(B429),2)&amp;"-"&amp;COUNTIFS(C$6:C429,C429,B$6:B429,B429))</f>
        <v/>
      </c>
      <c r="J429" s="14">
        <f>IF(OR(C429="",NOT(ISNUMBER(B429)),N(P429)=0),"",B429+P429)</f>
        <v/>
      </c>
      <c r="K429" s="25">
        <f>IF(C429="","",N(D429)-N(E429)-N(F429)-N(G429))</f>
        <v/>
      </c>
      <c r="L429" s="13">
        <f>IF(OR(C429="",N(K429)&lt;=0,NOT(ISNUMBER(J429))),"",J429-TODAY())</f>
        <v/>
      </c>
      <c r="M429" s="12">
        <f>IF(C429="","",IF(N(K429)&lt;=0,"Sold out",IF(NOT(ISNUMBER(J429)),"In stock",IF(J429&lt;TODAY(),"Past its date",IF(J429-TODAY()&lt;=Settings!$C$5,"Use soon","In stock")))))</f>
        <v/>
      </c>
      <c r="N429" s="26">
        <f>IF(C429="","",N(D429)*Q429)</f>
        <v/>
      </c>
      <c r="O429" s="1" t="n"/>
      <c r="P429">
        <f>IF(C429="",0,IFERROR(N(INDEX(Products!$E$6:$E$45,MATCH(C429,Products!$B$6:$B$45,0))),0))</f>
        <v/>
      </c>
      <c r="Q429">
        <f>IF(C429="",0,IFERROR(N(INDEX(Products!$I$6:$I$45,MATCH(C429,Products!$B$6:$B$45,0))),0))</f>
        <v/>
      </c>
      <c r="R429">
        <f>IF(OR(C429="",NOT(ISNUMBER(B429))),"",YEAR(B429)*100+MONTH(B429))</f>
        <v/>
      </c>
      <c r="S429">
        <f>N(G429)*Q429</f>
        <v/>
      </c>
      <c r="T429">
        <f>IF(OR(M429="",M429="Sold out",NOT(ISNUMBER(J429))),"",J429*1000+ROW())</f>
        <v/>
      </c>
    </row>
    <row r="430">
      <c r="A430" s="1" t="n"/>
      <c r="B430" s="20" t="n"/>
      <c r="C430" s="21" t="n"/>
      <c r="D430" s="22" t="n"/>
      <c r="E430" s="22" t="n"/>
      <c r="F430" s="22" t="n"/>
      <c r="G430" s="22" t="n"/>
      <c r="H430" s="23" t="n"/>
      <c r="I430" s="24">
        <f>IF(OR(C430="",NOT(ISNUMBER(B430))),"",UPPER(IF(IFERROR(IF(INDEX(Products!$C$6:$C$45,MATCH(C430,Products!$B$6:$B$45,0))="","",INDEX(Products!$C$6:$C$45,MATCH(C430,Products!$B$6:$B$45,0))),"")="",LEFT(SUBSTITUTE(C430," ",""),3),IFERROR(IF(INDEX(Products!$C$6:$C$45,MATCH(C430,Products!$B$6:$B$45,0))="","",INDEX(Products!$C$6:$C$45,MATCH(C430,Products!$B$6:$B$45,0))),"")))&amp;"-"&amp;RIGHT(YEAR(B430),2)&amp;RIGHT("0"&amp;MONTH(B430),2)&amp;RIGHT("0"&amp;DAY(B430),2)&amp;"-"&amp;COUNTIFS(C$6:C430,C430,B$6:B430,B430))</f>
        <v/>
      </c>
      <c r="J430" s="14">
        <f>IF(OR(C430="",NOT(ISNUMBER(B430)),N(P430)=0),"",B430+P430)</f>
        <v/>
      </c>
      <c r="K430" s="25">
        <f>IF(C430="","",N(D430)-N(E430)-N(F430)-N(G430))</f>
        <v/>
      </c>
      <c r="L430" s="13">
        <f>IF(OR(C430="",N(K430)&lt;=0,NOT(ISNUMBER(J430))),"",J430-TODAY())</f>
        <v/>
      </c>
      <c r="M430" s="12">
        <f>IF(C430="","",IF(N(K430)&lt;=0,"Sold out",IF(NOT(ISNUMBER(J430)),"In stock",IF(J430&lt;TODAY(),"Past its date",IF(J430-TODAY()&lt;=Settings!$C$5,"Use soon","In stock")))))</f>
        <v/>
      </c>
      <c r="N430" s="26">
        <f>IF(C430="","",N(D430)*Q430)</f>
        <v/>
      </c>
      <c r="O430" s="1" t="n"/>
      <c r="P430">
        <f>IF(C430="",0,IFERROR(N(INDEX(Products!$E$6:$E$45,MATCH(C430,Products!$B$6:$B$45,0))),0))</f>
        <v/>
      </c>
      <c r="Q430">
        <f>IF(C430="",0,IFERROR(N(INDEX(Products!$I$6:$I$45,MATCH(C430,Products!$B$6:$B$45,0))),0))</f>
        <v/>
      </c>
      <c r="R430">
        <f>IF(OR(C430="",NOT(ISNUMBER(B430))),"",YEAR(B430)*100+MONTH(B430))</f>
        <v/>
      </c>
      <c r="S430">
        <f>N(G430)*Q430</f>
        <v/>
      </c>
      <c r="T430">
        <f>IF(OR(M430="",M430="Sold out",NOT(ISNUMBER(J430))),"",J430*1000+ROW())</f>
        <v/>
      </c>
    </row>
    <row r="431">
      <c r="A431" s="1" t="n"/>
      <c r="B431" s="20" t="n"/>
      <c r="C431" s="21" t="n"/>
      <c r="D431" s="22" t="n"/>
      <c r="E431" s="22" t="n"/>
      <c r="F431" s="22" t="n"/>
      <c r="G431" s="22" t="n"/>
      <c r="H431" s="23" t="n"/>
      <c r="I431" s="24">
        <f>IF(OR(C431="",NOT(ISNUMBER(B431))),"",UPPER(IF(IFERROR(IF(INDEX(Products!$C$6:$C$45,MATCH(C431,Products!$B$6:$B$45,0))="","",INDEX(Products!$C$6:$C$45,MATCH(C431,Products!$B$6:$B$45,0))),"")="",LEFT(SUBSTITUTE(C431," ",""),3),IFERROR(IF(INDEX(Products!$C$6:$C$45,MATCH(C431,Products!$B$6:$B$45,0))="","",INDEX(Products!$C$6:$C$45,MATCH(C431,Products!$B$6:$B$45,0))),"")))&amp;"-"&amp;RIGHT(YEAR(B431),2)&amp;RIGHT("0"&amp;MONTH(B431),2)&amp;RIGHT("0"&amp;DAY(B431),2)&amp;"-"&amp;COUNTIFS(C$6:C431,C431,B$6:B431,B431))</f>
        <v/>
      </c>
      <c r="J431" s="14">
        <f>IF(OR(C431="",NOT(ISNUMBER(B431)),N(P431)=0),"",B431+P431)</f>
        <v/>
      </c>
      <c r="K431" s="25">
        <f>IF(C431="","",N(D431)-N(E431)-N(F431)-N(G431))</f>
        <v/>
      </c>
      <c r="L431" s="13">
        <f>IF(OR(C431="",N(K431)&lt;=0,NOT(ISNUMBER(J431))),"",J431-TODAY())</f>
        <v/>
      </c>
      <c r="M431" s="12">
        <f>IF(C431="","",IF(N(K431)&lt;=0,"Sold out",IF(NOT(ISNUMBER(J431)),"In stock",IF(J431&lt;TODAY(),"Past its date",IF(J431-TODAY()&lt;=Settings!$C$5,"Use soon","In stock")))))</f>
        <v/>
      </c>
      <c r="N431" s="26">
        <f>IF(C431="","",N(D431)*Q431)</f>
        <v/>
      </c>
      <c r="O431" s="1" t="n"/>
      <c r="P431">
        <f>IF(C431="",0,IFERROR(N(INDEX(Products!$E$6:$E$45,MATCH(C431,Products!$B$6:$B$45,0))),0))</f>
        <v/>
      </c>
      <c r="Q431">
        <f>IF(C431="",0,IFERROR(N(INDEX(Products!$I$6:$I$45,MATCH(C431,Products!$B$6:$B$45,0))),0))</f>
        <v/>
      </c>
      <c r="R431">
        <f>IF(OR(C431="",NOT(ISNUMBER(B431))),"",YEAR(B431)*100+MONTH(B431))</f>
        <v/>
      </c>
      <c r="S431">
        <f>N(G431)*Q431</f>
        <v/>
      </c>
      <c r="T431">
        <f>IF(OR(M431="",M431="Sold out",NOT(ISNUMBER(J431))),"",J431*1000+ROW())</f>
        <v/>
      </c>
    </row>
    <row r="432">
      <c r="A432" s="1" t="n"/>
      <c r="B432" s="20" t="n"/>
      <c r="C432" s="21" t="n"/>
      <c r="D432" s="22" t="n"/>
      <c r="E432" s="22" t="n"/>
      <c r="F432" s="22" t="n"/>
      <c r="G432" s="22" t="n"/>
      <c r="H432" s="23" t="n"/>
      <c r="I432" s="24">
        <f>IF(OR(C432="",NOT(ISNUMBER(B432))),"",UPPER(IF(IFERROR(IF(INDEX(Products!$C$6:$C$45,MATCH(C432,Products!$B$6:$B$45,0))="","",INDEX(Products!$C$6:$C$45,MATCH(C432,Products!$B$6:$B$45,0))),"")="",LEFT(SUBSTITUTE(C432," ",""),3),IFERROR(IF(INDEX(Products!$C$6:$C$45,MATCH(C432,Products!$B$6:$B$45,0))="","",INDEX(Products!$C$6:$C$45,MATCH(C432,Products!$B$6:$B$45,0))),"")))&amp;"-"&amp;RIGHT(YEAR(B432),2)&amp;RIGHT("0"&amp;MONTH(B432),2)&amp;RIGHT("0"&amp;DAY(B432),2)&amp;"-"&amp;COUNTIFS(C$6:C432,C432,B$6:B432,B432))</f>
        <v/>
      </c>
      <c r="J432" s="14">
        <f>IF(OR(C432="",NOT(ISNUMBER(B432)),N(P432)=0),"",B432+P432)</f>
        <v/>
      </c>
      <c r="K432" s="25">
        <f>IF(C432="","",N(D432)-N(E432)-N(F432)-N(G432))</f>
        <v/>
      </c>
      <c r="L432" s="13">
        <f>IF(OR(C432="",N(K432)&lt;=0,NOT(ISNUMBER(J432))),"",J432-TODAY())</f>
        <v/>
      </c>
      <c r="M432" s="12">
        <f>IF(C432="","",IF(N(K432)&lt;=0,"Sold out",IF(NOT(ISNUMBER(J432)),"In stock",IF(J432&lt;TODAY(),"Past its date",IF(J432-TODAY()&lt;=Settings!$C$5,"Use soon","In stock")))))</f>
        <v/>
      </c>
      <c r="N432" s="26">
        <f>IF(C432="","",N(D432)*Q432)</f>
        <v/>
      </c>
      <c r="O432" s="1" t="n"/>
      <c r="P432">
        <f>IF(C432="",0,IFERROR(N(INDEX(Products!$E$6:$E$45,MATCH(C432,Products!$B$6:$B$45,0))),0))</f>
        <v/>
      </c>
      <c r="Q432">
        <f>IF(C432="",0,IFERROR(N(INDEX(Products!$I$6:$I$45,MATCH(C432,Products!$B$6:$B$45,0))),0))</f>
        <v/>
      </c>
      <c r="R432">
        <f>IF(OR(C432="",NOT(ISNUMBER(B432))),"",YEAR(B432)*100+MONTH(B432))</f>
        <v/>
      </c>
      <c r="S432">
        <f>N(G432)*Q432</f>
        <v/>
      </c>
      <c r="T432">
        <f>IF(OR(M432="",M432="Sold out",NOT(ISNUMBER(J432))),"",J432*1000+ROW())</f>
        <v/>
      </c>
    </row>
    <row r="433">
      <c r="A433" s="1" t="n"/>
      <c r="B433" s="20" t="n"/>
      <c r="C433" s="21" t="n"/>
      <c r="D433" s="22" t="n"/>
      <c r="E433" s="22" t="n"/>
      <c r="F433" s="22" t="n"/>
      <c r="G433" s="22" t="n"/>
      <c r="H433" s="23" t="n"/>
      <c r="I433" s="24">
        <f>IF(OR(C433="",NOT(ISNUMBER(B433))),"",UPPER(IF(IFERROR(IF(INDEX(Products!$C$6:$C$45,MATCH(C433,Products!$B$6:$B$45,0))="","",INDEX(Products!$C$6:$C$45,MATCH(C433,Products!$B$6:$B$45,0))),"")="",LEFT(SUBSTITUTE(C433," ",""),3),IFERROR(IF(INDEX(Products!$C$6:$C$45,MATCH(C433,Products!$B$6:$B$45,0))="","",INDEX(Products!$C$6:$C$45,MATCH(C433,Products!$B$6:$B$45,0))),"")))&amp;"-"&amp;RIGHT(YEAR(B433),2)&amp;RIGHT("0"&amp;MONTH(B433),2)&amp;RIGHT("0"&amp;DAY(B433),2)&amp;"-"&amp;COUNTIFS(C$6:C433,C433,B$6:B433,B433))</f>
        <v/>
      </c>
      <c r="J433" s="14">
        <f>IF(OR(C433="",NOT(ISNUMBER(B433)),N(P433)=0),"",B433+P433)</f>
        <v/>
      </c>
      <c r="K433" s="25">
        <f>IF(C433="","",N(D433)-N(E433)-N(F433)-N(G433))</f>
        <v/>
      </c>
      <c r="L433" s="13">
        <f>IF(OR(C433="",N(K433)&lt;=0,NOT(ISNUMBER(J433))),"",J433-TODAY())</f>
        <v/>
      </c>
      <c r="M433" s="12">
        <f>IF(C433="","",IF(N(K433)&lt;=0,"Sold out",IF(NOT(ISNUMBER(J433)),"In stock",IF(J433&lt;TODAY(),"Past its date",IF(J433-TODAY()&lt;=Settings!$C$5,"Use soon","In stock")))))</f>
        <v/>
      </c>
      <c r="N433" s="26">
        <f>IF(C433="","",N(D433)*Q433)</f>
        <v/>
      </c>
      <c r="O433" s="1" t="n"/>
      <c r="P433">
        <f>IF(C433="",0,IFERROR(N(INDEX(Products!$E$6:$E$45,MATCH(C433,Products!$B$6:$B$45,0))),0))</f>
        <v/>
      </c>
      <c r="Q433">
        <f>IF(C433="",0,IFERROR(N(INDEX(Products!$I$6:$I$45,MATCH(C433,Products!$B$6:$B$45,0))),0))</f>
        <v/>
      </c>
      <c r="R433">
        <f>IF(OR(C433="",NOT(ISNUMBER(B433))),"",YEAR(B433)*100+MONTH(B433))</f>
        <v/>
      </c>
      <c r="S433">
        <f>N(G433)*Q433</f>
        <v/>
      </c>
      <c r="T433">
        <f>IF(OR(M433="",M433="Sold out",NOT(ISNUMBER(J433))),"",J433*1000+ROW())</f>
        <v/>
      </c>
    </row>
    <row r="434">
      <c r="A434" s="1" t="n"/>
      <c r="B434" s="20" t="n"/>
      <c r="C434" s="21" t="n"/>
      <c r="D434" s="22" t="n"/>
      <c r="E434" s="22" t="n"/>
      <c r="F434" s="22" t="n"/>
      <c r="G434" s="22" t="n"/>
      <c r="H434" s="23" t="n"/>
      <c r="I434" s="24">
        <f>IF(OR(C434="",NOT(ISNUMBER(B434))),"",UPPER(IF(IFERROR(IF(INDEX(Products!$C$6:$C$45,MATCH(C434,Products!$B$6:$B$45,0))="","",INDEX(Products!$C$6:$C$45,MATCH(C434,Products!$B$6:$B$45,0))),"")="",LEFT(SUBSTITUTE(C434," ",""),3),IFERROR(IF(INDEX(Products!$C$6:$C$45,MATCH(C434,Products!$B$6:$B$45,0))="","",INDEX(Products!$C$6:$C$45,MATCH(C434,Products!$B$6:$B$45,0))),"")))&amp;"-"&amp;RIGHT(YEAR(B434),2)&amp;RIGHT("0"&amp;MONTH(B434),2)&amp;RIGHT("0"&amp;DAY(B434),2)&amp;"-"&amp;COUNTIFS(C$6:C434,C434,B$6:B434,B434))</f>
        <v/>
      </c>
      <c r="J434" s="14">
        <f>IF(OR(C434="",NOT(ISNUMBER(B434)),N(P434)=0),"",B434+P434)</f>
        <v/>
      </c>
      <c r="K434" s="25">
        <f>IF(C434="","",N(D434)-N(E434)-N(F434)-N(G434))</f>
        <v/>
      </c>
      <c r="L434" s="13">
        <f>IF(OR(C434="",N(K434)&lt;=0,NOT(ISNUMBER(J434))),"",J434-TODAY())</f>
        <v/>
      </c>
      <c r="M434" s="12">
        <f>IF(C434="","",IF(N(K434)&lt;=0,"Sold out",IF(NOT(ISNUMBER(J434)),"In stock",IF(J434&lt;TODAY(),"Past its date",IF(J434-TODAY()&lt;=Settings!$C$5,"Use soon","In stock")))))</f>
        <v/>
      </c>
      <c r="N434" s="26">
        <f>IF(C434="","",N(D434)*Q434)</f>
        <v/>
      </c>
      <c r="O434" s="1" t="n"/>
      <c r="P434">
        <f>IF(C434="",0,IFERROR(N(INDEX(Products!$E$6:$E$45,MATCH(C434,Products!$B$6:$B$45,0))),0))</f>
        <v/>
      </c>
      <c r="Q434">
        <f>IF(C434="",0,IFERROR(N(INDEX(Products!$I$6:$I$45,MATCH(C434,Products!$B$6:$B$45,0))),0))</f>
        <v/>
      </c>
      <c r="R434">
        <f>IF(OR(C434="",NOT(ISNUMBER(B434))),"",YEAR(B434)*100+MONTH(B434))</f>
        <v/>
      </c>
      <c r="S434">
        <f>N(G434)*Q434</f>
        <v/>
      </c>
      <c r="T434">
        <f>IF(OR(M434="",M434="Sold out",NOT(ISNUMBER(J434))),"",J434*1000+ROW())</f>
        <v/>
      </c>
    </row>
    <row r="435">
      <c r="A435" s="1" t="n"/>
      <c r="B435" s="20" t="n"/>
      <c r="C435" s="21" t="n"/>
      <c r="D435" s="22" t="n"/>
      <c r="E435" s="22" t="n"/>
      <c r="F435" s="22" t="n"/>
      <c r="G435" s="22" t="n"/>
      <c r="H435" s="23" t="n"/>
      <c r="I435" s="24">
        <f>IF(OR(C435="",NOT(ISNUMBER(B435))),"",UPPER(IF(IFERROR(IF(INDEX(Products!$C$6:$C$45,MATCH(C435,Products!$B$6:$B$45,0))="","",INDEX(Products!$C$6:$C$45,MATCH(C435,Products!$B$6:$B$45,0))),"")="",LEFT(SUBSTITUTE(C435," ",""),3),IFERROR(IF(INDEX(Products!$C$6:$C$45,MATCH(C435,Products!$B$6:$B$45,0))="","",INDEX(Products!$C$6:$C$45,MATCH(C435,Products!$B$6:$B$45,0))),"")))&amp;"-"&amp;RIGHT(YEAR(B435),2)&amp;RIGHT("0"&amp;MONTH(B435),2)&amp;RIGHT("0"&amp;DAY(B435),2)&amp;"-"&amp;COUNTIFS(C$6:C435,C435,B$6:B435,B435))</f>
        <v/>
      </c>
      <c r="J435" s="14">
        <f>IF(OR(C435="",NOT(ISNUMBER(B435)),N(P435)=0),"",B435+P435)</f>
        <v/>
      </c>
      <c r="K435" s="25">
        <f>IF(C435="","",N(D435)-N(E435)-N(F435)-N(G435))</f>
        <v/>
      </c>
      <c r="L435" s="13">
        <f>IF(OR(C435="",N(K435)&lt;=0,NOT(ISNUMBER(J435))),"",J435-TODAY())</f>
        <v/>
      </c>
      <c r="M435" s="12">
        <f>IF(C435="","",IF(N(K435)&lt;=0,"Sold out",IF(NOT(ISNUMBER(J435)),"In stock",IF(J435&lt;TODAY(),"Past its date",IF(J435-TODAY()&lt;=Settings!$C$5,"Use soon","In stock")))))</f>
        <v/>
      </c>
      <c r="N435" s="26">
        <f>IF(C435="","",N(D435)*Q435)</f>
        <v/>
      </c>
      <c r="O435" s="1" t="n"/>
      <c r="P435">
        <f>IF(C435="",0,IFERROR(N(INDEX(Products!$E$6:$E$45,MATCH(C435,Products!$B$6:$B$45,0))),0))</f>
        <v/>
      </c>
      <c r="Q435">
        <f>IF(C435="",0,IFERROR(N(INDEX(Products!$I$6:$I$45,MATCH(C435,Products!$B$6:$B$45,0))),0))</f>
        <v/>
      </c>
      <c r="R435">
        <f>IF(OR(C435="",NOT(ISNUMBER(B435))),"",YEAR(B435)*100+MONTH(B435))</f>
        <v/>
      </c>
      <c r="S435">
        <f>N(G435)*Q435</f>
        <v/>
      </c>
      <c r="T435">
        <f>IF(OR(M435="",M435="Sold out",NOT(ISNUMBER(J435))),"",J435*1000+ROW())</f>
        <v/>
      </c>
    </row>
    <row r="436">
      <c r="A436" s="1" t="n"/>
      <c r="B436" s="20" t="n"/>
      <c r="C436" s="21" t="n"/>
      <c r="D436" s="22" t="n"/>
      <c r="E436" s="22" t="n"/>
      <c r="F436" s="22" t="n"/>
      <c r="G436" s="22" t="n"/>
      <c r="H436" s="23" t="n"/>
      <c r="I436" s="24">
        <f>IF(OR(C436="",NOT(ISNUMBER(B436))),"",UPPER(IF(IFERROR(IF(INDEX(Products!$C$6:$C$45,MATCH(C436,Products!$B$6:$B$45,0))="","",INDEX(Products!$C$6:$C$45,MATCH(C436,Products!$B$6:$B$45,0))),"")="",LEFT(SUBSTITUTE(C436," ",""),3),IFERROR(IF(INDEX(Products!$C$6:$C$45,MATCH(C436,Products!$B$6:$B$45,0))="","",INDEX(Products!$C$6:$C$45,MATCH(C436,Products!$B$6:$B$45,0))),"")))&amp;"-"&amp;RIGHT(YEAR(B436),2)&amp;RIGHT("0"&amp;MONTH(B436),2)&amp;RIGHT("0"&amp;DAY(B436),2)&amp;"-"&amp;COUNTIFS(C$6:C436,C436,B$6:B436,B436))</f>
        <v/>
      </c>
      <c r="J436" s="14">
        <f>IF(OR(C436="",NOT(ISNUMBER(B436)),N(P436)=0),"",B436+P436)</f>
        <v/>
      </c>
      <c r="K436" s="25">
        <f>IF(C436="","",N(D436)-N(E436)-N(F436)-N(G436))</f>
        <v/>
      </c>
      <c r="L436" s="13">
        <f>IF(OR(C436="",N(K436)&lt;=0,NOT(ISNUMBER(J436))),"",J436-TODAY())</f>
        <v/>
      </c>
      <c r="M436" s="12">
        <f>IF(C436="","",IF(N(K436)&lt;=0,"Sold out",IF(NOT(ISNUMBER(J436)),"In stock",IF(J436&lt;TODAY(),"Past its date",IF(J436-TODAY()&lt;=Settings!$C$5,"Use soon","In stock")))))</f>
        <v/>
      </c>
      <c r="N436" s="26">
        <f>IF(C436="","",N(D436)*Q436)</f>
        <v/>
      </c>
      <c r="O436" s="1" t="n"/>
      <c r="P436">
        <f>IF(C436="",0,IFERROR(N(INDEX(Products!$E$6:$E$45,MATCH(C436,Products!$B$6:$B$45,0))),0))</f>
        <v/>
      </c>
      <c r="Q436">
        <f>IF(C436="",0,IFERROR(N(INDEX(Products!$I$6:$I$45,MATCH(C436,Products!$B$6:$B$45,0))),0))</f>
        <v/>
      </c>
      <c r="R436">
        <f>IF(OR(C436="",NOT(ISNUMBER(B436))),"",YEAR(B436)*100+MONTH(B436))</f>
        <v/>
      </c>
      <c r="S436">
        <f>N(G436)*Q436</f>
        <v/>
      </c>
      <c r="T436">
        <f>IF(OR(M436="",M436="Sold out",NOT(ISNUMBER(J436))),"",J436*1000+ROW())</f>
        <v/>
      </c>
    </row>
    <row r="437">
      <c r="A437" s="1" t="n"/>
      <c r="B437" s="20" t="n"/>
      <c r="C437" s="21" t="n"/>
      <c r="D437" s="22" t="n"/>
      <c r="E437" s="22" t="n"/>
      <c r="F437" s="22" t="n"/>
      <c r="G437" s="22" t="n"/>
      <c r="H437" s="23" t="n"/>
      <c r="I437" s="24">
        <f>IF(OR(C437="",NOT(ISNUMBER(B437))),"",UPPER(IF(IFERROR(IF(INDEX(Products!$C$6:$C$45,MATCH(C437,Products!$B$6:$B$45,0))="","",INDEX(Products!$C$6:$C$45,MATCH(C437,Products!$B$6:$B$45,0))),"")="",LEFT(SUBSTITUTE(C437," ",""),3),IFERROR(IF(INDEX(Products!$C$6:$C$45,MATCH(C437,Products!$B$6:$B$45,0))="","",INDEX(Products!$C$6:$C$45,MATCH(C437,Products!$B$6:$B$45,0))),"")))&amp;"-"&amp;RIGHT(YEAR(B437),2)&amp;RIGHT("0"&amp;MONTH(B437),2)&amp;RIGHT("0"&amp;DAY(B437),2)&amp;"-"&amp;COUNTIFS(C$6:C437,C437,B$6:B437,B437))</f>
        <v/>
      </c>
      <c r="J437" s="14">
        <f>IF(OR(C437="",NOT(ISNUMBER(B437)),N(P437)=0),"",B437+P437)</f>
        <v/>
      </c>
      <c r="K437" s="25">
        <f>IF(C437="","",N(D437)-N(E437)-N(F437)-N(G437))</f>
        <v/>
      </c>
      <c r="L437" s="13">
        <f>IF(OR(C437="",N(K437)&lt;=0,NOT(ISNUMBER(J437))),"",J437-TODAY())</f>
        <v/>
      </c>
      <c r="M437" s="12">
        <f>IF(C437="","",IF(N(K437)&lt;=0,"Sold out",IF(NOT(ISNUMBER(J437)),"In stock",IF(J437&lt;TODAY(),"Past its date",IF(J437-TODAY()&lt;=Settings!$C$5,"Use soon","In stock")))))</f>
        <v/>
      </c>
      <c r="N437" s="26">
        <f>IF(C437="","",N(D437)*Q437)</f>
        <v/>
      </c>
      <c r="O437" s="1" t="n"/>
      <c r="P437">
        <f>IF(C437="",0,IFERROR(N(INDEX(Products!$E$6:$E$45,MATCH(C437,Products!$B$6:$B$45,0))),0))</f>
        <v/>
      </c>
      <c r="Q437">
        <f>IF(C437="",0,IFERROR(N(INDEX(Products!$I$6:$I$45,MATCH(C437,Products!$B$6:$B$45,0))),0))</f>
        <v/>
      </c>
      <c r="R437">
        <f>IF(OR(C437="",NOT(ISNUMBER(B437))),"",YEAR(B437)*100+MONTH(B437))</f>
        <v/>
      </c>
      <c r="S437">
        <f>N(G437)*Q437</f>
        <v/>
      </c>
      <c r="T437">
        <f>IF(OR(M437="",M437="Sold out",NOT(ISNUMBER(J437))),"",J437*1000+ROW())</f>
        <v/>
      </c>
    </row>
    <row r="438">
      <c r="A438" s="1" t="n"/>
      <c r="B438" s="20" t="n"/>
      <c r="C438" s="21" t="n"/>
      <c r="D438" s="22" t="n"/>
      <c r="E438" s="22" t="n"/>
      <c r="F438" s="22" t="n"/>
      <c r="G438" s="22" t="n"/>
      <c r="H438" s="23" t="n"/>
      <c r="I438" s="24">
        <f>IF(OR(C438="",NOT(ISNUMBER(B438))),"",UPPER(IF(IFERROR(IF(INDEX(Products!$C$6:$C$45,MATCH(C438,Products!$B$6:$B$45,0))="","",INDEX(Products!$C$6:$C$45,MATCH(C438,Products!$B$6:$B$45,0))),"")="",LEFT(SUBSTITUTE(C438," ",""),3),IFERROR(IF(INDEX(Products!$C$6:$C$45,MATCH(C438,Products!$B$6:$B$45,0))="","",INDEX(Products!$C$6:$C$45,MATCH(C438,Products!$B$6:$B$45,0))),"")))&amp;"-"&amp;RIGHT(YEAR(B438),2)&amp;RIGHT("0"&amp;MONTH(B438),2)&amp;RIGHT("0"&amp;DAY(B438),2)&amp;"-"&amp;COUNTIFS(C$6:C438,C438,B$6:B438,B438))</f>
        <v/>
      </c>
      <c r="J438" s="14">
        <f>IF(OR(C438="",NOT(ISNUMBER(B438)),N(P438)=0),"",B438+P438)</f>
        <v/>
      </c>
      <c r="K438" s="25">
        <f>IF(C438="","",N(D438)-N(E438)-N(F438)-N(G438))</f>
        <v/>
      </c>
      <c r="L438" s="13">
        <f>IF(OR(C438="",N(K438)&lt;=0,NOT(ISNUMBER(J438))),"",J438-TODAY())</f>
        <v/>
      </c>
      <c r="M438" s="12">
        <f>IF(C438="","",IF(N(K438)&lt;=0,"Sold out",IF(NOT(ISNUMBER(J438)),"In stock",IF(J438&lt;TODAY(),"Past its date",IF(J438-TODAY()&lt;=Settings!$C$5,"Use soon","In stock")))))</f>
        <v/>
      </c>
      <c r="N438" s="26">
        <f>IF(C438="","",N(D438)*Q438)</f>
        <v/>
      </c>
      <c r="O438" s="1" t="n"/>
      <c r="P438">
        <f>IF(C438="",0,IFERROR(N(INDEX(Products!$E$6:$E$45,MATCH(C438,Products!$B$6:$B$45,0))),0))</f>
        <v/>
      </c>
      <c r="Q438">
        <f>IF(C438="",0,IFERROR(N(INDEX(Products!$I$6:$I$45,MATCH(C438,Products!$B$6:$B$45,0))),0))</f>
        <v/>
      </c>
      <c r="R438">
        <f>IF(OR(C438="",NOT(ISNUMBER(B438))),"",YEAR(B438)*100+MONTH(B438))</f>
        <v/>
      </c>
      <c r="S438">
        <f>N(G438)*Q438</f>
        <v/>
      </c>
      <c r="T438">
        <f>IF(OR(M438="",M438="Sold out",NOT(ISNUMBER(J438))),"",J438*1000+ROW())</f>
        <v/>
      </c>
    </row>
    <row r="439">
      <c r="A439" s="1" t="n"/>
      <c r="B439" s="20" t="n"/>
      <c r="C439" s="21" t="n"/>
      <c r="D439" s="22" t="n"/>
      <c r="E439" s="22" t="n"/>
      <c r="F439" s="22" t="n"/>
      <c r="G439" s="22" t="n"/>
      <c r="H439" s="23" t="n"/>
      <c r="I439" s="24">
        <f>IF(OR(C439="",NOT(ISNUMBER(B439))),"",UPPER(IF(IFERROR(IF(INDEX(Products!$C$6:$C$45,MATCH(C439,Products!$B$6:$B$45,0))="","",INDEX(Products!$C$6:$C$45,MATCH(C439,Products!$B$6:$B$45,0))),"")="",LEFT(SUBSTITUTE(C439," ",""),3),IFERROR(IF(INDEX(Products!$C$6:$C$45,MATCH(C439,Products!$B$6:$B$45,0))="","",INDEX(Products!$C$6:$C$45,MATCH(C439,Products!$B$6:$B$45,0))),"")))&amp;"-"&amp;RIGHT(YEAR(B439),2)&amp;RIGHT("0"&amp;MONTH(B439),2)&amp;RIGHT("0"&amp;DAY(B439),2)&amp;"-"&amp;COUNTIFS(C$6:C439,C439,B$6:B439,B439))</f>
        <v/>
      </c>
      <c r="J439" s="14">
        <f>IF(OR(C439="",NOT(ISNUMBER(B439)),N(P439)=0),"",B439+P439)</f>
        <v/>
      </c>
      <c r="K439" s="25">
        <f>IF(C439="","",N(D439)-N(E439)-N(F439)-N(G439))</f>
        <v/>
      </c>
      <c r="L439" s="13">
        <f>IF(OR(C439="",N(K439)&lt;=0,NOT(ISNUMBER(J439))),"",J439-TODAY())</f>
        <v/>
      </c>
      <c r="M439" s="12">
        <f>IF(C439="","",IF(N(K439)&lt;=0,"Sold out",IF(NOT(ISNUMBER(J439)),"In stock",IF(J439&lt;TODAY(),"Past its date",IF(J439-TODAY()&lt;=Settings!$C$5,"Use soon","In stock")))))</f>
        <v/>
      </c>
      <c r="N439" s="26">
        <f>IF(C439="","",N(D439)*Q439)</f>
        <v/>
      </c>
      <c r="O439" s="1" t="n"/>
      <c r="P439">
        <f>IF(C439="",0,IFERROR(N(INDEX(Products!$E$6:$E$45,MATCH(C439,Products!$B$6:$B$45,0))),0))</f>
        <v/>
      </c>
      <c r="Q439">
        <f>IF(C439="",0,IFERROR(N(INDEX(Products!$I$6:$I$45,MATCH(C439,Products!$B$6:$B$45,0))),0))</f>
        <v/>
      </c>
      <c r="R439">
        <f>IF(OR(C439="",NOT(ISNUMBER(B439))),"",YEAR(B439)*100+MONTH(B439))</f>
        <v/>
      </c>
      <c r="S439">
        <f>N(G439)*Q439</f>
        <v/>
      </c>
      <c r="T439">
        <f>IF(OR(M439="",M439="Sold out",NOT(ISNUMBER(J439))),"",J439*1000+ROW())</f>
        <v/>
      </c>
    </row>
    <row r="440">
      <c r="A440" s="1" t="n"/>
      <c r="B440" s="20" t="n"/>
      <c r="C440" s="21" t="n"/>
      <c r="D440" s="22" t="n"/>
      <c r="E440" s="22" t="n"/>
      <c r="F440" s="22" t="n"/>
      <c r="G440" s="22" t="n"/>
      <c r="H440" s="23" t="n"/>
      <c r="I440" s="24">
        <f>IF(OR(C440="",NOT(ISNUMBER(B440))),"",UPPER(IF(IFERROR(IF(INDEX(Products!$C$6:$C$45,MATCH(C440,Products!$B$6:$B$45,0))="","",INDEX(Products!$C$6:$C$45,MATCH(C440,Products!$B$6:$B$45,0))),"")="",LEFT(SUBSTITUTE(C440," ",""),3),IFERROR(IF(INDEX(Products!$C$6:$C$45,MATCH(C440,Products!$B$6:$B$45,0))="","",INDEX(Products!$C$6:$C$45,MATCH(C440,Products!$B$6:$B$45,0))),"")))&amp;"-"&amp;RIGHT(YEAR(B440),2)&amp;RIGHT("0"&amp;MONTH(B440),2)&amp;RIGHT("0"&amp;DAY(B440),2)&amp;"-"&amp;COUNTIFS(C$6:C440,C440,B$6:B440,B440))</f>
        <v/>
      </c>
      <c r="J440" s="14">
        <f>IF(OR(C440="",NOT(ISNUMBER(B440)),N(P440)=0),"",B440+P440)</f>
        <v/>
      </c>
      <c r="K440" s="25">
        <f>IF(C440="","",N(D440)-N(E440)-N(F440)-N(G440))</f>
        <v/>
      </c>
      <c r="L440" s="13">
        <f>IF(OR(C440="",N(K440)&lt;=0,NOT(ISNUMBER(J440))),"",J440-TODAY())</f>
        <v/>
      </c>
      <c r="M440" s="12">
        <f>IF(C440="","",IF(N(K440)&lt;=0,"Sold out",IF(NOT(ISNUMBER(J440)),"In stock",IF(J440&lt;TODAY(),"Past its date",IF(J440-TODAY()&lt;=Settings!$C$5,"Use soon","In stock")))))</f>
        <v/>
      </c>
      <c r="N440" s="26">
        <f>IF(C440="","",N(D440)*Q440)</f>
        <v/>
      </c>
      <c r="O440" s="1" t="n"/>
      <c r="P440">
        <f>IF(C440="",0,IFERROR(N(INDEX(Products!$E$6:$E$45,MATCH(C440,Products!$B$6:$B$45,0))),0))</f>
        <v/>
      </c>
      <c r="Q440">
        <f>IF(C440="",0,IFERROR(N(INDEX(Products!$I$6:$I$45,MATCH(C440,Products!$B$6:$B$45,0))),0))</f>
        <v/>
      </c>
      <c r="R440">
        <f>IF(OR(C440="",NOT(ISNUMBER(B440))),"",YEAR(B440)*100+MONTH(B440))</f>
        <v/>
      </c>
      <c r="S440">
        <f>N(G440)*Q440</f>
        <v/>
      </c>
      <c r="T440">
        <f>IF(OR(M440="",M440="Sold out",NOT(ISNUMBER(J440))),"",J440*1000+ROW())</f>
        <v/>
      </c>
    </row>
    <row r="441">
      <c r="A441" s="1" t="n"/>
      <c r="B441" s="20" t="n"/>
      <c r="C441" s="21" t="n"/>
      <c r="D441" s="22" t="n"/>
      <c r="E441" s="22" t="n"/>
      <c r="F441" s="22" t="n"/>
      <c r="G441" s="22" t="n"/>
      <c r="H441" s="23" t="n"/>
      <c r="I441" s="24">
        <f>IF(OR(C441="",NOT(ISNUMBER(B441))),"",UPPER(IF(IFERROR(IF(INDEX(Products!$C$6:$C$45,MATCH(C441,Products!$B$6:$B$45,0))="","",INDEX(Products!$C$6:$C$45,MATCH(C441,Products!$B$6:$B$45,0))),"")="",LEFT(SUBSTITUTE(C441," ",""),3),IFERROR(IF(INDEX(Products!$C$6:$C$45,MATCH(C441,Products!$B$6:$B$45,0))="","",INDEX(Products!$C$6:$C$45,MATCH(C441,Products!$B$6:$B$45,0))),"")))&amp;"-"&amp;RIGHT(YEAR(B441),2)&amp;RIGHT("0"&amp;MONTH(B441),2)&amp;RIGHT("0"&amp;DAY(B441),2)&amp;"-"&amp;COUNTIFS(C$6:C441,C441,B$6:B441,B441))</f>
        <v/>
      </c>
      <c r="J441" s="14">
        <f>IF(OR(C441="",NOT(ISNUMBER(B441)),N(P441)=0),"",B441+P441)</f>
        <v/>
      </c>
      <c r="K441" s="25">
        <f>IF(C441="","",N(D441)-N(E441)-N(F441)-N(G441))</f>
        <v/>
      </c>
      <c r="L441" s="13">
        <f>IF(OR(C441="",N(K441)&lt;=0,NOT(ISNUMBER(J441))),"",J441-TODAY())</f>
        <v/>
      </c>
      <c r="M441" s="12">
        <f>IF(C441="","",IF(N(K441)&lt;=0,"Sold out",IF(NOT(ISNUMBER(J441)),"In stock",IF(J441&lt;TODAY(),"Past its date",IF(J441-TODAY()&lt;=Settings!$C$5,"Use soon","In stock")))))</f>
        <v/>
      </c>
      <c r="N441" s="26">
        <f>IF(C441="","",N(D441)*Q441)</f>
        <v/>
      </c>
      <c r="O441" s="1" t="n"/>
      <c r="P441">
        <f>IF(C441="",0,IFERROR(N(INDEX(Products!$E$6:$E$45,MATCH(C441,Products!$B$6:$B$45,0))),0))</f>
        <v/>
      </c>
      <c r="Q441">
        <f>IF(C441="",0,IFERROR(N(INDEX(Products!$I$6:$I$45,MATCH(C441,Products!$B$6:$B$45,0))),0))</f>
        <v/>
      </c>
      <c r="R441">
        <f>IF(OR(C441="",NOT(ISNUMBER(B441))),"",YEAR(B441)*100+MONTH(B441))</f>
        <v/>
      </c>
      <c r="S441">
        <f>N(G441)*Q441</f>
        <v/>
      </c>
      <c r="T441">
        <f>IF(OR(M441="",M441="Sold out",NOT(ISNUMBER(J441))),"",J441*1000+ROW())</f>
        <v/>
      </c>
    </row>
    <row r="442">
      <c r="A442" s="1" t="n"/>
      <c r="B442" s="20" t="n"/>
      <c r="C442" s="21" t="n"/>
      <c r="D442" s="22" t="n"/>
      <c r="E442" s="22" t="n"/>
      <c r="F442" s="22" t="n"/>
      <c r="G442" s="22" t="n"/>
      <c r="H442" s="23" t="n"/>
      <c r="I442" s="24">
        <f>IF(OR(C442="",NOT(ISNUMBER(B442))),"",UPPER(IF(IFERROR(IF(INDEX(Products!$C$6:$C$45,MATCH(C442,Products!$B$6:$B$45,0))="","",INDEX(Products!$C$6:$C$45,MATCH(C442,Products!$B$6:$B$45,0))),"")="",LEFT(SUBSTITUTE(C442," ",""),3),IFERROR(IF(INDEX(Products!$C$6:$C$45,MATCH(C442,Products!$B$6:$B$45,0))="","",INDEX(Products!$C$6:$C$45,MATCH(C442,Products!$B$6:$B$45,0))),"")))&amp;"-"&amp;RIGHT(YEAR(B442),2)&amp;RIGHT("0"&amp;MONTH(B442),2)&amp;RIGHT("0"&amp;DAY(B442),2)&amp;"-"&amp;COUNTIFS(C$6:C442,C442,B$6:B442,B442))</f>
        <v/>
      </c>
      <c r="J442" s="14">
        <f>IF(OR(C442="",NOT(ISNUMBER(B442)),N(P442)=0),"",B442+P442)</f>
        <v/>
      </c>
      <c r="K442" s="25">
        <f>IF(C442="","",N(D442)-N(E442)-N(F442)-N(G442))</f>
        <v/>
      </c>
      <c r="L442" s="13">
        <f>IF(OR(C442="",N(K442)&lt;=0,NOT(ISNUMBER(J442))),"",J442-TODAY())</f>
        <v/>
      </c>
      <c r="M442" s="12">
        <f>IF(C442="","",IF(N(K442)&lt;=0,"Sold out",IF(NOT(ISNUMBER(J442)),"In stock",IF(J442&lt;TODAY(),"Past its date",IF(J442-TODAY()&lt;=Settings!$C$5,"Use soon","In stock")))))</f>
        <v/>
      </c>
      <c r="N442" s="26">
        <f>IF(C442="","",N(D442)*Q442)</f>
        <v/>
      </c>
      <c r="O442" s="1" t="n"/>
      <c r="P442">
        <f>IF(C442="",0,IFERROR(N(INDEX(Products!$E$6:$E$45,MATCH(C442,Products!$B$6:$B$45,0))),0))</f>
        <v/>
      </c>
      <c r="Q442">
        <f>IF(C442="",0,IFERROR(N(INDEX(Products!$I$6:$I$45,MATCH(C442,Products!$B$6:$B$45,0))),0))</f>
        <v/>
      </c>
      <c r="R442">
        <f>IF(OR(C442="",NOT(ISNUMBER(B442))),"",YEAR(B442)*100+MONTH(B442))</f>
        <v/>
      </c>
      <c r="S442">
        <f>N(G442)*Q442</f>
        <v/>
      </c>
      <c r="T442">
        <f>IF(OR(M442="",M442="Sold out",NOT(ISNUMBER(J442))),"",J442*1000+ROW())</f>
        <v/>
      </c>
    </row>
    <row r="443">
      <c r="A443" s="1" t="n"/>
      <c r="B443" s="20" t="n"/>
      <c r="C443" s="21" t="n"/>
      <c r="D443" s="22" t="n"/>
      <c r="E443" s="22" t="n"/>
      <c r="F443" s="22" t="n"/>
      <c r="G443" s="22" t="n"/>
      <c r="H443" s="23" t="n"/>
      <c r="I443" s="24">
        <f>IF(OR(C443="",NOT(ISNUMBER(B443))),"",UPPER(IF(IFERROR(IF(INDEX(Products!$C$6:$C$45,MATCH(C443,Products!$B$6:$B$45,0))="","",INDEX(Products!$C$6:$C$45,MATCH(C443,Products!$B$6:$B$45,0))),"")="",LEFT(SUBSTITUTE(C443," ",""),3),IFERROR(IF(INDEX(Products!$C$6:$C$45,MATCH(C443,Products!$B$6:$B$45,0))="","",INDEX(Products!$C$6:$C$45,MATCH(C443,Products!$B$6:$B$45,0))),"")))&amp;"-"&amp;RIGHT(YEAR(B443),2)&amp;RIGHT("0"&amp;MONTH(B443),2)&amp;RIGHT("0"&amp;DAY(B443),2)&amp;"-"&amp;COUNTIFS(C$6:C443,C443,B$6:B443,B443))</f>
        <v/>
      </c>
      <c r="J443" s="14">
        <f>IF(OR(C443="",NOT(ISNUMBER(B443)),N(P443)=0),"",B443+P443)</f>
        <v/>
      </c>
      <c r="K443" s="25">
        <f>IF(C443="","",N(D443)-N(E443)-N(F443)-N(G443))</f>
        <v/>
      </c>
      <c r="L443" s="13">
        <f>IF(OR(C443="",N(K443)&lt;=0,NOT(ISNUMBER(J443))),"",J443-TODAY())</f>
        <v/>
      </c>
      <c r="M443" s="12">
        <f>IF(C443="","",IF(N(K443)&lt;=0,"Sold out",IF(NOT(ISNUMBER(J443)),"In stock",IF(J443&lt;TODAY(),"Past its date",IF(J443-TODAY()&lt;=Settings!$C$5,"Use soon","In stock")))))</f>
        <v/>
      </c>
      <c r="N443" s="26">
        <f>IF(C443="","",N(D443)*Q443)</f>
        <v/>
      </c>
      <c r="O443" s="1" t="n"/>
      <c r="P443">
        <f>IF(C443="",0,IFERROR(N(INDEX(Products!$E$6:$E$45,MATCH(C443,Products!$B$6:$B$45,0))),0))</f>
        <v/>
      </c>
      <c r="Q443">
        <f>IF(C443="",0,IFERROR(N(INDEX(Products!$I$6:$I$45,MATCH(C443,Products!$B$6:$B$45,0))),0))</f>
        <v/>
      </c>
      <c r="R443">
        <f>IF(OR(C443="",NOT(ISNUMBER(B443))),"",YEAR(B443)*100+MONTH(B443))</f>
        <v/>
      </c>
      <c r="S443">
        <f>N(G443)*Q443</f>
        <v/>
      </c>
      <c r="T443">
        <f>IF(OR(M443="",M443="Sold out",NOT(ISNUMBER(J443))),"",J443*1000+ROW())</f>
        <v/>
      </c>
    </row>
    <row r="444">
      <c r="A444" s="1" t="n"/>
      <c r="B444" s="20" t="n"/>
      <c r="C444" s="21" t="n"/>
      <c r="D444" s="22" t="n"/>
      <c r="E444" s="22" t="n"/>
      <c r="F444" s="22" t="n"/>
      <c r="G444" s="22" t="n"/>
      <c r="H444" s="23" t="n"/>
      <c r="I444" s="24">
        <f>IF(OR(C444="",NOT(ISNUMBER(B444))),"",UPPER(IF(IFERROR(IF(INDEX(Products!$C$6:$C$45,MATCH(C444,Products!$B$6:$B$45,0))="","",INDEX(Products!$C$6:$C$45,MATCH(C444,Products!$B$6:$B$45,0))),"")="",LEFT(SUBSTITUTE(C444," ",""),3),IFERROR(IF(INDEX(Products!$C$6:$C$45,MATCH(C444,Products!$B$6:$B$45,0))="","",INDEX(Products!$C$6:$C$45,MATCH(C444,Products!$B$6:$B$45,0))),"")))&amp;"-"&amp;RIGHT(YEAR(B444),2)&amp;RIGHT("0"&amp;MONTH(B444),2)&amp;RIGHT("0"&amp;DAY(B444),2)&amp;"-"&amp;COUNTIFS(C$6:C444,C444,B$6:B444,B444))</f>
        <v/>
      </c>
      <c r="J444" s="14">
        <f>IF(OR(C444="",NOT(ISNUMBER(B444)),N(P444)=0),"",B444+P444)</f>
        <v/>
      </c>
      <c r="K444" s="25">
        <f>IF(C444="","",N(D444)-N(E444)-N(F444)-N(G444))</f>
        <v/>
      </c>
      <c r="L444" s="13">
        <f>IF(OR(C444="",N(K444)&lt;=0,NOT(ISNUMBER(J444))),"",J444-TODAY())</f>
        <v/>
      </c>
      <c r="M444" s="12">
        <f>IF(C444="","",IF(N(K444)&lt;=0,"Sold out",IF(NOT(ISNUMBER(J444)),"In stock",IF(J444&lt;TODAY(),"Past its date",IF(J444-TODAY()&lt;=Settings!$C$5,"Use soon","In stock")))))</f>
        <v/>
      </c>
      <c r="N444" s="26">
        <f>IF(C444="","",N(D444)*Q444)</f>
        <v/>
      </c>
      <c r="O444" s="1" t="n"/>
      <c r="P444">
        <f>IF(C444="",0,IFERROR(N(INDEX(Products!$E$6:$E$45,MATCH(C444,Products!$B$6:$B$45,0))),0))</f>
        <v/>
      </c>
      <c r="Q444">
        <f>IF(C444="",0,IFERROR(N(INDEX(Products!$I$6:$I$45,MATCH(C444,Products!$B$6:$B$45,0))),0))</f>
        <v/>
      </c>
      <c r="R444">
        <f>IF(OR(C444="",NOT(ISNUMBER(B444))),"",YEAR(B444)*100+MONTH(B444))</f>
        <v/>
      </c>
      <c r="S444">
        <f>N(G444)*Q444</f>
        <v/>
      </c>
      <c r="T444">
        <f>IF(OR(M444="",M444="Sold out",NOT(ISNUMBER(J444))),"",J444*1000+ROW())</f>
        <v/>
      </c>
    </row>
    <row r="445">
      <c r="A445" s="1" t="n"/>
      <c r="B445" s="20" t="n"/>
      <c r="C445" s="21" t="n"/>
      <c r="D445" s="22" t="n"/>
      <c r="E445" s="22" t="n"/>
      <c r="F445" s="22" t="n"/>
      <c r="G445" s="22" t="n"/>
      <c r="H445" s="23" t="n"/>
      <c r="I445" s="24">
        <f>IF(OR(C445="",NOT(ISNUMBER(B445))),"",UPPER(IF(IFERROR(IF(INDEX(Products!$C$6:$C$45,MATCH(C445,Products!$B$6:$B$45,0))="","",INDEX(Products!$C$6:$C$45,MATCH(C445,Products!$B$6:$B$45,0))),"")="",LEFT(SUBSTITUTE(C445," ",""),3),IFERROR(IF(INDEX(Products!$C$6:$C$45,MATCH(C445,Products!$B$6:$B$45,0))="","",INDEX(Products!$C$6:$C$45,MATCH(C445,Products!$B$6:$B$45,0))),"")))&amp;"-"&amp;RIGHT(YEAR(B445),2)&amp;RIGHT("0"&amp;MONTH(B445),2)&amp;RIGHT("0"&amp;DAY(B445),2)&amp;"-"&amp;COUNTIFS(C$6:C445,C445,B$6:B445,B445))</f>
        <v/>
      </c>
      <c r="J445" s="14">
        <f>IF(OR(C445="",NOT(ISNUMBER(B445)),N(P445)=0),"",B445+P445)</f>
        <v/>
      </c>
      <c r="K445" s="25">
        <f>IF(C445="","",N(D445)-N(E445)-N(F445)-N(G445))</f>
        <v/>
      </c>
      <c r="L445" s="13">
        <f>IF(OR(C445="",N(K445)&lt;=0,NOT(ISNUMBER(J445))),"",J445-TODAY())</f>
        <v/>
      </c>
      <c r="M445" s="12">
        <f>IF(C445="","",IF(N(K445)&lt;=0,"Sold out",IF(NOT(ISNUMBER(J445)),"In stock",IF(J445&lt;TODAY(),"Past its date",IF(J445-TODAY()&lt;=Settings!$C$5,"Use soon","In stock")))))</f>
        <v/>
      </c>
      <c r="N445" s="26">
        <f>IF(C445="","",N(D445)*Q445)</f>
        <v/>
      </c>
      <c r="O445" s="1" t="n"/>
      <c r="P445">
        <f>IF(C445="",0,IFERROR(N(INDEX(Products!$E$6:$E$45,MATCH(C445,Products!$B$6:$B$45,0))),0))</f>
        <v/>
      </c>
      <c r="Q445">
        <f>IF(C445="",0,IFERROR(N(INDEX(Products!$I$6:$I$45,MATCH(C445,Products!$B$6:$B$45,0))),0))</f>
        <v/>
      </c>
      <c r="R445">
        <f>IF(OR(C445="",NOT(ISNUMBER(B445))),"",YEAR(B445)*100+MONTH(B445))</f>
        <v/>
      </c>
      <c r="S445">
        <f>N(G445)*Q445</f>
        <v/>
      </c>
      <c r="T445">
        <f>IF(OR(M445="",M445="Sold out",NOT(ISNUMBER(J445))),"",J445*1000+ROW())</f>
        <v/>
      </c>
    </row>
    <row r="446">
      <c r="A446" s="1" t="n"/>
      <c r="B446" s="20" t="n"/>
      <c r="C446" s="21" t="n"/>
      <c r="D446" s="22" t="n"/>
      <c r="E446" s="22" t="n"/>
      <c r="F446" s="22" t="n"/>
      <c r="G446" s="22" t="n"/>
      <c r="H446" s="23" t="n"/>
      <c r="I446" s="24">
        <f>IF(OR(C446="",NOT(ISNUMBER(B446))),"",UPPER(IF(IFERROR(IF(INDEX(Products!$C$6:$C$45,MATCH(C446,Products!$B$6:$B$45,0))="","",INDEX(Products!$C$6:$C$45,MATCH(C446,Products!$B$6:$B$45,0))),"")="",LEFT(SUBSTITUTE(C446," ",""),3),IFERROR(IF(INDEX(Products!$C$6:$C$45,MATCH(C446,Products!$B$6:$B$45,0))="","",INDEX(Products!$C$6:$C$45,MATCH(C446,Products!$B$6:$B$45,0))),"")))&amp;"-"&amp;RIGHT(YEAR(B446),2)&amp;RIGHT("0"&amp;MONTH(B446),2)&amp;RIGHT("0"&amp;DAY(B446),2)&amp;"-"&amp;COUNTIFS(C$6:C446,C446,B$6:B446,B446))</f>
        <v/>
      </c>
      <c r="J446" s="14">
        <f>IF(OR(C446="",NOT(ISNUMBER(B446)),N(P446)=0),"",B446+P446)</f>
        <v/>
      </c>
      <c r="K446" s="25">
        <f>IF(C446="","",N(D446)-N(E446)-N(F446)-N(G446))</f>
        <v/>
      </c>
      <c r="L446" s="13">
        <f>IF(OR(C446="",N(K446)&lt;=0,NOT(ISNUMBER(J446))),"",J446-TODAY())</f>
        <v/>
      </c>
      <c r="M446" s="12">
        <f>IF(C446="","",IF(N(K446)&lt;=0,"Sold out",IF(NOT(ISNUMBER(J446)),"In stock",IF(J446&lt;TODAY(),"Past its date",IF(J446-TODAY()&lt;=Settings!$C$5,"Use soon","In stock")))))</f>
        <v/>
      </c>
      <c r="N446" s="26">
        <f>IF(C446="","",N(D446)*Q446)</f>
        <v/>
      </c>
      <c r="O446" s="1" t="n"/>
      <c r="P446">
        <f>IF(C446="",0,IFERROR(N(INDEX(Products!$E$6:$E$45,MATCH(C446,Products!$B$6:$B$45,0))),0))</f>
        <v/>
      </c>
      <c r="Q446">
        <f>IF(C446="",0,IFERROR(N(INDEX(Products!$I$6:$I$45,MATCH(C446,Products!$B$6:$B$45,0))),0))</f>
        <v/>
      </c>
      <c r="R446">
        <f>IF(OR(C446="",NOT(ISNUMBER(B446))),"",YEAR(B446)*100+MONTH(B446))</f>
        <v/>
      </c>
      <c r="S446">
        <f>N(G446)*Q446</f>
        <v/>
      </c>
      <c r="T446">
        <f>IF(OR(M446="",M446="Sold out",NOT(ISNUMBER(J446))),"",J446*1000+ROW())</f>
        <v/>
      </c>
    </row>
    <row r="447">
      <c r="A447" s="1" t="n"/>
      <c r="B447" s="20" t="n"/>
      <c r="C447" s="21" t="n"/>
      <c r="D447" s="22" t="n"/>
      <c r="E447" s="22" t="n"/>
      <c r="F447" s="22" t="n"/>
      <c r="G447" s="22" t="n"/>
      <c r="H447" s="23" t="n"/>
      <c r="I447" s="24">
        <f>IF(OR(C447="",NOT(ISNUMBER(B447))),"",UPPER(IF(IFERROR(IF(INDEX(Products!$C$6:$C$45,MATCH(C447,Products!$B$6:$B$45,0))="","",INDEX(Products!$C$6:$C$45,MATCH(C447,Products!$B$6:$B$45,0))),"")="",LEFT(SUBSTITUTE(C447," ",""),3),IFERROR(IF(INDEX(Products!$C$6:$C$45,MATCH(C447,Products!$B$6:$B$45,0))="","",INDEX(Products!$C$6:$C$45,MATCH(C447,Products!$B$6:$B$45,0))),"")))&amp;"-"&amp;RIGHT(YEAR(B447),2)&amp;RIGHT("0"&amp;MONTH(B447),2)&amp;RIGHT("0"&amp;DAY(B447),2)&amp;"-"&amp;COUNTIFS(C$6:C447,C447,B$6:B447,B447))</f>
        <v/>
      </c>
      <c r="J447" s="14">
        <f>IF(OR(C447="",NOT(ISNUMBER(B447)),N(P447)=0),"",B447+P447)</f>
        <v/>
      </c>
      <c r="K447" s="25">
        <f>IF(C447="","",N(D447)-N(E447)-N(F447)-N(G447))</f>
        <v/>
      </c>
      <c r="L447" s="13">
        <f>IF(OR(C447="",N(K447)&lt;=0,NOT(ISNUMBER(J447))),"",J447-TODAY())</f>
        <v/>
      </c>
      <c r="M447" s="12">
        <f>IF(C447="","",IF(N(K447)&lt;=0,"Sold out",IF(NOT(ISNUMBER(J447)),"In stock",IF(J447&lt;TODAY(),"Past its date",IF(J447-TODAY()&lt;=Settings!$C$5,"Use soon","In stock")))))</f>
        <v/>
      </c>
      <c r="N447" s="26">
        <f>IF(C447="","",N(D447)*Q447)</f>
        <v/>
      </c>
      <c r="O447" s="1" t="n"/>
      <c r="P447">
        <f>IF(C447="",0,IFERROR(N(INDEX(Products!$E$6:$E$45,MATCH(C447,Products!$B$6:$B$45,0))),0))</f>
        <v/>
      </c>
      <c r="Q447">
        <f>IF(C447="",0,IFERROR(N(INDEX(Products!$I$6:$I$45,MATCH(C447,Products!$B$6:$B$45,0))),0))</f>
        <v/>
      </c>
      <c r="R447">
        <f>IF(OR(C447="",NOT(ISNUMBER(B447))),"",YEAR(B447)*100+MONTH(B447))</f>
        <v/>
      </c>
      <c r="S447">
        <f>N(G447)*Q447</f>
        <v/>
      </c>
      <c r="T447">
        <f>IF(OR(M447="",M447="Sold out",NOT(ISNUMBER(J447))),"",J447*1000+ROW())</f>
        <v/>
      </c>
    </row>
    <row r="448">
      <c r="A448" s="1" t="n"/>
      <c r="B448" s="20" t="n"/>
      <c r="C448" s="21" t="n"/>
      <c r="D448" s="22" t="n"/>
      <c r="E448" s="22" t="n"/>
      <c r="F448" s="22" t="n"/>
      <c r="G448" s="22" t="n"/>
      <c r="H448" s="23" t="n"/>
      <c r="I448" s="24">
        <f>IF(OR(C448="",NOT(ISNUMBER(B448))),"",UPPER(IF(IFERROR(IF(INDEX(Products!$C$6:$C$45,MATCH(C448,Products!$B$6:$B$45,0))="","",INDEX(Products!$C$6:$C$45,MATCH(C448,Products!$B$6:$B$45,0))),"")="",LEFT(SUBSTITUTE(C448," ",""),3),IFERROR(IF(INDEX(Products!$C$6:$C$45,MATCH(C448,Products!$B$6:$B$45,0))="","",INDEX(Products!$C$6:$C$45,MATCH(C448,Products!$B$6:$B$45,0))),"")))&amp;"-"&amp;RIGHT(YEAR(B448),2)&amp;RIGHT("0"&amp;MONTH(B448),2)&amp;RIGHT("0"&amp;DAY(B448),2)&amp;"-"&amp;COUNTIFS(C$6:C448,C448,B$6:B448,B448))</f>
        <v/>
      </c>
      <c r="J448" s="14">
        <f>IF(OR(C448="",NOT(ISNUMBER(B448)),N(P448)=0),"",B448+P448)</f>
        <v/>
      </c>
      <c r="K448" s="25">
        <f>IF(C448="","",N(D448)-N(E448)-N(F448)-N(G448))</f>
        <v/>
      </c>
      <c r="L448" s="13">
        <f>IF(OR(C448="",N(K448)&lt;=0,NOT(ISNUMBER(J448))),"",J448-TODAY())</f>
        <v/>
      </c>
      <c r="M448" s="12">
        <f>IF(C448="","",IF(N(K448)&lt;=0,"Sold out",IF(NOT(ISNUMBER(J448)),"In stock",IF(J448&lt;TODAY(),"Past its date",IF(J448-TODAY()&lt;=Settings!$C$5,"Use soon","In stock")))))</f>
        <v/>
      </c>
      <c r="N448" s="26">
        <f>IF(C448="","",N(D448)*Q448)</f>
        <v/>
      </c>
      <c r="O448" s="1" t="n"/>
      <c r="P448">
        <f>IF(C448="",0,IFERROR(N(INDEX(Products!$E$6:$E$45,MATCH(C448,Products!$B$6:$B$45,0))),0))</f>
        <v/>
      </c>
      <c r="Q448">
        <f>IF(C448="",0,IFERROR(N(INDEX(Products!$I$6:$I$45,MATCH(C448,Products!$B$6:$B$45,0))),0))</f>
        <v/>
      </c>
      <c r="R448">
        <f>IF(OR(C448="",NOT(ISNUMBER(B448))),"",YEAR(B448)*100+MONTH(B448))</f>
        <v/>
      </c>
      <c r="S448">
        <f>N(G448)*Q448</f>
        <v/>
      </c>
      <c r="T448">
        <f>IF(OR(M448="",M448="Sold out",NOT(ISNUMBER(J448))),"",J448*1000+ROW())</f>
        <v/>
      </c>
    </row>
    <row r="449">
      <c r="A449" s="1" t="n"/>
      <c r="B449" s="20" t="n"/>
      <c r="C449" s="21" t="n"/>
      <c r="D449" s="22" t="n"/>
      <c r="E449" s="22" t="n"/>
      <c r="F449" s="22" t="n"/>
      <c r="G449" s="22" t="n"/>
      <c r="H449" s="23" t="n"/>
      <c r="I449" s="24">
        <f>IF(OR(C449="",NOT(ISNUMBER(B449))),"",UPPER(IF(IFERROR(IF(INDEX(Products!$C$6:$C$45,MATCH(C449,Products!$B$6:$B$45,0))="","",INDEX(Products!$C$6:$C$45,MATCH(C449,Products!$B$6:$B$45,0))),"")="",LEFT(SUBSTITUTE(C449," ",""),3),IFERROR(IF(INDEX(Products!$C$6:$C$45,MATCH(C449,Products!$B$6:$B$45,0))="","",INDEX(Products!$C$6:$C$45,MATCH(C449,Products!$B$6:$B$45,0))),"")))&amp;"-"&amp;RIGHT(YEAR(B449),2)&amp;RIGHT("0"&amp;MONTH(B449),2)&amp;RIGHT("0"&amp;DAY(B449),2)&amp;"-"&amp;COUNTIFS(C$6:C449,C449,B$6:B449,B449))</f>
        <v/>
      </c>
      <c r="J449" s="14">
        <f>IF(OR(C449="",NOT(ISNUMBER(B449)),N(P449)=0),"",B449+P449)</f>
        <v/>
      </c>
      <c r="K449" s="25">
        <f>IF(C449="","",N(D449)-N(E449)-N(F449)-N(G449))</f>
        <v/>
      </c>
      <c r="L449" s="13">
        <f>IF(OR(C449="",N(K449)&lt;=0,NOT(ISNUMBER(J449))),"",J449-TODAY())</f>
        <v/>
      </c>
      <c r="M449" s="12">
        <f>IF(C449="","",IF(N(K449)&lt;=0,"Sold out",IF(NOT(ISNUMBER(J449)),"In stock",IF(J449&lt;TODAY(),"Past its date",IF(J449-TODAY()&lt;=Settings!$C$5,"Use soon","In stock")))))</f>
        <v/>
      </c>
      <c r="N449" s="26">
        <f>IF(C449="","",N(D449)*Q449)</f>
        <v/>
      </c>
      <c r="O449" s="1" t="n"/>
      <c r="P449">
        <f>IF(C449="",0,IFERROR(N(INDEX(Products!$E$6:$E$45,MATCH(C449,Products!$B$6:$B$45,0))),0))</f>
        <v/>
      </c>
      <c r="Q449">
        <f>IF(C449="",0,IFERROR(N(INDEX(Products!$I$6:$I$45,MATCH(C449,Products!$B$6:$B$45,0))),0))</f>
        <v/>
      </c>
      <c r="R449">
        <f>IF(OR(C449="",NOT(ISNUMBER(B449))),"",YEAR(B449)*100+MONTH(B449))</f>
        <v/>
      </c>
      <c r="S449">
        <f>N(G449)*Q449</f>
        <v/>
      </c>
      <c r="T449">
        <f>IF(OR(M449="",M449="Sold out",NOT(ISNUMBER(J449))),"",J449*1000+ROW())</f>
        <v/>
      </c>
    </row>
    <row r="450">
      <c r="A450" s="1" t="n"/>
      <c r="B450" s="20" t="n"/>
      <c r="C450" s="21" t="n"/>
      <c r="D450" s="22" t="n"/>
      <c r="E450" s="22" t="n"/>
      <c r="F450" s="22" t="n"/>
      <c r="G450" s="22" t="n"/>
      <c r="H450" s="23" t="n"/>
      <c r="I450" s="24">
        <f>IF(OR(C450="",NOT(ISNUMBER(B450))),"",UPPER(IF(IFERROR(IF(INDEX(Products!$C$6:$C$45,MATCH(C450,Products!$B$6:$B$45,0))="","",INDEX(Products!$C$6:$C$45,MATCH(C450,Products!$B$6:$B$45,0))),"")="",LEFT(SUBSTITUTE(C450," ",""),3),IFERROR(IF(INDEX(Products!$C$6:$C$45,MATCH(C450,Products!$B$6:$B$45,0))="","",INDEX(Products!$C$6:$C$45,MATCH(C450,Products!$B$6:$B$45,0))),"")))&amp;"-"&amp;RIGHT(YEAR(B450),2)&amp;RIGHT("0"&amp;MONTH(B450),2)&amp;RIGHT("0"&amp;DAY(B450),2)&amp;"-"&amp;COUNTIFS(C$6:C450,C450,B$6:B450,B450))</f>
        <v/>
      </c>
      <c r="J450" s="14">
        <f>IF(OR(C450="",NOT(ISNUMBER(B450)),N(P450)=0),"",B450+P450)</f>
        <v/>
      </c>
      <c r="K450" s="25">
        <f>IF(C450="","",N(D450)-N(E450)-N(F450)-N(G450))</f>
        <v/>
      </c>
      <c r="L450" s="13">
        <f>IF(OR(C450="",N(K450)&lt;=0,NOT(ISNUMBER(J450))),"",J450-TODAY())</f>
        <v/>
      </c>
      <c r="M450" s="12">
        <f>IF(C450="","",IF(N(K450)&lt;=0,"Sold out",IF(NOT(ISNUMBER(J450)),"In stock",IF(J450&lt;TODAY(),"Past its date",IF(J450-TODAY()&lt;=Settings!$C$5,"Use soon","In stock")))))</f>
        <v/>
      </c>
      <c r="N450" s="26">
        <f>IF(C450="","",N(D450)*Q450)</f>
        <v/>
      </c>
      <c r="O450" s="1" t="n"/>
      <c r="P450">
        <f>IF(C450="",0,IFERROR(N(INDEX(Products!$E$6:$E$45,MATCH(C450,Products!$B$6:$B$45,0))),0))</f>
        <v/>
      </c>
      <c r="Q450">
        <f>IF(C450="",0,IFERROR(N(INDEX(Products!$I$6:$I$45,MATCH(C450,Products!$B$6:$B$45,0))),0))</f>
        <v/>
      </c>
      <c r="R450">
        <f>IF(OR(C450="",NOT(ISNUMBER(B450))),"",YEAR(B450)*100+MONTH(B450))</f>
        <v/>
      </c>
      <c r="S450">
        <f>N(G450)*Q450</f>
        <v/>
      </c>
      <c r="T450">
        <f>IF(OR(M450="",M450="Sold out",NOT(ISNUMBER(J450))),"",J450*1000+ROW())</f>
        <v/>
      </c>
    </row>
    <row r="451">
      <c r="A451" s="1" t="n"/>
      <c r="B451" s="20" t="n"/>
      <c r="C451" s="21" t="n"/>
      <c r="D451" s="22" t="n"/>
      <c r="E451" s="22" t="n"/>
      <c r="F451" s="22" t="n"/>
      <c r="G451" s="22" t="n"/>
      <c r="H451" s="23" t="n"/>
      <c r="I451" s="24">
        <f>IF(OR(C451="",NOT(ISNUMBER(B451))),"",UPPER(IF(IFERROR(IF(INDEX(Products!$C$6:$C$45,MATCH(C451,Products!$B$6:$B$45,0))="","",INDEX(Products!$C$6:$C$45,MATCH(C451,Products!$B$6:$B$45,0))),"")="",LEFT(SUBSTITUTE(C451," ",""),3),IFERROR(IF(INDEX(Products!$C$6:$C$45,MATCH(C451,Products!$B$6:$B$45,0))="","",INDEX(Products!$C$6:$C$45,MATCH(C451,Products!$B$6:$B$45,0))),"")))&amp;"-"&amp;RIGHT(YEAR(B451),2)&amp;RIGHT("0"&amp;MONTH(B451),2)&amp;RIGHT("0"&amp;DAY(B451),2)&amp;"-"&amp;COUNTIFS(C$6:C451,C451,B$6:B451,B451))</f>
        <v/>
      </c>
      <c r="J451" s="14">
        <f>IF(OR(C451="",NOT(ISNUMBER(B451)),N(P451)=0),"",B451+P451)</f>
        <v/>
      </c>
      <c r="K451" s="25">
        <f>IF(C451="","",N(D451)-N(E451)-N(F451)-N(G451))</f>
        <v/>
      </c>
      <c r="L451" s="13">
        <f>IF(OR(C451="",N(K451)&lt;=0,NOT(ISNUMBER(J451))),"",J451-TODAY())</f>
        <v/>
      </c>
      <c r="M451" s="12">
        <f>IF(C451="","",IF(N(K451)&lt;=0,"Sold out",IF(NOT(ISNUMBER(J451)),"In stock",IF(J451&lt;TODAY(),"Past its date",IF(J451-TODAY()&lt;=Settings!$C$5,"Use soon","In stock")))))</f>
        <v/>
      </c>
      <c r="N451" s="26">
        <f>IF(C451="","",N(D451)*Q451)</f>
        <v/>
      </c>
      <c r="O451" s="1" t="n"/>
      <c r="P451">
        <f>IF(C451="",0,IFERROR(N(INDEX(Products!$E$6:$E$45,MATCH(C451,Products!$B$6:$B$45,0))),0))</f>
        <v/>
      </c>
      <c r="Q451">
        <f>IF(C451="",0,IFERROR(N(INDEX(Products!$I$6:$I$45,MATCH(C451,Products!$B$6:$B$45,0))),0))</f>
        <v/>
      </c>
      <c r="R451">
        <f>IF(OR(C451="",NOT(ISNUMBER(B451))),"",YEAR(B451)*100+MONTH(B451))</f>
        <v/>
      </c>
      <c r="S451">
        <f>N(G451)*Q451</f>
        <v/>
      </c>
      <c r="T451">
        <f>IF(OR(M451="",M451="Sold out",NOT(ISNUMBER(J451))),"",J451*1000+ROW())</f>
        <v/>
      </c>
    </row>
    <row r="452">
      <c r="A452" s="1" t="n"/>
      <c r="B452" s="20" t="n"/>
      <c r="C452" s="21" t="n"/>
      <c r="D452" s="22" t="n"/>
      <c r="E452" s="22" t="n"/>
      <c r="F452" s="22" t="n"/>
      <c r="G452" s="22" t="n"/>
      <c r="H452" s="23" t="n"/>
      <c r="I452" s="24">
        <f>IF(OR(C452="",NOT(ISNUMBER(B452))),"",UPPER(IF(IFERROR(IF(INDEX(Products!$C$6:$C$45,MATCH(C452,Products!$B$6:$B$45,0))="","",INDEX(Products!$C$6:$C$45,MATCH(C452,Products!$B$6:$B$45,0))),"")="",LEFT(SUBSTITUTE(C452," ",""),3),IFERROR(IF(INDEX(Products!$C$6:$C$45,MATCH(C452,Products!$B$6:$B$45,0))="","",INDEX(Products!$C$6:$C$45,MATCH(C452,Products!$B$6:$B$45,0))),"")))&amp;"-"&amp;RIGHT(YEAR(B452),2)&amp;RIGHT("0"&amp;MONTH(B452),2)&amp;RIGHT("0"&amp;DAY(B452),2)&amp;"-"&amp;COUNTIFS(C$6:C452,C452,B$6:B452,B452))</f>
        <v/>
      </c>
      <c r="J452" s="14">
        <f>IF(OR(C452="",NOT(ISNUMBER(B452)),N(P452)=0),"",B452+P452)</f>
        <v/>
      </c>
      <c r="K452" s="25">
        <f>IF(C452="","",N(D452)-N(E452)-N(F452)-N(G452))</f>
        <v/>
      </c>
      <c r="L452" s="13">
        <f>IF(OR(C452="",N(K452)&lt;=0,NOT(ISNUMBER(J452))),"",J452-TODAY())</f>
        <v/>
      </c>
      <c r="M452" s="12">
        <f>IF(C452="","",IF(N(K452)&lt;=0,"Sold out",IF(NOT(ISNUMBER(J452)),"In stock",IF(J452&lt;TODAY(),"Past its date",IF(J452-TODAY()&lt;=Settings!$C$5,"Use soon","In stock")))))</f>
        <v/>
      </c>
      <c r="N452" s="26">
        <f>IF(C452="","",N(D452)*Q452)</f>
        <v/>
      </c>
      <c r="O452" s="1" t="n"/>
      <c r="P452">
        <f>IF(C452="",0,IFERROR(N(INDEX(Products!$E$6:$E$45,MATCH(C452,Products!$B$6:$B$45,0))),0))</f>
        <v/>
      </c>
      <c r="Q452">
        <f>IF(C452="",0,IFERROR(N(INDEX(Products!$I$6:$I$45,MATCH(C452,Products!$B$6:$B$45,0))),0))</f>
        <v/>
      </c>
      <c r="R452">
        <f>IF(OR(C452="",NOT(ISNUMBER(B452))),"",YEAR(B452)*100+MONTH(B452))</f>
        <v/>
      </c>
      <c r="S452">
        <f>N(G452)*Q452</f>
        <v/>
      </c>
      <c r="T452">
        <f>IF(OR(M452="",M452="Sold out",NOT(ISNUMBER(J452))),"",J452*1000+ROW())</f>
        <v/>
      </c>
    </row>
    <row r="453">
      <c r="A453" s="1" t="n"/>
      <c r="B453" s="20" t="n"/>
      <c r="C453" s="21" t="n"/>
      <c r="D453" s="22" t="n"/>
      <c r="E453" s="22" t="n"/>
      <c r="F453" s="22" t="n"/>
      <c r="G453" s="22" t="n"/>
      <c r="H453" s="23" t="n"/>
      <c r="I453" s="24">
        <f>IF(OR(C453="",NOT(ISNUMBER(B453))),"",UPPER(IF(IFERROR(IF(INDEX(Products!$C$6:$C$45,MATCH(C453,Products!$B$6:$B$45,0))="","",INDEX(Products!$C$6:$C$45,MATCH(C453,Products!$B$6:$B$45,0))),"")="",LEFT(SUBSTITUTE(C453," ",""),3),IFERROR(IF(INDEX(Products!$C$6:$C$45,MATCH(C453,Products!$B$6:$B$45,0))="","",INDEX(Products!$C$6:$C$45,MATCH(C453,Products!$B$6:$B$45,0))),"")))&amp;"-"&amp;RIGHT(YEAR(B453),2)&amp;RIGHT("0"&amp;MONTH(B453),2)&amp;RIGHT("0"&amp;DAY(B453),2)&amp;"-"&amp;COUNTIFS(C$6:C453,C453,B$6:B453,B453))</f>
        <v/>
      </c>
      <c r="J453" s="14">
        <f>IF(OR(C453="",NOT(ISNUMBER(B453)),N(P453)=0),"",B453+P453)</f>
        <v/>
      </c>
      <c r="K453" s="25">
        <f>IF(C453="","",N(D453)-N(E453)-N(F453)-N(G453))</f>
        <v/>
      </c>
      <c r="L453" s="13">
        <f>IF(OR(C453="",N(K453)&lt;=0,NOT(ISNUMBER(J453))),"",J453-TODAY())</f>
        <v/>
      </c>
      <c r="M453" s="12">
        <f>IF(C453="","",IF(N(K453)&lt;=0,"Sold out",IF(NOT(ISNUMBER(J453)),"In stock",IF(J453&lt;TODAY(),"Past its date",IF(J453-TODAY()&lt;=Settings!$C$5,"Use soon","In stock")))))</f>
        <v/>
      </c>
      <c r="N453" s="26">
        <f>IF(C453="","",N(D453)*Q453)</f>
        <v/>
      </c>
      <c r="O453" s="1" t="n"/>
      <c r="P453">
        <f>IF(C453="",0,IFERROR(N(INDEX(Products!$E$6:$E$45,MATCH(C453,Products!$B$6:$B$45,0))),0))</f>
        <v/>
      </c>
      <c r="Q453">
        <f>IF(C453="",0,IFERROR(N(INDEX(Products!$I$6:$I$45,MATCH(C453,Products!$B$6:$B$45,0))),0))</f>
        <v/>
      </c>
      <c r="R453">
        <f>IF(OR(C453="",NOT(ISNUMBER(B453))),"",YEAR(B453)*100+MONTH(B453))</f>
        <v/>
      </c>
      <c r="S453">
        <f>N(G453)*Q453</f>
        <v/>
      </c>
      <c r="T453">
        <f>IF(OR(M453="",M453="Sold out",NOT(ISNUMBER(J453))),"",J453*1000+ROW())</f>
        <v/>
      </c>
    </row>
    <row r="454">
      <c r="A454" s="1" t="n"/>
      <c r="B454" s="20" t="n"/>
      <c r="C454" s="21" t="n"/>
      <c r="D454" s="22" t="n"/>
      <c r="E454" s="22" t="n"/>
      <c r="F454" s="22" t="n"/>
      <c r="G454" s="22" t="n"/>
      <c r="H454" s="23" t="n"/>
      <c r="I454" s="24">
        <f>IF(OR(C454="",NOT(ISNUMBER(B454))),"",UPPER(IF(IFERROR(IF(INDEX(Products!$C$6:$C$45,MATCH(C454,Products!$B$6:$B$45,0))="","",INDEX(Products!$C$6:$C$45,MATCH(C454,Products!$B$6:$B$45,0))),"")="",LEFT(SUBSTITUTE(C454," ",""),3),IFERROR(IF(INDEX(Products!$C$6:$C$45,MATCH(C454,Products!$B$6:$B$45,0))="","",INDEX(Products!$C$6:$C$45,MATCH(C454,Products!$B$6:$B$45,0))),"")))&amp;"-"&amp;RIGHT(YEAR(B454),2)&amp;RIGHT("0"&amp;MONTH(B454),2)&amp;RIGHT("0"&amp;DAY(B454),2)&amp;"-"&amp;COUNTIFS(C$6:C454,C454,B$6:B454,B454))</f>
        <v/>
      </c>
      <c r="J454" s="14">
        <f>IF(OR(C454="",NOT(ISNUMBER(B454)),N(P454)=0),"",B454+P454)</f>
        <v/>
      </c>
      <c r="K454" s="25">
        <f>IF(C454="","",N(D454)-N(E454)-N(F454)-N(G454))</f>
        <v/>
      </c>
      <c r="L454" s="13">
        <f>IF(OR(C454="",N(K454)&lt;=0,NOT(ISNUMBER(J454))),"",J454-TODAY())</f>
        <v/>
      </c>
      <c r="M454" s="12">
        <f>IF(C454="","",IF(N(K454)&lt;=0,"Sold out",IF(NOT(ISNUMBER(J454)),"In stock",IF(J454&lt;TODAY(),"Past its date",IF(J454-TODAY()&lt;=Settings!$C$5,"Use soon","In stock")))))</f>
        <v/>
      </c>
      <c r="N454" s="26">
        <f>IF(C454="","",N(D454)*Q454)</f>
        <v/>
      </c>
      <c r="O454" s="1" t="n"/>
      <c r="P454">
        <f>IF(C454="",0,IFERROR(N(INDEX(Products!$E$6:$E$45,MATCH(C454,Products!$B$6:$B$45,0))),0))</f>
        <v/>
      </c>
      <c r="Q454">
        <f>IF(C454="",0,IFERROR(N(INDEX(Products!$I$6:$I$45,MATCH(C454,Products!$B$6:$B$45,0))),0))</f>
        <v/>
      </c>
      <c r="R454">
        <f>IF(OR(C454="",NOT(ISNUMBER(B454))),"",YEAR(B454)*100+MONTH(B454))</f>
        <v/>
      </c>
      <c r="S454">
        <f>N(G454)*Q454</f>
        <v/>
      </c>
      <c r="T454">
        <f>IF(OR(M454="",M454="Sold out",NOT(ISNUMBER(J454))),"",J454*1000+ROW())</f>
        <v/>
      </c>
    </row>
    <row r="455">
      <c r="A455" s="1" t="n"/>
      <c r="B455" s="20" t="n"/>
      <c r="C455" s="21" t="n"/>
      <c r="D455" s="22" t="n"/>
      <c r="E455" s="22" t="n"/>
      <c r="F455" s="22" t="n"/>
      <c r="G455" s="22" t="n"/>
      <c r="H455" s="23" t="n"/>
      <c r="I455" s="24">
        <f>IF(OR(C455="",NOT(ISNUMBER(B455))),"",UPPER(IF(IFERROR(IF(INDEX(Products!$C$6:$C$45,MATCH(C455,Products!$B$6:$B$45,0))="","",INDEX(Products!$C$6:$C$45,MATCH(C455,Products!$B$6:$B$45,0))),"")="",LEFT(SUBSTITUTE(C455," ",""),3),IFERROR(IF(INDEX(Products!$C$6:$C$45,MATCH(C455,Products!$B$6:$B$45,0))="","",INDEX(Products!$C$6:$C$45,MATCH(C455,Products!$B$6:$B$45,0))),"")))&amp;"-"&amp;RIGHT(YEAR(B455),2)&amp;RIGHT("0"&amp;MONTH(B455),2)&amp;RIGHT("0"&amp;DAY(B455),2)&amp;"-"&amp;COUNTIFS(C$6:C455,C455,B$6:B455,B455))</f>
        <v/>
      </c>
      <c r="J455" s="14">
        <f>IF(OR(C455="",NOT(ISNUMBER(B455)),N(P455)=0),"",B455+P455)</f>
        <v/>
      </c>
      <c r="K455" s="25">
        <f>IF(C455="","",N(D455)-N(E455)-N(F455)-N(G455))</f>
        <v/>
      </c>
      <c r="L455" s="13">
        <f>IF(OR(C455="",N(K455)&lt;=0,NOT(ISNUMBER(J455))),"",J455-TODAY())</f>
        <v/>
      </c>
      <c r="M455" s="12">
        <f>IF(C455="","",IF(N(K455)&lt;=0,"Sold out",IF(NOT(ISNUMBER(J455)),"In stock",IF(J455&lt;TODAY(),"Past its date",IF(J455-TODAY()&lt;=Settings!$C$5,"Use soon","In stock")))))</f>
        <v/>
      </c>
      <c r="N455" s="26">
        <f>IF(C455="","",N(D455)*Q455)</f>
        <v/>
      </c>
      <c r="O455" s="1" t="n"/>
      <c r="P455">
        <f>IF(C455="",0,IFERROR(N(INDEX(Products!$E$6:$E$45,MATCH(C455,Products!$B$6:$B$45,0))),0))</f>
        <v/>
      </c>
      <c r="Q455">
        <f>IF(C455="",0,IFERROR(N(INDEX(Products!$I$6:$I$45,MATCH(C455,Products!$B$6:$B$45,0))),0))</f>
        <v/>
      </c>
      <c r="R455">
        <f>IF(OR(C455="",NOT(ISNUMBER(B455))),"",YEAR(B455)*100+MONTH(B455))</f>
        <v/>
      </c>
      <c r="S455">
        <f>N(G455)*Q455</f>
        <v/>
      </c>
      <c r="T455">
        <f>IF(OR(M455="",M455="Sold out",NOT(ISNUMBER(J455))),"",J455*1000+ROW())</f>
        <v/>
      </c>
    </row>
    <row r="456">
      <c r="A456" s="1" t="n"/>
      <c r="B456" s="20" t="n"/>
      <c r="C456" s="21" t="n"/>
      <c r="D456" s="22" t="n"/>
      <c r="E456" s="22" t="n"/>
      <c r="F456" s="22" t="n"/>
      <c r="G456" s="22" t="n"/>
      <c r="H456" s="23" t="n"/>
      <c r="I456" s="24">
        <f>IF(OR(C456="",NOT(ISNUMBER(B456))),"",UPPER(IF(IFERROR(IF(INDEX(Products!$C$6:$C$45,MATCH(C456,Products!$B$6:$B$45,0))="","",INDEX(Products!$C$6:$C$45,MATCH(C456,Products!$B$6:$B$45,0))),"")="",LEFT(SUBSTITUTE(C456," ",""),3),IFERROR(IF(INDEX(Products!$C$6:$C$45,MATCH(C456,Products!$B$6:$B$45,0))="","",INDEX(Products!$C$6:$C$45,MATCH(C456,Products!$B$6:$B$45,0))),"")))&amp;"-"&amp;RIGHT(YEAR(B456),2)&amp;RIGHT("0"&amp;MONTH(B456),2)&amp;RIGHT("0"&amp;DAY(B456),2)&amp;"-"&amp;COUNTIFS(C$6:C456,C456,B$6:B456,B456))</f>
        <v/>
      </c>
      <c r="J456" s="14">
        <f>IF(OR(C456="",NOT(ISNUMBER(B456)),N(P456)=0),"",B456+P456)</f>
        <v/>
      </c>
      <c r="K456" s="25">
        <f>IF(C456="","",N(D456)-N(E456)-N(F456)-N(G456))</f>
        <v/>
      </c>
      <c r="L456" s="13">
        <f>IF(OR(C456="",N(K456)&lt;=0,NOT(ISNUMBER(J456))),"",J456-TODAY())</f>
        <v/>
      </c>
      <c r="M456" s="12">
        <f>IF(C456="","",IF(N(K456)&lt;=0,"Sold out",IF(NOT(ISNUMBER(J456)),"In stock",IF(J456&lt;TODAY(),"Past its date",IF(J456-TODAY()&lt;=Settings!$C$5,"Use soon","In stock")))))</f>
        <v/>
      </c>
      <c r="N456" s="26">
        <f>IF(C456="","",N(D456)*Q456)</f>
        <v/>
      </c>
      <c r="O456" s="1" t="n"/>
      <c r="P456">
        <f>IF(C456="",0,IFERROR(N(INDEX(Products!$E$6:$E$45,MATCH(C456,Products!$B$6:$B$45,0))),0))</f>
        <v/>
      </c>
      <c r="Q456">
        <f>IF(C456="",0,IFERROR(N(INDEX(Products!$I$6:$I$45,MATCH(C456,Products!$B$6:$B$45,0))),0))</f>
        <v/>
      </c>
      <c r="R456">
        <f>IF(OR(C456="",NOT(ISNUMBER(B456))),"",YEAR(B456)*100+MONTH(B456))</f>
        <v/>
      </c>
      <c r="S456">
        <f>N(G456)*Q456</f>
        <v/>
      </c>
      <c r="T456">
        <f>IF(OR(M456="",M456="Sold out",NOT(ISNUMBER(J456))),"",J456*1000+ROW())</f>
        <v/>
      </c>
    </row>
    <row r="457">
      <c r="A457" s="1" t="n"/>
      <c r="B457" s="20" t="n"/>
      <c r="C457" s="21" t="n"/>
      <c r="D457" s="22" t="n"/>
      <c r="E457" s="22" t="n"/>
      <c r="F457" s="22" t="n"/>
      <c r="G457" s="22" t="n"/>
      <c r="H457" s="23" t="n"/>
      <c r="I457" s="24">
        <f>IF(OR(C457="",NOT(ISNUMBER(B457))),"",UPPER(IF(IFERROR(IF(INDEX(Products!$C$6:$C$45,MATCH(C457,Products!$B$6:$B$45,0))="","",INDEX(Products!$C$6:$C$45,MATCH(C457,Products!$B$6:$B$45,0))),"")="",LEFT(SUBSTITUTE(C457," ",""),3),IFERROR(IF(INDEX(Products!$C$6:$C$45,MATCH(C457,Products!$B$6:$B$45,0))="","",INDEX(Products!$C$6:$C$45,MATCH(C457,Products!$B$6:$B$45,0))),"")))&amp;"-"&amp;RIGHT(YEAR(B457),2)&amp;RIGHT("0"&amp;MONTH(B457),2)&amp;RIGHT("0"&amp;DAY(B457),2)&amp;"-"&amp;COUNTIFS(C$6:C457,C457,B$6:B457,B457))</f>
        <v/>
      </c>
      <c r="J457" s="14">
        <f>IF(OR(C457="",NOT(ISNUMBER(B457)),N(P457)=0),"",B457+P457)</f>
        <v/>
      </c>
      <c r="K457" s="25">
        <f>IF(C457="","",N(D457)-N(E457)-N(F457)-N(G457))</f>
        <v/>
      </c>
      <c r="L457" s="13">
        <f>IF(OR(C457="",N(K457)&lt;=0,NOT(ISNUMBER(J457))),"",J457-TODAY())</f>
        <v/>
      </c>
      <c r="M457" s="12">
        <f>IF(C457="","",IF(N(K457)&lt;=0,"Sold out",IF(NOT(ISNUMBER(J457)),"In stock",IF(J457&lt;TODAY(),"Past its date",IF(J457-TODAY()&lt;=Settings!$C$5,"Use soon","In stock")))))</f>
        <v/>
      </c>
      <c r="N457" s="26">
        <f>IF(C457="","",N(D457)*Q457)</f>
        <v/>
      </c>
      <c r="O457" s="1" t="n"/>
      <c r="P457">
        <f>IF(C457="",0,IFERROR(N(INDEX(Products!$E$6:$E$45,MATCH(C457,Products!$B$6:$B$45,0))),0))</f>
        <v/>
      </c>
      <c r="Q457">
        <f>IF(C457="",0,IFERROR(N(INDEX(Products!$I$6:$I$45,MATCH(C457,Products!$B$6:$B$45,0))),0))</f>
        <v/>
      </c>
      <c r="R457">
        <f>IF(OR(C457="",NOT(ISNUMBER(B457))),"",YEAR(B457)*100+MONTH(B457))</f>
        <v/>
      </c>
      <c r="S457">
        <f>N(G457)*Q457</f>
        <v/>
      </c>
      <c r="T457">
        <f>IF(OR(M457="",M457="Sold out",NOT(ISNUMBER(J457))),"",J457*1000+ROW())</f>
        <v/>
      </c>
    </row>
    <row r="458">
      <c r="A458" s="1" t="n"/>
      <c r="B458" s="20" t="n"/>
      <c r="C458" s="21" t="n"/>
      <c r="D458" s="22" t="n"/>
      <c r="E458" s="22" t="n"/>
      <c r="F458" s="22" t="n"/>
      <c r="G458" s="22" t="n"/>
      <c r="H458" s="23" t="n"/>
      <c r="I458" s="24">
        <f>IF(OR(C458="",NOT(ISNUMBER(B458))),"",UPPER(IF(IFERROR(IF(INDEX(Products!$C$6:$C$45,MATCH(C458,Products!$B$6:$B$45,0))="","",INDEX(Products!$C$6:$C$45,MATCH(C458,Products!$B$6:$B$45,0))),"")="",LEFT(SUBSTITUTE(C458," ",""),3),IFERROR(IF(INDEX(Products!$C$6:$C$45,MATCH(C458,Products!$B$6:$B$45,0))="","",INDEX(Products!$C$6:$C$45,MATCH(C458,Products!$B$6:$B$45,0))),"")))&amp;"-"&amp;RIGHT(YEAR(B458),2)&amp;RIGHT("0"&amp;MONTH(B458),2)&amp;RIGHT("0"&amp;DAY(B458),2)&amp;"-"&amp;COUNTIFS(C$6:C458,C458,B$6:B458,B458))</f>
        <v/>
      </c>
      <c r="J458" s="14">
        <f>IF(OR(C458="",NOT(ISNUMBER(B458)),N(P458)=0),"",B458+P458)</f>
        <v/>
      </c>
      <c r="K458" s="25">
        <f>IF(C458="","",N(D458)-N(E458)-N(F458)-N(G458))</f>
        <v/>
      </c>
      <c r="L458" s="13">
        <f>IF(OR(C458="",N(K458)&lt;=0,NOT(ISNUMBER(J458))),"",J458-TODAY())</f>
        <v/>
      </c>
      <c r="M458" s="12">
        <f>IF(C458="","",IF(N(K458)&lt;=0,"Sold out",IF(NOT(ISNUMBER(J458)),"In stock",IF(J458&lt;TODAY(),"Past its date",IF(J458-TODAY()&lt;=Settings!$C$5,"Use soon","In stock")))))</f>
        <v/>
      </c>
      <c r="N458" s="26">
        <f>IF(C458="","",N(D458)*Q458)</f>
        <v/>
      </c>
      <c r="O458" s="1" t="n"/>
      <c r="P458">
        <f>IF(C458="",0,IFERROR(N(INDEX(Products!$E$6:$E$45,MATCH(C458,Products!$B$6:$B$45,0))),0))</f>
        <v/>
      </c>
      <c r="Q458">
        <f>IF(C458="",0,IFERROR(N(INDEX(Products!$I$6:$I$45,MATCH(C458,Products!$B$6:$B$45,0))),0))</f>
        <v/>
      </c>
      <c r="R458">
        <f>IF(OR(C458="",NOT(ISNUMBER(B458))),"",YEAR(B458)*100+MONTH(B458))</f>
        <v/>
      </c>
      <c r="S458">
        <f>N(G458)*Q458</f>
        <v/>
      </c>
      <c r="T458">
        <f>IF(OR(M458="",M458="Sold out",NOT(ISNUMBER(J458))),"",J458*1000+ROW())</f>
        <v/>
      </c>
    </row>
    <row r="459">
      <c r="A459" s="1" t="n"/>
      <c r="B459" s="20" t="n"/>
      <c r="C459" s="21" t="n"/>
      <c r="D459" s="22" t="n"/>
      <c r="E459" s="22" t="n"/>
      <c r="F459" s="22" t="n"/>
      <c r="G459" s="22" t="n"/>
      <c r="H459" s="23" t="n"/>
      <c r="I459" s="24">
        <f>IF(OR(C459="",NOT(ISNUMBER(B459))),"",UPPER(IF(IFERROR(IF(INDEX(Products!$C$6:$C$45,MATCH(C459,Products!$B$6:$B$45,0))="","",INDEX(Products!$C$6:$C$45,MATCH(C459,Products!$B$6:$B$45,0))),"")="",LEFT(SUBSTITUTE(C459," ",""),3),IFERROR(IF(INDEX(Products!$C$6:$C$45,MATCH(C459,Products!$B$6:$B$45,0))="","",INDEX(Products!$C$6:$C$45,MATCH(C459,Products!$B$6:$B$45,0))),"")))&amp;"-"&amp;RIGHT(YEAR(B459),2)&amp;RIGHT("0"&amp;MONTH(B459),2)&amp;RIGHT("0"&amp;DAY(B459),2)&amp;"-"&amp;COUNTIFS(C$6:C459,C459,B$6:B459,B459))</f>
        <v/>
      </c>
      <c r="J459" s="14">
        <f>IF(OR(C459="",NOT(ISNUMBER(B459)),N(P459)=0),"",B459+P459)</f>
        <v/>
      </c>
      <c r="K459" s="25">
        <f>IF(C459="","",N(D459)-N(E459)-N(F459)-N(G459))</f>
        <v/>
      </c>
      <c r="L459" s="13">
        <f>IF(OR(C459="",N(K459)&lt;=0,NOT(ISNUMBER(J459))),"",J459-TODAY())</f>
        <v/>
      </c>
      <c r="M459" s="12">
        <f>IF(C459="","",IF(N(K459)&lt;=0,"Sold out",IF(NOT(ISNUMBER(J459)),"In stock",IF(J459&lt;TODAY(),"Past its date",IF(J459-TODAY()&lt;=Settings!$C$5,"Use soon","In stock")))))</f>
        <v/>
      </c>
      <c r="N459" s="26">
        <f>IF(C459="","",N(D459)*Q459)</f>
        <v/>
      </c>
      <c r="O459" s="1" t="n"/>
      <c r="P459">
        <f>IF(C459="",0,IFERROR(N(INDEX(Products!$E$6:$E$45,MATCH(C459,Products!$B$6:$B$45,0))),0))</f>
        <v/>
      </c>
      <c r="Q459">
        <f>IF(C459="",0,IFERROR(N(INDEX(Products!$I$6:$I$45,MATCH(C459,Products!$B$6:$B$45,0))),0))</f>
        <v/>
      </c>
      <c r="R459">
        <f>IF(OR(C459="",NOT(ISNUMBER(B459))),"",YEAR(B459)*100+MONTH(B459))</f>
        <v/>
      </c>
      <c r="S459">
        <f>N(G459)*Q459</f>
        <v/>
      </c>
      <c r="T459">
        <f>IF(OR(M459="",M459="Sold out",NOT(ISNUMBER(J459))),"",J459*1000+ROW())</f>
        <v/>
      </c>
    </row>
    <row r="460">
      <c r="A460" s="1" t="n"/>
      <c r="B460" s="20" t="n"/>
      <c r="C460" s="21" t="n"/>
      <c r="D460" s="22" t="n"/>
      <c r="E460" s="22" t="n"/>
      <c r="F460" s="22" t="n"/>
      <c r="G460" s="22" t="n"/>
      <c r="H460" s="23" t="n"/>
      <c r="I460" s="24">
        <f>IF(OR(C460="",NOT(ISNUMBER(B460))),"",UPPER(IF(IFERROR(IF(INDEX(Products!$C$6:$C$45,MATCH(C460,Products!$B$6:$B$45,0))="","",INDEX(Products!$C$6:$C$45,MATCH(C460,Products!$B$6:$B$45,0))),"")="",LEFT(SUBSTITUTE(C460," ",""),3),IFERROR(IF(INDEX(Products!$C$6:$C$45,MATCH(C460,Products!$B$6:$B$45,0))="","",INDEX(Products!$C$6:$C$45,MATCH(C460,Products!$B$6:$B$45,0))),"")))&amp;"-"&amp;RIGHT(YEAR(B460),2)&amp;RIGHT("0"&amp;MONTH(B460),2)&amp;RIGHT("0"&amp;DAY(B460),2)&amp;"-"&amp;COUNTIFS(C$6:C460,C460,B$6:B460,B460))</f>
        <v/>
      </c>
      <c r="J460" s="14">
        <f>IF(OR(C460="",NOT(ISNUMBER(B460)),N(P460)=0),"",B460+P460)</f>
        <v/>
      </c>
      <c r="K460" s="25">
        <f>IF(C460="","",N(D460)-N(E460)-N(F460)-N(G460))</f>
        <v/>
      </c>
      <c r="L460" s="13">
        <f>IF(OR(C460="",N(K460)&lt;=0,NOT(ISNUMBER(J460))),"",J460-TODAY())</f>
        <v/>
      </c>
      <c r="M460" s="12">
        <f>IF(C460="","",IF(N(K460)&lt;=0,"Sold out",IF(NOT(ISNUMBER(J460)),"In stock",IF(J460&lt;TODAY(),"Past its date",IF(J460-TODAY()&lt;=Settings!$C$5,"Use soon","In stock")))))</f>
        <v/>
      </c>
      <c r="N460" s="26">
        <f>IF(C460="","",N(D460)*Q460)</f>
        <v/>
      </c>
      <c r="O460" s="1" t="n"/>
      <c r="P460">
        <f>IF(C460="",0,IFERROR(N(INDEX(Products!$E$6:$E$45,MATCH(C460,Products!$B$6:$B$45,0))),0))</f>
        <v/>
      </c>
      <c r="Q460">
        <f>IF(C460="",0,IFERROR(N(INDEX(Products!$I$6:$I$45,MATCH(C460,Products!$B$6:$B$45,0))),0))</f>
        <v/>
      </c>
      <c r="R460">
        <f>IF(OR(C460="",NOT(ISNUMBER(B460))),"",YEAR(B460)*100+MONTH(B460))</f>
        <v/>
      </c>
      <c r="S460">
        <f>N(G460)*Q460</f>
        <v/>
      </c>
      <c r="T460">
        <f>IF(OR(M460="",M460="Sold out",NOT(ISNUMBER(J460))),"",J460*1000+ROW())</f>
        <v/>
      </c>
    </row>
    <row r="461">
      <c r="A461" s="1" t="n"/>
      <c r="B461" s="20" t="n"/>
      <c r="C461" s="21" t="n"/>
      <c r="D461" s="22" t="n"/>
      <c r="E461" s="22" t="n"/>
      <c r="F461" s="22" t="n"/>
      <c r="G461" s="22" t="n"/>
      <c r="H461" s="23" t="n"/>
      <c r="I461" s="24">
        <f>IF(OR(C461="",NOT(ISNUMBER(B461))),"",UPPER(IF(IFERROR(IF(INDEX(Products!$C$6:$C$45,MATCH(C461,Products!$B$6:$B$45,0))="","",INDEX(Products!$C$6:$C$45,MATCH(C461,Products!$B$6:$B$45,0))),"")="",LEFT(SUBSTITUTE(C461," ",""),3),IFERROR(IF(INDEX(Products!$C$6:$C$45,MATCH(C461,Products!$B$6:$B$45,0))="","",INDEX(Products!$C$6:$C$45,MATCH(C461,Products!$B$6:$B$45,0))),"")))&amp;"-"&amp;RIGHT(YEAR(B461),2)&amp;RIGHT("0"&amp;MONTH(B461),2)&amp;RIGHT("0"&amp;DAY(B461),2)&amp;"-"&amp;COUNTIFS(C$6:C461,C461,B$6:B461,B461))</f>
        <v/>
      </c>
      <c r="J461" s="14">
        <f>IF(OR(C461="",NOT(ISNUMBER(B461)),N(P461)=0),"",B461+P461)</f>
        <v/>
      </c>
      <c r="K461" s="25">
        <f>IF(C461="","",N(D461)-N(E461)-N(F461)-N(G461))</f>
        <v/>
      </c>
      <c r="L461" s="13">
        <f>IF(OR(C461="",N(K461)&lt;=0,NOT(ISNUMBER(J461))),"",J461-TODAY())</f>
        <v/>
      </c>
      <c r="M461" s="12">
        <f>IF(C461="","",IF(N(K461)&lt;=0,"Sold out",IF(NOT(ISNUMBER(J461)),"In stock",IF(J461&lt;TODAY(),"Past its date",IF(J461-TODAY()&lt;=Settings!$C$5,"Use soon","In stock")))))</f>
        <v/>
      </c>
      <c r="N461" s="26">
        <f>IF(C461="","",N(D461)*Q461)</f>
        <v/>
      </c>
      <c r="O461" s="1" t="n"/>
      <c r="P461">
        <f>IF(C461="",0,IFERROR(N(INDEX(Products!$E$6:$E$45,MATCH(C461,Products!$B$6:$B$45,0))),0))</f>
        <v/>
      </c>
      <c r="Q461">
        <f>IF(C461="",0,IFERROR(N(INDEX(Products!$I$6:$I$45,MATCH(C461,Products!$B$6:$B$45,0))),0))</f>
        <v/>
      </c>
      <c r="R461">
        <f>IF(OR(C461="",NOT(ISNUMBER(B461))),"",YEAR(B461)*100+MONTH(B461))</f>
        <v/>
      </c>
      <c r="S461">
        <f>N(G461)*Q461</f>
        <v/>
      </c>
      <c r="T461">
        <f>IF(OR(M461="",M461="Sold out",NOT(ISNUMBER(J461))),"",J461*1000+ROW())</f>
        <v/>
      </c>
    </row>
    <row r="462">
      <c r="A462" s="1" t="n"/>
      <c r="B462" s="20" t="n"/>
      <c r="C462" s="21" t="n"/>
      <c r="D462" s="22" t="n"/>
      <c r="E462" s="22" t="n"/>
      <c r="F462" s="22" t="n"/>
      <c r="G462" s="22" t="n"/>
      <c r="H462" s="23" t="n"/>
      <c r="I462" s="24">
        <f>IF(OR(C462="",NOT(ISNUMBER(B462))),"",UPPER(IF(IFERROR(IF(INDEX(Products!$C$6:$C$45,MATCH(C462,Products!$B$6:$B$45,0))="","",INDEX(Products!$C$6:$C$45,MATCH(C462,Products!$B$6:$B$45,0))),"")="",LEFT(SUBSTITUTE(C462," ",""),3),IFERROR(IF(INDEX(Products!$C$6:$C$45,MATCH(C462,Products!$B$6:$B$45,0))="","",INDEX(Products!$C$6:$C$45,MATCH(C462,Products!$B$6:$B$45,0))),"")))&amp;"-"&amp;RIGHT(YEAR(B462),2)&amp;RIGHT("0"&amp;MONTH(B462),2)&amp;RIGHT("0"&amp;DAY(B462),2)&amp;"-"&amp;COUNTIFS(C$6:C462,C462,B$6:B462,B462))</f>
        <v/>
      </c>
      <c r="J462" s="14">
        <f>IF(OR(C462="",NOT(ISNUMBER(B462)),N(P462)=0),"",B462+P462)</f>
        <v/>
      </c>
      <c r="K462" s="25">
        <f>IF(C462="","",N(D462)-N(E462)-N(F462)-N(G462))</f>
        <v/>
      </c>
      <c r="L462" s="13">
        <f>IF(OR(C462="",N(K462)&lt;=0,NOT(ISNUMBER(J462))),"",J462-TODAY())</f>
        <v/>
      </c>
      <c r="M462" s="12">
        <f>IF(C462="","",IF(N(K462)&lt;=0,"Sold out",IF(NOT(ISNUMBER(J462)),"In stock",IF(J462&lt;TODAY(),"Past its date",IF(J462-TODAY()&lt;=Settings!$C$5,"Use soon","In stock")))))</f>
        <v/>
      </c>
      <c r="N462" s="26">
        <f>IF(C462="","",N(D462)*Q462)</f>
        <v/>
      </c>
      <c r="O462" s="1" t="n"/>
      <c r="P462">
        <f>IF(C462="",0,IFERROR(N(INDEX(Products!$E$6:$E$45,MATCH(C462,Products!$B$6:$B$45,0))),0))</f>
        <v/>
      </c>
      <c r="Q462">
        <f>IF(C462="",0,IFERROR(N(INDEX(Products!$I$6:$I$45,MATCH(C462,Products!$B$6:$B$45,0))),0))</f>
        <v/>
      </c>
      <c r="R462">
        <f>IF(OR(C462="",NOT(ISNUMBER(B462))),"",YEAR(B462)*100+MONTH(B462))</f>
        <v/>
      </c>
      <c r="S462">
        <f>N(G462)*Q462</f>
        <v/>
      </c>
      <c r="T462">
        <f>IF(OR(M462="",M462="Sold out",NOT(ISNUMBER(J462))),"",J462*1000+ROW())</f>
        <v/>
      </c>
    </row>
    <row r="463">
      <c r="A463" s="1" t="n"/>
      <c r="B463" s="20" t="n"/>
      <c r="C463" s="21" t="n"/>
      <c r="D463" s="22" t="n"/>
      <c r="E463" s="22" t="n"/>
      <c r="F463" s="22" t="n"/>
      <c r="G463" s="22" t="n"/>
      <c r="H463" s="23" t="n"/>
      <c r="I463" s="24">
        <f>IF(OR(C463="",NOT(ISNUMBER(B463))),"",UPPER(IF(IFERROR(IF(INDEX(Products!$C$6:$C$45,MATCH(C463,Products!$B$6:$B$45,0))="","",INDEX(Products!$C$6:$C$45,MATCH(C463,Products!$B$6:$B$45,0))),"")="",LEFT(SUBSTITUTE(C463," ",""),3),IFERROR(IF(INDEX(Products!$C$6:$C$45,MATCH(C463,Products!$B$6:$B$45,0))="","",INDEX(Products!$C$6:$C$45,MATCH(C463,Products!$B$6:$B$45,0))),"")))&amp;"-"&amp;RIGHT(YEAR(B463),2)&amp;RIGHT("0"&amp;MONTH(B463),2)&amp;RIGHT("0"&amp;DAY(B463),2)&amp;"-"&amp;COUNTIFS(C$6:C463,C463,B$6:B463,B463))</f>
        <v/>
      </c>
      <c r="J463" s="14">
        <f>IF(OR(C463="",NOT(ISNUMBER(B463)),N(P463)=0),"",B463+P463)</f>
        <v/>
      </c>
      <c r="K463" s="25">
        <f>IF(C463="","",N(D463)-N(E463)-N(F463)-N(G463))</f>
        <v/>
      </c>
      <c r="L463" s="13">
        <f>IF(OR(C463="",N(K463)&lt;=0,NOT(ISNUMBER(J463))),"",J463-TODAY())</f>
        <v/>
      </c>
      <c r="M463" s="12">
        <f>IF(C463="","",IF(N(K463)&lt;=0,"Sold out",IF(NOT(ISNUMBER(J463)),"In stock",IF(J463&lt;TODAY(),"Past its date",IF(J463-TODAY()&lt;=Settings!$C$5,"Use soon","In stock")))))</f>
        <v/>
      </c>
      <c r="N463" s="26">
        <f>IF(C463="","",N(D463)*Q463)</f>
        <v/>
      </c>
      <c r="O463" s="1" t="n"/>
      <c r="P463">
        <f>IF(C463="",0,IFERROR(N(INDEX(Products!$E$6:$E$45,MATCH(C463,Products!$B$6:$B$45,0))),0))</f>
        <v/>
      </c>
      <c r="Q463">
        <f>IF(C463="",0,IFERROR(N(INDEX(Products!$I$6:$I$45,MATCH(C463,Products!$B$6:$B$45,0))),0))</f>
        <v/>
      </c>
      <c r="R463">
        <f>IF(OR(C463="",NOT(ISNUMBER(B463))),"",YEAR(B463)*100+MONTH(B463))</f>
        <v/>
      </c>
      <c r="S463">
        <f>N(G463)*Q463</f>
        <v/>
      </c>
      <c r="T463">
        <f>IF(OR(M463="",M463="Sold out",NOT(ISNUMBER(J463))),"",J463*1000+ROW())</f>
        <v/>
      </c>
    </row>
    <row r="464">
      <c r="A464" s="1" t="n"/>
      <c r="B464" s="20" t="n"/>
      <c r="C464" s="21" t="n"/>
      <c r="D464" s="22" t="n"/>
      <c r="E464" s="22" t="n"/>
      <c r="F464" s="22" t="n"/>
      <c r="G464" s="22" t="n"/>
      <c r="H464" s="23" t="n"/>
      <c r="I464" s="24">
        <f>IF(OR(C464="",NOT(ISNUMBER(B464))),"",UPPER(IF(IFERROR(IF(INDEX(Products!$C$6:$C$45,MATCH(C464,Products!$B$6:$B$45,0))="","",INDEX(Products!$C$6:$C$45,MATCH(C464,Products!$B$6:$B$45,0))),"")="",LEFT(SUBSTITUTE(C464," ",""),3),IFERROR(IF(INDEX(Products!$C$6:$C$45,MATCH(C464,Products!$B$6:$B$45,0))="","",INDEX(Products!$C$6:$C$45,MATCH(C464,Products!$B$6:$B$45,0))),"")))&amp;"-"&amp;RIGHT(YEAR(B464),2)&amp;RIGHT("0"&amp;MONTH(B464),2)&amp;RIGHT("0"&amp;DAY(B464),2)&amp;"-"&amp;COUNTIFS(C$6:C464,C464,B$6:B464,B464))</f>
        <v/>
      </c>
      <c r="J464" s="14">
        <f>IF(OR(C464="",NOT(ISNUMBER(B464)),N(P464)=0),"",B464+P464)</f>
        <v/>
      </c>
      <c r="K464" s="25">
        <f>IF(C464="","",N(D464)-N(E464)-N(F464)-N(G464))</f>
        <v/>
      </c>
      <c r="L464" s="13">
        <f>IF(OR(C464="",N(K464)&lt;=0,NOT(ISNUMBER(J464))),"",J464-TODAY())</f>
        <v/>
      </c>
      <c r="M464" s="12">
        <f>IF(C464="","",IF(N(K464)&lt;=0,"Sold out",IF(NOT(ISNUMBER(J464)),"In stock",IF(J464&lt;TODAY(),"Past its date",IF(J464-TODAY()&lt;=Settings!$C$5,"Use soon","In stock")))))</f>
        <v/>
      </c>
      <c r="N464" s="26">
        <f>IF(C464="","",N(D464)*Q464)</f>
        <v/>
      </c>
      <c r="O464" s="1" t="n"/>
      <c r="P464">
        <f>IF(C464="",0,IFERROR(N(INDEX(Products!$E$6:$E$45,MATCH(C464,Products!$B$6:$B$45,0))),0))</f>
        <v/>
      </c>
      <c r="Q464">
        <f>IF(C464="",0,IFERROR(N(INDEX(Products!$I$6:$I$45,MATCH(C464,Products!$B$6:$B$45,0))),0))</f>
        <v/>
      </c>
      <c r="R464">
        <f>IF(OR(C464="",NOT(ISNUMBER(B464))),"",YEAR(B464)*100+MONTH(B464))</f>
        <v/>
      </c>
      <c r="S464">
        <f>N(G464)*Q464</f>
        <v/>
      </c>
      <c r="T464">
        <f>IF(OR(M464="",M464="Sold out",NOT(ISNUMBER(J464))),"",J464*1000+ROW())</f>
        <v/>
      </c>
    </row>
    <row r="465">
      <c r="A465" s="1" t="n"/>
      <c r="B465" s="20" t="n"/>
      <c r="C465" s="21" t="n"/>
      <c r="D465" s="22" t="n"/>
      <c r="E465" s="22" t="n"/>
      <c r="F465" s="22" t="n"/>
      <c r="G465" s="22" t="n"/>
      <c r="H465" s="23" t="n"/>
      <c r="I465" s="24">
        <f>IF(OR(C465="",NOT(ISNUMBER(B465))),"",UPPER(IF(IFERROR(IF(INDEX(Products!$C$6:$C$45,MATCH(C465,Products!$B$6:$B$45,0))="","",INDEX(Products!$C$6:$C$45,MATCH(C465,Products!$B$6:$B$45,0))),"")="",LEFT(SUBSTITUTE(C465," ",""),3),IFERROR(IF(INDEX(Products!$C$6:$C$45,MATCH(C465,Products!$B$6:$B$45,0))="","",INDEX(Products!$C$6:$C$45,MATCH(C465,Products!$B$6:$B$45,0))),"")))&amp;"-"&amp;RIGHT(YEAR(B465),2)&amp;RIGHT("0"&amp;MONTH(B465),2)&amp;RIGHT("0"&amp;DAY(B465),2)&amp;"-"&amp;COUNTIFS(C$6:C465,C465,B$6:B465,B465))</f>
        <v/>
      </c>
      <c r="J465" s="14">
        <f>IF(OR(C465="",NOT(ISNUMBER(B465)),N(P465)=0),"",B465+P465)</f>
        <v/>
      </c>
      <c r="K465" s="25">
        <f>IF(C465="","",N(D465)-N(E465)-N(F465)-N(G465))</f>
        <v/>
      </c>
      <c r="L465" s="13">
        <f>IF(OR(C465="",N(K465)&lt;=0,NOT(ISNUMBER(J465))),"",J465-TODAY())</f>
        <v/>
      </c>
      <c r="M465" s="12">
        <f>IF(C465="","",IF(N(K465)&lt;=0,"Sold out",IF(NOT(ISNUMBER(J465)),"In stock",IF(J465&lt;TODAY(),"Past its date",IF(J465-TODAY()&lt;=Settings!$C$5,"Use soon","In stock")))))</f>
        <v/>
      </c>
      <c r="N465" s="26">
        <f>IF(C465="","",N(D465)*Q465)</f>
        <v/>
      </c>
      <c r="O465" s="1" t="n"/>
      <c r="P465">
        <f>IF(C465="",0,IFERROR(N(INDEX(Products!$E$6:$E$45,MATCH(C465,Products!$B$6:$B$45,0))),0))</f>
        <v/>
      </c>
      <c r="Q465">
        <f>IF(C465="",0,IFERROR(N(INDEX(Products!$I$6:$I$45,MATCH(C465,Products!$B$6:$B$45,0))),0))</f>
        <v/>
      </c>
      <c r="R465">
        <f>IF(OR(C465="",NOT(ISNUMBER(B465))),"",YEAR(B465)*100+MONTH(B465))</f>
        <v/>
      </c>
      <c r="S465">
        <f>N(G465)*Q465</f>
        <v/>
      </c>
      <c r="T465">
        <f>IF(OR(M465="",M465="Sold out",NOT(ISNUMBER(J465))),"",J465*1000+ROW())</f>
        <v/>
      </c>
    </row>
    <row r="466">
      <c r="A466" s="1" t="n"/>
      <c r="B466" s="20" t="n"/>
      <c r="C466" s="21" t="n"/>
      <c r="D466" s="22" t="n"/>
      <c r="E466" s="22" t="n"/>
      <c r="F466" s="22" t="n"/>
      <c r="G466" s="22" t="n"/>
      <c r="H466" s="23" t="n"/>
      <c r="I466" s="24">
        <f>IF(OR(C466="",NOT(ISNUMBER(B466))),"",UPPER(IF(IFERROR(IF(INDEX(Products!$C$6:$C$45,MATCH(C466,Products!$B$6:$B$45,0))="","",INDEX(Products!$C$6:$C$45,MATCH(C466,Products!$B$6:$B$45,0))),"")="",LEFT(SUBSTITUTE(C466," ",""),3),IFERROR(IF(INDEX(Products!$C$6:$C$45,MATCH(C466,Products!$B$6:$B$45,0))="","",INDEX(Products!$C$6:$C$45,MATCH(C466,Products!$B$6:$B$45,0))),"")))&amp;"-"&amp;RIGHT(YEAR(B466),2)&amp;RIGHT("0"&amp;MONTH(B466),2)&amp;RIGHT("0"&amp;DAY(B466),2)&amp;"-"&amp;COUNTIFS(C$6:C466,C466,B$6:B466,B466))</f>
        <v/>
      </c>
      <c r="J466" s="14">
        <f>IF(OR(C466="",NOT(ISNUMBER(B466)),N(P466)=0),"",B466+P466)</f>
        <v/>
      </c>
      <c r="K466" s="25">
        <f>IF(C466="","",N(D466)-N(E466)-N(F466)-N(G466))</f>
        <v/>
      </c>
      <c r="L466" s="13">
        <f>IF(OR(C466="",N(K466)&lt;=0,NOT(ISNUMBER(J466))),"",J466-TODAY())</f>
        <v/>
      </c>
      <c r="M466" s="12">
        <f>IF(C466="","",IF(N(K466)&lt;=0,"Sold out",IF(NOT(ISNUMBER(J466)),"In stock",IF(J466&lt;TODAY(),"Past its date",IF(J466-TODAY()&lt;=Settings!$C$5,"Use soon","In stock")))))</f>
        <v/>
      </c>
      <c r="N466" s="26">
        <f>IF(C466="","",N(D466)*Q466)</f>
        <v/>
      </c>
      <c r="O466" s="1" t="n"/>
      <c r="P466">
        <f>IF(C466="",0,IFERROR(N(INDEX(Products!$E$6:$E$45,MATCH(C466,Products!$B$6:$B$45,0))),0))</f>
        <v/>
      </c>
      <c r="Q466">
        <f>IF(C466="",0,IFERROR(N(INDEX(Products!$I$6:$I$45,MATCH(C466,Products!$B$6:$B$45,0))),0))</f>
        <v/>
      </c>
      <c r="R466">
        <f>IF(OR(C466="",NOT(ISNUMBER(B466))),"",YEAR(B466)*100+MONTH(B466))</f>
        <v/>
      </c>
      <c r="S466">
        <f>N(G466)*Q466</f>
        <v/>
      </c>
      <c r="T466">
        <f>IF(OR(M466="",M466="Sold out",NOT(ISNUMBER(J466))),"",J466*1000+ROW())</f>
        <v/>
      </c>
    </row>
    <row r="467">
      <c r="A467" s="1" t="n"/>
      <c r="B467" s="20" t="n"/>
      <c r="C467" s="21" t="n"/>
      <c r="D467" s="22" t="n"/>
      <c r="E467" s="22" t="n"/>
      <c r="F467" s="22" t="n"/>
      <c r="G467" s="22" t="n"/>
      <c r="H467" s="23" t="n"/>
      <c r="I467" s="24">
        <f>IF(OR(C467="",NOT(ISNUMBER(B467))),"",UPPER(IF(IFERROR(IF(INDEX(Products!$C$6:$C$45,MATCH(C467,Products!$B$6:$B$45,0))="","",INDEX(Products!$C$6:$C$45,MATCH(C467,Products!$B$6:$B$45,0))),"")="",LEFT(SUBSTITUTE(C467," ",""),3),IFERROR(IF(INDEX(Products!$C$6:$C$45,MATCH(C467,Products!$B$6:$B$45,0))="","",INDEX(Products!$C$6:$C$45,MATCH(C467,Products!$B$6:$B$45,0))),"")))&amp;"-"&amp;RIGHT(YEAR(B467),2)&amp;RIGHT("0"&amp;MONTH(B467),2)&amp;RIGHT("0"&amp;DAY(B467),2)&amp;"-"&amp;COUNTIFS(C$6:C467,C467,B$6:B467,B467))</f>
        <v/>
      </c>
      <c r="J467" s="14">
        <f>IF(OR(C467="",NOT(ISNUMBER(B467)),N(P467)=0),"",B467+P467)</f>
        <v/>
      </c>
      <c r="K467" s="25">
        <f>IF(C467="","",N(D467)-N(E467)-N(F467)-N(G467))</f>
        <v/>
      </c>
      <c r="L467" s="13">
        <f>IF(OR(C467="",N(K467)&lt;=0,NOT(ISNUMBER(J467))),"",J467-TODAY())</f>
        <v/>
      </c>
      <c r="M467" s="12">
        <f>IF(C467="","",IF(N(K467)&lt;=0,"Sold out",IF(NOT(ISNUMBER(J467)),"In stock",IF(J467&lt;TODAY(),"Past its date",IF(J467-TODAY()&lt;=Settings!$C$5,"Use soon","In stock")))))</f>
        <v/>
      </c>
      <c r="N467" s="26">
        <f>IF(C467="","",N(D467)*Q467)</f>
        <v/>
      </c>
      <c r="O467" s="1" t="n"/>
      <c r="P467">
        <f>IF(C467="",0,IFERROR(N(INDEX(Products!$E$6:$E$45,MATCH(C467,Products!$B$6:$B$45,0))),0))</f>
        <v/>
      </c>
      <c r="Q467">
        <f>IF(C467="",0,IFERROR(N(INDEX(Products!$I$6:$I$45,MATCH(C467,Products!$B$6:$B$45,0))),0))</f>
        <v/>
      </c>
      <c r="R467">
        <f>IF(OR(C467="",NOT(ISNUMBER(B467))),"",YEAR(B467)*100+MONTH(B467))</f>
        <v/>
      </c>
      <c r="S467">
        <f>N(G467)*Q467</f>
        <v/>
      </c>
      <c r="T467">
        <f>IF(OR(M467="",M467="Sold out",NOT(ISNUMBER(J467))),"",J467*1000+ROW())</f>
        <v/>
      </c>
    </row>
    <row r="468">
      <c r="A468" s="1" t="n"/>
      <c r="B468" s="20" t="n"/>
      <c r="C468" s="21" t="n"/>
      <c r="D468" s="22" t="n"/>
      <c r="E468" s="22" t="n"/>
      <c r="F468" s="22" t="n"/>
      <c r="G468" s="22" t="n"/>
      <c r="H468" s="23" t="n"/>
      <c r="I468" s="24">
        <f>IF(OR(C468="",NOT(ISNUMBER(B468))),"",UPPER(IF(IFERROR(IF(INDEX(Products!$C$6:$C$45,MATCH(C468,Products!$B$6:$B$45,0))="","",INDEX(Products!$C$6:$C$45,MATCH(C468,Products!$B$6:$B$45,0))),"")="",LEFT(SUBSTITUTE(C468," ",""),3),IFERROR(IF(INDEX(Products!$C$6:$C$45,MATCH(C468,Products!$B$6:$B$45,0))="","",INDEX(Products!$C$6:$C$45,MATCH(C468,Products!$B$6:$B$45,0))),"")))&amp;"-"&amp;RIGHT(YEAR(B468),2)&amp;RIGHT("0"&amp;MONTH(B468),2)&amp;RIGHT("0"&amp;DAY(B468),2)&amp;"-"&amp;COUNTIFS(C$6:C468,C468,B$6:B468,B468))</f>
        <v/>
      </c>
      <c r="J468" s="14">
        <f>IF(OR(C468="",NOT(ISNUMBER(B468)),N(P468)=0),"",B468+P468)</f>
        <v/>
      </c>
      <c r="K468" s="25">
        <f>IF(C468="","",N(D468)-N(E468)-N(F468)-N(G468))</f>
        <v/>
      </c>
      <c r="L468" s="13">
        <f>IF(OR(C468="",N(K468)&lt;=0,NOT(ISNUMBER(J468))),"",J468-TODAY())</f>
        <v/>
      </c>
      <c r="M468" s="12">
        <f>IF(C468="","",IF(N(K468)&lt;=0,"Sold out",IF(NOT(ISNUMBER(J468)),"In stock",IF(J468&lt;TODAY(),"Past its date",IF(J468-TODAY()&lt;=Settings!$C$5,"Use soon","In stock")))))</f>
        <v/>
      </c>
      <c r="N468" s="26">
        <f>IF(C468="","",N(D468)*Q468)</f>
        <v/>
      </c>
      <c r="O468" s="1" t="n"/>
      <c r="P468">
        <f>IF(C468="",0,IFERROR(N(INDEX(Products!$E$6:$E$45,MATCH(C468,Products!$B$6:$B$45,0))),0))</f>
        <v/>
      </c>
      <c r="Q468">
        <f>IF(C468="",0,IFERROR(N(INDEX(Products!$I$6:$I$45,MATCH(C468,Products!$B$6:$B$45,0))),0))</f>
        <v/>
      </c>
      <c r="R468">
        <f>IF(OR(C468="",NOT(ISNUMBER(B468))),"",YEAR(B468)*100+MONTH(B468))</f>
        <v/>
      </c>
      <c r="S468">
        <f>N(G468)*Q468</f>
        <v/>
      </c>
      <c r="T468">
        <f>IF(OR(M468="",M468="Sold out",NOT(ISNUMBER(J468))),"",J468*1000+ROW())</f>
        <v/>
      </c>
    </row>
    <row r="469">
      <c r="A469" s="1" t="n"/>
      <c r="B469" s="20" t="n"/>
      <c r="C469" s="21" t="n"/>
      <c r="D469" s="22" t="n"/>
      <c r="E469" s="22" t="n"/>
      <c r="F469" s="22" t="n"/>
      <c r="G469" s="22" t="n"/>
      <c r="H469" s="23" t="n"/>
      <c r="I469" s="24">
        <f>IF(OR(C469="",NOT(ISNUMBER(B469))),"",UPPER(IF(IFERROR(IF(INDEX(Products!$C$6:$C$45,MATCH(C469,Products!$B$6:$B$45,0))="","",INDEX(Products!$C$6:$C$45,MATCH(C469,Products!$B$6:$B$45,0))),"")="",LEFT(SUBSTITUTE(C469," ",""),3),IFERROR(IF(INDEX(Products!$C$6:$C$45,MATCH(C469,Products!$B$6:$B$45,0))="","",INDEX(Products!$C$6:$C$45,MATCH(C469,Products!$B$6:$B$45,0))),"")))&amp;"-"&amp;RIGHT(YEAR(B469),2)&amp;RIGHT("0"&amp;MONTH(B469),2)&amp;RIGHT("0"&amp;DAY(B469),2)&amp;"-"&amp;COUNTIFS(C$6:C469,C469,B$6:B469,B469))</f>
        <v/>
      </c>
      <c r="J469" s="14">
        <f>IF(OR(C469="",NOT(ISNUMBER(B469)),N(P469)=0),"",B469+P469)</f>
        <v/>
      </c>
      <c r="K469" s="25">
        <f>IF(C469="","",N(D469)-N(E469)-N(F469)-N(G469))</f>
        <v/>
      </c>
      <c r="L469" s="13">
        <f>IF(OR(C469="",N(K469)&lt;=0,NOT(ISNUMBER(J469))),"",J469-TODAY())</f>
        <v/>
      </c>
      <c r="M469" s="12">
        <f>IF(C469="","",IF(N(K469)&lt;=0,"Sold out",IF(NOT(ISNUMBER(J469)),"In stock",IF(J469&lt;TODAY(),"Past its date",IF(J469-TODAY()&lt;=Settings!$C$5,"Use soon","In stock")))))</f>
        <v/>
      </c>
      <c r="N469" s="26">
        <f>IF(C469="","",N(D469)*Q469)</f>
        <v/>
      </c>
      <c r="O469" s="1" t="n"/>
      <c r="P469">
        <f>IF(C469="",0,IFERROR(N(INDEX(Products!$E$6:$E$45,MATCH(C469,Products!$B$6:$B$45,0))),0))</f>
        <v/>
      </c>
      <c r="Q469">
        <f>IF(C469="",0,IFERROR(N(INDEX(Products!$I$6:$I$45,MATCH(C469,Products!$B$6:$B$45,0))),0))</f>
        <v/>
      </c>
      <c r="R469">
        <f>IF(OR(C469="",NOT(ISNUMBER(B469))),"",YEAR(B469)*100+MONTH(B469))</f>
        <v/>
      </c>
      <c r="S469">
        <f>N(G469)*Q469</f>
        <v/>
      </c>
      <c r="T469">
        <f>IF(OR(M469="",M469="Sold out",NOT(ISNUMBER(J469))),"",J469*1000+ROW())</f>
        <v/>
      </c>
    </row>
    <row r="470">
      <c r="A470" s="1" t="n"/>
      <c r="B470" s="20" t="n"/>
      <c r="C470" s="21" t="n"/>
      <c r="D470" s="22" t="n"/>
      <c r="E470" s="22" t="n"/>
      <c r="F470" s="22" t="n"/>
      <c r="G470" s="22" t="n"/>
      <c r="H470" s="23" t="n"/>
      <c r="I470" s="24">
        <f>IF(OR(C470="",NOT(ISNUMBER(B470))),"",UPPER(IF(IFERROR(IF(INDEX(Products!$C$6:$C$45,MATCH(C470,Products!$B$6:$B$45,0))="","",INDEX(Products!$C$6:$C$45,MATCH(C470,Products!$B$6:$B$45,0))),"")="",LEFT(SUBSTITUTE(C470," ",""),3),IFERROR(IF(INDEX(Products!$C$6:$C$45,MATCH(C470,Products!$B$6:$B$45,0))="","",INDEX(Products!$C$6:$C$45,MATCH(C470,Products!$B$6:$B$45,0))),"")))&amp;"-"&amp;RIGHT(YEAR(B470),2)&amp;RIGHT("0"&amp;MONTH(B470),2)&amp;RIGHT("0"&amp;DAY(B470),2)&amp;"-"&amp;COUNTIFS(C$6:C470,C470,B$6:B470,B470))</f>
        <v/>
      </c>
      <c r="J470" s="14">
        <f>IF(OR(C470="",NOT(ISNUMBER(B470)),N(P470)=0),"",B470+P470)</f>
        <v/>
      </c>
      <c r="K470" s="25">
        <f>IF(C470="","",N(D470)-N(E470)-N(F470)-N(G470))</f>
        <v/>
      </c>
      <c r="L470" s="13">
        <f>IF(OR(C470="",N(K470)&lt;=0,NOT(ISNUMBER(J470))),"",J470-TODAY())</f>
        <v/>
      </c>
      <c r="M470" s="12">
        <f>IF(C470="","",IF(N(K470)&lt;=0,"Sold out",IF(NOT(ISNUMBER(J470)),"In stock",IF(J470&lt;TODAY(),"Past its date",IF(J470-TODAY()&lt;=Settings!$C$5,"Use soon","In stock")))))</f>
        <v/>
      </c>
      <c r="N470" s="26">
        <f>IF(C470="","",N(D470)*Q470)</f>
        <v/>
      </c>
      <c r="O470" s="1" t="n"/>
      <c r="P470">
        <f>IF(C470="",0,IFERROR(N(INDEX(Products!$E$6:$E$45,MATCH(C470,Products!$B$6:$B$45,0))),0))</f>
        <v/>
      </c>
      <c r="Q470">
        <f>IF(C470="",0,IFERROR(N(INDEX(Products!$I$6:$I$45,MATCH(C470,Products!$B$6:$B$45,0))),0))</f>
        <v/>
      </c>
      <c r="R470">
        <f>IF(OR(C470="",NOT(ISNUMBER(B470))),"",YEAR(B470)*100+MONTH(B470))</f>
        <v/>
      </c>
      <c r="S470">
        <f>N(G470)*Q470</f>
        <v/>
      </c>
      <c r="T470">
        <f>IF(OR(M470="",M470="Sold out",NOT(ISNUMBER(J470))),"",J470*1000+ROW())</f>
        <v/>
      </c>
    </row>
    <row r="471">
      <c r="A471" s="1" t="n"/>
      <c r="B471" s="20" t="n"/>
      <c r="C471" s="21" t="n"/>
      <c r="D471" s="22" t="n"/>
      <c r="E471" s="22" t="n"/>
      <c r="F471" s="22" t="n"/>
      <c r="G471" s="22" t="n"/>
      <c r="H471" s="23" t="n"/>
      <c r="I471" s="24">
        <f>IF(OR(C471="",NOT(ISNUMBER(B471))),"",UPPER(IF(IFERROR(IF(INDEX(Products!$C$6:$C$45,MATCH(C471,Products!$B$6:$B$45,0))="","",INDEX(Products!$C$6:$C$45,MATCH(C471,Products!$B$6:$B$45,0))),"")="",LEFT(SUBSTITUTE(C471," ",""),3),IFERROR(IF(INDEX(Products!$C$6:$C$45,MATCH(C471,Products!$B$6:$B$45,0))="","",INDEX(Products!$C$6:$C$45,MATCH(C471,Products!$B$6:$B$45,0))),"")))&amp;"-"&amp;RIGHT(YEAR(B471),2)&amp;RIGHT("0"&amp;MONTH(B471),2)&amp;RIGHT("0"&amp;DAY(B471),2)&amp;"-"&amp;COUNTIFS(C$6:C471,C471,B$6:B471,B471))</f>
        <v/>
      </c>
      <c r="J471" s="14">
        <f>IF(OR(C471="",NOT(ISNUMBER(B471)),N(P471)=0),"",B471+P471)</f>
        <v/>
      </c>
      <c r="K471" s="25">
        <f>IF(C471="","",N(D471)-N(E471)-N(F471)-N(G471))</f>
        <v/>
      </c>
      <c r="L471" s="13">
        <f>IF(OR(C471="",N(K471)&lt;=0,NOT(ISNUMBER(J471))),"",J471-TODAY())</f>
        <v/>
      </c>
      <c r="M471" s="12">
        <f>IF(C471="","",IF(N(K471)&lt;=0,"Sold out",IF(NOT(ISNUMBER(J471)),"In stock",IF(J471&lt;TODAY(),"Past its date",IF(J471-TODAY()&lt;=Settings!$C$5,"Use soon","In stock")))))</f>
        <v/>
      </c>
      <c r="N471" s="26">
        <f>IF(C471="","",N(D471)*Q471)</f>
        <v/>
      </c>
      <c r="O471" s="1" t="n"/>
      <c r="P471">
        <f>IF(C471="",0,IFERROR(N(INDEX(Products!$E$6:$E$45,MATCH(C471,Products!$B$6:$B$45,0))),0))</f>
        <v/>
      </c>
      <c r="Q471">
        <f>IF(C471="",0,IFERROR(N(INDEX(Products!$I$6:$I$45,MATCH(C471,Products!$B$6:$B$45,0))),0))</f>
        <v/>
      </c>
      <c r="R471">
        <f>IF(OR(C471="",NOT(ISNUMBER(B471))),"",YEAR(B471)*100+MONTH(B471))</f>
        <v/>
      </c>
      <c r="S471">
        <f>N(G471)*Q471</f>
        <v/>
      </c>
      <c r="T471">
        <f>IF(OR(M471="",M471="Sold out",NOT(ISNUMBER(J471))),"",J471*1000+ROW())</f>
        <v/>
      </c>
    </row>
    <row r="472">
      <c r="A472" s="1" t="n"/>
      <c r="B472" s="20" t="n"/>
      <c r="C472" s="21" t="n"/>
      <c r="D472" s="22" t="n"/>
      <c r="E472" s="22" t="n"/>
      <c r="F472" s="22" t="n"/>
      <c r="G472" s="22" t="n"/>
      <c r="H472" s="23" t="n"/>
      <c r="I472" s="24">
        <f>IF(OR(C472="",NOT(ISNUMBER(B472))),"",UPPER(IF(IFERROR(IF(INDEX(Products!$C$6:$C$45,MATCH(C472,Products!$B$6:$B$45,0))="","",INDEX(Products!$C$6:$C$45,MATCH(C472,Products!$B$6:$B$45,0))),"")="",LEFT(SUBSTITUTE(C472," ",""),3),IFERROR(IF(INDEX(Products!$C$6:$C$45,MATCH(C472,Products!$B$6:$B$45,0))="","",INDEX(Products!$C$6:$C$45,MATCH(C472,Products!$B$6:$B$45,0))),"")))&amp;"-"&amp;RIGHT(YEAR(B472),2)&amp;RIGHT("0"&amp;MONTH(B472),2)&amp;RIGHT("0"&amp;DAY(B472),2)&amp;"-"&amp;COUNTIFS(C$6:C472,C472,B$6:B472,B472))</f>
        <v/>
      </c>
      <c r="J472" s="14">
        <f>IF(OR(C472="",NOT(ISNUMBER(B472)),N(P472)=0),"",B472+P472)</f>
        <v/>
      </c>
      <c r="K472" s="25">
        <f>IF(C472="","",N(D472)-N(E472)-N(F472)-N(G472))</f>
        <v/>
      </c>
      <c r="L472" s="13">
        <f>IF(OR(C472="",N(K472)&lt;=0,NOT(ISNUMBER(J472))),"",J472-TODAY())</f>
        <v/>
      </c>
      <c r="M472" s="12">
        <f>IF(C472="","",IF(N(K472)&lt;=0,"Sold out",IF(NOT(ISNUMBER(J472)),"In stock",IF(J472&lt;TODAY(),"Past its date",IF(J472-TODAY()&lt;=Settings!$C$5,"Use soon","In stock")))))</f>
        <v/>
      </c>
      <c r="N472" s="26">
        <f>IF(C472="","",N(D472)*Q472)</f>
        <v/>
      </c>
      <c r="O472" s="1" t="n"/>
      <c r="P472">
        <f>IF(C472="",0,IFERROR(N(INDEX(Products!$E$6:$E$45,MATCH(C472,Products!$B$6:$B$45,0))),0))</f>
        <v/>
      </c>
      <c r="Q472">
        <f>IF(C472="",0,IFERROR(N(INDEX(Products!$I$6:$I$45,MATCH(C472,Products!$B$6:$B$45,0))),0))</f>
        <v/>
      </c>
      <c r="R472">
        <f>IF(OR(C472="",NOT(ISNUMBER(B472))),"",YEAR(B472)*100+MONTH(B472))</f>
        <v/>
      </c>
      <c r="S472">
        <f>N(G472)*Q472</f>
        <v/>
      </c>
      <c r="T472">
        <f>IF(OR(M472="",M472="Sold out",NOT(ISNUMBER(J472))),"",J472*1000+ROW())</f>
        <v/>
      </c>
    </row>
    <row r="473">
      <c r="A473" s="1" t="n"/>
      <c r="B473" s="20" t="n"/>
      <c r="C473" s="21" t="n"/>
      <c r="D473" s="22" t="n"/>
      <c r="E473" s="22" t="n"/>
      <c r="F473" s="22" t="n"/>
      <c r="G473" s="22" t="n"/>
      <c r="H473" s="23" t="n"/>
      <c r="I473" s="24">
        <f>IF(OR(C473="",NOT(ISNUMBER(B473))),"",UPPER(IF(IFERROR(IF(INDEX(Products!$C$6:$C$45,MATCH(C473,Products!$B$6:$B$45,0))="","",INDEX(Products!$C$6:$C$45,MATCH(C473,Products!$B$6:$B$45,0))),"")="",LEFT(SUBSTITUTE(C473," ",""),3),IFERROR(IF(INDEX(Products!$C$6:$C$45,MATCH(C473,Products!$B$6:$B$45,0))="","",INDEX(Products!$C$6:$C$45,MATCH(C473,Products!$B$6:$B$45,0))),"")))&amp;"-"&amp;RIGHT(YEAR(B473),2)&amp;RIGHT("0"&amp;MONTH(B473),2)&amp;RIGHT("0"&amp;DAY(B473),2)&amp;"-"&amp;COUNTIFS(C$6:C473,C473,B$6:B473,B473))</f>
        <v/>
      </c>
      <c r="J473" s="14">
        <f>IF(OR(C473="",NOT(ISNUMBER(B473)),N(P473)=0),"",B473+P473)</f>
        <v/>
      </c>
      <c r="K473" s="25">
        <f>IF(C473="","",N(D473)-N(E473)-N(F473)-N(G473))</f>
        <v/>
      </c>
      <c r="L473" s="13">
        <f>IF(OR(C473="",N(K473)&lt;=0,NOT(ISNUMBER(J473))),"",J473-TODAY())</f>
        <v/>
      </c>
      <c r="M473" s="12">
        <f>IF(C473="","",IF(N(K473)&lt;=0,"Sold out",IF(NOT(ISNUMBER(J473)),"In stock",IF(J473&lt;TODAY(),"Past its date",IF(J473-TODAY()&lt;=Settings!$C$5,"Use soon","In stock")))))</f>
        <v/>
      </c>
      <c r="N473" s="26">
        <f>IF(C473="","",N(D473)*Q473)</f>
        <v/>
      </c>
      <c r="O473" s="1" t="n"/>
      <c r="P473">
        <f>IF(C473="",0,IFERROR(N(INDEX(Products!$E$6:$E$45,MATCH(C473,Products!$B$6:$B$45,0))),0))</f>
        <v/>
      </c>
      <c r="Q473">
        <f>IF(C473="",0,IFERROR(N(INDEX(Products!$I$6:$I$45,MATCH(C473,Products!$B$6:$B$45,0))),0))</f>
        <v/>
      </c>
      <c r="R473">
        <f>IF(OR(C473="",NOT(ISNUMBER(B473))),"",YEAR(B473)*100+MONTH(B473))</f>
        <v/>
      </c>
      <c r="S473">
        <f>N(G473)*Q473</f>
        <v/>
      </c>
      <c r="T473">
        <f>IF(OR(M473="",M473="Sold out",NOT(ISNUMBER(J473))),"",J473*1000+ROW())</f>
        <v/>
      </c>
    </row>
    <row r="474">
      <c r="A474" s="1" t="n"/>
      <c r="B474" s="20" t="n"/>
      <c r="C474" s="21" t="n"/>
      <c r="D474" s="22" t="n"/>
      <c r="E474" s="22" t="n"/>
      <c r="F474" s="22" t="n"/>
      <c r="G474" s="22" t="n"/>
      <c r="H474" s="23" t="n"/>
      <c r="I474" s="24">
        <f>IF(OR(C474="",NOT(ISNUMBER(B474))),"",UPPER(IF(IFERROR(IF(INDEX(Products!$C$6:$C$45,MATCH(C474,Products!$B$6:$B$45,0))="","",INDEX(Products!$C$6:$C$45,MATCH(C474,Products!$B$6:$B$45,0))),"")="",LEFT(SUBSTITUTE(C474," ",""),3),IFERROR(IF(INDEX(Products!$C$6:$C$45,MATCH(C474,Products!$B$6:$B$45,0))="","",INDEX(Products!$C$6:$C$45,MATCH(C474,Products!$B$6:$B$45,0))),"")))&amp;"-"&amp;RIGHT(YEAR(B474),2)&amp;RIGHT("0"&amp;MONTH(B474),2)&amp;RIGHT("0"&amp;DAY(B474),2)&amp;"-"&amp;COUNTIFS(C$6:C474,C474,B$6:B474,B474))</f>
        <v/>
      </c>
      <c r="J474" s="14">
        <f>IF(OR(C474="",NOT(ISNUMBER(B474)),N(P474)=0),"",B474+P474)</f>
        <v/>
      </c>
      <c r="K474" s="25">
        <f>IF(C474="","",N(D474)-N(E474)-N(F474)-N(G474))</f>
        <v/>
      </c>
      <c r="L474" s="13">
        <f>IF(OR(C474="",N(K474)&lt;=0,NOT(ISNUMBER(J474))),"",J474-TODAY())</f>
        <v/>
      </c>
      <c r="M474" s="12">
        <f>IF(C474="","",IF(N(K474)&lt;=0,"Sold out",IF(NOT(ISNUMBER(J474)),"In stock",IF(J474&lt;TODAY(),"Past its date",IF(J474-TODAY()&lt;=Settings!$C$5,"Use soon","In stock")))))</f>
        <v/>
      </c>
      <c r="N474" s="26">
        <f>IF(C474="","",N(D474)*Q474)</f>
        <v/>
      </c>
      <c r="O474" s="1" t="n"/>
      <c r="P474">
        <f>IF(C474="",0,IFERROR(N(INDEX(Products!$E$6:$E$45,MATCH(C474,Products!$B$6:$B$45,0))),0))</f>
        <v/>
      </c>
      <c r="Q474">
        <f>IF(C474="",0,IFERROR(N(INDEX(Products!$I$6:$I$45,MATCH(C474,Products!$B$6:$B$45,0))),0))</f>
        <v/>
      </c>
      <c r="R474">
        <f>IF(OR(C474="",NOT(ISNUMBER(B474))),"",YEAR(B474)*100+MONTH(B474))</f>
        <v/>
      </c>
      <c r="S474">
        <f>N(G474)*Q474</f>
        <v/>
      </c>
      <c r="T474">
        <f>IF(OR(M474="",M474="Sold out",NOT(ISNUMBER(J474))),"",J474*1000+ROW())</f>
        <v/>
      </c>
    </row>
    <row r="475">
      <c r="A475" s="1" t="n"/>
      <c r="B475" s="20" t="n"/>
      <c r="C475" s="21" t="n"/>
      <c r="D475" s="22" t="n"/>
      <c r="E475" s="22" t="n"/>
      <c r="F475" s="22" t="n"/>
      <c r="G475" s="22" t="n"/>
      <c r="H475" s="23" t="n"/>
      <c r="I475" s="24">
        <f>IF(OR(C475="",NOT(ISNUMBER(B475))),"",UPPER(IF(IFERROR(IF(INDEX(Products!$C$6:$C$45,MATCH(C475,Products!$B$6:$B$45,0))="","",INDEX(Products!$C$6:$C$45,MATCH(C475,Products!$B$6:$B$45,0))),"")="",LEFT(SUBSTITUTE(C475," ",""),3),IFERROR(IF(INDEX(Products!$C$6:$C$45,MATCH(C475,Products!$B$6:$B$45,0))="","",INDEX(Products!$C$6:$C$45,MATCH(C475,Products!$B$6:$B$45,0))),"")))&amp;"-"&amp;RIGHT(YEAR(B475),2)&amp;RIGHT("0"&amp;MONTH(B475),2)&amp;RIGHT("0"&amp;DAY(B475),2)&amp;"-"&amp;COUNTIFS(C$6:C475,C475,B$6:B475,B475))</f>
        <v/>
      </c>
      <c r="J475" s="14">
        <f>IF(OR(C475="",NOT(ISNUMBER(B475)),N(P475)=0),"",B475+P475)</f>
        <v/>
      </c>
      <c r="K475" s="25">
        <f>IF(C475="","",N(D475)-N(E475)-N(F475)-N(G475))</f>
        <v/>
      </c>
      <c r="L475" s="13">
        <f>IF(OR(C475="",N(K475)&lt;=0,NOT(ISNUMBER(J475))),"",J475-TODAY())</f>
        <v/>
      </c>
      <c r="M475" s="12">
        <f>IF(C475="","",IF(N(K475)&lt;=0,"Sold out",IF(NOT(ISNUMBER(J475)),"In stock",IF(J475&lt;TODAY(),"Past its date",IF(J475-TODAY()&lt;=Settings!$C$5,"Use soon","In stock")))))</f>
        <v/>
      </c>
      <c r="N475" s="26">
        <f>IF(C475="","",N(D475)*Q475)</f>
        <v/>
      </c>
      <c r="O475" s="1" t="n"/>
      <c r="P475">
        <f>IF(C475="",0,IFERROR(N(INDEX(Products!$E$6:$E$45,MATCH(C475,Products!$B$6:$B$45,0))),0))</f>
        <v/>
      </c>
      <c r="Q475">
        <f>IF(C475="",0,IFERROR(N(INDEX(Products!$I$6:$I$45,MATCH(C475,Products!$B$6:$B$45,0))),0))</f>
        <v/>
      </c>
      <c r="R475">
        <f>IF(OR(C475="",NOT(ISNUMBER(B475))),"",YEAR(B475)*100+MONTH(B475))</f>
        <v/>
      </c>
      <c r="S475">
        <f>N(G475)*Q475</f>
        <v/>
      </c>
      <c r="T475">
        <f>IF(OR(M475="",M475="Sold out",NOT(ISNUMBER(J475))),"",J475*1000+ROW())</f>
        <v/>
      </c>
    </row>
    <row r="476">
      <c r="A476" s="1" t="n"/>
      <c r="B476" s="20" t="n"/>
      <c r="C476" s="21" t="n"/>
      <c r="D476" s="22" t="n"/>
      <c r="E476" s="22" t="n"/>
      <c r="F476" s="22" t="n"/>
      <c r="G476" s="22" t="n"/>
      <c r="H476" s="23" t="n"/>
      <c r="I476" s="24">
        <f>IF(OR(C476="",NOT(ISNUMBER(B476))),"",UPPER(IF(IFERROR(IF(INDEX(Products!$C$6:$C$45,MATCH(C476,Products!$B$6:$B$45,0))="","",INDEX(Products!$C$6:$C$45,MATCH(C476,Products!$B$6:$B$45,0))),"")="",LEFT(SUBSTITUTE(C476," ",""),3),IFERROR(IF(INDEX(Products!$C$6:$C$45,MATCH(C476,Products!$B$6:$B$45,0))="","",INDEX(Products!$C$6:$C$45,MATCH(C476,Products!$B$6:$B$45,0))),"")))&amp;"-"&amp;RIGHT(YEAR(B476),2)&amp;RIGHT("0"&amp;MONTH(B476),2)&amp;RIGHT("0"&amp;DAY(B476),2)&amp;"-"&amp;COUNTIFS(C$6:C476,C476,B$6:B476,B476))</f>
        <v/>
      </c>
      <c r="J476" s="14">
        <f>IF(OR(C476="",NOT(ISNUMBER(B476)),N(P476)=0),"",B476+P476)</f>
        <v/>
      </c>
      <c r="K476" s="25">
        <f>IF(C476="","",N(D476)-N(E476)-N(F476)-N(G476))</f>
        <v/>
      </c>
      <c r="L476" s="13">
        <f>IF(OR(C476="",N(K476)&lt;=0,NOT(ISNUMBER(J476))),"",J476-TODAY())</f>
        <v/>
      </c>
      <c r="M476" s="12">
        <f>IF(C476="","",IF(N(K476)&lt;=0,"Sold out",IF(NOT(ISNUMBER(J476)),"In stock",IF(J476&lt;TODAY(),"Past its date",IF(J476-TODAY()&lt;=Settings!$C$5,"Use soon","In stock")))))</f>
        <v/>
      </c>
      <c r="N476" s="26">
        <f>IF(C476="","",N(D476)*Q476)</f>
        <v/>
      </c>
      <c r="O476" s="1" t="n"/>
      <c r="P476">
        <f>IF(C476="",0,IFERROR(N(INDEX(Products!$E$6:$E$45,MATCH(C476,Products!$B$6:$B$45,0))),0))</f>
        <v/>
      </c>
      <c r="Q476">
        <f>IF(C476="",0,IFERROR(N(INDEX(Products!$I$6:$I$45,MATCH(C476,Products!$B$6:$B$45,0))),0))</f>
        <v/>
      </c>
      <c r="R476">
        <f>IF(OR(C476="",NOT(ISNUMBER(B476))),"",YEAR(B476)*100+MONTH(B476))</f>
        <v/>
      </c>
      <c r="S476">
        <f>N(G476)*Q476</f>
        <v/>
      </c>
      <c r="T476">
        <f>IF(OR(M476="",M476="Sold out",NOT(ISNUMBER(J476))),"",J476*1000+ROW())</f>
        <v/>
      </c>
    </row>
    <row r="477">
      <c r="A477" s="1" t="n"/>
      <c r="B477" s="20" t="n"/>
      <c r="C477" s="21" t="n"/>
      <c r="D477" s="22" t="n"/>
      <c r="E477" s="22" t="n"/>
      <c r="F477" s="22" t="n"/>
      <c r="G477" s="22" t="n"/>
      <c r="H477" s="23" t="n"/>
      <c r="I477" s="24">
        <f>IF(OR(C477="",NOT(ISNUMBER(B477))),"",UPPER(IF(IFERROR(IF(INDEX(Products!$C$6:$C$45,MATCH(C477,Products!$B$6:$B$45,0))="","",INDEX(Products!$C$6:$C$45,MATCH(C477,Products!$B$6:$B$45,0))),"")="",LEFT(SUBSTITUTE(C477," ",""),3),IFERROR(IF(INDEX(Products!$C$6:$C$45,MATCH(C477,Products!$B$6:$B$45,0))="","",INDEX(Products!$C$6:$C$45,MATCH(C477,Products!$B$6:$B$45,0))),"")))&amp;"-"&amp;RIGHT(YEAR(B477),2)&amp;RIGHT("0"&amp;MONTH(B477),2)&amp;RIGHT("0"&amp;DAY(B477),2)&amp;"-"&amp;COUNTIFS(C$6:C477,C477,B$6:B477,B477))</f>
        <v/>
      </c>
      <c r="J477" s="14">
        <f>IF(OR(C477="",NOT(ISNUMBER(B477)),N(P477)=0),"",B477+P477)</f>
        <v/>
      </c>
      <c r="K477" s="25">
        <f>IF(C477="","",N(D477)-N(E477)-N(F477)-N(G477))</f>
        <v/>
      </c>
      <c r="L477" s="13">
        <f>IF(OR(C477="",N(K477)&lt;=0,NOT(ISNUMBER(J477))),"",J477-TODAY())</f>
        <v/>
      </c>
      <c r="M477" s="12">
        <f>IF(C477="","",IF(N(K477)&lt;=0,"Sold out",IF(NOT(ISNUMBER(J477)),"In stock",IF(J477&lt;TODAY(),"Past its date",IF(J477-TODAY()&lt;=Settings!$C$5,"Use soon","In stock")))))</f>
        <v/>
      </c>
      <c r="N477" s="26">
        <f>IF(C477="","",N(D477)*Q477)</f>
        <v/>
      </c>
      <c r="O477" s="1" t="n"/>
      <c r="P477">
        <f>IF(C477="",0,IFERROR(N(INDEX(Products!$E$6:$E$45,MATCH(C477,Products!$B$6:$B$45,0))),0))</f>
        <v/>
      </c>
      <c r="Q477">
        <f>IF(C477="",0,IFERROR(N(INDEX(Products!$I$6:$I$45,MATCH(C477,Products!$B$6:$B$45,0))),0))</f>
        <v/>
      </c>
      <c r="R477">
        <f>IF(OR(C477="",NOT(ISNUMBER(B477))),"",YEAR(B477)*100+MONTH(B477))</f>
        <v/>
      </c>
      <c r="S477">
        <f>N(G477)*Q477</f>
        <v/>
      </c>
      <c r="T477">
        <f>IF(OR(M477="",M477="Sold out",NOT(ISNUMBER(J477))),"",J477*1000+ROW())</f>
        <v/>
      </c>
    </row>
    <row r="478">
      <c r="A478" s="1" t="n"/>
      <c r="B478" s="20" t="n"/>
      <c r="C478" s="21" t="n"/>
      <c r="D478" s="22" t="n"/>
      <c r="E478" s="22" t="n"/>
      <c r="F478" s="22" t="n"/>
      <c r="G478" s="22" t="n"/>
      <c r="H478" s="23" t="n"/>
      <c r="I478" s="24">
        <f>IF(OR(C478="",NOT(ISNUMBER(B478))),"",UPPER(IF(IFERROR(IF(INDEX(Products!$C$6:$C$45,MATCH(C478,Products!$B$6:$B$45,0))="","",INDEX(Products!$C$6:$C$45,MATCH(C478,Products!$B$6:$B$45,0))),"")="",LEFT(SUBSTITUTE(C478," ",""),3),IFERROR(IF(INDEX(Products!$C$6:$C$45,MATCH(C478,Products!$B$6:$B$45,0))="","",INDEX(Products!$C$6:$C$45,MATCH(C478,Products!$B$6:$B$45,0))),"")))&amp;"-"&amp;RIGHT(YEAR(B478),2)&amp;RIGHT("0"&amp;MONTH(B478),2)&amp;RIGHT("0"&amp;DAY(B478),2)&amp;"-"&amp;COUNTIFS(C$6:C478,C478,B$6:B478,B478))</f>
        <v/>
      </c>
      <c r="J478" s="14">
        <f>IF(OR(C478="",NOT(ISNUMBER(B478)),N(P478)=0),"",B478+P478)</f>
        <v/>
      </c>
      <c r="K478" s="25">
        <f>IF(C478="","",N(D478)-N(E478)-N(F478)-N(G478))</f>
        <v/>
      </c>
      <c r="L478" s="13">
        <f>IF(OR(C478="",N(K478)&lt;=0,NOT(ISNUMBER(J478))),"",J478-TODAY())</f>
        <v/>
      </c>
      <c r="M478" s="12">
        <f>IF(C478="","",IF(N(K478)&lt;=0,"Sold out",IF(NOT(ISNUMBER(J478)),"In stock",IF(J478&lt;TODAY(),"Past its date",IF(J478-TODAY()&lt;=Settings!$C$5,"Use soon","In stock")))))</f>
        <v/>
      </c>
      <c r="N478" s="26">
        <f>IF(C478="","",N(D478)*Q478)</f>
        <v/>
      </c>
      <c r="O478" s="1" t="n"/>
      <c r="P478">
        <f>IF(C478="",0,IFERROR(N(INDEX(Products!$E$6:$E$45,MATCH(C478,Products!$B$6:$B$45,0))),0))</f>
        <v/>
      </c>
      <c r="Q478">
        <f>IF(C478="",0,IFERROR(N(INDEX(Products!$I$6:$I$45,MATCH(C478,Products!$B$6:$B$45,0))),0))</f>
        <v/>
      </c>
      <c r="R478">
        <f>IF(OR(C478="",NOT(ISNUMBER(B478))),"",YEAR(B478)*100+MONTH(B478))</f>
        <v/>
      </c>
      <c r="S478">
        <f>N(G478)*Q478</f>
        <v/>
      </c>
      <c r="T478">
        <f>IF(OR(M478="",M478="Sold out",NOT(ISNUMBER(J478))),"",J478*1000+ROW())</f>
        <v/>
      </c>
    </row>
    <row r="479">
      <c r="A479" s="1" t="n"/>
      <c r="B479" s="20" t="n"/>
      <c r="C479" s="21" t="n"/>
      <c r="D479" s="22" t="n"/>
      <c r="E479" s="22" t="n"/>
      <c r="F479" s="22" t="n"/>
      <c r="G479" s="22" t="n"/>
      <c r="H479" s="23" t="n"/>
      <c r="I479" s="24">
        <f>IF(OR(C479="",NOT(ISNUMBER(B479))),"",UPPER(IF(IFERROR(IF(INDEX(Products!$C$6:$C$45,MATCH(C479,Products!$B$6:$B$45,0))="","",INDEX(Products!$C$6:$C$45,MATCH(C479,Products!$B$6:$B$45,0))),"")="",LEFT(SUBSTITUTE(C479," ",""),3),IFERROR(IF(INDEX(Products!$C$6:$C$45,MATCH(C479,Products!$B$6:$B$45,0))="","",INDEX(Products!$C$6:$C$45,MATCH(C479,Products!$B$6:$B$45,0))),"")))&amp;"-"&amp;RIGHT(YEAR(B479),2)&amp;RIGHT("0"&amp;MONTH(B479),2)&amp;RIGHT("0"&amp;DAY(B479),2)&amp;"-"&amp;COUNTIFS(C$6:C479,C479,B$6:B479,B479))</f>
        <v/>
      </c>
      <c r="J479" s="14">
        <f>IF(OR(C479="",NOT(ISNUMBER(B479)),N(P479)=0),"",B479+P479)</f>
        <v/>
      </c>
      <c r="K479" s="25">
        <f>IF(C479="","",N(D479)-N(E479)-N(F479)-N(G479))</f>
        <v/>
      </c>
      <c r="L479" s="13">
        <f>IF(OR(C479="",N(K479)&lt;=0,NOT(ISNUMBER(J479))),"",J479-TODAY())</f>
        <v/>
      </c>
      <c r="M479" s="12">
        <f>IF(C479="","",IF(N(K479)&lt;=0,"Sold out",IF(NOT(ISNUMBER(J479)),"In stock",IF(J479&lt;TODAY(),"Past its date",IF(J479-TODAY()&lt;=Settings!$C$5,"Use soon","In stock")))))</f>
        <v/>
      </c>
      <c r="N479" s="26">
        <f>IF(C479="","",N(D479)*Q479)</f>
        <v/>
      </c>
      <c r="O479" s="1" t="n"/>
      <c r="P479">
        <f>IF(C479="",0,IFERROR(N(INDEX(Products!$E$6:$E$45,MATCH(C479,Products!$B$6:$B$45,0))),0))</f>
        <v/>
      </c>
      <c r="Q479">
        <f>IF(C479="",0,IFERROR(N(INDEX(Products!$I$6:$I$45,MATCH(C479,Products!$B$6:$B$45,0))),0))</f>
        <v/>
      </c>
      <c r="R479">
        <f>IF(OR(C479="",NOT(ISNUMBER(B479))),"",YEAR(B479)*100+MONTH(B479))</f>
        <v/>
      </c>
      <c r="S479">
        <f>N(G479)*Q479</f>
        <v/>
      </c>
      <c r="T479">
        <f>IF(OR(M479="",M479="Sold out",NOT(ISNUMBER(J479))),"",J479*1000+ROW())</f>
        <v/>
      </c>
    </row>
    <row r="480">
      <c r="A480" s="1" t="n"/>
      <c r="B480" s="20" t="n"/>
      <c r="C480" s="21" t="n"/>
      <c r="D480" s="22" t="n"/>
      <c r="E480" s="22" t="n"/>
      <c r="F480" s="22" t="n"/>
      <c r="G480" s="22" t="n"/>
      <c r="H480" s="23" t="n"/>
      <c r="I480" s="24">
        <f>IF(OR(C480="",NOT(ISNUMBER(B480))),"",UPPER(IF(IFERROR(IF(INDEX(Products!$C$6:$C$45,MATCH(C480,Products!$B$6:$B$45,0))="","",INDEX(Products!$C$6:$C$45,MATCH(C480,Products!$B$6:$B$45,0))),"")="",LEFT(SUBSTITUTE(C480," ",""),3),IFERROR(IF(INDEX(Products!$C$6:$C$45,MATCH(C480,Products!$B$6:$B$45,0))="","",INDEX(Products!$C$6:$C$45,MATCH(C480,Products!$B$6:$B$45,0))),"")))&amp;"-"&amp;RIGHT(YEAR(B480),2)&amp;RIGHT("0"&amp;MONTH(B480),2)&amp;RIGHT("0"&amp;DAY(B480),2)&amp;"-"&amp;COUNTIFS(C$6:C480,C480,B$6:B480,B480))</f>
        <v/>
      </c>
      <c r="J480" s="14">
        <f>IF(OR(C480="",NOT(ISNUMBER(B480)),N(P480)=0),"",B480+P480)</f>
        <v/>
      </c>
      <c r="K480" s="25">
        <f>IF(C480="","",N(D480)-N(E480)-N(F480)-N(G480))</f>
        <v/>
      </c>
      <c r="L480" s="13">
        <f>IF(OR(C480="",N(K480)&lt;=0,NOT(ISNUMBER(J480))),"",J480-TODAY())</f>
        <v/>
      </c>
      <c r="M480" s="12">
        <f>IF(C480="","",IF(N(K480)&lt;=0,"Sold out",IF(NOT(ISNUMBER(J480)),"In stock",IF(J480&lt;TODAY(),"Past its date",IF(J480-TODAY()&lt;=Settings!$C$5,"Use soon","In stock")))))</f>
        <v/>
      </c>
      <c r="N480" s="26">
        <f>IF(C480="","",N(D480)*Q480)</f>
        <v/>
      </c>
      <c r="O480" s="1" t="n"/>
      <c r="P480">
        <f>IF(C480="",0,IFERROR(N(INDEX(Products!$E$6:$E$45,MATCH(C480,Products!$B$6:$B$45,0))),0))</f>
        <v/>
      </c>
      <c r="Q480">
        <f>IF(C480="",0,IFERROR(N(INDEX(Products!$I$6:$I$45,MATCH(C480,Products!$B$6:$B$45,0))),0))</f>
        <v/>
      </c>
      <c r="R480">
        <f>IF(OR(C480="",NOT(ISNUMBER(B480))),"",YEAR(B480)*100+MONTH(B480))</f>
        <v/>
      </c>
      <c r="S480">
        <f>N(G480)*Q480</f>
        <v/>
      </c>
      <c r="T480">
        <f>IF(OR(M480="",M480="Sold out",NOT(ISNUMBER(J480))),"",J480*1000+ROW())</f>
        <v/>
      </c>
    </row>
    <row r="481">
      <c r="A481" s="1" t="n"/>
      <c r="B481" s="20" t="n"/>
      <c r="C481" s="21" t="n"/>
      <c r="D481" s="22" t="n"/>
      <c r="E481" s="22" t="n"/>
      <c r="F481" s="22" t="n"/>
      <c r="G481" s="22" t="n"/>
      <c r="H481" s="23" t="n"/>
      <c r="I481" s="24">
        <f>IF(OR(C481="",NOT(ISNUMBER(B481))),"",UPPER(IF(IFERROR(IF(INDEX(Products!$C$6:$C$45,MATCH(C481,Products!$B$6:$B$45,0))="","",INDEX(Products!$C$6:$C$45,MATCH(C481,Products!$B$6:$B$45,0))),"")="",LEFT(SUBSTITUTE(C481," ",""),3),IFERROR(IF(INDEX(Products!$C$6:$C$45,MATCH(C481,Products!$B$6:$B$45,0))="","",INDEX(Products!$C$6:$C$45,MATCH(C481,Products!$B$6:$B$45,0))),"")))&amp;"-"&amp;RIGHT(YEAR(B481),2)&amp;RIGHT("0"&amp;MONTH(B481),2)&amp;RIGHT("0"&amp;DAY(B481),2)&amp;"-"&amp;COUNTIFS(C$6:C481,C481,B$6:B481,B481))</f>
        <v/>
      </c>
      <c r="J481" s="14">
        <f>IF(OR(C481="",NOT(ISNUMBER(B481)),N(P481)=0),"",B481+P481)</f>
        <v/>
      </c>
      <c r="K481" s="25">
        <f>IF(C481="","",N(D481)-N(E481)-N(F481)-N(G481))</f>
        <v/>
      </c>
      <c r="L481" s="13">
        <f>IF(OR(C481="",N(K481)&lt;=0,NOT(ISNUMBER(J481))),"",J481-TODAY())</f>
        <v/>
      </c>
      <c r="M481" s="12">
        <f>IF(C481="","",IF(N(K481)&lt;=0,"Sold out",IF(NOT(ISNUMBER(J481)),"In stock",IF(J481&lt;TODAY(),"Past its date",IF(J481-TODAY()&lt;=Settings!$C$5,"Use soon","In stock")))))</f>
        <v/>
      </c>
      <c r="N481" s="26">
        <f>IF(C481="","",N(D481)*Q481)</f>
        <v/>
      </c>
      <c r="O481" s="1" t="n"/>
      <c r="P481">
        <f>IF(C481="",0,IFERROR(N(INDEX(Products!$E$6:$E$45,MATCH(C481,Products!$B$6:$B$45,0))),0))</f>
        <v/>
      </c>
      <c r="Q481">
        <f>IF(C481="",0,IFERROR(N(INDEX(Products!$I$6:$I$45,MATCH(C481,Products!$B$6:$B$45,0))),0))</f>
        <v/>
      </c>
      <c r="R481">
        <f>IF(OR(C481="",NOT(ISNUMBER(B481))),"",YEAR(B481)*100+MONTH(B481))</f>
        <v/>
      </c>
      <c r="S481">
        <f>N(G481)*Q481</f>
        <v/>
      </c>
      <c r="T481">
        <f>IF(OR(M481="",M481="Sold out",NOT(ISNUMBER(J481))),"",J481*1000+ROW())</f>
        <v/>
      </c>
    </row>
    <row r="482">
      <c r="A482" s="1" t="n"/>
      <c r="B482" s="20" t="n"/>
      <c r="C482" s="21" t="n"/>
      <c r="D482" s="22" t="n"/>
      <c r="E482" s="22" t="n"/>
      <c r="F482" s="22" t="n"/>
      <c r="G482" s="22" t="n"/>
      <c r="H482" s="23" t="n"/>
      <c r="I482" s="24">
        <f>IF(OR(C482="",NOT(ISNUMBER(B482))),"",UPPER(IF(IFERROR(IF(INDEX(Products!$C$6:$C$45,MATCH(C482,Products!$B$6:$B$45,0))="","",INDEX(Products!$C$6:$C$45,MATCH(C482,Products!$B$6:$B$45,0))),"")="",LEFT(SUBSTITUTE(C482," ",""),3),IFERROR(IF(INDEX(Products!$C$6:$C$45,MATCH(C482,Products!$B$6:$B$45,0))="","",INDEX(Products!$C$6:$C$45,MATCH(C482,Products!$B$6:$B$45,0))),"")))&amp;"-"&amp;RIGHT(YEAR(B482),2)&amp;RIGHT("0"&amp;MONTH(B482),2)&amp;RIGHT("0"&amp;DAY(B482),2)&amp;"-"&amp;COUNTIFS(C$6:C482,C482,B$6:B482,B482))</f>
        <v/>
      </c>
      <c r="J482" s="14">
        <f>IF(OR(C482="",NOT(ISNUMBER(B482)),N(P482)=0),"",B482+P482)</f>
        <v/>
      </c>
      <c r="K482" s="25">
        <f>IF(C482="","",N(D482)-N(E482)-N(F482)-N(G482))</f>
        <v/>
      </c>
      <c r="L482" s="13">
        <f>IF(OR(C482="",N(K482)&lt;=0,NOT(ISNUMBER(J482))),"",J482-TODAY())</f>
        <v/>
      </c>
      <c r="M482" s="12">
        <f>IF(C482="","",IF(N(K482)&lt;=0,"Sold out",IF(NOT(ISNUMBER(J482)),"In stock",IF(J482&lt;TODAY(),"Past its date",IF(J482-TODAY()&lt;=Settings!$C$5,"Use soon","In stock")))))</f>
        <v/>
      </c>
      <c r="N482" s="26">
        <f>IF(C482="","",N(D482)*Q482)</f>
        <v/>
      </c>
      <c r="O482" s="1" t="n"/>
      <c r="P482">
        <f>IF(C482="",0,IFERROR(N(INDEX(Products!$E$6:$E$45,MATCH(C482,Products!$B$6:$B$45,0))),0))</f>
        <v/>
      </c>
      <c r="Q482">
        <f>IF(C482="",0,IFERROR(N(INDEX(Products!$I$6:$I$45,MATCH(C482,Products!$B$6:$B$45,0))),0))</f>
        <v/>
      </c>
      <c r="R482">
        <f>IF(OR(C482="",NOT(ISNUMBER(B482))),"",YEAR(B482)*100+MONTH(B482))</f>
        <v/>
      </c>
      <c r="S482">
        <f>N(G482)*Q482</f>
        <v/>
      </c>
      <c r="T482">
        <f>IF(OR(M482="",M482="Sold out",NOT(ISNUMBER(J482))),"",J482*1000+ROW())</f>
        <v/>
      </c>
    </row>
    <row r="483">
      <c r="A483" s="1" t="n"/>
      <c r="B483" s="20" t="n"/>
      <c r="C483" s="21" t="n"/>
      <c r="D483" s="22" t="n"/>
      <c r="E483" s="22" t="n"/>
      <c r="F483" s="22" t="n"/>
      <c r="G483" s="22" t="n"/>
      <c r="H483" s="23" t="n"/>
      <c r="I483" s="24">
        <f>IF(OR(C483="",NOT(ISNUMBER(B483))),"",UPPER(IF(IFERROR(IF(INDEX(Products!$C$6:$C$45,MATCH(C483,Products!$B$6:$B$45,0))="","",INDEX(Products!$C$6:$C$45,MATCH(C483,Products!$B$6:$B$45,0))),"")="",LEFT(SUBSTITUTE(C483," ",""),3),IFERROR(IF(INDEX(Products!$C$6:$C$45,MATCH(C483,Products!$B$6:$B$45,0))="","",INDEX(Products!$C$6:$C$45,MATCH(C483,Products!$B$6:$B$45,0))),"")))&amp;"-"&amp;RIGHT(YEAR(B483),2)&amp;RIGHT("0"&amp;MONTH(B483),2)&amp;RIGHT("0"&amp;DAY(B483),2)&amp;"-"&amp;COUNTIFS(C$6:C483,C483,B$6:B483,B483))</f>
        <v/>
      </c>
      <c r="J483" s="14">
        <f>IF(OR(C483="",NOT(ISNUMBER(B483)),N(P483)=0),"",B483+P483)</f>
        <v/>
      </c>
      <c r="K483" s="25">
        <f>IF(C483="","",N(D483)-N(E483)-N(F483)-N(G483))</f>
        <v/>
      </c>
      <c r="L483" s="13">
        <f>IF(OR(C483="",N(K483)&lt;=0,NOT(ISNUMBER(J483))),"",J483-TODAY())</f>
        <v/>
      </c>
      <c r="M483" s="12">
        <f>IF(C483="","",IF(N(K483)&lt;=0,"Sold out",IF(NOT(ISNUMBER(J483)),"In stock",IF(J483&lt;TODAY(),"Past its date",IF(J483-TODAY()&lt;=Settings!$C$5,"Use soon","In stock")))))</f>
        <v/>
      </c>
      <c r="N483" s="26">
        <f>IF(C483="","",N(D483)*Q483)</f>
        <v/>
      </c>
      <c r="O483" s="1" t="n"/>
      <c r="P483">
        <f>IF(C483="",0,IFERROR(N(INDEX(Products!$E$6:$E$45,MATCH(C483,Products!$B$6:$B$45,0))),0))</f>
        <v/>
      </c>
      <c r="Q483">
        <f>IF(C483="",0,IFERROR(N(INDEX(Products!$I$6:$I$45,MATCH(C483,Products!$B$6:$B$45,0))),0))</f>
        <v/>
      </c>
      <c r="R483">
        <f>IF(OR(C483="",NOT(ISNUMBER(B483))),"",YEAR(B483)*100+MONTH(B483))</f>
        <v/>
      </c>
      <c r="S483">
        <f>N(G483)*Q483</f>
        <v/>
      </c>
      <c r="T483">
        <f>IF(OR(M483="",M483="Sold out",NOT(ISNUMBER(J483))),"",J483*1000+ROW())</f>
        <v/>
      </c>
    </row>
    <row r="484">
      <c r="A484" s="1" t="n"/>
      <c r="B484" s="20" t="n"/>
      <c r="C484" s="21" t="n"/>
      <c r="D484" s="22" t="n"/>
      <c r="E484" s="22" t="n"/>
      <c r="F484" s="22" t="n"/>
      <c r="G484" s="22" t="n"/>
      <c r="H484" s="23" t="n"/>
      <c r="I484" s="24">
        <f>IF(OR(C484="",NOT(ISNUMBER(B484))),"",UPPER(IF(IFERROR(IF(INDEX(Products!$C$6:$C$45,MATCH(C484,Products!$B$6:$B$45,0))="","",INDEX(Products!$C$6:$C$45,MATCH(C484,Products!$B$6:$B$45,0))),"")="",LEFT(SUBSTITUTE(C484," ",""),3),IFERROR(IF(INDEX(Products!$C$6:$C$45,MATCH(C484,Products!$B$6:$B$45,0))="","",INDEX(Products!$C$6:$C$45,MATCH(C484,Products!$B$6:$B$45,0))),"")))&amp;"-"&amp;RIGHT(YEAR(B484),2)&amp;RIGHT("0"&amp;MONTH(B484),2)&amp;RIGHT("0"&amp;DAY(B484),2)&amp;"-"&amp;COUNTIFS(C$6:C484,C484,B$6:B484,B484))</f>
        <v/>
      </c>
      <c r="J484" s="14">
        <f>IF(OR(C484="",NOT(ISNUMBER(B484)),N(P484)=0),"",B484+P484)</f>
        <v/>
      </c>
      <c r="K484" s="25">
        <f>IF(C484="","",N(D484)-N(E484)-N(F484)-N(G484))</f>
        <v/>
      </c>
      <c r="L484" s="13">
        <f>IF(OR(C484="",N(K484)&lt;=0,NOT(ISNUMBER(J484))),"",J484-TODAY())</f>
        <v/>
      </c>
      <c r="M484" s="12">
        <f>IF(C484="","",IF(N(K484)&lt;=0,"Sold out",IF(NOT(ISNUMBER(J484)),"In stock",IF(J484&lt;TODAY(),"Past its date",IF(J484-TODAY()&lt;=Settings!$C$5,"Use soon","In stock")))))</f>
        <v/>
      </c>
      <c r="N484" s="26">
        <f>IF(C484="","",N(D484)*Q484)</f>
        <v/>
      </c>
      <c r="O484" s="1" t="n"/>
      <c r="P484">
        <f>IF(C484="",0,IFERROR(N(INDEX(Products!$E$6:$E$45,MATCH(C484,Products!$B$6:$B$45,0))),0))</f>
        <v/>
      </c>
      <c r="Q484">
        <f>IF(C484="",0,IFERROR(N(INDEX(Products!$I$6:$I$45,MATCH(C484,Products!$B$6:$B$45,0))),0))</f>
        <v/>
      </c>
      <c r="R484">
        <f>IF(OR(C484="",NOT(ISNUMBER(B484))),"",YEAR(B484)*100+MONTH(B484))</f>
        <v/>
      </c>
      <c r="S484">
        <f>N(G484)*Q484</f>
        <v/>
      </c>
      <c r="T484">
        <f>IF(OR(M484="",M484="Sold out",NOT(ISNUMBER(J484))),"",J484*1000+ROW())</f>
        <v/>
      </c>
    </row>
    <row r="485">
      <c r="A485" s="1" t="n"/>
      <c r="B485" s="20" t="n"/>
      <c r="C485" s="21" t="n"/>
      <c r="D485" s="22" t="n"/>
      <c r="E485" s="22" t="n"/>
      <c r="F485" s="22" t="n"/>
      <c r="G485" s="22" t="n"/>
      <c r="H485" s="23" t="n"/>
      <c r="I485" s="24">
        <f>IF(OR(C485="",NOT(ISNUMBER(B485))),"",UPPER(IF(IFERROR(IF(INDEX(Products!$C$6:$C$45,MATCH(C485,Products!$B$6:$B$45,0))="","",INDEX(Products!$C$6:$C$45,MATCH(C485,Products!$B$6:$B$45,0))),"")="",LEFT(SUBSTITUTE(C485," ",""),3),IFERROR(IF(INDEX(Products!$C$6:$C$45,MATCH(C485,Products!$B$6:$B$45,0))="","",INDEX(Products!$C$6:$C$45,MATCH(C485,Products!$B$6:$B$45,0))),"")))&amp;"-"&amp;RIGHT(YEAR(B485),2)&amp;RIGHT("0"&amp;MONTH(B485),2)&amp;RIGHT("0"&amp;DAY(B485),2)&amp;"-"&amp;COUNTIFS(C$6:C485,C485,B$6:B485,B485))</f>
        <v/>
      </c>
      <c r="J485" s="14">
        <f>IF(OR(C485="",NOT(ISNUMBER(B485)),N(P485)=0),"",B485+P485)</f>
        <v/>
      </c>
      <c r="K485" s="25">
        <f>IF(C485="","",N(D485)-N(E485)-N(F485)-N(G485))</f>
        <v/>
      </c>
      <c r="L485" s="13">
        <f>IF(OR(C485="",N(K485)&lt;=0,NOT(ISNUMBER(J485))),"",J485-TODAY())</f>
        <v/>
      </c>
      <c r="M485" s="12">
        <f>IF(C485="","",IF(N(K485)&lt;=0,"Sold out",IF(NOT(ISNUMBER(J485)),"In stock",IF(J485&lt;TODAY(),"Past its date",IF(J485-TODAY()&lt;=Settings!$C$5,"Use soon","In stock")))))</f>
        <v/>
      </c>
      <c r="N485" s="26">
        <f>IF(C485="","",N(D485)*Q485)</f>
        <v/>
      </c>
      <c r="O485" s="1" t="n"/>
      <c r="P485">
        <f>IF(C485="",0,IFERROR(N(INDEX(Products!$E$6:$E$45,MATCH(C485,Products!$B$6:$B$45,0))),0))</f>
        <v/>
      </c>
      <c r="Q485">
        <f>IF(C485="",0,IFERROR(N(INDEX(Products!$I$6:$I$45,MATCH(C485,Products!$B$6:$B$45,0))),0))</f>
        <v/>
      </c>
      <c r="R485">
        <f>IF(OR(C485="",NOT(ISNUMBER(B485))),"",YEAR(B485)*100+MONTH(B485))</f>
        <v/>
      </c>
      <c r="S485">
        <f>N(G485)*Q485</f>
        <v/>
      </c>
      <c r="T485">
        <f>IF(OR(M485="",M485="Sold out",NOT(ISNUMBER(J485))),"",J485*1000+ROW())</f>
        <v/>
      </c>
    </row>
    <row r="486">
      <c r="A486" s="1" t="n"/>
      <c r="B486" s="20" t="n"/>
      <c r="C486" s="21" t="n"/>
      <c r="D486" s="22" t="n"/>
      <c r="E486" s="22" t="n"/>
      <c r="F486" s="22" t="n"/>
      <c r="G486" s="22" t="n"/>
      <c r="H486" s="23" t="n"/>
      <c r="I486" s="24">
        <f>IF(OR(C486="",NOT(ISNUMBER(B486))),"",UPPER(IF(IFERROR(IF(INDEX(Products!$C$6:$C$45,MATCH(C486,Products!$B$6:$B$45,0))="","",INDEX(Products!$C$6:$C$45,MATCH(C486,Products!$B$6:$B$45,0))),"")="",LEFT(SUBSTITUTE(C486," ",""),3),IFERROR(IF(INDEX(Products!$C$6:$C$45,MATCH(C486,Products!$B$6:$B$45,0))="","",INDEX(Products!$C$6:$C$45,MATCH(C486,Products!$B$6:$B$45,0))),"")))&amp;"-"&amp;RIGHT(YEAR(B486),2)&amp;RIGHT("0"&amp;MONTH(B486),2)&amp;RIGHT("0"&amp;DAY(B486),2)&amp;"-"&amp;COUNTIFS(C$6:C486,C486,B$6:B486,B486))</f>
        <v/>
      </c>
      <c r="J486" s="14">
        <f>IF(OR(C486="",NOT(ISNUMBER(B486)),N(P486)=0),"",B486+P486)</f>
        <v/>
      </c>
      <c r="K486" s="25">
        <f>IF(C486="","",N(D486)-N(E486)-N(F486)-N(G486))</f>
        <v/>
      </c>
      <c r="L486" s="13">
        <f>IF(OR(C486="",N(K486)&lt;=0,NOT(ISNUMBER(J486))),"",J486-TODAY())</f>
        <v/>
      </c>
      <c r="M486" s="12">
        <f>IF(C486="","",IF(N(K486)&lt;=0,"Sold out",IF(NOT(ISNUMBER(J486)),"In stock",IF(J486&lt;TODAY(),"Past its date",IF(J486-TODAY()&lt;=Settings!$C$5,"Use soon","In stock")))))</f>
        <v/>
      </c>
      <c r="N486" s="26">
        <f>IF(C486="","",N(D486)*Q486)</f>
        <v/>
      </c>
      <c r="O486" s="1" t="n"/>
      <c r="P486">
        <f>IF(C486="",0,IFERROR(N(INDEX(Products!$E$6:$E$45,MATCH(C486,Products!$B$6:$B$45,0))),0))</f>
        <v/>
      </c>
      <c r="Q486">
        <f>IF(C486="",0,IFERROR(N(INDEX(Products!$I$6:$I$45,MATCH(C486,Products!$B$6:$B$45,0))),0))</f>
        <v/>
      </c>
      <c r="R486">
        <f>IF(OR(C486="",NOT(ISNUMBER(B486))),"",YEAR(B486)*100+MONTH(B486))</f>
        <v/>
      </c>
      <c r="S486">
        <f>N(G486)*Q486</f>
        <v/>
      </c>
      <c r="T486">
        <f>IF(OR(M486="",M486="Sold out",NOT(ISNUMBER(J486))),"",J486*1000+ROW())</f>
        <v/>
      </c>
    </row>
    <row r="487">
      <c r="A487" s="1" t="n"/>
      <c r="B487" s="20" t="n"/>
      <c r="C487" s="21" t="n"/>
      <c r="D487" s="22" t="n"/>
      <c r="E487" s="22" t="n"/>
      <c r="F487" s="22" t="n"/>
      <c r="G487" s="22" t="n"/>
      <c r="H487" s="23" t="n"/>
      <c r="I487" s="24">
        <f>IF(OR(C487="",NOT(ISNUMBER(B487))),"",UPPER(IF(IFERROR(IF(INDEX(Products!$C$6:$C$45,MATCH(C487,Products!$B$6:$B$45,0))="","",INDEX(Products!$C$6:$C$45,MATCH(C487,Products!$B$6:$B$45,0))),"")="",LEFT(SUBSTITUTE(C487," ",""),3),IFERROR(IF(INDEX(Products!$C$6:$C$45,MATCH(C487,Products!$B$6:$B$45,0))="","",INDEX(Products!$C$6:$C$45,MATCH(C487,Products!$B$6:$B$45,0))),"")))&amp;"-"&amp;RIGHT(YEAR(B487),2)&amp;RIGHT("0"&amp;MONTH(B487),2)&amp;RIGHT("0"&amp;DAY(B487),2)&amp;"-"&amp;COUNTIFS(C$6:C487,C487,B$6:B487,B487))</f>
        <v/>
      </c>
      <c r="J487" s="14">
        <f>IF(OR(C487="",NOT(ISNUMBER(B487)),N(P487)=0),"",B487+P487)</f>
        <v/>
      </c>
      <c r="K487" s="25">
        <f>IF(C487="","",N(D487)-N(E487)-N(F487)-N(G487))</f>
        <v/>
      </c>
      <c r="L487" s="13">
        <f>IF(OR(C487="",N(K487)&lt;=0,NOT(ISNUMBER(J487))),"",J487-TODAY())</f>
        <v/>
      </c>
      <c r="M487" s="12">
        <f>IF(C487="","",IF(N(K487)&lt;=0,"Sold out",IF(NOT(ISNUMBER(J487)),"In stock",IF(J487&lt;TODAY(),"Past its date",IF(J487-TODAY()&lt;=Settings!$C$5,"Use soon","In stock")))))</f>
        <v/>
      </c>
      <c r="N487" s="26">
        <f>IF(C487="","",N(D487)*Q487)</f>
        <v/>
      </c>
      <c r="O487" s="1" t="n"/>
      <c r="P487">
        <f>IF(C487="",0,IFERROR(N(INDEX(Products!$E$6:$E$45,MATCH(C487,Products!$B$6:$B$45,0))),0))</f>
        <v/>
      </c>
      <c r="Q487">
        <f>IF(C487="",0,IFERROR(N(INDEX(Products!$I$6:$I$45,MATCH(C487,Products!$B$6:$B$45,0))),0))</f>
        <v/>
      </c>
      <c r="R487">
        <f>IF(OR(C487="",NOT(ISNUMBER(B487))),"",YEAR(B487)*100+MONTH(B487))</f>
        <v/>
      </c>
      <c r="S487">
        <f>N(G487)*Q487</f>
        <v/>
      </c>
      <c r="T487">
        <f>IF(OR(M487="",M487="Sold out",NOT(ISNUMBER(J487))),"",J487*1000+ROW())</f>
        <v/>
      </c>
    </row>
    <row r="488">
      <c r="A488" s="1" t="n"/>
      <c r="B488" s="20" t="n"/>
      <c r="C488" s="21" t="n"/>
      <c r="D488" s="22" t="n"/>
      <c r="E488" s="22" t="n"/>
      <c r="F488" s="22" t="n"/>
      <c r="G488" s="22" t="n"/>
      <c r="H488" s="23" t="n"/>
      <c r="I488" s="24">
        <f>IF(OR(C488="",NOT(ISNUMBER(B488))),"",UPPER(IF(IFERROR(IF(INDEX(Products!$C$6:$C$45,MATCH(C488,Products!$B$6:$B$45,0))="","",INDEX(Products!$C$6:$C$45,MATCH(C488,Products!$B$6:$B$45,0))),"")="",LEFT(SUBSTITUTE(C488," ",""),3),IFERROR(IF(INDEX(Products!$C$6:$C$45,MATCH(C488,Products!$B$6:$B$45,0))="","",INDEX(Products!$C$6:$C$45,MATCH(C488,Products!$B$6:$B$45,0))),"")))&amp;"-"&amp;RIGHT(YEAR(B488),2)&amp;RIGHT("0"&amp;MONTH(B488),2)&amp;RIGHT("0"&amp;DAY(B488),2)&amp;"-"&amp;COUNTIFS(C$6:C488,C488,B$6:B488,B488))</f>
        <v/>
      </c>
      <c r="J488" s="14">
        <f>IF(OR(C488="",NOT(ISNUMBER(B488)),N(P488)=0),"",B488+P488)</f>
        <v/>
      </c>
      <c r="K488" s="25">
        <f>IF(C488="","",N(D488)-N(E488)-N(F488)-N(G488))</f>
        <v/>
      </c>
      <c r="L488" s="13">
        <f>IF(OR(C488="",N(K488)&lt;=0,NOT(ISNUMBER(J488))),"",J488-TODAY())</f>
        <v/>
      </c>
      <c r="M488" s="12">
        <f>IF(C488="","",IF(N(K488)&lt;=0,"Sold out",IF(NOT(ISNUMBER(J488)),"In stock",IF(J488&lt;TODAY(),"Past its date",IF(J488-TODAY()&lt;=Settings!$C$5,"Use soon","In stock")))))</f>
        <v/>
      </c>
      <c r="N488" s="26">
        <f>IF(C488="","",N(D488)*Q488)</f>
        <v/>
      </c>
      <c r="O488" s="1" t="n"/>
      <c r="P488">
        <f>IF(C488="",0,IFERROR(N(INDEX(Products!$E$6:$E$45,MATCH(C488,Products!$B$6:$B$45,0))),0))</f>
        <v/>
      </c>
      <c r="Q488">
        <f>IF(C488="",0,IFERROR(N(INDEX(Products!$I$6:$I$45,MATCH(C488,Products!$B$6:$B$45,0))),0))</f>
        <v/>
      </c>
      <c r="R488">
        <f>IF(OR(C488="",NOT(ISNUMBER(B488))),"",YEAR(B488)*100+MONTH(B488))</f>
        <v/>
      </c>
      <c r="S488">
        <f>N(G488)*Q488</f>
        <v/>
      </c>
      <c r="T488">
        <f>IF(OR(M488="",M488="Sold out",NOT(ISNUMBER(J488))),"",J488*1000+ROW())</f>
        <v/>
      </c>
    </row>
    <row r="489">
      <c r="A489" s="1" t="n"/>
      <c r="B489" s="20" t="n"/>
      <c r="C489" s="21" t="n"/>
      <c r="D489" s="22" t="n"/>
      <c r="E489" s="22" t="n"/>
      <c r="F489" s="22" t="n"/>
      <c r="G489" s="22" t="n"/>
      <c r="H489" s="23" t="n"/>
      <c r="I489" s="24">
        <f>IF(OR(C489="",NOT(ISNUMBER(B489))),"",UPPER(IF(IFERROR(IF(INDEX(Products!$C$6:$C$45,MATCH(C489,Products!$B$6:$B$45,0))="","",INDEX(Products!$C$6:$C$45,MATCH(C489,Products!$B$6:$B$45,0))),"")="",LEFT(SUBSTITUTE(C489," ",""),3),IFERROR(IF(INDEX(Products!$C$6:$C$45,MATCH(C489,Products!$B$6:$B$45,0))="","",INDEX(Products!$C$6:$C$45,MATCH(C489,Products!$B$6:$B$45,0))),"")))&amp;"-"&amp;RIGHT(YEAR(B489),2)&amp;RIGHT("0"&amp;MONTH(B489),2)&amp;RIGHT("0"&amp;DAY(B489),2)&amp;"-"&amp;COUNTIFS(C$6:C489,C489,B$6:B489,B489))</f>
        <v/>
      </c>
      <c r="J489" s="14">
        <f>IF(OR(C489="",NOT(ISNUMBER(B489)),N(P489)=0),"",B489+P489)</f>
        <v/>
      </c>
      <c r="K489" s="25">
        <f>IF(C489="","",N(D489)-N(E489)-N(F489)-N(G489))</f>
        <v/>
      </c>
      <c r="L489" s="13">
        <f>IF(OR(C489="",N(K489)&lt;=0,NOT(ISNUMBER(J489))),"",J489-TODAY())</f>
        <v/>
      </c>
      <c r="M489" s="12">
        <f>IF(C489="","",IF(N(K489)&lt;=0,"Sold out",IF(NOT(ISNUMBER(J489)),"In stock",IF(J489&lt;TODAY(),"Past its date",IF(J489-TODAY()&lt;=Settings!$C$5,"Use soon","In stock")))))</f>
        <v/>
      </c>
      <c r="N489" s="26">
        <f>IF(C489="","",N(D489)*Q489)</f>
        <v/>
      </c>
      <c r="O489" s="1" t="n"/>
      <c r="P489">
        <f>IF(C489="",0,IFERROR(N(INDEX(Products!$E$6:$E$45,MATCH(C489,Products!$B$6:$B$45,0))),0))</f>
        <v/>
      </c>
      <c r="Q489">
        <f>IF(C489="",0,IFERROR(N(INDEX(Products!$I$6:$I$45,MATCH(C489,Products!$B$6:$B$45,0))),0))</f>
        <v/>
      </c>
      <c r="R489">
        <f>IF(OR(C489="",NOT(ISNUMBER(B489))),"",YEAR(B489)*100+MONTH(B489))</f>
        <v/>
      </c>
      <c r="S489">
        <f>N(G489)*Q489</f>
        <v/>
      </c>
      <c r="T489">
        <f>IF(OR(M489="",M489="Sold out",NOT(ISNUMBER(J489))),"",J489*1000+ROW())</f>
        <v/>
      </c>
    </row>
    <row r="490">
      <c r="A490" s="1" t="n"/>
      <c r="B490" s="20" t="n"/>
      <c r="C490" s="21" t="n"/>
      <c r="D490" s="22" t="n"/>
      <c r="E490" s="22" t="n"/>
      <c r="F490" s="22" t="n"/>
      <c r="G490" s="22" t="n"/>
      <c r="H490" s="23" t="n"/>
      <c r="I490" s="24">
        <f>IF(OR(C490="",NOT(ISNUMBER(B490))),"",UPPER(IF(IFERROR(IF(INDEX(Products!$C$6:$C$45,MATCH(C490,Products!$B$6:$B$45,0))="","",INDEX(Products!$C$6:$C$45,MATCH(C490,Products!$B$6:$B$45,0))),"")="",LEFT(SUBSTITUTE(C490," ",""),3),IFERROR(IF(INDEX(Products!$C$6:$C$45,MATCH(C490,Products!$B$6:$B$45,0))="","",INDEX(Products!$C$6:$C$45,MATCH(C490,Products!$B$6:$B$45,0))),"")))&amp;"-"&amp;RIGHT(YEAR(B490),2)&amp;RIGHT("0"&amp;MONTH(B490),2)&amp;RIGHT("0"&amp;DAY(B490),2)&amp;"-"&amp;COUNTIFS(C$6:C490,C490,B$6:B490,B490))</f>
        <v/>
      </c>
      <c r="J490" s="14">
        <f>IF(OR(C490="",NOT(ISNUMBER(B490)),N(P490)=0),"",B490+P490)</f>
        <v/>
      </c>
      <c r="K490" s="25">
        <f>IF(C490="","",N(D490)-N(E490)-N(F490)-N(G490))</f>
        <v/>
      </c>
      <c r="L490" s="13">
        <f>IF(OR(C490="",N(K490)&lt;=0,NOT(ISNUMBER(J490))),"",J490-TODAY())</f>
        <v/>
      </c>
      <c r="M490" s="12">
        <f>IF(C490="","",IF(N(K490)&lt;=0,"Sold out",IF(NOT(ISNUMBER(J490)),"In stock",IF(J490&lt;TODAY(),"Past its date",IF(J490-TODAY()&lt;=Settings!$C$5,"Use soon","In stock")))))</f>
        <v/>
      </c>
      <c r="N490" s="26">
        <f>IF(C490="","",N(D490)*Q490)</f>
        <v/>
      </c>
      <c r="O490" s="1" t="n"/>
      <c r="P490">
        <f>IF(C490="",0,IFERROR(N(INDEX(Products!$E$6:$E$45,MATCH(C490,Products!$B$6:$B$45,0))),0))</f>
        <v/>
      </c>
      <c r="Q490">
        <f>IF(C490="",0,IFERROR(N(INDEX(Products!$I$6:$I$45,MATCH(C490,Products!$B$6:$B$45,0))),0))</f>
        <v/>
      </c>
      <c r="R490">
        <f>IF(OR(C490="",NOT(ISNUMBER(B490))),"",YEAR(B490)*100+MONTH(B490))</f>
        <v/>
      </c>
      <c r="S490">
        <f>N(G490)*Q490</f>
        <v/>
      </c>
      <c r="T490">
        <f>IF(OR(M490="",M490="Sold out",NOT(ISNUMBER(J490))),"",J490*1000+ROW())</f>
        <v/>
      </c>
    </row>
    <row r="491">
      <c r="A491" s="1" t="n"/>
      <c r="B491" s="20" t="n"/>
      <c r="C491" s="21" t="n"/>
      <c r="D491" s="22" t="n"/>
      <c r="E491" s="22" t="n"/>
      <c r="F491" s="22" t="n"/>
      <c r="G491" s="22" t="n"/>
      <c r="H491" s="23" t="n"/>
      <c r="I491" s="24">
        <f>IF(OR(C491="",NOT(ISNUMBER(B491))),"",UPPER(IF(IFERROR(IF(INDEX(Products!$C$6:$C$45,MATCH(C491,Products!$B$6:$B$45,0))="","",INDEX(Products!$C$6:$C$45,MATCH(C491,Products!$B$6:$B$45,0))),"")="",LEFT(SUBSTITUTE(C491," ",""),3),IFERROR(IF(INDEX(Products!$C$6:$C$45,MATCH(C491,Products!$B$6:$B$45,0))="","",INDEX(Products!$C$6:$C$45,MATCH(C491,Products!$B$6:$B$45,0))),"")))&amp;"-"&amp;RIGHT(YEAR(B491),2)&amp;RIGHT("0"&amp;MONTH(B491),2)&amp;RIGHT("0"&amp;DAY(B491),2)&amp;"-"&amp;COUNTIFS(C$6:C491,C491,B$6:B491,B491))</f>
        <v/>
      </c>
      <c r="J491" s="14">
        <f>IF(OR(C491="",NOT(ISNUMBER(B491)),N(P491)=0),"",B491+P491)</f>
        <v/>
      </c>
      <c r="K491" s="25">
        <f>IF(C491="","",N(D491)-N(E491)-N(F491)-N(G491))</f>
        <v/>
      </c>
      <c r="L491" s="13">
        <f>IF(OR(C491="",N(K491)&lt;=0,NOT(ISNUMBER(J491))),"",J491-TODAY())</f>
        <v/>
      </c>
      <c r="M491" s="12">
        <f>IF(C491="","",IF(N(K491)&lt;=0,"Sold out",IF(NOT(ISNUMBER(J491)),"In stock",IF(J491&lt;TODAY(),"Past its date",IF(J491-TODAY()&lt;=Settings!$C$5,"Use soon","In stock")))))</f>
        <v/>
      </c>
      <c r="N491" s="26">
        <f>IF(C491="","",N(D491)*Q491)</f>
        <v/>
      </c>
      <c r="O491" s="1" t="n"/>
      <c r="P491">
        <f>IF(C491="",0,IFERROR(N(INDEX(Products!$E$6:$E$45,MATCH(C491,Products!$B$6:$B$45,0))),0))</f>
        <v/>
      </c>
      <c r="Q491">
        <f>IF(C491="",0,IFERROR(N(INDEX(Products!$I$6:$I$45,MATCH(C491,Products!$B$6:$B$45,0))),0))</f>
        <v/>
      </c>
      <c r="R491">
        <f>IF(OR(C491="",NOT(ISNUMBER(B491))),"",YEAR(B491)*100+MONTH(B491))</f>
        <v/>
      </c>
      <c r="S491">
        <f>N(G491)*Q491</f>
        <v/>
      </c>
      <c r="T491">
        <f>IF(OR(M491="",M491="Sold out",NOT(ISNUMBER(J491))),"",J491*1000+ROW())</f>
        <v/>
      </c>
    </row>
    <row r="492">
      <c r="A492" s="1" t="n"/>
      <c r="B492" s="20" t="n"/>
      <c r="C492" s="21" t="n"/>
      <c r="D492" s="22" t="n"/>
      <c r="E492" s="22" t="n"/>
      <c r="F492" s="22" t="n"/>
      <c r="G492" s="22" t="n"/>
      <c r="H492" s="23" t="n"/>
      <c r="I492" s="24">
        <f>IF(OR(C492="",NOT(ISNUMBER(B492))),"",UPPER(IF(IFERROR(IF(INDEX(Products!$C$6:$C$45,MATCH(C492,Products!$B$6:$B$45,0))="","",INDEX(Products!$C$6:$C$45,MATCH(C492,Products!$B$6:$B$45,0))),"")="",LEFT(SUBSTITUTE(C492," ",""),3),IFERROR(IF(INDEX(Products!$C$6:$C$45,MATCH(C492,Products!$B$6:$B$45,0))="","",INDEX(Products!$C$6:$C$45,MATCH(C492,Products!$B$6:$B$45,0))),"")))&amp;"-"&amp;RIGHT(YEAR(B492),2)&amp;RIGHT("0"&amp;MONTH(B492),2)&amp;RIGHT("0"&amp;DAY(B492),2)&amp;"-"&amp;COUNTIFS(C$6:C492,C492,B$6:B492,B492))</f>
        <v/>
      </c>
      <c r="J492" s="14">
        <f>IF(OR(C492="",NOT(ISNUMBER(B492)),N(P492)=0),"",B492+P492)</f>
        <v/>
      </c>
      <c r="K492" s="25">
        <f>IF(C492="","",N(D492)-N(E492)-N(F492)-N(G492))</f>
        <v/>
      </c>
      <c r="L492" s="13">
        <f>IF(OR(C492="",N(K492)&lt;=0,NOT(ISNUMBER(J492))),"",J492-TODAY())</f>
        <v/>
      </c>
      <c r="M492" s="12">
        <f>IF(C492="","",IF(N(K492)&lt;=0,"Sold out",IF(NOT(ISNUMBER(J492)),"In stock",IF(J492&lt;TODAY(),"Past its date",IF(J492-TODAY()&lt;=Settings!$C$5,"Use soon","In stock")))))</f>
        <v/>
      </c>
      <c r="N492" s="26">
        <f>IF(C492="","",N(D492)*Q492)</f>
        <v/>
      </c>
      <c r="O492" s="1" t="n"/>
      <c r="P492">
        <f>IF(C492="",0,IFERROR(N(INDEX(Products!$E$6:$E$45,MATCH(C492,Products!$B$6:$B$45,0))),0))</f>
        <v/>
      </c>
      <c r="Q492">
        <f>IF(C492="",0,IFERROR(N(INDEX(Products!$I$6:$I$45,MATCH(C492,Products!$B$6:$B$45,0))),0))</f>
        <v/>
      </c>
      <c r="R492">
        <f>IF(OR(C492="",NOT(ISNUMBER(B492))),"",YEAR(B492)*100+MONTH(B492))</f>
        <v/>
      </c>
      <c r="S492">
        <f>N(G492)*Q492</f>
        <v/>
      </c>
      <c r="T492">
        <f>IF(OR(M492="",M492="Sold out",NOT(ISNUMBER(J492))),"",J492*1000+ROW())</f>
        <v/>
      </c>
    </row>
    <row r="493">
      <c r="A493" s="1" t="n"/>
      <c r="B493" s="20" t="n"/>
      <c r="C493" s="21" t="n"/>
      <c r="D493" s="22" t="n"/>
      <c r="E493" s="22" t="n"/>
      <c r="F493" s="22" t="n"/>
      <c r="G493" s="22" t="n"/>
      <c r="H493" s="23" t="n"/>
      <c r="I493" s="24">
        <f>IF(OR(C493="",NOT(ISNUMBER(B493))),"",UPPER(IF(IFERROR(IF(INDEX(Products!$C$6:$C$45,MATCH(C493,Products!$B$6:$B$45,0))="","",INDEX(Products!$C$6:$C$45,MATCH(C493,Products!$B$6:$B$45,0))),"")="",LEFT(SUBSTITUTE(C493," ",""),3),IFERROR(IF(INDEX(Products!$C$6:$C$45,MATCH(C493,Products!$B$6:$B$45,0))="","",INDEX(Products!$C$6:$C$45,MATCH(C493,Products!$B$6:$B$45,0))),"")))&amp;"-"&amp;RIGHT(YEAR(B493),2)&amp;RIGHT("0"&amp;MONTH(B493),2)&amp;RIGHT("0"&amp;DAY(B493),2)&amp;"-"&amp;COUNTIFS(C$6:C493,C493,B$6:B493,B493))</f>
        <v/>
      </c>
      <c r="J493" s="14">
        <f>IF(OR(C493="",NOT(ISNUMBER(B493)),N(P493)=0),"",B493+P493)</f>
        <v/>
      </c>
      <c r="K493" s="25">
        <f>IF(C493="","",N(D493)-N(E493)-N(F493)-N(G493))</f>
        <v/>
      </c>
      <c r="L493" s="13">
        <f>IF(OR(C493="",N(K493)&lt;=0,NOT(ISNUMBER(J493))),"",J493-TODAY())</f>
        <v/>
      </c>
      <c r="M493" s="12">
        <f>IF(C493="","",IF(N(K493)&lt;=0,"Sold out",IF(NOT(ISNUMBER(J493)),"In stock",IF(J493&lt;TODAY(),"Past its date",IF(J493-TODAY()&lt;=Settings!$C$5,"Use soon","In stock")))))</f>
        <v/>
      </c>
      <c r="N493" s="26">
        <f>IF(C493="","",N(D493)*Q493)</f>
        <v/>
      </c>
      <c r="O493" s="1" t="n"/>
      <c r="P493">
        <f>IF(C493="",0,IFERROR(N(INDEX(Products!$E$6:$E$45,MATCH(C493,Products!$B$6:$B$45,0))),0))</f>
        <v/>
      </c>
      <c r="Q493">
        <f>IF(C493="",0,IFERROR(N(INDEX(Products!$I$6:$I$45,MATCH(C493,Products!$B$6:$B$45,0))),0))</f>
        <v/>
      </c>
      <c r="R493">
        <f>IF(OR(C493="",NOT(ISNUMBER(B493))),"",YEAR(B493)*100+MONTH(B493))</f>
        <v/>
      </c>
      <c r="S493">
        <f>N(G493)*Q493</f>
        <v/>
      </c>
      <c r="T493">
        <f>IF(OR(M493="",M493="Sold out",NOT(ISNUMBER(J493))),"",J493*1000+ROW())</f>
        <v/>
      </c>
    </row>
    <row r="494">
      <c r="A494" s="1" t="n"/>
      <c r="B494" s="20" t="n"/>
      <c r="C494" s="21" t="n"/>
      <c r="D494" s="22" t="n"/>
      <c r="E494" s="22" t="n"/>
      <c r="F494" s="22" t="n"/>
      <c r="G494" s="22" t="n"/>
      <c r="H494" s="23" t="n"/>
      <c r="I494" s="24">
        <f>IF(OR(C494="",NOT(ISNUMBER(B494))),"",UPPER(IF(IFERROR(IF(INDEX(Products!$C$6:$C$45,MATCH(C494,Products!$B$6:$B$45,0))="","",INDEX(Products!$C$6:$C$45,MATCH(C494,Products!$B$6:$B$45,0))),"")="",LEFT(SUBSTITUTE(C494," ",""),3),IFERROR(IF(INDEX(Products!$C$6:$C$45,MATCH(C494,Products!$B$6:$B$45,0))="","",INDEX(Products!$C$6:$C$45,MATCH(C494,Products!$B$6:$B$45,0))),"")))&amp;"-"&amp;RIGHT(YEAR(B494),2)&amp;RIGHT("0"&amp;MONTH(B494),2)&amp;RIGHT("0"&amp;DAY(B494),2)&amp;"-"&amp;COUNTIFS(C$6:C494,C494,B$6:B494,B494))</f>
        <v/>
      </c>
      <c r="J494" s="14">
        <f>IF(OR(C494="",NOT(ISNUMBER(B494)),N(P494)=0),"",B494+P494)</f>
        <v/>
      </c>
      <c r="K494" s="25">
        <f>IF(C494="","",N(D494)-N(E494)-N(F494)-N(G494))</f>
        <v/>
      </c>
      <c r="L494" s="13">
        <f>IF(OR(C494="",N(K494)&lt;=0,NOT(ISNUMBER(J494))),"",J494-TODAY())</f>
        <v/>
      </c>
      <c r="M494" s="12">
        <f>IF(C494="","",IF(N(K494)&lt;=0,"Sold out",IF(NOT(ISNUMBER(J494)),"In stock",IF(J494&lt;TODAY(),"Past its date",IF(J494-TODAY()&lt;=Settings!$C$5,"Use soon","In stock")))))</f>
        <v/>
      </c>
      <c r="N494" s="26">
        <f>IF(C494="","",N(D494)*Q494)</f>
        <v/>
      </c>
      <c r="O494" s="1" t="n"/>
      <c r="P494">
        <f>IF(C494="",0,IFERROR(N(INDEX(Products!$E$6:$E$45,MATCH(C494,Products!$B$6:$B$45,0))),0))</f>
        <v/>
      </c>
      <c r="Q494">
        <f>IF(C494="",0,IFERROR(N(INDEX(Products!$I$6:$I$45,MATCH(C494,Products!$B$6:$B$45,0))),0))</f>
        <v/>
      </c>
      <c r="R494">
        <f>IF(OR(C494="",NOT(ISNUMBER(B494))),"",YEAR(B494)*100+MONTH(B494))</f>
        <v/>
      </c>
      <c r="S494">
        <f>N(G494)*Q494</f>
        <v/>
      </c>
      <c r="T494">
        <f>IF(OR(M494="",M494="Sold out",NOT(ISNUMBER(J494))),"",J494*1000+ROW())</f>
        <v/>
      </c>
    </row>
    <row r="495">
      <c r="A495" s="1" t="n"/>
      <c r="B495" s="20" t="n"/>
      <c r="C495" s="21" t="n"/>
      <c r="D495" s="22" t="n"/>
      <c r="E495" s="22" t="n"/>
      <c r="F495" s="22" t="n"/>
      <c r="G495" s="22" t="n"/>
      <c r="H495" s="23" t="n"/>
      <c r="I495" s="24">
        <f>IF(OR(C495="",NOT(ISNUMBER(B495))),"",UPPER(IF(IFERROR(IF(INDEX(Products!$C$6:$C$45,MATCH(C495,Products!$B$6:$B$45,0))="","",INDEX(Products!$C$6:$C$45,MATCH(C495,Products!$B$6:$B$45,0))),"")="",LEFT(SUBSTITUTE(C495," ",""),3),IFERROR(IF(INDEX(Products!$C$6:$C$45,MATCH(C495,Products!$B$6:$B$45,0))="","",INDEX(Products!$C$6:$C$45,MATCH(C495,Products!$B$6:$B$45,0))),"")))&amp;"-"&amp;RIGHT(YEAR(B495),2)&amp;RIGHT("0"&amp;MONTH(B495),2)&amp;RIGHT("0"&amp;DAY(B495),2)&amp;"-"&amp;COUNTIFS(C$6:C495,C495,B$6:B495,B495))</f>
        <v/>
      </c>
      <c r="J495" s="14">
        <f>IF(OR(C495="",NOT(ISNUMBER(B495)),N(P495)=0),"",B495+P495)</f>
        <v/>
      </c>
      <c r="K495" s="25">
        <f>IF(C495="","",N(D495)-N(E495)-N(F495)-N(G495))</f>
        <v/>
      </c>
      <c r="L495" s="13">
        <f>IF(OR(C495="",N(K495)&lt;=0,NOT(ISNUMBER(J495))),"",J495-TODAY())</f>
        <v/>
      </c>
      <c r="M495" s="12">
        <f>IF(C495="","",IF(N(K495)&lt;=0,"Sold out",IF(NOT(ISNUMBER(J495)),"In stock",IF(J495&lt;TODAY(),"Past its date",IF(J495-TODAY()&lt;=Settings!$C$5,"Use soon","In stock")))))</f>
        <v/>
      </c>
      <c r="N495" s="26">
        <f>IF(C495="","",N(D495)*Q495)</f>
        <v/>
      </c>
      <c r="O495" s="1" t="n"/>
      <c r="P495">
        <f>IF(C495="",0,IFERROR(N(INDEX(Products!$E$6:$E$45,MATCH(C495,Products!$B$6:$B$45,0))),0))</f>
        <v/>
      </c>
      <c r="Q495">
        <f>IF(C495="",0,IFERROR(N(INDEX(Products!$I$6:$I$45,MATCH(C495,Products!$B$6:$B$45,0))),0))</f>
        <v/>
      </c>
      <c r="R495">
        <f>IF(OR(C495="",NOT(ISNUMBER(B495))),"",YEAR(B495)*100+MONTH(B495))</f>
        <v/>
      </c>
      <c r="S495">
        <f>N(G495)*Q495</f>
        <v/>
      </c>
      <c r="T495">
        <f>IF(OR(M495="",M495="Sold out",NOT(ISNUMBER(J495))),"",J495*1000+ROW())</f>
        <v/>
      </c>
    </row>
    <row r="496">
      <c r="A496" s="1" t="n"/>
      <c r="B496" s="20" t="n"/>
      <c r="C496" s="21" t="n"/>
      <c r="D496" s="22" t="n"/>
      <c r="E496" s="22" t="n"/>
      <c r="F496" s="22" t="n"/>
      <c r="G496" s="22" t="n"/>
      <c r="H496" s="23" t="n"/>
      <c r="I496" s="24">
        <f>IF(OR(C496="",NOT(ISNUMBER(B496))),"",UPPER(IF(IFERROR(IF(INDEX(Products!$C$6:$C$45,MATCH(C496,Products!$B$6:$B$45,0))="","",INDEX(Products!$C$6:$C$45,MATCH(C496,Products!$B$6:$B$45,0))),"")="",LEFT(SUBSTITUTE(C496," ",""),3),IFERROR(IF(INDEX(Products!$C$6:$C$45,MATCH(C496,Products!$B$6:$B$45,0))="","",INDEX(Products!$C$6:$C$45,MATCH(C496,Products!$B$6:$B$45,0))),"")))&amp;"-"&amp;RIGHT(YEAR(B496),2)&amp;RIGHT("0"&amp;MONTH(B496),2)&amp;RIGHT("0"&amp;DAY(B496),2)&amp;"-"&amp;COUNTIFS(C$6:C496,C496,B$6:B496,B496))</f>
        <v/>
      </c>
      <c r="J496" s="14">
        <f>IF(OR(C496="",NOT(ISNUMBER(B496)),N(P496)=0),"",B496+P496)</f>
        <v/>
      </c>
      <c r="K496" s="25">
        <f>IF(C496="","",N(D496)-N(E496)-N(F496)-N(G496))</f>
        <v/>
      </c>
      <c r="L496" s="13">
        <f>IF(OR(C496="",N(K496)&lt;=0,NOT(ISNUMBER(J496))),"",J496-TODAY())</f>
        <v/>
      </c>
      <c r="M496" s="12">
        <f>IF(C496="","",IF(N(K496)&lt;=0,"Sold out",IF(NOT(ISNUMBER(J496)),"In stock",IF(J496&lt;TODAY(),"Past its date",IF(J496-TODAY()&lt;=Settings!$C$5,"Use soon","In stock")))))</f>
        <v/>
      </c>
      <c r="N496" s="26">
        <f>IF(C496="","",N(D496)*Q496)</f>
        <v/>
      </c>
      <c r="O496" s="1" t="n"/>
      <c r="P496">
        <f>IF(C496="",0,IFERROR(N(INDEX(Products!$E$6:$E$45,MATCH(C496,Products!$B$6:$B$45,0))),0))</f>
        <v/>
      </c>
      <c r="Q496">
        <f>IF(C496="",0,IFERROR(N(INDEX(Products!$I$6:$I$45,MATCH(C496,Products!$B$6:$B$45,0))),0))</f>
        <v/>
      </c>
      <c r="R496">
        <f>IF(OR(C496="",NOT(ISNUMBER(B496))),"",YEAR(B496)*100+MONTH(B496))</f>
        <v/>
      </c>
      <c r="S496">
        <f>N(G496)*Q496</f>
        <v/>
      </c>
      <c r="T496">
        <f>IF(OR(M496="",M496="Sold out",NOT(ISNUMBER(J496))),"",J496*1000+ROW())</f>
        <v/>
      </c>
    </row>
    <row r="497">
      <c r="A497" s="1" t="n"/>
      <c r="B497" s="20" t="n"/>
      <c r="C497" s="21" t="n"/>
      <c r="D497" s="22" t="n"/>
      <c r="E497" s="22" t="n"/>
      <c r="F497" s="22" t="n"/>
      <c r="G497" s="22" t="n"/>
      <c r="H497" s="23" t="n"/>
      <c r="I497" s="24">
        <f>IF(OR(C497="",NOT(ISNUMBER(B497))),"",UPPER(IF(IFERROR(IF(INDEX(Products!$C$6:$C$45,MATCH(C497,Products!$B$6:$B$45,0))="","",INDEX(Products!$C$6:$C$45,MATCH(C497,Products!$B$6:$B$45,0))),"")="",LEFT(SUBSTITUTE(C497," ",""),3),IFERROR(IF(INDEX(Products!$C$6:$C$45,MATCH(C497,Products!$B$6:$B$45,0))="","",INDEX(Products!$C$6:$C$45,MATCH(C497,Products!$B$6:$B$45,0))),"")))&amp;"-"&amp;RIGHT(YEAR(B497),2)&amp;RIGHT("0"&amp;MONTH(B497),2)&amp;RIGHT("0"&amp;DAY(B497),2)&amp;"-"&amp;COUNTIFS(C$6:C497,C497,B$6:B497,B497))</f>
        <v/>
      </c>
      <c r="J497" s="14">
        <f>IF(OR(C497="",NOT(ISNUMBER(B497)),N(P497)=0),"",B497+P497)</f>
        <v/>
      </c>
      <c r="K497" s="25">
        <f>IF(C497="","",N(D497)-N(E497)-N(F497)-N(G497))</f>
        <v/>
      </c>
      <c r="L497" s="13">
        <f>IF(OR(C497="",N(K497)&lt;=0,NOT(ISNUMBER(J497))),"",J497-TODAY())</f>
        <v/>
      </c>
      <c r="M497" s="12">
        <f>IF(C497="","",IF(N(K497)&lt;=0,"Sold out",IF(NOT(ISNUMBER(J497)),"In stock",IF(J497&lt;TODAY(),"Past its date",IF(J497-TODAY()&lt;=Settings!$C$5,"Use soon","In stock")))))</f>
        <v/>
      </c>
      <c r="N497" s="26">
        <f>IF(C497="","",N(D497)*Q497)</f>
        <v/>
      </c>
      <c r="O497" s="1" t="n"/>
      <c r="P497">
        <f>IF(C497="",0,IFERROR(N(INDEX(Products!$E$6:$E$45,MATCH(C497,Products!$B$6:$B$45,0))),0))</f>
        <v/>
      </c>
      <c r="Q497">
        <f>IF(C497="",0,IFERROR(N(INDEX(Products!$I$6:$I$45,MATCH(C497,Products!$B$6:$B$45,0))),0))</f>
        <v/>
      </c>
      <c r="R497">
        <f>IF(OR(C497="",NOT(ISNUMBER(B497))),"",YEAR(B497)*100+MONTH(B497))</f>
        <v/>
      </c>
      <c r="S497">
        <f>N(G497)*Q497</f>
        <v/>
      </c>
      <c r="T497">
        <f>IF(OR(M497="",M497="Sold out",NOT(ISNUMBER(J497))),"",J497*1000+ROW())</f>
        <v/>
      </c>
    </row>
    <row r="498">
      <c r="A498" s="1" t="n"/>
      <c r="B498" s="20" t="n"/>
      <c r="C498" s="21" t="n"/>
      <c r="D498" s="22" t="n"/>
      <c r="E498" s="22" t="n"/>
      <c r="F498" s="22" t="n"/>
      <c r="G498" s="22" t="n"/>
      <c r="H498" s="23" t="n"/>
      <c r="I498" s="24">
        <f>IF(OR(C498="",NOT(ISNUMBER(B498))),"",UPPER(IF(IFERROR(IF(INDEX(Products!$C$6:$C$45,MATCH(C498,Products!$B$6:$B$45,0))="","",INDEX(Products!$C$6:$C$45,MATCH(C498,Products!$B$6:$B$45,0))),"")="",LEFT(SUBSTITUTE(C498," ",""),3),IFERROR(IF(INDEX(Products!$C$6:$C$45,MATCH(C498,Products!$B$6:$B$45,0))="","",INDEX(Products!$C$6:$C$45,MATCH(C498,Products!$B$6:$B$45,0))),"")))&amp;"-"&amp;RIGHT(YEAR(B498),2)&amp;RIGHT("0"&amp;MONTH(B498),2)&amp;RIGHT("0"&amp;DAY(B498),2)&amp;"-"&amp;COUNTIFS(C$6:C498,C498,B$6:B498,B498))</f>
        <v/>
      </c>
      <c r="J498" s="14">
        <f>IF(OR(C498="",NOT(ISNUMBER(B498)),N(P498)=0),"",B498+P498)</f>
        <v/>
      </c>
      <c r="K498" s="25">
        <f>IF(C498="","",N(D498)-N(E498)-N(F498)-N(G498))</f>
        <v/>
      </c>
      <c r="L498" s="13">
        <f>IF(OR(C498="",N(K498)&lt;=0,NOT(ISNUMBER(J498))),"",J498-TODAY())</f>
        <v/>
      </c>
      <c r="M498" s="12">
        <f>IF(C498="","",IF(N(K498)&lt;=0,"Sold out",IF(NOT(ISNUMBER(J498)),"In stock",IF(J498&lt;TODAY(),"Past its date",IF(J498-TODAY()&lt;=Settings!$C$5,"Use soon","In stock")))))</f>
        <v/>
      </c>
      <c r="N498" s="26">
        <f>IF(C498="","",N(D498)*Q498)</f>
        <v/>
      </c>
      <c r="O498" s="1" t="n"/>
      <c r="P498">
        <f>IF(C498="",0,IFERROR(N(INDEX(Products!$E$6:$E$45,MATCH(C498,Products!$B$6:$B$45,0))),0))</f>
        <v/>
      </c>
      <c r="Q498">
        <f>IF(C498="",0,IFERROR(N(INDEX(Products!$I$6:$I$45,MATCH(C498,Products!$B$6:$B$45,0))),0))</f>
        <v/>
      </c>
      <c r="R498">
        <f>IF(OR(C498="",NOT(ISNUMBER(B498))),"",YEAR(B498)*100+MONTH(B498))</f>
        <v/>
      </c>
      <c r="S498">
        <f>N(G498)*Q498</f>
        <v/>
      </c>
      <c r="T498">
        <f>IF(OR(M498="",M498="Sold out",NOT(ISNUMBER(J498))),"",J498*1000+ROW())</f>
        <v/>
      </c>
    </row>
    <row r="499">
      <c r="A499" s="1" t="n"/>
      <c r="B499" s="20" t="n"/>
      <c r="C499" s="21" t="n"/>
      <c r="D499" s="22" t="n"/>
      <c r="E499" s="22" t="n"/>
      <c r="F499" s="22" t="n"/>
      <c r="G499" s="22" t="n"/>
      <c r="H499" s="23" t="n"/>
      <c r="I499" s="24">
        <f>IF(OR(C499="",NOT(ISNUMBER(B499))),"",UPPER(IF(IFERROR(IF(INDEX(Products!$C$6:$C$45,MATCH(C499,Products!$B$6:$B$45,0))="","",INDEX(Products!$C$6:$C$45,MATCH(C499,Products!$B$6:$B$45,0))),"")="",LEFT(SUBSTITUTE(C499," ",""),3),IFERROR(IF(INDEX(Products!$C$6:$C$45,MATCH(C499,Products!$B$6:$B$45,0))="","",INDEX(Products!$C$6:$C$45,MATCH(C499,Products!$B$6:$B$45,0))),"")))&amp;"-"&amp;RIGHT(YEAR(B499),2)&amp;RIGHT("0"&amp;MONTH(B499),2)&amp;RIGHT("0"&amp;DAY(B499),2)&amp;"-"&amp;COUNTIFS(C$6:C499,C499,B$6:B499,B499))</f>
        <v/>
      </c>
      <c r="J499" s="14">
        <f>IF(OR(C499="",NOT(ISNUMBER(B499)),N(P499)=0),"",B499+P499)</f>
        <v/>
      </c>
      <c r="K499" s="25">
        <f>IF(C499="","",N(D499)-N(E499)-N(F499)-N(G499))</f>
        <v/>
      </c>
      <c r="L499" s="13">
        <f>IF(OR(C499="",N(K499)&lt;=0,NOT(ISNUMBER(J499))),"",J499-TODAY())</f>
        <v/>
      </c>
      <c r="M499" s="12">
        <f>IF(C499="","",IF(N(K499)&lt;=0,"Sold out",IF(NOT(ISNUMBER(J499)),"In stock",IF(J499&lt;TODAY(),"Past its date",IF(J499-TODAY()&lt;=Settings!$C$5,"Use soon","In stock")))))</f>
        <v/>
      </c>
      <c r="N499" s="26">
        <f>IF(C499="","",N(D499)*Q499)</f>
        <v/>
      </c>
      <c r="O499" s="1" t="n"/>
      <c r="P499">
        <f>IF(C499="",0,IFERROR(N(INDEX(Products!$E$6:$E$45,MATCH(C499,Products!$B$6:$B$45,0))),0))</f>
        <v/>
      </c>
      <c r="Q499">
        <f>IF(C499="",0,IFERROR(N(INDEX(Products!$I$6:$I$45,MATCH(C499,Products!$B$6:$B$45,0))),0))</f>
        <v/>
      </c>
      <c r="R499">
        <f>IF(OR(C499="",NOT(ISNUMBER(B499))),"",YEAR(B499)*100+MONTH(B499))</f>
        <v/>
      </c>
      <c r="S499">
        <f>N(G499)*Q499</f>
        <v/>
      </c>
      <c r="T499">
        <f>IF(OR(M499="",M499="Sold out",NOT(ISNUMBER(J499))),"",J499*1000+ROW())</f>
        <v/>
      </c>
    </row>
    <row r="500">
      <c r="A500" s="1" t="n"/>
      <c r="B500" s="20" t="n"/>
      <c r="C500" s="21" t="n"/>
      <c r="D500" s="22" t="n"/>
      <c r="E500" s="22" t="n"/>
      <c r="F500" s="22" t="n"/>
      <c r="G500" s="22" t="n"/>
      <c r="H500" s="23" t="n"/>
      <c r="I500" s="24">
        <f>IF(OR(C500="",NOT(ISNUMBER(B500))),"",UPPER(IF(IFERROR(IF(INDEX(Products!$C$6:$C$45,MATCH(C500,Products!$B$6:$B$45,0))="","",INDEX(Products!$C$6:$C$45,MATCH(C500,Products!$B$6:$B$45,0))),"")="",LEFT(SUBSTITUTE(C500," ",""),3),IFERROR(IF(INDEX(Products!$C$6:$C$45,MATCH(C500,Products!$B$6:$B$45,0))="","",INDEX(Products!$C$6:$C$45,MATCH(C500,Products!$B$6:$B$45,0))),"")))&amp;"-"&amp;RIGHT(YEAR(B500),2)&amp;RIGHT("0"&amp;MONTH(B500),2)&amp;RIGHT("0"&amp;DAY(B500),2)&amp;"-"&amp;COUNTIFS(C$6:C500,C500,B$6:B500,B500))</f>
        <v/>
      </c>
      <c r="J500" s="14">
        <f>IF(OR(C500="",NOT(ISNUMBER(B500)),N(P500)=0),"",B500+P500)</f>
        <v/>
      </c>
      <c r="K500" s="25">
        <f>IF(C500="","",N(D500)-N(E500)-N(F500)-N(G500))</f>
        <v/>
      </c>
      <c r="L500" s="13">
        <f>IF(OR(C500="",N(K500)&lt;=0,NOT(ISNUMBER(J500))),"",J500-TODAY())</f>
        <v/>
      </c>
      <c r="M500" s="12">
        <f>IF(C500="","",IF(N(K500)&lt;=0,"Sold out",IF(NOT(ISNUMBER(J500)),"In stock",IF(J500&lt;TODAY(),"Past its date",IF(J500-TODAY()&lt;=Settings!$C$5,"Use soon","In stock")))))</f>
        <v/>
      </c>
      <c r="N500" s="26">
        <f>IF(C500="","",N(D500)*Q500)</f>
        <v/>
      </c>
      <c r="O500" s="1" t="n"/>
      <c r="P500">
        <f>IF(C500="",0,IFERROR(N(INDEX(Products!$E$6:$E$45,MATCH(C500,Products!$B$6:$B$45,0))),0))</f>
        <v/>
      </c>
      <c r="Q500">
        <f>IF(C500="",0,IFERROR(N(INDEX(Products!$I$6:$I$45,MATCH(C500,Products!$B$6:$B$45,0))),0))</f>
        <v/>
      </c>
      <c r="R500">
        <f>IF(OR(C500="",NOT(ISNUMBER(B500))),"",YEAR(B500)*100+MONTH(B500))</f>
        <v/>
      </c>
      <c r="S500">
        <f>N(G500)*Q500</f>
        <v/>
      </c>
      <c r="T500">
        <f>IF(OR(M500="",M500="Sold out",NOT(ISNUMBER(J500))),"",J500*1000+ROW())</f>
        <v/>
      </c>
    </row>
    <row r="501">
      <c r="A501" s="1" t="n"/>
      <c r="B501" s="20" t="n"/>
      <c r="C501" s="21" t="n"/>
      <c r="D501" s="22" t="n"/>
      <c r="E501" s="22" t="n"/>
      <c r="F501" s="22" t="n"/>
      <c r="G501" s="22" t="n"/>
      <c r="H501" s="23" t="n"/>
      <c r="I501" s="24">
        <f>IF(OR(C501="",NOT(ISNUMBER(B501))),"",UPPER(IF(IFERROR(IF(INDEX(Products!$C$6:$C$45,MATCH(C501,Products!$B$6:$B$45,0))="","",INDEX(Products!$C$6:$C$45,MATCH(C501,Products!$B$6:$B$45,0))),"")="",LEFT(SUBSTITUTE(C501," ",""),3),IFERROR(IF(INDEX(Products!$C$6:$C$45,MATCH(C501,Products!$B$6:$B$45,0))="","",INDEX(Products!$C$6:$C$45,MATCH(C501,Products!$B$6:$B$45,0))),"")))&amp;"-"&amp;RIGHT(YEAR(B501),2)&amp;RIGHT("0"&amp;MONTH(B501),2)&amp;RIGHT("0"&amp;DAY(B501),2)&amp;"-"&amp;COUNTIFS(C$6:C501,C501,B$6:B501,B501))</f>
        <v/>
      </c>
      <c r="J501" s="14">
        <f>IF(OR(C501="",NOT(ISNUMBER(B501)),N(P501)=0),"",B501+P501)</f>
        <v/>
      </c>
      <c r="K501" s="25">
        <f>IF(C501="","",N(D501)-N(E501)-N(F501)-N(G501))</f>
        <v/>
      </c>
      <c r="L501" s="13">
        <f>IF(OR(C501="",N(K501)&lt;=0,NOT(ISNUMBER(J501))),"",J501-TODAY())</f>
        <v/>
      </c>
      <c r="M501" s="12">
        <f>IF(C501="","",IF(N(K501)&lt;=0,"Sold out",IF(NOT(ISNUMBER(J501)),"In stock",IF(J501&lt;TODAY(),"Past its date",IF(J501-TODAY()&lt;=Settings!$C$5,"Use soon","In stock")))))</f>
        <v/>
      </c>
      <c r="N501" s="26">
        <f>IF(C501="","",N(D501)*Q501)</f>
        <v/>
      </c>
      <c r="O501" s="1" t="n"/>
      <c r="P501">
        <f>IF(C501="",0,IFERROR(N(INDEX(Products!$E$6:$E$45,MATCH(C501,Products!$B$6:$B$45,0))),0))</f>
        <v/>
      </c>
      <c r="Q501">
        <f>IF(C501="",0,IFERROR(N(INDEX(Products!$I$6:$I$45,MATCH(C501,Products!$B$6:$B$45,0))),0))</f>
        <v/>
      </c>
      <c r="R501">
        <f>IF(OR(C501="",NOT(ISNUMBER(B501))),"",YEAR(B501)*100+MONTH(B501))</f>
        <v/>
      </c>
      <c r="S501">
        <f>N(G501)*Q501</f>
        <v/>
      </c>
      <c r="T501">
        <f>IF(OR(M501="",M501="Sold out",NOT(ISNUMBER(J501))),"",J501*1000+ROW())</f>
        <v/>
      </c>
    </row>
    <row r="502">
      <c r="A502" s="1" t="n"/>
      <c r="B502" s="20" t="n"/>
      <c r="C502" s="21" t="n"/>
      <c r="D502" s="22" t="n"/>
      <c r="E502" s="22" t="n"/>
      <c r="F502" s="22" t="n"/>
      <c r="G502" s="22" t="n"/>
      <c r="H502" s="23" t="n"/>
      <c r="I502" s="24">
        <f>IF(OR(C502="",NOT(ISNUMBER(B502))),"",UPPER(IF(IFERROR(IF(INDEX(Products!$C$6:$C$45,MATCH(C502,Products!$B$6:$B$45,0))="","",INDEX(Products!$C$6:$C$45,MATCH(C502,Products!$B$6:$B$45,0))),"")="",LEFT(SUBSTITUTE(C502," ",""),3),IFERROR(IF(INDEX(Products!$C$6:$C$45,MATCH(C502,Products!$B$6:$B$45,0))="","",INDEX(Products!$C$6:$C$45,MATCH(C502,Products!$B$6:$B$45,0))),"")))&amp;"-"&amp;RIGHT(YEAR(B502),2)&amp;RIGHT("0"&amp;MONTH(B502),2)&amp;RIGHT("0"&amp;DAY(B502),2)&amp;"-"&amp;COUNTIFS(C$6:C502,C502,B$6:B502,B502))</f>
        <v/>
      </c>
      <c r="J502" s="14">
        <f>IF(OR(C502="",NOT(ISNUMBER(B502)),N(P502)=0),"",B502+P502)</f>
        <v/>
      </c>
      <c r="K502" s="25">
        <f>IF(C502="","",N(D502)-N(E502)-N(F502)-N(G502))</f>
        <v/>
      </c>
      <c r="L502" s="13">
        <f>IF(OR(C502="",N(K502)&lt;=0,NOT(ISNUMBER(J502))),"",J502-TODAY())</f>
        <v/>
      </c>
      <c r="M502" s="12">
        <f>IF(C502="","",IF(N(K502)&lt;=0,"Sold out",IF(NOT(ISNUMBER(J502)),"In stock",IF(J502&lt;TODAY(),"Past its date",IF(J502-TODAY()&lt;=Settings!$C$5,"Use soon","In stock")))))</f>
        <v/>
      </c>
      <c r="N502" s="26">
        <f>IF(C502="","",N(D502)*Q502)</f>
        <v/>
      </c>
      <c r="O502" s="1" t="n"/>
      <c r="P502">
        <f>IF(C502="",0,IFERROR(N(INDEX(Products!$E$6:$E$45,MATCH(C502,Products!$B$6:$B$45,0))),0))</f>
        <v/>
      </c>
      <c r="Q502">
        <f>IF(C502="",0,IFERROR(N(INDEX(Products!$I$6:$I$45,MATCH(C502,Products!$B$6:$B$45,0))),0))</f>
        <v/>
      </c>
      <c r="R502">
        <f>IF(OR(C502="",NOT(ISNUMBER(B502))),"",YEAR(B502)*100+MONTH(B502))</f>
        <v/>
      </c>
      <c r="S502">
        <f>N(G502)*Q502</f>
        <v/>
      </c>
      <c r="T502">
        <f>IF(OR(M502="",M502="Sold out",NOT(ISNUMBER(J502))),"",J502*1000+ROW())</f>
        <v/>
      </c>
    </row>
    <row r="503">
      <c r="A503" s="1" t="n"/>
      <c r="B503" s="20" t="n"/>
      <c r="C503" s="21" t="n"/>
      <c r="D503" s="22" t="n"/>
      <c r="E503" s="22" t="n"/>
      <c r="F503" s="22" t="n"/>
      <c r="G503" s="22" t="n"/>
      <c r="H503" s="23" t="n"/>
      <c r="I503" s="24">
        <f>IF(OR(C503="",NOT(ISNUMBER(B503))),"",UPPER(IF(IFERROR(IF(INDEX(Products!$C$6:$C$45,MATCH(C503,Products!$B$6:$B$45,0))="","",INDEX(Products!$C$6:$C$45,MATCH(C503,Products!$B$6:$B$45,0))),"")="",LEFT(SUBSTITUTE(C503," ",""),3),IFERROR(IF(INDEX(Products!$C$6:$C$45,MATCH(C503,Products!$B$6:$B$45,0))="","",INDEX(Products!$C$6:$C$45,MATCH(C503,Products!$B$6:$B$45,0))),"")))&amp;"-"&amp;RIGHT(YEAR(B503),2)&amp;RIGHT("0"&amp;MONTH(B503),2)&amp;RIGHT("0"&amp;DAY(B503),2)&amp;"-"&amp;COUNTIFS(C$6:C503,C503,B$6:B503,B503))</f>
        <v/>
      </c>
      <c r="J503" s="14">
        <f>IF(OR(C503="",NOT(ISNUMBER(B503)),N(P503)=0),"",B503+P503)</f>
        <v/>
      </c>
      <c r="K503" s="25">
        <f>IF(C503="","",N(D503)-N(E503)-N(F503)-N(G503))</f>
        <v/>
      </c>
      <c r="L503" s="13">
        <f>IF(OR(C503="",N(K503)&lt;=0,NOT(ISNUMBER(J503))),"",J503-TODAY())</f>
        <v/>
      </c>
      <c r="M503" s="12">
        <f>IF(C503="","",IF(N(K503)&lt;=0,"Sold out",IF(NOT(ISNUMBER(J503)),"In stock",IF(J503&lt;TODAY(),"Past its date",IF(J503-TODAY()&lt;=Settings!$C$5,"Use soon","In stock")))))</f>
        <v/>
      </c>
      <c r="N503" s="26">
        <f>IF(C503="","",N(D503)*Q503)</f>
        <v/>
      </c>
      <c r="O503" s="1" t="n"/>
      <c r="P503">
        <f>IF(C503="",0,IFERROR(N(INDEX(Products!$E$6:$E$45,MATCH(C503,Products!$B$6:$B$45,0))),0))</f>
        <v/>
      </c>
      <c r="Q503">
        <f>IF(C503="",0,IFERROR(N(INDEX(Products!$I$6:$I$45,MATCH(C503,Products!$B$6:$B$45,0))),0))</f>
        <v/>
      </c>
      <c r="R503">
        <f>IF(OR(C503="",NOT(ISNUMBER(B503))),"",YEAR(B503)*100+MONTH(B503))</f>
        <v/>
      </c>
      <c r="S503">
        <f>N(G503)*Q503</f>
        <v/>
      </c>
      <c r="T503">
        <f>IF(OR(M503="",M503="Sold out",NOT(ISNUMBER(J503))),"",J503*1000+ROW())</f>
        <v/>
      </c>
    </row>
    <row r="504">
      <c r="A504" s="1" t="n"/>
      <c r="B504" s="20" t="n"/>
      <c r="C504" s="21" t="n"/>
      <c r="D504" s="22" t="n"/>
      <c r="E504" s="22" t="n"/>
      <c r="F504" s="22" t="n"/>
      <c r="G504" s="22" t="n"/>
      <c r="H504" s="23" t="n"/>
      <c r="I504" s="24">
        <f>IF(OR(C504="",NOT(ISNUMBER(B504))),"",UPPER(IF(IFERROR(IF(INDEX(Products!$C$6:$C$45,MATCH(C504,Products!$B$6:$B$45,0))="","",INDEX(Products!$C$6:$C$45,MATCH(C504,Products!$B$6:$B$45,0))),"")="",LEFT(SUBSTITUTE(C504," ",""),3),IFERROR(IF(INDEX(Products!$C$6:$C$45,MATCH(C504,Products!$B$6:$B$45,0))="","",INDEX(Products!$C$6:$C$45,MATCH(C504,Products!$B$6:$B$45,0))),"")))&amp;"-"&amp;RIGHT(YEAR(B504),2)&amp;RIGHT("0"&amp;MONTH(B504),2)&amp;RIGHT("0"&amp;DAY(B504),2)&amp;"-"&amp;COUNTIFS(C$6:C504,C504,B$6:B504,B504))</f>
        <v/>
      </c>
      <c r="J504" s="14">
        <f>IF(OR(C504="",NOT(ISNUMBER(B504)),N(P504)=0),"",B504+P504)</f>
        <v/>
      </c>
      <c r="K504" s="25">
        <f>IF(C504="","",N(D504)-N(E504)-N(F504)-N(G504))</f>
        <v/>
      </c>
      <c r="L504" s="13">
        <f>IF(OR(C504="",N(K504)&lt;=0,NOT(ISNUMBER(J504))),"",J504-TODAY())</f>
        <v/>
      </c>
      <c r="M504" s="12">
        <f>IF(C504="","",IF(N(K504)&lt;=0,"Sold out",IF(NOT(ISNUMBER(J504)),"In stock",IF(J504&lt;TODAY(),"Past its date",IF(J504-TODAY()&lt;=Settings!$C$5,"Use soon","In stock")))))</f>
        <v/>
      </c>
      <c r="N504" s="26">
        <f>IF(C504="","",N(D504)*Q504)</f>
        <v/>
      </c>
      <c r="O504" s="1" t="n"/>
      <c r="P504">
        <f>IF(C504="",0,IFERROR(N(INDEX(Products!$E$6:$E$45,MATCH(C504,Products!$B$6:$B$45,0))),0))</f>
        <v/>
      </c>
      <c r="Q504">
        <f>IF(C504="",0,IFERROR(N(INDEX(Products!$I$6:$I$45,MATCH(C504,Products!$B$6:$B$45,0))),0))</f>
        <v/>
      </c>
      <c r="R504">
        <f>IF(OR(C504="",NOT(ISNUMBER(B504))),"",YEAR(B504)*100+MONTH(B504))</f>
        <v/>
      </c>
      <c r="S504">
        <f>N(G504)*Q504</f>
        <v/>
      </c>
      <c r="T504">
        <f>IF(OR(M504="",M504="Sold out",NOT(ISNUMBER(J504))),"",J504*1000+ROW())</f>
        <v/>
      </c>
    </row>
    <row r="505">
      <c r="A505" s="1" t="n"/>
      <c r="B505" s="20" t="n"/>
      <c r="C505" s="21" t="n"/>
      <c r="D505" s="22" t="n"/>
      <c r="E505" s="22" t="n"/>
      <c r="F505" s="22" t="n"/>
      <c r="G505" s="22" t="n"/>
      <c r="H505" s="23" t="n"/>
      <c r="I505" s="24">
        <f>IF(OR(C505="",NOT(ISNUMBER(B505))),"",UPPER(IF(IFERROR(IF(INDEX(Products!$C$6:$C$45,MATCH(C505,Products!$B$6:$B$45,0))="","",INDEX(Products!$C$6:$C$45,MATCH(C505,Products!$B$6:$B$45,0))),"")="",LEFT(SUBSTITUTE(C505," ",""),3),IFERROR(IF(INDEX(Products!$C$6:$C$45,MATCH(C505,Products!$B$6:$B$45,0))="","",INDEX(Products!$C$6:$C$45,MATCH(C505,Products!$B$6:$B$45,0))),"")))&amp;"-"&amp;RIGHT(YEAR(B505),2)&amp;RIGHT("0"&amp;MONTH(B505),2)&amp;RIGHT("0"&amp;DAY(B505),2)&amp;"-"&amp;COUNTIFS(C$6:C505,C505,B$6:B505,B505))</f>
        <v/>
      </c>
      <c r="J505" s="14">
        <f>IF(OR(C505="",NOT(ISNUMBER(B505)),N(P505)=0),"",B505+P505)</f>
        <v/>
      </c>
      <c r="K505" s="25">
        <f>IF(C505="","",N(D505)-N(E505)-N(F505)-N(G505))</f>
        <v/>
      </c>
      <c r="L505" s="13">
        <f>IF(OR(C505="",N(K505)&lt;=0,NOT(ISNUMBER(J505))),"",J505-TODAY())</f>
        <v/>
      </c>
      <c r="M505" s="12">
        <f>IF(C505="","",IF(N(K505)&lt;=0,"Sold out",IF(NOT(ISNUMBER(J505)),"In stock",IF(J505&lt;TODAY(),"Past its date",IF(J505-TODAY()&lt;=Settings!$C$5,"Use soon","In stock")))))</f>
        <v/>
      </c>
      <c r="N505" s="26">
        <f>IF(C505="","",N(D505)*Q505)</f>
        <v/>
      </c>
      <c r="O505" s="1" t="n"/>
      <c r="P505">
        <f>IF(C505="",0,IFERROR(N(INDEX(Products!$E$6:$E$45,MATCH(C505,Products!$B$6:$B$45,0))),0))</f>
        <v/>
      </c>
      <c r="Q505">
        <f>IF(C505="",0,IFERROR(N(INDEX(Products!$I$6:$I$45,MATCH(C505,Products!$B$6:$B$45,0))),0))</f>
        <v/>
      </c>
      <c r="R505">
        <f>IF(OR(C505="",NOT(ISNUMBER(B505))),"",YEAR(B505)*100+MONTH(B505))</f>
        <v/>
      </c>
      <c r="S505">
        <f>N(G505)*Q505</f>
        <v/>
      </c>
      <c r="T505">
        <f>IF(OR(M505="",M505="Sold out",NOT(ISNUMBER(J505))),"",J505*1000+ROW())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</row>
  </sheetData>
  <conditionalFormatting sqref="I6:N505">
    <cfRule type="expression" priority="1" dxfId="0">
      <formula>$M6="Past its date"</formula>
    </cfRule>
    <cfRule type="expression" priority="2" dxfId="1">
      <formula>$M6="Use soon"</formula>
    </cfRule>
    <cfRule type="expression" priority="3" dxfId="2">
      <formula>$M6="Sold out"</formula>
    </cfRule>
  </conditionalFormatting>
  <dataValidations count="1">
    <dataValidation sqref="C6:C505" showDropDown="0" showInputMessage="0" showErrorMessage="1" allowBlank="1" type="list">
      <formula1>=Products!$B$6:$B$45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" customWidth="1" min="3" max="3"/>
    <col width="46" customWidth="1" min="4" max="4"/>
    <col width="2" customWidth="1" min="5" max="5"/>
    <col hidden="1" width="13" customWidth="1" min="8" max="8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7" t="inlineStr">
        <is>
          <t>Labels for batch</t>
        </is>
      </c>
      <c r="C2" s="1" t="n"/>
      <c r="D2" s="28" t="inlineStr">
        <is>
          <t>CCC-260926-1</t>
        </is>
      </c>
      <c r="E2" s="1" t="n"/>
      <c r="F2" s="1" t="n"/>
      <c r="H2">
        <f>IFERROR(MATCH(D2,Batches!$I$6:$I$505,0)+5,"")</f>
        <v/>
      </c>
    </row>
    <row r="3">
      <c r="A3" s="1" t="n"/>
      <c r="B3" s="29" t="inlineStr">
        <is>
          <t>Pick a batch in the yellow box, then print and cut along the lines.</t>
        </is>
      </c>
      <c r="C3" s="1" t="n"/>
      <c r="D3" s="1" t="n"/>
      <c r="E3" s="1" t="n"/>
      <c r="F3" s="1" t="n"/>
      <c r="H3">
        <f>IF(H2="","",INDEX(Batches!$C$1:$C$505,H2))</f>
        <v/>
      </c>
    </row>
    <row r="4">
      <c r="A4" s="1" t="n"/>
      <c r="B4" s="1" t="n"/>
      <c r="C4" s="1" t="n"/>
      <c r="D4" s="1" t="n"/>
      <c r="E4" s="1" t="n"/>
      <c r="F4" s="1" t="n"/>
      <c r="H4">
        <f>IF(H2="","",INDEX(Batches!$B$1:$B$505,H2))</f>
        <v/>
      </c>
    </row>
    <row r="5" ht="24" customHeight="1">
      <c r="A5" s="1" t="n"/>
      <c r="B5" s="30">
        <f>IF($H$3="","",$H$3)</f>
        <v/>
      </c>
      <c r="C5" s="1" t="n"/>
      <c r="D5" s="30">
        <f>IF($H$3="","",$H$3)</f>
        <v/>
      </c>
      <c r="E5" s="1" t="n"/>
      <c r="F5" s="1" t="n"/>
      <c r="H5">
        <f>IF(H2="","",INDEX(Batches!$J$1:$J$505,H2))</f>
        <v/>
      </c>
    </row>
    <row r="6" ht="64" customHeight="1">
      <c r="A6" s="1" t="n"/>
      <c r="B6" s="31">
        <f>$H$31</f>
        <v/>
      </c>
      <c r="C6" s="1" t="n"/>
      <c r="D6" s="31">
        <f>$H$31</f>
        <v/>
      </c>
      <c r="E6" s="1" t="n"/>
      <c r="F6" s="1" t="n"/>
      <c r="H6">
        <f>IF(H3="","",IFERROR(IF(INDEX(Products!$G$6:$G$45,MATCH(H3,Products!$B$6:$B$45,0))="","",INDEX(Products!$G$6:$G$45,MATCH(H3,Products!$B$6:$B$45,0))),""))</f>
        <v/>
      </c>
    </row>
    <row r="7" ht="16" customHeight="1">
      <c r="A7" s="1" t="n"/>
      <c r="B7" s="32">
        <f>IF($H$7="","","Contains: "&amp;$H$7&amp;".")</f>
        <v/>
      </c>
      <c r="C7" s="1" t="n"/>
      <c r="D7" s="32">
        <f>IF($H$7="","","Contains: "&amp;$H$7&amp;".")</f>
        <v/>
      </c>
      <c r="E7" s="1" t="n"/>
      <c r="F7" s="1" t="n"/>
      <c r="H7">
        <f>IF(H3="","",IFERROR(IF(INDEX(Products!$L$6:$L$45,MATCH(H3,Products!$B$6:$B$45,0))="","",INDEX(Products!$L$6:$L$45,MATCH(H3,Products!$B$6:$B$45,0))),""))</f>
        <v/>
      </c>
    </row>
    <row r="8" ht="15" customHeight="1">
      <c r="A8" s="1" t="n"/>
      <c r="B8" s="33">
        <f>IF($H$3="","",IF($H$6="","","Net weight: "&amp;$H$6&amp;"      ")&amp;"Batch: "&amp;$H$8)</f>
        <v/>
      </c>
      <c r="C8" s="1" t="n"/>
      <c r="D8" s="33">
        <f>IF($H$3="","",IF($H$6="","","Net weight: "&amp;$H$6&amp;"      ")&amp;"Batch: "&amp;$H$8)</f>
        <v/>
      </c>
      <c r="E8" s="1" t="n"/>
      <c r="F8" s="1" t="n"/>
      <c r="H8">
        <f>IF(H2="","",INDEX(Batches!$I$1:$I$505,H2))</f>
        <v/>
      </c>
    </row>
    <row r="9" ht="15" customHeight="1">
      <c r="A9" s="1" t="n"/>
      <c r="B9" s="32">
        <f>IF($H$3="","","Made: "&amp;DAY($H$4)&amp;" "&amp;CHOOSE(MONTH($H$4),"Jan","Feb","Mar","Apr","May","Jun","Jul","Aug","Sep","Oct","Nov","Dec")&amp;" "&amp;YEAR($H$4)&amp;IF(ISNUMBER($H$5),"      "&amp;Settings!$C$7&amp;": "&amp;DAY($H$5)&amp;" "&amp;CHOOSE(MONTH($H$5),"Jan","Feb","Mar","Apr","May","Jun","Jul","Aug","Sep","Oct","Nov","Dec")&amp;" "&amp;YEAR($H$5),""))</f>
        <v/>
      </c>
      <c r="C9" s="1" t="n"/>
      <c r="D9" s="32">
        <f>IF($H$3="","","Made: "&amp;DAY($H$4)&amp;" "&amp;CHOOSE(MONTH($H$4),"Jan","Feb","Mar","Apr","May","Jun","Jul","Aug","Sep","Oct","Nov","Dec")&amp;" "&amp;YEAR($H$4)&amp;IF(ISNUMBER($H$5),"      "&amp;Settings!$C$7&amp;": "&amp;DAY($H$5)&amp;" "&amp;CHOOSE(MONTH($H$5),"Jan","Feb","Mar","Apr","May","Jun","Jul","Aug","Sep","Oct","Nov","Dec")&amp;" "&amp;YEAR($H$5),""))</f>
        <v/>
      </c>
      <c r="E9" s="1" t="n"/>
      <c r="F9" s="1" t="n"/>
      <c r="H9">
        <f>IF(I9="","",INDEX(Recipes!$C$1:$C$405,100000-MOD(I9,100000)))</f>
        <v/>
      </c>
      <c r="I9">
        <f>IFERROR(LARGE(Recipes!$I$6:$I$405,1),"")</f>
        <v/>
      </c>
    </row>
    <row r="10" ht="14" customHeight="1">
      <c r="A10" s="1" t="n"/>
      <c r="B10" s="34">
        <f>IF(Settings!$C$8="","",Settings!$C$8&amp;IF(Settings!$C$9="","",", "&amp;Settings!$C$9))</f>
        <v/>
      </c>
      <c r="C10" s="1" t="n"/>
      <c r="D10" s="34">
        <f>IF(Settings!$C$8="","",Settings!$C$8&amp;IF(Settings!$C$9="","",", "&amp;Settings!$C$9))</f>
        <v/>
      </c>
      <c r="E10" s="1" t="n"/>
      <c r="F10" s="1" t="n"/>
      <c r="H10">
        <f>IF(I10="","",INDEX(Recipes!$C$1:$C$405,100000-MOD(I10,100000)))</f>
        <v/>
      </c>
      <c r="I10">
        <f>IFERROR(LARGE(Recipes!$I$6:$I$405,2),"")</f>
        <v/>
      </c>
    </row>
    <row r="11" ht="14" customHeight="1">
      <c r="A11" s="1" t="n"/>
      <c r="B11" s="35">
        <f>IF(Settings!$C$10="","",Settings!$C$10)</f>
        <v/>
      </c>
      <c r="C11" s="1" t="n"/>
      <c r="D11" s="35">
        <f>IF(Settings!$C$10="","",Settings!$C$10)</f>
        <v/>
      </c>
      <c r="E11" s="1" t="n"/>
      <c r="F11" s="1" t="n"/>
      <c r="H11">
        <f>IF(I11="","",INDEX(Recipes!$C$1:$C$405,100000-MOD(I11,100000)))</f>
        <v/>
      </c>
      <c r="I11">
        <f>IFERROR(LARGE(Recipes!$I$6:$I$405,3),"")</f>
        <v/>
      </c>
    </row>
    <row r="12">
      <c r="A12" s="1" t="n"/>
      <c r="B12" s="1" t="n"/>
      <c r="C12" s="1" t="n"/>
      <c r="D12" s="1" t="n"/>
      <c r="E12" s="1" t="n"/>
      <c r="F12" s="1" t="n"/>
      <c r="H12">
        <f>IF(I12="","",INDEX(Recipes!$C$1:$C$405,100000-MOD(I12,100000)))</f>
        <v/>
      </c>
      <c r="I12">
        <f>IFERROR(LARGE(Recipes!$I$6:$I$405,4),"")</f>
        <v/>
      </c>
    </row>
    <row r="13">
      <c r="A13" s="1" t="n"/>
      <c r="B13" s="1" t="n"/>
      <c r="C13" s="1" t="n"/>
      <c r="D13" s="1" t="n"/>
      <c r="E13" s="1" t="n"/>
      <c r="F13" s="1" t="n"/>
      <c r="H13">
        <f>IF(I13="","",INDEX(Recipes!$C$1:$C$405,100000-MOD(I13,100000)))</f>
        <v/>
      </c>
      <c r="I13">
        <f>IFERROR(LARGE(Recipes!$I$6:$I$405,5),"")</f>
        <v/>
      </c>
    </row>
    <row r="14" ht="24" customHeight="1">
      <c r="A14" s="1" t="n"/>
      <c r="B14" s="30">
        <f>IF($H$3="","",$H$3)</f>
        <v/>
      </c>
      <c r="C14" s="1" t="n"/>
      <c r="D14" s="30">
        <f>IF($H$3="","",$H$3)</f>
        <v/>
      </c>
      <c r="E14" s="1" t="n"/>
      <c r="F14" s="1" t="n"/>
      <c r="H14">
        <f>IF(I14="","",INDEX(Recipes!$C$1:$C$405,100000-MOD(I14,100000)))</f>
        <v/>
      </c>
      <c r="I14">
        <f>IFERROR(LARGE(Recipes!$I$6:$I$405,6),"")</f>
        <v/>
      </c>
    </row>
    <row r="15" ht="64" customHeight="1">
      <c r="A15" s="1" t="n"/>
      <c r="B15" s="31">
        <f>$H$31</f>
        <v/>
      </c>
      <c r="C15" s="1" t="n"/>
      <c r="D15" s="31">
        <f>$H$31</f>
        <v/>
      </c>
      <c r="E15" s="1" t="n"/>
      <c r="F15" s="1" t="n"/>
      <c r="H15">
        <f>IF(I15="","",INDEX(Recipes!$C$1:$C$405,100000-MOD(I15,100000)))</f>
        <v/>
      </c>
      <c r="I15">
        <f>IFERROR(LARGE(Recipes!$I$6:$I$405,7),"")</f>
        <v/>
      </c>
    </row>
    <row r="16" ht="16" customHeight="1">
      <c r="A16" s="1" t="n"/>
      <c r="B16" s="32">
        <f>IF($H$7="","","Contains: "&amp;$H$7&amp;".")</f>
        <v/>
      </c>
      <c r="C16" s="1" t="n"/>
      <c r="D16" s="32">
        <f>IF($H$7="","","Contains: "&amp;$H$7&amp;".")</f>
        <v/>
      </c>
      <c r="E16" s="1" t="n"/>
      <c r="F16" s="1" t="n"/>
      <c r="H16">
        <f>IF(I16="","",INDEX(Recipes!$C$1:$C$405,100000-MOD(I16,100000)))</f>
        <v/>
      </c>
      <c r="I16">
        <f>IFERROR(LARGE(Recipes!$I$6:$I$405,8),"")</f>
        <v/>
      </c>
    </row>
    <row r="17" ht="15" customHeight="1">
      <c r="A17" s="1" t="n"/>
      <c r="B17" s="33">
        <f>IF($H$3="","",IF($H$6="","","Net weight: "&amp;$H$6&amp;"      ")&amp;"Batch: "&amp;$H$8)</f>
        <v/>
      </c>
      <c r="C17" s="1" t="n"/>
      <c r="D17" s="33">
        <f>IF($H$3="","",IF($H$6="","","Net weight: "&amp;$H$6&amp;"      ")&amp;"Batch: "&amp;$H$8)</f>
        <v/>
      </c>
      <c r="E17" s="1" t="n"/>
      <c r="F17" s="1" t="n"/>
      <c r="H17">
        <f>IF(I17="","",INDEX(Recipes!$C$1:$C$405,100000-MOD(I17,100000)))</f>
        <v/>
      </c>
      <c r="I17">
        <f>IFERROR(LARGE(Recipes!$I$6:$I$405,9),"")</f>
        <v/>
      </c>
    </row>
    <row r="18" ht="15" customHeight="1">
      <c r="A18" s="1" t="n"/>
      <c r="B18" s="32">
        <f>IF($H$3="","","Made: "&amp;DAY($H$4)&amp;" "&amp;CHOOSE(MONTH($H$4),"Jan","Feb","Mar","Apr","May","Jun","Jul","Aug","Sep","Oct","Nov","Dec")&amp;" "&amp;YEAR($H$4)&amp;IF(ISNUMBER($H$5),"      "&amp;Settings!$C$7&amp;": "&amp;DAY($H$5)&amp;" "&amp;CHOOSE(MONTH($H$5),"Jan","Feb","Mar","Apr","May","Jun","Jul","Aug","Sep","Oct","Nov","Dec")&amp;" "&amp;YEAR($H$5),""))</f>
        <v/>
      </c>
      <c r="C18" s="1" t="n"/>
      <c r="D18" s="32">
        <f>IF($H$3="","","Made: "&amp;DAY($H$4)&amp;" "&amp;CHOOSE(MONTH($H$4),"Jan","Feb","Mar","Apr","May","Jun","Jul","Aug","Sep","Oct","Nov","Dec")&amp;" "&amp;YEAR($H$4)&amp;IF(ISNUMBER($H$5),"      "&amp;Settings!$C$7&amp;": "&amp;DAY($H$5)&amp;" "&amp;CHOOSE(MONTH($H$5),"Jan","Feb","Mar","Apr","May","Jun","Jul","Aug","Sep","Oct","Nov","Dec")&amp;" "&amp;YEAR($H$5),""))</f>
        <v/>
      </c>
      <c r="E18" s="1" t="n"/>
      <c r="F18" s="1" t="n"/>
      <c r="H18">
        <f>IF(I18="","",INDEX(Recipes!$C$1:$C$405,100000-MOD(I18,100000)))</f>
        <v/>
      </c>
      <c r="I18">
        <f>IFERROR(LARGE(Recipes!$I$6:$I$405,10),"")</f>
        <v/>
      </c>
    </row>
    <row r="19" ht="14" customHeight="1">
      <c r="A19" s="1" t="n"/>
      <c r="B19" s="34">
        <f>IF(Settings!$C$8="","",Settings!$C$8&amp;IF(Settings!$C$9="","",", "&amp;Settings!$C$9))</f>
        <v/>
      </c>
      <c r="C19" s="1" t="n"/>
      <c r="D19" s="34">
        <f>IF(Settings!$C$8="","",Settings!$C$8&amp;IF(Settings!$C$9="","",", "&amp;Settings!$C$9))</f>
        <v/>
      </c>
      <c r="E19" s="1" t="n"/>
      <c r="F19" s="1" t="n"/>
      <c r="H19">
        <f>IF(I19="","",INDEX(Recipes!$C$1:$C$405,100000-MOD(I19,100000)))</f>
        <v/>
      </c>
      <c r="I19">
        <f>IFERROR(LARGE(Recipes!$I$6:$I$405,11),"")</f>
        <v/>
      </c>
    </row>
    <row r="20" ht="14" customHeight="1">
      <c r="A20" s="1" t="n"/>
      <c r="B20" s="35">
        <f>IF(Settings!$C$10="","",Settings!$C$10)</f>
        <v/>
      </c>
      <c r="C20" s="1" t="n"/>
      <c r="D20" s="35">
        <f>IF(Settings!$C$10="","",Settings!$C$10)</f>
        <v/>
      </c>
      <c r="E20" s="1" t="n"/>
      <c r="F20" s="1" t="n"/>
      <c r="H20">
        <f>IF(I20="","",INDEX(Recipes!$C$1:$C$405,100000-MOD(I20,100000)))</f>
        <v/>
      </c>
      <c r="I20">
        <f>IFERROR(LARGE(Recipes!$I$6:$I$405,12),"")</f>
        <v/>
      </c>
    </row>
    <row r="21">
      <c r="A21" s="1" t="n"/>
      <c r="B21" s="1" t="n"/>
      <c r="C21" s="1" t="n"/>
      <c r="D21" s="1" t="n"/>
      <c r="E21" s="1" t="n"/>
      <c r="F21" s="1" t="n"/>
      <c r="H21">
        <f>IF(I21="","",INDEX(Recipes!$C$1:$C$405,100000-MOD(I21,100000)))</f>
        <v/>
      </c>
      <c r="I21">
        <f>IFERROR(LARGE(Recipes!$I$6:$I$405,13),"")</f>
        <v/>
      </c>
    </row>
    <row r="22">
      <c r="A22" s="1" t="n"/>
      <c r="B22" s="1" t="n"/>
      <c r="C22" s="1" t="n"/>
      <c r="D22" s="1" t="n"/>
      <c r="E22" s="1" t="n"/>
      <c r="F22" s="1" t="n"/>
      <c r="H22">
        <f>IF(I22="","",INDEX(Recipes!$C$1:$C$405,100000-MOD(I22,100000)))</f>
        <v/>
      </c>
      <c r="I22">
        <f>IFERROR(LARGE(Recipes!$I$6:$I$405,14),"")</f>
        <v/>
      </c>
    </row>
    <row r="23" ht="24" customHeight="1">
      <c r="A23" s="1" t="n"/>
      <c r="B23" s="30">
        <f>IF($H$3="","",$H$3)</f>
        <v/>
      </c>
      <c r="C23" s="1" t="n"/>
      <c r="D23" s="30">
        <f>IF($H$3="","",$H$3)</f>
        <v/>
      </c>
      <c r="E23" s="1" t="n"/>
      <c r="F23" s="1" t="n"/>
      <c r="H23">
        <f>IF(I23="","",INDEX(Recipes!$C$1:$C$405,100000-MOD(I23,100000)))</f>
        <v/>
      </c>
      <c r="I23">
        <f>IFERROR(LARGE(Recipes!$I$6:$I$405,15),"")</f>
        <v/>
      </c>
    </row>
    <row r="24" ht="64" customHeight="1">
      <c r="A24" s="1" t="n"/>
      <c r="B24" s="31">
        <f>$H$31</f>
        <v/>
      </c>
      <c r="C24" s="1" t="n"/>
      <c r="D24" s="31">
        <f>$H$31</f>
        <v/>
      </c>
      <c r="E24" s="1" t="n"/>
      <c r="F24" s="1" t="n"/>
      <c r="H24">
        <f>IF(I24="","",INDEX(Recipes!$C$1:$C$405,100000-MOD(I24,100000)))</f>
        <v/>
      </c>
      <c r="I24">
        <f>IFERROR(LARGE(Recipes!$I$6:$I$405,16),"")</f>
        <v/>
      </c>
    </row>
    <row r="25" ht="16" customHeight="1">
      <c r="A25" s="1" t="n"/>
      <c r="B25" s="32">
        <f>IF($H$7="","","Contains: "&amp;$H$7&amp;".")</f>
        <v/>
      </c>
      <c r="C25" s="1" t="n"/>
      <c r="D25" s="32">
        <f>IF($H$7="","","Contains: "&amp;$H$7&amp;".")</f>
        <v/>
      </c>
      <c r="E25" s="1" t="n"/>
      <c r="F25" s="1" t="n"/>
      <c r="H25">
        <f>IF(I25="","",INDEX(Recipes!$C$1:$C$405,100000-MOD(I25,100000)))</f>
        <v/>
      </c>
      <c r="I25">
        <f>IFERROR(LARGE(Recipes!$I$6:$I$405,17),"")</f>
        <v/>
      </c>
    </row>
    <row r="26" ht="15" customHeight="1">
      <c r="A26" s="1" t="n"/>
      <c r="B26" s="33">
        <f>IF($H$3="","",IF($H$6="","","Net weight: "&amp;$H$6&amp;"      ")&amp;"Batch: "&amp;$H$8)</f>
        <v/>
      </c>
      <c r="C26" s="1" t="n"/>
      <c r="D26" s="33">
        <f>IF($H$3="","",IF($H$6="","","Net weight: "&amp;$H$6&amp;"      ")&amp;"Batch: "&amp;$H$8)</f>
        <v/>
      </c>
      <c r="E26" s="1" t="n"/>
      <c r="F26" s="1" t="n"/>
      <c r="H26">
        <f>IF(I26="","",INDEX(Recipes!$C$1:$C$405,100000-MOD(I26,100000)))</f>
        <v/>
      </c>
      <c r="I26">
        <f>IFERROR(LARGE(Recipes!$I$6:$I$405,18),"")</f>
        <v/>
      </c>
    </row>
    <row r="27" ht="15" customHeight="1">
      <c r="A27" s="1" t="n"/>
      <c r="B27" s="32">
        <f>IF($H$3="","","Made: "&amp;DAY($H$4)&amp;" "&amp;CHOOSE(MONTH($H$4),"Jan","Feb","Mar","Apr","May","Jun","Jul","Aug","Sep","Oct","Nov","Dec")&amp;" "&amp;YEAR($H$4)&amp;IF(ISNUMBER($H$5),"      "&amp;Settings!$C$7&amp;": "&amp;DAY($H$5)&amp;" "&amp;CHOOSE(MONTH($H$5),"Jan","Feb","Mar","Apr","May","Jun","Jul","Aug","Sep","Oct","Nov","Dec")&amp;" "&amp;YEAR($H$5),""))</f>
        <v/>
      </c>
      <c r="C27" s="1" t="n"/>
      <c r="D27" s="32">
        <f>IF($H$3="","","Made: "&amp;DAY($H$4)&amp;" "&amp;CHOOSE(MONTH($H$4),"Jan","Feb","Mar","Apr","May","Jun","Jul","Aug","Sep","Oct","Nov","Dec")&amp;" "&amp;YEAR($H$4)&amp;IF(ISNUMBER($H$5),"      "&amp;Settings!$C$7&amp;": "&amp;DAY($H$5)&amp;" "&amp;CHOOSE(MONTH($H$5),"Jan","Feb","Mar","Apr","May","Jun","Jul","Aug","Sep","Oct","Nov","Dec")&amp;" "&amp;YEAR($H$5),""))</f>
        <v/>
      </c>
      <c r="E27" s="1" t="n"/>
      <c r="F27" s="1" t="n"/>
      <c r="H27">
        <f>IF(I27="","",INDEX(Recipes!$C$1:$C$405,100000-MOD(I27,100000)))</f>
        <v/>
      </c>
      <c r="I27">
        <f>IFERROR(LARGE(Recipes!$I$6:$I$405,19),"")</f>
        <v/>
      </c>
    </row>
    <row r="28" ht="14" customHeight="1">
      <c r="A28" s="1" t="n"/>
      <c r="B28" s="34">
        <f>IF(Settings!$C$8="","",Settings!$C$8&amp;IF(Settings!$C$9="","",", "&amp;Settings!$C$9))</f>
        <v/>
      </c>
      <c r="C28" s="1" t="n"/>
      <c r="D28" s="34">
        <f>IF(Settings!$C$8="","",Settings!$C$8&amp;IF(Settings!$C$9="","",", "&amp;Settings!$C$9))</f>
        <v/>
      </c>
      <c r="E28" s="1" t="n"/>
      <c r="F28" s="1" t="n"/>
      <c r="H28">
        <f>IF(I28="","",INDEX(Recipes!$C$1:$C$405,100000-MOD(I28,100000)))</f>
        <v/>
      </c>
      <c r="I28">
        <f>IFERROR(LARGE(Recipes!$I$6:$I$405,20),"")</f>
        <v/>
      </c>
    </row>
    <row r="29" ht="14" customHeight="1">
      <c r="A29" s="1" t="n"/>
      <c r="B29" s="35">
        <f>IF(Settings!$C$10="","",Settings!$C$10)</f>
        <v/>
      </c>
      <c r="C29" s="1" t="n"/>
      <c r="D29" s="35">
        <f>IF(Settings!$C$10="","",Settings!$C$10)</f>
        <v/>
      </c>
      <c r="E29" s="1" t="n"/>
      <c r="F29" s="1" t="n"/>
      <c r="H29">
        <f>H9&amp;IF(H10="","",", "&amp;H10)&amp;IF(H11="","",", "&amp;H11)&amp;IF(H12="","",", "&amp;H12)&amp;IF(H13="","",", "&amp;H13)&amp;IF(H14="","",", "&amp;H14)&amp;IF(H15="","",", "&amp;H15)&amp;IF(H16="","",", "&amp;H16)&amp;IF(H17="","",", "&amp;H17)&amp;IF(H18="","",", "&amp;H18)&amp;IF(H19="","",", "&amp;H19)&amp;IF(H20="","",", "&amp;H20)&amp;IF(H21="","",", "&amp;H21)&amp;IF(H22="","",", "&amp;H22)&amp;IF(H23="","",", "&amp;H23)&amp;IF(H24="","",", "&amp;H24)&amp;IF(H25="","",", "&amp;H25)&amp;IF(H26="","",", "&amp;H26)&amp;IF(H27="","",", "&amp;H27)&amp;IF(H28="","",", "&amp;H28)</f>
        <v/>
      </c>
    </row>
    <row r="30">
      <c r="H30">
        <f>COUNT(Recipes!$I$6:$I$405)</f>
        <v/>
      </c>
    </row>
    <row r="31">
      <c r="H31">
        <f>IF(H30=0,"",IF(H30&gt;20,"Too many ingredients for one label: "&amp;H30&amp;". Keep it to 20.",IF(LEN(H29)&gt;240,"The ingredient list is too long for this label. Shorten the names on Ingredients.","Ingredients: "&amp;H29&amp;".")))</f>
        <v/>
      </c>
    </row>
  </sheetData>
  <dataValidations count="1">
    <dataValidation sqref="D2" showDropDown="0" showInputMessage="0" showErrorMessage="1" allowBlank="1" type="list">
      <formula1>=Batches!$I$6:$I$505</formula1>
    </dataValidation>
  </dataValidation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E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7" customWidth="1" min="3" max="3"/>
    <col width="9" customWidth="1" min="4" max="4"/>
    <col width="9" customWidth="1" min="5" max="5"/>
    <col width="9" customWidth="1" min="6" max="6"/>
    <col width="16" customWidth="1" min="7" max="7"/>
    <col width="11" customWidth="1" min="8" max="8"/>
    <col width="10" customWidth="1" min="9" max="9"/>
    <col width="10" customWidth="1" min="10" max="10"/>
    <col width="9" customWidth="1" min="11" max="11"/>
    <col width="30" customWidth="1" min="12" max="12"/>
    <col width="9" customWidth="1" min="13" max="13"/>
    <col width="9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Products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Each thing you sell: how many one batch makes, how long it keeps, and its price.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10" t="inlineStr">
        <is>
          <t>Product</t>
        </is>
      </c>
      <c r="C5" s="10" t="inlineStr">
        <is>
          <t>Code</t>
        </is>
      </c>
      <c r="D5" s="10" t="inlineStr">
        <is>
          <t>Items a batch</t>
        </is>
      </c>
      <c r="E5" s="10" t="inlineStr">
        <is>
          <t>Keeps (days)</t>
        </is>
      </c>
      <c r="F5" s="10" t="inlineStr">
        <is>
          <t>Price</t>
        </is>
      </c>
      <c r="G5" s="10" t="inlineStr">
        <is>
          <t>Net weight</t>
        </is>
      </c>
      <c r="H5" s="10" t="inlineStr">
        <is>
          <t>Cost a batch</t>
        </is>
      </c>
      <c r="I5" s="10" t="inlineStr">
        <is>
          <t>Cost an item</t>
        </is>
      </c>
      <c r="J5" s="10" t="inlineStr">
        <is>
          <t>Profit an item</t>
        </is>
      </c>
      <c r="K5" s="10" t="inlineStr">
        <is>
          <t>Margin</t>
        </is>
      </c>
      <c r="L5" s="10" t="inlineStr">
        <is>
          <t>Contains</t>
        </is>
      </c>
      <c r="M5" s="10" t="inlineStr">
        <is>
          <t>In stock</t>
        </is>
      </c>
      <c r="N5" s="10" t="inlineStr">
        <is>
          <t>Waste</t>
        </is>
      </c>
      <c r="O5" s="1" t="n"/>
    </row>
    <row r="6">
      <c r="A6" s="1" t="n"/>
      <c r="B6" s="21" t="inlineStr">
        <is>
          <t>Lemon drizzle loaf</t>
        </is>
      </c>
      <c r="C6" s="36" t="inlineStr">
        <is>
          <t>LEM</t>
        </is>
      </c>
      <c r="D6" s="22" t="n">
        <v>2</v>
      </c>
      <c r="E6" s="22" t="n">
        <v>5</v>
      </c>
      <c r="F6" s="37" t="n">
        <v>9</v>
      </c>
      <c r="G6" s="23" t="inlineStr">
        <is>
          <t>450 g</t>
        </is>
      </c>
      <c r="H6" s="26">
        <f>IF(B6="","",SUMIFS(Recipes!$F$6:$F$405,Recipes!$B$6:$B$405,B6))</f>
        <v/>
      </c>
      <c r="I6" s="26">
        <f>IF(OR(B6="",N(D6)=0),"",H6/D6)</f>
        <v/>
      </c>
      <c r="J6" s="26">
        <f>IF(OR(NOT(ISNUMBER(I6)),N(F6)=0),"",F6-I6)</f>
        <v/>
      </c>
      <c r="K6" s="19">
        <f>IF(NOT(ISNUMBER(J6)),"",J6/F6)</f>
        <v/>
      </c>
      <c r="L6" s="38">
        <f>IF(OR(B6="",AE6=""),"",LEFT(AE6,LEN(AE6)-2))</f>
        <v/>
      </c>
      <c r="M6" s="13">
        <f>IF(B6="","",SUMIFS(Batches!$K$6:$K$505,Batches!$C$6:$C$505,B6,Batches!$M$6:$M$505,"In stock")+SUMIFS(Batches!$K$6:$K$505,Batches!$C$6:$C$505,B6,Batches!$M$6:$M$505,"Use soon"))</f>
        <v/>
      </c>
      <c r="N6" s="19">
        <f>IF(B6="","",IF(SUMIFS(Batches!$D$6:$D$505,Batches!$C$6:$C$505,B6)=0,"",SUMIFS(Batches!$G$6:$G$505,Batches!$C$6:$C$505,B6)/SUMIFS(Batches!$D$6:$D$505,Batches!$C$6:$C$505,B6)))</f>
        <v/>
      </c>
      <c r="O6" s="1" t="n"/>
      <c r="P6">
        <f>IF(B6="",0,SUMIFS(Recipes!$J$6:$J$405,Recipes!$B$6:$B$405,B6))</f>
        <v/>
      </c>
      <c r="Q6">
        <f>IF(B6="",0,SUMIFS(Recipes!$K$6:$K$405,Recipes!$B$6:$B$405,B6))</f>
        <v/>
      </c>
      <c r="R6">
        <f>IF(B6="",0,SUMIFS(Recipes!$L$6:$L$405,Recipes!$B$6:$B$405,B6))</f>
        <v/>
      </c>
      <c r="S6">
        <f>IF(B6="",0,SUMIFS(Recipes!$M$6:$M$405,Recipes!$B$6:$B$405,B6))</f>
        <v/>
      </c>
      <c r="T6">
        <f>IF(B6="",0,SUMIFS(Recipes!$N$6:$N$405,Recipes!$B$6:$B$405,B6))</f>
        <v/>
      </c>
      <c r="U6">
        <f>IF(B6="",0,SUMIFS(Recipes!$O$6:$O$405,Recipes!$B$6:$B$405,B6))</f>
        <v/>
      </c>
      <c r="V6">
        <f>IF(B6="",0,SUMIFS(Recipes!$P$6:$P$405,Recipes!$B$6:$B$405,B6))</f>
        <v/>
      </c>
      <c r="W6">
        <f>IF(B6="",0,SUMIFS(Recipes!$Q$6:$Q$405,Recipes!$B$6:$B$405,B6))</f>
        <v/>
      </c>
      <c r="X6">
        <f>IF(B6="",0,SUMIFS(Recipes!$R$6:$R$405,Recipes!$B$6:$B$405,B6))</f>
        <v/>
      </c>
      <c r="Y6">
        <f>IF(B6="",0,SUMIFS(Recipes!$S$6:$S$405,Recipes!$B$6:$B$405,B6))</f>
        <v/>
      </c>
      <c r="Z6">
        <f>IF(B6="",0,SUMIFS(Recipes!$T$6:$T$405,Recipes!$B$6:$B$405,B6))</f>
        <v/>
      </c>
      <c r="AA6">
        <f>IF(B6="",0,SUMIFS(Recipes!$U$6:$U$405,Recipes!$B$6:$B$405,B6))</f>
        <v/>
      </c>
      <c r="AB6">
        <f>IF(B6="",0,SUMIFS(Recipes!$V$6:$V$405,Recipes!$B$6:$B$405,B6))</f>
        <v/>
      </c>
      <c r="AC6">
        <f>IF(B6="",0,SUMIFS(Recipes!$W$6:$W$405,Recipes!$B$6:$B$405,B6))</f>
        <v/>
      </c>
      <c r="AD6">
        <f>IF(B6="",0,SUMIFS(Recipes!$X$6:$X$405,Recipes!$B$6:$B$405,B6))</f>
        <v/>
      </c>
      <c r="AE6">
        <f>IF(AND(P6&gt;0,Settings!$C$13&lt;&gt;""),Settings!$C$13&amp;", ","")&amp;IF(AND(Q6&gt;0,Settings!$C$14&lt;&gt;""),Settings!$C$14&amp;", ","")&amp;IF(AND(R6&gt;0,Settings!$C$15&lt;&gt;""),Settings!$C$15&amp;", ","")&amp;IF(AND(S6&gt;0,Settings!$C$16&lt;&gt;""),Settings!$C$16&amp;", ","")&amp;IF(AND(T6&gt;0,Settings!$C$17&lt;&gt;""),Settings!$C$17&amp;", ","")&amp;IF(AND(U6&gt;0,Settings!$C$18&lt;&gt;""),Settings!$C$18&amp;", ","")&amp;IF(AND(V6&gt;0,Settings!$C$19&lt;&gt;""),Settings!$C$19&amp;", ","")&amp;IF(AND(W6&gt;0,Settings!$C$20&lt;&gt;""),Settings!$C$20&amp;", ","")&amp;IF(AND(X6&gt;0,Settings!$C$21&lt;&gt;""),Settings!$C$21&amp;", ","")&amp;IF(AND(Y6&gt;0,Settings!$C$22&lt;&gt;""),Settings!$C$22&amp;", ","")&amp;IF(AND(Z6&gt;0,Settings!$C$23&lt;&gt;""),Settings!$C$23&amp;", ","")&amp;IF(AND(AA6&gt;0,Settings!$C$24&lt;&gt;""),Settings!$C$24&amp;", ","")&amp;IF(AND(AB6&gt;0,Settings!$C$25&lt;&gt;""),Settings!$C$25&amp;", ","")&amp;IF(AND(AC6&gt;0,Settings!$C$26&lt;&gt;""),Settings!$C$26&amp;", ","")&amp;IF(AND(AD6&gt;0,Settings!$C$27&lt;&gt;""),Settings!$C$27&amp;", ","")</f>
        <v/>
      </c>
    </row>
    <row r="7">
      <c r="A7" s="1" t="n"/>
      <c r="B7" s="21" t="inlineStr">
        <is>
          <t>Chocolate chip cookies</t>
        </is>
      </c>
      <c r="C7" s="36" t="inlineStr">
        <is>
          <t>CCC</t>
        </is>
      </c>
      <c r="D7" s="22" t="n">
        <v>4</v>
      </c>
      <c r="E7" s="22" t="n">
        <v>7</v>
      </c>
      <c r="F7" s="37" t="n">
        <v>5</v>
      </c>
      <c r="G7" s="23" t="inlineStr">
        <is>
          <t>6 cookies, 240 g</t>
        </is>
      </c>
      <c r="H7" s="26">
        <f>IF(B7="","",SUMIFS(Recipes!$F$6:$F$405,Recipes!$B$6:$B$405,B7))</f>
        <v/>
      </c>
      <c r="I7" s="26">
        <f>IF(OR(B7="",N(D7)=0),"",H7/D7)</f>
        <v/>
      </c>
      <c r="J7" s="26">
        <f>IF(OR(NOT(ISNUMBER(I7)),N(F7)=0),"",F7-I7)</f>
        <v/>
      </c>
      <c r="K7" s="19">
        <f>IF(NOT(ISNUMBER(J7)),"",J7/F7)</f>
        <v/>
      </c>
      <c r="L7" s="38">
        <f>IF(OR(B7="",AE7=""),"",LEFT(AE7,LEN(AE7)-2))</f>
        <v/>
      </c>
      <c r="M7" s="13">
        <f>IF(B7="","",SUMIFS(Batches!$K$6:$K$505,Batches!$C$6:$C$505,B7,Batches!$M$6:$M$505,"In stock")+SUMIFS(Batches!$K$6:$K$505,Batches!$C$6:$C$505,B7,Batches!$M$6:$M$505,"Use soon"))</f>
        <v/>
      </c>
      <c r="N7" s="19">
        <f>IF(B7="","",IF(SUMIFS(Batches!$D$6:$D$505,Batches!$C$6:$C$505,B7)=0,"",SUMIFS(Batches!$G$6:$G$505,Batches!$C$6:$C$505,B7)/SUMIFS(Batches!$D$6:$D$505,Batches!$C$6:$C$505,B7)))</f>
        <v/>
      </c>
      <c r="O7" s="1" t="n"/>
      <c r="P7">
        <f>IF(B7="",0,SUMIFS(Recipes!$J$6:$J$405,Recipes!$B$6:$B$405,B7))</f>
        <v/>
      </c>
      <c r="Q7">
        <f>IF(B7="",0,SUMIFS(Recipes!$K$6:$K$405,Recipes!$B$6:$B$405,B7))</f>
        <v/>
      </c>
      <c r="R7">
        <f>IF(B7="",0,SUMIFS(Recipes!$L$6:$L$405,Recipes!$B$6:$B$405,B7))</f>
        <v/>
      </c>
      <c r="S7">
        <f>IF(B7="",0,SUMIFS(Recipes!$M$6:$M$405,Recipes!$B$6:$B$405,B7))</f>
        <v/>
      </c>
      <c r="T7">
        <f>IF(B7="",0,SUMIFS(Recipes!$N$6:$N$405,Recipes!$B$6:$B$405,B7))</f>
        <v/>
      </c>
      <c r="U7">
        <f>IF(B7="",0,SUMIFS(Recipes!$O$6:$O$405,Recipes!$B$6:$B$405,B7))</f>
        <v/>
      </c>
      <c r="V7">
        <f>IF(B7="",0,SUMIFS(Recipes!$P$6:$P$405,Recipes!$B$6:$B$405,B7))</f>
        <v/>
      </c>
      <c r="W7">
        <f>IF(B7="",0,SUMIFS(Recipes!$Q$6:$Q$405,Recipes!$B$6:$B$405,B7))</f>
        <v/>
      </c>
      <c r="X7">
        <f>IF(B7="",0,SUMIFS(Recipes!$R$6:$R$405,Recipes!$B$6:$B$405,B7))</f>
        <v/>
      </c>
      <c r="Y7">
        <f>IF(B7="",0,SUMIFS(Recipes!$S$6:$S$405,Recipes!$B$6:$B$405,B7))</f>
        <v/>
      </c>
      <c r="Z7">
        <f>IF(B7="",0,SUMIFS(Recipes!$T$6:$T$405,Recipes!$B$6:$B$405,B7))</f>
        <v/>
      </c>
      <c r="AA7">
        <f>IF(B7="",0,SUMIFS(Recipes!$U$6:$U$405,Recipes!$B$6:$B$405,B7))</f>
        <v/>
      </c>
      <c r="AB7">
        <f>IF(B7="",0,SUMIFS(Recipes!$V$6:$V$405,Recipes!$B$6:$B$405,B7))</f>
        <v/>
      </c>
      <c r="AC7">
        <f>IF(B7="",0,SUMIFS(Recipes!$W$6:$W$405,Recipes!$B$6:$B$405,B7))</f>
        <v/>
      </c>
      <c r="AD7">
        <f>IF(B7="",0,SUMIFS(Recipes!$X$6:$X$405,Recipes!$B$6:$B$405,B7))</f>
        <v/>
      </c>
      <c r="AE7">
        <f>IF(AND(P7&gt;0,Settings!$C$13&lt;&gt;""),Settings!$C$13&amp;", ","")&amp;IF(AND(Q7&gt;0,Settings!$C$14&lt;&gt;""),Settings!$C$14&amp;", ","")&amp;IF(AND(R7&gt;0,Settings!$C$15&lt;&gt;""),Settings!$C$15&amp;", ","")&amp;IF(AND(S7&gt;0,Settings!$C$16&lt;&gt;""),Settings!$C$16&amp;", ","")&amp;IF(AND(T7&gt;0,Settings!$C$17&lt;&gt;""),Settings!$C$17&amp;", ","")&amp;IF(AND(U7&gt;0,Settings!$C$18&lt;&gt;""),Settings!$C$18&amp;", ","")&amp;IF(AND(V7&gt;0,Settings!$C$19&lt;&gt;""),Settings!$C$19&amp;", ","")&amp;IF(AND(W7&gt;0,Settings!$C$20&lt;&gt;""),Settings!$C$20&amp;", ","")&amp;IF(AND(X7&gt;0,Settings!$C$21&lt;&gt;""),Settings!$C$21&amp;", ","")&amp;IF(AND(Y7&gt;0,Settings!$C$22&lt;&gt;""),Settings!$C$22&amp;", ","")&amp;IF(AND(Z7&gt;0,Settings!$C$23&lt;&gt;""),Settings!$C$23&amp;", ","")&amp;IF(AND(AA7&gt;0,Settings!$C$24&lt;&gt;""),Settings!$C$24&amp;", ","")&amp;IF(AND(AB7&gt;0,Settings!$C$25&lt;&gt;""),Settings!$C$25&amp;", ","")&amp;IF(AND(AC7&gt;0,Settings!$C$26&lt;&gt;""),Settings!$C$26&amp;", ","")&amp;IF(AND(AD7&gt;0,Settings!$C$27&lt;&gt;""),Settings!$C$27&amp;", ","")</f>
        <v/>
      </c>
    </row>
    <row r="8">
      <c r="A8" s="1" t="n"/>
      <c r="B8" s="21" t="inlineStr">
        <is>
          <t>Sourdough loaf</t>
        </is>
      </c>
      <c r="C8" s="36" t="inlineStr">
        <is>
          <t>SDL</t>
        </is>
      </c>
      <c r="D8" s="22" t="n">
        <v>2</v>
      </c>
      <c r="E8" s="22" t="n">
        <v>3</v>
      </c>
      <c r="F8" s="37" t="n">
        <v>7.5</v>
      </c>
      <c r="G8" s="23" t="inlineStr">
        <is>
          <t>800 g</t>
        </is>
      </c>
      <c r="H8" s="26">
        <f>IF(B8="","",SUMIFS(Recipes!$F$6:$F$405,Recipes!$B$6:$B$405,B8))</f>
        <v/>
      </c>
      <c r="I8" s="26">
        <f>IF(OR(B8="",N(D8)=0),"",H8/D8)</f>
        <v/>
      </c>
      <c r="J8" s="26">
        <f>IF(OR(NOT(ISNUMBER(I8)),N(F8)=0),"",F8-I8)</f>
        <v/>
      </c>
      <c r="K8" s="19">
        <f>IF(NOT(ISNUMBER(J8)),"",J8/F8)</f>
        <v/>
      </c>
      <c r="L8" s="38">
        <f>IF(OR(B8="",AE8=""),"",LEFT(AE8,LEN(AE8)-2))</f>
        <v/>
      </c>
      <c r="M8" s="13">
        <f>IF(B8="","",SUMIFS(Batches!$K$6:$K$505,Batches!$C$6:$C$505,B8,Batches!$M$6:$M$505,"In stock")+SUMIFS(Batches!$K$6:$K$505,Batches!$C$6:$C$505,B8,Batches!$M$6:$M$505,"Use soon"))</f>
        <v/>
      </c>
      <c r="N8" s="19">
        <f>IF(B8="","",IF(SUMIFS(Batches!$D$6:$D$505,Batches!$C$6:$C$505,B8)=0,"",SUMIFS(Batches!$G$6:$G$505,Batches!$C$6:$C$505,B8)/SUMIFS(Batches!$D$6:$D$505,Batches!$C$6:$C$505,B8)))</f>
        <v/>
      </c>
      <c r="O8" s="1" t="n"/>
      <c r="P8">
        <f>IF(B8="",0,SUMIFS(Recipes!$J$6:$J$405,Recipes!$B$6:$B$405,B8))</f>
        <v/>
      </c>
      <c r="Q8">
        <f>IF(B8="",0,SUMIFS(Recipes!$K$6:$K$405,Recipes!$B$6:$B$405,B8))</f>
        <v/>
      </c>
      <c r="R8">
        <f>IF(B8="",0,SUMIFS(Recipes!$L$6:$L$405,Recipes!$B$6:$B$405,B8))</f>
        <v/>
      </c>
      <c r="S8">
        <f>IF(B8="",0,SUMIFS(Recipes!$M$6:$M$405,Recipes!$B$6:$B$405,B8))</f>
        <v/>
      </c>
      <c r="T8">
        <f>IF(B8="",0,SUMIFS(Recipes!$N$6:$N$405,Recipes!$B$6:$B$405,B8))</f>
        <v/>
      </c>
      <c r="U8">
        <f>IF(B8="",0,SUMIFS(Recipes!$O$6:$O$405,Recipes!$B$6:$B$405,B8))</f>
        <v/>
      </c>
      <c r="V8">
        <f>IF(B8="",0,SUMIFS(Recipes!$P$6:$P$405,Recipes!$B$6:$B$405,B8))</f>
        <v/>
      </c>
      <c r="W8">
        <f>IF(B8="",0,SUMIFS(Recipes!$Q$6:$Q$405,Recipes!$B$6:$B$405,B8))</f>
        <v/>
      </c>
      <c r="X8">
        <f>IF(B8="",0,SUMIFS(Recipes!$R$6:$R$405,Recipes!$B$6:$B$405,B8))</f>
        <v/>
      </c>
      <c r="Y8">
        <f>IF(B8="",0,SUMIFS(Recipes!$S$6:$S$405,Recipes!$B$6:$B$405,B8))</f>
        <v/>
      </c>
      <c r="Z8">
        <f>IF(B8="",0,SUMIFS(Recipes!$T$6:$T$405,Recipes!$B$6:$B$405,B8))</f>
        <v/>
      </c>
      <c r="AA8">
        <f>IF(B8="",0,SUMIFS(Recipes!$U$6:$U$405,Recipes!$B$6:$B$405,B8))</f>
        <v/>
      </c>
      <c r="AB8">
        <f>IF(B8="",0,SUMIFS(Recipes!$V$6:$V$405,Recipes!$B$6:$B$405,B8))</f>
        <v/>
      </c>
      <c r="AC8">
        <f>IF(B8="",0,SUMIFS(Recipes!$W$6:$W$405,Recipes!$B$6:$B$405,B8))</f>
        <v/>
      </c>
      <c r="AD8">
        <f>IF(B8="",0,SUMIFS(Recipes!$X$6:$X$405,Recipes!$B$6:$B$405,B8))</f>
        <v/>
      </c>
      <c r="AE8">
        <f>IF(AND(P8&gt;0,Settings!$C$13&lt;&gt;""),Settings!$C$13&amp;", ","")&amp;IF(AND(Q8&gt;0,Settings!$C$14&lt;&gt;""),Settings!$C$14&amp;", ","")&amp;IF(AND(R8&gt;0,Settings!$C$15&lt;&gt;""),Settings!$C$15&amp;", ","")&amp;IF(AND(S8&gt;0,Settings!$C$16&lt;&gt;""),Settings!$C$16&amp;", ","")&amp;IF(AND(T8&gt;0,Settings!$C$17&lt;&gt;""),Settings!$C$17&amp;", ","")&amp;IF(AND(U8&gt;0,Settings!$C$18&lt;&gt;""),Settings!$C$18&amp;", ","")&amp;IF(AND(V8&gt;0,Settings!$C$19&lt;&gt;""),Settings!$C$19&amp;", ","")&amp;IF(AND(W8&gt;0,Settings!$C$20&lt;&gt;""),Settings!$C$20&amp;", ","")&amp;IF(AND(X8&gt;0,Settings!$C$21&lt;&gt;""),Settings!$C$21&amp;", ","")&amp;IF(AND(Y8&gt;0,Settings!$C$22&lt;&gt;""),Settings!$C$22&amp;", ","")&amp;IF(AND(Z8&gt;0,Settings!$C$23&lt;&gt;""),Settings!$C$23&amp;", ","")&amp;IF(AND(AA8&gt;0,Settings!$C$24&lt;&gt;""),Settings!$C$24&amp;", ","")&amp;IF(AND(AB8&gt;0,Settings!$C$25&lt;&gt;""),Settings!$C$25&amp;", ","")&amp;IF(AND(AC8&gt;0,Settings!$C$26&lt;&gt;""),Settings!$C$26&amp;", ","")&amp;IF(AND(AD8&gt;0,Settings!$C$27&lt;&gt;""),Settings!$C$27&amp;", ","")</f>
        <v/>
      </c>
    </row>
    <row r="9">
      <c r="A9" s="1" t="n"/>
      <c r="B9" s="21" t="inlineStr">
        <is>
          <t>Strawberry jam</t>
        </is>
      </c>
      <c r="C9" s="36" t="inlineStr">
        <is>
          <t>JAM</t>
        </is>
      </c>
      <c r="D9" s="22" t="n">
        <v>6</v>
      </c>
      <c r="E9" s="22" t="n">
        <v>180</v>
      </c>
      <c r="F9" s="37" t="n">
        <v>6.5</v>
      </c>
      <c r="G9" s="23" t="inlineStr">
        <is>
          <t>340 g</t>
        </is>
      </c>
      <c r="H9" s="26">
        <f>IF(B9="","",SUMIFS(Recipes!$F$6:$F$405,Recipes!$B$6:$B$405,B9))</f>
        <v/>
      </c>
      <c r="I9" s="26">
        <f>IF(OR(B9="",N(D9)=0),"",H9/D9)</f>
        <v/>
      </c>
      <c r="J9" s="26">
        <f>IF(OR(NOT(ISNUMBER(I9)),N(F9)=0),"",F9-I9)</f>
        <v/>
      </c>
      <c r="K9" s="19">
        <f>IF(NOT(ISNUMBER(J9)),"",J9/F9)</f>
        <v/>
      </c>
      <c r="L9" s="38">
        <f>IF(OR(B9="",AE9=""),"",LEFT(AE9,LEN(AE9)-2))</f>
        <v/>
      </c>
      <c r="M9" s="13">
        <f>IF(B9="","",SUMIFS(Batches!$K$6:$K$505,Batches!$C$6:$C$505,B9,Batches!$M$6:$M$505,"In stock")+SUMIFS(Batches!$K$6:$K$505,Batches!$C$6:$C$505,B9,Batches!$M$6:$M$505,"Use soon"))</f>
        <v/>
      </c>
      <c r="N9" s="19">
        <f>IF(B9="","",IF(SUMIFS(Batches!$D$6:$D$505,Batches!$C$6:$C$505,B9)=0,"",SUMIFS(Batches!$G$6:$G$505,Batches!$C$6:$C$505,B9)/SUMIFS(Batches!$D$6:$D$505,Batches!$C$6:$C$505,B9)))</f>
        <v/>
      </c>
      <c r="O9" s="1" t="n"/>
      <c r="P9">
        <f>IF(B9="",0,SUMIFS(Recipes!$J$6:$J$405,Recipes!$B$6:$B$405,B9))</f>
        <v/>
      </c>
      <c r="Q9">
        <f>IF(B9="",0,SUMIFS(Recipes!$K$6:$K$405,Recipes!$B$6:$B$405,B9))</f>
        <v/>
      </c>
      <c r="R9">
        <f>IF(B9="",0,SUMIFS(Recipes!$L$6:$L$405,Recipes!$B$6:$B$405,B9))</f>
        <v/>
      </c>
      <c r="S9">
        <f>IF(B9="",0,SUMIFS(Recipes!$M$6:$M$405,Recipes!$B$6:$B$405,B9))</f>
        <v/>
      </c>
      <c r="T9">
        <f>IF(B9="",0,SUMIFS(Recipes!$N$6:$N$405,Recipes!$B$6:$B$405,B9))</f>
        <v/>
      </c>
      <c r="U9">
        <f>IF(B9="",0,SUMIFS(Recipes!$O$6:$O$405,Recipes!$B$6:$B$405,B9))</f>
        <v/>
      </c>
      <c r="V9">
        <f>IF(B9="",0,SUMIFS(Recipes!$P$6:$P$405,Recipes!$B$6:$B$405,B9))</f>
        <v/>
      </c>
      <c r="W9">
        <f>IF(B9="",0,SUMIFS(Recipes!$Q$6:$Q$405,Recipes!$B$6:$B$405,B9))</f>
        <v/>
      </c>
      <c r="X9">
        <f>IF(B9="",0,SUMIFS(Recipes!$R$6:$R$405,Recipes!$B$6:$B$405,B9))</f>
        <v/>
      </c>
      <c r="Y9">
        <f>IF(B9="",0,SUMIFS(Recipes!$S$6:$S$405,Recipes!$B$6:$B$405,B9))</f>
        <v/>
      </c>
      <c r="Z9">
        <f>IF(B9="",0,SUMIFS(Recipes!$T$6:$T$405,Recipes!$B$6:$B$405,B9))</f>
        <v/>
      </c>
      <c r="AA9">
        <f>IF(B9="",0,SUMIFS(Recipes!$U$6:$U$405,Recipes!$B$6:$B$405,B9))</f>
        <v/>
      </c>
      <c r="AB9">
        <f>IF(B9="",0,SUMIFS(Recipes!$V$6:$V$405,Recipes!$B$6:$B$405,B9))</f>
        <v/>
      </c>
      <c r="AC9">
        <f>IF(B9="",0,SUMIFS(Recipes!$W$6:$W$405,Recipes!$B$6:$B$405,B9))</f>
        <v/>
      </c>
      <c r="AD9">
        <f>IF(B9="",0,SUMIFS(Recipes!$X$6:$X$405,Recipes!$B$6:$B$405,B9))</f>
        <v/>
      </c>
      <c r="AE9">
        <f>IF(AND(P9&gt;0,Settings!$C$13&lt;&gt;""),Settings!$C$13&amp;", ","")&amp;IF(AND(Q9&gt;0,Settings!$C$14&lt;&gt;""),Settings!$C$14&amp;", ","")&amp;IF(AND(R9&gt;0,Settings!$C$15&lt;&gt;""),Settings!$C$15&amp;", ","")&amp;IF(AND(S9&gt;0,Settings!$C$16&lt;&gt;""),Settings!$C$16&amp;", ","")&amp;IF(AND(T9&gt;0,Settings!$C$17&lt;&gt;""),Settings!$C$17&amp;", ","")&amp;IF(AND(U9&gt;0,Settings!$C$18&lt;&gt;""),Settings!$C$18&amp;", ","")&amp;IF(AND(V9&gt;0,Settings!$C$19&lt;&gt;""),Settings!$C$19&amp;", ","")&amp;IF(AND(W9&gt;0,Settings!$C$20&lt;&gt;""),Settings!$C$20&amp;", ","")&amp;IF(AND(X9&gt;0,Settings!$C$21&lt;&gt;""),Settings!$C$21&amp;", ","")&amp;IF(AND(Y9&gt;0,Settings!$C$22&lt;&gt;""),Settings!$C$22&amp;", ","")&amp;IF(AND(Z9&gt;0,Settings!$C$23&lt;&gt;""),Settings!$C$23&amp;", ","")&amp;IF(AND(AA9&gt;0,Settings!$C$24&lt;&gt;""),Settings!$C$24&amp;", ","")&amp;IF(AND(AB9&gt;0,Settings!$C$25&lt;&gt;""),Settings!$C$25&amp;", ","")&amp;IF(AND(AC9&gt;0,Settings!$C$26&lt;&gt;""),Settings!$C$26&amp;", ","")&amp;IF(AND(AD9&gt;0,Settings!$C$27&lt;&gt;""),Settings!$C$27&amp;", ","")</f>
        <v/>
      </c>
    </row>
    <row r="10">
      <c r="A10" s="1" t="n"/>
      <c r="B10" s="21" t="inlineStr">
        <is>
          <t>Granola</t>
        </is>
      </c>
      <c r="C10" s="36" t="inlineStr">
        <is>
          <t>GRA</t>
        </is>
      </c>
      <c r="D10" s="22" t="n">
        <v>5</v>
      </c>
      <c r="E10" s="22" t="n">
        <v>60</v>
      </c>
      <c r="F10" s="37" t="n">
        <v>8</v>
      </c>
      <c r="G10" s="23" t="inlineStr">
        <is>
          <t>400 g</t>
        </is>
      </c>
      <c r="H10" s="26">
        <f>IF(B10="","",SUMIFS(Recipes!$F$6:$F$405,Recipes!$B$6:$B$405,B10))</f>
        <v/>
      </c>
      <c r="I10" s="26">
        <f>IF(OR(B10="",N(D10)=0),"",H10/D10)</f>
        <v/>
      </c>
      <c r="J10" s="26">
        <f>IF(OR(NOT(ISNUMBER(I10)),N(F10)=0),"",F10-I10)</f>
        <v/>
      </c>
      <c r="K10" s="19">
        <f>IF(NOT(ISNUMBER(J10)),"",J10/F10)</f>
        <v/>
      </c>
      <c r="L10" s="38">
        <f>IF(OR(B10="",AE10=""),"",LEFT(AE10,LEN(AE10)-2))</f>
        <v/>
      </c>
      <c r="M10" s="13">
        <f>IF(B10="","",SUMIFS(Batches!$K$6:$K$505,Batches!$C$6:$C$505,B10,Batches!$M$6:$M$505,"In stock")+SUMIFS(Batches!$K$6:$K$505,Batches!$C$6:$C$505,B10,Batches!$M$6:$M$505,"Use soon"))</f>
        <v/>
      </c>
      <c r="N10" s="19">
        <f>IF(B10="","",IF(SUMIFS(Batches!$D$6:$D$505,Batches!$C$6:$C$505,B10)=0,"",SUMIFS(Batches!$G$6:$G$505,Batches!$C$6:$C$505,B10)/SUMIFS(Batches!$D$6:$D$505,Batches!$C$6:$C$505,B10)))</f>
        <v/>
      </c>
      <c r="O10" s="1" t="n"/>
      <c r="P10">
        <f>IF(B10="",0,SUMIFS(Recipes!$J$6:$J$405,Recipes!$B$6:$B$405,B10))</f>
        <v/>
      </c>
      <c r="Q10">
        <f>IF(B10="",0,SUMIFS(Recipes!$K$6:$K$405,Recipes!$B$6:$B$405,B10))</f>
        <v/>
      </c>
      <c r="R10">
        <f>IF(B10="",0,SUMIFS(Recipes!$L$6:$L$405,Recipes!$B$6:$B$405,B10))</f>
        <v/>
      </c>
      <c r="S10">
        <f>IF(B10="",0,SUMIFS(Recipes!$M$6:$M$405,Recipes!$B$6:$B$405,B10))</f>
        <v/>
      </c>
      <c r="T10">
        <f>IF(B10="",0,SUMIFS(Recipes!$N$6:$N$405,Recipes!$B$6:$B$405,B10))</f>
        <v/>
      </c>
      <c r="U10">
        <f>IF(B10="",0,SUMIFS(Recipes!$O$6:$O$405,Recipes!$B$6:$B$405,B10))</f>
        <v/>
      </c>
      <c r="V10">
        <f>IF(B10="",0,SUMIFS(Recipes!$P$6:$P$405,Recipes!$B$6:$B$405,B10))</f>
        <v/>
      </c>
      <c r="W10">
        <f>IF(B10="",0,SUMIFS(Recipes!$Q$6:$Q$405,Recipes!$B$6:$B$405,B10))</f>
        <v/>
      </c>
      <c r="X10">
        <f>IF(B10="",0,SUMIFS(Recipes!$R$6:$R$405,Recipes!$B$6:$B$405,B10))</f>
        <v/>
      </c>
      <c r="Y10">
        <f>IF(B10="",0,SUMIFS(Recipes!$S$6:$S$405,Recipes!$B$6:$B$405,B10))</f>
        <v/>
      </c>
      <c r="Z10">
        <f>IF(B10="",0,SUMIFS(Recipes!$T$6:$T$405,Recipes!$B$6:$B$405,B10))</f>
        <v/>
      </c>
      <c r="AA10">
        <f>IF(B10="",0,SUMIFS(Recipes!$U$6:$U$405,Recipes!$B$6:$B$405,B10))</f>
        <v/>
      </c>
      <c r="AB10">
        <f>IF(B10="",0,SUMIFS(Recipes!$V$6:$V$405,Recipes!$B$6:$B$405,B10))</f>
        <v/>
      </c>
      <c r="AC10">
        <f>IF(B10="",0,SUMIFS(Recipes!$W$6:$W$405,Recipes!$B$6:$B$405,B10))</f>
        <v/>
      </c>
      <c r="AD10">
        <f>IF(B10="",0,SUMIFS(Recipes!$X$6:$X$405,Recipes!$B$6:$B$405,B10))</f>
        <v/>
      </c>
      <c r="AE10">
        <f>IF(AND(P10&gt;0,Settings!$C$13&lt;&gt;""),Settings!$C$13&amp;", ","")&amp;IF(AND(Q10&gt;0,Settings!$C$14&lt;&gt;""),Settings!$C$14&amp;", ","")&amp;IF(AND(R10&gt;0,Settings!$C$15&lt;&gt;""),Settings!$C$15&amp;", ","")&amp;IF(AND(S10&gt;0,Settings!$C$16&lt;&gt;""),Settings!$C$16&amp;", ","")&amp;IF(AND(T10&gt;0,Settings!$C$17&lt;&gt;""),Settings!$C$17&amp;", ","")&amp;IF(AND(U10&gt;0,Settings!$C$18&lt;&gt;""),Settings!$C$18&amp;", ","")&amp;IF(AND(V10&gt;0,Settings!$C$19&lt;&gt;""),Settings!$C$19&amp;", ","")&amp;IF(AND(W10&gt;0,Settings!$C$20&lt;&gt;""),Settings!$C$20&amp;", ","")&amp;IF(AND(X10&gt;0,Settings!$C$21&lt;&gt;""),Settings!$C$21&amp;", ","")&amp;IF(AND(Y10&gt;0,Settings!$C$22&lt;&gt;""),Settings!$C$22&amp;", ","")&amp;IF(AND(Z10&gt;0,Settings!$C$23&lt;&gt;""),Settings!$C$23&amp;", ","")&amp;IF(AND(AA10&gt;0,Settings!$C$24&lt;&gt;""),Settings!$C$24&amp;", ","")&amp;IF(AND(AB10&gt;0,Settings!$C$25&lt;&gt;""),Settings!$C$25&amp;", ","")&amp;IF(AND(AC10&gt;0,Settings!$C$26&lt;&gt;""),Settings!$C$26&amp;", ","")&amp;IF(AND(AD10&gt;0,Settings!$C$27&lt;&gt;""),Settings!$C$27&amp;", ","")</f>
        <v/>
      </c>
    </row>
    <row r="11">
      <c r="A11" s="1" t="n"/>
      <c r="B11" s="21" t="inlineStr">
        <is>
          <t>Cinnamon rolls</t>
        </is>
      </c>
      <c r="C11" s="36" t="inlineStr">
        <is>
          <t>CIN</t>
        </is>
      </c>
      <c r="D11" s="22" t="n">
        <v>12</v>
      </c>
      <c r="E11" s="22" t="n">
        <v>2</v>
      </c>
      <c r="F11" s="37" t="n">
        <v>3</v>
      </c>
      <c r="G11" s="23" t="inlineStr">
        <is>
          <t>1 roll, 110 g</t>
        </is>
      </c>
      <c r="H11" s="26">
        <f>IF(B11="","",SUMIFS(Recipes!$F$6:$F$405,Recipes!$B$6:$B$405,B11))</f>
        <v/>
      </c>
      <c r="I11" s="26">
        <f>IF(OR(B11="",N(D11)=0),"",H11/D11)</f>
        <v/>
      </c>
      <c r="J11" s="26">
        <f>IF(OR(NOT(ISNUMBER(I11)),N(F11)=0),"",F11-I11)</f>
        <v/>
      </c>
      <c r="K11" s="19">
        <f>IF(NOT(ISNUMBER(J11)),"",J11/F11)</f>
        <v/>
      </c>
      <c r="L11" s="38">
        <f>IF(OR(B11="",AE11=""),"",LEFT(AE11,LEN(AE11)-2))</f>
        <v/>
      </c>
      <c r="M11" s="13">
        <f>IF(B11="","",SUMIFS(Batches!$K$6:$K$505,Batches!$C$6:$C$505,B11,Batches!$M$6:$M$505,"In stock")+SUMIFS(Batches!$K$6:$K$505,Batches!$C$6:$C$505,B11,Batches!$M$6:$M$505,"Use soon"))</f>
        <v/>
      </c>
      <c r="N11" s="19">
        <f>IF(B11="","",IF(SUMIFS(Batches!$D$6:$D$505,Batches!$C$6:$C$505,B11)=0,"",SUMIFS(Batches!$G$6:$G$505,Batches!$C$6:$C$505,B11)/SUMIFS(Batches!$D$6:$D$505,Batches!$C$6:$C$505,B11)))</f>
        <v/>
      </c>
      <c r="O11" s="1" t="n"/>
      <c r="P11">
        <f>IF(B11="",0,SUMIFS(Recipes!$J$6:$J$405,Recipes!$B$6:$B$405,B11))</f>
        <v/>
      </c>
      <c r="Q11">
        <f>IF(B11="",0,SUMIFS(Recipes!$K$6:$K$405,Recipes!$B$6:$B$405,B11))</f>
        <v/>
      </c>
      <c r="R11">
        <f>IF(B11="",0,SUMIFS(Recipes!$L$6:$L$405,Recipes!$B$6:$B$405,B11))</f>
        <v/>
      </c>
      <c r="S11">
        <f>IF(B11="",0,SUMIFS(Recipes!$M$6:$M$405,Recipes!$B$6:$B$405,B11))</f>
        <v/>
      </c>
      <c r="T11">
        <f>IF(B11="",0,SUMIFS(Recipes!$N$6:$N$405,Recipes!$B$6:$B$405,B11))</f>
        <v/>
      </c>
      <c r="U11">
        <f>IF(B11="",0,SUMIFS(Recipes!$O$6:$O$405,Recipes!$B$6:$B$405,B11))</f>
        <v/>
      </c>
      <c r="V11">
        <f>IF(B11="",0,SUMIFS(Recipes!$P$6:$P$405,Recipes!$B$6:$B$405,B11))</f>
        <v/>
      </c>
      <c r="W11">
        <f>IF(B11="",0,SUMIFS(Recipes!$Q$6:$Q$405,Recipes!$B$6:$B$405,B11))</f>
        <v/>
      </c>
      <c r="X11">
        <f>IF(B11="",0,SUMIFS(Recipes!$R$6:$R$405,Recipes!$B$6:$B$405,B11))</f>
        <v/>
      </c>
      <c r="Y11">
        <f>IF(B11="",0,SUMIFS(Recipes!$S$6:$S$405,Recipes!$B$6:$B$405,B11))</f>
        <v/>
      </c>
      <c r="Z11">
        <f>IF(B11="",0,SUMIFS(Recipes!$T$6:$T$405,Recipes!$B$6:$B$405,B11))</f>
        <v/>
      </c>
      <c r="AA11">
        <f>IF(B11="",0,SUMIFS(Recipes!$U$6:$U$405,Recipes!$B$6:$B$405,B11))</f>
        <v/>
      </c>
      <c r="AB11">
        <f>IF(B11="",0,SUMIFS(Recipes!$V$6:$V$405,Recipes!$B$6:$B$405,B11))</f>
        <v/>
      </c>
      <c r="AC11">
        <f>IF(B11="",0,SUMIFS(Recipes!$W$6:$W$405,Recipes!$B$6:$B$405,B11))</f>
        <v/>
      </c>
      <c r="AD11">
        <f>IF(B11="",0,SUMIFS(Recipes!$X$6:$X$405,Recipes!$B$6:$B$405,B11))</f>
        <v/>
      </c>
      <c r="AE11">
        <f>IF(AND(P11&gt;0,Settings!$C$13&lt;&gt;""),Settings!$C$13&amp;", ","")&amp;IF(AND(Q11&gt;0,Settings!$C$14&lt;&gt;""),Settings!$C$14&amp;", ","")&amp;IF(AND(R11&gt;0,Settings!$C$15&lt;&gt;""),Settings!$C$15&amp;", ","")&amp;IF(AND(S11&gt;0,Settings!$C$16&lt;&gt;""),Settings!$C$16&amp;", ","")&amp;IF(AND(T11&gt;0,Settings!$C$17&lt;&gt;""),Settings!$C$17&amp;", ","")&amp;IF(AND(U11&gt;0,Settings!$C$18&lt;&gt;""),Settings!$C$18&amp;", ","")&amp;IF(AND(V11&gt;0,Settings!$C$19&lt;&gt;""),Settings!$C$19&amp;", ","")&amp;IF(AND(W11&gt;0,Settings!$C$20&lt;&gt;""),Settings!$C$20&amp;", ","")&amp;IF(AND(X11&gt;0,Settings!$C$21&lt;&gt;""),Settings!$C$21&amp;", ","")&amp;IF(AND(Y11&gt;0,Settings!$C$22&lt;&gt;""),Settings!$C$22&amp;", ","")&amp;IF(AND(Z11&gt;0,Settings!$C$23&lt;&gt;""),Settings!$C$23&amp;", ","")&amp;IF(AND(AA11&gt;0,Settings!$C$24&lt;&gt;""),Settings!$C$24&amp;", ","")&amp;IF(AND(AB11&gt;0,Settings!$C$25&lt;&gt;""),Settings!$C$25&amp;", ","")&amp;IF(AND(AC11&gt;0,Settings!$C$26&lt;&gt;""),Settings!$C$26&amp;", ","")&amp;IF(AND(AD11&gt;0,Settings!$C$27&lt;&gt;""),Settings!$C$27&amp;", ","")</f>
        <v/>
      </c>
    </row>
    <row r="12">
      <c r="A12" s="1" t="n"/>
      <c r="B12" s="21" t="inlineStr">
        <is>
          <t>Dog biscuits</t>
        </is>
      </c>
      <c r="C12" s="36" t="inlineStr">
        <is>
          <t>DOG</t>
        </is>
      </c>
      <c r="D12" s="22" t="n">
        <v>10</v>
      </c>
      <c r="E12" s="22" t="n">
        <v>30</v>
      </c>
      <c r="F12" s="37" t="n">
        <v>5.5</v>
      </c>
      <c r="G12" s="23" t="inlineStr">
        <is>
          <t>200 g</t>
        </is>
      </c>
      <c r="H12" s="26">
        <f>IF(B12="","",SUMIFS(Recipes!$F$6:$F$405,Recipes!$B$6:$B$405,B12))</f>
        <v/>
      </c>
      <c r="I12" s="26">
        <f>IF(OR(B12="",N(D12)=0),"",H12/D12)</f>
        <v/>
      </c>
      <c r="J12" s="26">
        <f>IF(OR(NOT(ISNUMBER(I12)),N(F12)=0),"",F12-I12)</f>
        <v/>
      </c>
      <c r="K12" s="19">
        <f>IF(NOT(ISNUMBER(J12)),"",J12/F12)</f>
        <v/>
      </c>
      <c r="L12" s="38">
        <f>IF(OR(B12="",AE12=""),"",LEFT(AE12,LEN(AE12)-2))</f>
        <v/>
      </c>
      <c r="M12" s="13">
        <f>IF(B12="","",SUMIFS(Batches!$K$6:$K$505,Batches!$C$6:$C$505,B12,Batches!$M$6:$M$505,"In stock")+SUMIFS(Batches!$K$6:$K$505,Batches!$C$6:$C$505,B12,Batches!$M$6:$M$505,"Use soon"))</f>
        <v/>
      </c>
      <c r="N12" s="19">
        <f>IF(B12="","",IF(SUMIFS(Batches!$D$6:$D$505,Batches!$C$6:$C$505,B12)=0,"",SUMIFS(Batches!$G$6:$G$505,Batches!$C$6:$C$505,B12)/SUMIFS(Batches!$D$6:$D$505,Batches!$C$6:$C$505,B12)))</f>
        <v/>
      </c>
      <c r="O12" s="1" t="n"/>
      <c r="P12">
        <f>IF(B12="",0,SUMIFS(Recipes!$J$6:$J$405,Recipes!$B$6:$B$405,B12))</f>
        <v/>
      </c>
      <c r="Q12">
        <f>IF(B12="",0,SUMIFS(Recipes!$K$6:$K$405,Recipes!$B$6:$B$405,B12))</f>
        <v/>
      </c>
      <c r="R12">
        <f>IF(B12="",0,SUMIFS(Recipes!$L$6:$L$405,Recipes!$B$6:$B$405,B12))</f>
        <v/>
      </c>
      <c r="S12">
        <f>IF(B12="",0,SUMIFS(Recipes!$M$6:$M$405,Recipes!$B$6:$B$405,B12))</f>
        <v/>
      </c>
      <c r="T12">
        <f>IF(B12="",0,SUMIFS(Recipes!$N$6:$N$405,Recipes!$B$6:$B$405,B12))</f>
        <v/>
      </c>
      <c r="U12">
        <f>IF(B12="",0,SUMIFS(Recipes!$O$6:$O$405,Recipes!$B$6:$B$405,B12))</f>
        <v/>
      </c>
      <c r="V12">
        <f>IF(B12="",0,SUMIFS(Recipes!$P$6:$P$405,Recipes!$B$6:$B$405,B12))</f>
        <v/>
      </c>
      <c r="W12">
        <f>IF(B12="",0,SUMIFS(Recipes!$Q$6:$Q$405,Recipes!$B$6:$B$405,B12))</f>
        <v/>
      </c>
      <c r="X12">
        <f>IF(B12="",0,SUMIFS(Recipes!$R$6:$R$405,Recipes!$B$6:$B$405,B12))</f>
        <v/>
      </c>
      <c r="Y12">
        <f>IF(B12="",0,SUMIFS(Recipes!$S$6:$S$405,Recipes!$B$6:$B$405,B12))</f>
        <v/>
      </c>
      <c r="Z12">
        <f>IF(B12="",0,SUMIFS(Recipes!$T$6:$T$405,Recipes!$B$6:$B$405,B12))</f>
        <v/>
      </c>
      <c r="AA12">
        <f>IF(B12="",0,SUMIFS(Recipes!$U$6:$U$405,Recipes!$B$6:$B$405,B12))</f>
        <v/>
      </c>
      <c r="AB12">
        <f>IF(B12="",0,SUMIFS(Recipes!$V$6:$V$405,Recipes!$B$6:$B$405,B12))</f>
        <v/>
      </c>
      <c r="AC12">
        <f>IF(B12="",0,SUMIFS(Recipes!$W$6:$W$405,Recipes!$B$6:$B$405,B12))</f>
        <v/>
      </c>
      <c r="AD12">
        <f>IF(B12="",0,SUMIFS(Recipes!$X$6:$X$405,Recipes!$B$6:$B$405,B12))</f>
        <v/>
      </c>
      <c r="AE12">
        <f>IF(AND(P12&gt;0,Settings!$C$13&lt;&gt;""),Settings!$C$13&amp;", ","")&amp;IF(AND(Q12&gt;0,Settings!$C$14&lt;&gt;""),Settings!$C$14&amp;", ","")&amp;IF(AND(R12&gt;0,Settings!$C$15&lt;&gt;""),Settings!$C$15&amp;", ","")&amp;IF(AND(S12&gt;0,Settings!$C$16&lt;&gt;""),Settings!$C$16&amp;", ","")&amp;IF(AND(T12&gt;0,Settings!$C$17&lt;&gt;""),Settings!$C$17&amp;", ","")&amp;IF(AND(U12&gt;0,Settings!$C$18&lt;&gt;""),Settings!$C$18&amp;", ","")&amp;IF(AND(V12&gt;0,Settings!$C$19&lt;&gt;""),Settings!$C$19&amp;", ","")&amp;IF(AND(W12&gt;0,Settings!$C$20&lt;&gt;""),Settings!$C$20&amp;", ","")&amp;IF(AND(X12&gt;0,Settings!$C$21&lt;&gt;""),Settings!$C$21&amp;", ","")&amp;IF(AND(Y12&gt;0,Settings!$C$22&lt;&gt;""),Settings!$C$22&amp;", ","")&amp;IF(AND(Z12&gt;0,Settings!$C$23&lt;&gt;""),Settings!$C$23&amp;", ","")&amp;IF(AND(AA12&gt;0,Settings!$C$24&lt;&gt;""),Settings!$C$24&amp;", ","")&amp;IF(AND(AB12&gt;0,Settings!$C$25&lt;&gt;""),Settings!$C$25&amp;", ","")&amp;IF(AND(AC12&gt;0,Settings!$C$26&lt;&gt;""),Settings!$C$26&amp;", ","")&amp;IF(AND(AD12&gt;0,Settings!$C$27&lt;&gt;""),Settings!$C$27&amp;", ","")</f>
        <v/>
      </c>
    </row>
    <row r="13">
      <c r="A13" s="1" t="n"/>
      <c r="B13" s="21" t="inlineStr">
        <is>
          <t>Brownies</t>
        </is>
      </c>
      <c r="C13" s="36" t="inlineStr">
        <is>
          <t>BRW</t>
        </is>
      </c>
      <c r="D13" s="22" t="n">
        <v>16</v>
      </c>
      <c r="E13" s="22" t="n">
        <v>5</v>
      </c>
      <c r="F13" s="37" t="n">
        <v>2.5</v>
      </c>
      <c r="G13" s="23" t="inlineStr">
        <is>
          <t>1 piece, 70 g</t>
        </is>
      </c>
      <c r="H13" s="26">
        <f>IF(B13="","",SUMIFS(Recipes!$F$6:$F$405,Recipes!$B$6:$B$405,B13))</f>
        <v/>
      </c>
      <c r="I13" s="26">
        <f>IF(OR(B13="",N(D13)=0),"",H13/D13)</f>
        <v/>
      </c>
      <c r="J13" s="26">
        <f>IF(OR(NOT(ISNUMBER(I13)),N(F13)=0),"",F13-I13)</f>
        <v/>
      </c>
      <c r="K13" s="19">
        <f>IF(NOT(ISNUMBER(J13)),"",J13/F13)</f>
        <v/>
      </c>
      <c r="L13" s="38">
        <f>IF(OR(B13="",AE13=""),"",LEFT(AE13,LEN(AE13)-2))</f>
        <v/>
      </c>
      <c r="M13" s="13">
        <f>IF(B13="","",SUMIFS(Batches!$K$6:$K$505,Batches!$C$6:$C$505,B13,Batches!$M$6:$M$505,"In stock")+SUMIFS(Batches!$K$6:$K$505,Batches!$C$6:$C$505,B13,Batches!$M$6:$M$505,"Use soon"))</f>
        <v/>
      </c>
      <c r="N13" s="19">
        <f>IF(B13="","",IF(SUMIFS(Batches!$D$6:$D$505,Batches!$C$6:$C$505,B13)=0,"",SUMIFS(Batches!$G$6:$G$505,Batches!$C$6:$C$505,B13)/SUMIFS(Batches!$D$6:$D$505,Batches!$C$6:$C$505,B13)))</f>
        <v/>
      </c>
      <c r="O13" s="1" t="n"/>
      <c r="P13">
        <f>IF(B13="",0,SUMIFS(Recipes!$J$6:$J$405,Recipes!$B$6:$B$405,B13))</f>
        <v/>
      </c>
      <c r="Q13">
        <f>IF(B13="",0,SUMIFS(Recipes!$K$6:$K$405,Recipes!$B$6:$B$405,B13))</f>
        <v/>
      </c>
      <c r="R13">
        <f>IF(B13="",0,SUMIFS(Recipes!$L$6:$L$405,Recipes!$B$6:$B$405,B13))</f>
        <v/>
      </c>
      <c r="S13">
        <f>IF(B13="",0,SUMIFS(Recipes!$M$6:$M$405,Recipes!$B$6:$B$405,B13))</f>
        <v/>
      </c>
      <c r="T13">
        <f>IF(B13="",0,SUMIFS(Recipes!$N$6:$N$405,Recipes!$B$6:$B$405,B13))</f>
        <v/>
      </c>
      <c r="U13">
        <f>IF(B13="",0,SUMIFS(Recipes!$O$6:$O$405,Recipes!$B$6:$B$405,B13))</f>
        <v/>
      </c>
      <c r="V13">
        <f>IF(B13="",0,SUMIFS(Recipes!$P$6:$P$405,Recipes!$B$6:$B$405,B13))</f>
        <v/>
      </c>
      <c r="W13">
        <f>IF(B13="",0,SUMIFS(Recipes!$Q$6:$Q$405,Recipes!$B$6:$B$405,B13))</f>
        <v/>
      </c>
      <c r="X13">
        <f>IF(B13="",0,SUMIFS(Recipes!$R$6:$R$405,Recipes!$B$6:$B$405,B13))</f>
        <v/>
      </c>
      <c r="Y13">
        <f>IF(B13="",0,SUMIFS(Recipes!$S$6:$S$405,Recipes!$B$6:$B$405,B13))</f>
        <v/>
      </c>
      <c r="Z13">
        <f>IF(B13="",0,SUMIFS(Recipes!$T$6:$T$405,Recipes!$B$6:$B$405,B13))</f>
        <v/>
      </c>
      <c r="AA13">
        <f>IF(B13="",0,SUMIFS(Recipes!$U$6:$U$405,Recipes!$B$6:$B$405,B13))</f>
        <v/>
      </c>
      <c r="AB13">
        <f>IF(B13="",0,SUMIFS(Recipes!$V$6:$V$405,Recipes!$B$6:$B$405,B13))</f>
        <v/>
      </c>
      <c r="AC13">
        <f>IF(B13="",0,SUMIFS(Recipes!$W$6:$W$405,Recipes!$B$6:$B$405,B13))</f>
        <v/>
      </c>
      <c r="AD13">
        <f>IF(B13="",0,SUMIFS(Recipes!$X$6:$X$405,Recipes!$B$6:$B$405,B13))</f>
        <v/>
      </c>
      <c r="AE13">
        <f>IF(AND(P13&gt;0,Settings!$C$13&lt;&gt;""),Settings!$C$13&amp;", ","")&amp;IF(AND(Q13&gt;0,Settings!$C$14&lt;&gt;""),Settings!$C$14&amp;", ","")&amp;IF(AND(R13&gt;0,Settings!$C$15&lt;&gt;""),Settings!$C$15&amp;", ","")&amp;IF(AND(S13&gt;0,Settings!$C$16&lt;&gt;""),Settings!$C$16&amp;", ","")&amp;IF(AND(T13&gt;0,Settings!$C$17&lt;&gt;""),Settings!$C$17&amp;", ","")&amp;IF(AND(U13&gt;0,Settings!$C$18&lt;&gt;""),Settings!$C$18&amp;", ","")&amp;IF(AND(V13&gt;0,Settings!$C$19&lt;&gt;""),Settings!$C$19&amp;", ","")&amp;IF(AND(W13&gt;0,Settings!$C$20&lt;&gt;""),Settings!$C$20&amp;", ","")&amp;IF(AND(X13&gt;0,Settings!$C$21&lt;&gt;""),Settings!$C$21&amp;", ","")&amp;IF(AND(Y13&gt;0,Settings!$C$22&lt;&gt;""),Settings!$C$22&amp;", ","")&amp;IF(AND(Z13&gt;0,Settings!$C$23&lt;&gt;""),Settings!$C$23&amp;", ","")&amp;IF(AND(AA13&gt;0,Settings!$C$24&lt;&gt;""),Settings!$C$24&amp;", ","")&amp;IF(AND(AB13&gt;0,Settings!$C$25&lt;&gt;""),Settings!$C$25&amp;", ","")&amp;IF(AND(AC13&gt;0,Settings!$C$26&lt;&gt;""),Settings!$C$26&amp;", ","")&amp;IF(AND(AD13&gt;0,Settings!$C$27&lt;&gt;""),Settings!$C$27&amp;", ","")</f>
        <v/>
      </c>
    </row>
    <row r="14">
      <c r="A14" s="1" t="n"/>
      <c r="B14" s="21" t="n"/>
      <c r="C14" s="36" t="n"/>
      <c r="D14" s="22" t="n"/>
      <c r="E14" s="22" t="n"/>
      <c r="F14" s="37" t="n"/>
      <c r="G14" s="23" t="n"/>
      <c r="H14" s="26">
        <f>IF(B14="","",SUMIFS(Recipes!$F$6:$F$405,Recipes!$B$6:$B$405,B14))</f>
        <v/>
      </c>
      <c r="I14" s="26">
        <f>IF(OR(B14="",N(D14)=0),"",H14/D14)</f>
        <v/>
      </c>
      <c r="J14" s="26">
        <f>IF(OR(NOT(ISNUMBER(I14)),N(F14)=0),"",F14-I14)</f>
        <v/>
      </c>
      <c r="K14" s="19">
        <f>IF(NOT(ISNUMBER(J14)),"",J14/F14)</f>
        <v/>
      </c>
      <c r="L14" s="38">
        <f>IF(OR(B14="",AE14=""),"",LEFT(AE14,LEN(AE14)-2))</f>
        <v/>
      </c>
      <c r="M14" s="13">
        <f>IF(B14="","",SUMIFS(Batches!$K$6:$K$505,Batches!$C$6:$C$505,B14,Batches!$M$6:$M$505,"In stock")+SUMIFS(Batches!$K$6:$K$505,Batches!$C$6:$C$505,B14,Batches!$M$6:$M$505,"Use soon"))</f>
        <v/>
      </c>
      <c r="N14" s="19">
        <f>IF(B14="","",IF(SUMIFS(Batches!$D$6:$D$505,Batches!$C$6:$C$505,B14)=0,"",SUMIFS(Batches!$G$6:$G$505,Batches!$C$6:$C$505,B14)/SUMIFS(Batches!$D$6:$D$505,Batches!$C$6:$C$505,B14)))</f>
        <v/>
      </c>
      <c r="O14" s="1" t="n"/>
      <c r="P14">
        <f>IF(B14="",0,SUMIFS(Recipes!$J$6:$J$405,Recipes!$B$6:$B$405,B14))</f>
        <v/>
      </c>
      <c r="Q14">
        <f>IF(B14="",0,SUMIFS(Recipes!$K$6:$K$405,Recipes!$B$6:$B$405,B14))</f>
        <v/>
      </c>
      <c r="R14">
        <f>IF(B14="",0,SUMIFS(Recipes!$L$6:$L$405,Recipes!$B$6:$B$405,B14))</f>
        <v/>
      </c>
      <c r="S14">
        <f>IF(B14="",0,SUMIFS(Recipes!$M$6:$M$405,Recipes!$B$6:$B$405,B14))</f>
        <v/>
      </c>
      <c r="T14">
        <f>IF(B14="",0,SUMIFS(Recipes!$N$6:$N$405,Recipes!$B$6:$B$405,B14))</f>
        <v/>
      </c>
      <c r="U14">
        <f>IF(B14="",0,SUMIFS(Recipes!$O$6:$O$405,Recipes!$B$6:$B$405,B14))</f>
        <v/>
      </c>
      <c r="V14">
        <f>IF(B14="",0,SUMIFS(Recipes!$P$6:$P$405,Recipes!$B$6:$B$405,B14))</f>
        <v/>
      </c>
      <c r="W14">
        <f>IF(B14="",0,SUMIFS(Recipes!$Q$6:$Q$405,Recipes!$B$6:$B$405,B14))</f>
        <v/>
      </c>
      <c r="X14">
        <f>IF(B14="",0,SUMIFS(Recipes!$R$6:$R$405,Recipes!$B$6:$B$405,B14))</f>
        <v/>
      </c>
      <c r="Y14">
        <f>IF(B14="",0,SUMIFS(Recipes!$S$6:$S$405,Recipes!$B$6:$B$405,B14))</f>
        <v/>
      </c>
      <c r="Z14">
        <f>IF(B14="",0,SUMIFS(Recipes!$T$6:$T$405,Recipes!$B$6:$B$405,B14))</f>
        <v/>
      </c>
      <c r="AA14">
        <f>IF(B14="",0,SUMIFS(Recipes!$U$6:$U$405,Recipes!$B$6:$B$405,B14))</f>
        <v/>
      </c>
      <c r="AB14">
        <f>IF(B14="",0,SUMIFS(Recipes!$V$6:$V$405,Recipes!$B$6:$B$405,B14))</f>
        <v/>
      </c>
      <c r="AC14">
        <f>IF(B14="",0,SUMIFS(Recipes!$W$6:$W$405,Recipes!$B$6:$B$405,B14))</f>
        <v/>
      </c>
      <c r="AD14">
        <f>IF(B14="",0,SUMIFS(Recipes!$X$6:$X$405,Recipes!$B$6:$B$405,B14))</f>
        <v/>
      </c>
      <c r="AE14">
        <f>IF(AND(P14&gt;0,Settings!$C$13&lt;&gt;""),Settings!$C$13&amp;", ","")&amp;IF(AND(Q14&gt;0,Settings!$C$14&lt;&gt;""),Settings!$C$14&amp;", ","")&amp;IF(AND(R14&gt;0,Settings!$C$15&lt;&gt;""),Settings!$C$15&amp;", ","")&amp;IF(AND(S14&gt;0,Settings!$C$16&lt;&gt;""),Settings!$C$16&amp;", ","")&amp;IF(AND(T14&gt;0,Settings!$C$17&lt;&gt;""),Settings!$C$17&amp;", ","")&amp;IF(AND(U14&gt;0,Settings!$C$18&lt;&gt;""),Settings!$C$18&amp;", ","")&amp;IF(AND(V14&gt;0,Settings!$C$19&lt;&gt;""),Settings!$C$19&amp;", ","")&amp;IF(AND(W14&gt;0,Settings!$C$20&lt;&gt;""),Settings!$C$20&amp;", ","")&amp;IF(AND(X14&gt;0,Settings!$C$21&lt;&gt;""),Settings!$C$21&amp;", ","")&amp;IF(AND(Y14&gt;0,Settings!$C$22&lt;&gt;""),Settings!$C$22&amp;", ","")&amp;IF(AND(Z14&gt;0,Settings!$C$23&lt;&gt;""),Settings!$C$23&amp;", ","")&amp;IF(AND(AA14&gt;0,Settings!$C$24&lt;&gt;""),Settings!$C$24&amp;", ","")&amp;IF(AND(AB14&gt;0,Settings!$C$25&lt;&gt;""),Settings!$C$25&amp;", ","")&amp;IF(AND(AC14&gt;0,Settings!$C$26&lt;&gt;""),Settings!$C$26&amp;", ","")&amp;IF(AND(AD14&gt;0,Settings!$C$27&lt;&gt;""),Settings!$C$27&amp;", ","")</f>
        <v/>
      </c>
    </row>
    <row r="15">
      <c r="A15" s="1" t="n"/>
      <c r="B15" s="21" t="n"/>
      <c r="C15" s="36" t="n"/>
      <c r="D15" s="22" t="n"/>
      <c r="E15" s="22" t="n"/>
      <c r="F15" s="37" t="n"/>
      <c r="G15" s="23" t="n"/>
      <c r="H15" s="26">
        <f>IF(B15="","",SUMIFS(Recipes!$F$6:$F$405,Recipes!$B$6:$B$405,B15))</f>
        <v/>
      </c>
      <c r="I15" s="26">
        <f>IF(OR(B15="",N(D15)=0),"",H15/D15)</f>
        <v/>
      </c>
      <c r="J15" s="26">
        <f>IF(OR(NOT(ISNUMBER(I15)),N(F15)=0),"",F15-I15)</f>
        <v/>
      </c>
      <c r="K15" s="19">
        <f>IF(NOT(ISNUMBER(J15)),"",J15/F15)</f>
        <v/>
      </c>
      <c r="L15" s="38">
        <f>IF(OR(B15="",AE15=""),"",LEFT(AE15,LEN(AE15)-2))</f>
        <v/>
      </c>
      <c r="M15" s="13">
        <f>IF(B15="","",SUMIFS(Batches!$K$6:$K$505,Batches!$C$6:$C$505,B15,Batches!$M$6:$M$505,"In stock")+SUMIFS(Batches!$K$6:$K$505,Batches!$C$6:$C$505,B15,Batches!$M$6:$M$505,"Use soon"))</f>
        <v/>
      </c>
      <c r="N15" s="19">
        <f>IF(B15="","",IF(SUMIFS(Batches!$D$6:$D$505,Batches!$C$6:$C$505,B15)=0,"",SUMIFS(Batches!$G$6:$G$505,Batches!$C$6:$C$505,B15)/SUMIFS(Batches!$D$6:$D$505,Batches!$C$6:$C$505,B15)))</f>
        <v/>
      </c>
      <c r="O15" s="1" t="n"/>
      <c r="P15">
        <f>IF(B15="",0,SUMIFS(Recipes!$J$6:$J$405,Recipes!$B$6:$B$405,B15))</f>
        <v/>
      </c>
      <c r="Q15">
        <f>IF(B15="",0,SUMIFS(Recipes!$K$6:$K$405,Recipes!$B$6:$B$405,B15))</f>
        <v/>
      </c>
      <c r="R15">
        <f>IF(B15="",0,SUMIFS(Recipes!$L$6:$L$405,Recipes!$B$6:$B$405,B15))</f>
        <v/>
      </c>
      <c r="S15">
        <f>IF(B15="",0,SUMIFS(Recipes!$M$6:$M$405,Recipes!$B$6:$B$405,B15))</f>
        <v/>
      </c>
      <c r="T15">
        <f>IF(B15="",0,SUMIFS(Recipes!$N$6:$N$405,Recipes!$B$6:$B$405,B15))</f>
        <v/>
      </c>
      <c r="U15">
        <f>IF(B15="",0,SUMIFS(Recipes!$O$6:$O$405,Recipes!$B$6:$B$405,B15))</f>
        <v/>
      </c>
      <c r="V15">
        <f>IF(B15="",0,SUMIFS(Recipes!$P$6:$P$405,Recipes!$B$6:$B$405,B15))</f>
        <v/>
      </c>
      <c r="W15">
        <f>IF(B15="",0,SUMIFS(Recipes!$Q$6:$Q$405,Recipes!$B$6:$B$405,B15))</f>
        <v/>
      </c>
      <c r="X15">
        <f>IF(B15="",0,SUMIFS(Recipes!$R$6:$R$405,Recipes!$B$6:$B$405,B15))</f>
        <v/>
      </c>
      <c r="Y15">
        <f>IF(B15="",0,SUMIFS(Recipes!$S$6:$S$405,Recipes!$B$6:$B$405,B15))</f>
        <v/>
      </c>
      <c r="Z15">
        <f>IF(B15="",0,SUMIFS(Recipes!$T$6:$T$405,Recipes!$B$6:$B$405,B15))</f>
        <v/>
      </c>
      <c r="AA15">
        <f>IF(B15="",0,SUMIFS(Recipes!$U$6:$U$405,Recipes!$B$6:$B$405,B15))</f>
        <v/>
      </c>
      <c r="AB15">
        <f>IF(B15="",0,SUMIFS(Recipes!$V$6:$V$405,Recipes!$B$6:$B$405,B15))</f>
        <v/>
      </c>
      <c r="AC15">
        <f>IF(B15="",0,SUMIFS(Recipes!$W$6:$W$405,Recipes!$B$6:$B$405,B15))</f>
        <v/>
      </c>
      <c r="AD15">
        <f>IF(B15="",0,SUMIFS(Recipes!$X$6:$X$405,Recipes!$B$6:$B$405,B15))</f>
        <v/>
      </c>
      <c r="AE15">
        <f>IF(AND(P15&gt;0,Settings!$C$13&lt;&gt;""),Settings!$C$13&amp;", ","")&amp;IF(AND(Q15&gt;0,Settings!$C$14&lt;&gt;""),Settings!$C$14&amp;", ","")&amp;IF(AND(R15&gt;0,Settings!$C$15&lt;&gt;""),Settings!$C$15&amp;", ","")&amp;IF(AND(S15&gt;0,Settings!$C$16&lt;&gt;""),Settings!$C$16&amp;", ","")&amp;IF(AND(T15&gt;0,Settings!$C$17&lt;&gt;""),Settings!$C$17&amp;", ","")&amp;IF(AND(U15&gt;0,Settings!$C$18&lt;&gt;""),Settings!$C$18&amp;", ","")&amp;IF(AND(V15&gt;0,Settings!$C$19&lt;&gt;""),Settings!$C$19&amp;", ","")&amp;IF(AND(W15&gt;0,Settings!$C$20&lt;&gt;""),Settings!$C$20&amp;", ","")&amp;IF(AND(X15&gt;0,Settings!$C$21&lt;&gt;""),Settings!$C$21&amp;", ","")&amp;IF(AND(Y15&gt;0,Settings!$C$22&lt;&gt;""),Settings!$C$22&amp;", ","")&amp;IF(AND(Z15&gt;0,Settings!$C$23&lt;&gt;""),Settings!$C$23&amp;", ","")&amp;IF(AND(AA15&gt;0,Settings!$C$24&lt;&gt;""),Settings!$C$24&amp;", ","")&amp;IF(AND(AB15&gt;0,Settings!$C$25&lt;&gt;""),Settings!$C$25&amp;", ","")&amp;IF(AND(AC15&gt;0,Settings!$C$26&lt;&gt;""),Settings!$C$26&amp;", ","")&amp;IF(AND(AD15&gt;0,Settings!$C$27&lt;&gt;""),Settings!$C$27&amp;", ","")</f>
        <v/>
      </c>
    </row>
    <row r="16">
      <c r="A16" s="1" t="n"/>
      <c r="B16" s="21" t="n"/>
      <c r="C16" s="36" t="n"/>
      <c r="D16" s="22" t="n"/>
      <c r="E16" s="22" t="n"/>
      <c r="F16" s="37" t="n"/>
      <c r="G16" s="23" t="n"/>
      <c r="H16" s="26">
        <f>IF(B16="","",SUMIFS(Recipes!$F$6:$F$405,Recipes!$B$6:$B$405,B16))</f>
        <v/>
      </c>
      <c r="I16" s="26">
        <f>IF(OR(B16="",N(D16)=0),"",H16/D16)</f>
        <v/>
      </c>
      <c r="J16" s="26">
        <f>IF(OR(NOT(ISNUMBER(I16)),N(F16)=0),"",F16-I16)</f>
        <v/>
      </c>
      <c r="K16" s="19">
        <f>IF(NOT(ISNUMBER(J16)),"",J16/F16)</f>
        <v/>
      </c>
      <c r="L16" s="38">
        <f>IF(OR(B16="",AE16=""),"",LEFT(AE16,LEN(AE16)-2))</f>
        <v/>
      </c>
      <c r="M16" s="13">
        <f>IF(B16="","",SUMIFS(Batches!$K$6:$K$505,Batches!$C$6:$C$505,B16,Batches!$M$6:$M$505,"In stock")+SUMIFS(Batches!$K$6:$K$505,Batches!$C$6:$C$505,B16,Batches!$M$6:$M$505,"Use soon"))</f>
        <v/>
      </c>
      <c r="N16" s="19">
        <f>IF(B16="","",IF(SUMIFS(Batches!$D$6:$D$505,Batches!$C$6:$C$505,B16)=0,"",SUMIFS(Batches!$G$6:$G$505,Batches!$C$6:$C$505,B16)/SUMIFS(Batches!$D$6:$D$505,Batches!$C$6:$C$505,B16)))</f>
        <v/>
      </c>
      <c r="O16" s="1" t="n"/>
      <c r="P16">
        <f>IF(B16="",0,SUMIFS(Recipes!$J$6:$J$405,Recipes!$B$6:$B$405,B16))</f>
        <v/>
      </c>
      <c r="Q16">
        <f>IF(B16="",0,SUMIFS(Recipes!$K$6:$K$405,Recipes!$B$6:$B$405,B16))</f>
        <v/>
      </c>
      <c r="R16">
        <f>IF(B16="",0,SUMIFS(Recipes!$L$6:$L$405,Recipes!$B$6:$B$405,B16))</f>
        <v/>
      </c>
      <c r="S16">
        <f>IF(B16="",0,SUMIFS(Recipes!$M$6:$M$405,Recipes!$B$6:$B$405,B16))</f>
        <v/>
      </c>
      <c r="T16">
        <f>IF(B16="",0,SUMIFS(Recipes!$N$6:$N$405,Recipes!$B$6:$B$405,B16))</f>
        <v/>
      </c>
      <c r="U16">
        <f>IF(B16="",0,SUMIFS(Recipes!$O$6:$O$405,Recipes!$B$6:$B$405,B16))</f>
        <v/>
      </c>
      <c r="V16">
        <f>IF(B16="",0,SUMIFS(Recipes!$P$6:$P$405,Recipes!$B$6:$B$405,B16))</f>
        <v/>
      </c>
      <c r="W16">
        <f>IF(B16="",0,SUMIFS(Recipes!$Q$6:$Q$405,Recipes!$B$6:$B$405,B16))</f>
        <v/>
      </c>
      <c r="X16">
        <f>IF(B16="",0,SUMIFS(Recipes!$R$6:$R$405,Recipes!$B$6:$B$405,B16))</f>
        <v/>
      </c>
      <c r="Y16">
        <f>IF(B16="",0,SUMIFS(Recipes!$S$6:$S$405,Recipes!$B$6:$B$405,B16))</f>
        <v/>
      </c>
      <c r="Z16">
        <f>IF(B16="",0,SUMIFS(Recipes!$T$6:$T$405,Recipes!$B$6:$B$405,B16))</f>
        <v/>
      </c>
      <c r="AA16">
        <f>IF(B16="",0,SUMIFS(Recipes!$U$6:$U$405,Recipes!$B$6:$B$405,B16))</f>
        <v/>
      </c>
      <c r="AB16">
        <f>IF(B16="",0,SUMIFS(Recipes!$V$6:$V$405,Recipes!$B$6:$B$405,B16))</f>
        <v/>
      </c>
      <c r="AC16">
        <f>IF(B16="",0,SUMIFS(Recipes!$W$6:$W$405,Recipes!$B$6:$B$405,B16))</f>
        <v/>
      </c>
      <c r="AD16">
        <f>IF(B16="",0,SUMIFS(Recipes!$X$6:$X$405,Recipes!$B$6:$B$405,B16))</f>
        <v/>
      </c>
      <c r="AE16">
        <f>IF(AND(P16&gt;0,Settings!$C$13&lt;&gt;""),Settings!$C$13&amp;", ","")&amp;IF(AND(Q16&gt;0,Settings!$C$14&lt;&gt;""),Settings!$C$14&amp;", ","")&amp;IF(AND(R16&gt;0,Settings!$C$15&lt;&gt;""),Settings!$C$15&amp;", ","")&amp;IF(AND(S16&gt;0,Settings!$C$16&lt;&gt;""),Settings!$C$16&amp;", ","")&amp;IF(AND(T16&gt;0,Settings!$C$17&lt;&gt;""),Settings!$C$17&amp;", ","")&amp;IF(AND(U16&gt;0,Settings!$C$18&lt;&gt;""),Settings!$C$18&amp;", ","")&amp;IF(AND(V16&gt;0,Settings!$C$19&lt;&gt;""),Settings!$C$19&amp;", ","")&amp;IF(AND(W16&gt;0,Settings!$C$20&lt;&gt;""),Settings!$C$20&amp;", ","")&amp;IF(AND(X16&gt;0,Settings!$C$21&lt;&gt;""),Settings!$C$21&amp;", ","")&amp;IF(AND(Y16&gt;0,Settings!$C$22&lt;&gt;""),Settings!$C$22&amp;", ","")&amp;IF(AND(Z16&gt;0,Settings!$C$23&lt;&gt;""),Settings!$C$23&amp;", ","")&amp;IF(AND(AA16&gt;0,Settings!$C$24&lt;&gt;""),Settings!$C$24&amp;", ","")&amp;IF(AND(AB16&gt;0,Settings!$C$25&lt;&gt;""),Settings!$C$25&amp;", ","")&amp;IF(AND(AC16&gt;0,Settings!$C$26&lt;&gt;""),Settings!$C$26&amp;", ","")&amp;IF(AND(AD16&gt;0,Settings!$C$27&lt;&gt;""),Settings!$C$27&amp;", ","")</f>
        <v/>
      </c>
    </row>
    <row r="17">
      <c r="A17" s="1" t="n"/>
      <c r="B17" s="21" t="n"/>
      <c r="C17" s="36" t="n"/>
      <c r="D17" s="22" t="n"/>
      <c r="E17" s="22" t="n"/>
      <c r="F17" s="37" t="n"/>
      <c r="G17" s="23" t="n"/>
      <c r="H17" s="26">
        <f>IF(B17="","",SUMIFS(Recipes!$F$6:$F$405,Recipes!$B$6:$B$405,B17))</f>
        <v/>
      </c>
      <c r="I17" s="26">
        <f>IF(OR(B17="",N(D17)=0),"",H17/D17)</f>
        <v/>
      </c>
      <c r="J17" s="26">
        <f>IF(OR(NOT(ISNUMBER(I17)),N(F17)=0),"",F17-I17)</f>
        <v/>
      </c>
      <c r="K17" s="19">
        <f>IF(NOT(ISNUMBER(J17)),"",J17/F17)</f>
        <v/>
      </c>
      <c r="L17" s="38">
        <f>IF(OR(B17="",AE17=""),"",LEFT(AE17,LEN(AE17)-2))</f>
        <v/>
      </c>
      <c r="M17" s="13">
        <f>IF(B17="","",SUMIFS(Batches!$K$6:$K$505,Batches!$C$6:$C$505,B17,Batches!$M$6:$M$505,"In stock")+SUMIFS(Batches!$K$6:$K$505,Batches!$C$6:$C$505,B17,Batches!$M$6:$M$505,"Use soon"))</f>
        <v/>
      </c>
      <c r="N17" s="19">
        <f>IF(B17="","",IF(SUMIFS(Batches!$D$6:$D$505,Batches!$C$6:$C$505,B17)=0,"",SUMIFS(Batches!$G$6:$G$505,Batches!$C$6:$C$505,B17)/SUMIFS(Batches!$D$6:$D$505,Batches!$C$6:$C$505,B17)))</f>
        <v/>
      </c>
      <c r="O17" s="1" t="n"/>
      <c r="P17">
        <f>IF(B17="",0,SUMIFS(Recipes!$J$6:$J$405,Recipes!$B$6:$B$405,B17))</f>
        <v/>
      </c>
      <c r="Q17">
        <f>IF(B17="",0,SUMIFS(Recipes!$K$6:$K$405,Recipes!$B$6:$B$405,B17))</f>
        <v/>
      </c>
      <c r="R17">
        <f>IF(B17="",0,SUMIFS(Recipes!$L$6:$L$405,Recipes!$B$6:$B$405,B17))</f>
        <v/>
      </c>
      <c r="S17">
        <f>IF(B17="",0,SUMIFS(Recipes!$M$6:$M$405,Recipes!$B$6:$B$405,B17))</f>
        <v/>
      </c>
      <c r="T17">
        <f>IF(B17="",0,SUMIFS(Recipes!$N$6:$N$405,Recipes!$B$6:$B$405,B17))</f>
        <v/>
      </c>
      <c r="U17">
        <f>IF(B17="",0,SUMIFS(Recipes!$O$6:$O$405,Recipes!$B$6:$B$405,B17))</f>
        <v/>
      </c>
      <c r="V17">
        <f>IF(B17="",0,SUMIFS(Recipes!$P$6:$P$405,Recipes!$B$6:$B$405,B17))</f>
        <v/>
      </c>
      <c r="W17">
        <f>IF(B17="",0,SUMIFS(Recipes!$Q$6:$Q$405,Recipes!$B$6:$B$405,B17))</f>
        <v/>
      </c>
      <c r="X17">
        <f>IF(B17="",0,SUMIFS(Recipes!$R$6:$R$405,Recipes!$B$6:$B$405,B17))</f>
        <v/>
      </c>
      <c r="Y17">
        <f>IF(B17="",0,SUMIFS(Recipes!$S$6:$S$405,Recipes!$B$6:$B$405,B17))</f>
        <v/>
      </c>
      <c r="Z17">
        <f>IF(B17="",0,SUMIFS(Recipes!$T$6:$T$405,Recipes!$B$6:$B$405,B17))</f>
        <v/>
      </c>
      <c r="AA17">
        <f>IF(B17="",0,SUMIFS(Recipes!$U$6:$U$405,Recipes!$B$6:$B$405,B17))</f>
        <v/>
      </c>
      <c r="AB17">
        <f>IF(B17="",0,SUMIFS(Recipes!$V$6:$V$405,Recipes!$B$6:$B$405,B17))</f>
        <v/>
      </c>
      <c r="AC17">
        <f>IF(B17="",0,SUMIFS(Recipes!$W$6:$W$405,Recipes!$B$6:$B$405,B17))</f>
        <v/>
      </c>
      <c r="AD17">
        <f>IF(B17="",0,SUMIFS(Recipes!$X$6:$X$405,Recipes!$B$6:$B$405,B17))</f>
        <v/>
      </c>
      <c r="AE17">
        <f>IF(AND(P17&gt;0,Settings!$C$13&lt;&gt;""),Settings!$C$13&amp;", ","")&amp;IF(AND(Q17&gt;0,Settings!$C$14&lt;&gt;""),Settings!$C$14&amp;", ","")&amp;IF(AND(R17&gt;0,Settings!$C$15&lt;&gt;""),Settings!$C$15&amp;", ","")&amp;IF(AND(S17&gt;0,Settings!$C$16&lt;&gt;""),Settings!$C$16&amp;", ","")&amp;IF(AND(T17&gt;0,Settings!$C$17&lt;&gt;""),Settings!$C$17&amp;", ","")&amp;IF(AND(U17&gt;0,Settings!$C$18&lt;&gt;""),Settings!$C$18&amp;", ","")&amp;IF(AND(V17&gt;0,Settings!$C$19&lt;&gt;""),Settings!$C$19&amp;", ","")&amp;IF(AND(W17&gt;0,Settings!$C$20&lt;&gt;""),Settings!$C$20&amp;", ","")&amp;IF(AND(X17&gt;0,Settings!$C$21&lt;&gt;""),Settings!$C$21&amp;", ","")&amp;IF(AND(Y17&gt;0,Settings!$C$22&lt;&gt;""),Settings!$C$22&amp;", ","")&amp;IF(AND(Z17&gt;0,Settings!$C$23&lt;&gt;""),Settings!$C$23&amp;", ","")&amp;IF(AND(AA17&gt;0,Settings!$C$24&lt;&gt;""),Settings!$C$24&amp;", ","")&amp;IF(AND(AB17&gt;0,Settings!$C$25&lt;&gt;""),Settings!$C$25&amp;", ","")&amp;IF(AND(AC17&gt;0,Settings!$C$26&lt;&gt;""),Settings!$C$26&amp;", ","")&amp;IF(AND(AD17&gt;0,Settings!$C$27&lt;&gt;""),Settings!$C$27&amp;", ","")</f>
        <v/>
      </c>
    </row>
    <row r="18">
      <c r="A18" s="1" t="n"/>
      <c r="B18" s="21" t="n"/>
      <c r="C18" s="36" t="n"/>
      <c r="D18" s="22" t="n"/>
      <c r="E18" s="22" t="n"/>
      <c r="F18" s="37" t="n"/>
      <c r="G18" s="23" t="n"/>
      <c r="H18" s="26">
        <f>IF(B18="","",SUMIFS(Recipes!$F$6:$F$405,Recipes!$B$6:$B$405,B18))</f>
        <v/>
      </c>
      <c r="I18" s="26">
        <f>IF(OR(B18="",N(D18)=0),"",H18/D18)</f>
        <v/>
      </c>
      <c r="J18" s="26">
        <f>IF(OR(NOT(ISNUMBER(I18)),N(F18)=0),"",F18-I18)</f>
        <v/>
      </c>
      <c r="K18" s="19">
        <f>IF(NOT(ISNUMBER(J18)),"",J18/F18)</f>
        <v/>
      </c>
      <c r="L18" s="38">
        <f>IF(OR(B18="",AE18=""),"",LEFT(AE18,LEN(AE18)-2))</f>
        <v/>
      </c>
      <c r="M18" s="13">
        <f>IF(B18="","",SUMIFS(Batches!$K$6:$K$505,Batches!$C$6:$C$505,B18,Batches!$M$6:$M$505,"In stock")+SUMIFS(Batches!$K$6:$K$505,Batches!$C$6:$C$505,B18,Batches!$M$6:$M$505,"Use soon"))</f>
        <v/>
      </c>
      <c r="N18" s="19">
        <f>IF(B18="","",IF(SUMIFS(Batches!$D$6:$D$505,Batches!$C$6:$C$505,B18)=0,"",SUMIFS(Batches!$G$6:$G$505,Batches!$C$6:$C$505,B18)/SUMIFS(Batches!$D$6:$D$505,Batches!$C$6:$C$505,B18)))</f>
        <v/>
      </c>
      <c r="O18" s="1" t="n"/>
      <c r="P18">
        <f>IF(B18="",0,SUMIFS(Recipes!$J$6:$J$405,Recipes!$B$6:$B$405,B18))</f>
        <v/>
      </c>
      <c r="Q18">
        <f>IF(B18="",0,SUMIFS(Recipes!$K$6:$K$405,Recipes!$B$6:$B$405,B18))</f>
        <v/>
      </c>
      <c r="R18">
        <f>IF(B18="",0,SUMIFS(Recipes!$L$6:$L$405,Recipes!$B$6:$B$405,B18))</f>
        <v/>
      </c>
      <c r="S18">
        <f>IF(B18="",0,SUMIFS(Recipes!$M$6:$M$405,Recipes!$B$6:$B$405,B18))</f>
        <v/>
      </c>
      <c r="T18">
        <f>IF(B18="",0,SUMIFS(Recipes!$N$6:$N$405,Recipes!$B$6:$B$405,B18))</f>
        <v/>
      </c>
      <c r="U18">
        <f>IF(B18="",0,SUMIFS(Recipes!$O$6:$O$405,Recipes!$B$6:$B$405,B18))</f>
        <v/>
      </c>
      <c r="V18">
        <f>IF(B18="",0,SUMIFS(Recipes!$P$6:$P$405,Recipes!$B$6:$B$405,B18))</f>
        <v/>
      </c>
      <c r="W18">
        <f>IF(B18="",0,SUMIFS(Recipes!$Q$6:$Q$405,Recipes!$B$6:$B$405,B18))</f>
        <v/>
      </c>
      <c r="X18">
        <f>IF(B18="",0,SUMIFS(Recipes!$R$6:$R$405,Recipes!$B$6:$B$405,B18))</f>
        <v/>
      </c>
      <c r="Y18">
        <f>IF(B18="",0,SUMIFS(Recipes!$S$6:$S$405,Recipes!$B$6:$B$405,B18))</f>
        <v/>
      </c>
      <c r="Z18">
        <f>IF(B18="",0,SUMIFS(Recipes!$T$6:$T$405,Recipes!$B$6:$B$405,B18))</f>
        <v/>
      </c>
      <c r="AA18">
        <f>IF(B18="",0,SUMIFS(Recipes!$U$6:$U$405,Recipes!$B$6:$B$405,B18))</f>
        <v/>
      </c>
      <c r="AB18">
        <f>IF(B18="",0,SUMIFS(Recipes!$V$6:$V$405,Recipes!$B$6:$B$405,B18))</f>
        <v/>
      </c>
      <c r="AC18">
        <f>IF(B18="",0,SUMIFS(Recipes!$W$6:$W$405,Recipes!$B$6:$B$405,B18))</f>
        <v/>
      </c>
      <c r="AD18">
        <f>IF(B18="",0,SUMIFS(Recipes!$X$6:$X$405,Recipes!$B$6:$B$405,B18))</f>
        <v/>
      </c>
      <c r="AE18">
        <f>IF(AND(P18&gt;0,Settings!$C$13&lt;&gt;""),Settings!$C$13&amp;", ","")&amp;IF(AND(Q18&gt;0,Settings!$C$14&lt;&gt;""),Settings!$C$14&amp;", ","")&amp;IF(AND(R18&gt;0,Settings!$C$15&lt;&gt;""),Settings!$C$15&amp;", ","")&amp;IF(AND(S18&gt;0,Settings!$C$16&lt;&gt;""),Settings!$C$16&amp;", ","")&amp;IF(AND(T18&gt;0,Settings!$C$17&lt;&gt;""),Settings!$C$17&amp;", ","")&amp;IF(AND(U18&gt;0,Settings!$C$18&lt;&gt;""),Settings!$C$18&amp;", ","")&amp;IF(AND(V18&gt;0,Settings!$C$19&lt;&gt;""),Settings!$C$19&amp;", ","")&amp;IF(AND(W18&gt;0,Settings!$C$20&lt;&gt;""),Settings!$C$20&amp;", ","")&amp;IF(AND(X18&gt;0,Settings!$C$21&lt;&gt;""),Settings!$C$21&amp;", ","")&amp;IF(AND(Y18&gt;0,Settings!$C$22&lt;&gt;""),Settings!$C$22&amp;", ","")&amp;IF(AND(Z18&gt;0,Settings!$C$23&lt;&gt;""),Settings!$C$23&amp;", ","")&amp;IF(AND(AA18&gt;0,Settings!$C$24&lt;&gt;""),Settings!$C$24&amp;", ","")&amp;IF(AND(AB18&gt;0,Settings!$C$25&lt;&gt;""),Settings!$C$25&amp;", ","")&amp;IF(AND(AC18&gt;0,Settings!$C$26&lt;&gt;""),Settings!$C$26&amp;", ","")&amp;IF(AND(AD18&gt;0,Settings!$C$27&lt;&gt;""),Settings!$C$27&amp;", ","")</f>
        <v/>
      </c>
    </row>
    <row r="19">
      <c r="A19" s="1" t="n"/>
      <c r="B19" s="21" t="n"/>
      <c r="C19" s="36" t="n"/>
      <c r="D19" s="22" t="n"/>
      <c r="E19" s="22" t="n"/>
      <c r="F19" s="37" t="n"/>
      <c r="G19" s="23" t="n"/>
      <c r="H19" s="26">
        <f>IF(B19="","",SUMIFS(Recipes!$F$6:$F$405,Recipes!$B$6:$B$405,B19))</f>
        <v/>
      </c>
      <c r="I19" s="26">
        <f>IF(OR(B19="",N(D19)=0),"",H19/D19)</f>
        <v/>
      </c>
      <c r="J19" s="26">
        <f>IF(OR(NOT(ISNUMBER(I19)),N(F19)=0),"",F19-I19)</f>
        <v/>
      </c>
      <c r="K19" s="19">
        <f>IF(NOT(ISNUMBER(J19)),"",J19/F19)</f>
        <v/>
      </c>
      <c r="L19" s="38">
        <f>IF(OR(B19="",AE19=""),"",LEFT(AE19,LEN(AE19)-2))</f>
        <v/>
      </c>
      <c r="M19" s="13">
        <f>IF(B19="","",SUMIFS(Batches!$K$6:$K$505,Batches!$C$6:$C$505,B19,Batches!$M$6:$M$505,"In stock")+SUMIFS(Batches!$K$6:$K$505,Batches!$C$6:$C$505,B19,Batches!$M$6:$M$505,"Use soon"))</f>
        <v/>
      </c>
      <c r="N19" s="19">
        <f>IF(B19="","",IF(SUMIFS(Batches!$D$6:$D$505,Batches!$C$6:$C$505,B19)=0,"",SUMIFS(Batches!$G$6:$G$505,Batches!$C$6:$C$505,B19)/SUMIFS(Batches!$D$6:$D$505,Batches!$C$6:$C$505,B19)))</f>
        <v/>
      </c>
      <c r="O19" s="1" t="n"/>
      <c r="P19">
        <f>IF(B19="",0,SUMIFS(Recipes!$J$6:$J$405,Recipes!$B$6:$B$405,B19))</f>
        <v/>
      </c>
      <c r="Q19">
        <f>IF(B19="",0,SUMIFS(Recipes!$K$6:$K$405,Recipes!$B$6:$B$405,B19))</f>
        <v/>
      </c>
      <c r="R19">
        <f>IF(B19="",0,SUMIFS(Recipes!$L$6:$L$405,Recipes!$B$6:$B$405,B19))</f>
        <v/>
      </c>
      <c r="S19">
        <f>IF(B19="",0,SUMIFS(Recipes!$M$6:$M$405,Recipes!$B$6:$B$405,B19))</f>
        <v/>
      </c>
      <c r="T19">
        <f>IF(B19="",0,SUMIFS(Recipes!$N$6:$N$405,Recipes!$B$6:$B$405,B19))</f>
        <v/>
      </c>
      <c r="U19">
        <f>IF(B19="",0,SUMIFS(Recipes!$O$6:$O$405,Recipes!$B$6:$B$405,B19))</f>
        <v/>
      </c>
      <c r="V19">
        <f>IF(B19="",0,SUMIFS(Recipes!$P$6:$P$405,Recipes!$B$6:$B$405,B19))</f>
        <v/>
      </c>
      <c r="W19">
        <f>IF(B19="",0,SUMIFS(Recipes!$Q$6:$Q$405,Recipes!$B$6:$B$405,B19))</f>
        <v/>
      </c>
      <c r="X19">
        <f>IF(B19="",0,SUMIFS(Recipes!$R$6:$R$405,Recipes!$B$6:$B$405,B19))</f>
        <v/>
      </c>
      <c r="Y19">
        <f>IF(B19="",0,SUMIFS(Recipes!$S$6:$S$405,Recipes!$B$6:$B$405,B19))</f>
        <v/>
      </c>
      <c r="Z19">
        <f>IF(B19="",0,SUMIFS(Recipes!$T$6:$T$405,Recipes!$B$6:$B$405,B19))</f>
        <v/>
      </c>
      <c r="AA19">
        <f>IF(B19="",0,SUMIFS(Recipes!$U$6:$U$405,Recipes!$B$6:$B$405,B19))</f>
        <v/>
      </c>
      <c r="AB19">
        <f>IF(B19="",0,SUMIFS(Recipes!$V$6:$V$405,Recipes!$B$6:$B$405,B19))</f>
        <v/>
      </c>
      <c r="AC19">
        <f>IF(B19="",0,SUMIFS(Recipes!$W$6:$W$405,Recipes!$B$6:$B$405,B19))</f>
        <v/>
      </c>
      <c r="AD19">
        <f>IF(B19="",0,SUMIFS(Recipes!$X$6:$X$405,Recipes!$B$6:$B$405,B19))</f>
        <v/>
      </c>
      <c r="AE19">
        <f>IF(AND(P19&gt;0,Settings!$C$13&lt;&gt;""),Settings!$C$13&amp;", ","")&amp;IF(AND(Q19&gt;0,Settings!$C$14&lt;&gt;""),Settings!$C$14&amp;", ","")&amp;IF(AND(R19&gt;0,Settings!$C$15&lt;&gt;""),Settings!$C$15&amp;", ","")&amp;IF(AND(S19&gt;0,Settings!$C$16&lt;&gt;""),Settings!$C$16&amp;", ","")&amp;IF(AND(T19&gt;0,Settings!$C$17&lt;&gt;""),Settings!$C$17&amp;", ","")&amp;IF(AND(U19&gt;0,Settings!$C$18&lt;&gt;""),Settings!$C$18&amp;", ","")&amp;IF(AND(V19&gt;0,Settings!$C$19&lt;&gt;""),Settings!$C$19&amp;", ","")&amp;IF(AND(W19&gt;0,Settings!$C$20&lt;&gt;""),Settings!$C$20&amp;", ","")&amp;IF(AND(X19&gt;0,Settings!$C$21&lt;&gt;""),Settings!$C$21&amp;", ","")&amp;IF(AND(Y19&gt;0,Settings!$C$22&lt;&gt;""),Settings!$C$22&amp;", ","")&amp;IF(AND(Z19&gt;0,Settings!$C$23&lt;&gt;""),Settings!$C$23&amp;", ","")&amp;IF(AND(AA19&gt;0,Settings!$C$24&lt;&gt;""),Settings!$C$24&amp;", ","")&amp;IF(AND(AB19&gt;0,Settings!$C$25&lt;&gt;""),Settings!$C$25&amp;", ","")&amp;IF(AND(AC19&gt;0,Settings!$C$26&lt;&gt;""),Settings!$C$26&amp;", ","")&amp;IF(AND(AD19&gt;0,Settings!$C$27&lt;&gt;""),Settings!$C$27&amp;", ","")</f>
        <v/>
      </c>
    </row>
    <row r="20">
      <c r="A20" s="1" t="n"/>
      <c r="B20" s="21" t="n"/>
      <c r="C20" s="36" t="n"/>
      <c r="D20" s="22" t="n"/>
      <c r="E20" s="22" t="n"/>
      <c r="F20" s="37" t="n"/>
      <c r="G20" s="23" t="n"/>
      <c r="H20" s="26">
        <f>IF(B20="","",SUMIFS(Recipes!$F$6:$F$405,Recipes!$B$6:$B$405,B20))</f>
        <v/>
      </c>
      <c r="I20" s="26">
        <f>IF(OR(B20="",N(D20)=0),"",H20/D20)</f>
        <v/>
      </c>
      <c r="J20" s="26">
        <f>IF(OR(NOT(ISNUMBER(I20)),N(F20)=0),"",F20-I20)</f>
        <v/>
      </c>
      <c r="K20" s="19">
        <f>IF(NOT(ISNUMBER(J20)),"",J20/F20)</f>
        <v/>
      </c>
      <c r="L20" s="38">
        <f>IF(OR(B20="",AE20=""),"",LEFT(AE20,LEN(AE20)-2))</f>
        <v/>
      </c>
      <c r="M20" s="13">
        <f>IF(B20="","",SUMIFS(Batches!$K$6:$K$505,Batches!$C$6:$C$505,B20,Batches!$M$6:$M$505,"In stock")+SUMIFS(Batches!$K$6:$K$505,Batches!$C$6:$C$505,B20,Batches!$M$6:$M$505,"Use soon"))</f>
        <v/>
      </c>
      <c r="N20" s="19">
        <f>IF(B20="","",IF(SUMIFS(Batches!$D$6:$D$505,Batches!$C$6:$C$505,B20)=0,"",SUMIFS(Batches!$G$6:$G$505,Batches!$C$6:$C$505,B20)/SUMIFS(Batches!$D$6:$D$505,Batches!$C$6:$C$505,B20)))</f>
        <v/>
      </c>
      <c r="O20" s="1" t="n"/>
      <c r="P20">
        <f>IF(B20="",0,SUMIFS(Recipes!$J$6:$J$405,Recipes!$B$6:$B$405,B20))</f>
        <v/>
      </c>
      <c r="Q20">
        <f>IF(B20="",0,SUMIFS(Recipes!$K$6:$K$405,Recipes!$B$6:$B$405,B20))</f>
        <v/>
      </c>
      <c r="R20">
        <f>IF(B20="",0,SUMIFS(Recipes!$L$6:$L$405,Recipes!$B$6:$B$405,B20))</f>
        <v/>
      </c>
      <c r="S20">
        <f>IF(B20="",0,SUMIFS(Recipes!$M$6:$M$405,Recipes!$B$6:$B$405,B20))</f>
        <v/>
      </c>
      <c r="T20">
        <f>IF(B20="",0,SUMIFS(Recipes!$N$6:$N$405,Recipes!$B$6:$B$405,B20))</f>
        <v/>
      </c>
      <c r="U20">
        <f>IF(B20="",0,SUMIFS(Recipes!$O$6:$O$405,Recipes!$B$6:$B$405,B20))</f>
        <v/>
      </c>
      <c r="V20">
        <f>IF(B20="",0,SUMIFS(Recipes!$P$6:$P$405,Recipes!$B$6:$B$405,B20))</f>
        <v/>
      </c>
      <c r="W20">
        <f>IF(B20="",0,SUMIFS(Recipes!$Q$6:$Q$405,Recipes!$B$6:$B$405,B20))</f>
        <v/>
      </c>
      <c r="X20">
        <f>IF(B20="",0,SUMIFS(Recipes!$R$6:$R$405,Recipes!$B$6:$B$405,B20))</f>
        <v/>
      </c>
      <c r="Y20">
        <f>IF(B20="",0,SUMIFS(Recipes!$S$6:$S$405,Recipes!$B$6:$B$405,B20))</f>
        <v/>
      </c>
      <c r="Z20">
        <f>IF(B20="",0,SUMIFS(Recipes!$T$6:$T$405,Recipes!$B$6:$B$405,B20))</f>
        <v/>
      </c>
      <c r="AA20">
        <f>IF(B20="",0,SUMIFS(Recipes!$U$6:$U$405,Recipes!$B$6:$B$405,B20))</f>
        <v/>
      </c>
      <c r="AB20">
        <f>IF(B20="",0,SUMIFS(Recipes!$V$6:$V$405,Recipes!$B$6:$B$405,B20))</f>
        <v/>
      </c>
      <c r="AC20">
        <f>IF(B20="",0,SUMIFS(Recipes!$W$6:$W$405,Recipes!$B$6:$B$405,B20))</f>
        <v/>
      </c>
      <c r="AD20">
        <f>IF(B20="",0,SUMIFS(Recipes!$X$6:$X$405,Recipes!$B$6:$B$405,B20))</f>
        <v/>
      </c>
      <c r="AE20">
        <f>IF(AND(P20&gt;0,Settings!$C$13&lt;&gt;""),Settings!$C$13&amp;", ","")&amp;IF(AND(Q20&gt;0,Settings!$C$14&lt;&gt;""),Settings!$C$14&amp;", ","")&amp;IF(AND(R20&gt;0,Settings!$C$15&lt;&gt;""),Settings!$C$15&amp;", ","")&amp;IF(AND(S20&gt;0,Settings!$C$16&lt;&gt;""),Settings!$C$16&amp;", ","")&amp;IF(AND(T20&gt;0,Settings!$C$17&lt;&gt;""),Settings!$C$17&amp;", ","")&amp;IF(AND(U20&gt;0,Settings!$C$18&lt;&gt;""),Settings!$C$18&amp;", ","")&amp;IF(AND(V20&gt;0,Settings!$C$19&lt;&gt;""),Settings!$C$19&amp;", ","")&amp;IF(AND(W20&gt;0,Settings!$C$20&lt;&gt;""),Settings!$C$20&amp;", ","")&amp;IF(AND(X20&gt;0,Settings!$C$21&lt;&gt;""),Settings!$C$21&amp;", ","")&amp;IF(AND(Y20&gt;0,Settings!$C$22&lt;&gt;""),Settings!$C$22&amp;", ","")&amp;IF(AND(Z20&gt;0,Settings!$C$23&lt;&gt;""),Settings!$C$23&amp;", ","")&amp;IF(AND(AA20&gt;0,Settings!$C$24&lt;&gt;""),Settings!$C$24&amp;", ","")&amp;IF(AND(AB20&gt;0,Settings!$C$25&lt;&gt;""),Settings!$C$25&amp;", ","")&amp;IF(AND(AC20&gt;0,Settings!$C$26&lt;&gt;""),Settings!$C$26&amp;", ","")&amp;IF(AND(AD20&gt;0,Settings!$C$27&lt;&gt;""),Settings!$C$27&amp;", ","")</f>
        <v/>
      </c>
    </row>
    <row r="21">
      <c r="A21" s="1" t="n"/>
      <c r="B21" s="21" t="n"/>
      <c r="C21" s="36" t="n"/>
      <c r="D21" s="22" t="n"/>
      <c r="E21" s="22" t="n"/>
      <c r="F21" s="37" t="n"/>
      <c r="G21" s="23" t="n"/>
      <c r="H21" s="26">
        <f>IF(B21="","",SUMIFS(Recipes!$F$6:$F$405,Recipes!$B$6:$B$405,B21))</f>
        <v/>
      </c>
      <c r="I21" s="26">
        <f>IF(OR(B21="",N(D21)=0),"",H21/D21)</f>
        <v/>
      </c>
      <c r="J21" s="26">
        <f>IF(OR(NOT(ISNUMBER(I21)),N(F21)=0),"",F21-I21)</f>
        <v/>
      </c>
      <c r="K21" s="19">
        <f>IF(NOT(ISNUMBER(J21)),"",J21/F21)</f>
        <v/>
      </c>
      <c r="L21" s="38">
        <f>IF(OR(B21="",AE21=""),"",LEFT(AE21,LEN(AE21)-2))</f>
        <v/>
      </c>
      <c r="M21" s="13">
        <f>IF(B21="","",SUMIFS(Batches!$K$6:$K$505,Batches!$C$6:$C$505,B21,Batches!$M$6:$M$505,"In stock")+SUMIFS(Batches!$K$6:$K$505,Batches!$C$6:$C$505,B21,Batches!$M$6:$M$505,"Use soon"))</f>
        <v/>
      </c>
      <c r="N21" s="19">
        <f>IF(B21="","",IF(SUMIFS(Batches!$D$6:$D$505,Batches!$C$6:$C$505,B21)=0,"",SUMIFS(Batches!$G$6:$G$505,Batches!$C$6:$C$505,B21)/SUMIFS(Batches!$D$6:$D$505,Batches!$C$6:$C$505,B21)))</f>
        <v/>
      </c>
      <c r="O21" s="1" t="n"/>
      <c r="P21">
        <f>IF(B21="",0,SUMIFS(Recipes!$J$6:$J$405,Recipes!$B$6:$B$405,B21))</f>
        <v/>
      </c>
      <c r="Q21">
        <f>IF(B21="",0,SUMIFS(Recipes!$K$6:$K$405,Recipes!$B$6:$B$405,B21))</f>
        <v/>
      </c>
      <c r="R21">
        <f>IF(B21="",0,SUMIFS(Recipes!$L$6:$L$405,Recipes!$B$6:$B$405,B21))</f>
        <v/>
      </c>
      <c r="S21">
        <f>IF(B21="",0,SUMIFS(Recipes!$M$6:$M$405,Recipes!$B$6:$B$405,B21))</f>
        <v/>
      </c>
      <c r="T21">
        <f>IF(B21="",0,SUMIFS(Recipes!$N$6:$N$405,Recipes!$B$6:$B$405,B21))</f>
        <v/>
      </c>
      <c r="U21">
        <f>IF(B21="",0,SUMIFS(Recipes!$O$6:$O$405,Recipes!$B$6:$B$405,B21))</f>
        <v/>
      </c>
      <c r="V21">
        <f>IF(B21="",0,SUMIFS(Recipes!$P$6:$P$405,Recipes!$B$6:$B$405,B21))</f>
        <v/>
      </c>
      <c r="W21">
        <f>IF(B21="",0,SUMIFS(Recipes!$Q$6:$Q$405,Recipes!$B$6:$B$405,B21))</f>
        <v/>
      </c>
      <c r="X21">
        <f>IF(B21="",0,SUMIFS(Recipes!$R$6:$R$405,Recipes!$B$6:$B$405,B21))</f>
        <v/>
      </c>
      <c r="Y21">
        <f>IF(B21="",0,SUMIFS(Recipes!$S$6:$S$405,Recipes!$B$6:$B$405,B21))</f>
        <v/>
      </c>
      <c r="Z21">
        <f>IF(B21="",0,SUMIFS(Recipes!$T$6:$T$405,Recipes!$B$6:$B$405,B21))</f>
        <v/>
      </c>
      <c r="AA21">
        <f>IF(B21="",0,SUMIFS(Recipes!$U$6:$U$405,Recipes!$B$6:$B$405,B21))</f>
        <v/>
      </c>
      <c r="AB21">
        <f>IF(B21="",0,SUMIFS(Recipes!$V$6:$V$405,Recipes!$B$6:$B$405,B21))</f>
        <v/>
      </c>
      <c r="AC21">
        <f>IF(B21="",0,SUMIFS(Recipes!$W$6:$W$405,Recipes!$B$6:$B$405,B21))</f>
        <v/>
      </c>
      <c r="AD21">
        <f>IF(B21="",0,SUMIFS(Recipes!$X$6:$X$405,Recipes!$B$6:$B$405,B21))</f>
        <v/>
      </c>
      <c r="AE21">
        <f>IF(AND(P21&gt;0,Settings!$C$13&lt;&gt;""),Settings!$C$13&amp;", ","")&amp;IF(AND(Q21&gt;0,Settings!$C$14&lt;&gt;""),Settings!$C$14&amp;", ","")&amp;IF(AND(R21&gt;0,Settings!$C$15&lt;&gt;""),Settings!$C$15&amp;", ","")&amp;IF(AND(S21&gt;0,Settings!$C$16&lt;&gt;""),Settings!$C$16&amp;", ","")&amp;IF(AND(T21&gt;0,Settings!$C$17&lt;&gt;""),Settings!$C$17&amp;", ","")&amp;IF(AND(U21&gt;0,Settings!$C$18&lt;&gt;""),Settings!$C$18&amp;", ","")&amp;IF(AND(V21&gt;0,Settings!$C$19&lt;&gt;""),Settings!$C$19&amp;", ","")&amp;IF(AND(W21&gt;0,Settings!$C$20&lt;&gt;""),Settings!$C$20&amp;", ","")&amp;IF(AND(X21&gt;0,Settings!$C$21&lt;&gt;""),Settings!$C$21&amp;", ","")&amp;IF(AND(Y21&gt;0,Settings!$C$22&lt;&gt;""),Settings!$C$22&amp;", ","")&amp;IF(AND(Z21&gt;0,Settings!$C$23&lt;&gt;""),Settings!$C$23&amp;", ","")&amp;IF(AND(AA21&gt;0,Settings!$C$24&lt;&gt;""),Settings!$C$24&amp;", ","")&amp;IF(AND(AB21&gt;0,Settings!$C$25&lt;&gt;""),Settings!$C$25&amp;", ","")&amp;IF(AND(AC21&gt;0,Settings!$C$26&lt;&gt;""),Settings!$C$26&amp;", ","")&amp;IF(AND(AD21&gt;0,Settings!$C$27&lt;&gt;""),Settings!$C$27&amp;", ","")</f>
        <v/>
      </c>
    </row>
    <row r="22">
      <c r="A22" s="1" t="n"/>
      <c r="B22" s="21" t="n"/>
      <c r="C22" s="36" t="n"/>
      <c r="D22" s="22" t="n"/>
      <c r="E22" s="22" t="n"/>
      <c r="F22" s="37" t="n"/>
      <c r="G22" s="23" t="n"/>
      <c r="H22" s="26">
        <f>IF(B22="","",SUMIFS(Recipes!$F$6:$F$405,Recipes!$B$6:$B$405,B22))</f>
        <v/>
      </c>
      <c r="I22" s="26">
        <f>IF(OR(B22="",N(D22)=0),"",H22/D22)</f>
        <v/>
      </c>
      <c r="J22" s="26">
        <f>IF(OR(NOT(ISNUMBER(I22)),N(F22)=0),"",F22-I22)</f>
        <v/>
      </c>
      <c r="K22" s="19">
        <f>IF(NOT(ISNUMBER(J22)),"",J22/F22)</f>
        <v/>
      </c>
      <c r="L22" s="38">
        <f>IF(OR(B22="",AE22=""),"",LEFT(AE22,LEN(AE22)-2))</f>
        <v/>
      </c>
      <c r="M22" s="13">
        <f>IF(B22="","",SUMIFS(Batches!$K$6:$K$505,Batches!$C$6:$C$505,B22,Batches!$M$6:$M$505,"In stock")+SUMIFS(Batches!$K$6:$K$505,Batches!$C$6:$C$505,B22,Batches!$M$6:$M$505,"Use soon"))</f>
        <v/>
      </c>
      <c r="N22" s="19">
        <f>IF(B22="","",IF(SUMIFS(Batches!$D$6:$D$505,Batches!$C$6:$C$505,B22)=0,"",SUMIFS(Batches!$G$6:$G$505,Batches!$C$6:$C$505,B22)/SUMIFS(Batches!$D$6:$D$505,Batches!$C$6:$C$505,B22)))</f>
        <v/>
      </c>
      <c r="O22" s="1" t="n"/>
      <c r="P22">
        <f>IF(B22="",0,SUMIFS(Recipes!$J$6:$J$405,Recipes!$B$6:$B$405,B22))</f>
        <v/>
      </c>
      <c r="Q22">
        <f>IF(B22="",0,SUMIFS(Recipes!$K$6:$K$405,Recipes!$B$6:$B$405,B22))</f>
        <v/>
      </c>
      <c r="R22">
        <f>IF(B22="",0,SUMIFS(Recipes!$L$6:$L$405,Recipes!$B$6:$B$405,B22))</f>
        <v/>
      </c>
      <c r="S22">
        <f>IF(B22="",0,SUMIFS(Recipes!$M$6:$M$405,Recipes!$B$6:$B$405,B22))</f>
        <v/>
      </c>
      <c r="T22">
        <f>IF(B22="",0,SUMIFS(Recipes!$N$6:$N$405,Recipes!$B$6:$B$405,B22))</f>
        <v/>
      </c>
      <c r="U22">
        <f>IF(B22="",0,SUMIFS(Recipes!$O$6:$O$405,Recipes!$B$6:$B$405,B22))</f>
        <v/>
      </c>
      <c r="V22">
        <f>IF(B22="",0,SUMIFS(Recipes!$P$6:$P$405,Recipes!$B$6:$B$405,B22))</f>
        <v/>
      </c>
      <c r="W22">
        <f>IF(B22="",0,SUMIFS(Recipes!$Q$6:$Q$405,Recipes!$B$6:$B$405,B22))</f>
        <v/>
      </c>
      <c r="X22">
        <f>IF(B22="",0,SUMIFS(Recipes!$R$6:$R$405,Recipes!$B$6:$B$405,B22))</f>
        <v/>
      </c>
      <c r="Y22">
        <f>IF(B22="",0,SUMIFS(Recipes!$S$6:$S$405,Recipes!$B$6:$B$405,B22))</f>
        <v/>
      </c>
      <c r="Z22">
        <f>IF(B22="",0,SUMIFS(Recipes!$T$6:$T$405,Recipes!$B$6:$B$405,B22))</f>
        <v/>
      </c>
      <c r="AA22">
        <f>IF(B22="",0,SUMIFS(Recipes!$U$6:$U$405,Recipes!$B$6:$B$405,B22))</f>
        <v/>
      </c>
      <c r="AB22">
        <f>IF(B22="",0,SUMIFS(Recipes!$V$6:$V$405,Recipes!$B$6:$B$405,B22))</f>
        <v/>
      </c>
      <c r="AC22">
        <f>IF(B22="",0,SUMIFS(Recipes!$W$6:$W$405,Recipes!$B$6:$B$405,B22))</f>
        <v/>
      </c>
      <c r="AD22">
        <f>IF(B22="",0,SUMIFS(Recipes!$X$6:$X$405,Recipes!$B$6:$B$405,B22))</f>
        <v/>
      </c>
      <c r="AE22">
        <f>IF(AND(P22&gt;0,Settings!$C$13&lt;&gt;""),Settings!$C$13&amp;", ","")&amp;IF(AND(Q22&gt;0,Settings!$C$14&lt;&gt;""),Settings!$C$14&amp;", ","")&amp;IF(AND(R22&gt;0,Settings!$C$15&lt;&gt;""),Settings!$C$15&amp;", ","")&amp;IF(AND(S22&gt;0,Settings!$C$16&lt;&gt;""),Settings!$C$16&amp;", ","")&amp;IF(AND(T22&gt;0,Settings!$C$17&lt;&gt;""),Settings!$C$17&amp;", ","")&amp;IF(AND(U22&gt;0,Settings!$C$18&lt;&gt;""),Settings!$C$18&amp;", ","")&amp;IF(AND(V22&gt;0,Settings!$C$19&lt;&gt;""),Settings!$C$19&amp;", ","")&amp;IF(AND(W22&gt;0,Settings!$C$20&lt;&gt;""),Settings!$C$20&amp;", ","")&amp;IF(AND(X22&gt;0,Settings!$C$21&lt;&gt;""),Settings!$C$21&amp;", ","")&amp;IF(AND(Y22&gt;0,Settings!$C$22&lt;&gt;""),Settings!$C$22&amp;", ","")&amp;IF(AND(Z22&gt;0,Settings!$C$23&lt;&gt;""),Settings!$C$23&amp;", ","")&amp;IF(AND(AA22&gt;0,Settings!$C$24&lt;&gt;""),Settings!$C$24&amp;", ","")&amp;IF(AND(AB22&gt;0,Settings!$C$25&lt;&gt;""),Settings!$C$25&amp;", ","")&amp;IF(AND(AC22&gt;0,Settings!$C$26&lt;&gt;""),Settings!$C$26&amp;", ","")&amp;IF(AND(AD22&gt;0,Settings!$C$27&lt;&gt;""),Settings!$C$27&amp;", ","")</f>
        <v/>
      </c>
    </row>
    <row r="23">
      <c r="A23" s="1" t="n"/>
      <c r="B23" s="21" t="n"/>
      <c r="C23" s="36" t="n"/>
      <c r="D23" s="22" t="n"/>
      <c r="E23" s="22" t="n"/>
      <c r="F23" s="37" t="n"/>
      <c r="G23" s="23" t="n"/>
      <c r="H23" s="26">
        <f>IF(B23="","",SUMIFS(Recipes!$F$6:$F$405,Recipes!$B$6:$B$405,B23))</f>
        <v/>
      </c>
      <c r="I23" s="26">
        <f>IF(OR(B23="",N(D23)=0),"",H23/D23)</f>
        <v/>
      </c>
      <c r="J23" s="26">
        <f>IF(OR(NOT(ISNUMBER(I23)),N(F23)=0),"",F23-I23)</f>
        <v/>
      </c>
      <c r="K23" s="19">
        <f>IF(NOT(ISNUMBER(J23)),"",J23/F23)</f>
        <v/>
      </c>
      <c r="L23" s="38">
        <f>IF(OR(B23="",AE23=""),"",LEFT(AE23,LEN(AE23)-2))</f>
        <v/>
      </c>
      <c r="M23" s="13">
        <f>IF(B23="","",SUMIFS(Batches!$K$6:$K$505,Batches!$C$6:$C$505,B23,Batches!$M$6:$M$505,"In stock")+SUMIFS(Batches!$K$6:$K$505,Batches!$C$6:$C$505,B23,Batches!$M$6:$M$505,"Use soon"))</f>
        <v/>
      </c>
      <c r="N23" s="19">
        <f>IF(B23="","",IF(SUMIFS(Batches!$D$6:$D$505,Batches!$C$6:$C$505,B23)=0,"",SUMIFS(Batches!$G$6:$G$505,Batches!$C$6:$C$505,B23)/SUMIFS(Batches!$D$6:$D$505,Batches!$C$6:$C$505,B23)))</f>
        <v/>
      </c>
      <c r="O23" s="1" t="n"/>
      <c r="P23">
        <f>IF(B23="",0,SUMIFS(Recipes!$J$6:$J$405,Recipes!$B$6:$B$405,B23))</f>
        <v/>
      </c>
      <c r="Q23">
        <f>IF(B23="",0,SUMIFS(Recipes!$K$6:$K$405,Recipes!$B$6:$B$405,B23))</f>
        <v/>
      </c>
      <c r="R23">
        <f>IF(B23="",0,SUMIFS(Recipes!$L$6:$L$405,Recipes!$B$6:$B$405,B23))</f>
        <v/>
      </c>
      <c r="S23">
        <f>IF(B23="",0,SUMIFS(Recipes!$M$6:$M$405,Recipes!$B$6:$B$405,B23))</f>
        <v/>
      </c>
      <c r="T23">
        <f>IF(B23="",0,SUMIFS(Recipes!$N$6:$N$405,Recipes!$B$6:$B$405,B23))</f>
        <v/>
      </c>
      <c r="U23">
        <f>IF(B23="",0,SUMIFS(Recipes!$O$6:$O$405,Recipes!$B$6:$B$405,B23))</f>
        <v/>
      </c>
      <c r="V23">
        <f>IF(B23="",0,SUMIFS(Recipes!$P$6:$P$405,Recipes!$B$6:$B$405,B23))</f>
        <v/>
      </c>
      <c r="W23">
        <f>IF(B23="",0,SUMIFS(Recipes!$Q$6:$Q$405,Recipes!$B$6:$B$405,B23))</f>
        <v/>
      </c>
      <c r="X23">
        <f>IF(B23="",0,SUMIFS(Recipes!$R$6:$R$405,Recipes!$B$6:$B$405,B23))</f>
        <v/>
      </c>
      <c r="Y23">
        <f>IF(B23="",0,SUMIFS(Recipes!$S$6:$S$405,Recipes!$B$6:$B$405,B23))</f>
        <v/>
      </c>
      <c r="Z23">
        <f>IF(B23="",0,SUMIFS(Recipes!$T$6:$T$405,Recipes!$B$6:$B$405,B23))</f>
        <v/>
      </c>
      <c r="AA23">
        <f>IF(B23="",0,SUMIFS(Recipes!$U$6:$U$405,Recipes!$B$6:$B$405,B23))</f>
        <v/>
      </c>
      <c r="AB23">
        <f>IF(B23="",0,SUMIFS(Recipes!$V$6:$V$405,Recipes!$B$6:$B$405,B23))</f>
        <v/>
      </c>
      <c r="AC23">
        <f>IF(B23="",0,SUMIFS(Recipes!$W$6:$W$405,Recipes!$B$6:$B$405,B23))</f>
        <v/>
      </c>
      <c r="AD23">
        <f>IF(B23="",0,SUMIFS(Recipes!$X$6:$X$405,Recipes!$B$6:$B$405,B23))</f>
        <v/>
      </c>
      <c r="AE23">
        <f>IF(AND(P23&gt;0,Settings!$C$13&lt;&gt;""),Settings!$C$13&amp;", ","")&amp;IF(AND(Q23&gt;0,Settings!$C$14&lt;&gt;""),Settings!$C$14&amp;", ","")&amp;IF(AND(R23&gt;0,Settings!$C$15&lt;&gt;""),Settings!$C$15&amp;", ","")&amp;IF(AND(S23&gt;0,Settings!$C$16&lt;&gt;""),Settings!$C$16&amp;", ","")&amp;IF(AND(T23&gt;0,Settings!$C$17&lt;&gt;""),Settings!$C$17&amp;", ","")&amp;IF(AND(U23&gt;0,Settings!$C$18&lt;&gt;""),Settings!$C$18&amp;", ","")&amp;IF(AND(V23&gt;0,Settings!$C$19&lt;&gt;""),Settings!$C$19&amp;", ","")&amp;IF(AND(W23&gt;0,Settings!$C$20&lt;&gt;""),Settings!$C$20&amp;", ","")&amp;IF(AND(X23&gt;0,Settings!$C$21&lt;&gt;""),Settings!$C$21&amp;", ","")&amp;IF(AND(Y23&gt;0,Settings!$C$22&lt;&gt;""),Settings!$C$22&amp;", ","")&amp;IF(AND(Z23&gt;0,Settings!$C$23&lt;&gt;""),Settings!$C$23&amp;", ","")&amp;IF(AND(AA23&gt;0,Settings!$C$24&lt;&gt;""),Settings!$C$24&amp;", ","")&amp;IF(AND(AB23&gt;0,Settings!$C$25&lt;&gt;""),Settings!$C$25&amp;", ","")&amp;IF(AND(AC23&gt;0,Settings!$C$26&lt;&gt;""),Settings!$C$26&amp;", ","")&amp;IF(AND(AD23&gt;0,Settings!$C$27&lt;&gt;""),Settings!$C$27&amp;", ","")</f>
        <v/>
      </c>
    </row>
    <row r="24">
      <c r="A24" s="1" t="n"/>
      <c r="B24" s="21" t="n"/>
      <c r="C24" s="36" t="n"/>
      <c r="D24" s="22" t="n"/>
      <c r="E24" s="22" t="n"/>
      <c r="F24" s="37" t="n"/>
      <c r="G24" s="23" t="n"/>
      <c r="H24" s="26">
        <f>IF(B24="","",SUMIFS(Recipes!$F$6:$F$405,Recipes!$B$6:$B$405,B24))</f>
        <v/>
      </c>
      <c r="I24" s="26">
        <f>IF(OR(B24="",N(D24)=0),"",H24/D24)</f>
        <v/>
      </c>
      <c r="J24" s="26">
        <f>IF(OR(NOT(ISNUMBER(I24)),N(F24)=0),"",F24-I24)</f>
        <v/>
      </c>
      <c r="K24" s="19">
        <f>IF(NOT(ISNUMBER(J24)),"",J24/F24)</f>
        <v/>
      </c>
      <c r="L24" s="38">
        <f>IF(OR(B24="",AE24=""),"",LEFT(AE24,LEN(AE24)-2))</f>
        <v/>
      </c>
      <c r="M24" s="13">
        <f>IF(B24="","",SUMIFS(Batches!$K$6:$K$505,Batches!$C$6:$C$505,B24,Batches!$M$6:$M$505,"In stock")+SUMIFS(Batches!$K$6:$K$505,Batches!$C$6:$C$505,B24,Batches!$M$6:$M$505,"Use soon"))</f>
        <v/>
      </c>
      <c r="N24" s="19">
        <f>IF(B24="","",IF(SUMIFS(Batches!$D$6:$D$505,Batches!$C$6:$C$505,B24)=0,"",SUMIFS(Batches!$G$6:$G$505,Batches!$C$6:$C$505,B24)/SUMIFS(Batches!$D$6:$D$505,Batches!$C$6:$C$505,B24)))</f>
        <v/>
      </c>
      <c r="O24" s="1" t="n"/>
      <c r="P24">
        <f>IF(B24="",0,SUMIFS(Recipes!$J$6:$J$405,Recipes!$B$6:$B$405,B24))</f>
        <v/>
      </c>
      <c r="Q24">
        <f>IF(B24="",0,SUMIFS(Recipes!$K$6:$K$405,Recipes!$B$6:$B$405,B24))</f>
        <v/>
      </c>
      <c r="R24">
        <f>IF(B24="",0,SUMIFS(Recipes!$L$6:$L$405,Recipes!$B$6:$B$405,B24))</f>
        <v/>
      </c>
      <c r="S24">
        <f>IF(B24="",0,SUMIFS(Recipes!$M$6:$M$405,Recipes!$B$6:$B$405,B24))</f>
        <v/>
      </c>
      <c r="T24">
        <f>IF(B24="",0,SUMIFS(Recipes!$N$6:$N$405,Recipes!$B$6:$B$405,B24))</f>
        <v/>
      </c>
      <c r="U24">
        <f>IF(B24="",0,SUMIFS(Recipes!$O$6:$O$405,Recipes!$B$6:$B$405,B24))</f>
        <v/>
      </c>
      <c r="V24">
        <f>IF(B24="",0,SUMIFS(Recipes!$P$6:$P$405,Recipes!$B$6:$B$405,B24))</f>
        <v/>
      </c>
      <c r="W24">
        <f>IF(B24="",0,SUMIFS(Recipes!$Q$6:$Q$405,Recipes!$B$6:$B$405,B24))</f>
        <v/>
      </c>
      <c r="X24">
        <f>IF(B24="",0,SUMIFS(Recipes!$R$6:$R$405,Recipes!$B$6:$B$405,B24))</f>
        <v/>
      </c>
      <c r="Y24">
        <f>IF(B24="",0,SUMIFS(Recipes!$S$6:$S$405,Recipes!$B$6:$B$405,B24))</f>
        <v/>
      </c>
      <c r="Z24">
        <f>IF(B24="",0,SUMIFS(Recipes!$T$6:$T$405,Recipes!$B$6:$B$405,B24))</f>
        <v/>
      </c>
      <c r="AA24">
        <f>IF(B24="",0,SUMIFS(Recipes!$U$6:$U$405,Recipes!$B$6:$B$405,B24))</f>
        <v/>
      </c>
      <c r="AB24">
        <f>IF(B24="",0,SUMIFS(Recipes!$V$6:$V$405,Recipes!$B$6:$B$405,B24))</f>
        <v/>
      </c>
      <c r="AC24">
        <f>IF(B24="",0,SUMIFS(Recipes!$W$6:$W$405,Recipes!$B$6:$B$405,B24))</f>
        <v/>
      </c>
      <c r="AD24">
        <f>IF(B24="",0,SUMIFS(Recipes!$X$6:$X$405,Recipes!$B$6:$B$405,B24))</f>
        <v/>
      </c>
      <c r="AE24">
        <f>IF(AND(P24&gt;0,Settings!$C$13&lt;&gt;""),Settings!$C$13&amp;", ","")&amp;IF(AND(Q24&gt;0,Settings!$C$14&lt;&gt;""),Settings!$C$14&amp;", ","")&amp;IF(AND(R24&gt;0,Settings!$C$15&lt;&gt;""),Settings!$C$15&amp;", ","")&amp;IF(AND(S24&gt;0,Settings!$C$16&lt;&gt;""),Settings!$C$16&amp;", ","")&amp;IF(AND(T24&gt;0,Settings!$C$17&lt;&gt;""),Settings!$C$17&amp;", ","")&amp;IF(AND(U24&gt;0,Settings!$C$18&lt;&gt;""),Settings!$C$18&amp;", ","")&amp;IF(AND(V24&gt;0,Settings!$C$19&lt;&gt;""),Settings!$C$19&amp;", ","")&amp;IF(AND(W24&gt;0,Settings!$C$20&lt;&gt;""),Settings!$C$20&amp;", ","")&amp;IF(AND(X24&gt;0,Settings!$C$21&lt;&gt;""),Settings!$C$21&amp;", ","")&amp;IF(AND(Y24&gt;0,Settings!$C$22&lt;&gt;""),Settings!$C$22&amp;", ","")&amp;IF(AND(Z24&gt;0,Settings!$C$23&lt;&gt;""),Settings!$C$23&amp;", ","")&amp;IF(AND(AA24&gt;0,Settings!$C$24&lt;&gt;""),Settings!$C$24&amp;", ","")&amp;IF(AND(AB24&gt;0,Settings!$C$25&lt;&gt;""),Settings!$C$25&amp;", ","")&amp;IF(AND(AC24&gt;0,Settings!$C$26&lt;&gt;""),Settings!$C$26&amp;", ","")&amp;IF(AND(AD24&gt;0,Settings!$C$27&lt;&gt;""),Settings!$C$27&amp;", ","")</f>
        <v/>
      </c>
    </row>
    <row r="25">
      <c r="A25" s="1" t="n"/>
      <c r="B25" s="21" t="n"/>
      <c r="C25" s="36" t="n"/>
      <c r="D25" s="22" t="n"/>
      <c r="E25" s="22" t="n"/>
      <c r="F25" s="37" t="n"/>
      <c r="G25" s="23" t="n"/>
      <c r="H25" s="26">
        <f>IF(B25="","",SUMIFS(Recipes!$F$6:$F$405,Recipes!$B$6:$B$405,B25))</f>
        <v/>
      </c>
      <c r="I25" s="26">
        <f>IF(OR(B25="",N(D25)=0),"",H25/D25)</f>
        <v/>
      </c>
      <c r="J25" s="26">
        <f>IF(OR(NOT(ISNUMBER(I25)),N(F25)=0),"",F25-I25)</f>
        <v/>
      </c>
      <c r="K25" s="19">
        <f>IF(NOT(ISNUMBER(J25)),"",J25/F25)</f>
        <v/>
      </c>
      <c r="L25" s="38">
        <f>IF(OR(B25="",AE25=""),"",LEFT(AE25,LEN(AE25)-2))</f>
        <v/>
      </c>
      <c r="M25" s="13">
        <f>IF(B25="","",SUMIFS(Batches!$K$6:$K$505,Batches!$C$6:$C$505,B25,Batches!$M$6:$M$505,"In stock")+SUMIFS(Batches!$K$6:$K$505,Batches!$C$6:$C$505,B25,Batches!$M$6:$M$505,"Use soon"))</f>
        <v/>
      </c>
      <c r="N25" s="19">
        <f>IF(B25="","",IF(SUMIFS(Batches!$D$6:$D$505,Batches!$C$6:$C$505,B25)=0,"",SUMIFS(Batches!$G$6:$G$505,Batches!$C$6:$C$505,B25)/SUMIFS(Batches!$D$6:$D$505,Batches!$C$6:$C$505,B25)))</f>
        <v/>
      </c>
      <c r="O25" s="1" t="n"/>
      <c r="P25">
        <f>IF(B25="",0,SUMIFS(Recipes!$J$6:$J$405,Recipes!$B$6:$B$405,B25))</f>
        <v/>
      </c>
      <c r="Q25">
        <f>IF(B25="",0,SUMIFS(Recipes!$K$6:$K$405,Recipes!$B$6:$B$405,B25))</f>
        <v/>
      </c>
      <c r="R25">
        <f>IF(B25="",0,SUMIFS(Recipes!$L$6:$L$405,Recipes!$B$6:$B$405,B25))</f>
        <v/>
      </c>
      <c r="S25">
        <f>IF(B25="",0,SUMIFS(Recipes!$M$6:$M$405,Recipes!$B$6:$B$405,B25))</f>
        <v/>
      </c>
      <c r="T25">
        <f>IF(B25="",0,SUMIFS(Recipes!$N$6:$N$405,Recipes!$B$6:$B$405,B25))</f>
        <v/>
      </c>
      <c r="U25">
        <f>IF(B25="",0,SUMIFS(Recipes!$O$6:$O$405,Recipes!$B$6:$B$405,B25))</f>
        <v/>
      </c>
      <c r="V25">
        <f>IF(B25="",0,SUMIFS(Recipes!$P$6:$P$405,Recipes!$B$6:$B$405,B25))</f>
        <v/>
      </c>
      <c r="W25">
        <f>IF(B25="",0,SUMIFS(Recipes!$Q$6:$Q$405,Recipes!$B$6:$B$405,B25))</f>
        <v/>
      </c>
      <c r="X25">
        <f>IF(B25="",0,SUMIFS(Recipes!$R$6:$R$405,Recipes!$B$6:$B$405,B25))</f>
        <v/>
      </c>
      <c r="Y25">
        <f>IF(B25="",0,SUMIFS(Recipes!$S$6:$S$405,Recipes!$B$6:$B$405,B25))</f>
        <v/>
      </c>
      <c r="Z25">
        <f>IF(B25="",0,SUMIFS(Recipes!$T$6:$T$405,Recipes!$B$6:$B$405,B25))</f>
        <v/>
      </c>
      <c r="AA25">
        <f>IF(B25="",0,SUMIFS(Recipes!$U$6:$U$405,Recipes!$B$6:$B$405,B25))</f>
        <v/>
      </c>
      <c r="AB25">
        <f>IF(B25="",0,SUMIFS(Recipes!$V$6:$V$405,Recipes!$B$6:$B$405,B25))</f>
        <v/>
      </c>
      <c r="AC25">
        <f>IF(B25="",0,SUMIFS(Recipes!$W$6:$W$405,Recipes!$B$6:$B$405,B25))</f>
        <v/>
      </c>
      <c r="AD25">
        <f>IF(B25="",0,SUMIFS(Recipes!$X$6:$X$405,Recipes!$B$6:$B$405,B25))</f>
        <v/>
      </c>
      <c r="AE25">
        <f>IF(AND(P25&gt;0,Settings!$C$13&lt;&gt;""),Settings!$C$13&amp;", ","")&amp;IF(AND(Q25&gt;0,Settings!$C$14&lt;&gt;""),Settings!$C$14&amp;", ","")&amp;IF(AND(R25&gt;0,Settings!$C$15&lt;&gt;""),Settings!$C$15&amp;", ","")&amp;IF(AND(S25&gt;0,Settings!$C$16&lt;&gt;""),Settings!$C$16&amp;", ","")&amp;IF(AND(T25&gt;0,Settings!$C$17&lt;&gt;""),Settings!$C$17&amp;", ","")&amp;IF(AND(U25&gt;0,Settings!$C$18&lt;&gt;""),Settings!$C$18&amp;", ","")&amp;IF(AND(V25&gt;0,Settings!$C$19&lt;&gt;""),Settings!$C$19&amp;", ","")&amp;IF(AND(W25&gt;0,Settings!$C$20&lt;&gt;""),Settings!$C$20&amp;", ","")&amp;IF(AND(X25&gt;0,Settings!$C$21&lt;&gt;""),Settings!$C$21&amp;", ","")&amp;IF(AND(Y25&gt;0,Settings!$C$22&lt;&gt;""),Settings!$C$22&amp;", ","")&amp;IF(AND(Z25&gt;0,Settings!$C$23&lt;&gt;""),Settings!$C$23&amp;", ","")&amp;IF(AND(AA25&gt;0,Settings!$C$24&lt;&gt;""),Settings!$C$24&amp;", ","")&amp;IF(AND(AB25&gt;0,Settings!$C$25&lt;&gt;""),Settings!$C$25&amp;", ","")&amp;IF(AND(AC25&gt;0,Settings!$C$26&lt;&gt;""),Settings!$C$26&amp;", ","")&amp;IF(AND(AD25&gt;0,Settings!$C$27&lt;&gt;""),Settings!$C$27&amp;", ","")</f>
        <v/>
      </c>
    </row>
    <row r="26">
      <c r="A26" s="1" t="n"/>
      <c r="B26" s="21" t="n"/>
      <c r="C26" s="36" t="n"/>
      <c r="D26" s="22" t="n"/>
      <c r="E26" s="22" t="n"/>
      <c r="F26" s="37" t="n"/>
      <c r="G26" s="23" t="n"/>
      <c r="H26" s="26">
        <f>IF(B26="","",SUMIFS(Recipes!$F$6:$F$405,Recipes!$B$6:$B$405,B26))</f>
        <v/>
      </c>
      <c r="I26" s="26">
        <f>IF(OR(B26="",N(D26)=0),"",H26/D26)</f>
        <v/>
      </c>
      <c r="J26" s="26">
        <f>IF(OR(NOT(ISNUMBER(I26)),N(F26)=0),"",F26-I26)</f>
        <v/>
      </c>
      <c r="K26" s="19">
        <f>IF(NOT(ISNUMBER(J26)),"",J26/F26)</f>
        <v/>
      </c>
      <c r="L26" s="38">
        <f>IF(OR(B26="",AE26=""),"",LEFT(AE26,LEN(AE26)-2))</f>
        <v/>
      </c>
      <c r="M26" s="13">
        <f>IF(B26="","",SUMIFS(Batches!$K$6:$K$505,Batches!$C$6:$C$505,B26,Batches!$M$6:$M$505,"In stock")+SUMIFS(Batches!$K$6:$K$505,Batches!$C$6:$C$505,B26,Batches!$M$6:$M$505,"Use soon"))</f>
        <v/>
      </c>
      <c r="N26" s="19">
        <f>IF(B26="","",IF(SUMIFS(Batches!$D$6:$D$505,Batches!$C$6:$C$505,B26)=0,"",SUMIFS(Batches!$G$6:$G$505,Batches!$C$6:$C$505,B26)/SUMIFS(Batches!$D$6:$D$505,Batches!$C$6:$C$505,B26)))</f>
        <v/>
      </c>
      <c r="O26" s="1" t="n"/>
      <c r="P26">
        <f>IF(B26="",0,SUMIFS(Recipes!$J$6:$J$405,Recipes!$B$6:$B$405,B26))</f>
        <v/>
      </c>
      <c r="Q26">
        <f>IF(B26="",0,SUMIFS(Recipes!$K$6:$K$405,Recipes!$B$6:$B$405,B26))</f>
        <v/>
      </c>
      <c r="R26">
        <f>IF(B26="",0,SUMIFS(Recipes!$L$6:$L$405,Recipes!$B$6:$B$405,B26))</f>
        <v/>
      </c>
      <c r="S26">
        <f>IF(B26="",0,SUMIFS(Recipes!$M$6:$M$405,Recipes!$B$6:$B$405,B26))</f>
        <v/>
      </c>
      <c r="T26">
        <f>IF(B26="",0,SUMIFS(Recipes!$N$6:$N$405,Recipes!$B$6:$B$405,B26))</f>
        <v/>
      </c>
      <c r="U26">
        <f>IF(B26="",0,SUMIFS(Recipes!$O$6:$O$405,Recipes!$B$6:$B$405,B26))</f>
        <v/>
      </c>
      <c r="V26">
        <f>IF(B26="",0,SUMIFS(Recipes!$P$6:$P$405,Recipes!$B$6:$B$405,B26))</f>
        <v/>
      </c>
      <c r="W26">
        <f>IF(B26="",0,SUMIFS(Recipes!$Q$6:$Q$405,Recipes!$B$6:$B$405,B26))</f>
        <v/>
      </c>
      <c r="X26">
        <f>IF(B26="",0,SUMIFS(Recipes!$R$6:$R$405,Recipes!$B$6:$B$405,B26))</f>
        <v/>
      </c>
      <c r="Y26">
        <f>IF(B26="",0,SUMIFS(Recipes!$S$6:$S$405,Recipes!$B$6:$B$405,B26))</f>
        <v/>
      </c>
      <c r="Z26">
        <f>IF(B26="",0,SUMIFS(Recipes!$T$6:$T$405,Recipes!$B$6:$B$405,B26))</f>
        <v/>
      </c>
      <c r="AA26">
        <f>IF(B26="",0,SUMIFS(Recipes!$U$6:$U$405,Recipes!$B$6:$B$405,B26))</f>
        <v/>
      </c>
      <c r="AB26">
        <f>IF(B26="",0,SUMIFS(Recipes!$V$6:$V$405,Recipes!$B$6:$B$405,B26))</f>
        <v/>
      </c>
      <c r="AC26">
        <f>IF(B26="",0,SUMIFS(Recipes!$W$6:$W$405,Recipes!$B$6:$B$405,B26))</f>
        <v/>
      </c>
      <c r="AD26">
        <f>IF(B26="",0,SUMIFS(Recipes!$X$6:$X$405,Recipes!$B$6:$B$405,B26))</f>
        <v/>
      </c>
      <c r="AE26">
        <f>IF(AND(P26&gt;0,Settings!$C$13&lt;&gt;""),Settings!$C$13&amp;", ","")&amp;IF(AND(Q26&gt;0,Settings!$C$14&lt;&gt;""),Settings!$C$14&amp;", ","")&amp;IF(AND(R26&gt;0,Settings!$C$15&lt;&gt;""),Settings!$C$15&amp;", ","")&amp;IF(AND(S26&gt;0,Settings!$C$16&lt;&gt;""),Settings!$C$16&amp;", ","")&amp;IF(AND(T26&gt;0,Settings!$C$17&lt;&gt;""),Settings!$C$17&amp;", ","")&amp;IF(AND(U26&gt;0,Settings!$C$18&lt;&gt;""),Settings!$C$18&amp;", ","")&amp;IF(AND(V26&gt;0,Settings!$C$19&lt;&gt;""),Settings!$C$19&amp;", ","")&amp;IF(AND(W26&gt;0,Settings!$C$20&lt;&gt;""),Settings!$C$20&amp;", ","")&amp;IF(AND(X26&gt;0,Settings!$C$21&lt;&gt;""),Settings!$C$21&amp;", ","")&amp;IF(AND(Y26&gt;0,Settings!$C$22&lt;&gt;""),Settings!$C$22&amp;", ","")&amp;IF(AND(Z26&gt;0,Settings!$C$23&lt;&gt;""),Settings!$C$23&amp;", ","")&amp;IF(AND(AA26&gt;0,Settings!$C$24&lt;&gt;""),Settings!$C$24&amp;", ","")&amp;IF(AND(AB26&gt;0,Settings!$C$25&lt;&gt;""),Settings!$C$25&amp;", ","")&amp;IF(AND(AC26&gt;0,Settings!$C$26&lt;&gt;""),Settings!$C$26&amp;", ","")&amp;IF(AND(AD26&gt;0,Settings!$C$27&lt;&gt;""),Settings!$C$27&amp;", ","")</f>
        <v/>
      </c>
    </row>
    <row r="27">
      <c r="A27" s="1" t="n"/>
      <c r="B27" s="21" t="n"/>
      <c r="C27" s="36" t="n"/>
      <c r="D27" s="22" t="n"/>
      <c r="E27" s="22" t="n"/>
      <c r="F27" s="37" t="n"/>
      <c r="G27" s="23" t="n"/>
      <c r="H27" s="26">
        <f>IF(B27="","",SUMIFS(Recipes!$F$6:$F$405,Recipes!$B$6:$B$405,B27))</f>
        <v/>
      </c>
      <c r="I27" s="26">
        <f>IF(OR(B27="",N(D27)=0),"",H27/D27)</f>
        <v/>
      </c>
      <c r="J27" s="26">
        <f>IF(OR(NOT(ISNUMBER(I27)),N(F27)=0),"",F27-I27)</f>
        <v/>
      </c>
      <c r="K27" s="19">
        <f>IF(NOT(ISNUMBER(J27)),"",J27/F27)</f>
        <v/>
      </c>
      <c r="L27" s="38">
        <f>IF(OR(B27="",AE27=""),"",LEFT(AE27,LEN(AE27)-2))</f>
        <v/>
      </c>
      <c r="M27" s="13">
        <f>IF(B27="","",SUMIFS(Batches!$K$6:$K$505,Batches!$C$6:$C$505,B27,Batches!$M$6:$M$505,"In stock")+SUMIFS(Batches!$K$6:$K$505,Batches!$C$6:$C$505,B27,Batches!$M$6:$M$505,"Use soon"))</f>
        <v/>
      </c>
      <c r="N27" s="19">
        <f>IF(B27="","",IF(SUMIFS(Batches!$D$6:$D$505,Batches!$C$6:$C$505,B27)=0,"",SUMIFS(Batches!$G$6:$G$505,Batches!$C$6:$C$505,B27)/SUMIFS(Batches!$D$6:$D$505,Batches!$C$6:$C$505,B27)))</f>
        <v/>
      </c>
      <c r="O27" s="1" t="n"/>
      <c r="P27">
        <f>IF(B27="",0,SUMIFS(Recipes!$J$6:$J$405,Recipes!$B$6:$B$405,B27))</f>
        <v/>
      </c>
      <c r="Q27">
        <f>IF(B27="",0,SUMIFS(Recipes!$K$6:$K$405,Recipes!$B$6:$B$405,B27))</f>
        <v/>
      </c>
      <c r="R27">
        <f>IF(B27="",0,SUMIFS(Recipes!$L$6:$L$405,Recipes!$B$6:$B$405,B27))</f>
        <v/>
      </c>
      <c r="S27">
        <f>IF(B27="",0,SUMIFS(Recipes!$M$6:$M$405,Recipes!$B$6:$B$405,B27))</f>
        <v/>
      </c>
      <c r="T27">
        <f>IF(B27="",0,SUMIFS(Recipes!$N$6:$N$405,Recipes!$B$6:$B$405,B27))</f>
        <v/>
      </c>
      <c r="U27">
        <f>IF(B27="",0,SUMIFS(Recipes!$O$6:$O$405,Recipes!$B$6:$B$405,B27))</f>
        <v/>
      </c>
      <c r="V27">
        <f>IF(B27="",0,SUMIFS(Recipes!$P$6:$P$405,Recipes!$B$6:$B$405,B27))</f>
        <v/>
      </c>
      <c r="W27">
        <f>IF(B27="",0,SUMIFS(Recipes!$Q$6:$Q$405,Recipes!$B$6:$B$405,B27))</f>
        <v/>
      </c>
      <c r="X27">
        <f>IF(B27="",0,SUMIFS(Recipes!$R$6:$R$405,Recipes!$B$6:$B$405,B27))</f>
        <v/>
      </c>
      <c r="Y27">
        <f>IF(B27="",0,SUMIFS(Recipes!$S$6:$S$405,Recipes!$B$6:$B$405,B27))</f>
        <v/>
      </c>
      <c r="Z27">
        <f>IF(B27="",0,SUMIFS(Recipes!$T$6:$T$405,Recipes!$B$6:$B$405,B27))</f>
        <v/>
      </c>
      <c r="AA27">
        <f>IF(B27="",0,SUMIFS(Recipes!$U$6:$U$405,Recipes!$B$6:$B$405,B27))</f>
        <v/>
      </c>
      <c r="AB27">
        <f>IF(B27="",0,SUMIFS(Recipes!$V$6:$V$405,Recipes!$B$6:$B$405,B27))</f>
        <v/>
      </c>
      <c r="AC27">
        <f>IF(B27="",0,SUMIFS(Recipes!$W$6:$W$405,Recipes!$B$6:$B$405,B27))</f>
        <v/>
      </c>
      <c r="AD27">
        <f>IF(B27="",0,SUMIFS(Recipes!$X$6:$X$405,Recipes!$B$6:$B$405,B27))</f>
        <v/>
      </c>
      <c r="AE27">
        <f>IF(AND(P27&gt;0,Settings!$C$13&lt;&gt;""),Settings!$C$13&amp;", ","")&amp;IF(AND(Q27&gt;0,Settings!$C$14&lt;&gt;""),Settings!$C$14&amp;", ","")&amp;IF(AND(R27&gt;0,Settings!$C$15&lt;&gt;""),Settings!$C$15&amp;", ","")&amp;IF(AND(S27&gt;0,Settings!$C$16&lt;&gt;""),Settings!$C$16&amp;", ","")&amp;IF(AND(T27&gt;0,Settings!$C$17&lt;&gt;""),Settings!$C$17&amp;", ","")&amp;IF(AND(U27&gt;0,Settings!$C$18&lt;&gt;""),Settings!$C$18&amp;", ","")&amp;IF(AND(V27&gt;0,Settings!$C$19&lt;&gt;""),Settings!$C$19&amp;", ","")&amp;IF(AND(W27&gt;0,Settings!$C$20&lt;&gt;""),Settings!$C$20&amp;", ","")&amp;IF(AND(X27&gt;0,Settings!$C$21&lt;&gt;""),Settings!$C$21&amp;", ","")&amp;IF(AND(Y27&gt;0,Settings!$C$22&lt;&gt;""),Settings!$C$22&amp;", ","")&amp;IF(AND(Z27&gt;0,Settings!$C$23&lt;&gt;""),Settings!$C$23&amp;", ","")&amp;IF(AND(AA27&gt;0,Settings!$C$24&lt;&gt;""),Settings!$C$24&amp;", ","")&amp;IF(AND(AB27&gt;0,Settings!$C$25&lt;&gt;""),Settings!$C$25&amp;", ","")&amp;IF(AND(AC27&gt;0,Settings!$C$26&lt;&gt;""),Settings!$C$26&amp;", ","")&amp;IF(AND(AD27&gt;0,Settings!$C$27&lt;&gt;""),Settings!$C$27&amp;", ","")</f>
        <v/>
      </c>
    </row>
    <row r="28">
      <c r="A28" s="1" t="n"/>
      <c r="B28" s="21" t="n"/>
      <c r="C28" s="36" t="n"/>
      <c r="D28" s="22" t="n"/>
      <c r="E28" s="22" t="n"/>
      <c r="F28" s="37" t="n"/>
      <c r="G28" s="23" t="n"/>
      <c r="H28" s="26">
        <f>IF(B28="","",SUMIFS(Recipes!$F$6:$F$405,Recipes!$B$6:$B$405,B28))</f>
        <v/>
      </c>
      <c r="I28" s="26">
        <f>IF(OR(B28="",N(D28)=0),"",H28/D28)</f>
        <v/>
      </c>
      <c r="J28" s="26">
        <f>IF(OR(NOT(ISNUMBER(I28)),N(F28)=0),"",F28-I28)</f>
        <v/>
      </c>
      <c r="K28" s="19">
        <f>IF(NOT(ISNUMBER(J28)),"",J28/F28)</f>
        <v/>
      </c>
      <c r="L28" s="38">
        <f>IF(OR(B28="",AE28=""),"",LEFT(AE28,LEN(AE28)-2))</f>
        <v/>
      </c>
      <c r="M28" s="13">
        <f>IF(B28="","",SUMIFS(Batches!$K$6:$K$505,Batches!$C$6:$C$505,B28,Batches!$M$6:$M$505,"In stock")+SUMIFS(Batches!$K$6:$K$505,Batches!$C$6:$C$505,B28,Batches!$M$6:$M$505,"Use soon"))</f>
        <v/>
      </c>
      <c r="N28" s="19">
        <f>IF(B28="","",IF(SUMIFS(Batches!$D$6:$D$505,Batches!$C$6:$C$505,B28)=0,"",SUMIFS(Batches!$G$6:$G$505,Batches!$C$6:$C$505,B28)/SUMIFS(Batches!$D$6:$D$505,Batches!$C$6:$C$505,B28)))</f>
        <v/>
      </c>
      <c r="O28" s="1" t="n"/>
      <c r="P28">
        <f>IF(B28="",0,SUMIFS(Recipes!$J$6:$J$405,Recipes!$B$6:$B$405,B28))</f>
        <v/>
      </c>
      <c r="Q28">
        <f>IF(B28="",0,SUMIFS(Recipes!$K$6:$K$405,Recipes!$B$6:$B$405,B28))</f>
        <v/>
      </c>
      <c r="R28">
        <f>IF(B28="",0,SUMIFS(Recipes!$L$6:$L$405,Recipes!$B$6:$B$405,B28))</f>
        <v/>
      </c>
      <c r="S28">
        <f>IF(B28="",0,SUMIFS(Recipes!$M$6:$M$405,Recipes!$B$6:$B$405,B28))</f>
        <v/>
      </c>
      <c r="T28">
        <f>IF(B28="",0,SUMIFS(Recipes!$N$6:$N$405,Recipes!$B$6:$B$405,B28))</f>
        <v/>
      </c>
      <c r="U28">
        <f>IF(B28="",0,SUMIFS(Recipes!$O$6:$O$405,Recipes!$B$6:$B$405,B28))</f>
        <v/>
      </c>
      <c r="V28">
        <f>IF(B28="",0,SUMIFS(Recipes!$P$6:$P$405,Recipes!$B$6:$B$405,B28))</f>
        <v/>
      </c>
      <c r="W28">
        <f>IF(B28="",0,SUMIFS(Recipes!$Q$6:$Q$405,Recipes!$B$6:$B$405,B28))</f>
        <v/>
      </c>
      <c r="X28">
        <f>IF(B28="",0,SUMIFS(Recipes!$R$6:$R$405,Recipes!$B$6:$B$405,B28))</f>
        <v/>
      </c>
      <c r="Y28">
        <f>IF(B28="",0,SUMIFS(Recipes!$S$6:$S$405,Recipes!$B$6:$B$405,B28))</f>
        <v/>
      </c>
      <c r="Z28">
        <f>IF(B28="",0,SUMIFS(Recipes!$T$6:$T$405,Recipes!$B$6:$B$405,B28))</f>
        <v/>
      </c>
      <c r="AA28">
        <f>IF(B28="",0,SUMIFS(Recipes!$U$6:$U$405,Recipes!$B$6:$B$405,B28))</f>
        <v/>
      </c>
      <c r="AB28">
        <f>IF(B28="",0,SUMIFS(Recipes!$V$6:$V$405,Recipes!$B$6:$B$405,B28))</f>
        <v/>
      </c>
      <c r="AC28">
        <f>IF(B28="",0,SUMIFS(Recipes!$W$6:$W$405,Recipes!$B$6:$B$405,B28))</f>
        <v/>
      </c>
      <c r="AD28">
        <f>IF(B28="",0,SUMIFS(Recipes!$X$6:$X$405,Recipes!$B$6:$B$405,B28))</f>
        <v/>
      </c>
      <c r="AE28">
        <f>IF(AND(P28&gt;0,Settings!$C$13&lt;&gt;""),Settings!$C$13&amp;", ","")&amp;IF(AND(Q28&gt;0,Settings!$C$14&lt;&gt;""),Settings!$C$14&amp;", ","")&amp;IF(AND(R28&gt;0,Settings!$C$15&lt;&gt;""),Settings!$C$15&amp;", ","")&amp;IF(AND(S28&gt;0,Settings!$C$16&lt;&gt;""),Settings!$C$16&amp;", ","")&amp;IF(AND(T28&gt;0,Settings!$C$17&lt;&gt;""),Settings!$C$17&amp;", ","")&amp;IF(AND(U28&gt;0,Settings!$C$18&lt;&gt;""),Settings!$C$18&amp;", ","")&amp;IF(AND(V28&gt;0,Settings!$C$19&lt;&gt;""),Settings!$C$19&amp;", ","")&amp;IF(AND(W28&gt;0,Settings!$C$20&lt;&gt;""),Settings!$C$20&amp;", ","")&amp;IF(AND(X28&gt;0,Settings!$C$21&lt;&gt;""),Settings!$C$21&amp;", ","")&amp;IF(AND(Y28&gt;0,Settings!$C$22&lt;&gt;""),Settings!$C$22&amp;", ","")&amp;IF(AND(Z28&gt;0,Settings!$C$23&lt;&gt;""),Settings!$C$23&amp;", ","")&amp;IF(AND(AA28&gt;0,Settings!$C$24&lt;&gt;""),Settings!$C$24&amp;", ","")&amp;IF(AND(AB28&gt;0,Settings!$C$25&lt;&gt;""),Settings!$C$25&amp;", ","")&amp;IF(AND(AC28&gt;0,Settings!$C$26&lt;&gt;""),Settings!$C$26&amp;", ","")&amp;IF(AND(AD28&gt;0,Settings!$C$27&lt;&gt;""),Settings!$C$27&amp;", ","")</f>
        <v/>
      </c>
    </row>
    <row r="29">
      <c r="A29" s="1" t="n"/>
      <c r="B29" s="21" t="n"/>
      <c r="C29" s="36" t="n"/>
      <c r="D29" s="22" t="n"/>
      <c r="E29" s="22" t="n"/>
      <c r="F29" s="37" t="n"/>
      <c r="G29" s="23" t="n"/>
      <c r="H29" s="26">
        <f>IF(B29="","",SUMIFS(Recipes!$F$6:$F$405,Recipes!$B$6:$B$405,B29))</f>
        <v/>
      </c>
      <c r="I29" s="26">
        <f>IF(OR(B29="",N(D29)=0),"",H29/D29)</f>
        <v/>
      </c>
      <c r="J29" s="26">
        <f>IF(OR(NOT(ISNUMBER(I29)),N(F29)=0),"",F29-I29)</f>
        <v/>
      </c>
      <c r="K29" s="19">
        <f>IF(NOT(ISNUMBER(J29)),"",J29/F29)</f>
        <v/>
      </c>
      <c r="L29" s="38">
        <f>IF(OR(B29="",AE29=""),"",LEFT(AE29,LEN(AE29)-2))</f>
        <v/>
      </c>
      <c r="M29" s="13">
        <f>IF(B29="","",SUMIFS(Batches!$K$6:$K$505,Batches!$C$6:$C$505,B29,Batches!$M$6:$M$505,"In stock")+SUMIFS(Batches!$K$6:$K$505,Batches!$C$6:$C$505,B29,Batches!$M$6:$M$505,"Use soon"))</f>
        <v/>
      </c>
      <c r="N29" s="19">
        <f>IF(B29="","",IF(SUMIFS(Batches!$D$6:$D$505,Batches!$C$6:$C$505,B29)=0,"",SUMIFS(Batches!$G$6:$G$505,Batches!$C$6:$C$505,B29)/SUMIFS(Batches!$D$6:$D$505,Batches!$C$6:$C$505,B29)))</f>
        <v/>
      </c>
      <c r="O29" s="1" t="n"/>
      <c r="P29">
        <f>IF(B29="",0,SUMIFS(Recipes!$J$6:$J$405,Recipes!$B$6:$B$405,B29))</f>
        <v/>
      </c>
      <c r="Q29">
        <f>IF(B29="",0,SUMIFS(Recipes!$K$6:$K$405,Recipes!$B$6:$B$405,B29))</f>
        <v/>
      </c>
      <c r="R29">
        <f>IF(B29="",0,SUMIFS(Recipes!$L$6:$L$405,Recipes!$B$6:$B$405,B29))</f>
        <v/>
      </c>
      <c r="S29">
        <f>IF(B29="",0,SUMIFS(Recipes!$M$6:$M$405,Recipes!$B$6:$B$405,B29))</f>
        <v/>
      </c>
      <c r="T29">
        <f>IF(B29="",0,SUMIFS(Recipes!$N$6:$N$405,Recipes!$B$6:$B$405,B29))</f>
        <v/>
      </c>
      <c r="U29">
        <f>IF(B29="",0,SUMIFS(Recipes!$O$6:$O$405,Recipes!$B$6:$B$405,B29))</f>
        <v/>
      </c>
      <c r="V29">
        <f>IF(B29="",0,SUMIFS(Recipes!$P$6:$P$405,Recipes!$B$6:$B$405,B29))</f>
        <v/>
      </c>
      <c r="W29">
        <f>IF(B29="",0,SUMIFS(Recipes!$Q$6:$Q$405,Recipes!$B$6:$B$405,B29))</f>
        <v/>
      </c>
      <c r="X29">
        <f>IF(B29="",0,SUMIFS(Recipes!$R$6:$R$405,Recipes!$B$6:$B$405,B29))</f>
        <v/>
      </c>
      <c r="Y29">
        <f>IF(B29="",0,SUMIFS(Recipes!$S$6:$S$405,Recipes!$B$6:$B$405,B29))</f>
        <v/>
      </c>
      <c r="Z29">
        <f>IF(B29="",0,SUMIFS(Recipes!$T$6:$T$405,Recipes!$B$6:$B$405,B29))</f>
        <v/>
      </c>
      <c r="AA29">
        <f>IF(B29="",0,SUMIFS(Recipes!$U$6:$U$405,Recipes!$B$6:$B$405,B29))</f>
        <v/>
      </c>
      <c r="AB29">
        <f>IF(B29="",0,SUMIFS(Recipes!$V$6:$V$405,Recipes!$B$6:$B$405,B29))</f>
        <v/>
      </c>
      <c r="AC29">
        <f>IF(B29="",0,SUMIFS(Recipes!$W$6:$W$405,Recipes!$B$6:$B$405,B29))</f>
        <v/>
      </c>
      <c r="AD29">
        <f>IF(B29="",0,SUMIFS(Recipes!$X$6:$X$405,Recipes!$B$6:$B$405,B29))</f>
        <v/>
      </c>
      <c r="AE29">
        <f>IF(AND(P29&gt;0,Settings!$C$13&lt;&gt;""),Settings!$C$13&amp;", ","")&amp;IF(AND(Q29&gt;0,Settings!$C$14&lt;&gt;""),Settings!$C$14&amp;", ","")&amp;IF(AND(R29&gt;0,Settings!$C$15&lt;&gt;""),Settings!$C$15&amp;", ","")&amp;IF(AND(S29&gt;0,Settings!$C$16&lt;&gt;""),Settings!$C$16&amp;", ","")&amp;IF(AND(T29&gt;0,Settings!$C$17&lt;&gt;""),Settings!$C$17&amp;", ","")&amp;IF(AND(U29&gt;0,Settings!$C$18&lt;&gt;""),Settings!$C$18&amp;", ","")&amp;IF(AND(V29&gt;0,Settings!$C$19&lt;&gt;""),Settings!$C$19&amp;", ","")&amp;IF(AND(W29&gt;0,Settings!$C$20&lt;&gt;""),Settings!$C$20&amp;", ","")&amp;IF(AND(X29&gt;0,Settings!$C$21&lt;&gt;""),Settings!$C$21&amp;", ","")&amp;IF(AND(Y29&gt;0,Settings!$C$22&lt;&gt;""),Settings!$C$22&amp;", ","")&amp;IF(AND(Z29&gt;0,Settings!$C$23&lt;&gt;""),Settings!$C$23&amp;", ","")&amp;IF(AND(AA29&gt;0,Settings!$C$24&lt;&gt;""),Settings!$C$24&amp;", ","")&amp;IF(AND(AB29&gt;0,Settings!$C$25&lt;&gt;""),Settings!$C$25&amp;", ","")&amp;IF(AND(AC29&gt;0,Settings!$C$26&lt;&gt;""),Settings!$C$26&amp;", ","")&amp;IF(AND(AD29&gt;0,Settings!$C$27&lt;&gt;""),Settings!$C$27&amp;", ","")</f>
        <v/>
      </c>
    </row>
    <row r="30">
      <c r="A30" s="1" t="n"/>
      <c r="B30" s="21" t="n"/>
      <c r="C30" s="36" t="n"/>
      <c r="D30" s="22" t="n"/>
      <c r="E30" s="22" t="n"/>
      <c r="F30" s="37" t="n"/>
      <c r="G30" s="23" t="n"/>
      <c r="H30" s="26">
        <f>IF(B30="","",SUMIFS(Recipes!$F$6:$F$405,Recipes!$B$6:$B$405,B30))</f>
        <v/>
      </c>
      <c r="I30" s="26">
        <f>IF(OR(B30="",N(D30)=0),"",H30/D30)</f>
        <v/>
      </c>
      <c r="J30" s="26">
        <f>IF(OR(NOT(ISNUMBER(I30)),N(F30)=0),"",F30-I30)</f>
        <v/>
      </c>
      <c r="K30" s="19">
        <f>IF(NOT(ISNUMBER(J30)),"",J30/F30)</f>
        <v/>
      </c>
      <c r="L30" s="38">
        <f>IF(OR(B30="",AE30=""),"",LEFT(AE30,LEN(AE30)-2))</f>
        <v/>
      </c>
      <c r="M30" s="13">
        <f>IF(B30="","",SUMIFS(Batches!$K$6:$K$505,Batches!$C$6:$C$505,B30,Batches!$M$6:$M$505,"In stock")+SUMIFS(Batches!$K$6:$K$505,Batches!$C$6:$C$505,B30,Batches!$M$6:$M$505,"Use soon"))</f>
        <v/>
      </c>
      <c r="N30" s="19">
        <f>IF(B30="","",IF(SUMIFS(Batches!$D$6:$D$505,Batches!$C$6:$C$505,B30)=0,"",SUMIFS(Batches!$G$6:$G$505,Batches!$C$6:$C$505,B30)/SUMIFS(Batches!$D$6:$D$505,Batches!$C$6:$C$505,B30)))</f>
        <v/>
      </c>
      <c r="O30" s="1" t="n"/>
      <c r="P30">
        <f>IF(B30="",0,SUMIFS(Recipes!$J$6:$J$405,Recipes!$B$6:$B$405,B30))</f>
        <v/>
      </c>
      <c r="Q30">
        <f>IF(B30="",0,SUMIFS(Recipes!$K$6:$K$405,Recipes!$B$6:$B$405,B30))</f>
        <v/>
      </c>
      <c r="R30">
        <f>IF(B30="",0,SUMIFS(Recipes!$L$6:$L$405,Recipes!$B$6:$B$405,B30))</f>
        <v/>
      </c>
      <c r="S30">
        <f>IF(B30="",0,SUMIFS(Recipes!$M$6:$M$405,Recipes!$B$6:$B$405,B30))</f>
        <v/>
      </c>
      <c r="T30">
        <f>IF(B30="",0,SUMIFS(Recipes!$N$6:$N$405,Recipes!$B$6:$B$405,B30))</f>
        <v/>
      </c>
      <c r="U30">
        <f>IF(B30="",0,SUMIFS(Recipes!$O$6:$O$405,Recipes!$B$6:$B$405,B30))</f>
        <v/>
      </c>
      <c r="V30">
        <f>IF(B30="",0,SUMIFS(Recipes!$P$6:$P$405,Recipes!$B$6:$B$405,B30))</f>
        <v/>
      </c>
      <c r="W30">
        <f>IF(B30="",0,SUMIFS(Recipes!$Q$6:$Q$405,Recipes!$B$6:$B$405,B30))</f>
        <v/>
      </c>
      <c r="X30">
        <f>IF(B30="",0,SUMIFS(Recipes!$R$6:$R$405,Recipes!$B$6:$B$405,B30))</f>
        <v/>
      </c>
      <c r="Y30">
        <f>IF(B30="",0,SUMIFS(Recipes!$S$6:$S$405,Recipes!$B$6:$B$405,B30))</f>
        <v/>
      </c>
      <c r="Z30">
        <f>IF(B30="",0,SUMIFS(Recipes!$T$6:$T$405,Recipes!$B$6:$B$405,B30))</f>
        <v/>
      </c>
      <c r="AA30">
        <f>IF(B30="",0,SUMIFS(Recipes!$U$6:$U$405,Recipes!$B$6:$B$405,B30))</f>
        <v/>
      </c>
      <c r="AB30">
        <f>IF(B30="",0,SUMIFS(Recipes!$V$6:$V$405,Recipes!$B$6:$B$405,B30))</f>
        <v/>
      </c>
      <c r="AC30">
        <f>IF(B30="",0,SUMIFS(Recipes!$W$6:$W$405,Recipes!$B$6:$B$405,B30))</f>
        <v/>
      </c>
      <c r="AD30">
        <f>IF(B30="",0,SUMIFS(Recipes!$X$6:$X$405,Recipes!$B$6:$B$405,B30))</f>
        <v/>
      </c>
      <c r="AE30">
        <f>IF(AND(P30&gt;0,Settings!$C$13&lt;&gt;""),Settings!$C$13&amp;", ","")&amp;IF(AND(Q30&gt;0,Settings!$C$14&lt;&gt;""),Settings!$C$14&amp;", ","")&amp;IF(AND(R30&gt;0,Settings!$C$15&lt;&gt;""),Settings!$C$15&amp;", ","")&amp;IF(AND(S30&gt;0,Settings!$C$16&lt;&gt;""),Settings!$C$16&amp;", ","")&amp;IF(AND(T30&gt;0,Settings!$C$17&lt;&gt;""),Settings!$C$17&amp;", ","")&amp;IF(AND(U30&gt;0,Settings!$C$18&lt;&gt;""),Settings!$C$18&amp;", ","")&amp;IF(AND(V30&gt;0,Settings!$C$19&lt;&gt;""),Settings!$C$19&amp;", ","")&amp;IF(AND(W30&gt;0,Settings!$C$20&lt;&gt;""),Settings!$C$20&amp;", ","")&amp;IF(AND(X30&gt;0,Settings!$C$21&lt;&gt;""),Settings!$C$21&amp;", ","")&amp;IF(AND(Y30&gt;0,Settings!$C$22&lt;&gt;""),Settings!$C$22&amp;", ","")&amp;IF(AND(Z30&gt;0,Settings!$C$23&lt;&gt;""),Settings!$C$23&amp;", ","")&amp;IF(AND(AA30&gt;0,Settings!$C$24&lt;&gt;""),Settings!$C$24&amp;", ","")&amp;IF(AND(AB30&gt;0,Settings!$C$25&lt;&gt;""),Settings!$C$25&amp;", ","")&amp;IF(AND(AC30&gt;0,Settings!$C$26&lt;&gt;""),Settings!$C$26&amp;", ","")&amp;IF(AND(AD30&gt;0,Settings!$C$27&lt;&gt;""),Settings!$C$27&amp;", ","")</f>
        <v/>
      </c>
    </row>
    <row r="31">
      <c r="A31" s="1" t="n"/>
      <c r="B31" s="21" t="n"/>
      <c r="C31" s="36" t="n"/>
      <c r="D31" s="22" t="n"/>
      <c r="E31" s="22" t="n"/>
      <c r="F31" s="37" t="n"/>
      <c r="G31" s="23" t="n"/>
      <c r="H31" s="26">
        <f>IF(B31="","",SUMIFS(Recipes!$F$6:$F$405,Recipes!$B$6:$B$405,B31))</f>
        <v/>
      </c>
      <c r="I31" s="26">
        <f>IF(OR(B31="",N(D31)=0),"",H31/D31)</f>
        <v/>
      </c>
      <c r="J31" s="26">
        <f>IF(OR(NOT(ISNUMBER(I31)),N(F31)=0),"",F31-I31)</f>
        <v/>
      </c>
      <c r="K31" s="19">
        <f>IF(NOT(ISNUMBER(J31)),"",J31/F31)</f>
        <v/>
      </c>
      <c r="L31" s="38">
        <f>IF(OR(B31="",AE31=""),"",LEFT(AE31,LEN(AE31)-2))</f>
        <v/>
      </c>
      <c r="M31" s="13">
        <f>IF(B31="","",SUMIFS(Batches!$K$6:$K$505,Batches!$C$6:$C$505,B31,Batches!$M$6:$M$505,"In stock")+SUMIFS(Batches!$K$6:$K$505,Batches!$C$6:$C$505,B31,Batches!$M$6:$M$505,"Use soon"))</f>
        <v/>
      </c>
      <c r="N31" s="19">
        <f>IF(B31="","",IF(SUMIFS(Batches!$D$6:$D$505,Batches!$C$6:$C$505,B31)=0,"",SUMIFS(Batches!$G$6:$G$505,Batches!$C$6:$C$505,B31)/SUMIFS(Batches!$D$6:$D$505,Batches!$C$6:$C$505,B31)))</f>
        <v/>
      </c>
      <c r="O31" s="1" t="n"/>
      <c r="P31">
        <f>IF(B31="",0,SUMIFS(Recipes!$J$6:$J$405,Recipes!$B$6:$B$405,B31))</f>
        <v/>
      </c>
      <c r="Q31">
        <f>IF(B31="",0,SUMIFS(Recipes!$K$6:$K$405,Recipes!$B$6:$B$405,B31))</f>
        <v/>
      </c>
      <c r="R31">
        <f>IF(B31="",0,SUMIFS(Recipes!$L$6:$L$405,Recipes!$B$6:$B$405,B31))</f>
        <v/>
      </c>
      <c r="S31">
        <f>IF(B31="",0,SUMIFS(Recipes!$M$6:$M$405,Recipes!$B$6:$B$405,B31))</f>
        <v/>
      </c>
      <c r="T31">
        <f>IF(B31="",0,SUMIFS(Recipes!$N$6:$N$405,Recipes!$B$6:$B$405,B31))</f>
        <v/>
      </c>
      <c r="U31">
        <f>IF(B31="",0,SUMIFS(Recipes!$O$6:$O$405,Recipes!$B$6:$B$405,B31))</f>
        <v/>
      </c>
      <c r="V31">
        <f>IF(B31="",0,SUMIFS(Recipes!$P$6:$P$405,Recipes!$B$6:$B$405,B31))</f>
        <v/>
      </c>
      <c r="W31">
        <f>IF(B31="",0,SUMIFS(Recipes!$Q$6:$Q$405,Recipes!$B$6:$B$405,B31))</f>
        <v/>
      </c>
      <c r="X31">
        <f>IF(B31="",0,SUMIFS(Recipes!$R$6:$R$405,Recipes!$B$6:$B$405,B31))</f>
        <v/>
      </c>
      <c r="Y31">
        <f>IF(B31="",0,SUMIFS(Recipes!$S$6:$S$405,Recipes!$B$6:$B$405,B31))</f>
        <v/>
      </c>
      <c r="Z31">
        <f>IF(B31="",0,SUMIFS(Recipes!$T$6:$T$405,Recipes!$B$6:$B$405,B31))</f>
        <v/>
      </c>
      <c r="AA31">
        <f>IF(B31="",0,SUMIFS(Recipes!$U$6:$U$405,Recipes!$B$6:$B$405,B31))</f>
        <v/>
      </c>
      <c r="AB31">
        <f>IF(B31="",0,SUMIFS(Recipes!$V$6:$V$405,Recipes!$B$6:$B$405,B31))</f>
        <v/>
      </c>
      <c r="AC31">
        <f>IF(B31="",0,SUMIFS(Recipes!$W$6:$W$405,Recipes!$B$6:$B$405,B31))</f>
        <v/>
      </c>
      <c r="AD31">
        <f>IF(B31="",0,SUMIFS(Recipes!$X$6:$X$405,Recipes!$B$6:$B$405,B31))</f>
        <v/>
      </c>
      <c r="AE31">
        <f>IF(AND(P31&gt;0,Settings!$C$13&lt;&gt;""),Settings!$C$13&amp;", ","")&amp;IF(AND(Q31&gt;0,Settings!$C$14&lt;&gt;""),Settings!$C$14&amp;", ","")&amp;IF(AND(R31&gt;0,Settings!$C$15&lt;&gt;""),Settings!$C$15&amp;", ","")&amp;IF(AND(S31&gt;0,Settings!$C$16&lt;&gt;""),Settings!$C$16&amp;", ","")&amp;IF(AND(T31&gt;0,Settings!$C$17&lt;&gt;""),Settings!$C$17&amp;", ","")&amp;IF(AND(U31&gt;0,Settings!$C$18&lt;&gt;""),Settings!$C$18&amp;", ","")&amp;IF(AND(V31&gt;0,Settings!$C$19&lt;&gt;""),Settings!$C$19&amp;", ","")&amp;IF(AND(W31&gt;0,Settings!$C$20&lt;&gt;""),Settings!$C$20&amp;", ","")&amp;IF(AND(X31&gt;0,Settings!$C$21&lt;&gt;""),Settings!$C$21&amp;", ","")&amp;IF(AND(Y31&gt;0,Settings!$C$22&lt;&gt;""),Settings!$C$22&amp;", ","")&amp;IF(AND(Z31&gt;0,Settings!$C$23&lt;&gt;""),Settings!$C$23&amp;", ","")&amp;IF(AND(AA31&gt;0,Settings!$C$24&lt;&gt;""),Settings!$C$24&amp;", ","")&amp;IF(AND(AB31&gt;0,Settings!$C$25&lt;&gt;""),Settings!$C$25&amp;", ","")&amp;IF(AND(AC31&gt;0,Settings!$C$26&lt;&gt;""),Settings!$C$26&amp;", ","")&amp;IF(AND(AD31&gt;0,Settings!$C$27&lt;&gt;""),Settings!$C$27&amp;", ","")</f>
        <v/>
      </c>
    </row>
    <row r="32">
      <c r="A32" s="1" t="n"/>
      <c r="B32" s="21" t="n"/>
      <c r="C32" s="36" t="n"/>
      <c r="D32" s="22" t="n"/>
      <c r="E32" s="22" t="n"/>
      <c r="F32" s="37" t="n"/>
      <c r="G32" s="23" t="n"/>
      <c r="H32" s="26">
        <f>IF(B32="","",SUMIFS(Recipes!$F$6:$F$405,Recipes!$B$6:$B$405,B32))</f>
        <v/>
      </c>
      <c r="I32" s="26">
        <f>IF(OR(B32="",N(D32)=0),"",H32/D32)</f>
        <v/>
      </c>
      <c r="J32" s="26">
        <f>IF(OR(NOT(ISNUMBER(I32)),N(F32)=0),"",F32-I32)</f>
        <v/>
      </c>
      <c r="K32" s="19">
        <f>IF(NOT(ISNUMBER(J32)),"",J32/F32)</f>
        <v/>
      </c>
      <c r="L32" s="38">
        <f>IF(OR(B32="",AE32=""),"",LEFT(AE32,LEN(AE32)-2))</f>
        <v/>
      </c>
      <c r="M32" s="13">
        <f>IF(B32="","",SUMIFS(Batches!$K$6:$K$505,Batches!$C$6:$C$505,B32,Batches!$M$6:$M$505,"In stock")+SUMIFS(Batches!$K$6:$K$505,Batches!$C$6:$C$505,B32,Batches!$M$6:$M$505,"Use soon"))</f>
        <v/>
      </c>
      <c r="N32" s="19">
        <f>IF(B32="","",IF(SUMIFS(Batches!$D$6:$D$505,Batches!$C$6:$C$505,B32)=0,"",SUMIFS(Batches!$G$6:$G$505,Batches!$C$6:$C$505,B32)/SUMIFS(Batches!$D$6:$D$505,Batches!$C$6:$C$505,B32)))</f>
        <v/>
      </c>
      <c r="O32" s="1" t="n"/>
      <c r="P32">
        <f>IF(B32="",0,SUMIFS(Recipes!$J$6:$J$405,Recipes!$B$6:$B$405,B32))</f>
        <v/>
      </c>
      <c r="Q32">
        <f>IF(B32="",0,SUMIFS(Recipes!$K$6:$K$405,Recipes!$B$6:$B$405,B32))</f>
        <v/>
      </c>
      <c r="R32">
        <f>IF(B32="",0,SUMIFS(Recipes!$L$6:$L$405,Recipes!$B$6:$B$405,B32))</f>
        <v/>
      </c>
      <c r="S32">
        <f>IF(B32="",0,SUMIFS(Recipes!$M$6:$M$405,Recipes!$B$6:$B$405,B32))</f>
        <v/>
      </c>
      <c r="T32">
        <f>IF(B32="",0,SUMIFS(Recipes!$N$6:$N$405,Recipes!$B$6:$B$405,B32))</f>
        <v/>
      </c>
      <c r="U32">
        <f>IF(B32="",0,SUMIFS(Recipes!$O$6:$O$405,Recipes!$B$6:$B$405,B32))</f>
        <v/>
      </c>
      <c r="V32">
        <f>IF(B32="",0,SUMIFS(Recipes!$P$6:$P$405,Recipes!$B$6:$B$405,B32))</f>
        <v/>
      </c>
      <c r="W32">
        <f>IF(B32="",0,SUMIFS(Recipes!$Q$6:$Q$405,Recipes!$B$6:$B$405,B32))</f>
        <v/>
      </c>
      <c r="X32">
        <f>IF(B32="",0,SUMIFS(Recipes!$R$6:$R$405,Recipes!$B$6:$B$405,B32))</f>
        <v/>
      </c>
      <c r="Y32">
        <f>IF(B32="",0,SUMIFS(Recipes!$S$6:$S$405,Recipes!$B$6:$B$405,B32))</f>
        <v/>
      </c>
      <c r="Z32">
        <f>IF(B32="",0,SUMIFS(Recipes!$T$6:$T$405,Recipes!$B$6:$B$405,B32))</f>
        <v/>
      </c>
      <c r="AA32">
        <f>IF(B32="",0,SUMIFS(Recipes!$U$6:$U$405,Recipes!$B$6:$B$405,B32))</f>
        <v/>
      </c>
      <c r="AB32">
        <f>IF(B32="",0,SUMIFS(Recipes!$V$6:$V$405,Recipes!$B$6:$B$405,B32))</f>
        <v/>
      </c>
      <c r="AC32">
        <f>IF(B32="",0,SUMIFS(Recipes!$W$6:$W$405,Recipes!$B$6:$B$405,B32))</f>
        <v/>
      </c>
      <c r="AD32">
        <f>IF(B32="",0,SUMIFS(Recipes!$X$6:$X$405,Recipes!$B$6:$B$405,B32))</f>
        <v/>
      </c>
      <c r="AE32">
        <f>IF(AND(P32&gt;0,Settings!$C$13&lt;&gt;""),Settings!$C$13&amp;", ","")&amp;IF(AND(Q32&gt;0,Settings!$C$14&lt;&gt;""),Settings!$C$14&amp;", ","")&amp;IF(AND(R32&gt;0,Settings!$C$15&lt;&gt;""),Settings!$C$15&amp;", ","")&amp;IF(AND(S32&gt;0,Settings!$C$16&lt;&gt;""),Settings!$C$16&amp;", ","")&amp;IF(AND(T32&gt;0,Settings!$C$17&lt;&gt;""),Settings!$C$17&amp;", ","")&amp;IF(AND(U32&gt;0,Settings!$C$18&lt;&gt;""),Settings!$C$18&amp;", ","")&amp;IF(AND(V32&gt;0,Settings!$C$19&lt;&gt;""),Settings!$C$19&amp;", ","")&amp;IF(AND(W32&gt;0,Settings!$C$20&lt;&gt;""),Settings!$C$20&amp;", ","")&amp;IF(AND(X32&gt;0,Settings!$C$21&lt;&gt;""),Settings!$C$21&amp;", ","")&amp;IF(AND(Y32&gt;0,Settings!$C$22&lt;&gt;""),Settings!$C$22&amp;", ","")&amp;IF(AND(Z32&gt;0,Settings!$C$23&lt;&gt;""),Settings!$C$23&amp;", ","")&amp;IF(AND(AA32&gt;0,Settings!$C$24&lt;&gt;""),Settings!$C$24&amp;", ","")&amp;IF(AND(AB32&gt;0,Settings!$C$25&lt;&gt;""),Settings!$C$25&amp;", ","")&amp;IF(AND(AC32&gt;0,Settings!$C$26&lt;&gt;""),Settings!$C$26&amp;", ","")&amp;IF(AND(AD32&gt;0,Settings!$C$27&lt;&gt;""),Settings!$C$27&amp;", ","")</f>
        <v/>
      </c>
    </row>
    <row r="33">
      <c r="A33" s="1" t="n"/>
      <c r="B33" s="21" t="n"/>
      <c r="C33" s="36" t="n"/>
      <c r="D33" s="22" t="n"/>
      <c r="E33" s="22" t="n"/>
      <c r="F33" s="37" t="n"/>
      <c r="G33" s="23" t="n"/>
      <c r="H33" s="26">
        <f>IF(B33="","",SUMIFS(Recipes!$F$6:$F$405,Recipes!$B$6:$B$405,B33))</f>
        <v/>
      </c>
      <c r="I33" s="26">
        <f>IF(OR(B33="",N(D33)=0),"",H33/D33)</f>
        <v/>
      </c>
      <c r="J33" s="26">
        <f>IF(OR(NOT(ISNUMBER(I33)),N(F33)=0),"",F33-I33)</f>
        <v/>
      </c>
      <c r="K33" s="19">
        <f>IF(NOT(ISNUMBER(J33)),"",J33/F33)</f>
        <v/>
      </c>
      <c r="L33" s="38">
        <f>IF(OR(B33="",AE33=""),"",LEFT(AE33,LEN(AE33)-2))</f>
        <v/>
      </c>
      <c r="M33" s="13">
        <f>IF(B33="","",SUMIFS(Batches!$K$6:$K$505,Batches!$C$6:$C$505,B33,Batches!$M$6:$M$505,"In stock")+SUMIFS(Batches!$K$6:$K$505,Batches!$C$6:$C$505,B33,Batches!$M$6:$M$505,"Use soon"))</f>
        <v/>
      </c>
      <c r="N33" s="19">
        <f>IF(B33="","",IF(SUMIFS(Batches!$D$6:$D$505,Batches!$C$6:$C$505,B33)=0,"",SUMIFS(Batches!$G$6:$G$505,Batches!$C$6:$C$505,B33)/SUMIFS(Batches!$D$6:$D$505,Batches!$C$6:$C$505,B33)))</f>
        <v/>
      </c>
      <c r="O33" s="1" t="n"/>
      <c r="P33">
        <f>IF(B33="",0,SUMIFS(Recipes!$J$6:$J$405,Recipes!$B$6:$B$405,B33))</f>
        <v/>
      </c>
      <c r="Q33">
        <f>IF(B33="",0,SUMIFS(Recipes!$K$6:$K$405,Recipes!$B$6:$B$405,B33))</f>
        <v/>
      </c>
      <c r="R33">
        <f>IF(B33="",0,SUMIFS(Recipes!$L$6:$L$405,Recipes!$B$6:$B$405,B33))</f>
        <v/>
      </c>
      <c r="S33">
        <f>IF(B33="",0,SUMIFS(Recipes!$M$6:$M$405,Recipes!$B$6:$B$405,B33))</f>
        <v/>
      </c>
      <c r="T33">
        <f>IF(B33="",0,SUMIFS(Recipes!$N$6:$N$405,Recipes!$B$6:$B$405,B33))</f>
        <v/>
      </c>
      <c r="U33">
        <f>IF(B33="",0,SUMIFS(Recipes!$O$6:$O$405,Recipes!$B$6:$B$405,B33))</f>
        <v/>
      </c>
      <c r="V33">
        <f>IF(B33="",0,SUMIFS(Recipes!$P$6:$P$405,Recipes!$B$6:$B$405,B33))</f>
        <v/>
      </c>
      <c r="W33">
        <f>IF(B33="",0,SUMIFS(Recipes!$Q$6:$Q$405,Recipes!$B$6:$B$405,B33))</f>
        <v/>
      </c>
      <c r="X33">
        <f>IF(B33="",0,SUMIFS(Recipes!$R$6:$R$405,Recipes!$B$6:$B$405,B33))</f>
        <v/>
      </c>
      <c r="Y33">
        <f>IF(B33="",0,SUMIFS(Recipes!$S$6:$S$405,Recipes!$B$6:$B$405,B33))</f>
        <v/>
      </c>
      <c r="Z33">
        <f>IF(B33="",0,SUMIFS(Recipes!$T$6:$T$405,Recipes!$B$6:$B$405,B33))</f>
        <v/>
      </c>
      <c r="AA33">
        <f>IF(B33="",0,SUMIFS(Recipes!$U$6:$U$405,Recipes!$B$6:$B$405,B33))</f>
        <v/>
      </c>
      <c r="AB33">
        <f>IF(B33="",0,SUMIFS(Recipes!$V$6:$V$405,Recipes!$B$6:$B$405,B33))</f>
        <v/>
      </c>
      <c r="AC33">
        <f>IF(B33="",0,SUMIFS(Recipes!$W$6:$W$405,Recipes!$B$6:$B$405,B33))</f>
        <v/>
      </c>
      <c r="AD33">
        <f>IF(B33="",0,SUMIFS(Recipes!$X$6:$X$405,Recipes!$B$6:$B$405,B33))</f>
        <v/>
      </c>
      <c r="AE33">
        <f>IF(AND(P33&gt;0,Settings!$C$13&lt;&gt;""),Settings!$C$13&amp;", ","")&amp;IF(AND(Q33&gt;0,Settings!$C$14&lt;&gt;""),Settings!$C$14&amp;", ","")&amp;IF(AND(R33&gt;0,Settings!$C$15&lt;&gt;""),Settings!$C$15&amp;", ","")&amp;IF(AND(S33&gt;0,Settings!$C$16&lt;&gt;""),Settings!$C$16&amp;", ","")&amp;IF(AND(T33&gt;0,Settings!$C$17&lt;&gt;""),Settings!$C$17&amp;", ","")&amp;IF(AND(U33&gt;0,Settings!$C$18&lt;&gt;""),Settings!$C$18&amp;", ","")&amp;IF(AND(V33&gt;0,Settings!$C$19&lt;&gt;""),Settings!$C$19&amp;", ","")&amp;IF(AND(W33&gt;0,Settings!$C$20&lt;&gt;""),Settings!$C$20&amp;", ","")&amp;IF(AND(X33&gt;0,Settings!$C$21&lt;&gt;""),Settings!$C$21&amp;", ","")&amp;IF(AND(Y33&gt;0,Settings!$C$22&lt;&gt;""),Settings!$C$22&amp;", ","")&amp;IF(AND(Z33&gt;0,Settings!$C$23&lt;&gt;""),Settings!$C$23&amp;", ","")&amp;IF(AND(AA33&gt;0,Settings!$C$24&lt;&gt;""),Settings!$C$24&amp;", ","")&amp;IF(AND(AB33&gt;0,Settings!$C$25&lt;&gt;""),Settings!$C$25&amp;", ","")&amp;IF(AND(AC33&gt;0,Settings!$C$26&lt;&gt;""),Settings!$C$26&amp;", ","")&amp;IF(AND(AD33&gt;0,Settings!$C$27&lt;&gt;""),Settings!$C$27&amp;", ","")</f>
        <v/>
      </c>
    </row>
    <row r="34">
      <c r="A34" s="1" t="n"/>
      <c r="B34" s="21" t="n"/>
      <c r="C34" s="36" t="n"/>
      <c r="D34" s="22" t="n"/>
      <c r="E34" s="22" t="n"/>
      <c r="F34" s="37" t="n"/>
      <c r="G34" s="23" t="n"/>
      <c r="H34" s="26">
        <f>IF(B34="","",SUMIFS(Recipes!$F$6:$F$405,Recipes!$B$6:$B$405,B34))</f>
        <v/>
      </c>
      <c r="I34" s="26">
        <f>IF(OR(B34="",N(D34)=0),"",H34/D34)</f>
        <v/>
      </c>
      <c r="J34" s="26">
        <f>IF(OR(NOT(ISNUMBER(I34)),N(F34)=0),"",F34-I34)</f>
        <v/>
      </c>
      <c r="K34" s="19">
        <f>IF(NOT(ISNUMBER(J34)),"",J34/F34)</f>
        <v/>
      </c>
      <c r="L34" s="38">
        <f>IF(OR(B34="",AE34=""),"",LEFT(AE34,LEN(AE34)-2))</f>
        <v/>
      </c>
      <c r="M34" s="13">
        <f>IF(B34="","",SUMIFS(Batches!$K$6:$K$505,Batches!$C$6:$C$505,B34,Batches!$M$6:$M$505,"In stock")+SUMIFS(Batches!$K$6:$K$505,Batches!$C$6:$C$505,B34,Batches!$M$6:$M$505,"Use soon"))</f>
        <v/>
      </c>
      <c r="N34" s="19">
        <f>IF(B34="","",IF(SUMIFS(Batches!$D$6:$D$505,Batches!$C$6:$C$505,B34)=0,"",SUMIFS(Batches!$G$6:$G$505,Batches!$C$6:$C$505,B34)/SUMIFS(Batches!$D$6:$D$505,Batches!$C$6:$C$505,B34)))</f>
        <v/>
      </c>
      <c r="O34" s="1" t="n"/>
      <c r="P34">
        <f>IF(B34="",0,SUMIFS(Recipes!$J$6:$J$405,Recipes!$B$6:$B$405,B34))</f>
        <v/>
      </c>
      <c r="Q34">
        <f>IF(B34="",0,SUMIFS(Recipes!$K$6:$K$405,Recipes!$B$6:$B$405,B34))</f>
        <v/>
      </c>
      <c r="R34">
        <f>IF(B34="",0,SUMIFS(Recipes!$L$6:$L$405,Recipes!$B$6:$B$405,B34))</f>
        <v/>
      </c>
      <c r="S34">
        <f>IF(B34="",0,SUMIFS(Recipes!$M$6:$M$405,Recipes!$B$6:$B$405,B34))</f>
        <v/>
      </c>
      <c r="T34">
        <f>IF(B34="",0,SUMIFS(Recipes!$N$6:$N$405,Recipes!$B$6:$B$405,B34))</f>
        <v/>
      </c>
      <c r="U34">
        <f>IF(B34="",0,SUMIFS(Recipes!$O$6:$O$405,Recipes!$B$6:$B$405,B34))</f>
        <v/>
      </c>
      <c r="V34">
        <f>IF(B34="",0,SUMIFS(Recipes!$P$6:$P$405,Recipes!$B$6:$B$405,B34))</f>
        <v/>
      </c>
      <c r="W34">
        <f>IF(B34="",0,SUMIFS(Recipes!$Q$6:$Q$405,Recipes!$B$6:$B$405,B34))</f>
        <v/>
      </c>
      <c r="X34">
        <f>IF(B34="",0,SUMIFS(Recipes!$R$6:$R$405,Recipes!$B$6:$B$405,B34))</f>
        <v/>
      </c>
      <c r="Y34">
        <f>IF(B34="",0,SUMIFS(Recipes!$S$6:$S$405,Recipes!$B$6:$B$405,B34))</f>
        <v/>
      </c>
      <c r="Z34">
        <f>IF(B34="",0,SUMIFS(Recipes!$T$6:$T$405,Recipes!$B$6:$B$405,B34))</f>
        <v/>
      </c>
      <c r="AA34">
        <f>IF(B34="",0,SUMIFS(Recipes!$U$6:$U$405,Recipes!$B$6:$B$405,B34))</f>
        <v/>
      </c>
      <c r="AB34">
        <f>IF(B34="",0,SUMIFS(Recipes!$V$6:$V$405,Recipes!$B$6:$B$405,B34))</f>
        <v/>
      </c>
      <c r="AC34">
        <f>IF(B34="",0,SUMIFS(Recipes!$W$6:$W$405,Recipes!$B$6:$B$405,B34))</f>
        <v/>
      </c>
      <c r="AD34">
        <f>IF(B34="",0,SUMIFS(Recipes!$X$6:$X$405,Recipes!$B$6:$B$405,B34))</f>
        <v/>
      </c>
      <c r="AE34">
        <f>IF(AND(P34&gt;0,Settings!$C$13&lt;&gt;""),Settings!$C$13&amp;", ","")&amp;IF(AND(Q34&gt;0,Settings!$C$14&lt;&gt;""),Settings!$C$14&amp;", ","")&amp;IF(AND(R34&gt;0,Settings!$C$15&lt;&gt;""),Settings!$C$15&amp;", ","")&amp;IF(AND(S34&gt;0,Settings!$C$16&lt;&gt;""),Settings!$C$16&amp;", ","")&amp;IF(AND(T34&gt;0,Settings!$C$17&lt;&gt;""),Settings!$C$17&amp;", ","")&amp;IF(AND(U34&gt;0,Settings!$C$18&lt;&gt;""),Settings!$C$18&amp;", ","")&amp;IF(AND(V34&gt;0,Settings!$C$19&lt;&gt;""),Settings!$C$19&amp;", ","")&amp;IF(AND(W34&gt;0,Settings!$C$20&lt;&gt;""),Settings!$C$20&amp;", ","")&amp;IF(AND(X34&gt;0,Settings!$C$21&lt;&gt;""),Settings!$C$21&amp;", ","")&amp;IF(AND(Y34&gt;0,Settings!$C$22&lt;&gt;""),Settings!$C$22&amp;", ","")&amp;IF(AND(Z34&gt;0,Settings!$C$23&lt;&gt;""),Settings!$C$23&amp;", ","")&amp;IF(AND(AA34&gt;0,Settings!$C$24&lt;&gt;""),Settings!$C$24&amp;", ","")&amp;IF(AND(AB34&gt;0,Settings!$C$25&lt;&gt;""),Settings!$C$25&amp;", ","")&amp;IF(AND(AC34&gt;0,Settings!$C$26&lt;&gt;""),Settings!$C$26&amp;", ","")&amp;IF(AND(AD34&gt;0,Settings!$C$27&lt;&gt;""),Settings!$C$27&amp;", ","")</f>
        <v/>
      </c>
    </row>
    <row r="35">
      <c r="A35" s="1" t="n"/>
      <c r="B35" s="21" t="n"/>
      <c r="C35" s="36" t="n"/>
      <c r="D35" s="22" t="n"/>
      <c r="E35" s="22" t="n"/>
      <c r="F35" s="37" t="n"/>
      <c r="G35" s="23" t="n"/>
      <c r="H35" s="26">
        <f>IF(B35="","",SUMIFS(Recipes!$F$6:$F$405,Recipes!$B$6:$B$405,B35))</f>
        <v/>
      </c>
      <c r="I35" s="26">
        <f>IF(OR(B35="",N(D35)=0),"",H35/D35)</f>
        <v/>
      </c>
      <c r="J35" s="26">
        <f>IF(OR(NOT(ISNUMBER(I35)),N(F35)=0),"",F35-I35)</f>
        <v/>
      </c>
      <c r="K35" s="19">
        <f>IF(NOT(ISNUMBER(J35)),"",J35/F35)</f>
        <v/>
      </c>
      <c r="L35" s="38">
        <f>IF(OR(B35="",AE35=""),"",LEFT(AE35,LEN(AE35)-2))</f>
        <v/>
      </c>
      <c r="M35" s="13">
        <f>IF(B35="","",SUMIFS(Batches!$K$6:$K$505,Batches!$C$6:$C$505,B35,Batches!$M$6:$M$505,"In stock")+SUMIFS(Batches!$K$6:$K$505,Batches!$C$6:$C$505,B35,Batches!$M$6:$M$505,"Use soon"))</f>
        <v/>
      </c>
      <c r="N35" s="19">
        <f>IF(B35="","",IF(SUMIFS(Batches!$D$6:$D$505,Batches!$C$6:$C$505,B35)=0,"",SUMIFS(Batches!$G$6:$G$505,Batches!$C$6:$C$505,B35)/SUMIFS(Batches!$D$6:$D$505,Batches!$C$6:$C$505,B35)))</f>
        <v/>
      </c>
      <c r="O35" s="1" t="n"/>
      <c r="P35">
        <f>IF(B35="",0,SUMIFS(Recipes!$J$6:$J$405,Recipes!$B$6:$B$405,B35))</f>
        <v/>
      </c>
      <c r="Q35">
        <f>IF(B35="",0,SUMIFS(Recipes!$K$6:$K$405,Recipes!$B$6:$B$405,B35))</f>
        <v/>
      </c>
      <c r="R35">
        <f>IF(B35="",0,SUMIFS(Recipes!$L$6:$L$405,Recipes!$B$6:$B$405,B35))</f>
        <v/>
      </c>
      <c r="S35">
        <f>IF(B35="",0,SUMIFS(Recipes!$M$6:$M$405,Recipes!$B$6:$B$405,B35))</f>
        <v/>
      </c>
      <c r="T35">
        <f>IF(B35="",0,SUMIFS(Recipes!$N$6:$N$405,Recipes!$B$6:$B$405,B35))</f>
        <v/>
      </c>
      <c r="U35">
        <f>IF(B35="",0,SUMIFS(Recipes!$O$6:$O$405,Recipes!$B$6:$B$405,B35))</f>
        <v/>
      </c>
      <c r="V35">
        <f>IF(B35="",0,SUMIFS(Recipes!$P$6:$P$405,Recipes!$B$6:$B$405,B35))</f>
        <v/>
      </c>
      <c r="W35">
        <f>IF(B35="",0,SUMIFS(Recipes!$Q$6:$Q$405,Recipes!$B$6:$B$405,B35))</f>
        <v/>
      </c>
      <c r="X35">
        <f>IF(B35="",0,SUMIFS(Recipes!$R$6:$R$405,Recipes!$B$6:$B$405,B35))</f>
        <v/>
      </c>
      <c r="Y35">
        <f>IF(B35="",0,SUMIFS(Recipes!$S$6:$S$405,Recipes!$B$6:$B$405,B35))</f>
        <v/>
      </c>
      <c r="Z35">
        <f>IF(B35="",0,SUMIFS(Recipes!$T$6:$T$405,Recipes!$B$6:$B$405,B35))</f>
        <v/>
      </c>
      <c r="AA35">
        <f>IF(B35="",0,SUMIFS(Recipes!$U$6:$U$405,Recipes!$B$6:$B$405,B35))</f>
        <v/>
      </c>
      <c r="AB35">
        <f>IF(B35="",0,SUMIFS(Recipes!$V$6:$V$405,Recipes!$B$6:$B$405,B35))</f>
        <v/>
      </c>
      <c r="AC35">
        <f>IF(B35="",0,SUMIFS(Recipes!$W$6:$W$405,Recipes!$B$6:$B$405,B35))</f>
        <v/>
      </c>
      <c r="AD35">
        <f>IF(B35="",0,SUMIFS(Recipes!$X$6:$X$405,Recipes!$B$6:$B$405,B35))</f>
        <v/>
      </c>
      <c r="AE35">
        <f>IF(AND(P35&gt;0,Settings!$C$13&lt;&gt;""),Settings!$C$13&amp;", ","")&amp;IF(AND(Q35&gt;0,Settings!$C$14&lt;&gt;""),Settings!$C$14&amp;", ","")&amp;IF(AND(R35&gt;0,Settings!$C$15&lt;&gt;""),Settings!$C$15&amp;", ","")&amp;IF(AND(S35&gt;0,Settings!$C$16&lt;&gt;""),Settings!$C$16&amp;", ","")&amp;IF(AND(T35&gt;0,Settings!$C$17&lt;&gt;""),Settings!$C$17&amp;", ","")&amp;IF(AND(U35&gt;0,Settings!$C$18&lt;&gt;""),Settings!$C$18&amp;", ","")&amp;IF(AND(V35&gt;0,Settings!$C$19&lt;&gt;""),Settings!$C$19&amp;", ","")&amp;IF(AND(W35&gt;0,Settings!$C$20&lt;&gt;""),Settings!$C$20&amp;", ","")&amp;IF(AND(X35&gt;0,Settings!$C$21&lt;&gt;""),Settings!$C$21&amp;", ","")&amp;IF(AND(Y35&gt;0,Settings!$C$22&lt;&gt;""),Settings!$C$22&amp;", ","")&amp;IF(AND(Z35&gt;0,Settings!$C$23&lt;&gt;""),Settings!$C$23&amp;", ","")&amp;IF(AND(AA35&gt;0,Settings!$C$24&lt;&gt;""),Settings!$C$24&amp;", ","")&amp;IF(AND(AB35&gt;0,Settings!$C$25&lt;&gt;""),Settings!$C$25&amp;", ","")&amp;IF(AND(AC35&gt;0,Settings!$C$26&lt;&gt;""),Settings!$C$26&amp;", ","")&amp;IF(AND(AD35&gt;0,Settings!$C$27&lt;&gt;""),Settings!$C$27&amp;", ","")</f>
        <v/>
      </c>
    </row>
    <row r="36">
      <c r="A36" s="1" t="n"/>
      <c r="B36" s="21" t="n"/>
      <c r="C36" s="36" t="n"/>
      <c r="D36" s="22" t="n"/>
      <c r="E36" s="22" t="n"/>
      <c r="F36" s="37" t="n"/>
      <c r="G36" s="23" t="n"/>
      <c r="H36" s="26">
        <f>IF(B36="","",SUMIFS(Recipes!$F$6:$F$405,Recipes!$B$6:$B$405,B36))</f>
        <v/>
      </c>
      <c r="I36" s="26">
        <f>IF(OR(B36="",N(D36)=0),"",H36/D36)</f>
        <v/>
      </c>
      <c r="J36" s="26">
        <f>IF(OR(NOT(ISNUMBER(I36)),N(F36)=0),"",F36-I36)</f>
        <v/>
      </c>
      <c r="K36" s="19">
        <f>IF(NOT(ISNUMBER(J36)),"",J36/F36)</f>
        <v/>
      </c>
      <c r="L36" s="38">
        <f>IF(OR(B36="",AE36=""),"",LEFT(AE36,LEN(AE36)-2))</f>
        <v/>
      </c>
      <c r="M36" s="13">
        <f>IF(B36="","",SUMIFS(Batches!$K$6:$K$505,Batches!$C$6:$C$505,B36,Batches!$M$6:$M$505,"In stock")+SUMIFS(Batches!$K$6:$K$505,Batches!$C$6:$C$505,B36,Batches!$M$6:$M$505,"Use soon"))</f>
        <v/>
      </c>
      <c r="N36" s="19">
        <f>IF(B36="","",IF(SUMIFS(Batches!$D$6:$D$505,Batches!$C$6:$C$505,B36)=0,"",SUMIFS(Batches!$G$6:$G$505,Batches!$C$6:$C$505,B36)/SUMIFS(Batches!$D$6:$D$505,Batches!$C$6:$C$505,B36)))</f>
        <v/>
      </c>
      <c r="O36" s="1" t="n"/>
      <c r="P36">
        <f>IF(B36="",0,SUMIFS(Recipes!$J$6:$J$405,Recipes!$B$6:$B$405,B36))</f>
        <v/>
      </c>
      <c r="Q36">
        <f>IF(B36="",0,SUMIFS(Recipes!$K$6:$K$405,Recipes!$B$6:$B$405,B36))</f>
        <v/>
      </c>
      <c r="R36">
        <f>IF(B36="",0,SUMIFS(Recipes!$L$6:$L$405,Recipes!$B$6:$B$405,B36))</f>
        <v/>
      </c>
      <c r="S36">
        <f>IF(B36="",0,SUMIFS(Recipes!$M$6:$M$405,Recipes!$B$6:$B$405,B36))</f>
        <v/>
      </c>
      <c r="T36">
        <f>IF(B36="",0,SUMIFS(Recipes!$N$6:$N$405,Recipes!$B$6:$B$405,B36))</f>
        <v/>
      </c>
      <c r="U36">
        <f>IF(B36="",0,SUMIFS(Recipes!$O$6:$O$405,Recipes!$B$6:$B$405,B36))</f>
        <v/>
      </c>
      <c r="V36">
        <f>IF(B36="",0,SUMIFS(Recipes!$P$6:$P$405,Recipes!$B$6:$B$405,B36))</f>
        <v/>
      </c>
      <c r="W36">
        <f>IF(B36="",0,SUMIFS(Recipes!$Q$6:$Q$405,Recipes!$B$6:$B$405,B36))</f>
        <v/>
      </c>
      <c r="X36">
        <f>IF(B36="",0,SUMIFS(Recipes!$R$6:$R$405,Recipes!$B$6:$B$405,B36))</f>
        <v/>
      </c>
      <c r="Y36">
        <f>IF(B36="",0,SUMIFS(Recipes!$S$6:$S$405,Recipes!$B$6:$B$405,B36))</f>
        <v/>
      </c>
      <c r="Z36">
        <f>IF(B36="",0,SUMIFS(Recipes!$T$6:$T$405,Recipes!$B$6:$B$405,B36))</f>
        <v/>
      </c>
      <c r="AA36">
        <f>IF(B36="",0,SUMIFS(Recipes!$U$6:$U$405,Recipes!$B$6:$B$405,B36))</f>
        <v/>
      </c>
      <c r="AB36">
        <f>IF(B36="",0,SUMIFS(Recipes!$V$6:$V$405,Recipes!$B$6:$B$405,B36))</f>
        <v/>
      </c>
      <c r="AC36">
        <f>IF(B36="",0,SUMIFS(Recipes!$W$6:$W$405,Recipes!$B$6:$B$405,B36))</f>
        <v/>
      </c>
      <c r="AD36">
        <f>IF(B36="",0,SUMIFS(Recipes!$X$6:$X$405,Recipes!$B$6:$B$405,B36))</f>
        <v/>
      </c>
      <c r="AE36">
        <f>IF(AND(P36&gt;0,Settings!$C$13&lt;&gt;""),Settings!$C$13&amp;", ","")&amp;IF(AND(Q36&gt;0,Settings!$C$14&lt;&gt;""),Settings!$C$14&amp;", ","")&amp;IF(AND(R36&gt;0,Settings!$C$15&lt;&gt;""),Settings!$C$15&amp;", ","")&amp;IF(AND(S36&gt;0,Settings!$C$16&lt;&gt;""),Settings!$C$16&amp;", ","")&amp;IF(AND(T36&gt;0,Settings!$C$17&lt;&gt;""),Settings!$C$17&amp;", ","")&amp;IF(AND(U36&gt;0,Settings!$C$18&lt;&gt;""),Settings!$C$18&amp;", ","")&amp;IF(AND(V36&gt;0,Settings!$C$19&lt;&gt;""),Settings!$C$19&amp;", ","")&amp;IF(AND(W36&gt;0,Settings!$C$20&lt;&gt;""),Settings!$C$20&amp;", ","")&amp;IF(AND(X36&gt;0,Settings!$C$21&lt;&gt;""),Settings!$C$21&amp;", ","")&amp;IF(AND(Y36&gt;0,Settings!$C$22&lt;&gt;""),Settings!$C$22&amp;", ","")&amp;IF(AND(Z36&gt;0,Settings!$C$23&lt;&gt;""),Settings!$C$23&amp;", ","")&amp;IF(AND(AA36&gt;0,Settings!$C$24&lt;&gt;""),Settings!$C$24&amp;", ","")&amp;IF(AND(AB36&gt;0,Settings!$C$25&lt;&gt;""),Settings!$C$25&amp;", ","")&amp;IF(AND(AC36&gt;0,Settings!$C$26&lt;&gt;""),Settings!$C$26&amp;", ","")&amp;IF(AND(AD36&gt;0,Settings!$C$27&lt;&gt;""),Settings!$C$27&amp;", ","")</f>
        <v/>
      </c>
    </row>
    <row r="37">
      <c r="A37" s="1" t="n"/>
      <c r="B37" s="21" t="n"/>
      <c r="C37" s="36" t="n"/>
      <c r="D37" s="22" t="n"/>
      <c r="E37" s="22" t="n"/>
      <c r="F37" s="37" t="n"/>
      <c r="G37" s="23" t="n"/>
      <c r="H37" s="26">
        <f>IF(B37="","",SUMIFS(Recipes!$F$6:$F$405,Recipes!$B$6:$B$405,B37))</f>
        <v/>
      </c>
      <c r="I37" s="26">
        <f>IF(OR(B37="",N(D37)=0),"",H37/D37)</f>
        <v/>
      </c>
      <c r="J37" s="26">
        <f>IF(OR(NOT(ISNUMBER(I37)),N(F37)=0),"",F37-I37)</f>
        <v/>
      </c>
      <c r="K37" s="19">
        <f>IF(NOT(ISNUMBER(J37)),"",J37/F37)</f>
        <v/>
      </c>
      <c r="L37" s="38">
        <f>IF(OR(B37="",AE37=""),"",LEFT(AE37,LEN(AE37)-2))</f>
        <v/>
      </c>
      <c r="M37" s="13">
        <f>IF(B37="","",SUMIFS(Batches!$K$6:$K$505,Batches!$C$6:$C$505,B37,Batches!$M$6:$M$505,"In stock")+SUMIFS(Batches!$K$6:$K$505,Batches!$C$6:$C$505,B37,Batches!$M$6:$M$505,"Use soon"))</f>
        <v/>
      </c>
      <c r="N37" s="19">
        <f>IF(B37="","",IF(SUMIFS(Batches!$D$6:$D$505,Batches!$C$6:$C$505,B37)=0,"",SUMIFS(Batches!$G$6:$G$505,Batches!$C$6:$C$505,B37)/SUMIFS(Batches!$D$6:$D$505,Batches!$C$6:$C$505,B37)))</f>
        <v/>
      </c>
      <c r="O37" s="1" t="n"/>
      <c r="P37">
        <f>IF(B37="",0,SUMIFS(Recipes!$J$6:$J$405,Recipes!$B$6:$B$405,B37))</f>
        <v/>
      </c>
      <c r="Q37">
        <f>IF(B37="",0,SUMIFS(Recipes!$K$6:$K$405,Recipes!$B$6:$B$405,B37))</f>
        <v/>
      </c>
      <c r="R37">
        <f>IF(B37="",0,SUMIFS(Recipes!$L$6:$L$405,Recipes!$B$6:$B$405,B37))</f>
        <v/>
      </c>
      <c r="S37">
        <f>IF(B37="",0,SUMIFS(Recipes!$M$6:$M$405,Recipes!$B$6:$B$405,B37))</f>
        <v/>
      </c>
      <c r="T37">
        <f>IF(B37="",0,SUMIFS(Recipes!$N$6:$N$405,Recipes!$B$6:$B$405,B37))</f>
        <v/>
      </c>
      <c r="U37">
        <f>IF(B37="",0,SUMIFS(Recipes!$O$6:$O$405,Recipes!$B$6:$B$405,B37))</f>
        <v/>
      </c>
      <c r="V37">
        <f>IF(B37="",0,SUMIFS(Recipes!$P$6:$P$405,Recipes!$B$6:$B$405,B37))</f>
        <v/>
      </c>
      <c r="W37">
        <f>IF(B37="",0,SUMIFS(Recipes!$Q$6:$Q$405,Recipes!$B$6:$B$405,B37))</f>
        <v/>
      </c>
      <c r="X37">
        <f>IF(B37="",0,SUMIFS(Recipes!$R$6:$R$405,Recipes!$B$6:$B$405,B37))</f>
        <v/>
      </c>
      <c r="Y37">
        <f>IF(B37="",0,SUMIFS(Recipes!$S$6:$S$405,Recipes!$B$6:$B$405,B37))</f>
        <v/>
      </c>
      <c r="Z37">
        <f>IF(B37="",0,SUMIFS(Recipes!$T$6:$T$405,Recipes!$B$6:$B$405,B37))</f>
        <v/>
      </c>
      <c r="AA37">
        <f>IF(B37="",0,SUMIFS(Recipes!$U$6:$U$405,Recipes!$B$6:$B$405,B37))</f>
        <v/>
      </c>
      <c r="AB37">
        <f>IF(B37="",0,SUMIFS(Recipes!$V$6:$V$405,Recipes!$B$6:$B$405,B37))</f>
        <v/>
      </c>
      <c r="AC37">
        <f>IF(B37="",0,SUMIFS(Recipes!$W$6:$W$405,Recipes!$B$6:$B$405,B37))</f>
        <v/>
      </c>
      <c r="AD37">
        <f>IF(B37="",0,SUMIFS(Recipes!$X$6:$X$405,Recipes!$B$6:$B$405,B37))</f>
        <v/>
      </c>
      <c r="AE37">
        <f>IF(AND(P37&gt;0,Settings!$C$13&lt;&gt;""),Settings!$C$13&amp;", ","")&amp;IF(AND(Q37&gt;0,Settings!$C$14&lt;&gt;""),Settings!$C$14&amp;", ","")&amp;IF(AND(R37&gt;0,Settings!$C$15&lt;&gt;""),Settings!$C$15&amp;", ","")&amp;IF(AND(S37&gt;0,Settings!$C$16&lt;&gt;""),Settings!$C$16&amp;", ","")&amp;IF(AND(T37&gt;0,Settings!$C$17&lt;&gt;""),Settings!$C$17&amp;", ","")&amp;IF(AND(U37&gt;0,Settings!$C$18&lt;&gt;""),Settings!$C$18&amp;", ","")&amp;IF(AND(V37&gt;0,Settings!$C$19&lt;&gt;""),Settings!$C$19&amp;", ","")&amp;IF(AND(W37&gt;0,Settings!$C$20&lt;&gt;""),Settings!$C$20&amp;", ","")&amp;IF(AND(X37&gt;0,Settings!$C$21&lt;&gt;""),Settings!$C$21&amp;", ","")&amp;IF(AND(Y37&gt;0,Settings!$C$22&lt;&gt;""),Settings!$C$22&amp;", ","")&amp;IF(AND(Z37&gt;0,Settings!$C$23&lt;&gt;""),Settings!$C$23&amp;", ","")&amp;IF(AND(AA37&gt;0,Settings!$C$24&lt;&gt;""),Settings!$C$24&amp;", ","")&amp;IF(AND(AB37&gt;0,Settings!$C$25&lt;&gt;""),Settings!$C$25&amp;", ","")&amp;IF(AND(AC37&gt;0,Settings!$C$26&lt;&gt;""),Settings!$C$26&amp;", ","")&amp;IF(AND(AD37&gt;0,Settings!$C$27&lt;&gt;""),Settings!$C$27&amp;", ","")</f>
        <v/>
      </c>
    </row>
    <row r="38">
      <c r="A38" s="1" t="n"/>
      <c r="B38" s="21" t="n"/>
      <c r="C38" s="36" t="n"/>
      <c r="D38" s="22" t="n"/>
      <c r="E38" s="22" t="n"/>
      <c r="F38" s="37" t="n"/>
      <c r="G38" s="23" t="n"/>
      <c r="H38" s="26">
        <f>IF(B38="","",SUMIFS(Recipes!$F$6:$F$405,Recipes!$B$6:$B$405,B38))</f>
        <v/>
      </c>
      <c r="I38" s="26">
        <f>IF(OR(B38="",N(D38)=0),"",H38/D38)</f>
        <v/>
      </c>
      <c r="J38" s="26">
        <f>IF(OR(NOT(ISNUMBER(I38)),N(F38)=0),"",F38-I38)</f>
        <v/>
      </c>
      <c r="K38" s="19">
        <f>IF(NOT(ISNUMBER(J38)),"",J38/F38)</f>
        <v/>
      </c>
      <c r="L38" s="38">
        <f>IF(OR(B38="",AE38=""),"",LEFT(AE38,LEN(AE38)-2))</f>
        <v/>
      </c>
      <c r="M38" s="13">
        <f>IF(B38="","",SUMIFS(Batches!$K$6:$K$505,Batches!$C$6:$C$505,B38,Batches!$M$6:$M$505,"In stock")+SUMIFS(Batches!$K$6:$K$505,Batches!$C$6:$C$505,B38,Batches!$M$6:$M$505,"Use soon"))</f>
        <v/>
      </c>
      <c r="N38" s="19">
        <f>IF(B38="","",IF(SUMIFS(Batches!$D$6:$D$505,Batches!$C$6:$C$505,B38)=0,"",SUMIFS(Batches!$G$6:$G$505,Batches!$C$6:$C$505,B38)/SUMIFS(Batches!$D$6:$D$505,Batches!$C$6:$C$505,B38)))</f>
        <v/>
      </c>
      <c r="O38" s="1" t="n"/>
      <c r="P38">
        <f>IF(B38="",0,SUMIFS(Recipes!$J$6:$J$405,Recipes!$B$6:$B$405,B38))</f>
        <v/>
      </c>
      <c r="Q38">
        <f>IF(B38="",0,SUMIFS(Recipes!$K$6:$K$405,Recipes!$B$6:$B$405,B38))</f>
        <v/>
      </c>
      <c r="R38">
        <f>IF(B38="",0,SUMIFS(Recipes!$L$6:$L$405,Recipes!$B$6:$B$405,B38))</f>
        <v/>
      </c>
      <c r="S38">
        <f>IF(B38="",0,SUMIFS(Recipes!$M$6:$M$405,Recipes!$B$6:$B$405,B38))</f>
        <v/>
      </c>
      <c r="T38">
        <f>IF(B38="",0,SUMIFS(Recipes!$N$6:$N$405,Recipes!$B$6:$B$405,B38))</f>
        <v/>
      </c>
      <c r="U38">
        <f>IF(B38="",0,SUMIFS(Recipes!$O$6:$O$405,Recipes!$B$6:$B$405,B38))</f>
        <v/>
      </c>
      <c r="V38">
        <f>IF(B38="",0,SUMIFS(Recipes!$P$6:$P$405,Recipes!$B$6:$B$405,B38))</f>
        <v/>
      </c>
      <c r="W38">
        <f>IF(B38="",0,SUMIFS(Recipes!$Q$6:$Q$405,Recipes!$B$6:$B$405,B38))</f>
        <v/>
      </c>
      <c r="X38">
        <f>IF(B38="",0,SUMIFS(Recipes!$R$6:$R$405,Recipes!$B$6:$B$405,B38))</f>
        <v/>
      </c>
      <c r="Y38">
        <f>IF(B38="",0,SUMIFS(Recipes!$S$6:$S$405,Recipes!$B$6:$B$405,B38))</f>
        <v/>
      </c>
      <c r="Z38">
        <f>IF(B38="",0,SUMIFS(Recipes!$T$6:$T$405,Recipes!$B$6:$B$405,B38))</f>
        <v/>
      </c>
      <c r="AA38">
        <f>IF(B38="",0,SUMIFS(Recipes!$U$6:$U$405,Recipes!$B$6:$B$405,B38))</f>
        <v/>
      </c>
      <c r="AB38">
        <f>IF(B38="",0,SUMIFS(Recipes!$V$6:$V$405,Recipes!$B$6:$B$405,B38))</f>
        <v/>
      </c>
      <c r="AC38">
        <f>IF(B38="",0,SUMIFS(Recipes!$W$6:$W$405,Recipes!$B$6:$B$405,B38))</f>
        <v/>
      </c>
      <c r="AD38">
        <f>IF(B38="",0,SUMIFS(Recipes!$X$6:$X$405,Recipes!$B$6:$B$405,B38))</f>
        <v/>
      </c>
      <c r="AE38">
        <f>IF(AND(P38&gt;0,Settings!$C$13&lt;&gt;""),Settings!$C$13&amp;", ","")&amp;IF(AND(Q38&gt;0,Settings!$C$14&lt;&gt;""),Settings!$C$14&amp;", ","")&amp;IF(AND(R38&gt;0,Settings!$C$15&lt;&gt;""),Settings!$C$15&amp;", ","")&amp;IF(AND(S38&gt;0,Settings!$C$16&lt;&gt;""),Settings!$C$16&amp;", ","")&amp;IF(AND(T38&gt;0,Settings!$C$17&lt;&gt;""),Settings!$C$17&amp;", ","")&amp;IF(AND(U38&gt;0,Settings!$C$18&lt;&gt;""),Settings!$C$18&amp;", ","")&amp;IF(AND(V38&gt;0,Settings!$C$19&lt;&gt;""),Settings!$C$19&amp;", ","")&amp;IF(AND(W38&gt;0,Settings!$C$20&lt;&gt;""),Settings!$C$20&amp;", ","")&amp;IF(AND(X38&gt;0,Settings!$C$21&lt;&gt;""),Settings!$C$21&amp;", ","")&amp;IF(AND(Y38&gt;0,Settings!$C$22&lt;&gt;""),Settings!$C$22&amp;", ","")&amp;IF(AND(Z38&gt;0,Settings!$C$23&lt;&gt;""),Settings!$C$23&amp;", ","")&amp;IF(AND(AA38&gt;0,Settings!$C$24&lt;&gt;""),Settings!$C$24&amp;", ","")&amp;IF(AND(AB38&gt;0,Settings!$C$25&lt;&gt;""),Settings!$C$25&amp;", ","")&amp;IF(AND(AC38&gt;0,Settings!$C$26&lt;&gt;""),Settings!$C$26&amp;", ","")&amp;IF(AND(AD38&gt;0,Settings!$C$27&lt;&gt;""),Settings!$C$27&amp;", ","")</f>
        <v/>
      </c>
    </row>
    <row r="39">
      <c r="A39" s="1" t="n"/>
      <c r="B39" s="21" t="n"/>
      <c r="C39" s="36" t="n"/>
      <c r="D39" s="22" t="n"/>
      <c r="E39" s="22" t="n"/>
      <c r="F39" s="37" t="n"/>
      <c r="G39" s="23" t="n"/>
      <c r="H39" s="26">
        <f>IF(B39="","",SUMIFS(Recipes!$F$6:$F$405,Recipes!$B$6:$B$405,B39))</f>
        <v/>
      </c>
      <c r="I39" s="26">
        <f>IF(OR(B39="",N(D39)=0),"",H39/D39)</f>
        <v/>
      </c>
      <c r="J39" s="26">
        <f>IF(OR(NOT(ISNUMBER(I39)),N(F39)=0),"",F39-I39)</f>
        <v/>
      </c>
      <c r="K39" s="19">
        <f>IF(NOT(ISNUMBER(J39)),"",J39/F39)</f>
        <v/>
      </c>
      <c r="L39" s="38">
        <f>IF(OR(B39="",AE39=""),"",LEFT(AE39,LEN(AE39)-2))</f>
        <v/>
      </c>
      <c r="M39" s="13">
        <f>IF(B39="","",SUMIFS(Batches!$K$6:$K$505,Batches!$C$6:$C$505,B39,Batches!$M$6:$M$505,"In stock")+SUMIFS(Batches!$K$6:$K$505,Batches!$C$6:$C$505,B39,Batches!$M$6:$M$505,"Use soon"))</f>
        <v/>
      </c>
      <c r="N39" s="19">
        <f>IF(B39="","",IF(SUMIFS(Batches!$D$6:$D$505,Batches!$C$6:$C$505,B39)=0,"",SUMIFS(Batches!$G$6:$G$505,Batches!$C$6:$C$505,B39)/SUMIFS(Batches!$D$6:$D$505,Batches!$C$6:$C$505,B39)))</f>
        <v/>
      </c>
      <c r="O39" s="1" t="n"/>
      <c r="P39">
        <f>IF(B39="",0,SUMIFS(Recipes!$J$6:$J$405,Recipes!$B$6:$B$405,B39))</f>
        <v/>
      </c>
      <c r="Q39">
        <f>IF(B39="",0,SUMIFS(Recipes!$K$6:$K$405,Recipes!$B$6:$B$405,B39))</f>
        <v/>
      </c>
      <c r="R39">
        <f>IF(B39="",0,SUMIFS(Recipes!$L$6:$L$405,Recipes!$B$6:$B$405,B39))</f>
        <v/>
      </c>
      <c r="S39">
        <f>IF(B39="",0,SUMIFS(Recipes!$M$6:$M$405,Recipes!$B$6:$B$405,B39))</f>
        <v/>
      </c>
      <c r="T39">
        <f>IF(B39="",0,SUMIFS(Recipes!$N$6:$N$405,Recipes!$B$6:$B$405,B39))</f>
        <v/>
      </c>
      <c r="U39">
        <f>IF(B39="",0,SUMIFS(Recipes!$O$6:$O$405,Recipes!$B$6:$B$405,B39))</f>
        <v/>
      </c>
      <c r="V39">
        <f>IF(B39="",0,SUMIFS(Recipes!$P$6:$P$405,Recipes!$B$6:$B$405,B39))</f>
        <v/>
      </c>
      <c r="W39">
        <f>IF(B39="",0,SUMIFS(Recipes!$Q$6:$Q$405,Recipes!$B$6:$B$405,B39))</f>
        <v/>
      </c>
      <c r="X39">
        <f>IF(B39="",0,SUMIFS(Recipes!$R$6:$R$405,Recipes!$B$6:$B$405,B39))</f>
        <v/>
      </c>
      <c r="Y39">
        <f>IF(B39="",0,SUMIFS(Recipes!$S$6:$S$405,Recipes!$B$6:$B$405,B39))</f>
        <v/>
      </c>
      <c r="Z39">
        <f>IF(B39="",0,SUMIFS(Recipes!$T$6:$T$405,Recipes!$B$6:$B$405,B39))</f>
        <v/>
      </c>
      <c r="AA39">
        <f>IF(B39="",0,SUMIFS(Recipes!$U$6:$U$405,Recipes!$B$6:$B$405,B39))</f>
        <v/>
      </c>
      <c r="AB39">
        <f>IF(B39="",0,SUMIFS(Recipes!$V$6:$V$405,Recipes!$B$6:$B$405,B39))</f>
        <v/>
      </c>
      <c r="AC39">
        <f>IF(B39="",0,SUMIFS(Recipes!$W$6:$W$405,Recipes!$B$6:$B$405,B39))</f>
        <v/>
      </c>
      <c r="AD39">
        <f>IF(B39="",0,SUMIFS(Recipes!$X$6:$X$405,Recipes!$B$6:$B$405,B39))</f>
        <v/>
      </c>
      <c r="AE39">
        <f>IF(AND(P39&gt;0,Settings!$C$13&lt;&gt;""),Settings!$C$13&amp;", ","")&amp;IF(AND(Q39&gt;0,Settings!$C$14&lt;&gt;""),Settings!$C$14&amp;", ","")&amp;IF(AND(R39&gt;0,Settings!$C$15&lt;&gt;""),Settings!$C$15&amp;", ","")&amp;IF(AND(S39&gt;0,Settings!$C$16&lt;&gt;""),Settings!$C$16&amp;", ","")&amp;IF(AND(T39&gt;0,Settings!$C$17&lt;&gt;""),Settings!$C$17&amp;", ","")&amp;IF(AND(U39&gt;0,Settings!$C$18&lt;&gt;""),Settings!$C$18&amp;", ","")&amp;IF(AND(V39&gt;0,Settings!$C$19&lt;&gt;""),Settings!$C$19&amp;", ","")&amp;IF(AND(W39&gt;0,Settings!$C$20&lt;&gt;""),Settings!$C$20&amp;", ","")&amp;IF(AND(X39&gt;0,Settings!$C$21&lt;&gt;""),Settings!$C$21&amp;", ","")&amp;IF(AND(Y39&gt;0,Settings!$C$22&lt;&gt;""),Settings!$C$22&amp;", ","")&amp;IF(AND(Z39&gt;0,Settings!$C$23&lt;&gt;""),Settings!$C$23&amp;", ","")&amp;IF(AND(AA39&gt;0,Settings!$C$24&lt;&gt;""),Settings!$C$24&amp;", ","")&amp;IF(AND(AB39&gt;0,Settings!$C$25&lt;&gt;""),Settings!$C$25&amp;", ","")&amp;IF(AND(AC39&gt;0,Settings!$C$26&lt;&gt;""),Settings!$C$26&amp;", ","")&amp;IF(AND(AD39&gt;0,Settings!$C$27&lt;&gt;""),Settings!$C$27&amp;", ","")</f>
        <v/>
      </c>
    </row>
    <row r="40">
      <c r="A40" s="1" t="n"/>
      <c r="B40" s="21" t="n"/>
      <c r="C40" s="36" t="n"/>
      <c r="D40" s="22" t="n"/>
      <c r="E40" s="22" t="n"/>
      <c r="F40" s="37" t="n"/>
      <c r="G40" s="23" t="n"/>
      <c r="H40" s="26">
        <f>IF(B40="","",SUMIFS(Recipes!$F$6:$F$405,Recipes!$B$6:$B$405,B40))</f>
        <v/>
      </c>
      <c r="I40" s="26">
        <f>IF(OR(B40="",N(D40)=0),"",H40/D40)</f>
        <v/>
      </c>
      <c r="J40" s="26">
        <f>IF(OR(NOT(ISNUMBER(I40)),N(F40)=0),"",F40-I40)</f>
        <v/>
      </c>
      <c r="K40" s="19">
        <f>IF(NOT(ISNUMBER(J40)),"",J40/F40)</f>
        <v/>
      </c>
      <c r="L40" s="38">
        <f>IF(OR(B40="",AE40=""),"",LEFT(AE40,LEN(AE40)-2))</f>
        <v/>
      </c>
      <c r="M40" s="13">
        <f>IF(B40="","",SUMIFS(Batches!$K$6:$K$505,Batches!$C$6:$C$505,B40,Batches!$M$6:$M$505,"In stock")+SUMIFS(Batches!$K$6:$K$505,Batches!$C$6:$C$505,B40,Batches!$M$6:$M$505,"Use soon"))</f>
        <v/>
      </c>
      <c r="N40" s="19">
        <f>IF(B40="","",IF(SUMIFS(Batches!$D$6:$D$505,Batches!$C$6:$C$505,B40)=0,"",SUMIFS(Batches!$G$6:$G$505,Batches!$C$6:$C$505,B40)/SUMIFS(Batches!$D$6:$D$505,Batches!$C$6:$C$505,B40)))</f>
        <v/>
      </c>
      <c r="O40" s="1" t="n"/>
      <c r="P40">
        <f>IF(B40="",0,SUMIFS(Recipes!$J$6:$J$405,Recipes!$B$6:$B$405,B40))</f>
        <v/>
      </c>
      <c r="Q40">
        <f>IF(B40="",0,SUMIFS(Recipes!$K$6:$K$405,Recipes!$B$6:$B$405,B40))</f>
        <v/>
      </c>
      <c r="R40">
        <f>IF(B40="",0,SUMIFS(Recipes!$L$6:$L$405,Recipes!$B$6:$B$405,B40))</f>
        <v/>
      </c>
      <c r="S40">
        <f>IF(B40="",0,SUMIFS(Recipes!$M$6:$M$405,Recipes!$B$6:$B$405,B40))</f>
        <v/>
      </c>
      <c r="T40">
        <f>IF(B40="",0,SUMIFS(Recipes!$N$6:$N$405,Recipes!$B$6:$B$405,B40))</f>
        <v/>
      </c>
      <c r="U40">
        <f>IF(B40="",0,SUMIFS(Recipes!$O$6:$O$405,Recipes!$B$6:$B$405,B40))</f>
        <v/>
      </c>
      <c r="V40">
        <f>IF(B40="",0,SUMIFS(Recipes!$P$6:$P$405,Recipes!$B$6:$B$405,B40))</f>
        <v/>
      </c>
      <c r="W40">
        <f>IF(B40="",0,SUMIFS(Recipes!$Q$6:$Q$405,Recipes!$B$6:$B$405,B40))</f>
        <v/>
      </c>
      <c r="X40">
        <f>IF(B40="",0,SUMIFS(Recipes!$R$6:$R$405,Recipes!$B$6:$B$405,B40))</f>
        <v/>
      </c>
      <c r="Y40">
        <f>IF(B40="",0,SUMIFS(Recipes!$S$6:$S$405,Recipes!$B$6:$B$405,B40))</f>
        <v/>
      </c>
      <c r="Z40">
        <f>IF(B40="",0,SUMIFS(Recipes!$T$6:$T$405,Recipes!$B$6:$B$405,B40))</f>
        <v/>
      </c>
      <c r="AA40">
        <f>IF(B40="",0,SUMIFS(Recipes!$U$6:$U$405,Recipes!$B$6:$B$405,B40))</f>
        <v/>
      </c>
      <c r="AB40">
        <f>IF(B40="",0,SUMIFS(Recipes!$V$6:$V$405,Recipes!$B$6:$B$405,B40))</f>
        <v/>
      </c>
      <c r="AC40">
        <f>IF(B40="",0,SUMIFS(Recipes!$W$6:$W$405,Recipes!$B$6:$B$405,B40))</f>
        <v/>
      </c>
      <c r="AD40">
        <f>IF(B40="",0,SUMIFS(Recipes!$X$6:$X$405,Recipes!$B$6:$B$405,B40))</f>
        <v/>
      </c>
      <c r="AE40">
        <f>IF(AND(P40&gt;0,Settings!$C$13&lt;&gt;""),Settings!$C$13&amp;", ","")&amp;IF(AND(Q40&gt;0,Settings!$C$14&lt;&gt;""),Settings!$C$14&amp;", ","")&amp;IF(AND(R40&gt;0,Settings!$C$15&lt;&gt;""),Settings!$C$15&amp;", ","")&amp;IF(AND(S40&gt;0,Settings!$C$16&lt;&gt;""),Settings!$C$16&amp;", ","")&amp;IF(AND(T40&gt;0,Settings!$C$17&lt;&gt;""),Settings!$C$17&amp;", ","")&amp;IF(AND(U40&gt;0,Settings!$C$18&lt;&gt;""),Settings!$C$18&amp;", ","")&amp;IF(AND(V40&gt;0,Settings!$C$19&lt;&gt;""),Settings!$C$19&amp;", ","")&amp;IF(AND(W40&gt;0,Settings!$C$20&lt;&gt;""),Settings!$C$20&amp;", ","")&amp;IF(AND(X40&gt;0,Settings!$C$21&lt;&gt;""),Settings!$C$21&amp;", ","")&amp;IF(AND(Y40&gt;0,Settings!$C$22&lt;&gt;""),Settings!$C$22&amp;", ","")&amp;IF(AND(Z40&gt;0,Settings!$C$23&lt;&gt;""),Settings!$C$23&amp;", ","")&amp;IF(AND(AA40&gt;0,Settings!$C$24&lt;&gt;""),Settings!$C$24&amp;", ","")&amp;IF(AND(AB40&gt;0,Settings!$C$25&lt;&gt;""),Settings!$C$25&amp;", ","")&amp;IF(AND(AC40&gt;0,Settings!$C$26&lt;&gt;""),Settings!$C$26&amp;", ","")&amp;IF(AND(AD40&gt;0,Settings!$C$27&lt;&gt;""),Settings!$C$27&amp;", ","")</f>
        <v/>
      </c>
    </row>
    <row r="41">
      <c r="A41" s="1" t="n"/>
      <c r="B41" s="21" t="n"/>
      <c r="C41" s="36" t="n"/>
      <c r="D41" s="22" t="n"/>
      <c r="E41" s="22" t="n"/>
      <c r="F41" s="37" t="n"/>
      <c r="G41" s="23" t="n"/>
      <c r="H41" s="26">
        <f>IF(B41="","",SUMIFS(Recipes!$F$6:$F$405,Recipes!$B$6:$B$405,B41))</f>
        <v/>
      </c>
      <c r="I41" s="26">
        <f>IF(OR(B41="",N(D41)=0),"",H41/D41)</f>
        <v/>
      </c>
      <c r="J41" s="26">
        <f>IF(OR(NOT(ISNUMBER(I41)),N(F41)=0),"",F41-I41)</f>
        <v/>
      </c>
      <c r="K41" s="19">
        <f>IF(NOT(ISNUMBER(J41)),"",J41/F41)</f>
        <v/>
      </c>
      <c r="L41" s="38">
        <f>IF(OR(B41="",AE41=""),"",LEFT(AE41,LEN(AE41)-2))</f>
        <v/>
      </c>
      <c r="M41" s="13">
        <f>IF(B41="","",SUMIFS(Batches!$K$6:$K$505,Batches!$C$6:$C$505,B41,Batches!$M$6:$M$505,"In stock")+SUMIFS(Batches!$K$6:$K$505,Batches!$C$6:$C$505,B41,Batches!$M$6:$M$505,"Use soon"))</f>
        <v/>
      </c>
      <c r="N41" s="19">
        <f>IF(B41="","",IF(SUMIFS(Batches!$D$6:$D$505,Batches!$C$6:$C$505,B41)=0,"",SUMIFS(Batches!$G$6:$G$505,Batches!$C$6:$C$505,B41)/SUMIFS(Batches!$D$6:$D$505,Batches!$C$6:$C$505,B41)))</f>
        <v/>
      </c>
      <c r="O41" s="1" t="n"/>
      <c r="P41">
        <f>IF(B41="",0,SUMIFS(Recipes!$J$6:$J$405,Recipes!$B$6:$B$405,B41))</f>
        <v/>
      </c>
      <c r="Q41">
        <f>IF(B41="",0,SUMIFS(Recipes!$K$6:$K$405,Recipes!$B$6:$B$405,B41))</f>
        <v/>
      </c>
      <c r="R41">
        <f>IF(B41="",0,SUMIFS(Recipes!$L$6:$L$405,Recipes!$B$6:$B$405,B41))</f>
        <v/>
      </c>
      <c r="S41">
        <f>IF(B41="",0,SUMIFS(Recipes!$M$6:$M$405,Recipes!$B$6:$B$405,B41))</f>
        <v/>
      </c>
      <c r="T41">
        <f>IF(B41="",0,SUMIFS(Recipes!$N$6:$N$405,Recipes!$B$6:$B$405,B41))</f>
        <v/>
      </c>
      <c r="U41">
        <f>IF(B41="",0,SUMIFS(Recipes!$O$6:$O$405,Recipes!$B$6:$B$405,B41))</f>
        <v/>
      </c>
      <c r="V41">
        <f>IF(B41="",0,SUMIFS(Recipes!$P$6:$P$405,Recipes!$B$6:$B$405,B41))</f>
        <v/>
      </c>
      <c r="W41">
        <f>IF(B41="",0,SUMIFS(Recipes!$Q$6:$Q$405,Recipes!$B$6:$B$405,B41))</f>
        <v/>
      </c>
      <c r="X41">
        <f>IF(B41="",0,SUMIFS(Recipes!$R$6:$R$405,Recipes!$B$6:$B$405,B41))</f>
        <v/>
      </c>
      <c r="Y41">
        <f>IF(B41="",0,SUMIFS(Recipes!$S$6:$S$405,Recipes!$B$6:$B$405,B41))</f>
        <v/>
      </c>
      <c r="Z41">
        <f>IF(B41="",0,SUMIFS(Recipes!$T$6:$T$405,Recipes!$B$6:$B$405,B41))</f>
        <v/>
      </c>
      <c r="AA41">
        <f>IF(B41="",0,SUMIFS(Recipes!$U$6:$U$405,Recipes!$B$6:$B$405,B41))</f>
        <v/>
      </c>
      <c r="AB41">
        <f>IF(B41="",0,SUMIFS(Recipes!$V$6:$V$405,Recipes!$B$6:$B$405,B41))</f>
        <v/>
      </c>
      <c r="AC41">
        <f>IF(B41="",0,SUMIFS(Recipes!$W$6:$W$405,Recipes!$B$6:$B$405,B41))</f>
        <v/>
      </c>
      <c r="AD41">
        <f>IF(B41="",0,SUMIFS(Recipes!$X$6:$X$405,Recipes!$B$6:$B$405,B41))</f>
        <v/>
      </c>
      <c r="AE41">
        <f>IF(AND(P41&gt;0,Settings!$C$13&lt;&gt;""),Settings!$C$13&amp;", ","")&amp;IF(AND(Q41&gt;0,Settings!$C$14&lt;&gt;""),Settings!$C$14&amp;", ","")&amp;IF(AND(R41&gt;0,Settings!$C$15&lt;&gt;""),Settings!$C$15&amp;", ","")&amp;IF(AND(S41&gt;0,Settings!$C$16&lt;&gt;""),Settings!$C$16&amp;", ","")&amp;IF(AND(T41&gt;0,Settings!$C$17&lt;&gt;""),Settings!$C$17&amp;", ","")&amp;IF(AND(U41&gt;0,Settings!$C$18&lt;&gt;""),Settings!$C$18&amp;", ","")&amp;IF(AND(V41&gt;0,Settings!$C$19&lt;&gt;""),Settings!$C$19&amp;", ","")&amp;IF(AND(W41&gt;0,Settings!$C$20&lt;&gt;""),Settings!$C$20&amp;", ","")&amp;IF(AND(X41&gt;0,Settings!$C$21&lt;&gt;""),Settings!$C$21&amp;", ","")&amp;IF(AND(Y41&gt;0,Settings!$C$22&lt;&gt;""),Settings!$C$22&amp;", ","")&amp;IF(AND(Z41&gt;0,Settings!$C$23&lt;&gt;""),Settings!$C$23&amp;", ","")&amp;IF(AND(AA41&gt;0,Settings!$C$24&lt;&gt;""),Settings!$C$24&amp;", ","")&amp;IF(AND(AB41&gt;0,Settings!$C$25&lt;&gt;""),Settings!$C$25&amp;", ","")&amp;IF(AND(AC41&gt;0,Settings!$C$26&lt;&gt;""),Settings!$C$26&amp;", ","")&amp;IF(AND(AD41&gt;0,Settings!$C$27&lt;&gt;""),Settings!$C$27&amp;", ","")</f>
        <v/>
      </c>
    </row>
    <row r="42">
      <c r="A42" s="1" t="n"/>
      <c r="B42" s="21" t="n"/>
      <c r="C42" s="36" t="n"/>
      <c r="D42" s="22" t="n"/>
      <c r="E42" s="22" t="n"/>
      <c r="F42" s="37" t="n"/>
      <c r="G42" s="23" t="n"/>
      <c r="H42" s="26">
        <f>IF(B42="","",SUMIFS(Recipes!$F$6:$F$405,Recipes!$B$6:$B$405,B42))</f>
        <v/>
      </c>
      <c r="I42" s="26">
        <f>IF(OR(B42="",N(D42)=0),"",H42/D42)</f>
        <v/>
      </c>
      <c r="J42" s="26">
        <f>IF(OR(NOT(ISNUMBER(I42)),N(F42)=0),"",F42-I42)</f>
        <v/>
      </c>
      <c r="K42" s="19">
        <f>IF(NOT(ISNUMBER(J42)),"",J42/F42)</f>
        <v/>
      </c>
      <c r="L42" s="38">
        <f>IF(OR(B42="",AE42=""),"",LEFT(AE42,LEN(AE42)-2))</f>
        <v/>
      </c>
      <c r="M42" s="13">
        <f>IF(B42="","",SUMIFS(Batches!$K$6:$K$505,Batches!$C$6:$C$505,B42,Batches!$M$6:$M$505,"In stock")+SUMIFS(Batches!$K$6:$K$505,Batches!$C$6:$C$505,B42,Batches!$M$6:$M$505,"Use soon"))</f>
        <v/>
      </c>
      <c r="N42" s="19">
        <f>IF(B42="","",IF(SUMIFS(Batches!$D$6:$D$505,Batches!$C$6:$C$505,B42)=0,"",SUMIFS(Batches!$G$6:$G$505,Batches!$C$6:$C$505,B42)/SUMIFS(Batches!$D$6:$D$505,Batches!$C$6:$C$505,B42)))</f>
        <v/>
      </c>
      <c r="O42" s="1" t="n"/>
      <c r="P42">
        <f>IF(B42="",0,SUMIFS(Recipes!$J$6:$J$405,Recipes!$B$6:$B$405,B42))</f>
        <v/>
      </c>
      <c r="Q42">
        <f>IF(B42="",0,SUMIFS(Recipes!$K$6:$K$405,Recipes!$B$6:$B$405,B42))</f>
        <v/>
      </c>
      <c r="R42">
        <f>IF(B42="",0,SUMIFS(Recipes!$L$6:$L$405,Recipes!$B$6:$B$405,B42))</f>
        <v/>
      </c>
      <c r="S42">
        <f>IF(B42="",0,SUMIFS(Recipes!$M$6:$M$405,Recipes!$B$6:$B$405,B42))</f>
        <v/>
      </c>
      <c r="T42">
        <f>IF(B42="",0,SUMIFS(Recipes!$N$6:$N$405,Recipes!$B$6:$B$405,B42))</f>
        <v/>
      </c>
      <c r="U42">
        <f>IF(B42="",0,SUMIFS(Recipes!$O$6:$O$405,Recipes!$B$6:$B$405,B42))</f>
        <v/>
      </c>
      <c r="V42">
        <f>IF(B42="",0,SUMIFS(Recipes!$P$6:$P$405,Recipes!$B$6:$B$405,B42))</f>
        <v/>
      </c>
      <c r="W42">
        <f>IF(B42="",0,SUMIFS(Recipes!$Q$6:$Q$405,Recipes!$B$6:$B$405,B42))</f>
        <v/>
      </c>
      <c r="X42">
        <f>IF(B42="",0,SUMIFS(Recipes!$R$6:$R$405,Recipes!$B$6:$B$405,B42))</f>
        <v/>
      </c>
      <c r="Y42">
        <f>IF(B42="",0,SUMIFS(Recipes!$S$6:$S$405,Recipes!$B$6:$B$405,B42))</f>
        <v/>
      </c>
      <c r="Z42">
        <f>IF(B42="",0,SUMIFS(Recipes!$T$6:$T$405,Recipes!$B$6:$B$405,B42))</f>
        <v/>
      </c>
      <c r="AA42">
        <f>IF(B42="",0,SUMIFS(Recipes!$U$6:$U$405,Recipes!$B$6:$B$405,B42))</f>
        <v/>
      </c>
      <c r="AB42">
        <f>IF(B42="",0,SUMIFS(Recipes!$V$6:$V$405,Recipes!$B$6:$B$405,B42))</f>
        <v/>
      </c>
      <c r="AC42">
        <f>IF(B42="",0,SUMIFS(Recipes!$W$6:$W$405,Recipes!$B$6:$B$405,B42))</f>
        <v/>
      </c>
      <c r="AD42">
        <f>IF(B42="",0,SUMIFS(Recipes!$X$6:$X$405,Recipes!$B$6:$B$405,B42))</f>
        <v/>
      </c>
      <c r="AE42">
        <f>IF(AND(P42&gt;0,Settings!$C$13&lt;&gt;""),Settings!$C$13&amp;", ","")&amp;IF(AND(Q42&gt;0,Settings!$C$14&lt;&gt;""),Settings!$C$14&amp;", ","")&amp;IF(AND(R42&gt;0,Settings!$C$15&lt;&gt;""),Settings!$C$15&amp;", ","")&amp;IF(AND(S42&gt;0,Settings!$C$16&lt;&gt;""),Settings!$C$16&amp;", ","")&amp;IF(AND(T42&gt;0,Settings!$C$17&lt;&gt;""),Settings!$C$17&amp;", ","")&amp;IF(AND(U42&gt;0,Settings!$C$18&lt;&gt;""),Settings!$C$18&amp;", ","")&amp;IF(AND(V42&gt;0,Settings!$C$19&lt;&gt;""),Settings!$C$19&amp;", ","")&amp;IF(AND(W42&gt;0,Settings!$C$20&lt;&gt;""),Settings!$C$20&amp;", ","")&amp;IF(AND(X42&gt;0,Settings!$C$21&lt;&gt;""),Settings!$C$21&amp;", ","")&amp;IF(AND(Y42&gt;0,Settings!$C$22&lt;&gt;""),Settings!$C$22&amp;", ","")&amp;IF(AND(Z42&gt;0,Settings!$C$23&lt;&gt;""),Settings!$C$23&amp;", ","")&amp;IF(AND(AA42&gt;0,Settings!$C$24&lt;&gt;""),Settings!$C$24&amp;", ","")&amp;IF(AND(AB42&gt;0,Settings!$C$25&lt;&gt;""),Settings!$C$25&amp;", ","")&amp;IF(AND(AC42&gt;0,Settings!$C$26&lt;&gt;""),Settings!$C$26&amp;", ","")&amp;IF(AND(AD42&gt;0,Settings!$C$27&lt;&gt;""),Settings!$C$27&amp;", ","")</f>
        <v/>
      </c>
    </row>
    <row r="43">
      <c r="A43" s="1" t="n"/>
      <c r="B43" s="21" t="n"/>
      <c r="C43" s="36" t="n"/>
      <c r="D43" s="22" t="n"/>
      <c r="E43" s="22" t="n"/>
      <c r="F43" s="37" t="n"/>
      <c r="G43" s="23" t="n"/>
      <c r="H43" s="26">
        <f>IF(B43="","",SUMIFS(Recipes!$F$6:$F$405,Recipes!$B$6:$B$405,B43))</f>
        <v/>
      </c>
      <c r="I43" s="26">
        <f>IF(OR(B43="",N(D43)=0),"",H43/D43)</f>
        <v/>
      </c>
      <c r="J43" s="26">
        <f>IF(OR(NOT(ISNUMBER(I43)),N(F43)=0),"",F43-I43)</f>
        <v/>
      </c>
      <c r="K43" s="19">
        <f>IF(NOT(ISNUMBER(J43)),"",J43/F43)</f>
        <v/>
      </c>
      <c r="L43" s="38">
        <f>IF(OR(B43="",AE43=""),"",LEFT(AE43,LEN(AE43)-2))</f>
        <v/>
      </c>
      <c r="M43" s="13">
        <f>IF(B43="","",SUMIFS(Batches!$K$6:$K$505,Batches!$C$6:$C$505,B43,Batches!$M$6:$M$505,"In stock")+SUMIFS(Batches!$K$6:$K$505,Batches!$C$6:$C$505,B43,Batches!$M$6:$M$505,"Use soon"))</f>
        <v/>
      </c>
      <c r="N43" s="19">
        <f>IF(B43="","",IF(SUMIFS(Batches!$D$6:$D$505,Batches!$C$6:$C$505,B43)=0,"",SUMIFS(Batches!$G$6:$G$505,Batches!$C$6:$C$505,B43)/SUMIFS(Batches!$D$6:$D$505,Batches!$C$6:$C$505,B43)))</f>
        <v/>
      </c>
      <c r="O43" s="1" t="n"/>
      <c r="P43">
        <f>IF(B43="",0,SUMIFS(Recipes!$J$6:$J$405,Recipes!$B$6:$B$405,B43))</f>
        <v/>
      </c>
      <c r="Q43">
        <f>IF(B43="",0,SUMIFS(Recipes!$K$6:$K$405,Recipes!$B$6:$B$405,B43))</f>
        <v/>
      </c>
      <c r="R43">
        <f>IF(B43="",0,SUMIFS(Recipes!$L$6:$L$405,Recipes!$B$6:$B$405,B43))</f>
        <v/>
      </c>
      <c r="S43">
        <f>IF(B43="",0,SUMIFS(Recipes!$M$6:$M$405,Recipes!$B$6:$B$405,B43))</f>
        <v/>
      </c>
      <c r="T43">
        <f>IF(B43="",0,SUMIFS(Recipes!$N$6:$N$405,Recipes!$B$6:$B$405,B43))</f>
        <v/>
      </c>
      <c r="U43">
        <f>IF(B43="",0,SUMIFS(Recipes!$O$6:$O$405,Recipes!$B$6:$B$405,B43))</f>
        <v/>
      </c>
      <c r="V43">
        <f>IF(B43="",0,SUMIFS(Recipes!$P$6:$P$405,Recipes!$B$6:$B$405,B43))</f>
        <v/>
      </c>
      <c r="W43">
        <f>IF(B43="",0,SUMIFS(Recipes!$Q$6:$Q$405,Recipes!$B$6:$B$405,B43))</f>
        <v/>
      </c>
      <c r="X43">
        <f>IF(B43="",0,SUMIFS(Recipes!$R$6:$R$405,Recipes!$B$6:$B$405,B43))</f>
        <v/>
      </c>
      <c r="Y43">
        <f>IF(B43="",0,SUMIFS(Recipes!$S$6:$S$405,Recipes!$B$6:$B$405,B43))</f>
        <v/>
      </c>
      <c r="Z43">
        <f>IF(B43="",0,SUMIFS(Recipes!$T$6:$T$405,Recipes!$B$6:$B$405,B43))</f>
        <v/>
      </c>
      <c r="AA43">
        <f>IF(B43="",0,SUMIFS(Recipes!$U$6:$U$405,Recipes!$B$6:$B$405,B43))</f>
        <v/>
      </c>
      <c r="AB43">
        <f>IF(B43="",0,SUMIFS(Recipes!$V$6:$V$405,Recipes!$B$6:$B$405,B43))</f>
        <v/>
      </c>
      <c r="AC43">
        <f>IF(B43="",0,SUMIFS(Recipes!$W$6:$W$405,Recipes!$B$6:$B$405,B43))</f>
        <v/>
      </c>
      <c r="AD43">
        <f>IF(B43="",0,SUMIFS(Recipes!$X$6:$X$405,Recipes!$B$6:$B$405,B43))</f>
        <v/>
      </c>
      <c r="AE43">
        <f>IF(AND(P43&gt;0,Settings!$C$13&lt;&gt;""),Settings!$C$13&amp;", ","")&amp;IF(AND(Q43&gt;0,Settings!$C$14&lt;&gt;""),Settings!$C$14&amp;", ","")&amp;IF(AND(R43&gt;0,Settings!$C$15&lt;&gt;""),Settings!$C$15&amp;", ","")&amp;IF(AND(S43&gt;0,Settings!$C$16&lt;&gt;""),Settings!$C$16&amp;", ","")&amp;IF(AND(T43&gt;0,Settings!$C$17&lt;&gt;""),Settings!$C$17&amp;", ","")&amp;IF(AND(U43&gt;0,Settings!$C$18&lt;&gt;""),Settings!$C$18&amp;", ","")&amp;IF(AND(V43&gt;0,Settings!$C$19&lt;&gt;""),Settings!$C$19&amp;", ","")&amp;IF(AND(W43&gt;0,Settings!$C$20&lt;&gt;""),Settings!$C$20&amp;", ","")&amp;IF(AND(X43&gt;0,Settings!$C$21&lt;&gt;""),Settings!$C$21&amp;", ","")&amp;IF(AND(Y43&gt;0,Settings!$C$22&lt;&gt;""),Settings!$C$22&amp;", ","")&amp;IF(AND(Z43&gt;0,Settings!$C$23&lt;&gt;""),Settings!$C$23&amp;", ","")&amp;IF(AND(AA43&gt;0,Settings!$C$24&lt;&gt;""),Settings!$C$24&amp;", ","")&amp;IF(AND(AB43&gt;0,Settings!$C$25&lt;&gt;""),Settings!$C$25&amp;", ","")&amp;IF(AND(AC43&gt;0,Settings!$C$26&lt;&gt;""),Settings!$C$26&amp;", ","")&amp;IF(AND(AD43&gt;0,Settings!$C$27&lt;&gt;""),Settings!$C$27&amp;", ","")</f>
        <v/>
      </c>
    </row>
    <row r="44">
      <c r="A44" s="1" t="n"/>
      <c r="B44" s="21" t="n"/>
      <c r="C44" s="36" t="n"/>
      <c r="D44" s="22" t="n"/>
      <c r="E44" s="22" t="n"/>
      <c r="F44" s="37" t="n"/>
      <c r="G44" s="23" t="n"/>
      <c r="H44" s="26">
        <f>IF(B44="","",SUMIFS(Recipes!$F$6:$F$405,Recipes!$B$6:$B$405,B44))</f>
        <v/>
      </c>
      <c r="I44" s="26">
        <f>IF(OR(B44="",N(D44)=0),"",H44/D44)</f>
        <v/>
      </c>
      <c r="J44" s="26">
        <f>IF(OR(NOT(ISNUMBER(I44)),N(F44)=0),"",F44-I44)</f>
        <v/>
      </c>
      <c r="K44" s="19">
        <f>IF(NOT(ISNUMBER(J44)),"",J44/F44)</f>
        <v/>
      </c>
      <c r="L44" s="38">
        <f>IF(OR(B44="",AE44=""),"",LEFT(AE44,LEN(AE44)-2))</f>
        <v/>
      </c>
      <c r="M44" s="13">
        <f>IF(B44="","",SUMIFS(Batches!$K$6:$K$505,Batches!$C$6:$C$505,B44,Batches!$M$6:$M$505,"In stock")+SUMIFS(Batches!$K$6:$K$505,Batches!$C$6:$C$505,B44,Batches!$M$6:$M$505,"Use soon"))</f>
        <v/>
      </c>
      <c r="N44" s="19">
        <f>IF(B44="","",IF(SUMIFS(Batches!$D$6:$D$505,Batches!$C$6:$C$505,B44)=0,"",SUMIFS(Batches!$G$6:$G$505,Batches!$C$6:$C$505,B44)/SUMIFS(Batches!$D$6:$D$505,Batches!$C$6:$C$505,B44)))</f>
        <v/>
      </c>
      <c r="O44" s="1" t="n"/>
      <c r="P44">
        <f>IF(B44="",0,SUMIFS(Recipes!$J$6:$J$405,Recipes!$B$6:$B$405,B44))</f>
        <v/>
      </c>
      <c r="Q44">
        <f>IF(B44="",0,SUMIFS(Recipes!$K$6:$K$405,Recipes!$B$6:$B$405,B44))</f>
        <v/>
      </c>
      <c r="R44">
        <f>IF(B44="",0,SUMIFS(Recipes!$L$6:$L$405,Recipes!$B$6:$B$405,B44))</f>
        <v/>
      </c>
      <c r="S44">
        <f>IF(B44="",0,SUMIFS(Recipes!$M$6:$M$405,Recipes!$B$6:$B$405,B44))</f>
        <v/>
      </c>
      <c r="T44">
        <f>IF(B44="",0,SUMIFS(Recipes!$N$6:$N$405,Recipes!$B$6:$B$405,B44))</f>
        <v/>
      </c>
      <c r="U44">
        <f>IF(B44="",0,SUMIFS(Recipes!$O$6:$O$405,Recipes!$B$6:$B$405,B44))</f>
        <v/>
      </c>
      <c r="V44">
        <f>IF(B44="",0,SUMIFS(Recipes!$P$6:$P$405,Recipes!$B$6:$B$405,B44))</f>
        <v/>
      </c>
      <c r="W44">
        <f>IF(B44="",0,SUMIFS(Recipes!$Q$6:$Q$405,Recipes!$B$6:$B$405,B44))</f>
        <v/>
      </c>
      <c r="X44">
        <f>IF(B44="",0,SUMIFS(Recipes!$R$6:$R$405,Recipes!$B$6:$B$405,B44))</f>
        <v/>
      </c>
      <c r="Y44">
        <f>IF(B44="",0,SUMIFS(Recipes!$S$6:$S$405,Recipes!$B$6:$B$405,B44))</f>
        <v/>
      </c>
      <c r="Z44">
        <f>IF(B44="",0,SUMIFS(Recipes!$T$6:$T$405,Recipes!$B$6:$B$405,B44))</f>
        <v/>
      </c>
      <c r="AA44">
        <f>IF(B44="",0,SUMIFS(Recipes!$U$6:$U$405,Recipes!$B$6:$B$405,B44))</f>
        <v/>
      </c>
      <c r="AB44">
        <f>IF(B44="",0,SUMIFS(Recipes!$V$6:$V$405,Recipes!$B$6:$B$405,B44))</f>
        <v/>
      </c>
      <c r="AC44">
        <f>IF(B44="",0,SUMIFS(Recipes!$W$6:$W$405,Recipes!$B$6:$B$405,B44))</f>
        <v/>
      </c>
      <c r="AD44">
        <f>IF(B44="",0,SUMIFS(Recipes!$X$6:$X$405,Recipes!$B$6:$B$405,B44))</f>
        <v/>
      </c>
      <c r="AE44">
        <f>IF(AND(P44&gt;0,Settings!$C$13&lt;&gt;""),Settings!$C$13&amp;", ","")&amp;IF(AND(Q44&gt;0,Settings!$C$14&lt;&gt;""),Settings!$C$14&amp;", ","")&amp;IF(AND(R44&gt;0,Settings!$C$15&lt;&gt;""),Settings!$C$15&amp;", ","")&amp;IF(AND(S44&gt;0,Settings!$C$16&lt;&gt;""),Settings!$C$16&amp;", ","")&amp;IF(AND(T44&gt;0,Settings!$C$17&lt;&gt;""),Settings!$C$17&amp;", ","")&amp;IF(AND(U44&gt;0,Settings!$C$18&lt;&gt;""),Settings!$C$18&amp;", ","")&amp;IF(AND(V44&gt;0,Settings!$C$19&lt;&gt;""),Settings!$C$19&amp;", ","")&amp;IF(AND(W44&gt;0,Settings!$C$20&lt;&gt;""),Settings!$C$20&amp;", ","")&amp;IF(AND(X44&gt;0,Settings!$C$21&lt;&gt;""),Settings!$C$21&amp;", ","")&amp;IF(AND(Y44&gt;0,Settings!$C$22&lt;&gt;""),Settings!$C$22&amp;", ","")&amp;IF(AND(Z44&gt;0,Settings!$C$23&lt;&gt;""),Settings!$C$23&amp;", ","")&amp;IF(AND(AA44&gt;0,Settings!$C$24&lt;&gt;""),Settings!$C$24&amp;", ","")&amp;IF(AND(AB44&gt;0,Settings!$C$25&lt;&gt;""),Settings!$C$25&amp;", ","")&amp;IF(AND(AC44&gt;0,Settings!$C$26&lt;&gt;""),Settings!$C$26&amp;", ","")&amp;IF(AND(AD44&gt;0,Settings!$C$27&lt;&gt;""),Settings!$C$27&amp;", ","")</f>
        <v/>
      </c>
    </row>
    <row r="45">
      <c r="A45" s="1" t="n"/>
      <c r="B45" s="21" t="n"/>
      <c r="C45" s="36" t="n"/>
      <c r="D45" s="22" t="n"/>
      <c r="E45" s="22" t="n"/>
      <c r="F45" s="37" t="n"/>
      <c r="G45" s="23" t="n"/>
      <c r="H45" s="26">
        <f>IF(B45="","",SUMIFS(Recipes!$F$6:$F$405,Recipes!$B$6:$B$405,B45))</f>
        <v/>
      </c>
      <c r="I45" s="26">
        <f>IF(OR(B45="",N(D45)=0),"",H45/D45)</f>
        <v/>
      </c>
      <c r="J45" s="26">
        <f>IF(OR(NOT(ISNUMBER(I45)),N(F45)=0),"",F45-I45)</f>
        <v/>
      </c>
      <c r="K45" s="19">
        <f>IF(NOT(ISNUMBER(J45)),"",J45/F45)</f>
        <v/>
      </c>
      <c r="L45" s="38">
        <f>IF(OR(B45="",AE45=""),"",LEFT(AE45,LEN(AE45)-2))</f>
        <v/>
      </c>
      <c r="M45" s="13">
        <f>IF(B45="","",SUMIFS(Batches!$K$6:$K$505,Batches!$C$6:$C$505,B45,Batches!$M$6:$M$505,"In stock")+SUMIFS(Batches!$K$6:$K$505,Batches!$C$6:$C$505,B45,Batches!$M$6:$M$505,"Use soon"))</f>
        <v/>
      </c>
      <c r="N45" s="19">
        <f>IF(B45="","",IF(SUMIFS(Batches!$D$6:$D$505,Batches!$C$6:$C$505,B45)=0,"",SUMIFS(Batches!$G$6:$G$505,Batches!$C$6:$C$505,B45)/SUMIFS(Batches!$D$6:$D$505,Batches!$C$6:$C$505,B45)))</f>
        <v/>
      </c>
      <c r="O45" s="1" t="n"/>
      <c r="P45">
        <f>IF(B45="",0,SUMIFS(Recipes!$J$6:$J$405,Recipes!$B$6:$B$405,B45))</f>
        <v/>
      </c>
      <c r="Q45">
        <f>IF(B45="",0,SUMIFS(Recipes!$K$6:$K$405,Recipes!$B$6:$B$405,B45))</f>
        <v/>
      </c>
      <c r="R45">
        <f>IF(B45="",0,SUMIFS(Recipes!$L$6:$L$405,Recipes!$B$6:$B$405,B45))</f>
        <v/>
      </c>
      <c r="S45">
        <f>IF(B45="",0,SUMIFS(Recipes!$M$6:$M$405,Recipes!$B$6:$B$405,B45))</f>
        <v/>
      </c>
      <c r="T45">
        <f>IF(B45="",0,SUMIFS(Recipes!$N$6:$N$405,Recipes!$B$6:$B$405,B45))</f>
        <v/>
      </c>
      <c r="U45">
        <f>IF(B45="",0,SUMIFS(Recipes!$O$6:$O$405,Recipes!$B$6:$B$405,B45))</f>
        <v/>
      </c>
      <c r="V45">
        <f>IF(B45="",0,SUMIFS(Recipes!$P$6:$P$405,Recipes!$B$6:$B$405,B45))</f>
        <v/>
      </c>
      <c r="W45">
        <f>IF(B45="",0,SUMIFS(Recipes!$Q$6:$Q$405,Recipes!$B$6:$B$405,B45))</f>
        <v/>
      </c>
      <c r="X45">
        <f>IF(B45="",0,SUMIFS(Recipes!$R$6:$R$405,Recipes!$B$6:$B$405,B45))</f>
        <v/>
      </c>
      <c r="Y45">
        <f>IF(B45="",0,SUMIFS(Recipes!$S$6:$S$405,Recipes!$B$6:$B$405,B45))</f>
        <v/>
      </c>
      <c r="Z45">
        <f>IF(B45="",0,SUMIFS(Recipes!$T$6:$T$405,Recipes!$B$6:$B$405,B45))</f>
        <v/>
      </c>
      <c r="AA45">
        <f>IF(B45="",0,SUMIFS(Recipes!$U$6:$U$405,Recipes!$B$6:$B$405,B45))</f>
        <v/>
      </c>
      <c r="AB45">
        <f>IF(B45="",0,SUMIFS(Recipes!$V$6:$V$405,Recipes!$B$6:$B$405,B45))</f>
        <v/>
      </c>
      <c r="AC45">
        <f>IF(B45="",0,SUMIFS(Recipes!$W$6:$W$405,Recipes!$B$6:$B$405,B45))</f>
        <v/>
      </c>
      <c r="AD45">
        <f>IF(B45="",0,SUMIFS(Recipes!$X$6:$X$405,Recipes!$B$6:$B$405,B45))</f>
        <v/>
      </c>
      <c r="AE45">
        <f>IF(AND(P45&gt;0,Settings!$C$13&lt;&gt;""),Settings!$C$13&amp;", ","")&amp;IF(AND(Q45&gt;0,Settings!$C$14&lt;&gt;""),Settings!$C$14&amp;", ","")&amp;IF(AND(R45&gt;0,Settings!$C$15&lt;&gt;""),Settings!$C$15&amp;", ","")&amp;IF(AND(S45&gt;0,Settings!$C$16&lt;&gt;""),Settings!$C$16&amp;", ","")&amp;IF(AND(T45&gt;0,Settings!$C$17&lt;&gt;""),Settings!$C$17&amp;", ","")&amp;IF(AND(U45&gt;0,Settings!$C$18&lt;&gt;""),Settings!$C$18&amp;", ","")&amp;IF(AND(V45&gt;0,Settings!$C$19&lt;&gt;""),Settings!$C$19&amp;", ","")&amp;IF(AND(W45&gt;0,Settings!$C$20&lt;&gt;""),Settings!$C$20&amp;", ","")&amp;IF(AND(X45&gt;0,Settings!$C$21&lt;&gt;""),Settings!$C$21&amp;", ","")&amp;IF(AND(Y45&gt;0,Settings!$C$22&lt;&gt;""),Settings!$C$22&amp;", ","")&amp;IF(AND(Z45&gt;0,Settings!$C$23&lt;&gt;""),Settings!$C$23&amp;", ","")&amp;IF(AND(AA45&gt;0,Settings!$C$24&lt;&gt;""),Settings!$C$24&amp;", ","")&amp;IF(AND(AB45&gt;0,Settings!$C$25&lt;&gt;""),Settings!$C$25&amp;", ","")&amp;IF(AND(AC45&gt;0,Settings!$C$26&lt;&gt;""),Settings!$C$26&amp;", ","")&amp;IF(AND(AD45&gt;0,Settings!$C$27&lt;&gt;""),Settings!$C$27&amp;", ","")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</sheetData>
  <conditionalFormatting sqref="J6:K45">
    <cfRule type="expression" priority="1" dxfId="0">
      <formula>AND(ISNUMBER($J6),$J6&lt;0)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4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12" customWidth="1" min="4" max="4"/>
    <col width="18" customWidth="1" min="5" max="5"/>
    <col width="10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Recipes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What goes into one batch of each product. Packaging too, so the cost is right.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0" t="inlineStr">
        <is>
          <t>Product</t>
        </is>
      </c>
      <c r="C5" s="10" t="inlineStr">
        <is>
          <t>Ingredient</t>
        </is>
      </c>
      <c r="D5" s="10" t="inlineStr">
        <is>
          <t>Amount a batch</t>
        </is>
      </c>
      <c r="E5" s="10" t="inlineStr">
        <is>
          <t>Unit</t>
        </is>
      </c>
      <c r="F5" s="10" t="inlineStr">
        <is>
          <t>Cost</t>
        </is>
      </c>
      <c r="G5" s="1" t="n"/>
    </row>
    <row r="6">
      <c r="A6" s="1" t="n"/>
      <c r="B6" s="21" t="inlineStr">
        <is>
          <t>Lemon drizzle loaf</t>
        </is>
      </c>
      <c r="C6" s="39" t="inlineStr">
        <is>
          <t>Plain flour</t>
        </is>
      </c>
      <c r="D6" s="40" t="n">
        <v>450</v>
      </c>
      <c r="E6" s="12">
        <f>IF(C6="","",IF(ISNA(MATCH(C6,Ingredients!$B$6:$B$105,0)),"Not on Ingredients",IFERROR(IF(INDEX(Ingredients!$C$6:$C$105,MATCH(C6,Ingredients!$B$6:$B$105,0))="","",INDEX(Ingredients!$C$6:$C$105,MATCH(C6,Ingredients!$B$6:$B$105,0))),"")))</f>
        <v/>
      </c>
      <c r="F6" s="26">
        <f>IF(OR(B6="",C6=""),"",N(D6)*IFERROR(N(INDEX(Ingredients!$H$6:$H$105,MATCH(C6,Ingredients!$B$6:$B$105,0))),0))</f>
        <v/>
      </c>
      <c r="G6" s="1">
        <f>IF(OR(B6="",C6=""),0,IFERROR(N(INDEX(Products!$D$6:$D$45,MATCH(B6,Products!$B$6:$B$45,0))),0))</f>
        <v/>
      </c>
      <c r="H6">
        <f>IF(N(G6)=0,0,N(D6)*SUMIFS(Batches!$D$6:$D$505,Batches!$C$6:$C$505,B6)/G6)</f>
        <v/>
      </c>
      <c r="I6">
        <f>IF(OR(B6="",C6=""),"",IF(B6&lt;&gt;Label!$H$3,"",IF(IFERROR(N(INDEX(Ingredients!$AS$6:$AS$105,MATCH(C6,Ingredients!$B$6:$B$105,0))),0)=1,"",ROUND(N(D6)*1000,0)*100000+100000-ROW())))</f>
        <v/>
      </c>
      <c r="J6">
        <f>IF(OR(B6="",C6=""),0,IFERROR(N(INDEX(Ingredients!$AC$6:$AC$105,MATCH(C6,Ingredients!$B$6:$B$105,0))),0))</f>
        <v/>
      </c>
      <c r="K6">
        <f>IF(OR(B6="",C6=""),0,IFERROR(N(INDEX(Ingredients!$AD$6:$AD$105,MATCH(C6,Ingredients!$B$6:$B$105,0))),0))</f>
        <v/>
      </c>
      <c r="L6">
        <f>IF(OR(B6="",C6=""),0,IFERROR(N(INDEX(Ingredients!$AE$6:$AE$105,MATCH(C6,Ingredients!$B$6:$B$105,0))),0))</f>
        <v/>
      </c>
      <c r="M6">
        <f>IF(OR(B6="",C6=""),0,IFERROR(N(INDEX(Ingredients!$AF$6:$AF$105,MATCH(C6,Ingredients!$B$6:$B$105,0))),0))</f>
        <v/>
      </c>
      <c r="N6">
        <f>IF(OR(B6="",C6=""),0,IFERROR(N(INDEX(Ingredients!$AG$6:$AG$105,MATCH(C6,Ingredients!$B$6:$B$105,0))),0))</f>
        <v/>
      </c>
      <c r="O6">
        <f>IF(OR(B6="",C6=""),0,IFERROR(N(INDEX(Ingredients!$AH$6:$AH$105,MATCH(C6,Ingredients!$B$6:$B$105,0))),0))</f>
        <v/>
      </c>
      <c r="P6">
        <f>IF(OR(B6="",C6=""),0,IFERROR(N(INDEX(Ingredients!$AI$6:$AI$105,MATCH(C6,Ingredients!$B$6:$B$105,0))),0))</f>
        <v/>
      </c>
      <c r="Q6">
        <f>IF(OR(B6="",C6=""),0,IFERROR(N(INDEX(Ingredients!$AJ$6:$AJ$105,MATCH(C6,Ingredients!$B$6:$B$105,0))),0))</f>
        <v/>
      </c>
      <c r="R6">
        <f>IF(OR(B6="",C6=""),0,IFERROR(N(INDEX(Ingredients!$AK$6:$AK$105,MATCH(C6,Ingredients!$B$6:$B$105,0))),0))</f>
        <v/>
      </c>
      <c r="S6">
        <f>IF(OR(B6="",C6=""),0,IFERROR(N(INDEX(Ingredients!$AL$6:$AL$105,MATCH(C6,Ingredients!$B$6:$B$105,0))),0))</f>
        <v/>
      </c>
      <c r="T6">
        <f>IF(OR(B6="",C6=""),0,IFERROR(N(INDEX(Ingredients!$AM$6:$AM$105,MATCH(C6,Ingredients!$B$6:$B$105,0))),0))</f>
        <v/>
      </c>
      <c r="U6">
        <f>IF(OR(B6="",C6=""),0,IFERROR(N(INDEX(Ingredients!$AN$6:$AN$105,MATCH(C6,Ingredients!$B$6:$B$105,0))),0))</f>
        <v/>
      </c>
      <c r="V6">
        <f>IF(OR(B6="",C6=""),0,IFERROR(N(INDEX(Ingredients!$AO$6:$AO$105,MATCH(C6,Ingredients!$B$6:$B$105,0))),0))</f>
        <v/>
      </c>
      <c r="W6">
        <f>IF(OR(B6="",C6=""),0,IFERROR(N(INDEX(Ingredients!$AP$6:$AP$105,MATCH(C6,Ingredients!$B$6:$B$105,0))),0))</f>
        <v/>
      </c>
      <c r="X6">
        <f>IF(OR(B6="",C6=""),0,IFERROR(N(INDEX(Ingredients!$AQ$6:$AQ$105,MATCH(C6,Ingredients!$B$6:$B$105,0))),0))</f>
        <v/>
      </c>
    </row>
    <row r="7">
      <c r="A7" s="1" t="n"/>
      <c r="B7" s="21" t="inlineStr">
        <is>
          <t>Lemon drizzle loaf</t>
        </is>
      </c>
      <c r="C7" s="39" t="inlineStr">
        <is>
          <t>Caster sugar</t>
        </is>
      </c>
      <c r="D7" s="40" t="n">
        <v>450</v>
      </c>
      <c r="E7" s="12">
        <f>IF(C7="","",IF(ISNA(MATCH(C7,Ingredients!$B$6:$B$105,0)),"Not on Ingredients",IFERROR(IF(INDEX(Ingredients!$C$6:$C$105,MATCH(C7,Ingredients!$B$6:$B$105,0))="","",INDEX(Ingredients!$C$6:$C$105,MATCH(C7,Ingredients!$B$6:$B$105,0))),"")))</f>
        <v/>
      </c>
      <c r="F7" s="26">
        <f>IF(OR(B7="",C7=""),"",N(D7)*IFERROR(N(INDEX(Ingredients!$H$6:$H$105,MATCH(C7,Ingredients!$B$6:$B$105,0))),0))</f>
        <v/>
      </c>
      <c r="G7" s="1">
        <f>IF(OR(B7="",C7=""),0,IFERROR(N(INDEX(Products!$D$6:$D$45,MATCH(B7,Products!$B$6:$B$45,0))),0))</f>
        <v/>
      </c>
      <c r="H7">
        <f>IF(N(G7)=0,0,N(D7)*SUMIFS(Batches!$D$6:$D$505,Batches!$C$6:$C$505,B7)/G7)</f>
        <v/>
      </c>
      <c r="I7">
        <f>IF(OR(B7="",C7=""),"",IF(B7&lt;&gt;Label!$H$3,"",IF(IFERROR(N(INDEX(Ingredients!$AS$6:$AS$105,MATCH(C7,Ingredients!$B$6:$B$105,0))),0)=1,"",ROUND(N(D7)*1000,0)*100000+100000-ROW())))</f>
        <v/>
      </c>
      <c r="J7">
        <f>IF(OR(B7="",C7=""),0,IFERROR(N(INDEX(Ingredients!$AC$6:$AC$105,MATCH(C7,Ingredients!$B$6:$B$105,0))),0))</f>
        <v/>
      </c>
      <c r="K7">
        <f>IF(OR(B7="",C7=""),0,IFERROR(N(INDEX(Ingredients!$AD$6:$AD$105,MATCH(C7,Ingredients!$B$6:$B$105,0))),0))</f>
        <v/>
      </c>
      <c r="L7">
        <f>IF(OR(B7="",C7=""),0,IFERROR(N(INDEX(Ingredients!$AE$6:$AE$105,MATCH(C7,Ingredients!$B$6:$B$105,0))),0))</f>
        <v/>
      </c>
      <c r="M7">
        <f>IF(OR(B7="",C7=""),0,IFERROR(N(INDEX(Ingredients!$AF$6:$AF$105,MATCH(C7,Ingredients!$B$6:$B$105,0))),0))</f>
        <v/>
      </c>
      <c r="N7">
        <f>IF(OR(B7="",C7=""),0,IFERROR(N(INDEX(Ingredients!$AG$6:$AG$105,MATCH(C7,Ingredients!$B$6:$B$105,0))),0))</f>
        <v/>
      </c>
      <c r="O7">
        <f>IF(OR(B7="",C7=""),0,IFERROR(N(INDEX(Ingredients!$AH$6:$AH$105,MATCH(C7,Ingredients!$B$6:$B$105,0))),0))</f>
        <v/>
      </c>
      <c r="P7">
        <f>IF(OR(B7="",C7=""),0,IFERROR(N(INDEX(Ingredients!$AI$6:$AI$105,MATCH(C7,Ingredients!$B$6:$B$105,0))),0))</f>
        <v/>
      </c>
      <c r="Q7">
        <f>IF(OR(B7="",C7=""),0,IFERROR(N(INDEX(Ingredients!$AJ$6:$AJ$105,MATCH(C7,Ingredients!$B$6:$B$105,0))),0))</f>
        <v/>
      </c>
      <c r="R7">
        <f>IF(OR(B7="",C7=""),0,IFERROR(N(INDEX(Ingredients!$AK$6:$AK$105,MATCH(C7,Ingredients!$B$6:$B$105,0))),0))</f>
        <v/>
      </c>
      <c r="S7">
        <f>IF(OR(B7="",C7=""),0,IFERROR(N(INDEX(Ingredients!$AL$6:$AL$105,MATCH(C7,Ingredients!$B$6:$B$105,0))),0))</f>
        <v/>
      </c>
      <c r="T7">
        <f>IF(OR(B7="",C7=""),0,IFERROR(N(INDEX(Ingredients!$AM$6:$AM$105,MATCH(C7,Ingredients!$B$6:$B$105,0))),0))</f>
        <v/>
      </c>
      <c r="U7">
        <f>IF(OR(B7="",C7=""),0,IFERROR(N(INDEX(Ingredients!$AN$6:$AN$105,MATCH(C7,Ingredients!$B$6:$B$105,0))),0))</f>
        <v/>
      </c>
      <c r="V7">
        <f>IF(OR(B7="",C7=""),0,IFERROR(N(INDEX(Ingredients!$AO$6:$AO$105,MATCH(C7,Ingredients!$B$6:$B$105,0))),0))</f>
        <v/>
      </c>
      <c r="W7">
        <f>IF(OR(B7="",C7=""),0,IFERROR(N(INDEX(Ingredients!$AP$6:$AP$105,MATCH(C7,Ingredients!$B$6:$B$105,0))),0))</f>
        <v/>
      </c>
      <c r="X7">
        <f>IF(OR(B7="",C7=""),0,IFERROR(N(INDEX(Ingredients!$AQ$6:$AQ$105,MATCH(C7,Ingredients!$B$6:$B$105,0))),0))</f>
        <v/>
      </c>
    </row>
    <row r="8">
      <c r="A8" s="1" t="n"/>
      <c r="B8" s="21" t="inlineStr">
        <is>
          <t>Lemon drizzle loaf</t>
        </is>
      </c>
      <c r="C8" s="39" t="inlineStr">
        <is>
          <t>Butter</t>
        </is>
      </c>
      <c r="D8" s="40" t="n">
        <v>450</v>
      </c>
      <c r="E8" s="12">
        <f>IF(C8="","",IF(ISNA(MATCH(C8,Ingredients!$B$6:$B$105,0)),"Not on Ingredients",IFERROR(IF(INDEX(Ingredients!$C$6:$C$105,MATCH(C8,Ingredients!$B$6:$B$105,0))="","",INDEX(Ingredients!$C$6:$C$105,MATCH(C8,Ingredients!$B$6:$B$105,0))),"")))</f>
        <v/>
      </c>
      <c r="F8" s="26">
        <f>IF(OR(B8="",C8=""),"",N(D8)*IFERROR(N(INDEX(Ingredients!$H$6:$H$105,MATCH(C8,Ingredients!$B$6:$B$105,0))),0))</f>
        <v/>
      </c>
      <c r="G8" s="1">
        <f>IF(OR(B8="",C8=""),0,IFERROR(N(INDEX(Products!$D$6:$D$45,MATCH(B8,Products!$B$6:$B$45,0))),0))</f>
        <v/>
      </c>
      <c r="H8">
        <f>IF(N(G8)=0,0,N(D8)*SUMIFS(Batches!$D$6:$D$505,Batches!$C$6:$C$505,B8)/G8)</f>
        <v/>
      </c>
      <c r="I8">
        <f>IF(OR(B8="",C8=""),"",IF(B8&lt;&gt;Label!$H$3,"",IF(IFERROR(N(INDEX(Ingredients!$AS$6:$AS$105,MATCH(C8,Ingredients!$B$6:$B$105,0))),0)=1,"",ROUND(N(D8)*1000,0)*100000+100000-ROW())))</f>
        <v/>
      </c>
      <c r="J8">
        <f>IF(OR(B8="",C8=""),0,IFERROR(N(INDEX(Ingredients!$AC$6:$AC$105,MATCH(C8,Ingredients!$B$6:$B$105,0))),0))</f>
        <v/>
      </c>
      <c r="K8">
        <f>IF(OR(B8="",C8=""),0,IFERROR(N(INDEX(Ingredients!$AD$6:$AD$105,MATCH(C8,Ingredients!$B$6:$B$105,0))),0))</f>
        <v/>
      </c>
      <c r="L8">
        <f>IF(OR(B8="",C8=""),0,IFERROR(N(INDEX(Ingredients!$AE$6:$AE$105,MATCH(C8,Ingredients!$B$6:$B$105,0))),0))</f>
        <v/>
      </c>
      <c r="M8">
        <f>IF(OR(B8="",C8=""),0,IFERROR(N(INDEX(Ingredients!$AF$6:$AF$105,MATCH(C8,Ingredients!$B$6:$B$105,0))),0))</f>
        <v/>
      </c>
      <c r="N8">
        <f>IF(OR(B8="",C8=""),0,IFERROR(N(INDEX(Ingredients!$AG$6:$AG$105,MATCH(C8,Ingredients!$B$6:$B$105,0))),0))</f>
        <v/>
      </c>
      <c r="O8">
        <f>IF(OR(B8="",C8=""),0,IFERROR(N(INDEX(Ingredients!$AH$6:$AH$105,MATCH(C8,Ingredients!$B$6:$B$105,0))),0))</f>
        <v/>
      </c>
      <c r="P8">
        <f>IF(OR(B8="",C8=""),0,IFERROR(N(INDEX(Ingredients!$AI$6:$AI$105,MATCH(C8,Ingredients!$B$6:$B$105,0))),0))</f>
        <v/>
      </c>
      <c r="Q8">
        <f>IF(OR(B8="",C8=""),0,IFERROR(N(INDEX(Ingredients!$AJ$6:$AJ$105,MATCH(C8,Ingredients!$B$6:$B$105,0))),0))</f>
        <v/>
      </c>
      <c r="R8">
        <f>IF(OR(B8="",C8=""),0,IFERROR(N(INDEX(Ingredients!$AK$6:$AK$105,MATCH(C8,Ingredients!$B$6:$B$105,0))),0))</f>
        <v/>
      </c>
      <c r="S8">
        <f>IF(OR(B8="",C8=""),0,IFERROR(N(INDEX(Ingredients!$AL$6:$AL$105,MATCH(C8,Ingredients!$B$6:$B$105,0))),0))</f>
        <v/>
      </c>
      <c r="T8">
        <f>IF(OR(B8="",C8=""),0,IFERROR(N(INDEX(Ingredients!$AM$6:$AM$105,MATCH(C8,Ingredients!$B$6:$B$105,0))),0))</f>
        <v/>
      </c>
      <c r="U8">
        <f>IF(OR(B8="",C8=""),0,IFERROR(N(INDEX(Ingredients!$AN$6:$AN$105,MATCH(C8,Ingredients!$B$6:$B$105,0))),0))</f>
        <v/>
      </c>
      <c r="V8">
        <f>IF(OR(B8="",C8=""),0,IFERROR(N(INDEX(Ingredients!$AO$6:$AO$105,MATCH(C8,Ingredients!$B$6:$B$105,0))),0))</f>
        <v/>
      </c>
      <c r="W8">
        <f>IF(OR(B8="",C8=""),0,IFERROR(N(INDEX(Ingredients!$AP$6:$AP$105,MATCH(C8,Ingredients!$B$6:$B$105,0))),0))</f>
        <v/>
      </c>
      <c r="X8">
        <f>IF(OR(B8="",C8=""),0,IFERROR(N(INDEX(Ingredients!$AQ$6:$AQ$105,MATCH(C8,Ingredients!$B$6:$B$105,0))),0))</f>
        <v/>
      </c>
    </row>
    <row r="9">
      <c r="A9" s="1" t="n"/>
      <c r="B9" s="21" t="inlineStr">
        <is>
          <t>Lemon drizzle loaf</t>
        </is>
      </c>
      <c r="C9" s="39" t="inlineStr">
        <is>
          <t>Eggs</t>
        </is>
      </c>
      <c r="D9" s="40" t="n">
        <v>400</v>
      </c>
      <c r="E9" s="12">
        <f>IF(C9="","",IF(ISNA(MATCH(C9,Ingredients!$B$6:$B$105,0)),"Not on Ingredients",IFERROR(IF(INDEX(Ingredients!$C$6:$C$105,MATCH(C9,Ingredients!$B$6:$B$105,0))="","",INDEX(Ingredients!$C$6:$C$105,MATCH(C9,Ingredients!$B$6:$B$105,0))),"")))</f>
        <v/>
      </c>
      <c r="F9" s="26">
        <f>IF(OR(B9="",C9=""),"",N(D9)*IFERROR(N(INDEX(Ingredients!$H$6:$H$105,MATCH(C9,Ingredients!$B$6:$B$105,0))),0))</f>
        <v/>
      </c>
      <c r="G9" s="1">
        <f>IF(OR(B9="",C9=""),0,IFERROR(N(INDEX(Products!$D$6:$D$45,MATCH(B9,Products!$B$6:$B$45,0))),0))</f>
        <v/>
      </c>
      <c r="H9">
        <f>IF(N(G9)=0,0,N(D9)*SUMIFS(Batches!$D$6:$D$505,Batches!$C$6:$C$505,B9)/G9)</f>
        <v/>
      </c>
      <c r="I9">
        <f>IF(OR(B9="",C9=""),"",IF(B9&lt;&gt;Label!$H$3,"",IF(IFERROR(N(INDEX(Ingredients!$AS$6:$AS$105,MATCH(C9,Ingredients!$B$6:$B$105,0))),0)=1,"",ROUND(N(D9)*1000,0)*100000+100000-ROW())))</f>
        <v/>
      </c>
      <c r="J9">
        <f>IF(OR(B9="",C9=""),0,IFERROR(N(INDEX(Ingredients!$AC$6:$AC$105,MATCH(C9,Ingredients!$B$6:$B$105,0))),0))</f>
        <v/>
      </c>
      <c r="K9">
        <f>IF(OR(B9="",C9=""),0,IFERROR(N(INDEX(Ingredients!$AD$6:$AD$105,MATCH(C9,Ingredients!$B$6:$B$105,0))),0))</f>
        <v/>
      </c>
      <c r="L9">
        <f>IF(OR(B9="",C9=""),0,IFERROR(N(INDEX(Ingredients!$AE$6:$AE$105,MATCH(C9,Ingredients!$B$6:$B$105,0))),0))</f>
        <v/>
      </c>
      <c r="M9">
        <f>IF(OR(B9="",C9=""),0,IFERROR(N(INDEX(Ingredients!$AF$6:$AF$105,MATCH(C9,Ingredients!$B$6:$B$105,0))),0))</f>
        <v/>
      </c>
      <c r="N9">
        <f>IF(OR(B9="",C9=""),0,IFERROR(N(INDEX(Ingredients!$AG$6:$AG$105,MATCH(C9,Ingredients!$B$6:$B$105,0))),0))</f>
        <v/>
      </c>
      <c r="O9">
        <f>IF(OR(B9="",C9=""),0,IFERROR(N(INDEX(Ingredients!$AH$6:$AH$105,MATCH(C9,Ingredients!$B$6:$B$105,0))),0))</f>
        <v/>
      </c>
      <c r="P9">
        <f>IF(OR(B9="",C9=""),0,IFERROR(N(INDEX(Ingredients!$AI$6:$AI$105,MATCH(C9,Ingredients!$B$6:$B$105,0))),0))</f>
        <v/>
      </c>
      <c r="Q9">
        <f>IF(OR(B9="",C9=""),0,IFERROR(N(INDEX(Ingredients!$AJ$6:$AJ$105,MATCH(C9,Ingredients!$B$6:$B$105,0))),0))</f>
        <v/>
      </c>
      <c r="R9">
        <f>IF(OR(B9="",C9=""),0,IFERROR(N(INDEX(Ingredients!$AK$6:$AK$105,MATCH(C9,Ingredients!$B$6:$B$105,0))),0))</f>
        <v/>
      </c>
      <c r="S9">
        <f>IF(OR(B9="",C9=""),0,IFERROR(N(INDEX(Ingredients!$AL$6:$AL$105,MATCH(C9,Ingredients!$B$6:$B$105,0))),0))</f>
        <v/>
      </c>
      <c r="T9">
        <f>IF(OR(B9="",C9=""),0,IFERROR(N(INDEX(Ingredients!$AM$6:$AM$105,MATCH(C9,Ingredients!$B$6:$B$105,0))),0))</f>
        <v/>
      </c>
      <c r="U9">
        <f>IF(OR(B9="",C9=""),0,IFERROR(N(INDEX(Ingredients!$AN$6:$AN$105,MATCH(C9,Ingredients!$B$6:$B$105,0))),0))</f>
        <v/>
      </c>
      <c r="V9">
        <f>IF(OR(B9="",C9=""),0,IFERROR(N(INDEX(Ingredients!$AO$6:$AO$105,MATCH(C9,Ingredients!$B$6:$B$105,0))),0))</f>
        <v/>
      </c>
      <c r="W9">
        <f>IF(OR(B9="",C9=""),0,IFERROR(N(INDEX(Ingredients!$AP$6:$AP$105,MATCH(C9,Ingredients!$B$6:$B$105,0))),0))</f>
        <v/>
      </c>
      <c r="X9">
        <f>IF(OR(B9="",C9=""),0,IFERROR(N(INDEX(Ingredients!$AQ$6:$AQ$105,MATCH(C9,Ingredients!$B$6:$B$105,0))),0))</f>
        <v/>
      </c>
    </row>
    <row r="10">
      <c r="A10" s="1" t="n"/>
      <c r="B10" s="21" t="inlineStr">
        <is>
          <t>Lemon drizzle loaf</t>
        </is>
      </c>
      <c r="C10" s="39" t="inlineStr">
        <is>
          <t>Lemons</t>
        </is>
      </c>
      <c r="D10" s="40" t="n">
        <v>3</v>
      </c>
      <c r="E10" s="12">
        <f>IF(C10="","",IF(ISNA(MATCH(C10,Ingredients!$B$6:$B$105,0)),"Not on Ingredients",IFERROR(IF(INDEX(Ingredients!$C$6:$C$105,MATCH(C10,Ingredients!$B$6:$B$105,0))="","",INDEX(Ingredients!$C$6:$C$105,MATCH(C10,Ingredients!$B$6:$B$105,0))),"")))</f>
        <v/>
      </c>
      <c r="F10" s="26">
        <f>IF(OR(B10="",C10=""),"",N(D10)*IFERROR(N(INDEX(Ingredients!$H$6:$H$105,MATCH(C10,Ingredients!$B$6:$B$105,0))),0))</f>
        <v/>
      </c>
      <c r="G10" s="1">
        <f>IF(OR(B10="",C10=""),0,IFERROR(N(INDEX(Products!$D$6:$D$45,MATCH(B10,Products!$B$6:$B$45,0))),0))</f>
        <v/>
      </c>
      <c r="H10">
        <f>IF(N(G10)=0,0,N(D10)*SUMIFS(Batches!$D$6:$D$505,Batches!$C$6:$C$505,B10)/G10)</f>
        <v/>
      </c>
      <c r="I10">
        <f>IF(OR(B10="",C10=""),"",IF(B10&lt;&gt;Label!$H$3,"",IF(IFERROR(N(INDEX(Ingredients!$AS$6:$AS$105,MATCH(C10,Ingredients!$B$6:$B$105,0))),0)=1,"",ROUND(N(D10)*1000,0)*100000+100000-ROW())))</f>
        <v/>
      </c>
      <c r="J10">
        <f>IF(OR(B10="",C10=""),0,IFERROR(N(INDEX(Ingredients!$AC$6:$AC$105,MATCH(C10,Ingredients!$B$6:$B$105,0))),0))</f>
        <v/>
      </c>
      <c r="K10">
        <f>IF(OR(B10="",C10=""),0,IFERROR(N(INDEX(Ingredients!$AD$6:$AD$105,MATCH(C10,Ingredients!$B$6:$B$105,0))),0))</f>
        <v/>
      </c>
      <c r="L10">
        <f>IF(OR(B10="",C10=""),0,IFERROR(N(INDEX(Ingredients!$AE$6:$AE$105,MATCH(C10,Ingredients!$B$6:$B$105,0))),0))</f>
        <v/>
      </c>
      <c r="M10">
        <f>IF(OR(B10="",C10=""),0,IFERROR(N(INDEX(Ingredients!$AF$6:$AF$105,MATCH(C10,Ingredients!$B$6:$B$105,0))),0))</f>
        <v/>
      </c>
      <c r="N10">
        <f>IF(OR(B10="",C10=""),0,IFERROR(N(INDEX(Ingredients!$AG$6:$AG$105,MATCH(C10,Ingredients!$B$6:$B$105,0))),0))</f>
        <v/>
      </c>
      <c r="O10">
        <f>IF(OR(B10="",C10=""),0,IFERROR(N(INDEX(Ingredients!$AH$6:$AH$105,MATCH(C10,Ingredients!$B$6:$B$105,0))),0))</f>
        <v/>
      </c>
      <c r="P10">
        <f>IF(OR(B10="",C10=""),0,IFERROR(N(INDEX(Ingredients!$AI$6:$AI$105,MATCH(C10,Ingredients!$B$6:$B$105,0))),0))</f>
        <v/>
      </c>
      <c r="Q10">
        <f>IF(OR(B10="",C10=""),0,IFERROR(N(INDEX(Ingredients!$AJ$6:$AJ$105,MATCH(C10,Ingredients!$B$6:$B$105,0))),0))</f>
        <v/>
      </c>
      <c r="R10">
        <f>IF(OR(B10="",C10=""),0,IFERROR(N(INDEX(Ingredients!$AK$6:$AK$105,MATCH(C10,Ingredients!$B$6:$B$105,0))),0))</f>
        <v/>
      </c>
      <c r="S10">
        <f>IF(OR(B10="",C10=""),0,IFERROR(N(INDEX(Ingredients!$AL$6:$AL$105,MATCH(C10,Ingredients!$B$6:$B$105,0))),0))</f>
        <v/>
      </c>
      <c r="T10">
        <f>IF(OR(B10="",C10=""),0,IFERROR(N(INDEX(Ingredients!$AM$6:$AM$105,MATCH(C10,Ingredients!$B$6:$B$105,0))),0))</f>
        <v/>
      </c>
      <c r="U10">
        <f>IF(OR(B10="",C10=""),0,IFERROR(N(INDEX(Ingredients!$AN$6:$AN$105,MATCH(C10,Ingredients!$B$6:$B$105,0))),0))</f>
        <v/>
      </c>
      <c r="V10">
        <f>IF(OR(B10="",C10=""),0,IFERROR(N(INDEX(Ingredients!$AO$6:$AO$105,MATCH(C10,Ingredients!$B$6:$B$105,0))),0))</f>
        <v/>
      </c>
      <c r="W10">
        <f>IF(OR(B10="",C10=""),0,IFERROR(N(INDEX(Ingredients!$AP$6:$AP$105,MATCH(C10,Ingredients!$B$6:$B$105,0))),0))</f>
        <v/>
      </c>
      <c r="X10">
        <f>IF(OR(B10="",C10=""),0,IFERROR(N(INDEX(Ingredients!$AQ$6:$AQ$105,MATCH(C10,Ingredients!$B$6:$B$105,0))),0))</f>
        <v/>
      </c>
    </row>
    <row r="11">
      <c r="A11" s="1" t="n"/>
      <c r="B11" s="21" t="inlineStr">
        <is>
          <t>Lemon drizzle loaf</t>
        </is>
      </c>
      <c r="C11" s="39" t="inlineStr">
        <is>
          <t>Cake boxes</t>
        </is>
      </c>
      <c r="D11" s="40" t="n">
        <v>2</v>
      </c>
      <c r="E11" s="12">
        <f>IF(C11="","",IF(ISNA(MATCH(C11,Ingredients!$B$6:$B$105,0)),"Not on Ingredients",IFERROR(IF(INDEX(Ingredients!$C$6:$C$105,MATCH(C11,Ingredients!$B$6:$B$105,0))="","",INDEX(Ingredients!$C$6:$C$105,MATCH(C11,Ingredients!$B$6:$B$105,0))),"")))</f>
        <v/>
      </c>
      <c r="F11" s="26">
        <f>IF(OR(B11="",C11=""),"",N(D11)*IFERROR(N(INDEX(Ingredients!$H$6:$H$105,MATCH(C11,Ingredients!$B$6:$B$105,0))),0))</f>
        <v/>
      </c>
      <c r="G11" s="1">
        <f>IF(OR(B11="",C11=""),0,IFERROR(N(INDEX(Products!$D$6:$D$45,MATCH(B11,Products!$B$6:$B$45,0))),0))</f>
        <v/>
      </c>
      <c r="H11">
        <f>IF(N(G11)=0,0,N(D11)*SUMIFS(Batches!$D$6:$D$505,Batches!$C$6:$C$505,B11)/G11)</f>
        <v/>
      </c>
      <c r="I11">
        <f>IF(OR(B11="",C11=""),"",IF(B11&lt;&gt;Label!$H$3,"",IF(IFERROR(N(INDEX(Ingredients!$AS$6:$AS$105,MATCH(C11,Ingredients!$B$6:$B$105,0))),0)=1,"",ROUND(N(D11)*1000,0)*100000+100000-ROW())))</f>
        <v/>
      </c>
      <c r="J11">
        <f>IF(OR(B11="",C11=""),0,IFERROR(N(INDEX(Ingredients!$AC$6:$AC$105,MATCH(C11,Ingredients!$B$6:$B$105,0))),0))</f>
        <v/>
      </c>
      <c r="K11">
        <f>IF(OR(B11="",C11=""),0,IFERROR(N(INDEX(Ingredients!$AD$6:$AD$105,MATCH(C11,Ingredients!$B$6:$B$105,0))),0))</f>
        <v/>
      </c>
      <c r="L11">
        <f>IF(OR(B11="",C11=""),0,IFERROR(N(INDEX(Ingredients!$AE$6:$AE$105,MATCH(C11,Ingredients!$B$6:$B$105,0))),0))</f>
        <v/>
      </c>
      <c r="M11">
        <f>IF(OR(B11="",C11=""),0,IFERROR(N(INDEX(Ingredients!$AF$6:$AF$105,MATCH(C11,Ingredients!$B$6:$B$105,0))),0))</f>
        <v/>
      </c>
      <c r="N11">
        <f>IF(OR(B11="",C11=""),0,IFERROR(N(INDEX(Ingredients!$AG$6:$AG$105,MATCH(C11,Ingredients!$B$6:$B$105,0))),0))</f>
        <v/>
      </c>
      <c r="O11">
        <f>IF(OR(B11="",C11=""),0,IFERROR(N(INDEX(Ingredients!$AH$6:$AH$105,MATCH(C11,Ingredients!$B$6:$B$105,0))),0))</f>
        <v/>
      </c>
      <c r="P11">
        <f>IF(OR(B11="",C11=""),0,IFERROR(N(INDEX(Ingredients!$AI$6:$AI$105,MATCH(C11,Ingredients!$B$6:$B$105,0))),0))</f>
        <v/>
      </c>
      <c r="Q11">
        <f>IF(OR(B11="",C11=""),0,IFERROR(N(INDEX(Ingredients!$AJ$6:$AJ$105,MATCH(C11,Ingredients!$B$6:$B$105,0))),0))</f>
        <v/>
      </c>
      <c r="R11">
        <f>IF(OR(B11="",C11=""),0,IFERROR(N(INDEX(Ingredients!$AK$6:$AK$105,MATCH(C11,Ingredients!$B$6:$B$105,0))),0))</f>
        <v/>
      </c>
      <c r="S11">
        <f>IF(OR(B11="",C11=""),0,IFERROR(N(INDEX(Ingredients!$AL$6:$AL$105,MATCH(C11,Ingredients!$B$6:$B$105,0))),0))</f>
        <v/>
      </c>
      <c r="T11">
        <f>IF(OR(B11="",C11=""),0,IFERROR(N(INDEX(Ingredients!$AM$6:$AM$105,MATCH(C11,Ingredients!$B$6:$B$105,0))),0))</f>
        <v/>
      </c>
      <c r="U11">
        <f>IF(OR(B11="",C11=""),0,IFERROR(N(INDEX(Ingredients!$AN$6:$AN$105,MATCH(C11,Ingredients!$B$6:$B$105,0))),0))</f>
        <v/>
      </c>
      <c r="V11">
        <f>IF(OR(B11="",C11=""),0,IFERROR(N(INDEX(Ingredients!$AO$6:$AO$105,MATCH(C11,Ingredients!$B$6:$B$105,0))),0))</f>
        <v/>
      </c>
      <c r="W11">
        <f>IF(OR(B11="",C11=""),0,IFERROR(N(INDEX(Ingredients!$AP$6:$AP$105,MATCH(C11,Ingredients!$B$6:$B$105,0))),0))</f>
        <v/>
      </c>
      <c r="X11">
        <f>IF(OR(B11="",C11=""),0,IFERROR(N(INDEX(Ingredients!$AQ$6:$AQ$105,MATCH(C11,Ingredients!$B$6:$B$105,0))),0))</f>
        <v/>
      </c>
    </row>
    <row r="12">
      <c r="A12" s="1" t="n"/>
      <c r="B12" s="21" t="inlineStr">
        <is>
          <t>Chocolate chip cookies</t>
        </is>
      </c>
      <c r="C12" s="39" t="inlineStr">
        <is>
          <t>Plain flour</t>
        </is>
      </c>
      <c r="D12" s="40" t="n">
        <v>375</v>
      </c>
      <c r="E12" s="12">
        <f>IF(C12="","",IF(ISNA(MATCH(C12,Ingredients!$B$6:$B$105,0)),"Not on Ingredients",IFERROR(IF(INDEX(Ingredients!$C$6:$C$105,MATCH(C12,Ingredients!$B$6:$B$105,0))="","",INDEX(Ingredients!$C$6:$C$105,MATCH(C12,Ingredients!$B$6:$B$105,0))),"")))</f>
        <v/>
      </c>
      <c r="F12" s="26">
        <f>IF(OR(B12="",C12=""),"",N(D12)*IFERROR(N(INDEX(Ingredients!$H$6:$H$105,MATCH(C12,Ingredients!$B$6:$B$105,0))),0))</f>
        <v/>
      </c>
      <c r="G12" s="1">
        <f>IF(OR(B12="",C12=""),0,IFERROR(N(INDEX(Products!$D$6:$D$45,MATCH(B12,Products!$B$6:$B$45,0))),0))</f>
        <v/>
      </c>
      <c r="H12">
        <f>IF(N(G12)=0,0,N(D12)*SUMIFS(Batches!$D$6:$D$505,Batches!$C$6:$C$505,B12)/G12)</f>
        <v/>
      </c>
      <c r="I12">
        <f>IF(OR(B12="",C12=""),"",IF(B12&lt;&gt;Label!$H$3,"",IF(IFERROR(N(INDEX(Ingredients!$AS$6:$AS$105,MATCH(C12,Ingredients!$B$6:$B$105,0))),0)=1,"",ROUND(N(D12)*1000,0)*100000+100000-ROW())))</f>
        <v/>
      </c>
      <c r="J12">
        <f>IF(OR(B12="",C12=""),0,IFERROR(N(INDEX(Ingredients!$AC$6:$AC$105,MATCH(C12,Ingredients!$B$6:$B$105,0))),0))</f>
        <v/>
      </c>
      <c r="K12">
        <f>IF(OR(B12="",C12=""),0,IFERROR(N(INDEX(Ingredients!$AD$6:$AD$105,MATCH(C12,Ingredients!$B$6:$B$105,0))),0))</f>
        <v/>
      </c>
      <c r="L12">
        <f>IF(OR(B12="",C12=""),0,IFERROR(N(INDEX(Ingredients!$AE$6:$AE$105,MATCH(C12,Ingredients!$B$6:$B$105,0))),0))</f>
        <v/>
      </c>
      <c r="M12">
        <f>IF(OR(B12="",C12=""),0,IFERROR(N(INDEX(Ingredients!$AF$6:$AF$105,MATCH(C12,Ingredients!$B$6:$B$105,0))),0))</f>
        <v/>
      </c>
      <c r="N12">
        <f>IF(OR(B12="",C12=""),0,IFERROR(N(INDEX(Ingredients!$AG$6:$AG$105,MATCH(C12,Ingredients!$B$6:$B$105,0))),0))</f>
        <v/>
      </c>
      <c r="O12">
        <f>IF(OR(B12="",C12=""),0,IFERROR(N(INDEX(Ingredients!$AH$6:$AH$105,MATCH(C12,Ingredients!$B$6:$B$105,0))),0))</f>
        <v/>
      </c>
      <c r="P12">
        <f>IF(OR(B12="",C12=""),0,IFERROR(N(INDEX(Ingredients!$AI$6:$AI$105,MATCH(C12,Ingredients!$B$6:$B$105,0))),0))</f>
        <v/>
      </c>
      <c r="Q12">
        <f>IF(OR(B12="",C12=""),0,IFERROR(N(INDEX(Ingredients!$AJ$6:$AJ$105,MATCH(C12,Ingredients!$B$6:$B$105,0))),0))</f>
        <v/>
      </c>
      <c r="R12">
        <f>IF(OR(B12="",C12=""),0,IFERROR(N(INDEX(Ingredients!$AK$6:$AK$105,MATCH(C12,Ingredients!$B$6:$B$105,0))),0))</f>
        <v/>
      </c>
      <c r="S12">
        <f>IF(OR(B12="",C12=""),0,IFERROR(N(INDEX(Ingredients!$AL$6:$AL$105,MATCH(C12,Ingredients!$B$6:$B$105,0))),0))</f>
        <v/>
      </c>
      <c r="T12">
        <f>IF(OR(B12="",C12=""),0,IFERROR(N(INDEX(Ingredients!$AM$6:$AM$105,MATCH(C12,Ingredients!$B$6:$B$105,0))),0))</f>
        <v/>
      </c>
      <c r="U12">
        <f>IF(OR(B12="",C12=""),0,IFERROR(N(INDEX(Ingredients!$AN$6:$AN$105,MATCH(C12,Ingredients!$B$6:$B$105,0))),0))</f>
        <v/>
      </c>
      <c r="V12">
        <f>IF(OR(B12="",C12=""),0,IFERROR(N(INDEX(Ingredients!$AO$6:$AO$105,MATCH(C12,Ingredients!$B$6:$B$105,0))),0))</f>
        <v/>
      </c>
      <c r="W12">
        <f>IF(OR(B12="",C12=""),0,IFERROR(N(INDEX(Ingredients!$AP$6:$AP$105,MATCH(C12,Ingredients!$B$6:$B$105,0))),0))</f>
        <v/>
      </c>
      <c r="X12">
        <f>IF(OR(B12="",C12=""),0,IFERROR(N(INDEX(Ingredients!$AQ$6:$AQ$105,MATCH(C12,Ingredients!$B$6:$B$105,0))),0))</f>
        <v/>
      </c>
    </row>
    <row r="13">
      <c r="A13" s="1" t="n"/>
      <c r="B13" s="21" t="inlineStr">
        <is>
          <t>Chocolate chip cookies</t>
        </is>
      </c>
      <c r="C13" s="39" t="inlineStr">
        <is>
          <t>Dark chocolate chips</t>
        </is>
      </c>
      <c r="D13" s="40" t="n">
        <v>340</v>
      </c>
      <c r="E13" s="12">
        <f>IF(C13="","",IF(ISNA(MATCH(C13,Ingredients!$B$6:$B$105,0)),"Not on Ingredients",IFERROR(IF(INDEX(Ingredients!$C$6:$C$105,MATCH(C13,Ingredients!$B$6:$B$105,0))="","",INDEX(Ingredients!$C$6:$C$105,MATCH(C13,Ingredients!$B$6:$B$105,0))),"")))</f>
        <v/>
      </c>
      <c r="F13" s="26">
        <f>IF(OR(B13="",C13=""),"",N(D13)*IFERROR(N(INDEX(Ingredients!$H$6:$H$105,MATCH(C13,Ingredients!$B$6:$B$105,0))),0))</f>
        <v/>
      </c>
      <c r="G13" s="1">
        <f>IF(OR(B13="",C13=""),0,IFERROR(N(INDEX(Products!$D$6:$D$45,MATCH(B13,Products!$B$6:$B$45,0))),0))</f>
        <v/>
      </c>
      <c r="H13">
        <f>IF(N(G13)=0,0,N(D13)*SUMIFS(Batches!$D$6:$D$505,Batches!$C$6:$C$505,B13)/G13)</f>
        <v/>
      </c>
      <c r="I13">
        <f>IF(OR(B13="",C13=""),"",IF(B13&lt;&gt;Label!$H$3,"",IF(IFERROR(N(INDEX(Ingredients!$AS$6:$AS$105,MATCH(C13,Ingredients!$B$6:$B$105,0))),0)=1,"",ROUND(N(D13)*1000,0)*100000+100000-ROW())))</f>
        <v/>
      </c>
      <c r="J13">
        <f>IF(OR(B13="",C13=""),0,IFERROR(N(INDEX(Ingredients!$AC$6:$AC$105,MATCH(C13,Ingredients!$B$6:$B$105,0))),0))</f>
        <v/>
      </c>
      <c r="K13">
        <f>IF(OR(B13="",C13=""),0,IFERROR(N(INDEX(Ingredients!$AD$6:$AD$105,MATCH(C13,Ingredients!$B$6:$B$105,0))),0))</f>
        <v/>
      </c>
      <c r="L13">
        <f>IF(OR(B13="",C13=""),0,IFERROR(N(INDEX(Ingredients!$AE$6:$AE$105,MATCH(C13,Ingredients!$B$6:$B$105,0))),0))</f>
        <v/>
      </c>
      <c r="M13">
        <f>IF(OR(B13="",C13=""),0,IFERROR(N(INDEX(Ingredients!$AF$6:$AF$105,MATCH(C13,Ingredients!$B$6:$B$105,0))),0))</f>
        <v/>
      </c>
      <c r="N13">
        <f>IF(OR(B13="",C13=""),0,IFERROR(N(INDEX(Ingredients!$AG$6:$AG$105,MATCH(C13,Ingredients!$B$6:$B$105,0))),0))</f>
        <v/>
      </c>
      <c r="O13">
        <f>IF(OR(B13="",C13=""),0,IFERROR(N(INDEX(Ingredients!$AH$6:$AH$105,MATCH(C13,Ingredients!$B$6:$B$105,0))),0))</f>
        <v/>
      </c>
      <c r="P13">
        <f>IF(OR(B13="",C13=""),0,IFERROR(N(INDEX(Ingredients!$AI$6:$AI$105,MATCH(C13,Ingredients!$B$6:$B$105,0))),0))</f>
        <v/>
      </c>
      <c r="Q13">
        <f>IF(OR(B13="",C13=""),0,IFERROR(N(INDEX(Ingredients!$AJ$6:$AJ$105,MATCH(C13,Ingredients!$B$6:$B$105,0))),0))</f>
        <v/>
      </c>
      <c r="R13">
        <f>IF(OR(B13="",C13=""),0,IFERROR(N(INDEX(Ingredients!$AK$6:$AK$105,MATCH(C13,Ingredients!$B$6:$B$105,0))),0))</f>
        <v/>
      </c>
      <c r="S13">
        <f>IF(OR(B13="",C13=""),0,IFERROR(N(INDEX(Ingredients!$AL$6:$AL$105,MATCH(C13,Ingredients!$B$6:$B$105,0))),0))</f>
        <v/>
      </c>
      <c r="T13">
        <f>IF(OR(B13="",C13=""),0,IFERROR(N(INDEX(Ingredients!$AM$6:$AM$105,MATCH(C13,Ingredients!$B$6:$B$105,0))),0))</f>
        <v/>
      </c>
      <c r="U13">
        <f>IF(OR(B13="",C13=""),0,IFERROR(N(INDEX(Ingredients!$AN$6:$AN$105,MATCH(C13,Ingredients!$B$6:$B$105,0))),0))</f>
        <v/>
      </c>
      <c r="V13">
        <f>IF(OR(B13="",C13=""),0,IFERROR(N(INDEX(Ingredients!$AO$6:$AO$105,MATCH(C13,Ingredients!$B$6:$B$105,0))),0))</f>
        <v/>
      </c>
      <c r="W13">
        <f>IF(OR(B13="",C13=""),0,IFERROR(N(INDEX(Ingredients!$AP$6:$AP$105,MATCH(C13,Ingredients!$B$6:$B$105,0))),0))</f>
        <v/>
      </c>
      <c r="X13">
        <f>IF(OR(B13="",C13=""),0,IFERROR(N(INDEX(Ingredients!$AQ$6:$AQ$105,MATCH(C13,Ingredients!$B$6:$B$105,0))),0))</f>
        <v/>
      </c>
    </row>
    <row r="14">
      <c r="A14" s="1" t="n"/>
      <c r="B14" s="21" t="inlineStr">
        <is>
          <t>Chocolate chip cookies</t>
        </is>
      </c>
      <c r="C14" s="39" t="inlineStr">
        <is>
          <t>Caster sugar</t>
        </is>
      </c>
      <c r="D14" s="40" t="n">
        <v>300</v>
      </c>
      <c r="E14" s="12">
        <f>IF(C14="","",IF(ISNA(MATCH(C14,Ingredients!$B$6:$B$105,0)),"Not on Ingredients",IFERROR(IF(INDEX(Ingredients!$C$6:$C$105,MATCH(C14,Ingredients!$B$6:$B$105,0))="","",INDEX(Ingredients!$C$6:$C$105,MATCH(C14,Ingredients!$B$6:$B$105,0))),"")))</f>
        <v/>
      </c>
      <c r="F14" s="26">
        <f>IF(OR(B14="",C14=""),"",N(D14)*IFERROR(N(INDEX(Ingredients!$H$6:$H$105,MATCH(C14,Ingredients!$B$6:$B$105,0))),0))</f>
        <v/>
      </c>
      <c r="G14" s="1">
        <f>IF(OR(B14="",C14=""),0,IFERROR(N(INDEX(Products!$D$6:$D$45,MATCH(B14,Products!$B$6:$B$45,0))),0))</f>
        <v/>
      </c>
      <c r="H14">
        <f>IF(N(G14)=0,0,N(D14)*SUMIFS(Batches!$D$6:$D$505,Batches!$C$6:$C$505,B14)/G14)</f>
        <v/>
      </c>
      <c r="I14">
        <f>IF(OR(B14="",C14=""),"",IF(B14&lt;&gt;Label!$H$3,"",IF(IFERROR(N(INDEX(Ingredients!$AS$6:$AS$105,MATCH(C14,Ingredients!$B$6:$B$105,0))),0)=1,"",ROUND(N(D14)*1000,0)*100000+100000-ROW())))</f>
        <v/>
      </c>
      <c r="J14">
        <f>IF(OR(B14="",C14=""),0,IFERROR(N(INDEX(Ingredients!$AC$6:$AC$105,MATCH(C14,Ingredients!$B$6:$B$105,0))),0))</f>
        <v/>
      </c>
      <c r="K14">
        <f>IF(OR(B14="",C14=""),0,IFERROR(N(INDEX(Ingredients!$AD$6:$AD$105,MATCH(C14,Ingredients!$B$6:$B$105,0))),0))</f>
        <v/>
      </c>
      <c r="L14">
        <f>IF(OR(B14="",C14=""),0,IFERROR(N(INDEX(Ingredients!$AE$6:$AE$105,MATCH(C14,Ingredients!$B$6:$B$105,0))),0))</f>
        <v/>
      </c>
      <c r="M14">
        <f>IF(OR(B14="",C14=""),0,IFERROR(N(INDEX(Ingredients!$AF$6:$AF$105,MATCH(C14,Ingredients!$B$6:$B$105,0))),0))</f>
        <v/>
      </c>
      <c r="N14">
        <f>IF(OR(B14="",C14=""),0,IFERROR(N(INDEX(Ingredients!$AG$6:$AG$105,MATCH(C14,Ingredients!$B$6:$B$105,0))),0))</f>
        <v/>
      </c>
      <c r="O14">
        <f>IF(OR(B14="",C14=""),0,IFERROR(N(INDEX(Ingredients!$AH$6:$AH$105,MATCH(C14,Ingredients!$B$6:$B$105,0))),0))</f>
        <v/>
      </c>
      <c r="P14">
        <f>IF(OR(B14="",C14=""),0,IFERROR(N(INDEX(Ingredients!$AI$6:$AI$105,MATCH(C14,Ingredients!$B$6:$B$105,0))),0))</f>
        <v/>
      </c>
      <c r="Q14">
        <f>IF(OR(B14="",C14=""),0,IFERROR(N(INDEX(Ingredients!$AJ$6:$AJ$105,MATCH(C14,Ingredients!$B$6:$B$105,0))),0))</f>
        <v/>
      </c>
      <c r="R14">
        <f>IF(OR(B14="",C14=""),0,IFERROR(N(INDEX(Ingredients!$AK$6:$AK$105,MATCH(C14,Ingredients!$B$6:$B$105,0))),0))</f>
        <v/>
      </c>
      <c r="S14">
        <f>IF(OR(B14="",C14=""),0,IFERROR(N(INDEX(Ingredients!$AL$6:$AL$105,MATCH(C14,Ingredients!$B$6:$B$105,0))),0))</f>
        <v/>
      </c>
      <c r="T14">
        <f>IF(OR(B14="",C14=""),0,IFERROR(N(INDEX(Ingredients!$AM$6:$AM$105,MATCH(C14,Ingredients!$B$6:$B$105,0))),0))</f>
        <v/>
      </c>
      <c r="U14">
        <f>IF(OR(B14="",C14=""),0,IFERROR(N(INDEX(Ingredients!$AN$6:$AN$105,MATCH(C14,Ingredients!$B$6:$B$105,0))),0))</f>
        <v/>
      </c>
      <c r="V14">
        <f>IF(OR(B14="",C14=""),0,IFERROR(N(INDEX(Ingredients!$AO$6:$AO$105,MATCH(C14,Ingredients!$B$6:$B$105,0))),0))</f>
        <v/>
      </c>
      <c r="W14">
        <f>IF(OR(B14="",C14=""),0,IFERROR(N(INDEX(Ingredients!$AP$6:$AP$105,MATCH(C14,Ingredients!$B$6:$B$105,0))),0))</f>
        <v/>
      </c>
      <c r="X14">
        <f>IF(OR(B14="",C14=""),0,IFERROR(N(INDEX(Ingredients!$AQ$6:$AQ$105,MATCH(C14,Ingredients!$B$6:$B$105,0))),0))</f>
        <v/>
      </c>
    </row>
    <row r="15">
      <c r="A15" s="1" t="n"/>
      <c r="B15" s="21" t="inlineStr">
        <is>
          <t>Chocolate chip cookies</t>
        </is>
      </c>
      <c r="C15" s="39" t="inlineStr">
        <is>
          <t>Butter</t>
        </is>
      </c>
      <c r="D15" s="40" t="n">
        <v>225</v>
      </c>
      <c r="E15" s="12">
        <f>IF(C15="","",IF(ISNA(MATCH(C15,Ingredients!$B$6:$B$105,0)),"Not on Ingredients",IFERROR(IF(INDEX(Ingredients!$C$6:$C$105,MATCH(C15,Ingredients!$B$6:$B$105,0))="","",INDEX(Ingredients!$C$6:$C$105,MATCH(C15,Ingredients!$B$6:$B$105,0))),"")))</f>
        <v/>
      </c>
      <c r="F15" s="26">
        <f>IF(OR(B15="",C15=""),"",N(D15)*IFERROR(N(INDEX(Ingredients!$H$6:$H$105,MATCH(C15,Ingredients!$B$6:$B$105,0))),0))</f>
        <v/>
      </c>
      <c r="G15" s="1">
        <f>IF(OR(B15="",C15=""),0,IFERROR(N(INDEX(Products!$D$6:$D$45,MATCH(B15,Products!$B$6:$B$45,0))),0))</f>
        <v/>
      </c>
      <c r="H15">
        <f>IF(N(G15)=0,0,N(D15)*SUMIFS(Batches!$D$6:$D$505,Batches!$C$6:$C$505,B15)/G15)</f>
        <v/>
      </c>
      <c r="I15">
        <f>IF(OR(B15="",C15=""),"",IF(B15&lt;&gt;Label!$H$3,"",IF(IFERROR(N(INDEX(Ingredients!$AS$6:$AS$105,MATCH(C15,Ingredients!$B$6:$B$105,0))),0)=1,"",ROUND(N(D15)*1000,0)*100000+100000-ROW())))</f>
        <v/>
      </c>
      <c r="J15">
        <f>IF(OR(B15="",C15=""),0,IFERROR(N(INDEX(Ingredients!$AC$6:$AC$105,MATCH(C15,Ingredients!$B$6:$B$105,0))),0))</f>
        <v/>
      </c>
      <c r="K15">
        <f>IF(OR(B15="",C15=""),0,IFERROR(N(INDEX(Ingredients!$AD$6:$AD$105,MATCH(C15,Ingredients!$B$6:$B$105,0))),0))</f>
        <v/>
      </c>
      <c r="L15">
        <f>IF(OR(B15="",C15=""),0,IFERROR(N(INDEX(Ingredients!$AE$6:$AE$105,MATCH(C15,Ingredients!$B$6:$B$105,0))),0))</f>
        <v/>
      </c>
      <c r="M15">
        <f>IF(OR(B15="",C15=""),0,IFERROR(N(INDEX(Ingredients!$AF$6:$AF$105,MATCH(C15,Ingredients!$B$6:$B$105,0))),0))</f>
        <v/>
      </c>
      <c r="N15">
        <f>IF(OR(B15="",C15=""),0,IFERROR(N(INDEX(Ingredients!$AG$6:$AG$105,MATCH(C15,Ingredients!$B$6:$B$105,0))),0))</f>
        <v/>
      </c>
      <c r="O15">
        <f>IF(OR(B15="",C15=""),0,IFERROR(N(INDEX(Ingredients!$AH$6:$AH$105,MATCH(C15,Ingredients!$B$6:$B$105,0))),0))</f>
        <v/>
      </c>
      <c r="P15">
        <f>IF(OR(B15="",C15=""),0,IFERROR(N(INDEX(Ingredients!$AI$6:$AI$105,MATCH(C15,Ingredients!$B$6:$B$105,0))),0))</f>
        <v/>
      </c>
      <c r="Q15">
        <f>IF(OR(B15="",C15=""),0,IFERROR(N(INDEX(Ingredients!$AJ$6:$AJ$105,MATCH(C15,Ingredients!$B$6:$B$105,0))),0))</f>
        <v/>
      </c>
      <c r="R15">
        <f>IF(OR(B15="",C15=""),0,IFERROR(N(INDEX(Ingredients!$AK$6:$AK$105,MATCH(C15,Ingredients!$B$6:$B$105,0))),0))</f>
        <v/>
      </c>
      <c r="S15">
        <f>IF(OR(B15="",C15=""),0,IFERROR(N(INDEX(Ingredients!$AL$6:$AL$105,MATCH(C15,Ingredients!$B$6:$B$105,0))),0))</f>
        <v/>
      </c>
      <c r="T15">
        <f>IF(OR(B15="",C15=""),0,IFERROR(N(INDEX(Ingredients!$AM$6:$AM$105,MATCH(C15,Ingredients!$B$6:$B$105,0))),0))</f>
        <v/>
      </c>
      <c r="U15">
        <f>IF(OR(B15="",C15=""),0,IFERROR(N(INDEX(Ingredients!$AN$6:$AN$105,MATCH(C15,Ingredients!$B$6:$B$105,0))),0))</f>
        <v/>
      </c>
      <c r="V15">
        <f>IF(OR(B15="",C15=""),0,IFERROR(N(INDEX(Ingredients!$AO$6:$AO$105,MATCH(C15,Ingredients!$B$6:$B$105,0))),0))</f>
        <v/>
      </c>
      <c r="W15">
        <f>IF(OR(B15="",C15=""),0,IFERROR(N(INDEX(Ingredients!$AP$6:$AP$105,MATCH(C15,Ingredients!$B$6:$B$105,0))),0))</f>
        <v/>
      </c>
      <c r="X15">
        <f>IF(OR(B15="",C15=""),0,IFERROR(N(INDEX(Ingredients!$AQ$6:$AQ$105,MATCH(C15,Ingredients!$B$6:$B$105,0))),0))</f>
        <v/>
      </c>
    </row>
    <row r="16">
      <c r="A16" s="1" t="n"/>
      <c r="B16" s="21" t="inlineStr">
        <is>
          <t>Chocolate chip cookies</t>
        </is>
      </c>
      <c r="C16" s="39" t="inlineStr">
        <is>
          <t>Eggs</t>
        </is>
      </c>
      <c r="D16" s="40" t="n">
        <v>100</v>
      </c>
      <c r="E16" s="12">
        <f>IF(C16="","",IF(ISNA(MATCH(C16,Ingredients!$B$6:$B$105,0)),"Not on Ingredients",IFERROR(IF(INDEX(Ingredients!$C$6:$C$105,MATCH(C16,Ingredients!$B$6:$B$105,0))="","",INDEX(Ingredients!$C$6:$C$105,MATCH(C16,Ingredients!$B$6:$B$105,0))),"")))</f>
        <v/>
      </c>
      <c r="F16" s="26">
        <f>IF(OR(B16="",C16=""),"",N(D16)*IFERROR(N(INDEX(Ingredients!$H$6:$H$105,MATCH(C16,Ingredients!$B$6:$B$105,0))),0))</f>
        <v/>
      </c>
      <c r="G16" s="1">
        <f>IF(OR(B16="",C16=""),0,IFERROR(N(INDEX(Products!$D$6:$D$45,MATCH(B16,Products!$B$6:$B$45,0))),0))</f>
        <v/>
      </c>
      <c r="H16">
        <f>IF(N(G16)=0,0,N(D16)*SUMIFS(Batches!$D$6:$D$505,Batches!$C$6:$C$505,B16)/G16)</f>
        <v/>
      </c>
      <c r="I16">
        <f>IF(OR(B16="",C16=""),"",IF(B16&lt;&gt;Label!$H$3,"",IF(IFERROR(N(INDEX(Ingredients!$AS$6:$AS$105,MATCH(C16,Ingredients!$B$6:$B$105,0))),0)=1,"",ROUND(N(D16)*1000,0)*100000+100000-ROW())))</f>
        <v/>
      </c>
      <c r="J16">
        <f>IF(OR(B16="",C16=""),0,IFERROR(N(INDEX(Ingredients!$AC$6:$AC$105,MATCH(C16,Ingredients!$B$6:$B$105,0))),0))</f>
        <v/>
      </c>
      <c r="K16">
        <f>IF(OR(B16="",C16=""),0,IFERROR(N(INDEX(Ingredients!$AD$6:$AD$105,MATCH(C16,Ingredients!$B$6:$B$105,0))),0))</f>
        <v/>
      </c>
      <c r="L16">
        <f>IF(OR(B16="",C16=""),0,IFERROR(N(INDEX(Ingredients!$AE$6:$AE$105,MATCH(C16,Ingredients!$B$6:$B$105,0))),0))</f>
        <v/>
      </c>
      <c r="M16">
        <f>IF(OR(B16="",C16=""),0,IFERROR(N(INDEX(Ingredients!$AF$6:$AF$105,MATCH(C16,Ingredients!$B$6:$B$105,0))),0))</f>
        <v/>
      </c>
      <c r="N16">
        <f>IF(OR(B16="",C16=""),0,IFERROR(N(INDEX(Ingredients!$AG$6:$AG$105,MATCH(C16,Ingredients!$B$6:$B$105,0))),0))</f>
        <v/>
      </c>
      <c r="O16">
        <f>IF(OR(B16="",C16=""),0,IFERROR(N(INDEX(Ingredients!$AH$6:$AH$105,MATCH(C16,Ingredients!$B$6:$B$105,0))),0))</f>
        <v/>
      </c>
      <c r="P16">
        <f>IF(OR(B16="",C16=""),0,IFERROR(N(INDEX(Ingredients!$AI$6:$AI$105,MATCH(C16,Ingredients!$B$6:$B$105,0))),0))</f>
        <v/>
      </c>
      <c r="Q16">
        <f>IF(OR(B16="",C16=""),0,IFERROR(N(INDEX(Ingredients!$AJ$6:$AJ$105,MATCH(C16,Ingredients!$B$6:$B$105,0))),0))</f>
        <v/>
      </c>
      <c r="R16">
        <f>IF(OR(B16="",C16=""),0,IFERROR(N(INDEX(Ingredients!$AK$6:$AK$105,MATCH(C16,Ingredients!$B$6:$B$105,0))),0))</f>
        <v/>
      </c>
      <c r="S16">
        <f>IF(OR(B16="",C16=""),0,IFERROR(N(INDEX(Ingredients!$AL$6:$AL$105,MATCH(C16,Ingredients!$B$6:$B$105,0))),0))</f>
        <v/>
      </c>
      <c r="T16">
        <f>IF(OR(B16="",C16=""),0,IFERROR(N(INDEX(Ingredients!$AM$6:$AM$105,MATCH(C16,Ingredients!$B$6:$B$105,0))),0))</f>
        <v/>
      </c>
      <c r="U16">
        <f>IF(OR(B16="",C16=""),0,IFERROR(N(INDEX(Ingredients!$AN$6:$AN$105,MATCH(C16,Ingredients!$B$6:$B$105,0))),0))</f>
        <v/>
      </c>
      <c r="V16">
        <f>IF(OR(B16="",C16=""),0,IFERROR(N(INDEX(Ingredients!$AO$6:$AO$105,MATCH(C16,Ingredients!$B$6:$B$105,0))),0))</f>
        <v/>
      </c>
      <c r="W16">
        <f>IF(OR(B16="",C16=""),0,IFERROR(N(INDEX(Ingredients!$AP$6:$AP$105,MATCH(C16,Ingredients!$B$6:$B$105,0))),0))</f>
        <v/>
      </c>
      <c r="X16">
        <f>IF(OR(B16="",C16=""),0,IFERROR(N(INDEX(Ingredients!$AQ$6:$AQ$105,MATCH(C16,Ingredients!$B$6:$B$105,0))),0))</f>
        <v/>
      </c>
    </row>
    <row r="17">
      <c r="A17" s="1" t="n"/>
      <c r="B17" s="21" t="inlineStr">
        <is>
          <t>Chocolate chip cookies</t>
        </is>
      </c>
      <c r="C17" s="39" t="inlineStr">
        <is>
          <t>Vanilla extract</t>
        </is>
      </c>
      <c r="D17" s="40" t="n">
        <v>5</v>
      </c>
      <c r="E17" s="12">
        <f>IF(C17="","",IF(ISNA(MATCH(C17,Ingredients!$B$6:$B$105,0)),"Not on Ingredients",IFERROR(IF(INDEX(Ingredients!$C$6:$C$105,MATCH(C17,Ingredients!$B$6:$B$105,0))="","",INDEX(Ingredients!$C$6:$C$105,MATCH(C17,Ingredients!$B$6:$B$105,0))),"")))</f>
        <v/>
      </c>
      <c r="F17" s="26">
        <f>IF(OR(B17="",C17=""),"",N(D17)*IFERROR(N(INDEX(Ingredients!$H$6:$H$105,MATCH(C17,Ingredients!$B$6:$B$105,0))),0))</f>
        <v/>
      </c>
      <c r="G17" s="1">
        <f>IF(OR(B17="",C17=""),0,IFERROR(N(INDEX(Products!$D$6:$D$45,MATCH(B17,Products!$B$6:$B$45,0))),0))</f>
        <v/>
      </c>
      <c r="H17">
        <f>IF(N(G17)=0,0,N(D17)*SUMIFS(Batches!$D$6:$D$505,Batches!$C$6:$C$505,B17)/G17)</f>
        <v/>
      </c>
      <c r="I17">
        <f>IF(OR(B17="",C17=""),"",IF(B17&lt;&gt;Label!$H$3,"",IF(IFERROR(N(INDEX(Ingredients!$AS$6:$AS$105,MATCH(C17,Ingredients!$B$6:$B$105,0))),0)=1,"",ROUND(N(D17)*1000,0)*100000+100000-ROW())))</f>
        <v/>
      </c>
      <c r="J17">
        <f>IF(OR(B17="",C17=""),0,IFERROR(N(INDEX(Ingredients!$AC$6:$AC$105,MATCH(C17,Ingredients!$B$6:$B$105,0))),0))</f>
        <v/>
      </c>
      <c r="K17">
        <f>IF(OR(B17="",C17=""),0,IFERROR(N(INDEX(Ingredients!$AD$6:$AD$105,MATCH(C17,Ingredients!$B$6:$B$105,0))),0))</f>
        <v/>
      </c>
      <c r="L17">
        <f>IF(OR(B17="",C17=""),0,IFERROR(N(INDEX(Ingredients!$AE$6:$AE$105,MATCH(C17,Ingredients!$B$6:$B$105,0))),0))</f>
        <v/>
      </c>
      <c r="M17">
        <f>IF(OR(B17="",C17=""),0,IFERROR(N(INDEX(Ingredients!$AF$6:$AF$105,MATCH(C17,Ingredients!$B$6:$B$105,0))),0))</f>
        <v/>
      </c>
      <c r="N17">
        <f>IF(OR(B17="",C17=""),0,IFERROR(N(INDEX(Ingredients!$AG$6:$AG$105,MATCH(C17,Ingredients!$B$6:$B$105,0))),0))</f>
        <v/>
      </c>
      <c r="O17">
        <f>IF(OR(B17="",C17=""),0,IFERROR(N(INDEX(Ingredients!$AH$6:$AH$105,MATCH(C17,Ingredients!$B$6:$B$105,0))),0))</f>
        <v/>
      </c>
      <c r="P17">
        <f>IF(OR(B17="",C17=""),0,IFERROR(N(INDEX(Ingredients!$AI$6:$AI$105,MATCH(C17,Ingredients!$B$6:$B$105,0))),0))</f>
        <v/>
      </c>
      <c r="Q17">
        <f>IF(OR(B17="",C17=""),0,IFERROR(N(INDEX(Ingredients!$AJ$6:$AJ$105,MATCH(C17,Ingredients!$B$6:$B$105,0))),0))</f>
        <v/>
      </c>
      <c r="R17">
        <f>IF(OR(B17="",C17=""),0,IFERROR(N(INDEX(Ingredients!$AK$6:$AK$105,MATCH(C17,Ingredients!$B$6:$B$105,0))),0))</f>
        <v/>
      </c>
      <c r="S17">
        <f>IF(OR(B17="",C17=""),0,IFERROR(N(INDEX(Ingredients!$AL$6:$AL$105,MATCH(C17,Ingredients!$B$6:$B$105,0))),0))</f>
        <v/>
      </c>
      <c r="T17">
        <f>IF(OR(B17="",C17=""),0,IFERROR(N(INDEX(Ingredients!$AM$6:$AM$105,MATCH(C17,Ingredients!$B$6:$B$105,0))),0))</f>
        <v/>
      </c>
      <c r="U17">
        <f>IF(OR(B17="",C17=""),0,IFERROR(N(INDEX(Ingredients!$AN$6:$AN$105,MATCH(C17,Ingredients!$B$6:$B$105,0))),0))</f>
        <v/>
      </c>
      <c r="V17">
        <f>IF(OR(B17="",C17=""),0,IFERROR(N(INDEX(Ingredients!$AO$6:$AO$105,MATCH(C17,Ingredients!$B$6:$B$105,0))),0))</f>
        <v/>
      </c>
      <c r="W17">
        <f>IF(OR(B17="",C17=""),0,IFERROR(N(INDEX(Ingredients!$AP$6:$AP$105,MATCH(C17,Ingredients!$B$6:$B$105,0))),0))</f>
        <v/>
      </c>
      <c r="X17">
        <f>IF(OR(B17="",C17=""),0,IFERROR(N(INDEX(Ingredients!$AQ$6:$AQ$105,MATCH(C17,Ingredients!$B$6:$B$105,0))),0))</f>
        <v/>
      </c>
    </row>
    <row r="18">
      <c r="A18" s="1" t="n"/>
      <c r="B18" s="21" t="inlineStr">
        <is>
          <t>Chocolate chip cookies</t>
        </is>
      </c>
      <c r="C18" s="39" t="inlineStr">
        <is>
          <t>Salt</t>
        </is>
      </c>
      <c r="D18" s="40" t="n">
        <v>3</v>
      </c>
      <c r="E18" s="12">
        <f>IF(C18="","",IF(ISNA(MATCH(C18,Ingredients!$B$6:$B$105,0)),"Not on Ingredients",IFERROR(IF(INDEX(Ingredients!$C$6:$C$105,MATCH(C18,Ingredients!$B$6:$B$105,0))="","",INDEX(Ingredients!$C$6:$C$105,MATCH(C18,Ingredients!$B$6:$B$105,0))),"")))</f>
        <v/>
      </c>
      <c r="F18" s="26">
        <f>IF(OR(B18="",C18=""),"",N(D18)*IFERROR(N(INDEX(Ingredients!$H$6:$H$105,MATCH(C18,Ingredients!$B$6:$B$105,0))),0))</f>
        <v/>
      </c>
      <c r="G18" s="1">
        <f>IF(OR(B18="",C18=""),0,IFERROR(N(INDEX(Products!$D$6:$D$45,MATCH(B18,Products!$B$6:$B$45,0))),0))</f>
        <v/>
      </c>
      <c r="H18">
        <f>IF(N(G18)=0,0,N(D18)*SUMIFS(Batches!$D$6:$D$505,Batches!$C$6:$C$505,B18)/G18)</f>
        <v/>
      </c>
      <c r="I18">
        <f>IF(OR(B18="",C18=""),"",IF(B18&lt;&gt;Label!$H$3,"",IF(IFERROR(N(INDEX(Ingredients!$AS$6:$AS$105,MATCH(C18,Ingredients!$B$6:$B$105,0))),0)=1,"",ROUND(N(D18)*1000,0)*100000+100000-ROW())))</f>
        <v/>
      </c>
      <c r="J18">
        <f>IF(OR(B18="",C18=""),0,IFERROR(N(INDEX(Ingredients!$AC$6:$AC$105,MATCH(C18,Ingredients!$B$6:$B$105,0))),0))</f>
        <v/>
      </c>
      <c r="K18">
        <f>IF(OR(B18="",C18=""),0,IFERROR(N(INDEX(Ingredients!$AD$6:$AD$105,MATCH(C18,Ingredients!$B$6:$B$105,0))),0))</f>
        <v/>
      </c>
      <c r="L18">
        <f>IF(OR(B18="",C18=""),0,IFERROR(N(INDEX(Ingredients!$AE$6:$AE$105,MATCH(C18,Ingredients!$B$6:$B$105,0))),0))</f>
        <v/>
      </c>
      <c r="M18">
        <f>IF(OR(B18="",C18=""),0,IFERROR(N(INDEX(Ingredients!$AF$6:$AF$105,MATCH(C18,Ingredients!$B$6:$B$105,0))),0))</f>
        <v/>
      </c>
      <c r="N18">
        <f>IF(OR(B18="",C18=""),0,IFERROR(N(INDEX(Ingredients!$AG$6:$AG$105,MATCH(C18,Ingredients!$B$6:$B$105,0))),0))</f>
        <v/>
      </c>
      <c r="O18">
        <f>IF(OR(B18="",C18=""),0,IFERROR(N(INDEX(Ingredients!$AH$6:$AH$105,MATCH(C18,Ingredients!$B$6:$B$105,0))),0))</f>
        <v/>
      </c>
      <c r="P18">
        <f>IF(OR(B18="",C18=""),0,IFERROR(N(INDEX(Ingredients!$AI$6:$AI$105,MATCH(C18,Ingredients!$B$6:$B$105,0))),0))</f>
        <v/>
      </c>
      <c r="Q18">
        <f>IF(OR(B18="",C18=""),0,IFERROR(N(INDEX(Ingredients!$AJ$6:$AJ$105,MATCH(C18,Ingredients!$B$6:$B$105,0))),0))</f>
        <v/>
      </c>
      <c r="R18">
        <f>IF(OR(B18="",C18=""),0,IFERROR(N(INDEX(Ingredients!$AK$6:$AK$105,MATCH(C18,Ingredients!$B$6:$B$105,0))),0))</f>
        <v/>
      </c>
      <c r="S18">
        <f>IF(OR(B18="",C18=""),0,IFERROR(N(INDEX(Ingredients!$AL$6:$AL$105,MATCH(C18,Ingredients!$B$6:$B$105,0))),0))</f>
        <v/>
      </c>
      <c r="T18">
        <f>IF(OR(B18="",C18=""),0,IFERROR(N(INDEX(Ingredients!$AM$6:$AM$105,MATCH(C18,Ingredients!$B$6:$B$105,0))),0))</f>
        <v/>
      </c>
      <c r="U18">
        <f>IF(OR(B18="",C18=""),0,IFERROR(N(INDEX(Ingredients!$AN$6:$AN$105,MATCH(C18,Ingredients!$B$6:$B$105,0))),0))</f>
        <v/>
      </c>
      <c r="V18">
        <f>IF(OR(B18="",C18=""),0,IFERROR(N(INDEX(Ingredients!$AO$6:$AO$105,MATCH(C18,Ingredients!$B$6:$B$105,0))),0))</f>
        <v/>
      </c>
      <c r="W18">
        <f>IF(OR(B18="",C18=""),0,IFERROR(N(INDEX(Ingredients!$AP$6:$AP$105,MATCH(C18,Ingredients!$B$6:$B$105,0))),0))</f>
        <v/>
      </c>
      <c r="X18">
        <f>IF(OR(B18="",C18=""),0,IFERROR(N(INDEX(Ingredients!$AQ$6:$AQ$105,MATCH(C18,Ingredients!$B$6:$B$105,0))),0))</f>
        <v/>
      </c>
    </row>
    <row r="19">
      <c r="A19" s="1" t="n"/>
      <c r="B19" s="21" t="inlineStr">
        <is>
          <t>Chocolate chip cookies</t>
        </is>
      </c>
      <c r="C19" s="39" t="inlineStr">
        <is>
          <t>Cookie bags</t>
        </is>
      </c>
      <c r="D19" s="40" t="n">
        <v>4</v>
      </c>
      <c r="E19" s="12">
        <f>IF(C19="","",IF(ISNA(MATCH(C19,Ingredients!$B$6:$B$105,0)),"Not on Ingredients",IFERROR(IF(INDEX(Ingredients!$C$6:$C$105,MATCH(C19,Ingredients!$B$6:$B$105,0))="","",INDEX(Ingredients!$C$6:$C$105,MATCH(C19,Ingredients!$B$6:$B$105,0))),"")))</f>
        <v/>
      </c>
      <c r="F19" s="26">
        <f>IF(OR(B19="",C19=""),"",N(D19)*IFERROR(N(INDEX(Ingredients!$H$6:$H$105,MATCH(C19,Ingredients!$B$6:$B$105,0))),0))</f>
        <v/>
      </c>
      <c r="G19" s="1">
        <f>IF(OR(B19="",C19=""),0,IFERROR(N(INDEX(Products!$D$6:$D$45,MATCH(B19,Products!$B$6:$B$45,0))),0))</f>
        <v/>
      </c>
      <c r="H19">
        <f>IF(N(G19)=0,0,N(D19)*SUMIFS(Batches!$D$6:$D$505,Batches!$C$6:$C$505,B19)/G19)</f>
        <v/>
      </c>
      <c r="I19">
        <f>IF(OR(B19="",C19=""),"",IF(B19&lt;&gt;Label!$H$3,"",IF(IFERROR(N(INDEX(Ingredients!$AS$6:$AS$105,MATCH(C19,Ingredients!$B$6:$B$105,0))),0)=1,"",ROUND(N(D19)*1000,0)*100000+100000-ROW())))</f>
        <v/>
      </c>
      <c r="J19">
        <f>IF(OR(B19="",C19=""),0,IFERROR(N(INDEX(Ingredients!$AC$6:$AC$105,MATCH(C19,Ingredients!$B$6:$B$105,0))),0))</f>
        <v/>
      </c>
      <c r="K19">
        <f>IF(OR(B19="",C19=""),0,IFERROR(N(INDEX(Ingredients!$AD$6:$AD$105,MATCH(C19,Ingredients!$B$6:$B$105,0))),0))</f>
        <v/>
      </c>
      <c r="L19">
        <f>IF(OR(B19="",C19=""),0,IFERROR(N(INDEX(Ingredients!$AE$6:$AE$105,MATCH(C19,Ingredients!$B$6:$B$105,0))),0))</f>
        <v/>
      </c>
      <c r="M19">
        <f>IF(OR(B19="",C19=""),0,IFERROR(N(INDEX(Ingredients!$AF$6:$AF$105,MATCH(C19,Ingredients!$B$6:$B$105,0))),0))</f>
        <v/>
      </c>
      <c r="N19">
        <f>IF(OR(B19="",C19=""),0,IFERROR(N(INDEX(Ingredients!$AG$6:$AG$105,MATCH(C19,Ingredients!$B$6:$B$105,0))),0))</f>
        <v/>
      </c>
      <c r="O19">
        <f>IF(OR(B19="",C19=""),0,IFERROR(N(INDEX(Ingredients!$AH$6:$AH$105,MATCH(C19,Ingredients!$B$6:$B$105,0))),0))</f>
        <v/>
      </c>
      <c r="P19">
        <f>IF(OR(B19="",C19=""),0,IFERROR(N(INDEX(Ingredients!$AI$6:$AI$105,MATCH(C19,Ingredients!$B$6:$B$105,0))),0))</f>
        <v/>
      </c>
      <c r="Q19">
        <f>IF(OR(B19="",C19=""),0,IFERROR(N(INDEX(Ingredients!$AJ$6:$AJ$105,MATCH(C19,Ingredients!$B$6:$B$105,0))),0))</f>
        <v/>
      </c>
      <c r="R19">
        <f>IF(OR(B19="",C19=""),0,IFERROR(N(INDEX(Ingredients!$AK$6:$AK$105,MATCH(C19,Ingredients!$B$6:$B$105,0))),0))</f>
        <v/>
      </c>
      <c r="S19">
        <f>IF(OR(B19="",C19=""),0,IFERROR(N(INDEX(Ingredients!$AL$6:$AL$105,MATCH(C19,Ingredients!$B$6:$B$105,0))),0))</f>
        <v/>
      </c>
      <c r="T19">
        <f>IF(OR(B19="",C19=""),0,IFERROR(N(INDEX(Ingredients!$AM$6:$AM$105,MATCH(C19,Ingredients!$B$6:$B$105,0))),0))</f>
        <v/>
      </c>
      <c r="U19">
        <f>IF(OR(B19="",C19=""),0,IFERROR(N(INDEX(Ingredients!$AN$6:$AN$105,MATCH(C19,Ingredients!$B$6:$B$105,0))),0))</f>
        <v/>
      </c>
      <c r="V19">
        <f>IF(OR(B19="",C19=""),0,IFERROR(N(INDEX(Ingredients!$AO$6:$AO$105,MATCH(C19,Ingredients!$B$6:$B$105,0))),0))</f>
        <v/>
      </c>
      <c r="W19">
        <f>IF(OR(B19="",C19=""),0,IFERROR(N(INDEX(Ingredients!$AP$6:$AP$105,MATCH(C19,Ingredients!$B$6:$B$105,0))),0))</f>
        <v/>
      </c>
      <c r="X19">
        <f>IF(OR(B19="",C19=""),0,IFERROR(N(INDEX(Ingredients!$AQ$6:$AQ$105,MATCH(C19,Ingredients!$B$6:$B$105,0))),0))</f>
        <v/>
      </c>
    </row>
    <row r="20">
      <c r="A20" s="1" t="n"/>
      <c r="B20" s="21" t="inlineStr">
        <is>
          <t>Sourdough loaf</t>
        </is>
      </c>
      <c r="C20" s="39" t="inlineStr">
        <is>
          <t>Bread flour</t>
        </is>
      </c>
      <c r="D20" s="40" t="n">
        <v>900</v>
      </c>
      <c r="E20" s="12">
        <f>IF(C20="","",IF(ISNA(MATCH(C20,Ingredients!$B$6:$B$105,0)),"Not on Ingredients",IFERROR(IF(INDEX(Ingredients!$C$6:$C$105,MATCH(C20,Ingredients!$B$6:$B$105,0))="","",INDEX(Ingredients!$C$6:$C$105,MATCH(C20,Ingredients!$B$6:$B$105,0))),"")))</f>
        <v/>
      </c>
      <c r="F20" s="26">
        <f>IF(OR(B20="",C20=""),"",N(D20)*IFERROR(N(INDEX(Ingredients!$H$6:$H$105,MATCH(C20,Ingredients!$B$6:$B$105,0))),0))</f>
        <v/>
      </c>
      <c r="G20" s="1">
        <f>IF(OR(B20="",C20=""),0,IFERROR(N(INDEX(Products!$D$6:$D$45,MATCH(B20,Products!$B$6:$B$45,0))),0))</f>
        <v/>
      </c>
      <c r="H20">
        <f>IF(N(G20)=0,0,N(D20)*SUMIFS(Batches!$D$6:$D$505,Batches!$C$6:$C$505,B20)/G20)</f>
        <v/>
      </c>
      <c r="I20">
        <f>IF(OR(B20="",C20=""),"",IF(B20&lt;&gt;Label!$H$3,"",IF(IFERROR(N(INDEX(Ingredients!$AS$6:$AS$105,MATCH(C20,Ingredients!$B$6:$B$105,0))),0)=1,"",ROUND(N(D20)*1000,0)*100000+100000-ROW())))</f>
        <v/>
      </c>
      <c r="J20">
        <f>IF(OR(B20="",C20=""),0,IFERROR(N(INDEX(Ingredients!$AC$6:$AC$105,MATCH(C20,Ingredients!$B$6:$B$105,0))),0))</f>
        <v/>
      </c>
      <c r="K20">
        <f>IF(OR(B20="",C20=""),0,IFERROR(N(INDEX(Ingredients!$AD$6:$AD$105,MATCH(C20,Ingredients!$B$6:$B$105,0))),0))</f>
        <v/>
      </c>
      <c r="L20">
        <f>IF(OR(B20="",C20=""),0,IFERROR(N(INDEX(Ingredients!$AE$6:$AE$105,MATCH(C20,Ingredients!$B$6:$B$105,0))),0))</f>
        <v/>
      </c>
      <c r="M20">
        <f>IF(OR(B20="",C20=""),0,IFERROR(N(INDEX(Ingredients!$AF$6:$AF$105,MATCH(C20,Ingredients!$B$6:$B$105,0))),0))</f>
        <v/>
      </c>
      <c r="N20">
        <f>IF(OR(B20="",C20=""),0,IFERROR(N(INDEX(Ingredients!$AG$6:$AG$105,MATCH(C20,Ingredients!$B$6:$B$105,0))),0))</f>
        <v/>
      </c>
      <c r="O20">
        <f>IF(OR(B20="",C20=""),0,IFERROR(N(INDEX(Ingredients!$AH$6:$AH$105,MATCH(C20,Ingredients!$B$6:$B$105,0))),0))</f>
        <v/>
      </c>
      <c r="P20">
        <f>IF(OR(B20="",C20=""),0,IFERROR(N(INDEX(Ingredients!$AI$6:$AI$105,MATCH(C20,Ingredients!$B$6:$B$105,0))),0))</f>
        <v/>
      </c>
      <c r="Q20">
        <f>IF(OR(B20="",C20=""),0,IFERROR(N(INDEX(Ingredients!$AJ$6:$AJ$105,MATCH(C20,Ingredients!$B$6:$B$105,0))),0))</f>
        <v/>
      </c>
      <c r="R20">
        <f>IF(OR(B20="",C20=""),0,IFERROR(N(INDEX(Ingredients!$AK$6:$AK$105,MATCH(C20,Ingredients!$B$6:$B$105,0))),0))</f>
        <v/>
      </c>
      <c r="S20">
        <f>IF(OR(B20="",C20=""),0,IFERROR(N(INDEX(Ingredients!$AL$6:$AL$105,MATCH(C20,Ingredients!$B$6:$B$105,0))),0))</f>
        <v/>
      </c>
      <c r="T20">
        <f>IF(OR(B20="",C20=""),0,IFERROR(N(INDEX(Ingredients!$AM$6:$AM$105,MATCH(C20,Ingredients!$B$6:$B$105,0))),0))</f>
        <v/>
      </c>
      <c r="U20">
        <f>IF(OR(B20="",C20=""),0,IFERROR(N(INDEX(Ingredients!$AN$6:$AN$105,MATCH(C20,Ingredients!$B$6:$B$105,0))),0))</f>
        <v/>
      </c>
      <c r="V20">
        <f>IF(OR(B20="",C20=""),0,IFERROR(N(INDEX(Ingredients!$AO$6:$AO$105,MATCH(C20,Ingredients!$B$6:$B$105,0))),0))</f>
        <v/>
      </c>
      <c r="W20">
        <f>IF(OR(B20="",C20=""),0,IFERROR(N(INDEX(Ingredients!$AP$6:$AP$105,MATCH(C20,Ingredients!$B$6:$B$105,0))),0))</f>
        <v/>
      </c>
      <c r="X20">
        <f>IF(OR(B20="",C20=""),0,IFERROR(N(INDEX(Ingredients!$AQ$6:$AQ$105,MATCH(C20,Ingredients!$B$6:$B$105,0))),0))</f>
        <v/>
      </c>
    </row>
    <row r="21">
      <c r="A21" s="1" t="n"/>
      <c r="B21" s="21" t="inlineStr">
        <is>
          <t>Sourdough loaf</t>
        </is>
      </c>
      <c r="C21" s="39" t="inlineStr">
        <is>
          <t>Rye flour</t>
        </is>
      </c>
      <c r="D21" s="40" t="n">
        <v>100</v>
      </c>
      <c r="E21" s="12">
        <f>IF(C21="","",IF(ISNA(MATCH(C21,Ingredients!$B$6:$B$105,0)),"Not on Ingredients",IFERROR(IF(INDEX(Ingredients!$C$6:$C$105,MATCH(C21,Ingredients!$B$6:$B$105,0))="","",INDEX(Ingredients!$C$6:$C$105,MATCH(C21,Ingredients!$B$6:$B$105,0))),"")))</f>
        <v/>
      </c>
      <c r="F21" s="26">
        <f>IF(OR(B21="",C21=""),"",N(D21)*IFERROR(N(INDEX(Ingredients!$H$6:$H$105,MATCH(C21,Ingredients!$B$6:$B$105,0))),0))</f>
        <v/>
      </c>
      <c r="G21" s="1">
        <f>IF(OR(B21="",C21=""),0,IFERROR(N(INDEX(Products!$D$6:$D$45,MATCH(B21,Products!$B$6:$B$45,0))),0))</f>
        <v/>
      </c>
      <c r="H21">
        <f>IF(N(G21)=0,0,N(D21)*SUMIFS(Batches!$D$6:$D$505,Batches!$C$6:$C$505,B21)/G21)</f>
        <v/>
      </c>
      <c r="I21">
        <f>IF(OR(B21="",C21=""),"",IF(B21&lt;&gt;Label!$H$3,"",IF(IFERROR(N(INDEX(Ingredients!$AS$6:$AS$105,MATCH(C21,Ingredients!$B$6:$B$105,0))),0)=1,"",ROUND(N(D21)*1000,0)*100000+100000-ROW())))</f>
        <v/>
      </c>
      <c r="J21">
        <f>IF(OR(B21="",C21=""),0,IFERROR(N(INDEX(Ingredients!$AC$6:$AC$105,MATCH(C21,Ingredients!$B$6:$B$105,0))),0))</f>
        <v/>
      </c>
      <c r="K21">
        <f>IF(OR(B21="",C21=""),0,IFERROR(N(INDEX(Ingredients!$AD$6:$AD$105,MATCH(C21,Ingredients!$B$6:$B$105,0))),0))</f>
        <v/>
      </c>
      <c r="L21">
        <f>IF(OR(B21="",C21=""),0,IFERROR(N(INDEX(Ingredients!$AE$6:$AE$105,MATCH(C21,Ingredients!$B$6:$B$105,0))),0))</f>
        <v/>
      </c>
      <c r="M21">
        <f>IF(OR(B21="",C21=""),0,IFERROR(N(INDEX(Ingredients!$AF$6:$AF$105,MATCH(C21,Ingredients!$B$6:$B$105,0))),0))</f>
        <v/>
      </c>
      <c r="N21">
        <f>IF(OR(B21="",C21=""),0,IFERROR(N(INDEX(Ingredients!$AG$6:$AG$105,MATCH(C21,Ingredients!$B$6:$B$105,0))),0))</f>
        <v/>
      </c>
      <c r="O21">
        <f>IF(OR(B21="",C21=""),0,IFERROR(N(INDEX(Ingredients!$AH$6:$AH$105,MATCH(C21,Ingredients!$B$6:$B$105,0))),0))</f>
        <v/>
      </c>
      <c r="P21">
        <f>IF(OR(B21="",C21=""),0,IFERROR(N(INDEX(Ingredients!$AI$6:$AI$105,MATCH(C21,Ingredients!$B$6:$B$105,0))),0))</f>
        <v/>
      </c>
      <c r="Q21">
        <f>IF(OR(B21="",C21=""),0,IFERROR(N(INDEX(Ingredients!$AJ$6:$AJ$105,MATCH(C21,Ingredients!$B$6:$B$105,0))),0))</f>
        <v/>
      </c>
      <c r="R21">
        <f>IF(OR(B21="",C21=""),0,IFERROR(N(INDEX(Ingredients!$AK$6:$AK$105,MATCH(C21,Ingredients!$B$6:$B$105,0))),0))</f>
        <v/>
      </c>
      <c r="S21">
        <f>IF(OR(B21="",C21=""),0,IFERROR(N(INDEX(Ingredients!$AL$6:$AL$105,MATCH(C21,Ingredients!$B$6:$B$105,0))),0))</f>
        <v/>
      </c>
      <c r="T21">
        <f>IF(OR(B21="",C21=""),0,IFERROR(N(INDEX(Ingredients!$AM$6:$AM$105,MATCH(C21,Ingredients!$B$6:$B$105,0))),0))</f>
        <v/>
      </c>
      <c r="U21">
        <f>IF(OR(B21="",C21=""),0,IFERROR(N(INDEX(Ingredients!$AN$6:$AN$105,MATCH(C21,Ingredients!$B$6:$B$105,0))),0))</f>
        <v/>
      </c>
      <c r="V21">
        <f>IF(OR(B21="",C21=""),0,IFERROR(N(INDEX(Ingredients!$AO$6:$AO$105,MATCH(C21,Ingredients!$B$6:$B$105,0))),0))</f>
        <v/>
      </c>
      <c r="W21">
        <f>IF(OR(B21="",C21=""),0,IFERROR(N(INDEX(Ingredients!$AP$6:$AP$105,MATCH(C21,Ingredients!$B$6:$B$105,0))),0))</f>
        <v/>
      </c>
      <c r="X21">
        <f>IF(OR(B21="",C21=""),0,IFERROR(N(INDEX(Ingredients!$AQ$6:$AQ$105,MATCH(C21,Ingredients!$B$6:$B$105,0))),0))</f>
        <v/>
      </c>
    </row>
    <row r="22">
      <c r="A22" s="1" t="n"/>
      <c r="B22" s="21" t="inlineStr">
        <is>
          <t>Sourdough loaf</t>
        </is>
      </c>
      <c r="C22" s="39" t="inlineStr">
        <is>
          <t>Salt</t>
        </is>
      </c>
      <c r="D22" s="40" t="n">
        <v>20</v>
      </c>
      <c r="E22" s="12">
        <f>IF(C22="","",IF(ISNA(MATCH(C22,Ingredients!$B$6:$B$105,0)),"Not on Ingredients",IFERROR(IF(INDEX(Ingredients!$C$6:$C$105,MATCH(C22,Ingredients!$B$6:$B$105,0))="","",INDEX(Ingredients!$C$6:$C$105,MATCH(C22,Ingredients!$B$6:$B$105,0))),"")))</f>
        <v/>
      </c>
      <c r="F22" s="26">
        <f>IF(OR(B22="",C22=""),"",N(D22)*IFERROR(N(INDEX(Ingredients!$H$6:$H$105,MATCH(C22,Ingredients!$B$6:$B$105,0))),0))</f>
        <v/>
      </c>
      <c r="G22" s="1">
        <f>IF(OR(B22="",C22=""),0,IFERROR(N(INDEX(Products!$D$6:$D$45,MATCH(B22,Products!$B$6:$B$45,0))),0))</f>
        <v/>
      </c>
      <c r="H22">
        <f>IF(N(G22)=0,0,N(D22)*SUMIFS(Batches!$D$6:$D$505,Batches!$C$6:$C$505,B22)/G22)</f>
        <v/>
      </c>
      <c r="I22">
        <f>IF(OR(B22="",C22=""),"",IF(B22&lt;&gt;Label!$H$3,"",IF(IFERROR(N(INDEX(Ingredients!$AS$6:$AS$105,MATCH(C22,Ingredients!$B$6:$B$105,0))),0)=1,"",ROUND(N(D22)*1000,0)*100000+100000-ROW())))</f>
        <v/>
      </c>
      <c r="J22">
        <f>IF(OR(B22="",C22=""),0,IFERROR(N(INDEX(Ingredients!$AC$6:$AC$105,MATCH(C22,Ingredients!$B$6:$B$105,0))),0))</f>
        <v/>
      </c>
      <c r="K22">
        <f>IF(OR(B22="",C22=""),0,IFERROR(N(INDEX(Ingredients!$AD$6:$AD$105,MATCH(C22,Ingredients!$B$6:$B$105,0))),0))</f>
        <v/>
      </c>
      <c r="L22">
        <f>IF(OR(B22="",C22=""),0,IFERROR(N(INDEX(Ingredients!$AE$6:$AE$105,MATCH(C22,Ingredients!$B$6:$B$105,0))),0))</f>
        <v/>
      </c>
      <c r="M22">
        <f>IF(OR(B22="",C22=""),0,IFERROR(N(INDEX(Ingredients!$AF$6:$AF$105,MATCH(C22,Ingredients!$B$6:$B$105,0))),0))</f>
        <v/>
      </c>
      <c r="N22">
        <f>IF(OR(B22="",C22=""),0,IFERROR(N(INDEX(Ingredients!$AG$6:$AG$105,MATCH(C22,Ingredients!$B$6:$B$105,0))),0))</f>
        <v/>
      </c>
      <c r="O22">
        <f>IF(OR(B22="",C22=""),0,IFERROR(N(INDEX(Ingredients!$AH$6:$AH$105,MATCH(C22,Ingredients!$B$6:$B$105,0))),0))</f>
        <v/>
      </c>
      <c r="P22">
        <f>IF(OR(B22="",C22=""),0,IFERROR(N(INDEX(Ingredients!$AI$6:$AI$105,MATCH(C22,Ingredients!$B$6:$B$105,0))),0))</f>
        <v/>
      </c>
      <c r="Q22">
        <f>IF(OR(B22="",C22=""),0,IFERROR(N(INDEX(Ingredients!$AJ$6:$AJ$105,MATCH(C22,Ingredients!$B$6:$B$105,0))),0))</f>
        <v/>
      </c>
      <c r="R22">
        <f>IF(OR(B22="",C22=""),0,IFERROR(N(INDEX(Ingredients!$AK$6:$AK$105,MATCH(C22,Ingredients!$B$6:$B$105,0))),0))</f>
        <v/>
      </c>
      <c r="S22">
        <f>IF(OR(B22="",C22=""),0,IFERROR(N(INDEX(Ingredients!$AL$6:$AL$105,MATCH(C22,Ingredients!$B$6:$B$105,0))),0))</f>
        <v/>
      </c>
      <c r="T22">
        <f>IF(OR(B22="",C22=""),0,IFERROR(N(INDEX(Ingredients!$AM$6:$AM$105,MATCH(C22,Ingredients!$B$6:$B$105,0))),0))</f>
        <v/>
      </c>
      <c r="U22">
        <f>IF(OR(B22="",C22=""),0,IFERROR(N(INDEX(Ingredients!$AN$6:$AN$105,MATCH(C22,Ingredients!$B$6:$B$105,0))),0))</f>
        <v/>
      </c>
      <c r="V22">
        <f>IF(OR(B22="",C22=""),0,IFERROR(N(INDEX(Ingredients!$AO$6:$AO$105,MATCH(C22,Ingredients!$B$6:$B$105,0))),0))</f>
        <v/>
      </c>
      <c r="W22">
        <f>IF(OR(B22="",C22=""),0,IFERROR(N(INDEX(Ingredients!$AP$6:$AP$105,MATCH(C22,Ingredients!$B$6:$B$105,0))),0))</f>
        <v/>
      </c>
      <c r="X22">
        <f>IF(OR(B22="",C22=""),0,IFERROR(N(INDEX(Ingredients!$AQ$6:$AQ$105,MATCH(C22,Ingredients!$B$6:$B$105,0))),0))</f>
        <v/>
      </c>
    </row>
    <row r="23">
      <c r="A23" s="1" t="n"/>
      <c r="B23" s="21" t="inlineStr">
        <is>
          <t>Strawberry jam</t>
        </is>
      </c>
      <c r="C23" s="39" t="inlineStr">
        <is>
          <t>Strawberries</t>
        </is>
      </c>
      <c r="D23" s="40" t="n">
        <v>1500</v>
      </c>
      <c r="E23" s="12">
        <f>IF(C23="","",IF(ISNA(MATCH(C23,Ingredients!$B$6:$B$105,0)),"Not on Ingredients",IFERROR(IF(INDEX(Ingredients!$C$6:$C$105,MATCH(C23,Ingredients!$B$6:$B$105,0))="","",INDEX(Ingredients!$C$6:$C$105,MATCH(C23,Ingredients!$B$6:$B$105,0))),"")))</f>
        <v/>
      </c>
      <c r="F23" s="26">
        <f>IF(OR(B23="",C23=""),"",N(D23)*IFERROR(N(INDEX(Ingredients!$H$6:$H$105,MATCH(C23,Ingredients!$B$6:$B$105,0))),0))</f>
        <v/>
      </c>
      <c r="G23" s="1">
        <f>IF(OR(B23="",C23=""),0,IFERROR(N(INDEX(Products!$D$6:$D$45,MATCH(B23,Products!$B$6:$B$45,0))),0))</f>
        <v/>
      </c>
      <c r="H23">
        <f>IF(N(G23)=0,0,N(D23)*SUMIFS(Batches!$D$6:$D$505,Batches!$C$6:$C$505,B23)/G23)</f>
        <v/>
      </c>
      <c r="I23">
        <f>IF(OR(B23="",C23=""),"",IF(B23&lt;&gt;Label!$H$3,"",IF(IFERROR(N(INDEX(Ingredients!$AS$6:$AS$105,MATCH(C23,Ingredients!$B$6:$B$105,0))),0)=1,"",ROUND(N(D23)*1000,0)*100000+100000-ROW())))</f>
        <v/>
      </c>
      <c r="J23">
        <f>IF(OR(B23="",C23=""),0,IFERROR(N(INDEX(Ingredients!$AC$6:$AC$105,MATCH(C23,Ingredients!$B$6:$B$105,0))),0))</f>
        <v/>
      </c>
      <c r="K23">
        <f>IF(OR(B23="",C23=""),0,IFERROR(N(INDEX(Ingredients!$AD$6:$AD$105,MATCH(C23,Ingredients!$B$6:$B$105,0))),0))</f>
        <v/>
      </c>
      <c r="L23">
        <f>IF(OR(B23="",C23=""),0,IFERROR(N(INDEX(Ingredients!$AE$6:$AE$105,MATCH(C23,Ingredients!$B$6:$B$105,0))),0))</f>
        <v/>
      </c>
      <c r="M23">
        <f>IF(OR(B23="",C23=""),0,IFERROR(N(INDEX(Ingredients!$AF$6:$AF$105,MATCH(C23,Ingredients!$B$6:$B$105,0))),0))</f>
        <v/>
      </c>
      <c r="N23">
        <f>IF(OR(B23="",C23=""),0,IFERROR(N(INDEX(Ingredients!$AG$6:$AG$105,MATCH(C23,Ingredients!$B$6:$B$105,0))),0))</f>
        <v/>
      </c>
      <c r="O23">
        <f>IF(OR(B23="",C23=""),0,IFERROR(N(INDEX(Ingredients!$AH$6:$AH$105,MATCH(C23,Ingredients!$B$6:$B$105,0))),0))</f>
        <v/>
      </c>
      <c r="P23">
        <f>IF(OR(B23="",C23=""),0,IFERROR(N(INDEX(Ingredients!$AI$6:$AI$105,MATCH(C23,Ingredients!$B$6:$B$105,0))),0))</f>
        <v/>
      </c>
      <c r="Q23">
        <f>IF(OR(B23="",C23=""),0,IFERROR(N(INDEX(Ingredients!$AJ$6:$AJ$105,MATCH(C23,Ingredients!$B$6:$B$105,0))),0))</f>
        <v/>
      </c>
      <c r="R23">
        <f>IF(OR(B23="",C23=""),0,IFERROR(N(INDEX(Ingredients!$AK$6:$AK$105,MATCH(C23,Ingredients!$B$6:$B$105,0))),0))</f>
        <v/>
      </c>
      <c r="S23">
        <f>IF(OR(B23="",C23=""),0,IFERROR(N(INDEX(Ingredients!$AL$6:$AL$105,MATCH(C23,Ingredients!$B$6:$B$105,0))),0))</f>
        <v/>
      </c>
      <c r="T23">
        <f>IF(OR(B23="",C23=""),0,IFERROR(N(INDEX(Ingredients!$AM$6:$AM$105,MATCH(C23,Ingredients!$B$6:$B$105,0))),0))</f>
        <v/>
      </c>
      <c r="U23">
        <f>IF(OR(B23="",C23=""),0,IFERROR(N(INDEX(Ingredients!$AN$6:$AN$105,MATCH(C23,Ingredients!$B$6:$B$105,0))),0))</f>
        <v/>
      </c>
      <c r="V23">
        <f>IF(OR(B23="",C23=""),0,IFERROR(N(INDEX(Ingredients!$AO$6:$AO$105,MATCH(C23,Ingredients!$B$6:$B$105,0))),0))</f>
        <v/>
      </c>
      <c r="W23">
        <f>IF(OR(B23="",C23=""),0,IFERROR(N(INDEX(Ingredients!$AP$6:$AP$105,MATCH(C23,Ingredients!$B$6:$B$105,0))),0))</f>
        <v/>
      </c>
      <c r="X23">
        <f>IF(OR(B23="",C23=""),0,IFERROR(N(INDEX(Ingredients!$AQ$6:$AQ$105,MATCH(C23,Ingredients!$B$6:$B$105,0))),0))</f>
        <v/>
      </c>
    </row>
    <row r="24">
      <c r="A24" s="1" t="n"/>
      <c r="B24" s="21" t="inlineStr">
        <is>
          <t>Strawberry jam</t>
        </is>
      </c>
      <c r="C24" s="39" t="inlineStr">
        <is>
          <t>Jam sugar</t>
        </is>
      </c>
      <c r="D24" s="40" t="n">
        <v>1200</v>
      </c>
      <c r="E24" s="12">
        <f>IF(C24="","",IF(ISNA(MATCH(C24,Ingredients!$B$6:$B$105,0)),"Not on Ingredients",IFERROR(IF(INDEX(Ingredients!$C$6:$C$105,MATCH(C24,Ingredients!$B$6:$B$105,0))="","",INDEX(Ingredients!$C$6:$C$105,MATCH(C24,Ingredients!$B$6:$B$105,0))),"")))</f>
        <v/>
      </c>
      <c r="F24" s="26">
        <f>IF(OR(B24="",C24=""),"",N(D24)*IFERROR(N(INDEX(Ingredients!$H$6:$H$105,MATCH(C24,Ingredients!$B$6:$B$105,0))),0))</f>
        <v/>
      </c>
      <c r="G24" s="1">
        <f>IF(OR(B24="",C24=""),0,IFERROR(N(INDEX(Products!$D$6:$D$45,MATCH(B24,Products!$B$6:$B$45,0))),0))</f>
        <v/>
      </c>
      <c r="H24">
        <f>IF(N(G24)=0,0,N(D24)*SUMIFS(Batches!$D$6:$D$505,Batches!$C$6:$C$505,B24)/G24)</f>
        <v/>
      </c>
      <c r="I24">
        <f>IF(OR(B24="",C24=""),"",IF(B24&lt;&gt;Label!$H$3,"",IF(IFERROR(N(INDEX(Ingredients!$AS$6:$AS$105,MATCH(C24,Ingredients!$B$6:$B$105,0))),0)=1,"",ROUND(N(D24)*1000,0)*100000+100000-ROW())))</f>
        <v/>
      </c>
      <c r="J24">
        <f>IF(OR(B24="",C24=""),0,IFERROR(N(INDEX(Ingredients!$AC$6:$AC$105,MATCH(C24,Ingredients!$B$6:$B$105,0))),0))</f>
        <v/>
      </c>
      <c r="K24">
        <f>IF(OR(B24="",C24=""),0,IFERROR(N(INDEX(Ingredients!$AD$6:$AD$105,MATCH(C24,Ingredients!$B$6:$B$105,0))),0))</f>
        <v/>
      </c>
      <c r="L24">
        <f>IF(OR(B24="",C24=""),0,IFERROR(N(INDEX(Ingredients!$AE$6:$AE$105,MATCH(C24,Ingredients!$B$6:$B$105,0))),0))</f>
        <v/>
      </c>
      <c r="M24">
        <f>IF(OR(B24="",C24=""),0,IFERROR(N(INDEX(Ingredients!$AF$6:$AF$105,MATCH(C24,Ingredients!$B$6:$B$105,0))),0))</f>
        <v/>
      </c>
      <c r="N24">
        <f>IF(OR(B24="",C24=""),0,IFERROR(N(INDEX(Ingredients!$AG$6:$AG$105,MATCH(C24,Ingredients!$B$6:$B$105,0))),0))</f>
        <v/>
      </c>
      <c r="O24">
        <f>IF(OR(B24="",C24=""),0,IFERROR(N(INDEX(Ingredients!$AH$6:$AH$105,MATCH(C24,Ingredients!$B$6:$B$105,0))),0))</f>
        <v/>
      </c>
      <c r="P24">
        <f>IF(OR(B24="",C24=""),0,IFERROR(N(INDEX(Ingredients!$AI$6:$AI$105,MATCH(C24,Ingredients!$B$6:$B$105,0))),0))</f>
        <v/>
      </c>
      <c r="Q24">
        <f>IF(OR(B24="",C24=""),0,IFERROR(N(INDEX(Ingredients!$AJ$6:$AJ$105,MATCH(C24,Ingredients!$B$6:$B$105,0))),0))</f>
        <v/>
      </c>
      <c r="R24">
        <f>IF(OR(B24="",C24=""),0,IFERROR(N(INDEX(Ingredients!$AK$6:$AK$105,MATCH(C24,Ingredients!$B$6:$B$105,0))),0))</f>
        <v/>
      </c>
      <c r="S24">
        <f>IF(OR(B24="",C24=""),0,IFERROR(N(INDEX(Ingredients!$AL$6:$AL$105,MATCH(C24,Ingredients!$B$6:$B$105,0))),0))</f>
        <v/>
      </c>
      <c r="T24">
        <f>IF(OR(B24="",C24=""),0,IFERROR(N(INDEX(Ingredients!$AM$6:$AM$105,MATCH(C24,Ingredients!$B$6:$B$105,0))),0))</f>
        <v/>
      </c>
      <c r="U24">
        <f>IF(OR(B24="",C24=""),0,IFERROR(N(INDEX(Ingredients!$AN$6:$AN$105,MATCH(C24,Ingredients!$B$6:$B$105,0))),0))</f>
        <v/>
      </c>
      <c r="V24">
        <f>IF(OR(B24="",C24=""),0,IFERROR(N(INDEX(Ingredients!$AO$6:$AO$105,MATCH(C24,Ingredients!$B$6:$B$105,0))),0))</f>
        <v/>
      </c>
      <c r="W24">
        <f>IF(OR(B24="",C24=""),0,IFERROR(N(INDEX(Ingredients!$AP$6:$AP$105,MATCH(C24,Ingredients!$B$6:$B$105,0))),0))</f>
        <v/>
      </c>
      <c r="X24">
        <f>IF(OR(B24="",C24=""),0,IFERROR(N(INDEX(Ingredients!$AQ$6:$AQ$105,MATCH(C24,Ingredients!$B$6:$B$105,0))),0))</f>
        <v/>
      </c>
    </row>
    <row r="25">
      <c r="A25" s="1" t="n"/>
      <c r="B25" s="21" t="inlineStr">
        <is>
          <t>Strawberry jam</t>
        </is>
      </c>
      <c r="C25" s="39" t="inlineStr">
        <is>
          <t>Lemons</t>
        </is>
      </c>
      <c r="D25" s="40" t="n">
        <v>1</v>
      </c>
      <c r="E25" s="12">
        <f>IF(C25="","",IF(ISNA(MATCH(C25,Ingredients!$B$6:$B$105,0)),"Not on Ingredients",IFERROR(IF(INDEX(Ingredients!$C$6:$C$105,MATCH(C25,Ingredients!$B$6:$B$105,0))="","",INDEX(Ingredients!$C$6:$C$105,MATCH(C25,Ingredients!$B$6:$B$105,0))),"")))</f>
        <v/>
      </c>
      <c r="F25" s="26">
        <f>IF(OR(B25="",C25=""),"",N(D25)*IFERROR(N(INDEX(Ingredients!$H$6:$H$105,MATCH(C25,Ingredients!$B$6:$B$105,0))),0))</f>
        <v/>
      </c>
      <c r="G25" s="1">
        <f>IF(OR(B25="",C25=""),0,IFERROR(N(INDEX(Products!$D$6:$D$45,MATCH(B25,Products!$B$6:$B$45,0))),0))</f>
        <v/>
      </c>
      <c r="H25">
        <f>IF(N(G25)=0,0,N(D25)*SUMIFS(Batches!$D$6:$D$505,Batches!$C$6:$C$505,B25)/G25)</f>
        <v/>
      </c>
      <c r="I25">
        <f>IF(OR(B25="",C25=""),"",IF(B25&lt;&gt;Label!$H$3,"",IF(IFERROR(N(INDEX(Ingredients!$AS$6:$AS$105,MATCH(C25,Ingredients!$B$6:$B$105,0))),0)=1,"",ROUND(N(D25)*1000,0)*100000+100000-ROW())))</f>
        <v/>
      </c>
      <c r="J25">
        <f>IF(OR(B25="",C25=""),0,IFERROR(N(INDEX(Ingredients!$AC$6:$AC$105,MATCH(C25,Ingredients!$B$6:$B$105,0))),0))</f>
        <v/>
      </c>
      <c r="K25">
        <f>IF(OR(B25="",C25=""),0,IFERROR(N(INDEX(Ingredients!$AD$6:$AD$105,MATCH(C25,Ingredients!$B$6:$B$105,0))),0))</f>
        <v/>
      </c>
      <c r="L25">
        <f>IF(OR(B25="",C25=""),0,IFERROR(N(INDEX(Ingredients!$AE$6:$AE$105,MATCH(C25,Ingredients!$B$6:$B$105,0))),0))</f>
        <v/>
      </c>
      <c r="M25">
        <f>IF(OR(B25="",C25=""),0,IFERROR(N(INDEX(Ingredients!$AF$6:$AF$105,MATCH(C25,Ingredients!$B$6:$B$105,0))),0))</f>
        <v/>
      </c>
      <c r="N25">
        <f>IF(OR(B25="",C25=""),0,IFERROR(N(INDEX(Ingredients!$AG$6:$AG$105,MATCH(C25,Ingredients!$B$6:$B$105,0))),0))</f>
        <v/>
      </c>
      <c r="O25">
        <f>IF(OR(B25="",C25=""),0,IFERROR(N(INDEX(Ingredients!$AH$6:$AH$105,MATCH(C25,Ingredients!$B$6:$B$105,0))),0))</f>
        <v/>
      </c>
      <c r="P25">
        <f>IF(OR(B25="",C25=""),0,IFERROR(N(INDEX(Ingredients!$AI$6:$AI$105,MATCH(C25,Ingredients!$B$6:$B$105,0))),0))</f>
        <v/>
      </c>
      <c r="Q25">
        <f>IF(OR(B25="",C25=""),0,IFERROR(N(INDEX(Ingredients!$AJ$6:$AJ$105,MATCH(C25,Ingredients!$B$6:$B$105,0))),0))</f>
        <v/>
      </c>
      <c r="R25">
        <f>IF(OR(B25="",C25=""),0,IFERROR(N(INDEX(Ingredients!$AK$6:$AK$105,MATCH(C25,Ingredients!$B$6:$B$105,0))),0))</f>
        <v/>
      </c>
      <c r="S25">
        <f>IF(OR(B25="",C25=""),0,IFERROR(N(INDEX(Ingredients!$AL$6:$AL$105,MATCH(C25,Ingredients!$B$6:$B$105,0))),0))</f>
        <v/>
      </c>
      <c r="T25">
        <f>IF(OR(B25="",C25=""),0,IFERROR(N(INDEX(Ingredients!$AM$6:$AM$105,MATCH(C25,Ingredients!$B$6:$B$105,0))),0))</f>
        <v/>
      </c>
      <c r="U25">
        <f>IF(OR(B25="",C25=""),0,IFERROR(N(INDEX(Ingredients!$AN$6:$AN$105,MATCH(C25,Ingredients!$B$6:$B$105,0))),0))</f>
        <v/>
      </c>
      <c r="V25">
        <f>IF(OR(B25="",C25=""),0,IFERROR(N(INDEX(Ingredients!$AO$6:$AO$105,MATCH(C25,Ingredients!$B$6:$B$105,0))),0))</f>
        <v/>
      </c>
      <c r="W25">
        <f>IF(OR(B25="",C25=""),0,IFERROR(N(INDEX(Ingredients!$AP$6:$AP$105,MATCH(C25,Ingredients!$B$6:$B$105,0))),0))</f>
        <v/>
      </c>
      <c r="X25">
        <f>IF(OR(B25="",C25=""),0,IFERROR(N(INDEX(Ingredients!$AQ$6:$AQ$105,MATCH(C25,Ingredients!$B$6:$B$105,0))),0))</f>
        <v/>
      </c>
    </row>
    <row r="26">
      <c r="A26" s="1" t="n"/>
      <c r="B26" s="21" t="inlineStr">
        <is>
          <t>Strawberry jam</t>
        </is>
      </c>
      <c r="C26" s="39" t="inlineStr">
        <is>
          <t>Jars and lids</t>
        </is>
      </c>
      <c r="D26" s="40" t="n">
        <v>6</v>
      </c>
      <c r="E26" s="12">
        <f>IF(C26="","",IF(ISNA(MATCH(C26,Ingredients!$B$6:$B$105,0)),"Not on Ingredients",IFERROR(IF(INDEX(Ingredients!$C$6:$C$105,MATCH(C26,Ingredients!$B$6:$B$105,0))="","",INDEX(Ingredients!$C$6:$C$105,MATCH(C26,Ingredients!$B$6:$B$105,0))),"")))</f>
        <v/>
      </c>
      <c r="F26" s="26">
        <f>IF(OR(B26="",C26=""),"",N(D26)*IFERROR(N(INDEX(Ingredients!$H$6:$H$105,MATCH(C26,Ingredients!$B$6:$B$105,0))),0))</f>
        <v/>
      </c>
      <c r="G26" s="1">
        <f>IF(OR(B26="",C26=""),0,IFERROR(N(INDEX(Products!$D$6:$D$45,MATCH(B26,Products!$B$6:$B$45,0))),0))</f>
        <v/>
      </c>
      <c r="H26">
        <f>IF(N(G26)=0,0,N(D26)*SUMIFS(Batches!$D$6:$D$505,Batches!$C$6:$C$505,B26)/G26)</f>
        <v/>
      </c>
      <c r="I26">
        <f>IF(OR(B26="",C26=""),"",IF(B26&lt;&gt;Label!$H$3,"",IF(IFERROR(N(INDEX(Ingredients!$AS$6:$AS$105,MATCH(C26,Ingredients!$B$6:$B$105,0))),0)=1,"",ROUND(N(D26)*1000,0)*100000+100000-ROW())))</f>
        <v/>
      </c>
      <c r="J26">
        <f>IF(OR(B26="",C26=""),0,IFERROR(N(INDEX(Ingredients!$AC$6:$AC$105,MATCH(C26,Ingredients!$B$6:$B$105,0))),0))</f>
        <v/>
      </c>
      <c r="K26">
        <f>IF(OR(B26="",C26=""),0,IFERROR(N(INDEX(Ingredients!$AD$6:$AD$105,MATCH(C26,Ingredients!$B$6:$B$105,0))),0))</f>
        <v/>
      </c>
      <c r="L26">
        <f>IF(OR(B26="",C26=""),0,IFERROR(N(INDEX(Ingredients!$AE$6:$AE$105,MATCH(C26,Ingredients!$B$6:$B$105,0))),0))</f>
        <v/>
      </c>
      <c r="M26">
        <f>IF(OR(B26="",C26=""),0,IFERROR(N(INDEX(Ingredients!$AF$6:$AF$105,MATCH(C26,Ingredients!$B$6:$B$105,0))),0))</f>
        <v/>
      </c>
      <c r="N26">
        <f>IF(OR(B26="",C26=""),0,IFERROR(N(INDEX(Ingredients!$AG$6:$AG$105,MATCH(C26,Ingredients!$B$6:$B$105,0))),0))</f>
        <v/>
      </c>
      <c r="O26">
        <f>IF(OR(B26="",C26=""),0,IFERROR(N(INDEX(Ingredients!$AH$6:$AH$105,MATCH(C26,Ingredients!$B$6:$B$105,0))),0))</f>
        <v/>
      </c>
      <c r="P26">
        <f>IF(OR(B26="",C26=""),0,IFERROR(N(INDEX(Ingredients!$AI$6:$AI$105,MATCH(C26,Ingredients!$B$6:$B$105,0))),0))</f>
        <v/>
      </c>
      <c r="Q26">
        <f>IF(OR(B26="",C26=""),0,IFERROR(N(INDEX(Ingredients!$AJ$6:$AJ$105,MATCH(C26,Ingredients!$B$6:$B$105,0))),0))</f>
        <v/>
      </c>
      <c r="R26">
        <f>IF(OR(B26="",C26=""),0,IFERROR(N(INDEX(Ingredients!$AK$6:$AK$105,MATCH(C26,Ingredients!$B$6:$B$105,0))),0))</f>
        <v/>
      </c>
      <c r="S26">
        <f>IF(OR(B26="",C26=""),0,IFERROR(N(INDEX(Ingredients!$AL$6:$AL$105,MATCH(C26,Ingredients!$B$6:$B$105,0))),0))</f>
        <v/>
      </c>
      <c r="T26">
        <f>IF(OR(B26="",C26=""),0,IFERROR(N(INDEX(Ingredients!$AM$6:$AM$105,MATCH(C26,Ingredients!$B$6:$B$105,0))),0))</f>
        <v/>
      </c>
      <c r="U26">
        <f>IF(OR(B26="",C26=""),0,IFERROR(N(INDEX(Ingredients!$AN$6:$AN$105,MATCH(C26,Ingredients!$B$6:$B$105,0))),0))</f>
        <v/>
      </c>
      <c r="V26">
        <f>IF(OR(B26="",C26=""),0,IFERROR(N(INDEX(Ingredients!$AO$6:$AO$105,MATCH(C26,Ingredients!$B$6:$B$105,0))),0))</f>
        <v/>
      </c>
      <c r="W26">
        <f>IF(OR(B26="",C26=""),0,IFERROR(N(INDEX(Ingredients!$AP$6:$AP$105,MATCH(C26,Ingredients!$B$6:$B$105,0))),0))</f>
        <v/>
      </c>
      <c r="X26">
        <f>IF(OR(B26="",C26=""),0,IFERROR(N(INDEX(Ingredients!$AQ$6:$AQ$105,MATCH(C26,Ingredients!$B$6:$B$105,0))),0))</f>
        <v/>
      </c>
    </row>
    <row r="27">
      <c r="A27" s="1" t="n"/>
      <c r="B27" s="21" t="inlineStr">
        <is>
          <t>Granola</t>
        </is>
      </c>
      <c r="C27" s="39" t="inlineStr">
        <is>
          <t>Rolled oats</t>
        </is>
      </c>
      <c r="D27" s="40" t="n">
        <v>1200</v>
      </c>
      <c r="E27" s="12">
        <f>IF(C27="","",IF(ISNA(MATCH(C27,Ingredients!$B$6:$B$105,0)),"Not on Ingredients",IFERROR(IF(INDEX(Ingredients!$C$6:$C$105,MATCH(C27,Ingredients!$B$6:$B$105,0))="","",INDEX(Ingredients!$C$6:$C$105,MATCH(C27,Ingredients!$B$6:$B$105,0))),"")))</f>
        <v/>
      </c>
      <c r="F27" s="26">
        <f>IF(OR(B27="",C27=""),"",N(D27)*IFERROR(N(INDEX(Ingredients!$H$6:$H$105,MATCH(C27,Ingredients!$B$6:$B$105,0))),0))</f>
        <v/>
      </c>
      <c r="G27" s="1">
        <f>IF(OR(B27="",C27=""),0,IFERROR(N(INDEX(Products!$D$6:$D$45,MATCH(B27,Products!$B$6:$B$45,0))),0))</f>
        <v/>
      </c>
      <c r="H27">
        <f>IF(N(G27)=0,0,N(D27)*SUMIFS(Batches!$D$6:$D$505,Batches!$C$6:$C$505,B27)/G27)</f>
        <v/>
      </c>
      <c r="I27">
        <f>IF(OR(B27="",C27=""),"",IF(B27&lt;&gt;Label!$H$3,"",IF(IFERROR(N(INDEX(Ingredients!$AS$6:$AS$105,MATCH(C27,Ingredients!$B$6:$B$105,0))),0)=1,"",ROUND(N(D27)*1000,0)*100000+100000-ROW())))</f>
        <v/>
      </c>
      <c r="J27">
        <f>IF(OR(B27="",C27=""),0,IFERROR(N(INDEX(Ingredients!$AC$6:$AC$105,MATCH(C27,Ingredients!$B$6:$B$105,0))),0))</f>
        <v/>
      </c>
      <c r="K27">
        <f>IF(OR(B27="",C27=""),0,IFERROR(N(INDEX(Ingredients!$AD$6:$AD$105,MATCH(C27,Ingredients!$B$6:$B$105,0))),0))</f>
        <v/>
      </c>
      <c r="L27">
        <f>IF(OR(B27="",C27=""),0,IFERROR(N(INDEX(Ingredients!$AE$6:$AE$105,MATCH(C27,Ingredients!$B$6:$B$105,0))),0))</f>
        <v/>
      </c>
      <c r="M27">
        <f>IF(OR(B27="",C27=""),0,IFERROR(N(INDEX(Ingredients!$AF$6:$AF$105,MATCH(C27,Ingredients!$B$6:$B$105,0))),0))</f>
        <v/>
      </c>
      <c r="N27">
        <f>IF(OR(B27="",C27=""),0,IFERROR(N(INDEX(Ingredients!$AG$6:$AG$105,MATCH(C27,Ingredients!$B$6:$B$105,0))),0))</f>
        <v/>
      </c>
      <c r="O27">
        <f>IF(OR(B27="",C27=""),0,IFERROR(N(INDEX(Ingredients!$AH$6:$AH$105,MATCH(C27,Ingredients!$B$6:$B$105,0))),0))</f>
        <v/>
      </c>
      <c r="P27">
        <f>IF(OR(B27="",C27=""),0,IFERROR(N(INDEX(Ingredients!$AI$6:$AI$105,MATCH(C27,Ingredients!$B$6:$B$105,0))),0))</f>
        <v/>
      </c>
      <c r="Q27">
        <f>IF(OR(B27="",C27=""),0,IFERROR(N(INDEX(Ingredients!$AJ$6:$AJ$105,MATCH(C27,Ingredients!$B$6:$B$105,0))),0))</f>
        <v/>
      </c>
      <c r="R27">
        <f>IF(OR(B27="",C27=""),0,IFERROR(N(INDEX(Ingredients!$AK$6:$AK$105,MATCH(C27,Ingredients!$B$6:$B$105,0))),0))</f>
        <v/>
      </c>
      <c r="S27">
        <f>IF(OR(B27="",C27=""),0,IFERROR(N(INDEX(Ingredients!$AL$6:$AL$105,MATCH(C27,Ingredients!$B$6:$B$105,0))),0))</f>
        <v/>
      </c>
      <c r="T27">
        <f>IF(OR(B27="",C27=""),0,IFERROR(N(INDEX(Ingredients!$AM$6:$AM$105,MATCH(C27,Ingredients!$B$6:$B$105,0))),0))</f>
        <v/>
      </c>
      <c r="U27">
        <f>IF(OR(B27="",C27=""),0,IFERROR(N(INDEX(Ingredients!$AN$6:$AN$105,MATCH(C27,Ingredients!$B$6:$B$105,0))),0))</f>
        <v/>
      </c>
      <c r="V27">
        <f>IF(OR(B27="",C27=""),0,IFERROR(N(INDEX(Ingredients!$AO$6:$AO$105,MATCH(C27,Ingredients!$B$6:$B$105,0))),0))</f>
        <v/>
      </c>
      <c r="W27">
        <f>IF(OR(B27="",C27=""),0,IFERROR(N(INDEX(Ingredients!$AP$6:$AP$105,MATCH(C27,Ingredients!$B$6:$B$105,0))),0))</f>
        <v/>
      </c>
      <c r="X27">
        <f>IF(OR(B27="",C27=""),0,IFERROR(N(INDEX(Ingredients!$AQ$6:$AQ$105,MATCH(C27,Ingredients!$B$6:$B$105,0))),0))</f>
        <v/>
      </c>
    </row>
    <row r="28">
      <c r="A28" s="1" t="n"/>
      <c r="B28" s="21" t="inlineStr">
        <is>
          <t>Granola</t>
        </is>
      </c>
      <c r="C28" s="39" t="inlineStr">
        <is>
          <t>Honey</t>
        </is>
      </c>
      <c r="D28" s="40" t="n">
        <v>340</v>
      </c>
      <c r="E28" s="12">
        <f>IF(C28="","",IF(ISNA(MATCH(C28,Ingredients!$B$6:$B$105,0)),"Not on Ingredients",IFERROR(IF(INDEX(Ingredients!$C$6:$C$105,MATCH(C28,Ingredients!$B$6:$B$105,0))="","",INDEX(Ingredients!$C$6:$C$105,MATCH(C28,Ingredients!$B$6:$B$105,0))),"")))</f>
        <v/>
      </c>
      <c r="F28" s="26">
        <f>IF(OR(B28="",C28=""),"",N(D28)*IFERROR(N(INDEX(Ingredients!$H$6:$H$105,MATCH(C28,Ingredients!$B$6:$B$105,0))),0))</f>
        <v/>
      </c>
      <c r="G28" s="1">
        <f>IF(OR(B28="",C28=""),0,IFERROR(N(INDEX(Products!$D$6:$D$45,MATCH(B28,Products!$B$6:$B$45,0))),0))</f>
        <v/>
      </c>
      <c r="H28">
        <f>IF(N(G28)=0,0,N(D28)*SUMIFS(Batches!$D$6:$D$505,Batches!$C$6:$C$505,B28)/G28)</f>
        <v/>
      </c>
      <c r="I28">
        <f>IF(OR(B28="",C28=""),"",IF(B28&lt;&gt;Label!$H$3,"",IF(IFERROR(N(INDEX(Ingredients!$AS$6:$AS$105,MATCH(C28,Ingredients!$B$6:$B$105,0))),0)=1,"",ROUND(N(D28)*1000,0)*100000+100000-ROW())))</f>
        <v/>
      </c>
      <c r="J28">
        <f>IF(OR(B28="",C28=""),0,IFERROR(N(INDEX(Ingredients!$AC$6:$AC$105,MATCH(C28,Ingredients!$B$6:$B$105,0))),0))</f>
        <v/>
      </c>
      <c r="K28">
        <f>IF(OR(B28="",C28=""),0,IFERROR(N(INDEX(Ingredients!$AD$6:$AD$105,MATCH(C28,Ingredients!$B$6:$B$105,0))),0))</f>
        <v/>
      </c>
      <c r="L28">
        <f>IF(OR(B28="",C28=""),0,IFERROR(N(INDEX(Ingredients!$AE$6:$AE$105,MATCH(C28,Ingredients!$B$6:$B$105,0))),0))</f>
        <v/>
      </c>
      <c r="M28">
        <f>IF(OR(B28="",C28=""),0,IFERROR(N(INDEX(Ingredients!$AF$6:$AF$105,MATCH(C28,Ingredients!$B$6:$B$105,0))),0))</f>
        <v/>
      </c>
      <c r="N28">
        <f>IF(OR(B28="",C28=""),0,IFERROR(N(INDEX(Ingredients!$AG$6:$AG$105,MATCH(C28,Ingredients!$B$6:$B$105,0))),0))</f>
        <v/>
      </c>
      <c r="O28">
        <f>IF(OR(B28="",C28=""),0,IFERROR(N(INDEX(Ingredients!$AH$6:$AH$105,MATCH(C28,Ingredients!$B$6:$B$105,0))),0))</f>
        <v/>
      </c>
      <c r="P28">
        <f>IF(OR(B28="",C28=""),0,IFERROR(N(INDEX(Ingredients!$AI$6:$AI$105,MATCH(C28,Ingredients!$B$6:$B$105,0))),0))</f>
        <v/>
      </c>
      <c r="Q28">
        <f>IF(OR(B28="",C28=""),0,IFERROR(N(INDEX(Ingredients!$AJ$6:$AJ$105,MATCH(C28,Ingredients!$B$6:$B$105,0))),0))</f>
        <v/>
      </c>
      <c r="R28">
        <f>IF(OR(B28="",C28=""),0,IFERROR(N(INDEX(Ingredients!$AK$6:$AK$105,MATCH(C28,Ingredients!$B$6:$B$105,0))),0))</f>
        <v/>
      </c>
      <c r="S28">
        <f>IF(OR(B28="",C28=""),0,IFERROR(N(INDEX(Ingredients!$AL$6:$AL$105,MATCH(C28,Ingredients!$B$6:$B$105,0))),0))</f>
        <v/>
      </c>
      <c r="T28">
        <f>IF(OR(B28="",C28=""),0,IFERROR(N(INDEX(Ingredients!$AM$6:$AM$105,MATCH(C28,Ingredients!$B$6:$B$105,0))),0))</f>
        <v/>
      </c>
      <c r="U28">
        <f>IF(OR(B28="",C28=""),0,IFERROR(N(INDEX(Ingredients!$AN$6:$AN$105,MATCH(C28,Ingredients!$B$6:$B$105,0))),0))</f>
        <v/>
      </c>
      <c r="V28">
        <f>IF(OR(B28="",C28=""),0,IFERROR(N(INDEX(Ingredients!$AO$6:$AO$105,MATCH(C28,Ingredients!$B$6:$B$105,0))),0))</f>
        <v/>
      </c>
      <c r="W28">
        <f>IF(OR(B28="",C28=""),0,IFERROR(N(INDEX(Ingredients!$AP$6:$AP$105,MATCH(C28,Ingredients!$B$6:$B$105,0))),0))</f>
        <v/>
      </c>
      <c r="X28">
        <f>IF(OR(B28="",C28=""),0,IFERROR(N(INDEX(Ingredients!$AQ$6:$AQ$105,MATCH(C28,Ingredients!$B$6:$B$105,0))),0))</f>
        <v/>
      </c>
    </row>
    <row r="29">
      <c r="A29" s="1" t="n"/>
      <c r="B29" s="21" t="inlineStr">
        <is>
          <t>Granola</t>
        </is>
      </c>
      <c r="C29" s="39" t="inlineStr">
        <is>
          <t>Almonds</t>
        </is>
      </c>
      <c r="D29" s="40" t="n">
        <v>200</v>
      </c>
      <c r="E29" s="12">
        <f>IF(C29="","",IF(ISNA(MATCH(C29,Ingredients!$B$6:$B$105,0)),"Not on Ingredients",IFERROR(IF(INDEX(Ingredients!$C$6:$C$105,MATCH(C29,Ingredients!$B$6:$B$105,0))="","",INDEX(Ingredients!$C$6:$C$105,MATCH(C29,Ingredients!$B$6:$B$105,0))),"")))</f>
        <v/>
      </c>
      <c r="F29" s="26">
        <f>IF(OR(B29="",C29=""),"",N(D29)*IFERROR(N(INDEX(Ingredients!$H$6:$H$105,MATCH(C29,Ingredients!$B$6:$B$105,0))),0))</f>
        <v/>
      </c>
      <c r="G29" s="1">
        <f>IF(OR(B29="",C29=""),0,IFERROR(N(INDEX(Products!$D$6:$D$45,MATCH(B29,Products!$B$6:$B$45,0))),0))</f>
        <v/>
      </c>
      <c r="H29">
        <f>IF(N(G29)=0,0,N(D29)*SUMIFS(Batches!$D$6:$D$505,Batches!$C$6:$C$505,B29)/G29)</f>
        <v/>
      </c>
      <c r="I29">
        <f>IF(OR(B29="",C29=""),"",IF(B29&lt;&gt;Label!$H$3,"",IF(IFERROR(N(INDEX(Ingredients!$AS$6:$AS$105,MATCH(C29,Ingredients!$B$6:$B$105,0))),0)=1,"",ROUND(N(D29)*1000,0)*100000+100000-ROW())))</f>
        <v/>
      </c>
      <c r="J29">
        <f>IF(OR(B29="",C29=""),0,IFERROR(N(INDEX(Ingredients!$AC$6:$AC$105,MATCH(C29,Ingredients!$B$6:$B$105,0))),0))</f>
        <v/>
      </c>
      <c r="K29">
        <f>IF(OR(B29="",C29=""),0,IFERROR(N(INDEX(Ingredients!$AD$6:$AD$105,MATCH(C29,Ingredients!$B$6:$B$105,0))),0))</f>
        <v/>
      </c>
      <c r="L29">
        <f>IF(OR(B29="",C29=""),0,IFERROR(N(INDEX(Ingredients!$AE$6:$AE$105,MATCH(C29,Ingredients!$B$6:$B$105,0))),0))</f>
        <v/>
      </c>
      <c r="M29">
        <f>IF(OR(B29="",C29=""),0,IFERROR(N(INDEX(Ingredients!$AF$6:$AF$105,MATCH(C29,Ingredients!$B$6:$B$105,0))),0))</f>
        <v/>
      </c>
      <c r="N29">
        <f>IF(OR(B29="",C29=""),0,IFERROR(N(INDEX(Ingredients!$AG$6:$AG$105,MATCH(C29,Ingredients!$B$6:$B$105,0))),0))</f>
        <v/>
      </c>
      <c r="O29">
        <f>IF(OR(B29="",C29=""),0,IFERROR(N(INDEX(Ingredients!$AH$6:$AH$105,MATCH(C29,Ingredients!$B$6:$B$105,0))),0))</f>
        <v/>
      </c>
      <c r="P29">
        <f>IF(OR(B29="",C29=""),0,IFERROR(N(INDEX(Ingredients!$AI$6:$AI$105,MATCH(C29,Ingredients!$B$6:$B$105,0))),0))</f>
        <v/>
      </c>
      <c r="Q29">
        <f>IF(OR(B29="",C29=""),0,IFERROR(N(INDEX(Ingredients!$AJ$6:$AJ$105,MATCH(C29,Ingredients!$B$6:$B$105,0))),0))</f>
        <v/>
      </c>
      <c r="R29">
        <f>IF(OR(B29="",C29=""),0,IFERROR(N(INDEX(Ingredients!$AK$6:$AK$105,MATCH(C29,Ingredients!$B$6:$B$105,0))),0))</f>
        <v/>
      </c>
      <c r="S29">
        <f>IF(OR(B29="",C29=""),0,IFERROR(N(INDEX(Ingredients!$AL$6:$AL$105,MATCH(C29,Ingredients!$B$6:$B$105,0))),0))</f>
        <v/>
      </c>
      <c r="T29">
        <f>IF(OR(B29="",C29=""),0,IFERROR(N(INDEX(Ingredients!$AM$6:$AM$105,MATCH(C29,Ingredients!$B$6:$B$105,0))),0))</f>
        <v/>
      </c>
      <c r="U29">
        <f>IF(OR(B29="",C29=""),0,IFERROR(N(INDEX(Ingredients!$AN$6:$AN$105,MATCH(C29,Ingredients!$B$6:$B$105,0))),0))</f>
        <v/>
      </c>
      <c r="V29">
        <f>IF(OR(B29="",C29=""),0,IFERROR(N(INDEX(Ingredients!$AO$6:$AO$105,MATCH(C29,Ingredients!$B$6:$B$105,0))),0))</f>
        <v/>
      </c>
      <c r="W29">
        <f>IF(OR(B29="",C29=""),0,IFERROR(N(INDEX(Ingredients!$AP$6:$AP$105,MATCH(C29,Ingredients!$B$6:$B$105,0))),0))</f>
        <v/>
      </c>
      <c r="X29">
        <f>IF(OR(B29="",C29=""),0,IFERROR(N(INDEX(Ingredients!$AQ$6:$AQ$105,MATCH(C29,Ingredients!$B$6:$B$105,0))),0))</f>
        <v/>
      </c>
    </row>
    <row r="30">
      <c r="A30" s="1" t="n"/>
      <c r="B30" s="21" t="inlineStr">
        <is>
          <t>Granola</t>
        </is>
      </c>
      <c r="C30" s="39" t="inlineStr">
        <is>
          <t>Butter</t>
        </is>
      </c>
      <c r="D30" s="40" t="n">
        <v>100</v>
      </c>
      <c r="E30" s="12">
        <f>IF(C30="","",IF(ISNA(MATCH(C30,Ingredients!$B$6:$B$105,0)),"Not on Ingredients",IFERROR(IF(INDEX(Ingredients!$C$6:$C$105,MATCH(C30,Ingredients!$B$6:$B$105,0))="","",INDEX(Ingredients!$C$6:$C$105,MATCH(C30,Ingredients!$B$6:$B$105,0))),"")))</f>
        <v/>
      </c>
      <c r="F30" s="26">
        <f>IF(OR(B30="",C30=""),"",N(D30)*IFERROR(N(INDEX(Ingredients!$H$6:$H$105,MATCH(C30,Ingredients!$B$6:$B$105,0))),0))</f>
        <v/>
      </c>
      <c r="G30" s="1">
        <f>IF(OR(B30="",C30=""),0,IFERROR(N(INDEX(Products!$D$6:$D$45,MATCH(B30,Products!$B$6:$B$45,0))),0))</f>
        <v/>
      </c>
      <c r="H30">
        <f>IF(N(G30)=0,0,N(D30)*SUMIFS(Batches!$D$6:$D$505,Batches!$C$6:$C$505,B30)/G30)</f>
        <v/>
      </c>
      <c r="I30">
        <f>IF(OR(B30="",C30=""),"",IF(B30&lt;&gt;Label!$H$3,"",IF(IFERROR(N(INDEX(Ingredients!$AS$6:$AS$105,MATCH(C30,Ingredients!$B$6:$B$105,0))),0)=1,"",ROUND(N(D30)*1000,0)*100000+100000-ROW())))</f>
        <v/>
      </c>
      <c r="J30">
        <f>IF(OR(B30="",C30=""),0,IFERROR(N(INDEX(Ingredients!$AC$6:$AC$105,MATCH(C30,Ingredients!$B$6:$B$105,0))),0))</f>
        <v/>
      </c>
      <c r="K30">
        <f>IF(OR(B30="",C30=""),0,IFERROR(N(INDEX(Ingredients!$AD$6:$AD$105,MATCH(C30,Ingredients!$B$6:$B$105,0))),0))</f>
        <v/>
      </c>
      <c r="L30">
        <f>IF(OR(B30="",C30=""),0,IFERROR(N(INDEX(Ingredients!$AE$6:$AE$105,MATCH(C30,Ingredients!$B$6:$B$105,0))),0))</f>
        <v/>
      </c>
      <c r="M30">
        <f>IF(OR(B30="",C30=""),0,IFERROR(N(INDEX(Ingredients!$AF$6:$AF$105,MATCH(C30,Ingredients!$B$6:$B$105,0))),0))</f>
        <v/>
      </c>
      <c r="N30">
        <f>IF(OR(B30="",C30=""),0,IFERROR(N(INDEX(Ingredients!$AG$6:$AG$105,MATCH(C30,Ingredients!$B$6:$B$105,0))),0))</f>
        <v/>
      </c>
      <c r="O30">
        <f>IF(OR(B30="",C30=""),0,IFERROR(N(INDEX(Ingredients!$AH$6:$AH$105,MATCH(C30,Ingredients!$B$6:$B$105,0))),0))</f>
        <v/>
      </c>
      <c r="P30">
        <f>IF(OR(B30="",C30=""),0,IFERROR(N(INDEX(Ingredients!$AI$6:$AI$105,MATCH(C30,Ingredients!$B$6:$B$105,0))),0))</f>
        <v/>
      </c>
      <c r="Q30">
        <f>IF(OR(B30="",C30=""),0,IFERROR(N(INDEX(Ingredients!$AJ$6:$AJ$105,MATCH(C30,Ingredients!$B$6:$B$105,0))),0))</f>
        <v/>
      </c>
      <c r="R30">
        <f>IF(OR(B30="",C30=""),0,IFERROR(N(INDEX(Ingredients!$AK$6:$AK$105,MATCH(C30,Ingredients!$B$6:$B$105,0))),0))</f>
        <v/>
      </c>
      <c r="S30">
        <f>IF(OR(B30="",C30=""),0,IFERROR(N(INDEX(Ingredients!$AL$6:$AL$105,MATCH(C30,Ingredients!$B$6:$B$105,0))),0))</f>
        <v/>
      </c>
      <c r="T30">
        <f>IF(OR(B30="",C30=""),0,IFERROR(N(INDEX(Ingredients!$AM$6:$AM$105,MATCH(C30,Ingredients!$B$6:$B$105,0))),0))</f>
        <v/>
      </c>
      <c r="U30">
        <f>IF(OR(B30="",C30=""),0,IFERROR(N(INDEX(Ingredients!$AN$6:$AN$105,MATCH(C30,Ingredients!$B$6:$B$105,0))),0))</f>
        <v/>
      </c>
      <c r="V30">
        <f>IF(OR(B30="",C30=""),0,IFERROR(N(INDEX(Ingredients!$AO$6:$AO$105,MATCH(C30,Ingredients!$B$6:$B$105,0))),0))</f>
        <v/>
      </c>
      <c r="W30">
        <f>IF(OR(B30="",C30=""),0,IFERROR(N(INDEX(Ingredients!$AP$6:$AP$105,MATCH(C30,Ingredients!$B$6:$B$105,0))),0))</f>
        <v/>
      </c>
      <c r="X30">
        <f>IF(OR(B30="",C30=""),0,IFERROR(N(INDEX(Ingredients!$AQ$6:$AQ$105,MATCH(C30,Ingredients!$B$6:$B$105,0))),0))</f>
        <v/>
      </c>
    </row>
    <row r="31">
      <c r="A31" s="1" t="n"/>
      <c r="B31" s="21" t="inlineStr">
        <is>
          <t>Granola</t>
        </is>
      </c>
      <c r="C31" s="39" t="inlineStr">
        <is>
          <t>Cinnamon</t>
        </is>
      </c>
      <c r="D31" s="40" t="n">
        <v>10</v>
      </c>
      <c r="E31" s="12">
        <f>IF(C31="","",IF(ISNA(MATCH(C31,Ingredients!$B$6:$B$105,0)),"Not on Ingredients",IFERROR(IF(INDEX(Ingredients!$C$6:$C$105,MATCH(C31,Ingredients!$B$6:$B$105,0))="","",INDEX(Ingredients!$C$6:$C$105,MATCH(C31,Ingredients!$B$6:$B$105,0))),"")))</f>
        <v/>
      </c>
      <c r="F31" s="26">
        <f>IF(OR(B31="",C31=""),"",N(D31)*IFERROR(N(INDEX(Ingredients!$H$6:$H$105,MATCH(C31,Ingredients!$B$6:$B$105,0))),0))</f>
        <v/>
      </c>
      <c r="G31" s="1">
        <f>IF(OR(B31="",C31=""),0,IFERROR(N(INDEX(Products!$D$6:$D$45,MATCH(B31,Products!$B$6:$B$45,0))),0))</f>
        <v/>
      </c>
      <c r="H31">
        <f>IF(N(G31)=0,0,N(D31)*SUMIFS(Batches!$D$6:$D$505,Batches!$C$6:$C$505,B31)/G31)</f>
        <v/>
      </c>
      <c r="I31">
        <f>IF(OR(B31="",C31=""),"",IF(B31&lt;&gt;Label!$H$3,"",IF(IFERROR(N(INDEX(Ingredients!$AS$6:$AS$105,MATCH(C31,Ingredients!$B$6:$B$105,0))),0)=1,"",ROUND(N(D31)*1000,0)*100000+100000-ROW())))</f>
        <v/>
      </c>
      <c r="J31">
        <f>IF(OR(B31="",C31=""),0,IFERROR(N(INDEX(Ingredients!$AC$6:$AC$105,MATCH(C31,Ingredients!$B$6:$B$105,0))),0))</f>
        <v/>
      </c>
      <c r="K31">
        <f>IF(OR(B31="",C31=""),0,IFERROR(N(INDEX(Ingredients!$AD$6:$AD$105,MATCH(C31,Ingredients!$B$6:$B$105,0))),0))</f>
        <v/>
      </c>
      <c r="L31">
        <f>IF(OR(B31="",C31=""),0,IFERROR(N(INDEX(Ingredients!$AE$6:$AE$105,MATCH(C31,Ingredients!$B$6:$B$105,0))),0))</f>
        <v/>
      </c>
      <c r="M31">
        <f>IF(OR(B31="",C31=""),0,IFERROR(N(INDEX(Ingredients!$AF$6:$AF$105,MATCH(C31,Ingredients!$B$6:$B$105,0))),0))</f>
        <v/>
      </c>
      <c r="N31">
        <f>IF(OR(B31="",C31=""),0,IFERROR(N(INDEX(Ingredients!$AG$6:$AG$105,MATCH(C31,Ingredients!$B$6:$B$105,0))),0))</f>
        <v/>
      </c>
      <c r="O31">
        <f>IF(OR(B31="",C31=""),0,IFERROR(N(INDEX(Ingredients!$AH$6:$AH$105,MATCH(C31,Ingredients!$B$6:$B$105,0))),0))</f>
        <v/>
      </c>
      <c r="P31">
        <f>IF(OR(B31="",C31=""),0,IFERROR(N(INDEX(Ingredients!$AI$6:$AI$105,MATCH(C31,Ingredients!$B$6:$B$105,0))),0))</f>
        <v/>
      </c>
      <c r="Q31">
        <f>IF(OR(B31="",C31=""),0,IFERROR(N(INDEX(Ingredients!$AJ$6:$AJ$105,MATCH(C31,Ingredients!$B$6:$B$105,0))),0))</f>
        <v/>
      </c>
      <c r="R31">
        <f>IF(OR(B31="",C31=""),0,IFERROR(N(INDEX(Ingredients!$AK$6:$AK$105,MATCH(C31,Ingredients!$B$6:$B$105,0))),0))</f>
        <v/>
      </c>
      <c r="S31">
        <f>IF(OR(B31="",C31=""),0,IFERROR(N(INDEX(Ingredients!$AL$6:$AL$105,MATCH(C31,Ingredients!$B$6:$B$105,0))),0))</f>
        <v/>
      </c>
      <c r="T31">
        <f>IF(OR(B31="",C31=""),0,IFERROR(N(INDEX(Ingredients!$AM$6:$AM$105,MATCH(C31,Ingredients!$B$6:$B$105,0))),0))</f>
        <v/>
      </c>
      <c r="U31">
        <f>IF(OR(B31="",C31=""),0,IFERROR(N(INDEX(Ingredients!$AN$6:$AN$105,MATCH(C31,Ingredients!$B$6:$B$105,0))),0))</f>
        <v/>
      </c>
      <c r="V31">
        <f>IF(OR(B31="",C31=""),0,IFERROR(N(INDEX(Ingredients!$AO$6:$AO$105,MATCH(C31,Ingredients!$B$6:$B$105,0))),0))</f>
        <v/>
      </c>
      <c r="W31">
        <f>IF(OR(B31="",C31=""),0,IFERROR(N(INDEX(Ingredients!$AP$6:$AP$105,MATCH(C31,Ingredients!$B$6:$B$105,0))),0))</f>
        <v/>
      </c>
      <c r="X31">
        <f>IF(OR(B31="",C31=""),0,IFERROR(N(INDEX(Ingredients!$AQ$6:$AQ$105,MATCH(C31,Ingredients!$B$6:$B$105,0))),0))</f>
        <v/>
      </c>
    </row>
    <row r="32">
      <c r="A32" s="1" t="n"/>
      <c r="B32" s="21" t="inlineStr">
        <is>
          <t>Granola</t>
        </is>
      </c>
      <c r="C32" s="39" t="inlineStr">
        <is>
          <t>Cookie bags</t>
        </is>
      </c>
      <c r="D32" s="40" t="n">
        <v>5</v>
      </c>
      <c r="E32" s="12">
        <f>IF(C32="","",IF(ISNA(MATCH(C32,Ingredients!$B$6:$B$105,0)),"Not on Ingredients",IFERROR(IF(INDEX(Ingredients!$C$6:$C$105,MATCH(C32,Ingredients!$B$6:$B$105,0))="","",INDEX(Ingredients!$C$6:$C$105,MATCH(C32,Ingredients!$B$6:$B$105,0))),"")))</f>
        <v/>
      </c>
      <c r="F32" s="26">
        <f>IF(OR(B32="",C32=""),"",N(D32)*IFERROR(N(INDEX(Ingredients!$H$6:$H$105,MATCH(C32,Ingredients!$B$6:$B$105,0))),0))</f>
        <v/>
      </c>
      <c r="G32" s="1">
        <f>IF(OR(B32="",C32=""),0,IFERROR(N(INDEX(Products!$D$6:$D$45,MATCH(B32,Products!$B$6:$B$45,0))),0))</f>
        <v/>
      </c>
      <c r="H32">
        <f>IF(N(G32)=0,0,N(D32)*SUMIFS(Batches!$D$6:$D$505,Batches!$C$6:$C$505,B32)/G32)</f>
        <v/>
      </c>
      <c r="I32">
        <f>IF(OR(B32="",C32=""),"",IF(B32&lt;&gt;Label!$H$3,"",IF(IFERROR(N(INDEX(Ingredients!$AS$6:$AS$105,MATCH(C32,Ingredients!$B$6:$B$105,0))),0)=1,"",ROUND(N(D32)*1000,0)*100000+100000-ROW())))</f>
        <v/>
      </c>
      <c r="J32">
        <f>IF(OR(B32="",C32=""),0,IFERROR(N(INDEX(Ingredients!$AC$6:$AC$105,MATCH(C32,Ingredients!$B$6:$B$105,0))),0))</f>
        <v/>
      </c>
      <c r="K32">
        <f>IF(OR(B32="",C32=""),0,IFERROR(N(INDEX(Ingredients!$AD$6:$AD$105,MATCH(C32,Ingredients!$B$6:$B$105,0))),0))</f>
        <v/>
      </c>
      <c r="L32">
        <f>IF(OR(B32="",C32=""),0,IFERROR(N(INDEX(Ingredients!$AE$6:$AE$105,MATCH(C32,Ingredients!$B$6:$B$105,0))),0))</f>
        <v/>
      </c>
      <c r="M32">
        <f>IF(OR(B32="",C32=""),0,IFERROR(N(INDEX(Ingredients!$AF$6:$AF$105,MATCH(C32,Ingredients!$B$6:$B$105,0))),0))</f>
        <v/>
      </c>
      <c r="N32">
        <f>IF(OR(B32="",C32=""),0,IFERROR(N(INDEX(Ingredients!$AG$6:$AG$105,MATCH(C32,Ingredients!$B$6:$B$105,0))),0))</f>
        <v/>
      </c>
      <c r="O32">
        <f>IF(OR(B32="",C32=""),0,IFERROR(N(INDEX(Ingredients!$AH$6:$AH$105,MATCH(C32,Ingredients!$B$6:$B$105,0))),0))</f>
        <v/>
      </c>
      <c r="P32">
        <f>IF(OR(B32="",C32=""),0,IFERROR(N(INDEX(Ingredients!$AI$6:$AI$105,MATCH(C32,Ingredients!$B$6:$B$105,0))),0))</f>
        <v/>
      </c>
      <c r="Q32">
        <f>IF(OR(B32="",C32=""),0,IFERROR(N(INDEX(Ingredients!$AJ$6:$AJ$105,MATCH(C32,Ingredients!$B$6:$B$105,0))),0))</f>
        <v/>
      </c>
      <c r="R32">
        <f>IF(OR(B32="",C32=""),0,IFERROR(N(INDEX(Ingredients!$AK$6:$AK$105,MATCH(C32,Ingredients!$B$6:$B$105,0))),0))</f>
        <v/>
      </c>
      <c r="S32">
        <f>IF(OR(B32="",C32=""),0,IFERROR(N(INDEX(Ingredients!$AL$6:$AL$105,MATCH(C32,Ingredients!$B$6:$B$105,0))),0))</f>
        <v/>
      </c>
      <c r="T32">
        <f>IF(OR(B32="",C32=""),0,IFERROR(N(INDEX(Ingredients!$AM$6:$AM$105,MATCH(C32,Ingredients!$B$6:$B$105,0))),0))</f>
        <v/>
      </c>
      <c r="U32">
        <f>IF(OR(B32="",C32=""),0,IFERROR(N(INDEX(Ingredients!$AN$6:$AN$105,MATCH(C32,Ingredients!$B$6:$B$105,0))),0))</f>
        <v/>
      </c>
      <c r="V32">
        <f>IF(OR(B32="",C32=""),0,IFERROR(N(INDEX(Ingredients!$AO$6:$AO$105,MATCH(C32,Ingredients!$B$6:$B$105,0))),0))</f>
        <v/>
      </c>
      <c r="W32">
        <f>IF(OR(B32="",C32=""),0,IFERROR(N(INDEX(Ingredients!$AP$6:$AP$105,MATCH(C32,Ingredients!$B$6:$B$105,0))),0))</f>
        <v/>
      </c>
      <c r="X32">
        <f>IF(OR(B32="",C32=""),0,IFERROR(N(INDEX(Ingredients!$AQ$6:$AQ$105,MATCH(C32,Ingredients!$B$6:$B$105,0))),0))</f>
        <v/>
      </c>
    </row>
    <row r="33">
      <c r="A33" s="1" t="n"/>
      <c r="B33" s="21" t="inlineStr">
        <is>
          <t>Cinnamon rolls</t>
        </is>
      </c>
      <c r="C33" s="39" t="inlineStr">
        <is>
          <t>Bread flour</t>
        </is>
      </c>
      <c r="D33" s="40" t="n">
        <v>600</v>
      </c>
      <c r="E33" s="12">
        <f>IF(C33="","",IF(ISNA(MATCH(C33,Ingredients!$B$6:$B$105,0)),"Not on Ingredients",IFERROR(IF(INDEX(Ingredients!$C$6:$C$105,MATCH(C33,Ingredients!$B$6:$B$105,0))="","",INDEX(Ingredients!$C$6:$C$105,MATCH(C33,Ingredients!$B$6:$B$105,0))),"")))</f>
        <v/>
      </c>
      <c r="F33" s="26">
        <f>IF(OR(B33="",C33=""),"",N(D33)*IFERROR(N(INDEX(Ingredients!$H$6:$H$105,MATCH(C33,Ingredients!$B$6:$B$105,0))),0))</f>
        <v/>
      </c>
      <c r="G33" s="1">
        <f>IF(OR(B33="",C33=""),0,IFERROR(N(INDEX(Products!$D$6:$D$45,MATCH(B33,Products!$B$6:$B$45,0))),0))</f>
        <v/>
      </c>
      <c r="H33">
        <f>IF(N(G33)=0,0,N(D33)*SUMIFS(Batches!$D$6:$D$505,Batches!$C$6:$C$505,B33)/G33)</f>
        <v/>
      </c>
      <c r="I33">
        <f>IF(OR(B33="",C33=""),"",IF(B33&lt;&gt;Label!$H$3,"",IF(IFERROR(N(INDEX(Ingredients!$AS$6:$AS$105,MATCH(C33,Ingredients!$B$6:$B$105,0))),0)=1,"",ROUND(N(D33)*1000,0)*100000+100000-ROW())))</f>
        <v/>
      </c>
      <c r="J33">
        <f>IF(OR(B33="",C33=""),0,IFERROR(N(INDEX(Ingredients!$AC$6:$AC$105,MATCH(C33,Ingredients!$B$6:$B$105,0))),0))</f>
        <v/>
      </c>
      <c r="K33">
        <f>IF(OR(B33="",C33=""),0,IFERROR(N(INDEX(Ingredients!$AD$6:$AD$105,MATCH(C33,Ingredients!$B$6:$B$105,0))),0))</f>
        <v/>
      </c>
      <c r="L33">
        <f>IF(OR(B33="",C33=""),0,IFERROR(N(INDEX(Ingredients!$AE$6:$AE$105,MATCH(C33,Ingredients!$B$6:$B$105,0))),0))</f>
        <v/>
      </c>
      <c r="M33">
        <f>IF(OR(B33="",C33=""),0,IFERROR(N(INDEX(Ingredients!$AF$6:$AF$105,MATCH(C33,Ingredients!$B$6:$B$105,0))),0))</f>
        <v/>
      </c>
      <c r="N33">
        <f>IF(OR(B33="",C33=""),0,IFERROR(N(INDEX(Ingredients!$AG$6:$AG$105,MATCH(C33,Ingredients!$B$6:$B$105,0))),0))</f>
        <v/>
      </c>
      <c r="O33">
        <f>IF(OR(B33="",C33=""),0,IFERROR(N(INDEX(Ingredients!$AH$6:$AH$105,MATCH(C33,Ingredients!$B$6:$B$105,0))),0))</f>
        <v/>
      </c>
      <c r="P33">
        <f>IF(OR(B33="",C33=""),0,IFERROR(N(INDEX(Ingredients!$AI$6:$AI$105,MATCH(C33,Ingredients!$B$6:$B$105,0))),0))</f>
        <v/>
      </c>
      <c r="Q33">
        <f>IF(OR(B33="",C33=""),0,IFERROR(N(INDEX(Ingredients!$AJ$6:$AJ$105,MATCH(C33,Ingredients!$B$6:$B$105,0))),0))</f>
        <v/>
      </c>
      <c r="R33">
        <f>IF(OR(B33="",C33=""),0,IFERROR(N(INDEX(Ingredients!$AK$6:$AK$105,MATCH(C33,Ingredients!$B$6:$B$105,0))),0))</f>
        <v/>
      </c>
      <c r="S33">
        <f>IF(OR(B33="",C33=""),0,IFERROR(N(INDEX(Ingredients!$AL$6:$AL$105,MATCH(C33,Ingredients!$B$6:$B$105,0))),0))</f>
        <v/>
      </c>
      <c r="T33">
        <f>IF(OR(B33="",C33=""),0,IFERROR(N(INDEX(Ingredients!$AM$6:$AM$105,MATCH(C33,Ingredients!$B$6:$B$105,0))),0))</f>
        <v/>
      </c>
      <c r="U33">
        <f>IF(OR(B33="",C33=""),0,IFERROR(N(INDEX(Ingredients!$AN$6:$AN$105,MATCH(C33,Ingredients!$B$6:$B$105,0))),0))</f>
        <v/>
      </c>
      <c r="V33">
        <f>IF(OR(B33="",C33=""),0,IFERROR(N(INDEX(Ingredients!$AO$6:$AO$105,MATCH(C33,Ingredients!$B$6:$B$105,0))),0))</f>
        <v/>
      </c>
      <c r="W33">
        <f>IF(OR(B33="",C33=""),0,IFERROR(N(INDEX(Ingredients!$AP$6:$AP$105,MATCH(C33,Ingredients!$B$6:$B$105,0))),0))</f>
        <v/>
      </c>
      <c r="X33">
        <f>IF(OR(B33="",C33=""),0,IFERROR(N(INDEX(Ingredients!$AQ$6:$AQ$105,MATCH(C33,Ingredients!$B$6:$B$105,0))),0))</f>
        <v/>
      </c>
    </row>
    <row r="34">
      <c r="A34" s="1" t="n"/>
      <c r="B34" s="21" t="inlineStr">
        <is>
          <t>Cinnamon rolls</t>
        </is>
      </c>
      <c r="C34" s="39" t="inlineStr">
        <is>
          <t>Milk</t>
        </is>
      </c>
      <c r="D34" s="40" t="n">
        <v>250</v>
      </c>
      <c r="E34" s="12">
        <f>IF(C34="","",IF(ISNA(MATCH(C34,Ingredients!$B$6:$B$105,0)),"Not on Ingredients",IFERROR(IF(INDEX(Ingredients!$C$6:$C$105,MATCH(C34,Ingredients!$B$6:$B$105,0))="","",INDEX(Ingredients!$C$6:$C$105,MATCH(C34,Ingredients!$B$6:$B$105,0))),"")))</f>
        <v/>
      </c>
      <c r="F34" s="26">
        <f>IF(OR(B34="",C34=""),"",N(D34)*IFERROR(N(INDEX(Ingredients!$H$6:$H$105,MATCH(C34,Ingredients!$B$6:$B$105,0))),0))</f>
        <v/>
      </c>
      <c r="G34" s="1">
        <f>IF(OR(B34="",C34=""),0,IFERROR(N(INDEX(Products!$D$6:$D$45,MATCH(B34,Products!$B$6:$B$45,0))),0))</f>
        <v/>
      </c>
      <c r="H34">
        <f>IF(N(G34)=0,0,N(D34)*SUMIFS(Batches!$D$6:$D$505,Batches!$C$6:$C$505,B34)/G34)</f>
        <v/>
      </c>
      <c r="I34">
        <f>IF(OR(B34="",C34=""),"",IF(B34&lt;&gt;Label!$H$3,"",IF(IFERROR(N(INDEX(Ingredients!$AS$6:$AS$105,MATCH(C34,Ingredients!$B$6:$B$105,0))),0)=1,"",ROUND(N(D34)*1000,0)*100000+100000-ROW())))</f>
        <v/>
      </c>
      <c r="J34">
        <f>IF(OR(B34="",C34=""),0,IFERROR(N(INDEX(Ingredients!$AC$6:$AC$105,MATCH(C34,Ingredients!$B$6:$B$105,0))),0))</f>
        <v/>
      </c>
      <c r="K34">
        <f>IF(OR(B34="",C34=""),0,IFERROR(N(INDEX(Ingredients!$AD$6:$AD$105,MATCH(C34,Ingredients!$B$6:$B$105,0))),0))</f>
        <v/>
      </c>
      <c r="L34">
        <f>IF(OR(B34="",C34=""),0,IFERROR(N(INDEX(Ingredients!$AE$6:$AE$105,MATCH(C34,Ingredients!$B$6:$B$105,0))),0))</f>
        <v/>
      </c>
      <c r="M34">
        <f>IF(OR(B34="",C34=""),0,IFERROR(N(INDEX(Ingredients!$AF$6:$AF$105,MATCH(C34,Ingredients!$B$6:$B$105,0))),0))</f>
        <v/>
      </c>
      <c r="N34">
        <f>IF(OR(B34="",C34=""),0,IFERROR(N(INDEX(Ingredients!$AG$6:$AG$105,MATCH(C34,Ingredients!$B$6:$B$105,0))),0))</f>
        <v/>
      </c>
      <c r="O34">
        <f>IF(OR(B34="",C34=""),0,IFERROR(N(INDEX(Ingredients!$AH$6:$AH$105,MATCH(C34,Ingredients!$B$6:$B$105,0))),0))</f>
        <v/>
      </c>
      <c r="P34">
        <f>IF(OR(B34="",C34=""),0,IFERROR(N(INDEX(Ingredients!$AI$6:$AI$105,MATCH(C34,Ingredients!$B$6:$B$105,0))),0))</f>
        <v/>
      </c>
      <c r="Q34">
        <f>IF(OR(B34="",C34=""),0,IFERROR(N(INDEX(Ingredients!$AJ$6:$AJ$105,MATCH(C34,Ingredients!$B$6:$B$105,0))),0))</f>
        <v/>
      </c>
      <c r="R34">
        <f>IF(OR(B34="",C34=""),0,IFERROR(N(INDEX(Ingredients!$AK$6:$AK$105,MATCH(C34,Ingredients!$B$6:$B$105,0))),0))</f>
        <v/>
      </c>
      <c r="S34">
        <f>IF(OR(B34="",C34=""),0,IFERROR(N(INDEX(Ingredients!$AL$6:$AL$105,MATCH(C34,Ingredients!$B$6:$B$105,0))),0))</f>
        <v/>
      </c>
      <c r="T34">
        <f>IF(OR(B34="",C34=""),0,IFERROR(N(INDEX(Ingredients!$AM$6:$AM$105,MATCH(C34,Ingredients!$B$6:$B$105,0))),0))</f>
        <v/>
      </c>
      <c r="U34">
        <f>IF(OR(B34="",C34=""),0,IFERROR(N(INDEX(Ingredients!$AN$6:$AN$105,MATCH(C34,Ingredients!$B$6:$B$105,0))),0))</f>
        <v/>
      </c>
      <c r="V34">
        <f>IF(OR(B34="",C34=""),0,IFERROR(N(INDEX(Ingredients!$AO$6:$AO$105,MATCH(C34,Ingredients!$B$6:$B$105,0))),0))</f>
        <v/>
      </c>
      <c r="W34">
        <f>IF(OR(B34="",C34=""),0,IFERROR(N(INDEX(Ingredients!$AP$6:$AP$105,MATCH(C34,Ingredients!$B$6:$B$105,0))),0))</f>
        <v/>
      </c>
      <c r="X34">
        <f>IF(OR(B34="",C34=""),0,IFERROR(N(INDEX(Ingredients!$AQ$6:$AQ$105,MATCH(C34,Ingredients!$B$6:$B$105,0))),0))</f>
        <v/>
      </c>
    </row>
    <row r="35">
      <c r="A35" s="1" t="n"/>
      <c r="B35" s="21" t="inlineStr">
        <is>
          <t>Cinnamon rolls</t>
        </is>
      </c>
      <c r="C35" s="39" t="inlineStr">
        <is>
          <t>Caster sugar</t>
        </is>
      </c>
      <c r="D35" s="40" t="n">
        <v>150</v>
      </c>
      <c r="E35" s="12">
        <f>IF(C35="","",IF(ISNA(MATCH(C35,Ingredients!$B$6:$B$105,0)),"Not on Ingredients",IFERROR(IF(INDEX(Ingredients!$C$6:$C$105,MATCH(C35,Ingredients!$B$6:$B$105,0))="","",INDEX(Ingredients!$C$6:$C$105,MATCH(C35,Ingredients!$B$6:$B$105,0))),"")))</f>
        <v/>
      </c>
      <c r="F35" s="26">
        <f>IF(OR(B35="",C35=""),"",N(D35)*IFERROR(N(INDEX(Ingredients!$H$6:$H$105,MATCH(C35,Ingredients!$B$6:$B$105,0))),0))</f>
        <v/>
      </c>
      <c r="G35" s="1">
        <f>IF(OR(B35="",C35=""),0,IFERROR(N(INDEX(Products!$D$6:$D$45,MATCH(B35,Products!$B$6:$B$45,0))),0))</f>
        <v/>
      </c>
      <c r="H35">
        <f>IF(N(G35)=0,0,N(D35)*SUMIFS(Batches!$D$6:$D$505,Batches!$C$6:$C$505,B35)/G35)</f>
        <v/>
      </c>
      <c r="I35">
        <f>IF(OR(B35="",C35=""),"",IF(B35&lt;&gt;Label!$H$3,"",IF(IFERROR(N(INDEX(Ingredients!$AS$6:$AS$105,MATCH(C35,Ingredients!$B$6:$B$105,0))),0)=1,"",ROUND(N(D35)*1000,0)*100000+100000-ROW())))</f>
        <v/>
      </c>
      <c r="J35">
        <f>IF(OR(B35="",C35=""),0,IFERROR(N(INDEX(Ingredients!$AC$6:$AC$105,MATCH(C35,Ingredients!$B$6:$B$105,0))),0))</f>
        <v/>
      </c>
      <c r="K35">
        <f>IF(OR(B35="",C35=""),0,IFERROR(N(INDEX(Ingredients!$AD$6:$AD$105,MATCH(C35,Ingredients!$B$6:$B$105,0))),0))</f>
        <v/>
      </c>
      <c r="L35">
        <f>IF(OR(B35="",C35=""),0,IFERROR(N(INDEX(Ingredients!$AE$6:$AE$105,MATCH(C35,Ingredients!$B$6:$B$105,0))),0))</f>
        <v/>
      </c>
      <c r="M35">
        <f>IF(OR(B35="",C35=""),0,IFERROR(N(INDEX(Ingredients!$AF$6:$AF$105,MATCH(C35,Ingredients!$B$6:$B$105,0))),0))</f>
        <v/>
      </c>
      <c r="N35">
        <f>IF(OR(B35="",C35=""),0,IFERROR(N(INDEX(Ingredients!$AG$6:$AG$105,MATCH(C35,Ingredients!$B$6:$B$105,0))),0))</f>
        <v/>
      </c>
      <c r="O35">
        <f>IF(OR(B35="",C35=""),0,IFERROR(N(INDEX(Ingredients!$AH$6:$AH$105,MATCH(C35,Ingredients!$B$6:$B$105,0))),0))</f>
        <v/>
      </c>
      <c r="P35">
        <f>IF(OR(B35="",C35=""),0,IFERROR(N(INDEX(Ingredients!$AI$6:$AI$105,MATCH(C35,Ingredients!$B$6:$B$105,0))),0))</f>
        <v/>
      </c>
      <c r="Q35">
        <f>IF(OR(B35="",C35=""),0,IFERROR(N(INDEX(Ingredients!$AJ$6:$AJ$105,MATCH(C35,Ingredients!$B$6:$B$105,0))),0))</f>
        <v/>
      </c>
      <c r="R35">
        <f>IF(OR(B35="",C35=""),0,IFERROR(N(INDEX(Ingredients!$AK$6:$AK$105,MATCH(C35,Ingredients!$B$6:$B$105,0))),0))</f>
        <v/>
      </c>
      <c r="S35">
        <f>IF(OR(B35="",C35=""),0,IFERROR(N(INDEX(Ingredients!$AL$6:$AL$105,MATCH(C35,Ingredients!$B$6:$B$105,0))),0))</f>
        <v/>
      </c>
      <c r="T35">
        <f>IF(OR(B35="",C35=""),0,IFERROR(N(INDEX(Ingredients!$AM$6:$AM$105,MATCH(C35,Ingredients!$B$6:$B$105,0))),0))</f>
        <v/>
      </c>
      <c r="U35">
        <f>IF(OR(B35="",C35=""),0,IFERROR(N(INDEX(Ingredients!$AN$6:$AN$105,MATCH(C35,Ingredients!$B$6:$B$105,0))),0))</f>
        <v/>
      </c>
      <c r="V35">
        <f>IF(OR(B35="",C35=""),0,IFERROR(N(INDEX(Ingredients!$AO$6:$AO$105,MATCH(C35,Ingredients!$B$6:$B$105,0))),0))</f>
        <v/>
      </c>
      <c r="W35">
        <f>IF(OR(B35="",C35=""),0,IFERROR(N(INDEX(Ingredients!$AP$6:$AP$105,MATCH(C35,Ingredients!$B$6:$B$105,0))),0))</f>
        <v/>
      </c>
      <c r="X35">
        <f>IF(OR(B35="",C35=""),0,IFERROR(N(INDEX(Ingredients!$AQ$6:$AQ$105,MATCH(C35,Ingredients!$B$6:$B$105,0))),0))</f>
        <v/>
      </c>
    </row>
    <row r="36">
      <c r="A36" s="1" t="n"/>
      <c r="B36" s="21" t="inlineStr">
        <is>
          <t>Cinnamon rolls</t>
        </is>
      </c>
      <c r="C36" s="39" t="inlineStr">
        <is>
          <t>Butter</t>
        </is>
      </c>
      <c r="D36" s="40" t="n">
        <v>150</v>
      </c>
      <c r="E36" s="12">
        <f>IF(C36="","",IF(ISNA(MATCH(C36,Ingredients!$B$6:$B$105,0)),"Not on Ingredients",IFERROR(IF(INDEX(Ingredients!$C$6:$C$105,MATCH(C36,Ingredients!$B$6:$B$105,0))="","",INDEX(Ingredients!$C$6:$C$105,MATCH(C36,Ingredients!$B$6:$B$105,0))),"")))</f>
        <v/>
      </c>
      <c r="F36" s="26">
        <f>IF(OR(B36="",C36=""),"",N(D36)*IFERROR(N(INDEX(Ingredients!$H$6:$H$105,MATCH(C36,Ingredients!$B$6:$B$105,0))),0))</f>
        <v/>
      </c>
      <c r="G36" s="1">
        <f>IF(OR(B36="",C36=""),0,IFERROR(N(INDEX(Products!$D$6:$D$45,MATCH(B36,Products!$B$6:$B$45,0))),0))</f>
        <v/>
      </c>
      <c r="H36">
        <f>IF(N(G36)=0,0,N(D36)*SUMIFS(Batches!$D$6:$D$505,Batches!$C$6:$C$505,B36)/G36)</f>
        <v/>
      </c>
      <c r="I36">
        <f>IF(OR(B36="",C36=""),"",IF(B36&lt;&gt;Label!$H$3,"",IF(IFERROR(N(INDEX(Ingredients!$AS$6:$AS$105,MATCH(C36,Ingredients!$B$6:$B$105,0))),0)=1,"",ROUND(N(D36)*1000,0)*100000+100000-ROW())))</f>
        <v/>
      </c>
      <c r="J36">
        <f>IF(OR(B36="",C36=""),0,IFERROR(N(INDEX(Ingredients!$AC$6:$AC$105,MATCH(C36,Ingredients!$B$6:$B$105,0))),0))</f>
        <v/>
      </c>
      <c r="K36">
        <f>IF(OR(B36="",C36=""),0,IFERROR(N(INDEX(Ingredients!$AD$6:$AD$105,MATCH(C36,Ingredients!$B$6:$B$105,0))),0))</f>
        <v/>
      </c>
      <c r="L36">
        <f>IF(OR(B36="",C36=""),0,IFERROR(N(INDEX(Ingredients!$AE$6:$AE$105,MATCH(C36,Ingredients!$B$6:$B$105,0))),0))</f>
        <v/>
      </c>
      <c r="M36">
        <f>IF(OR(B36="",C36=""),0,IFERROR(N(INDEX(Ingredients!$AF$6:$AF$105,MATCH(C36,Ingredients!$B$6:$B$105,0))),0))</f>
        <v/>
      </c>
      <c r="N36">
        <f>IF(OR(B36="",C36=""),0,IFERROR(N(INDEX(Ingredients!$AG$6:$AG$105,MATCH(C36,Ingredients!$B$6:$B$105,0))),0))</f>
        <v/>
      </c>
      <c r="O36">
        <f>IF(OR(B36="",C36=""),0,IFERROR(N(INDEX(Ingredients!$AH$6:$AH$105,MATCH(C36,Ingredients!$B$6:$B$105,0))),0))</f>
        <v/>
      </c>
      <c r="P36">
        <f>IF(OR(B36="",C36=""),0,IFERROR(N(INDEX(Ingredients!$AI$6:$AI$105,MATCH(C36,Ingredients!$B$6:$B$105,0))),0))</f>
        <v/>
      </c>
      <c r="Q36">
        <f>IF(OR(B36="",C36=""),0,IFERROR(N(INDEX(Ingredients!$AJ$6:$AJ$105,MATCH(C36,Ingredients!$B$6:$B$105,0))),0))</f>
        <v/>
      </c>
      <c r="R36">
        <f>IF(OR(B36="",C36=""),0,IFERROR(N(INDEX(Ingredients!$AK$6:$AK$105,MATCH(C36,Ingredients!$B$6:$B$105,0))),0))</f>
        <v/>
      </c>
      <c r="S36">
        <f>IF(OR(B36="",C36=""),0,IFERROR(N(INDEX(Ingredients!$AL$6:$AL$105,MATCH(C36,Ingredients!$B$6:$B$105,0))),0))</f>
        <v/>
      </c>
      <c r="T36">
        <f>IF(OR(B36="",C36=""),0,IFERROR(N(INDEX(Ingredients!$AM$6:$AM$105,MATCH(C36,Ingredients!$B$6:$B$105,0))),0))</f>
        <v/>
      </c>
      <c r="U36">
        <f>IF(OR(B36="",C36=""),0,IFERROR(N(INDEX(Ingredients!$AN$6:$AN$105,MATCH(C36,Ingredients!$B$6:$B$105,0))),0))</f>
        <v/>
      </c>
      <c r="V36">
        <f>IF(OR(B36="",C36=""),0,IFERROR(N(INDEX(Ingredients!$AO$6:$AO$105,MATCH(C36,Ingredients!$B$6:$B$105,0))),0))</f>
        <v/>
      </c>
      <c r="W36">
        <f>IF(OR(B36="",C36=""),0,IFERROR(N(INDEX(Ingredients!$AP$6:$AP$105,MATCH(C36,Ingredients!$B$6:$B$105,0))),0))</f>
        <v/>
      </c>
      <c r="X36">
        <f>IF(OR(B36="",C36=""),0,IFERROR(N(INDEX(Ingredients!$AQ$6:$AQ$105,MATCH(C36,Ingredients!$B$6:$B$105,0))),0))</f>
        <v/>
      </c>
    </row>
    <row r="37">
      <c r="A37" s="1" t="n"/>
      <c r="B37" s="21" t="inlineStr">
        <is>
          <t>Cinnamon rolls</t>
        </is>
      </c>
      <c r="C37" s="39" t="inlineStr">
        <is>
          <t>Cinnamon</t>
        </is>
      </c>
      <c r="D37" s="40" t="n">
        <v>15</v>
      </c>
      <c r="E37" s="12">
        <f>IF(C37="","",IF(ISNA(MATCH(C37,Ingredients!$B$6:$B$105,0)),"Not on Ingredients",IFERROR(IF(INDEX(Ingredients!$C$6:$C$105,MATCH(C37,Ingredients!$B$6:$B$105,0))="","",INDEX(Ingredients!$C$6:$C$105,MATCH(C37,Ingredients!$B$6:$B$105,0))),"")))</f>
        <v/>
      </c>
      <c r="F37" s="26">
        <f>IF(OR(B37="",C37=""),"",N(D37)*IFERROR(N(INDEX(Ingredients!$H$6:$H$105,MATCH(C37,Ingredients!$B$6:$B$105,0))),0))</f>
        <v/>
      </c>
      <c r="G37" s="1">
        <f>IF(OR(B37="",C37=""),0,IFERROR(N(INDEX(Products!$D$6:$D$45,MATCH(B37,Products!$B$6:$B$45,0))),0))</f>
        <v/>
      </c>
      <c r="H37">
        <f>IF(N(G37)=0,0,N(D37)*SUMIFS(Batches!$D$6:$D$505,Batches!$C$6:$C$505,B37)/G37)</f>
        <v/>
      </c>
      <c r="I37">
        <f>IF(OR(B37="",C37=""),"",IF(B37&lt;&gt;Label!$H$3,"",IF(IFERROR(N(INDEX(Ingredients!$AS$6:$AS$105,MATCH(C37,Ingredients!$B$6:$B$105,0))),0)=1,"",ROUND(N(D37)*1000,0)*100000+100000-ROW())))</f>
        <v/>
      </c>
      <c r="J37">
        <f>IF(OR(B37="",C37=""),0,IFERROR(N(INDEX(Ingredients!$AC$6:$AC$105,MATCH(C37,Ingredients!$B$6:$B$105,0))),0))</f>
        <v/>
      </c>
      <c r="K37">
        <f>IF(OR(B37="",C37=""),0,IFERROR(N(INDEX(Ingredients!$AD$6:$AD$105,MATCH(C37,Ingredients!$B$6:$B$105,0))),0))</f>
        <v/>
      </c>
      <c r="L37">
        <f>IF(OR(B37="",C37=""),0,IFERROR(N(INDEX(Ingredients!$AE$6:$AE$105,MATCH(C37,Ingredients!$B$6:$B$105,0))),0))</f>
        <v/>
      </c>
      <c r="M37">
        <f>IF(OR(B37="",C37=""),0,IFERROR(N(INDEX(Ingredients!$AF$6:$AF$105,MATCH(C37,Ingredients!$B$6:$B$105,0))),0))</f>
        <v/>
      </c>
      <c r="N37">
        <f>IF(OR(B37="",C37=""),0,IFERROR(N(INDEX(Ingredients!$AG$6:$AG$105,MATCH(C37,Ingredients!$B$6:$B$105,0))),0))</f>
        <v/>
      </c>
      <c r="O37">
        <f>IF(OR(B37="",C37=""),0,IFERROR(N(INDEX(Ingredients!$AH$6:$AH$105,MATCH(C37,Ingredients!$B$6:$B$105,0))),0))</f>
        <v/>
      </c>
      <c r="P37">
        <f>IF(OR(B37="",C37=""),0,IFERROR(N(INDEX(Ingredients!$AI$6:$AI$105,MATCH(C37,Ingredients!$B$6:$B$105,0))),0))</f>
        <v/>
      </c>
      <c r="Q37">
        <f>IF(OR(B37="",C37=""),0,IFERROR(N(INDEX(Ingredients!$AJ$6:$AJ$105,MATCH(C37,Ingredients!$B$6:$B$105,0))),0))</f>
        <v/>
      </c>
      <c r="R37">
        <f>IF(OR(B37="",C37=""),0,IFERROR(N(INDEX(Ingredients!$AK$6:$AK$105,MATCH(C37,Ingredients!$B$6:$B$105,0))),0))</f>
        <v/>
      </c>
      <c r="S37">
        <f>IF(OR(B37="",C37=""),0,IFERROR(N(INDEX(Ingredients!$AL$6:$AL$105,MATCH(C37,Ingredients!$B$6:$B$105,0))),0))</f>
        <v/>
      </c>
      <c r="T37">
        <f>IF(OR(B37="",C37=""),0,IFERROR(N(INDEX(Ingredients!$AM$6:$AM$105,MATCH(C37,Ingredients!$B$6:$B$105,0))),0))</f>
        <v/>
      </c>
      <c r="U37">
        <f>IF(OR(B37="",C37=""),0,IFERROR(N(INDEX(Ingredients!$AN$6:$AN$105,MATCH(C37,Ingredients!$B$6:$B$105,0))),0))</f>
        <v/>
      </c>
      <c r="V37">
        <f>IF(OR(B37="",C37=""),0,IFERROR(N(INDEX(Ingredients!$AO$6:$AO$105,MATCH(C37,Ingredients!$B$6:$B$105,0))),0))</f>
        <v/>
      </c>
      <c r="W37">
        <f>IF(OR(B37="",C37=""),0,IFERROR(N(INDEX(Ingredients!$AP$6:$AP$105,MATCH(C37,Ingredients!$B$6:$B$105,0))),0))</f>
        <v/>
      </c>
      <c r="X37">
        <f>IF(OR(B37="",C37=""),0,IFERROR(N(INDEX(Ingredients!$AQ$6:$AQ$105,MATCH(C37,Ingredients!$B$6:$B$105,0))),0))</f>
        <v/>
      </c>
    </row>
    <row r="38">
      <c r="A38" s="1" t="n"/>
      <c r="B38" s="21" t="inlineStr">
        <is>
          <t>Cinnamon rolls</t>
        </is>
      </c>
      <c r="C38" s="39" t="inlineStr">
        <is>
          <t>Eggs</t>
        </is>
      </c>
      <c r="D38" s="40" t="n">
        <v>100</v>
      </c>
      <c r="E38" s="12">
        <f>IF(C38="","",IF(ISNA(MATCH(C38,Ingredients!$B$6:$B$105,0)),"Not on Ingredients",IFERROR(IF(INDEX(Ingredients!$C$6:$C$105,MATCH(C38,Ingredients!$B$6:$B$105,0))="","",INDEX(Ingredients!$C$6:$C$105,MATCH(C38,Ingredients!$B$6:$B$105,0))),"")))</f>
        <v/>
      </c>
      <c r="F38" s="26">
        <f>IF(OR(B38="",C38=""),"",N(D38)*IFERROR(N(INDEX(Ingredients!$H$6:$H$105,MATCH(C38,Ingredients!$B$6:$B$105,0))),0))</f>
        <v/>
      </c>
      <c r="G38" s="1">
        <f>IF(OR(B38="",C38=""),0,IFERROR(N(INDEX(Products!$D$6:$D$45,MATCH(B38,Products!$B$6:$B$45,0))),0))</f>
        <v/>
      </c>
      <c r="H38">
        <f>IF(N(G38)=0,0,N(D38)*SUMIFS(Batches!$D$6:$D$505,Batches!$C$6:$C$505,B38)/G38)</f>
        <v/>
      </c>
      <c r="I38">
        <f>IF(OR(B38="",C38=""),"",IF(B38&lt;&gt;Label!$H$3,"",IF(IFERROR(N(INDEX(Ingredients!$AS$6:$AS$105,MATCH(C38,Ingredients!$B$6:$B$105,0))),0)=1,"",ROUND(N(D38)*1000,0)*100000+100000-ROW())))</f>
        <v/>
      </c>
      <c r="J38">
        <f>IF(OR(B38="",C38=""),0,IFERROR(N(INDEX(Ingredients!$AC$6:$AC$105,MATCH(C38,Ingredients!$B$6:$B$105,0))),0))</f>
        <v/>
      </c>
      <c r="K38">
        <f>IF(OR(B38="",C38=""),0,IFERROR(N(INDEX(Ingredients!$AD$6:$AD$105,MATCH(C38,Ingredients!$B$6:$B$105,0))),0))</f>
        <v/>
      </c>
      <c r="L38">
        <f>IF(OR(B38="",C38=""),0,IFERROR(N(INDEX(Ingredients!$AE$6:$AE$105,MATCH(C38,Ingredients!$B$6:$B$105,0))),0))</f>
        <v/>
      </c>
      <c r="M38">
        <f>IF(OR(B38="",C38=""),0,IFERROR(N(INDEX(Ingredients!$AF$6:$AF$105,MATCH(C38,Ingredients!$B$6:$B$105,0))),0))</f>
        <v/>
      </c>
      <c r="N38">
        <f>IF(OR(B38="",C38=""),0,IFERROR(N(INDEX(Ingredients!$AG$6:$AG$105,MATCH(C38,Ingredients!$B$6:$B$105,0))),0))</f>
        <v/>
      </c>
      <c r="O38">
        <f>IF(OR(B38="",C38=""),0,IFERROR(N(INDEX(Ingredients!$AH$6:$AH$105,MATCH(C38,Ingredients!$B$6:$B$105,0))),0))</f>
        <v/>
      </c>
      <c r="P38">
        <f>IF(OR(B38="",C38=""),0,IFERROR(N(INDEX(Ingredients!$AI$6:$AI$105,MATCH(C38,Ingredients!$B$6:$B$105,0))),0))</f>
        <v/>
      </c>
      <c r="Q38">
        <f>IF(OR(B38="",C38=""),0,IFERROR(N(INDEX(Ingredients!$AJ$6:$AJ$105,MATCH(C38,Ingredients!$B$6:$B$105,0))),0))</f>
        <v/>
      </c>
      <c r="R38">
        <f>IF(OR(B38="",C38=""),0,IFERROR(N(INDEX(Ingredients!$AK$6:$AK$105,MATCH(C38,Ingredients!$B$6:$B$105,0))),0))</f>
        <v/>
      </c>
      <c r="S38">
        <f>IF(OR(B38="",C38=""),0,IFERROR(N(INDEX(Ingredients!$AL$6:$AL$105,MATCH(C38,Ingredients!$B$6:$B$105,0))),0))</f>
        <v/>
      </c>
      <c r="T38">
        <f>IF(OR(B38="",C38=""),0,IFERROR(N(INDEX(Ingredients!$AM$6:$AM$105,MATCH(C38,Ingredients!$B$6:$B$105,0))),0))</f>
        <v/>
      </c>
      <c r="U38">
        <f>IF(OR(B38="",C38=""),0,IFERROR(N(INDEX(Ingredients!$AN$6:$AN$105,MATCH(C38,Ingredients!$B$6:$B$105,0))),0))</f>
        <v/>
      </c>
      <c r="V38">
        <f>IF(OR(B38="",C38=""),0,IFERROR(N(INDEX(Ingredients!$AO$6:$AO$105,MATCH(C38,Ingredients!$B$6:$B$105,0))),0))</f>
        <v/>
      </c>
      <c r="W38">
        <f>IF(OR(B38="",C38=""),0,IFERROR(N(INDEX(Ingredients!$AP$6:$AP$105,MATCH(C38,Ingredients!$B$6:$B$105,0))),0))</f>
        <v/>
      </c>
      <c r="X38">
        <f>IF(OR(B38="",C38=""),0,IFERROR(N(INDEX(Ingredients!$AQ$6:$AQ$105,MATCH(C38,Ingredients!$B$6:$B$105,0))),0))</f>
        <v/>
      </c>
    </row>
    <row r="39">
      <c r="A39" s="1" t="n"/>
      <c r="B39" s="21" t="inlineStr">
        <is>
          <t>Cinnamon rolls</t>
        </is>
      </c>
      <c r="C39" s="39" t="inlineStr">
        <is>
          <t>Salt</t>
        </is>
      </c>
      <c r="D39" s="40" t="n">
        <v>8</v>
      </c>
      <c r="E39" s="12">
        <f>IF(C39="","",IF(ISNA(MATCH(C39,Ingredients!$B$6:$B$105,0)),"Not on Ingredients",IFERROR(IF(INDEX(Ingredients!$C$6:$C$105,MATCH(C39,Ingredients!$B$6:$B$105,0))="","",INDEX(Ingredients!$C$6:$C$105,MATCH(C39,Ingredients!$B$6:$B$105,0))),"")))</f>
        <v/>
      </c>
      <c r="F39" s="26">
        <f>IF(OR(B39="",C39=""),"",N(D39)*IFERROR(N(INDEX(Ingredients!$H$6:$H$105,MATCH(C39,Ingredients!$B$6:$B$105,0))),0))</f>
        <v/>
      </c>
      <c r="G39" s="1">
        <f>IF(OR(B39="",C39=""),0,IFERROR(N(INDEX(Products!$D$6:$D$45,MATCH(B39,Products!$B$6:$B$45,0))),0))</f>
        <v/>
      </c>
      <c r="H39">
        <f>IF(N(G39)=0,0,N(D39)*SUMIFS(Batches!$D$6:$D$505,Batches!$C$6:$C$505,B39)/G39)</f>
        <v/>
      </c>
      <c r="I39">
        <f>IF(OR(B39="",C39=""),"",IF(B39&lt;&gt;Label!$H$3,"",IF(IFERROR(N(INDEX(Ingredients!$AS$6:$AS$105,MATCH(C39,Ingredients!$B$6:$B$105,0))),0)=1,"",ROUND(N(D39)*1000,0)*100000+100000-ROW())))</f>
        <v/>
      </c>
      <c r="J39">
        <f>IF(OR(B39="",C39=""),0,IFERROR(N(INDEX(Ingredients!$AC$6:$AC$105,MATCH(C39,Ingredients!$B$6:$B$105,0))),0))</f>
        <v/>
      </c>
      <c r="K39">
        <f>IF(OR(B39="",C39=""),0,IFERROR(N(INDEX(Ingredients!$AD$6:$AD$105,MATCH(C39,Ingredients!$B$6:$B$105,0))),0))</f>
        <v/>
      </c>
      <c r="L39">
        <f>IF(OR(B39="",C39=""),0,IFERROR(N(INDEX(Ingredients!$AE$6:$AE$105,MATCH(C39,Ingredients!$B$6:$B$105,0))),0))</f>
        <v/>
      </c>
      <c r="M39">
        <f>IF(OR(B39="",C39=""),0,IFERROR(N(INDEX(Ingredients!$AF$6:$AF$105,MATCH(C39,Ingredients!$B$6:$B$105,0))),0))</f>
        <v/>
      </c>
      <c r="N39">
        <f>IF(OR(B39="",C39=""),0,IFERROR(N(INDEX(Ingredients!$AG$6:$AG$105,MATCH(C39,Ingredients!$B$6:$B$105,0))),0))</f>
        <v/>
      </c>
      <c r="O39">
        <f>IF(OR(B39="",C39=""),0,IFERROR(N(INDEX(Ingredients!$AH$6:$AH$105,MATCH(C39,Ingredients!$B$6:$B$105,0))),0))</f>
        <v/>
      </c>
      <c r="P39">
        <f>IF(OR(B39="",C39=""),0,IFERROR(N(INDEX(Ingredients!$AI$6:$AI$105,MATCH(C39,Ingredients!$B$6:$B$105,0))),0))</f>
        <v/>
      </c>
      <c r="Q39">
        <f>IF(OR(B39="",C39=""),0,IFERROR(N(INDEX(Ingredients!$AJ$6:$AJ$105,MATCH(C39,Ingredients!$B$6:$B$105,0))),0))</f>
        <v/>
      </c>
      <c r="R39">
        <f>IF(OR(B39="",C39=""),0,IFERROR(N(INDEX(Ingredients!$AK$6:$AK$105,MATCH(C39,Ingredients!$B$6:$B$105,0))),0))</f>
        <v/>
      </c>
      <c r="S39">
        <f>IF(OR(B39="",C39=""),0,IFERROR(N(INDEX(Ingredients!$AL$6:$AL$105,MATCH(C39,Ingredients!$B$6:$B$105,0))),0))</f>
        <v/>
      </c>
      <c r="T39">
        <f>IF(OR(B39="",C39=""),0,IFERROR(N(INDEX(Ingredients!$AM$6:$AM$105,MATCH(C39,Ingredients!$B$6:$B$105,0))),0))</f>
        <v/>
      </c>
      <c r="U39">
        <f>IF(OR(B39="",C39=""),0,IFERROR(N(INDEX(Ingredients!$AN$6:$AN$105,MATCH(C39,Ingredients!$B$6:$B$105,0))),0))</f>
        <v/>
      </c>
      <c r="V39">
        <f>IF(OR(B39="",C39=""),0,IFERROR(N(INDEX(Ingredients!$AO$6:$AO$105,MATCH(C39,Ingredients!$B$6:$B$105,0))),0))</f>
        <v/>
      </c>
      <c r="W39">
        <f>IF(OR(B39="",C39=""),0,IFERROR(N(INDEX(Ingredients!$AP$6:$AP$105,MATCH(C39,Ingredients!$B$6:$B$105,0))),0))</f>
        <v/>
      </c>
      <c r="X39">
        <f>IF(OR(B39="",C39=""),0,IFERROR(N(INDEX(Ingredients!$AQ$6:$AQ$105,MATCH(C39,Ingredients!$B$6:$B$105,0))),0))</f>
        <v/>
      </c>
    </row>
    <row r="40">
      <c r="A40" s="1" t="n"/>
      <c r="B40" s="21" t="inlineStr">
        <is>
          <t>Cinnamon rolls</t>
        </is>
      </c>
      <c r="C40" s="39" t="inlineStr">
        <is>
          <t>Dried yeast</t>
        </is>
      </c>
      <c r="D40" s="40" t="n">
        <v>7</v>
      </c>
      <c r="E40" s="12">
        <f>IF(C40="","",IF(ISNA(MATCH(C40,Ingredients!$B$6:$B$105,0)),"Not on Ingredients",IFERROR(IF(INDEX(Ingredients!$C$6:$C$105,MATCH(C40,Ingredients!$B$6:$B$105,0))="","",INDEX(Ingredients!$C$6:$C$105,MATCH(C40,Ingredients!$B$6:$B$105,0))),"")))</f>
        <v/>
      </c>
      <c r="F40" s="26">
        <f>IF(OR(B40="",C40=""),"",N(D40)*IFERROR(N(INDEX(Ingredients!$H$6:$H$105,MATCH(C40,Ingredients!$B$6:$B$105,0))),0))</f>
        <v/>
      </c>
      <c r="G40" s="1">
        <f>IF(OR(B40="",C40=""),0,IFERROR(N(INDEX(Products!$D$6:$D$45,MATCH(B40,Products!$B$6:$B$45,0))),0))</f>
        <v/>
      </c>
      <c r="H40">
        <f>IF(N(G40)=0,0,N(D40)*SUMIFS(Batches!$D$6:$D$505,Batches!$C$6:$C$505,B40)/G40)</f>
        <v/>
      </c>
      <c r="I40">
        <f>IF(OR(B40="",C40=""),"",IF(B40&lt;&gt;Label!$H$3,"",IF(IFERROR(N(INDEX(Ingredients!$AS$6:$AS$105,MATCH(C40,Ingredients!$B$6:$B$105,0))),0)=1,"",ROUND(N(D40)*1000,0)*100000+100000-ROW())))</f>
        <v/>
      </c>
      <c r="J40">
        <f>IF(OR(B40="",C40=""),0,IFERROR(N(INDEX(Ingredients!$AC$6:$AC$105,MATCH(C40,Ingredients!$B$6:$B$105,0))),0))</f>
        <v/>
      </c>
      <c r="K40">
        <f>IF(OR(B40="",C40=""),0,IFERROR(N(INDEX(Ingredients!$AD$6:$AD$105,MATCH(C40,Ingredients!$B$6:$B$105,0))),0))</f>
        <v/>
      </c>
      <c r="L40">
        <f>IF(OR(B40="",C40=""),0,IFERROR(N(INDEX(Ingredients!$AE$6:$AE$105,MATCH(C40,Ingredients!$B$6:$B$105,0))),0))</f>
        <v/>
      </c>
      <c r="M40">
        <f>IF(OR(B40="",C40=""),0,IFERROR(N(INDEX(Ingredients!$AF$6:$AF$105,MATCH(C40,Ingredients!$B$6:$B$105,0))),0))</f>
        <v/>
      </c>
      <c r="N40">
        <f>IF(OR(B40="",C40=""),0,IFERROR(N(INDEX(Ingredients!$AG$6:$AG$105,MATCH(C40,Ingredients!$B$6:$B$105,0))),0))</f>
        <v/>
      </c>
      <c r="O40">
        <f>IF(OR(B40="",C40=""),0,IFERROR(N(INDEX(Ingredients!$AH$6:$AH$105,MATCH(C40,Ingredients!$B$6:$B$105,0))),0))</f>
        <v/>
      </c>
      <c r="P40">
        <f>IF(OR(B40="",C40=""),0,IFERROR(N(INDEX(Ingredients!$AI$6:$AI$105,MATCH(C40,Ingredients!$B$6:$B$105,0))),0))</f>
        <v/>
      </c>
      <c r="Q40">
        <f>IF(OR(B40="",C40=""),0,IFERROR(N(INDEX(Ingredients!$AJ$6:$AJ$105,MATCH(C40,Ingredients!$B$6:$B$105,0))),0))</f>
        <v/>
      </c>
      <c r="R40">
        <f>IF(OR(B40="",C40=""),0,IFERROR(N(INDEX(Ingredients!$AK$6:$AK$105,MATCH(C40,Ingredients!$B$6:$B$105,0))),0))</f>
        <v/>
      </c>
      <c r="S40">
        <f>IF(OR(B40="",C40=""),0,IFERROR(N(INDEX(Ingredients!$AL$6:$AL$105,MATCH(C40,Ingredients!$B$6:$B$105,0))),0))</f>
        <v/>
      </c>
      <c r="T40">
        <f>IF(OR(B40="",C40=""),0,IFERROR(N(INDEX(Ingredients!$AM$6:$AM$105,MATCH(C40,Ingredients!$B$6:$B$105,0))),0))</f>
        <v/>
      </c>
      <c r="U40">
        <f>IF(OR(B40="",C40=""),0,IFERROR(N(INDEX(Ingredients!$AN$6:$AN$105,MATCH(C40,Ingredients!$B$6:$B$105,0))),0))</f>
        <v/>
      </c>
      <c r="V40">
        <f>IF(OR(B40="",C40=""),0,IFERROR(N(INDEX(Ingredients!$AO$6:$AO$105,MATCH(C40,Ingredients!$B$6:$B$105,0))),0))</f>
        <v/>
      </c>
      <c r="W40">
        <f>IF(OR(B40="",C40=""),0,IFERROR(N(INDEX(Ingredients!$AP$6:$AP$105,MATCH(C40,Ingredients!$B$6:$B$105,0))),0))</f>
        <v/>
      </c>
      <c r="X40">
        <f>IF(OR(B40="",C40=""),0,IFERROR(N(INDEX(Ingredients!$AQ$6:$AQ$105,MATCH(C40,Ingredients!$B$6:$B$105,0))),0))</f>
        <v/>
      </c>
    </row>
    <row r="41">
      <c r="A41" s="1" t="n"/>
      <c r="B41" s="21" t="inlineStr">
        <is>
          <t>Cinnamon rolls</t>
        </is>
      </c>
      <c r="C41" s="39" t="inlineStr">
        <is>
          <t>Cake boxes</t>
        </is>
      </c>
      <c r="D41" s="40" t="n">
        <v>2</v>
      </c>
      <c r="E41" s="12">
        <f>IF(C41="","",IF(ISNA(MATCH(C41,Ingredients!$B$6:$B$105,0)),"Not on Ingredients",IFERROR(IF(INDEX(Ingredients!$C$6:$C$105,MATCH(C41,Ingredients!$B$6:$B$105,0))="","",INDEX(Ingredients!$C$6:$C$105,MATCH(C41,Ingredients!$B$6:$B$105,0))),"")))</f>
        <v/>
      </c>
      <c r="F41" s="26">
        <f>IF(OR(B41="",C41=""),"",N(D41)*IFERROR(N(INDEX(Ingredients!$H$6:$H$105,MATCH(C41,Ingredients!$B$6:$B$105,0))),0))</f>
        <v/>
      </c>
      <c r="G41" s="1">
        <f>IF(OR(B41="",C41=""),0,IFERROR(N(INDEX(Products!$D$6:$D$45,MATCH(B41,Products!$B$6:$B$45,0))),0))</f>
        <v/>
      </c>
      <c r="H41">
        <f>IF(N(G41)=0,0,N(D41)*SUMIFS(Batches!$D$6:$D$505,Batches!$C$6:$C$505,B41)/G41)</f>
        <v/>
      </c>
      <c r="I41">
        <f>IF(OR(B41="",C41=""),"",IF(B41&lt;&gt;Label!$H$3,"",IF(IFERROR(N(INDEX(Ingredients!$AS$6:$AS$105,MATCH(C41,Ingredients!$B$6:$B$105,0))),0)=1,"",ROUND(N(D41)*1000,0)*100000+100000-ROW())))</f>
        <v/>
      </c>
      <c r="J41">
        <f>IF(OR(B41="",C41=""),0,IFERROR(N(INDEX(Ingredients!$AC$6:$AC$105,MATCH(C41,Ingredients!$B$6:$B$105,0))),0))</f>
        <v/>
      </c>
      <c r="K41">
        <f>IF(OR(B41="",C41=""),0,IFERROR(N(INDEX(Ingredients!$AD$6:$AD$105,MATCH(C41,Ingredients!$B$6:$B$105,0))),0))</f>
        <v/>
      </c>
      <c r="L41">
        <f>IF(OR(B41="",C41=""),0,IFERROR(N(INDEX(Ingredients!$AE$6:$AE$105,MATCH(C41,Ingredients!$B$6:$B$105,0))),0))</f>
        <v/>
      </c>
      <c r="M41">
        <f>IF(OR(B41="",C41=""),0,IFERROR(N(INDEX(Ingredients!$AF$6:$AF$105,MATCH(C41,Ingredients!$B$6:$B$105,0))),0))</f>
        <v/>
      </c>
      <c r="N41">
        <f>IF(OR(B41="",C41=""),0,IFERROR(N(INDEX(Ingredients!$AG$6:$AG$105,MATCH(C41,Ingredients!$B$6:$B$105,0))),0))</f>
        <v/>
      </c>
      <c r="O41">
        <f>IF(OR(B41="",C41=""),0,IFERROR(N(INDEX(Ingredients!$AH$6:$AH$105,MATCH(C41,Ingredients!$B$6:$B$105,0))),0))</f>
        <v/>
      </c>
      <c r="P41">
        <f>IF(OR(B41="",C41=""),0,IFERROR(N(INDEX(Ingredients!$AI$6:$AI$105,MATCH(C41,Ingredients!$B$6:$B$105,0))),0))</f>
        <v/>
      </c>
      <c r="Q41">
        <f>IF(OR(B41="",C41=""),0,IFERROR(N(INDEX(Ingredients!$AJ$6:$AJ$105,MATCH(C41,Ingredients!$B$6:$B$105,0))),0))</f>
        <v/>
      </c>
      <c r="R41">
        <f>IF(OR(B41="",C41=""),0,IFERROR(N(INDEX(Ingredients!$AK$6:$AK$105,MATCH(C41,Ingredients!$B$6:$B$105,0))),0))</f>
        <v/>
      </c>
      <c r="S41">
        <f>IF(OR(B41="",C41=""),0,IFERROR(N(INDEX(Ingredients!$AL$6:$AL$105,MATCH(C41,Ingredients!$B$6:$B$105,0))),0))</f>
        <v/>
      </c>
      <c r="T41">
        <f>IF(OR(B41="",C41=""),0,IFERROR(N(INDEX(Ingredients!$AM$6:$AM$105,MATCH(C41,Ingredients!$B$6:$B$105,0))),0))</f>
        <v/>
      </c>
      <c r="U41">
        <f>IF(OR(B41="",C41=""),0,IFERROR(N(INDEX(Ingredients!$AN$6:$AN$105,MATCH(C41,Ingredients!$B$6:$B$105,0))),0))</f>
        <v/>
      </c>
      <c r="V41">
        <f>IF(OR(B41="",C41=""),0,IFERROR(N(INDEX(Ingredients!$AO$6:$AO$105,MATCH(C41,Ingredients!$B$6:$B$105,0))),0))</f>
        <v/>
      </c>
      <c r="W41">
        <f>IF(OR(B41="",C41=""),0,IFERROR(N(INDEX(Ingredients!$AP$6:$AP$105,MATCH(C41,Ingredients!$B$6:$B$105,0))),0))</f>
        <v/>
      </c>
      <c r="X41">
        <f>IF(OR(B41="",C41=""),0,IFERROR(N(INDEX(Ingredients!$AQ$6:$AQ$105,MATCH(C41,Ingredients!$B$6:$B$105,0))),0))</f>
        <v/>
      </c>
    </row>
    <row r="42">
      <c r="A42" s="1" t="n"/>
      <c r="B42" s="21" t="inlineStr">
        <is>
          <t>Dog biscuits</t>
        </is>
      </c>
      <c r="C42" s="39" t="inlineStr">
        <is>
          <t>Rolled oats</t>
        </is>
      </c>
      <c r="D42" s="40" t="n">
        <v>500</v>
      </c>
      <c r="E42" s="12">
        <f>IF(C42="","",IF(ISNA(MATCH(C42,Ingredients!$B$6:$B$105,0)),"Not on Ingredients",IFERROR(IF(INDEX(Ingredients!$C$6:$C$105,MATCH(C42,Ingredients!$B$6:$B$105,0))="","",INDEX(Ingredients!$C$6:$C$105,MATCH(C42,Ingredients!$B$6:$B$105,0))),"")))</f>
        <v/>
      </c>
      <c r="F42" s="26">
        <f>IF(OR(B42="",C42=""),"",N(D42)*IFERROR(N(INDEX(Ingredients!$H$6:$H$105,MATCH(C42,Ingredients!$B$6:$B$105,0))),0))</f>
        <v/>
      </c>
      <c r="G42" s="1">
        <f>IF(OR(B42="",C42=""),0,IFERROR(N(INDEX(Products!$D$6:$D$45,MATCH(B42,Products!$B$6:$B$45,0))),0))</f>
        <v/>
      </c>
      <c r="H42">
        <f>IF(N(G42)=0,0,N(D42)*SUMIFS(Batches!$D$6:$D$505,Batches!$C$6:$C$505,B42)/G42)</f>
        <v/>
      </c>
      <c r="I42">
        <f>IF(OR(B42="",C42=""),"",IF(B42&lt;&gt;Label!$H$3,"",IF(IFERROR(N(INDEX(Ingredients!$AS$6:$AS$105,MATCH(C42,Ingredients!$B$6:$B$105,0))),0)=1,"",ROUND(N(D42)*1000,0)*100000+100000-ROW())))</f>
        <v/>
      </c>
      <c r="J42">
        <f>IF(OR(B42="",C42=""),0,IFERROR(N(INDEX(Ingredients!$AC$6:$AC$105,MATCH(C42,Ingredients!$B$6:$B$105,0))),0))</f>
        <v/>
      </c>
      <c r="K42">
        <f>IF(OR(B42="",C42=""),0,IFERROR(N(INDEX(Ingredients!$AD$6:$AD$105,MATCH(C42,Ingredients!$B$6:$B$105,0))),0))</f>
        <v/>
      </c>
      <c r="L42">
        <f>IF(OR(B42="",C42=""),0,IFERROR(N(INDEX(Ingredients!$AE$6:$AE$105,MATCH(C42,Ingredients!$B$6:$B$105,0))),0))</f>
        <v/>
      </c>
      <c r="M42">
        <f>IF(OR(B42="",C42=""),0,IFERROR(N(INDEX(Ingredients!$AF$6:$AF$105,MATCH(C42,Ingredients!$B$6:$B$105,0))),0))</f>
        <v/>
      </c>
      <c r="N42">
        <f>IF(OR(B42="",C42=""),0,IFERROR(N(INDEX(Ingredients!$AG$6:$AG$105,MATCH(C42,Ingredients!$B$6:$B$105,0))),0))</f>
        <v/>
      </c>
      <c r="O42">
        <f>IF(OR(B42="",C42=""),0,IFERROR(N(INDEX(Ingredients!$AH$6:$AH$105,MATCH(C42,Ingredients!$B$6:$B$105,0))),0))</f>
        <v/>
      </c>
      <c r="P42">
        <f>IF(OR(B42="",C42=""),0,IFERROR(N(INDEX(Ingredients!$AI$6:$AI$105,MATCH(C42,Ingredients!$B$6:$B$105,0))),0))</f>
        <v/>
      </c>
      <c r="Q42">
        <f>IF(OR(B42="",C42=""),0,IFERROR(N(INDEX(Ingredients!$AJ$6:$AJ$105,MATCH(C42,Ingredients!$B$6:$B$105,0))),0))</f>
        <v/>
      </c>
      <c r="R42">
        <f>IF(OR(B42="",C42=""),0,IFERROR(N(INDEX(Ingredients!$AK$6:$AK$105,MATCH(C42,Ingredients!$B$6:$B$105,0))),0))</f>
        <v/>
      </c>
      <c r="S42">
        <f>IF(OR(B42="",C42=""),0,IFERROR(N(INDEX(Ingredients!$AL$6:$AL$105,MATCH(C42,Ingredients!$B$6:$B$105,0))),0))</f>
        <v/>
      </c>
      <c r="T42">
        <f>IF(OR(B42="",C42=""),0,IFERROR(N(INDEX(Ingredients!$AM$6:$AM$105,MATCH(C42,Ingredients!$B$6:$B$105,0))),0))</f>
        <v/>
      </c>
      <c r="U42">
        <f>IF(OR(B42="",C42=""),0,IFERROR(N(INDEX(Ingredients!$AN$6:$AN$105,MATCH(C42,Ingredients!$B$6:$B$105,0))),0))</f>
        <v/>
      </c>
      <c r="V42">
        <f>IF(OR(B42="",C42=""),0,IFERROR(N(INDEX(Ingredients!$AO$6:$AO$105,MATCH(C42,Ingredients!$B$6:$B$105,0))),0))</f>
        <v/>
      </c>
      <c r="W42">
        <f>IF(OR(B42="",C42=""),0,IFERROR(N(INDEX(Ingredients!$AP$6:$AP$105,MATCH(C42,Ingredients!$B$6:$B$105,0))),0))</f>
        <v/>
      </c>
      <c r="X42">
        <f>IF(OR(B42="",C42=""),0,IFERROR(N(INDEX(Ingredients!$AQ$6:$AQ$105,MATCH(C42,Ingredients!$B$6:$B$105,0))),0))</f>
        <v/>
      </c>
    </row>
    <row r="43">
      <c r="A43" s="1" t="n"/>
      <c r="B43" s="21" t="inlineStr">
        <is>
          <t>Dog biscuits</t>
        </is>
      </c>
      <c r="C43" s="39" t="inlineStr">
        <is>
          <t>Peanut butter</t>
        </is>
      </c>
      <c r="D43" s="40" t="n">
        <v>340</v>
      </c>
      <c r="E43" s="12">
        <f>IF(C43="","",IF(ISNA(MATCH(C43,Ingredients!$B$6:$B$105,0)),"Not on Ingredients",IFERROR(IF(INDEX(Ingredients!$C$6:$C$105,MATCH(C43,Ingredients!$B$6:$B$105,0))="","",INDEX(Ingredients!$C$6:$C$105,MATCH(C43,Ingredients!$B$6:$B$105,0))),"")))</f>
        <v/>
      </c>
      <c r="F43" s="26">
        <f>IF(OR(B43="",C43=""),"",N(D43)*IFERROR(N(INDEX(Ingredients!$H$6:$H$105,MATCH(C43,Ingredients!$B$6:$B$105,0))),0))</f>
        <v/>
      </c>
      <c r="G43" s="1">
        <f>IF(OR(B43="",C43=""),0,IFERROR(N(INDEX(Products!$D$6:$D$45,MATCH(B43,Products!$B$6:$B$45,0))),0))</f>
        <v/>
      </c>
      <c r="H43">
        <f>IF(N(G43)=0,0,N(D43)*SUMIFS(Batches!$D$6:$D$505,Batches!$C$6:$C$505,B43)/G43)</f>
        <v/>
      </c>
      <c r="I43">
        <f>IF(OR(B43="",C43=""),"",IF(B43&lt;&gt;Label!$H$3,"",IF(IFERROR(N(INDEX(Ingredients!$AS$6:$AS$105,MATCH(C43,Ingredients!$B$6:$B$105,0))),0)=1,"",ROUND(N(D43)*1000,0)*100000+100000-ROW())))</f>
        <v/>
      </c>
      <c r="J43">
        <f>IF(OR(B43="",C43=""),0,IFERROR(N(INDEX(Ingredients!$AC$6:$AC$105,MATCH(C43,Ingredients!$B$6:$B$105,0))),0))</f>
        <v/>
      </c>
      <c r="K43">
        <f>IF(OR(B43="",C43=""),0,IFERROR(N(INDEX(Ingredients!$AD$6:$AD$105,MATCH(C43,Ingredients!$B$6:$B$105,0))),0))</f>
        <v/>
      </c>
      <c r="L43">
        <f>IF(OR(B43="",C43=""),0,IFERROR(N(INDEX(Ingredients!$AE$6:$AE$105,MATCH(C43,Ingredients!$B$6:$B$105,0))),0))</f>
        <v/>
      </c>
      <c r="M43">
        <f>IF(OR(B43="",C43=""),0,IFERROR(N(INDEX(Ingredients!$AF$6:$AF$105,MATCH(C43,Ingredients!$B$6:$B$105,0))),0))</f>
        <v/>
      </c>
      <c r="N43">
        <f>IF(OR(B43="",C43=""),0,IFERROR(N(INDEX(Ingredients!$AG$6:$AG$105,MATCH(C43,Ingredients!$B$6:$B$105,0))),0))</f>
        <v/>
      </c>
      <c r="O43">
        <f>IF(OR(B43="",C43=""),0,IFERROR(N(INDEX(Ingredients!$AH$6:$AH$105,MATCH(C43,Ingredients!$B$6:$B$105,0))),0))</f>
        <v/>
      </c>
      <c r="P43">
        <f>IF(OR(B43="",C43=""),0,IFERROR(N(INDEX(Ingredients!$AI$6:$AI$105,MATCH(C43,Ingredients!$B$6:$B$105,0))),0))</f>
        <v/>
      </c>
      <c r="Q43">
        <f>IF(OR(B43="",C43=""),0,IFERROR(N(INDEX(Ingredients!$AJ$6:$AJ$105,MATCH(C43,Ingredients!$B$6:$B$105,0))),0))</f>
        <v/>
      </c>
      <c r="R43">
        <f>IF(OR(B43="",C43=""),0,IFERROR(N(INDEX(Ingredients!$AK$6:$AK$105,MATCH(C43,Ingredients!$B$6:$B$105,0))),0))</f>
        <v/>
      </c>
      <c r="S43">
        <f>IF(OR(B43="",C43=""),0,IFERROR(N(INDEX(Ingredients!$AL$6:$AL$105,MATCH(C43,Ingredients!$B$6:$B$105,0))),0))</f>
        <v/>
      </c>
      <c r="T43">
        <f>IF(OR(B43="",C43=""),0,IFERROR(N(INDEX(Ingredients!$AM$6:$AM$105,MATCH(C43,Ingredients!$B$6:$B$105,0))),0))</f>
        <v/>
      </c>
      <c r="U43">
        <f>IF(OR(B43="",C43=""),0,IFERROR(N(INDEX(Ingredients!$AN$6:$AN$105,MATCH(C43,Ingredients!$B$6:$B$105,0))),0))</f>
        <v/>
      </c>
      <c r="V43">
        <f>IF(OR(B43="",C43=""),0,IFERROR(N(INDEX(Ingredients!$AO$6:$AO$105,MATCH(C43,Ingredients!$B$6:$B$105,0))),0))</f>
        <v/>
      </c>
      <c r="W43">
        <f>IF(OR(B43="",C43=""),0,IFERROR(N(INDEX(Ingredients!$AP$6:$AP$105,MATCH(C43,Ingredients!$B$6:$B$105,0))),0))</f>
        <v/>
      </c>
      <c r="X43">
        <f>IF(OR(B43="",C43=""),0,IFERROR(N(INDEX(Ingredients!$AQ$6:$AQ$105,MATCH(C43,Ingredients!$B$6:$B$105,0))),0))</f>
        <v/>
      </c>
    </row>
    <row r="44">
      <c r="A44" s="1" t="n"/>
      <c r="B44" s="21" t="inlineStr">
        <is>
          <t>Dog biscuits</t>
        </is>
      </c>
      <c r="C44" s="39" t="inlineStr">
        <is>
          <t>Eggs</t>
        </is>
      </c>
      <c r="D44" s="40" t="n">
        <v>100</v>
      </c>
      <c r="E44" s="12">
        <f>IF(C44="","",IF(ISNA(MATCH(C44,Ingredients!$B$6:$B$105,0)),"Not on Ingredients",IFERROR(IF(INDEX(Ingredients!$C$6:$C$105,MATCH(C44,Ingredients!$B$6:$B$105,0))="","",INDEX(Ingredients!$C$6:$C$105,MATCH(C44,Ingredients!$B$6:$B$105,0))),"")))</f>
        <v/>
      </c>
      <c r="F44" s="26">
        <f>IF(OR(B44="",C44=""),"",N(D44)*IFERROR(N(INDEX(Ingredients!$H$6:$H$105,MATCH(C44,Ingredients!$B$6:$B$105,0))),0))</f>
        <v/>
      </c>
      <c r="G44" s="1">
        <f>IF(OR(B44="",C44=""),0,IFERROR(N(INDEX(Products!$D$6:$D$45,MATCH(B44,Products!$B$6:$B$45,0))),0))</f>
        <v/>
      </c>
      <c r="H44">
        <f>IF(N(G44)=0,0,N(D44)*SUMIFS(Batches!$D$6:$D$505,Batches!$C$6:$C$505,B44)/G44)</f>
        <v/>
      </c>
      <c r="I44">
        <f>IF(OR(B44="",C44=""),"",IF(B44&lt;&gt;Label!$H$3,"",IF(IFERROR(N(INDEX(Ingredients!$AS$6:$AS$105,MATCH(C44,Ingredients!$B$6:$B$105,0))),0)=1,"",ROUND(N(D44)*1000,0)*100000+100000-ROW())))</f>
        <v/>
      </c>
      <c r="J44">
        <f>IF(OR(B44="",C44=""),0,IFERROR(N(INDEX(Ingredients!$AC$6:$AC$105,MATCH(C44,Ingredients!$B$6:$B$105,0))),0))</f>
        <v/>
      </c>
      <c r="K44">
        <f>IF(OR(B44="",C44=""),0,IFERROR(N(INDEX(Ingredients!$AD$6:$AD$105,MATCH(C44,Ingredients!$B$6:$B$105,0))),0))</f>
        <v/>
      </c>
      <c r="L44">
        <f>IF(OR(B44="",C44=""),0,IFERROR(N(INDEX(Ingredients!$AE$6:$AE$105,MATCH(C44,Ingredients!$B$6:$B$105,0))),0))</f>
        <v/>
      </c>
      <c r="M44">
        <f>IF(OR(B44="",C44=""),0,IFERROR(N(INDEX(Ingredients!$AF$6:$AF$105,MATCH(C44,Ingredients!$B$6:$B$105,0))),0))</f>
        <v/>
      </c>
      <c r="N44">
        <f>IF(OR(B44="",C44=""),0,IFERROR(N(INDEX(Ingredients!$AG$6:$AG$105,MATCH(C44,Ingredients!$B$6:$B$105,0))),0))</f>
        <v/>
      </c>
      <c r="O44">
        <f>IF(OR(B44="",C44=""),0,IFERROR(N(INDEX(Ingredients!$AH$6:$AH$105,MATCH(C44,Ingredients!$B$6:$B$105,0))),0))</f>
        <v/>
      </c>
      <c r="P44">
        <f>IF(OR(B44="",C44=""),0,IFERROR(N(INDEX(Ingredients!$AI$6:$AI$105,MATCH(C44,Ingredients!$B$6:$B$105,0))),0))</f>
        <v/>
      </c>
      <c r="Q44">
        <f>IF(OR(B44="",C44=""),0,IFERROR(N(INDEX(Ingredients!$AJ$6:$AJ$105,MATCH(C44,Ingredients!$B$6:$B$105,0))),0))</f>
        <v/>
      </c>
      <c r="R44">
        <f>IF(OR(B44="",C44=""),0,IFERROR(N(INDEX(Ingredients!$AK$6:$AK$105,MATCH(C44,Ingredients!$B$6:$B$105,0))),0))</f>
        <v/>
      </c>
      <c r="S44">
        <f>IF(OR(B44="",C44=""),0,IFERROR(N(INDEX(Ingredients!$AL$6:$AL$105,MATCH(C44,Ingredients!$B$6:$B$105,0))),0))</f>
        <v/>
      </c>
      <c r="T44">
        <f>IF(OR(B44="",C44=""),0,IFERROR(N(INDEX(Ingredients!$AM$6:$AM$105,MATCH(C44,Ingredients!$B$6:$B$105,0))),0))</f>
        <v/>
      </c>
      <c r="U44">
        <f>IF(OR(B44="",C44=""),0,IFERROR(N(INDEX(Ingredients!$AN$6:$AN$105,MATCH(C44,Ingredients!$B$6:$B$105,0))),0))</f>
        <v/>
      </c>
      <c r="V44">
        <f>IF(OR(B44="",C44=""),0,IFERROR(N(INDEX(Ingredients!$AO$6:$AO$105,MATCH(C44,Ingredients!$B$6:$B$105,0))),0))</f>
        <v/>
      </c>
      <c r="W44">
        <f>IF(OR(B44="",C44=""),0,IFERROR(N(INDEX(Ingredients!$AP$6:$AP$105,MATCH(C44,Ingredients!$B$6:$B$105,0))),0))</f>
        <v/>
      </c>
      <c r="X44">
        <f>IF(OR(B44="",C44=""),0,IFERROR(N(INDEX(Ingredients!$AQ$6:$AQ$105,MATCH(C44,Ingredients!$B$6:$B$105,0))),0))</f>
        <v/>
      </c>
    </row>
    <row r="45">
      <c r="A45" s="1" t="n"/>
      <c r="B45" s="21" t="inlineStr">
        <is>
          <t>Dog biscuits</t>
        </is>
      </c>
      <c r="C45" s="39" t="inlineStr">
        <is>
          <t>Cookie bags</t>
        </is>
      </c>
      <c r="D45" s="40" t="n">
        <v>10</v>
      </c>
      <c r="E45" s="12">
        <f>IF(C45="","",IF(ISNA(MATCH(C45,Ingredients!$B$6:$B$105,0)),"Not on Ingredients",IFERROR(IF(INDEX(Ingredients!$C$6:$C$105,MATCH(C45,Ingredients!$B$6:$B$105,0))="","",INDEX(Ingredients!$C$6:$C$105,MATCH(C45,Ingredients!$B$6:$B$105,0))),"")))</f>
        <v/>
      </c>
      <c r="F45" s="26">
        <f>IF(OR(B45="",C45=""),"",N(D45)*IFERROR(N(INDEX(Ingredients!$H$6:$H$105,MATCH(C45,Ingredients!$B$6:$B$105,0))),0))</f>
        <v/>
      </c>
      <c r="G45" s="1">
        <f>IF(OR(B45="",C45=""),0,IFERROR(N(INDEX(Products!$D$6:$D$45,MATCH(B45,Products!$B$6:$B$45,0))),0))</f>
        <v/>
      </c>
      <c r="H45">
        <f>IF(N(G45)=0,0,N(D45)*SUMIFS(Batches!$D$6:$D$505,Batches!$C$6:$C$505,B45)/G45)</f>
        <v/>
      </c>
      <c r="I45">
        <f>IF(OR(B45="",C45=""),"",IF(B45&lt;&gt;Label!$H$3,"",IF(IFERROR(N(INDEX(Ingredients!$AS$6:$AS$105,MATCH(C45,Ingredients!$B$6:$B$105,0))),0)=1,"",ROUND(N(D45)*1000,0)*100000+100000-ROW())))</f>
        <v/>
      </c>
      <c r="J45">
        <f>IF(OR(B45="",C45=""),0,IFERROR(N(INDEX(Ingredients!$AC$6:$AC$105,MATCH(C45,Ingredients!$B$6:$B$105,0))),0))</f>
        <v/>
      </c>
      <c r="K45">
        <f>IF(OR(B45="",C45=""),0,IFERROR(N(INDEX(Ingredients!$AD$6:$AD$105,MATCH(C45,Ingredients!$B$6:$B$105,0))),0))</f>
        <v/>
      </c>
      <c r="L45">
        <f>IF(OR(B45="",C45=""),0,IFERROR(N(INDEX(Ingredients!$AE$6:$AE$105,MATCH(C45,Ingredients!$B$6:$B$105,0))),0))</f>
        <v/>
      </c>
      <c r="M45">
        <f>IF(OR(B45="",C45=""),0,IFERROR(N(INDEX(Ingredients!$AF$6:$AF$105,MATCH(C45,Ingredients!$B$6:$B$105,0))),0))</f>
        <v/>
      </c>
      <c r="N45">
        <f>IF(OR(B45="",C45=""),0,IFERROR(N(INDEX(Ingredients!$AG$6:$AG$105,MATCH(C45,Ingredients!$B$6:$B$105,0))),0))</f>
        <v/>
      </c>
      <c r="O45">
        <f>IF(OR(B45="",C45=""),0,IFERROR(N(INDEX(Ingredients!$AH$6:$AH$105,MATCH(C45,Ingredients!$B$6:$B$105,0))),0))</f>
        <v/>
      </c>
      <c r="P45">
        <f>IF(OR(B45="",C45=""),0,IFERROR(N(INDEX(Ingredients!$AI$6:$AI$105,MATCH(C45,Ingredients!$B$6:$B$105,0))),0))</f>
        <v/>
      </c>
      <c r="Q45">
        <f>IF(OR(B45="",C45=""),0,IFERROR(N(INDEX(Ingredients!$AJ$6:$AJ$105,MATCH(C45,Ingredients!$B$6:$B$105,0))),0))</f>
        <v/>
      </c>
      <c r="R45">
        <f>IF(OR(B45="",C45=""),0,IFERROR(N(INDEX(Ingredients!$AK$6:$AK$105,MATCH(C45,Ingredients!$B$6:$B$105,0))),0))</f>
        <v/>
      </c>
      <c r="S45">
        <f>IF(OR(B45="",C45=""),0,IFERROR(N(INDEX(Ingredients!$AL$6:$AL$105,MATCH(C45,Ingredients!$B$6:$B$105,0))),0))</f>
        <v/>
      </c>
      <c r="T45">
        <f>IF(OR(B45="",C45=""),0,IFERROR(N(INDEX(Ingredients!$AM$6:$AM$105,MATCH(C45,Ingredients!$B$6:$B$105,0))),0))</f>
        <v/>
      </c>
      <c r="U45">
        <f>IF(OR(B45="",C45=""),0,IFERROR(N(INDEX(Ingredients!$AN$6:$AN$105,MATCH(C45,Ingredients!$B$6:$B$105,0))),0))</f>
        <v/>
      </c>
      <c r="V45">
        <f>IF(OR(B45="",C45=""),0,IFERROR(N(INDEX(Ingredients!$AO$6:$AO$105,MATCH(C45,Ingredients!$B$6:$B$105,0))),0))</f>
        <v/>
      </c>
      <c r="W45">
        <f>IF(OR(B45="",C45=""),0,IFERROR(N(INDEX(Ingredients!$AP$6:$AP$105,MATCH(C45,Ingredients!$B$6:$B$105,0))),0))</f>
        <v/>
      </c>
      <c r="X45">
        <f>IF(OR(B45="",C45=""),0,IFERROR(N(INDEX(Ingredients!$AQ$6:$AQ$105,MATCH(C45,Ingredients!$B$6:$B$105,0))),0))</f>
        <v/>
      </c>
    </row>
    <row r="46">
      <c r="A46" s="1" t="n"/>
      <c r="B46" s="21" t="inlineStr">
        <is>
          <t>Brownies</t>
        </is>
      </c>
      <c r="C46" s="39" t="inlineStr">
        <is>
          <t>Caster sugar</t>
        </is>
      </c>
      <c r="D46" s="40" t="n">
        <v>300</v>
      </c>
      <c r="E46" s="12">
        <f>IF(C46="","",IF(ISNA(MATCH(C46,Ingredients!$B$6:$B$105,0)),"Not on Ingredients",IFERROR(IF(INDEX(Ingredients!$C$6:$C$105,MATCH(C46,Ingredients!$B$6:$B$105,0))="","",INDEX(Ingredients!$C$6:$C$105,MATCH(C46,Ingredients!$B$6:$B$105,0))),"")))</f>
        <v/>
      </c>
      <c r="F46" s="26">
        <f>IF(OR(B46="",C46=""),"",N(D46)*IFERROR(N(INDEX(Ingredients!$H$6:$H$105,MATCH(C46,Ingredients!$B$6:$B$105,0))),0))</f>
        <v/>
      </c>
      <c r="G46" s="1">
        <f>IF(OR(B46="",C46=""),0,IFERROR(N(INDEX(Products!$D$6:$D$45,MATCH(B46,Products!$B$6:$B$45,0))),0))</f>
        <v/>
      </c>
      <c r="H46">
        <f>IF(N(G46)=0,0,N(D46)*SUMIFS(Batches!$D$6:$D$505,Batches!$C$6:$C$505,B46)/G46)</f>
        <v/>
      </c>
      <c r="I46">
        <f>IF(OR(B46="",C46=""),"",IF(B46&lt;&gt;Label!$H$3,"",IF(IFERROR(N(INDEX(Ingredients!$AS$6:$AS$105,MATCH(C46,Ingredients!$B$6:$B$105,0))),0)=1,"",ROUND(N(D46)*1000,0)*100000+100000-ROW())))</f>
        <v/>
      </c>
      <c r="J46">
        <f>IF(OR(B46="",C46=""),0,IFERROR(N(INDEX(Ingredients!$AC$6:$AC$105,MATCH(C46,Ingredients!$B$6:$B$105,0))),0))</f>
        <v/>
      </c>
      <c r="K46">
        <f>IF(OR(B46="",C46=""),0,IFERROR(N(INDEX(Ingredients!$AD$6:$AD$105,MATCH(C46,Ingredients!$B$6:$B$105,0))),0))</f>
        <v/>
      </c>
      <c r="L46">
        <f>IF(OR(B46="",C46=""),0,IFERROR(N(INDEX(Ingredients!$AE$6:$AE$105,MATCH(C46,Ingredients!$B$6:$B$105,0))),0))</f>
        <v/>
      </c>
      <c r="M46">
        <f>IF(OR(B46="",C46=""),0,IFERROR(N(INDEX(Ingredients!$AF$6:$AF$105,MATCH(C46,Ingredients!$B$6:$B$105,0))),0))</f>
        <v/>
      </c>
      <c r="N46">
        <f>IF(OR(B46="",C46=""),0,IFERROR(N(INDEX(Ingredients!$AG$6:$AG$105,MATCH(C46,Ingredients!$B$6:$B$105,0))),0))</f>
        <v/>
      </c>
      <c r="O46">
        <f>IF(OR(B46="",C46=""),0,IFERROR(N(INDEX(Ingredients!$AH$6:$AH$105,MATCH(C46,Ingredients!$B$6:$B$105,0))),0))</f>
        <v/>
      </c>
      <c r="P46">
        <f>IF(OR(B46="",C46=""),0,IFERROR(N(INDEX(Ingredients!$AI$6:$AI$105,MATCH(C46,Ingredients!$B$6:$B$105,0))),0))</f>
        <v/>
      </c>
      <c r="Q46">
        <f>IF(OR(B46="",C46=""),0,IFERROR(N(INDEX(Ingredients!$AJ$6:$AJ$105,MATCH(C46,Ingredients!$B$6:$B$105,0))),0))</f>
        <v/>
      </c>
      <c r="R46">
        <f>IF(OR(B46="",C46=""),0,IFERROR(N(INDEX(Ingredients!$AK$6:$AK$105,MATCH(C46,Ingredients!$B$6:$B$105,0))),0))</f>
        <v/>
      </c>
      <c r="S46">
        <f>IF(OR(B46="",C46=""),0,IFERROR(N(INDEX(Ingredients!$AL$6:$AL$105,MATCH(C46,Ingredients!$B$6:$B$105,0))),0))</f>
        <v/>
      </c>
      <c r="T46">
        <f>IF(OR(B46="",C46=""),0,IFERROR(N(INDEX(Ingredients!$AM$6:$AM$105,MATCH(C46,Ingredients!$B$6:$B$105,0))),0))</f>
        <v/>
      </c>
      <c r="U46">
        <f>IF(OR(B46="",C46=""),0,IFERROR(N(INDEX(Ingredients!$AN$6:$AN$105,MATCH(C46,Ingredients!$B$6:$B$105,0))),0))</f>
        <v/>
      </c>
      <c r="V46">
        <f>IF(OR(B46="",C46=""),0,IFERROR(N(INDEX(Ingredients!$AO$6:$AO$105,MATCH(C46,Ingredients!$B$6:$B$105,0))),0))</f>
        <v/>
      </c>
      <c r="W46">
        <f>IF(OR(B46="",C46=""),0,IFERROR(N(INDEX(Ingredients!$AP$6:$AP$105,MATCH(C46,Ingredients!$B$6:$B$105,0))),0))</f>
        <v/>
      </c>
      <c r="X46">
        <f>IF(OR(B46="",C46=""),0,IFERROR(N(INDEX(Ingredients!$AQ$6:$AQ$105,MATCH(C46,Ingredients!$B$6:$B$105,0))),0))</f>
        <v/>
      </c>
    </row>
    <row r="47">
      <c r="A47" s="1" t="n"/>
      <c r="B47" s="21" t="inlineStr">
        <is>
          <t>Brownies</t>
        </is>
      </c>
      <c r="C47" s="39" t="inlineStr">
        <is>
          <t>Butter</t>
        </is>
      </c>
      <c r="D47" s="40" t="n">
        <v>250</v>
      </c>
      <c r="E47" s="12">
        <f>IF(C47="","",IF(ISNA(MATCH(C47,Ingredients!$B$6:$B$105,0)),"Not on Ingredients",IFERROR(IF(INDEX(Ingredients!$C$6:$C$105,MATCH(C47,Ingredients!$B$6:$B$105,0))="","",INDEX(Ingredients!$C$6:$C$105,MATCH(C47,Ingredients!$B$6:$B$105,0))),"")))</f>
        <v/>
      </c>
      <c r="F47" s="26">
        <f>IF(OR(B47="",C47=""),"",N(D47)*IFERROR(N(INDEX(Ingredients!$H$6:$H$105,MATCH(C47,Ingredients!$B$6:$B$105,0))),0))</f>
        <v/>
      </c>
      <c r="G47" s="1">
        <f>IF(OR(B47="",C47=""),0,IFERROR(N(INDEX(Products!$D$6:$D$45,MATCH(B47,Products!$B$6:$B$45,0))),0))</f>
        <v/>
      </c>
      <c r="H47">
        <f>IF(N(G47)=0,0,N(D47)*SUMIFS(Batches!$D$6:$D$505,Batches!$C$6:$C$505,B47)/G47)</f>
        <v/>
      </c>
      <c r="I47">
        <f>IF(OR(B47="",C47=""),"",IF(B47&lt;&gt;Label!$H$3,"",IF(IFERROR(N(INDEX(Ingredients!$AS$6:$AS$105,MATCH(C47,Ingredients!$B$6:$B$105,0))),0)=1,"",ROUND(N(D47)*1000,0)*100000+100000-ROW())))</f>
        <v/>
      </c>
      <c r="J47">
        <f>IF(OR(B47="",C47=""),0,IFERROR(N(INDEX(Ingredients!$AC$6:$AC$105,MATCH(C47,Ingredients!$B$6:$B$105,0))),0))</f>
        <v/>
      </c>
      <c r="K47">
        <f>IF(OR(B47="",C47=""),0,IFERROR(N(INDEX(Ingredients!$AD$6:$AD$105,MATCH(C47,Ingredients!$B$6:$B$105,0))),0))</f>
        <v/>
      </c>
      <c r="L47">
        <f>IF(OR(B47="",C47=""),0,IFERROR(N(INDEX(Ingredients!$AE$6:$AE$105,MATCH(C47,Ingredients!$B$6:$B$105,0))),0))</f>
        <v/>
      </c>
      <c r="M47">
        <f>IF(OR(B47="",C47=""),0,IFERROR(N(INDEX(Ingredients!$AF$6:$AF$105,MATCH(C47,Ingredients!$B$6:$B$105,0))),0))</f>
        <v/>
      </c>
      <c r="N47">
        <f>IF(OR(B47="",C47=""),0,IFERROR(N(INDEX(Ingredients!$AG$6:$AG$105,MATCH(C47,Ingredients!$B$6:$B$105,0))),0))</f>
        <v/>
      </c>
      <c r="O47">
        <f>IF(OR(B47="",C47=""),0,IFERROR(N(INDEX(Ingredients!$AH$6:$AH$105,MATCH(C47,Ingredients!$B$6:$B$105,0))),0))</f>
        <v/>
      </c>
      <c r="P47">
        <f>IF(OR(B47="",C47=""),0,IFERROR(N(INDEX(Ingredients!$AI$6:$AI$105,MATCH(C47,Ingredients!$B$6:$B$105,0))),0))</f>
        <v/>
      </c>
      <c r="Q47">
        <f>IF(OR(B47="",C47=""),0,IFERROR(N(INDEX(Ingredients!$AJ$6:$AJ$105,MATCH(C47,Ingredients!$B$6:$B$105,0))),0))</f>
        <v/>
      </c>
      <c r="R47">
        <f>IF(OR(B47="",C47=""),0,IFERROR(N(INDEX(Ingredients!$AK$6:$AK$105,MATCH(C47,Ingredients!$B$6:$B$105,0))),0))</f>
        <v/>
      </c>
      <c r="S47">
        <f>IF(OR(B47="",C47=""),0,IFERROR(N(INDEX(Ingredients!$AL$6:$AL$105,MATCH(C47,Ingredients!$B$6:$B$105,0))),0))</f>
        <v/>
      </c>
      <c r="T47">
        <f>IF(OR(B47="",C47=""),0,IFERROR(N(INDEX(Ingredients!$AM$6:$AM$105,MATCH(C47,Ingredients!$B$6:$B$105,0))),0))</f>
        <v/>
      </c>
      <c r="U47">
        <f>IF(OR(B47="",C47=""),0,IFERROR(N(INDEX(Ingredients!$AN$6:$AN$105,MATCH(C47,Ingredients!$B$6:$B$105,0))),0))</f>
        <v/>
      </c>
      <c r="V47">
        <f>IF(OR(B47="",C47=""),0,IFERROR(N(INDEX(Ingredients!$AO$6:$AO$105,MATCH(C47,Ingredients!$B$6:$B$105,0))),0))</f>
        <v/>
      </c>
      <c r="W47">
        <f>IF(OR(B47="",C47=""),0,IFERROR(N(INDEX(Ingredients!$AP$6:$AP$105,MATCH(C47,Ingredients!$B$6:$B$105,0))),0))</f>
        <v/>
      </c>
      <c r="X47">
        <f>IF(OR(B47="",C47=""),0,IFERROR(N(INDEX(Ingredients!$AQ$6:$AQ$105,MATCH(C47,Ingredients!$B$6:$B$105,0))),0))</f>
        <v/>
      </c>
    </row>
    <row r="48">
      <c r="A48" s="1" t="n"/>
      <c r="B48" s="21" t="inlineStr">
        <is>
          <t>Brownies</t>
        </is>
      </c>
      <c r="C48" s="39" t="inlineStr">
        <is>
          <t>Dark chocolate chips</t>
        </is>
      </c>
      <c r="D48" s="40" t="n">
        <v>200</v>
      </c>
      <c r="E48" s="12">
        <f>IF(C48="","",IF(ISNA(MATCH(C48,Ingredients!$B$6:$B$105,0)),"Not on Ingredients",IFERROR(IF(INDEX(Ingredients!$C$6:$C$105,MATCH(C48,Ingredients!$B$6:$B$105,0))="","",INDEX(Ingredients!$C$6:$C$105,MATCH(C48,Ingredients!$B$6:$B$105,0))),"")))</f>
        <v/>
      </c>
      <c r="F48" s="26">
        <f>IF(OR(B48="",C48=""),"",N(D48)*IFERROR(N(INDEX(Ingredients!$H$6:$H$105,MATCH(C48,Ingredients!$B$6:$B$105,0))),0))</f>
        <v/>
      </c>
      <c r="G48" s="1">
        <f>IF(OR(B48="",C48=""),0,IFERROR(N(INDEX(Products!$D$6:$D$45,MATCH(B48,Products!$B$6:$B$45,0))),0))</f>
        <v/>
      </c>
      <c r="H48">
        <f>IF(N(G48)=0,0,N(D48)*SUMIFS(Batches!$D$6:$D$505,Batches!$C$6:$C$505,B48)/G48)</f>
        <v/>
      </c>
      <c r="I48">
        <f>IF(OR(B48="",C48=""),"",IF(B48&lt;&gt;Label!$H$3,"",IF(IFERROR(N(INDEX(Ingredients!$AS$6:$AS$105,MATCH(C48,Ingredients!$B$6:$B$105,0))),0)=1,"",ROUND(N(D48)*1000,0)*100000+100000-ROW())))</f>
        <v/>
      </c>
      <c r="J48">
        <f>IF(OR(B48="",C48=""),0,IFERROR(N(INDEX(Ingredients!$AC$6:$AC$105,MATCH(C48,Ingredients!$B$6:$B$105,0))),0))</f>
        <v/>
      </c>
      <c r="K48">
        <f>IF(OR(B48="",C48=""),0,IFERROR(N(INDEX(Ingredients!$AD$6:$AD$105,MATCH(C48,Ingredients!$B$6:$B$105,0))),0))</f>
        <v/>
      </c>
      <c r="L48">
        <f>IF(OR(B48="",C48=""),0,IFERROR(N(INDEX(Ingredients!$AE$6:$AE$105,MATCH(C48,Ingredients!$B$6:$B$105,0))),0))</f>
        <v/>
      </c>
      <c r="M48">
        <f>IF(OR(B48="",C48=""),0,IFERROR(N(INDEX(Ingredients!$AF$6:$AF$105,MATCH(C48,Ingredients!$B$6:$B$105,0))),0))</f>
        <v/>
      </c>
      <c r="N48">
        <f>IF(OR(B48="",C48=""),0,IFERROR(N(INDEX(Ingredients!$AG$6:$AG$105,MATCH(C48,Ingredients!$B$6:$B$105,0))),0))</f>
        <v/>
      </c>
      <c r="O48">
        <f>IF(OR(B48="",C48=""),0,IFERROR(N(INDEX(Ingredients!$AH$6:$AH$105,MATCH(C48,Ingredients!$B$6:$B$105,0))),0))</f>
        <v/>
      </c>
      <c r="P48">
        <f>IF(OR(B48="",C48=""),0,IFERROR(N(INDEX(Ingredients!$AI$6:$AI$105,MATCH(C48,Ingredients!$B$6:$B$105,0))),0))</f>
        <v/>
      </c>
      <c r="Q48">
        <f>IF(OR(B48="",C48=""),0,IFERROR(N(INDEX(Ingredients!$AJ$6:$AJ$105,MATCH(C48,Ingredients!$B$6:$B$105,0))),0))</f>
        <v/>
      </c>
      <c r="R48">
        <f>IF(OR(B48="",C48=""),0,IFERROR(N(INDEX(Ingredients!$AK$6:$AK$105,MATCH(C48,Ingredients!$B$6:$B$105,0))),0))</f>
        <v/>
      </c>
      <c r="S48">
        <f>IF(OR(B48="",C48=""),0,IFERROR(N(INDEX(Ingredients!$AL$6:$AL$105,MATCH(C48,Ingredients!$B$6:$B$105,0))),0))</f>
        <v/>
      </c>
      <c r="T48">
        <f>IF(OR(B48="",C48=""),0,IFERROR(N(INDEX(Ingredients!$AM$6:$AM$105,MATCH(C48,Ingredients!$B$6:$B$105,0))),0))</f>
        <v/>
      </c>
      <c r="U48">
        <f>IF(OR(B48="",C48=""),0,IFERROR(N(INDEX(Ingredients!$AN$6:$AN$105,MATCH(C48,Ingredients!$B$6:$B$105,0))),0))</f>
        <v/>
      </c>
      <c r="V48">
        <f>IF(OR(B48="",C48=""),0,IFERROR(N(INDEX(Ingredients!$AO$6:$AO$105,MATCH(C48,Ingredients!$B$6:$B$105,0))),0))</f>
        <v/>
      </c>
      <c r="W48">
        <f>IF(OR(B48="",C48=""),0,IFERROR(N(INDEX(Ingredients!$AP$6:$AP$105,MATCH(C48,Ingredients!$B$6:$B$105,0))),0))</f>
        <v/>
      </c>
      <c r="X48">
        <f>IF(OR(B48="",C48=""),0,IFERROR(N(INDEX(Ingredients!$AQ$6:$AQ$105,MATCH(C48,Ingredients!$B$6:$B$105,0))),0))</f>
        <v/>
      </c>
    </row>
    <row r="49">
      <c r="A49" s="1" t="n"/>
      <c r="B49" s="21" t="inlineStr">
        <is>
          <t>Brownies</t>
        </is>
      </c>
      <c r="C49" s="39" t="inlineStr">
        <is>
          <t>Plain flour</t>
        </is>
      </c>
      <c r="D49" s="40" t="n">
        <v>100</v>
      </c>
      <c r="E49" s="12">
        <f>IF(C49="","",IF(ISNA(MATCH(C49,Ingredients!$B$6:$B$105,0)),"Not on Ingredients",IFERROR(IF(INDEX(Ingredients!$C$6:$C$105,MATCH(C49,Ingredients!$B$6:$B$105,0))="","",INDEX(Ingredients!$C$6:$C$105,MATCH(C49,Ingredients!$B$6:$B$105,0))),"")))</f>
        <v/>
      </c>
      <c r="F49" s="26">
        <f>IF(OR(B49="",C49=""),"",N(D49)*IFERROR(N(INDEX(Ingredients!$H$6:$H$105,MATCH(C49,Ingredients!$B$6:$B$105,0))),0))</f>
        <v/>
      </c>
      <c r="G49" s="1">
        <f>IF(OR(B49="",C49=""),0,IFERROR(N(INDEX(Products!$D$6:$D$45,MATCH(B49,Products!$B$6:$B$45,0))),0))</f>
        <v/>
      </c>
      <c r="H49">
        <f>IF(N(G49)=0,0,N(D49)*SUMIFS(Batches!$D$6:$D$505,Batches!$C$6:$C$505,B49)/G49)</f>
        <v/>
      </c>
      <c r="I49">
        <f>IF(OR(B49="",C49=""),"",IF(B49&lt;&gt;Label!$H$3,"",IF(IFERROR(N(INDEX(Ingredients!$AS$6:$AS$105,MATCH(C49,Ingredients!$B$6:$B$105,0))),0)=1,"",ROUND(N(D49)*1000,0)*100000+100000-ROW())))</f>
        <v/>
      </c>
      <c r="J49">
        <f>IF(OR(B49="",C49=""),0,IFERROR(N(INDEX(Ingredients!$AC$6:$AC$105,MATCH(C49,Ingredients!$B$6:$B$105,0))),0))</f>
        <v/>
      </c>
      <c r="K49">
        <f>IF(OR(B49="",C49=""),0,IFERROR(N(INDEX(Ingredients!$AD$6:$AD$105,MATCH(C49,Ingredients!$B$6:$B$105,0))),0))</f>
        <v/>
      </c>
      <c r="L49">
        <f>IF(OR(B49="",C49=""),0,IFERROR(N(INDEX(Ingredients!$AE$6:$AE$105,MATCH(C49,Ingredients!$B$6:$B$105,0))),0))</f>
        <v/>
      </c>
      <c r="M49">
        <f>IF(OR(B49="",C49=""),0,IFERROR(N(INDEX(Ingredients!$AF$6:$AF$105,MATCH(C49,Ingredients!$B$6:$B$105,0))),0))</f>
        <v/>
      </c>
      <c r="N49">
        <f>IF(OR(B49="",C49=""),0,IFERROR(N(INDEX(Ingredients!$AG$6:$AG$105,MATCH(C49,Ingredients!$B$6:$B$105,0))),0))</f>
        <v/>
      </c>
      <c r="O49">
        <f>IF(OR(B49="",C49=""),0,IFERROR(N(INDEX(Ingredients!$AH$6:$AH$105,MATCH(C49,Ingredients!$B$6:$B$105,0))),0))</f>
        <v/>
      </c>
      <c r="P49">
        <f>IF(OR(B49="",C49=""),0,IFERROR(N(INDEX(Ingredients!$AI$6:$AI$105,MATCH(C49,Ingredients!$B$6:$B$105,0))),0))</f>
        <v/>
      </c>
      <c r="Q49">
        <f>IF(OR(B49="",C49=""),0,IFERROR(N(INDEX(Ingredients!$AJ$6:$AJ$105,MATCH(C49,Ingredients!$B$6:$B$105,0))),0))</f>
        <v/>
      </c>
      <c r="R49">
        <f>IF(OR(B49="",C49=""),0,IFERROR(N(INDEX(Ingredients!$AK$6:$AK$105,MATCH(C49,Ingredients!$B$6:$B$105,0))),0))</f>
        <v/>
      </c>
      <c r="S49">
        <f>IF(OR(B49="",C49=""),0,IFERROR(N(INDEX(Ingredients!$AL$6:$AL$105,MATCH(C49,Ingredients!$B$6:$B$105,0))),0))</f>
        <v/>
      </c>
      <c r="T49">
        <f>IF(OR(B49="",C49=""),0,IFERROR(N(INDEX(Ingredients!$AM$6:$AM$105,MATCH(C49,Ingredients!$B$6:$B$105,0))),0))</f>
        <v/>
      </c>
      <c r="U49">
        <f>IF(OR(B49="",C49=""),0,IFERROR(N(INDEX(Ingredients!$AN$6:$AN$105,MATCH(C49,Ingredients!$B$6:$B$105,0))),0))</f>
        <v/>
      </c>
      <c r="V49">
        <f>IF(OR(B49="",C49=""),0,IFERROR(N(INDEX(Ingredients!$AO$6:$AO$105,MATCH(C49,Ingredients!$B$6:$B$105,0))),0))</f>
        <v/>
      </c>
      <c r="W49">
        <f>IF(OR(B49="",C49=""),0,IFERROR(N(INDEX(Ingredients!$AP$6:$AP$105,MATCH(C49,Ingredients!$B$6:$B$105,0))),0))</f>
        <v/>
      </c>
      <c r="X49">
        <f>IF(OR(B49="",C49=""),0,IFERROR(N(INDEX(Ingredients!$AQ$6:$AQ$105,MATCH(C49,Ingredients!$B$6:$B$105,0))),0))</f>
        <v/>
      </c>
    </row>
    <row r="50">
      <c r="A50" s="1" t="n"/>
      <c r="B50" s="21" t="inlineStr">
        <is>
          <t>Brownies</t>
        </is>
      </c>
      <c r="C50" s="39" t="inlineStr">
        <is>
          <t>Eggs</t>
        </is>
      </c>
      <c r="D50" s="40" t="n">
        <v>200</v>
      </c>
      <c r="E50" s="12">
        <f>IF(C50="","",IF(ISNA(MATCH(C50,Ingredients!$B$6:$B$105,0)),"Not on Ingredients",IFERROR(IF(INDEX(Ingredients!$C$6:$C$105,MATCH(C50,Ingredients!$B$6:$B$105,0))="","",INDEX(Ingredients!$C$6:$C$105,MATCH(C50,Ingredients!$B$6:$B$105,0))),"")))</f>
        <v/>
      </c>
      <c r="F50" s="26">
        <f>IF(OR(B50="",C50=""),"",N(D50)*IFERROR(N(INDEX(Ingredients!$H$6:$H$105,MATCH(C50,Ingredients!$B$6:$B$105,0))),0))</f>
        <v/>
      </c>
      <c r="G50" s="1">
        <f>IF(OR(B50="",C50=""),0,IFERROR(N(INDEX(Products!$D$6:$D$45,MATCH(B50,Products!$B$6:$B$45,0))),0))</f>
        <v/>
      </c>
      <c r="H50">
        <f>IF(N(G50)=0,0,N(D50)*SUMIFS(Batches!$D$6:$D$505,Batches!$C$6:$C$505,B50)/G50)</f>
        <v/>
      </c>
      <c r="I50">
        <f>IF(OR(B50="",C50=""),"",IF(B50&lt;&gt;Label!$H$3,"",IF(IFERROR(N(INDEX(Ingredients!$AS$6:$AS$105,MATCH(C50,Ingredients!$B$6:$B$105,0))),0)=1,"",ROUND(N(D50)*1000,0)*100000+100000-ROW())))</f>
        <v/>
      </c>
      <c r="J50">
        <f>IF(OR(B50="",C50=""),0,IFERROR(N(INDEX(Ingredients!$AC$6:$AC$105,MATCH(C50,Ingredients!$B$6:$B$105,0))),0))</f>
        <v/>
      </c>
      <c r="K50">
        <f>IF(OR(B50="",C50=""),0,IFERROR(N(INDEX(Ingredients!$AD$6:$AD$105,MATCH(C50,Ingredients!$B$6:$B$105,0))),0))</f>
        <v/>
      </c>
      <c r="L50">
        <f>IF(OR(B50="",C50=""),0,IFERROR(N(INDEX(Ingredients!$AE$6:$AE$105,MATCH(C50,Ingredients!$B$6:$B$105,0))),0))</f>
        <v/>
      </c>
      <c r="M50">
        <f>IF(OR(B50="",C50=""),0,IFERROR(N(INDEX(Ingredients!$AF$6:$AF$105,MATCH(C50,Ingredients!$B$6:$B$105,0))),0))</f>
        <v/>
      </c>
      <c r="N50">
        <f>IF(OR(B50="",C50=""),0,IFERROR(N(INDEX(Ingredients!$AG$6:$AG$105,MATCH(C50,Ingredients!$B$6:$B$105,0))),0))</f>
        <v/>
      </c>
      <c r="O50">
        <f>IF(OR(B50="",C50=""),0,IFERROR(N(INDEX(Ingredients!$AH$6:$AH$105,MATCH(C50,Ingredients!$B$6:$B$105,0))),0))</f>
        <v/>
      </c>
      <c r="P50">
        <f>IF(OR(B50="",C50=""),0,IFERROR(N(INDEX(Ingredients!$AI$6:$AI$105,MATCH(C50,Ingredients!$B$6:$B$105,0))),0))</f>
        <v/>
      </c>
      <c r="Q50">
        <f>IF(OR(B50="",C50=""),0,IFERROR(N(INDEX(Ingredients!$AJ$6:$AJ$105,MATCH(C50,Ingredients!$B$6:$B$105,0))),0))</f>
        <v/>
      </c>
      <c r="R50">
        <f>IF(OR(B50="",C50=""),0,IFERROR(N(INDEX(Ingredients!$AK$6:$AK$105,MATCH(C50,Ingredients!$B$6:$B$105,0))),0))</f>
        <v/>
      </c>
      <c r="S50">
        <f>IF(OR(B50="",C50=""),0,IFERROR(N(INDEX(Ingredients!$AL$6:$AL$105,MATCH(C50,Ingredients!$B$6:$B$105,0))),0))</f>
        <v/>
      </c>
      <c r="T50">
        <f>IF(OR(B50="",C50=""),0,IFERROR(N(INDEX(Ingredients!$AM$6:$AM$105,MATCH(C50,Ingredients!$B$6:$B$105,0))),0))</f>
        <v/>
      </c>
      <c r="U50">
        <f>IF(OR(B50="",C50=""),0,IFERROR(N(INDEX(Ingredients!$AN$6:$AN$105,MATCH(C50,Ingredients!$B$6:$B$105,0))),0))</f>
        <v/>
      </c>
      <c r="V50">
        <f>IF(OR(B50="",C50=""),0,IFERROR(N(INDEX(Ingredients!$AO$6:$AO$105,MATCH(C50,Ingredients!$B$6:$B$105,0))),0))</f>
        <v/>
      </c>
      <c r="W50">
        <f>IF(OR(B50="",C50=""),0,IFERROR(N(INDEX(Ingredients!$AP$6:$AP$105,MATCH(C50,Ingredients!$B$6:$B$105,0))),0))</f>
        <v/>
      </c>
      <c r="X50">
        <f>IF(OR(B50="",C50=""),0,IFERROR(N(INDEX(Ingredients!$AQ$6:$AQ$105,MATCH(C50,Ingredients!$B$6:$B$105,0))),0))</f>
        <v/>
      </c>
    </row>
    <row r="51">
      <c r="A51" s="1" t="n"/>
      <c r="B51" s="21" t="inlineStr">
        <is>
          <t>Brownies</t>
        </is>
      </c>
      <c r="C51" s="39" t="inlineStr">
        <is>
          <t>Cocoa powder</t>
        </is>
      </c>
      <c r="D51" s="40" t="n">
        <v>60</v>
      </c>
      <c r="E51" s="12">
        <f>IF(C51="","",IF(ISNA(MATCH(C51,Ingredients!$B$6:$B$105,0)),"Not on Ingredients",IFERROR(IF(INDEX(Ingredients!$C$6:$C$105,MATCH(C51,Ingredients!$B$6:$B$105,0))="","",INDEX(Ingredients!$C$6:$C$105,MATCH(C51,Ingredients!$B$6:$B$105,0))),"")))</f>
        <v/>
      </c>
      <c r="F51" s="26">
        <f>IF(OR(B51="",C51=""),"",N(D51)*IFERROR(N(INDEX(Ingredients!$H$6:$H$105,MATCH(C51,Ingredients!$B$6:$B$105,0))),0))</f>
        <v/>
      </c>
      <c r="G51" s="1">
        <f>IF(OR(B51="",C51=""),0,IFERROR(N(INDEX(Products!$D$6:$D$45,MATCH(B51,Products!$B$6:$B$45,0))),0))</f>
        <v/>
      </c>
      <c r="H51">
        <f>IF(N(G51)=0,0,N(D51)*SUMIFS(Batches!$D$6:$D$505,Batches!$C$6:$C$505,B51)/G51)</f>
        <v/>
      </c>
      <c r="I51">
        <f>IF(OR(B51="",C51=""),"",IF(B51&lt;&gt;Label!$H$3,"",IF(IFERROR(N(INDEX(Ingredients!$AS$6:$AS$105,MATCH(C51,Ingredients!$B$6:$B$105,0))),0)=1,"",ROUND(N(D51)*1000,0)*100000+100000-ROW())))</f>
        <v/>
      </c>
      <c r="J51">
        <f>IF(OR(B51="",C51=""),0,IFERROR(N(INDEX(Ingredients!$AC$6:$AC$105,MATCH(C51,Ingredients!$B$6:$B$105,0))),0))</f>
        <v/>
      </c>
      <c r="K51">
        <f>IF(OR(B51="",C51=""),0,IFERROR(N(INDEX(Ingredients!$AD$6:$AD$105,MATCH(C51,Ingredients!$B$6:$B$105,0))),0))</f>
        <v/>
      </c>
      <c r="L51">
        <f>IF(OR(B51="",C51=""),0,IFERROR(N(INDEX(Ingredients!$AE$6:$AE$105,MATCH(C51,Ingredients!$B$6:$B$105,0))),0))</f>
        <v/>
      </c>
      <c r="M51">
        <f>IF(OR(B51="",C51=""),0,IFERROR(N(INDEX(Ingredients!$AF$6:$AF$105,MATCH(C51,Ingredients!$B$6:$B$105,0))),0))</f>
        <v/>
      </c>
      <c r="N51">
        <f>IF(OR(B51="",C51=""),0,IFERROR(N(INDEX(Ingredients!$AG$6:$AG$105,MATCH(C51,Ingredients!$B$6:$B$105,0))),0))</f>
        <v/>
      </c>
      <c r="O51">
        <f>IF(OR(B51="",C51=""),0,IFERROR(N(INDEX(Ingredients!$AH$6:$AH$105,MATCH(C51,Ingredients!$B$6:$B$105,0))),0))</f>
        <v/>
      </c>
      <c r="P51">
        <f>IF(OR(B51="",C51=""),0,IFERROR(N(INDEX(Ingredients!$AI$6:$AI$105,MATCH(C51,Ingredients!$B$6:$B$105,0))),0))</f>
        <v/>
      </c>
      <c r="Q51">
        <f>IF(OR(B51="",C51=""),0,IFERROR(N(INDEX(Ingredients!$AJ$6:$AJ$105,MATCH(C51,Ingredients!$B$6:$B$105,0))),0))</f>
        <v/>
      </c>
      <c r="R51">
        <f>IF(OR(B51="",C51=""),0,IFERROR(N(INDEX(Ingredients!$AK$6:$AK$105,MATCH(C51,Ingredients!$B$6:$B$105,0))),0))</f>
        <v/>
      </c>
      <c r="S51">
        <f>IF(OR(B51="",C51=""),0,IFERROR(N(INDEX(Ingredients!$AL$6:$AL$105,MATCH(C51,Ingredients!$B$6:$B$105,0))),0))</f>
        <v/>
      </c>
      <c r="T51">
        <f>IF(OR(B51="",C51=""),0,IFERROR(N(INDEX(Ingredients!$AM$6:$AM$105,MATCH(C51,Ingredients!$B$6:$B$105,0))),0))</f>
        <v/>
      </c>
      <c r="U51">
        <f>IF(OR(B51="",C51=""),0,IFERROR(N(INDEX(Ingredients!$AN$6:$AN$105,MATCH(C51,Ingredients!$B$6:$B$105,0))),0))</f>
        <v/>
      </c>
      <c r="V51">
        <f>IF(OR(B51="",C51=""),0,IFERROR(N(INDEX(Ingredients!$AO$6:$AO$105,MATCH(C51,Ingredients!$B$6:$B$105,0))),0))</f>
        <v/>
      </c>
      <c r="W51">
        <f>IF(OR(B51="",C51=""),0,IFERROR(N(INDEX(Ingredients!$AP$6:$AP$105,MATCH(C51,Ingredients!$B$6:$B$105,0))),0))</f>
        <v/>
      </c>
      <c r="X51">
        <f>IF(OR(B51="",C51=""),0,IFERROR(N(INDEX(Ingredients!$AQ$6:$AQ$105,MATCH(C51,Ingredients!$B$6:$B$105,0))),0))</f>
        <v/>
      </c>
    </row>
    <row r="52">
      <c r="A52" s="1" t="n"/>
      <c r="B52" s="21" t="inlineStr">
        <is>
          <t>Brownies</t>
        </is>
      </c>
      <c r="C52" s="39" t="inlineStr">
        <is>
          <t>Salt</t>
        </is>
      </c>
      <c r="D52" s="40" t="n">
        <v>2</v>
      </c>
      <c r="E52" s="12">
        <f>IF(C52="","",IF(ISNA(MATCH(C52,Ingredients!$B$6:$B$105,0)),"Not on Ingredients",IFERROR(IF(INDEX(Ingredients!$C$6:$C$105,MATCH(C52,Ingredients!$B$6:$B$105,0))="","",INDEX(Ingredients!$C$6:$C$105,MATCH(C52,Ingredients!$B$6:$B$105,0))),"")))</f>
        <v/>
      </c>
      <c r="F52" s="26">
        <f>IF(OR(B52="",C52=""),"",N(D52)*IFERROR(N(INDEX(Ingredients!$H$6:$H$105,MATCH(C52,Ingredients!$B$6:$B$105,0))),0))</f>
        <v/>
      </c>
      <c r="G52" s="1">
        <f>IF(OR(B52="",C52=""),0,IFERROR(N(INDEX(Products!$D$6:$D$45,MATCH(B52,Products!$B$6:$B$45,0))),0))</f>
        <v/>
      </c>
      <c r="H52">
        <f>IF(N(G52)=0,0,N(D52)*SUMIFS(Batches!$D$6:$D$505,Batches!$C$6:$C$505,B52)/G52)</f>
        <v/>
      </c>
      <c r="I52">
        <f>IF(OR(B52="",C52=""),"",IF(B52&lt;&gt;Label!$H$3,"",IF(IFERROR(N(INDEX(Ingredients!$AS$6:$AS$105,MATCH(C52,Ingredients!$B$6:$B$105,0))),0)=1,"",ROUND(N(D52)*1000,0)*100000+100000-ROW())))</f>
        <v/>
      </c>
      <c r="J52">
        <f>IF(OR(B52="",C52=""),0,IFERROR(N(INDEX(Ingredients!$AC$6:$AC$105,MATCH(C52,Ingredients!$B$6:$B$105,0))),0))</f>
        <v/>
      </c>
      <c r="K52">
        <f>IF(OR(B52="",C52=""),0,IFERROR(N(INDEX(Ingredients!$AD$6:$AD$105,MATCH(C52,Ingredients!$B$6:$B$105,0))),0))</f>
        <v/>
      </c>
      <c r="L52">
        <f>IF(OR(B52="",C52=""),0,IFERROR(N(INDEX(Ingredients!$AE$6:$AE$105,MATCH(C52,Ingredients!$B$6:$B$105,0))),0))</f>
        <v/>
      </c>
      <c r="M52">
        <f>IF(OR(B52="",C52=""),0,IFERROR(N(INDEX(Ingredients!$AF$6:$AF$105,MATCH(C52,Ingredients!$B$6:$B$105,0))),0))</f>
        <v/>
      </c>
      <c r="N52">
        <f>IF(OR(B52="",C52=""),0,IFERROR(N(INDEX(Ingredients!$AG$6:$AG$105,MATCH(C52,Ingredients!$B$6:$B$105,0))),0))</f>
        <v/>
      </c>
      <c r="O52">
        <f>IF(OR(B52="",C52=""),0,IFERROR(N(INDEX(Ingredients!$AH$6:$AH$105,MATCH(C52,Ingredients!$B$6:$B$105,0))),0))</f>
        <v/>
      </c>
      <c r="P52">
        <f>IF(OR(B52="",C52=""),0,IFERROR(N(INDEX(Ingredients!$AI$6:$AI$105,MATCH(C52,Ingredients!$B$6:$B$105,0))),0))</f>
        <v/>
      </c>
      <c r="Q52">
        <f>IF(OR(B52="",C52=""),0,IFERROR(N(INDEX(Ingredients!$AJ$6:$AJ$105,MATCH(C52,Ingredients!$B$6:$B$105,0))),0))</f>
        <v/>
      </c>
      <c r="R52">
        <f>IF(OR(B52="",C52=""),0,IFERROR(N(INDEX(Ingredients!$AK$6:$AK$105,MATCH(C52,Ingredients!$B$6:$B$105,0))),0))</f>
        <v/>
      </c>
      <c r="S52">
        <f>IF(OR(B52="",C52=""),0,IFERROR(N(INDEX(Ingredients!$AL$6:$AL$105,MATCH(C52,Ingredients!$B$6:$B$105,0))),0))</f>
        <v/>
      </c>
      <c r="T52">
        <f>IF(OR(B52="",C52=""),0,IFERROR(N(INDEX(Ingredients!$AM$6:$AM$105,MATCH(C52,Ingredients!$B$6:$B$105,0))),0))</f>
        <v/>
      </c>
      <c r="U52">
        <f>IF(OR(B52="",C52=""),0,IFERROR(N(INDEX(Ingredients!$AN$6:$AN$105,MATCH(C52,Ingredients!$B$6:$B$105,0))),0))</f>
        <v/>
      </c>
      <c r="V52">
        <f>IF(OR(B52="",C52=""),0,IFERROR(N(INDEX(Ingredients!$AO$6:$AO$105,MATCH(C52,Ingredients!$B$6:$B$105,0))),0))</f>
        <v/>
      </c>
      <c r="W52">
        <f>IF(OR(B52="",C52=""),0,IFERROR(N(INDEX(Ingredients!$AP$6:$AP$105,MATCH(C52,Ingredients!$B$6:$B$105,0))),0))</f>
        <v/>
      </c>
      <c r="X52">
        <f>IF(OR(B52="",C52=""),0,IFERROR(N(INDEX(Ingredients!$AQ$6:$AQ$105,MATCH(C52,Ingredients!$B$6:$B$105,0))),0))</f>
        <v/>
      </c>
    </row>
    <row r="53">
      <c r="A53" s="1" t="n"/>
      <c r="B53" s="21" t="inlineStr">
        <is>
          <t>Brownies</t>
        </is>
      </c>
      <c r="C53" s="39" t="inlineStr">
        <is>
          <t>Cake boxes</t>
        </is>
      </c>
      <c r="D53" s="40" t="n">
        <v>2</v>
      </c>
      <c r="E53" s="12">
        <f>IF(C53="","",IF(ISNA(MATCH(C53,Ingredients!$B$6:$B$105,0)),"Not on Ingredients",IFERROR(IF(INDEX(Ingredients!$C$6:$C$105,MATCH(C53,Ingredients!$B$6:$B$105,0))="","",INDEX(Ingredients!$C$6:$C$105,MATCH(C53,Ingredients!$B$6:$B$105,0))),"")))</f>
        <v/>
      </c>
      <c r="F53" s="26">
        <f>IF(OR(B53="",C53=""),"",N(D53)*IFERROR(N(INDEX(Ingredients!$H$6:$H$105,MATCH(C53,Ingredients!$B$6:$B$105,0))),0))</f>
        <v/>
      </c>
      <c r="G53" s="1">
        <f>IF(OR(B53="",C53=""),0,IFERROR(N(INDEX(Products!$D$6:$D$45,MATCH(B53,Products!$B$6:$B$45,0))),0))</f>
        <v/>
      </c>
      <c r="H53">
        <f>IF(N(G53)=0,0,N(D53)*SUMIFS(Batches!$D$6:$D$505,Batches!$C$6:$C$505,B53)/G53)</f>
        <v/>
      </c>
      <c r="I53">
        <f>IF(OR(B53="",C53=""),"",IF(B53&lt;&gt;Label!$H$3,"",IF(IFERROR(N(INDEX(Ingredients!$AS$6:$AS$105,MATCH(C53,Ingredients!$B$6:$B$105,0))),0)=1,"",ROUND(N(D53)*1000,0)*100000+100000-ROW())))</f>
        <v/>
      </c>
      <c r="J53">
        <f>IF(OR(B53="",C53=""),0,IFERROR(N(INDEX(Ingredients!$AC$6:$AC$105,MATCH(C53,Ingredients!$B$6:$B$105,0))),0))</f>
        <v/>
      </c>
      <c r="K53">
        <f>IF(OR(B53="",C53=""),0,IFERROR(N(INDEX(Ingredients!$AD$6:$AD$105,MATCH(C53,Ingredients!$B$6:$B$105,0))),0))</f>
        <v/>
      </c>
      <c r="L53">
        <f>IF(OR(B53="",C53=""),0,IFERROR(N(INDEX(Ingredients!$AE$6:$AE$105,MATCH(C53,Ingredients!$B$6:$B$105,0))),0))</f>
        <v/>
      </c>
      <c r="M53">
        <f>IF(OR(B53="",C53=""),0,IFERROR(N(INDEX(Ingredients!$AF$6:$AF$105,MATCH(C53,Ingredients!$B$6:$B$105,0))),0))</f>
        <v/>
      </c>
      <c r="N53">
        <f>IF(OR(B53="",C53=""),0,IFERROR(N(INDEX(Ingredients!$AG$6:$AG$105,MATCH(C53,Ingredients!$B$6:$B$105,0))),0))</f>
        <v/>
      </c>
      <c r="O53">
        <f>IF(OR(B53="",C53=""),0,IFERROR(N(INDEX(Ingredients!$AH$6:$AH$105,MATCH(C53,Ingredients!$B$6:$B$105,0))),0))</f>
        <v/>
      </c>
      <c r="P53">
        <f>IF(OR(B53="",C53=""),0,IFERROR(N(INDEX(Ingredients!$AI$6:$AI$105,MATCH(C53,Ingredients!$B$6:$B$105,0))),0))</f>
        <v/>
      </c>
      <c r="Q53">
        <f>IF(OR(B53="",C53=""),0,IFERROR(N(INDEX(Ingredients!$AJ$6:$AJ$105,MATCH(C53,Ingredients!$B$6:$B$105,0))),0))</f>
        <v/>
      </c>
      <c r="R53">
        <f>IF(OR(B53="",C53=""),0,IFERROR(N(INDEX(Ingredients!$AK$6:$AK$105,MATCH(C53,Ingredients!$B$6:$B$105,0))),0))</f>
        <v/>
      </c>
      <c r="S53">
        <f>IF(OR(B53="",C53=""),0,IFERROR(N(INDEX(Ingredients!$AL$6:$AL$105,MATCH(C53,Ingredients!$B$6:$B$105,0))),0))</f>
        <v/>
      </c>
      <c r="T53">
        <f>IF(OR(B53="",C53=""),0,IFERROR(N(INDEX(Ingredients!$AM$6:$AM$105,MATCH(C53,Ingredients!$B$6:$B$105,0))),0))</f>
        <v/>
      </c>
      <c r="U53">
        <f>IF(OR(B53="",C53=""),0,IFERROR(N(INDEX(Ingredients!$AN$6:$AN$105,MATCH(C53,Ingredients!$B$6:$B$105,0))),0))</f>
        <v/>
      </c>
      <c r="V53">
        <f>IF(OR(B53="",C53=""),0,IFERROR(N(INDEX(Ingredients!$AO$6:$AO$105,MATCH(C53,Ingredients!$B$6:$B$105,0))),0))</f>
        <v/>
      </c>
      <c r="W53">
        <f>IF(OR(B53="",C53=""),0,IFERROR(N(INDEX(Ingredients!$AP$6:$AP$105,MATCH(C53,Ingredients!$B$6:$B$105,0))),0))</f>
        <v/>
      </c>
      <c r="X53">
        <f>IF(OR(B53="",C53=""),0,IFERROR(N(INDEX(Ingredients!$AQ$6:$AQ$105,MATCH(C53,Ingredients!$B$6:$B$105,0))),0))</f>
        <v/>
      </c>
    </row>
    <row r="54">
      <c r="A54" s="1" t="n"/>
      <c r="B54" s="21" t="n"/>
      <c r="C54" s="39" t="n"/>
      <c r="D54" s="40" t="n"/>
      <c r="E54" s="12">
        <f>IF(C54="","",IF(ISNA(MATCH(C54,Ingredients!$B$6:$B$105,0)),"Not on Ingredients",IFERROR(IF(INDEX(Ingredients!$C$6:$C$105,MATCH(C54,Ingredients!$B$6:$B$105,0))="","",INDEX(Ingredients!$C$6:$C$105,MATCH(C54,Ingredients!$B$6:$B$105,0))),"")))</f>
        <v/>
      </c>
      <c r="F54" s="26">
        <f>IF(OR(B54="",C54=""),"",N(D54)*IFERROR(N(INDEX(Ingredients!$H$6:$H$105,MATCH(C54,Ingredients!$B$6:$B$105,0))),0))</f>
        <v/>
      </c>
      <c r="G54" s="1">
        <f>IF(OR(B54="",C54=""),0,IFERROR(N(INDEX(Products!$D$6:$D$45,MATCH(B54,Products!$B$6:$B$45,0))),0))</f>
        <v/>
      </c>
      <c r="H54">
        <f>IF(N(G54)=0,0,N(D54)*SUMIFS(Batches!$D$6:$D$505,Batches!$C$6:$C$505,B54)/G54)</f>
        <v/>
      </c>
      <c r="I54">
        <f>IF(OR(B54="",C54=""),"",IF(B54&lt;&gt;Label!$H$3,"",IF(IFERROR(N(INDEX(Ingredients!$AS$6:$AS$105,MATCH(C54,Ingredients!$B$6:$B$105,0))),0)=1,"",ROUND(N(D54)*1000,0)*100000+100000-ROW())))</f>
        <v/>
      </c>
      <c r="J54">
        <f>IF(OR(B54="",C54=""),0,IFERROR(N(INDEX(Ingredients!$AC$6:$AC$105,MATCH(C54,Ingredients!$B$6:$B$105,0))),0))</f>
        <v/>
      </c>
      <c r="K54">
        <f>IF(OR(B54="",C54=""),0,IFERROR(N(INDEX(Ingredients!$AD$6:$AD$105,MATCH(C54,Ingredients!$B$6:$B$105,0))),0))</f>
        <v/>
      </c>
      <c r="L54">
        <f>IF(OR(B54="",C54=""),0,IFERROR(N(INDEX(Ingredients!$AE$6:$AE$105,MATCH(C54,Ingredients!$B$6:$B$105,0))),0))</f>
        <v/>
      </c>
      <c r="M54">
        <f>IF(OR(B54="",C54=""),0,IFERROR(N(INDEX(Ingredients!$AF$6:$AF$105,MATCH(C54,Ingredients!$B$6:$B$105,0))),0))</f>
        <v/>
      </c>
      <c r="N54">
        <f>IF(OR(B54="",C54=""),0,IFERROR(N(INDEX(Ingredients!$AG$6:$AG$105,MATCH(C54,Ingredients!$B$6:$B$105,0))),0))</f>
        <v/>
      </c>
      <c r="O54">
        <f>IF(OR(B54="",C54=""),0,IFERROR(N(INDEX(Ingredients!$AH$6:$AH$105,MATCH(C54,Ingredients!$B$6:$B$105,0))),0))</f>
        <v/>
      </c>
      <c r="P54">
        <f>IF(OR(B54="",C54=""),0,IFERROR(N(INDEX(Ingredients!$AI$6:$AI$105,MATCH(C54,Ingredients!$B$6:$B$105,0))),0))</f>
        <v/>
      </c>
      <c r="Q54">
        <f>IF(OR(B54="",C54=""),0,IFERROR(N(INDEX(Ingredients!$AJ$6:$AJ$105,MATCH(C54,Ingredients!$B$6:$B$105,0))),0))</f>
        <v/>
      </c>
      <c r="R54">
        <f>IF(OR(B54="",C54=""),0,IFERROR(N(INDEX(Ingredients!$AK$6:$AK$105,MATCH(C54,Ingredients!$B$6:$B$105,0))),0))</f>
        <v/>
      </c>
      <c r="S54">
        <f>IF(OR(B54="",C54=""),0,IFERROR(N(INDEX(Ingredients!$AL$6:$AL$105,MATCH(C54,Ingredients!$B$6:$B$105,0))),0))</f>
        <v/>
      </c>
      <c r="T54">
        <f>IF(OR(B54="",C54=""),0,IFERROR(N(INDEX(Ingredients!$AM$6:$AM$105,MATCH(C54,Ingredients!$B$6:$B$105,0))),0))</f>
        <v/>
      </c>
      <c r="U54">
        <f>IF(OR(B54="",C54=""),0,IFERROR(N(INDEX(Ingredients!$AN$6:$AN$105,MATCH(C54,Ingredients!$B$6:$B$105,0))),0))</f>
        <v/>
      </c>
      <c r="V54">
        <f>IF(OR(B54="",C54=""),0,IFERROR(N(INDEX(Ingredients!$AO$6:$AO$105,MATCH(C54,Ingredients!$B$6:$B$105,0))),0))</f>
        <v/>
      </c>
      <c r="W54">
        <f>IF(OR(B54="",C54=""),0,IFERROR(N(INDEX(Ingredients!$AP$6:$AP$105,MATCH(C54,Ingredients!$B$6:$B$105,0))),0))</f>
        <v/>
      </c>
      <c r="X54">
        <f>IF(OR(B54="",C54=""),0,IFERROR(N(INDEX(Ingredients!$AQ$6:$AQ$105,MATCH(C54,Ingredients!$B$6:$B$105,0))),0))</f>
        <v/>
      </c>
    </row>
    <row r="55">
      <c r="A55" s="1" t="n"/>
      <c r="B55" s="21" t="n"/>
      <c r="C55" s="39" t="n"/>
      <c r="D55" s="40" t="n"/>
      <c r="E55" s="12">
        <f>IF(C55="","",IF(ISNA(MATCH(C55,Ingredients!$B$6:$B$105,0)),"Not on Ingredients",IFERROR(IF(INDEX(Ingredients!$C$6:$C$105,MATCH(C55,Ingredients!$B$6:$B$105,0))="","",INDEX(Ingredients!$C$6:$C$105,MATCH(C55,Ingredients!$B$6:$B$105,0))),"")))</f>
        <v/>
      </c>
      <c r="F55" s="26">
        <f>IF(OR(B55="",C55=""),"",N(D55)*IFERROR(N(INDEX(Ingredients!$H$6:$H$105,MATCH(C55,Ingredients!$B$6:$B$105,0))),0))</f>
        <v/>
      </c>
      <c r="G55" s="1">
        <f>IF(OR(B55="",C55=""),0,IFERROR(N(INDEX(Products!$D$6:$D$45,MATCH(B55,Products!$B$6:$B$45,0))),0))</f>
        <v/>
      </c>
      <c r="H55">
        <f>IF(N(G55)=0,0,N(D55)*SUMIFS(Batches!$D$6:$D$505,Batches!$C$6:$C$505,B55)/G55)</f>
        <v/>
      </c>
      <c r="I55">
        <f>IF(OR(B55="",C55=""),"",IF(B55&lt;&gt;Label!$H$3,"",IF(IFERROR(N(INDEX(Ingredients!$AS$6:$AS$105,MATCH(C55,Ingredients!$B$6:$B$105,0))),0)=1,"",ROUND(N(D55)*1000,0)*100000+100000-ROW())))</f>
        <v/>
      </c>
      <c r="J55">
        <f>IF(OR(B55="",C55=""),0,IFERROR(N(INDEX(Ingredients!$AC$6:$AC$105,MATCH(C55,Ingredients!$B$6:$B$105,0))),0))</f>
        <v/>
      </c>
      <c r="K55">
        <f>IF(OR(B55="",C55=""),0,IFERROR(N(INDEX(Ingredients!$AD$6:$AD$105,MATCH(C55,Ingredients!$B$6:$B$105,0))),0))</f>
        <v/>
      </c>
      <c r="L55">
        <f>IF(OR(B55="",C55=""),0,IFERROR(N(INDEX(Ingredients!$AE$6:$AE$105,MATCH(C55,Ingredients!$B$6:$B$105,0))),0))</f>
        <v/>
      </c>
      <c r="M55">
        <f>IF(OR(B55="",C55=""),0,IFERROR(N(INDEX(Ingredients!$AF$6:$AF$105,MATCH(C55,Ingredients!$B$6:$B$105,0))),0))</f>
        <v/>
      </c>
      <c r="N55">
        <f>IF(OR(B55="",C55=""),0,IFERROR(N(INDEX(Ingredients!$AG$6:$AG$105,MATCH(C55,Ingredients!$B$6:$B$105,0))),0))</f>
        <v/>
      </c>
      <c r="O55">
        <f>IF(OR(B55="",C55=""),0,IFERROR(N(INDEX(Ingredients!$AH$6:$AH$105,MATCH(C55,Ingredients!$B$6:$B$105,0))),0))</f>
        <v/>
      </c>
      <c r="P55">
        <f>IF(OR(B55="",C55=""),0,IFERROR(N(INDEX(Ingredients!$AI$6:$AI$105,MATCH(C55,Ingredients!$B$6:$B$105,0))),0))</f>
        <v/>
      </c>
      <c r="Q55">
        <f>IF(OR(B55="",C55=""),0,IFERROR(N(INDEX(Ingredients!$AJ$6:$AJ$105,MATCH(C55,Ingredients!$B$6:$B$105,0))),0))</f>
        <v/>
      </c>
      <c r="R55">
        <f>IF(OR(B55="",C55=""),0,IFERROR(N(INDEX(Ingredients!$AK$6:$AK$105,MATCH(C55,Ingredients!$B$6:$B$105,0))),0))</f>
        <v/>
      </c>
      <c r="S55">
        <f>IF(OR(B55="",C55=""),0,IFERROR(N(INDEX(Ingredients!$AL$6:$AL$105,MATCH(C55,Ingredients!$B$6:$B$105,0))),0))</f>
        <v/>
      </c>
      <c r="T55">
        <f>IF(OR(B55="",C55=""),0,IFERROR(N(INDEX(Ingredients!$AM$6:$AM$105,MATCH(C55,Ingredients!$B$6:$B$105,0))),0))</f>
        <v/>
      </c>
      <c r="U55">
        <f>IF(OR(B55="",C55=""),0,IFERROR(N(INDEX(Ingredients!$AN$6:$AN$105,MATCH(C55,Ingredients!$B$6:$B$105,0))),0))</f>
        <v/>
      </c>
      <c r="V55">
        <f>IF(OR(B55="",C55=""),0,IFERROR(N(INDEX(Ingredients!$AO$6:$AO$105,MATCH(C55,Ingredients!$B$6:$B$105,0))),0))</f>
        <v/>
      </c>
      <c r="W55">
        <f>IF(OR(B55="",C55=""),0,IFERROR(N(INDEX(Ingredients!$AP$6:$AP$105,MATCH(C55,Ingredients!$B$6:$B$105,0))),0))</f>
        <v/>
      </c>
      <c r="X55">
        <f>IF(OR(B55="",C55=""),0,IFERROR(N(INDEX(Ingredients!$AQ$6:$AQ$105,MATCH(C55,Ingredients!$B$6:$B$105,0))),0))</f>
        <v/>
      </c>
    </row>
    <row r="56">
      <c r="A56" s="1" t="n"/>
      <c r="B56" s="21" t="n"/>
      <c r="C56" s="39" t="n"/>
      <c r="D56" s="40" t="n"/>
      <c r="E56" s="12">
        <f>IF(C56="","",IF(ISNA(MATCH(C56,Ingredients!$B$6:$B$105,0)),"Not on Ingredients",IFERROR(IF(INDEX(Ingredients!$C$6:$C$105,MATCH(C56,Ingredients!$B$6:$B$105,0))="","",INDEX(Ingredients!$C$6:$C$105,MATCH(C56,Ingredients!$B$6:$B$105,0))),"")))</f>
        <v/>
      </c>
      <c r="F56" s="26">
        <f>IF(OR(B56="",C56=""),"",N(D56)*IFERROR(N(INDEX(Ingredients!$H$6:$H$105,MATCH(C56,Ingredients!$B$6:$B$105,0))),0))</f>
        <v/>
      </c>
      <c r="G56" s="1">
        <f>IF(OR(B56="",C56=""),0,IFERROR(N(INDEX(Products!$D$6:$D$45,MATCH(B56,Products!$B$6:$B$45,0))),0))</f>
        <v/>
      </c>
      <c r="H56">
        <f>IF(N(G56)=0,0,N(D56)*SUMIFS(Batches!$D$6:$D$505,Batches!$C$6:$C$505,B56)/G56)</f>
        <v/>
      </c>
      <c r="I56">
        <f>IF(OR(B56="",C56=""),"",IF(B56&lt;&gt;Label!$H$3,"",IF(IFERROR(N(INDEX(Ingredients!$AS$6:$AS$105,MATCH(C56,Ingredients!$B$6:$B$105,0))),0)=1,"",ROUND(N(D56)*1000,0)*100000+100000-ROW())))</f>
        <v/>
      </c>
      <c r="J56">
        <f>IF(OR(B56="",C56=""),0,IFERROR(N(INDEX(Ingredients!$AC$6:$AC$105,MATCH(C56,Ingredients!$B$6:$B$105,0))),0))</f>
        <v/>
      </c>
      <c r="K56">
        <f>IF(OR(B56="",C56=""),0,IFERROR(N(INDEX(Ingredients!$AD$6:$AD$105,MATCH(C56,Ingredients!$B$6:$B$105,0))),0))</f>
        <v/>
      </c>
      <c r="L56">
        <f>IF(OR(B56="",C56=""),0,IFERROR(N(INDEX(Ingredients!$AE$6:$AE$105,MATCH(C56,Ingredients!$B$6:$B$105,0))),0))</f>
        <v/>
      </c>
      <c r="M56">
        <f>IF(OR(B56="",C56=""),0,IFERROR(N(INDEX(Ingredients!$AF$6:$AF$105,MATCH(C56,Ingredients!$B$6:$B$105,0))),0))</f>
        <v/>
      </c>
      <c r="N56">
        <f>IF(OR(B56="",C56=""),0,IFERROR(N(INDEX(Ingredients!$AG$6:$AG$105,MATCH(C56,Ingredients!$B$6:$B$105,0))),0))</f>
        <v/>
      </c>
      <c r="O56">
        <f>IF(OR(B56="",C56=""),0,IFERROR(N(INDEX(Ingredients!$AH$6:$AH$105,MATCH(C56,Ingredients!$B$6:$B$105,0))),0))</f>
        <v/>
      </c>
      <c r="P56">
        <f>IF(OR(B56="",C56=""),0,IFERROR(N(INDEX(Ingredients!$AI$6:$AI$105,MATCH(C56,Ingredients!$B$6:$B$105,0))),0))</f>
        <v/>
      </c>
      <c r="Q56">
        <f>IF(OR(B56="",C56=""),0,IFERROR(N(INDEX(Ingredients!$AJ$6:$AJ$105,MATCH(C56,Ingredients!$B$6:$B$105,0))),0))</f>
        <v/>
      </c>
      <c r="R56">
        <f>IF(OR(B56="",C56=""),0,IFERROR(N(INDEX(Ingredients!$AK$6:$AK$105,MATCH(C56,Ingredients!$B$6:$B$105,0))),0))</f>
        <v/>
      </c>
      <c r="S56">
        <f>IF(OR(B56="",C56=""),0,IFERROR(N(INDEX(Ingredients!$AL$6:$AL$105,MATCH(C56,Ingredients!$B$6:$B$105,0))),0))</f>
        <v/>
      </c>
      <c r="T56">
        <f>IF(OR(B56="",C56=""),0,IFERROR(N(INDEX(Ingredients!$AM$6:$AM$105,MATCH(C56,Ingredients!$B$6:$B$105,0))),0))</f>
        <v/>
      </c>
      <c r="U56">
        <f>IF(OR(B56="",C56=""),0,IFERROR(N(INDEX(Ingredients!$AN$6:$AN$105,MATCH(C56,Ingredients!$B$6:$B$105,0))),0))</f>
        <v/>
      </c>
      <c r="V56">
        <f>IF(OR(B56="",C56=""),0,IFERROR(N(INDEX(Ingredients!$AO$6:$AO$105,MATCH(C56,Ingredients!$B$6:$B$105,0))),0))</f>
        <v/>
      </c>
      <c r="W56">
        <f>IF(OR(B56="",C56=""),0,IFERROR(N(INDEX(Ingredients!$AP$6:$AP$105,MATCH(C56,Ingredients!$B$6:$B$105,0))),0))</f>
        <v/>
      </c>
      <c r="X56">
        <f>IF(OR(B56="",C56=""),0,IFERROR(N(INDEX(Ingredients!$AQ$6:$AQ$105,MATCH(C56,Ingredients!$B$6:$B$105,0))),0))</f>
        <v/>
      </c>
    </row>
    <row r="57">
      <c r="A57" s="1" t="n"/>
      <c r="B57" s="21" t="n"/>
      <c r="C57" s="39" t="n"/>
      <c r="D57" s="40" t="n"/>
      <c r="E57" s="12">
        <f>IF(C57="","",IF(ISNA(MATCH(C57,Ingredients!$B$6:$B$105,0)),"Not on Ingredients",IFERROR(IF(INDEX(Ingredients!$C$6:$C$105,MATCH(C57,Ingredients!$B$6:$B$105,0))="","",INDEX(Ingredients!$C$6:$C$105,MATCH(C57,Ingredients!$B$6:$B$105,0))),"")))</f>
        <v/>
      </c>
      <c r="F57" s="26">
        <f>IF(OR(B57="",C57=""),"",N(D57)*IFERROR(N(INDEX(Ingredients!$H$6:$H$105,MATCH(C57,Ingredients!$B$6:$B$105,0))),0))</f>
        <v/>
      </c>
      <c r="G57" s="1">
        <f>IF(OR(B57="",C57=""),0,IFERROR(N(INDEX(Products!$D$6:$D$45,MATCH(B57,Products!$B$6:$B$45,0))),0))</f>
        <v/>
      </c>
      <c r="H57">
        <f>IF(N(G57)=0,0,N(D57)*SUMIFS(Batches!$D$6:$D$505,Batches!$C$6:$C$505,B57)/G57)</f>
        <v/>
      </c>
      <c r="I57">
        <f>IF(OR(B57="",C57=""),"",IF(B57&lt;&gt;Label!$H$3,"",IF(IFERROR(N(INDEX(Ingredients!$AS$6:$AS$105,MATCH(C57,Ingredients!$B$6:$B$105,0))),0)=1,"",ROUND(N(D57)*1000,0)*100000+100000-ROW())))</f>
        <v/>
      </c>
      <c r="J57">
        <f>IF(OR(B57="",C57=""),0,IFERROR(N(INDEX(Ingredients!$AC$6:$AC$105,MATCH(C57,Ingredients!$B$6:$B$105,0))),0))</f>
        <v/>
      </c>
      <c r="K57">
        <f>IF(OR(B57="",C57=""),0,IFERROR(N(INDEX(Ingredients!$AD$6:$AD$105,MATCH(C57,Ingredients!$B$6:$B$105,0))),0))</f>
        <v/>
      </c>
      <c r="L57">
        <f>IF(OR(B57="",C57=""),0,IFERROR(N(INDEX(Ingredients!$AE$6:$AE$105,MATCH(C57,Ingredients!$B$6:$B$105,0))),0))</f>
        <v/>
      </c>
      <c r="M57">
        <f>IF(OR(B57="",C57=""),0,IFERROR(N(INDEX(Ingredients!$AF$6:$AF$105,MATCH(C57,Ingredients!$B$6:$B$105,0))),0))</f>
        <v/>
      </c>
      <c r="N57">
        <f>IF(OR(B57="",C57=""),0,IFERROR(N(INDEX(Ingredients!$AG$6:$AG$105,MATCH(C57,Ingredients!$B$6:$B$105,0))),0))</f>
        <v/>
      </c>
      <c r="O57">
        <f>IF(OR(B57="",C57=""),0,IFERROR(N(INDEX(Ingredients!$AH$6:$AH$105,MATCH(C57,Ingredients!$B$6:$B$105,0))),0))</f>
        <v/>
      </c>
      <c r="P57">
        <f>IF(OR(B57="",C57=""),0,IFERROR(N(INDEX(Ingredients!$AI$6:$AI$105,MATCH(C57,Ingredients!$B$6:$B$105,0))),0))</f>
        <v/>
      </c>
      <c r="Q57">
        <f>IF(OR(B57="",C57=""),0,IFERROR(N(INDEX(Ingredients!$AJ$6:$AJ$105,MATCH(C57,Ingredients!$B$6:$B$105,0))),0))</f>
        <v/>
      </c>
      <c r="R57">
        <f>IF(OR(B57="",C57=""),0,IFERROR(N(INDEX(Ingredients!$AK$6:$AK$105,MATCH(C57,Ingredients!$B$6:$B$105,0))),0))</f>
        <v/>
      </c>
      <c r="S57">
        <f>IF(OR(B57="",C57=""),0,IFERROR(N(INDEX(Ingredients!$AL$6:$AL$105,MATCH(C57,Ingredients!$B$6:$B$105,0))),0))</f>
        <v/>
      </c>
      <c r="T57">
        <f>IF(OR(B57="",C57=""),0,IFERROR(N(INDEX(Ingredients!$AM$6:$AM$105,MATCH(C57,Ingredients!$B$6:$B$105,0))),0))</f>
        <v/>
      </c>
      <c r="U57">
        <f>IF(OR(B57="",C57=""),0,IFERROR(N(INDEX(Ingredients!$AN$6:$AN$105,MATCH(C57,Ingredients!$B$6:$B$105,0))),0))</f>
        <v/>
      </c>
      <c r="V57">
        <f>IF(OR(B57="",C57=""),0,IFERROR(N(INDEX(Ingredients!$AO$6:$AO$105,MATCH(C57,Ingredients!$B$6:$B$105,0))),0))</f>
        <v/>
      </c>
      <c r="W57">
        <f>IF(OR(B57="",C57=""),0,IFERROR(N(INDEX(Ingredients!$AP$6:$AP$105,MATCH(C57,Ingredients!$B$6:$B$105,0))),0))</f>
        <v/>
      </c>
      <c r="X57">
        <f>IF(OR(B57="",C57=""),0,IFERROR(N(INDEX(Ingredients!$AQ$6:$AQ$105,MATCH(C57,Ingredients!$B$6:$B$105,0))),0))</f>
        <v/>
      </c>
    </row>
    <row r="58">
      <c r="A58" s="1" t="n"/>
      <c r="B58" s="21" t="n"/>
      <c r="C58" s="39" t="n"/>
      <c r="D58" s="40" t="n"/>
      <c r="E58" s="12">
        <f>IF(C58="","",IF(ISNA(MATCH(C58,Ingredients!$B$6:$B$105,0)),"Not on Ingredients",IFERROR(IF(INDEX(Ingredients!$C$6:$C$105,MATCH(C58,Ingredients!$B$6:$B$105,0))="","",INDEX(Ingredients!$C$6:$C$105,MATCH(C58,Ingredients!$B$6:$B$105,0))),"")))</f>
        <v/>
      </c>
      <c r="F58" s="26">
        <f>IF(OR(B58="",C58=""),"",N(D58)*IFERROR(N(INDEX(Ingredients!$H$6:$H$105,MATCH(C58,Ingredients!$B$6:$B$105,0))),0))</f>
        <v/>
      </c>
      <c r="G58" s="1">
        <f>IF(OR(B58="",C58=""),0,IFERROR(N(INDEX(Products!$D$6:$D$45,MATCH(B58,Products!$B$6:$B$45,0))),0))</f>
        <v/>
      </c>
      <c r="H58">
        <f>IF(N(G58)=0,0,N(D58)*SUMIFS(Batches!$D$6:$D$505,Batches!$C$6:$C$505,B58)/G58)</f>
        <v/>
      </c>
      <c r="I58">
        <f>IF(OR(B58="",C58=""),"",IF(B58&lt;&gt;Label!$H$3,"",IF(IFERROR(N(INDEX(Ingredients!$AS$6:$AS$105,MATCH(C58,Ingredients!$B$6:$B$105,0))),0)=1,"",ROUND(N(D58)*1000,0)*100000+100000-ROW())))</f>
        <v/>
      </c>
      <c r="J58">
        <f>IF(OR(B58="",C58=""),0,IFERROR(N(INDEX(Ingredients!$AC$6:$AC$105,MATCH(C58,Ingredients!$B$6:$B$105,0))),0))</f>
        <v/>
      </c>
      <c r="K58">
        <f>IF(OR(B58="",C58=""),0,IFERROR(N(INDEX(Ingredients!$AD$6:$AD$105,MATCH(C58,Ingredients!$B$6:$B$105,0))),0))</f>
        <v/>
      </c>
      <c r="L58">
        <f>IF(OR(B58="",C58=""),0,IFERROR(N(INDEX(Ingredients!$AE$6:$AE$105,MATCH(C58,Ingredients!$B$6:$B$105,0))),0))</f>
        <v/>
      </c>
      <c r="M58">
        <f>IF(OR(B58="",C58=""),0,IFERROR(N(INDEX(Ingredients!$AF$6:$AF$105,MATCH(C58,Ingredients!$B$6:$B$105,0))),0))</f>
        <v/>
      </c>
      <c r="N58">
        <f>IF(OR(B58="",C58=""),0,IFERROR(N(INDEX(Ingredients!$AG$6:$AG$105,MATCH(C58,Ingredients!$B$6:$B$105,0))),0))</f>
        <v/>
      </c>
      <c r="O58">
        <f>IF(OR(B58="",C58=""),0,IFERROR(N(INDEX(Ingredients!$AH$6:$AH$105,MATCH(C58,Ingredients!$B$6:$B$105,0))),0))</f>
        <v/>
      </c>
      <c r="P58">
        <f>IF(OR(B58="",C58=""),0,IFERROR(N(INDEX(Ingredients!$AI$6:$AI$105,MATCH(C58,Ingredients!$B$6:$B$105,0))),0))</f>
        <v/>
      </c>
      <c r="Q58">
        <f>IF(OR(B58="",C58=""),0,IFERROR(N(INDEX(Ingredients!$AJ$6:$AJ$105,MATCH(C58,Ingredients!$B$6:$B$105,0))),0))</f>
        <v/>
      </c>
      <c r="R58">
        <f>IF(OR(B58="",C58=""),0,IFERROR(N(INDEX(Ingredients!$AK$6:$AK$105,MATCH(C58,Ingredients!$B$6:$B$105,0))),0))</f>
        <v/>
      </c>
      <c r="S58">
        <f>IF(OR(B58="",C58=""),0,IFERROR(N(INDEX(Ingredients!$AL$6:$AL$105,MATCH(C58,Ingredients!$B$6:$B$105,0))),0))</f>
        <v/>
      </c>
      <c r="T58">
        <f>IF(OR(B58="",C58=""),0,IFERROR(N(INDEX(Ingredients!$AM$6:$AM$105,MATCH(C58,Ingredients!$B$6:$B$105,0))),0))</f>
        <v/>
      </c>
      <c r="U58">
        <f>IF(OR(B58="",C58=""),0,IFERROR(N(INDEX(Ingredients!$AN$6:$AN$105,MATCH(C58,Ingredients!$B$6:$B$105,0))),0))</f>
        <v/>
      </c>
      <c r="V58">
        <f>IF(OR(B58="",C58=""),0,IFERROR(N(INDEX(Ingredients!$AO$6:$AO$105,MATCH(C58,Ingredients!$B$6:$B$105,0))),0))</f>
        <v/>
      </c>
      <c r="W58">
        <f>IF(OR(B58="",C58=""),0,IFERROR(N(INDEX(Ingredients!$AP$6:$AP$105,MATCH(C58,Ingredients!$B$6:$B$105,0))),0))</f>
        <v/>
      </c>
      <c r="X58">
        <f>IF(OR(B58="",C58=""),0,IFERROR(N(INDEX(Ingredients!$AQ$6:$AQ$105,MATCH(C58,Ingredients!$B$6:$B$105,0))),0))</f>
        <v/>
      </c>
    </row>
    <row r="59">
      <c r="A59" s="1" t="n"/>
      <c r="B59" s="21" t="n"/>
      <c r="C59" s="39" t="n"/>
      <c r="D59" s="40" t="n"/>
      <c r="E59" s="12">
        <f>IF(C59="","",IF(ISNA(MATCH(C59,Ingredients!$B$6:$B$105,0)),"Not on Ingredients",IFERROR(IF(INDEX(Ingredients!$C$6:$C$105,MATCH(C59,Ingredients!$B$6:$B$105,0))="","",INDEX(Ingredients!$C$6:$C$105,MATCH(C59,Ingredients!$B$6:$B$105,0))),"")))</f>
        <v/>
      </c>
      <c r="F59" s="26">
        <f>IF(OR(B59="",C59=""),"",N(D59)*IFERROR(N(INDEX(Ingredients!$H$6:$H$105,MATCH(C59,Ingredients!$B$6:$B$105,0))),0))</f>
        <v/>
      </c>
      <c r="G59" s="1">
        <f>IF(OR(B59="",C59=""),0,IFERROR(N(INDEX(Products!$D$6:$D$45,MATCH(B59,Products!$B$6:$B$45,0))),0))</f>
        <v/>
      </c>
      <c r="H59">
        <f>IF(N(G59)=0,0,N(D59)*SUMIFS(Batches!$D$6:$D$505,Batches!$C$6:$C$505,B59)/G59)</f>
        <v/>
      </c>
      <c r="I59">
        <f>IF(OR(B59="",C59=""),"",IF(B59&lt;&gt;Label!$H$3,"",IF(IFERROR(N(INDEX(Ingredients!$AS$6:$AS$105,MATCH(C59,Ingredients!$B$6:$B$105,0))),0)=1,"",ROUND(N(D59)*1000,0)*100000+100000-ROW())))</f>
        <v/>
      </c>
      <c r="J59">
        <f>IF(OR(B59="",C59=""),0,IFERROR(N(INDEX(Ingredients!$AC$6:$AC$105,MATCH(C59,Ingredients!$B$6:$B$105,0))),0))</f>
        <v/>
      </c>
      <c r="K59">
        <f>IF(OR(B59="",C59=""),0,IFERROR(N(INDEX(Ingredients!$AD$6:$AD$105,MATCH(C59,Ingredients!$B$6:$B$105,0))),0))</f>
        <v/>
      </c>
      <c r="L59">
        <f>IF(OR(B59="",C59=""),0,IFERROR(N(INDEX(Ingredients!$AE$6:$AE$105,MATCH(C59,Ingredients!$B$6:$B$105,0))),0))</f>
        <v/>
      </c>
      <c r="M59">
        <f>IF(OR(B59="",C59=""),0,IFERROR(N(INDEX(Ingredients!$AF$6:$AF$105,MATCH(C59,Ingredients!$B$6:$B$105,0))),0))</f>
        <v/>
      </c>
      <c r="N59">
        <f>IF(OR(B59="",C59=""),0,IFERROR(N(INDEX(Ingredients!$AG$6:$AG$105,MATCH(C59,Ingredients!$B$6:$B$105,0))),0))</f>
        <v/>
      </c>
      <c r="O59">
        <f>IF(OR(B59="",C59=""),0,IFERROR(N(INDEX(Ingredients!$AH$6:$AH$105,MATCH(C59,Ingredients!$B$6:$B$105,0))),0))</f>
        <v/>
      </c>
      <c r="P59">
        <f>IF(OR(B59="",C59=""),0,IFERROR(N(INDEX(Ingredients!$AI$6:$AI$105,MATCH(C59,Ingredients!$B$6:$B$105,0))),0))</f>
        <v/>
      </c>
      <c r="Q59">
        <f>IF(OR(B59="",C59=""),0,IFERROR(N(INDEX(Ingredients!$AJ$6:$AJ$105,MATCH(C59,Ingredients!$B$6:$B$105,0))),0))</f>
        <v/>
      </c>
      <c r="R59">
        <f>IF(OR(B59="",C59=""),0,IFERROR(N(INDEX(Ingredients!$AK$6:$AK$105,MATCH(C59,Ingredients!$B$6:$B$105,0))),0))</f>
        <v/>
      </c>
      <c r="S59">
        <f>IF(OR(B59="",C59=""),0,IFERROR(N(INDEX(Ingredients!$AL$6:$AL$105,MATCH(C59,Ingredients!$B$6:$B$105,0))),0))</f>
        <v/>
      </c>
      <c r="T59">
        <f>IF(OR(B59="",C59=""),0,IFERROR(N(INDEX(Ingredients!$AM$6:$AM$105,MATCH(C59,Ingredients!$B$6:$B$105,0))),0))</f>
        <v/>
      </c>
      <c r="U59">
        <f>IF(OR(B59="",C59=""),0,IFERROR(N(INDEX(Ingredients!$AN$6:$AN$105,MATCH(C59,Ingredients!$B$6:$B$105,0))),0))</f>
        <v/>
      </c>
      <c r="V59">
        <f>IF(OR(B59="",C59=""),0,IFERROR(N(INDEX(Ingredients!$AO$6:$AO$105,MATCH(C59,Ingredients!$B$6:$B$105,0))),0))</f>
        <v/>
      </c>
      <c r="W59">
        <f>IF(OR(B59="",C59=""),0,IFERROR(N(INDEX(Ingredients!$AP$6:$AP$105,MATCH(C59,Ingredients!$B$6:$B$105,0))),0))</f>
        <v/>
      </c>
      <c r="X59">
        <f>IF(OR(B59="",C59=""),0,IFERROR(N(INDEX(Ingredients!$AQ$6:$AQ$105,MATCH(C59,Ingredients!$B$6:$B$105,0))),0))</f>
        <v/>
      </c>
    </row>
    <row r="60">
      <c r="A60" s="1" t="n"/>
      <c r="B60" s="21" t="n"/>
      <c r="C60" s="39" t="n"/>
      <c r="D60" s="40" t="n"/>
      <c r="E60" s="12">
        <f>IF(C60="","",IF(ISNA(MATCH(C60,Ingredients!$B$6:$B$105,0)),"Not on Ingredients",IFERROR(IF(INDEX(Ingredients!$C$6:$C$105,MATCH(C60,Ingredients!$B$6:$B$105,0))="","",INDEX(Ingredients!$C$6:$C$105,MATCH(C60,Ingredients!$B$6:$B$105,0))),"")))</f>
        <v/>
      </c>
      <c r="F60" s="26">
        <f>IF(OR(B60="",C60=""),"",N(D60)*IFERROR(N(INDEX(Ingredients!$H$6:$H$105,MATCH(C60,Ingredients!$B$6:$B$105,0))),0))</f>
        <v/>
      </c>
      <c r="G60" s="1">
        <f>IF(OR(B60="",C60=""),0,IFERROR(N(INDEX(Products!$D$6:$D$45,MATCH(B60,Products!$B$6:$B$45,0))),0))</f>
        <v/>
      </c>
      <c r="H60">
        <f>IF(N(G60)=0,0,N(D60)*SUMIFS(Batches!$D$6:$D$505,Batches!$C$6:$C$505,B60)/G60)</f>
        <v/>
      </c>
      <c r="I60">
        <f>IF(OR(B60="",C60=""),"",IF(B60&lt;&gt;Label!$H$3,"",IF(IFERROR(N(INDEX(Ingredients!$AS$6:$AS$105,MATCH(C60,Ingredients!$B$6:$B$105,0))),0)=1,"",ROUND(N(D60)*1000,0)*100000+100000-ROW())))</f>
        <v/>
      </c>
      <c r="J60">
        <f>IF(OR(B60="",C60=""),0,IFERROR(N(INDEX(Ingredients!$AC$6:$AC$105,MATCH(C60,Ingredients!$B$6:$B$105,0))),0))</f>
        <v/>
      </c>
      <c r="K60">
        <f>IF(OR(B60="",C60=""),0,IFERROR(N(INDEX(Ingredients!$AD$6:$AD$105,MATCH(C60,Ingredients!$B$6:$B$105,0))),0))</f>
        <v/>
      </c>
      <c r="L60">
        <f>IF(OR(B60="",C60=""),0,IFERROR(N(INDEX(Ingredients!$AE$6:$AE$105,MATCH(C60,Ingredients!$B$6:$B$105,0))),0))</f>
        <v/>
      </c>
      <c r="M60">
        <f>IF(OR(B60="",C60=""),0,IFERROR(N(INDEX(Ingredients!$AF$6:$AF$105,MATCH(C60,Ingredients!$B$6:$B$105,0))),0))</f>
        <v/>
      </c>
      <c r="N60">
        <f>IF(OR(B60="",C60=""),0,IFERROR(N(INDEX(Ingredients!$AG$6:$AG$105,MATCH(C60,Ingredients!$B$6:$B$105,0))),0))</f>
        <v/>
      </c>
      <c r="O60">
        <f>IF(OR(B60="",C60=""),0,IFERROR(N(INDEX(Ingredients!$AH$6:$AH$105,MATCH(C60,Ingredients!$B$6:$B$105,0))),0))</f>
        <v/>
      </c>
      <c r="P60">
        <f>IF(OR(B60="",C60=""),0,IFERROR(N(INDEX(Ingredients!$AI$6:$AI$105,MATCH(C60,Ingredients!$B$6:$B$105,0))),0))</f>
        <v/>
      </c>
      <c r="Q60">
        <f>IF(OR(B60="",C60=""),0,IFERROR(N(INDEX(Ingredients!$AJ$6:$AJ$105,MATCH(C60,Ingredients!$B$6:$B$105,0))),0))</f>
        <v/>
      </c>
      <c r="R60">
        <f>IF(OR(B60="",C60=""),0,IFERROR(N(INDEX(Ingredients!$AK$6:$AK$105,MATCH(C60,Ingredients!$B$6:$B$105,0))),0))</f>
        <v/>
      </c>
      <c r="S60">
        <f>IF(OR(B60="",C60=""),0,IFERROR(N(INDEX(Ingredients!$AL$6:$AL$105,MATCH(C60,Ingredients!$B$6:$B$105,0))),0))</f>
        <v/>
      </c>
      <c r="T60">
        <f>IF(OR(B60="",C60=""),0,IFERROR(N(INDEX(Ingredients!$AM$6:$AM$105,MATCH(C60,Ingredients!$B$6:$B$105,0))),0))</f>
        <v/>
      </c>
      <c r="U60">
        <f>IF(OR(B60="",C60=""),0,IFERROR(N(INDEX(Ingredients!$AN$6:$AN$105,MATCH(C60,Ingredients!$B$6:$B$105,0))),0))</f>
        <v/>
      </c>
      <c r="V60">
        <f>IF(OR(B60="",C60=""),0,IFERROR(N(INDEX(Ingredients!$AO$6:$AO$105,MATCH(C60,Ingredients!$B$6:$B$105,0))),0))</f>
        <v/>
      </c>
      <c r="W60">
        <f>IF(OR(B60="",C60=""),0,IFERROR(N(INDEX(Ingredients!$AP$6:$AP$105,MATCH(C60,Ingredients!$B$6:$B$105,0))),0))</f>
        <v/>
      </c>
      <c r="X60">
        <f>IF(OR(B60="",C60=""),0,IFERROR(N(INDEX(Ingredients!$AQ$6:$AQ$105,MATCH(C60,Ingredients!$B$6:$B$105,0))),0))</f>
        <v/>
      </c>
    </row>
    <row r="61">
      <c r="A61" s="1" t="n"/>
      <c r="B61" s="21" t="n"/>
      <c r="C61" s="39" t="n"/>
      <c r="D61" s="40" t="n"/>
      <c r="E61" s="12">
        <f>IF(C61="","",IF(ISNA(MATCH(C61,Ingredients!$B$6:$B$105,0)),"Not on Ingredients",IFERROR(IF(INDEX(Ingredients!$C$6:$C$105,MATCH(C61,Ingredients!$B$6:$B$105,0))="","",INDEX(Ingredients!$C$6:$C$105,MATCH(C61,Ingredients!$B$6:$B$105,0))),"")))</f>
        <v/>
      </c>
      <c r="F61" s="26">
        <f>IF(OR(B61="",C61=""),"",N(D61)*IFERROR(N(INDEX(Ingredients!$H$6:$H$105,MATCH(C61,Ingredients!$B$6:$B$105,0))),0))</f>
        <v/>
      </c>
      <c r="G61" s="1">
        <f>IF(OR(B61="",C61=""),0,IFERROR(N(INDEX(Products!$D$6:$D$45,MATCH(B61,Products!$B$6:$B$45,0))),0))</f>
        <v/>
      </c>
      <c r="H61">
        <f>IF(N(G61)=0,0,N(D61)*SUMIFS(Batches!$D$6:$D$505,Batches!$C$6:$C$505,B61)/G61)</f>
        <v/>
      </c>
      <c r="I61">
        <f>IF(OR(B61="",C61=""),"",IF(B61&lt;&gt;Label!$H$3,"",IF(IFERROR(N(INDEX(Ingredients!$AS$6:$AS$105,MATCH(C61,Ingredients!$B$6:$B$105,0))),0)=1,"",ROUND(N(D61)*1000,0)*100000+100000-ROW())))</f>
        <v/>
      </c>
      <c r="J61">
        <f>IF(OR(B61="",C61=""),0,IFERROR(N(INDEX(Ingredients!$AC$6:$AC$105,MATCH(C61,Ingredients!$B$6:$B$105,0))),0))</f>
        <v/>
      </c>
      <c r="K61">
        <f>IF(OR(B61="",C61=""),0,IFERROR(N(INDEX(Ingredients!$AD$6:$AD$105,MATCH(C61,Ingredients!$B$6:$B$105,0))),0))</f>
        <v/>
      </c>
      <c r="L61">
        <f>IF(OR(B61="",C61=""),0,IFERROR(N(INDEX(Ingredients!$AE$6:$AE$105,MATCH(C61,Ingredients!$B$6:$B$105,0))),0))</f>
        <v/>
      </c>
      <c r="M61">
        <f>IF(OR(B61="",C61=""),0,IFERROR(N(INDEX(Ingredients!$AF$6:$AF$105,MATCH(C61,Ingredients!$B$6:$B$105,0))),0))</f>
        <v/>
      </c>
      <c r="N61">
        <f>IF(OR(B61="",C61=""),0,IFERROR(N(INDEX(Ingredients!$AG$6:$AG$105,MATCH(C61,Ingredients!$B$6:$B$105,0))),0))</f>
        <v/>
      </c>
      <c r="O61">
        <f>IF(OR(B61="",C61=""),0,IFERROR(N(INDEX(Ingredients!$AH$6:$AH$105,MATCH(C61,Ingredients!$B$6:$B$105,0))),0))</f>
        <v/>
      </c>
      <c r="P61">
        <f>IF(OR(B61="",C61=""),0,IFERROR(N(INDEX(Ingredients!$AI$6:$AI$105,MATCH(C61,Ingredients!$B$6:$B$105,0))),0))</f>
        <v/>
      </c>
      <c r="Q61">
        <f>IF(OR(B61="",C61=""),0,IFERROR(N(INDEX(Ingredients!$AJ$6:$AJ$105,MATCH(C61,Ingredients!$B$6:$B$105,0))),0))</f>
        <v/>
      </c>
      <c r="R61">
        <f>IF(OR(B61="",C61=""),0,IFERROR(N(INDEX(Ingredients!$AK$6:$AK$105,MATCH(C61,Ingredients!$B$6:$B$105,0))),0))</f>
        <v/>
      </c>
      <c r="S61">
        <f>IF(OR(B61="",C61=""),0,IFERROR(N(INDEX(Ingredients!$AL$6:$AL$105,MATCH(C61,Ingredients!$B$6:$B$105,0))),0))</f>
        <v/>
      </c>
      <c r="T61">
        <f>IF(OR(B61="",C61=""),0,IFERROR(N(INDEX(Ingredients!$AM$6:$AM$105,MATCH(C61,Ingredients!$B$6:$B$105,0))),0))</f>
        <v/>
      </c>
      <c r="U61">
        <f>IF(OR(B61="",C61=""),0,IFERROR(N(INDEX(Ingredients!$AN$6:$AN$105,MATCH(C61,Ingredients!$B$6:$B$105,0))),0))</f>
        <v/>
      </c>
      <c r="V61">
        <f>IF(OR(B61="",C61=""),0,IFERROR(N(INDEX(Ingredients!$AO$6:$AO$105,MATCH(C61,Ingredients!$B$6:$B$105,0))),0))</f>
        <v/>
      </c>
      <c r="W61">
        <f>IF(OR(B61="",C61=""),0,IFERROR(N(INDEX(Ingredients!$AP$6:$AP$105,MATCH(C61,Ingredients!$B$6:$B$105,0))),0))</f>
        <v/>
      </c>
      <c r="X61">
        <f>IF(OR(B61="",C61=""),0,IFERROR(N(INDEX(Ingredients!$AQ$6:$AQ$105,MATCH(C61,Ingredients!$B$6:$B$105,0))),0))</f>
        <v/>
      </c>
    </row>
    <row r="62">
      <c r="A62" s="1" t="n"/>
      <c r="B62" s="21" t="n"/>
      <c r="C62" s="39" t="n"/>
      <c r="D62" s="40" t="n"/>
      <c r="E62" s="12">
        <f>IF(C62="","",IF(ISNA(MATCH(C62,Ingredients!$B$6:$B$105,0)),"Not on Ingredients",IFERROR(IF(INDEX(Ingredients!$C$6:$C$105,MATCH(C62,Ingredients!$B$6:$B$105,0))="","",INDEX(Ingredients!$C$6:$C$105,MATCH(C62,Ingredients!$B$6:$B$105,0))),"")))</f>
        <v/>
      </c>
      <c r="F62" s="26">
        <f>IF(OR(B62="",C62=""),"",N(D62)*IFERROR(N(INDEX(Ingredients!$H$6:$H$105,MATCH(C62,Ingredients!$B$6:$B$105,0))),0))</f>
        <v/>
      </c>
      <c r="G62" s="1">
        <f>IF(OR(B62="",C62=""),0,IFERROR(N(INDEX(Products!$D$6:$D$45,MATCH(B62,Products!$B$6:$B$45,0))),0))</f>
        <v/>
      </c>
      <c r="H62">
        <f>IF(N(G62)=0,0,N(D62)*SUMIFS(Batches!$D$6:$D$505,Batches!$C$6:$C$505,B62)/G62)</f>
        <v/>
      </c>
      <c r="I62">
        <f>IF(OR(B62="",C62=""),"",IF(B62&lt;&gt;Label!$H$3,"",IF(IFERROR(N(INDEX(Ingredients!$AS$6:$AS$105,MATCH(C62,Ingredients!$B$6:$B$105,0))),0)=1,"",ROUND(N(D62)*1000,0)*100000+100000-ROW())))</f>
        <v/>
      </c>
      <c r="J62">
        <f>IF(OR(B62="",C62=""),0,IFERROR(N(INDEX(Ingredients!$AC$6:$AC$105,MATCH(C62,Ingredients!$B$6:$B$105,0))),0))</f>
        <v/>
      </c>
      <c r="K62">
        <f>IF(OR(B62="",C62=""),0,IFERROR(N(INDEX(Ingredients!$AD$6:$AD$105,MATCH(C62,Ingredients!$B$6:$B$105,0))),0))</f>
        <v/>
      </c>
      <c r="L62">
        <f>IF(OR(B62="",C62=""),0,IFERROR(N(INDEX(Ingredients!$AE$6:$AE$105,MATCH(C62,Ingredients!$B$6:$B$105,0))),0))</f>
        <v/>
      </c>
      <c r="M62">
        <f>IF(OR(B62="",C62=""),0,IFERROR(N(INDEX(Ingredients!$AF$6:$AF$105,MATCH(C62,Ingredients!$B$6:$B$105,0))),0))</f>
        <v/>
      </c>
      <c r="N62">
        <f>IF(OR(B62="",C62=""),0,IFERROR(N(INDEX(Ingredients!$AG$6:$AG$105,MATCH(C62,Ingredients!$B$6:$B$105,0))),0))</f>
        <v/>
      </c>
      <c r="O62">
        <f>IF(OR(B62="",C62=""),0,IFERROR(N(INDEX(Ingredients!$AH$6:$AH$105,MATCH(C62,Ingredients!$B$6:$B$105,0))),0))</f>
        <v/>
      </c>
      <c r="P62">
        <f>IF(OR(B62="",C62=""),0,IFERROR(N(INDEX(Ingredients!$AI$6:$AI$105,MATCH(C62,Ingredients!$B$6:$B$105,0))),0))</f>
        <v/>
      </c>
      <c r="Q62">
        <f>IF(OR(B62="",C62=""),0,IFERROR(N(INDEX(Ingredients!$AJ$6:$AJ$105,MATCH(C62,Ingredients!$B$6:$B$105,0))),0))</f>
        <v/>
      </c>
      <c r="R62">
        <f>IF(OR(B62="",C62=""),0,IFERROR(N(INDEX(Ingredients!$AK$6:$AK$105,MATCH(C62,Ingredients!$B$6:$B$105,0))),0))</f>
        <v/>
      </c>
      <c r="S62">
        <f>IF(OR(B62="",C62=""),0,IFERROR(N(INDEX(Ingredients!$AL$6:$AL$105,MATCH(C62,Ingredients!$B$6:$B$105,0))),0))</f>
        <v/>
      </c>
      <c r="T62">
        <f>IF(OR(B62="",C62=""),0,IFERROR(N(INDEX(Ingredients!$AM$6:$AM$105,MATCH(C62,Ingredients!$B$6:$B$105,0))),0))</f>
        <v/>
      </c>
      <c r="U62">
        <f>IF(OR(B62="",C62=""),0,IFERROR(N(INDEX(Ingredients!$AN$6:$AN$105,MATCH(C62,Ingredients!$B$6:$B$105,0))),0))</f>
        <v/>
      </c>
      <c r="V62">
        <f>IF(OR(B62="",C62=""),0,IFERROR(N(INDEX(Ingredients!$AO$6:$AO$105,MATCH(C62,Ingredients!$B$6:$B$105,0))),0))</f>
        <v/>
      </c>
      <c r="W62">
        <f>IF(OR(B62="",C62=""),0,IFERROR(N(INDEX(Ingredients!$AP$6:$AP$105,MATCH(C62,Ingredients!$B$6:$B$105,0))),0))</f>
        <v/>
      </c>
      <c r="X62">
        <f>IF(OR(B62="",C62=""),0,IFERROR(N(INDEX(Ingredients!$AQ$6:$AQ$105,MATCH(C62,Ingredients!$B$6:$B$105,0))),0))</f>
        <v/>
      </c>
    </row>
    <row r="63">
      <c r="A63" s="1" t="n"/>
      <c r="B63" s="21" t="n"/>
      <c r="C63" s="39" t="n"/>
      <c r="D63" s="40" t="n"/>
      <c r="E63" s="12">
        <f>IF(C63="","",IF(ISNA(MATCH(C63,Ingredients!$B$6:$B$105,0)),"Not on Ingredients",IFERROR(IF(INDEX(Ingredients!$C$6:$C$105,MATCH(C63,Ingredients!$B$6:$B$105,0))="","",INDEX(Ingredients!$C$6:$C$105,MATCH(C63,Ingredients!$B$6:$B$105,0))),"")))</f>
        <v/>
      </c>
      <c r="F63" s="26">
        <f>IF(OR(B63="",C63=""),"",N(D63)*IFERROR(N(INDEX(Ingredients!$H$6:$H$105,MATCH(C63,Ingredients!$B$6:$B$105,0))),0))</f>
        <v/>
      </c>
      <c r="G63" s="1">
        <f>IF(OR(B63="",C63=""),0,IFERROR(N(INDEX(Products!$D$6:$D$45,MATCH(B63,Products!$B$6:$B$45,0))),0))</f>
        <v/>
      </c>
      <c r="H63">
        <f>IF(N(G63)=0,0,N(D63)*SUMIFS(Batches!$D$6:$D$505,Batches!$C$6:$C$505,B63)/G63)</f>
        <v/>
      </c>
      <c r="I63">
        <f>IF(OR(B63="",C63=""),"",IF(B63&lt;&gt;Label!$H$3,"",IF(IFERROR(N(INDEX(Ingredients!$AS$6:$AS$105,MATCH(C63,Ingredients!$B$6:$B$105,0))),0)=1,"",ROUND(N(D63)*1000,0)*100000+100000-ROW())))</f>
        <v/>
      </c>
      <c r="J63">
        <f>IF(OR(B63="",C63=""),0,IFERROR(N(INDEX(Ingredients!$AC$6:$AC$105,MATCH(C63,Ingredients!$B$6:$B$105,0))),0))</f>
        <v/>
      </c>
      <c r="K63">
        <f>IF(OR(B63="",C63=""),0,IFERROR(N(INDEX(Ingredients!$AD$6:$AD$105,MATCH(C63,Ingredients!$B$6:$B$105,0))),0))</f>
        <v/>
      </c>
      <c r="L63">
        <f>IF(OR(B63="",C63=""),0,IFERROR(N(INDEX(Ingredients!$AE$6:$AE$105,MATCH(C63,Ingredients!$B$6:$B$105,0))),0))</f>
        <v/>
      </c>
      <c r="M63">
        <f>IF(OR(B63="",C63=""),0,IFERROR(N(INDEX(Ingredients!$AF$6:$AF$105,MATCH(C63,Ingredients!$B$6:$B$105,0))),0))</f>
        <v/>
      </c>
      <c r="N63">
        <f>IF(OR(B63="",C63=""),0,IFERROR(N(INDEX(Ingredients!$AG$6:$AG$105,MATCH(C63,Ingredients!$B$6:$B$105,0))),0))</f>
        <v/>
      </c>
      <c r="O63">
        <f>IF(OR(B63="",C63=""),0,IFERROR(N(INDEX(Ingredients!$AH$6:$AH$105,MATCH(C63,Ingredients!$B$6:$B$105,0))),0))</f>
        <v/>
      </c>
      <c r="P63">
        <f>IF(OR(B63="",C63=""),0,IFERROR(N(INDEX(Ingredients!$AI$6:$AI$105,MATCH(C63,Ingredients!$B$6:$B$105,0))),0))</f>
        <v/>
      </c>
      <c r="Q63">
        <f>IF(OR(B63="",C63=""),0,IFERROR(N(INDEX(Ingredients!$AJ$6:$AJ$105,MATCH(C63,Ingredients!$B$6:$B$105,0))),0))</f>
        <v/>
      </c>
      <c r="R63">
        <f>IF(OR(B63="",C63=""),0,IFERROR(N(INDEX(Ingredients!$AK$6:$AK$105,MATCH(C63,Ingredients!$B$6:$B$105,0))),0))</f>
        <v/>
      </c>
      <c r="S63">
        <f>IF(OR(B63="",C63=""),0,IFERROR(N(INDEX(Ingredients!$AL$6:$AL$105,MATCH(C63,Ingredients!$B$6:$B$105,0))),0))</f>
        <v/>
      </c>
      <c r="T63">
        <f>IF(OR(B63="",C63=""),0,IFERROR(N(INDEX(Ingredients!$AM$6:$AM$105,MATCH(C63,Ingredients!$B$6:$B$105,0))),0))</f>
        <v/>
      </c>
      <c r="U63">
        <f>IF(OR(B63="",C63=""),0,IFERROR(N(INDEX(Ingredients!$AN$6:$AN$105,MATCH(C63,Ingredients!$B$6:$B$105,0))),0))</f>
        <v/>
      </c>
      <c r="V63">
        <f>IF(OR(B63="",C63=""),0,IFERROR(N(INDEX(Ingredients!$AO$6:$AO$105,MATCH(C63,Ingredients!$B$6:$B$105,0))),0))</f>
        <v/>
      </c>
      <c r="W63">
        <f>IF(OR(B63="",C63=""),0,IFERROR(N(INDEX(Ingredients!$AP$6:$AP$105,MATCH(C63,Ingredients!$B$6:$B$105,0))),0))</f>
        <v/>
      </c>
      <c r="X63">
        <f>IF(OR(B63="",C63=""),0,IFERROR(N(INDEX(Ingredients!$AQ$6:$AQ$105,MATCH(C63,Ingredients!$B$6:$B$105,0))),0))</f>
        <v/>
      </c>
    </row>
    <row r="64">
      <c r="A64" s="1" t="n"/>
      <c r="B64" s="21" t="n"/>
      <c r="C64" s="39" t="n"/>
      <c r="D64" s="40" t="n"/>
      <c r="E64" s="12">
        <f>IF(C64="","",IF(ISNA(MATCH(C64,Ingredients!$B$6:$B$105,0)),"Not on Ingredients",IFERROR(IF(INDEX(Ingredients!$C$6:$C$105,MATCH(C64,Ingredients!$B$6:$B$105,0))="","",INDEX(Ingredients!$C$6:$C$105,MATCH(C64,Ingredients!$B$6:$B$105,0))),"")))</f>
        <v/>
      </c>
      <c r="F64" s="26">
        <f>IF(OR(B64="",C64=""),"",N(D64)*IFERROR(N(INDEX(Ingredients!$H$6:$H$105,MATCH(C64,Ingredients!$B$6:$B$105,0))),0))</f>
        <v/>
      </c>
      <c r="G64" s="1">
        <f>IF(OR(B64="",C64=""),0,IFERROR(N(INDEX(Products!$D$6:$D$45,MATCH(B64,Products!$B$6:$B$45,0))),0))</f>
        <v/>
      </c>
      <c r="H64">
        <f>IF(N(G64)=0,0,N(D64)*SUMIFS(Batches!$D$6:$D$505,Batches!$C$6:$C$505,B64)/G64)</f>
        <v/>
      </c>
      <c r="I64">
        <f>IF(OR(B64="",C64=""),"",IF(B64&lt;&gt;Label!$H$3,"",IF(IFERROR(N(INDEX(Ingredients!$AS$6:$AS$105,MATCH(C64,Ingredients!$B$6:$B$105,0))),0)=1,"",ROUND(N(D64)*1000,0)*100000+100000-ROW())))</f>
        <v/>
      </c>
      <c r="J64">
        <f>IF(OR(B64="",C64=""),0,IFERROR(N(INDEX(Ingredients!$AC$6:$AC$105,MATCH(C64,Ingredients!$B$6:$B$105,0))),0))</f>
        <v/>
      </c>
      <c r="K64">
        <f>IF(OR(B64="",C64=""),0,IFERROR(N(INDEX(Ingredients!$AD$6:$AD$105,MATCH(C64,Ingredients!$B$6:$B$105,0))),0))</f>
        <v/>
      </c>
      <c r="L64">
        <f>IF(OR(B64="",C64=""),0,IFERROR(N(INDEX(Ingredients!$AE$6:$AE$105,MATCH(C64,Ingredients!$B$6:$B$105,0))),0))</f>
        <v/>
      </c>
      <c r="M64">
        <f>IF(OR(B64="",C64=""),0,IFERROR(N(INDEX(Ingredients!$AF$6:$AF$105,MATCH(C64,Ingredients!$B$6:$B$105,0))),0))</f>
        <v/>
      </c>
      <c r="N64">
        <f>IF(OR(B64="",C64=""),0,IFERROR(N(INDEX(Ingredients!$AG$6:$AG$105,MATCH(C64,Ingredients!$B$6:$B$105,0))),0))</f>
        <v/>
      </c>
      <c r="O64">
        <f>IF(OR(B64="",C64=""),0,IFERROR(N(INDEX(Ingredients!$AH$6:$AH$105,MATCH(C64,Ingredients!$B$6:$B$105,0))),0))</f>
        <v/>
      </c>
      <c r="P64">
        <f>IF(OR(B64="",C64=""),0,IFERROR(N(INDEX(Ingredients!$AI$6:$AI$105,MATCH(C64,Ingredients!$B$6:$B$105,0))),0))</f>
        <v/>
      </c>
      <c r="Q64">
        <f>IF(OR(B64="",C64=""),0,IFERROR(N(INDEX(Ingredients!$AJ$6:$AJ$105,MATCH(C64,Ingredients!$B$6:$B$105,0))),0))</f>
        <v/>
      </c>
      <c r="R64">
        <f>IF(OR(B64="",C64=""),0,IFERROR(N(INDEX(Ingredients!$AK$6:$AK$105,MATCH(C64,Ingredients!$B$6:$B$105,0))),0))</f>
        <v/>
      </c>
      <c r="S64">
        <f>IF(OR(B64="",C64=""),0,IFERROR(N(INDEX(Ingredients!$AL$6:$AL$105,MATCH(C64,Ingredients!$B$6:$B$105,0))),0))</f>
        <v/>
      </c>
      <c r="T64">
        <f>IF(OR(B64="",C64=""),0,IFERROR(N(INDEX(Ingredients!$AM$6:$AM$105,MATCH(C64,Ingredients!$B$6:$B$105,0))),0))</f>
        <v/>
      </c>
      <c r="U64">
        <f>IF(OR(B64="",C64=""),0,IFERROR(N(INDEX(Ingredients!$AN$6:$AN$105,MATCH(C64,Ingredients!$B$6:$B$105,0))),0))</f>
        <v/>
      </c>
      <c r="V64">
        <f>IF(OR(B64="",C64=""),0,IFERROR(N(INDEX(Ingredients!$AO$6:$AO$105,MATCH(C64,Ingredients!$B$6:$B$105,0))),0))</f>
        <v/>
      </c>
      <c r="W64">
        <f>IF(OR(B64="",C64=""),0,IFERROR(N(INDEX(Ingredients!$AP$6:$AP$105,MATCH(C64,Ingredients!$B$6:$B$105,0))),0))</f>
        <v/>
      </c>
      <c r="X64">
        <f>IF(OR(B64="",C64=""),0,IFERROR(N(INDEX(Ingredients!$AQ$6:$AQ$105,MATCH(C64,Ingredients!$B$6:$B$105,0))),0))</f>
        <v/>
      </c>
    </row>
    <row r="65">
      <c r="A65" s="1" t="n"/>
      <c r="B65" s="21" t="n"/>
      <c r="C65" s="39" t="n"/>
      <c r="D65" s="40" t="n"/>
      <c r="E65" s="12">
        <f>IF(C65="","",IF(ISNA(MATCH(C65,Ingredients!$B$6:$B$105,0)),"Not on Ingredients",IFERROR(IF(INDEX(Ingredients!$C$6:$C$105,MATCH(C65,Ingredients!$B$6:$B$105,0))="","",INDEX(Ingredients!$C$6:$C$105,MATCH(C65,Ingredients!$B$6:$B$105,0))),"")))</f>
        <v/>
      </c>
      <c r="F65" s="26">
        <f>IF(OR(B65="",C65=""),"",N(D65)*IFERROR(N(INDEX(Ingredients!$H$6:$H$105,MATCH(C65,Ingredients!$B$6:$B$105,0))),0))</f>
        <v/>
      </c>
      <c r="G65" s="1">
        <f>IF(OR(B65="",C65=""),0,IFERROR(N(INDEX(Products!$D$6:$D$45,MATCH(B65,Products!$B$6:$B$45,0))),0))</f>
        <v/>
      </c>
      <c r="H65">
        <f>IF(N(G65)=0,0,N(D65)*SUMIFS(Batches!$D$6:$D$505,Batches!$C$6:$C$505,B65)/G65)</f>
        <v/>
      </c>
      <c r="I65">
        <f>IF(OR(B65="",C65=""),"",IF(B65&lt;&gt;Label!$H$3,"",IF(IFERROR(N(INDEX(Ingredients!$AS$6:$AS$105,MATCH(C65,Ingredients!$B$6:$B$105,0))),0)=1,"",ROUND(N(D65)*1000,0)*100000+100000-ROW())))</f>
        <v/>
      </c>
      <c r="J65">
        <f>IF(OR(B65="",C65=""),0,IFERROR(N(INDEX(Ingredients!$AC$6:$AC$105,MATCH(C65,Ingredients!$B$6:$B$105,0))),0))</f>
        <v/>
      </c>
      <c r="K65">
        <f>IF(OR(B65="",C65=""),0,IFERROR(N(INDEX(Ingredients!$AD$6:$AD$105,MATCH(C65,Ingredients!$B$6:$B$105,0))),0))</f>
        <v/>
      </c>
      <c r="L65">
        <f>IF(OR(B65="",C65=""),0,IFERROR(N(INDEX(Ingredients!$AE$6:$AE$105,MATCH(C65,Ingredients!$B$6:$B$105,0))),0))</f>
        <v/>
      </c>
      <c r="M65">
        <f>IF(OR(B65="",C65=""),0,IFERROR(N(INDEX(Ingredients!$AF$6:$AF$105,MATCH(C65,Ingredients!$B$6:$B$105,0))),0))</f>
        <v/>
      </c>
      <c r="N65">
        <f>IF(OR(B65="",C65=""),0,IFERROR(N(INDEX(Ingredients!$AG$6:$AG$105,MATCH(C65,Ingredients!$B$6:$B$105,0))),0))</f>
        <v/>
      </c>
      <c r="O65">
        <f>IF(OR(B65="",C65=""),0,IFERROR(N(INDEX(Ingredients!$AH$6:$AH$105,MATCH(C65,Ingredients!$B$6:$B$105,0))),0))</f>
        <v/>
      </c>
      <c r="P65">
        <f>IF(OR(B65="",C65=""),0,IFERROR(N(INDEX(Ingredients!$AI$6:$AI$105,MATCH(C65,Ingredients!$B$6:$B$105,0))),0))</f>
        <v/>
      </c>
      <c r="Q65">
        <f>IF(OR(B65="",C65=""),0,IFERROR(N(INDEX(Ingredients!$AJ$6:$AJ$105,MATCH(C65,Ingredients!$B$6:$B$105,0))),0))</f>
        <v/>
      </c>
      <c r="R65">
        <f>IF(OR(B65="",C65=""),0,IFERROR(N(INDEX(Ingredients!$AK$6:$AK$105,MATCH(C65,Ingredients!$B$6:$B$105,0))),0))</f>
        <v/>
      </c>
      <c r="S65">
        <f>IF(OR(B65="",C65=""),0,IFERROR(N(INDEX(Ingredients!$AL$6:$AL$105,MATCH(C65,Ingredients!$B$6:$B$105,0))),0))</f>
        <v/>
      </c>
      <c r="T65">
        <f>IF(OR(B65="",C65=""),0,IFERROR(N(INDEX(Ingredients!$AM$6:$AM$105,MATCH(C65,Ingredients!$B$6:$B$105,0))),0))</f>
        <v/>
      </c>
      <c r="U65">
        <f>IF(OR(B65="",C65=""),0,IFERROR(N(INDEX(Ingredients!$AN$6:$AN$105,MATCH(C65,Ingredients!$B$6:$B$105,0))),0))</f>
        <v/>
      </c>
      <c r="V65">
        <f>IF(OR(B65="",C65=""),0,IFERROR(N(INDEX(Ingredients!$AO$6:$AO$105,MATCH(C65,Ingredients!$B$6:$B$105,0))),0))</f>
        <v/>
      </c>
      <c r="W65">
        <f>IF(OR(B65="",C65=""),0,IFERROR(N(INDEX(Ingredients!$AP$6:$AP$105,MATCH(C65,Ingredients!$B$6:$B$105,0))),0))</f>
        <v/>
      </c>
      <c r="X65">
        <f>IF(OR(B65="",C65=""),0,IFERROR(N(INDEX(Ingredients!$AQ$6:$AQ$105,MATCH(C65,Ingredients!$B$6:$B$105,0))),0))</f>
        <v/>
      </c>
    </row>
    <row r="66">
      <c r="A66" s="1" t="n"/>
      <c r="B66" s="21" t="n"/>
      <c r="C66" s="39" t="n"/>
      <c r="D66" s="40" t="n"/>
      <c r="E66" s="12">
        <f>IF(C66="","",IF(ISNA(MATCH(C66,Ingredients!$B$6:$B$105,0)),"Not on Ingredients",IFERROR(IF(INDEX(Ingredients!$C$6:$C$105,MATCH(C66,Ingredients!$B$6:$B$105,0))="","",INDEX(Ingredients!$C$6:$C$105,MATCH(C66,Ingredients!$B$6:$B$105,0))),"")))</f>
        <v/>
      </c>
      <c r="F66" s="26">
        <f>IF(OR(B66="",C66=""),"",N(D66)*IFERROR(N(INDEX(Ingredients!$H$6:$H$105,MATCH(C66,Ingredients!$B$6:$B$105,0))),0))</f>
        <v/>
      </c>
      <c r="G66" s="1">
        <f>IF(OR(B66="",C66=""),0,IFERROR(N(INDEX(Products!$D$6:$D$45,MATCH(B66,Products!$B$6:$B$45,0))),0))</f>
        <v/>
      </c>
      <c r="H66">
        <f>IF(N(G66)=0,0,N(D66)*SUMIFS(Batches!$D$6:$D$505,Batches!$C$6:$C$505,B66)/G66)</f>
        <v/>
      </c>
      <c r="I66">
        <f>IF(OR(B66="",C66=""),"",IF(B66&lt;&gt;Label!$H$3,"",IF(IFERROR(N(INDEX(Ingredients!$AS$6:$AS$105,MATCH(C66,Ingredients!$B$6:$B$105,0))),0)=1,"",ROUND(N(D66)*1000,0)*100000+100000-ROW())))</f>
        <v/>
      </c>
      <c r="J66">
        <f>IF(OR(B66="",C66=""),0,IFERROR(N(INDEX(Ingredients!$AC$6:$AC$105,MATCH(C66,Ingredients!$B$6:$B$105,0))),0))</f>
        <v/>
      </c>
      <c r="K66">
        <f>IF(OR(B66="",C66=""),0,IFERROR(N(INDEX(Ingredients!$AD$6:$AD$105,MATCH(C66,Ingredients!$B$6:$B$105,0))),0))</f>
        <v/>
      </c>
      <c r="L66">
        <f>IF(OR(B66="",C66=""),0,IFERROR(N(INDEX(Ingredients!$AE$6:$AE$105,MATCH(C66,Ingredients!$B$6:$B$105,0))),0))</f>
        <v/>
      </c>
      <c r="M66">
        <f>IF(OR(B66="",C66=""),0,IFERROR(N(INDEX(Ingredients!$AF$6:$AF$105,MATCH(C66,Ingredients!$B$6:$B$105,0))),0))</f>
        <v/>
      </c>
      <c r="N66">
        <f>IF(OR(B66="",C66=""),0,IFERROR(N(INDEX(Ingredients!$AG$6:$AG$105,MATCH(C66,Ingredients!$B$6:$B$105,0))),0))</f>
        <v/>
      </c>
      <c r="O66">
        <f>IF(OR(B66="",C66=""),0,IFERROR(N(INDEX(Ingredients!$AH$6:$AH$105,MATCH(C66,Ingredients!$B$6:$B$105,0))),0))</f>
        <v/>
      </c>
      <c r="P66">
        <f>IF(OR(B66="",C66=""),0,IFERROR(N(INDEX(Ingredients!$AI$6:$AI$105,MATCH(C66,Ingredients!$B$6:$B$105,0))),0))</f>
        <v/>
      </c>
      <c r="Q66">
        <f>IF(OR(B66="",C66=""),0,IFERROR(N(INDEX(Ingredients!$AJ$6:$AJ$105,MATCH(C66,Ingredients!$B$6:$B$105,0))),0))</f>
        <v/>
      </c>
      <c r="R66">
        <f>IF(OR(B66="",C66=""),0,IFERROR(N(INDEX(Ingredients!$AK$6:$AK$105,MATCH(C66,Ingredients!$B$6:$B$105,0))),0))</f>
        <v/>
      </c>
      <c r="S66">
        <f>IF(OR(B66="",C66=""),0,IFERROR(N(INDEX(Ingredients!$AL$6:$AL$105,MATCH(C66,Ingredients!$B$6:$B$105,0))),0))</f>
        <v/>
      </c>
      <c r="T66">
        <f>IF(OR(B66="",C66=""),0,IFERROR(N(INDEX(Ingredients!$AM$6:$AM$105,MATCH(C66,Ingredients!$B$6:$B$105,0))),0))</f>
        <v/>
      </c>
      <c r="U66">
        <f>IF(OR(B66="",C66=""),0,IFERROR(N(INDEX(Ingredients!$AN$6:$AN$105,MATCH(C66,Ingredients!$B$6:$B$105,0))),0))</f>
        <v/>
      </c>
      <c r="V66">
        <f>IF(OR(B66="",C66=""),0,IFERROR(N(INDEX(Ingredients!$AO$6:$AO$105,MATCH(C66,Ingredients!$B$6:$B$105,0))),0))</f>
        <v/>
      </c>
      <c r="W66">
        <f>IF(OR(B66="",C66=""),0,IFERROR(N(INDEX(Ingredients!$AP$6:$AP$105,MATCH(C66,Ingredients!$B$6:$B$105,0))),0))</f>
        <v/>
      </c>
      <c r="X66">
        <f>IF(OR(B66="",C66=""),0,IFERROR(N(INDEX(Ingredients!$AQ$6:$AQ$105,MATCH(C66,Ingredients!$B$6:$B$105,0))),0))</f>
        <v/>
      </c>
    </row>
    <row r="67">
      <c r="A67" s="1" t="n"/>
      <c r="B67" s="21" t="n"/>
      <c r="C67" s="39" t="n"/>
      <c r="D67" s="40" t="n"/>
      <c r="E67" s="12">
        <f>IF(C67="","",IF(ISNA(MATCH(C67,Ingredients!$B$6:$B$105,0)),"Not on Ingredients",IFERROR(IF(INDEX(Ingredients!$C$6:$C$105,MATCH(C67,Ingredients!$B$6:$B$105,0))="","",INDEX(Ingredients!$C$6:$C$105,MATCH(C67,Ingredients!$B$6:$B$105,0))),"")))</f>
        <v/>
      </c>
      <c r="F67" s="26">
        <f>IF(OR(B67="",C67=""),"",N(D67)*IFERROR(N(INDEX(Ingredients!$H$6:$H$105,MATCH(C67,Ingredients!$B$6:$B$105,0))),0))</f>
        <v/>
      </c>
      <c r="G67" s="1">
        <f>IF(OR(B67="",C67=""),0,IFERROR(N(INDEX(Products!$D$6:$D$45,MATCH(B67,Products!$B$6:$B$45,0))),0))</f>
        <v/>
      </c>
      <c r="H67">
        <f>IF(N(G67)=0,0,N(D67)*SUMIFS(Batches!$D$6:$D$505,Batches!$C$6:$C$505,B67)/G67)</f>
        <v/>
      </c>
      <c r="I67">
        <f>IF(OR(B67="",C67=""),"",IF(B67&lt;&gt;Label!$H$3,"",IF(IFERROR(N(INDEX(Ingredients!$AS$6:$AS$105,MATCH(C67,Ingredients!$B$6:$B$105,0))),0)=1,"",ROUND(N(D67)*1000,0)*100000+100000-ROW())))</f>
        <v/>
      </c>
      <c r="J67">
        <f>IF(OR(B67="",C67=""),0,IFERROR(N(INDEX(Ingredients!$AC$6:$AC$105,MATCH(C67,Ingredients!$B$6:$B$105,0))),0))</f>
        <v/>
      </c>
      <c r="K67">
        <f>IF(OR(B67="",C67=""),0,IFERROR(N(INDEX(Ingredients!$AD$6:$AD$105,MATCH(C67,Ingredients!$B$6:$B$105,0))),0))</f>
        <v/>
      </c>
      <c r="L67">
        <f>IF(OR(B67="",C67=""),0,IFERROR(N(INDEX(Ingredients!$AE$6:$AE$105,MATCH(C67,Ingredients!$B$6:$B$105,0))),0))</f>
        <v/>
      </c>
      <c r="M67">
        <f>IF(OR(B67="",C67=""),0,IFERROR(N(INDEX(Ingredients!$AF$6:$AF$105,MATCH(C67,Ingredients!$B$6:$B$105,0))),0))</f>
        <v/>
      </c>
      <c r="N67">
        <f>IF(OR(B67="",C67=""),0,IFERROR(N(INDEX(Ingredients!$AG$6:$AG$105,MATCH(C67,Ingredients!$B$6:$B$105,0))),0))</f>
        <v/>
      </c>
      <c r="O67">
        <f>IF(OR(B67="",C67=""),0,IFERROR(N(INDEX(Ingredients!$AH$6:$AH$105,MATCH(C67,Ingredients!$B$6:$B$105,0))),0))</f>
        <v/>
      </c>
      <c r="P67">
        <f>IF(OR(B67="",C67=""),0,IFERROR(N(INDEX(Ingredients!$AI$6:$AI$105,MATCH(C67,Ingredients!$B$6:$B$105,0))),0))</f>
        <v/>
      </c>
      <c r="Q67">
        <f>IF(OR(B67="",C67=""),0,IFERROR(N(INDEX(Ingredients!$AJ$6:$AJ$105,MATCH(C67,Ingredients!$B$6:$B$105,0))),0))</f>
        <v/>
      </c>
      <c r="R67">
        <f>IF(OR(B67="",C67=""),0,IFERROR(N(INDEX(Ingredients!$AK$6:$AK$105,MATCH(C67,Ingredients!$B$6:$B$105,0))),0))</f>
        <v/>
      </c>
      <c r="S67">
        <f>IF(OR(B67="",C67=""),0,IFERROR(N(INDEX(Ingredients!$AL$6:$AL$105,MATCH(C67,Ingredients!$B$6:$B$105,0))),0))</f>
        <v/>
      </c>
      <c r="T67">
        <f>IF(OR(B67="",C67=""),0,IFERROR(N(INDEX(Ingredients!$AM$6:$AM$105,MATCH(C67,Ingredients!$B$6:$B$105,0))),0))</f>
        <v/>
      </c>
      <c r="U67">
        <f>IF(OR(B67="",C67=""),0,IFERROR(N(INDEX(Ingredients!$AN$6:$AN$105,MATCH(C67,Ingredients!$B$6:$B$105,0))),0))</f>
        <v/>
      </c>
      <c r="V67">
        <f>IF(OR(B67="",C67=""),0,IFERROR(N(INDEX(Ingredients!$AO$6:$AO$105,MATCH(C67,Ingredients!$B$6:$B$105,0))),0))</f>
        <v/>
      </c>
      <c r="W67">
        <f>IF(OR(B67="",C67=""),0,IFERROR(N(INDEX(Ingredients!$AP$6:$AP$105,MATCH(C67,Ingredients!$B$6:$B$105,0))),0))</f>
        <v/>
      </c>
      <c r="X67">
        <f>IF(OR(B67="",C67=""),0,IFERROR(N(INDEX(Ingredients!$AQ$6:$AQ$105,MATCH(C67,Ingredients!$B$6:$B$105,0))),0))</f>
        <v/>
      </c>
    </row>
    <row r="68">
      <c r="A68" s="1" t="n"/>
      <c r="B68" s="21" t="n"/>
      <c r="C68" s="39" t="n"/>
      <c r="D68" s="40" t="n"/>
      <c r="E68" s="12">
        <f>IF(C68="","",IF(ISNA(MATCH(C68,Ingredients!$B$6:$B$105,0)),"Not on Ingredients",IFERROR(IF(INDEX(Ingredients!$C$6:$C$105,MATCH(C68,Ingredients!$B$6:$B$105,0))="","",INDEX(Ingredients!$C$6:$C$105,MATCH(C68,Ingredients!$B$6:$B$105,0))),"")))</f>
        <v/>
      </c>
      <c r="F68" s="26">
        <f>IF(OR(B68="",C68=""),"",N(D68)*IFERROR(N(INDEX(Ingredients!$H$6:$H$105,MATCH(C68,Ingredients!$B$6:$B$105,0))),0))</f>
        <v/>
      </c>
      <c r="G68" s="1">
        <f>IF(OR(B68="",C68=""),0,IFERROR(N(INDEX(Products!$D$6:$D$45,MATCH(B68,Products!$B$6:$B$45,0))),0))</f>
        <v/>
      </c>
      <c r="H68">
        <f>IF(N(G68)=0,0,N(D68)*SUMIFS(Batches!$D$6:$D$505,Batches!$C$6:$C$505,B68)/G68)</f>
        <v/>
      </c>
      <c r="I68">
        <f>IF(OR(B68="",C68=""),"",IF(B68&lt;&gt;Label!$H$3,"",IF(IFERROR(N(INDEX(Ingredients!$AS$6:$AS$105,MATCH(C68,Ingredients!$B$6:$B$105,0))),0)=1,"",ROUND(N(D68)*1000,0)*100000+100000-ROW())))</f>
        <v/>
      </c>
      <c r="J68">
        <f>IF(OR(B68="",C68=""),0,IFERROR(N(INDEX(Ingredients!$AC$6:$AC$105,MATCH(C68,Ingredients!$B$6:$B$105,0))),0))</f>
        <v/>
      </c>
      <c r="K68">
        <f>IF(OR(B68="",C68=""),0,IFERROR(N(INDEX(Ingredients!$AD$6:$AD$105,MATCH(C68,Ingredients!$B$6:$B$105,0))),0))</f>
        <v/>
      </c>
      <c r="L68">
        <f>IF(OR(B68="",C68=""),0,IFERROR(N(INDEX(Ingredients!$AE$6:$AE$105,MATCH(C68,Ingredients!$B$6:$B$105,0))),0))</f>
        <v/>
      </c>
      <c r="M68">
        <f>IF(OR(B68="",C68=""),0,IFERROR(N(INDEX(Ingredients!$AF$6:$AF$105,MATCH(C68,Ingredients!$B$6:$B$105,0))),0))</f>
        <v/>
      </c>
      <c r="N68">
        <f>IF(OR(B68="",C68=""),0,IFERROR(N(INDEX(Ingredients!$AG$6:$AG$105,MATCH(C68,Ingredients!$B$6:$B$105,0))),0))</f>
        <v/>
      </c>
      <c r="O68">
        <f>IF(OR(B68="",C68=""),0,IFERROR(N(INDEX(Ingredients!$AH$6:$AH$105,MATCH(C68,Ingredients!$B$6:$B$105,0))),0))</f>
        <v/>
      </c>
      <c r="P68">
        <f>IF(OR(B68="",C68=""),0,IFERROR(N(INDEX(Ingredients!$AI$6:$AI$105,MATCH(C68,Ingredients!$B$6:$B$105,0))),0))</f>
        <v/>
      </c>
      <c r="Q68">
        <f>IF(OR(B68="",C68=""),0,IFERROR(N(INDEX(Ingredients!$AJ$6:$AJ$105,MATCH(C68,Ingredients!$B$6:$B$105,0))),0))</f>
        <v/>
      </c>
      <c r="R68">
        <f>IF(OR(B68="",C68=""),0,IFERROR(N(INDEX(Ingredients!$AK$6:$AK$105,MATCH(C68,Ingredients!$B$6:$B$105,0))),0))</f>
        <v/>
      </c>
      <c r="S68">
        <f>IF(OR(B68="",C68=""),0,IFERROR(N(INDEX(Ingredients!$AL$6:$AL$105,MATCH(C68,Ingredients!$B$6:$B$105,0))),0))</f>
        <v/>
      </c>
      <c r="T68">
        <f>IF(OR(B68="",C68=""),0,IFERROR(N(INDEX(Ingredients!$AM$6:$AM$105,MATCH(C68,Ingredients!$B$6:$B$105,0))),0))</f>
        <v/>
      </c>
      <c r="U68">
        <f>IF(OR(B68="",C68=""),0,IFERROR(N(INDEX(Ingredients!$AN$6:$AN$105,MATCH(C68,Ingredients!$B$6:$B$105,0))),0))</f>
        <v/>
      </c>
      <c r="V68">
        <f>IF(OR(B68="",C68=""),0,IFERROR(N(INDEX(Ingredients!$AO$6:$AO$105,MATCH(C68,Ingredients!$B$6:$B$105,0))),0))</f>
        <v/>
      </c>
      <c r="W68">
        <f>IF(OR(B68="",C68=""),0,IFERROR(N(INDEX(Ingredients!$AP$6:$AP$105,MATCH(C68,Ingredients!$B$6:$B$105,0))),0))</f>
        <v/>
      </c>
      <c r="X68">
        <f>IF(OR(B68="",C68=""),0,IFERROR(N(INDEX(Ingredients!$AQ$6:$AQ$105,MATCH(C68,Ingredients!$B$6:$B$105,0))),0))</f>
        <v/>
      </c>
    </row>
    <row r="69">
      <c r="A69" s="1" t="n"/>
      <c r="B69" s="21" t="n"/>
      <c r="C69" s="39" t="n"/>
      <c r="D69" s="40" t="n"/>
      <c r="E69" s="12">
        <f>IF(C69="","",IF(ISNA(MATCH(C69,Ingredients!$B$6:$B$105,0)),"Not on Ingredients",IFERROR(IF(INDEX(Ingredients!$C$6:$C$105,MATCH(C69,Ingredients!$B$6:$B$105,0))="","",INDEX(Ingredients!$C$6:$C$105,MATCH(C69,Ingredients!$B$6:$B$105,0))),"")))</f>
        <v/>
      </c>
      <c r="F69" s="26">
        <f>IF(OR(B69="",C69=""),"",N(D69)*IFERROR(N(INDEX(Ingredients!$H$6:$H$105,MATCH(C69,Ingredients!$B$6:$B$105,0))),0))</f>
        <v/>
      </c>
      <c r="G69" s="1">
        <f>IF(OR(B69="",C69=""),0,IFERROR(N(INDEX(Products!$D$6:$D$45,MATCH(B69,Products!$B$6:$B$45,0))),0))</f>
        <v/>
      </c>
      <c r="H69">
        <f>IF(N(G69)=0,0,N(D69)*SUMIFS(Batches!$D$6:$D$505,Batches!$C$6:$C$505,B69)/G69)</f>
        <v/>
      </c>
      <c r="I69">
        <f>IF(OR(B69="",C69=""),"",IF(B69&lt;&gt;Label!$H$3,"",IF(IFERROR(N(INDEX(Ingredients!$AS$6:$AS$105,MATCH(C69,Ingredients!$B$6:$B$105,0))),0)=1,"",ROUND(N(D69)*1000,0)*100000+100000-ROW())))</f>
        <v/>
      </c>
      <c r="J69">
        <f>IF(OR(B69="",C69=""),0,IFERROR(N(INDEX(Ingredients!$AC$6:$AC$105,MATCH(C69,Ingredients!$B$6:$B$105,0))),0))</f>
        <v/>
      </c>
      <c r="K69">
        <f>IF(OR(B69="",C69=""),0,IFERROR(N(INDEX(Ingredients!$AD$6:$AD$105,MATCH(C69,Ingredients!$B$6:$B$105,0))),0))</f>
        <v/>
      </c>
      <c r="L69">
        <f>IF(OR(B69="",C69=""),0,IFERROR(N(INDEX(Ingredients!$AE$6:$AE$105,MATCH(C69,Ingredients!$B$6:$B$105,0))),0))</f>
        <v/>
      </c>
      <c r="M69">
        <f>IF(OR(B69="",C69=""),0,IFERROR(N(INDEX(Ingredients!$AF$6:$AF$105,MATCH(C69,Ingredients!$B$6:$B$105,0))),0))</f>
        <v/>
      </c>
      <c r="N69">
        <f>IF(OR(B69="",C69=""),0,IFERROR(N(INDEX(Ingredients!$AG$6:$AG$105,MATCH(C69,Ingredients!$B$6:$B$105,0))),0))</f>
        <v/>
      </c>
      <c r="O69">
        <f>IF(OR(B69="",C69=""),0,IFERROR(N(INDEX(Ingredients!$AH$6:$AH$105,MATCH(C69,Ingredients!$B$6:$B$105,0))),0))</f>
        <v/>
      </c>
      <c r="P69">
        <f>IF(OR(B69="",C69=""),0,IFERROR(N(INDEX(Ingredients!$AI$6:$AI$105,MATCH(C69,Ingredients!$B$6:$B$105,0))),0))</f>
        <v/>
      </c>
      <c r="Q69">
        <f>IF(OR(B69="",C69=""),0,IFERROR(N(INDEX(Ingredients!$AJ$6:$AJ$105,MATCH(C69,Ingredients!$B$6:$B$105,0))),0))</f>
        <v/>
      </c>
      <c r="R69">
        <f>IF(OR(B69="",C69=""),0,IFERROR(N(INDEX(Ingredients!$AK$6:$AK$105,MATCH(C69,Ingredients!$B$6:$B$105,0))),0))</f>
        <v/>
      </c>
      <c r="S69">
        <f>IF(OR(B69="",C69=""),0,IFERROR(N(INDEX(Ingredients!$AL$6:$AL$105,MATCH(C69,Ingredients!$B$6:$B$105,0))),0))</f>
        <v/>
      </c>
      <c r="T69">
        <f>IF(OR(B69="",C69=""),0,IFERROR(N(INDEX(Ingredients!$AM$6:$AM$105,MATCH(C69,Ingredients!$B$6:$B$105,0))),0))</f>
        <v/>
      </c>
      <c r="U69">
        <f>IF(OR(B69="",C69=""),0,IFERROR(N(INDEX(Ingredients!$AN$6:$AN$105,MATCH(C69,Ingredients!$B$6:$B$105,0))),0))</f>
        <v/>
      </c>
      <c r="V69">
        <f>IF(OR(B69="",C69=""),0,IFERROR(N(INDEX(Ingredients!$AO$6:$AO$105,MATCH(C69,Ingredients!$B$6:$B$105,0))),0))</f>
        <v/>
      </c>
      <c r="W69">
        <f>IF(OR(B69="",C69=""),0,IFERROR(N(INDEX(Ingredients!$AP$6:$AP$105,MATCH(C69,Ingredients!$B$6:$B$105,0))),0))</f>
        <v/>
      </c>
      <c r="X69">
        <f>IF(OR(B69="",C69=""),0,IFERROR(N(INDEX(Ingredients!$AQ$6:$AQ$105,MATCH(C69,Ingredients!$B$6:$B$105,0))),0))</f>
        <v/>
      </c>
    </row>
    <row r="70">
      <c r="A70" s="1" t="n"/>
      <c r="B70" s="21" t="n"/>
      <c r="C70" s="39" t="n"/>
      <c r="D70" s="40" t="n"/>
      <c r="E70" s="12">
        <f>IF(C70="","",IF(ISNA(MATCH(C70,Ingredients!$B$6:$B$105,0)),"Not on Ingredients",IFERROR(IF(INDEX(Ingredients!$C$6:$C$105,MATCH(C70,Ingredients!$B$6:$B$105,0))="","",INDEX(Ingredients!$C$6:$C$105,MATCH(C70,Ingredients!$B$6:$B$105,0))),"")))</f>
        <v/>
      </c>
      <c r="F70" s="26">
        <f>IF(OR(B70="",C70=""),"",N(D70)*IFERROR(N(INDEX(Ingredients!$H$6:$H$105,MATCH(C70,Ingredients!$B$6:$B$105,0))),0))</f>
        <v/>
      </c>
      <c r="G70" s="1">
        <f>IF(OR(B70="",C70=""),0,IFERROR(N(INDEX(Products!$D$6:$D$45,MATCH(B70,Products!$B$6:$B$45,0))),0))</f>
        <v/>
      </c>
      <c r="H70">
        <f>IF(N(G70)=0,0,N(D70)*SUMIFS(Batches!$D$6:$D$505,Batches!$C$6:$C$505,B70)/G70)</f>
        <v/>
      </c>
      <c r="I70">
        <f>IF(OR(B70="",C70=""),"",IF(B70&lt;&gt;Label!$H$3,"",IF(IFERROR(N(INDEX(Ingredients!$AS$6:$AS$105,MATCH(C70,Ingredients!$B$6:$B$105,0))),0)=1,"",ROUND(N(D70)*1000,0)*100000+100000-ROW())))</f>
        <v/>
      </c>
      <c r="J70">
        <f>IF(OR(B70="",C70=""),0,IFERROR(N(INDEX(Ingredients!$AC$6:$AC$105,MATCH(C70,Ingredients!$B$6:$B$105,0))),0))</f>
        <v/>
      </c>
      <c r="K70">
        <f>IF(OR(B70="",C70=""),0,IFERROR(N(INDEX(Ingredients!$AD$6:$AD$105,MATCH(C70,Ingredients!$B$6:$B$105,0))),0))</f>
        <v/>
      </c>
      <c r="L70">
        <f>IF(OR(B70="",C70=""),0,IFERROR(N(INDEX(Ingredients!$AE$6:$AE$105,MATCH(C70,Ingredients!$B$6:$B$105,0))),0))</f>
        <v/>
      </c>
      <c r="M70">
        <f>IF(OR(B70="",C70=""),0,IFERROR(N(INDEX(Ingredients!$AF$6:$AF$105,MATCH(C70,Ingredients!$B$6:$B$105,0))),0))</f>
        <v/>
      </c>
      <c r="N70">
        <f>IF(OR(B70="",C70=""),0,IFERROR(N(INDEX(Ingredients!$AG$6:$AG$105,MATCH(C70,Ingredients!$B$6:$B$105,0))),0))</f>
        <v/>
      </c>
      <c r="O70">
        <f>IF(OR(B70="",C70=""),0,IFERROR(N(INDEX(Ingredients!$AH$6:$AH$105,MATCH(C70,Ingredients!$B$6:$B$105,0))),0))</f>
        <v/>
      </c>
      <c r="P70">
        <f>IF(OR(B70="",C70=""),0,IFERROR(N(INDEX(Ingredients!$AI$6:$AI$105,MATCH(C70,Ingredients!$B$6:$B$105,0))),0))</f>
        <v/>
      </c>
      <c r="Q70">
        <f>IF(OR(B70="",C70=""),0,IFERROR(N(INDEX(Ingredients!$AJ$6:$AJ$105,MATCH(C70,Ingredients!$B$6:$B$105,0))),0))</f>
        <v/>
      </c>
      <c r="R70">
        <f>IF(OR(B70="",C70=""),0,IFERROR(N(INDEX(Ingredients!$AK$6:$AK$105,MATCH(C70,Ingredients!$B$6:$B$105,0))),0))</f>
        <v/>
      </c>
      <c r="S70">
        <f>IF(OR(B70="",C70=""),0,IFERROR(N(INDEX(Ingredients!$AL$6:$AL$105,MATCH(C70,Ingredients!$B$6:$B$105,0))),0))</f>
        <v/>
      </c>
      <c r="T70">
        <f>IF(OR(B70="",C70=""),0,IFERROR(N(INDEX(Ingredients!$AM$6:$AM$105,MATCH(C70,Ingredients!$B$6:$B$105,0))),0))</f>
        <v/>
      </c>
      <c r="U70">
        <f>IF(OR(B70="",C70=""),0,IFERROR(N(INDEX(Ingredients!$AN$6:$AN$105,MATCH(C70,Ingredients!$B$6:$B$105,0))),0))</f>
        <v/>
      </c>
      <c r="V70">
        <f>IF(OR(B70="",C70=""),0,IFERROR(N(INDEX(Ingredients!$AO$6:$AO$105,MATCH(C70,Ingredients!$B$6:$B$105,0))),0))</f>
        <v/>
      </c>
      <c r="W70">
        <f>IF(OR(B70="",C70=""),0,IFERROR(N(INDEX(Ingredients!$AP$6:$AP$105,MATCH(C70,Ingredients!$B$6:$B$105,0))),0))</f>
        <v/>
      </c>
      <c r="X70">
        <f>IF(OR(B70="",C70=""),0,IFERROR(N(INDEX(Ingredients!$AQ$6:$AQ$105,MATCH(C70,Ingredients!$B$6:$B$105,0))),0))</f>
        <v/>
      </c>
    </row>
    <row r="71">
      <c r="A71" s="1" t="n"/>
      <c r="B71" s="21" t="n"/>
      <c r="C71" s="39" t="n"/>
      <c r="D71" s="40" t="n"/>
      <c r="E71" s="12">
        <f>IF(C71="","",IF(ISNA(MATCH(C71,Ingredients!$B$6:$B$105,0)),"Not on Ingredients",IFERROR(IF(INDEX(Ingredients!$C$6:$C$105,MATCH(C71,Ingredients!$B$6:$B$105,0))="","",INDEX(Ingredients!$C$6:$C$105,MATCH(C71,Ingredients!$B$6:$B$105,0))),"")))</f>
        <v/>
      </c>
      <c r="F71" s="26">
        <f>IF(OR(B71="",C71=""),"",N(D71)*IFERROR(N(INDEX(Ingredients!$H$6:$H$105,MATCH(C71,Ingredients!$B$6:$B$105,0))),0))</f>
        <v/>
      </c>
      <c r="G71" s="1">
        <f>IF(OR(B71="",C71=""),0,IFERROR(N(INDEX(Products!$D$6:$D$45,MATCH(B71,Products!$B$6:$B$45,0))),0))</f>
        <v/>
      </c>
      <c r="H71">
        <f>IF(N(G71)=0,0,N(D71)*SUMIFS(Batches!$D$6:$D$505,Batches!$C$6:$C$505,B71)/G71)</f>
        <v/>
      </c>
      <c r="I71">
        <f>IF(OR(B71="",C71=""),"",IF(B71&lt;&gt;Label!$H$3,"",IF(IFERROR(N(INDEX(Ingredients!$AS$6:$AS$105,MATCH(C71,Ingredients!$B$6:$B$105,0))),0)=1,"",ROUND(N(D71)*1000,0)*100000+100000-ROW())))</f>
        <v/>
      </c>
      <c r="J71">
        <f>IF(OR(B71="",C71=""),0,IFERROR(N(INDEX(Ingredients!$AC$6:$AC$105,MATCH(C71,Ingredients!$B$6:$B$105,0))),0))</f>
        <v/>
      </c>
      <c r="K71">
        <f>IF(OR(B71="",C71=""),0,IFERROR(N(INDEX(Ingredients!$AD$6:$AD$105,MATCH(C71,Ingredients!$B$6:$B$105,0))),0))</f>
        <v/>
      </c>
      <c r="L71">
        <f>IF(OR(B71="",C71=""),0,IFERROR(N(INDEX(Ingredients!$AE$6:$AE$105,MATCH(C71,Ingredients!$B$6:$B$105,0))),0))</f>
        <v/>
      </c>
      <c r="M71">
        <f>IF(OR(B71="",C71=""),0,IFERROR(N(INDEX(Ingredients!$AF$6:$AF$105,MATCH(C71,Ingredients!$B$6:$B$105,0))),0))</f>
        <v/>
      </c>
      <c r="N71">
        <f>IF(OR(B71="",C71=""),0,IFERROR(N(INDEX(Ingredients!$AG$6:$AG$105,MATCH(C71,Ingredients!$B$6:$B$105,0))),0))</f>
        <v/>
      </c>
      <c r="O71">
        <f>IF(OR(B71="",C71=""),0,IFERROR(N(INDEX(Ingredients!$AH$6:$AH$105,MATCH(C71,Ingredients!$B$6:$B$105,0))),0))</f>
        <v/>
      </c>
      <c r="P71">
        <f>IF(OR(B71="",C71=""),0,IFERROR(N(INDEX(Ingredients!$AI$6:$AI$105,MATCH(C71,Ingredients!$B$6:$B$105,0))),0))</f>
        <v/>
      </c>
      <c r="Q71">
        <f>IF(OR(B71="",C71=""),0,IFERROR(N(INDEX(Ingredients!$AJ$6:$AJ$105,MATCH(C71,Ingredients!$B$6:$B$105,0))),0))</f>
        <v/>
      </c>
      <c r="R71">
        <f>IF(OR(B71="",C71=""),0,IFERROR(N(INDEX(Ingredients!$AK$6:$AK$105,MATCH(C71,Ingredients!$B$6:$B$105,0))),0))</f>
        <v/>
      </c>
      <c r="S71">
        <f>IF(OR(B71="",C71=""),0,IFERROR(N(INDEX(Ingredients!$AL$6:$AL$105,MATCH(C71,Ingredients!$B$6:$B$105,0))),0))</f>
        <v/>
      </c>
      <c r="T71">
        <f>IF(OR(B71="",C71=""),0,IFERROR(N(INDEX(Ingredients!$AM$6:$AM$105,MATCH(C71,Ingredients!$B$6:$B$105,0))),0))</f>
        <v/>
      </c>
      <c r="U71">
        <f>IF(OR(B71="",C71=""),0,IFERROR(N(INDEX(Ingredients!$AN$6:$AN$105,MATCH(C71,Ingredients!$B$6:$B$105,0))),0))</f>
        <v/>
      </c>
      <c r="V71">
        <f>IF(OR(B71="",C71=""),0,IFERROR(N(INDEX(Ingredients!$AO$6:$AO$105,MATCH(C71,Ingredients!$B$6:$B$105,0))),0))</f>
        <v/>
      </c>
      <c r="W71">
        <f>IF(OR(B71="",C71=""),0,IFERROR(N(INDEX(Ingredients!$AP$6:$AP$105,MATCH(C71,Ingredients!$B$6:$B$105,0))),0))</f>
        <v/>
      </c>
      <c r="X71">
        <f>IF(OR(B71="",C71=""),0,IFERROR(N(INDEX(Ingredients!$AQ$6:$AQ$105,MATCH(C71,Ingredients!$B$6:$B$105,0))),0))</f>
        <v/>
      </c>
    </row>
    <row r="72">
      <c r="A72" s="1" t="n"/>
      <c r="B72" s="21" t="n"/>
      <c r="C72" s="39" t="n"/>
      <c r="D72" s="40" t="n"/>
      <c r="E72" s="12">
        <f>IF(C72="","",IF(ISNA(MATCH(C72,Ingredients!$B$6:$B$105,0)),"Not on Ingredients",IFERROR(IF(INDEX(Ingredients!$C$6:$C$105,MATCH(C72,Ingredients!$B$6:$B$105,0))="","",INDEX(Ingredients!$C$6:$C$105,MATCH(C72,Ingredients!$B$6:$B$105,0))),"")))</f>
        <v/>
      </c>
      <c r="F72" s="26">
        <f>IF(OR(B72="",C72=""),"",N(D72)*IFERROR(N(INDEX(Ingredients!$H$6:$H$105,MATCH(C72,Ingredients!$B$6:$B$105,0))),0))</f>
        <v/>
      </c>
      <c r="G72" s="1">
        <f>IF(OR(B72="",C72=""),0,IFERROR(N(INDEX(Products!$D$6:$D$45,MATCH(B72,Products!$B$6:$B$45,0))),0))</f>
        <v/>
      </c>
      <c r="H72">
        <f>IF(N(G72)=0,0,N(D72)*SUMIFS(Batches!$D$6:$D$505,Batches!$C$6:$C$505,B72)/G72)</f>
        <v/>
      </c>
      <c r="I72">
        <f>IF(OR(B72="",C72=""),"",IF(B72&lt;&gt;Label!$H$3,"",IF(IFERROR(N(INDEX(Ingredients!$AS$6:$AS$105,MATCH(C72,Ingredients!$B$6:$B$105,0))),0)=1,"",ROUND(N(D72)*1000,0)*100000+100000-ROW())))</f>
        <v/>
      </c>
      <c r="J72">
        <f>IF(OR(B72="",C72=""),0,IFERROR(N(INDEX(Ingredients!$AC$6:$AC$105,MATCH(C72,Ingredients!$B$6:$B$105,0))),0))</f>
        <v/>
      </c>
      <c r="K72">
        <f>IF(OR(B72="",C72=""),0,IFERROR(N(INDEX(Ingredients!$AD$6:$AD$105,MATCH(C72,Ingredients!$B$6:$B$105,0))),0))</f>
        <v/>
      </c>
      <c r="L72">
        <f>IF(OR(B72="",C72=""),0,IFERROR(N(INDEX(Ingredients!$AE$6:$AE$105,MATCH(C72,Ingredients!$B$6:$B$105,0))),0))</f>
        <v/>
      </c>
      <c r="M72">
        <f>IF(OR(B72="",C72=""),0,IFERROR(N(INDEX(Ingredients!$AF$6:$AF$105,MATCH(C72,Ingredients!$B$6:$B$105,0))),0))</f>
        <v/>
      </c>
      <c r="N72">
        <f>IF(OR(B72="",C72=""),0,IFERROR(N(INDEX(Ingredients!$AG$6:$AG$105,MATCH(C72,Ingredients!$B$6:$B$105,0))),0))</f>
        <v/>
      </c>
      <c r="O72">
        <f>IF(OR(B72="",C72=""),0,IFERROR(N(INDEX(Ingredients!$AH$6:$AH$105,MATCH(C72,Ingredients!$B$6:$B$105,0))),0))</f>
        <v/>
      </c>
      <c r="P72">
        <f>IF(OR(B72="",C72=""),0,IFERROR(N(INDEX(Ingredients!$AI$6:$AI$105,MATCH(C72,Ingredients!$B$6:$B$105,0))),0))</f>
        <v/>
      </c>
      <c r="Q72">
        <f>IF(OR(B72="",C72=""),0,IFERROR(N(INDEX(Ingredients!$AJ$6:$AJ$105,MATCH(C72,Ingredients!$B$6:$B$105,0))),0))</f>
        <v/>
      </c>
      <c r="R72">
        <f>IF(OR(B72="",C72=""),0,IFERROR(N(INDEX(Ingredients!$AK$6:$AK$105,MATCH(C72,Ingredients!$B$6:$B$105,0))),0))</f>
        <v/>
      </c>
      <c r="S72">
        <f>IF(OR(B72="",C72=""),0,IFERROR(N(INDEX(Ingredients!$AL$6:$AL$105,MATCH(C72,Ingredients!$B$6:$B$105,0))),0))</f>
        <v/>
      </c>
      <c r="T72">
        <f>IF(OR(B72="",C72=""),0,IFERROR(N(INDEX(Ingredients!$AM$6:$AM$105,MATCH(C72,Ingredients!$B$6:$B$105,0))),0))</f>
        <v/>
      </c>
      <c r="U72">
        <f>IF(OR(B72="",C72=""),0,IFERROR(N(INDEX(Ingredients!$AN$6:$AN$105,MATCH(C72,Ingredients!$B$6:$B$105,0))),0))</f>
        <v/>
      </c>
      <c r="V72">
        <f>IF(OR(B72="",C72=""),0,IFERROR(N(INDEX(Ingredients!$AO$6:$AO$105,MATCH(C72,Ingredients!$B$6:$B$105,0))),0))</f>
        <v/>
      </c>
      <c r="W72">
        <f>IF(OR(B72="",C72=""),0,IFERROR(N(INDEX(Ingredients!$AP$6:$AP$105,MATCH(C72,Ingredients!$B$6:$B$105,0))),0))</f>
        <v/>
      </c>
      <c r="X72">
        <f>IF(OR(B72="",C72=""),0,IFERROR(N(INDEX(Ingredients!$AQ$6:$AQ$105,MATCH(C72,Ingredients!$B$6:$B$105,0))),0))</f>
        <v/>
      </c>
    </row>
    <row r="73">
      <c r="A73" s="1" t="n"/>
      <c r="B73" s="21" t="n"/>
      <c r="C73" s="39" t="n"/>
      <c r="D73" s="40" t="n"/>
      <c r="E73" s="12">
        <f>IF(C73="","",IF(ISNA(MATCH(C73,Ingredients!$B$6:$B$105,0)),"Not on Ingredients",IFERROR(IF(INDEX(Ingredients!$C$6:$C$105,MATCH(C73,Ingredients!$B$6:$B$105,0))="","",INDEX(Ingredients!$C$6:$C$105,MATCH(C73,Ingredients!$B$6:$B$105,0))),"")))</f>
        <v/>
      </c>
      <c r="F73" s="26">
        <f>IF(OR(B73="",C73=""),"",N(D73)*IFERROR(N(INDEX(Ingredients!$H$6:$H$105,MATCH(C73,Ingredients!$B$6:$B$105,0))),0))</f>
        <v/>
      </c>
      <c r="G73" s="1">
        <f>IF(OR(B73="",C73=""),0,IFERROR(N(INDEX(Products!$D$6:$D$45,MATCH(B73,Products!$B$6:$B$45,0))),0))</f>
        <v/>
      </c>
      <c r="H73">
        <f>IF(N(G73)=0,0,N(D73)*SUMIFS(Batches!$D$6:$D$505,Batches!$C$6:$C$505,B73)/G73)</f>
        <v/>
      </c>
      <c r="I73">
        <f>IF(OR(B73="",C73=""),"",IF(B73&lt;&gt;Label!$H$3,"",IF(IFERROR(N(INDEX(Ingredients!$AS$6:$AS$105,MATCH(C73,Ingredients!$B$6:$B$105,0))),0)=1,"",ROUND(N(D73)*1000,0)*100000+100000-ROW())))</f>
        <v/>
      </c>
      <c r="J73">
        <f>IF(OR(B73="",C73=""),0,IFERROR(N(INDEX(Ingredients!$AC$6:$AC$105,MATCH(C73,Ingredients!$B$6:$B$105,0))),0))</f>
        <v/>
      </c>
      <c r="K73">
        <f>IF(OR(B73="",C73=""),0,IFERROR(N(INDEX(Ingredients!$AD$6:$AD$105,MATCH(C73,Ingredients!$B$6:$B$105,0))),0))</f>
        <v/>
      </c>
      <c r="L73">
        <f>IF(OR(B73="",C73=""),0,IFERROR(N(INDEX(Ingredients!$AE$6:$AE$105,MATCH(C73,Ingredients!$B$6:$B$105,0))),0))</f>
        <v/>
      </c>
      <c r="M73">
        <f>IF(OR(B73="",C73=""),0,IFERROR(N(INDEX(Ingredients!$AF$6:$AF$105,MATCH(C73,Ingredients!$B$6:$B$105,0))),0))</f>
        <v/>
      </c>
      <c r="N73">
        <f>IF(OR(B73="",C73=""),0,IFERROR(N(INDEX(Ingredients!$AG$6:$AG$105,MATCH(C73,Ingredients!$B$6:$B$105,0))),0))</f>
        <v/>
      </c>
      <c r="O73">
        <f>IF(OR(B73="",C73=""),0,IFERROR(N(INDEX(Ingredients!$AH$6:$AH$105,MATCH(C73,Ingredients!$B$6:$B$105,0))),0))</f>
        <v/>
      </c>
      <c r="P73">
        <f>IF(OR(B73="",C73=""),0,IFERROR(N(INDEX(Ingredients!$AI$6:$AI$105,MATCH(C73,Ingredients!$B$6:$B$105,0))),0))</f>
        <v/>
      </c>
      <c r="Q73">
        <f>IF(OR(B73="",C73=""),0,IFERROR(N(INDEX(Ingredients!$AJ$6:$AJ$105,MATCH(C73,Ingredients!$B$6:$B$105,0))),0))</f>
        <v/>
      </c>
      <c r="R73">
        <f>IF(OR(B73="",C73=""),0,IFERROR(N(INDEX(Ingredients!$AK$6:$AK$105,MATCH(C73,Ingredients!$B$6:$B$105,0))),0))</f>
        <v/>
      </c>
      <c r="S73">
        <f>IF(OR(B73="",C73=""),0,IFERROR(N(INDEX(Ingredients!$AL$6:$AL$105,MATCH(C73,Ingredients!$B$6:$B$105,0))),0))</f>
        <v/>
      </c>
      <c r="T73">
        <f>IF(OR(B73="",C73=""),0,IFERROR(N(INDEX(Ingredients!$AM$6:$AM$105,MATCH(C73,Ingredients!$B$6:$B$105,0))),0))</f>
        <v/>
      </c>
      <c r="U73">
        <f>IF(OR(B73="",C73=""),0,IFERROR(N(INDEX(Ingredients!$AN$6:$AN$105,MATCH(C73,Ingredients!$B$6:$B$105,0))),0))</f>
        <v/>
      </c>
      <c r="V73">
        <f>IF(OR(B73="",C73=""),0,IFERROR(N(INDEX(Ingredients!$AO$6:$AO$105,MATCH(C73,Ingredients!$B$6:$B$105,0))),0))</f>
        <v/>
      </c>
      <c r="W73">
        <f>IF(OR(B73="",C73=""),0,IFERROR(N(INDEX(Ingredients!$AP$6:$AP$105,MATCH(C73,Ingredients!$B$6:$B$105,0))),0))</f>
        <v/>
      </c>
      <c r="X73">
        <f>IF(OR(B73="",C73=""),0,IFERROR(N(INDEX(Ingredients!$AQ$6:$AQ$105,MATCH(C73,Ingredients!$B$6:$B$105,0))),0))</f>
        <v/>
      </c>
    </row>
    <row r="74">
      <c r="A74" s="1" t="n"/>
      <c r="B74" s="21" t="n"/>
      <c r="C74" s="39" t="n"/>
      <c r="D74" s="40" t="n"/>
      <c r="E74" s="12">
        <f>IF(C74="","",IF(ISNA(MATCH(C74,Ingredients!$B$6:$B$105,0)),"Not on Ingredients",IFERROR(IF(INDEX(Ingredients!$C$6:$C$105,MATCH(C74,Ingredients!$B$6:$B$105,0))="","",INDEX(Ingredients!$C$6:$C$105,MATCH(C74,Ingredients!$B$6:$B$105,0))),"")))</f>
        <v/>
      </c>
      <c r="F74" s="26">
        <f>IF(OR(B74="",C74=""),"",N(D74)*IFERROR(N(INDEX(Ingredients!$H$6:$H$105,MATCH(C74,Ingredients!$B$6:$B$105,0))),0))</f>
        <v/>
      </c>
      <c r="G74" s="1">
        <f>IF(OR(B74="",C74=""),0,IFERROR(N(INDEX(Products!$D$6:$D$45,MATCH(B74,Products!$B$6:$B$45,0))),0))</f>
        <v/>
      </c>
      <c r="H74">
        <f>IF(N(G74)=0,0,N(D74)*SUMIFS(Batches!$D$6:$D$505,Batches!$C$6:$C$505,B74)/G74)</f>
        <v/>
      </c>
      <c r="I74">
        <f>IF(OR(B74="",C74=""),"",IF(B74&lt;&gt;Label!$H$3,"",IF(IFERROR(N(INDEX(Ingredients!$AS$6:$AS$105,MATCH(C74,Ingredients!$B$6:$B$105,0))),0)=1,"",ROUND(N(D74)*1000,0)*100000+100000-ROW())))</f>
        <v/>
      </c>
      <c r="J74">
        <f>IF(OR(B74="",C74=""),0,IFERROR(N(INDEX(Ingredients!$AC$6:$AC$105,MATCH(C74,Ingredients!$B$6:$B$105,0))),0))</f>
        <v/>
      </c>
      <c r="K74">
        <f>IF(OR(B74="",C74=""),0,IFERROR(N(INDEX(Ingredients!$AD$6:$AD$105,MATCH(C74,Ingredients!$B$6:$B$105,0))),0))</f>
        <v/>
      </c>
      <c r="L74">
        <f>IF(OR(B74="",C74=""),0,IFERROR(N(INDEX(Ingredients!$AE$6:$AE$105,MATCH(C74,Ingredients!$B$6:$B$105,0))),0))</f>
        <v/>
      </c>
      <c r="M74">
        <f>IF(OR(B74="",C74=""),0,IFERROR(N(INDEX(Ingredients!$AF$6:$AF$105,MATCH(C74,Ingredients!$B$6:$B$105,0))),0))</f>
        <v/>
      </c>
      <c r="N74">
        <f>IF(OR(B74="",C74=""),0,IFERROR(N(INDEX(Ingredients!$AG$6:$AG$105,MATCH(C74,Ingredients!$B$6:$B$105,0))),0))</f>
        <v/>
      </c>
      <c r="O74">
        <f>IF(OR(B74="",C74=""),0,IFERROR(N(INDEX(Ingredients!$AH$6:$AH$105,MATCH(C74,Ingredients!$B$6:$B$105,0))),0))</f>
        <v/>
      </c>
      <c r="P74">
        <f>IF(OR(B74="",C74=""),0,IFERROR(N(INDEX(Ingredients!$AI$6:$AI$105,MATCH(C74,Ingredients!$B$6:$B$105,0))),0))</f>
        <v/>
      </c>
      <c r="Q74">
        <f>IF(OR(B74="",C74=""),0,IFERROR(N(INDEX(Ingredients!$AJ$6:$AJ$105,MATCH(C74,Ingredients!$B$6:$B$105,0))),0))</f>
        <v/>
      </c>
      <c r="R74">
        <f>IF(OR(B74="",C74=""),0,IFERROR(N(INDEX(Ingredients!$AK$6:$AK$105,MATCH(C74,Ingredients!$B$6:$B$105,0))),0))</f>
        <v/>
      </c>
      <c r="S74">
        <f>IF(OR(B74="",C74=""),0,IFERROR(N(INDEX(Ingredients!$AL$6:$AL$105,MATCH(C74,Ingredients!$B$6:$B$105,0))),0))</f>
        <v/>
      </c>
      <c r="T74">
        <f>IF(OR(B74="",C74=""),0,IFERROR(N(INDEX(Ingredients!$AM$6:$AM$105,MATCH(C74,Ingredients!$B$6:$B$105,0))),0))</f>
        <v/>
      </c>
      <c r="U74">
        <f>IF(OR(B74="",C74=""),0,IFERROR(N(INDEX(Ingredients!$AN$6:$AN$105,MATCH(C74,Ingredients!$B$6:$B$105,0))),0))</f>
        <v/>
      </c>
      <c r="V74">
        <f>IF(OR(B74="",C74=""),0,IFERROR(N(INDEX(Ingredients!$AO$6:$AO$105,MATCH(C74,Ingredients!$B$6:$B$105,0))),0))</f>
        <v/>
      </c>
      <c r="W74">
        <f>IF(OR(B74="",C74=""),0,IFERROR(N(INDEX(Ingredients!$AP$6:$AP$105,MATCH(C74,Ingredients!$B$6:$B$105,0))),0))</f>
        <v/>
      </c>
      <c r="X74">
        <f>IF(OR(B74="",C74=""),0,IFERROR(N(INDEX(Ingredients!$AQ$6:$AQ$105,MATCH(C74,Ingredients!$B$6:$B$105,0))),0))</f>
        <v/>
      </c>
    </row>
    <row r="75">
      <c r="A75" s="1" t="n"/>
      <c r="B75" s="21" t="n"/>
      <c r="C75" s="39" t="n"/>
      <c r="D75" s="40" t="n"/>
      <c r="E75" s="12">
        <f>IF(C75="","",IF(ISNA(MATCH(C75,Ingredients!$B$6:$B$105,0)),"Not on Ingredients",IFERROR(IF(INDEX(Ingredients!$C$6:$C$105,MATCH(C75,Ingredients!$B$6:$B$105,0))="","",INDEX(Ingredients!$C$6:$C$105,MATCH(C75,Ingredients!$B$6:$B$105,0))),"")))</f>
        <v/>
      </c>
      <c r="F75" s="26">
        <f>IF(OR(B75="",C75=""),"",N(D75)*IFERROR(N(INDEX(Ingredients!$H$6:$H$105,MATCH(C75,Ingredients!$B$6:$B$105,0))),0))</f>
        <v/>
      </c>
      <c r="G75" s="1">
        <f>IF(OR(B75="",C75=""),0,IFERROR(N(INDEX(Products!$D$6:$D$45,MATCH(B75,Products!$B$6:$B$45,0))),0))</f>
        <v/>
      </c>
      <c r="H75">
        <f>IF(N(G75)=0,0,N(D75)*SUMIFS(Batches!$D$6:$D$505,Batches!$C$6:$C$505,B75)/G75)</f>
        <v/>
      </c>
      <c r="I75">
        <f>IF(OR(B75="",C75=""),"",IF(B75&lt;&gt;Label!$H$3,"",IF(IFERROR(N(INDEX(Ingredients!$AS$6:$AS$105,MATCH(C75,Ingredients!$B$6:$B$105,0))),0)=1,"",ROUND(N(D75)*1000,0)*100000+100000-ROW())))</f>
        <v/>
      </c>
      <c r="J75">
        <f>IF(OR(B75="",C75=""),0,IFERROR(N(INDEX(Ingredients!$AC$6:$AC$105,MATCH(C75,Ingredients!$B$6:$B$105,0))),0))</f>
        <v/>
      </c>
      <c r="K75">
        <f>IF(OR(B75="",C75=""),0,IFERROR(N(INDEX(Ingredients!$AD$6:$AD$105,MATCH(C75,Ingredients!$B$6:$B$105,0))),0))</f>
        <v/>
      </c>
      <c r="L75">
        <f>IF(OR(B75="",C75=""),0,IFERROR(N(INDEX(Ingredients!$AE$6:$AE$105,MATCH(C75,Ingredients!$B$6:$B$105,0))),0))</f>
        <v/>
      </c>
      <c r="M75">
        <f>IF(OR(B75="",C75=""),0,IFERROR(N(INDEX(Ingredients!$AF$6:$AF$105,MATCH(C75,Ingredients!$B$6:$B$105,0))),0))</f>
        <v/>
      </c>
      <c r="N75">
        <f>IF(OR(B75="",C75=""),0,IFERROR(N(INDEX(Ingredients!$AG$6:$AG$105,MATCH(C75,Ingredients!$B$6:$B$105,0))),0))</f>
        <v/>
      </c>
      <c r="O75">
        <f>IF(OR(B75="",C75=""),0,IFERROR(N(INDEX(Ingredients!$AH$6:$AH$105,MATCH(C75,Ingredients!$B$6:$B$105,0))),0))</f>
        <v/>
      </c>
      <c r="P75">
        <f>IF(OR(B75="",C75=""),0,IFERROR(N(INDEX(Ingredients!$AI$6:$AI$105,MATCH(C75,Ingredients!$B$6:$B$105,0))),0))</f>
        <v/>
      </c>
      <c r="Q75">
        <f>IF(OR(B75="",C75=""),0,IFERROR(N(INDEX(Ingredients!$AJ$6:$AJ$105,MATCH(C75,Ingredients!$B$6:$B$105,0))),0))</f>
        <v/>
      </c>
      <c r="R75">
        <f>IF(OR(B75="",C75=""),0,IFERROR(N(INDEX(Ingredients!$AK$6:$AK$105,MATCH(C75,Ingredients!$B$6:$B$105,0))),0))</f>
        <v/>
      </c>
      <c r="S75">
        <f>IF(OR(B75="",C75=""),0,IFERROR(N(INDEX(Ingredients!$AL$6:$AL$105,MATCH(C75,Ingredients!$B$6:$B$105,0))),0))</f>
        <v/>
      </c>
      <c r="T75">
        <f>IF(OR(B75="",C75=""),0,IFERROR(N(INDEX(Ingredients!$AM$6:$AM$105,MATCH(C75,Ingredients!$B$6:$B$105,0))),0))</f>
        <v/>
      </c>
      <c r="U75">
        <f>IF(OR(B75="",C75=""),0,IFERROR(N(INDEX(Ingredients!$AN$6:$AN$105,MATCH(C75,Ingredients!$B$6:$B$105,0))),0))</f>
        <v/>
      </c>
      <c r="V75">
        <f>IF(OR(B75="",C75=""),0,IFERROR(N(INDEX(Ingredients!$AO$6:$AO$105,MATCH(C75,Ingredients!$B$6:$B$105,0))),0))</f>
        <v/>
      </c>
      <c r="W75">
        <f>IF(OR(B75="",C75=""),0,IFERROR(N(INDEX(Ingredients!$AP$6:$AP$105,MATCH(C75,Ingredients!$B$6:$B$105,0))),0))</f>
        <v/>
      </c>
      <c r="X75">
        <f>IF(OR(B75="",C75=""),0,IFERROR(N(INDEX(Ingredients!$AQ$6:$AQ$105,MATCH(C75,Ingredients!$B$6:$B$105,0))),0))</f>
        <v/>
      </c>
    </row>
    <row r="76">
      <c r="A76" s="1" t="n"/>
      <c r="B76" s="21" t="n"/>
      <c r="C76" s="39" t="n"/>
      <c r="D76" s="40" t="n"/>
      <c r="E76" s="12">
        <f>IF(C76="","",IF(ISNA(MATCH(C76,Ingredients!$B$6:$B$105,0)),"Not on Ingredients",IFERROR(IF(INDEX(Ingredients!$C$6:$C$105,MATCH(C76,Ingredients!$B$6:$B$105,0))="","",INDEX(Ingredients!$C$6:$C$105,MATCH(C76,Ingredients!$B$6:$B$105,0))),"")))</f>
        <v/>
      </c>
      <c r="F76" s="26">
        <f>IF(OR(B76="",C76=""),"",N(D76)*IFERROR(N(INDEX(Ingredients!$H$6:$H$105,MATCH(C76,Ingredients!$B$6:$B$105,0))),0))</f>
        <v/>
      </c>
      <c r="G76" s="1">
        <f>IF(OR(B76="",C76=""),0,IFERROR(N(INDEX(Products!$D$6:$D$45,MATCH(B76,Products!$B$6:$B$45,0))),0))</f>
        <v/>
      </c>
      <c r="H76">
        <f>IF(N(G76)=0,0,N(D76)*SUMIFS(Batches!$D$6:$D$505,Batches!$C$6:$C$505,B76)/G76)</f>
        <v/>
      </c>
      <c r="I76">
        <f>IF(OR(B76="",C76=""),"",IF(B76&lt;&gt;Label!$H$3,"",IF(IFERROR(N(INDEX(Ingredients!$AS$6:$AS$105,MATCH(C76,Ingredients!$B$6:$B$105,0))),0)=1,"",ROUND(N(D76)*1000,0)*100000+100000-ROW())))</f>
        <v/>
      </c>
      <c r="J76">
        <f>IF(OR(B76="",C76=""),0,IFERROR(N(INDEX(Ingredients!$AC$6:$AC$105,MATCH(C76,Ingredients!$B$6:$B$105,0))),0))</f>
        <v/>
      </c>
      <c r="K76">
        <f>IF(OR(B76="",C76=""),0,IFERROR(N(INDEX(Ingredients!$AD$6:$AD$105,MATCH(C76,Ingredients!$B$6:$B$105,0))),0))</f>
        <v/>
      </c>
      <c r="L76">
        <f>IF(OR(B76="",C76=""),0,IFERROR(N(INDEX(Ingredients!$AE$6:$AE$105,MATCH(C76,Ingredients!$B$6:$B$105,0))),0))</f>
        <v/>
      </c>
      <c r="M76">
        <f>IF(OR(B76="",C76=""),0,IFERROR(N(INDEX(Ingredients!$AF$6:$AF$105,MATCH(C76,Ingredients!$B$6:$B$105,0))),0))</f>
        <v/>
      </c>
      <c r="N76">
        <f>IF(OR(B76="",C76=""),0,IFERROR(N(INDEX(Ingredients!$AG$6:$AG$105,MATCH(C76,Ingredients!$B$6:$B$105,0))),0))</f>
        <v/>
      </c>
      <c r="O76">
        <f>IF(OR(B76="",C76=""),0,IFERROR(N(INDEX(Ingredients!$AH$6:$AH$105,MATCH(C76,Ingredients!$B$6:$B$105,0))),0))</f>
        <v/>
      </c>
      <c r="P76">
        <f>IF(OR(B76="",C76=""),0,IFERROR(N(INDEX(Ingredients!$AI$6:$AI$105,MATCH(C76,Ingredients!$B$6:$B$105,0))),0))</f>
        <v/>
      </c>
      <c r="Q76">
        <f>IF(OR(B76="",C76=""),0,IFERROR(N(INDEX(Ingredients!$AJ$6:$AJ$105,MATCH(C76,Ingredients!$B$6:$B$105,0))),0))</f>
        <v/>
      </c>
      <c r="R76">
        <f>IF(OR(B76="",C76=""),0,IFERROR(N(INDEX(Ingredients!$AK$6:$AK$105,MATCH(C76,Ingredients!$B$6:$B$105,0))),0))</f>
        <v/>
      </c>
      <c r="S76">
        <f>IF(OR(B76="",C76=""),0,IFERROR(N(INDEX(Ingredients!$AL$6:$AL$105,MATCH(C76,Ingredients!$B$6:$B$105,0))),0))</f>
        <v/>
      </c>
      <c r="T76">
        <f>IF(OR(B76="",C76=""),0,IFERROR(N(INDEX(Ingredients!$AM$6:$AM$105,MATCH(C76,Ingredients!$B$6:$B$105,0))),0))</f>
        <v/>
      </c>
      <c r="U76">
        <f>IF(OR(B76="",C76=""),0,IFERROR(N(INDEX(Ingredients!$AN$6:$AN$105,MATCH(C76,Ingredients!$B$6:$B$105,0))),0))</f>
        <v/>
      </c>
      <c r="V76">
        <f>IF(OR(B76="",C76=""),0,IFERROR(N(INDEX(Ingredients!$AO$6:$AO$105,MATCH(C76,Ingredients!$B$6:$B$105,0))),0))</f>
        <v/>
      </c>
      <c r="W76">
        <f>IF(OR(B76="",C76=""),0,IFERROR(N(INDEX(Ingredients!$AP$6:$AP$105,MATCH(C76,Ingredients!$B$6:$B$105,0))),0))</f>
        <v/>
      </c>
      <c r="X76">
        <f>IF(OR(B76="",C76=""),0,IFERROR(N(INDEX(Ingredients!$AQ$6:$AQ$105,MATCH(C76,Ingredients!$B$6:$B$105,0))),0))</f>
        <v/>
      </c>
    </row>
    <row r="77">
      <c r="A77" s="1" t="n"/>
      <c r="B77" s="21" t="n"/>
      <c r="C77" s="39" t="n"/>
      <c r="D77" s="40" t="n"/>
      <c r="E77" s="12">
        <f>IF(C77="","",IF(ISNA(MATCH(C77,Ingredients!$B$6:$B$105,0)),"Not on Ingredients",IFERROR(IF(INDEX(Ingredients!$C$6:$C$105,MATCH(C77,Ingredients!$B$6:$B$105,0))="","",INDEX(Ingredients!$C$6:$C$105,MATCH(C77,Ingredients!$B$6:$B$105,0))),"")))</f>
        <v/>
      </c>
      <c r="F77" s="26">
        <f>IF(OR(B77="",C77=""),"",N(D77)*IFERROR(N(INDEX(Ingredients!$H$6:$H$105,MATCH(C77,Ingredients!$B$6:$B$105,0))),0))</f>
        <v/>
      </c>
      <c r="G77" s="1">
        <f>IF(OR(B77="",C77=""),0,IFERROR(N(INDEX(Products!$D$6:$D$45,MATCH(B77,Products!$B$6:$B$45,0))),0))</f>
        <v/>
      </c>
      <c r="H77">
        <f>IF(N(G77)=0,0,N(D77)*SUMIFS(Batches!$D$6:$D$505,Batches!$C$6:$C$505,B77)/G77)</f>
        <v/>
      </c>
      <c r="I77">
        <f>IF(OR(B77="",C77=""),"",IF(B77&lt;&gt;Label!$H$3,"",IF(IFERROR(N(INDEX(Ingredients!$AS$6:$AS$105,MATCH(C77,Ingredients!$B$6:$B$105,0))),0)=1,"",ROUND(N(D77)*1000,0)*100000+100000-ROW())))</f>
        <v/>
      </c>
      <c r="J77">
        <f>IF(OR(B77="",C77=""),0,IFERROR(N(INDEX(Ingredients!$AC$6:$AC$105,MATCH(C77,Ingredients!$B$6:$B$105,0))),0))</f>
        <v/>
      </c>
      <c r="K77">
        <f>IF(OR(B77="",C77=""),0,IFERROR(N(INDEX(Ingredients!$AD$6:$AD$105,MATCH(C77,Ingredients!$B$6:$B$105,0))),0))</f>
        <v/>
      </c>
      <c r="L77">
        <f>IF(OR(B77="",C77=""),0,IFERROR(N(INDEX(Ingredients!$AE$6:$AE$105,MATCH(C77,Ingredients!$B$6:$B$105,0))),0))</f>
        <v/>
      </c>
      <c r="M77">
        <f>IF(OR(B77="",C77=""),0,IFERROR(N(INDEX(Ingredients!$AF$6:$AF$105,MATCH(C77,Ingredients!$B$6:$B$105,0))),0))</f>
        <v/>
      </c>
      <c r="N77">
        <f>IF(OR(B77="",C77=""),0,IFERROR(N(INDEX(Ingredients!$AG$6:$AG$105,MATCH(C77,Ingredients!$B$6:$B$105,0))),0))</f>
        <v/>
      </c>
      <c r="O77">
        <f>IF(OR(B77="",C77=""),0,IFERROR(N(INDEX(Ingredients!$AH$6:$AH$105,MATCH(C77,Ingredients!$B$6:$B$105,0))),0))</f>
        <v/>
      </c>
      <c r="P77">
        <f>IF(OR(B77="",C77=""),0,IFERROR(N(INDEX(Ingredients!$AI$6:$AI$105,MATCH(C77,Ingredients!$B$6:$B$105,0))),0))</f>
        <v/>
      </c>
      <c r="Q77">
        <f>IF(OR(B77="",C77=""),0,IFERROR(N(INDEX(Ingredients!$AJ$6:$AJ$105,MATCH(C77,Ingredients!$B$6:$B$105,0))),0))</f>
        <v/>
      </c>
      <c r="R77">
        <f>IF(OR(B77="",C77=""),0,IFERROR(N(INDEX(Ingredients!$AK$6:$AK$105,MATCH(C77,Ingredients!$B$6:$B$105,0))),0))</f>
        <v/>
      </c>
      <c r="S77">
        <f>IF(OR(B77="",C77=""),0,IFERROR(N(INDEX(Ingredients!$AL$6:$AL$105,MATCH(C77,Ingredients!$B$6:$B$105,0))),0))</f>
        <v/>
      </c>
      <c r="T77">
        <f>IF(OR(B77="",C77=""),0,IFERROR(N(INDEX(Ingredients!$AM$6:$AM$105,MATCH(C77,Ingredients!$B$6:$B$105,0))),0))</f>
        <v/>
      </c>
      <c r="U77">
        <f>IF(OR(B77="",C77=""),0,IFERROR(N(INDEX(Ingredients!$AN$6:$AN$105,MATCH(C77,Ingredients!$B$6:$B$105,0))),0))</f>
        <v/>
      </c>
      <c r="V77">
        <f>IF(OR(B77="",C77=""),0,IFERROR(N(INDEX(Ingredients!$AO$6:$AO$105,MATCH(C77,Ingredients!$B$6:$B$105,0))),0))</f>
        <v/>
      </c>
      <c r="W77">
        <f>IF(OR(B77="",C77=""),0,IFERROR(N(INDEX(Ingredients!$AP$6:$AP$105,MATCH(C77,Ingredients!$B$6:$B$105,0))),0))</f>
        <v/>
      </c>
      <c r="X77">
        <f>IF(OR(B77="",C77=""),0,IFERROR(N(INDEX(Ingredients!$AQ$6:$AQ$105,MATCH(C77,Ingredients!$B$6:$B$105,0))),0))</f>
        <v/>
      </c>
    </row>
    <row r="78">
      <c r="A78" s="1" t="n"/>
      <c r="B78" s="21" t="n"/>
      <c r="C78" s="39" t="n"/>
      <c r="D78" s="40" t="n"/>
      <c r="E78" s="12">
        <f>IF(C78="","",IF(ISNA(MATCH(C78,Ingredients!$B$6:$B$105,0)),"Not on Ingredients",IFERROR(IF(INDEX(Ingredients!$C$6:$C$105,MATCH(C78,Ingredients!$B$6:$B$105,0))="","",INDEX(Ingredients!$C$6:$C$105,MATCH(C78,Ingredients!$B$6:$B$105,0))),"")))</f>
        <v/>
      </c>
      <c r="F78" s="26">
        <f>IF(OR(B78="",C78=""),"",N(D78)*IFERROR(N(INDEX(Ingredients!$H$6:$H$105,MATCH(C78,Ingredients!$B$6:$B$105,0))),0))</f>
        <v/>
      </c>
      <c r="G78" s="1">
        <f>IF(OR(B78="",C78=""),0,IFERROR(N(INDEX(Products!$D$6:$D$45,MATCH(B78,Products!$B$6:$B$45,0))),0))</f>
        <v/>
      </c>
      <c r="H78">
        <f>IF(N(G78)=0,0,N(D78)*SUMIFS(Batches!$D$6:$D$505,Batches!$C$6:$C$505,B78)/G78)</f>
        <v/>
      </c>
      <c r="I78">
        <f>IF(OR(B78="",C78=""),"",IF(B78&lt;&gt;Label!$H$3,"",IF(IFERROR(N(INDEX(Ingredients!$AS$6:$AS$105,MATCH(C78,Ingredients!$B$6:$B$105,0))),0)=1,"",ROUND(N(D78)*1000,0)*100000+100000-ROW())))</f>
        <v/>
      </c>
      <c r="J78">
        <f>IF(OR(B78="",C78=""),0,IFERROR(N(INDEX(Ingredients!$AC$6:$AC$105,MATCH(C78,Ingredients!$B$6:$B$105,0))),0))</f>
        <v/>
      </c>
      <c r="K78">
        <f>IF(OR(B78="",C78=""),0,IFERROR(N(INDEX(Ingredients!$AD$6:$AD$105,MATCH(C78,Ingredients!$B$6:$B$105,0))),0))</f>
        <v/>
      </c>
      <c r="L78">
        <f>IF(OR(B78="",C78=""),0,IFERROR(N(INDEX(Ingredients!$AE$6:$AE$105,MATCH(C78,Ingredients!$B$6:$B$105,0))),0))</f>
        <v/>
      </c>
      <c r="M78">
        <f>IF(OR(B78="",C78=""),0,IFERROR(N(INDEX(Ingredients!$AF$6:$AF$105,MATCH(C78,Ingredients!$B$6:$B$105,0))),0))</f>
        <v/>
      </c>
      <c r="N78">
        <f>IF(OR(B78="",C78=""),0,IFERROR(N(INDEX(Ingredients!$AG$6:$AG$105,MATCH(C78,Ingredients!$B$6:$B$105,0))),0))</f>
        <v/>
      </c>
      <c r="O78">
        <f>IF(OR(B78="",C78=""),0,IFERROR(N(INDEX(Ingredients!$AH$6:$AH$105,MATCH(C78,Ingredients!$B$6:$B$105,0))),0))</f>
        <v/>
      </c>
      <c r="P78">
        <f>IF(OR(B78="",C78=""),0,IFERROR(N(INDEX(Ingredients!$AI$6:$AI$105,MATCH(C78,Ingredients!$B$6:$B$105,0))),0))</f>
        <v/>
      </c>
      <c r="Q78">
        <f>IF(OR(B78="",C78=""),0,IFERROR(N(INDEX(Ingredients!$AJ$6:$AJ$105,MATCH(C78,Ingredients!$B$6:$B$105,0))),0))</f>
        <v/>
      </c>
      <c r="R78">
        <f>IF(OR(B78="",C78=""),0,IFERROR(N(INDEX(Ingredients!$AK$6:$AK$105,MATCH(C78,Ingredients!$B$6:$B$105,0))),0))</f>
        <v/>
      </c>
      <c r="S78">
        <f>IF(OR(B78="",C78=""),0,IFERROR(N(INDEX(Ingredients!$AL$6:$AL$105,MATCH(C78,Ingredients!$B$6:$B$105,0))),0))</f>
        <v/>
      </c>
      <c r="T78">
        <f>IF(OR(B78="",C78=""),0,IFERROR(N(INDEX(Ingredients!$AM$6:$AM$105,MATCH(C78,Ingredients!$B$6:$B$105,0))),0))</f>
        <v/>
      </c>
      <c r="U78">
        <f>IF(OR(B78="",C78=""),0,IFERROR(N(INDEX(Ingredients!$AN$6:$AN$105,MATCH(C78,Ingredients!$B$6:$B$105,0))),0))</f>
        <v/>
      </c>
      <c r="V78">
        <f>IF(OR(B78="",C78=""),0,IFERROR(N(INDEX(Ingredients!$AO$6:$AO$105,MATCH(C78,Ingredients!$B$6:$B$105,0))),0))</f>
        <v/>
      </c>
      <c r="W78">
        <f>IF(OR(B78="",C78=""),0,IFERROR(N(INDEX(Ingredients!$AP$6:$AP$105,MATCH(C78,Ingredients!$B$6:$B$105,0))),0))</f>
        <v/>
      </c>
      <c r="X78">
        <f>IF(OR(B78="",C78=""),0,IFERROR(N(INDEX(Ingredients!$AQ$6:$AQ$105,MATCH(C78,Ingredients!$B$6:$B$105,0))),0))</f>
        <v/>
      </c>
    </row>
    <row r="79">
      <c r="A79" s="1" t="n"/>
      <c r="B79" s="21" t="n"/>
      <c r="C79" s="39" t="n"/>
      <c r="D79" s="40" t="n"/>
      <c r="E79" s="12">
        <f>IF(C79="","",IF(ISNA(MATCH(C79,Ingredients!$B$6:$B$105,0)),"Not on Ingredients",IFERROR(IF(INDEX(Ingredients!$C$6:$C$105,MATCH(C79,Ingredients!$B$6:$B$105,0))="","",INDEX(Ingredients!$C$6:$C$105,MATCH(C79,Ingredients!$B$6:$B$105,0))),"")))</f>
        <v/>
      </c>
      <c r="F79" s="26">
        <f>IF(OR(B79="",C79=""),"",N(D79)*IFERROR(N(INDEX(Ingredients!$H$6:$H$105,MATCH(C79,Ingredients!$B$6:$B$105,0))),0))</f>
        <v/>
      </c>
      <c r="G79" s="1">
        <f>IF(OR(B79="",C79=""),0,IFERROR(N(INDEX(Products!$D$6:$D$45,MATCH(B79,Products!$B$6:$B$45,0))),0))</f>
        <v/>
      </c>
      <c r="H79">
        <f>IF(N(G79)=0,0,N(D79)*SUMIFS(Batches!$D$6:$D$505,Batches!$C$6:$C$505,B79)/G79)</f>
        <v/>
      </c>
      <c r="I79">
        <f>IF(OR(B79="",C79=""),"",IF(B79&lt;&gt;Label!$H$3,"",IF(IFERROR(N(INDEX(Ingredients!$AS$6:$AS$105,MATCH(C79,Ingredients!$B$6:$B$105,0))),0)=1,"",ROUND(N(D79)*1000,0)*100000+100000-ROW())))</f>
        <v/>
      </c>
      <c r="J79">
        <f>IF(OR(B79="",C79=""),0,IFERROR(N(INDEX(Ingredients!$AC$6:$AC$105,MATCH(C79,Ingredients!$B$6:$B$105,0))),0))</f>
        <v/>
      </c>
      <c r="K79">
        <f>IF(OR(B79="",C79=""),0,IFERROR(N(INDEX(Ingredients!$AD$6:$AD$105,MATCH(C79,Ingredients!$B$6:$B$105,0))),0))</f>
        <v/>
      </c>
      <c r="L79">
        <f>IF(OR(B79="",C79=""),0,IFERROR(N(INDEX(Ingredients!$AE$6:$AE$105,MATCH(C79,Ingredients!$B$6:$B$105,0))),0))</f>
        <v/>
      </c>
      <c r="M79">
        <f>IF(OR(B79="",C79=""),0,IFERROR(N(INDEX(Ingredients!$AF$6:$AF$105,MATCH(C79,Ingredients!$B$6:$B$105,0))),0))</f>
        <v/>
      </c>
      <c r="N79">
        <f>IF(OR(B79="",C79=""),0,IFERROR(N(INDEX(Ingredients!$AG$6:$AG$105,MATCH(C79,Ingredients!$B$6:$B$105,0))),0))</f>
        <v/>
      </c>
      <c r="O79">
        <f>IF(OR(B79="",C79=""),0,IFERROR(N(INDEX(Ingredients!$AH$6:$AH$105,MATCH(C79,Ingredients!$B$6:$B$105,0))),0))</f>
        <v/>
      </c>
      <c r="P79">
        <f>IF(OR(B79="",C79=""),0,IFERROR(N(INDEX(Ingredients!$AI$6:$AI$105,MATCH(C79,Ingredients!$B$6:$B$105,0))),0))</f>
        <v/>
      </c>
      <c r="Q79">
        <f>IF(OR(B79="",C79=""),0,IFERROR(N(INDEX(Ingredients!$AJ$6:$AJ$105,MATCH(C79,Ingredients!$B$6:$B$105,0))),0))</f>
        <v/>
      </c>
      <c r="R79">
        <f>IF(OR(B79="",C79=""),0,IFERROR(N(INDEX(Ingredients!$AK$6:$AK$105,MATCH(C79,Ingredients!$B$6:$B$105,0))),0))</f>
        <v/>
      </c>
      <c r="S79">
        <f>IF(OR(B79="",C79=""),0,IFERROR(N(INDEX(Ingredients!$AL$6:$AL$105,MATCH(C79,Ingredients!$B$6:$B$105,0))),0))</f>
        <v/>
      </c>
      <c r="T79">
        <f>IF(OR(B79="",C79=""),0,IFERROR(N(INDEX(Ingredients!$AM$6:$AM$105,MATCH(C79,Ingredients!$B$6:$B$105,0))),0))</f>
        <v/>
      </c>
      <c r="U79">
        <f>IF(OR(B79="",C79=""),0,IFERROR(N(INDEX(Ingredients!$AN$6:$AN$105,MATCH(C79,Ingredients!$B$6:$B$105,0))),0))</f>
        <v/>
      </c>
      <c r="V79">
        <f>IF(OR(B79="",C79=""),0,IFERROR(N(INDEX(Ingredients!$AO$6:$AO$105,MATCH(C79,Ingredients!$B$6:$B$105,0))),0))</f>
        <v/>
      </c>
      <c r="W79">
        <f>IF(OR(B79="",C79=""),0,IFERROR(N(INDEX(Ingredients!$AP$6:$AP$105,MATCH(C79,Ingredients!$B$6:$B$105,0))),0))</f>
        <v/>
      </c>
      <c r="X79">
        <f>IF(OR(B79="",C79=""),0,IFERROR(N(INDEX(Ingredients!$AQ$6:$AQ$105,MATCH(C79,Ingredients!$B$6:$B$105,0))),0))</f>
        <v/>
      </c>
    </row>
    <row r="80">
      <c r="A80" s="1" t="n"/>
      <c r="B80" s="21" t="n"/>
      <c r="C80" s="39" t="n"/>
      <c r="D80" s="40" t="n"/>
      <c r="E80" s="12">
        <f>IF(C80="","",IF(ISNA(MATCH(C80,Ingredients!$B$6:$B$105,0)),"Not on Ingredients",IFERROR(IF(INDEX(Ingredients!$C$6:$C$105,MATCH(C80,Ingredients!$B$6:$B$105,0))="","",INDEX(Ingredients!$C$6:$C$105,MATCH(C80,Ingredients!$B$6:$B$105,0))),"")))</f>
        <v/>
      </c>
      <c r="F80" s="26">
        <f>IF(OR(B80="",C80=""),"",N(D80)*IFERROR(N(INDEX(Ingredients!$H$6:$H$105,MATCH(C80,Ingredients!$B$6:$B$105,0))),0))</f>
        <v/>
      </c>
      <c r="G80" s="1">
        <f>IF(OR(B80="",C80=""),0,IFERROR(N(INDEX(Products!$D$6:$D$45,MATCH(B80,Products!$B$6:$B$45,0))),0))</f>
        <v/>
      </c>
      <c r="H80">
        <f>IF(N(G80)=0,0,N(D80)*SUMIFS(Batches!$D$6:$D$505,Batches!$C$6:$C$505,B80)/G80)</f>
        <v/>
      </c>
      <c r="I80">
        <f>IF(OR(B80="",C80=""),"",IF(B80&lt;&gt;Label!$H$3,"",IF(IFERROR(N(INDEX(Ingredients!$AS$6:$AS$105,MATCH(C80,Ingredients!$B$6:$B$105,0))),0)=1,"",ROUND(N(D80)*1000,0)*100000+100000-ROW())))</f>
        <v/>
      </c>
      <c r="J80">
        <f>IF(OR(B80="",C80=""),0,IFERROR(N(INDEX(Ingredients!$AC$6:$AC$105,MATCH(C80,Ingredients!$B$6:$B$105,0))),0))</f>
        <v/>
      </c>
      <c r="K80">
        <f>IF(OR(B80="",C80=""),0,IFERROR(N(INDEX(Ingredients!$AD$6:$AD$105,MATCH(C80,Ingredients!$B$6:$B$105,0))),0))</f>
        <v/>
      </c>
      <c r="L80">
        <f>IF(OR(B80="",C80=""),0,IFERROR(N(INDEX(Ingredients!$AE$6:$AE$105,MATCH(C80,Ingredients!$B$6:$B$105,0))),0))</f>
        <v/>
      </c>
      <c r="M80">
        <f>IF(OR(B80="",C80=""),0,IFERROR(N(INDEX(Ingredients!$AF$6:$AF$105,MATCH(C80,Ingredients!$B$6:$B$105,0))),0))</f>
        <v/>
      </c>
      <c r="N80">
        <f>IF(OR(B80="",C80=""),0,IFERROR(N(INDEX(Ingredients!$AG$6:$AG$105,MATCH(C80,Ingredients!$B$6:$B$105,0))),0))</f>
        <v/>
      </c>
      <c r="O80">
        <f>IF(OR(B80="",C80=""),0,IFERROR(N(INDEX(Ingredients!$AH$6:$AH$105,MATCH(C80,Ingredients!$B$6:$B$105,0))),0))</f>
        <v/>
      </c>
      <c r="P80">
        <f>IF(OR(B80="",C80=""),0,IFERROR(N(INDEX(Ingredients!$AI$6:$AI$105,MATCH(C80,Ingredients!$B$6:$B$105,0))),0))</f>
        <v/>
      </c>
      <c r="Q80">
        <f>IF(OR(B80="",C80=""),0,IFERROR(N(INDEX(Ingredients!$AJ$6:$AJ$105,MATCH(C80,Ingredients!$B$6:$B$105,0))),0))</f>
        <v/>
      </c>
      <c r="R80">
        <f>IF(OR(B80="",C80=""),0,IFERROR(N(INDEX(Ingredients!$AK$6:$AK$105,MATCH(C80,Ingredients!$B$6:$B$105,0))),0))</f>
        <v/>
      </c>
      <c r="S80">
        <f>IF(OR(B80="",C80=""),0,IFERROR(N(INDEX(Ingredients!$AL$6:$AL$105,MATCH(C80,Ingredients!$B$6:$B$105,0))),0))</f>
        <v/>
      </c>
      <c r="T80">
        <f>IF(OR(B80="",C80=""),0,IFERROR(N(INDEX(Ingredients!$AM$6:$AM$105,MATCH(C80,Ingredients!$B$6:$B$105,0))),0))</f>
        <v/>
      </c>
      <c r="U80">
        <f>IF(OR(B80="",C80=""),0,IFERROR(N(INDEX(Ingredients!$AN$6:$AN$105,MATCH(C80,Ingredients!$B$6:$B$105,0))),0))</f>
        <v/>
      </c>
      <c r="V80">
        <f>IF(OR(B80="",C80=""),0,IFERROR(N(INDEX(Ingredients!$AO$6:$AO$105,MATCH(C80,Ingredients!$B$6:$B$105,0))),0))</f>
        <v/>
      </c>
      <c r="W80">
        <f>IF(OR(B80="",C80=""),0,IFERROR(N(INDEX(Ingredients!$AP$6:$AP$105,MATCH(C80,Ingredients!$B$6:$B$105,0))),0))</f>
        <v/>
      </c>
      <c r="X80">
        <f>IF(OR(B80="",C80=""),0,IFERROR(N(INDEX(Ingredients!$AQ$6:$AQ$105,MATCH(C80,Ingredients!$B$6:$B$105,0))),0))</f>
        <v/>
      </c>
    </row>
    <row r="81">
      <c r="A81" s="1" t="n"/>
      <c r="B81" s="21" t="n"/>
      <c r="C81" s="39" t="n"/>
      <c r="D81" s="40" t="n"/>
      <c r="E81" s="12">
        <f>IF(C81="","",IF(ISNA(MATCH(C81,Ingredients!$B$6:$B$105,0)),"Not on Ingredients",IFERROR(IF(INDEX(Ingredients!$C$6:$C$105,MATCH(C81,Ingredients!$B$6:$B$105,0))="","",INDEX(Ingredients!$C$6:$C$105,MATCH(C81,Ingredients!$B$6:$B$105,0))),"")))</f>
        <v/>
      </c>
      <c r="F81" s="26">
        <f>IF(OR(B81="",C81=""),"",N(D81)*IFERROR(N(INDEX(Ingredients!$H$6:$H$105,MATCH(C81,Ingredients!$B$6:$B$105,0))),0))</f>
        <v/>
      </c>
      <c r="G81" s="1">
        <f>IF(OR(B81="",C81=""),0,IFERROR(N(INDEX(Products!$D$6:$D$45,MATCH(B81,Products!$B$6:$B$45,0))),0))</f>
        <v/>
      </c>
      <c r="H81">
        <f>IF(N(G81)=0,0,N(D81)*SUMIFS(Batches!$D$6:$D$505,Batches!$C$6:$C$505,B81)/G81)</f>
        <v/>
      </c>
      <c r="I81">
        <f>IF(OR(B81="",C81=""),"",IF(B81&lt;&gt;Label!$H$3,"",IF(IFERROR(N(INDEX(Ingredients!$AS$6:$AS$105,MATCH(C81,Ingredients!$B$6:$B$105,0))),0)=1,"",ROUND(N(D81)*1000,0)*100000+100000-ROW())))</f>
        <v/>
      </c>
      <c r="J81">
        <f>IF(OR(B81="",C81=""),0,IFERROR(N(INDEX(Ingredients!$AC$6:$AC$105,MATCH(C81,Ingredients!$B$6:$B$105,0))),0))</f>
        <v/>
      </c>
      <c r="K81">
        <f>IF(OR(B81="",C81=""),0,IFERROR(N(INDEX(Ingredients!$AD$6:$AD$105,MATCH(C81,Ingredients!$B$6:$B$105,0))),0))</f>
        <v/>
      </c>
      <c r="L81">
        <f>IF(OR(B81="",C81=""),0,IFERROR(N(INDEX(Ingredients!$AE$6:$AE$105,MATCH(C81,Ingredients!$B$6:$B$105,0))),0))</f>
        <v/>
      </c>
      <c r="M81">
        <f>IF(OR(B81="",C81=""),0,IFERROR(N(INDEX(Ingredients!$AF$6:$AF$105,MATCH(C81,Ingredients!$B$6:$B$105,0))),0))</f>
        <v/>
      </c>
      <c r="N81">
        <f>IF(OR(B81="",C81=""),0,IFERROR(N(INDEX(Ingredients!$AG$6:$AG$105,MATCH(C81,Ingredients!$B$6:$B$105,0))),0))</f>
        <v/>
      </c>
      <c r="O81">
        <f>IF(OR(B81="",C81=""),0,IFERROR(N(INDEX(Ingredients!$AH$6:$AH$105,MATCH(C81,Ingredients!$B$6:$B$105,0))),0))</f>
        <v/>
      </c>
      <c r="P81">
        <f>IF(OR(B81="",C81=""),0,IFERROR(N(INDEX(Ingredients!$AI$6:$AI$105,MATCH(C81,Ingredients!$B$6:$B$105,0))),0))</f>
        <v/>
      </c>
      <c r="Q81">
        <f>IF(OR(B81="",C81=""),0,IFERROR(N(INDEX(Ingredients!$AJ$6:$AJ$105,MATCH(C81,Ingredients!$B$6:$B$105,0))),0))</f>
        <v/>
      </c>
      <c r="R81">
        <f>IF(OR(B81="",C81=""),0,IFERROR(N(INDEX(Ingredients!$AK$6:$AK$105,MATCH(C81,Ingredients!$B$6:$B$105,0))),0))</f>
        <v/>
      </c>
      <c r="S81">
        <f>IF(OR(B81="",C81=""),0,IFERROR(N(INDEX(Ingredients!$AL$6:$AL$105,MATCH(C81,Ingredients!$B$6:$B$105,0))),0))</f>
        <v/>
      </c>
      <c r="T81">
        <f>IF(OR(B81="",C81=""),0,IFERROR(N(INDEX(Ingredients!$AM$6:$AM$105,MATCH(C81,Ingredients!$B$6:$B$105,0))),0))</f>
        <v/>
      </c>
      <c r="U81">
        <f>IF(OR(B81="",C81=""),0,IFERROR(N(INDEX(Ingredients!$AN$6:$AN$105,MATCH(C81,Ingredients!$B$6:$B$105,0))),0))</f>
        <v/>
      </c>
      <c r="V81">
        <f>IF(OR(B81="",C81=""),0,IFERROR(N(INDEX(Ingredients!$AO$6:$AO$105,MATCH(C81,Ingredients!$B$6:$B$105,0))),0))</f>
        <v/>
      </c>
      <c r="W81">
        <f>IF(OR(B81="",C81=""),0,IFERROR(N(INDEX(Ingredients!$AP$6:$AP$105,MATCH(C81,Ingredients!$B$6:$B$105,0))),0))</f>
        <v/>
      </c>
      <c r="X81">
        <f>IF(OR(B81="",C81=""),0,IFERROR(N(INDEX(Ingredients!$AQ$6:$AQ$105,MATCH(C81,Ingredients!$B$6:$B$105,0))),0))</f>
        <v/>
      </c>
    </row>
    <row r="82">
      <c r="A82" s="1" t="n"/>
      <c r="B82" s="21" t="n"/>
      <c r="C82" s="39" t="n"/>
      <c r="D82" s="40" t="n"/>
      <c r="E82" s="12">
        <f>IF(C82="","",IF(ISNA(MATCH(C82,Ingredients!$B$6:$B$105,0)),"Not on Ingredients",IFERROR(IF(INDEX(Ingredients!$C$6:$C$105,MATCH(C82,Ingredients!$B$6:$B$105,0))="","",INDEX(Ingredients!$C$6:$C$105,MATCH(C82,Ingredients!$B$6:$B$105,0))),"")))</f>
        <v/>
      </c>
      <c r="F82" s="26">
        <f>IF(OR(B82="",C82=""),"",N(D82)*IFERROR(N(INDEX(Ingredients!$H$6:$H$105,MATCH(C82,Ingredients!$B$6:$B$105,0))),0))</f>
        <v/>
      </c>
      <c r="G82" s="1">
        <f>IF(OR(B82="",C82=""),0,IFERROR(N(INDEX(Products!$D$6:$D$45,MATCH(B82,Products!$B$6:$B$45,0))),0))</f>
        <v/>
      </c>
      <c r="H82">
        <f>IF(N(G82)=0,0,N(D82)*SUMIFS(Batches!$D$6:$D$505,Batches!$C$6:$C$505,B82)/G82)</f>
        <v/>
      </c>
      <c r="I82">
        <f>IF(OR(B82="",C82=""),"",IF(B82&lt;&gt;Label!$H$3,"",IF(IFERROR(N(INDEX(Ingredients!$AS$6:$AS$105,MATCH(C82,Ingredients!$B$6:$B$105,0))),0)=1,"",ROUND(N(D82)*1000,0)*100000+100000-ROW())))</f>
        <v/>
      </c>
      <c r="J82">
        <f>IF(OR(B82="",C82=""),0,IFERROR(N(INDEX(Ingredients!$AC$6:$AC$105,MATCH(C82,Ingredients!$B$6:$B$105,0))),0))</f>
        <v/>
      </c>
      <c r="K82">
        <f>IF(OR(B82="",C82=""),0,IFERROR(N(INDEX(Ingredients!$AD$6:$AD$105,MATCH(C82,Ingredients!$B$6:$B$105,0))),0))</f>
        <v/>
      </c>
      <c r="L82">
        <f>IF(OR(B82="",C82=""),0,IFERROR(N(INDEX(Ingredients!$AE$6:$AE$105,MATCH(C82,Ingredients!$B$6:$B$105,0))),0))</f>
        <v/>
      </c>
      <c r="M82">
        <f>IF(OR(B82="",C82=""),0,IFERROR(N(INDEX(Ingredients!$AF$6:$AF$105,MATCH(C82,Ingredients!$B$6:$B$105,0))),0))</f>
        <v/>
      </c>
      <c r="N82">
        <f>IF(OR(B82="",C82=""),0,IFERROR(N(INDEX(Ingredients!$AG$6:$AG$105,MATCH(C82,Ingredients!$B$6:$B$105,0))),0))</f>
        <v/>
      </c>
      <c r="O82">
        <f>IF(OR(B82="",C82=""),0,IFERROR(N(INDEX(Ingredients!$AH$6:$AH$105,MATCH(C82,Ingredients!$B$6:$B$105,0))),0))</f>
        <v/>
      </c>
      <c r="P82">
        <f>IF(OR(B82="",C82=""),0,IFERROR(N(INDEX(Ingredients!$AI$6:$AI$105,MATCH(C82,Ingredients!$B$6:$B$105,0))),0))</f>
        <v/>
      </c>
      <c r="Q82">
        <f>IF(OR(B82="",C82=""),0,IFERROR(N(INDEX(Ingredients!$AJ$6:$AJ$105,MATCH(C82,Ingredients!$B$6:$B$105,0))),0))</f>
        <v/>
      </c>
      <c r="R82">
        <f>IF(OR(B82="",C82=""),0,IFERROR(N(INDEX(Ingredients!$AK$6:$AK$105,MATCH(C82,Ingredients!$B$6:$B$105,0))),0))</f>
        <v/>
      </c>
      <c r="S82">
        <f>IF(OR(B82="",C82=""),0,IFERROR(N(INDEX(Ingredients!$AL$6:$AL$105,MATCH(C82,Ingredients!$B$6:$B$105,0))),0))</f>
        <v/>
      </c>
      <c r="T82">
        <f>IF(OR(B82="",C82=""),0,IFERROR(N(INDEX(Ingredients!$AM$6:$AM$105,MATCH(C82,Ingredients!$B$6:$B$105,0))),0))</f>
        <v/>
      </c>
      <c r="U82">
        <f>IF(OR(B82="",C82=""),0,IFERROR(N(INDEX(Ingredients!$AN$6:$AN$105,MATCH(C82,Ingredients!$B$6:$B$105,0))),0))</f>
        <v/>
      </c>
      <c r="V82">
        <f>IF(OR(B82="",C82=""),0,IFERROR(N(INDEX(Ingredients!$AO$6:$AO$105,MATCH(C82,Ingredients!$B$6:$B$105,0))),0))</f>
        <v/>
      </c>
      <c r="W82">
        <f>IF(OR(B82="",C82=""),0,IFERROR(N(INDEX(Ingredients!$AP$6:$AP$105,MATCH(C82,Ingredients!$B$6:$B$105,0))),0))</f>
        <v/>
      </c>
      <c r="X82">
        <f>IF(OR(B82="",C82=""),0,IFERROR(N(INDEX(Ingredients!$AQ$6:$AQ$105,MATCH(C82,Ingredients!$B$6:$B$105,0))),0))</f>
        <v/>
      </c>
    </row>
    <row r="83">
      <c r="A83" s="1" t="n"/>
      <c r="B83" s="21" t="n"/>
      <c r="C83" s="39" t="n"/>
      <c r="D83" s="40" t="n"/>
      <c r="E83" s="12">
        <f>IF(C83="","",IF(ISNA(MATCH(C83,Ingredients!$B$6:$B$105,0)),"Not on Ingredients",IFERROR(IF(INDEX(Ingredients!$C$6:$C$105,MATCH(C83,Ingredients!$B$6:$B$105,0))="","",INDEX(Ingredients!$C$6:$C$105,MATCH(C83,Ingredients!$B$6:$B$105,0))),"")))</f>
        <v/>
      </c>
      <c r="F83" s="26">
        <f>IF(OR(B83="",C83=""),"",N(D83)*IFERROR(N(INDEX(Ingredients!$H$6:$H$105,MATCH(C83,Ingredients!$B$6:$B$105,0))),0))</f>
        <v/>
      </c>
      <c r="G83" s="1">
        <f>IF(OR(B83="",C83=""),0,IFERROR(N(INDEX(Products!$D$6:$D$45,MATCH(B83,Products!$B$6:$B$45,0))),0))</f>
        <v/>
      </c>
      <c r="H83">
        <f>IF(N(G83)=0,0,N(D83)*SUMIFS(Batches!$D$6:$D$505,Batches!$C$6:$C$505,B83)/G83)</f>
        <v/>
      </c>
      <c r="I83">
        <f>IF(OR(B83="",C83=""),"",IF(B83&lt;&gt;Label!$H$3,"",IF(IFERROR(N(INDEX(Ingredients!$AS$6:$AS$105,MATCH(C83,Ingredients!$B$6:$B$105,0))),0)=1,"",ROUND(N(D83)*1000,0)*100000+100000-ROW())))</f>
        <v/>
      </c>
      <c r="J83">
        <f>IF(OR(B83="",C83=""),0,IFERROR(N(INDEX(Ingredients!$AC$6:$AC$105,MATCH(C83,Ingredients!$B$6:$B$105,0))),0))</f>
        <v/>
      </c>
      <c r="K83">
        <f>IF(OR(B83="",C83=""),0,IFERROR(N(INDEX(Ingredients!$AD$6:$AD$105,MATCH(C83,Ingredients!$B$6:$B$105,0))),0))</f>
        <v/>
      </c>
      <c r="L83">
        <f>IF(OR(B83="",C83=""),0,IFERROR(N(INDEX(Ingredients!$AE$6:$AE$105,MATCH(C83,Ingredients!$B$6:$B$105,0))),0))</f>
        <v/>
      </c>
      <c r="M83">
        <f>IF(OR(B83="",C83=""),0,IFERROR(N(INDEX(Ingredients!$AF$6:$AF$105,MATCH(C83,Ingredients!$B$6:$B$105,0))),0))</f>
        <v/>
      </c>
      <c r="N83">
        <f>IF(OR(B83="",C83=""),0,IFERROR(N(INDEX(Ingredients!$AG$6:$AG$105,MATCH(C83,Ingredients!$B$6:$B$105,0))),0))</f>
        <v/>
      </c>
      <c r="O83">
        <f>IF(OR(B83="",C83=""),0,IFERROR(N(INDEX(Ingredients!$AH$6:$AH$105,MATCH(C83,Ingredients!$B$6:$B$105,0))),0))</f>
        <v/>
      </c>
      <c r="P83">
        <f>IF(OR(B83="",C83=""),0,IFERROR(N(INDEX(Ingredients!$AI$6:$AI$105,MATCH(C83,Ingredients!$B$6:$B$105,0))),0))</f>
        <v/>
      </c>
      <c r="Q83">
        <f>IF(OR(B83="",C83=""),0,IFERROR(N(INDEX(Ingredients!$AJ$6:$AJ$105,MATCH(C83,Ingredients!$B$6:$B$105,0))),0))</f>
        <v/>
      </c>
      <c r="R83">
        <f>IF(OR(B83="",C83=""),0,IFERROR(N(INDEX(Ingredients!$AK$6:$AK$105,MATCH(C83,Ingredients!$B$6:$B$105,0))),0))</f>
        <v/>
      </c>
      <c r="S83">
        <f>IF(OR(B83="",C83=""),0,IFERROR(N(INDEX(Ingredients!$AL$6:$AL$105,MATCH(C83,Ingredients!$B$6:$B$105,0))),0))</f>
        <v/>
      </c>
      <c r="T83">
        <f>IF(OR(B83="",C83=""),0,IFERROR(N(INDEX(Ingredients!$AM$6:$AM$105,MATCH(C83,Ingredients!$B$6:$B$105,0))),0))</f>
        <v/>
      </c>
      <c r="U83">
        <f>IF(OR(B83="",C83=""),0,IFERROR(N(INDEX(Ingredients!$AN$6:$AN$105,MATCH(C83,Ingredients!$B$6:$B$105,0))),0))</f>
        <v/>
      </c>
      <c r="V83">
        <f>IF(OR(B83="",C83=""),0,IFERROR(N(INDEX(Ingredients!$AO$6:$AO$105,MATCH(C83,Ingredients!$B$6:$B$105,0))),0))</f>
        <v/>
      </c>
      <c r="W83">
        <f>IF(OR(B83="",C83=""),0,IFERROR(N(INDEX(Ingredients!$AP$6:$AP$105,MATCH(C83,Ingredients!$B$6:$B$105,0))),0))</f>
        <v/>
      </c>
      <c r="X83">
        <f>IF(OR(B83="",C83=""),0,IFERROR(N(INDEX(Ingredients!$AQ$6:$AQ$105,MATCH(C83,Ingredients!$B$6:$B$105,0))),0))</f>
        <v/>
      </c>
    </row>
    <row r="84">
      <c r="A84" s="1" t="n"/>
      <c r="B84" s="21" t="n"/>
      <c r="C84" s="39" t="n"/>
      <c r="D84" s="40" t="n"/>
      <c r="E84" s="12">
        <f>IF(C84="","",IF(ISNA(MATCH(C84,Ingredients!$B$6:$B$105,0)),"Not on Ingredients",IFERROR(IF(INDEX(Ingredients!$C$6:$C$105,MATCH(C84,Ingredients!$B$6:$B$105,0))="","",INDEX(Ingredients!$C$6:$C$105,MATCH(C84,Ingredients!$B$6:$B$105,0))),"")))</f>
        <v/>
      </c>
      <c r="F84" s="26">
        <f>IF(OR(B84="",C84=""),"",N(D84)*IFERROR(N(INDEX(Ingredients!$H$6:$H$105,MATCH(C84,Ingredients!$B$6:$B$105,0))),0))</f>
        <v/>
      </c>
      <c r="G84" s="1">
        <f>IF(OR(B84="",C84=""),0,IFERROR(N(INDEX(Products!$D$6:$D$45,MATCH(B84,Products!$B$6:$B$45,0))),0))</f>
        <v/>
      </c>
      <c r="H84">
        <f>IF(N(G84)=0,0,N(D84)*SUMIFS(Batches!$D$6:$D$505,Batches!$C$6:$C$505,B84)/G84)</f>
        <v/>
      </c>
      <c r="I84">
        <f>IF(OR(B84="",C84=""),"",IF(B84&lt;&gt;Label!$H$3,"",IF(IFERROR(N(INDEX(Ingredients!$AS$6:$AS$105,MATCH(C84,Ingredients!$B$6:$B$105,0))),0)=1,"",ROUND(N(D84)*1000,0)*100000+100000-ROW())))</f>
        <v/>
      </c>
      <c r="J84">
        <f>IF(OR(B84="",C84=""),0,IFERROR(N(INDEX(Ingredients!$AC$6:$AC$105,MATCH(C84,Ingredients!$B$6:$B$105,0))),0))</f>
        <v/>
      </c>
      <c r="K84">
        <f>IF(OR(B84="",C84=""),0,IFERROR(N(INDEX(Ingredients!$AD$6:$AD$105,MATCH(C84,Ingredients!$B$6:$B$105,0))),0))</f>
        <v/>
      </c>
      <c r="L84">
        <f>IF(OR(B84="",C84=""),0,IFERROR(N(INDEX(Ingredients!$AE$6:$AE$105,MATCH(C84,Ingredients!$B$6:$B$105,0))),0))</f>
        <v/>
      </c>
      <c r="M84">
        <f>IF(OR(B84="",C84=""),0,IFERROR(N(INDEX(Ingredients!$AF$6:$AF$105,MATCH(C84,Ingredients!$B$6:$B$105,0))),0))</f>
        <v/>
      </c>
      <c r="N84">
        <f>IF(OR(B84="",C84=""),0,IFERROR(N(INDEX(Ingredients!$AG$6:$AG$105,MATCH(C84,Ingredients!$B$6:$B$105,0))),0))</f>
        <v/>
      </c>
      <c r="O84">
        <f>IF(OR(B84="",C84=""),0,IFERROR(N(INDEX(Ingredients!$AH$6:$AH$105,MATCH(C84,Ingredients!$B$6:$B$105,0))),0))</f>
        <v/>
      </c>
      <c r="P84">
        <f>IF(OR(B84="",C84=""),0,IFERROR(N(INDEX(Ingredients!$AI$6:$AI$105,MATCH(C84,Ingredients!$B$6:$B$105,0))),0))</f>
        <v/>
      </c>
      <c r="Q84">
        <f>IF(OR(B84="",C84=""),0,IFERROR(N(INDEX(Ingredients!$AJ$6:$AJ$105,MATCH(C84,Ingredients!$B$6:$B$105,0))),0))</f>
        <v/>
      </c>
      <c r="R84">
        <f>IF(OR(B84="",C84=""),0,IFERROR(N(INDEX(Ingredients!$AK$6:$AK$105,MATCH(C84,Ingredients!$B$6:$B$105,0))),0))</f>
        <v/>
      </c>
      <c r="S84">
        <f>IF(OR(B84="",C84=""),0,IFERROR(N(INDEX(Ingredients!$AL$6:$AL$105,MATCH(C84,Ingredients!$B$6:$B$105,0))),0))</f>
        <v/>
      </c>
      <c r="T84">
        <f>IF(OR(B84="",C84=""),0,IFERROR(N(INDEX(Ingredients!$AM$6:$AM$105,MATCH(C84,Ingredients!$B$6:$B$105,0))),0))</f>
        <v/>
      </c>
      <c r="U84">
        <f>IF(OR(B84="",C84=""),0,IFERROR(N(INDEX(Ingredients!$AN$6:$AN$105,MATCH(C84,Ingredients!$B$6:$B$105,0))),0))</f>
        <v/>
      </c>
      <c r="V84">
        <f>IF(OR(B84="",C84=""),0,IFERROR(N(INDEX(Ingredients!$AO$6:$AO$105,MATCH(C84,Ingredients!$B$6:$B$105,0))),0))</f>
        <v/>
      </c>
      <c r="W84">
        <f>IF(OR(B84="",C84=""),0,IFERROR(N(INDEX(Ingredients!$AP$6:$AP$105,MATCH(C84,Ingredients!$B$6:$B$105,0))),0))</f>
        <v/>
      </c>
      <c r="X84">
        <f>IF(OR(B84="",C84=""),0,IFERROR(N(INDEX(Ingredients!$AQ$6:$AQ$105,MATCH(C84,Ingredients!$B$6:$B$105,0))),0))</f>
        <v/>
      </c>
    </row>
    <row r="85">
      <c r="A85" s="1" t="n"/>
      <c r="B85" s="21" t="n"/>
      <c r="C85" s="39" t="n"/>
      <c r="D85" s="40" t="n"/>
      <c r="E85" s="12">
        <f>IF(C85="","",IF(ISNA(MATCH(C85,Ingredients!$B$6:$B$105,0)),"Not on Ingredients",IFERROR(IF(INDEX(Ingredients!$C$6:$C$105,MATCH(C85,Ingredients!$B$6:$B$105,0))="","",INDEX(Ingredients!$C$6:$C$105,MATCH(C85,Ingredients!$B$6:$B$105,0))),"")))</f>
        <v/>
      </c>
      <c r="F85" s="26">
        <f>IF(OR(B85="",C85=""),"",N(D85)*IFERROR(N(INDEX(Ingredients!$H$6:$H$105,MATCH(C85,Ingredients!$B$6:$B$105,0))),0))</f>
        <v/>
      </c>
      <c r="G85" s="1">
        <f>IF(OR(B85="",C85=""),0,IFERROR(N(INDEX(Products!$D$6:$D$45,MATCH(B85,Products!$B$6:$B$45,0))),0))</f>
        <v/>
      </c>
      <c r="H85">
        <f>IF(N(G85)=0,0,N(D85)*SUMIFS(Batches!$D$6:$D$505,Batches!$C$6:$C$505,B85)/G85)</f>
        <v/>
      </c>
      <c r="I85">
        <f>IF(OR(B85="",C85=""),"",IF(B85&lt;&gt;Label!$H$3,"",IF(IFERROR(N(INDEX(Ingredients!$AS$6:$AS$105,MATCH(C85,Ingredients!$B$6:$B$105,0))),0)=1,"",ROUND(N(D85)*1000,0)*100000+100000-ROW())))</f>
        <v/>
      </c>
      <c r="J85">
        <f>IF(OR(B85="",C85=""),0,IFERROR(N(INDEX(Ingredients!$AC$6:$AC$105,MATCH(C85,Ingredients!$B$6:$B$105,0))),0))</f>
        <v/>
      </c>
      <c r="K85">
        <f>IF(OR(B85="",C85=""),0,IFERROR(N(INDEX(Ingredients!$AD$6:$AD$105,MATCH(C85,Ingredients!$B$6:$B$105,0))),0))</f>
        <v/>
      </c>
      <c r="L85">
        <f>IF(OR(B85="",C85=""),0,IFERROR(N(INDEX(Ingredients!$AE$6:$AE$105,MATCH(C85,Ingredients!$B$6:$B$105,0))),0))</f>
        <v/>
      </c>
      <c r="M85">
        <f>IF(OR(B85="",C85=""),0,IFERROR(N(INDEX(Ingredients!$AF$6:$AF$105,MATCH(C85,Ingredients!$B$6:$B$105,0))),0))</f>
        <v/>
      </c>
      <c r="N85">
        <f>IF(OR(B85="",C85=""),0,IFERROR(N(INDEX(Ingredients!$AG$6:$AG$105,MATCH(C85,Ingredients!$B$6:$B$105,0))),0))</f>
        <v/>
      </c>
      <c r="O85">
        <f>IF(OR(B85="",C85=""),0,IFERROR(N(INDEX(Ingredients!$AH$6:$AH$105,MATCH(C85,Ingredients!$B$6:$B$105,0))),0))</f>
        <v/>
      </c>
      <c r="P85">
        <f>IF(OR(B85="",C85=""),0,IFERROR(N(INDEX(Ingredients!$AI$6:$AI$105,MATCH(C85,Ingredients!$B$6:$B$105,0))),0))</f>
        <v/>
      </c>
      <c r="Q85">
        <f>IF(OR(B85="",C85=""),0,IFERROR(N(INDEX(Ingredients!$AJ$6:$AJ$105,MATCH(C85,Ingredients!$B$6:$B$105,0))),0))</f>
        <v/>
      </c>
      <c r="R85">
        <f>IF(OR(B85="",C85=""),0,IFERROR(N(INDEX(Ingredients!$AK$6:$AK$105,MATCH(C85,Ingredients!$B$6:$B$105,0))),0))</f>
        <v/>
      </c>
      <c r="S85">
        <f>IF(OR(B85="",C85=""),0,IFERROR(N(INDEX(Ingredients!$AL$6:$AL$105,MATCH(C85,Ingredients!$B$6:$B$105,0))),0))</f>
        <v/>
      </c>
      <c r="T85">
        <f>IF(OR(B85="",C85=""),0,IFERROR(N(INDEX(Ingredients!$AM$6:$AM$105,MATCH(C85,Ingredients!$B$6:$B$105,0))),0))</f>
        <v/>
      </c>
      <c r="U85">
        <f>IF(OR(B85="",C85=""),0,IFERROR(N(INDEX(Ingredients!$AN$6:$AN$105,MATCH(C85,Ingredients!$B$6:$B$105,0))),0))</f>
        <v/>
      </c>
      <c r="V85">
        <f>IF(OR(B85="",C85=""),0,IFERROR(N(INDEX(Ingredients!$AO$6:$AO$105,MATCH(C85,Ingredients!$B$6:$B$105,0))),0))</f>
        <v/>
      </c>
      <c r="W85">
        <f>IF(OR(B85="",C85=""),0,IFERROR(N(INDEX(Ingredients!$AP$6:$AP$105,MATCH(C85,Ingredients!$B$6:$B$105,0))),0))</f>
        <v/>
      </c>
      <c r="X85">
        <f>IF(OR(B85="",C85=""),0,IFERROR(N(INDEX(Ingredients!$AQ$6:$AQ$105,MATCH(C85,Ingredients!$B$6:$B$105,0))),0))</f>
        <v/>
      </c>
    </row>
    <row r="86">
      <c r="A86" s="1" t="n"/>
      <c r="B86" s="21" t="n"/>
      <c r="C86" s="39" t="n"/>
      <c r="D86" s="40" t="n"/>
      <c r="E86" s="12">
        <f>IF(C86="","",IF(ISNA(MATCH(C86,Ingredients!$B$6:$B$105,0)),"Not on Ingredients",IFERROR(IF(INDEX(Ingredients!$C$6:$C$105,MATCH(C86,Ingredients!$B$6:$B$105,0))="","",INDEX(Ingredients!$C$6:$C$105,MATCH(C86,Ingredients!$B$6:$B$105,0))),"")))</f>
        <v/>
      </c>
      <c r="F86" s="26">
        <f>IF(OR(B86="",C86=""),"",N(D86)*IFERROR(N(INDEX(Ingredients!$H$6:$H$105,MATCH(C86,Ingredients!$B$6:$B$105,0))),0))</f>
        <v/>
      </c>
      <c r="G86" s="1">
        <f>IF(OR(B86="",C86=""),0,IFERROR(N(INDEX(Products!$D$6:$D$45,MATCH(B86,Products!$B$6:$B$45,0))),0))</f>
        <v/>
      </c>
      <c r="H86">
        <f>IF(N(G86)=0,0,N(D86)*SUMIFS(Batches!$D$6:$D$505,Batches!$C$6:$C$505,B86)/G86)</f>
        <v/>
      </c>
      <c r="I86">
        <f>IF(OR(B86="",C86=""),"",IF(B86&lt;&gt;Label!$H$3,"",IF(IFERROR(N(INDEX(Ingredients!$AS$6:$AS$105,MATCH(C86,Ingredients!$B$6:$B$105,0))),0)=1,"",ROUND(N(D86)*1000,0)*100000+100000-ROW())))</f>
        <v/>
      </c>
      <c r="J86">
        <f>IF(OR(B86="",C86=""),0,IFERROR(N(INDEX(Ingredients!$AC$6:$AC$105,MATCH(C86,Ingredients!$B$6:$B$105,0))),0))</f>
        <v/>
      </c>
      <c r="K86">
        <f>IF(OR(B86="",C86=""),0,IFERROR(N(INDEX(Ingredients!$AD$6:$AD$105,MATCH(C86,Ingredients!$B$6:$B$105,0))),0))</f>
        <v/>
      </c>
      <c r="L86">
        <f>IF(OR(B86="",C86=""),0,IFERROR(N(INDEX(Ingredients!$AE$6:$AE$105,MATCH(C86,Ingredients!$B$6:$B$105,0))),0))</f>
        <v/>
      </c>
      <c r="M86">
        <f>IF(OR(B86="",C86=""),0,IFERROR(N(INDEX(Ingredients!$AF$6:$AF$105,MATCH(C86,Ingredients!$B$6:$B$105,0))),0))</f>
        <v/>
      </c>
      <c r="N86">
        <f>IF(OR(B86="",C86=""),0,IFERROR(N(INDEX(Ingredients!$AG$6:$AG$105,MATCH(C86,Ingredients!$B$6:$B$105,0))),0))</f>
        <v/>
      </c>
      <c r="O86">
        <f>IF(OR(B86="",C86=""),0,IFERROR(N(INDEX(Ingredients!$AH$6:$AH$105,MATCH(C86,Ingredients!$B$6:$B$105,0))),0))</f>
        <v/>
      </c>
      <c r="P86">
        <f>IF(OR(B86="",C86=""),0,IFERROR(N(INDEX(Ingredients!$AI$6:$AI$105,MATCH(C86,Ingredients!$B$6:$B$105,0))),0))</f>
        <v/>
      </c>
      <c r="Q86">
        <f>IF(OR(B86="",C86=""),0,IFERROR(N(INDEX(Ingredients!$AJ$6:$AJ$105,MATCH(C86,Ingredients!$B$6:$B$105,0))),0))</f>
        <v/>
      </c>
      <c r="R86">
        <f>IF(OR(B86="",C86=""),0,IFERROR(N(INDEX(Ingredients!$AK$6:$AK$105,MATCH(C86,Ingredients!$B$6:$B$105,0))),0))</f>
        <v/>
      </c>
      <c r="S86">
        <f>IF(OR(B86="",C86=""),0,IFERROR(N(INDEX(Ingredients!$AL$6:$AL$105,MATCH(C86,Ingredients!$B$6:$B$105,0))),0))</f>
        <v/>
      </c>
      <c r="T86">
        <f>IF(OR(B86="",C86=""),0,IFERROR(N(INDEX(Ingredients!$AM$6:$AM$105,MATCH(C86,Ingredients!$B$6:$B$105,0))),0))</f>
        <v/>
      </c>
      <c r="U86">
        <f>IF(OR(B86="",C86=""),0,IFERROR(N(INDEX(Ingredients!$AN$6:$AN$105,MATCH(C86,Ingredients!$B$6:$B$105,0))),0))</f>
        <v/>
      </c>
      <c r="V86">
        <f>IF(OR(B86="",C86=""),0,IFERROR(N(INDEX(Ingredients!$AO$6:$AO$105,MATCH(C86,Ingredients!$B$6:$B$105,0))),0))</f>
        <v/>
      </c>
      <c r="W86">
        <f>IF(OR(B86="",C86=""),0,IFERROR(N(INDEX(Ingredients!$AP$6:$AP$105,MATCH(C86,Ingredients!$B$6:$B$105,0))),0))</f>
        <v/>
      </c>
      <c r="X86">
        <f>IF(OR(B86="",C86=""),0,IFERROR(N(INDEX(Ingredients!$AQ$6:$AQ$105,MATCH(C86,Ingredients!$B$6:$B$105,0))),0))</f>
        <v/>
      </c>
    </row>
    <row r="87">
      <c r="A87" s="1" t="n"/>
      <c r="B87" s="21" t="n"/>
      <c r="C87" s="39" t="n"/>
      <c r="D87" s="40" t="n"/>
      <c r="E87" s="12">
        <f>IF(C87="","",IF(ISNA(MATCH(C87,Ingredients!$B$6:$B$105,0)),"Not on Ingredients",IFERROR(IF(INDEX(Ingredients!$C$6:$C$105,MATCH(C87,Ingredients!$B$6:$B$105,0))="","",INDEX(Ingredients!$C$6:$C$105,MATCH(C87,Ingredients!$B$6:$B$105,0))),"")))</f>
        <v/>
      </c>
      <c r="F87" s="26">
        <f>IF(OR(B87="",C87=""),"",N(D87)*IFERROR(N(INDEX(Ingredients!$H$6:$H$105,MATCH(C87,Ingredients!$B$6:$B$105,0))),0))</f>
        <v/>
      </c>
      <c r="G87" s="1">
        <f>IF(OR(B87="",C87=""),0,IFERROR(N(INDEX(Products!$D$6:$D$45,MATCH(B87,Products!$B$6:$B$45,0))),0))</f>
        <v/>
      </c>
      <c r="H87">
        <f>IF(N(G87)=0,0,N(D87)*SUMIFS(Batches!$D$6:$D$505,Batches!$C$6:$C$505,B87)/G87)</f>
        <v/>
      </c>
      <c r="I87">
        <f>IF(OR(B87="",C87=""),"",IF(B87&lt;&gt;Label!$H$3,"",IF(IFERROR(N(INDEX(Ingredients!$AS$6:$AS$105,MATCH(C87,Ingredients!$B$6:$B$105,0))),0)=1,"",ROUND(N(D87)*1000,0)*100000+100000-ROW())))</f>
        <v/>
      </c>
      <c r="J87">
        <f>IF(OR(B87="",C87=""),0,IFERROR(N(INDEX(Ingredients!$AC$6:$AC$105,MATCH(C87,Ingredients!$B$6:$B$105,0))),0))</f>
        <v/>
      </c>
      <c r="K87">
        <f>IF(OR(B87="",C87=""),0,IFERROR(N(INDEX(Ingredients!$AD$6:$AD$105,MATCH(C87,Ingredients!$B$6:$B$105,0))),0))</f>
        <v/>
      </c>
      <c r="L87">
        <f>IF(OR(B87="",C87=""),0,IFERROR(N(INDEX(Ingredients!$AE$6:$AE$105,MATCH(C87,Ingredients!$B$6:$B$105,0))),0))</f>
        <v/>
      </c>
      <c r="M87">
        <f>IF(OR(B87="",C87=""),0,IFERROR(N(INDEX(Ingredients!$AF$6:$AF$105,MATCH(C87,Ingredients!$B$6:$B$105,0))),0))</f>
        <v/>
      </c>
      <c r="N87">
        <f>IF(OR(B87="",C87=""),0,IFERROR(N(INDEX(Ingredients!$AG$6:$AG$105,MATCH(C87,Ingredients!$B$6:$B$105,0))),0))</f>
        <v/>
      </c>
      <c r="O87">
        <f>IF(OR(B87="",C87=""),0,IFERROR(N(INDEX(Ingredients!$AH$6:$AH$105,MATCH(C87,Ingredients!$B$6:$B$105,0))),0))</f>
        <v/>
      </c>
      <c r="P87">
        <f>IF(OR(B87="",C87=""),0,IFERROR(N(INDEX(Ingredients!$AI$6:$AI$105,MATCH(C87,Ingredients!$B$6:$B$105,0))),0))</f>
        <v/>
      </c>
      <c r="Q87">
        <f>IF(OR(B87="",C87=""),0,IFERROR(N(INDEX(Ingredients!$AJ$6:$AJ$105,MATCH(C87,Ingredients!$B$6:$B$105,0))),0))</f>
        <v/>
      </c>
      <c r="R87">
        <f>IF(OR(B87="",C87=""),0,IFERROR(N(INDEX(Ingredients!$AK$6:$AK$105,MATCH(C87,Ingredients!$B$6:$B$105,0))),0))</f>
        <v/>
      </c>
      <c r="S87">
        <f>IF(OR(B87="",C87=""),0,IFERROR(N(INDEX(Ingredients!$AL$6:$AL$105,MATCH(C87,Ingredients!$B$6:$B$105,0))),0))</f>
        <v/>
      </c>
      <c r="T87">
        <f>IF(OR(B87="",C87=""),0,IFERROR(N(INDEX(Ingredients!$AM$6:$AM$105,MATCH(C87,Ingredients!$B$6:$B$105,0))),0))</f>
        <v/>
      </c>
      <c r="U87">
        <f>IF(OR(B87="",C87=""),0,IFERROR(N(INDEX(Ingredients!$AN$6:$AN$105,MATCH(C87,Ingredients!$B$6:$B$105,0))),0))</f>
        <v/>
      </c>
      <c r="V87">
        <f>IF(OR(B87="",C87=""),0,IFERROR(N(INDEX(Ingredients!$AO$6:$AO$105,MATCH(C87,Ingredients!$B$6:$B$105,0))),0))</f>
        <v/>
      </c>
      <c r="W87">
        <f>IF(OR(B87="",C87=""),0,IFERROR(N(INDEX(Ingredients!$AP$6:$AP$105,MATCH(C87,Ingredients!$B$6:$B$105,0))),0))</f>
        <v/>
      </c>
      <c r="X87">
        <f>IF(OR(B87="",C87=""),0,IFERROR(N(INDEX(Ingredients!$AQ$6:$AQ$105,MATCH(C87,Ingredients!$B$6:$B$105,0))),0))</f>
        <v/>
      </c>
    </row>
    <row r="88">
      <c r="A88" s="1" t="n"/>
      <c r="B88" s="21" t="n"/>
      <c r="C88" s="39" t="n"/>
      <c r="D88" s="40" t="n"/>
      <c r="E88" s="12">
        <f>IF(C88="","",IF(ISNA(MATCH(C88,Ingredients!$B$6:$B$105,0)),"Not on Ingredients",IFERROR(IF(INDEX(Ingredients!$C$6:$C$105,MATCH(C88,Ingredients!$B$6:$B$105,0))="","",INDEX(Ingredients!$C$6:$C$105,MATCH(C88,Ingredients!$B$6:$B$105,0))),"")))</f>
        <v/>
      </c>
      <c r="F88" s="26">
        <f>IF(OR(B88="",C88=""),"",N(D88)*IFERROR(N(INDEX(Ingredients!$H$6:$H$105,MATCH(C88,Ingredients!$B$6:$B$105,0))),0))</f>
        <v/>
      </c>
      <c r="G88" s="1">
        <f>IF(OR(B88="",C88=""),0,IFERROR(N(INDEX(Products!$D$6:$D$45,MATCH(B88,Products!$B$6:$B$45,0))),0))</f>
        <v/>
      </c>
      <c r="H88">
        <f>IF(N(G88)=0,0,N(D88)*SUMIFS(Batches!$D$6:$D$505,Batches!$C$6:$C$505,B88)/G88)</f>
        <v/>
      </c>
      <c r="I88">
        <f>IF(OR(B88="",C88=""),"",IF(B88&lt;&gt;Label!$H$3,"",IF(IFERROR(N(INDEX(Ingredients!$AS$6:$AS$105,MATCH(C88,Ingredients!$B$6:$B$105,0))),0)=1,"",ROUND(N(D88)*1000,0)*100000+100000-ROW())))</f>
        <v/>
      </c>
      <c r="J88">
        <f>IF(OR(B88="",C88=""),0,IFERROR(N(INDEX(Ingredients!$AC$6:$AC$105,MATCH(C88,Ingredients!$B$6:$B$105,0))),0))</f>
        <v/>
      </c>
      <c r="K88">
        <f>IF(OR(B88="",C88=""),0,IFERROR(N(INDEX(Ingredients!$AD$6:$AD$105,MATCH(C88,Ingredients!$B$6:$B$105,0))),0))</f>
        <v/>
      </c>
      <c r="L88">
        <f>IF(OR(B88="",C88=""),0,IFERROR(N(INDEX(Ingredients!$AE$6:$AE$105,MATCH(C88,Ingredients!$B$6:$B$105,0))),0))</f>
        <v/>
      </c>
      <c r="M88">
        <f>IF(OR(B88="",C88=""),0,IFERROR(N(INDEX(Ingredients!$AF$6:$AF$105,MATCH(C88,Ingredients!$B$6:$B$105,0))),0))</f>
        <v/>
      </c>
      <c r="N88">
        <f>IF(OR(B88="",C88=""),0,IFERROR(N(INDEX(Ingredients!$AG$6:$AG$105,MATCH(C88,Ingredients!$B$6:$B$105,0))),0))</f>
        <v/>
      </c>
      <c r="O88">
        <f>IF(OR(B88="",C88=""),0,IFERROR(N(INDEX(Ingredients!$AH$6:$AH$105,MATCH(C88,Ingredients!$B$6:$B$105,0))),0))</f>
        <v/>
      </c>
      <c r="P88">
        <f>IF(OR(B88="",C88=""),0,IFERROR(N(INDEX(Ingredients!$AI$6:$AI$105,MATCH(C88,Ingredients!$B$6:$B$105,0))),0))</f>
        <v/>
      </c>
      <c r="Q88">
        <f>IF(OR(B88="",C88=""),0,IFERROR(N(INDEX(Ingredients!$AJ$6:$AJ$105,MATCH(C88,Ingredients!$B$6:$B$105,0))),0))</f>
        <v/>
      </c>
      <c r="R88">
        <f>IF(OR(B88="",C88=""),0,IFERROR(N(INDEX(Ingredients!$AK$6:$AK$105,MATCH(C88,Ingredients!$B$6:$B$105,0))),0))</f>
        <v/>
      </c>
      <c r="S88">
        <f>IF(OR(B88="",C88=""),0,IFERROR(N(INDEX(Ingredients!$AL$6:$AL$105,MATCH(C88,Ingredients!$B$6:$B$105,0))),0))</f>
        <v/>
      </c>
      <c r="T88">
        <f>IF(OR(B88="",C88=""),0,IFERROR(N(INDEX(Ingredients!$AM$6:$AM$105,MATCH(C88,Ingredients!$B$6:$B$105,0))),0))</f>
        <v/>
      </c>
      <c r="U88">
        <f>IF(OR(B88="",C88=""),0,IFERROR(N(INDEX(Ingredients!$AN$6:$AN$105,MATCH(C88,Ingredients!$B$6:$B$105,0))),0))</f>
        <v/>
      </c>
      <c r="V88">
        <f>IF(OR(B88="",C88=""),0,IFERROR(N(INDEX(Ingredients!$AO$6:$AO$105,MATCH(C88,Ingredients!$B$6:$B$105,0))),0))</f>
        <v/>
      </c>
      <c r="W88">
        <f>IF(OR(B88="",C88=""),0,IFERROR(N(INDEX(Ingredients!$AP$6:$AP$105,MATCH(C88,Ingredients!$B$6:$B$105,0))),0))</f>
        <v/>
      </c>
      <c r="X88">
        <f>IF(OR(B88="",C88=""),0,IFERROR(N(INDEX(Ingredients!$AQ$6:$AQ$105,MATCH(C88,Ingredients!$B$6:$B$105,0))),0))</f>
        <v/>
      </c>
    </row>
    <row r="89">
      <c r="A89" s="1" t="n"/>
      <c r="B89" s="21" t="n"/>
      <c r="C89" s="39" t="n"/>
      <c r="D89" s="40" t="n"/>
      <c r="E89" s="12">
        <f>IF(C89="","",IF(ISNA(MATCH(C89,Ingredients!$B$6:$B$105,0)),"Not on Ingredients",IFERROR(IF(INDEX(Ingredients!$C$6:$C$105,MATCH(C89,Ingredients!$B$6:$B$105,0))="","",INDEX(Ingredients!$C$6:$C$105,MATCH(C89,Ingredients!$B$6:$B$105,0))),"")))</f>
        <v/>
      </c>
      <c r="F89" s="26">
        <f>IF(OR(B89="",C89=""),"",N(D89)*IFERROR(N(INDEX(Ingredients!$H$6:$H$105,MATCH(C89,Ingredients!$B$6:$B$105,0))),0))</f>
        <v/>
      </c>
      <c r="G89" s="1">
        <f>IF(OR(B89="",C89=""),0,IFERROR(N(INDEX(Products!$D$6:$D$45,MATCH(B89,Products!$B$6:$B$45,0))),0))</f>
        <v/>
      </c>
      <c r="H89">
        <f>IF(N(G89)=0,0,N(D89)*SUMIFS(Batches!$D$6:$D$505,Batches!$C$6:$C$505,B89)/G89)</f>
        <v/>
      </c>
      <c r="I89">
        <f>IF(OR(B89="",C89=""),"",IF(B89&lt;&gt;Label!$H$3,"",IF(IFERROR(N(INDEX(Ingredients!$AS$6:$AS$105,MATCH(C89,Ingredients!$B$6:$B$105,0))),0)=1,"",ROUND(N(D89)*1000,0)*100000+100000-ROW())))</f>
        <v/>
      </c>
      <c r="J89">
        <f>IF(OR(B89="",C89=""),0,IFERROR(N(INDEX(Ingredients!$AC$6:$AC$105,MATCH(C89,Ingredients!$B$6:$B$105,0))),0))</f>
        <v/>
      </c>
      <c r="K89">
        <f>IF(OR(B89="",C89=""),0,IFERROR(N(INDEX(Ingredients!$AD$6:$AD$105,MATCH(C89,Ingredients!$B$6:$B$105,0))),0))</f>
        <v/>
      </c>
      <c r="L89">
        <f>IF(OR(B89="",C89=""),0,IFERROR(N(INDEX(Ingredients!$AE$6:$AE$105,MATCH(C89,Ingredients!$B$6:$B$105,0))),0))</f>
        <v/>
      </c>
      <c r="M89">
        <f>IF(OR(B89="",C89=""),0,IFERROR(N(INDEX(Ingredients!$AF$6:$AF$105,MATCH(C89,Ingredients!$B$6:$B$105,0))),0))</f>
        <v/>
      </c>
      <c r="N89">
        <f>IF(OR(B89="",C89=""),0,IFERROR(N(INDEX(Ingredients!$AG$6:$AG$105,MATCH(C89,Ingredients!$B$6:$B$105,0))),0))</f>
        <v/>
      </c>
      <c r="O89">
        <f>IF(OR(B89="",C89=""),0,IFERROR(N(INDEX(Ingredients!$AH$6:$AH$105,MATCH(C89,Ingredients!$B$6:$B$105,0))),0))</f>
        <v/>
      </c>
      <c r="P89">
        <f>IF(OR(B89="",C89=""),0,IFERROR(N(INDEX(Ingredients!$AI$6:$AI$105,MATCH(C89,Ingredients!$B$6:$B$105,0))),0))</f>
        <v/>
      </c>
      <c r="Q89">
        <f>IF(OR(B89="",C89=""),0,IFERROR(N(INDEX(Ingredients!$AJ$6:$AJ$105,MATCH(C89,Ingredients!$B$6:$B$105,0))),0))</f>
        <v/>
      </c>
      <c r="R89">
        <f>IF(OR(B89="",C89=""),0,IFERROR(N(INDEX(Ingredients!$AK$6:$AK$105,MATCH(C89,Ingredients!$B$6:$B$105,0))),0))</f>
        <v/>
      </c>
      <c r="S89">
        <f>IF(OR(B89="",C89=""),0,IFERROR(N(INDEX(Ingredients!$AL$6:$AL$105,MATCH(C89,Ingredients!$B$6:$B$105,0))),0))</f>
        <v/>
      </c>
      <c r="T89">
        <f>IF(OR(B89="",C89=""),0,IFERROR(N(INDEX(Ingredients!$AM$6:$AM$105,MATCH(C89,Ingredients!$B$6:$B$105,0))),0))</f>
        <v/>
      </c>
      <c r="U89">
        <f>IF(OR(B89="",C89=""),0,IFERROR(N(INDEX(Ingredients!$AN$6:$AN$105,MATCH(C89,Ingredients!$B$6:$B$105,0))),0))</f>
        <v/>
      </c>
      <c r="V89">
        <f>IF(OR(B89="",C89=""),0,IFERROR(N(INDEX(Ingredients!$AO$6:$AO$105,MATCH(C89,Ingredients!$B$6:$B$105,0))),0))</f>
        <v/>
      </c>
      <c r="W89">
        <f>IF(OR(B89="",C89=""),0,IFERROR(N(INDEX(Ingredients!$AP$6:$AP$105,MATCH(C89,Ingredients!$B$6:$B$105,0))),0))</f>
        <v/>
      </c>
      <c r="X89">
        <f>IF(OR(B89="",C89=""),0,IFERROR(N(INDEX(Ingredients!$AQ$6:$AQ$105,MATCH(C89,Ingredients!$B$6:$B$105,0))),0))</f>
        <v/>
      </c>
    </row>
    <row r="90">
      <c r="A90" s="1" t="n"/>
      <c r="B90" s="21" t="n"/>
      <c r="C90" s="39" t="n"/>
      <c r="D90" s="40" t="n"/>
      <c r="E90" s="12">
        <f>IF(C90="","",IF(ISNA(MATCH(C90,Ingredients!$B$6:$B$105,0)),"Not on Ingredients",IFERROR(IF(INDEX(Ingredients!$C$6:$C$105,MATCH(C90,Ingredients!$B$6:$B$105,0))="","",INDEX(Ingredients!$C$6:$C$105,MATCH(C90,Ingredients!$B$6:$B$105,0))),"")))</f>
        <v/>
      </c>
      <c r="F90" s="26">
        <f>IF(OR(B90="",C90=""),"",N(D90)*IFERROR(N(INDEX(Ingredients!$H$6:$H$105,MATCH(C90,Ingredients!$B$6:$B$105,0))),0))</f>
        <v/>
      </c>
      <c r="G90" s="1">
        <f>IF(OR(B90="",C90=""),0,IFERROR(N(INDEX(Products!$D$6:$D$45,MATCH(B90,Products!$B$6:$B$45,0))),0))</f>
        <v/>
      </c>
      <c r="H90">
        <f>IF(N(G90)=0,0,N(D90)*SUMIFS(Batches!$D$6:$D$505,Batches!$C$6:$C$505,B90)/G90)</f>
        <v/>
      </c>
      <c r="I90">
        <f>IF(OR(B90="",C90=""),"",IF(B90&lt;&gt;Label!$H$3,"",IF(IFERROR(N(INDEX(Ingredients!$AS$6:$AS$105,MATCH(C90,Ingredients!$B$6:$B$105,0))),0)=1,"",ROUND(N(D90)*1000,0)*100000+100000-ROW())))</f>
        <v/>
      </c>
      <c r="J90">
        <f>IF(OR(B90="",C90=""),0,IFERROR(N(INDEX(Ingredients!$AC$6:$AC$105,MATCH(C90,Ingredients!$B$6:$B$105,0))),0))</f>
        <v/>
      </c>
      <c r="K90">
        <f>IF(OR(B90="",C90=""),0,IFERROR(N(INDEX(Ingredients!$AD$6:$AD$105,MATCH(C90,Ingredients!$B$6:$B$105,0))),0))</f>
        <v/>
      </c>
      <c r="L90">
        <f>IF(OR(B90="",C90=""),0,IFERROR(N(INDEX(Ingredients!$AE$6:$AE$105,MATCH(C90,Ingredients!$B$6:$B$105,0))),0))</f>
        <v/>
      </c>
      <c r="M90">
        <f>IF(OR(B90="",C90=""),0,IFERROR(N(INDEX(Ingredients!$AF$6:$AF$105,MATCH(C90,Ingredients!$B$6:$B$105,0))),0))</f>
        <v/>
      </c>
      <c r="N90">
        <f>IF(OR(B90="",C90=""),0,IFERROR(N(INDEX(Ingredients!$AG$6:$AG$105,MATCH(C90,Ingredients!$B$6:$B$105,0))),0))</f>
        <v/>
      </c>
      <c r="O90">
        <f>IF(OR(B90="",C90=""),0,IFERROR(N(INDEX(Ingredients!$AH$6:$AH$105,MATCH(C90,Ingredients!$B$6:$B$105,0))),0))</f>
        <v/>
      </c>
      <c r="P90">
        <f>IF(OR(B90="",C90=""),0,IFERROR(N(INDEX(Ingredients!$AI$6:$AI$105,MATCH(C90,Ingredients!$B$6:$B$105,0))),0))</f>
        <v/>
      </c>
      <c r="Q90">
        <f>IF(OR(B90="",C90=""),0,IFERROR(N(INDEX(Ingredients!$AJ$6:$AJ$105,MATCH(C90,Ingredients!$B$6:$B$105,0))),0))</f>
        <v/>
      </c>
      <c r="R90">
        <f>IF(OR(B90="",C90=""),0,IFERROR(N(INDEX(Ingredients!$AK$6:$AK$105,MATCH(C90,Ingredients!$B$6:$B$105,0))),0))</f>
        <v/>
      </c>
      <c r="S90">
        <f>IF(OR(B90="",C90=""),0,IFERROR(N(INDEX(Ingredients!$AL$6:$AL$105,MATCH(C90,Ingredients!$B$6:$B$105,0))),0))</f>
        <v/>
      </c>
      <c r="T90">
        <f>IF(OR(B90="",C90=""),0,IFERROR(N(INDEX(Ingredients!$AM$6:$AM$105,MATCH(C90,Ingredients!$B$6:$B$105,0))),0))</f>
        <v/>
      </c>
      <c r="U90">
        <f>IF(OR(B90="",C90=""),0,IFERROR(N(INDEX(Ingredients!$AN$6:$AN$105,MATCH(C90,Ingredients!$B$6:$B$105,0))),0))</f>
        <v/>
      </c>
      <c r="V90">
        <f>IF(OR(B90="",C90=""),0,IFERROR(N(INDEX(Ingredients!$AO$6:$AO$105,MATCH(C90,Ingredients!$B$6:$B$105,0))),0))</f>
        <v/>
      </c>
      <c r="W90">
        <f>IF(OR(B90="",C90=""),0,IFERROR(N(INDEX(Ingredients!$AP$6:$AP$105,MATCH(C90,Ingredients!$B$6:$B$105,0))),0))</f>
        <v/>
      </c>
      <c r="X90">
        <f>IF(OR(B90="",C90=""),0,IFERROR(N(INDEX(Ingredients!$AQ$6:$AQ$105,MATCH(C90,Ingredients!$B$6:$B$105,0))),0))</f>
        <v/>
      </c>
    </row>
    <row r="91">
      <c r="A91" s="1" t="n"/>
      <c r="B91" s="21" t="n"/>
      <c r="C91" s="39" t="n"/>
      <c r="D91" s="40" t="n"/>
      <c r="E91" s="12">
        <f>IF(C91="","",IF(ISNA(MATCH(C91,Ingredients!$B$6:$B$105,0)),"Not on Ingredients",IFERROR(IF(INDEX(Ingredients!$C$6:$C$105,MATCH(C91,Ingredients!$B$6:$B$105,0))="","",INDEX(Ingredients!$C$6:$C$105,MATCH(C91,Ingredients!$B$6:$B$105,0))),"")))</f>
        <v/>
      </c>
      <c r="F91" s="26">
        <f>IF(OR(B91="",C91=""),"",N(D91)*IFERROR(N(INDEX(Ingredients!$H$6:$H$105,MATCH(C91,Ingredients!$B$6:$B$105,0))),0))</f>
        <v/>
      </c>
      <c r="G91" s="1">
        <f>IF(OR(B91="",C91=""),0,IFERROR(N(INDEX(Products!$D$6:$D$45,MATCH(B91,Products!$B$6:$B$45,0))),0))</f>
        <v/>
      </c>
      <c r="H91">
        <f>IF(N(G91)=0,0,N(D91)*SUMIFS(Batches!$D$6:$D$505,Batches!$C$6:$C$505,B91)/G91)</f>
        <v/>
      </c>
      <c r="I91">
        <f>IF(OR(B91="",C91=""),"",IF(B91&lt;&gt;Label!$H$3,"",IF(IFERROR(N(INDEX(Ingredients!$AS$6:$AS$105,MATCH(C91,Ingredients!$B$6:$B$105,0))),0)=1,"",ROUND(N(D91)*1000,0)*100000+100000-ROW())))</f>
        <v/>
      </c>
      <c r="J91">
        <f>IF(OR(B91="",C91=""),0,IFERROR(N(INDEX(Ingredients!$AC$6:$AC$105,MATCH(C91,Ingredients!$B$6:$B$105,0))),0))</f>
        <v/>
      </c>
      <c r="K91">
        <f>IF(OR(B91="",C91=""),0,IFERROR(N(INDEX(Ingredients!$AD$6:$AD$105,MATCH(C91,Ingredients!$B$6:$B$105,0))),0))</f>
        <v/>
      </c>
      <c r="L91">
        <f>IF(OR(B91="",C91=""),0,IFERROR(N(INDEX(Ingredients!$AE$6:$AE$105,MATCH(C91,Ingredients!$B$6:$B$105,0))),0))</f>
        <v/>
      </c>
      <c r="M91">
        <f>IF(OR(B91="",C91=""),0,IFERROR(N(INDEX(Ingredients!$AF$6:$AF$105,MATCH(C91,Ingredients!$B$6:$B$105,0))),0))</f>
        <v/>
      </c>
      <c r="N91">
        <f>IF(OR(B91="",C91=""),0,IFERROR(N(INDEX(Ingredients!$AG$6:$AG$105,MATCH(C91,Ingredients!$B$6:$B$105,0))),0))</f>
        <v/>
      </c>
      <c r="O91">
        <f>IF(OR(B91="",C91=""),0,IFERROR(N(INDEX(Ingredients!$AH$6:$AH$105,MATCH(C91,Ingredients!$B$6:$B$105,0))),0))</f>
        <v/>
      </c>
      <c r="P91">
        <f>IF(OR(B91="",C91=""),0,IFERROR(N(INDEX(Ingredients!$AI$6:$AI$105,MATCH(C91,Ingredients!$B$6:$B$105,0))),0))</f>
        <v/>
      </c>
      <c r="Q91">
        <f>IF(OR(B91="",C91=""),0,IFERROR(N(INDEX(Ingredients!$AJ$6:$AJ$105,MATCH(C91,Ingredients!$B$6:$B$105,0))),0))</f>
        <v/>
      </c>
      <c r="R91">
        <f>IF(OR(B91="",C91=""),0,IFERROR(N(INDEX(Ingredients!$AK$6:$AK$105,MATCH(C91,Ingredients!$B$6:$B$105,0))),0))</f>
        <v/>
      </c>
      <c r="S91">
        <f>IF(OR(B91="",C91=""),0,IFERROR(N(INDEX(Ingredients!$AL$6:$AL$105,MATCH(C91,Ingredients!$B$6:$B$105,0))),0))</f>
        <v/>
      </c>
      <c r="T91">
        <f>IF(OR(B91="",C91=""),0,IFERROR(N(INDEX(Ingredients!$AM$6:$AM$105,MATCH(C91,Ingredients!$B$6:$B$105,0))),0))</f>
        <v/>
      </c>
      <c r="U91">
        <f>IF(OR(B91="",C91=""),0,IFERROR(N(INDEX(Ingredients!$AN$6:$AN$105,MATCH(C91,Ingredients!$B$6:$B$105,0))),0))</f>
        <v/>
      </c>
      <c r="V91">
        <f>IF(OR(B91="",C91=""),0,IFERROR(N(INDEX(Ingredients!$AO$6:$AO$105,MATCH(C91,Ingredients!$B$6:$B$105,0))),0))</f>
        <v/>
      </c>
      <c r="W91">
        <f>IF(OR(B91="",C91=""),0,IFERROR(N(INDEX(Ingredients!$AP$6:$AP$105,MATCH(C91,Ingredients!$B$6:$B$105,0))),0))</f>
        <v/>
      </c>
      <c r="X91">
        <f>IF(OR(B91="",C91=""),0,IFERROR(N(INDEX(Ingredients!$AQ$6:$AQ$105,MATCH(C91,Ingredients!$B$6:$B$105,0))),0))</f>
        <v/>
      </c>
    </row>
    <row r="92">
      <c r="A92" s="1" t="n"/>
      <c r="B92" s="21" t="n"/>
      <c r="C92" s="39" t="n"/>
      <c r="D92" s="40" t="n"/>
      <c r="E92" s="12">
        <f>IF(C92="","",IF(ISNA(MATCH(C92,Ingredients!$B$6:$B$105,0)),"Not on Ingredients",IFERROR(IF(INDEX(Ingredients!$C$6:$C$105,MATCH(C92,Ingredients!$B$6:$B$105,0))="","",INDEX(Ingredients!$C$6:$C$105,MATCH(C92,Ingredients!$B$6:$B$105,0))),"")))</f>
        <v/>
      </c>
      <c r="F92" s="26">
        <f>IF(OR(B92="",C92=""),"",N(D92)*IFERROR(N(INDEX(Ingredients!$H$6:$H$105,MATCH(C92,Ingredients!$B$6:$B$105,0))),0))</f>
        <v/>
      </c>
      <c r="G92" s="1">
        <f>IF(OR(B92="",C92=""),0,IFERROR(N(INDEX(Products!$D$6:$D$45,MATCH(B92,Products!$B$6:$B$45,0))),0))</f>
        <v/>
      </c>
      <c r="H92">
        <f>IF(N(G92)=0,0,N(D92)*SUMIFS(Batches!$D$6:$D$505,Batches!$C$6:$C$505,B92)/G92)</f>
        <v/>
      </c>
      <c r="I92">
        <f>IF(OR(B92="",C92=""),"",IF(B92&lt;&gt;Label!$H$3,"",IF(IFERROR(N(INDEX(Ingredients!$AS$6:$AS$105,MATCH(C92,Ingredients!$B$6:$B$105,0))),0)=1,"",ROUND(N(D92)*1000,0)*100000+100000-ROW())))</f>
        <v/>
      </c>
      <c r="J92">
        <f>IF(OR(B92="",C92=""),0,IFERROR(N(INDEX(Ingredients!$AC$6:$AC$105,MATCH(C92,Ingredients!$B$6:$B$105,0))),0))</f>
        <v/>
      </c>
      <c r="K92">
        <f>IF(OR(B92="",C92=""),0,IFERROR(N(INDEX(Ingredients!$AD$6:$AD$105,MATCH(C92,Ingredients!$B$6:$B$105,0))),0))</f>
        <v/>
      </c>
      <c r="L92">
        <f>IF(OR(B92="",C92=""),0,IFERROR(N(INDEX(Ingredients!$AE$6:$AE$105,MATCH(C92,Ingredients!$B$6:$B$105,0))),0))</f>
        <v/>
      </c>
      <c r="M92">
        <f>IF(OR(B92="",C92=""),0,IFERROR(N(INDEX(Ingredients!$AF$6:$AF$105,MATCH(C92,Ingredients!$B$6:$B$105,0))),0))</f>
        <v/>
      </c>
      <c r="N92">
        <f>IF(OR(B92="",C92=""),0,IFERROR(N(INDEX(Ingredients!$AG$6:$AG$105,MATCH(C92,Ingredients!$B$6:$B$105,0))),0))</f>
        <v/>
      </c>
      <c r="O92">
        <f>IF(OR(B92="",C92=""),0,IFERROR(N(INDEX(Ingredients!$AH$6:$AH$105,MATCH(C92,Ingredients!$B$6:$B$105,0))),0))</f>
        <v/>
      </c>
      <c r="P92">
        <f>IF(OR(B92="",C92=""),0,IFERROR(N(INDEX(Ingredients!$AI$6:$AI$105,MATCH(C92,Ingredients!$B$6:$B$105,0))),0))</f>
        <v/>
      </c>
      <c r="Q92">
        <f>IF(OR(B92="",C92=""),0,IFERROR(N(INDEX(Ingredients!$AJ$6:$AJ$105,MATCH(C92,Ingredients!$B$6:$B$105,0))),0))</f>
        <v/>
      </c>
      <c r="R92">
        <f>IF(OR(B92="",C92=""),0,IFERROR(N(INDEX(Ingredients!$AK$6:$AK$105,MATCH(C92,Ingredients!$B$6:$B$105,0))),0))</f>
        <v/>
      </c>
      <c r="S92">
        <f>IF(OR(B92="",C92=""),0,IFERROR(N(INDEX(Ingredients!$AL$6:$AL$105,MATCH(C92,Ingredients!$B$6:$B$105,0))),0))</f>
        <v/>
      </c>
      <c r="T92">
        <f>IF(OR(B92="",C92=""),0,IFERROR(N(INDEX(Ingredients!$AM$6:$AM$105,MATCH(C92,Ingredients!$B$6:$B$105,0))),0))</f>
        <v/>
      </c>
      <c r="U92">
        <f>IF(OR(B92="",C92=""),0,IFERROR(N(INDEX(Ingredients!$AN$6:$AN$105,MATCH(C92,Ingredients!$B$6:$B$105,0))),0))</f>
        <v/>
      </c>
      <c r="V92">
        <f>IF(OR(B92="",C92=""),0,IFERROR(N(INDEX(Ingredients!$AO$6:$AO$105,MATCH(C92,Ingredients!$B$6:$B$105,0))),0))</f>
        <v/>
      </c>
      <c r="W92">
        <f>IF(OR(B92="",C92=""),0,IFERROR(N(INDEX(Ingredients!$AP$6:$AP$105,MATCH(C92,Ingredients!$B$6:$B$105,0))),0))</f>
        <v/>
      </c>
      <c r="X92">
        <f>IF(OR(B92="",C92=""),0,IFERROR(N(INDEX(Ingredients!$AQ$6:$AQ$105,MATCH(C92,Ingredients!$B$6:$B$105,0))),0))</f>
        <v/>
      </c>
    </row>
    <row r="93">
      <c r="A93" s="1" t="n"/>
      <c r="B93" s="21" t="n"/>
      <c r="C93" s="39" t="n"/>
      <c r="D93" s="40" t="n"/>
      <c r="E93" s="12">
        <f>IF(C93="","",IF(ISNA(MATCH(C93,Ingredients!$B$6:$B$105,0)),"Not on Ingredients",IFERROR(IF(INDEX(Ingredients!$C$6:$C$105,MATCH(C93,Ingredients!$B$6:$B$105,0))="","",INDEX(Ingredients!$C$6:$C$105,MATCH(C93,Ingredients!$B$6:$B$105,0))),"")))</f>
        <v/>
      </c>
      <c r="F93" s="26">
        <f>IF(OR(B93="",C93=""),"",N(D93)*IFERROR(N(INDEX(Ingredients!$H$6:$H$105,MATCH(C93,Ingredients!$B$6:$B$105,0))),0))</f>
        <v/>
      </c>
      <c r="G93" s="1">
        <f>IF(OR(B93="",C93=""),0,IFERROR(N(INDEX(Products!$D$6:$D$45,MATCH(B93,Products!$B$6:$B$45,0))),0))</f>
        <v/>
      </c>
      <c r="H93">
        <f>IF(N(G93)=0,0,N(D93)*SUMIFS(Batches!$D$6:$D$505,Batches!$C$6:$C$505,B93)/G93)</f>
        <v/>
      </c>
      <c r="I93">
        <f>IF(OR(B93="",C93=""),"",IF(B93&lt;&gt;Label!$H$3,"",IF(IFERROR(N(INDEX(Ingredients!$AS$6:$AS$105,MATCH(C93,Ingredients!$B$6:$B$105,0))),0)=1,"",ROUND(N(D93)*1000,0)*100000+100000-ROW())))</f>
        <v/>
      </c>
      <c r="J93">
        <f>IF(OR(B93="",C93=""),0,IFERROR(N(INDEX(Ingredients!$AC$6:$AC$105,MATCH(C93,Ingredients!$B$6:$B$105,0))),0))</f>
        <v/>
      </c>
      <c r="K93">
        <f>IF(OR(B93="",C93=""),0,IFERROR(N(INDEX(Ingredients!$AD$6:$AD$105,MATCH(C93,Ingredients!$B$6:$B$105,0))),0))</f>
        <v/>
      </c>
      <c r="L93">
        <f>IF(OR(B93="",C93=""),0,IFERROR(N(INDEX(Ingredients!$AE$6:$AE$105,MATCH(C93,Ingredients!$B$6:$B$105,0))),0))</f>
        <v/>
      </c>
      <c r="M93">
        <f>IF(OR(B93="",C93=""),0,IFERROR(N(INDEX(Ingredients!$AF$6:$AF$105,MATCH(C93,Ingredients!$B$6:$B$105,0))),0))</f>
        <v/>
      </c>
      <c r="N93">
        <f>IF(OR(B93="",C93=""),0,IFERROR(N(INDEX(Ingredients!$AG$6:$AG$105,MATCH(C93,Ingredients!$B$6:$B$105,0))),0))</f>
        <v/>
      </c>
      <c r="O93">
        <f>IF(OR(B93="",C93=""),0,IFERROR(N(INDEX(Ingredients!$AH$6:$AH$105,MATCH(C93,Ingredients!$B$6:$B$105,0))),0))</f>
        <v/>
      </c>
      <c r="P93">
        <f>IF(OR(B93="",C93=""),0,IFERROR(N(INDEX(Ingredients!$AI$6:$AI$105,MATCH(C93,Ingredients!$B$6:$B$105,0))),0))</f>
        <v/>
      </c>
      <c r="Q93">
        <f>IF(OR(B93="",C93=""),0,IFERROR(N(INDEX(Ingredients!$AJ$6:$AJ$105,MATCH(C93,Ingredients!$B$6:$B$105,0))),0))</f>
        <v/>
      </c>
      <c r="R93">
        <f>IF(OR(B93="",C93=""),0,IFERROR(N(INDEX(Ingredients!$AK$6:$AK$105,MATCH(C93,Ingredients!$B$6:$B$105,0))),0))</f>
        <v/>
      </c>
      <c r="S93">
        <f>IF(OR(B93="",C93=""),0,IFERROR(N(INDEX(Ingredients!$AL$6:$AL$105,MATCH(C93,Ingredients!$B$6:$B$105,0))),0))</f>
        <v/>
      </c>
      <c r="T93">
        <f>IF(OR(B93="",C93=""),0,IFERROR(N(INDEX(Ingredients!$AM$6:$AM$105,MATCH(C93,Ingredients!$B$6:$B$105,0))),0))</f>
        <v/>
      </c>
      <c r="U93">
        <f>IF(OR(B93="",C93=""),0,IFERROR(N(INDEX(Ingredients!$AN$6:$AN$105,MATCH(C93,Ingredients!$B$6:$B$105,0))),0))</f>
        <v/>
      </c>
      <c r="V93">
        <f>IF(OR(B93="",C93=""),0,IFERROR(N(INDEX(Ingredients!$AO$6:$AO$105,MATCH(C93,Ingredients!$B$6:$B$105,0))),0))</f>
        <v/>
      </c>
      <c r="W93">
        <f>IF(OR(B93="",C93=""),0,IFERROR(N(INDEX(Ingredients!$AP$6:$AP$105,MATCH(C93,Ingredients!$B$6:$B$105,0))),0))</f>
        <v/>
      </c>
      <c r="X93">
        <f>IF(OR(B93="",C93=""),0,IFERROR(N(INDEX(Ingredients!$AQ$6:$AQ$105,MATCH(C93,Ingredients!$B$6:$B$105,0))),0))</f>
        <v/>
      </c>
    </row>
    <row r="94">
      <c r="A94" s="1" t="n"/>
      <c r="B94" s="21" t="n"/>
      <c r="C94" s="39" t="n"/>
      <c r="D94" s="40" t="n"/>
      <c r="E94" s="12">
        <f>IF(C94="","",IF(ISNA(MATCH(C94,Ingredients!$B$6:$B$105,0)),"Not on Ingredients",IFERROR(IF(INDEX(Ingredients!$C$6:$C$105,MATCH(C94,Ingredients!$B$6:$B$105,0))="","",INDEX(Ingredients!$C$6:$C$105,MATCH(C94,Ingredients!$B$6:$B$105,0))),"")))</f>
        <v/>
      </c>
      <c r="F94" s="26">
        <f>IF(OR(B94="",C94=""),"",N(D94)*IFERROR(N(INDEX(Ingredients!$H$6:$H$105,MATCH(C94,Ingredients!$B$6:$B$105,0))),0))</f>
        <v/>
      </c>
      <c r="G94" s="1">
        <f>IF(OR(B94="",C94=""),0,IFERROR(N(INDEX(Products!$D$6:$D$45,MATCH(B94,Products!$B$6:$B$45,0))),0))</f>
        <v/>
      </c>
      <c r="H94">
        <f>IF(N(G94)=0,0,N(D94)*SUMIFS(Batches!$D$6:$D$505,Batches!$C$6:$C$505,B94)/G94)</f>
        <v/>
      </c>
      <c r="I94">
        <f>IF(OR(B94="",C94=""),"",IF(B94&lt;&gt;Label!$H$3,"",IF(IFERROR(N(INDEX(Ingredients!$AS$6:$AS$105,MATCH(C94,Ingredients!$B$6:$B$105,0))),0)=1,"",ROUND(N(D94)*1000,0)*100000+100000-ROW())))</f>
        <v/>
      </c>
      <c r="J94">
        <f>IF(OR(B94="",C94=""),0,IFERROR(N(INDEX(Ingredients!$AC$6:$AC$105,MATCH(C94,Ingredients!$B$6:$B$105,0))),0))</f>
        <v/>
      </c>
      <c r="K94">
        <f>IF(OR(B94="",C94=""),0,IFERROR(N(INDEX(Ingredients!$AD$6:$AD$105,MATCH(C94,Ingredients!$B$6:$B$105,0))),0))</f>
        <v/>
      </c>
      <c r="L94">
        <f>IF(OR(B94="",C94=""),0,IFERROR(N(INDEX(Ingredients!$AE$6:$AE$105,MATCH(C94,Ingredients!$B$6:$B$105,0))),0))</f>
        <v/>
      </c>
      <c r="M94">
        <f>IF(OR(B94="",C94=""),0,IFERROR(N(INDEX(Ingredients!$AF$6:$AF$105,MATCH(C94,Ingredients!$B$6:$B$105,0))),0))</f>
        <v/>
      </c>
      <c r="N94">
        <f>IF(OR(B94="",C94=""),0,IFERROR(N(INDEX(Ingredients!$AG$6:$AG$105,MATCH(C94,Ingredients!$B$6:$B$105,0))),0))</f>
        <v/>
      </c>
      <c r="O94">
        <f>IF(OR(B94="",C94=""),0,IFERROR(N(INDEX(Ingredients!$AH$6:$AH$105,MATCH(C94,Ingredients!$B$6:$B$105,0))),0))</f>
        <v/>
      </c>
      <c r="P94">
        <f>IF(OR(B94="",C94=""),0,IFERROR(N(INDEX(Ingredients!$AI$6:$AI$105,MATCH(C94,Ingredients!$B$6:$B$105,0))),0))</f>
        <v/>
      </c>
      <c r="Q94">
        <f>IF(OR(B94="",C94=""),0,IFERROR(N(INDEX(Ingredients!$AJ$6:$AJ$105,MATCH(C94,Ingredients!$B$6:$B$105,0))),0))</f>
        <v/>
      </c>
      <c r="R94">
        <f>IF(OR(B94="",C94=""),0,IFERROR(N(INDEX(Ingredients!$AK$6:$AK$105,MATCH(C94,Ingredients!$B$6:$B$105,0))),0))</f>
        <v/>
      </c>
      <c r="S94">
        <f>IF(OR(B94="",C94=""),0,IFERROR(N(INDEX(Ingredients!$AL$6:$AL$105,MATCH(C94,Ingredients!$B$6:$B$105,0))),0))</f>
        <v/>
      </c>
      <c r="T94">
        <f>IF(OR(B94="",C94=""),0,IFERROR(N(INDEX(Ingredients!$AM$6:$AM$105,MATCH(C94,Ingredients!$B$6:$B$105,0))),0))</f>
        <v/>
      </c>
      <c r="U94">
        <f>IF(OR(B94="",C94=""),0,IFERROR(N(INDEX(Ingredients!$AN$6:$AN$105,MATCH(C94,Ingredients!$B$6:$B$105,0))),0))</f>
        <v/>
      </c>
      <c r="V94">
        <f>IF(OR(B94="",C94=""),0,IFERROR(N(INDEX(Ingredients!$AO$6:$AO$105,MATCH(C94,Ingredients!$B$6:$B$105,0))),0))</f>
        <v/>
      </c>
      <c r="W94">
        <f>IF(OR(B94="",C94=""),0,IFERROR(N(INDEX(Ingredients!$AP$6:$AP$105,MATCH(C94,Ingredients!$B$6:$B$105,0))),0))</f>
        <v/>
      </c>
      <c r="X94">
        <f>IF(OR(B94="",C94=""),0,IFERROR(N(INDEX(Ingredients!$AQ$6:$AQ$105,MATCH(C94,Ingredients!$B$6:$B$105,0))),0))</f>
        <v/>
      </c>
    </row>
    <row r="95">
      <c r="A95" s="1" t="n"/>
      <c r="B95" s="21" t="n"/>
      <c r="C95" s="39" t="n"/>
      <c r="D95" s="40" t="n"/>
      <c r="E95" s="12">
        <f>IF(C95="","",IF(ISNA(MATCH(C95,Ingredients!$B$6:$B$105,0)),"Not on Ingredients",IFERROR(IF(INDEX(Ingredients!$C$6:$C$105,MATCH(C95,Ingredients!$B$6:$B$105,0))="","",INDEX(Ingredients!$C$6:$C$105,MATCH(C95,Ingredients!$B$6:$B$105,0))),"")))</f>
        <v/>
      </c>
      <c r="F95" s="26">
        <f>IF(OR(B95="",C95=""),"",N(D95)*IFERROR(N(INDEX(Ingredients!$H$6:$H$105,MATCH(C95,Ingredients!$B$6:$B$105,0))),0))</f>
        <v/>
      </c>
      <c r="G95" s="1">
        <f>IF(OR(B95="",C95=""),0,IFERROR(N(INDEX(Products!$D$6:$D$45,MATCH(B95,Products!$B$6:$B$45,0))),0))</f>
        <v/>
      </c>
      <c r="H95">
        <f>IF(N(G95)=0,0,N(D95)*SUMIFS(Batches!$D$6:$D$505,Batches!$C$6:$C$505,B95)/G95)</f>
        <v/>
      </c>
      <c r="I95">
        <f>IF(OR(B95="",C95=""),"",IF(B95&lt;&gt;Label!$H$3,"",IF(IFERROR(N(INDEX(Ingredients!$AS$6:$AS$105,MATCH(C95,Ingredients!$B$6:$B$105,0))),0)=1,"",ROUND(N(D95)*1000,0)*100000+100000-ROW())))</f>
        <v/>
      </c>
      <c r="J95">
        <f>IF(OR(B95="",C95=""),0,IFERROR(N(INDEX(Ingredients!$AC$6:$AC$105,MATCH(C95,Ingredients!$B$6:$B$105,0))),0))</f>
        <v/>
      </c>
      <c r="K95">
        <f>IF(OR(B95="",C95=""),0,IFERROR(N(INDEX(Ingredients!$AD$6:$AD$105,MATCH(C95,Ingredients!$B$6:$B$105,0))),0))</f>
        <v/>
      </c>
      <c r="L95">
        <f>IF(OR(B95="",C95=""),0,IFERROR(N(INDEX(Ingredients!$AE$6:$AE$105,MATCH(C95,Ingredients!$B$6:$B$105,0))),0))</f>
        <v/>
      </c>
      <c r="M95">
        <f>IF(OR(B95="",C95=""),0,IFERROR(N(INDEX(Ingredients!$AF$6:$AF$105,MATCH(C95,Ingredients!$B$6:$B$105,0))),0))</f>
        <v/>
      </c>
      <c r="N95">
        <f>IF(OR(B95="",C95=""),0,IFERROR(N(INDEX(Ingredients!$AG$6:$AG$105,MATCH(C95,Ingredients!$B$6:$B$105,0))),0))</f>
        <v/>
      </c>
      <c r="O95">
        <f>IF(OR(B95="",C95=""),0,IFERROR(N(INDEX(Ingredients!$AH$6:$AH$105,MATCH(C95,Ingredients!$B$6:$B$105,0))),0))</f>
        <v/>
      </c>
      <c r="P95">
        <f>IF(OR(B95="",C95=""),0,IFERROR(N(INDEX(Ingredients!$AI$6:$AI$105,MATCH(C95,Ingredients!$B$6:$B$105,0))),0))</f>
        <v/>
      </c>
      <c r="Q95">
        <f>IF(OR(B95="",C95=""),0,IFERROR(N(INDEX(Ingredients!$AJ$6:$AJ$105,MATCH(C95,Ingredients!$B$6:$B$105,0))),0))</f>
        <v/>
      </c>
      <c r="R95">
        <f>IF(OR(B95="",C95=""),0,IFERROR(N(INDEX(Ingredients!$AK$6:$AK$105,MATCH(C95,Ingredients!$B$6:$B$105,0))),0))</f>
        <v/>
      </c>
      <c r="S95">
        <f>IF(OR(B95="",C95=""),0,IFERROR(N(INDEX(Ingredients!$AL$6:$AL$105,MATCH(C95,Ingredients!$B$6:$B$105,0))),0))</f>
        <v/>
      </c>
      <c r="T95">
        <f>IF(OR(B95="",C95=""),0,IFERROR(N(INDEX(Ingredients!$AM$6:$AM$105,MATCH(C95,Ingredients!$B$6:$B$105,0))),0))</f>
        <v/>
      </c>
      <c r="U95">
        <f>IF(OR(B95="",C95=""),0,IFERROR(N(INDEX(Ingredients!$AN$6:$AN$105,MATCH(C95,Ingredients!$B$6:$B$105,0))),0))</f>
        <v/>
      </c>
      <c r="V95">
        <f>IF(OR(B95="",C95=""),0,IFERROR(N(INDEX(Ingredients!$AO$6:$AO$105,MATCH(C95,Ingredients!$B$6:$B$105,0))),0))</f>
        <v/>
      </c>
      <c r="W95">
        <f>IF(OR(B95="",C95=""),0,IFERROR(N(INDEX(Ingredients!$AP$6:$AP$105,MATCH(C95,Ingredients!$B$6:$B$105,0))),0))</f>
        <v/>
      </c>
      <c r="X95">
        <f>IF(OR(B95="",C95=""),0,IFERROR(N(INDEX(Ingredients!$AQ$6:$AQ$105,MATCH(C95,Ingredients!$B$6:$B$105,0))),0))</f>
        <v/>
      </c>
    </row>
    <row r="96">
      <c r="A96" s="1" t="n"/>
      <c r="B96" s="21" t="n"/>
      <c r="C96" s="39" t="n"/>
      <c r="D96" s="40" t="n"/>
      <c r="E96" s="12">
        <f>IF(C96="","",IF(ISNA(MATCH(C96,Ingredients!$B$6:$B$105,0)),"Not on Ingredients",IFERROR(IF(INDEX(Ingredients!$C$6:$C$105,MATCH(C96,Ingredients!$B$6:$B$105,0))="","",INDEX(Ingredients!$C$6:$C$105,MATCH(C96,Ingredients!$B$6:$B$105,0))),"")))</f>
        <v/>
      </c>
      <c r="F96" s="26">
        <f>IF(OR(B96="",C96=""),"",N(D96)*IFERROR(N(INDEX(Ingredients!$H$6:$H$105,MATCH(C96,Ingredients!$B$6:$B$105,0))),0))</f>
        <v/>
      </c>
      <c r="G96" s="1">
        <f>IF(OR(B96="",C96=""),0,IFERROR(N(INDEX(Products!$D$6:$D$45,MATCH(B96,Products!$B$6:$B$45,0))),0))</f>
        <v/>
      </c>
      <c r="H96">
        <f>IF(N(G96)=0,0,N(D96)*SUMIFS(Batches!$D$6:$D$505,Batches!$C$6:$C$505,B96)/G96)</f>
        <v/>
      </c>
      <c r="I96">
        <f>IF(OR(B96="",C96=""),"",IF(B96&lt;&gt;Label!$H$3,"",IF(IFERROR(N(INDEX(Ingredients!$AS$6:$AS$105,MATCH(C96,Ingredients!$B$6:$B$105,0))),0)=1,"",ROUND(N(D96)*1000,0)*100000+100000-ROW())))</f>
        <v/>
      </c>
      <c r="J96">
        <f>IF(OR(B96="",C96=""),0,IFERROR(N(INDEX(Ingredients!$AC$6:$AC$105,MATCH(C96,Ingredients!$B$6:$B$105,0))),0))</f>
        <v/>
      </c>
      <c r="K96">
        <f>IF(OR(B96="",C96=""),0,IFERROR(N(INDEX(Ingredients!$AD$6:$AD$105,MATCH(C96,Ingredients!$B$6:$B$105,0))),0))</f>
        <v/>
      </c>
      <c r="L96">
        <f>IF(OR(B96="",C96=""),0,IFERROR(N(INDEX(Ingredients!$AE$6:$AE$105,MATCH(C96,Ingredients!$B$6:$B$105,0))),0))</f>
        <v/>
      </c>
      <c r="M96">
        <f>IF(OR(B96="",C96=""),0,IFERROR(N(INDEX(Ingredients!$AF$6:$AF$105,MATCH(C96,Ingredients!$B$6:$B$105,0))),0))</f>
        <v/>
      </c>
      <c r="N96">
        <f>IF(OR(B96="",C96=""),0,IFERROR(N(INDEX(Ingredients!$AG$6:$AG$105,MATCH(C96,Ingredients!$B$6:$B$105,0))),0))</f>
        <v/>
      </c>
      <c r="O96">
        <f>IF(OR(B96="",C96=""),0,IFERROR(N(INDEX(Ingredients!$AH$6:$AH$105,MATCH(C96,Ingredients!$B$6:$B$105,0))),0))</f>
        <v/>
      </c>
      <c r="P96">
        <f>IF(OR(B96="",C96=""),0,IFERROR(N(INDEX(Ingredients!$AI$6:$AI$105,MATCH(C96,Ingredients!$B$6:$B$105,0))),0))</f>
        <v/>
      </c>
      <c r="Q96">
        <f>IF(OR(B96="",C96=""),0,IFERROR(N(INDEX(Ingredients!$AJ$6:$AJ$105,MATCH(C96,Ingredients!$B$6:$B$105,0))),0))</f>
        <v/>
      </c>
      <c r="R96">
        <f>IF(OR(B96="",C96=""),0,IFERROR(N(INDEX(Ingredients!$AK$6:$AK$105,MATCH(C96,Ingredients!$B$6:$B$105,0))),0))</f>
        <v/>
      </c>
      <c r="S96">
        <f>IF(OR(B96="",C96=""),0,IFERROR(N(INDEX(Ingredients!$AL$6:$AL$105,MATCH(C96,Ingredients!$B$6:$B$105,0))),0))</f>
        <v/>
      </c>
      <c r="T96">
        <f>IF(OR(B96="",C96=""),0,IFERROR(N(INDEX(Ingredients!$AM$6:$AM$105,MATCH(C96,Ingredients!$B$6:$B$105,0))),0))</f>
        <v/>
      </c>
      <c r="U96">
        <f>IF(OR(B96="",C96=""),0,IFERROR(N(INDEX(Ingredients!$AN$6:$AN$105,MATCH(C96,Ingredients!$B$6:$B$105,0))),0))</f>
        <v/>
      </c>
      <c r="V96">
        <f>IF(OR(B96="",C96=""),0,IFERROR(N(INDEX(Ingredients!$AO$6:$AO$105,MATCH(C96,Ingredients!$B$6:$B$105,0))),0))</f>
        <v/>
      </c>
      <c r="W96">
        <f>IF(OR(B96="",C96=""),0,IFERROR(N(INDEX(Ingredients!$AP$6:$AP$105,MATCH(C96,Ingredients!$B$6:$B$105,0))),0))</f>
        <v/>
      </c>
      <c r="X96">
        <f>IF(OR(B96="",C96=""),0,IFERROR(N(INDEX(Ingredients!$AQ$6:$AQ$105,MATCH(C96,Ingredients!$B$6:$B$105,0))),0))</f>
        <v/>
      </c>
    </row>
    <row r="97">
      <c r="A97" s="1" t="n"/>
      <c r="B97" s="21" t="n"/>
      <c r="C97" s="39" t="n"/>
      <c r="D97" s="40" t="n"/>
      <c r="E97" s="12">
        <f>IF(C97="","",IF(ISNA(MATCH(C97,Ingredients!$B$6:$B$105,0)),"Not on Ingredients",IFERROR(IF(INDEX(Ingredients!$C$6:$C$105,MATCH(C97,Ingredients!$B$6:$B$105,0))="","",INDEX(Ingredients!$C$6:$C$105,MATCH(C97,Ingredients!$B$6:$B$105,0))),"")))</f>
        <v/>
      </c>
      <c r="F97" s="26">
        <f>IF(OR(B97="",C97=""),"",N(D97)*IFERROR(N(INDEX(Ingredients!$H$6:$H$105,MATCH(C97,Ingredients!$B$6:$B$105,0))),0))</f>
        <v/>
      </c>
      <c r="G97" s="1">
        <f>IF(OR(B97="",C97=""),0,IFERROR(N(INDEX(Products!$D$6:$D$45,MATCH(B97,Products!$B$6:$B$45,0))),0))</f>
        <v/>
      </c>
      <c r="H97">
        <f>IF(N(G97)=0,0,N(D97)*SUMIFS(Batches!$D$6:$D$505,Batches!$C$6:$C$505,B97)/G97)</f>
        <v/>
      </c>
      <c r="I97">
        <f>IF(OR(B97="",C97=""),"",IF(B97&lt;&gt;Label!$H$3,"",IF(IFERROR(N(INDEX(Ingredients!$AS$6:$AS$105,MATCH(C97,Ingredients!$B$6:$B$105,0))),0)=1,"",ROUND(N(D97)*1000,0)*100000+100000-ROW())))</f>
        <v/>
      </c>
      <c r="J97">
        <f>IF(OR(B97="",C97=""),0,IFERROR(N(INDEX(Ingredients!$AC$6:$AC$105,MATCH(C97,Ingredients!$B$6:$B$105,0))),0))</f>
        <v/>
      </c>
      <c r="K97">
        <f>IF(OR(B97="",C97=""),0,IFERROR(N(INDEX(Ingredients!$AD$6:$AD$105,MATCH(C97,Ingredients!$B$6:$B$105,0))),0))</f>
        <v/>
      </c>
      <c r="L97">
        <f>IF(OR(B97="",C97=""),0,IFERROR(N(INDEX(Ingredients!$AE$6:$AE$105,MATCH(C97,Ingredients!$B$6:$B$105,0))),0))</f>
        <v/>
      </c>
      <c r="M97">
        <f>IF(OR(B97="",C97=""),0,IFERROR(N(INDEX(Ingredients!$AF$6:$AF$105,MATCH(C97,Ingredients!$B$6:$B$105,0))),0))</f>
        <v/>
      </c>
      <c r="N97">
        <f>IF(OR(B97="",C97=""),0,IFERROR(N(INDEX(Ingredients!$AG$6:$AG$105,MATCH(C97,Ingredients!$B$6:$B$105,0))),0))</f>
        <v/>
      </c>
      <c r="O97">
        <f>IF(OR(B97="",C97=""),0,IFERROR(N(INDEX(Ingredients!$AH$6:$AH$105,MATCH(C97,Ingredients!$B$6:$B$105,0))),0))</f>
        <v/>
      </c>
      <c r="P97">
        <f>IF(OR(B97="",C97=""),0,IFERROR(N(INDEX(Ingredients!$AI$6:$AI$105,MATCH(C97,Ingredients!$B$6:$B$105,0))),0))</f>
        <v/>
      </c>
      <c r="Q97">
        <f>IF(OR(B97="",C97=""),0,IFERROR(N(INDEX(Ingredients!$AJ$6:$AJ$105,MATCH(C97,Ingredients!$B$6:$B$105,0))),0))</f>
        <v/>
      </c>
      <c r="R97">
        <f>IF(OR(B97="",C97=""),0,IFERROR(N(INDEX(Ingredients!$AK$6:$AK$105,MATCH(C97,Ingredients!$B$6:$B$105,0))),0))</f>
        <v/>
      </c>
      <c r="S97">
        <f>IF(OR(B97="",C97=""),0,IFERROR(N(INDEX(Ingredients!$AL$6:$AL$105,MATCH(C97,Ingredients!$B$6:$B$105,0))),0))</f>
        <v/>
      </c>
      <c r="T97">
        <f>IF(OR(B97="",C97=""),0,IFERROR(N(INDEX(Ingredients!$AM$6:$AM$105,MATCH(C97,Ingredients!$B$6:$B$105,0))),0))</f>
        <v/>
      </c>
      <c r="U97">
        <f>IF(OR(B97="",C97=""),0,IFERROR(N(INDEX(Ingredients!$AN$6:$AN$105,MATCH(C97,Ingredients!$B$6:$B$105,0))),0))</f>
        <v/>
      </c>
      <c r="V97">
        <f>IF(OR(B97="",C97=""),0,IFERROR(N(INDEX(Ingredients!$AO$6:$AO$105,MATCH(C97,Ingredients!$B$6:$B$105,0))),0))</f>
        <v/>
      </c>
      <c r="W97">
        <f>IF(OR(B97="",C97=""),0,IFERROR(N(INDEX(Ingredients!$AP$6:$AP$105,MATCH(C97,Ingredients!$B$6:$B$105,0))),0))</f>
        <v/>
      </c>
      <c r="X97">
        <f>IF(OR(B97="",C97=""),0,IFERROR(N(INDEX(Ingredients!$AQ$6:$AQ$105,MATCH(C97,Ingredients!$B$6:$B$105,0))),0))</f>
        <v/>
      </c>
    </row>
    <row r="98">
      <c r="A98" s="1" t="n"/>
      <c r="B98" s="21" t="n"/>
      <c r="C98" s="39" t="n"/>
      <c r="D98" s="40" t="n"/>
      <c r="E98" s="12">
        <f>IF(C98="","",IF(ISNA(MATCH(C98,Ingredients!$B$6:$B$105,0)),"Not on Ingredients",IFERROR(IF(INDEX(Ingredients!$C$6:$C$105,MATCH(C98,Ingredients!$B$6:$B$105,0))="","",INDEX(Ingredients!$C$6:$C$105,MATCH(C98,Ingredients!$B$6:$B$105,0))),"")))</f>
        <v/>
      </c>
      <c r="F98" s="26">
        <f>IF(OR(B98="",C98=""),"",N(D98)*IFERROR(N(INDEX(Ingredients!$H$6:$H$105,MATCH(C98,Ingredients!$B$6:$B$105,0))),0))</f>
        <v/>
      </c>
      <c r="G98" s="1">
        <f>IF(OR(B98="",C98=""),0,IFERROR(N(INDEX(Products!$D$6:$D$45,MATCH(B98,Products!$B$6:$B$45,0))),0))</f>
        <v/>
      </c>
      <c r="H98">
        <f>IF(N(G98)=0,0,N(D98)*SUMIFS(Batches!$D$6:$D$505,Batches!$C$6:$C$505,B98)/G98)</f>
        <v/>
      </c>
      <c r="I98">
        <f>IF(OR(B98="",C98=""),"",IF(B98&lt;&gt;Label!$H$3,"",IF(IFERROR(N(INDEX(Ingredients!$AS$6:$AS$105,MATCH(C98,Ingredients!$B$6:$B$105,0))),0)=1,"",ROUND(N(D98)*1000,0)*100000+100000-ROW())))</f>
        <v/>
      </c>
      <c r="J98">
        <f>IF(OR(B98="",C98=""),0,IFERROR(N(INDEX(Ingredients!$AC$6:$AC$105,MATCH(C98,Ingredients!$B$6:$B$105,0))),0))</f>
        <v/>
      </c>
      <c r="K98">
        <f>IF(OR(B98="",C98=""),0,IFERROR(N(INDEX(Ingredients!$AD$6:$AD$105,MATCH(C98,Ingredients!$B$6:$B$105,0))),0))</f>
        <v/>
      </c>
      <c r="L98">
        <f>IF(OR(B98="",C98=""),0,IFERROR(N(INDEX(Ingredients!$AE$6:$AE$105,MATCH(C98,Ingredients!$B$6:$B$105,0))),0))</f>
        <v/>
      </c>
      <c r="M98">
        <f>IF(OR(B98="",C98=""),0,IFERROR(N(INDEX(Ingredients!$AF$6:$AF$105,MATCH(C98,Ingredients!$B$6:$B$105,0))),0))</f>
        <v/>
      </c>
      <c r="N98">
        <f>IF(OR(B98="",C98=""),0,IFERROR(N(INDEX(Ingredients!$AG$6:$AG$105,MATCH(C98,Ingredients!$B$6:$B$105,0))),0))</f>
        <v/>
      </c>
      <c r="O98">
        <f>IF(OR(B98="",C98=""),0,IFERROR(N(INDEX(Ingredients!$AH$6:$AH$105,MATCH(C98,Ingredients!$B$6:$B$105,0))),0))</f>
        <v/>
      </c>
      <c r="P98">
        <f>IF(OR(B98="",C98=""),0,IFERROR(N(INDEX(Ingredients!$AI$6:$AI$105,MATCH(C98,Ingredients!$B$6:$B$105,0))),0))</f>
        <v/>
      </c>
      <c r="Q98">
        <f>IF(OR(B98="",C98=""),0,IFERROR(N(INDEX(Ingredients!$AJ$6:$AJ$105,MATCH(C98,Ingredients!$B$6:$B$105,0))),0))</f>
        <v/>
      </c>
      <c r="R98">
        <f>IF(OR(B98="",C98=""),0,IFERROR(N(INDEX(Ingredients!$AK$6:$AK$105,MATCH(C98,Ingredients!$B$6:$B$105,0))),0))</f>
        <v/>
      </c>
      <c r="S98">
        <f>IF(OR(B98="",C98=""),0,IFERROR(N(INDEX(Ingredients!$AL$6:$AL$105,MATCH(C98,Ingredients!$B$6:$B$105,0))),0))</f>
        <v/>
      </c>
      <c r="T98">
        <f>IF(OR(B98="",C98=""),0,IFERROR(N(INDEX(Ingredients!$AM$6:$AM$105,MATCH(C98,Ingredients!$B$6:$B$105,0))),0))</f>
        <v/>
      </c>
      <c r="U98">
        <f>IF(OR(B98="",C98=""),0,IFERROR(N(INDEX(Ingredients!$AN$6:$AN$105,MATCH(C98,Ingredients!$B$6:$B$105,0))),0))</f>
        <v/>
      </c>
      <c r="V98">
        <f>IF(OR(B98="",C98=""),0,IFERROR(N(INDEX(Ingredients!$AO$6:$AO$105,MATCH(C98,Ingredients!$B$6:$B$105,0))),0))</f>
        <v/>
      </c>
      <c r="W98">
        <f>IF(OR(B98="",C98=""),0,IFERROR(N(INDEX(Ingredients!$AP$6:$AP$105,MATCH(C98,Ingredients!$B$6:$B$105,0))),0))</f>
        <v/>
      </c>
      <c r="X98">
        <f>IF(OR(B98="",C98=""),0,IFERROR(N(INDEX(Ingredients!$AQ$6:$AQ$105,MATCH(C98,Ingredients!$B$6:$B$105,0))),0))</f>
        <v/>
      </c>
    </row>
    <row r="99">
      <c r="A99" s="1" t="n"/>
      <c r="B99" s="21" t="n"/>
      <c r="C99" s="39" t="n"/>
      <c r="D99" s="40" t="n"/>
      <c r="E99" s="12">
        <f>IF(C99="","",IF(ISNA(MATCH(C99,Ingredients!$B$6:$B$105,0)),"Not on Ingredients",IFERROR(IF(INDEX(Ingredients!$C$6:$C$105,MATCH(C99,Ingredients!$B$6:$B$105,0))="","",INDEX(Ingredients!$C$6:$C$105,MATCH(C99,Ingredients!$B$6:$B$105,0))),"")))</f>
        <v/>
      </c>
      <c r="F99" s="26">
        <f>IF(OR(B99="",C99=""),"",N(D99)*IFERROR(N(INDEX(Ingredients!$H$6:$H$105,MATCH(C99,Ingredients!$B$6:$B$105,0))),0))</f>
        <v/>
      </c>
      <c r="G99" s="1">
        <f>IF(OR(B99="",C99=""),0,IFERROR(N(INDEX(Products!$D$6:$D$45,MATCH(B99,Products!$B$6:$B$45,0))),0))</f>
        <v/>
      </c>
      <c r="H99">
        <f>IF(N(G99)=0,0,N(D99)*SUMIFS(Batches!$D$6:$D$505,Batches!$C$6:$C$505,B99)/G99)</f>
        <v/>
      </c>
      <c r="I99">
        <f>IF(OR(B99="",C99=""),"",IF(B99&lt;&gt;Label!$H$3,"",IF(IFERROR(N(INDEX(Ingredients!$AS$6:$AS$105,MATCH(C99,Ingredients!$B$6:$B$105,0))),0)=1,"",ROUND(N(D99)*1000,0)*100000+100000-ROW())))</f>
        <v/>
      </c>
      <c r="J99">
        <f>IF(OR(B99="",C99=""),0,IFERROR(N(INDEX(Ingredients!$AC$6:$AC$105,MATCH(C99,Ingredients!$B$6:$B$105,0))),0))</f>
        <v/>
      </c>
      <c r="K99">
        <f>IF(OR(B99="",C99=""),0,IFERROR(N(INDEX(Ingredients!$AD$6:$AD$105,MATCH(C99,Ingredients!$B$6:$B$105,0))),0))</f>
        <v/>
      </c>
      <c r="L99">
        <f>IF(OR(B99="",C99=""),0,IFERROR(N(INDEX(Ingredients!$AE$6:$AE$105,MATCH(C99,Ingredients!$B$6:$B$105,0))),0))</f>
        <v/>
      </c>
      <c r="M99">
        <f>IF(OR(B99="",C99=""),0,IFERROR(N(INDEX(Ingredients!$AF$6:$AF$105,MATCH(C99,Ingredients!$B$6:$B$105,0))),0))</f>
        <v/>
      </c>
      <c r="N99">
        <f>IF(OR(B99="",C99=""),0,IFERROR(N(INDEX(Ingredients!$AG$6:$AG$105,MATCH(C99,Ingredients!$B$6:$B$105,0))),0))</f>
        <v/>
      </c>
      <c r="O99">
        <f>IF(OR(B99="",C99=""),0,IFERROR(N(INDEX(Ingredients!$AH$6:$AH$105,MATCH(C99,Ingredients!$B$6:$B$105,0))),0))</f>
        <v/>
      </c>
      <c r="P99">
        <f>IF(OR(B99="",C99=""),0,IFERROR(N(INDEX(Ingredients!$AI$6:$AI$105,MATCH(C99,Ingredients!$B$6:$B$105,0))),0))</f>
        <v/>
      </c>
      <c r="Q99">
        <f>IF(OR(B99="",C99=""),0,IFERROR(N(INDEX(Ingredients!$AJ$6:$AJ$105,MATCH(C99,Ingredients!$B$6:$B$105,0))),0))</f>
        <v/>
      </c>
      <c r="R99">
        <f>IF(OR(B99="",C99=""),0,IFERROR(N(INDEX(Ingredients!$AK$6:$AK$105,MATCH(C99,Ingredients!$B$6:$B$105,0))),0))</f>
        <v/>
      </c>
      <c r="S99">
        <f>IF(OR(B99="",C99=""),0,IFERROR(N(INDEX(Ingredients!$AL$6:$AL$105,MATCH(C99,Ingredients!$B$6:$B$105,0))),0))</f>
        <v/>
      </c>
      <c r="T99">
        <f>IF(OR(B99="",C99=""),0,IFERROR(N(INDEX(Ingredients!$AM$6:$AM$105,MATCH(C99,Ingredients!$B$6:$B$105,0))),0))</f>
        <v/>
      </c>
      <c r="U99">
        <f>IF(OR(B99="",C99=""),0,IFERROR(N(INDEX(Ingredients!$AN$6:$AN$105,MATCH(C99,Ingredients!$B$6:$B$105,0))),0))</f>
        <v/>
      </c>
      <c r="V99">
        <f>IF(OR(B99="",C99=""),0,IFERROR(N(INDEX(Ingredients!$AO$6:$AO$105,MATCH(C99,Ingredients!$B$6:$B$105,0))),0))</f>
        <v/>
      </c>
      <c r="W99">
        <f>IF(OR(B99="",C99=""),0,IFERROR(N(INDEX(Ingredients!$AP$6:$AP$105,MATCH(C99,Ingredients!$B$6:$B$105,0))),0))</f>
        <v/>
      </c>
      <c r="X99">
        <f>IF(OR(B99="",C99=""),0,IFERROR(N(INDEX(Ingredients!$AQ$6:$AQ$105,MATCH(C99,Ingredients!$B$6:$B$105,0))),0))</f>
        <v/>
      </c>
    </row>
    <row r="100">
      <c r="A100" s="1" t="n"/>
      <c r="B100" s="21" t="n"/>
      <c r="C100" s="39" t="n"/>
      <c r="D100" s="40" t="n"/>
      <c r="E100" s="12">
        <f>IF(C100="","",IF(ISNA(MATCH(C100,Ingredients!$B$6:$B$105,0)),"Not on Ingredients",IFERROR(IF(INDEX(Ingredients!$C$6:$C$105,MATCH(C100,Ingredients!$B$6:$B$105,0))="","",INDEX(Ingredients!$C$6:$C$105,MATCH(C100,Ingredients!$B$6:$B$105,0))),"")))</f>
        <v/>
      </c>
      <c r="F100" s="26">
        <f>IF(OR(B100="",C100=""),"",N(D100)*IFERROR(N(INDEX(Ingredients!$H$6:$H$105,MATCH(C100,Ingredients!$B$6:$B$105,0))),0))</f>
        <v/>
      </c>
      <c r="G100" s="1">
        <f>IF(OR(B100="",C100=""),0,IFERROR(N(INDEX(Products!$D$6:$D$45,MATCH(B100,Products!$B$6:$B$45,0))),0))</f>
        <v/>
      </c>
      <c r="H100">
        <f>IF(N(G100)=0,0,N(D100)*SUMIFS(Batches!$D$6:$D$505,Batches!$C$6:$C$505,B100)/G100)</f>
        <v/>
      </c>
      <c r="I100">
        <f>IF(OR(B100="",C100=""),"",IF(B100&lt;&gt;Label!$H$3,"",IF(IFERROR(N(INDEX(Ingredients!$AS$6:$AS$105,MATCH(C100,Ingredients!$B$6:$B$105,0))),0)=1,"",ROUND(N(D100)*1000,0)*100000+100000-ROW())))</f>
        <v/>
      </c>
      <c r="J100">
        <f>IF(OR(B100="",C100=""),0,IFERROR(N(INDEX(Ingredients!$AC$6:$AC$105,MATCH(C100,Ingredients!$B$6:$B$105,0))),0))</f>
        <v/>
      </c>
      <c r="K100">
        <f>IF(OR(B100="",C100=""),0,IFERROR(N(INDEX(Ingredients!$AD$6:$AD$105,MATCH(C100,Ingredients!$B$6:$B$105,0))),0))</f>
        <v/>
      </c>
      <c r="L100">
        <f>IF(OR(B100="",C100=""),0,IFERROR(N(INDEX(Ingredients!$AE$6:$AE$105,MATCH(C100,Ingredients!$B$6:$B$105,0))),0))</f>
        <v/>
      </c>
      <c r="M100">
        <f>IF(OR(B100="",C100=""),0,IFERROR(N(INDEX(Ingredients!$AF$6:$AF$105,MATCH(C100,Ingredients!$B$6:$B$105,0))),0))</f>
        <v/>
      </c>
      <c r="N100">
        <f>IF(OR(B100="",C100=""),0,IFERROR(N(INDEX(Ingredients!$AG$6:$AG$105,MATCH(C100,Ingredients!$B$6:$B$105,0))),0))</f>
        <v/>
      </c>
      <c r="O100">
        <f>IF(OR(B100="",C100=""),0,IFERROR(N(INDEX(Ingredients!$AH$6:$AH$105,MATCH(C100,Ingredients!$B$6:$B$105,0))),0))</f>
        <v/>
      </c>
      <c r="P100">
        <f>IF(OR(B100="",C100=""),0,IFERROR(N(INDEX(Ingredients!$AI$6:$AI$105,MATCH(C100,Ingredients!$B$6:$B$105,0))),0))</f>
        <v/>
      </c>
      <c r="Q100">
        <f>IF(OR(B100="",C100=""),0,IFERROR(N(INDEX(Ingredients!$AJ$6:$AJ$105,MATCH(C100,Ingredients!$B$6:$B$105,0))),0))</f>
        <v/>
      </c>
      <c r="R100">
        <f>IF(OR(B100="",C100=""),0,IFERROR(N(INDEX(Ingredients!$AK$6:$AK$105,MATCH(C100,Ingredients!$B$6:$B$105,0))),0))</f>
        <v/>
      </c>
      <c r="S100">
        <f>IF(OR(B100="",C100=""),0,IFERROR(N(INDEX(Ingredients!$AL$6:$AL$105,MATCH(C100,Ingredients!$B$6:$B$105,0))),0))</f>
        <v/>
      </c>
      <c r="T100">
        <f>IF(OR(B100="",C100=""),0,IFERROR(N(INDEX(Ingredients!$AM$6:$AM$105,MATCH(C100,Ingredients!$B$6:$B$105,0))),0))</f>
        <v/>
      </c>
      <c r="U100">
        <f>IF(OR(B100="",C100=""),0,IFERROR(N(INDEX(Ingredients!$AN$6:$AN$105,MATCH(C100,Ingredients!$B$6:$B$105,0))),0))</f>
        <v/>
      </c>
      <c r="V100">
        <f>IF(OR(B100="",C100=""),0,IFERROR(N(INDEX(Ingredients!$AO$6:$AO$105,MATCH(C100,Ingredients!$B$6:$B$105,0))),0))</f>
        <v/>
      </c>
      <c r="W100">
        <f>IF(OR(B100="",C100=""),0,IFERROR(N(INDEX(Ingredients!$AP$6:$AP$105,MATCH(C100,Ingredients!$B$6:$B$105,0))),0))</f>
        <v/>
      </c>
      <c r="X100">
        <f>IF(OR(B100="",C100=""),0,IFERROR(N(INDEX(Ingredients!$AQ$6:$AQ$105,MATCH(C100,Ingredients!$B$6:$B$105,0))),0))</f>
        <v/>
      </c>
    </row>
    <row r="101">
      <c r="A101" s="1" t="n"/>
      <c r="B101" s="21" t="n"/>
      <c r="C101" s="39" t="n"/>
      <c r="D101" s="40" t="n"/>
      <c r="E101" s="12">
        <f>IF(C101="","",IF(ISNA(MATCH(C101,Ingredients!$B$6:$B$105,0)),"Not on Ingredients",IFERROR(IF(INDEX(Ingredients!$C$6:$C$105,MATCH(C101,Ingredients!$B$6:$B$105,0))="","",INDEX(Ingredients!$C$6:$C$105,MATCH(C101,Ingredients!$B$6:$B$105,0))),"")))</f>
        <v/>
      </c>
      <c r="F101" s="26">
        <f>IF(OR(B101="",C101=""),"",N(D101)*IFERROR(N(INDEX(Ingredients!$H$6:$H$105,MATCH(C101,Ingredients!$B$6:$B$105,0))),0))</f>
        <v/>
      </c>
      <c r="G101" s="1">
        <f>IF(OR(B101="",C101=""),0,IFERROR(N(INDEX(Products!$D$6:$D$45,MATCH(B101,Products!$B$6:$B$45,0))),0))</f>
        <v/>
      </c>
      <c r="H101">
        <f>IF(N(G101)=0,0,N(D101)*SUMIFS(Batches!$D$6:$D$505,Batches!$C$6:$C$505,B101)/G101)</f>
        <v/>
      </c>
      <c r="I101">
        <f>IF(OR(B101="",C101=""),"",IF(B101&lt;&gt;Label!$H$3,"",IF(IFERROR(N(INDEX(Ingredients!$AS$6:$AS$105,MATCH(C101,Ingredients!$B$6:$B$105,0))),0)=1,"",ROUND(N(D101)*1000,0)*100000+100000-ROW())))</f>
        <v/>
      </c>
      <c r="J101">
        <f>IF(OR(B101="",C101=""),0,IFERROR(N(INDEX(Ingredients!$AC$6:$AC$105,MATCH(C101,Ingredients!$B$6:$B$105,0))),0))</f>
        <v/>
      </c>
      <c r="K101">
        <f>IF(OR(B101="",C101=""),0,IFERROR(N(INDEX(Ingredients!$AD$6:$AD$105,MATCH(C101,Ingredients!$B$6:$B$105,0))),0))</f>
        <v/>
      </c>
      <c r="L101">
        <f>IF(OR(B101="",C101=""),0,IFERROR(N(INDEX(Ingredients!$AE$6:$AE$105,MATCH(C101,Ingredients!$B$6:$B$105,0))),0))</f>
        <v/>
      </c>
      <c r="M101">
        <f>IF(OR(B101="",C101=""),0,IFERROR(N(INDEX(Ingredients!$AF$6:$AF$105,MATCH(C101,Ingredients!$B$6:$B$105,0))),0))</f>
        <v/>
      </c>
      <c r="N101">
        <f>IF(OR(B101="",C101=""),0,IFERROR(N(INDEX(Ingredients!$AG$6:$AG$105,MATCH(C101,Ingredients!$B$6:$B$105,0))),0))</f>
        <v/>
      </c>
      <c r="O101">
        <f>IF(OR(B101="",C101=""),0,IFERROR(N(INDEX(Ingredients!$AH$6:$AH$105,MATCH(C101,Ingredients!$B$6:$B$105,0))),0))</f>
        <v/>
      </c>
      <c r="P101">
        <f>IF(OR(B101="",C101=""),0,IFERROR(N(INDEX(Ingredients!$AI$6:$AI$105,MATCH(C101,Ingredients!$B$6:$B$105,0))),0))</f>
        <v/>
      </c>
      <c r="Q101">
        <f>IF(OR(B101="",C101=""),0,IFERROR(N(INDEX(Ingredients!$AJ$6:$AJ$105,MATCH(C101,Ingredients!$B$6:$B$105,0))),0))</f>
        <v/>
      </c>
      <c r="R101">
        <f>IF(OR(B101="",C101=""),0,IFERROR(N(INDEX(Ingredients!$AK$6:$AK$105,MATCH(C101,Ingredients!$B$6:$B$105,0))),0))</f>
        <v/>
      </c>
      <c r="S101">
        <f>IF(OR(B101="",C101=""),0,IFERROR(N(INDEX(Ingredients!$AL$6:$AL$105,MATCH(C101,Ingredients!$B$6:$B$105,0))),0))</f>
        <v/>
      </c>
      <c r="T101">
        <f>IF(OR(B101="",C101=""),0,IFERROR(N(INDEX(Ingredients!$AM$6:$AM$105,MATCH(C101,Ingredients!$B$6:$B$105,0))),0))</f>
        <v/>
      </c>
      <c r="U101">
        <f>IF(OR(B101="",C101=""),0,IFERROR(N(INDEX(Ingredients!$AN$6:$AN$105,MATCH(C101,Ingredients!$B$6:$B$105,0))),0))</f>
        <v/>
      </c>
      <c r="V101">
        <f>IF(OR(B101="",C101=""),0,IFERROR(N(INDEX(Ingredients!$AO$6:$AO$105,MATCH(C101,Ingredients!$B$6:$B$105,0))),0))</f>
        <v/>
      </c>
      <c r="W101">
        <f>IF(OR(B101="",C101=""),0,IFERROR(N(INDEX(Ingredients!$AP$6:$AP$105,MATCH(C101,Ingredients!$B$6:$B$105,0))),0))</f>
        <v/>
      </c>
      <c r="X101">
        <f>IF(OR(B101="",C101=""),0,IFERROR(N(INDEX(Ingredients!$AQ$6:$AQ$105,MATCH(C101,Ingredients!$B$6:$B$105,0))),0))</f>
        <v/>
      </c>
    </row>
    <row r="102">
      <c r="A102" s="1" t="n"/>
      <c r="B102" s="21" t="n"/>
      <c r="C102" s="39" t="n"/>
      <c r="D102" s="40" t="n"/>
      <c r="E102" s="12">
        <f>IF(C102="","",IF(ISNA(MATCH(C102,Ingredients!$B$6:$B$105,0)),"Not on Ingredients",IFERROR(IF(INDEX(Ingredients!$C$6:$C$105,MATCH(C102,Ingredients!$B$6:$B$105,0))="","",INDEX(Ingredients!$C$6:$C$105,MATCH(C102,Ingredients!$B$6:$B$105,0))),"")))</f>
        <v/>
      </c>
      <c r="F102" s="26">
        <f>IF(OR(B102="",C102=""),"",N(D102)*IFERROR(N(INDEX(Ingredients!$H$6:$H$105,MATCH(C102,Ingredients!$B$6:$B$105,0))),0))</f>
        <v/>
      </c>
      <c r="G102" s="1">
        <f>IF(OR(B102="",C102=""),0,IFERROR(N(INDEX(Products!$D$6:$D$45,MATCH(B102,Products!$B$6:$B$45,0))),0))</f>
        <v/>
      </c>
      <c r="H102">
        <f>IF(N(G102)=0,0,N(D102)*SUMIFS(Batches!$D$6:$D$505,Batches!$C$6:$C$505,B102)/G102)</f>
        <v/>
      </c>
      <c r="I102">
        <f>IF(OR(B102="",C102=""),"",IF(B102&lt;&gt;Label!$H$3,"",IF(IFERROR(N(INDEX(Ingredients!$AS$6:$AS$105,MATCH(C102,Ingredients!$B$6:$B$105,0))),0)=1,"",ROUND(N(D102)*1000,0)*100000+100000-ROW())))</f>
        <v/>
      </c>
      <c r="J102">
        <f>IF(OR(B102="",C102=""),0,IFERROR(N(INDEX(Ingredients!$AC$6:$AC$105,MATCH(C102,Ingredients!$B$6:$B$105,0))),0))</f>
        <v/>
      </c>
      <c r="K102">
        <f>IF(OR(B102="",C102=""),0,IFERROR(N(INDEX(Ingredients!$AD$6:$AD$105,MATCH(C102,Ingredients!$B$6:$B$105,0))),0))</f>
        <v/>
      </c>
      <c r="L102">
        <f>IF(OR(B102="",C102=""),0,IFERROR(N(INDEX(Ingredients!$AE$6:$AE$105,MATCH(C102,Ingredients!$B$6:$B$105,0))),0))</f>
        <v/>
      </c>
      <c r="M102">
        <f>IF(OR(B102="",C102=""),0,IFERROR(N(INDEX(Ingredients!$AF$6:$AF$105,MATCH(C102,Ingredients!$B$6:$B$105,0))),0))</f>
        <v/>
      </c>
      <c r="N102">
        <f>IF(OR(B102="",C102=""),0,IFERROR(N(INDEX(Ingredients!$AG$6:$AG$105,MATCH(C102,Ingredients!$B$6:$B$105,0))),0))</f>
        <v/>
      </c>
      <c r="O102">
        <f>IF(OR(B102="",C102=""),0,IFERROR(N(INDEX(Ingredients!$AH$6:$AH$105,MATCH(C102,Ingredients!$B$6:$B$105,0))),0))</f>
        <v/>
      </c>
      <c r="P102">
        <f>IF(OR(B102="",C102=""),0,IFERROR(N(INDEX(Ingredients!$AI$6:$AI$105,MATCH(C102,Ingredients!$B$6:$B$105,0))),0))</f>
        <v/>
      </c>
      <c r="Q102">
        <f>IF(OR(B102="",C102=""),0,IFERROR(N(INDEX(Ingredients!$AJ$6:$AJ$105,MATCH(C102,Ingredients!$B$6:$B$105,0))),0))</f>
        <v/>
      </c>
      <c r="R102">
        <f>IF(OR(B102="",C102=""),0,IFERROR(N(INDEX(Ingredients!$AK$6:$AK$105,MATCH(C102,Ingredients!$B$6:$B$105,0))),0))</f>
        <v/>
      </c>
      <c r="S102">
        <f>IF(OR(B102="",C102=""),0,IFERROR(N(INDEX(Ingredients!$AL$6:$AL$105,MATCH(C102,Ingredients!$B$6:$B$105,0))),0))</f>
        <v/>
      </c>
      <c r="T102">
        <f>IF(OR(B102="",C102=""),0,IFERROR(N(INDEX(Ingredients!$AM$6:$AM$105,MATCH(C102,Ingredients!$B$6:$B$105,0))),0))</f>
        <v/>
      </c>
      <c r="U102">
        <f>IF(OR(B102="",C102=""),0,IFERROR(N(INDEX(Ingredients!$AN$6:$AN$105,MATCH(C102,Ingredients!$B$6:$B$105,0))),0))</f>
        <v/>
      </c>
      <c r="V102">
        <f>IF(OR(B102="",C102=""),0,IFERROR(N(INDEX(Ingredients!$AO$6:$AO$105,MATCH(C102,Ingredients!$B$6:$B$105,0))),0))</f>
        <v/>
      </c>
      <c r="W102">
        <f>IF(OR(B102="",C102=""),0,IFERROR(N(INDEX(Ingredients!$AP$6:$AP$105,MATCH(C102,Ingredients!$B$6:$B$105,0))),0))</f>
        <v/>
      </c>
      <c r="X102">
        <f>IF(OR(B102="",C102=""),0,IFERROR(N(INDEX(Ingredients!$AQ$6:$AQ$105,MATCH(C102,Ingredients!$B$6:$B$105,0))),0))</f>
        <v/>
      </c>
    </row>
    <row r="103">
      <c r="A103" s="1" t="n"/>
      <c r="B103" s="21" t="n"/>
      <c r="C103" s="39" t="n"/>
      <c r="D103" s="40" t="n"/>
      <c r="E103" s="12">
        <f>IF(C103="","",IF(ISNA(MATCH(C103,Ingredients!$B$6:$B$105,0)),"Not on Ingredients",IFERROR(IF(INDEX(Ingredients!$C$6:$C$105,MATCH(C103,Ingredients!$B$6:$B$105,0))="","",INDEX(Ingredients!$C$6:$C$105,MATCH(C103,Ingredients!$B$6:$B$105,0))),"")))</f>
        <v/>
      </c>
      <c r="F103" s="26">
        <f>IF(OR(B103="",C103=""),"",N(D103)*IFERROR(N(INDEX(Ingredients!$H$6:$H$105,MATCH(C103,Ingredients!$B$6:$B$105,0))),0))</f>
        <v/>
      </c>
      <c r="G103" s="1">
        <f>IF(OR(B103="",C103=""),0,IFERROR(N(INDEX(Products!$D$6:$D$45,MATCH(B103,Products!$B$6:$B$45,0))),0))</f>
        <v/>
      </c>
      <c r="H103">
        <f>IF(N(G103)=0,0,N(D103)*SUMIFS(Batches!$D$6:$D$505,Batches!$C$6:$C$505,B103)/G103)</f>
        <v/>
      </c>
      <c r="I103">
        <f>IF(OR(B103="",C103=""),"",IF(B103&lt;&gt;Label!$H$3,"",IF(IFERROR(N(INDEX(Ingredients!$AS$6:$AS$105,MATCH(C103,Ingredients!$B$6:$B$105,0))),0)=1,"",ROUND(N(D103)*1000,0)*100000+100000-ROW())))</f>
        <v/>
      </c>
      <c r="J103">
        <f>IF(OR(B103="",C103=""),0,IFERROR(N(INDEX(Ingredients!$AC$6:$AC$105,MATCH(C103,Ingredients!$B$6:$B$105,0))),0))</f>
        <v/>
      </c>
      <c r="K103">
        <f>IF(OR(B103="",C103=""),0,IFERROR(N(INDEX(Ingredients!$AD$6:$AD$105,MATCH(C103,Ingredients!$B$6:$B$105,0))),0))</f>
        <v/>
      </c>
      <c r="L103">
        <f>IF(OR(B103="",C103=""),0,IFERROR(N(INDEX(Ingredients!$AE$6:$AE$105,MATCH(C103,Ingredients!$B$6:$B$105,0))),0))</f>
        <v/>
      </c>
      <c r="M103">
        <f>IF(OR(B103="",C103=""),0,IFERROR(N(INDEX(Ingredients!$AF$6:$AF$105,MATCH(C103,Ingredients!$B$6:$B$105,0))),0))</f>
        <v/>
      </c>
      <c r="N103">
        <f>IF(OR(B103="",C103=""),0,IFERROR(N(INDEX(Ingredients!$AG$6:$AG$105,MATCH(C103,Ingredients!$B$6:$B$105,0))),0))</f>
        <v/>
      </c>
      <c r="O103">
        <f>IF(OR(B103="",C103=""),0,IFERROR(N(INDEX(Ingredients!$AH$6:$AH$105,MATCH(C103,Ingredients!$B$6:$B$105,0))),0))</f>
        <v/>
      </c>
      <c r="P103">
        <f>IF(OR(B103="",C103=""),0,IFERROR(N(INDEX(Ingredients!$AI$6:$AI$105,MATCH(C103,Ingredients!$B$6:$B$105,0))),0))</f>
        <v/>
      </c>
      <c r="Q103">
        <f>IF(OR(B103="",C103=""),0,IFERROR(N(INDEX(Ingredients!$AJ$6:$AJ$105,MATCH(C103,Ingredients!$B$6:$B$105,0))),0))</f>
        <v/>
      </c>
      <c r="R103">
        <f>IF(OR(B103="",C103=""),0,IFERROR(N(INDEX(Ingredients!$AK$6:$AK$105,MATCH(C103,Ingredients!$B$6:$B$105,0))),0))</f>
        <v/>
      </c>
      <c r="S103">
        <f>IF(OR(B103="",C103=""),0,IFERROR(N(INDEX(Ingredients!$AL$6:$AL$105,MATCH(C103,Ingredients!$B$6:$B$105,0))),0))</f>
        <v/>
      </c>
      <c r="T103">
        <f>IF(OR(B103="",C103=""),0,IFERROR(N(INDEX(Ingredients!$AM$6:$AM$105,MATCH(C103,Ingredients!$B$6:$B$105,0))),0))</f>
        <v/>
      </c>
      <c r="U103">
        <f>IF(OR(B103="",C103=""),0,IFERROR(N(INDEX(Ingredients!$AN$6:$AN$105,MATCH(C103,Ingredients!$B$6:$B$105,0))),0))</f>
        <v/>
      </c>
      <c r="V103">
        <f>IF(OR(B103="",C103=""),0,IFERROR(N(INDEX(Ingredients!$AO$6:$AO$105,MATCH(C103,Ingredients!$B$6:$B$105,0))),0))</f>
        <v/>
      </c>
      <c r="W103">
        <f>IF(OR(B103="",C103=""),0,IFERROR(N(INDEX(Ingredients!$AP$6:$AP$105,MATCH(C103,Ingredients!$B$6:$B$105,0))),0))</f>
        <v/>
      </c>
      <c r="X103">
        <f>IF(OR(B103="",C103=""),0,IFERROR(N(INDEX(Ingredients!$AQ$6:$AQ$105,MATCH(C103,Ingredients!$B$6:$B$105,0))),0))</f>
        <v/>
      </c>
    </row>
    <row r="104">
      <c r="A104" s="1" t="n"/>
      <c r="B104" s="21" t="n"/>
      <c r="C104" s="39" t="n"/>
      <c r="D104" s="40" t="n"/>
      <c r="E104" s="12">
        <f>IF(C104="","",IF(ISNA(MATCH(C104,Ingredients!$B$6:$B$105,0)),"Not on Ingredients",IFERROR(IF(INDEX(Ingredients!$C$6:$C$105,MATCH(C104,Ingredients!$B$6:$B$105,0))="","",INDEX(Ingredients!$C$6:$C$105,MATCH(C104,Ingredients!$B$6:$B$105,0))),"")))</f>
        <v/>
      </c>
      <c r="F104" s="26">
        <f>IF(OR(B104="",C104=""),"",N(D104)*IFERROR(N(INDEX(Ingredients!$H$6:$H$105,MATCH(C104,Ingredients!$B$6:$B$105,0))),0))</f>
        <v/>
      </c>
      <c r="G104" s="1">
        <f>IF(OR(B104="",C104=""),0,IFERROR(N(INDEX(Products!$D$6:$D$45,MATCH(B104,Products!$B$6:$B$45,0))),0))</f>
        <v/>
      </c>
      <c r="H104">
        <f>IF(N(G104)=0,0,N(D104)*SUMIFS(Batches!$D$6:$D$505,Batches!$C$6:$C$505,B104)/G104)</f>
        <v/>
      </c>
      <c r="I104">
        <f>IF(OR(B104="",C104=""),"",IF(B104&lt;&gt;Label!$H$3,"",IF(IFERROR(N(INDEX(Ingredients!$AS$6:$AS$105,MATCH(C104,Ingredients!$B$6:$B$105,0))),0)=1,"",ROUND(N(D104)*1000,0)*100000+100000-ROW())))</f>
        <v/>
      </c>
      <c r="J104">
        <f>IF(OR(B104="",C104=""),0,IFERROR(N(INDEX(Ingredients!$AC$6:$AC$105,MATCH(C104,Ingredients!$B$6:$B$105,0))),0))</f>
        <v/>
      </c>
      <c r="K104">
        <f>IF(OR(B104="",C104=""),0,IFERROR(N(INDEX(Ingredients!$AD$6:$AD$105,MATCH(C104,Ingredients!$B$6:$B$105,0))),0))</f>
        <v/>
      </c>
      <c r="L104">
        <f>IF(OR(B104="",C104=""),0,IFERROR(N(INDEX(Ingredients!$AE$6:$AE$105,MATCH(C104,Ingredients!$B$6:$B$105,0))),0))</f>
        <v/>
      </c>
      <c r="M104">
        <f>IF(OR(B104="",C104=""),0,IFERROR(N(INDEX(Ingredients!$AF$6:$AF$105,MATCH(C104,Ingredients!$B$6:$B$105,0))),0))</f>
        <v/>
      </c>
      <c r="N104">
        <f>IF(OR(B104="",C104=""),0,IFERROR(N(INDEX(Ingredients!$AG$6:$AG$105,MATCH(C104,Ingredients!$B$6:$B$105,0))),0))</f>
        <v/>
      </c>
      <c r="O104">
        <f>IF(OR(B104="",C104=""),0,IFERROR(N(INDEX(Ingredients!$AH$6:$AH$105,MATCH(C104,Ingredients!$B$6:$B$105,0))),0))</f>
        <v/>
      </c>
      <c r="P104">
        <f>IF(OR(B104="",C104=""),0,IFERROR(N(INDEX(Ingredients!$AI$6:$AI$105,MATCH(C104,Ingredients!$B$6:$B$105,0))),0))</f>
        <v/>
      </c>
      <c r="Q104">
        <f>IF(OR(B104="",C104=""),0,IFERROR(N(INDEX(Ingredients!$AJ$6:$AJ$105,MATCH(C104,Ingredients!$B$6:$B$105,0))),0))</f>
        <v/>
      </c>
      <c r="R104">
        <f>IF(OR(B104="",C104=""),0,IFERROR(N(INDEX(Ingredients!$AK$6:$AK$105,MATCH(C104,Ingredients!$B$6:$B$105,0))),0))</f>
        <v/>
      </c>
      <c r="S104">
        <f>IF(OR(B104="",C104=""),0,IFERROR(N(INDEX(Ingredients!$AL$6:$AL$105,MATCH(C104,Ingredients!$B$6:$B$105,0))),0))</f>
        <v/>
      </c>
      <c r="T104">
        <f>IF(OR(B104="",C104=""),0,IFERROR(N(INDEX(Ingredients!$AM$6:$AM$105,MATCH(C104,Ingredients!$B$6:$B$105,0))),0))</f>
        <v/>
      </c>
      <c r="U104">
        <f>IF(OR(B104="",C104=""),0,IFERROR(N(INDEX(Ingredients!$AN$6:$AN$105,MATCH(C104,Ingredients!$B$6:$B$105,0))),0))</f>
        <v/>
      </c>
      <c r="V104">
        <f>IF(OR(B104="",C104=""),0,IFERROR(N(INDEX(Ingredients!$AO$6:$AO$105,MATCH(C104,Ingredients!$B$6:$B$105,0))),0))</f>
        <v/>
      </c>
      <c r="W104">
        <f>IF(OR(B104="",C104=""),0,IFERROR(N(INDEX(Ingredients!$AP$6:$AP$105,MATCH(C104,Ingredients!$B$6:$B$105,0))),0))</f>
        <v/>
      </c>
      <c r="X104">
        <f>IF(OR(B104="",C104=""),0,IFERROR(N(INDEX(Ingredients!$AQ$6:$AQ$105,MATCH(C104,Ingredients!$B$6:$B$105,0))),0))</f>
        <v/>
      </c>
    </row>
    <row r="105">
      <c r="A105" s="1" t="n"/>
      <c r="B105" s="21" t="n"/>
      <c r="C105" s="39" t="n"/>
      <c r="D105" s="40" t="n"/>
      <c r="E105" s="12">
        <f>IF(C105="","",IF(ISNA(MATCH(C105,Ingredients!$B$6:$B$105,0)),"Not on Ingredients",IFERROR(IF(INDEX(Ingredients!$C$6:$C$105,MATCH(C105,Ingredients!$B$6:$B$105,0))="","",INDEX(Ingredients!$C$6:$C$105,MATCH(C105,Ingredients!$B$6:$B$105,0))),"")))</f>
        <v/>
      </c>
      <c r="F105" s="26">
        <f>IF(OR(B105="",C105=""),"",N(D105)*IFERROR(N(INDEX(Ingredients!$H$6:$H$105,MATCH(C105,Ingredients!$B$6:$B$105,0))),0))</f>
        <v/>
      </c>
      <c r="G105" s="1">
        <f>IF(OR(B105="",C105=""),0,IFERROR(N(INDEX(Products!$D$6:$D$45,MATCH(B105,Products!$B$6:$B$45,0))),0))</f>
        <v/>
      </c>
      <c r="H105">
        <f>IF(N(G105)=0,0,N(D105)*SUMIFS(Batches!$D$6:$D$505,Batches!$C$6:$C$505,B105)/G105)</f>
        <v/>
      </c>
      <c r="I105">
        <f>IF(OR(B105="",C105=""),"",IF(B105&lt;&gt;Label!$H$3,"",IF(IFERROR(N(INDEX(Ingredients!$AS$6:$AS$105,MATCH(C105,Ingredients!$B$6:$B$105,0))),0)=1,"",ROUND(N(D105)*1000,0)*100000+100000-ROW())))</f>
        <v/>
      </c>
      <c r="J105">
        <f>IF(OR(B105="",C105=""),0,IFERROR(N(INDEX(Ingredients!$AC$6:$AC$105,MATCH(C105,Ingredients!$B$6:$B$105,0))),0))</f>
        <v/>
      </c>
      <c r="K105">
        <f>IF(OR(B105="",C105=""),0,IFERROR(N(INDEX(Ingredients!$AD$6:$AD$105,MATCH(C105,Ingredients!$B$6:$B$105,0))),0))</f>
        <v/>
      </c>
      <c r="L105">
        <f>IF(OR(B105="",C105=""),0,IFERROR(N(INDEX(Ingredients!$AE$6:$AE$105,MATCH(C105,Ingredients!$B$6:$B$105,0))),0))</f>
        <v/>
      </c>
      <c r="M105">
        <f>IF(OR(B105="",C105=""),0,IFERROR(N(INDEX(Ingredients!$AF$6:$AF$105,MATCH(C105,Ingredients!$B$6:$B$105,0))),0))</f>
        <v/>
      </c>
      <c r="N105">
        <f>IF(OR(B105="",C105=""),0,IFERROR(N(INDEX(Ingredients!$AG$6:$AG$105,MATCH(C105,Ingredients!$B$6:$B$105,0))),0))</f>
        <v/>
      </c>
      <c r="O105">
        <f>IF(OR(B105="",C105=""),0,IFERROR(N(INDEX(Ingredients!$AH$6:$AH$105,MATCH(C105,Ingredients!$B$6:$B$105,0))),0))</f>
        <v/>
      </c>
      <c r="P105">
        <f>IF(OR(B105="",C105=""),0,IFERROR(N(INDEX(Ingredients!$AI$6:$AI$105,MATCH(C105,Ingredients!$B$6:$B$105,0))),0))</f>
        <v/>
      </c>
      <c r="Q105">
        <f>IF(OR(B105="",C105=""),0,IFERROR(N(INDEX(Ingredients!$AJ$6:$AJ$105,MATCH(C105,Ingredients!$B$6:$B$105,0))),0))</f>
        <v/>
      </c>
      <c r="R105">
        <f>IF(OR(B105="",C105=""),0,IFERROR(N(INDEX(Ingredients!$AK$6:$AK$105,MATCH(C105,Ingredients!$B$6:$B$105,0))),0))</f>
        <v/>
      </c>
      <c r="S105">
        <f>IF(OR(B105="",C105=""),0,IFERROR(N(INDEX(Ingredients!$AL$6:$AL$105,MATCH(C105,Ingredients!$B$6:$B$105,0))),0))</f>
        <v/>
      </c>
      <c r="T105">
        <f>IF(OR(B105="",C105=""),0,IFERROR(N(INDEX(Ingredients!$AM$6:$AM$105,MATCH(C105,Ingredients!$B$6:$B$105,0))),0))</f>
        <v/>
      </c>
      <c r="U105">
        <f>IF(OR(B105="",C105=""),0,IFERROR(N(INDEX(Ingredients!$AN$6:$AN$105,MATCH(C105,Ingredients!$B$6:$B$105,0))),0))</f>
        <v/>
      </c>
      <c r="V105">
        <f>IF(OR(B105="",C105=""),0,IFERROR(N(INDEX(Ingredients!$AO$6:$AO$105,MATCH(C105,Ingredients!$B$6:$B$105,0))),0))</f>
        <v/>
      </c>
      <c r="W105">
        <f>IF(OR(B105="",C105=""),0,IFERROR(N(INDEX(Ingredients!$AP$6:$AP$105,MATCH(C105,Ingredients!$B$6:$B$105,0))),0))</f>
        <v/>
      </c>
      <c r="X105">
        <f>IF(OR(B105="",C105=""),0,IFERROR(N(INDEX(Ingredients!$AQ$6:$AQ$105,MATCH(C105,Ingredients!$B$6:$B$105,0))),0))</f>
        <v/>
      </c>
    </row>
    <row r="106">
      <c r="A106" s="1" t="n"/>
      <c r="B106" s="21" t="n"/>
      <c r="C106" s="39" t="n"/>
      <c r="D106" s="40" t="n"/>
      <c r="E106" s="12">
        <f>IF(C106="","",IF(ISNA(MATCH(C106,Ingredients!$B$6:$B$105,0)),"Not on Ingredients",IFERROR(IF(INDEX(Ingredients!$C$6:$C$105,MATCH(C106,Ingredients!$B$6:$B$105,0))="","",INDEX(Ingredients!$C$6:$C$105,MATCH(C106,Ingredients!$B$6:$B$105,0))),"")))</f>
        <v/>
      </c>
      <c r="F106" s="26">
        <f>IF(OR(B106="",C106=""),"",N(D106)*IFERROR(N(INDEX(Ingredients!$H$6:$H$105,MATCH(C106,Ingredients!$B$6:$B$105,0))),0))</f>
        <v/>
      </c>
      <c r="G106" s="1">
        <f>IF(OR(B106="",C106=""),0,IFERROR(N(INDEX(Products!$D$6:$D$45,MATCH(B106,Products!$B$6:$B$45,0))),0))</f>
        <v/>
      </c>
      <c r="H106">
        <f>IF(N(G106)=0,0,N(D106)*SUMIFS(Batches!$D$6:$D$505,Batches!$C$6:$C$505,B106)/G106)</f>
        <v/>
      </c>
      <c r="I106">
        <f>IF(OR(B106="",C106=""),"",IF(B106&lt;&gt;Label!$H$3,"",IF(IFERROR(N(INDEX(Ingredients!$AS$6:$AS$105,MATCH(C106,Ingredients!$B$6:$B$105,0))),0)=1,"",ROUND(N(D106)*1000,0)*100000+100000-ROW())))</f>
        <v/>
      </c>
      <c r="J106">
        <f>IF(OR(B106="",C106=""),0,IFERROR(N(INDEX(Ingredients!$AC$6:$AC$105,MATCH(C106,Ingredients!$B$6:$B$105,0))),0))</f>
        <v/>
      </c>
      <c r="K106">
        <f>IF(OR(B106="",C106=""),0,IFERROR(N(INDEX(Ingredients!$AD$6:$AD$105,MATCH(C106,Ingredients!$B$6:$B$105,0))),0))</f>
        <v/>
      </c>
      <c r="L106">
        <f>IF(OR(B106="",C106=""),0,IFERROR(N(INDEX(Ingredients!$AE$6:$AE$105,MATCH(C106,Ingredients!$B$6:$B$105,0))),0))</f>
        <v/>
      </c>
      <c r="M106">
        <f>IF(OR(B106="",C106=""),0,IFERROR(N(INDEX(Ingredients!$AF$6:$AF$105,MATCH(C106,Ingredients!$B$6:$B$105,0))),0))</f>
        <v/>
      </c>
      <c r="N106">
        <f>IF(OR(B106="",C106=""),0,IFERROR(N(INDEX(Ingredients!$AG$6:$AG$105,MATCH(C106,Ingredients!$B$6:$B$105,0))),0))</f>
        <v/>
      </c>
      <c r="O106">
        <f>IF(OR(B106="",C106=""),0,IFERROR(N(INDEX(Ingredients!$AH$6:$AH$105,MATCH(C106,Ingredients!$B$6:$B$105,0))),0))</f>
        <v/>
      </c>
      <c r="P106">
        <f>IF(OR(B106="",C106=""),0,IFERROR(N(INDEX(Ingredients!$AI$6:$AI$105,MATCH(C106,Ingredients!$B$6:$B$105,0))),0))</f>
        <v/>
      </c>
      <c r="Q106">
        <f>IF(OR(B106="",C106=""),0,IFERROR(N(INDEX(Ingredients!$AJ$6:$AJ$105,MATCH(C106,Ingredients!$B$6:$B$105,0))),0))</f>
        <v/>
      </c>
      <c r="R106">
        <f>IF(OR(B106="",C106=""),0,IFERROR(N(INDEX(Ingredients!$AK$6:$AK$105,MATCH(C106,Ingredients!$B$6:$B$105,0))),0))</f>
        <v/>
      </c>
      <c r="S106">
        <f>IF(OR(B106="",C106=""),0,IFERROR(N(INDEX(Ingredients!$AL$6:$AL$105,MATCH(C106,Ingredients!$B$6:$B$105,0))),0))</f>
        <v/>
      </c>
      <c r="T106">
        <f>IF(OR(B106="",C106=""),0,IFERROR(N(INDEX(Ingredients!$AM$6:$AM$105,MATCH(C106,Ingredients!$B$6:$B$105,0))),0))</f>
        <v/>
      </c>
      <c r="U106">
        <f>IF(OR(B106="",C106=""),0,IFERROR(N(INDEX(Ingredients!$AN$6:$AN$105,MATCH(C106,Ingredients!$B$6:$B$105,0))),0))</f>
        <v/>
      </c>
      <c r="V106">
        <f>IF(OR(B106="",C106=""),0,IFERROR(N(INDEX(Ingredients!$AO$6:$AO$105,MATCH(C106,Ingredients!$B$6:$B$105,0))),0))</f>
        <v/>
      </c>
      <c r="W106">
        <f>IF(OR(B106="",C106=""),0,IFERROR(N(INDEX(Ingredients!$AP$6:$AP$105,MATCH(C106,Ingredients!$B$6:$B$105,0))),0))</f>
        <v/>
      </c>
      <c r="X106">
        <f>IF(OR(B106="",C106=""),0,IFERROR(N(INDEX(Ingredients!$AQ$6:$AQ$105,MATCH(C106,Ingredients!$B$6:$B$105,0))),0))</f>
        <v/>
      </c>
    </row>
    <row r="107">
      <c r="A107" s="1" t="n"/>
      <c r="B107" s="21" t="n"/>
      <c r="C107" s="39" t="n"/>
      <c r="D107" s="40" t="n"/>
      <c r="E107" s="12">
        <f>IF(C107="","",IF(ISNA(MATCH(C107,Ingredients!$B$6:$B$105,0)),"Not on Ingredients",IFERROR(IF(INDEX(Ingredients!$C$6:$C$105,MATCH(C107,Ingredients!$B$6:$B$105,0))="","",INDEX(Ingredients!$C$6:$C$105,MATCH(C107,Ingredients!$B$6:$B$105,0))),"")))</f>
        <v/>
      </c>
      <c r="F107" s="26">
        <f>IF(OR(B107="",C107=""),"",N(D107)*IFERROR(N(INDEX(Ingredients!$H$6:$H$105,MATCH(C107,Ingredients!$B$6:$B$105,0))),0))</f>
        <v/>
      </c>
      <c r="G107" s="1">
        <f>IF(OR(B107="",C107=""),0,IFERROR(N(INDEX(Products!$D$6:$D$45,MATCH(B107,Products!$B$6:$B$45,0))),0))</f>
        <v/>
      </c>
      <c r="H107">
        <f>IF(N(G107)=0,0,N(D107)*SUMIFS(Batches!$D$6:$D$505,Batches!$C$6:$C$505,B107)/G107)</f>
        <v/>
      </c>
      <c r="I107">
        <f>IF(OR(B107="",C107=""),"",IF(B107&lt;&gt;Label!$H$3,"",IF(IFERROR(N(INDEX(Ingredients!$AS$6:$AS$105,MATCH(C107,Ingredients!$B$6:$B$105,0))),0)=1,"",ROUND(N(D107)*1000,0)*100000+100000-ROW())))</f>
        <v/>
      </c>
      <c r="J107">
        <f>IF(OR(B107="",C107=""),0,IFERROR(N(INDEX(Ingredients!$AC$6:$AC$105,MATCH(C107,Ingredients!$B$6:$B$105,0))),0))</f>
        <v/>
      </c>
      <c r="K107">
        <f>IF(OR(B107="",C107=""),0,IFERROR(N(INDEX(Ingredients!$AD$6:$AD$105,MATCH(C107,Ingredients!$B$6:$B$105,0))),0))</f>
        <v/>
      </c>
      <c r="L107">
        <f>IF(OR(B107="",C107=""),0,IFERROR(N(INDEX(Ingredients!$AE$6:$AE$105,MATCH(C107,Ingredients!$B$6:$B$105,0))),0))</f>
        <v/>
      </c>
      <c r="M107">
        <f>IF(OR(B107="",C107=""),0,IFERROR(N(INDEX(Ingredients!$AF$6:$AF$105,MATCH(C107,Ingredients!$B$6:$B$105,0))),0))</f>
        <v/>
      </c>
      <c r="N107">
        <f>IF(OR(B107="",C107=""),0,IFERROR(N(INDEX(Ingredients!$AG$6:$AG$105,MATCH(C107,Ingredients!$B$6:$B$105,0))),0))</f>
        <v/>
      </c>
      <c r="O107">
        <f>IF(OR(B107="",C107=""),0,IFERROR(N(INDEX(Ingredients!$AH$6:$AH$105,MATCH(C107,Ingredients!$B$6:$B$105,0))),0))</f>
        <v/>
      </c>
      <c r="P107">
        <f>IF(OR(B107="",C107=""),0,IFERROR(N(INDEX(Ingredients!$AI$6:$AI$105,MATCH(C107,Ingredients!$B$6:$B$105,0))),0))</f>
        <v/>
      </c>
      <c r="Q107">
        <f>IF(OR(B107="",C107=""),0,IFERROR(N(INDEX(Ingredients!$AJ$6:$AJ$105,MATCH(C107,Ingredients!$B$6:$B$105,0))),0))</f>
        <v/>
      </c>
      <c r="R107">
        <f>IF(OR(B107="",C107=""),0,IFERROR(N(INDEX(Ingredients!$AK$6:$AK$105,MATCH(C107,Ingredients!$B$6:$B$105,0))),0))</f>
        <v/>
      </c>
      <c r="S107">
        <f>IF(OR(B107="",C107=""),0,IFERROR(N(INDEX(Ingredients!$AL$6:$AL$105,MATCH(C107,Ingredients!$B$6:$B$105,0))),0))</f>
        <v/>
      </c>
      <c r="T107">
        <f>IF(OR(B107="",C107=""),0,IFERROR(N(INDEX(Ingredients!$AM$6:$AM$105,MATCH(C107,Ingredients!$B$6:$B$105,0))),0))</f>
        <v/>
      </c>
      <c r="U107">
        <f>IF(OR(B107="",C107=""),0,IFERROR(N(INDEX(Ingredients!$AN$6:$AN$105,MATCH(C107,Ingredients!$B$6:$B$105,0))),0))</f>
        <v/>
      </c>
      <c r="V107">
        <f>IF(OR(B107="",C107=""),0,IFERROR(N(INDEX(Ingredients!$AO$6:$AO$105,MATCH(C107,Ingredients!$B$6:$B$105,0))),0))</f>
        <v/>
      </c>
      <c r="W107">
        <f>IF(OR(B107="",C107=""),0,IFERROR(N(INDEX(Ingredients!$AP$6:$AP$105,MATCH(C107,Ingredients!$B$6:$B$105,0))),0))</f>
        <v/>
      </c>
      <c r="X107">
        <f>IF(OR(B107="",C107=""),0,IFERROR(N(INDEX(Ingredients!$AQ$6:$AQ$105,MATCH(C107,Ingredients!$B$6:$B$105,0))),0))</f>
        <v/>
      </c>
    </row>
    <row r="108">
      <c r="A108" s="1" t="n"/>
      <c r="B108" s="21" t="n"/>
      <c r="C108" s="39" t="n"/>
      <c r="D108" s="40" t="n"/>
      <c r="E108" s="12">
        <f>IF(C108="","",IF(ISNA(MATCH(C108,Ingredients!$B$6:$B$105,0)),"Not on Ingredients",IFERROR(IF(INDEX(Ingredients!$C$6:$C$105,MATCH(C108,Ingredients!$B$6:$B$105,0))="","",INDEX(Ingredients!$C$6:$C$105,MATCH(C108,Ingredients!$B$6:$B$105,0))),"")))</f>
        <v/>
      </c>
      <c r="F108" s="26">
        <f>IF(OR(B108="",C108=""),"",N(D108)*IFERROR(N(INDEX(Ingredients!$H$6:$H$105,MATCH(C108,Ingredients!$B$6:$B$105,0))),0))</f>
        <v/>
      </c>
      <c r="G108" s="1">
        <f>IF(OR(B108="",C108=""),0,IFERROR(N(INDEX(Products!$D$6:$D$45,MATCH(B108,Products!$B$6:$B$45,0))),0))</f>
        <v/>
      </c>
      <c r="H108">
        <f>IF(N(G108)=0,0,N(D108)*SUMIFS(Batches!$D$6:$D$505,Batches!$C$6:$C$505,B108)/G108)</f>
        <v/>
      </c>
      <c r="I108">
        <f>IF(OR(B108="",C108=""),"",IF(B108&lt;&gt;Label!$H$3,"",IF(IFERROR(N(INDEX(Ingredients!$AS$6:$AS$105,MATCH(C108,Ingredients!$B$6:$B$105,0))),0)=1,"",ROUND(N(D108)*1000,0)*100000+100000-ROW())))</f>
        <v/>
      </c>
      <c r="J108">
        <f>IF(OR(B108="",C108=""),0,IFERROR(N(INDEX(Ingredients!$AC$6:$AC$105,MATCH(C108,Ingredients!$B$6:$B$105,0))),0))</f>
        <v/>
      </c>
      <c r="K108">
        <f>IF(OR(B108="",C108=""),0,IFERROR(N(INDEX(Ingredients!$AD$6:$AD$105,MATCH(C108,Ingredients!$B$6:$B$105,0))),0))</f>
        <v/>
      </c>
      <c r="L108">
        <f>IF(OR(B108="",C108=""),0,IFERROR(N(INDEX(Ingredients!$AE$6:$AE$105,MATCH(C108,Ingredients!$B$6:$B$105,0))),0))</f>
        <v/>
      </c>
      <c r="M108">
        <f>IF(OR(B108="",C108=""),0,IFERROR(N(INDEX(Ingredients!$AF$6:$AF$105,MATCH(C108,Ingredients!$B$6:$B$105,0))),0))</f>
        <v/>
      </c>
      <c r="N108">
        <f>IF(OR(B108="",C108=""),0,IFERROR(N(INDEX(Ingredients!$AG$6:$AG$105,MATCH(C108,Ingredients!$B$6:$B$105,0))),0))</f>
        <v/>
      </c>
      <c r="O108">
        <f>IF(OR(B108="",C108=""),0,IFERROR(N(INDEX(Ingredients!$AH$6:$AH$105,MATCH(C108,Ingredients!$B$6:$B$105,0))),0))</f>
        <v/>
      </c>
      <c r="P108">
        <f>IF(OR(B108="",C108=""),0,IFERROR(N(INDEX(Ingredients!$AI$6:$AI$105,MATCH(C108,Ingredients!$B$6:$B$105,0))),0))</f>
        <v/>
      </c>
      <c r="Q108">
        <f>IF(OR(B108="",C108=""),0,IFERROR(N(INDEX(Ingredients!$AJ$6:$AJ$105,MATCH(C108,Ingredients!$B$6:$B$105,0))),0))</f>
        <v/>
      </c>
      <c r="R108">
        <f>IF(OR(B108="",C108=""),0,IFERROR(N(INDEX(Ingredients!$AK$6:$AK$105,MATCH(C108,Ingredients!$B$6:$B$105,0))),0))</f>
        <v/>
      </c>
      <c r="S108">
        <f>IF(OR(B108="",C108=""),0,IFERROR(N(INDEX(Ingredients!$AL$6:$AL$105,MATCH(C108,Ingredients!$B$6:$B$105,0))),0))</f>
        <v/>
      </c>
      <c r="T108">
        <f>IF(OR(B108="",C108=""),0,IFERROR(N(INDEX(Ingredients!$AM$6:$AM$105,MATCH(C108,Ingredients!$B$6:$B$105,0))),0))</f>
        <v/>
      </c>
      <c r="U108">
        <f>IF(OR(B108="",C108=""),0,IFERROR(N(INDEX(Ingredients!$AN$6:$AN$105,MATCH(C108,Ingredients!$B$6:$B$105,0))),0))</f>
        <v/>
      </c>
      <c r="V108">
        <f>IF(OR(B108="",C108=""),0,IFERROR(N(INDEX(Ingredients!$AO$6:$AO$105,MATCH(C108,Ingredients!$B$6:$B$105,0))),0))</f>
        <v/>
      </c>
      <c r="W108">
        <f>IF(OR(B108="",C108=""),0,IFERROR(N(INDEX(Ingredients!$AP$6:$AP$105,MATCH(C108,Ingredients!$B$6:$B$105,0))),0))</f>
        <v/>
      </c>
      <c r="X108">
        <f>IF(OR(B108="",C108=""),0,IFERROR(N(INDEX(Ingredients!$AQ$6:$AQ$105,MATCH(C108,Ingredients!$B$6:$B$105,0))),0))</f>
        <v/>
      </c>
    </row>
    <row r="109">
      <c r="A109" s="1" t="n"/>
      <c r="B109" s="21" t="n"/>
      <c r="C109" s="39" t="n"/>
      <c r="D109" s="40" t="n"/>
      <c r="E109" s="12">
        <f>IF(C109="","",IF(ISNA(MATCH(C109,Ingredients!$B$6:$B$105,0)),"Not on Ingredients",IFERROR(IF(INDEX(Ingredients!$C$6:$C$105,MATCH(C109,Ingredients!$B$6:$B$105,0))="","",INDEX(Ingredients!$C$6:$C$105,MATCH(C109,Ingredients!$B$6:$B$105,0))),"")))</f>
        <v/>
      </c>
      <c r="F109" s="26">
        <f>IF(OR(B109="",C109=""),"",N(D109)*IFERROR(N(INDEX(Ingredients!$H$6:$H$105,MATCH(C109,Ingredients!$B$6:$B$105,0))),0))</f>
        <v/>
      </c>
      <c r="G109" s="1">
        <f>IF(OR(B109="",C109=""),0,IFERROR(N(INDEX(Products!$D$6:$D$45,MATCH(B109,Products!$B$6:$B$45,0))),0))</f>
        <v/>
      </c>
      <c r="H109">
        <f>IF(N(G109)=0,0,N(D109)*SUMIFS(Batches!$D$6:$D$505,Batches!$C$6:$C$505,B109)/G109)</f>
        <v/>
      </c>
      <c r="I109">
        <f>IF(OR(B109="",C109=""),"",IF(B109&lt;&gt;Label!$H$3,"",IF(IFERROR(N(INDEX(Ingredients!$AS$6:$AS$105,MATCH(C109,Ingredients!$B$6:$B$105,0))),0)=1,"",ROUND(N(D109)*1000,0)*100000+100000-ROW())))</f>
        <v/>
      </c>
      <c r="J109">
        <f>IF(OR(B109="",C109=""),0,IFERROR(N(INDEX(Ingredients!$AC$6:$AC$105,MATCH(C109,Ingredients!$B$6:$B$105,0))),0))</f>
        <v/>
      </c>
      <c r="K109">
        <f>IF(OR(B109="",C109=""),0,IFERROR(N(INDEX(Ingredients!$AD$6:$AD$105,MATCH(C109,Ingredients!$B$6:$B$105,0))),0))</f>
        <v/>
      </c>
      <c r="L109">
        <f>IF(OR(B109="",C109=""),0,IFERROR(N(INDEX(Ingredients!$AE$6:$AE$105,MATCH(C109,Ingredients!$B$6:$B$105,0))),0))</f>
        <v/>
      </c>
      <c r="M109">
        <f>IF(OR(B109="",C109=""),0,IFERROR(N(INDEX(Ingredients!$AF$6:$AF$105,MATCH(C109,Ingredients!$B$6:$B$105,0))),0))</f>
        <v/>
      </c>
      <c r="N109">
        <f>IF(OR(B109="",C109=""),0,IFERROR(N(INDEX(Ingredients!$AG$6:$AG$105,MATCH(C109,Ingredients!$B$6:$B$105,0))),0))</f>
        <v/>
      </c>
      <c r="O109">
        <f>IF(OR(B109="",C109=""),0,IFERROR(N(INDEX(Ingredients!$AH$6:$AH$105,MATCH(C109,Ingredients!$B$6:$B$105,0))),0))</f>
        <v/>
      </c>
      <c r="P109">
        <f>IF(OR(B109="",C109=""),0,IFERROR(N(INDEX(Ingredients!$AI$6:$AI$105,MATCH(C109,Ingredients!$B$6:$B$105,0))),0))</f>
        <v/>
      </c>
      <c r="Q109">
        <f>IF(OR(B109="",C109=""),0,IFERROR(N(INDEX(Ingredients!$AJ$6:$AJ$105,MATCH(C109,Ingredients!$B$6:$B$105,0))),0))</f>
        <v/>
      </c>
      <c r="R109">
        <f>IF(OR(B109="",C109=""),0,IFERROR(N(INDEX(Ingredients!$AK$6:$AK$105,MATCH(C109,Ingredients!$B$6:$B$105,0))),0))</f>
        <v/>
      </c>
      <c r="S109">
        <f>IF(OR(B109="",C109=""),0,IFERROR(N(INDEX(Ingredients!$AL$6:$AL$105,MATCH(C109,Ingredients!$B$6:$B$105,0))),0))</f>
        <v/>
      </c>
      <c r="T109">
        <f>IF(OR(B109="",C109=""),0,IFERROR(N(INDEX(Ingredients!$AM$6:$AM$105,MATCH(C109,Ingredients!$B$6:$B$105,0))),0))</f>
        <v/>
      </c>
      <c r="U109">
        <f>IF(OR(B109="",C109=""),0,IFERROR(N(INDEX(Ingredients!$AN$6:$AN$105,MATCH(C109,Ingredients!$B$6:$B$105,0))),0))</f>
        <v/>
      </c>
      <c r="V109">
        <f>IF(OR(B109="",C109=""),0,IFERROR(N(INDEX(Ingredients!$AO$6:$AO$105,MATCH(C109,Ingredients!$B$6:$B$105,0))),0))</f>
        <v/>
      </c>
      <c r="W109">
        <f>IF(OR(B109="",C109=""),0,IFERROR(N(INDEX(Ingredients!$AP$6:$AP$105,MATCH(C109,Ingredients!$B$6:$B$105,0))),0))</f>
        <v/>
      </c>
      <c r="X109">
        <f>IF(OR(B109="",C109=""),0,IFERROR(N(INDEX(Ingredients!$AQ$6:$AQ$105,MATCH(C109,Ingredients!$B$6:$B$105,0))),0))</f>
        <v/>
      </c>
    </row>
    <row r="110">
      <c r="A110" s="1" t="n"/>
      <c r="B110" s="21" t="n"/>
      <c r="C110" s="39" t="n"/>
      <c r="D110" s="40" t="n"/>
      <c r="E110" s="12">
        <f>IF(C110="","",IF(ISNA(MATCH(C110,Ingredients!$B$6:$B$105,0)),"Not on Ingredients",IFERROR(IF(INDEX(Ingredients!$C$6:$C$105,MATCH(C110,Ingredients!$B$6:$B$105,0))="","",INDEX(Ingredients!$C$6:$C$105,MATCH(C110,Ingredients!$B$6:$B$105,0))),"")))</f>
        <v/>
      </c>
      <c r="F110" s="26">
        <f>IF(OR(B110="",C110=""),"",N(D110)*IFERROR(N(INDEX(Ingredients!$H$6:$H$105,MATCH(C110,Ingredients!$B$6:$B$105,0))),0))</f>
        <v/>
      </c>
      <c r="G110" s="1">
        <f>IF(OR(B110="",C110=""),0,IFERROR(N(INDEX(Products!$D$6:$D$45,MATCH(B110,Products!$B$6:$B$45,0))),0))</f>
        <v/>
      </c>
      <c r="H110">
        <f>IF(N(G110)=0,0,N(D110)*SUMIFS(Batches!$D$6:$D$505,Batches!$C$6:$C$505,B110)/G110)</f>
        <v/>
      </c>
      <c r="I110">
        <f>IF(OR(B110="",C110=""),"",IF(B110&lt;&gt;Label!$H$3,"",IF(IFERROR(N(INDEX(Ingredients!$AS$6:$AS$105,MATCH(C110,Ingredients!$B$6:$B$105,0))),0)=1,"",ROUND(N(D110)*1000,0)*100000+100000-ROW())))</f>
        <v/>
      </c>
      <c r="J110">
        <f>IF(OR(B110="",C110=""),0,IFERROR(N(INDEX(Ingredients!$AC$6:$AC$105,MATCH(C110,Ingredients!$B$6:$B$105,0))),0))</f>
        <v/>
      </c>
      <c r="K110">
        <f>IF(OR(B110="",C110=""),0,IFERROR(N(INDEX(Ingredients!$AD$6:$AD$105,MATCH(C110,Ingredients!$B$6:$B$105,0))),0))</f>
        <v/>
      </c>
      <c r="L110">
        <f>IF(OR(B110="",C110=""),0,IFERROR(N(INDEX(Ingredients!$AE$6:$AE$105,MATCH(C110,Ingredients!$B$6:$B$105,0))),0))</f>
        <v/>
      </c>
      <c r="M110">
        <f>IF(OR(B110="",C110=""),0,IFERROR(N(INDEX(Ingredients!$AF$6:$AF$105,MATCH(C110,Ingredients!$B$6:$B$105,0))),0))</f>
        <v/>
      </c>
      <c r="N110">
        <f>IF(OR(B110="",C110=""),0,IFERROR(N(INDEX(Ingredients!$AG$6:$AG$105,MATCH(C110,Ingredients!$B$6:$B$105,0))),0))</f>
        <v/>
      </c>
      <c r="O110">
        <f>IF(OR(B110="",C110=""),0,IFERROR(N(INDEX(Ingredients!$AH$6:$AH$105,MATCH(C110,Ingredients!$B$6:$B$105,0))),0))</f>
        <v/>
      </c>
      <c r="P110">
        <f>IF(OR(B110="",C110=""),0,IFERROR(N(INDEX(Ingredients!$AI$6:$AI$105,MATCH(C110,Ingredients!$B$6:$B$105,0))),0))</f>
        <v/>
      </c>
      <c r="Q110">
        <f>IF(OR(B110="",C110=""),0,IFERROR(N(INDEX(Ingredients!$AJ$6:$AJ$105,MATCH(C110,Ingredients!$B$6:$B$105,0))),0))</f>
        <v/>
      </c>
      <c r="R110">
        <f>IF(OR(B110="",C110=""),0,IFERROR(N(INDEX(Ingredients!$AK$6:$AK$105,MATCH(C110,Ingredients!$B$6:$B$105,0))),0))</f>
        <v/>
      </c>
      <c r="S110">
        <f>IF(OR(B110="",C110=""),0,IFERROR(N(INDEX(Ingredients!$AL$6:$AL$105,MATCH(C110,Ingredients!$B$6:$B$105,0))),0))</f>
        <v/>
      </c>
      <c r="T110">
        <f>IF(OR(B110="",C110=""),0,IFERROR(N(INDEX(Ingredients!$AM$6:$AM$105,MATCH(C110,Ingredients!$B$6:$B$105,0))),0))</f>
        <v/>
      </c>
      <c r="U110">
        <f>IF(OR(B110="",C110=""),0,IFERROR(N(INDEX(Ingredients!$AN$6:$AN$105,MATCH(C110,Ingredients!$B$6:$B$105,0))),0))</f>
        <v/>
      </c>
      <c r="V110">
        <f>IF(OR(B110="",C110=""),0,IFERROR(N(INDEX(Ingredients!$AO$6:$AO$105,MATCH(C110,Ingredients!$B$6:$B$105,0))),0))</f>
        <v/>
      </c>
      <c r="W110">
        <f>IF(OR(B110="",C110=""),0,IFERROR(N(INDEX(Ingredients!$AP$6:$AP$105,MATCH(C110,Ingredients!$B$6:$B$105,0))),0))</f>
        <v/>
      </c>
      <c r="X110">
        <f>IF(OR(B110="",C110=""),0,IFERROR(N(INDEX(Ingredients!$AQ$6:$AQ$105,MATCH(C110,Ingredients!$B$6:$B$105,0))),0))</f>
        <v/>
      </c>
    </row>
    <row r="111">
      <c r="A111" s="1" t="n"/>
      <c r="B111" s="21" t="n"/>
      <c r="C111" s="39" t="n"/>
      <c r="D111" s="40" t="n"/>
      <c r="E111" s="12">
        <f>IF(C111="","",IF(ISNA(MATCH(C111,Ingredients!$B$6:$B$105,0)),"Not on Ingredients",IFERROR(IF(INDEX(Ingredients!$C$6:$C$105,MATCH(C111,Ingredients!$B$6:$B$105,0))="","",INDEX(Ingredients!$C$6:$C$105,MATCH(C111,Ingredients!$B$6:$B$105,0))),"")))</f>
        <v/>
      </c>
      <c r="F111" s="26">
        <f>IF(OR(B111="",C111=""),"",N(D111)*IFERROR(N(INDEX(Ingredients!$H$6:$H$105,MATCH(C111,Ingredients!$B$6:$B$105,0))),0))</f>
        <v/>
      </c>
      <c r="G111" s="1">
        <f>IF(OR(B111="",C111=""),0,IFERROR(N(INDEX(Products!$D$6:$D$45,MATCH(B111,Products!$B$6:$B$45,0))),0))</f>
        <v/>
      </c>
      <c r="H111">
        <f>IF(N(G111)=0,0,N(D111)*SUMIFS(Batches!$D$6:$D$505,Batches!$C$6:$C$505,B111)/G111)</f>
        <v/>
      </c>
      <c r="I111">
        <f>IF(OR(B111="",C111=""),"",IF(B111&lt;&gt;Label!$H$3,"",IF(IFERROR(N(INDEX(Ingredients!$AS$6:$AS$105,MATCH(C111,Ingredients!$B$6:$B$105,0))),0)=1,"",ROUND(N(D111)*1000,0)*100000+100000-ROW())))</f>
        <v/>
      </c>
      <c r="J111">
        <f>IF(OR(B111="",C111=""),0,IFERROR(N(INDEX(Ingredients!$AC$6:$AC$105,MATCH(C111,Ingredients!$B$6:$B$105,0))),0))</f>
        <v/>
      </c>
      <c r="K111">
        <f>IF(OR(B111="",C111=""),0,IFERROR(N(INDEX(Ingredients!$AD$6:$AD$105,MATCH(C111,Ingredients!$B$6:$B$105,0))),0))</f>
        <v/>
      </c>
      <c r="L111">
        <f>IF(OR(B111="",C111=""),0,IFERROR(N(INDEX(Ingredients!$AE$6:$AE$105,MATCH(C111,Ingredients!$B$6:$B$105,0))),0))</f>
        <v/>
      </c>
      <c r="M111">
        <f>IF(OR(B111="",C111=""),0,IFERROR(N(INDEX(Ingredients!$AF$6:$AF$105,MATCH(C111,Ingredients!$B$6:$B$105,0))),0))</f>
        <v/>
      </c>
      <c r="N111">
        <f>IF(OR(B111="",C111=""),0,IFERROR(N(INDEX(Ingredients!$AG$6:$AG$105,MATCH(C111,Ingredients!$B$6:$B$105,0))),0))</f>
        <v/>
      </c>
      <c r="O111">
        <f>IF(OR(B111="",C111=""),0,IFERROR(N(INDEX(Ingredients!$AH$6:$AH$105,MATCH(C111,Ingredients!$B$6:$B$105,0))),0))</f>
        <v/>
      </c>
      <c r="P111">
        <f>IF(OR(B111="",C111=""),0,IFERROR(N(INDEX(Ingredients!$AI$6:$AI$105,MATCH(C111,Ingredients!$B$6:$B$105,0))),0))</f>
        <v/>
      </c>
      <c r="Q111">
        <f>IF(OR(B111="",C111=""),0,IFERROR(N(INDEX(Ingredients!$AJ$6:$AJ$105,MATCH(C111,Ingredients!$B$6:$B$105,0))),0))</f>
        <v/>
      </c>
      <c r="R111">
        <f>IF(OR(B111="",C111=""),0,IFERROR(N(INDEX(Ingredients!$AK$6:$AK$105,MATCH(C111,Ingredients!$B$6:$B$105,0))),0))</f>
        <v/>
      </c>
      <c r="S111">
        <f>IF(OR(B111="",C111=""),0,IFERROR(N(INDEX(Ingredients!$AL$6:$AL$105,MATCH(C111,Ingredients!$B$6:$B$105,0))),0))</f>
        <v/>
      </c>
      <c r="T111">
        <f>IF(OR(B111="",C111=""),0,IFERROR(N(INDEX(Ingredients!$AM$6:$AM$105,MATCH(C111,Ingredients!$B$6:$B$105,0))),0))</f>
        <v/>
      </c>
      <c r="U111">
        <f>IF(OR(B111="",C111=""),0,IFERROR(N(INDEX(Ingredients!$AN$6:$AN$105,MATCH(C111,Ingredients!$B$6:$B$105,0))),0))</f>
        <v/>
      </c>
      <c r="V111">
        <f>IF(OR(B111="",C111=""),0,IFERROR(N(INDEX(Ingredients!$AO$6:$AO$105,MATCH(C111,Ingredients!$B$6:$B$105,0))),0))</f>
        <v/>
      </c>
      <c r="W111">
        <f>IF(OR(B111="",C111=""),0,IFERROR(N(INDEX(Ingredients!$AP$6:$AP$105,MATCH(C111,Ingredients!$B$6:$B$105,0))),0))</f>
        <v/>
      </c>
      <c r="X111">
        <f>IF(OR(B111="",C111=""),0,IFERROR(N(INDEX(Ingredients!$AQ$6:$AQ$105,MATCH(C111,Ingredients!$B$6:$B$105,0))),0))</f>
        <v/>
      </c>
    </row>
    <row r="112">
      <c r="A112" s="1" t="n"/>
      <c r="B112" s="21" t="n"/>
      <c r="C112" s="39" t="n"/>
      <c r="D112" s="40" t="n"/>
      <c r="E112" s="12">
        <f>IF(C112="","",IF(ISNA(MATCH(C112,Ingredients!$B$6:$B$105,0)),"Not on Ingredients",IFERROR(IF(INDEX(Ingredients!$C$6:$C$105,MATCH(C112,Ingredients!$B$6:$B$105,0))="","",INDEX(Ingredients!$C$6:$C$105,MATCH(C112,Ingredients!$B$6:$B$105,0))),"")))</f>
        <v/>
      </c>
      <c r="F112" s="26">
        <f>IF(OR(B112="",C112=""),"",N(D112)*IFERROR(N(INDEX(Ingredients!$H$6:$H$105,MATCH(C112,Ingredients!$B$6:$B$105,0))),0))</f>
        <v/>
      </c>
      <c r="G112" s="1">
        <f>IF(OR(B112="",C112=""),0,IFERROR(N(INDEX(Products!$D$6:$D$45,MATCH(B112,Products!$B$6:$B$45,0))),0))</f>
        <v/>
      </c>
      <c r="H112">
        <f>IF(N(G112)=0,0,N(D112)*SUMIFS(Batches!$D$6:$D$505,Batches!$C$6:$C$505,B112)/G112)</f>
        <v/>
      </c>
      <c r="I112">
        <f>IF(OR(B112="",C112=""),"",IF(B112&lt;&gt;Label!$H$3,"",IF(IFERROR(N(INDEX(Ingredients!$AS$6:$AS$105,MATCH(C112,Ingredients!$B$6:$B$105,0))),0)=1,"",ROUND(N(D112)*1000,0)*100000+100000-ROW())))</f>
        <v/>
      </c>
      <c r="J112">
        <f>IF(OR(B112="",C112=""),0,IFERROR(N(INDEX(Ingredients!$AC$6:$AC$105,MATCH(C112,Ingredients!$B$6:$B$105,0))),0))</f>
        <v/>
      </c>
      <c r="K112">
        <f>IF(OR(B112="",C112=""),0,IFERROR(N(INDEX(Ingredients!$AD$6:$AD$105,MATCH(C112,Ingredients!$B$6:$B$105,0))),0))</f>
        <v/>
      </c>
      <c r="L112">
        <f>IF(OR(B112="",C112=""),0,IFERROR(N(INDEX(Ingredients!$AE$6:$AE$105,MATCH(C112,Ingredients!$B$6:$B$105,0))),0))</f>
        <v/>
      </c>
      <c r="M112">
        <f>IF(OR(B112="",C112=""),0,IFERROR(N(INDEX(Ingredients!$AF$6:$AF$105,MATCH(C112,Ingredients!$B$6:$B$105,0))),0))</f>
        <v/>
      </c>
      <c r="N112">
        <f>IF(OR(B112="",C112=""),0,IFERROR(N(INDEX(Ingredients!$AG$6:$AG$105,MATCH(C112,Ingredients!$B$6:$B$105,0))),0))</f>
        <v/>
      </c>
      <c r="O112">
        <f>IF(OR(B112="",C112=""),0,IFERROR(N(INDEX(Ingredients!$AH$6:$AH$105,MATCH(C112,Ingredients!$B$6:$B$105,0))),0))</f>
        <v/>
      </c>
      <c r="P112">
        <f>IF(OR(B112="",C112=""),0,IFERROR(N(INDEX(Ingredients!$AI$6:$AI$105,MATCH(C112,Ingredients!$B$6:$B$105,0))),0))</f>
        <v/>
      </c>
      <c r="Q112">
        <f>IF(OR(B112="",C112=""),0,IFERROR(N(INDEX(Ingredients!$AJ$6:$AJ$105,MATCH(C112,Ingredients!$B$6:$B$105,0))),0))</f>
        <v/>
      </c>
      <c r="R112">
        <f>IF(OR(B112="",C112=""),0,IFERROR(N(INDEX(Ingredients!$AK$6:$AK$105,MATCH(C112,Ingredients!$B$6:$B$105,0))),0))</f>
        <v/>
      </c>
      <c r="S112">
        <f>IF(OR(B112="",C112=""),0,IFERROR(N(INDEX(Ingredients!$AL$6:$AL$105,MATCH(C112,Ingredients!$B$6:$B$105,0))),0))</f>
        <v/>
      </c>
      <c r="T112">
        <f>IF(OR(B112="",C112=""),0,IFERROR(N(INDEX(Ingredients!$AM$6:$AM$105,MATCH(C112,Ingredients!$B$6:$B$105,0))),0))</f>
        <v/>
      </c>
      <c r="U112">
        <f>IF(OR(B112="",C112=""),0,IFERROR(N(INDEX(Ingredients!$AN$6:$AN$105,MATCH(C112,Ingredients!$B$6:$B$105,0))),0))</f>
        <v/>
      </c>
      <c r="V112">
        <f>IF(OR(B112="",C112=""),0,IFERROR(N(INDEX(Ingredients!$AO$6:$AO$105,MATCH(C112,Ingredients!$B$6:$B$105,0))),0))</f>
        <v/>
      </c>
      <c r="W112">
        <f>IF(OR(B112="",C112=""),0,IFERROR(N(INDEX(Ingredients!$AP$6:$AP$105,MATCH(C112,Ingredients!$B$6:$B$105,0))),0))</f>
        <v/>
      </c>
      <c r="X112">
        <f>IF(OR(B112="",C112=""),0,IFERROR(N(INDEX(Ingredients!$AQ$6:$AQ$105,MATCH(C112,Ingredients!$B$6:$B$105,0))),0))</f>
        <v/>
      </c>
    </row>
    <row r="113">
      <c r="A113" s="1" t="n"/>
      <c r="B113" s="21" t="n"/>
      <c r="C113" s="39" t="n"/>
      <c r="D113" s="40" t="n"/>
      <c r="E113" s="12">
        <f>IF(C113="","",IF(ISNA(MATCH(C113,Ingredients!$B$6:$B$105,0)),"Not on Ingredients",IFERROR(IF(INDEX(Ingredients!$C$6:$C$105,MATCH(C113,Ingredients!$B$6:$B$105,0))="","",INDEX(Ingredients!$C$6:$C$105,MATCH(C113,Ingredients!$B$6:$B$105,0))),"")))</f>
        <v/>
      </c>
      <c r="F113" s="26">
        <f>IF(OR(B113="",C113=""),"",N(D113)*IFERROR(N(INDEX(Ingredients!$H$6:$H$105,MATCH(C113,Ingredients!$B$6:$B$105,0))),0))</f>
        <v/>
      </c>
      <c r="G113" s="1">
        <f>IF(OR(B113="",C113=""),0,IFERROR(N(INDEX(Products!$D$6:$D$45,MATCH(B113,Products!$B$6:$B$45,0))),0))</f>
        <v/>
      </c>
      <c r="H113">
        <f>IF(N(G113)=0,0,N(D113)*SUMIFS(Batches!$D$6:$D$505,Batches!$C$6:$C$505,B113)/G113)</f>
        <v/>
      </c>
      <c r="I113">
        <f>IF(OR(B113="",C113=""),"",IF(B113&lt;&gt;Label!$H$3,"",IF(IFERROR(N(INDEX(Ingredients!$AS$6:$AS$105,MATCH(C113,Ingredients!$B$6:$B$105,0))),0)=1,"",ROUND(N(D113)*1000,0)*100000+100000-ROW())))</f>
        <v/>
      </c>
      <c r="J113">
        <f>IF(OR(B113="",C113=""),0,IFERROR(N(INDEX(Ingredients!$AC$6:$AC$105,MATCH(C113,Ingredients!$B$6:$B$105,0))),0))</f>
        <v/>
      </c>
      <c r="K113">
        <f>IF(OR(B113="",C113=""),0,IFERROR(N(INDEX(Ingredients!$AD$6:$AD$105,MATCH(C113,Ingredients!$B$6:$B$105,0))),0))</f>
        <v/>
      </c>
      <c r="L113">
        <f>IF(OR(B113="",C113=""),0,IFERROR(N(INDEX(Ingredients!$AE$6:$AE$105,MATCH(C113,Ingredients!$B$6:$B$105,0))),0))</f>
        <v/>
      </c>
      <c r="M113">
        <f>IF(OR(B113="",C113=""),0,IFERROR(N(INDEX(Ingredients!$AF$6:$AF$105,MATCH(C113,Ingredients!$B$6:$B$105,0))),0))</f>
        <v/>
      </c>
      <c r="N113">
        <f>IF(OR(B113="",C113=""),0,IFERROR(N(INDEX(Ingredients!$AG$6:$AG$105,MATCH(C113,Ingredients!$B$6:$B$105,0))),0))</f>
        <v/>
      </c>
      <c r="O113">
        <f>IF(OR(B113="",C113=""),0,IFERROR(N(INDEX(Ingredients!$AH$6:$AH$105,MATCH(C113,Ingredients!$B$6:$B$105,0))),0))</f>
        <v/>
      </c>
      <c r="P113">
        <f>IF(OR(B113="",C113=""),0,IFERROR(N(INDEX(Ingredients!$AI$6:$AI$105,MATCH(C113,Ingredients!$B$6:$B$105,0))),0))</f>
        <v/>
      </c>
      <c r="Q113">
        <f>IF(OR(B113="",C113=""),0,IFERROR(N(INDEX(Ingredients!$AJ$6:$AJ$105,MATCH(C113,Ingredients!$B$6:$B$105,0))),0))</f>
        <v/>
      </c>
      <c r="R113">
        <f>IF(OR(B113="",C113=""),0,IFERROR(N(INDEX(Ingredients!$AK$6:$AK$105,MATCH(C113,Ingredients!$B$6:$B$105,0))),0))</f>
        <v/>
      </c>
      <c r="S113">
        <f>IF(OR(B113="",C113=""),0,IFERROR(N(INDEX(Ingredients!$AL$6:$AL$105,MATCH(C113,Ingredients!$B$6:$B$105,0))),0))</f>
        <v/>
      </c>
      <c r="T113">
        <f>IF(OR(B113="",C113=""),0,IFERROR(N(INDEX(Ingredients!$AM$6:$AM$105,MATCH(C113,Ingredients!$B$6:$B$105,0))),0))</f>
        <v/>
      </c>
      <c r="U113">
        <f>IF(OR(B113="",C113=""),0,IFERROR(N(INDEX(Ingredients!$AN$6:$AN$105,MATCH(C113,Ingredients!$B$6:$B$105,0))),0))</f>
        <v/>
      </c>
      <c r="V113">
        <f>IF(OR(B113="",C113=""),0,IFERROR(N(INDEX(Ingredients!$AO$6:$AO$105,MATCH(C113,Ingredients!$B$6:$B$105,0))),0))</f>
        <v/>
      </c>
      <c r="W113">
        <f>IF(OR(B113="",C113=""),0,IFERROR(N(INDEX(Ingredients!$AP$6:$AP$105,MATCH(C113,Ingredients!$B$6:$B$105,0))),0))</f>
        <v/>
      </c>
      <c r="X113">
        <f>IF(OR(B113="",C113=""),0,IFERROR(N(INDEX(Ingredients!$AQ$6:$AQ$105,MATCH(C113,Ingredients!$B$6:$B$105,0))),0))</f>
        <v/>
      </c>
    </row>
    <row r="114">
      <c r="A114" s="1" t="n"/>
      <c r="B114" s="21" t="n"/>
      <c r="C114" s="39" t="n"/>
      <c r="D114" s="40" t="n"/>
      <c r="E114" s="12">
        <f>IF(C114="","",IF(ISNA(MATCH(C114,Ingredients!$B$6:$B$105,0)),"Not on Ingredients",IFERROR(IF(INDEX(Ingredients!$C$6:$C$105,MATCH(C114,Ingredients!$B$6:$B$105,0))="","",INDEX(Ingredients!$C$6:$C$105,MATCH(C114,Ingredients!$B$6:$B$105,0))),"")))</f>
        <v/>
      </c>
      <c r="F114" s="26">
        <f>IF(OR(B114="",C114=""),"",N(D114)*IFERROR(N(INDEX(Ingredients!$H$6:$H$105,MATCH(C114,Ingredients!$B$6:$B$105,0))),0))</f>
        <v/>
      </c>
      <c r="G114" s="1">
        <f>IF(OR(B114="",C114=""),0,IFERROR(N(INDEX(Products!$D$6:$D$45,MATCH(B114,Products!$B$6:$B$45,0))),0))</f>
        <v/>
      </c>
      <c r="H114">
        <f>IF(N(G114)=0,0,N(D114)*SUMIFS(Batches!$D$6:$D$505,Batches!$C$6:$C$505,B114)/G114)</f>
        <v/>
      </c>
      <c r="I114">
        <f>IF(OR(B114="",C114=""),"",IF(B114&lt;&gt;Label!$H$3,"",IF(IFERROR(N(INDEX(Ingredients!$AS$6:$AS$105,MATCH(C114,Ingredients!$B$6:$B$105,0))),0)=1,"",ROUND(N(D114)*1000,0)*100000+100000-ROW())))</f>
        <v/>
      </c>
      <c r="J114">
        <f>IF(OR(B114="",C114=""),0,IFERROR(N(INDEX(Ingredients!$AC$6:$AC$105,MATCH(C114,Ingredients!$B$6:$B$105,0))),0))</f>
        <v/>
      </c>
      <c r="K114">
        <f>IF(OR(B114="",C114=""),0,IFERROR(N(INDEX(Ingredients!$AD$6:$AD$105,MATCH(C114,Ingredients!$B$6:$B$105,0))),0))</f>
        <v/>
      </c>
      <c r="L114">
        <f>IF(OR(B114="",C114=""),0,IFERROR(N(INDEX(Ingredients!$AE$6:$AE$105,MATCH(C114,Ingredients!$B$6:$B$105,0))),0))</f>
        <v/>
      </c>
      <c r="M114">
        <f>IF(OR(B114="",C114=""),0,IFERROR(N(INDEX(Ingredients!$AF$6:$AF$105,MATCH(C114,Ingredients!$B$6:$B$105,0))),0))</f>
        <v/>
      </c>
      <c r="N114">
        <f>IF(OR(B114="",C114=""),0,IFERROR(N(INDEX(Ingredients!$AG$6:$AG$105,MATCH(C114,Ingredients!$B$6:$B$105,0))),0))</f>
        <v/>
      </c>
      <c r="O114">
        <f>IF(OR(B114="",C114=""),0,IFERROR(N(INDEX(Ingredients!$AH$6:$AH$105,MATCH(C114,Ingredients!$B$6:$B$105,0))),0))</f>
        <v/>
      </c>
      <c r="P114">
        <f>IF(OR(B114="",C114=""),0,IFERROR(N(INDEX(Ingredients!$AI$6:$AI$105,MATCH(C114,Ingredients!$B$6:$B$105,0))),0))</f>
        <v/>
      </c>
      <c r="Q114">
        <f>IF(OR(B114="",C114=""),0,IFERROR(N(INDEX(Ingredients!$AJ$6:$AJ$105,MATCH(C114,Ingredients!$B$6:$B$105,0))),0))</f>
        <v/>
      </c>
      <c r="R114">
        <f>IF(OR(B114="",C114=""),0,IFERROR(N(INDEX(Ingredients!$AK$6:$AK$105,MATCH(C114,Ingredients!$B$6:$B$105,0))),0))</f>
        <v/>
      </c>
      <c r="S114">
        <f>IF(OR(B114="",C114=""),0,IFERROR(N(INDEX(Ingredients!$AL$6:$AL$105,MATCH(C114,Ingredients!$B$6:$B$105,0))),0))</f>
        <v/>
      </c>
      <c r="T114">
        <f>IF(OR(B114="",C114=""),0,IFERROR(N(INDEX(Ingredients!$AM$6:$AM$105,MATCH(C114,Ingredients!$B$6:$B$105,0))),0))</f>
        <v/>
      </c>
      <c r="U114">
        <f>IF(OR(B114="",C114=""),0,IFERROR(N(INDEX(Ingredients!$AN$6:$AN$105,MATCH(C114,Ingredients!$B$6:$B$105,0))),0))</f>
        <v/>
      </c>
      <c r="V114">
        <f>IF(OR(B114="",C114=""),0,IFERROR(N(INDEX(Ingredients!$AO$6:$AO$105,MATCH(C114,Ingredients!$B$6:$B$105,0))),0))</f>
        <v/>
      </c>
      <c r="W114">
        <f>IF(OR(B114="",C114=""),0,IFERROR(N(INDEX(Ingredients!$AP$6:$AP$105,MATCH(C114,Ingredients!$B$6:$B$105,0))),0))</f>
        <v/>
      </c>
      <c r="X114">
        <f>IF(OR(B114="",C114=""),0,IFERROR(N(INDEX(Ingredients!$AQ$6:$AQ$105,MATCH(C114,Ingredients!$B$6:$B$105,0))),0))</f>
        <v/>
      </c>
    </row>
    <row r="115">
      <c r="A115" s="1" t="n"/>
      <c r="B115" s="21" t="n"/>
      <c r="C115" s="39" t="n"/>
      <c r="D115" s="40" t="n"/>
      <c r="E115" s="12">
        <f>IF(C115="","",IF(ISNA(MATCH(C115,Ingredients!$B$6:$B$105,0)),"Not on Ingredients",IFERROR(IF(INDEX(Ingredients!$C$6:$C$105,MATCH(C115,Ingredients!$B$6:$B$105,0))="","",INDEX(Ingredients!$C$6:$C$105,MATCH(C115,Ingredients!$B$6:$B$105,0))),"")))</f>
        <v/>
      </c>
      <c r="F115" s="26">
        <f>IF(OR(B115="",C115=""),"",N(D115)*IFERROR(N(INDEX(Ingredients!$H$6:$H$105,MATCH(C115,Ingredients!$B$6:$B$105,0))),0))</f>
        <v/>
      </c>
      <c r="G115" s="1">
        <f>IF(OR(B115="",C115=""),0,IFERROR(N(INDEX(Products!$D$6:$D$45,MATCH(B115,Products!$B$6:$B$45,0))),0))</f>
        <v/>
      </c>
      <c r="H115">
        <f>IF(N(G115)=0,0,N(D115)*SUMIFS(Batches!$D$6:$D$505,Batches!$C$6:$C$505,B115)/G115)</f>
        <v/>
      </c>
      <c r="I115">
        <f>IF(OR(B115="",C115=""),"",IF(B115&lt;&gt;Label!$H$3,"",IF(IFERROR(N(INDEX(Ingredients!$AS$6:$AS$105,MATCH(C115,Ingredients!$B$6:$B$105,0))),0)=1,"",ROUND(N(D115)*1000,0)*100000+100000-ROW())))</f>
        <v/>
      </c>
      <c r="J115">
        <f>IF(OR(B115="",C115=""),0,IFERROR(N(INDEX(Ingredients!$AC$6:$AC$105,MATCH(C115,Ingredients!$B$6:$B$105,0))),0))</f>
        <v/>
      </c>
      <c r="K115">
        <f>IF(OR(B115="",C115=""),0,IFERROR(N(INDEX(Ingredients!$AD$6:$AD$105,MATCH(C115,Ingredients!$B$6:$B$105,0))),0))</f>
        <v/>
      </c>
      <c r="L115">
        <f>IF(OR(B115="",C115=""),0,IFERROR(N(INDEX(Ingredients!$AE$6:$AE$105,MATCH(C115,Ingredients!$B$6:$B$105,0))),0))</f>
        <v/>
      </c>
      <c r="M115">
        <f>IF(OR(B115="",C115=""),0,IFERROR(N(INDEX(Ingredients!$AF$6:$AF$105,MATCH(C115,Ingredients!$B$6:$B$105,0))),0))</f>
        <v/>
      </c>
      <c r="N115">
        <f>IF(OR(B115="",C115=""),0,IFERROR(N(INDEX(Ingredients!$AG$6:$AG$105,MATCH(C115,Ingredients!$B$6:$B$105,0))),0))</f>
        <v/>
      </c>
      <c r="O115">
        <f>IF(OR(B115="",C115=""),0,IFERROR(N(INDEX(Ingredients!$AH$6:$AH$105,MATCH(C115,Ingredients!$B$6:$B$105,0))),0))</f>
        <v/>
      </c>
      <c r="P115">
        <f>IF(OR(B115="",C115=""),0,IFERROR(N(INDEX(Ingredients!$AI$6:$AI$105,MATCH(C115,Ingredients!$B$6:$B$105,0))),0))</f>
        <v/>
      </c>
      <c r="Q115">
        <f>IF(OR(B115="",C115=""),0,IFERROR(N(INDEX(Ingredients!$AJ$6:$AJ$105,MATCH(C115,Ingredients!$B$6:$B$105,0))),0))</f>
        <v/>
      </c>
      <c r="R115">
        <f>IF(OR(B115="",C115=""),0,IFERROR(N(INDEX(Ingredients!$AK$6:$AK$105,MATCH(C115,Ingredients!$B$6:$B$105,0))),0))</f>
        <v/>
      </c>
      <c r="S115">
        <f>IF(OR(B115="",C115=""),0,IFERROR(N(INDEX(Ingredients!$AL$6:$AL$105,MATCH(C115,Ingredients!$B$6:$B$105,0))),0))</f>
        <v/>
      </c>
      <c r="T115">
        <f>IF(OR(B115="",C115=""),0,IFERROR(N(INDEX(Ingredients!$AM$6:$AM$105,MATCH(C115,Ingredients!$B$6:$B$105,0))),0))</f>
        <v/>
      </c>
      <c r="U115">
        <f>IF(OR(B115="",C115=""),0,IFERROR(N(INDEX(Ingredients!$AN$6:$AN$105,MATCH(C115,Ingredients!$B$6:$B$105,0))),0))</f>
        <v/>
      </c>
      <c r="V115">
        <f>IF(OR(B115="",C115=""),0,IFERROR(N(INDEX(Ingredients!$AO$6:$AO$105,MATCH(C115,Ingredients!$B$6:$B$105,0))),0))</f>
        <v/>
      </c>
      <c r="W115">
        <f>IF(OR(B115="",C115=""),0,IFERROR(N(INDEX(Ingredients!$AP$6:$AP$105,MATCH(C115,Ingredients!$B$6:$B$105,0))),0))</f>
        <v/>
      </c>
      <c r="X115">
        <f>IF(OR(B115="",C115=""),0,IFERROR(N(INDEX(Ingredients!$AQ$6:$AQ$105,MATCH(C115,Ingredients!$B$6:$B$105,0))),0))</f>
        <v/>
      </c>
    </row>
    <row r="116">
      <c r="A116" s="1" t="n"/>
      <c r="B116" s="21" t="n"/>
      <c r="C116" s="39" t="n"/>
      <c r="D116" s="40" t="n"/>
      <c r="E116" s="12">
        <f>IF(C116="","",IF(ISNA(MATCH(C116,Ingredients!$B$6:$B$105,0)),"Not on Ingredients",IFERROR(IF(INDEX(Ingredients!$C$6:$C$105,MATCH(C116,Ingredients!$B$6:$B$105,0))="","",INDEX(Ingredients!$C$6:$C$105,MATCH(C116,Ingredients!$B$6:$B$105,0))),"")))</f>
        <v/>
      </c>
      <c r="F116" s="26">
        <f>IF(OR(B116="",C116=""),"",N(D116)*IFERROR(N(INDEX(Ingredients!$H$6:$H$105,MATCH(C116,Ingredients!$B$6:$B$105,0))),0))</f>
        <v/>
      </c>
      <c r="G116" s="1">
        <f>IF(OR(B116="",C116=""),0,IFERROR(N(INDEX(Products!$D$6:$D$45,MATCH(B116,Products!$B$6:$B$45,0))),0))</f>
        <v/>
      </c>
      <c r="H116">
        <f>IF(N(G116)=0,0,N(D116)*SUMIFS(Batches!$D$6:$D$505,Batches!$C$6:$C$505,B116)/G116)</f>
        <v/>
      </c>
      <c r="I116">
        <f>IF(OR(B116="",C116=""),"",IF(B116&lt;&gt;Label!$H$3,"",IF(IFERROR(N(INDEX(Ingredients!$AS$6:$AS$105,MATCH(C116,Ingredients!$B$6:$B$105,0))),0)=1,"",ROUND(N(D116)*1000,0)*100000+100000-ROW())))</f>
        <v/>
      </c>
      <c r="J116">
        <f>IF(OR(B116="",C116=""),0,IFERROR(N(INDEX(Ingredients!$AC$6:$AC$105,MATCH(C116,Ingredients!$B$6:$B$105,0))),0))</f>
        <v/>
      </c>
      <c r="K116">
        <f>IF(OR(B116="",C116=""),0,IFERROR(N(INDEX(Ingredients!$AD$6:$AD$105,MATCH(C116,Ingredients!$B$6:$B$105,0))),0))</f>
        <v/>
      </c>
      <c r="L116">
        <f>IF(OR(B116="",C116=""),0,IFERROR(N(INDEX(Ingredients!$AE$6:$AE$105,MATCH(C116,Ingredients!$B$6:$B$105,0))),0))</f>
        <v/>
      </c>
      <c r="M116">
        <f>IF(OR(B116="",C116=""),0,IFERROR(N(INDEX(Ingredients!$AF$6:$AF$105,MATCH(C116,Ingredients!$B$6:$B$105,0))),0))</f>
        <v/>
      </c>
      <c r="N116">
        <f>IF(OR(B116="",C116=""),0,IFERROR(N(INDEX(Ingredients!$AG$6:$AG$105,MATCH(C116,Ingredients!$B$6:$B$105,0))),0))</f>
        <v/>
      </c>
      <c r="O116">
        <f>IF(OR(B116="",C116=""),0,IFERROR(N(INDEX(Ingredients!$AH$6:$AH$105,MATCH(C116,Ingredients!$B$6:$B$105,0))),0))</f>
        <v/>
      </c>
      <c r="P116">
        <f>IF(OR(B116="",C116=""),0,IFERROR(N(INDEX(Ingredients!$AI$6:$AI$105,MATCH(C116,Ingredients!$B$6:$B$105,0))),0))</f>
        <v/>
      </c>
      <c r="Q116">
        <f>IF(OR(B116="",C116=""),0,IFERROR(N(INDEX(Ingredients!$AJ$6:$AJ$105,MATCH(C116,Ingredients!$B$6:$B$105,0))),0))</f>
        <v/>
      </c>
      <c r="R116">
        <f>IF(OR(B116="",C116=""),0,IFERROR(N(INDEX(Ingredients!$AK$6:$AK$105,MATCH(C116,Ingredients!$B$6:$B$105,0))),0))</f>
        <v/>
      </c>
      <c r="S116">
        <f>IF(OR(B116="",C116=""),0,IFERROR(N(INDEX(Ingredients!$AL$6:$AL$105,MATCH(C116,Ingredients!$B$6:$B$105,0))),0))</f>
        <v/>
      </c>
      <c r="T116">
        <f>IF(OR(B116="",C116=""),0,IFERROR(N(INDEX(Ingredients!$AM$6:$AM$105,MATCH(C116,Ingredients!$B$6:$B$105,0))),0))</f>
        <v/>
      </c>
      <c r="U116">
        <f>IF(OR(B116="",C116=""),0,IFERROR(N(INDEX(Ingredients!$AN$6:$AN$105,MATCH(C116,Ingredients!$B$6:$B$105,0))),0))</f>
        <v/>
      </c>
      <c r="V116">
        <f>IF(OR(B116="",C116=""),0,IFERROR(N(INDEX(Ingredients!$AO$6:$AO$105,MATCH(C116,Ingredients!$B$6:$B$105,0))),0))</f>
        <v/>
      </c>
      <c r="W116">
        <f>IF(OR(B116="",C116=""),0,IFERROR(N(INDEX(Ingredients!$AP$6:$AP$105,MATCH(C116,Ingredients!$B$6:$B$105,0))),0))</f>
        <v/>
      </c>
      <c r="X116">
        <f>IF(OR(B116="",C116=""),0,IFERROR(N(INDEX(Ingredients!$AQ$6:$AQ$105,MATCH(C116,Ingredients!$B$6:$B$105,0))),0))</f>
        <v/>
      </c>
    </row>
    <row r="117">
      <c r="A117" s="1" t="n"/>
      <c r="B117" s="21" t="n"/>
      <c r="C117" s="39" t="n"/>
      <c r="D117" s="40" t="n"/>
      <c r="E117" s="12">
        <f>IF(C117="","",IF(ISNA(MATCH(C117,Ingredients!$B$6:$B$105,0)),"Not on Ingredients",IFERROR(IF(INDEX(Ingredients!$C$6:$C$105,MATCH(C117,Ingredients!$B$6:$B$105,0))="","",INDEX(Ingredients!$C$6:$C$105,MATCH(C117,Ingredients!$B$6:$B$105,0))),"")))</f>
        <v/>
      </c>
      <c r="F117" s="26">
        <f>IF(OR(B117="",C117=""),"",N(D117)*IFERROR(N(INDEX(Ingredients!$H$6:$H$105,MATCH(C117,Ingredients!$B$6:$B$105,0))),0))</f>
        <v/>
      </c>
      <c r="G117" s="1">
        <f>IF(OR(B117="",C117=""),0,IFERROR(N(INDEX(Products!$D$6:$D$45,MATCH(B117,Products!$B$6:$B$45,0))),0))</f>
        <v/>
      </c>
      <c r="H117">
        <f>IF(N(G117)=0,0,N(D117)*SUMIFS(Batches!$D$6:$D$505,Batches!$C$6:$C$505,B117)/G117)</f>
        <v/>
      </c>
      <c r="I117">
        <f>IF(OR(B117="",C117=""),"",IF(B117&lt;&gt;Label!$H$3,"",IF(IFERROR(N(INDEX(Ingredients!$AS$6:$AS$105,MATCH(C117,Ingredients!$B$6:$B$105,0))),0)=1,"",ROUND(N(D117)*1000,0)*100000+100000-ROW())))</f>
        <v/>
      </c>
      <c r="J117">
        <f>IF(OR(B117="",C117=""),0,IFERROR(N(INDEX(Ingredients!$AC$6:$AC$105,MATCH(C117,Ingredients!$B$6:$B$105,0))),0))</f>
        <v/>
      </c>
      <c r="K117">
        <f>IF(OR(B117="",C117=""),0,IFERROR(N(INDEX(Ingredients!$AD$6:$AD$105,MATCH(C117,Ingredients!$B$6:$B$105,0))),0))</f>
        <v/>
      </c>
      <c r="L117">
        <f>IF(OR(B117="",C117=""),0,IFERROR(N(INDEX(Ingredients!$AE$6:$AE$105,MATCH(C117,Ingredients!$B$6:$B$105,0))),0))</f>
        <v/>
      </c>
      <c r="M117">
        <f>IF(OR(B117="",C117=""),0,IFERROR(N(INDEX(Ingredients!$AF$6:$AF$105,MATCH(C117,Ingredients!$B$6:$B$105,0))),0))</f>
        <v/>
      </c>
      <c r="N117">
        <f>IF(OR(B117="",C117=""),0,IFERROR(N(INDEX(Ingredients!$AG$6:$AG$105,MATCH(C117,Ingredients!$B$6:$B$105,0))),0))</f>
        <v/>
      </c>
      <c r="O117">
        <f>IF(OR(B117="",C117=""),0,IFERROR(N(INDEX(Ingredients!$AH$6:$AH$105,MATCH(C117,Ingredients!$B$6:$B$105,0))),0))</f>
        <v/>
      </c>
      <c r="P117">
        <f>IF(OR(B117="",C117=""),0,IFERROR(N(INDEX(Ingredients!$AI$6:$AI$105,MATCH(C117,Ingredients!$B$6:$B$105,0))),0))</f>
        <v/>
      </c>
      <c r="Q117">
        <f>IF(OR(B117="",C117=""),0,IFERROR(N(INDEX(Ingredients!$AJ$6:$AJ$105,MATCH(C117,Ingredients!$B$6:$B$105,0))),0))</f>
        <v/>
      </c>
      <c r="R117">
        <f>IF(OR(B117="",C117=""),0,IFERROR(N(INDEX(Ingredients!$AK$6:$AK$105,MATCH(C117,Ingredients!$B$6:$B$105,0))),0))</f>
        <v/>
      </c>
      <c r="S117">
        <f>IF(OR(B117="",C117=""),0,IFERROR(N(INDEX(Ingredients!$AL$6:$AL$105,MATCH(C117,Ingredients!$B$6:$B$105,0))),0))</f>
        <v/>
      </c>
      <c r="T117">
        <f>IF(OR(B117="",C117=""),0,IFERROR(N(INDEX(Ingredients!$AM$6:$AM$105,MATCH(C117,Ingredients!$B$6:$B$105,0))),0))</f>
        <v/>
      </c>
      <c r="U117">
        <f>IF(OR(B117="",C117=""),0,IFERROR(N(INDEX(Ingredients!$AN$6:$AN$105,MATCH(C117,Ingredients!$B$6:$B$105,0))),0))</f>
        <v/>
      </c>
      <c r="V117">
        <f>IF(OR(B117="",C117=""),0,IFERROR(N(INDEX(Ingredients!$AO$6:$AO$105,MATCH(C117,Ingredients!$B$6:$B$105,0))),0))</f>
        <v/>
      </c>
      <c r="W117">
        <f>IF(OR(B117="",C117=""),0,IFERROR(N(INDEX(Ingredients!$AP$6:$AP$105,MATCH(C117,Ingredients!$B$6:$B$105,0))),0))</f>
        <v/>
      </c>
      <c r="X117">
        <f>IF(OR(B117="",C117=""),0,IFERROR(N(INDEX(Ingredients!$AQ$6:$AQ$105,MATCH(C117,Ingredients!$B$6:$B$105,0))),0))</f>
        <v/>
      </c>
    </row>
    <row r="118">
      <c r="A118" s="1" t="n"/>
      <c r="B118" s="21" t="n"/>
      <c r="C118" s="39" t="n"/>
      <c r="D118" s="40" t="n"/>
      <c r="E118" s="12">
        <f>IF(C118="","",IF(ISNA(MATCH(C118,Ingredients!$B$6:$B$105,0)),"Not on Ingredients",IFERROR(IF(INDEX(Ingredients!$C$6:$C$105,MATCH(C118,Ingredients!$B$6:$B$105,0))="","",INDEX(Ingredients!$C$6:$C$105,MATCH(C118,Ingredients!$B$6:$B$105,0))),"")))</f>
        <v/>
      </c>
      <c r="F118" s="26">
        <f>IF(OR(B118="",C118=""),"",N(D118)*IFERROR(N(INDEX(Ingredients!$H$6:$H$105,MATCH(C118,Ingredients!$B$6:$B$105,0))),0))</f>
        <v/>
      </c>
      <c r="G118" s="1">
        <f>IF(OR(B118="",C118=""),0,IFERROR(N(INDEX(Products!$D$6:$D$45,MATCH(B118,Products!$B$6:$B$45,0))),0))</f>
        <v/>
      </c>
      <c r="H118">
        <f>IF(N(G118)=0,0,N(D118)*SUMIFS(Batches!$D$6:$D$505,Batches!$C$6:$C$505,B118)/G118)</f>
        <v/>
      </c>
      <c r="I118">
        <f>IF(OR(B118="",C118=""),"",IF(B118&lt;&gt;Label!$H$3,"",IF(IFERROR(N(INDEX(Ingredients!$AS$6:$AS$105,MATCH(C118,Ingredients!$B$6:$B$105,0))),0)=1,"",ROUND(N(D118)*1000,0)*100000+100000-ROW())))</f>
        <v/>
      </c>
      <c r="J118">
        <f>IF(OR(B118="",C118=""),0,IFERROR(N(INDEX(Ingredients!$AC$6:$AC$105,MATCH(C118,Ingredients!$B$6:$B$105,0))),0))</f>
        <v/>
      </c>
      <c r="K118">
        <f>IF(OR(B118="",C118=""),0,IFERROR(N(INDEX(Ingredients!$AD$6:$AD$105,MATCH(C118,Ingredients!$B$6:$B$105,0))),0))</f>
        <v/>
      </c>
      <c r="L118">
        <f>IF(OR(B118="",C118=""),0,IFERROR(N(INDEX(Ingredients!$AE$6:$AE$105,MATCH(C118,Ingredients!$B$6:$B$105,0))),0))</f>
        <v/>
      </c>
      <c r="M118">
        <f>IF(OR(B118="",C118=""),0,IFERROR(N(INDEX(Ingredients!$AF$6:$AF$105,MATCH(C118,Ingredients!$B$6:$B$105,0))),0))</f>
        <v/>
      </c>
      <c r="N118">
        <f>IF(OR(B118="",C118=""),0,IFERROR(N(INDEX(Ingredients!$AG$6:$AG$105,MATCH(C118,Ingredients!$B$6:$B$105,0))),0))</f>
        <v/>
      </c>
      <c r="O118">
        <f>IF(OR(B118="",C118=""),0,IFERROR(N(INDEX(Ingredients!$AH$6:$AH$105,MATCH(C118,Ingredients!$B$6:$B$105,0))),0))</f>
        <v/>
      </c>
      <c r="P118">
        <f>IF(OR(B118="",C118=""),0,IFERROR(N(INDEX(Ingredients!$AI$6:$AI$105,MATCH(C118,Ingredients!$B$6:$B$105,0))),0))</f>
        <v/>
      </c>
      <c r="Q118">
        <f>IF(OR(B118="",C118=""),0,IFERROR(N(INDEX(Ingredients!$AJ$6:$AJ$105,MATCH(C118,Ingredients!$B$6:$B$105,0))),0))</f>
        <v/>
      </c>
      <c r="R118">
        <f>IF(OR(B118="",C118=""),0,IFERROR(N(INDEX(Ingredients!$AK$6:$AK$105,MATCH(C118,Ingredients!$B$6:$B$105,0))),0))</f>
        <v/>
      </c>
      <c r="S118">
        <f>IF(OR(B118="",C118=""),0,IFERROR(N(INDEX(Ingredients!$AL$6:$AL$105,MATCH(C118,Ingredients!$B$6:$B$105,0))),0))</f>
        <v/>
      </c>
      <c r="T118">
        <f>IF(OR(B118="",C118=""),0,IFERROR(N(INDEX(Ingredients!$AM$6:$AM$105,MATCH(C118,Ingredients!$B$6:$B$105,0))),0))</f>
        <v/>
      </c>
      <c r="U118">
        <f>IF(OR(B118="",C118=""),0,IFERROR(N(INDEX(Ingredients!$AN$6:$AN$105,MATCH(C118,Ingredients!$B$6:$B$105,0))),0))</f>
        <v/>
      </c>
      <c r="V118">
        <f>IF(OR(B118="",C118=""),0,IFERROR(N(INDEX(Ingredients!$AO$6:$AO$105,MATCH(C118,Ingredients!$B$6:$B$105,0))),0))</f>
        <v/>
      </c>
      <c r="W118">
        <f>IF(OR(B118="",C118=""),0,IFERROR(N(INDEX(Ingredients!$AP$6:$AP$105,MATCH(C118,Ingredients!$B$6:$B$105,0))),0))</f>
        <v/>
      </c>
      <c r="X118">
        <f>IF(OR(B118="",C118=""),0,IFERROR(N(INDEX(Ingredients!$AQ$6:$AQ$105,MATCH(C118,Ingredients!$B$6:$B$105,0))),0))</f>
        <v/>
      </c>
    </row>
    <row r="119">
      <c r="A119" s="1" t="n"/>
      <c r="B119" s="21" t="n"/>
      <c r="C119" s="39" t="n"/>
      <c r="D119" s="40" t="n"/>
      <c r="E119" s="12">
        <f>IF(C119="","",IF(ISNA(MATCH(C119,Ingredients!$B$6:$B$105,0)),"Not on Ingredients",IFERROR(IF(INDEX(Ingredients!$C$6:$C$105,MATCH(C119,Ingredients!$B$6:$B$105,0))="","",INDEX(Ingredients!$C$6:$C$105,MATCH(C119,Ingredients!$B$6:$B$105,0))),"")))</f>
        <v/>
      </c>
      <c r="F119" s="26">
        <f>IF(OR(B119="",C119=""),"",N(D119)*IFERROR(N(INDEX(Ingredients!$H$6:$H$105,MATCH(C119,Ingredients!$B$6:$B$105,0))),0))</f>
        <v/>
      </c>
      <c r="G119" s="1">
        <f>IF(OR(B119="",C119=""),0,IFERROR(N(INDEX(Products!$D$6:$D$45,MATCH(B119,Products!$B$6:$B$45,0))),0))</f>
        <v/>
      </c>
      <c r="H119">
        <f>IF(N(G119)=0,0,N(D119)*SUMIFS(Batches!$D$6:$D$505,Batches!$C$6:$C$505,B119)/G119)</f>
        <v/>
      </c>
      <c r="I119">
        <f>IF(OR(B119="",C119=""),"",IF(B119&lt;&gt;Label!$H$3,"",IF(IFERROR(N(INDEX(Ingredients!$AS$6:$AS$105,MATCH(C119,Ingredients!$B$6:$B$105,0))),0)=1,"",ROUND(N(D119)*1000,0)*100000+100000-ROW())))</f>
        <v/>
      </c>
      <c r="J119">
        <f>IF(OR(B119="",C119=""),0,IFERROR(N(INDEX(Ingredients!$AC$6:$AC$105,MATCH(C119,Ingredients!$B$6:$B$105,0))),0))</f>
        <v/>
      </c>
      <c r="K119">
        <f>IF(OR(B119="",C119=""),0,IFERROR(N(INDEX(Ingredients!$AD$6:$AD$105,MATCH(C119,Ingredients!$B$6:$B$105,0))),0))</f>
        <v/>
      </c>
      <c r="L119">
        <f>IF(OR(B119="",C119=""),0,IFERROR(N(INDEX(Ingredients!$AE$6:$AE$105,MATCH(C119,Ingredients!$B$6:$B$105,0))),0))</f>
        <v/>
      </c>
      <c r="M119">
        <f>IF(OR(B119="",C119=""),0,IFERROR(N(INDEX(Ingredients!$AF$6:$AF$105,MATCH(C119,Ingredients!$B$6:$B$105,0))),0))</f>
        <v/>
      </c>
      <c r="N119">
        <f>IF(OR(B119="",C119=""),0,IFERROR(N(INDEX(Ingredients!$AG$6:$AG$105,MATCH(C119,Ingredients!$B$6:$B$105,0))),0))</f>
        <v/>
      </c>
      <c r="O119">
        <f>IF(OR(B119="",C119=""),0,IFERROR(N(INDEX(Ingredients!$AH$6:$AH$105,MATCH(C119,Ingredients!$B$6:$B$105,0))),0))</f>
        <v/>
      </c>
      <c r="P119">
        <f>IF(OR(B119="",C119=""),0,IFERROR(N(INDEX(Ingredients!$AI$6:$AI$105,MATCH(C119,Ingredients!$B$6:$B$105,0))),0))</f>
        <v/>
      </c>
      <c r="Q119">
        <f>IF(OR(B119="",C119=""),0,IFERROR(N(INDEX(Ingredients!$AJ$6:$AJ$105,MATCH(C119,Ingredients!$B$6:$B$105,0))),0))</f>
        <v/>
      </c>
      <c r="R119">
        <f>IF(OR(B119="",C119=""),0,IFERROR(N(INDEX(Ingredients!$AK$6:$AK$105,MATCH(C119,Ingredients!$B$6:$B$105,0))),0))</f>
        <v/>
      </c>
      <c r="S119">
        <f>IF(OR(B119="",C119=""),0,IFERROR(N(INDEX(Ingredients!$AL$6:$AL$105,MATCH(C119,Ingredients!$B$6:$B$105,0))),0))</f>
        <v/>
      </c>
      <c r="T119">
        <f>IF(OR(B119="",C119=""),0,IFERROR(N(INDEX(Ingredients!$AM$6:$AM$105,MATCH(C119,Ingredients!$B$6:$B$105,0))),0))</f>
        <v/>
      </c>
      <c r="U119">
        <f>IF(OR(B119="",C119=""),0,IFERROR(N(INDEX(Ingredients!$AN$6:$AN$105,MATCH(C119,Ingredients!$B$6:$B$105,0))),0))</f>
        <v/>
      </c>
      <c r="V119">
        <f>IF(OR(B119="",C119=""),0,IFERROR(N(INDEX(Ingredients!$AO$6:$AO$105,MATCH(C119,Ingredients!$B$6:$B$105,0))),0))</f>
        <v/>
      </c>
      <c r="W119">
        <f>IF(OR(B119="",C119=""),0,IFERROR(N(INDEX(Ingredients!$AP$6:$AP$105,MATCH(C119,Ingredients!$B$6:$B$105,0))),0))</f>
        <v/>
      </c>
      <c r="X119">
        <f>IF(OR(B119="",C119=""),0,IFERROR(N(INDEX(Ingredients!$AQ$6:$AQ$105,MATCH(C119,Ingredients!$B$6:$B$105,0))),0))</f>
        <v/>
      </c>
    </row>
    <row r="120">
      <c r="A120" s="1" t="n"/>
      <c r="B120" s="21" t="n"/>
      <c r="C120" s="39" t="n"/>
      <c r="D120" s="40" t="n"/>
      <c r="E120" s="12">
        <f>IF(C120="","",IF(ISNA(MATCH(C120,Ingredients!$B$6:$B$105,0)),"Not on Ingredients",IFERROR(IF(INDEX(Ingredients!$C$6:$C$105,MATCH(C120,Ingredients!$B$6:$B$105,0))="","",INDEX(Ingredients!$C$6:$C$105,MATCH(C120,Ingredients!$B$6:$B$105,0))),"")))</f>
        <v/>
      </c>
      <c r="F120" s="26">
        <f>IF(OR(B120="",C120=""),"",N(D120)*IFERROR(N(INDEX(Ingredients!$H$6:$H$105,MATCH(C120,Ingredients!$B$6:$B$105,0))),0))</f>
        <v/>
      </c>
      <c r="G120" s="1">
        <f>IF(OR(B120="",C120=""),0,IFERROR(N(INDEX(Products!$D$6:$D$45,MATCH(B120,Products!$B$6:$B$45,0))),0))</f>
        <v/>
      </c>
      <c r="H120">
        <f>IF(N(G120)=0,0,N(D120)*SUMIFS(Batches!$D$6:$D$505,Batches!$C$6:$C$505,B120)/G120)</f>
        <v/>
      </c>
      <c r="I120">
        <f>IF(OR(B120="",C120=""),"",IF(B120&lt;&gt;Label!$H$3,"",IF(IFERROR(N(INDEX(Ingredients!$AS$6:$AS$105,MATCH(C120,Ingredients!$B$6:$B$105,0))),0)=1,"",ROUND(N(D120)*1000,0)*100000+100000-ROW())))</f>
        <v/>
      </c>
      <c r="J120">
        <f>IF(OR(B120="",C120=""),0,IFERROR(N(INDEX(Ingredients!$AC$6:$AC$105,MATCH(C120,Ingredients!$B$6:$B$105,0))),0))</f>
        <v/>
      </c>
      <c r="K120">
        <f>IF(OR(B120="",C120=""),0,IFERROR(N(INDEX(Ingredients!$AD$6:$AD$105,MATCH(C120,Ingredients!$B$6:$B$105,0))),0))</f>
        <v/>
      </c>
      <c r="L120">
        <f>IF(OR(B120="",C120=""),0,IFERROR(N(INDEX(Ingredients!$AE$6:$AE$105,MATCH(C120,Ingredients!$B$6:$B$105,0))),0))</f>
        <v/>
      </c>
      <c r="M120">
        <f>IF(OR(B120="",C120=""),0,IFERROR(N(INDEX(Ingredients!$AF$6:$AF$105,MATCH(C120,Ingredients!$B$6:$B$105,0))),0))</f>
        <v/>
      </c>
      <c r="N120">
        <f>IF(OR(B120="",C120=""),0,IFERROR(N(INDEX(Ingredients!$AG$6:$AG$105,MATCH(C120,Ingredients!$B$6:$B$105,0))),0))</f>
        <v/>
      </c>
      <c r="O120">
        <f>IF(OR(B120="",C120=""),0,IFERROR(N(INDEX(Ingredients!$AH$6:$AH$105,MATCH(C120,Ingredients!$B$6:$B$105,0))),0))</f>
        <v/>
      </c>
      <c r="P120">
        <f>IF(OR(B120="",C120=""),0,IFERROR(N(INDEX(Ingredients!$AI$6:$AI$105,MATCH(C120,Ingredients!$B$6:$B$105,0))),0))</f>
        <v/>
      </c>
      <c r="Q120">
        <f>IF(OR(B120="",C120=""),0,IFERROR(N(INDEX(Ingredients!$AJ$6:$AJ$105,MATCH(C120,Ingredients!$B$6:$B$105,0))),0))</f>
        <v/>
      </c>
      <c r="R120">
        <f>IF(OR(B120="",C120=""),0,IFERROR(N(INDEX(Ingredients!$AK$6:$AK$105,MATCH(C120,Ingredients!$B$6:$B$105,0))),0))</f>
        <v/>
      </c>
      <c r="S120">
        <f>IF(OR(B120="",C120=""),0,IFERROR(N(INDEX(Ingredients!$AL$6:$AL$105,MATCH(C120,Ingredients!$B$6:$B$105,0))),0))</f>
        <v/>
      </c>
      <c r="T120">
        <f>IF(OR(B120="",C120=""),0,IFERROR(N(INDEX(Ingredients!$AM$6:$AM$105,MATCH(C120,Ingredients!$B$6:$B$105,0))),0))</f>
        <v/>
      </c>
      <c r="U120">
        <f>IF(OR(B120="",C120=""),0,IFERROR(N(INDEX(Ingredients!$AN$6:$AN$105,MATCH(C120,Ingredients!$B$6:$B$105,0))),0))</f>
        <v/>
      </c>
      <c r="V120">
        <f>IF(OR(B120="",C120=""),0,IFERROR(N(INDEX(Ingredients!$AO$6:$AO$105,MATCH(C120,Ingredients!$B$6:$B$105,0))),0))</f>
        <v/>
      </c>
      <c r="W120">
        <f>IF(OR(B120="",C120=""),0,IFERROR(N(INDEX(Ingredients!$AP$6:$AP$105,MATCH(C120,Ingredients!$B$6:$B$105,0))),0))</f>
        <v/>
      </c>
      <c r="X120">
        <f>IF(OR(B120="",C120=""),0,IFERROR(N(INDEX(Ingredients!$AQ$6:$AQ$105,MATCH(C120,Ingredients!$B$6:$B$105,0))),0))</f>
        <v/>
      </c>
    </row>
    <row r="121">
      <c r="A121" s="1" t="n"/>
      <c r="B121" s="21" t="n"/>
      <c r="C121" s="39" t="n"/>
      <c r="D121" s="40" t="n"/>
      <c r="E121" s="12">
        <f>IF(C121="","",IF(ISNA(MATCH(C121,Ingredients!$B$6:$B$105,0)),"Not on Ingredients",IFERROR(IF(INDEX(Ingredients!$C$6:$C$105,MATCH(C121,Ingredients!$B$6:$B$105,0))="","",INDEX(Ingredients!$C$6:$C$105,MATCH(C121,Ingredients!$B$6:$B$105,0))),"")))</f>
        <v/>
      </c>
      <c r="F121" s="26">
        <f>IF(OR(B121="",C121=""),"",N(D121)*IFERROR(N(INDEX(Ingredients!$H$6:$H$105,MATCH(C121,Ingredients!$B$6:$B$105,0))),0))</f>
        <v/>
      </c>
      <c r="G121" s="1">
        <f>IF(OR(B121="",C121=""),0,IFERROR(N(INDEX(Products!$D$6:$D$45,MATCH(B121,Products!$B$6:$B$45,0))),0))</f>
        <v/>
      </c>
      <c r="H121">
        <f>IF(N(G121)=0,0,N(D121)*SUMIFS(Batches!$D$6:$D$505,Batches!$C$6:$C$505,B121)/G121)</f>
        <v/>
      </c>
      <c r="I121">
        <f>IF(OR(B121="",C121=""),"",IF(B121&lt;&gt;Label!$H$3,"",IF(IFERROR(N(INDEX(Ingredients!$AS$6:$AS$105,MATCH(C121,Ingredients!$B$6:$B$105,0))),0)=1,"",ROUND(N(D121)*1000,0)*100000+100000-ROW())))</f>
        <v/>
      </c>
      <c r="J121">
        <f>IF(OR(B121="",C121=""),0,IFERROR(N(INDEX(Ingredients!$AC$6:$AC$105,MATCH(C121,Ingredients!$B$6:$B$105,0))),0))</f>
        <v/>
      </c>
      <c r="K121">
        <f>IF(OR(B121="",C121=""),0,IFERROR(N(INDEX(Ingredients!$AD$6:$AD$105,MATCH(C121,Ingredients!$B$6:$B$105,0))),0))</f>
        <v/>
      </c>
      <c r="L121">
        <f>IF(OR(B121="",C121=""),0,IFERROR(N(INDEX(Ingredients!$AE$6:$AE$105,MATCH(C121,Ingredients!$B$6:$B$105,0))),0))</f>
        <v/>
      </c>
      <c r="M121">
        <f>IF(OR(B121="",C121=""),0,IFERROR(N(INDEX(Ingredients!$AF$6:$AF$105,MATCH(C121,Ingredients!$B$6:$B$105,0))),0))</f>
        <v/>
      </c>
      <c r="N121">
        <f>IF(OR(B121="",C121=""),0,IFERROR(N(INDEX(Ingredients!$AG$6:$AG$105,MATCH(C121,Ingredients!$B$6:$B$105,0))),0))</f>
        <v/>
      </c>
      <c r="O121">
        <f>IF(OR(B121="",C121=""),0,IFERROR(N(INDEX(Ingredients!$AH$6:$AH$105,MATCH(C121,Ingredients!$B$6:$B$105,0))),0))</f>
        <v/>
      </c>
      <c r="P121">
        <f>IF(OR(B121="",C121=""),0,IFERROR(N(INDEX(Ingredients!$AI$6:$AI$105,MATCH(C121,Ingredients!$B$6:$B$105,0))),0))</f>
        <v/>
      </c>
      <c r="Q121">
        <f>IF(OR(B121="",C121=""),0,IFERROR(N(INDEX(Ingredients!$AJ$6:$AJ$105,MATCH(C121,Ingredients!$B$6:$B$105,0))),0))</f>
        <v/>
      </c>
      <c r="R121">
        <f>IF(OR(B121="",C121=""),0,IFERROR(N(INDEX(Ingredients!$AK$6:$AK$105,MATCH(C121,Ingredients!$B$6:$B$105,0))),0))</f>
        <v/>
      </c>
      <c r="S121">
        <f>IF(OR(B121="",C121=""),0,IFERROR(N(INDEX(Ingredients!$AL$6:$AL$105,MATCH(C121,Ingredients!$B$6:$B$105,0))),0))</f>
        <v/>
      </c>
      <c r="T121">
        <f>IF(OR(B121="",C121=""),0,IFERROR(N(INDEX(Ingredients!$AM$6:$AM$105,MATCH(C121,Ingredients!$B$6:$B$105,0))),0))</f>
        <v/>
      </c>
      <c r="U121">
        <f>IF(OR(B121="",C121=""),0,IFERROR(N(INDEX(Ingredients!$AN$6:$AN$105,MATCH(C121,Ingredients!$B$6:$B$105,0))),0))</f>
        <v/>
      </c>
      <c r="V121">
        <f>IF(OR(B121="",C121=""),0,IFERROR(N(INDEX(Ingredients!$AO$6:$AO$105,MATCH(C121,Ingredients!$B$6:$B$105,0))),0))</f>
        <v/>
      </c>
      <c r="W121">
        <f>IF(OR(B121="",C121=""),0,IFERROR(N(INDEX(Ingredients!$AP$6:$AP$105,MATCH(C121,Ingredients!$B$6:$B$105,0))),0))</f>
        <v/>
      </c>
      <c r="X121">
        <f>IF(OR(B121="",C121=""),0,IFERROR(N(INDEX(Ingredients!$AQ$6:$AQ$105,MATCH(C121,Ingredients!$B$6:$B$105,0))),0))</f>
        <v/>
      </c>
    </row>
    <row r="122">
      <c r="A122" s="1" t="n"/>
      <c r="B122" s="21" t="n"/>
      <c r="C122" s="39" t="n"/>
      <c r="D122" s="40" t="n"/>
      <c r="E122" s="12">
        <f>IF(C122="","",IF(ISNA(MATCH(C122,Ingredients!$B$6:$B$105,0)),"Not on Ingredients",IFERROR(IF(INDEX(Ingredients!$C$6:$C$105,MATCH(C122,Ingredients!$B$6:$B$105,0))="","",INDEX(Ingredients!$C$6:$C$105,MATCH(C122,Ingredients!$B$6:$B$105,0))),"")))</f>
        <v/>
      </c>
      <c r="F122" s="26">
        <f>IF(OR(B122="",C122=""),"",N(D122)*IFERROR(N(INDEX(Ingredients!$H$6:$H$105,MATCH(C122,Ingredients!$B$6:$B$105,0))),0))</f>
        <v/>
      </c>
      <c r="G122" s="1">
        <f>IF(OR(B122="",C122=""),0,IFERROR(N(INDEX(Products!$D$6:$D$45,MATCH(B122,Products!$B$6:$B$45,0))),0))</f>
        <v/>
      </c>
      <c r="H122">
        <f>IF(N(G122)=0,0,N(D122)*SUMIFS(Batches!$D$6:$D$505,Batches!$C$6:$C$505,B122)/G122)</f>
        <v/>
      </c>
      <c r="I122">
        <f>IF(OR(B122="",C122=""),"",IF(B122&lt;&gt;Label!$H$3,"",IF(IFERROR(N(INDEX(Ingredients!$AS$6:$AS$105,MATCH(C122,Ingredients!$B$6:$B$105,0))),0)=1,"",ROUND(N(D122)*1000,0)*100000+100000-ROW())))</f>
        <v/>
      </c>
      <c r="J122">
        <f>IF(OR(B122="",C122=""),0,IFERROR(N(INDEX(Ingredients!$AC$6:$AC$105,MATCH(C122,Ingredients!$B$6:$B$105,0))),0))</f>
        <v/>
      </c>
      <c r="K122">
        <f>IF(OR(B122="",C122=""),0,IFERROR(N(INDEX(Ingredients!$AD$6:$AD$105,MATCH(C122,Ingredients!$B$6:$B$105,0))),0))</f>
        <v/>
      </c>
      <c r="L122">
        <f>IF(OR(B122="",C122=""),0,IFERROR(N(INDEX(Ingredients!$AE$6:$AE$105,MATCH(C122,Ingredients!$B$6:$B$105,0))),0))</f>
        <v/>
      </c>
      <c r="M122">
        <f>IF(OR(B122="",C122=""),0,IFERROR(N(INDEX(Ingredients!$AF$6:$AF$105,MATCH(C122,Ingredients!$B$6:$B$105,0))),0))</f>
        <v/>
      </c>
      <c r="N122">
        <f>IF(OR(B122="",C122=""),0,IFERROR(N(INDEX(Ingredients!$AG$6:$AG$105,MATCH(C122,Ingredients!$B$6:$B$105,0))),0))</f>
        <v/>
      </c>
      <c r="O122">
        <f>IF(OR(B122="",C122=""),0,IFERROR(N(INDEX(Ingredients!$AH$6:$AH$105,MATCH(C122,Ingredients!$B$6:$B$105,0))),0))</f>
        <v/>
      </c>
      <c r="P122">
        <f>IF(OR(B122="",C122=""),0,IFERROR(N(INDEX(Ingredients!$AI$6:$AI$105,MATCH(C122,Ingredients!$B$6:$B$105,0))),0))</f>
        <v/>
      </c>
      <c r="Q122">
        <f>IF(OR(B122="",C122=""),0,IFERROR(N(INDEX(Ingredients!$AJ$6:$AJ$105,MATCH(C122,Ingredients!$B$6:$B$105,0))),0))</f>
        <v/>
      </c>
      <c r="R122">
        <f>IF(OR(B122="",C122=""),0,IFERROR(N(INDEX(Ingredients!$AK$6:$AK$105,MATCH(C122,Ingredients!$B$6:$B$105,0))),0))</f>
        <v/>
      </c>
      <c r="S122">
        <f>IF(OR(B122="",C122=""),0,IFERROR(N(INDEX(Ingredients!$AL$6:$AL$105,MATCH(C122,Ingredients!$B$6:$B$105,0))),0))</f>
        <v/>
      </c>
      <c r="T122">
        <f>IF(OR(B122="",C122=""),0,IFERROR(N(INDEX(Ingredients!$AM$6:$AM$105,MATCH(C122,Ingredients!$B$6:$B$105,0))),0))</f>
        <v/>
      </c>
      <c r="U122">
        <f>IF(OR(B122="",C122=""),0,IFERROR(N(INDEX(Ingredients!$AN$6:$AN$105,MATCH(C122,Ingredients!$B$6:$B$105,0))),0))</f>
        <v/>
      </c>
      <c r="V122">
        <f>IF(OR(B122="",C122=""),0,IFERROR(N(INDEX(Ingredients!$AO$6:$AO$105,MATCH(C122,Ingredients!$B$6:$B$105,0))),0))</f>
        <v/>
      </c>
      <c r="W122">
        <f>IF(OR(B122="",C122=""),0,IFERROR(N(INDEX(Ingredients!$AP$6:$AP$105,MATCH(C122,Ingredients!$B$6:$B$105,0))),0))</f>
        <v/>
      </c>
      <c r="X122">
        <f>IF(OR(B122="",C122=""),0,IFERROR(N(INDEX(Ingredients!$AQ$6:$AQ$105,MATCH(C122,Ingredients!$B$6:$B$105,0))),0))</f>
        <v/>
      </c>
    </row>
    <row r="123">
      <c r="A123" s="1" t="n"/>
      <c r="B123" s="21" t="n"/>
      <c r="C123" s="39" t="n"/>
      <c r="D123" s="40" t="n"/>
      <c r="E123" s="12">
        <f>IF(C123="","",IF(ISNA(MATCH(C123,Ingredients!$B$6:$B$105,0)),"Not on Ingredients",IFERROR(IF(INDEX(Ingredients!$C$6:$C$105,MATCH(C123,Ingredients!$B$6:$B$105,0))="","",INDEX(Ingredients!$C$6:$C$105,MATCH(C123,Ingredients!$B$6:$B$105,0))),"")))</f>
        <v/>
      </c>
      <c r="F123" s="26">
        <f>IF(OR(B123="",C123=""),"",N(D123)*IFERROR(N(INDEX(Ingredients!$H$6:$H$105,MATCH(C123,Ingredients!$B$6:$B$105,0))),0))</f>
        <v/>
      </c>
      <c r="G123" s="1">
        <f>IF(OR(B123="",C123=""),0,IFERROR(N(INDEX(Products!$D$6:$D$45,MATCH(B123,Products!$B$6:$B$45,0))),0))</f>
        <v/>
      </c>
      <c r="H123">
        <f>IF(N(G123)=0,0,N(D123)*SUMIFS(Batches!$D$6:$D$505,Batches!$C$6:$C$505,B123)/G123)</f>
        <v/>
      </c>
      <c r="I123">
        <f>IF(OR(B123="",C123=""),"",IF(B123&lt;&gt;Label!$H$3,"",IF(IFERROR(N(INDEX(Ingredients!$AS$6:$AS$105,MATCH(C123,Ingredients!$B$6:$B$105,0))),0)=1,"",ROUND(N(D123)*1000,0)*100000+100000-ROW())))</f>
        <v/>
      </c>
      <c r="J123">
        <f>IF(OR(B123="",C123=""),0,IFERROR(N(INDEX(Ingredients!$AC$6:$AC$105,MATCH(C123,Ingredients!$B$6:$B$105,0))),0))</f>
        <v/>
      </c>
      <c r="K123">
        <f>IF(OR(B123="",C123=""),0,IFERROR(N(INDEX(Ingredients!$AD$6:$AD$105,MATCH(C123,Ingredients!$B$6:$B$105,0))),0))</f>
        <v/>
      </c>
      <c r="L123">
        <f>IF(OR(B123="",C123=""),0,IFERROR(N(INDEX(Ingredients!$AE$6:$AE$105,MATCH(C123,Ingredients!$B$6:$B$105,0))),0))</f>
        <v/>
      </c>
      <c r="M123">
        <f>IF(OR(B123="",C123=""),0,IFERROR(N(INDEX(Ingredients!$AF$6:$AF$105,MATCH(C123,Ingredients!$B$6:$B$105,0))),0))</f>
        <v/>
      </c>
      <c r="N123">
        <f>IF(OR(B123="",C123=""),0,IFERROR(N(INDEX(Ingredients!$AG$6:$AG$105,MATCH(C123,Ingredients!$B$6:$B$105,0))),0))</f>
        <v/>
      </c>
      <c r="O123">
        <f>IF(OR(B123="",C123=""),0,IFERROR(N(INDEX(Ingredients!$AH$6:$AH$105,MATCH(C123,Ingredients!$B$6:$B$105,0))),0))</f>
        <v/>
      </c>
      <c r="P123">
        <f>IF(OR(B123="",C123=""),0,IFERROR(N(INDEX(Ingredients!$AI$6:$AI$105,MATCH(C123,Ingredients!$B$6:$B$105,0))),0))</f>
        <v/>
      </c>
      <c r="Q123">
        <f>IF(OR(B123="",C123=""),0,IFERROR(N(INDEX(Ingredients!$AJ$6:$AJ$105,MATCH(C123,Ingredients!$B$6:$B$105,0))),0))</f>
        <v/>
      </c>
      <c r="R123">
        <f>IF(OR(B123="",C123=""),0,IFERROR(N(INDEX(Ingredients!$AK$6:$AK$105,MATCH(C123,Ingredients!$B$6:$B$105,0))),0))</f>
        <v/>
      </c>
      <c r="S123">
        <f>IF(OR(B123="",C123=""),0,IFERROR(N(INDEX(Ingredients!$AL$6:$AL$105,MATCH(C123,Ingredients!$B$6:$B$105,0))),0))</f>
        <v/>
      </c>
      <c r="T123">
        <f>IF(OR(B123="",C123=""),0,IFERROR(N(INDEX(Ingredients!$AM$6:$AM$105,MATCH(C123,Ingredients!$B$6:$B$105,0))),0))</f>
        <v/>
      </c>
      <c r="U123">
        <f>IF(OR(B123="",C123=""),0,IFERROR(N(INDEX(Ingredients!$AN$6:$AN$105,MATCH(C123,Ingredients!$B$6:$B$105,0))),0))</f>
        <v/>
      </c>
      <c r="V123">
        <f>IF(OR(B123="",C123=""),0,IFERROR(N(INDEX(Ingredients!$AO$6:$AO$105,MATCH(C123,Ingredients!$B$6:$B$105,0))),0))</f>
        <v/>
      </c>
      <c r="W123">
        <f>IF(OR(B123="",C123=""),0,IFERROR(N(INDEX(Ingredients!$AP$6:$AP$105,MATCH(C123,Ingredients!$B$6:$B$105,0))),0))</f>
        <v/>
      </c>
      <c r="X123">
        <f>IF(OR(B123="",C123=""),0,IFERROR(N(INDEX(Ingredients!$AQ$6:$AQ$105,MATCH(C123,Ingredients!$B$6:$B$105,0))),0))</f>
        <v/>
      </c>
    </row>
    <row r="124">
      <c r="A124" s="1" t="n"/>
      <c r="B124" s="21" t="n"/>
      <c r="C124" s="39" t="n"/>
      <c r="D124" s="40" t="n"/>
      <c r="E124" s="12">
        <f>IF(C124="","",IF(ISNA(MATCH(C124,Ingredients!$B$6:$B$105,0)),"Not on Ingredients",IFERROR(IF(INDEX(Ingredients!$C$6:$C$105,MATCH(C124,Ingredients!$B$6:$B$105,0))="","",INDEX(Ingredients!$C$6:$C$105,MATCH(C124,Ingredients!$B$6:$B$105,0))),"")))</f>
        <v/>
      </c>
      <c r="F124" s="26">
        <f>IF(OR(B124="",C124=""),"",N(D124)*IFERROR(N(INDEX(Ingredients!$H$6:$H$105,MATCH(C124,Ingredients!$B$6:$B$105,0))),0))</f>
        <v/>
      </c>
      <c r="G124" s="1">
        <f>IF(OR(B124="",C124=""),0,IFERROR(N(INDEX(Products!$D$6:$D$45,MATCH(B124,Products!$B$6:$B$45,0))),0))</f>
        <v/>
      </c>
      <c r="H124">
        <f>IF(N(G124)=0,0,N(D124)*SUMIFS(Batches!$D$6:$D$505,Batches!$C$6:$C$505,B124)/G124)</f>
        <v/>
      </c>
      <c r="I124">
        <f>IF(OR(B124="",C124=""),"",IF(B124&lt;&gt;Label!$H$3,"",IF(IFERROR(N(INDEX(Ingredients!$AS$6:$AS$105,MATCH(C124,Ingredients!$B$6:$B$105,0))),0)=1,"",ROUND(N(D124)*1000,0)*100000+100000-ROW())))</f>
        <v/>
      </c>
      <c r="J124">
        <f>IF(OR(B124="",C124=""),0,IFERROR(N(INDEX(Ingredients!$AC$6:$AC$105,MATCH(C124,Ingredients!$B$6:$B$105,0))),0))</f>
        <v/>
      </c>
      <c r="K124">
        <f>IF(OR(B124="",C124=""),0,IFERROR(N(INDEX(Ingredients!$AD$6:$AD$105,MATCH(C124,Ingredients!$B$6:$B$105,0))),0))</f>
        <v/>
      </c>
      <c r="L124">
        <f>IF(OR(B124="",C124=""),0,IFERROR(N(INDEX(Ingredients!$AE$6:$AE$105,MATCH(C124,Ingredients!$B$6:$B$105,0))),0))</f>
        <v/>
      </c>
      <c r="M124">
        <f>IF(OR(B124="",C124=""),0,IFERROR(N(INDEX(Ingredients!$AF$6:$AF$105,MATCH(C124,Ingredients!$B$6:$B$105,0))),0))</f>
        <v/>
      </c>
      <c r="N124">
        <f>IF(OR(B124="",C124=""),0,IFERROR(N(INDEX(Ingredients!$AG$6:$AG$105,MATCH(C124,Ingredients!$B$6:$B$105,0))),0))</f>
        <v/>
      </c>
      <c r="O124">
        <f>IF(OR(B124="",C124=""),0,IFERROR(N(INDEX(Ingredients!$AH$6:$AH$105,MATCH(C124,Ingredients!$B$6:$B$105,0))),0))</f>
        <v/>
      </c>
      <c r="P124">
        <f>IF(OR(B124="",C124=""),0,IFERROR(N(INDEX(Ingredients!$AI$6:$AI$105,MATCH(C124,Ingredients!$B$6:$B$105,0))),0))</f>
        <v/>
      </c>
      <c r="Q124">
        <f>IF(OR(B124="",C124=""),0,IFERROR(N(INDEX(Ingredients!$AJ$6:$AJ$105,MATCH(C124,Ingredients!$B$6:$B$105,0))),0))</f>
        <v/>
      </c>
      <c r="R124">
        <f>IF(OR(B124="",C124=""),0,IFERROR(N(INDEX(Ingredients!$AK$6:$AK$105,MATCH(C124,Ingredients!$B$6:$B$105,0))),0))</f>
        <v/>
      </c>
      <c r="S124">
        <f>IF(OR(B124="",C124=""),0,IFERROR(N(INDEX(Ingredients!$AL$6:$AL$105,MATCH(C124,Ingredients!$B$6:$B$105,0))),0))</f>
        <v/>
      </c>
      <c r="T124">
        <f>IF(OR(B124="",C124=""),0,IFERROR(N(INDEX(Ingredients!$AM$6:$AM$105,MATCH(C124,Ingredients!$B$6:$B$105,0))),0))</f>
        <v/>
      </c>
      <c r="U124">
        <f>IF(OR(B124="",C124=""),0,IFERROR(N(INDEX(Ingredients!$AN$6:$AN$105,MATCH(C124,Ingredients!$B$6:$B$105,0))),0))</f>
        <v/>
      </c>
      <c r="V124">
        <f>IF(OR(B124="",C124=""),0,IFERROR(N(INDEX(Ingredients!$AO$6:$AO$105,MATCH(C124,Ingredients!$B$6:$B$105,0))),0))</f>
        <v/>
      </c>
      <c r="W124">
        <f>IF(OR(B124="",C124=""),0,IFERROR(N(INDEX(Ingredients!$AP$6:$AP$105,MATCH(C124,Ingredients!$B$6:$B$105,0))),0))</f>
        <v/>
      </c>
      <c r="X124">
        <f>IF(OR(B124="",C124=""),0,IFERROR(N(INDEX(Ingredients!$AQ$6:$AQ$105,MATCH(C124,Ingredients!$B$6:$B$105,0))),0))</f>
        <v/>
      </c>
    </row>
    <row r="125">
      <c r="A125" s="1" t="n"/>
      <c r="B125" s="21" t="n"/>
      <c r="C125" s="39" t="n"/>
      <c r="D125" s="40" t="n"/>
      <c r="E125" s="12">
        <f>IF(C125="","",IF(ISNA(MATCH(C125,Ingredients!$B$6:$B$105,0)),"Not on Ingredients",IFERROR(IF(INDEX(Ingredients!$C$6:$C$105,MATCH(C125,Ingredients!$B$6:$B$105,0))="","",INDEX(Ingredients!$C$6:$C$105,MATCH(C125,Ingredients!$B$6:$B$105,0))),"")))</f>
        <v/>
      </c>
      <c r="F125" s="26">
        <f>IF(OR(B125="",C125=""),"",N(D125)*IFERROR(N(INDEX(Ingredients!$H$6:$H$105,MATCH(C125,Ingredients!$B$6:$B$105,0))),0))</f>
        <v/>
      </c>
      <c r="G125" s="1">
        <f>IF(OR(B125="",C125=""),0,IFERROR(N(INDEX(Products!$D$6:$D$45,MATCH(B125,Products!$B$6:$B$45,0))),0))</f>
        <v/>
      </c>
      <c r="H125">
        <f>IF(N(G125)=0,0,N(D125)*SUMIFS(Batches!$D$6:$D$505,Batches!$C$6:$C$505,B125)/G125)</f>
        <v/>
      </c>
      <c r="I125">
        <f>IF(OR(B125="",C125=""),"",IF(B125&lt;&gt;Label!$H$3,"",IF(IFERROR(N(INDEX(Ingredients!$AS$6:$AS$105,MATCH(C125,Ingredients!$B$6:$B$105,0))),0)=1,"",ROUND(N(D125)*1000,0)*100000+100000-ROW())))</f>
        <v/>
      </c>
      <c r="J125">
        <f>IF(OR(B125="",C125=""),0,IFERROR(N(INDEX(Ingredients!$AC$6:$AC$105,MATCH(C125,Ingredients!$B$6:$B$105,0))),0))</f>
        <v/>
      </c>
      <c r="K125">
        <f>IF(OR(B125="",C125=""),0,IFERROR(N(INDEX(Ingredients!$AD$6:$AD$105,MATCH(C125,Ingredients!$B$6:$B$105,0))),0))</f>
        <v/>
      </c>
      <c r="L125">
        <f>IF(OR(B125="",C125=""),0,IFERROR(N(INDEX(Ingredients!$AE$6:$AE$105,MATCH(C125,Ingredients!$B$6:$B$105,0))),0))</f>
        <v/>
      </c>
      <c r="M125">
        <f>IF(OR(B125="",C125=""),0,IFERROR(N(INDEX(Ingredients!$AF$6:$AF$105,MATCH(C125,Ingredients!$B$6:$B$105,0))),0))</f>
        <v/>
      </c>
      <c r="N125">
        <f>IF(OR(B125="",C125=""),0,IFERROR(N(INDEX(Ingredients!$AG$6:$AG$105,MATCH(C125,Ingredients!$B$6:$B$105,0))),0))</f>
        <v/>
      </c>
      <c r="O125">
        <f>IF(OR(B125="",C125=""),0,IFERROR(N(INDEX(Ingredients!$AH$6:$AH$105,MATCH(C125,Ingredients!$B$6:$B$105,0))),0))</f>
        <v/>
      </c>
      <c r="P125">
        <f>IF(OR(B125="",C125=""),0,IFERROR(N(INDEX(Ingredients!$AI$6:$AI$105,MATCH(C125,Ingredients!$B$6:$B$105,0))),0))</f>
        <v/>
      </c>
      <c r="Q125">
        <f>IF(OR(B125="",C125=""),0,IFERROR(N(INDEX(Ingredients!$AJ$6:$AJ$105,MATCH(C125,Ingredients!$B$6:$B$105,0))),0))</f>
        <v/>
      </c>
      <c r="R125">
        <f>IF(OR(B125="",C125=""),0,IFERROR(N(INDEX(Ingredients!$AK$6:$AK$105,MATCH(C125,Ingredients!$B$6:$B$105,0))),0))</f>
        <v/>
      </c>
      <c r="S125">
        <f>IF(OR(B125="",C125=""),0,IFERROR(N(INDEX(Ingredients!$AL$6:$AL$105,MATCH(C125,Ingredients!$B$6:$B$105,0))),0))</f>
        <v/>
      </c>
      <c r="T125">
        <f>IF(OR(B125="",C125=""),0,IFERROR(N(INDEX(Ingredients!$AM$6:$AM$105,MATCH(C125,Ingredients!$B$6:$B$105,0))),0))</f>
        <v/>
      </c>
      <c r="U125">
        <f>IF(OR(B125="",C125=""),0,IFERROR(N(INDEX(Ingredients!$AN$6:$AN$105,MATCH(C125,Ingredients!$B$6:$B$105,0))),0))</f>
        <v/>
      </c>
      <c r="V125">
        <f>IF(OR(B125="",C125=""),0,IFERROR(N(INDEX(Ingredients!$AO$6:$AO$105,MATCH(C125,Ingredients!$B$6:$B$105,0))),0))</f>
        <v/>
      </c>
      <c r="W125">
        <f>IF(OR(B125="",C125=""),0,IFERROR(N(INDEX(Ingredients!$AP$6:$AP$105,MATCH(C125,Ingredients!$B$6:$B$105,0))),0))</f>
        <v/>
      </c>
      <c r="X125">
        <f>IF(OR(B125="",C125=""),0,IFERROR(N(INDEX(Ingredients!$AQ$6:$AQ$105,MATCH(C125,Ingredients!$B$6:$B$105,0))),0))</f>
        <v/>
      </c>
    </row>
    <row r="126">
      <c r="A126" s="1" t="n"/>
      <c r="B126" s="21" t="n"/>
      <c r="C126" s="39" t="n"/>
      <c r="D126" s="40" t="n"/>
      <c r="E126" s="12">
        <f>IF(C126="","",IF(ISNA(MATCH(C126,Ingredients!$B$6:$B$105,0)),"Not on Ingredients",IFERROR(IF(INDEX(Ingredients!$C$6:$C$105,MATCH(C126,Ingredients!$B$6:$B$105,0))="","",INDEX(Ingredients!$C$6:$C$105,MATCH(C126,Ingredients!$B$6:$B$105,0))),"")))</f>
        <v/>
      </c>
      <c r="F126" s="26">
        <f>IF(OR(B126="",C126=""),"",N(D126)*IFERROR(N(INDEX(Ingredients!$H$6:$H$105,MATCH(C126,Ingredients!$B$6:$B$105,0))),0))</f>
        <v/>
      </c>
      <c r="G126" s="1">
        <f>IF(OR(B126="",C126=""),0,IFERROR(N(INDEX(Products!$D$6:$D$45,MATCH(B126,Products!$B$6:$B$45,0))),0))</f>
        <v/>
      </c>
      <c r="H126">
        <f>IF(N(G126)=0,0,N(D126)*SUMIFS(Batches!$D$6:$D$505,Batches!$C$6:$C$505,B126)/G126)</f>
        <v/>
      </c>
      <c r="I126">
        <f>IF(OR(B126="",C126=""),"",IF(B126&lt;&gt;Label!$H$3,"",IF(IFERROR(N(INDEX(Ingredients!$AS$6:$AS$105,MATCH(C126,Ingredients!$B$6:$B$105,0))),0)=1,"",ROUND(N(D126)*1000,0)*100000+100000-ROW())))</f>
        <v/>
      </c>
      <c r="J126">
        <f>IF(OR(B126="",C126=""),0,IFERROR(N(INDEX(Ingredients!$AC$6:$AC$105,MATCH(C126,Ingredients!$B$6:$B$105,0))),0))</f>
        <v/>
      </c>
      <c r="K126">
        <f>IF(OR(B126="",C126=""),0,IFERROR(N(INDEX(Ingredients!$AD$6:$AD$105,MATCH(C126,Ingredients!$B$6:$B$105,0))),0))</f>
        <v/>
      </c>
      <c r="L126">
        <f>IF(OR(B126="",C126=""),0,IFERROR(N(INDEX(Ingredients!$AE$6:$AE$105,MATCH(C126,Ingredients!$B$6:$B$105,0))),0))</f>
        <v/>
      </c>
      <c r="M126">
        <f>IF(OR(B126="",C126=""),0,IFERROR(N(INDEX(Ingredients!$AF$6:$AF$105,MATCH(C126,Ingredients!$B$6:$B$105,0))),0))</f>
        <v/>
      </c>
      <c r="N126">
        <f>IF(OR(B126="",C126=""),0,IFERROR(N(INDEX(Ingredients!$AG$6:$AG$105,MATCH(C126,Ingredients!$B$6:$B$105,0))),0))</f>
        <v/>
      </c>
      <c r="O126">
        <f>IF(OR(B126="",C126=""),0,IFERROR(N(INDEX(Ingredients!$AH$6:$AH$105,MATCH(C126,Ingredients!$B$6:$B$105,0))),0))</f>
        <v/>
      </c>
      <c r="P126">
        <f>IF(OR(B126="",C126=""),0,IFERROR(N(INDEX(Ingredients!$AI$6:$AI$105,MATCH(C126,Ingredients!$B$6:$B$105,0))),0))</f>
        <v/>
      </c>
      <c r="Q126">
        <f>IF(OR(B126="",C126=""),0,IFERROR(N(INDEX(Ingredients!$AJ$6:$AJ$105,MATCH(C126,Ingredients!$B$6:$B$105,0))),0))</f>
        <v/>
      </c>
      <c r="R126">
        <f>IF(OR(B126="",C126=""),0,IFERROR(N(INDEX(Ingredients!$AK$6:$AK$105,MATCH(C126,Ingredients!$B$6:$B$105,0))),0))</f>
        <v/>
      </c>
      <c r="S126">
        <f>IF(OR(B126="",C126=""),0,IFERROR(N(INDEX(Ingredients!$AL$6:$AL$105,MATCH(C126,Ingredients!$B$6:$B$105,0))),0))</f>
        <v/>
      </c>
      <c r="T126">
        <f>IF(OR(B126="",C126=""),0,IFERROR(N(INDEX(Ingredients!$AM$6:$AM$105,MATCH(C126,Ingredients!$B$6:$B$105,0))),0))</f>
        <v/>
      </c>
      <c r="U126">
        <f>IF(OR(B126="",C126=""),0,IFERROR(N(INDEX(Ingredients!$AN$6:$AN$105,MATCH(C126,Ingredients!$B$6:$B$105,0))),0))</f>
        <v/>
      </c>
      <c r="V126">
        <f>IF(OR(B126="",C126=""),0,IFERROR(N(INDEX(Ingredients!$AO$6:$AO$105,MATCH(C126,Ingredients!$B$6:$B$105,0))),0))</f>
        <v/>
      </c>
      <c r="W126">
        <f>IF(OR(B126="",C126=""),0,IFERROR(N(INDEX(Ingredients!$AP$6:$AP$105,MATCH(C126,Ingredients!$B$6:$B$105,0))),0))</f>
        <v/>
      </c>
      <c r="X126">
        <f>IF(OR(B126="",C126=""),0,IFERROR(N(INDEX(Ingredients!$AQ$6:$AQ$105,MATCH(C126,Ingredients!$B$6:$B$105,0))),0))</f>
        <v/>
      </c>
    </row>
    <row r="127">
      <c r="A127" s="1" t="n"/>
      <c r="B127" s="21" t="n"/>
      <c r="C127" s="39" t="n"/>
      <c r="D127" s="40" t="n"/>
      <c r="E127" s="12">
        <f>IF(C127="","",IF(ISNA(MATCH(C127,Ingredients!$B$6:$B$105,0)),"Not on Ingredients",IFERROR(IF(INDEX(Ingredients!$C$6:$C$105,MATCH(C127,Ingredients!$B$6:$B$105,0))="","",INDEX(Ingredients!$C$6:$C$105,MATCH(C127,Ingredients!$B$6:$B$105,0))),"")))</f>
        <v/>
      </c>
      <c r="F127" s="26">
        <f>IF(OR(B127="",C127=""),"",N(D127)*IFERROR(N(INDEX(Ingredients!$H$6:$H$105,MATCH(C127,Ingredients!$B$6:$B$105,0))),0))</f>
        <v/>
      </c>
      <c r="G127" s="1">
        <f>IF(OR(B127="",C127=""),0,IFERROR(N(INDEX(Products!$D$6:$D$45,MATCH(B127,Products!$B$6:$B$45,0))),0))</f>
        <v/>
      </c>
      <c r="H127">
        <f>IF(N(G127)=0,0,N(D127)*SUMIFS(Batches!$D$6:$D$505,Batches!$C$6:$C$505,B127)/G127)</f>
        <v/>
      </c>
      <c r="I127">
        <f>IF(OR(B127="",C127=""),"",IF(B127&lt;&gt;Label!$H$3,"",IF(IFERROR(N(INDEX(Ingredients!$AS$6:$AS$105,MATCH(C127,Ingredients!$B$6:$B$105,0))),0)=1,"",ROUND(N(D127)*1000,0)*100000+100000-ROW())))</f>
        <v/>
      </c>
      <c r="J127">
        <f>IF(OR(B127="",C127=""),0,IFERROR(N(INDEX(Ingredients!$AC$6:$AC$105,MATCH(C127,Ingredients!$B$6:$B$105,0))),0))</f>
        <v/>
      </c>
      <c r="K127">
        <f>IF(OR(B127="",C127=""),0,IFERROR(N(INDEX(Ingredients!$AD$6:$AD$105,MATCH(C127,Ingredients!$B$6:$B$105,0))),0))</f>
        <v/>
      </c>
      <c r="L127">
        <f>IF(OR(B127="",C127=""),0,IFERROR(N(INDEX(Ingredients!$AE$6:$AE$105,MATCH(C127,Ingredients!$B$6:$B$105,0))),0))</f>
        <v/>
      </c>
      <c r="M127">
        <f>IF(OR(B127="",C127=""),0,IFERROR(N(INDEX(Ingredients!$AF$6:$AF$105,MATCH(C127,Ingredients!$B$6:$B$105,0))),0))</f>
        <v/>
      </c>
      <c r="N127">
        <f>IF(OR(B127="",C127=""),0,IFERROR(N(INDEX(Ingredients!$AG$6:$AG$105,MATCH(C127,Ingredients!$B$6:$B$105,0))),0))</f>
        <v/>
      </c>
      <c r="O127">
        <f>IF(OR(B127="",C127=""),0,IFERROR(N(INDEX(Ingredients!$AH$6:$AH$105,MATCH(C127,Ingredients!$B$6:$B$105,0))),0))</f>
        <v/>
      </c>
      <c r="P127">
        <f>IF(OR(B127="",C127=""),0,IFERROR(N(INDEX(Ingredients!$AI$6:$AI$105,MATCH(C127,Ingredients!$B$6:$B$105,0))),0))</f>
        <v/>
      </c>
      <c r="Q127">
        <f>IF(OR(B127="",C127=""),0,IFERROR(N(INDEX(Ingredients!$AJ$6:$AJ$105,MATCH(C127,Ingredients!$B$6:$B$105,0))),0))</f>
        <v/>
      </c>
      <c r="R127">
        <f>IF(OR(B127="",C127=""),0,IFERROR(N(INDEX(Ingredients!$AK$6:$AK$105,MATCH(C127,Ingredients!$B$6:$B$105,0))),0))</f>
        <v/>
      </c>
      <c r="S127">
        <f>IF(OR(B127="",C127=""),0,IFERROR(N(INDEX(Ingredients!$AL$6:$AL$105,MATCH(C127,Ingredients!$B$6:$B$105,0))),0))</f>
        <v/>
      </c>
      <c r="T127">
        <f>IF(OR(B127="",C127=""),0,IFERROR(N(INDEX(Ingredients!$AM$6:$AM$105,MATCH(C127,Ingredients!$B$6:$B$105,0))),0))</f>
        <v/>
      </c>
      <c r="U127">
        <f>IF(OR(B127="",C127=""),0,IFERROR(N(INDEX(Ingredients!$AN$6:$AN$105,MATCH(C127,Ingredients!$B$6:$B$105,0))),0))</f>
        <v/>
      </c>
      <c r="V127">
        <f>IF(OR(B127="",C127=""),0,IFERROR(N(INDEX(Ingredients!$AO$6:$AO$105,MATCH(C127,Ingredients!$B$6:$B$105,0))),0))</f>
        <v/>
      </c>
      <c r="W127">
        <f>IF(OR(B127="",C127=""),0,IFERROR(N(INDEX(Ingredients!$AP$6:$AP$105,MATCH(C127,Ingredients!$B$6:$B$105,0))),0))</f>
        <v/>
      </c>
      <c r="X127">
        <f>IF(OR(B127="",C127=""),0,IFERROR(N(INDEX(Ingredients!$AQ$6:$AQ$105,MATCH(C127,Ingredients!$B$6:$B$105,0))),0))</f>
        <v/>
      </c>
    </row>
    <row r="128">
      <c r="A128" s="1" t="n"/>
      <c r="B128" s="21" t="n"/>
      <c r="C128" s="39" t="n"/>
      <c r="D128" s="40" t="n"/>
      <c r="E128" s="12">
        <f>IF(C128="","",IF(ISNA(MATCH(C128,Ingredients!$B$6:$B$105,0)),"Not on Ingredients",IFERROR(IF(INDEX(Ingredients!$C$6:$C$105,MATCH(C128,Ingredients!$B$6:$B$105,0))="","",INDEX(Ingredients!$C$6:$C$105,MATCH(C128,Ingredients!$B$6:$B$105,0))),"")))</f>
        <v/>
      </c>
      <c r="F128" s="26">
        <f>IF(OR(B128="",C128=""),"",N(D128)*IFERROR(N(INDEX(Ingredients!$H$6:$H$105,MATCH(C128,Ingredients!$B$6:$B$105,0))),0))</f>
        <v/>
      </c>
      <c r="G128" s="1">
        <f>IF(OR(B128="",C128=""),0,IFERROR(N(INDEX(Products!$D$6:$D$45,MATCH(B128,Products!$B$6:$B$45,0))),0))</f>
        <v/>
      </c>
      <c r="H128">
        <f>IF(N(G128)=0,0,N(D128)*SUMIFS(Batches!$D$6:$D$505,Batches!$C$6:$C$505,B128)/G128)</f>
        <v/>
      </c>
      <c r="I128">
        <f>IF(OR(B128="",C128=""),"",IF(B128&lt;&gt;Label!$H$3,"",IF(IFERROR(N(INDEX(Ingredients!$AS$6:$AS$105,MATCH(C128,Ingredients!$B$6:$B$105,0))),0)=1,"",ROUND(N(D128)*1000,0)*100000+100000-ROW())))</f>
        <v/>
      </c>
      <c r="J128">
        <f>IF(OR(B128="",C128=""),0,IFERROR(N(INDEX(Ingredients!$AC$6:$AC$105,MATCH(C128,Ingredients!$B$6:$B$105,0))),0))</f>
        <v/>
      </c>
      <c r="K128">
        <f>IF(OR(B128="",C128=""),0,IFERROR(N(INDEX(Ingredients!$AD$6:$AD$105,MATCH(C128,Ingredients!$B$6:$B$105,0))),0))</f>
        <v/>
      </c>
      <c r="L128">
        <f>IF(OR(B128="",C128=""),0,IFERROR(N(INDEX(Ingredients!$AE$6:$AE$105,MATCH(C128,Ingredients!$B$6:$B$105,0))),0))</f>
        <v/>
      </c>
      <c r="M128">
        <f>IF(OR(B128="",C128=""),0,IFERROR(N(INDEX(Ingredients!$AF$6:$AF$105,MATCH(C128,Ingredients!$B$6:$B$105,0))),0))</f>
        <v/>
      </c>
      <c r="N128">
        <f>IF(OR(B128="",C128=""),0,IFERROR(N(INDEX(Ingredients!$AG$6:$AG$105,MATCH(C128,Ingredients!$B$6:$B$105,0))),0))</f>
        <v/>
      </c>
      <c r="O128">
        <f>IF(OR(B128="",C128=""),0,IFERROR(N(INDEX(Ingredients!$AH$6:$AH$105,MATCH(C128,Ingredients!$B$6:$B$105,0))),0))</f>
        <v/>
      </c>
      <c r="P128">
        <f>IF(OR(B128="",C128=""),0,IFERROR(N(INDEX(Ingredients!$AI$6:$AI$105,MATCH(C128,Ingredients!$B$6:$B$105,0))),0))</f>
        <v/>
      </c>
      <c r="Q128">
        <f>IF(OR(B128="",C128=""),0,IFERROR(N(INDEX(Ingredients!$AJ$6:$AJ$105,MATCH(C128,Ingredients!$B$6:$B$105,0))),0))</f>
        <v/>
      </c>
      <c r="R128">
        <f>IF(OR(B128="",C128=""),0,IFERROR(N(INDEX(Ingredients!$AK$6:$AK$105,MATCH(C128,Ingredients!$B$6:$B$105,0))),0))</f>
        <v/>
      </c>
      <c r="S128">
        <f>IF(OR(B128="",C128=""),0,IFERROR(N(INDEX(Ingredients!$AL$6:$AL$105,MATCH(C128,Ingredients!$B$6:$B$105,0))),0))</f>
        <v/>
      </c>
      <c r="T128">
        <f>IF(OR(B128="",C128=""),0,IFERROR(N(INDEX(Ingredients!$AM$6:$AM$105,MATCH(C128,Ingredients!$B$6:$B$105,0))),0))</f>
        <v/>
      </c>
      <c r="U128">
        <f>IF(OR(B128="",C128=""),0,IFERROR(N(INDEX(Ingredients!$AN$6:$AN$105,MATCH(C128,Ingredients!$B$6:$B$105,0))),0))</f>
        <v/>
      </c>
      <c r="V128">
        <f>IF(OR(B128="",C128=""),0,IFERROR(N(INDEX(Ingredients!$AO$6:$AO$105,MATCH(C128,Ingredients!$B$6:$B$105,0))),0))</f>
        <v/>
      </c>
      <c r="W128">
        <f>IF(OR(B128="",C128=""),0,IFERROR(N(INDEX(Ingredients!$AP$6:$AP$105,MATCH(C128,Ingredients!$B$6:$B$105,0))),0))</f>
        <v/>
      </c>
      <c r="X128">
        <f>IF(OR(B128="",C128=""),0,IFERROR(N(INDEX(Ingredients!$AQ$6:$AQ$105,MATCH(C128,Ingredients!$B$6:$B$105,0))),0))</f>
        <v/>
      </c>
    </row>
    <row r="129">
      <c r="A129" s="1" t="n"/>
      <c r="B129" s="21" t="n"/>
      <c r="C129" s="39" t="n"/>
      <c r="D129" s="40" t="n"/>
      <c r="E129" s="12">
        <f>IF(C129="","",IF(ISNA(MATCH(C129,Ingredients!$B$6:$B$105,0)),"Not on Ingredients",IFERROR(IF(INDEX(Ingredients!$C$6:$C$105,MATCH(C129,Ingredients!$B$6:$B$105,0))="","",INDEX(Ingredients!$C$6:$C$105,MATCH(C129,Ingredients!$B$6:$B$105,0))),"")))</f>
        <v/>
      </c>
      <c r="F129" s="26">
        <f>IF(OR(B129="",C129=""),"",N(D129)*IFERROR(N(INDEX(Ingredients!$H$6:$H$105,MATCH(C129,Ingredients!$B$6:$B$105,0))),0))</f>
        <v/>
      </c>
      <c r="G129" s="1">
        <f>IF(OR(B129="",C129=""),0,IFERROR(N(INDEX(Products!$D$6:$D$45,MATCH(B129,Products!$B$6:$B$45,0))),0))</f>
        <v/>
      </c>
      <c r="H129">
        <f>IF(N(G129)=0,0,N(D129)*SUMIFS(Batches!$D$6:$D$505,Batches!$C$6:$C$505,B129)/G129)</f>
        <v/>
      </c>
      <c r="I129">
        <f>IF(OR(B129="",C129=""),"",IF(B129&lt;&gt;Label!$H$3,"",IF(IFERROR(N(INDEX(Ingredients!$AS$6:$AS$105,MATCH(C129,Ingredients!$B$6:$B$105,0))),0)=1,"",ROUND(N(D129)*1000,0)*100000+100000-ROW())))</f>
        <v/>
      </c>
      <c r="J129">
        <f>IF(OR(B129="",C129=""),0,IFERROR(N(INDEX(Ingredients!$AC$6:$AC$105,MATCH(C129,Ingredients!$B$6:$B$105,0))),0))</f>
        <v/>
      </c>
      <c r="K129">
        <f>IF(OR(B129="",C129=""),0,IFERROR(N(INDEX(Ingredients!$AD$6:$AD$105,MATCH(C129,Ingredients!$B$6:$B$105,0))),0))</f>
        <v/>
      </c>
      <c r="L129">
        <f>IF(OR(B129="",C129=""),0,IFERROR(N(INDEX(Ingredients!$AE$6:$AE$105,MATCH(C129,Ingredients!$B$6:$B$105,0))),0))</f>
        <v/>
      </c>
      <c r="M129">
        <f>IF(OR(B129="",C129=""),0,IFERROR(N(INDEX(Ingredients!$AF$6:$AF$105,MATCH(C129,Ingredients!$B$6:$B$105,0))),0))</f>
        <v/>
      </c>
      <c r="N129">
        <f>IF(OR(B129="",C129=""),0,IFERROR(N(INDEX(Ingredients!$AG$6:$AG$105,MATCH(C129,Ingredients!$B$6:$B$105,0))),0))</f>
        <v/>
      </c>
      <c r="O129">
        <f>IF(OR(B129="",C129=""),0,IFERROR(N(INDEX(Ingredients!$AH$6:$AH$105,MATCH(C129,Ingredients!$B$6:$B$105,0))),0))</f>
        <v/>
      </c>
      <c r="P129">
        <f>IF(OR(B129="",C129=""),0,IFERROR(N(INDEX(Ingredients!$AI$6:$AI$105,MATCH(C129,Ingredients!$B$6:$B$105,0))),0))</f>
        <v/>
      </c>
      <c r="Q129">
        <f>IF(OR(B129="",C129=""),0,IFERROR(N(INDEX(Ingredients!$AJ$6:$AJ$105,MATCH(C129,Ingredients!$B$6:$B$105,0))),0))</f>
        <v/>
      </c>
      <c r="R129">
        <f>IF(OR(B129="",C129=""),0,IFERROR(N(INDEX(Ingredients!$AK$6:$AK$105,MATCH(C129,Ingredients!$B$6:$B$105,0))),0))</f>
        <v/>
      </c>
      <c r="S129">
        <f>IF(OR(B129="",C129=""),0,IFERROR(N(INDEX(Ingredients!$AL$6:$AL$105,MATCH(C129,Ingredients!$B$6:$B$105,0))),0))</f>
        <v/>
      </c>
      <c r="T129">
        <f>IF(OR(B129="",C129=""),0,IFERROR(N(INDEX(Ingredients!$AM$6:$AM$105,MATCH(C129,Ingredients!$B$6:$B$105,0))),0))</f>
        <v/>
      </c>
      <c r="U129">
        <f>IF(OR(B129="",C129=""),0,IFERROR(N(INDEX(Ingredients!$AN$6:$AN$105,MATCH(C129,Ingredients!$B$6:$B$105,0))),0))</f>
        <v/>
      </c>
      <c r="V129">
        <f>IF(OR(B129="",C129=""),0,IFERROR(N(INDEX(Ingredients!$AO$6:$AO$105,MATCH(C129,Ingredients!$B$6:$B$105,0))),0))</f>
        <v/>
      </c>
      <c r="W129">
        <f>IF(OR(B129="",C129=""),0,IFERROR(N(INDEX(Ingredients!$AP$6:$AP$105,MATCH(C129,Ingredients!$B$6:$B$105,0))),0))</f>
        <v/>
      </c>
      <c r="X129">
        <f>IF(OR(B129="",C129=""),0,IFERROR(N(INDEX(Ingredients!$AQ$6:$AQ$105,MATCH(C129,Ingredients!$B$6:$B$105,0))),0))</f>
        <v/>
      </c>
    </row>
    <row r="130">
      <c r="A130" s="1" t="n"/>
      <c r="B130" s="21" t="n"/>
      <c r="C130" s="39" t="n"/>
      <c r="D130" s="40" t="n"/>
      <c r="E130" s="12">
        <f>IF(C130="","",IF(ISNA(MATCH(C130,Ingredients!$B$6:$B$105,0)),"Not on Ingredients",IFERROR(IF(INDEX(Ingredients!$C$6:$C$105,MATCH(C130,Ingredients!$B$6:$B$105,0))="","",INDEX(Ingredients!$C$6:$C$105,MATCH(C130,Ingredients!$B$6:$B$105,0))),"")))</f>
        <v/>
      </c>
      <c r="F130" s="26">
        <f>IF(OR(B130="",C130=""),"",N(D130)*IFERROR(N(INDEX(Ingredients!$H$6:$H$105,MATCH(C130,Ingredients!$B$6:$B$105,0))),0))</f>
        <v/>
      </c>
      <c r="G130" s="1">
        <f>IF(OR(B130="",C130=""),0,IFERROR(N(INDEX(Products!$D$6:$D$45,MATCH(B130,Products!$B$6:$B$45,0))),0))</f>
        <v/>
      </c>
      <c r="H130">
        <f>IF(N(G130)=0,0,N(D130)*SUMIFS(Batches!$D$6:$D$505,Batches!$C$6:$C$505,B130)/G130)</f>
        <v/>
      </c>
      <c r="I130">
        <f>IF(OR(B130="",C130=""),"",IF(B130&lt;&gt;Label!$H$3,"",IF(IFERROR(N(INDEX(Ingredients!$AS$6:$AS$105,MATCH(C130,Ingredients!$B$6:$B$105,0))),0)=1,"",ROUND(N(D130)*1000,0)*100000+100000-ROW())))</f>
        <v/>
      </c>
      <c r="J130">
        <f>IF(OR(B130="",C130=""),0,IFERROR(N(INDEX(Ingredients!$AC$6:$AC$105,MATCH(C130,Ingredients!$B$6:$B$105,0))),0))</f>
        <v/>
      </c>
      <c r="K130">
        <f>IF(OR(B130="",C130=""),0,IFERROR(N(INDEX(Ingredients!$AD$6:$AD$105,MATCH(C130,Ingredients!$B$6:$B$105,0))),0))</f>
        <v/>
      </c>
      <c r="L130">
        <f>IF(OR(B130="",C130=""),0,IFERROR(N(INDEX(Ingredients!$AE$6:$AE$105,MATCH(C130,Ingredients!$B$6:$B$105,0))),0))</f>
        <v/>
      </c>
      <c r="M130">
        <f>IF(OR(B130="",C130=""),0,IFERROR(N(INDEX(Ingredients!$AF$6:$AF$105,MATCH(C130,Ingredients!$B$6:$B$105,0))),0))</f>
        <v/>
      </c>
      <c r="N130">
        <f>IF(OR(B130="",C130=""),0,IFERROR(N(INDEX(Ingredients!$AG$6:$AG$105,MATCH(C130,Ingredients!$B$6:$B$105,0))),0))</f>
        <v/>
      </c>
      <c r="O130">
        <f>IF(OR(B130="",C130=""),0,IFERROR(N(INDEX(Ingredients!$AH$6:$AH$105,MATCH(C130,Ingredients!$B$6:$B$105,0))),0))</f>
        <v/>
      </c>
      <c r="P130">
        <f>IF(OR(B130="",C130=""),0,IFERROR(N(INDEX(Ingredients!$AI$6:$AI$105,MATCH(C130,Ingredients!$B$6:$B$105,0))),0))</f>
        <v/>
      </c>
      <c r="Q130">
        <f>IF(OR(B130="",C130=""),0,IFERROR(N(INDEX(Ingredients!$AJ$6:$AJ$105,MATCH(C130,Ingredients!$B$6:$B$105,0))),0))</f>
        <v/>
      </c>
      <c r="R130">
        <f>IF(OR(B130="",C130=""),0,IFERROR(N(INDEX(Ingredients!$AK$6:$AK$105,MATCH(C130,Ingredients!$B$6:$B$105,0))),0))</f>
        <v/>
      </c>
      <c r="S130">
        <f>IF(OR(B130="",C130=""),0,IFERROR(N(INDEX(Ingredients!$AL$6:$AL$105,MATCH(C130,Ingredients!$B$6:$B$105,0))),0))</f>
        <v/>
      </c>
      <c r="T130">
        <f>IF(OR(B130="",C130=""),0,IFERROR(N(INDEX(Ingredients!$AM$6:$AM$105,MATCH(C130,Ingredients!$B$6:$B$105,0))),0))</f>
        <v/>
      </c>
      <c r="U130">
        <f>IF(OR(B130="",C130=""),0,IFERROR(N(INDEX(Ingredients!$AN$6:$AN$105,MATCH(C130,Ingredients!$B$6:$B$105,0))),0))</f>
        <v/>
      </c>
      <c r="V130">
        <f>IF(OR(B130="",C130=""),0,IFERROR(N(INDEX(Ingredients!$AO$6:$AO$105,MATCH(C130,Ingredients!$B$6:$B$105,0))),0))</f>
        <v/>
      </c>
      <c r="W130">
        <f>IF(OR(B130="",C130=""),0,IFERROR(N(INDEX(Ingredients!$AP$6:$AP$105,MATCH(C130,Ingredients!$B$6:$B$105,0))),0))</f>
        <v/>
      </c>
      <c r="X130">
        <f>IF(OR(B130="",C130=""),0,IFERROR(N(INDEX(Ingredients!$AQ$6:$AQ$105,MATCH(C130,Ingredients!$B$6:$B$105,0))),0))</f>
        <v/>
      </c>
    </row>
    <row r="131">
      <c r="A131" s="1" t="n"/>
      <c r="B131" s="21" t="n"/>
      <c r="C131" s="39" t="n"/>
      <c r="D131" s="40" t="n"/>
      <c r="E131" s="12">
        <f>IF(C131="","",IF(ISNA(MATCH(C131,Ingredients!$B$6:$B$105,0)),"Not on Ingredients",IFERROR(IF(INDEX(Ingredients!$C$6:$C$105,MATCH(C131,Ingredients!$B$6:$B$105,0))="","",INDEX(Ingredients!$C$6:$C$105,MATCH(C131,Ingredients!$B$6:$B$105,0))),"")))</f>
        <v/>
      </c>
      <c r="F131" s="26">
        <f>IF(OR(B131="",C131=""),"",N(D131)*IFERROR(N(INDEX(Ingredients!$H$6:$H$105,MATCH(C131,Ingredients!$B$6:$B$105,0))),0))</f>
        <v/>
      </c>
      <c r="G131" s="1">
        <f>IF(OR(B131="",C131=""),0,IFERROR(N(INDEX(Products!$D$6:$D$45,MATCH(B131,Products!$B$6:$B$45,0))),0))</f>
        <v/>
      </c>
      <c r="H131">
        <f>IF(N(G131)=0,0,N(D131)*SUMIFS(Batches!$D$6:$D$505,Batches!$C$6:$C$505,B131)/G131)</f>
        <v/>
      </c>
      <c r="I131">
        <f>IF(OR(B131="",C131=""),"",IF(B131&lt;&gt;Label!$H$3,"",IF(IFERROR(N(INDEX(Ingredients!$AS$6:$AS$105,MATCH(C131,Ingredients!$B$6:$B$105,0))),0)=1,"",ROUND(N(D131)*1000,0)*100000+100000-ROW())))</f>
        <v/>
      </c>
      <c r="J131">
        <f>IF(OR(B131="",C131=""),0,IFERROR(N(INDEX(Ingredients!$AC$6:$AC$105,MATCH(C131,Ingredients!$B$6:$B$105,0))),0))</f>
        <v/>
      </c>
      <c r="K131">
        <f>IF(OR(B131="",C131=""),0,IFERROR(N(INDEX(Ingredients!$AD$6:$AD$105,MATCH(C131,Ingredients!$B$6:$B$105,0))),0))</f>
        <v/>
      </c>
      <c r="L131">
        <f>IF(OR(B131="",C131=""),0,IFERROR(N(INDEX(Ingredients!$AE$6:$AE$105,MATCH(C131,Ingredients!$B$6:$B$105,0))),0))</f>
        <v/>
      </c>
      <c r="M131">
        <f>IF(OR(B131="",C131=""),0,IFERROR(N(INDEX(Ingredients!$AF$6:$AF$105,MATCH(C131,Ingredients!$B$6:$B$105,0))),0))</f>
        <v/>
      </c>
      <c r="N131">
        <f>IF(OR(B131="",C131=""),0,IFERROR(N(INDEX(Ingredients!$AG$6:$AG$105,MATCH(C131,Ingredients!$B$6:$B$105,0))),0))</f>
        <v/>
      </c>
      <c r="O131">
        <f>IF(OR(B131="",C131=""),0,IFERROR(N(INDEX(Ingredients!$AH$6:$AH$105,MATCH(C131,Ingredients!$B$6:$B$105,0))),0))</f>
        <v/>
      </c>
      <c r="P131">
        <f>IF(OR(B131="",C131=""),0,IFERROR(N(INDEX(Ingredients!$AI$6:$AI$105,MATCH(C131,Ingredients!$B$6:$B$105,0))),0))</f>
        <v/>
      </c>
      <c r="Q131">
        <f>IF(OR(B131="",C131=""),0,IFERROR(N(INDEX(Ingredients!$AJ$6:$AJ$105,MATCH(C131,Ingredients!$B$6:$B$105,0))),0))</f>
        <v/>
      </c>
      <c r="R131">
        <f>IF(OR(B131="",C131=""),0,IFERROR(N(INDEX(Ingredients!$AK$6:$AK$105,MATCH(C131,Ingredients!$B$6:$B$105,0))),0))</f>
        <v/>
      </c>
      <c r="S131">
        <f>IF(OR(B131="",C131=""),0,IFERROR(N(INDEX(Ingredients!$AL$6:$AL$105,MATCH(C131,Ingredients!$B$6:$B$105,0))),0))</f>
        <v/>
      </c>
      <c r="T131">
        <f>IF(OR(B131="",C131=""),0,IFERROR(N(INDEX(Ingredients!$AM$6:$AM$105,MATCH(C131,Ingredients!$B$6:$B$105,0))),0))</f>
        <v/>
      </c>
      <c r="U131">
        <f>IF(OR(B131="",C131=""),0,IFERROR(N(INDEX(Ingredients!$AN$6:$AN$105,MATCH(C131,Ingredients!$B$6:$B$105,0))),0))</f>
        <v/>
      </c>
      <c r="V131">
        <f>IF(OR(B131="",C131=""),0,IFERROR(N(INDEX(Ingredients!$AO$6:$AO$105,MATCH(C131,Ingredients!$B$6:$B$105,0))),0))</f>
        <v/>
      </c>
      <c r="W131">
        <f>IF(OR(B131="",C131=""),0,IFERROR(N(INDEX(Ingredients!$AP$6:$AP$105,MATCH(C131,Ingredients!$B$6:$B$105,0))),0))</f>
        <v/>
      </c>
      <c r="X131">
        <f>IF(OR(B131="",C131=""),0,IFERROR(N(INDEX(Ingredients!$AQ$6:$AQ$105,MATCH(C131,Ingredients!$B$6:$B$105,0))),0))</f>
        <v/>
      </c>
    </row>
    <row r="132">
      <c r="A132" s="1" t="n"/>
      <c r="B132" s="21" t="n"/>
      <c r="C132" s="39" t="n"/>
      <c r="D132" s="40" t="n"/>
      <c r="E132" s="12">
        <f>IF(C132="","",IF(ISNA(MATCH(C132,Ingredients!$B$6:$B$105,0)),"Not on Ingredients",IFERROR(IF(INDEX(Ingredients!$C$6:$C$105,MATCH(C132,Ingredients!$B$6:$B$105,0))="","",INDEX(Ingredients!$C$6:$C$105,MATCH(C132,Ingredients!$B$6:$B$105,0))),"")))</f>
        <v/>
      </c>
      <c r="F132" s="26">
        <f>IF(OR(B132="",C132=""),"",N(D132)*IFERROR(N(INDEX(Ingredients!$H$6:$H$105,MATCH(C132,Ingredients!$B$6:$B$105,0))),0))</f>
        <v/>
      </c>
      <c r="G132" s="1">
        <f>IF(OR(B132="",C132=""),0,IFERROR(N(INDEX(Products!$D$6:$D$45,MATCH(B132,Products!$B$6:$B$45,0))),0))</f>
        <v/>
      </c>
      <c r="H132">
        <f>IF(N(G132)=0,0,N(D132)*SUMIFS(Batches!$D$6:$D$505,Batches!$C$6:$C$505,B132)/G132)</f>
        <v/>
      </c>
      <c r="I132">
        <f>IF(OR(B132="",C132=""),"",IF(B132&lt;&gt;Label!$H$3,"",IF(IFERROR(N(INDEX(Ingredients!$AS$6:$AS$105,MATCH(C132,Ingredients!$B$6:$B$105,0))),0)=1,"",ROUND(N(D132)*1000,0)*100000+100000-ROW())))</f>
        <v/>
      </c>
      <c r="J132">
        <f>IF(OR(B132="",C132=""),0,IFERROR(N(INDEX(Ingredients!$AC$6:$AC$105,MATCH(C132,Ingredients!$B$6:$B$105,0))),0))</f>
        <v/>
      </c>
      <c r="K132">
        <f>IF(OR(B132="",C132=""),0,IFERROR(N(INDEX(Ingredients!$AD$6:$AD$105,MATCH(C132,Ingredients!$B$6:$B$105,0))),0))</f>
        <v/>
      </c>
      <c r="L132">
        <f>IF(OR(B132="",C132=""),0,IFERROR(N(INDEX(Ingredients!$AE$6:$AE$105,MATCH(C132,Ingredients!$B$6:$B$105,0))),0))</f>
        <v/>
      </c>
      <c r="M132">
        <f>IF(OR(B132="",C132=""),0,IFERROR(N(INDEX(Ingredients!$AF$6:$AF$105,MATCH(C132,Ingredients!$B$6:$B$105,0))),0))</f>
        <v/>
      </c>
      <c r="N132">
        <f>IF(OR(B132="",C132=""),0,IFERROR(N(INDEX(Ingredients!$AG$6:$AG$105,MATCH(C132,Ingredients!$B$6:$B$105,0))),0))</f>
        <v/>
      </c>
      <c r="O132">
        <f>IF(OR(B132="",C132=""),0,IFERROR(N(INDEX(Ingredients!$AH$6:$AH$105,MATCH(C132,Ingredients!$B$6:$B$105,0))),0))</f>
        <v/>
      </c>
      <c r="P132">
        <f>IF(OR(B132="",C132=""),0,IFERROR(N(INDEX(Ingredients!$AI$6:$AI$105,MATCH(C132,Ingredients!$B$6:$B$105,0))),0))</f>
        <v/>
      </c>
      <c r="Q132">
        <f>IF(OR(B132="",C132=""),0,IFERROR(N(INDEX(Ingredients!$AJ$6:$AJ$105,MATCH(C132,Ingredients!$B$6:$B$105,0))),0))</f>
        <v/>
      </c>
      <c r="R132">
        <f>IF(OR(B132="",C132=""),0,IFERROR(N(INDEX(Ingredients!$AK$6:$AK$105,MATCH(C132,Ingredients!$B$6:$B$105,0))),0))</f>
        <v/>
      </c>
      <c r="S132">
        <f>IF(OR(B132="",C132=""),0,IFERROR(N(INDEX(Ingredients!$AL$6:$AL$105,MATCH(C132,Ingredients!$B$6:$B$105,0))),0))</f>
        <v/>
      </c>
      <c r="T132">
        <f>IF(OR(B132="",C132=""),0,IFERROR(N(INDEX(Ingredients!$AM$6:$AM$105,MATCH(C132,Ingredients!$B$6:$B$105,0))),0))</f>
        <v/>
      </c>
      <c r="U132">
        <f>IF(OR(B132="",C132=""),0,IFERROR(N(INDEX(Ingredients!$AN$6:$AN$105,MATCH(C132,Ingredients!$B$6:$B$105,0))),0))</f>
        <v/>
      </c>
      <c r="V132">
        <f>IF(OR(B132="",C132=""),0,IFERROR(N(INDEX(Ingredients!$AO$6:$AO$105,MATCH(C132,Ingredients!$B$6:$B$105,0))),0))</f>
        <v/>
      </c>
      <c r="W132">
        <f>IF(OR(B132="",C132=""),0,IFERROR(N(INDEX(Ingredients!$AP$6:$AP$105,MATCH(C132,Ingredients!$B$6:$B$105,0))),0))</f>
        <v/>
      </c>
      <c r="X132">
        <f>IF(OR(B132="",C132=""),0,IFERROR(N(INDEX(Ingredients!$AQ$6:$AQ$105,MATCH(C132,Ingredients!$B$6:$B$105,0))),0))</f>
        <v/>
      </c>
    </row>
    <row r="133">
      <c r="A133" s="1" t="n"/>
      <c r="B133" s="21" t="n"/>
      <c r="C133" s="39" t="n"/>
      <c r="D133" s="40" t="n"/>
      <c r="E133" s="12">
        <f>IF(C133="","",IF(ISNA(MATCH(C133,Ingredients!$B$6:$B$105,0)),"Not on Ingredients",IFERROR(IF(INDEX(Ingredients!$C$6:$C$105,MATCH(C133,Ingredients!$B$6:$B$105,0))="","",INDEX(Ingredients!$C$6:$C$105,MATCH(C133,Ingredients!$B$6:$B$105,0))),"")))</f>
        <v/>
      </c>
      <c r="F133" s="26">
        <f>IF(OR(B133="",C133=""),"",N(D133)*IFERROR(N(INDEX(Ingredients!$H$6:$H$105,MATCH(C133,Ingredients!$B$6:$B$105,0))),0))</f>
        <v/>
      </c>
      <c r="G133" s="1">
        <f>IF(OR(B133="",C133=""),0,IFERROR(N(INDEX(Products!$D$6:$D$45,MATCH(B133,Products!$B$6:$B$45,0))),0))</f>
        <v/>
      </c>
      <c r="H133">
        <f>IF(N(G133)=0,0,N(D133)*SUMIFS(Batches!$D$6:$D$505,Batches!$C$6:$C$505,B133)/G133)</f>
        <v/>
      </c>
      <c r="I133">
        <f>IF(OR(B133="",C133=""),"",IF(B133&lt;&gt;Label!$H$3,"",IF(IFERROR(N(INDEX(Ingredients!$AS$6:$AS$105,MATCH(C133,Ingredients!$B$6:$B$105,0))),0)=1,"",ROUND(N(D133)*1000,0)*100000+100000-ROW())))</f>
        <v/>
      </c>
      <c r="J133">
        <f>IF(OR(B133="",C133=""),0,IFERROR(N(INDEX(Ingredients!$AC$6:$AC$105,MATCH(C133,Ingredients!$B$6:$B$105,0))),0))</f>
        <v/>
      </c>
      <c r="K133">
        <f>IF(OR(B133="",C133=""),0,IFERROR(N(INDEX(Ingredients!$AD$6:$AD$105,MATCH(C133,Ingredients!$B$6:$B$105,0))),0))</f>
        <v/>
      </c>
      <c r="L133">
        <f>IF(OR(B133="",C133=""),0,IFERROR(N(INDEX(Ingredients!$AE$6:$AE$105,MATCH(C133,Ingredients!$B$6:$B$105,0))),0))</f>
        <v/>
      </c>
      <c r="M133">
        <f>IF(OR(B133="",C133=""),0,IFERROR(N(INDEX(Ingredients!$AF$6:$AF$105,MATCH(C133,Ingredients!$B$6:$B$105,0))),0))</f>
        <v/>
      </c>
      <c r="N133">
        <f>IF(OR(B133="",C133=""),0,IFERROR(N(INDEX(Ingredients!$AG$6:$AG$105,MATCH(C133,Ingredients!$B$6:$B$105,0))),0))</f>
        <v/>
      </c>
      <c r="O133">
        <f>IF(OR(B133="",C133=""),0,IFERROR(N(INDEX(Ingredients!$AH$6:$AH$105,MATCH(C133,Ingredients!$B$6:$B$105,0))),0))</f>
        <v/>
      </c>
      <c r="P133">
        <f>IF(OR(B133="",C133=""),0,IFERROR(N(INDEX(Ingredients!$AI$6:$AI$105,MATCH(C133,Ingredients!$B$6:$B$105,0))),0))</f>
        <v/>
      </c>
      <c r="Q133">
        <f>IF(OR(B133="",C133=""),0,IFERROR(N(INDEX(Ingredients!$AJ$6:$AJ$105,MATCH(C133,Ingredients!$B$6:$B$105,0))),0))</f>
        <v/>
      </c>
      <c r="R133">
        <f>IF(OR(B133="",C133=""),0,IFERROR(N(INDEX(Ingredients!$AK$6:$AK$105,MATCH(C133,Ingredients!$B$6:$B$105,0))),0))</f>
        <v/>
      </c>
      <c r="S133">
        <f>IF(OR(B133="",C133=""),0,IFERROR(N(INDEX(Ingredients!$AL$6:$AL$105,MATCH(C133,Ingredients!$B$6:$B$105,0))),0))</f>
        <v/>
      </c>
      <c r="T133">
        <f>IF(OR(B133="",C133=""),0,IFERROR(N(INDEX(Ingredients!$AM$6:$AM$105,MATCH(C133,Ingredients!$B$6:$B$105,0))),0))</f>
        <v/>
      </c>
      <c r="U133">
        <f>IF(OR(B133="",C133=""),0,IFERROR(N(INDEX(Ingredients!$AN$6:$AN$105,MATCH(C133,Ingredients!$B$6:$B$105,0))),0))</f>
        <v/>
      </c>
      <c r="V133">
        <f>IF(OR(B133="",C133=""),0,IFERROR(N(INDEX(Ingredients!$AO$6:$AO$105,MATCH(C133,Ingredients!$B$6:$B$105,0))),0))</f>
        <v/>
      </c>
      <c r="W133">
        <f>IF(OR(B133="",C133=""),0,IFERROR(N(INDEX(Ingredients!$AP$6:$AP$105,MATCH(C133,Ingredients!$B$6:$B$105,0))),0))</f>
        <v/>
      </c>
      <c r="X133">
        <f>IF(OR(B133="",C133=""),0,IFERROR(N(INDEX(Ingredients!$AQ$6:$AQ$105,MATCH(C133,Ingredients!$B$6:$B$105,0))),0))</f>
        <v/>
      </c>
    </row>
    <row r="134">
      <c r="A134" s="1" t="n"/>
      <c r="B134" s="21" t="n"/>
      <c r="C134" s="39" t="n"/>
      <c r="D134" s="40" t="n"/>
      <c r="E134" s="12">
        <f>IF(C134="","",IF(ISNA(MATCH(C134,Ingredients!$B$6:$B$105,0)),"Not on Ingredients",IFERROR(IF(INDEX(Ingredients!$C$6:$C$105,MATCH(C134,Ingredients!$B$6:$B$105,0))="","",INDEX(Ingredients!$C$6:$C$105,MATCH(C134,Ingredients!$B$6:$B$105,0))),"")))</f>
        <v/>
      </c>
      <c r="F134" s="26">
        <f>IF(OR(B134="",C134=""),"",N(D134)*IFERROR(N(INDEX(Ingredients!$H$6:$H$105,MATCH(C134,Ingredients!$B$6:$B$105,0))),0))</f>
        <v/>
      </c>
      <c r="G134" s="1">
        <f>IF(OR(B134="",C134=""),0,IFERROR(N(INDEX(Products!$D$6:$D$45,MATCH(B134,Products!$B$6:$B$45,0))),0))</f>
        <v/>
      </c>
      <c r="H134">
        <f>IF(N(G134)=0,0,N(D134)*SUMIFS(Batches!$D$6:$D$505,Batches!$C$6:$C$505,B134)/G134)</f>
        <v/>
      </c>
      <c r="I134">
        <f>IF(OR(B134="",C134=""),"",IF(B134&lt;&gt;Label!$H$3,"",IF(IFERROR(N(INDEX(Ingredients!$AS$6:$AS$105,MATCH(C134,Ingredients!$B$6:$B$105,0))),0)=1,"",ROUND(N(D134)*1000,0)*100000+100000-ROW())))</f>
        <v/>
      </c>
      <c r="J134">
        <f>IF(OR(B134="",C134=""),0,IFERROR(N(INDEX(Ingredients!$AC$6:$AC$105,MATCH(C134,Ingredients!$B$6:$B$105,0))),0))</f>
        <v/>
      </c>
      <c r="K134">
        <f>IF(OR(B134="",C134=""),0,IFERROR(N(INDEX(Ingredients!$AD$6:$AD$105,MATCH(C134,Ingredients!$B$6:$B$105,0))),0))</f>
        <v/>
      </c>
      <c r="L134">
        <f>IF(OR(B134="",C134=""),0,IFERROR(N(INDEX(Ingredients!$AE$6:$AE$105,MATCH(C134,Ingredients!$B$6:$B$105,0))),0))</f>
        <v/>
      </c>
      <c r="M134">
        <f>IF(OR(B134="",C134=""),0,IFERROR(N(INDEX(Ingredients!$AF$6:$AF$105,MATCH(C134,Ingredients!$B$6:$B$105,0))),0))</f>
        <v/>
      </c>
      <c r="N134">
        <f>IF(OR(B134="",C134=""),0,IFERROR(N(INDEX(Ingredients!$AG$6:$AG$105,MATCH(C134,Ingredients!$B$6:$B$105,0))),0))</f>
        <v/>
      </c>
      <c r="O134">
        <f>IF(OR(B134="",C134=""),0,IFERROR(N(INDEX(Ingredients!$AH$6:$AH$105,MATCH(C134,Ingredients!$B$6:$B$105,0))),0))</f>
        <v/>
      </c>
      <c r="P134">
        <f>IF(OR(B134="",C134=""),0,IFERROR(N(INDEX(Ingredients!$AI$6:$AI$105,MATCH(C134,Ingredients!$B$6:$B$105,0))),0))</f>
        <v/>
      </c>
      <c r="Q134">
        <f>IF(OR(B134="",C134=""),0,IFERROR(N(INDEX(Ingredients!$AJ$6:$AJ$105,MATCH(C134,Ingredients!$B$6:$B$105,0))),0))</f>
        <v/>
      </c>
      <c r="R134">
        <f>IF(OR(B134="",C134=""),0,IFERROR(N(INDEX(Ingredients!$AK$6:$AK$105,MATCH(C134,Ingredients!$B$6:$B$105,0))),0))</f>
        <v/>
      </c>
      <c r="S134">
        <f>IF(OR(B134="",C134=""),0,IFERROR(N(INDEX(Ingredients!$AL$6:$AL$105,MATCH(C134,Ingredients!$B$6:$B$105,0))),0))</f>
        <v/>
      </c>
      <c r="T134">
        <f>IF(OR(B134="",C134=""),0,IFERROR(N(INDEX(Ingredients!$AM$6:$AM$105,MATCH(C134,Ingredients!$B$6:$B$105,0))),0))</f>
        <v/>
      </c>
      <c r="U134">
        <f>IF(OR(B134="",C134=""),0,IFERROR(N(INDEX(Ingredients!$AN$6:$AN$105,MATCH(C134,Ingredients!$B$6:$B$105,0))),0))</f>
        <v/>
      </c>
      <c r="V134">
        <f>IF(OR(B134="",C134=""),0,IFERROR(N(INDEX(Ingredients!$AO$6:$AO$105,MATCH(C134,Ingredients!$B$6:$B$105,0))),0))</f>
        <v/>
      </c>
      <c r="W134">
        <f>IF(OR(B134="",C134=""),0,IFERROR(N(INDEX(Ingredients!$AP$6:$AP$105,MATCH(C134,Ingredients!$B$6:$B$105,0))),0))</f>
        <v/>
      </c>
      <c r="X134">
        <f>IF(OR(B134="",C134=""),0,IFERROR(N(INDEX(Ingredients!$AQ$6:$AQ$105,MATCH(C134,Ingredients!$B$6:$B$105,0))),0))</f>
        <v/>
      </c>
    </row>
    <row r="135">
      <c r="A135" s="1" t="n"/>
      <c r="B135" s="21" t="n"/>
      <c r="C135" s="39" t="n"/>
      <c r="D135" s="40" t="n"/>
      <c r="E135" s="12">
        <f>IF(C135="","",IF(ISNA(MATCH(C135,Ingredients!$B$6:$B$105,0)),"Not on Ingredients",IFERROR(IF(INDEX(Ingredients!$C$6:$C$105,MATCH(C135,Ingredients!$B$6:$B$105,0))="","",INDEX(Ingredients!$C$6:$C$105,MATCH(C135,Ingredients!$B$6:$B$105,0))),"")))</f>
        <v/>
      </c>
      <c r="F135" s="26">
        <f>IF(OR(B135="",C135=""),"",N(D135)*IFERROR(N(INDEX(Ingredients!$H$6:$H$105,MATCH(C135,Ingredients!$B$6:$B$105,0))),0))</f>
        <v/>
      </c>
      <c r="G135" s="1">
        <f>IF(OR(B135="",C135=""),0,IFERROR(N(INDEX(Products!$D$6:$D$45,MATCH(B135,Products!$B$6:$B$45,0))),0))</f>
        <v/>
      </c>
      <c r="H135">
        <f>IF(N(G135)=0,0,N(D135)*SUMIFS(Batches!$D$6:$D$505,Batches!$C$6:$C$505,B135)/G135)</f>
        <v/>
      </c>
      <c r="I135">
        <f>IF(OR(B135="",C135=""),"",IF(B135&lt;&gt;Label!$H$3,"",IF(IFERROR(N(INDEX(Ingredients!$AS$6:$AS$105,MATCH(C135,Ingredients!$B$6:$B$105,0))),0)=1,"",ROUND(N(D135)*1000,0)*100000+100000-ROW())))</f>
        <v/>
      </c>
      <c r="J135">
        <f>IF(OR(B135="",C135=""),0,IFERROR(N(INDEX(Ingredients!$AC$6:$AC$105,MATCH(C135,Ingredients!$B$6:$B$105,0))),0))</f>
        <v/>
      </c>
      <c r="K135">
        <f>IF(OR(B135="",C135=""),0,IFERROR(N(INDEX(Ingredients!$AD$6:$AD$105,MATCH(C135,Ingredients!$B$6:$B$105,0))),0))</f>
        <v/>
      </c>
      <c r="L135">
        <f>IF(OR(B135="",C135=""),0,IFERROR(N(INDEX(Ingredients!$AE$6:$AE$105,MATCH(C135,Ingredients!$B$6:$B$105,0))),0))</f>
        <v/>
      </c>
      <c r="M135">
        <f>IF(OR(B135="",C135=""),0,IFERROR(N(INDEX(Ingredients!$AF$6:$AF$105,MATCH(C135,Ingredients!$B$6:$B$105,0))),0))</f>
        <v/>
      </c>
      <c r="N135">
        <f>IF(OR(B135="",C135=""),0,IFERROR(N(INDEX(Ingredients!$AG$6:$AG$105,MATCH(C135,Ingredients!$B$6:$B$105,0))),0))</f>
        <v/>
      </c>
      <c r="O135">
        <f>IF(OR(B135="",C135=""),0,IFERROR(N(INDEX(Ingredients!$AH$6:$AH$105,MATCH(C135,Ingredients!$B$6:$B$105,0))),0))</f>
        <v/>
      </c>
      <c r="P135">
        <f>IF(OR(B135="",C135=""),0,IFERROR(N(INDEX(Ingredients!$AI$6:$AI$105,MATCH(C135,Ingredients!$B$6:$B$105,0))),0))</f>
        <v/>
      </c>
      <c r="Q135">
        <f>IF(OR(B135="",C135=""),0,IFERROR(N(INDEX(Ingredients!$AJ$6:$AJ$105,MATCH(C135,Ingredients!$B$6:$B$105,0))),0))</f>
        <v/>
      </c>
      <c r="R135">
        <f>IF(OR(B135="",C135=""),0,IFERROR(N(INDEX(Ingredients!$AK$6:$AK$105,MATCH(C135,Ingredients!$B$6:$B$105,0))),0))</f>
        <v/>
      </c>
      <c r="S135">
        <f>IF(OR(B135="",C135=""),0,IFERROR(N(INDEX(Ingredients!$AL$6:$AL$105,MATCH(C135,Ingredients!$B$6:$B$105,0))),0))</f>
        <v/>
      </c>
      <c r="T135">
        <f>IF(OR(B135="",C135=""),0,IFERROR(N(INDEX(Ingredients!$AM$6:$AM$105,MATCH(C135,Ingredients!$B$6:$B$105,0))),0))</f>
        <v/>
      </c>
      <c r="U135">
        <f>IF(OR(B135="",C135=""),0,IFERROR(N(INDEX(Ingredients!$AN$6:$AN$105,MATCH(C135,Ingredients!$B$6:$B$105,0))),0))</f>
        <v/>
      </c>
      <c r="V135">
        <f>IF(OR(B135="",C135=""),0,IFERROR(N(INDEX(Ingredients!$AO$6:$AO$105,MATCH(C135,Ingredients!$B$6:$B$105,0))),0))</f>
        <v/>
      </c>
      <c r="W135">
        <f>IF(OR(B135="",C135=""),0,IFERROR(N(INDEX(Ingredients!$AP$6:$AP$105,MATCH(C135,Ingredients!$B$6:$B$105,0))),0))</f>
        <v/>
      </c>
      <c r="X135">
        <f>IF(OR(B135="",C135=""),0,IFERROR(N(INDEX(Ingredients!$AQ$6:$AQ$105,MATCH(C135,Ingredients!$B$6:$B$105,0))),0))</f>
        <v/>
      </c>
    </row>
    <row r="136">
      <c r="A136" s="1" t="n"/>
      <c r="B136" s="21" t="n"/>
      <c r="C136" s="39" t="n"/>
      <c r="D136" s="40" t="n"/>
      <c r="E136" s="12">
        <f>IF(C136="","",IF(ISNA(MATCH(C136,Ingredients!$B$6:$B$105,0)),"Not on Ingredients",IFERROR(IF(INDEX(Ingredients!$C$6:$C$105,MATCH(C136,Ingredients!$B$6:$B$105,0))="","",INDEX(Ingredients!$C$6:$C$105,MATCH(C136,Ingredients!$B$6:$B$105,0))),"")))</f>
        <v/>
      </c>
      <c r="F136" s="26">
        <f>IF(OR(B136="",C136=""),"",N(D136)*IFERROR(N(INDEX(Ingredients!$H$6:$H$105,MATCH(C136,Ingredients!$B$6:$B$105,0))),0))</f>
        <v/>
      </c>
      <c r="G136" s="1">
        <f>IF(OR(B136="",C136=""),0,IFERROR(N(INDEX(Products!$D$6:$D$45,MATCH(B136,Products!$B$6:$B$45,0))),0))</f>
        <v/>
      </c>
      <c r="H136">
        <f>IF(N(G136)=0,0,N(D136)*SUMIFS(Batches!$D$6:$D$505,Batches!$C$6:$C$505,B136)/G136)</f>
        <v/>
      </c>
      <c r="I136">
        <f>IF(OR(B136="",C136=""),"",IF(B136&lt;&gt;Label!$H$3,"",IF(IFERROR(N(INDEX(Ingredients!$AS$6:$AS$105,MATCH(C136,Ingredients!$B$6:$B$105,0))),0)=1,"",ROUND(N(D136)*1000,0)*100000+100000-ROW())))</f>
        <v/>
      </c>
      <c r="J136">
        <f>IF(OR(B136="",C136=""),0,IFERROR(N(INDEX(Ingredients!$AC$6:$AC$105,MATCH(C136,Ingredients!$B$6:$B$105,0))),0))</f>
        <v/>
      </c>
      <c r="K136">
        <f>IF(OR(B136="",C136=""),0,IFERROR(N(INDEX(Ingredients!$AD$6:$AD$105,MATCH(C136,Ingredients!$B$6:$B$105,0))),0))</f>
        <v/>
      </c>
      <c r="L136">
        <f>IF(OR(B136="",C136=""),0,IFERROR(N(INDEX(Ingredients!$AE$6:$AE$105,MATCH(C136,Ingredients!$B$6:$B$105,0))),0))</f>
        <v/>
      </c>
      <c r="M136">
        <f>IF(OR(B136="",C136=""),0,IFERROR(N(INDEX(Ingredients!$AF$6:$AF$105,MATCH(C136,Ingredients!$B$6:$B$105,0))),0))</f>
        <v/>
      </c>
      <c r="N136">
        <f>IF(OR(B136="",C136=""),0,IFERROR(N(INDEX(Ingredients!$AG$6:$AG$105,MATCH(C136,Ingredients!$B$6:$B$105,0))),0))</f>
        <v/>
      </c>
      <c r="O136">
        <f>IF(OR(B136="",C136=""),0,IFERROR(N(INDEX(Ingredients!$AH$6:$AH$105,MATCH(C136,Ingredients!$B$6:$B$105,0))),0))</f>
        <v/>
      </c>
      <c r="P136">
        <f>IF(OR(B136="",C136=""),0,IFERROR(N(INDEX(Ingredients!$AI$6:$AI$105,MATCH(C136,Ingredients!$B$6:$B$105,0))),0))</f>
        <v/>
      </c>
      <c r="Q136">
        <f>IF(OR(B136="",C136=""),0,IFERROR(N(INDEX(Ingredients!$AJ$6:$AJ$105,MATCH(C136,Ingredients!$B$6:$B$105,0))),0))</f>
        <v/>
      </c>
      <c r="R136">
        <f>IF(OR(B136="",C136=""),0,IFERROR(N(INDEX(Ingredients!$AK$6:$AK$105,MATCH(C136,Ingredients!$B$6:$B$105,0))),0))</f>
        <v/>
      </c>
      <c r="S136">
        <f>IF(OR(B136="",C136=""),0,IFERROR(N(INDEX(Ingredients!$AL$6:$AL$105,MATCH(C136,Ingredients!$B$6:$B$105,0))),0))</f>
        <v/>
      </c>
      <c r="T136">
        <f>IF(OR(B136="",C136=""),0,IFERROR(N(INDEX(Ingredients!$AM$6:$AM$105,MATCH(C136,Ingredients!$B$6:$B$105,0))),0))</f>
        <v/>
      </c>
      <c r="U136">
        <f>IF(OR(B136="",C136=""),0,IFERROR(N(INDEX(Ingredients!$AN$6:$AN$105,MATCH(C136,Ingredients!$B$6:$B$105,0))),0))</f>
        <v/>
      </c>
      <c r="V136">
        <f>IF(OR(B136="",C136=""),0,IFERROR(N(INDEX(Ingredients!$AO$6:$AO$105,MATCH(C136,Ingredients!$B$6:$B$105,0))),0))</f>
        <v/>
      </c>
      <c r="W136">
        <f>IF(OR(B136="",C136=""),0,IFERROR(N(INDEX(Ingredients!$AP$6:$AP$105,MATCH(C136,Ingredients!$B$6:$B$105,0))),0))</f>
        <v/>
      </c>
      <c r="X136">
        <f>IF(OR(B136="",C136=""),0,IFERROR(N(INDEX(Ingredients!$AQ$6:$AQ$105,MATCH(C136,Ingredients!$B$6:$B$105,0))),0))</f>
        <v/>
      </c>
    </row>
    <row r="137">
      <c r="A137" s="1" t="n"/>
      <c r="B137" s="21" t="n"/>
      <c r="C137" s="39" t="n"/>
      <c r="D137" s="40" t="n"/>
      <c r="E137" s="12">
        <f>IF(C137="","",IF(ISNA(MATCH(C137,Ingredients!$B$6:$B$105,0)),"Not on Ingredients",IFERROR(IF(INDEX(Ingredients!$C$6:$C$105,MATCH(C137,Ingredients!$B$6:$B$105,0))="","",INDEX(Ingredients!$C$6:$C$105,MATCH(C137,Ingredients!$B$6:$B$105,0))),"")))</f>
        <v/>
      </c>
      <c r="F137" s="26">
        <f>IF(OR(B137="",C137=""),"",N(D137)*IFERROR(N(INDEX(Ingredients!$H$6:$H$105,MATCH(C137,Ingredients!$B$6:$B$105,0))),0))</f>
        <v/>
      </c>
      <c r="G137" s="1">
        <f>IF(OR(B137="",C137=""),0,IFERROR(N(INDEX(Products!$D$6:$D$45,MATCH(B137,Products!$B$6:$B$45,0))),0))</f>
        <v/>
      </c>
      <c r="H137">
        <f>IF(N(G137)=0,0,N(D137)*SUMIFS(Batches!$D$6:$D$505,Batches!$C$6:$C$505,B137)/G137)</f>
        <v/>
      </c>
      <c r="I137">
        <f>IF(OR(B137="",C137=""),"",IF(B137&lt;&gt;Label!$H$3,"",IF(IFERROR(N(INDEX(Ingredients!$AS$6:$AS$105,MATCH(C137,Ingredients!$B$6:$B$105,0))),0)=1,"",ROUND(N(D137)*1000,0)*100000+100000-ROW())))</f>
        <v/>
      </c>
      <c r="J137">
        <f>IF(OR(B137="",C137=""),0,IFERROR(N(INDEX(Ingredients!$AC$6:$AC$105,MATCH(C137,Ingredients!$B$6:$B$105,0))),0))</f>
        <v/>
      </c>
      <c r="K137">
        <f>IF(OR(B137="",C137=""),0,IFERROR(N(INDEX(Ingredients!$AD$6:$AD$105,MATCH(C137,Ingredients!$B$6:$B$105,0))),0))</f>
        <v/>
      </c>
      <c r="L137">
        <f>IF(OR(B137="",C137=""),0,IFERROR(N(INDEX(Ingredients!$AE$6:$AE$105,MATCH(C137,Ingredients!$B$6:$B$105,0))),0))</f>
        <v/>
      </c>
      <c r="M137">
        <f>IF(OR(B137="",C137=""),0,IFERROR(N(INDEX(Ingredients!$AF$6:$AF$105,MATCH(C137,Ingredients!$B$6:$B$105,0))),0))</f>
        <v/>
      </c>
      <c r="N137">
        <f>IF(OR(B137="",C137=""),0,IFERROR(N(INDEX(Ingredients!$AG$6:$AG$105,MATCH(C137,Ingredients!$B$6:$B$105,0))),0))</f>
        <v/>
      </c>
      <c r="O137">
        <f>IF(OR(B137="",C137=""),0,IFERROR(N(INDEX(Ingredients!$AH$6:$AH$105,MATCH(C137,Ingredients!$B$6:$B$105,0))),0))</f>
        <v/>
      </c>
      <c r="P137">
        <f>IF(OR(B137="",C137=""),0,IFERROR(N(INDEX(Ingredients!$AI$6:$AI$105,MATCH(C137,Ingredients!$B$6:$B$105,0))),0))</f>
        <v/>
      </c>
      <c r="Q137">
        <f>IF(OR(B137="",C137=""),0,IFERROR(N(INDEX(Ingredients!$AJ$6:$AJ$105,MATCH(C137,Ingredients!$B$6:$B$105,0))),0))</f>
        <v/>
      </c>
      <c r="R137">
        <f>IF(OR(B137="",C137=""),0,IFERROR(N(INDEX(Ingredients!$AK$6:$AK$105,MATCH(C137,Ingredients!$B$6:$B$105,0))),0))</f>
        <v/>
      </c>
      <c r="S137">
        <f>IF(OR(B137="",C137=""),0,IFERROR(N(INDEX(Ingredients!$AL$6:$AL$105,MATCH(C137,Ingredients!$B$6:$B$105,0))),0))</f>
        <v/>
      </c>
      <c r="T137">
        <f>IF(OR(B137="",C137=""),0,IFERROR(N(INDEX(Ingredients!$AM$6:$AM$105,MATCH(C137,Ingredients!$B$6:$B$105,0))),0))</f>
        <v/>
      </c>
      <c r="U137">
        <f>IF(OR(B137="",C137=""),0,IFERROR(N(INDEX(Ingredients!$AN$6:$AN$105,MATCH(C137,Ingredients!$B$6:$B$105,0))),0))</f>
        <v/>
      </c>
      <c r="V137">
        <f>IF(OR(B137="",C137=""),0,IFERROR(N(INDEX(Ingredients!$AO$6:$AO$105,MATCH(C137,Ingredients!$B$6:$B$105,0))),0))</f>
        <v/>
      </c>
      <c r="W137">
        <f>IF(OR(B137="",C137=""),0,IFERROR(N(INDEX(Ingredients!$AP$6:$AP$105,MATCH(C137,Ingredients!$B$6:$B$105,0))),0))</f>
        <v/>
      </c>
      <c r="X137">
        <f>IF(OR(B137="",C137=""),0,IFERROR(N(INDEX(Ingredients!$AQ$6:$AQ$105,MATCH(C137,Ingredients!$B$6:$B$105,0))),0))</f>
        <v/>
      </c>
    </row>
    <row r="138">
      <c r="A138" s="1" t="n"/>
      <c r="B138" s="21" t="n"/>
      <c r="C138" s="39" t="n"/>
      <c r="D138" s="40" t="n"/>
      <c r="E138" s="12">
        <f>IF(C138="","",IF(ISNA(MATCH(C138,Ingredients!$B$6:$B$105,0)),"Not on Ingredients",IFERROR(IF(INDEX(Ingredients!$C$6:$C$105,MATCH(C138,Ingredients!$B$6:$B$105,0))="","",INDEX(Ingredients!$C$6:$C$105,MATCH(C138,Ingredients!$B$6:$B$105,0))),"")))</f>
        <v/>
      </c>
      <c r="F138" s="26">
        <f>IF(OR(B138="",C138=""),"",N(D138)*IFERROR(N(INDEX(Ingredients!$H$6:$H$105,MATCH(C138,Ingredients!$B$6:$B$105,0))),0))</f>
        <v/>
      </c>
      <c r="G138" s="1">
        <f>IF(OR(B138="",C138=""),0,IFERROR(N(INDEX(Products!$D$6:$D$45,MATCH(B138,Products!$B$6:$B$45,0))),0))</f>
        <v/>
      </c>
      <c r="H138">
        <f>IF(N(G138)=0,0,N(D138)*SUMIFS(Batches!$D$6:$D$505,Batches!$C$6:$C$505,B138)/G138)</f>
        <v/>
      </c>
      <c r="I138">
        <f>IF(OR(B138="",C138=""),"",IF(B138&lt;&gt;Label!$H$3,"",IF(IFERROR(N(INDEX(Ingredients!$AS$6:$AS$105,MATCH(C138,Ingredients!$B$6:$B$105,0))),0)=1,"",ROUND(N(D138)*1000,0)*100000+100000-ROW())))</f>
        <v/>
      </c>
      <c r="J138">
        <f>IF(OR(B138="",C138=""),0,IFERROR(N(INDEX(Ingredients!$AC$6:$AC$105,MATCH(C138,Ingredients!$B$6:$B$105,0))),0))</f>
        <v/>
      </c>
      <c r="K138">
        <f>IF(OR(B138="",C138=""),0,IFERROR(N(INDEX(Ingredients!$AD$6:$AD$105,MATCH(C138,Ingredients!$B$6:$B$105,0))),0))</f>
        <v/>
      </c>
      <c r="L138">
        <f>IF(OR(B138="",C138=""),0,IFERROR(N(INDEX(Ingredients!$AE$6:$AE$105,MATCH(C138,Ingredients!$B$6:$B$105,0))),0))</f>
        <v/>
      </c>
      <c r="M138">
        <f>IF(OR(B138="",C138=""),0,IFERROR(N(INDEX(Ingredients!$AF$6:$AF$105,MATCH(C138,Ingredients!$B$6:$B$105,0))),0))</f>
        <v/>
      </c>
      <c r="N138">
        <f>IF(OR(B138="",C138=""),0,IFERROR(N(INDEX(Ingredients!$AG$6:$AG$105,MATCH(C138,Ingredients!$B$6:$B$105,0))),0))</f>
        <v/>
      </c>
      <c r="O138">
        <f>IF(OR(B138="",C138=""),0,IFERROR(N(INDEX(Ingredients!$AH$6:$AH$105,MATCH(C138,Ingredients!$B$6:$B$105,0))),0))</f>
        <v/>
      </c>
      <c r="P138">
        <f>IF(OR(B138="",C138=""),0,IFERROR(N(INDEX(Ingredients!$AI$6:$AI$105,MATCH(C138,Ingredients!$B$6:$B$105,0))),0))</f>
        <v/>
      </c>
      <c r="Q138">
        <f>IF(OR(B138="",C138=""),0,IFERROR(N(INDEX(Ingredients!$AJ$6:$AJ$105,MATCH(C138,Ingredients!$B$6:$B$105,0))),0))</f>
        <v/>
      </c>
      <c r="R138">
        <f>IF(OR(B138="",C138=""),0,IFERROR(N(INDEX(Ingredients!$AK$6:$AK$105,MATCH(C138,Ingredients!$B$6:$B$105,0))),0))</f>
        <v/>
      </c>
      <c r="S138">
        <f>IF(OR(B138="",C138=""),0,IFERROR(N(INDEX(Ingredients!$AL$6:$AL$105,MATCH(C138,Ingredients!$B$6:$B$105,0))),0))</f>
        <v/>
      </c>
      <c r="T138">
        <f>IF(OR(B138="",C138=""),0,IFERROR(N(INDEX(Ingredients!$AM$6:$AM$105,MATCH(C138,Ingredients!$B$6:$B$105,0))),0))</f>
        <v/>
      </c>
      <c r="U138">
        <f>IF(OR(B138="",C138=""),0,IFERROR(N(INDEX(Ingredients!$AN$6:$AN$105,MATCH(C138,Ingredients!$B$6:$B$105,0))),0))</f>
        <v/>
      </c>
      <c r="V138">
        <f>IF(OR(B138="",C138=""),0,IFERROR(N(INDEX(Ingredients!$AO$6:$AO$105,MATCH(C138,Ingredients!$B$6:$B$105,0))),0))</f>
        <v/>
      </c>
      <c r="W138">
        <f>IF(OR(B138="",C138=""),0,IFERROR(N(INDEX(Ingredients!$AP$6:$AP$105,MATCH(C138,Ingredients!$B$6:$B$105,0))),0))</f>
        <v/>
      </c>
      <c r="X138">
        <f>IF(OR(B138="",C138=""),0,IFERROR(N(INDEX(Ingredients!$AQ$6:$AQ$105,MATCH(C138,Ingredients!$B$6:$B$105,0))),0))</f>
        <v/>
      </c>
    </row>
    <row r="139">
      <c r="A139" s="1" t="n"/>
      <c r="B139" s="21" t="n"/>
      <c r="C139" s="39" t="n"/>
      <c r="D139" s="40" t="n"/>
      <c r="E139" s="12">
        <f>IF(C139="","",IF(ISNA(MATCH(C139,Ingredients!$B$6:$B$105,0)),"Not on Ingredients",IFERROR(IF(INDEX(Ingredients!$C$6:$C$105,MATCH(C139,Ingredients!$B$6:$B$105,0))="","",INDEX(Ingredients!$C$6:$C$105,MATCH(C139,Ingredients!$B$6:$B$105,0))),"")))</f>
        <v/>
      </c>
      <c r="F139" s="26">
        <f>IF(OR(B139="",C139=""),"",N(D139)*IFERROR(N(INDEX(Ingredients!$H$6:$H$105,MATCH(C139,Ingredients!$B$6:$B$105,0))),0))</f>
        <v/>
      </c>
      <c r="G139" s="1">
        <f>IF(OR(B139="",C139=""),0,IFERROR(N(INDEX(Products!$D$6:$D$45,MATCH(B139,Products!$B$6:$B$45,0))),0))</f>
        <v/>
      </c>
      <c r="H139">
        <f>IF(N(G139)=0,0,N(D139)*SUMIFS(Batches!$D$6:$D$505,Batches!$C$6:$C$505,B139)/G139)</f>
        <v/>
      </c>
      <c r="I139">
        <f>IF(OR(B139="",C139=""),"",IF(B139&lt;&gt;Label!$H$3,"",IF(IFERROR(N(INDEX(Ingredients!$AS$6:$AS$105,MATCH(C139,Ingredients!$B$6:$B$105,0))),0)=1,"",ROUND(N(D139)*1000,0)*100000+100000-ROW())))</f>
        <v/>
      </c>
      <c r="J139">
        <f>IF(OR(B139="",C139=""),0,IFERROR(N(INDEX(Ingredients!$AC$6:$AC$105,MATCH(C139,Ingredients!$B$6:$B$105,0))),0))</f>
        <v/>
      </c>
      <c r="K139">
        <f>IF(OR(B139="",C139=""),0,IFERROR(N(INDEX(Ingredients!$AD$6:$AD$105,MATCH(C139,Ingredients!$B$6:$B$105,0))),0))</f>
        <v/>
      </c>
      <c r="L139">
        <f>IF(OR(B139="",C139=""),0,IFERROR(N(INDEX(Ingredients!$AE$6:$AE$105,MATCH(C139,Ingredients!$B$6:$B$105,0))),0))</f>
        <v/>
      </c>
      <c r="M139">
        <f>IF(OR(B139="",C139=""),0,IFERROR(N(INDEX(Ingredients!$AF$6:$AF$105,MATCH(C139,Ingredients!$B$6:$B$105,0))),0))</f>
        <v/>
      </c>
      <c r="N139">
        <f>IF(OR(B139="",C139=""),0,IFERROR(N(INDEX(Ingredients!$AG$6:$AG$105,MATCH(C139,Ingredients!$B$6:$B$105,0))),0))</f>
        <v/>
      </c>
      <c r="O139">
        <f>IF(OR(B139="",C139=""),0,IFERROR(N(INDEX(Ingredients!$AH$6:$AH$105,MATCH(C139,Ingredients!$B$6:$B$105,0))),0))</f>
        <v/>
      </c>
      <c r="P139">
        <f>IF(OR(B139="",C139=""),0,IFERROR(N(INDEX(Ingredients!$AI$6:$AI$105,MATCH(C139,Ingredients!$B$6:$B$105,0))),0))</f>
        <v/>
      </c>
      <c r="Q139">
        <f>IF(OR(B139="",C139=""),0,IFERROR(N(INDEX(Ingredients!$AJ$6:$AJ$105,MATCH(C139,Ingredients!$B$6:$B$105,0))),0))</f>
        <v/>
      </c>
      <c r="R139">
        <f>IF(OR(B139="",C139=""),0,IFERROR(N(INDEX(Ingredients!$AK$6:$AK$105,MATCH(C139,Ingredients!$B$6:$B$105,0))),0))</f>
        <v/>
      </c>
      <c r="S139">
        <f>IF(OR(B139="",C139=""),0,IFERROR(N(INDEX(Ingredients!$AL$6:$AL$105,MATCH(C139,Ingredients!$B$6:$B$105,0))),0))</f>
        <v/>
      </c>
      <c r="T139">
        <f>IF(OR(B139="",C139=""),0,IFERROR(N(INDEX(Ingredients!$AM$6:$AM$105,MATCH(C139,Ingredients!$B$6:$B$105,0))),0))</f>
        <v/>
      </c>
      <c r="U139">
        <f>IF(OR(B139="",C139=""),0,IFERROR(N(INDEX(Ingredients!$AN$6:$AN$105,MATCH(C139,Ingredients!$B$6:$B$105,0))),0))</f>
        <v/>
      </c>
      <c r="V139">
        <f>IF(OR(B139="",C139=""),0,IFERROR(N(INDEX(Ingredients!$AO$6:$AO$105,MATCH(C139,Ingredients!$B$6:$B$105,0))),0))</f>
        <v/>
      </c>
      <c r="W139">
        <f>IF(OR(B139="",C139=""),0,IFERROR(N(INDEX(Ingredients!$AP$6:$AP$105,MATCH(C139,Ingredients!$B$6:$B$105,0))),0))</f>
        <v/>
      </c>
      <c r="X139">
        <f>IF(OR(B139="",C139=""),0,IFERROR(N(INDEX(Ingredients!$AQ$6:$AQ$105,MATCH(C139,Ingredients!$B$6:$B$105,0))),0))</f>
        <v/>
      </c>
    </row>
    <row r="140">
      <c r="A140" s="1" t="n"/>
      <c r="B140" s="21" t="n"/>
      <c r="C140" s="39" t="n"/>
      <c r="D140" s="40" t="n"/>
      <c r="E140" s="12">
        <f>IF(C140="","",IF(ISNA(MATCH(C140,Ingredients!$B$6:$B$105,0)),"Not on Ingredients",IFERROR(IF(INDEX(Ingredients!$C$6:$C$105,MATCH(C140,Ingredients!$B$6:$B$105,0))="","",INDEX(Ingredients!$C$6:$C$105,MATCH(C140,Ingredients!$B$6:$B$105,0))),"")))</f>
        <v/>
      </c>
      <c r="F140" s="26">
        <f>IF(OR(B140="",C140=""),"",N(D140)*IFERROR(N(INDEX(Ingredients!$H$6:$H$105,MATCH(C140,Ingredients!$B$6:$B$105,0))),0))</f>
        <v/>
      </c>
      <c r="G140" s="1">
        <f>IF(OR(B140="",C140=""),0,IFERROR(N(INDEX(Products!$D$6:$D$45,MATCH(B140,Products!$B$6:$B$45,0))),0))</f>
        <v/>
      </c>
      <c r="H140">
        <f>IF(N(G140)=0,0,N(D140)*SUMIFS(Batches!$D$6:$D$505,Batches!$C$6:$C$505,B140)/G140)</f>
        <v/>
      </c>
      <c r="I140">
        <f>IF(OR(B140="",C140=""),"",IF(B140&lt;&gt;Label!$H$3,"",IF(IFERROR(N(INDEX(Ingredients!$AS$6:$AS$105,MATCH(C140,Ingredients!$B$6:$B$105,0))),0)=1,"",ROUND(N(D140)*1000,0)*100000+100000-ROW())))</f>
        <v/>
      </c>
      <c r="J140">
        <f>IF(OR(B140="",C140=""),0,IFERROR(N(INDEX(Ingredients!$AC$6:$AC$105,MATCH(C140,Ingredients!$B$6:$B$105,0))),0))</f>
        <v/>
      </c>
      <c r="K140">
        <f>IF(OR(B140="",C140=""),0,IFERROR(N(INDEX(Ingredients!$AD$6:$AD$105,MATCH(C140,Ingredients!$B$6:$B$105,0))),0))</f>
        <v/>
      </c>
      <c r="L140">
        <f>IF(OR(B140="",C140=""),0,IFERROR(N(INDEX(Ingredients!$AE$6:$AE$105,MATCH(C140,Ingredients!$B$6:$B$105,0))),0))</f>
        <v/>
      </c>
      <c r="M140">
        <f>IF(OR(B140="",C140=""),0,IFERROR(N(INDEX(Ingredients!$AF$6:$AF$105,MATCH(C140,Ingredients!$B$6:$B$105,0))),0))</f>
        <v/>
      </c>
      <c r="N140">
        <f>IF(OR(B140="",C140=""),0,IFERROR(N(INDEX(Ingredients!$AG$6:$AG$105,MATCH(C140,Ingredients!$B$6:$B$105,0))),0))</f>
        <v/>
      </c>
      <c r="O140">
        <f>IF(OR(B140="",C140=""),0,IFERROR(N(INDEX(Ingredients!$AH$6:$AH$105,MATCH(C140,Ingredients!$B$6:$B$105,0))),0))</f>
        <v/>
      </c>
      <c r="P140">
        <f>IF(OR(B140="",C140=""),0,IFERROR(N(INDEX(Ingredients!$AI$6:$AI$105,MATCH(C140,Ingredients!$B$6:$B$105,0))),0))</f>
        <v/>
      </c>
      <c r="Q140">
        <f>IF(OR(B140="",C140=""),0,IFERROR(N(INDEX(Ingredients!$AJ$6:$AJ$105,MATCH(C140,Ingredients!$B$6:$B$105,0))),0))</f>
        <v/>
      </c>
      <c r="R140">
        <f>IF(OR(B140="",C140=""),0,IFERROR(N(INDEX(Ingredients!$AK$6:$AK$105,MATCH(C140,Ingredients!$B$6:$B$105,0))),0))</f>
        <v/>
      </c>
      <c r="S140">
        <f>IF(OR(B140="",C140=""),0,IFERROR(N(INDEX(Ingredients!$AL$6:$AL$105,MATCH(C140,Ingredients!$B$6:$B$105,0))),0))</f>
        <v/>
      </c>
      <c r="T140">
        <f>IF(OR(B140="",C140=""),0,IFERROR(N(INDEX(Ingredients!$AM$6:$AM$105,MATCH(C140,Ingredients!$B$6:$B$105,0))),0))</f>
        <v/>
      </c>
      <c r="U140">
        <f>IF(OR(B140="",C140=""),0,IFERROR(N(INDEX(Ingredients!$AN$6:$AN$105,MATCH(C140,Ingredients!$B$6:$B$105,0))),0))</f>
        <v/>
      </c>
      <c r="V140">
        <f>IF(OR(B140="",C140=""),0,IFERROR(N(INDEX(Ingredients!$AO$6:$AO$105,MATCH(C140,Ingredients!$B$6:$B$105,0))),0))</f>
        <v/>
      </c>
      <c r="W140">
        <f>IF(OR(B140="",C140=""),0,IFERROR(N(INDEX(Ingredients!$AP$6:$AP$105,MATCH(C140,Ingredients!$B$6:$B$105,0))),0))</f>
        <v/>
      </c>
      <c r="X140">
        <f>IF(OR(B140="",C140=""),0,IFERROR(N(INDEX(Ingredients!$AQ$6:$AQ$105,MATCH(C140,Ingredients!$B$6:$B$105,0))),0))</f>
        <v/>
      </c>
    </row>
    <row r="141">
      <c r="A141" s="1" t="n"/>
      <c r="B141" s="21" t="n"/>
      <c r="C141" s="39" t="n"/>
      <c r="D141" s="40" t="n"/>
      <c r="E141" s="12">
        <f>IF(C141="","",IF(ISNA(MATCH(C141,Ingredients!$B$6:$B$105,0)),"Not on Ingredients",IFERROR(IF(INDEX(Ingredients!$C$6:$C$105,MATCH(C141,Ingredients!$B$6:$B$105,0))="","",INDEX(Ingredients!$C$6:$C$105,MATCH(C141,Ingredients!$B$6:$B$105,0))),"")))</f>
        <v/>
      </c>
      <c r="F141" s="26">
        <f>IF(OR(B141="",C141=""),"",N(D141)*IFERROR(N(INDEX(Ingredients!$H$6:$H$105,MATCH(C141,Ingredients!$B$6:$B$105,0))),0))</f>
        <v/>
      </c>
      <c r="G141" s="1">
        <f>IF(OR(B141="",C141=""),0,IFERROR(N(INDEX(Products!$D$6:$D$45,MATCH(B141,Products!$B$6:$B$45,0))),0))</f>
        <v/>
      </c>
      <c r="H141">
        <f>IF(N(G141)=0,0,N(D141)*SUMIFS(Batches!$D$6:$D$505,Batches!$C$6:$C$505,B141)/G141)</f>
        <v/>
      </c>
      <c r="I141">
        <f>IF(OR(B141="",C141=""),"",IF(B141&lt;&gt;Label!$H$3,"",IF(IFERROR(N(INDEX(Ingredients!$AS$6:$AS$105,MATCH(C141,Ingredients!$B$6:$B$105,0))),0)=1,"",ROUND(N(D141)*1000,0)*100000+100000-ROW())))</f>
        <v/>
      </c>
      <c r="J141">
        <f>IF(OR(B141="",C141=""),0,IFERROR(N(INDEX(Ingredients!$AC$6:$AC$105,MATCH(C141,Ingredients!$B$6:$B$105,0))),0))</f>
        <v/>
      </c>
      <c r="K141">
        <f>IF(OR(B141="",C141=""),0,IFERROR(N(INDEX(Ingredients!$AD$6:$AD$105,MATCH(C141,Ingredients!$B$6:$B$105,0))),0))</f>
        <v/>
      </c>
      <c r="L141">
        <f>IF(OR(B141="",C141=""),0,IFERROR(N(INDEX(Ingredients!$AE$6:$AE$105,MATCH(C141,Ingredients!$B$6:$B$105,0))),0))</f>
        <v/>
      </c>
      <c r="M141">
        <f>IF(OR(B141="",C141=""),0,IFERROR(N(INDEX(Ingredients!$AF$6:$AF$105,MATCH(C141,Ingredients!$B$6:$B$105,0))),0))</f>
        <v/>
      </c>
      <c r="N141">
        <f>IF(OR(B141="",C141=""),0,IFERROR(N(INDEX(Ingredients!$AG$6:$AG$105,MATCH(C141,Ingredients!$B$6:$B$105,0))),0))</f>
        <v/>
      </c>
      <c r="O141">
        <f>IF(OR(B141="",C141=""),0,IFERROR(N(INDEX(Ingredients!$AH$6:$AH$105,MATCH(C141,Ingredients!$B$6:$B$105,0))),0))</f>
        <v/>
      </c>
      <c r="P141">
        <f>IF(OR(B141="",C141=""),0,IFERROR(N(INDEX(Ingredients!$AI$6:$AI$105,MATCH(C141,Ingredients!$B$6:$B$105,0))),0))</f>
        <v/>
      </c>
      <c r="Q141">
        <f>IF(OR(B141="",C141=""),0,IFERROR(N(INDEX(Ingredients!$AJ$6:$AJ$105,MATCH(C141,Ingredients!$B$6:$B$105,0))),0))</f>
        <v/>
      </c>
      <c r="R141">
        <f>IF(OR(B141="",C141=""),0,IFERROR(N(INDEX(Ingredients!$AK$6:$AK$105,MATCH(C141,Ingredients!$B$6:$B$105,0))),0))</f>
        <v/>
      </c>
      <c r="S141">
        <f>IF(OR(B141="",C141=""),0,IFERROR(N(INDEX(Ingredients!$AL$6:$AL$105,MATCH(C141,Ingredients!$B$6:$B$105,0))),0))</f>
        <v/>
      </c>
      <c r="T141">
        <f>IF(OR(B141="",C141=""),0,IFERROR(N(INDEX(Ingredients!$AM$6:$AM$105,MATCH(C141,Ingredients!$B$6:$B$105,0))),0))</f>
        <v/>
      </c>
      <c r="U141">
        <f>IF(OR(B141="",C141=""),0,IFERROR(N(INDEX(Ingredients!$AN$6:$AN$105,MATCH(C141,Ingredients!$B$6:$B$105,0))),0))</f>
        <v/>
      </c>
      <c r="V141">
        <f>IF(OR(B141="",C141=""),0,IFERROR(N(INDEX(Ingredients!$AO$6:$AO$105,MATCH(C141,Ingredients!$B$6:$B$105,0))),0))</f>
        <v/>
      </c>
      <c r="W141">
        <f>IF(OR(B141="",C141=""),0,IFERROR(N(INDEX(Ingredients!$AP$6:$AP$105,MATCH(C141,Ingredients!$B$6:$B$105,0))),0))</f>
        <v/>
      </c>
      <c r="X141">
        <f>IF(OR(B141="",C141=""),0,IFERROR(N(INDEX(Ingredients!$AQ$6:$AQ$105,MATCH(C141,Ingredients!$B$6:$B$105,0))),0))</f>
        <v/>
      </c>
    </row>
    <row r="142">
      <c r="A142" s="1" t="n"/>
      <c r="B142" s="21" t="n"/>
      <c r="C142" s="39" t="n"/>
      <c r="D142" s="40" t="n"/>
      <c r="E142" s="12">
        <f>IF(C142="","",IF(ISNA(MATCH(C142,Ingredients!$B$6:$B$105,0)),"Not on Ingredients",IFERROR(IF(INDEX(Ingredients!$C$6:$C$105,MATCH(C142,Ingredients!$B$6:$B$105,0))="","",INDEX(Ingredients!$C$6:$C$105,MATCH(C142,Ingredients!$B$6:$B$105,0))),"")))</f>
        <v/>
      </c>
      <c r="F142" s="26">
        <f>IF(OR(B142="",C142=""),"",N(D142)*IFERROR(N(INDEX(Ingredients!$H$6:$H$105,MATCH(C142,Ingredients!$B$6:$B$105,0))),0))</f>
        <v/>
      </c>
      <c r="G142" s="1">
        <f>IF(OR(B142="",C142=""),0,IFERROR(N(INDEX(Products!$D$6:$D$45,MATCH(B142,Products!$B$6:$B$45,0))),0))</f>
        <v/>
      </c>
      <c r="H142">
        <f>IF(N(G142)=0,0,N(D142)*SUMIFS(Batches!$D$6:$D$505,Batches!$C$6:$C$505,B142)/G142)</f>
        <v/>
      </c>
      <c r="I142">
        <f>IF(OR(B142="",C142=""),"",IF(B142&lt;&gt;Label!$H$3,"",IF(IFERROR(N(INDEX(Ingredients!$AS$6:$AS$105,MATCH(C142,Ingredients!$B$6:$B$105,0))),0)=1,"",ROUND(N(D142)*1000,0)*100000+100000-ROW())))</f>
        <v/>
      </c>
      <c r="J142">
        <f>IF(OR(B142="",C142=""),0,IFERROR(N(INDEX(Ingredients!$AC$6:$AC$105,MATCH(C142,Ingredients!$B$6:$B$105,0))),0))</f>
        <v/>
      </c>
      <c r="K142">
        <f>IF(OR(B142="",C142=""),0,IFERROR(N(INDEX(Ingredients!$AD$6:$AD$105,MATCH(C142,Ingredients!$B$6:$B$105,0))),0))</f>
        <v/>
      </c>
      <c r="L142">
        <f>IF(OR(B142="",C142=""),0,IFERROR(N(INDEX(Ingredients!$AE$6:$AE$105,MATCH(C142,Ingredients!$B$6:$B$105,0))),0))</f>
        <v/>
      </c>
      <c r="M142">
        <f>IF(OR(B142="",C142=""),0,IFERROR(N(INDEX(Ingredients!$AF$6:$AF$105,MATCH(C142,Ingredients!$B$6:$B$105,0))),0))</f>
        <v/>
      </c>
      <c r="N142">
        <f>IF(OR(B142="",C142=""),0,IFERROR(N(INDEX(Ingredients!$AG$6:$AG$105,MATCH(C142,Ingredients!$B$6:$B$105,0))),0))</f>
        <v/>
      </c>
      <c r="O142">
        <f>IF(OR(B142="",C142=""),0,IFERROR(N(INDEX(Ingredients!$AH$6:$AH$105,MATCH(C142,Ingredients!$B$6:$B$105,0))),0))</f>
        <v/>
      </c>
      <c r="P142">
        <f>IF(OR(B142="",C142=""),0,IFERROR(N(INDEX(Ingredients!$AI$6:$AI$105,MATCH(C142,Ingredients!$B$6:$B$105,0))),0))</f>
        <v/>
      </c>
      <c r="Q142">
        <f>IF(OR(B142="",C142=""),0,IFERROR(N(INDEX(Ingredients!$AJ$6:$AJ$105,MATCH(C142,Ingredients!$B$6:$B$105,0))),0))</f>
        <v/>
      </c>
      <c r="R142">
        <f>IF(OR(B142="",C142=""),0,IFERROR(N(INDEX(Ingredients!$AK$6:$AK$105,MATCH(C142,Ingredients!$B$6:$B$105,0))),0))</f>
        <v/>
      </c>
      <c r="S142">
        <f>IF(OR(B142="",C142=""),0,IFERROR(N(INDEX(Ingredients!$AL$6:$AL$105,MATCH(C142,Ingredients!$B$6:$B$105,0))),0))</f>
        <v/>
      </c>
      <c r="T142">
        <f>IF(OR(B142="",C142=""),0,IFERROR(N(INDEX(Ingredients!$AM$6:$AM$105,MATCH(C142,Ingredients!$B$6:$B$105,0))),0))</f>
        <v/>
      </c>
      <c r="U142">
        <f>IF(OR(B142="",C142=""),0,IFERROR(N(INDEX(Ingredients!$AN$6:$AN$105,MATCH(C142,Ingredients!$B$6:$B$105,0))),0))</f>
        <v/>
      </c>
      <c r="V142">
        <f>IF(OR(B142="",C142=""),0,IFERROR(N(INDEX(Ingredients!$AO$6:$AO$105,MATCH(C142,Ingredients!$B$6:$B$105,0))),0))</f>
        <v/>
      </c>
      <c r="W142">
        <f>IF(OR(B142="",C142=""),0,IFERROR(N(INDEX(Ingredients!$AP$6:$AP$105,MATCH(C142,Ingredients!$B$6:$B$105,0))),0))</f>
        <v/>
      </c>
      <c r="X142">
        <f>IF(OR(B142="",C142=""),0,IFERROR(N(INDEX(Ingredients!$AQ$6:$AQ$105,MATCH(C142,Ingredients!$B$6:$B$105,0))),0))</f>
        <v/>
      </c>
    </row>
    <row r="143">
      <c r="A143" s="1" t="n"/>
      <c r="B143" s="21" t="n"/>
      <c r="C143" s="39" t="n"/>
      <c r="D143" s="40" t="n"/>
      <c r="E143" s="12">
        <f>IF(C143="","",IF(ISNA(MATCH(C143,Ingredients!$B$6:$B$105,0)),"Not on Ingredients",IFERROR(IF(INDEX(Ingredients!$C$6:$C$105,MATCH(C143,Ingredients!$B$6:$B$105,0))="","",INDEX(Ingredients!$C$6:$C$105,MATCH(C143,Ingredients!$B$6:$B$105,0))),"")))</f>
        <v/>
      </c>
      <c r="F143" s="26">
        <f>IF(OR(B143="",C143=""),"",N(D143)*IFERROR(N(INDEX(Ingredients!$H$6:$H$105,MATCH(C143,Ingredients!$B$6:$B$105,0))),0))</f>
        <v/>
      </c>
      <c r="G143" s="1">
        <f>IF(OR(B143="",C143=""),0,IFERROR(N(INDEX(Products!$D$6:$D$45,MATCH(B143,Products!$B$6:$B$45,0))),0))</f>
        <v/>
      </c>
      <c r="H143">
        <f>IF(N(G143)=0,0,N(D143)*SUMIFS(Batches!$D$6:$D$505,Batches!$C$6:$C$505,B143)/G143)</f>
        <v/>
      </c>
      <c r="I143">
        <f>IF(OR(B143="",C143=""),"",IF(B143&lt;&gt;Label!$H$3,"",IF(IFERROR(N(INDEX(Ingredients!$AS$6:$AS$105,MATCH(C143,Ingredients!$B$6:$B$105,0))),0)=1,"",ROUND(N(D143)*1000,0)*100000+100000-ROW())))</f>
        <v/>
      </c>
      <c r="J143">
        <f>IF(OR(B143="",C143=""),0,IFERROR(N(INDEX(Ingredients!$AC$6:$AC$105,MATCH(C143,Ingredients!$B$6:$B$105,0))),0))</f>
        <v/>
      </c>
      <c r="K143">
        <f>IF(OR(B143="",C143=""),0,IFERROR(N(INDEX(Ingredients!$AD$6:$AD$105,MATCH(C143,Ingredients!$B$6:$B$105,0))),0))</f>
        <v/>
      </c>
      <c r="L143">
        <f>IF(OR(B143="",C143=""),0,IFERROR(N(INDEX(Ingredients!$AE$6:$AE$105,MATCH(C143,Ingredients!$B$6:$B$105,0))),0))</f>
        <v/>
      </c>
      <c r="M143">
        <f>IF(OR(B143="",C143=""),0,IFERROR(N(INDEX(Ingredients!$AF$6:$AF$105,MATCH(C143,Ingredients!$B$6:$B$105,0))),0))</f>
        <v/>
      </c>
      <c r="N143">
        <f>IF(OR(B143="",C143=""),0,IFERROR(N(INDEX(Ingredients!$AG$6:$AG$105,MATCH(C143,Ingredients!$B$6:$B$105,0))),0))</f>
        <v/>
      </c>
      <c r="O143">
        <f>IF(OR(B143="",C143=""),0,IFERROR(N(INDEX(Ingredients!$AH$6:$AH$105,MATCH(C143,Ingredients!$B$6:$B$105,0))),0))</f>
        <v/>
      </c>
      <c r="P143">
        <f>IF(OR(B143="",C143=""),0,IFERROR(N(INDEX(Ingredients!$AI$6:$AI$105,MATCH(C143,Ingredients!$B$6:$B$105,0))),0))</f>
        <v/>
      </c>
      <c r="Q143">
        <f>IF(OR(B143="",C143=""),0,IFERROR(N(INDEX(Ingredients!$AJ$6:$AJ$105,MATCH(C143,Ingredients!$B$6:$B$105,0))),0))</f>
        <v/>
      </c>
      <c r="R143">
        <f>IF(OR(B143="",C143=""),0,IFERROR(N(INDEX(Ingredients!$AK$6:$AK$105,MATCH(C143,Ingredients!$B$6:$B$105,0))),0))</f>
        <v/>
      </c>
      <c r="S143">
        <f>IF(OR(B143="",C143=""),0,IFERROR(N(INDEX(Ingredients!$AL$6:$AL$105,MATCH(C143,Ingredients!$B$6:$B$105,0))),0))</f>
        <v/>
      </c>
      <c r="T143">
        <f>IF(OR(B143="",C143=""),0,IFERROR(N(INDEX(Ingredients!$AM$6:$AM$105,MATCH(C143,Ingredients!$B$6:$B$105,0))),0))</f>
        <v/>
      </c>
      <c r="U143">
        <f>IF(OR(B143="",C143=""),0,IFERROR(N(INDEX(Ingredients!$AN$6:$AN$105,MATCH(C143,Ingredients!$B$6:$B$105,0))),0))</f>
        <v/>
      </c>
      <c r="V143">
        <f>IF(OR(B143="",C143=""),0,IFERROR(N(INDEX(Ingredients!$AO$6:$AO$105,MATCH(C143,Ingredients!$B$6:$B$105,0))),0))</f>
        <v/>
      </c>
      <c r="W143">
        <f>IF(OR(B143="",C143=""),0,IFERROR(N(INDEX(Ingredients!$AP$6:$AP$105,MATCH(C143,Ingredients!$B$6:$B$105,0))),0))</f>
        <v/>
      </c>
      <c r="X143">
        <f>IF(OR(B143="",C143=""),0,IFERROR(N(INDEX(Ingredients!$AQ$6:$AQ$105,MATCH(C143,Ingredients!$B$6:$B$105,0))),0))</f>
        <v/>
      </c>
    </row>
    <row r="144">
      <c r="A144" s="1" t="n"/>
      <c r="B144" s="21" t="n"/>
      <c r="C144" s="39" t="n"/>
      <c r="D144" s="40" t="n"/>
      <c r="E144" s="12">
        <f>IF(C144="","",IF(ISNA(MATCH(C144,Ingredients!$B$6:$B$105,0)),"Not on Ingredients",IFERROR(IF(INDEX(Ingredients!$C$6:$C$105,MATCH(C144,Ingredients!$B$6:$B$105,0))="","",INDEX(Ingredients!$C$6:$C$105,MATCH(C144,Ingredients!$B$6:$B$105,0))),"")))</f>
        <v/>
      </c>
      <c r="F144" s="26">
        <f>IF(OR(B144="",C144=""),"",N(D144)*IFERROR(N(INDEX(Ingredients!$H$6:$H$105,MATCH(C144,Ingredients!$B$6:$B$105,0))),0))</f>
        <v/>
      </c>
      <c r="G144" s="1">
        <f>IF(OR(B144="",C144=""),0,IFERROR(N(INDEX(Products!$D$6:$D$45,MATCH(B144,Products!$B$6:$B$45,0))),0))</f>
        <v/>
      </c>
      <c r="H144">
        <f>IF(N(G144)=0,0,N(D144)*SUMIFS(Batches!$D$6:$D$505,Batches!$C$6:$C$505,B144)/G144)</f>
        <v/>
      </c>
      <c r="I144">
        <f>IF(OR(B144="",C144=""),"",IF(B144&lt;&gt;Label!$H$3,"",IF(IFERROR(N(INDEX(Ingredients!$AS$6:$AS$105,MATCH(C144,Ingredients!$B$6:$B$105,0))),0)=1,"",ROUND(N(D144)*1000,0)*100000+100000-ROW())))</f>
        <v/>
      </c>
      <c r="J144">
        <f>IF(OR(B144="",C144=""),0,IFERROR(N(INDEX(Ingredients!$AC$6:$AC$105,MATCH(C144,Ingredients!$B$6:$B$105,0))),0))</f>
        <v/>
      </c>
      <c r="K144">
        <f>IF(OR(B144="",C144=""),0,IFERROR(N(INDEX(Ingredients!$AD$6:$AD$105,MATCH(C144,Ingredients!$B$6:$B$105,0))),0))</f>
        <v/>
      </c>
      <c r="L144">
        <f>IF(OR(B144="",C144=""),0,IFERROR(N(INDEX(Ingredients!$AE$6:$AE$105,MATCH(C144,Ingredients!$B$6:$B$105,0))),0))</f>
        <v/>
      </c>
      <c r="M144">
        <f>IF(OR(B144="",C144=""),0,IFERROR(N(INDEX(Ingredients!$AF$6:$AF$105,MATCH(C144,Ingredients!$B$6:$B$105,0))),0))</f>
        <v/>
      </c>
      <c r="N144">
        <f>IF(OR(B144="",C144=""),0,IFERROR(N(INDEX(Ingredients!$AG$6:$AG$105,MATCH(C144,Ingredients!$B$6:$B$105,0))),0))</f>
        <v/>
      </c>
      <c r="O144">
        <f>IF(OR(B144="",C144=""),0,IFERROR(N(INDEX(Ingredients!$AH$6:$AH$105,MATCH(C144,Ingredients!$B$6:$B$105,0))),0))</f>
        <v/>
      </c>
      <c r="P144">
        <f>IF(OR(B144="",C144=""),0,IFERROR(N(INDEX(Ingredients!$AI$6:$AI$105,MATCH(C144,Ingredients!$B$6:$B$105,0))),0))</f>
        <v/>
      </c>
      <c r="Q144">
        <f>IF(OR(B144="",C144=""),0,IFERROR(N(INDEX(Ingredients!$AJ$6:$AJ$105,MATCH(C144,Ingredients!$B$6:$B$105,0))),0))</f>
        <v/>
      </c>
      <c r="R144">
        <f>IF(OR(B144="",C144=""),0,IFERROR(N(INDEX(Ingredients!$AK$6:$AK$105,MATCH(C144,Ingredients!$B$6:$B$105,0))),0))</f>
        <v/>
      </c>
      <c r="S144">
        <f>IF(OR(B144="",C144=""),0,IFERROR(N(INDEX(Ingredients!$AL$6:$AL$105,MATCH(C144,Ingredients!$B$6:$B$105,0))),0))</f>
        <v/>
      </c>
      <c r="T144">
        <f>IF(OR(B144="",C144=""),0,IFERROR(N(INDEX(Ingredients!$AM$6:$AM$105,MATCH(C144,Ingredients!$B$6:$B$105,0))),0))</f>
        <v/>
      </c>
      <c r="U144">
        <f>IF(OR(B144="",C144=""),0,IFERROR(N(INDEX(Ingredients!$AN$6:$AN$105,MATCH(C144,Ingredients!$B$6:$B$105,0))),0))</f>
        <v/>
      </c>
      <c r="V144">
        <f>IF(OR(B144="",C144=""),0,IFERROR(N(INDEX(Ingredients!$AO$6:$AO$105,MATCH(C144,Ingredients!$B$6:$B$105,0))),0))</f>
        <v/>
      </c>
      <c r="W144">
        <f>IF(OR(B144="",C144=""),0,IFERROR(N(INDEX(Ingredients!$AP$6:$AP$105,MATCH(C144,Ingredients!$B$6:$B$105,0))),0))</f>
        <v/>
      </c>
      <c r="X144">
        <f>IF(OR(B144="",C144=""),0,IFERROR(N(INDEX(Ingredients!$AQ$6:$AQ$105,MATCH(C144,Ingredients!$B$6:$B$105,0))),0))</f>
        <v/>
      </c>
    </row>
    <row r="145">
      <c r="A145" s="1" t="n"/>
      <c r="B145" s="21" t="n"/>
      <c r="C145" s="39" t="n"/>
      <c r="D145" s="40" t="n"/>
      <c r="E145" s="12">
        <f>IF(C145="","",IF(ISNA(MATCH(C145,Ingredients!$B$6:$B$105,0)),"Not on Ingredients",IFERROR(IF(INDEX(Ingredients!$C$6:$C$105,MATCH(C145,Ingredients!$B$6:$B$105,0))="","",INDEX(Ingredients!$C$6:$C$105,MATCH(C145,Ingredients!$B$6:$B$105,0))),"")))</f>
        <v/>
      </c>
      <c r="F145" s="26">
        <f>IF(OR(B145="",C145=""),"",N(D145)*IFERROR(N(INDEX(Ingredients!$H$6:$H$105,MATCH(C145,Ingredients!$B$6:$B$105,0))),0))</f>
        <v/>
      </c>
      <c r="G145" s="1">
        <f>IF(OR(B145="",C145=""),0,IFERROR(N(INDEX(Products!$D$6:$D$45,MATCH(B145,Products!$B$6:$B$45,0))),0))</f>
        <v/>
      </c>
      <c r="H145">
        <f>IF(N(G145)=0,0,N(D145)*SUMIFS(Batches!$D$6:$D$505,Batches!$C$6:$C$505,B145)/G145)</f>
        <v/>
      </c>
      <c r="I145">
        <f>IF(OR(B145="",C145=""),"",IF(B145&lt;&gt;Label!$H$3,"",IF(IFERROR(N(INDEX(Ingredients!$AS$6:$AS$105,MATCH(C145,Ingredients!$B$6:$B$105,0))),0)=1,"",ROUND(N(D145)*1000,0)*100000+100000-ROW())))</f>
        <v/>
      </c>
      <c r="J145">
        <f>IF(OR(B145="",C145=""),0,IFERROR(N(INDEX(Ingredients!$AC$6:$AC$105,MATCH(C145,Ingredients!$B$6:$B$105,0))),0))</f>
        <v/>
      </c>
      <c r="K145">
        <f>IF(OR(B145="",C145=""),0,IFERROR(N(INDEX(Ingredients!$AD$6:$AD$105,MATCH(C145,Ingredients!$B$6:$B$105,0))),0))</f>
        <v/>
      </c>
      <c r="L145">
        <f>IF(OR(B145="",C145=""),0,IFERROR(N(INDEX(Ingredients!$AE$6:$AE$105,MATCH(C145,Ingredients!$B$6:$B$105,0))),0))</f>
        <v/>
      </c>
      <c r="M145">
        <f>IF(OR(B145="",C145=""),0,IFERROR(N(INDEX(Ingredients!$AF$6:$AF$105,MATCH(C145,Ingredients!$B$6:$B$105,0))),0))</f>
        <v/>
      </c>
      <c r="N145">
        <f>IF(OR(B145="",C145=""),0,IFERROR(N(INDEX(Ingredients!$AG$6:$AG$105,MATCH(C145,Ingredients!$B$6:$B$105,0))),0))</f>
        <v/>
      </c>
      <c r="O145">
        <f>IF(OR(B145="",C145=""),0,IFERROR(N(INDEX(Ingredients!$AH$6:$AH$105,MATCH(C145,Ingredients!$B$6:$B$105,0))),0))</f>
        <v/>
      </c>
      <c r="P145">
        <f>IF(OR(B145="",C145=""),0,IFERROR(N(INDEX(Ingredients!$AI$6:$AI$105,MATCH(C145,Ingredients!$B$6:$B$105,0))),0))</f>
        <v/>
      </c>
      <c r="Q145">
        <f>IF(OR(B145="",C145=""),0,IFERROR(N(INDEX(Ingredients!$AJ$6:$AJ$105,MATCH(C145,Ingredients!$B$6:$B$105,0))),0))</f>
        <v/>
      </c>
      <c r="R145">
        <f>IF(OR(B145="",C145=""),0,IFERROR(N(INDEX(Ingredients!$AK$6:$AK$105,MATCH(C145,Ingredients!$B$6:$B$105,0))),0))</f>
        <v/>
      </c>
      <c r="S145">
        <f>IF(OR(B145="",C145=""),0,IFERROR(N(INDEX(Ingredients!$AL$6:$AL$105,MATCH(C145,Ingredients!$B$6:$B$105,0))),0))</f>
        <v/>
      </c>
      <c r="T145">
        <f>IF(OR(B145="",C145=""),0,IFERROR(N(INDEX(Ingredients!$AM$6:$AM$105,MATCH(C145,Ingredients!$B$6:$B$105,0))),0))</f>
        <v/>
      </c>
      <c r="U145">
        <f>IF(OR(B145="",C145=""),0,IFERROR(N(INDEX(Ingredients!$AN$6:$AN$105,MATCH(C145,Ingredients!$B$6:$B$105,0))),0))</f>
        <v/>
      </c>
      <c r="V145">
        <f>IF(OR(B145="",C145=""),0,IFERROR(N(INDEX(Ingredients!$AO$6:$AO$105,MATCH(C145,Ingredients!$B$6:$B$105,0))),0))</f>
        <v/>
      </c>
      <c r="W145">
        <f>IF(OR(B145="",C145=""),0,IFERROR(N(INDEX(Ingredients!$AP$6:$AP$105,MATCH(C145,Ingredients!$B$6:$B$105,0))),0))</f>
        <v/>
      </c>
      <c r="X145">
        <f>IF(OR(B145="",C145=""),0,IFERROR(N(INDEX(Ingredients!$AQ$6:$AQ$105,MATCH(C145,Ingredients!$B$6:$B$105,0))),0))</f>
        <v/>
      </c>
    </row>
    <row r="146">
      <c r="A146" s="1" t="n"/>
      <c r="B146" s="21" t="n"/>
      <c r="C146" s="39" t="n"/>
      <c r="D146" s="40" t="n"/>
      <c r="E146" s="12">
        <f>IF(C146="","",IF(ISNA(MATCH(C146,Ingredients!$B$6:$B$105,0)),"Not on Ingredients",IFERROR(IF(INDEX(Ingredients!$C$6:$C$105,MATCH(C146,Ingredients!$B$6:$B$105,0))="","",INDEX(Ingredients!$C$6:$C$105,MATCH(C146,Ingredients!$B$6:$B$105,0))),"")))</f>
        <v/>
      </c>
      <c r="F146" s="26">
        <f>IF(OR(B146="",C146=""),"",N(D146)*IFERROR(N(INDEX(Ingredients!$H$6:$H$105,MATCH(C146,Ingredients!$B$6:$B$105,0))),0))</f>
        <v/>
      </c>
      <c r="G146" s="1">
        <f>IF(OR(B146="",C146=""),0,IFERROR(N(INDEX(Products!$D$6:$D$45,MATCH(B146,Products!$B$6:$B$45,0))),0))</f>
        <v/>
      </c>
      <c r="H146">
        <f>IF(N(G146)=0,0,N(D146)*SUMIFS(Batches!$D$6:$D$505,Batches!$C$6:$C$505,B146)/G146)</f>
        <v/>
      </c>
      <c r="I146">
        <f>IF(OR(B146="",C146=""),"",IF(B146&lt;&gt;Label!$H$3,"",IF(IFERROR(N(INDEX(Ingredients!$AS$6:$AS$105,MATCH(C146,Ingredients!$B$6:$B$105,0))),0)=1,"",ROUND(N(D146)*1000,0)*100000+100000-ROW())))</f>
        <v/>
      </c>
      <c r="J146">
        <f>IF(OR(B146="",C146=""),0,IFERROR(N(INDEX(Ingredients!$AC$6:$AC$105,MATCH(C146,Ingredients!$B$6:$B$105,0))),0))</f>
        <v/>
      </c>
      <c r="K146">
        <f>IF(OR(B146="",C146=""),0,IFERROR(N(INDEX(Ingredients!$AD$6:$AD$105,MATCH(C146,Ingredients!$B$6:$B$105,0))),0))</f>
        <v/>
      </c>
      <c r="L146">
        <f>IF(OR(B146="",C146=""),0,IFERROR(N(INDEX(Ingredients!$AE$6:$AE$105,MATCH(C146,Ingredients!$B$6:$B$105,0))),0))</f>
        <v/>
      </c>
      <c r="M146">
        <f>IF(OR(B146="",C146=""),0,IFERROR(N(INDEX(Ingredients!$AF$6:$AF$105,MATCH(C146,Ingredients!$B$6:$B$105,0))),0))</f>
        <v/>
      </c>
      <c r="N146">
        <f>IF(OR(B146="",C146=""),0,IFERROR(N(INDEX(Ingredients!$AG$6:$AG$105,MATCH(C146,Ingredients!$B$6:$B$105,0))),0))</f>
        <v/>
      </c>
      <c r="O146">
        <f>IF(OR(B146="",C146=""),0,IFERROR(N(INDEX(Ingredients!$AH$6:$AH$105,MATCH(C146,Ingredients!$B$6:$B$105,0))),0))</f>
        <v/>
      </c>
      <c r="P146">
        <f>IF(OR(B146="",C146=""),0,IFERROR(N(INDEX(Ingredients!$AI$6:$AI$105,MATCH(C146,Ingredients!$B$6:$B$105,0))),0))</f>
        <v/>
      </c>
      <c r="Q146">
        <f>IF(OR(B146="",C146=""),0,IFERROR(N(INDEX(Ingredients!$AJ$6:$AJ$105,MATCH(C146,Ingredients!$B$6:$B$105,0))),0))</f>
        <v/>
      </c>
      <c r="R146">
        <f>IF(OR(B146="",C146=""),0,IFERROR(N(INDEX(Ingredients!$AK$6:$AK$105,MATCH(C146,Ingredients!$B$6:$B$105,0))),0))</f>
        <v/>
      </c>
      <c r="S146">
        <f>IF(OR(B146="",C146=""),0,IFERROR(N(INDEX(Ingredients!$AL$6:$AL$105,MATCH(C146,Ingredients!$B$6:$B$105,0))),0))</f>
        <v/>
      </c>
      <c r="T146">
        <f>IF(OR(B146="",C146=""),0,IFERROR(N(INDEX(Ingredients!$AM$6:$AM$105,MATCH(C146,Ingredients!$B$6:$B$105,0))),0))</f>
        <v/>
      </c>
      <c r="U146">
        <f>IF(OR(B146="",C146=""),0,IFERROR(N(INDEX(Ingredients!$AN$6:$AN$105,MATCH(C146,Ingredients!$B$6:$B$105,0))),0))</f>
        <v/>
      </c>
      <c r="V146">
        <f>IF(OR(B146="",C146=""),0,IFERROR(N(INDEX(Ingredients!$AO$6:$AO$105,MATCH(C146,Ingredients!$B$6:$B$105,0))),0))</f>
        <v/>
      </c>
      <c r="W146">
        <f>IF(OR(B146="",C146=""),0,IFERROR(N(INDEX(Ingredients!$AP$6:$AP$105,MATCH(C146,Ingredients!$B$6:$B$105,0))),0))</f>
        <v/>
      </c>
      <c r="X146">
        <f>IF(OR(B146="",C146=""),0,IFERROR(N(INDEX(Ingredients!$AQ$6:$AQ$105,MATCH(C146,Ingredients!$B$6:$B$105,0))),0))</f>
        <v/>
      </c>
    </row>
    <row r="147">
      <c r="A147" s="1" t="n"/>
      <c r="B147" s="21" t="n"/>
      <c r="C147" s="39" t="n"/>
      <c r="D147" s="40" t="n"/>
      <c r="E147" s="12">
        <f>IF(C147="","",IF(ISNA(MATCH(C147,Ingredients!$B$6:$B$105,0)),"Not on Ingredients",IFERROR(IF(INDEX(Ingredients!$C$6:$C$105,MATCH(C147,Ingredients!$B$6:$B$105,0))="","",INDEX(Ingredients!$C$6:$C$105,MATCH(C147,Ingredients!$B$6:$B$105,0))),"")))</f>
        <v/>
      </c>
      <c r="F147" s="26">
        <f>IF(OR(B147="",C147=""),"",N(D147)*IFERROR(N(INDEX(Ingredients!$H$6:$H$105,MATCH(C147,Ingredients!$B$6:$B$105,0))),0))</f>
        <v/>
      </c>
      <c r="G147" s="1">
        <f>IF(OR(B147="",C147=""),0,IFERROR(N(INDEX(Products!$D$6:$D$45,MATCH(B147,Products!$B$6:$B$45,0))),0))</f>
        <v/>
      </c>
      <c r="H147">
        <f>IF(N(G147)=0,0,N(D147)*SUMIFS(Batches!$D$6:$D$505,Batches!$C$6:$C$505,B147)/G147)</f>
        <v/>
      </c>
      <c r="I147">
        <f>IF(OR(B147="",C147=""),"",IF(B147&lt;&gt;Label!$H$3,"",IF(IFERROR(N(INDEX(Ingredients!$AS$6:$AS$105,MATCH(C147,Ingredients!$B$6:$B$105,0))),0)=1,"",ROUND(N(D147)*1000,0)*100000+100000-ROW())))</f>
        <v/>
      </c>
      <c r="J147">
        <f>IF(OR(B147="",C147=""),0,IFERROR(N(INDEX(Ingredients!$AC$6:$AC$105,MATCH(C147,Ingredients!$B$6:$B$105,0))),0))</f>
        <v/>
      </c>
      <c r="K147">
        <f>IF(OR(B147="",C147=""),0,IFERROR(N(INDEX(Ingredients!$AD$6:$AD$105,MATCH(C147,Ingredients!$B$6:$B$105,0))),0))</f>
        <v/>
      </c>
      <c r="L147">
        <f>IF(OR(B147="",C147=""),0,IFERROR(N(INDEX(Ingredients!$AE$6:$AE$105,MATCH(C147,Ingredients!$B$6:$B$105,0))),0))</f>
        <v/>
      </c>
      <c r="M147">
        <f>IF(OR(B147="",C147=""),0,IFERROR(N(INDEX(Ingredients!$AF$6:$AF$105,MATCH(C147,Ingredients!$B$6:$B$105,0))),0))</f>
        <v/>
      </c>
      <c r="N147">
        <f>IF(OR(B147="",C147=""),0,IFERROR(N(INDEX(Ingredients!$AG$6:$AG$105,MATCH(C147,Ingredients!$B$6:$B$105,0))),0))</f>
        <v/>
      </c>
      <c r="O147">
        <f>IF(OR(B147="",C147=""),0,IFERROR(N(INDEX(Ingredients!$AH$6:$AH$105,MATCH(C147,Ingredients!$B$6:$B$105,0))),0))</f>
        <v/>
      </c>
      <c r="P147">
        <f>IF(OR(B147="",C147=""),0,IFERROR(N(INDEX(Ingredients!$AI$6:$AI$105,MATCH(C147,Ingredients!$B$6:$B$105,0))),0))</f>
        <v/>
      </c>
      <c r="Q147">
        <f>IF(OR(B147="",C147=""),0,IFERROR(N(INDEX(Ingredients!$AJ$6:$AJ$105,MATCH(C147,Ingredients!$B$6:$B$105,0))),0))</f>
        <v/>
      </c>
      <c r="R147">
        <f>IF(OR(B147="",C147=""),0,IFERROR(N(INDEX(Ingredients!$AK$6:$AK$105,MATCH(C147,Ingredients!$B$6:$B$105,0))),0))</f>
        <v/>
      </c>
      <c r="S147">
        <f>IF(OR(B147="",C147=""),0,IFERROR(N(INDEX(Ingredients!$AL$6:$AL$105,MATCH(C147,Ingredients!$B$6:$B$105,0))),0))</f>
        <v/>
      </c>
      <c r="T147">
        <f>IF(OR(B147="",C147=""),0,IFERROR(N(INDEX(Ingredients!$AM$6:$AM$105,MATCH(C147,Ingredients!$B$6:$B$105,0))),0))</f>
        <v/>
      </c>
      <c r="U147">
        <f>IF(OR(B147="",C147=""),0,IFERROR(N(INDEX(Ingredients!$AN$6:$AN$105,MATCH(C147,Ingredients!$B$6:$B$105,0))),0))</f>
        <v/>
      </c>
      <c r="V147">
        <f>IF(OR(B147="",C147=""),0,IFERROR(N(INDEX(Ingredients!$AO$6:$AO$105,MATCH(C147,Ingredients!$B$6:$B$105,0))),0))</f>
        <v/>
      </c>
      <c r="W147">
        <f>IF(OR(B147="",C147=""),0,IFERROR(N(INDEX(Ingredients!$AP$6:$AP$105,MATCH(C147,Ingredients!$B$6:$B$105,0))),0))</f>
        <v/>
      </c>
      <c r="X147">
        <f>IF(OR(B147="",C147=""),0,IFERROR(N(INDEX(Ingredients!$AQ$6:$AQ$105,MATCH(C147,Ingredients!$B$6:$B$105,0))),0))</f>
        <v/>
      </c>
    </row>
    <row r="148">
      <c r="A148" s="1" t="n"/>
      <c r="B148" s="21" t="n"/>
      <c r="C148" s="39" t="n"/>
      <c r="D148" s="40" t="n"/>
      <c r="E148" s="12">
        <f>IF(C148="","",IF(ISNA(MATCH(C148,Ingredients!$B$6:$B$105,0)),"Not on Ingredients",IFERROR(IF(INDEX(Ingredients!$C$6:$C$105,MATCH(C148,Ingredients!$B$6:$B$105,0))="","",INDEX(Ingredients!$C$6:$C$105,MATCH(C148,Ingredients!$B$6:$B$105,0))),"")))</f>
        <v/>
      </c>
      <c r="F148" s="26">
        <f>IF(OR(B148="",C148=""),"",N(D148)*IFERROR(N(INDEX(Ingredients!$H$6:$H$105,MATCH(C148,Ingredients!$B$6:$B$105,0))),0))</f>
        <v/>
      </c>
      <c r="G148" s="1">
        <f>IF(OR(B148="",C148=""),0,IFERROR(N(INDEX(Products!$D$6:$D$45,MATCH(B148,Products!$B$6:$B$45,0))),0))</f>
        <v/>
      </c>
      <c r="H148">
        <f>IF(N(G148)=0,0,N(D148)*SUMIFS(Batches!$D$6:$D$505,Batches!$C$6:$C$505,B148)/G148)</f>
        <v/>
      </c>
      <c r="I148">
        <f>IF(OR(B148="",C148=""),"",IF(B148&lt;&gt;Label!$H$3,"",IF(IFERROR(N(INDEX(Ingredients!$AS$6:$AS$105,MATCH(C148,Ingredients!$B$6:$B$105,0))),0)=1,"",ROUND(N(D148)*1000,0)*100000+100000-ROW())))</f>
        <v/>
      </c>
      <c r="J148">
        <f>IF(OR(B148="",C148=""),0,IFERROR(N(INDEX(Ingredients!$AC$6:$AC$105,MATCH(C148,Ingredients!$B$6:$B$105,0))),0))</f>
        <v/>
      </c>
      <c r="K148">
        <f>IF(OR(B148="",C148=""),0,IFERROR(N(INDEX(Ingredients!$AD$6:$AD$105,MATCH(C148,Ingredients!$B$6:$B$105,0))),0))</f>
        <v/>
      </c>
      <c r="L148">
        <f>IF(OR(B148="",C148=""),0,IFERROR(N(INDEX(Ingredients!$AE$6:$AE$105,MATCH(C148,Ingredients!$B$6:$B$105,0))),0))</f>
        <v/>
      </c>
      <c r="M148">
        <f>IF(OR(B148="",C148=""),0,IFERROR(N(INDEX(Ingredients!$AF$6:$AF$105,MATCH(C148,Ingredients!$B$6:$B$105,0))),0))</f>
        <v/>
      </c>
      <c r="N148">
        <f>IF(OR(B148="",C148=""),0,IFERROR(N(INDEX(Ingredients!$AG$6:$AG$105,MATCH(C148,Ingredients!$B$6:$B$105,0))),0))</f>
        <v/>
      </c>
      <c r="O148">
        <f>IF(OR(B148="",C148=""),0,IFERROR(N(INDEX(Ingredients!$AH$6:$AH$105,MATCH(C148,Ingredients!$B$6:$B$105,0))),0))</f>
        <v/>
      </c>
      <c r="P148">
        <f>IF(OR(B148="",C148=""),0,IFERROR(N(INDEX(Ingredients!$AI$6:$AI$105,MATCH(C148,Ingredients!$B$6:$B$105,0))),0))</f>
        <v/>
      </c>
      <c r="Q148">
        <f>IF(OR(B148="",C148=""),0,IFERROR(N(INDEX(Ingredients!$AJ$6:$AJ$105,MATCH(C148,Ingredients!$B$6:$B$105,0))),0))</f>
        <v/>
      </c>
      <c r="R148">
        <f>IF(OR(B148="",C148=""),0,IFERROR(N(INDEX(Ingredients!$AK$6:$AK$105,MATCH(C148,Ingredients!$B$6:$B$105,0))),0))</f>
        <v/>
      </c>
      <c r="S148">
        <f>IF(OR(B148="",C148=""),0,IFERROR(N(INDEX(Ingredients!$AL$6:$AL$105,MATCH(C148,Ingredients!$B$6:$B$105,0))),0))</f>
        <v/>
      </c>
      <c r="T148">
        <f>IF(OR(B148="",C148=""),0,IFERROR(N(INDEX(Ingredients!$AM$6:$AM$105,MATCH(C148,Ingredients!$B$6:$B$105,0))),0))</f>
        <v/>
      </c>
      <c r="U148">
        <f>IF(OR(B148="",C148=""),0,IFERROR(N(INDEX(Ingredients!$AN$6:$AN$105,MATCH(C148,Ingredients!$B$6:$B$105,0))),0))</f>
        <v/>
      </c>
      <c r="V148">
        <f>IF(OR(B148="",C148=""),0,IFERROR(N(INDEX(Ingredients!$AO$6:$AO$105,MATCH(C148,Ingredients!$B$6:$B$105,0))),0))</f>
        <v/>
      </c>
      <c r="W148">
        <f>IF(OR(B148="",C148=""),0,IFERROR(N(INDEX(Ingredients!$AP$6:$AP$105,MATCH(C148,Ingredients!$B$6:$B$105,0))),0))</f>
        <v/>
      </c>
      <c r="X148">
        <f>IF(OR(B148="",C148=""),0,IFERROR(N(INDEX(Ingredients!$AQ$6:$AQ$105,MATCH(C148,Ingredients!$B$6:$B$105,0))),0))</f>
        <v/>
      </c>
    </row>
    <row r="149">
      <c r="A149" s="1" t="n"/>
      <c r="B149" s="21" t="n"/>
      <c r="C149" s="39" t="n"/>
      <c r="D149" s="40" t="n"/>
      <c r="E149" s="12">
        <f>IF(C149="","",IF(ISNA(MATCH(C149,Ingredients!$B$6:$B$105,0)),"Not on Ingredients",IFERROR(IF(INDEX(Ingredients!$C$6:$C$105,MATCH(C149,Ingredients!$B$6:$B$105,0))="","",INDEX(Ingredients!$C$6:$C$105,MATCH(C149,Ingredients!$B$6:$B$105,0))),"")))</f>
        <v/>
      </c>
      <c r="F149" s="26">
        <f>IF(OR(B149="",C149=""),"",N(D149)*IFERROR(N(INDEX(Ingredients!$H$6:$H$105,MATCH(C149,Ingredients!$B$6:$B$105,0))),0))</f>
        <v/>
      </c>
      <c r="G149" s="1">
        <f>IF(OR(B149="",C149=""),0,IFERROR(N(INDEX(Products!$D$6:$D$45,MATCH(B149,Products!$B$6:$B$45,0))),0))</f>
        <v/>
      </c>
      <c r="H149">
        <f>IF(N(G149)=0,0,N(D149)*SUMIFS(Batches!$D$6:$D$505,Batches!$C$6:$C$505,B149)/G149)</f>
        <v/>
      </c>
      <c r="I149">
        <f>IF(OR(B149="",C149=""),"",IF(B149&lt;&gt;Label!$H$3,"",IF(IFERROR(N(INDEX(Ingredients!$AS$6:$AS$105,MATCH(C149,Ingredients!$B$6:$B$105,0))),0)=1,"",ROUND(N(D149)*1000,0)*100000+100000-ROW())))</f>
        <v/>
      </c>
      <c r="J149">
        <f>IF(OR(B149="",C149=""),0,IFERROR(N(INDEX(Ingredients!$AC$6:$AC$105,MATCH(C149,Ingredients!$B$6:$B$105,0))),0))</f>
        <v/>
      </c>
      <c r="K149">
        <f>IF(OR(B149="",C149=""),0,IFERROR(N(INDEX(Ingredients!$AD$6:$AD$105,MATCH(C149,Ingredients!$B$6:$B$105,0))),0))</f>
        <v/>
      </c>
      <c r="L149">
        <f>IF(OR(B149="",C149=""),0,IFERROR(N(INDEX(Ingredients!$AE$6:$AE$105,MATCH(C149,Ingredients!$B$6:$B$105,0))),0))</f>
        <v/>
      </c>
      <c r="M149">
        <f>IF(OR(B149="",C149=""),0,IFERROR(N(INDEX(Ingredients!$AF$6:$AF$105,MATCH(C149,Ingredients!$B$6:$B$105,0))),0))</f>
        <v/>
      </c>
      <c r="N149">
        <f>IF(OR(B149="",C149=""),0,IFERROR(N(INDEX(Ingredients!$AG$6:$AG$105,MATCH(C149,Ingredients!$B$6:$B$105,0))),0))</f>
        <v/>
      </c>
      <c r="O149">
        <f>IF(OR(B149="",C149=""),0,IFERROR(N(INDEX(Ingredients!$AH$6:$AH$105,MATCH(C149,Ingredients!$B$6:$B$105,0))),0))</f>
        <v/>
      </c>
      <c r="P149">
        <f>IF(OR(B149="",C149=""),0,IFERROR(N(INDEX(Ingredients!$AI$6:$AI$105,MATCH(C149,Ingredients!$B$6:$B$105,0))),0))</f>
        <v/>
      </c>
      <c r="Q149">
        <f>IF(OR(B149="",C149=""),0,IFERROR(N(INDEX(Ingredients!$AJ$6:$AJ$105,MATCH(C149,Ingredients!$B$6:$B$105,0))),0))</f>
        <v/>
      </c>
      <c r="R149">
        <f>IF(OR(B149="",C149=""),0,IFERROR(N(INDEX(Ingredients!$AK$6:$AK$105,MATCH(C149,Ingredients!$B$6:$B$105,0))),0))</f>
        <v/>
      </c>
      <c r="S149">
        <f>IF(OR(B149="",C149=""),0,IFERROR(N(INDEX(Ingredients!$AL$6:$AL$105,MATCH(C149,Ingredients!$B$6:$B$105,0))),0))</f>
        <v/>
      </c>
      <c r="T149">
        <f>IF(OR(B149="",C149=""),0,IFERROR(N(INDEX(Ingredients!$AM$6:$AM$105,MATCH(C149,Ingredients!$B$6:$B$105,0))),0))</f>
        <v/>
      </c>
      <c r="U149">
        <f>IF(OR(B149="",C149=""),0,IFERROR(N(INDEX(Ingredients!$AN$6:$AN$105,MATCH(C149,Ingredients!$B$6:$B$105,0))),0))</f>
        <v/>
      </c>
      <c r="V149">
        <f>IF(OR(B149="",C149=""),0,IFERROR(N(INDEX(Ingredients!$AO$6:$AO$105,MATCH(C149,Ingredients!$B$6:$B$105,0))),0))</f>
        <v/>
      </c>
      <c r="W149">
        <f>IF(OR(B149="",C149=""),0,IFERROR(N(INDEX(Ingredients!$AP$6:$AP$105,MATCH(C149,Ingredients!$B$6:$B$105,0))),0))</f>
        <v/>
      </c>
      <c r="X149">
        <f>IF(OR(B149="",C149=""),0,IFERROR(N(INDEX(Ingredients!$AQ$6:$AQ$105,MATCH(C149,Ingredients!$B$6:$B$105,0))),0))</f>
        <v/>
      </c>
    </row>
    <row r="150">
      <c r="A150" s="1" t="n"/>
      <c r="B150" s="21" t="n"/>
      <c r="C150" s="39" t="n"/>
      <c r="D150" s="40" t="n"/>
      <c r="E150" s="12">
        <f>IF(C150="","",IF(ISNA(MATCH(C150,Ingredients!$B$6:$B$105,0)),"Not on Ingredients",IFERROR(IF(INDEX(Ingredients!$C$6:$C$105,MATCH(C150,Ingredients!$B$6:$B$105,0))="","",INDEX(Ingredients!$C$6:$C$105,MATCH(C150,Ingredients!$B$6:$B$105,0))),"")))</f>
        <v/>
      </c>
      <c r="F150" s="26">
        <f>IF(OR(B150="",C150=""),"",N(D150)*IFERROR(N(INDEX(Ingredients!$H$6:$H$105,MATCH(C150,Ingredients!$B$6:$B$105,0))),0))</f>
        <v/>
      </c>
      <c r="G150" s="1">
        <f>IF(OR(B150="",C150=""),0,IFERROR(N(INDEX(Products!$D$6:$D$45,MATCH(B150,Products!$B$6:$B$45,0))),0))</f>
        <v/>
      </c>
      <c r="H150">
        <f>IF(N(G150)=0,0,N(D150)*SUMIFS(Batches!$D$6:$D$505,Batches!$C$6:$C$505,B150)/G150)</f>
        <v/>
      </c>
      <c r="I150">
        <f>IF(OR(B150="",C150=""),"",IF(B150&lt;&gt;Label!$H$3,"",IF(IFERROR(N(INDEX(Ingredients!$AS$6:$AS$105,MATCH(C150,Ingredients!$B$6:$B$105,0))),0)=1,"",ROUND(N(D150)*1000,0)*100000+100000-ROW())))</f>
        <v/>
      </c>
      <c r="J150">
        <f>IF(OR(B150="",C150=""),0,IFERROR(N(INDEX(Ingredients!$AC$6:$AC$105,MATCH(C150,Ingredients!$B$6:$B$105,0))),0))</f>
        <v/>
      </c>
      <c r="K150">
        <f>IF(OR(B150="",C150=""),0,IFERROR(N(INDEX(Ingredients!$AD$6:$AD$105,MATCH(C150,Ingredients!$B$6:$B$105,0))),0))</f>
        <v/>
      </c>
      <c r="L150">
        <f>IF(OR(B150="",C150=""),0,IFERROR(N(INDEX(Ingredients!$AE$6:$AE$105,MATCH(C150,Ingredients!$B$6:$B$105,0))),0))</f>
        <v/>
      </c>
      <c r="M150">
        <f>IF(OR(B150="",C150=""),0,IFERROR(N(INDEX(Ingredients!$AF$6:$AF$105,MATCH(C150,Ingredients!$B$6:$B$105,0))),0))</f>
        <v/>
      </c>
      <c r="N150">
        <f>IF(OR(B150="",C150=""),0,IFERROR(N(INDEX(Ingredients!$AG$6:$AG$105,MATCH(C150,Ingredients!$B$6:$B$105,0))),0))</f>
        <v/>
      </c>
      <c r="O150">
        <f>IF(OR(B150="",C150=""),0,IFERROR(N(INDEX(Ingredients!$AH$6:$AH$105,MATCH(C150,Ingredients!$B$6:$B$105,0))),0))</f>
        <v/>
      </c>
      <c r="P150">
        <f>IF(OR(B150="",C150=""),0,IFERROR(N(INDEX(Ingredients!$AI$6:$AI$105,MATCH(C150,Ingredients!$B$6:$B$105,0))),0))</f>
        <v/>
      </c>
      <c r="Q150">
        <f>IF(OR(B150="",C150=""),0,IFERROR(N(INDEX(Ingredients!$AJ$6:$AJ$105,MATCH(C150,Ingredients!$B$6:$B$105,0))),0))</f>
        <v/>
      </c>
      <c r="R150">
        <f>IF(OR(B150="",C150=""),0,IFERROR(N(INDEX(Ingredients!$AK$6:$AK$105,MATCH(C150,Ingredients!$B$6:$B$105,0))),0))</f>
        <v/>
      </c>
      <c r="S150">
        <f>IF(OR(B150="",C150=""),0,IFERROR(N(INDEX(Ingredients!$AL$6:$AL$105,MATCH(C150,Ingredients!$B$6:$B$105,0))),0))</f>
        <v/>
      </c>
      <c r="T150">
        <f>IF(OR(B150="",C150=""),0,IFERROR(N(INDEX(Ingredients!$AM$6:$AM$105,MATCH(C150,Ingredients!$B$6:$B$105,0))),0))</f>
        <v/>
      </c>
      <c r="U150">
        <f>IF(OR(B150="",C150=""),0,IFERROR(N(INDEX(Ingredients!$AN$6:$AN$105,MATCH(C150,Ingredients!$B$6:$B$105,0))),0))</f>
        <v/>
      </c>
      <c r="V150">
        <f>IF(OR(B150="",C150=""),0,IFERROR(N(INDEX(Ingredients!$AO$6:$AO$105,MATCH(C150,Ingredients!$B$6:$B$105,0))),0))</f>
        <v/>
      </c>
      <c r="W150">
        <f>IF(OR(B150="",C150=""),0,IFERROR(N(INDEX(Ingredients!$AP$6:$AP$105,MATCH(C150,Ingredients!$B$6:$B$105,0))),0))</f>
        <v/>
      </c>
      <c r="X150">
        <f>IF(OR(B150="",C150=""),0,IFERROR(N(INDEX(Ingredients!$AQ$6:$AQ$105,MATCH(C150,Ingredients!$B$6:$B$105,0))),0))</f>
        <v/>
      </c>
    </row>
    <row r="151">
      <c r="A151" s="1" t="n"/>
      <c r="B151" s="21" t="n"/>
      <c r="C151" s="39" t="n"/>
      <c r="D151" s="40" t="n"/>
      <c r="E151" s="12">
        <f>IF(C151="","",IF(ISNA(MATCH(C151,Ingredients!$B$6:$B$105,0)),"Not on Ingredients",IFERROR(IF(INDEX(Ingredients!$C$6:$C$105,MATCH(C151,Ingredients!$B$6:$B$105,0))="","",INDEX(Ingredients!$C$6:$C$105,MATCH(C151,Ingredients!$B$6:$B$105,0))),"")))</f>
        <v/>
      </c>
      <c r="F151" s="26">
        <f>IF(OR(B151="",C151=""),"",N(D151)*IFERROR(N(INDEX(Ingredients!$H$6:$H$105,MATCH(C151,Ingredients!$B$6:$B$105,0))),0))</f>
        <v/>
      </c>
      <c r="G151" s="1">
        <f>IF(OR(B151="",C151=""),0,IFERROR(N(INDEX(Products!$D$6:$D$45,MATCH(B151,Products!$B$6:$B$45,0))),0))</f>
        <v/>
      </c>
      <c r="H151">
        <f>IF(N(G151)=0,0,N(D151)*SUMIFS(Batches!$D$6:$D$505,Batches!$C$6:$C$505,B151)/G151)</f>
        <v/>
      </c>
      <c r="I151">
        <f>IF(OR(B151="",C151=""),"",IF(B151&lt;&gt;Label!$H$3,"",IF(IFERROR(N(INDEX(Ingredients!$AS$6:$AS$105,MATCH(C151,Ingredients!$B$6:$B$105,0))),0)=1,"",ROUND(N(D151)*1000,0)*100000+100000-ROW())))</f>
        <v/>
      </c>
      <c r="J151">
        <f>IF(OR(B151="",C151=""),0,IFERROR(N(INDEX(Ingredients!$AC$6:$AC$105,MATCH(C151,Ingredients!$B$6:$B$105,0))),0))</f>
        <v/>
      </c>
      <c r="K151">
        <f>IF(OR(B151="",C151=""),0,IFERROR(N(INDEX(Ingredients!$AD$6:$AD$105,MATCH(C151,Ingredients!$B$6:$B$105,0))),0))</f>
        <v/>
      </c>
      <c r="L151">
        <f>IF(OR(B151="",C151=""),0,IFERROR(N(INDEX(Ingredients!$AE$6:$AE$105,MATCH(C151,Ingredients!$B$6:$B$105,0))),0))</f>
        <v/>
      </c>
      <c r="M151">
        <f>IF(OR(B151="",C151=""),0,IFERROR(N(INDEX(Ingredients!$AF$6:$AF$105,MATCH(C151,Ingredients!$B$6:$B$105,0))),0))</f>
        <v/>
      </c>
      <c r="N151">
        <f>IF(OR(B151="",C151=""),0,IFERROR(N(INDEX(Ingredients!$AG$6:$AG$105,MATCH(C151,Ingredients!$B$6:$B$105,0))),0))</f>
        <v/>
      </c>
      <c r="O151">
        <f>IF(OR(B151="",C151=""),0,IFERROR(N(INDEX(Ingredients!$AH$6:$AH$105,MATCH(C151,Ingredients!$B$6:$B$105,0))),0))</f>
        <v/>
      </c>
      <c r="P151">
        <f>IF(OR(B151="",C151=""),0,IFERROR(N(INDEX(Ingredients!$AI$6:$AI$105,MATCH(C151,Ingredients!$B$6:$B$105,0))),0))</f>
        <v/>
      </c>
      <c r="Q151">
        <f>IF(OR(B151="",C151=""),0,IFERROR(N(INDEX(Ingredients!$AJ$6:$AJ$105,MATCH(C151,Ingredients!$B$6:$B$105,0))),0))</f>
        <v/>
      </c>
      <c r="R151">
        <f>IF(OR(B151="",C151=""),0,IFERROR(N(INDEX(Ingredients!$AK$6:$AK$105,MATCH(C151,Ingredients!$B$6:$B$105,0))),0))</f>
        <v/>
      </c>
      <c r="S151">
        <f>IF(OR(B151="",C151=""),0,IFERROR(N(INDEX(Ingredients!$AL$6:$AL$105,MATCH(C151,Ingredients!$B$6:$B$105,0))),0))</f>
        <v/>
      </c>
      <c r="T151">
        <f>IF(OR(B151="",C151=""),0,IFERROR(N(INDEX(Ingredients!$AM$6:$AM$105,MATCH(C151,Ingredients!$B$6:$B$105,0))),0))</f>
        <v/>
      </c>
      <c r="U151">
        <f>IF(OR(B151="",C151=""),0,IFERROR(N(INDEX(Ingredients!$AN$6:$AN$105,MATCH(C151,Ingredients!$B$6:$B$105,0))),0))</f>
        <v/>
      </c>
      <c r="V151">
        <f>IF(OR(B151="",C151=""),0,IFERROR(N(INDEX(Ingredients!$AO$6:$AO$105,MATCH(C151,Ingredients!$B$6:$B$105,0))),0))</f>
        <v/>
      </c>
      <c r="W151">
        <f>IF(OR(B151="",C151=""),0,IFERROR(N(INDEX(Ingredients!$AP$6:$AP$105,MATCH(C151,Ingredients!$B$6:$B$105,0))),0))</f>
        <v/>
      </c>
      <c r="X151">
        <f>IF(OR(B151="",C151=""),0,IFERROR(N(INDEX(Ingredients!$AQ$6:$AQ$105,MATCH(C151,Ingredients!$B$6:$B$105,0))),0))</f>
        <v/>
      </c>
    </row>
    <row r="152">
      <c r="A152" s="1" t="n"/>
      <c r="B152" s="21" t="n"/>
      <c r="C152" s="39" t="n"/>
      <c r="D152" s="40" t="n"/>
      <c r="E152" s="12">
        <f>IF(C152="","",IF(ISNA(MATCH(C152,Ingredients!$B$6:$B$105,0)),"Not on Ingredients",IFERROR(IF(INDEX(Ingredients!$C$6:$C$105,MATCH(C152,Ingredients!$B$6:$B$105,0))="","",INDEX(Ingredients!$C$6:$C$105,MATCH(C152,Ingredients!$B$6:$B$105,0))),"")))</f>
        <v/>
      </c>
      <c r="F152" s="26">
        <f>IF(OR(B152="",C152=""),"",N(D152)*IFERROR(N(INDEX(Ingredients!$H$6:$H$105,MATCH(C152,Ingredients!$B$6:$B$105,0))),0))</f>
        <v/>
      </c>
      <c r="G152" s="1">
        <f>IF(OR(B152="",C152=""),0,IFERROR(N(INDEX(Products!$D$6:$D$45,MATCH(B152,Products!$B$6:$B$45,0))),0))</f>
        <v/>
      </c>
      <c r="H152">
        <f>IF(N(G152)=0,0,N(D152)*SUMIFS(Batches!$D$6:$D$505,Batches!$C$6:$C$505,B152)/G152)</f>
        <v/>
      </c>
      <c r="I152">
        <f>IF(OR(B152="",C152=""),"",IF(B152&lt;&gt;Label!$H$3,"",IF(IFERROR(N(INDEX(Ingredients!$AS$6:$AS$105,MATCH(C152,Ingredients!$B$6:$B$105,0))),0)=1,"",ROUND(N(D152)*1000,0)*100000+100000-ROW())))</f>
        <v/>
      </c>
      <c r="J152">
        <f>IF(OR(B152="",C152=""),0,IFERROR(N(INDEX(Ingredients!$AC$6:$AC$105,MATCH(C152,Ingredients!$B$6:$B$105,0))),0))</f>
        <v/>
      </c>
      <c r="K152">
        <f>IF(OR(B152="",C152=""),0,IFERROR(N(INDEX(Ingredients!$AD$6:$AD$105,MATCH(C152,Ingredients!$B$6:$B$105,0))),0))</f>
        <v/>
      </c>
      <c r="L152">
        <f>IF(OR(B152="",C152=""),0,IFERROR(N(INDEX(Ingredients!$AE$6:$AE$105,MATCH(C152,Ingredients!$B$6:$B$105,0))),0))</f>
        <v/>
      </c>
      <c r="M152">
        <f>IF(OR(B152="",C152=""),0,IFERROR(N(INDEX(Ingredients!$AF$6:$AF$105,MATCH(C152,Ingredients!$B$6:$B$105,0))),0))</f>
        <v/>
      </c>
      <c r="N152">
        <f>IF(OR(B152="",C152=""),0,IFERROR(N(INDEX(Ingredients!$AG$6:$AG$105,MATCH(C152,Ingredients!$B$6:$B$105,0))),0))</f>
        <v/>
      </c>
      <c r="O152">
        <f>IF(OR(B152="",C152=""),0,IFERROR(N(INDEX(Ingredients!$AH$6:$AH$105,MATCH(C152,Ingredients!$B$6:$B$105,0))),0))</f>
        <v/>
      </c>
      <c r="P152">
        <f>IF(OR(B152="",C152=""),0,IFERROR(N(INDEX(Ingredients!$AI$6:$AI$105,MATCH(C152,Ingredients!$B$6:$B$105,0))),0))</f>
        <v/>
      </c>
      <c r="Q152">
        <f>IF(OR(B152="",C152=""),0,IFERROR(N(INDEX(Ingredients!$AJ$6:$AJ$105,MATCH(C152,Ingredients!$B$6:$B$105,0))),0))</f>
        <v/>
      </c>
      <c r="R152">
        <f>IF(OR(B152="",C152=""),0,IFERROR(N(INDEX(Ingredients!$AK$6:$AK$105,MATCH(C152,Ingredients!$B$6:$B$105,0))),0))</f>
        <v/>
      </c>
      <c r="S152">
        <f>IF(OR(B152="",C152=""),0,IFERROR(N(INDEX(Ingredients!$AL$6:$AL$105,MATCH(C152,Ingredients!$B$6:$B$105,0))),0))</f>
        <v/>
      </c>
      <c r="T152">
        <f>IF(OR(B152="",C152=""),0,IFERROR(N(INDEX(Ingredients!$AM$6:$AM$105,MATCH(C152,Ingredients!$B$6:$B$105,0))),0))</f>
        <v/>
      </c>
      <c r="U152">
        <f>IF(OR(B152="",C152=""),0,IFERROR(N(INDEX(Ingredients!$AN$6:$AN$105,MATCH(C152,Ingredients!$B$6:$B$105,0))),0))</f>
        <v/>
      </c>
      <c r="V152">
        <f>IF(OR(B152="",C152=""),0,IFERROR(N(INDEX(Ingredients!$AO$6:$AO$105,MATCH(C152,Ingredients!$B$6:$B$105,0))),0))</f>
        <v/>
      </c>
      <c r="W152">
        <f>IF(OR(B152="",C152=""),0,IFERROR(N(INDEX(Ingredients!$AP$6:$AP$105,MATCH(C152,Ingredients!$B$6:$B$105,0))),0))</f>
        <v/>
      </c>
      <c r="X152">
        <f>IF(OR(B152="",C152=""),0,IFERROR(N(INDEX(Ingredients!$AQ$6:$AQ$105,MATCH(C152,Ingredients!$B$6:$B$105,0))),0))</f>
        <v/>
      </c>
    </row>
    <row r="153">
      <c r="A153" s="1" t="n"/>
      <c r="B153" s="21" t="n"/>
      <c r="C153" s="39" t="n"/>
      <c r="D153" s="40" t="n"/>
      <c r="E153" s="12">
        <f>IF(C153="","",IF(ISNA(MATCH(C153,Ingredients!$B$6:$B$105,0)),"Not on Ingredients",IFERROR(IF(INDEX(Ingredients!$C$6:$C$105,MATCH(C153,Ingredients!$B$6:$B$105,0))="","",INDEX(Ingredients!$C$6:$C$105,MATCH(C153,Ingredients!$B$6:$B$105,0))),"")))</f>
        <v/>
      </c>
      <c r="F153" s="26">
        <f>IF(OR(B153="",C153=""),"",N(D153)*IFERROR(N(INDEX(Ingredients!$H$6:$H$105,MATCH(C153,Ingredients!$B$6:$B$105,0))),0))</f>
        <v/>
      </c>
      <c r="G153" s="1">
        <f>IF(OR(B153="",C153=""),0,IFERROR(N(INDEX(Products!$D$6:$D$45,MATCH(B153,Products!$B$6:$B$45,0))),0))</f>
        <v/>
      </c>
      <c r="H153">
        <f>IF(N(G153)=0,0,N(D153)*SUMIFS(Batches!$D$6:$D$505,Batches!$C$6:$C$505,B153)/G153)</f>
        <v/>
      </c>
      <c r="I153">
        <f>IF(OR(B153="",C153=""),"",IF(B153&lt;&gt;Label!$H$3,"",IF(IFERROR(N(INDEX(Ingredients!$AS$6:$AS$105,MATCH(C153,Ingredients!$B$6:$B$105,0))),0)=1,"",ROUND(N(D153)*1000,0)*100000+100000-ROW())))</f>
        <v/>
      </c>
      <c r="J153">
        <f>IF(OR(B153="",C153=""),0,IFERROR(N(INDEX(Ingredients!$AC$6:$AC$105,MATCH(C153,Ingredients!$B$6:$B$105,0))),0))</f>
        <v/>
      </c>
      <c r="K153">
        <f>IF(OR(B153="",C153=""),0,IFERROR(N(INDEX(Ingredients!$AD$6:$AD$105,MATCH(C153,Ingredients!$B$6:$B$105,0))),0))</f>
        <v/>
      </c>
      <c r="L153">
        <f>IF(OR(B153="",C153=""),0,IFERROR(N(INDEX(Ingredients!$AE$6:$AE$105,MATCH(C153,Ingredients!$B$6:$B$105,0))),0))</f>
        <v/>
      </c>
      <c r="M153">
        <f>IF(OR(B153="",C153=""),0,IFERROR(N(INDEX(Ingredients!$AF$6:$AF$105,MATCH(C153,Ingredients!$B$6:$B$105,0))),0))</f>
        <v/>
      </c>
      <c r="N153">
        <f>IF(OR(B153="",C153=""),0,IFERROR(N(INDEX(Ingredients!$AG$6:$AG$105,MATCH(C153,Ingredients!$B$6:$B$105,0))),0))</f>
        <v/>
      </c>
      <c r="O153">
        <f>IF(OR(B153="",C153=""),0,IFERROR(N(INDEX(Ingredients!$AH$6:$AH$105,MATCH(C153,Ingredients!$B$6:$B$105,0))),0))</f>
        <v/>
      </c>
      <c r="P153">
        <f>IF(OR(B153="",C153=""),0,IFERROR(N(INDEX(Ingredients!$AI$6:$AI$105,MATCH(C153,Ingredients!$B$6:$B$105,0))),0))</f>
        <v/>
      </c>
      <c r="Q153">
        <f>IF(OR(B153="",C153=""),0,IFERROR(N(INDEX(Ingredients!$AJ$6:$AJ$105,MATCH(C153,Ingredients!$B$6:$B$105,0))),0))</f>
        <v/>
      </c>
      <c r="R153">
        <f>IF(OR(B153="",C153=""),0,IFERROR(N(INDEX(Ingredients!$AK$6:$AK$105,MATCH(C153,Ingredients!$B$6:$B$105,0))),0))</f>
        <v/>
      </c>
      <c r="S153">
        <f>IF(OR(B153="",C153=""),0,IFERROR(N(INDEX(Ingredients!$AL$6:$AL$105,MATCH(C153,Ingredients!$B$6:$B$105,0))),0))</f>
        <v/>
      </c>
      <c r="T153">
        <f>IF(OR(B153="",C153=""),0,IFERROR(N(INDEX(Ingredients!$AM$6:$AM$105,MATCH(C153,Ingredients!$B$6:$B$105,0))),0))</f>
        <v/>
      </c>
      <c r="U153">
        <f>IF(OR(B153="",C153=""),0,IFERROR(N(INDEX(Ingredients!$AN$6:$AN$105,MATCH(C153,Ingredients!$B$6:$B$105,0))),0))</f>
        <v/>
      </c>
      <c r="V153">
        <f>IF(OR(B153="",C153=""),0,IFERROR(N(INDEX(Ingredients!$AO$6:$AO$105,MATCH(C153,Ingredients!$B$6:$B$105,0))),0))</f>
        <v/>
      </c>
      <c r="W153">
        <f>IF(OR(B153="",C153=""),0,IFERROR(N(INDEX(Ingredients!$AP$6:$AP$105,MATCH(C153,Ingredients!$B$6:$B$105,0))),0))</f>
        <v/>
      </c>
      <c r="X153">
        <f>IF(OR(B153="",C153=""),0,IFERROR(N(INDEX(Ingredients!$AQ$6:$AQ$105,MATCH(C153,Ingredients!$B$6:$B$105,0))),0))</f>
        <v/>
      </c>
    </row>
    <row r="154">
      <c r="A154" s="1" t="n"/>
      <c r="B154" s="21" t="n"/>
      <c r="C154" s="39" t="n"/>
      <c r="D154" s="40" t="n"/>
      <c r="E154" s="12">
        <f>IF(C154="","",IF(ISNA(MATCH(C154,Ingredients!$B$6:$B$105,0)),"Not on Ingredients",IFERROR(IF(INDEX(Ingredients!$C$6:$C$105,MATCH(C154,Ingredients!$B$6:$B$105,0))="","",INDEX(Ingredients!$C$6:$C$105,MATCH(C154,Ingredients!$B$6:$B$105,0))),"")))</f>
        <v/>
      </c>
      <c r="F154" s="26">
        <f>IF(OR(B154="",C154=""),"",N(D154)*IFERROR(N(INDEX(Ingredients!$H$6:$H$105,MATCH(C154,Ingredients!$B$6:$B$105,0))),0))</f>
        <v/>
      </c>
      <c r="G154" s="1">
        <f>IF(OR(B154="",C154=""),0,IFERROR(N(INDEX(Products!$D$6:$D$45,MATCH(B154,Products!$B$6:$B$45,0))),0))</f>
        <v/>
      </c>
      <c r="H154">
        <f>IF(N(G154)=0,0,N(D154)*SUMIFS(Batches!$D$6:$D$505,Batches!$C$6:$C$505,B154)/G154)</f>
        <v/>
      </c>
      <c r="I154">
        <f>IF(OR(B154="",C154=""),"",IF(B154&lt;&gt;Label!$H$3,"",IF(IFERROR(N(INDEX(Ingredients!$AS$6:$AS$105,MATCH(C154,Ingredients!$B$6:$B$105,0))),0)=1,"",ROUND(N(D154)*1000,0)*100000+100000-ROW())))</f>
        <v/>
      </c>
      <c r="J154">
        <f>IF(OR(B154="",C154=""),0,IFERROR(N(INDEX(Ingredients!$AC$6:$AC$105,MATCH(C154,Ingredients!$B$6:$B$105,0))),0))</f>
        <v/>
      </c>
      <c r="K154">
        <f>IF(OR(B154="",C154=""),0,IFERROR(N(INDEX(Ingredients!$AD$6:$AD$105,MATCH(C154,Ingredients!$B$6:$B$105,0))),0))</f>
        <v/>
      </c>
      <c r="L154">
        <f>IF(OR(B154="",C154=""),0,IFERROR(N(INDEX(Ingredients!$AE$6:$AE$105,MATCH(C154,Ingredients!$B$6:$B$105,0))),0))</f>
        <v/>
      </c>
      <c r="M154">
        <f>IF(OR(B154="",C154=""),0,IFERROR(N(INDEX(Ingredients!$AF$6:$AF$105,MATCH(C154,Ingredients!$B$6:$B$105,0))),0))</f>
        <v/>
      </c>
      <c r="N154">
        <f>IF(OR(B154="",C154=""),0,IFERROR(N(INDEX(Ingredients!$AG$6:$AG$105,MATCH(C154,Ingredients!$B$6:$B$105,0))),0))</f>
        <v/>
      </c>
      <c r="O154">
        <f>IF(OR(B154="",C154=""),0,IFERROR(N(INDEX(Ingredients!$AH$6:$AH$105,MATCH(C154,Ingredients!$B$6:$B$105,0))),0))</f>
        <v/>
      </c>
      <c r="P154">
        <f>IF(OR(B154="",C154=""),0,IFERROR(N(INDEX(Ingredients!$AI$6:$AI$105,MATCH(C154,Ingredients!$B$6:$B$105,0))),0))</f>
        <v/>
      </c>
      <c r="Q154">
        <f>IF(OR(B154="",C154=""),0,IFERROR(N(INDEX(Ingredients!$AJ$6:$AJ$105,MATCH(C154,Ingredients!$B$6:$B$105,0))),0))</f>
        <v/>
      </c>
      <c r="R154">
        <f>IF(OR(B154="",C154=""),0,IFERROR(N(INDEX(Ingredients!$AK$6:$AK$105,MATCH(C154,Ingredients!$B$6:$B$105,0))),0))</f>
        <v/>
      </c>
      <c r="S154">
        <f>IF(OR(B154="",C154=""),0,IFERROR(N(INDEX(Ingredients!$AL$6:$AL$105,MATCH(C154,Ingredients!$B$6:$B$105,0))),0))</f>
        <v/>
      </c>
      <c r="T154">
        <f>IF(OR(B154="",C154=""),0,IFERROR(N(INDEX(Ingredients!$AM$6:$AM$105,MATCH(C154,Ingredients!$B$6:$B$105,0))),0))</f>
        <v/>
      </c>
      <c r="U154">
        <f>IF(OR(B154="",C154=""),0,IFERROR(N(INDEX(Ingredients!$AN$6:$AN$105,MATCH(C154,Ingredients!$B$6:$B$105,0))),0))</f>
        <v/>
      </c>
      <c r="V154">
        <f>IF(OR(B154="",C154=""),0,IFERROR(N(INDEX(Ingredients!$AO$6:$AO$105,MATCH(C154,Ingredients!$B$6:$B$105,0))),0))</f>
        <v/>
      </c>
      <c r="W154">
        <f>IF(OR(B154="",C154=""),0,IFERROR(N(INDEX(Ingredients!$AP$6:$AP$105,MATCH(C154,Ingredients!$B$6:$B$105,0))),0))</f>
        <v/>
      </c>
      <c r="X154">
        <f>IF(OR(B154="",C154=""),0,IFERROR(N(INDEX(Ingredients!$AQ$6:$AQ$105,MATCH(C154,Ingredients!$B$6:$B$105,0))),0))</f>
        <v/>
      </c>
    </row>
    <row r="155">
      <c r="A155" s="1" t="n"/>
      <c r="B155" s="21" t="n"/>
      <c r="C155" s="39" t="n"/>
      <c r="D155" s="40" t="n"/>
      <c r="E155" s="12">
        <f>IF(C155="","",IF(ISNA(MATCH(C155,Ingredients!$B$6:$B$105,0)),"Not on Ingredients",IFERROR(IF(INDEX(Ingredients!$C$6:$C$105,MATCH(C155,Ingredients!$B$6:$B$105,0))="","",INDEX(Ingredients!$C$6:$C$105,MATCH(C155,Ingredients!$B$6:$B$105,0))),"")))</f>
        <v/>
      </c>
      <c r="F155" s="26">
        <f>IF(OR(B155="",C155=""),"",N(D155)*IFERROR(N(INDEX(Ingredients!$H$6:$H$105,MATCH(C155,Ingredients!$B$6:$B$105,0))),0))</f>
        <v/>
      </c>
      <c r="G155" s="1">
        <f>IF(OR(B155="",C155=""),0,IFERROR(N(INDEX(Products!$D$6:$D$45,MATCH(B155,Products!$B$6:$B$45,0))),0))</f>
        <v/>
      </c>
      <c r="H155">
        <f>IF(N(G155)=0,0,N(D155)*SUMIFS(Batches!$D$6:$D$505,Batches!$C$6:$C$505,B155)/G155)</f>
        <v/>
      </c>
      <c r="I155">
        <f>IF(OR(B155="",C155=""),"",IF(B155&lt;&gt;Label!$H$3,"",IF(IFERROR(N(INDEX(Ingredients!$AS$6:$AS$105,MATCH(C155,Ingredients!$B$6:$B$105,0))),0)=1,"",ROUND(N(D155)*1000,0)*100000+100000-ROW())))</f>
        <v/>
      </c>
      <c r="J155">
        <f>IF(OR(B155="",C155=""),0,IFERROR(N(INDEX(Ingredients!$AC$6:$AC$105,MATCH(C155,Ingredients!$B$6:$B$105,0))),0))</f>
        <v/>
      </c>
      <c r="K155">
        <f>IF(OR(B155="",C155=""),0,IFERROR(N(INDEX(Ingredients!$AD$6:$AD$105,MATCH(C155,Ingredients!$B$6:$B$105,0))),0))</f>
        <v/>
      </c>
      <c r="L155">
        <f>IF(OR(B155="",C155=""),0,IFERROR(N(INDEX(Ingredients!$AE$6:$AE$105,MATCH(C155,Ingredients!$B$6:$B$105,0))),0))</f>
        <v/>
      </c>
      <c r="M155">
        <f>IF(OR(B155="",C155=""),0,IFERROR(N(INDEX(Ingredients!$AF$6:$AF$105,MATCH(C155,Ingredients!$B$6:$B$105,0))),0))</f>
        <v/>
      </c>
      <c r="N155">
        <f>IF(OR(B155="",C155=""),0,IFERROR(N(INDEX(Ingredients!$AG$6:$AG$105,MATCH(C155,Ingredients!$B$6:$B$105,0))),0))</f>
        <v/>
      </c>
      <c r="O155">
        <f>IF(OR(B155="",C155=""),0,IFERROR(N(INDEX(Ingredients!$AH$6:$AH$105,MATCH(C155,Ingredients!$B$6:$B$105,0))),0))</f>
        <v/>
      </c>
      <c r="P155">
        <f>IF(OR(B155="",C155=""),0,IFERROR(N(INDEX(Ingredients!$AI$6:$AI$105,MATCH(C155,Ingredients!$B$6:$B$105,0))),0))</f>
        <v/>
      </c>
      <c r="Q155">
        <f>IF(OR(B155="",C155=""),0,IFERROR(N(INDEX(Ingredients!$AJ$6:$AJ$105,MATCH(C155,Ingredients!$B$6:$B$105,0))),0))</f>
        <v/>
      </c>
      <c r="R155">
        <f>IF(OR(B155="",C155=""),0,IFERROR(N(INDEX(Ingredients!$AK$6:$AK$105,MATCH(C155,Ingredients!$B$6:$B$105,0))),0))</f>
        <v/>
      </c>
      <c r="S155">
        <f>IF(OR(B155="",C155=""),0,IFERROR(N(INDEX(Ingredients!$AL$6:$AL$105,MATCH(C155,Ingredients!$B$6:$B$105,0))),0))</f>
        <v/>
      </c>
      <c r="T155">
        <f>IF(OR(B155="",C155=""),0,IFERROR(N(INDEX(Ingredients!$AM$6:$AM$105,MATCH(C155,Ingredients!$B$6:$B$105,0))),0))</f>
        <v/>
      </c>
      <c r="U155">
        <f>IF(OR(B155="",C155=""),0,IFERROR(N(INDEX(Ingredients!$AN$6:$AN$105,MATCH(C155,Ingredients!$B$6:$B$105,0))),0))</f>
        <v/>
      </c>
      <c r="V155">
        <f>IF(OR(B155="",C155=""),0,IFERROR(N(INDEX(Ingredients!$AO$6:$AO$105,MATCH(C155,Ingredients!$B$6:$B$105,0))),0))</f>
        <v/>
      </c>
      <c r="W155">
        <f>IF(OR(B155="",C155=""),0,IFERROR(N(INDEX(Ingredients!$AP$6:$AP$105,MATCH(C155,Ingredients!$B$6:$B$105,0))),0))</f>
        <v/>
      </c>
      <c r="X155">
        <f>IF(OR(B155="",C155=""),0,IFERROR(N(INDEX(Ingredients!$AQ$6:$AQ$105,MATCH(C155,Ingredients!$B$6:$B$105,0))),0))</f>
        <v/>
      </c>
    </row>
    <row r="156">
      <c r="A156" s="1" t="n"/>
      <c r="B156" s="21" t="n"/>
      <c r="C156" s="39" t="n"/>
      <c r="D156" s="40" t="n"/>
      <c r="E156" s="12">
        <f>IF(C156="","",IF(ISNA(MATCH(C156,Ingredients!$B$6:$B$105,0)),"Not on Ingredients",IFERROR(IF(INDEX(Ingredients!$C$6:$C$105,MATCH(C156,Ingredients!$B$6:$B$105,0))="","",INDEX(Ingredients!$C$6:$C$105,MATCH(C156,Ingredients!$B$6:$B$105,0))),"")))</f>
        <v/>
      </c>
      <c r="F156" s="26">
        <f>IF(OR(B156="",C156=""),"",N(D156)*IFERROR(N(INDEX(Ingredients!$H$6:$H$105,MATCH(C156,Ingredients!$B$6:$B$105,0))),0))</f>
        <v/>
      </c>
      <c r="G156" s="1">
        <f>IF(OR(B156="",C156=""),0,IFERROR(N(INDEX(Products!$D$6:$D$45,MATCH(B156,Products!$B$6:$B$45,0))),0))</f>
        <v/>
      </c>
      <c r="H156">
        <f>IF(N(G156)=0,0,N(D156)*SUMIFS(Batches!$D$6:$D$505,Batches!$C$6:$C$505,B156)/G156)</f>
        <v/>
      </c>
      <c r="I156">
        <f>IF(OR(B156="",C156=""),"",IF(B156&lt;&gt;Label!$H$3,"",IF(IFERROR(N(INDEX(Ingredients!$AS$6:$AS$105,MATCH(C156,Ingredients!$B$6:$B$105,0))),0)=1,"",ROUND(N(D156)*1000,0)*100000+100000-ROW())))</f>
        <v/>
      </c>
      <c r="J156">
        <f>IF(OR(B156="",C156=""),0,IFERROR(N(INDEX(Ingredients!$AC$6:$AC$105,MATCH(C156,Ingredients!$B$6:$B$105,0))),0))</f>
        <v/>
      </c>
      <c r="K156">
        <f>IF(OR(B156="",C156=""),0,IFERROR(N(INDEX(Ingredients!$AD$6:$AD$105,MATCH(C156,Ingredients!$B$6:$B$105,0))),0))</f>
        <v/>
      </c>
      <c r="L156">
        <f>IF(OR(B156="",C156=""),0,IFERROR(N(INDEX(Ingredients!$AE$6:$AE$105,MATCH(C156,Ingredients!$B$6:$B$105,0))),0))</f>
        <v/>
      </c>
      <c r="M156">
        <f>IF(OR(B156="",C156=""),0,IFERROR(N(INDEX(Ingredients!$AF$6:$AF$105,MATCH(C156,Ingredients!$B$6:$B$105,0))),0))</f>
        <v/>
      </c>
      <c r="N156">
        <f>IF(OR(B156="",C156=""),0,IFERROR(N(INDEX(Ingredients!$AG$6:$AG$105,MATCH(C156,Ingredients!$B$6:$B$105,0))),0))</f>
        <v/>
      </c>
      <c r="O156">
        <f>IF(OR(B156="",C156=""),0,IFERROR(N(INDEX(Ingredients!$AH$6:$AH$105,MATCH(C156,Ingredients!$B$6:$B$105,0))),0))</f>
        <v/>
      </c>
      <c r="P156">
        <f>IF(OR(B156="",C156=""),0,IFERROR(N(INDEX(Ingredients!$AI$6:$AI$105,MATCH(C156,Ingredients!$B$6:$B$105,0))),0))</f>
        <v/>
      </c>
      <c r="Q156">
        <f>IF(OR(B156="",C156=""),0,IFERROR(N(INDEX(Ingredients!$AJ$6:$AJ$105,MATCH(C156,Ingredients!$B$6:$B$105,0))),0))</f>
        <v/>
      </c>
      <c r="R156">
        <f>IF(OR(B156="",C156=""),0,IFERROR(N(INDEX(Ingredients!$AK$6:$AK$105,MATCH(C156,Ingredients!$B$6:$B$105,0))),0))</f>
        <v/>
      </c>
      <c r="S156">
        <f>IF(OR(B156="",C156=""),0,IFERROR(N(INDEX(Ingredients!$AL$6:$AL$105,MATCH(C156,Ingredients!$B$6:$B$105,0))),0))</f>
        <v/>
      </c>
      <c r="T156">
        <f>IF(OR(B156="",C156=""),0,IFERROR(N(INDEX(Ingredients!$AM$6:$AM$105,MATCH(C156,Ingredients!$B$6:$B$105,0))),0))</f>
        <v/>
      </c>
      <c r="U156">
        <f>IF(OR(B156="",C156=""),0,IFERROR(N(INDEX(Ingredients!$AN$6:$AN$105,MATCH(C156,Ingredients!$B$6:$B$105,0))),0))</f>
        <v/>
      </c>
      <c r="V156">
        <f>IF(OR(B156="",C156=""),0,IFERROR(N(INDEX(Ingredients!$AO$6:$AO$105,MATCH(C156,Ingredients!$B$6:$B$105,0))),0))</f>
        <v/>
      </c>
      <c r="W156">
        <f>IF(OR(B156="",C156=""),0,IFERROR(N(INDEX(Ingredients!$AP$6:$AP$105,MATCH(C156,Ingredients!$B$6:$B$105,0))),0))</f>
        <v/>
      </c>
      <c r="X156">
        <f>IF(OR(B156="",C156=""),0,IFERROR(N(INDEX(Ingredients!$AQ$6:$AQ$105,MATCH(C156,Ingredients!$B$6:$B$105,0))),0))</f>
        <v/>
      </c>
    </row>
    <row r="157">
      <c r="A157" s="1" t="n"/>
      <c r="B157" s="21" t="n"/>
      <c r="C157" s="39" t="n"/>
      <c r="D157" s="40" t="n"/>
      <c r="E157" s="12">
        <f>IF(C157="","",IF(ISNA(MATCH(C157,Ingredients!$B$6:$B$105,0)),"Not on Ingredients",IFERROR(IF(INDEX(Ingredients!$C$6:$C$105,MATCH(C157,Ingredients!$B$6:$B$105,0))="","",INDEX(Ingredients!$C$6:$C$105,MATCH(C157,Ingredients!$B$6:$B$105,0))),"")))</f>
        <v/>
      </c>
      <c r="F157" s="26">
        <f>IF(OR(B157="",C157=""),"",N(D157)*IFERROR(N(INDEX(Ingredients!$H$6:$H$105,MATCH(C157,Ingredients!$B$6:$B$105,0))),0))</f>
        <v/>
      </c>
      <c r="G157" s="1">
        <f>IF(OR(B157="",C157=""),0,IFERROR(N(INDEX(Products!$D$6:$D$45,MATCH(B157,Products!$B$6:$B$45,0))),0))</f>
        <v/>
      </c>
      <c r="H157">
        <f>IF(N(G157)=0,0,N(D157)*SUMIFS(Batches!$D$6:$D$505,Batches!$C$6:$C$505,B157)/G157)</f>
        <v/>
      </c>
      <c r="I157">
        <f>IF(OR(B157="",C157=""),"",IF(B157&lt;&gt;Label!$H$3,"",IF(IFERROR(N(INDEX(Ingredients!$AS$6:$AS$105,MATCH(C157,Ingredients!$B$6:$B$105,0))),0)=1,"",ROUND(N(D157)*1000,0)*100000+100000-ROW())))</f>
        <v/>
      </c>
      <c r="J157">
        <f>IF(OR(B157="",C157=""),0,IFERROR(N(INDEX(Ingredients!$AC$6:$AC$105,MATCH(C157,Ingredients!$B$6:$B$105,0))),0))</f>
        <v/>
      </c>
      <c r="K157">
        <f>IF(OR(B157="",C157=""),0,IFERROR(N(INDEX(Ingredients!$AD$6:$AD$105,MATCH(C157,Ingredients!$B$6:$B$105,0))),0))</f>
        <v/>
      </c>
      <c r="L157">
        <f>IF(OR(B157="",C157=""),0,IFERROR(N(INDEX(Ingredients!$AE$6:$AE$105,MATCH(C157,Ingredients!$B$6:$B$105,0))),0))</f>
        <v/>
      </c>
      <c r="M157">
        <f>IF(OR(B157="",C157=""),0,IFERROR(N(INDEX(Ingredients!$AF$6:$AF$105,MATCH(C157,Ingredients!$B$6:$B$105,0))),0))</f>
        <v/>
      </c>
      <c r="N157">
        <f>IF(OR(B157="",C157=""),0,IFERROR(N(INDEX(Ingredients!$AG$6:$AG$105,MATCH(C157,Ingredients!$B$6:$B$105,0))),0))</f>
        <v/>
      </c>
      <c r="O157">
        <f>IF(OR(B157="",C157=""),0,IFERROR(N(INDEX(Ingredients!$AH$6:$AH$105,MATCH(C157,Ingredients!$B$6:$B$105,0))),0))</f>
        <v/>
      </c>
      <c r="P157">
        <f>IF(OR(B157="",C157=""),0,IFERROR(N(INDEX(Ingredients!$AI$6:$AI$105,MATCH(C157,Ingredients!$B$6:$B$105,0))),0))</f>
        <v/>
      </c>
      <c r="Q157">
        <f>IF(OR(B157="",C157=""),0,IFERROR(N(INDEX(Ingredients!$AJ$6:$AJ$105,MATCH(C157,Ingredients!$B$6:$B$105,0))),0))</f>
        <v/>
      </c>
      <c r="R157">
        <f>IF(OR(B157="",C157=""),0,IFERROR(N(INDEX(Ingredients!$AK$6:$AK$105,MATCH(C157,Ingredients!$B$6:$B$105,0))),0))</f>
        <v/>
      </c>
      <c r="S157">
        <f>IF(OR(B157="",C157=""),0,IFERROR(N(INDEX(Ingredients!$AL$6:$AL$105,MATCH(C157,Ingredients!$B$6:$B$105,0))),0))</f>
        <v/>
      </c>
      <c r="T157">
        <f>IF(OR(B157="",C157=""),0,IFERROR(N(INDEX(Ingredients!$AM$6:$AM$105,MATCH(C157,Ingredients!$B$6:$B$105,0))),0))</f>
        <v/>
      </c>
      <c r="U157">
        <f>IF(OR(B157="",C157=""),0,IFERROR(N(INDEX(Ingredients!$AN$6:$AN$105,MATCH(C157,Ingredients!$B$6:$B$105,0))),0))</f>
        <v/>
      </c>
      <c r="V157">
        <f>IF(OR(B157="",C157=""),0,IFERROR(N(INDEX(Ingredients!$AO$6:$AO$105,MATCH(C157,Ingredients!$B$6:$B$105,0))),0))</f>
        <v/>
      </c>
      <c r="W157">
        <f>IF(OR(B157="",C157=""),0,IFERROR(N(INDEX(Ingredients!$AP$6:$AP$105,MATCH(C157,Ingredients!$B$6:$B$105,0))),0))</f>
        <v/>
      </c>
      <c r="X157">
        <f>IF(OR(B157="",C157=""),0,IFERROR(N(INDEX(Ingredients!$AQ$6:$AQ$105,MATCH(C157,Ingredients!$B$6:$B$105,0))),0))</f>
        <v/>
      </c>
    </row>
    <row r="158">
      <c r="A158" s="1" t="n"/>
      <c r="B158" s="21" t="n"/>
      <c r="C158" s="39" t="n"/>
      <c r="D158" s="40" t="n"/>
      <c r="E158" s="12">
        <f>IF(C158="","",IF(ISNA(MATCH(C158,Ingredients!$B$6:$B$105,0)),"Not on Ingredients",IFERROR(IF(INDEX(Ingredients!$C$6:$C$105,MATCH(C158,Ingredients!$B$6:$B$105,0))="","",INDEX(Ingredients!$C$6:$C$105,MATCH(C158,Ingredients!$B$6:$B$105,0))),"")))</f>
        <v/>
      </c>
      <c r="F158" s="26">
        <f>IF(OR(B158="",C158=""),"",N(D158)*IFERROR(N(INDEX(Ingredients!$H$6:$H$105,MATCH(C158,Ingredients!$B$6:$B$105,0))),0))</f>
        <v/>
      </c>
      <c r="G158" s="1">
        <f>IF(OR(B158="",C158=""),0,IFERROR(N(INDEX(Products!$D$6:$D$45,MATCH(B158,Products!$B$6:$B$45,0))),0))</f>
        <v/>
      </c>
      <c r="H158">
        <f>IF(N(G158)=0,0,N(D158)*SUMIFS(Batches!$D$6:$D$505,Batches!$C$6:$C$505,B158)/G158)</f>
        <v/>
      </c>
      <c r="I158">
        <f>IF(OR(B158="",C158=""),"",IF(B158&lt;&gt;Label!$H$3,"",IF(IFERROR(N(INDEX(Ingredients!$AS$6:$AS$105,MATCH(C158,Ingredients!$B$6:$B$105,0))),0)=1,"",ROUND(N(D158)*1000,0)*100000+100000-ROW())))</f>
        <v/>
      </c>
      <c r="J158">
        <f>IF(OR(B158="",C158=""),0,IFERROR(N(INDEX(Ingredients!$AC$6:$AC$105,MATCH(C158,Ingredients!$B$6:$B$105,0))),0))</f>
        <v/>
      </c>
      <c r="K158">
        <f>IF(OR(B158="",C158=""),0,IFERROR(N(INDEX(Ingredients!$AD$6:$AD$105,MATCH(C158,Ingredients!$B$6:$B$105,0))),0))</f>
        <v/>
      </c>
      <c r="L158">
        <f>IF(OR(B158="",C158=""),0,IFERROR(N(INDEX(Ingredients!$AE$6:$AE$105,MATCH(C158,Ingredients!$B$6:$B$105,0))),0))</f>
        <v/>
      </c>
      <c r="M158">
        <f>IF(OR(B158="",C158=""),0,IFERROR(N(INDEX(Ingredients!$AF$6:$AF$105,MATCH(C158,Ingredients!$B$6:$B$105,0))),0))</f>
        <v/>
      </c>
      <c r="N158">
        <f>IF(OR(B158="",C158=""),0,IFERROR(N(INDEX(Ingredients!$AG$6:$AG$105,MATCH(C158,Ingredients!$B$6:$B$105,0))),0))</f>
        <v/>
      </c>
      <c r="O158">
        <f>IF(OR(B158="",C158=""),0,IFERROR(N(INDEX(Ingredients!$AH$6:$AH$105,MATCH(C158,Ingredients!$B$6:$B$105,0))),0))</f>
        <v/>
      </c>
      <c r="P158">
        <f>IF(OR(B158="",C158=""),0,IFERROR(N(INDEX(Ingredients!$AI$6:$AI$105,MATCH(C158,Ingredients!$B$6:$B$105,0))),0))</f>
        <v/>
      </c>
      <c r="Q158">
        <f>IF(OR(B158="",C158=""),0,IFERROR(N(INDEX(Ingredients!$AJ$6:$AJ$105,MATCH(C158,Ingredients!$B$6:$B$105,0))),0))</f>
        <v/>
      </c>
      <c r="R158">
        <f>IF(OR(B158="",C158=""),0,IFERROR(N(INDEX(Ingredients!$AK$6:$AK$105,MATCH(C158,Ingredients!$B$6:$B$105,0))),0))</f>
        <v/>
      </c>
      <c r="S158">
        <f>IF(OR(B158="",C158=""),0,IFERROR(N(INDEX(Ingredients!$AL$6:$AL$105,MATCH(C158,Ingredients!$B$6:$B$105,0))),0))</f>
        <v/>
      </c>
      <c r="T158">
        <f>IF(OR(B158="",C158=""),0,IFERROR(N(INDEX(Ingredients!$AM$6:$AM$105,MATCH(C158,Ingredients!$B$6:$B$105,0))),0))</f>
        <v/>
      </c>
      <c r="U158">
        <f>IF(OR(B158="",C158=""),0,IFERROR(N(INDEX(Ingredients!$AN$6:$AN$105,MATCH(C158,Ingredients!$B$6:$B$105,0))),0))</f>
        <v/>
      </c>
      <c r="V158">
        <f>IF(OR(B158="",C158=""),0,IFERROR(N(INDEX(Ingredients!$AO$6:$AO$105,MATCH(C158,Ingredients!$B$6:$B$105,0))),0))</f>
        <v/>
      </c>
      <c r="W158">
        <f>IF(OR(B158="",C158=""),0,IFERROR(N(INDEX(Ingredients!$AP$6:$AP$105,MATCH(C158,Ingredients!$B$6:$B$105,0))),0))</f>
        <v/>
      </c>
      <c r="X158">
        <f>IF(OR(B158="",C158=""),0,IFERROR(N(INDEX(Ingredients!$AQ$6:$AQ$105,MATCH(C158,Ingredients!$B$6:$B$105,0))),0))</f>
        <v/>
      </c>
    </row>
    <row r="159">
      <c r="A159" s="1" t="n"/>
      <c r="B159" s="21" t="n"/>
      <c r="C159" s="39" t="n"/>
      <c r="D159" s="40" t="n"/>
      <c r="E159" s="12">
        <f>IF(C159="","",IF(ISNA(MATCH(C159,Ingredients!$B$6:$B$105,0)),"Not on Ingredients",IFERROR(IF(INDEX(Ingredients!$C$6:$C$105,MATCH(C159,Ingredients!$B$6:$B$105,0))="","",INDEX(Ingredients!$C$6:$C$105,MATCH(C159,Ingredients!$B$6:$B$105,0))),"")))</f>
        <v/>
      </c>
      <c r="F159" s="26">
        <f>IF(OR(B159="",C159=""),"",N(D159)*IFERROR(N(INDEX(Ingredients!$H$6:$H$105,MATCH(C159,Ingredients!$B$6:$B$105,0))),0))</f>
        <v/>
      </c>
      <c r="G159" s="1">
        <f>IF(OR(B159="",C159=""),0,IFERROR(N(INDEX(Products!$D$6:$D$45,MATCH(B159,Products!$B$6:$B$45,0))),0))</f>
        <v/>
      </c>
      <c r="H159">
        <f>IF(N(G159)=0,0,N(D159)*SUMIFS(Batches!$D$6:$D$505,Batches!$C$6:$C$505,B159)/G159)</f>
        <v/>
      </c>
      <c r="I159">
        <f>IF(OR(B159="",C159=""),"",IF(B159&lt;&gt;Label!$H$3,"",IF(IFERROR(N(INDEX(Ingredients!$AS$6:$AS$105,MATCH(C159,Ingredients!$B$6:$B$105,0))),0)=1,"",ROUND(N(D159)*1000,0)*100000+100000-ROW())))</f>
        <v/>
      </c>
      <c r="J159">
        <f>IF(OR(B159="",C159=""),0,IFERROR(N(INDEX(Ingredients!$AC$6:$AC$105,MATCH(C159,Ingredients!$B$6:$B$105,0))),0))</f>
        <v/>
      </c>
      <c r="K159">
        <f>IF(OR(B159="",C159=""),0,IFERROR(N(INDEX(Ingredients!$AD$6:$AD$105,MATCH(C159,Ingredients!$B$6:$B$105,0))),0))</f>
        <v/>
      </c>
      <c r="L159">
        <f>IF(OR(B159="",C159=""),0,IFERROR(N(INDEX(Ingredients!$AE$6:$AE$105,MATCH(C159,Ingredients!$B$6:$B$105,0))),0))</f>
        <v/>
      </c>
      <c r="M159">
        <f>IF(OR(B159="",C159=""),0,IFERROR(N(INDEX(Ingredients!$AF$6:$AF$105,MATCH(C159,Ingredients!$B$6:$B$105,0))),0))</f>
        <v/>
      </c>
      <c r="N159">
        <f>IF(OR(B159="",C159=""),0,IFERROR(N(INDEX(Ingredients!$AG$6:$AG$105,MATCH(C159,Ingredients!$B$6:$B$105,0))),0))</f>
        <v/>
      </c>
      <c r="O159">
        <f>IF(OR(B159="",C159=""),0,IFERROR(N(INDEX(Ingredients!$AH$6:$AH$105,MATCH(C159,Ingredients!$B$6:$B$105,0))),0))</f>
        <v/>
      </c>
      <c r="P159">
        <f>IF(OR(B159="",C159=""),0,IFERROR(N(INDEX(Ingredients!$AI$6:$AI$105,MATCH(C159,Ingredients!$B$6:$B$105,0))),0))</f>
        <v/>
      </c>
      <c r="Q159">
        <f>IF(OR(B159="",C159=""),0,IFERROR(N(INDEX(Ingredients!$AJ$6:$AJ$105,MATCH(C159,Ingredients!$B$6:$B$105,0))),0))</f>
        <v/>
      </c>
      <c r="R159">
        <f>IF(OR(B159="",C159=""),0,IFERROR(N(INDEX(Ingredients!$AK$6:$AK$105,MATCH(C159,Ingredients!$B$6:$B$105,0))),0))</f>
        <v/>
      </c>
      <c r="S159">
        <f>IF(OR(B159="",C159=""),0,IFERROR(N(INDEX(Ingredients!$AL$6:$AL$105,MATCH(C159,Ingredients!$B$6:$B$105,0))),0))</f>
        <v/>
      </c>
      <c r="T159">
        <f>IF(OR(B159="",C159=""),0,IFERROR(N(INDEX(Ingredients!$AM$6:$AM$105,MATCH(C159,Ingredients!$B$6:$B$105,0))),0))</f>
        <v/>
      </c>
      <c r="U159">
        <f>IF(OR(B159="",C159=""),0,IFERROR(N(INDEX(Ingredients!$AN$6:$AN$105,MATCH(C159,Ingredients!$B$6:$B$105,0))),0))</f>
        <v/>
      </c>
      <c r="V159">
        <f>IF(OR(B159="",C159=""),0,IFERROR(N(INDEX(Ingredients!$AO$6:$AO$105,MATCH(C159,Ingredients!$B$6:$B$105,0))),0))</f>
        <v/>
      </c>
      <c r="W159">
        <f>IF(OR(B159="",C159=""),0,IFERROR(N(INDEX(Ingredients!$AP$6:$AP$105,MATCH(C159,Ingredients!$B$6:$B$105,0))),0))</f>
        <v/>
      </c>
      <c r="X159">
        <f>IF(OR(B159="",C159=""),0,IFERROR(N(INDEX(Ingredients!$AQ$6:$AQ$105,MATCH(C159,Ingredients!$B$6:$B$105,0))),0))</f>
        <v/>
      </c>
    </row>
    <row r="160">
      <c r="A160" s="1" t="n"/>
      <c r="B160" s="21" t="n"/>
      <c r="C160" s="39" t="n"/>
      <c r="D160" s="40" t="n"/>
      <c r="E160" s="12">
        <f>IF(C160="","",IF(ISNA(MATCH(C160,Ingredients!$B$6:$B$105,0)),"Not on Ingredients",IFERROR(IF(INDEX(Ingredients!$C$6:$C$105,MATCH(C160,Ingredients!$B$6:$B$105,0))="","",INDEX(Ingredients!$C$6:$C$105,MATCH(C160,Ingredients!$B$6:$B$105,0))),"")))</f>
        <v/>
      </c>
      <c r="F160" s="26">
        <f>IF(OR(B160="",C160=""),"",N(D160)*IFERROR(N(INDEX(Ingredients!$H$6:$H$105,MATCH(C160,Ingredients!$B$6:$B$105,0))),0))</f>
        <v/>
      </c>
      <c r="G160" s="1">
        <f>IF(OR(B160="",C160=""),0,IFERROR(N(INDEX(Products!$D$6:$D$45,MATCH(B160,Products!$B$6:$B$45,0))),0))</f>
        <v/>
      </c>
      <c r="H160">
        <f>IF(N(G160)=0,0,N(D160)*SUMIFS(Batches!$D$6:$D$505,Batches!$C$6:$C$505,B160)/G160)</f>
        <v/>
      </c>
      <c r="I160">
        <f>IF(OR(B160="",C160=""),"",IF(B160&lt;&gt;Label!$H$3,"",IF(IFERROR(N(INDEX(Ingredients!$AS$6:$AS$105,MATCH(C160,Ingredients!$B$6:$B$105,0))),0)=1,"",ROUND(N(D160)*1000,0)*100000+100000-ROW())))</f>
        <v/>
      </c>
      <c r="J160">
        <f>IF(OR(B160="",C160=""),0,IFERROR(N(INDEX(Ingredients!$AC$6:$AC$105,MATCH(C160,Ingredients!$B$6:$B$105,0))),0))</f>
        <v/>
      </c>
      <c r="K160">
        <f>IF(OR(B160="",C160=""),0,IFERROR(N(INDEX(Ingredients!$AD$6:$AD$105,MATCH(C160,Ingredients!$B$6:$B$105,0))),0))</f>
        <v/>
      </c>
      <c r="L160">
        <f>IF(OR(B160="",C160=""),0,IFERROR(N(INDEX(Ingredients!$AE$6:$AE$105,MATCH(C160,Ingredients!$B$6:$B$105,0))),0))</f>
        <v/>
      </c>
      <c r="M160">
        <f>IF(OR(B160="",C160=""),0,IFERROR(N(INDEX(Ingredients!$AF$6:$AF$105,MATCH(C160,Ingredients!$B$6:$B$105,0))),0))</f>
        <v/>
      </c>
      <c r="N160">
        <f>IF(OR(B160="",C160=""),0,IFERROR(N(INDEX(Ingredients!$AG$6:$AG$105,MATCH(C160,Ingredients!$B$6:$B$105,0))),0))</f>
        <v/>
      </c>
      <c r="O160">
        <f>IF(OR(B160="",C160=""),0,IFERROR(N(INDEX(Ingredients!$AH$6:$AH$105,MATCH(C160,Ingredients!$B$6:$B$105,0))),0))</f>
        <v/>
      </c>
      <c r="P160">
        <f>IF(OR(B160="",C160=""),0,IFERROR(N(INDEX(Ingredients!$AI$6:$AI$105,MATCH(C160,Ingredients!$B$6:$B$105,0))),0))</f>
        <v/>
      </c>
      <c r="Q160">
        <f>IF(OR(B160="",C160=""),0,IFERROR(N(INDEX(Ingredients!$AJ$6:$AJ$105,MATCH(C160,Ingredients!$B$6:$B$105,0))),0))</f>
        <v/>
      </c>
      <c r="R160">
        <f>IF(OR(B160="",C160=""),0,IFERROR(N(INDEX(Ingredients!$AK$6:$AK$105,MATCH(C160,Ingredients!$B$6:$B$105,0))),0))</f>
        <v/>
      </c>
      <c r="S160">
        <f>IF(OR(B160="",C160=""),0,IFERROR(N(INDEX(Ingredients!$AL$6:$AL$105,MATCH(C160,Ingredients!$B$6:$B$105,0))),0))</f>
        <v/>
      </c>
      <c r="T160">
        <f>IF(OR(B160="",C160=""),0,IFERROR(N(INDEX(Ingredients!$AM$6:$AM$105,MATCH(C160,Ingredients!$B$6:$B$105,0))),0))</f>
        <v/>
      </c>
      <c r="U160">
        <f>IF(OR(B160="",C160=""),0,IFERROR(N(INDEX(Ingredients!$AN$6:$AN$105,MATCH(C160,Ingredients!$B$6:$B$105,0))),0))</f>
        <v/>
      </c>
      <c r="V160">
        <f>IF(OR(B160="",C160=""),0,IFERROR(N(INDEX(Ingredients!$AO$6:$AO$105,MATCH(C160,Ingredients!$B$6:$B$105,0))),0))</f>
        <v/>
      </c>
      <c r="W160">
        <f>IF(OR(B160="",C160=""),0,IFERROR(N(INDEX(Ingredients!$AP$6:$AP$105,MATCH(C160,Ingredients!$B$6:$B$105,0))),0))</f>
        <v/>
      </c>
      <c r="X160">
        <f>IF(OR(B160="",C160=""),0,IFERROR(N(INDEX(Ingredients!$AQ$6:$AQ$105,MATCH(C160,Ingredients!$B$6:$B$105,0))),0))</f>
        <v/>
      </c>
    </row>
    <row r="161">
      <c r="A161" s="1" t="n"/>
      <c r="B161" s="21" t="n"/>
      <c r="C161" s="39" t="n"/>
      <c r="D161" s="40" t="n"/>
      <c r="E161" s="12">
        <f>IF(C161="","",IF(ISNA(MATCH(C161,Ingredients!$B$6:$B$105,0)),"Not on Ingredients",IFERROR(IF(INDEX(Ingredients!$C$6:$C$105,MATCH(C161,Ingredients!$B$6:$B$105,0))="","",INDEX(Ingredients!$C$6:$C$105,MATCH(C161,Ingredients!$B$6:$B$105,0))),"")))</f>
        <v/>
      </c>
      <c r="F161" s="26">
        <f>IF(OR(B161="",C161=""),"",N(D161)*IFERROR(N(INDEX(Ingredients!$H$6:$H$105,MATCH(C161,Ingredients!$B$6:$B$105,0))),0))</f>
        <v/>
      </c>
      <c r="G161" s="1">
        <f>IF(OR(B161="",C161=""),0,IFERROR(N(INDEX(Products!$D$6:$D$45,MATCH(B161,Products!$B$6:$B$45,0))),0))</f>
        <v/>
      </c>
      <c r="H161">
        <f>IF(N(G161)=0,0,N(D161)*SUMIFS(Batches!$D$6:$D$505,Batches!$C$6:$C$505,B161)/G161)</f>
        <v/>
      </c>
      <c r="I161">
        <f>IF(OR(B161="",C161=""),"",IF(B161&lt;&gt;Label!$H$3,"",IF(IFERROR(N(INDEX(Ingredients!$AS$6:$AS$105,MATCH(C161,Ingredients!$B$6:$B$105,0))),0)=1,"",ROUND(N(D161)*1000,0)*100000+100000-ROW())))</f>
        <v/>
      </c>
      <c r="J161">
        <f>IF(OR(B161="",C161=""),0,IFERROR(N(INDEX(Ingredients!$AC$6:$AC$105,MATCH(C161,Ingredients!$B$6:$B$105,0))),0))</f>
        <v/>
      </c>
      <c r="K161">
        <f>IF(OR(B161="",C161=""),0,IFERROR(N(INDEX(Ingredients!$AD$6:$AD$105,MATCH(C161,Ingredients!$B$6:$B$105,0))),0))</f>
        <v/>
      </c>
      <c r="L161">
        <f>IF(OR(B161="",C161=""),0,IFERROR(N(INDEX(Ingredients!$AE$6:$AE$105,MATCH(C161,Ingredients!$B$6:$B$105,0))),0))</f>
        <v/>
      </c>
      <c r="M161">
        <f>IF(OR(B161="",C161=""),0,IFERROR(N(INDEX(Ingredients!$AF$6:$AF$105,MATCH(C161,Ingredients!$B$6:$B$105,0))),0))</f>
        <v/>
      </c>
      <c r="N161">
        <f>IF(OR(B161="",C161=""),0,IFERROR(N(INDEX(Ingredients!$AG$6:$AG$105,MATCH(C161,Ingredients!$B$6:$B$105,0))),0))</f>
        <v/>
      </c>
      <c r="O161">
        <f>IF(OR(B161="",C161=""),0,IFERROR(N(INDEX(Ingredients!$AH$6:$AH$105,MATCH(C161,Ingredients!$B$6:$B$105,0))),0))</f>
        <v/>
      </c>
      <c r="P161">
        <f>IF(OR(B161="",C161=""),0,IFERROR(N(INDEX(Ingredients!$AI$6:$AI$105,MATCH(C161,Ingredients!$B$6:$B$105,0))),0))</f>
        <v/>
      </c>
      <c r="Q161">
        <f>IF(OR(B161="",C161=""),0,IFERROR(N(INDEX(Ingredients!$AJ$6:$AJ$105,MATCH(C161,Ingredients!$B$6:$B$105,0))),0))</f>
        <v/>
      </c>
      <c r="R161">
        <f>IF(OR(B161="",C161=""),0,IFERROR(N(INDEX(Ingredients!$AK$6:$AK$105,MATCH(C161,Ingredients!$B$6:$B$105,0))),0))</f>
        <v/>
      </c>
      <c r="S161">
        <f>IF(OR(B161="",C161=""),0,IFERROR(N(INDEX(Ingredients!$AL$6:$AL$105,MATCH(C161,Ingredients!$B$6:$B$105,0))),0))</f>
        <v/>
      </c>
      <c r="T161">
        <f>IF(OR(B161="",C161=""),0,IFERROR(N(INDEX(Ingredients!$AM$6:$AM$105,MATCH(C161,Ingredients!$B$6:$B$105,0))),0))</f>
        <v/>
      </c>
      <c r="U161">
        <f>IF(OR(B161="",C161=""),0,IFERROR(N(INDEX(Ingredients!$AN$6:$AN$105,MATCH(C161,Ingredients!$B$6:$B$105,0))),0))</f>
        <v/>
      </c>
      <c r="V161">
        <f>IF(OR(B161="",C161=""),0,IFERROR(N(INDEX(Ingredients!$AO$6:$AO$105,MATCH(C161,Ingredients!$B$6:$B$105,0))),0))</f>
        <v/>
      </c>
      <c r="W161">
        <f>IF(OR(B161="",C161=""),0,IFERROR(N(INDEX(Ingredients!$AP$6:$AP$105,MATCH(C161,Ingredients!$B$6:$B$105,0))),0))</f>
        <v/>
      </c>
      <c r="X161">
        <f>IF(OR(B161="",C161=""),0,IFERROR(N(INDEX(Ingredients!$AQ$6:$AQ$105,MATCH(C161,Ingredients!$B$6:$B$105,0))),0))</f>
        <v/>
      </c>
    </row>
    <row r="162">
      <c r="A162" s="1" t="n"/>
      <c r="B162" s="21" t="n"/>
      <c r="C162" s="39" t="n"/>
      <c r="D162" s="40" t="n"/>
      <c r="E162" s="12">
        <f>IF(C162="","",IF(ISNA(MATCH(C162,Ingredients!$B$6:$B$105,0)),"Not on Ingredients",IFERROR(IF(INDEX(Ingredients!$C$6:$C$105,MATCH(C162,Ingredients!$B$6:$B$105,0))="","",INDEX(Ingredients!$C$6:$C$105,MATCH(C162,Ingredients!$B$6:$B$105,0))),"")))</f>
        <v/>
      </c>
      <c r="F162" s="26">
        <f>IF(OR(B162="",C162=""),"",N(D162)*IFERROR(N(INDEX(Ingredients!$H$6:$H$105,MATCH(C162,Ingredients!$B$6:$B$105,0))),0))</f>
        <v/>
      </c>
      <c r="G162" s="1">
        <f>IF(OR(B162="",C162=""),0,IFERROR(N(INDEX(Products!$D$6:$D$45,MATCH(B162,Products!$B$6:$B$45,0))),0))</f>
        <v/>
      </c>
      <c r="H162">
        <f>IF(N(G162)=0,0,N(D162)*SUMIFS(Batches!$D$6:$D$505,Batches!$C$6:$C$505,B162)/G162)</f>
        <v/>
      </c>
      <c r="I162">
        <f>IF(OR(B162="",C162=""),"",IF(B162&lt;&gt;Label!$H$3,"",IF(IFERROR(N(INDEX(Ingredients!$AS$6:$AS$105,MATCH(C162,Ingredients!$B$6:$B$105,0))),0)=1,"",ROUND(N(D162)*1000,0)*100000+100000-ROW())))</f>
        <v/>
      </c>
      <c r="J162">
        <f>IF(OR(B162="",C162=""),0,IFERROR(N(INDEX(Ingredients!$AC$6:$AC$105,MATCH(C162,Ingredients!$B$6:$B$105,0))),0))</f>
        <v/>
      </c>
      <c r="K162">
        <f>IF(OR(B162="",C162=""),0,IFERROR(N(INDEX(Ingredients!$AD$6:$AD$105,MATCH(C162,Ingredients!$B$6:$B$105,0))),0))</f>
        <v/>
      </c>
      <c r="L162">
        <f>IF(OR(B162="",C162=""),0,IFERROR(N(INDEX(Ingredients!$AE$6:$AE$105,MATCH(C162,Ingredients!$B$6:$B$105,0))),0))</f>
        <v/>
      </c>
      <c r="M162">
        <f>IF(OR(B162="",C162=""),0,IFERROR(N(INDEX(Ingredients!$AF$6:$AF$105,MATCH(C162,Ingredients!$B$6:$B$105,0))),0))</f>
        <v/>
      </c>
      <c r="N162">
        <f>IF(OR(B162="",C162=""),0,IFERROR(N(INDEX(Ingredients!$AG$6:$AG$105,MATCH(C162,Ingredients!$B$6:$B$105,0))),0))</f>
        <v/>
      </c>
      <c r="O162">
        <f>IF(OR(B162="",C162=""),0,IFERROR(N(INDEX(Ingredients!$AH$6:$AH$105,MATCH(C162,Ingredients!$B$6:$B$105,0))),0))</f>
        <v/>
      </c>
      <c r="P162">
        <f>IF(OR(B162="",C162=""),0,IFERROR(N(INDEX(Ingredients!$AI$6:$AI$105,MATCH(C162,Ingredients!$B$6:$B$105,0))),0))</f>
        <v/>
      </c>
      <c r="Q162">
        <f>IF(OR(B162="",C162=""),0,IFERROR(N(INDEX(Ingredients!$AJ$6:$AJ$105,MATCH(C162,Ingredients!$B$6:$B$105,0))),0))</f>
        <v/>
      </c>
      <c r="R162">
        <f>IF(OR(B162="",C162=""),0,IFERROR(N(INDEX(Ingredients!$AK$6:$AK$105,MATCH(C162,Ingredients!$B$6:$B$105,0))),0))</f>
        <v/>
      </c>
      <c r="S162">
        <f>IF(OR(B162="",C162=""),0,IFERROR(N(INDEX(Ingredients!$AL$6:$AL$105,MATCH(C162,Ingredients!$B$6:$B$105,0))),0))</f>
        <v/>
      </c>
      <c r="T162">
        <f>IF(OR(B162="",C162=""),0,IFERROR(N(INDEX(Ingredients!$AM$6:$AM$105,MATCH(C162,Ingredients!$B$6:$B$105,0))),0))</f>
        <v/>
      </c>
      <c r="U162">
        <f>IF(OR(B162="",C162=""),0,IFERROR(N(INDEX(Ingredients!$AN$6:$AN$105,MATCH(C162,Ingredients!$B$6:$B$105,0))),0))</f>
        <v/>
      </c>
      <c r="V162">
        <f>IF(OR(B162="",C162=""),0,IFERROR(N(INDEX(Ingredients!$AO$6:$AO$105,MATCH(C162,Ingredients!$B$6:$B$105,0))),0))</f>
        <v/>
      </c>
      <c r="W162">
        <f>IF(OR(B162="",C162=""),0,IFERROR(N(INDEX(Ingredients!$AP$6:$AP$105,MATCH(C162,Ingredients!$B$6:$B$105,0))),0))</f>
        <v/>
      </c>
      <c r="X162">
        <f>IF(OR(B162="",C162=""),0,IFERROR(N(INDEX(Ingredients!$AQ$6:$AQ$105,MATCH(C162,Ingredients!$B$6:$B$105,0))),0))</f>
        <v/>
      </c>
    </row>
    <row r="163">
      <c r="A163" s="1" t="n"/>
      <c r="B163" s="21" t="n"/>
      <c r="C163" s="39" t="n"/>
      <c r="D163" s="40" t="n"/>
      <c r="E163" s="12">
        <f>IF(C163="","",IF(ISNA(MATCH(C163,Ingredients!$B$6:$B$105,0)),"Not on Ingredients",IFERROR(IF(INDEX(Ingredients!$C$6:$C$105,MATCH(C163,Ingredients!$B$6:$B$105,0))="","",INDEX(Ingredients!$C$6:$C$105,MATCH(C163,Ingredients!$B$6:$B$105,0))),"")))</f>
        <v/>
      </c>
      <c r="F163" s="26">
        <f>IF(OR(B163="",C163=""),"",N(D163)*IFERROR(N(INDEX(Ingredients!$H$6:$H$105,MATCH(C163,Ingredients!$B$6:$B$105,0))),0))</f>
        <v/>
      </c>
      <c r="G163" s="1">
        <f>IF(OR(B163="",C163=""),0,IFERROR(N(INDEX(Products!$D$6:$D$45,MATCH(B163,Products!$B$6:$B$45,0))),0))</f>
        <v/>
      </c>
      <c r="H163">
        <f>IF(N(G163)=0,0,N(D163)*SUMIFS(Batches!$D$6:$D$505,Batches!$C$6:$C$505,B163)/G163)</f>
        <v/>
      </c>
      <c r="I163">
        <f>IF(OR(B163="",C163=""),"",IF(B163&lt;&gt;Label!$H$3,"",IF(IFERROR(N(INDEX(Ingredients!$AS$6:$AS$105,MATCH(C163,Ingredients!$B$6:$B$105,0))),0)=1,"",ROUND(N(D163)*1000,0)*100000+100000-ROW())))</f>
        <v/>
      </c>
      <c r="J163">
        <f>IF(OR(B163="",C163=""),0,IFERROR(N(INDEX(Ingredients!$AC$6:$AC$105,MATCH(C163,Ingredients!$B$6:$B$105,0))),0))</f>
        <v/>
      </c>
      <c r="K163">
        <f>IF(OR(B163="",C163=""),0,IFERROR(N(INDEX(Ingredients!$AD$6:$AD$105,MATCH(C163,Ingredients!$B$6:$B$105,0))),0))</f>
        <v/>
      </c>
      <c r="L163">
        <f>IF(OR(B163="",C163=""),0,IFERROR(N(INDEX(Ingredients!$AE$6:$AE$105,MATCH(C163,Ingredients!$B$6:$B$105,0))),0))</f>
        <v/>
      </c>
      <c r="M163">
        <f>IF(OR(B163="",C163=""),0,IFERROR(N(INDEX(Ingredients!$AF$6:$AF$105,MATCH(C163,Ingredients!$B$6:$B$105,0))),0))</f>
        <v/>
      </c>
      <c r="N163">
        <f>IF(OR(B163="",C163=""),0,IFERROR(N(INDEX(Ingredients!$AG$6:$AG$105,MATCH(C163,Ingredients!$B$6:$B$105,0))),0))</f>
        <v/>
      </c>
      <c r="O163">
        <f>IF(OR(B163="",C163=""),0,IFERROR(N(INDEX(Ingredients!$AH$6:$AH$105,MATCH(C163,Ingredients!$B$6:$B$105,0))),0))</f>
        <v/>
      </c>
      <c r="P163">
        <f>IF(OR(B163="",C163=""),0,IFERROR(N(INDEX(Ingredients!$AI$6:$AI$105,MATCH(C163,Ingredients!$B$6:$B$105,0))),0))</f>
        <v/>
      </c>
      <c r="Q163">
        <f>IF(OR(B163="",C163=""),0,IFERROR(N(INDEX(Ingredients!$AJ$6:$AJ$105,MATCH(C163,Ingredients!$B$6:$B$105,0))),0))</f>
        <v/>
      </c>
      <c r="R163">
        <f>IF(OR(B163="",C163=""),0,IFERROR(N(INDEX(Ingredients!$AK$6:$AK$105,MATCH(C163,Ingredients!$B$6:$B$105,0))),0))</f>
        <v/>
      </c>
      <c r="S163">
        <f>IF(OR(B163="",C163=""),0,IFERROR(N(INDEX(Ingredients!$AL$6:$AL$105,MATCH(C163,Ingredients!$B$6:$B$105,0))),0))</f>
        <v/>
      </c>
      <c r="T163">
        <f>IF(OR(B163="",C163=""),0,IFERROR(N(INDEX(Ingredients!$AM$6:$AM$105,MATCH(C163,Ingredients!$B$6:$B$105,0))),0))</f>
        <v/>
      </c>
      <c r="U163">
        <f>IF(OR(B163="",C163=""),0,IFERROR(N(INDEX(Ingredients!$AN$6:$AN$105,MATCH(C163,Ingredients!$B$6:$B$105,0))),0))</f>
        <v/>
      </c>
      <c r="V163">
        <f>IF(OR(B163="",C163=""),0,IFERROR(N(INDEX(Ingredients!$AO$6:$AO$105,MATCH(C163,Ingredients!$B$6:$B$105,0))),0))</f>
        <v/>
      </c>
      <c r="W163">
        <f>IF(OR(B163="",C163=""),0,IFERROR(N(INDEX(Ingredients!$AP$6:$AP$105,MATCH(C163,Ingredients!$B$6:$B$105,0))),0))</f>
        <v/>
      </c>
      <c r="X163">
        <f>IF(OR(B163="",C163=""),0,IFERROR(N(INDEX(Ingredients!$AQ$6:$AQ$105,MATCH(C163,Ingredients!$B$6:$B$105,0))),0))</f>
        <v/>
      </c>
    </row>
    <row r="164">
      <c r="A164" s="1" t="n"/>
      <c r="B164" s="21" t="n"/>
      <c r="C164" s="39" t="n"/>
      <c r="D164" s="40" t="n"/>
      <c r="E164" s="12">
        <f>IF(C164="","",IF(ISNA(MATCH(C164,Ingredients!$B$6:$B$105,0)),"Not on Ingredients",IFERROR(IF(INDEX(Ingredients!$C$6:$C$105,MATCH(C164,Ingredients!$B$6:$B$105,0))="","",INDEX(Ingredients!$C$6:$C$105,MATCH(C164,Ingredients!$B$6:$B$105,0))),"")))</f>
        <v/>
      </c>
      <c r="F164" s="26">
        <f>IF(OR(B164="",C164=""),"",N(D164)*IFERROR(N(INDEX(Ingredients!$H$6:$H$105,MATCH(C164,Ingredients!$B$6:$B$105,0))),0))</f>
        <v/>
      </c>
      <c r="G164" s="1">
        <f>IF(OR(B164="",C164=""),0,IFERROR(N(INDEX(Products!$D$6:$D$45,MATCH(B164,Products!$B$6:$B$45,0))),0))</f>
        <v/>
      </c>
      <c r="H164">
        <f>IF(N(G164)=0,0,N(D164)*SUMIFS(Batches!$D$6:$D$505,Batches!$C$6:$C$505,B164)/G164)</f>
        <v/>
      </c>
      <c r="I164">
        <f>IF(OR(B164="",C164=""),"",IF(B164&lt;&gt;Label!$H$3,"",IF(IFERROR(N(INDEX(Ingredients!$AS$6:$AS$105,MATCH(C164,Ingredients!$B$6:$B$105,0))),0)=1,"",ROUND(N(D164)*1000,0)*100000+100000-ROW())))</f>
        <v/>
      </c>
      <c r="J164">
        <f>IF(OR(B164="",C164=""),0,IFERROR(N(INDEX(Ingredients!$AC$6:$AC$105,MATCH(C164,Ingredients!$B$6:$B$105,0))),0))</f>
        <v/>
      </c>
      <c r="K164">
        <f>IF(OR(B164="",C164=""),0,IFERROR(N(INDEX(Ingredients!$AD$6:$AD$105,MATCH(C164,Ingredients!$B$6:$B$105,0))),0))</f>
        <v/>
      </c>
      <c r="L164">
        <f>IF(OR(B164="",C164=""),0,IFERROR(N(INDEX(Ingredients!$AE$6:$AE$105,MATCH(C164,Ingredients!$B$6:$B$105,0))),0))</f>
        <v/>
      </c>
      <c r="M164">
        <f>IF(OR(B164="",C164=""),0,IFERROR(N(INDEX(Ingredients!$AF$6:$AF$105,MATCH(C164,Ingredients!$B$6:$B$105,0))),0))</f>
        <v/>
      </c>
      <c r="N164">
        <f>IF(OR(B164="",C164=""),0,IFERROR(N(INDEX(Ingredients!$AG$6:$AG$105,MATCH(C164,Ingredients!$B$6:$B$105,0))),0))</f>
        <v/>
      </c>
      <c r="O164">
        <f>IF(OR(B164="",C164=""),0,IFERROR(N(INDEX(Ingredients!$AH$6:$AH$105,MATCH(C164,Ingredients!$B$6:$B$105,0))),0))</f>
        <v/>
      </c>
      <c r="P164">
        <f>IF(OR(B164="",C164=""),0,IFERROR(N(INDEX(Ingredients!$AI$6:$AI$105,MATCH(C164,Ingredients!$B$6:$B$105,0))),0))</f>
        <v/>
      </c>
      <c r="Q164">
        <f>IF(OR(B164="",C164=""),0,IFERROR(N(INDEX(Ingredients!$AJ$6:$AJ$105,MATCH(C164,Ingredients!$B$6:$B$105,0))),0))</f>
        <v/>
      </c>
      <c r="R164">
        <f>IF(OR(B164="",C164=""),0,IFERROR(N(INDEX(Ingredients!$AK$6:$AK$105,MATCH(C164,Ingredients!$B$6:$B$105,0))),0))</f>
        <v/>
      </c>
      <c r="S164">
        <f>IF(OR(B164="",C164=""),0,IFERROR(N(INDEX(Ingredients!$AL$6:$AL$105,MATCH(C164,Ingredients!$B$6:$B$105,0))),0))</f>
        <v/>
      </c>
      <c r="T164">
        <f>IF(OR(B164="",C164=""),0,IFERROR(N(INDEX(Ingredients!$AM$6:$AM$105,MATCH(C164,Ingredients!$B$6:$B$105,0))),0))</f>
        <v/>
      </c>
      <c r="U164">
        <f>IF(OR(B164="",C164=""),0,IFERROR(N(INDEX(Ingredients!$AN$6:$AN$105,MATCH(C164,Ingredients!$B$6:$B$105,0))),0))</f>
        <v/>
      </c>
      <c r="V164">
        <f>IF(OR(B164="",C164=""),0,IFERROR(N(INDEX(Ingredients!$AO$6:$AO$105,MATCH(C164,Ingredients!$B$6:$B$105,0))),0))</f>
        <v/>
      </c>
      <c r="W164">
        <f>IF(OR(B164="",C164=""),0,IFERROR(N(INDEX(Ingredients!$AP$6:$AP$105,MATCH(C164,Ingredients!$B$6:$B$105,0))),0))</f>
        <v/>
      </c>
      <c r="X164">
        <f>IF(OR(B164="",C164=""),0,IFERROR(N(INDEX(Ingredients!$AQ$6:$AQ$105,MATCH(C164,Ingredients!$B$6:$B$105,0))),0))</f>
        <v/>
      </c>
    </row>
    <row r="165">
      <c r="A165" s="1" t="n"/>
      <c r="B165" s="21" t="n"/>
      <c r="C165" s="39" t="n"/>
      <c r="D165" s="40" t="n"/>
      <c r="E165" s="12">
        <f>IF(C165="","",IF(ISNA(MATCH(C165,Ingredients!$B$6:$B$105,0)),"Not on Ingredients",IFERROR(IF(INDEX(Ingredients!$C$6:$C$105,MATCH(C165,Ingredients!$B$6:$B$105,0))="","",INDEX(Ingredients!$C$6:$C$105,MATCH(C165,Ingredients!$B$6:$B$105,0))),"")))</f>
        <v/>
      </c>
      <c r="F165" s="26">
        <f>IF(OR(B165="",C165=""),"",N(D165)*IFERROR(N(INDEX(Ingredients!$H$6:$H$105,MATCH(C165,Ingredients!$B$6:$B$105,0))),0))</f>
        <v/>
      </c>
      <c r="G165" s="1">
        <f>IF(OR(B165="",C165=""),0,IFERROR(N(INDEX(Products!$D$6:$D$45,MATCH(B165,Products!$B$6:$B$45,0))),0))</f>
        <v/>
      </c>
      <c r="H165">
        <f>IF(N(G165)=0,0,N(D165)*SUMIFS(Batches!$D$6:$D$505,Batches!$C$6:$C$505,B165)/G165)</f>
        <v/>
      </c>
      <c r="I165">
        <f>IF(OR(B165="",C165=""),"",IF(B165&lt;&gt;Label!$H$3,"",IF(IFERROR(N(INDEX(Ingredients!$AS$6:$AS$105,MATCH(C165,Ingredients!$B$6:$B$105,0))),0)=1,"",ROUND(N(D165)*1000,0)*100000+100000-ROW())))</f>
        <v/>
      </c>
      <c r="J165">
        <f>IF(OR(B165="",C165=""),0,IFERROR(N(INDEX(Ingredients!$AC$6:$AC$105,MATCH(C165,Ingredients!$B$6:$B$105,0))),0))</f>
        <v/>
      </c>
      <c r="K165">
        <f>IF(OR(B165="",C165=""),0,IFERROR(N(INDEX(Ingredients!$AD$6:$AD$105,MATCH(C165,Ingredients!$B$6:$B$105,0))),0))</f>
        <v/>
      </c>
      <c r="L165">
        <f>IF(OR(B165="",C165=""),0,IFERROR(N(INDEX(Ingredients!$AE$6:$AE$105,MATCH(C165,Ingredients!$B$6:$B$105,0))),0))</f>
        <v/>
      </c>
      <c r="M165">
        <f>IF(OR(B165="",C165=""),0,IFERROR(N(INDEX(Ingredients!$AF$6:$AF$105,MATCH(C165,Ingredients!$B$6:$B$105,0))),0))</f>
        <v/>
      </c>
      <c r="N165">
        <f>IF(OR(B165="",C165=""),0,IFERROR(N(INDEX(Ingredients!$AG$6:$AG$105,MATCH(C165,Ingredients!$B$6:$B$105,0))),0))</f>
        <v/>
      </c>
      <c r="O165">
        <f>IF(OR(B165="",C165=""),0,IFERROR(N(INDEX(Ingredients!$AH$6:$AH$105,MATCH(C165,Ingredients!$B$6:$B$105,0))),0))</f>
        <v/>
      </c>
      <c r="P165">
        <f>IF(OR(B165="",C165=""),0,IFERROR(N(INDEX(Ingredients!$AI$6:$AI$105,MATCH(C165,Ingredients!$B$6:$B$105,0))),0))</f>
        <v/>
      </c>
      <c r="Q165">
        <f>IF(OR(B165="",C165=""),0,IFERROR(N(INDEX(Ingredients!$AJ$6:$AJ$105,MATCH(C165,Ingredients!$B$6:$B$105,0))),0))</f>
        <v/>
      </c>
      <c r="R165">
        <f>IF(OR(B165="",C165=""),0,IFERROR(N(INDEX(Ingredients!$AK$6:$AK$105,MATCH(C165,Ingredients!$B$6:$B$105,0))),0))</f>
        <v/>
      </c>
      <c r="S165">
        <f>IF(OR(B165="",C165=""),0,IFERROR(N(INDEX(Ingredients!$AL$6:$AL$105,MATCH(C165,Ingredients!$B$6:$B$105,0))),0))</f>
        <v/>
      </c>
      <c r="T165">
        <f>IF(OR(B165="",C165=""),0,IFERROR(N(INDEX(Ingredients!$AM$6:$AM$105,MATCH(C165,Ingredients!$B$6:$B$105,0))),0))</f>
        <v/>
      </c>
      <c r="U165">
        <f>IF(OR(B165="",C165=""),0,IFERROR(N(INDEX(Ingredients!$AN$6:$AN$105,MATCH(C165,Ingredients!$B$6:$B$105,0))),0))</f>
        <v/>
      </c>
      <c r="V165">
        <f>IF(OR(B165="",C165=""),0,IFERROR(N(INDEX(Ingredients!$AO$6:$AO$105,MATCH(C165,Ingredients!$B$6:$B$105,0))),0))</f>
        <v/>
      </c>
      <c r="W165">
        <f>IF(OR(B165="",C165=""),0,IFERROR(N(INDEX(Ingredients!$AP$6:$AP$105,MATCH(C165,Ingredients!$B$6:$B$105,0))),0))</f>
        <v/>
      </c>
      <c r="X165">
        <f>IF(OR(B165="",C165=""),0,IFERROR(N(INDEX(Ingredients!$AQ$6:$AQ$105,MATCH(C165,Ingredients!$B$6:$B$105,0))),0))</f>
        <v/>
      </c>
    </row>
    <row r="166">
      <c r="A166" s="1" t="n"/>
      <c r="B166" s="21" t="n"/>
      <c r="C166" s="39" t="n"/>
      <c r="D166" s="40" t="n"/>
      <c r="E166" s="12">
        <f>IF(C166="","",IF(ISNA(MATCH(C166,Ingredients!$B$6:$B$105,0)),"Not on Ingredients",IFERROR(IF(INDEX(Ingredients!$C$6:$C$105,MATCH(C166,Ingredients!$B$6:$B$105,0))="","",INDEX(Ingredients!$C$6:$C$105,MATCH(C166,Ingredients!$B$6:$B$105,0))),"")))</f>
        <v/>
      </c>
      <c r="F166" s="26">
        <f>IF(OR(B166="",C166=""),"",N(D166)*IFERROR(N(INDEX(Ingredients!$H$6:$H$105,MATCH(C166,Ingredients!$B$6:$B$105,0))),0))</f>
        <v/>
      </c>
      <c r="G166" s="1">
        <f>IF(OR(B166="",C166=""),0,IFERROR(N(INDEX(Products!$D$6:$D$45,MATCH(B166,Products!$B$6:$B$45,0))),0))</f>
        <v/>
      </c>
      <c r="H166">
        <f>IF(N(G166)=0,0,N(D166)*SUMIFS(Batches!$D$6:$D$505,Batches!$C$6:$C$505,B166)/G166)</f>
        <v/>
      </c>
      <c r="I166">
        <f>IF(OR(B166="",C166=""),"",IF(B166&lt;&gt;Label!$H$3,"",IF(IFERROR(N(INDEX(Ingredients!$AS$6:$AS$105,MATCH(C166,Ingredients!$B$6:$B$105,0))),0)=1,"",ROUND(N(D166)*1000,0)*100000+100000-ROW())))</f>
        <v/>
      </c>
      <c r="J166">
        <f>IF(OR(B166="",C166=""),0,IFERROR(N(INDEX(Ingredients!$AC$6:$AC$105,MATCH(C166,Ingredients!$B$6:$B$105,0))),0))</f>
        <v/>
      </c>
      <c r="K166">
        <f>IF(OR(B166="",C166=""),0,IFERROR(N(INDEX(Ingredients!$AD$6:$AD$105,MATCH(C166,Ingredients!$B$6:$B$105,0))),0))</f>
        <v/>
      </c>
      <c r="L166">
        <f>IF(OR(B166="",C166=""),0,IFERROR(N(INDEX(Ingredients!$AE$6:$AE$105,MATCH(C166,Ingredients!$B$6:$B$105,0))),0))</f>
        <v/>
      </c>
      <c r="M166">
        <f>IF(OR(B166="",C166=""),0,IFERROR(N(INDEX(Ingredients!$AF$6:$AF$105,MATCH(C166,Ingredients!$B$6:$B$105,0))),0))</f>
        <v/>
      </c>
      <c r="N166">
        <f>IF(OR(B166="",C166=""),0,IFERROR(N(INDEX(Ingredients!$AG$6:$AG$105,MATCH(C166,Ingredients!$B$6:$B$105,0))),0))</f>
        <v/>
      </c>
      <c r="O166">
        <f>IF(OR(B166="",C166=""),0,IFERROR(N(INDEX(Ingredients!$AH$6:$AH$105,MATCH(C166,Ingredients!$B$6:$B$105,0))),0))</f>
        <v/>
      </c>
      <c r="P166">
        <f>IF(OR(B166="",C166=""),0,IFERROR(N(INDEX(Ingredients!$AI$6:$AI$105,MATCH(C166,Ingredients!$B$6:$B$105,0))),0))</f>
        <v/>
      </c>
      <c r="Q166">
        <f>IF(OR(B166="",C166=""),0,IFERROR(N(INDEX(Ingredients!$AJ$6:$AJ$105,MATCH(C166,Ingredients!$B$6:$B$105,0))),0))</f>
        <v/>
      </c>
      <c r="R166">
        <f>IF(OR(B166="",C166=""),0,IFERROR(N(INDEX(Ingredients!$AK$6:$AK$105,MATCH(C166,Ingredients!$B$6:$B$105,0))),0))</f>
        <v/>
      </c>
      <c r="S166">
        <f>IF(OR(B166="",C166=""),0,IFERROR(N(INDEX(Ingredients!$AL$6:$AL$105,MATCH(C166,Ingredients!$B$6:$B$105,0))),0))</f>
        <v/>
      </c>
      <c r="T166">
        <f>IF(OR(B166="",C166=""),0,IFERROR(N(INDEX(Ingredients!$AM$6:$AM$105,MATCH(C166,Ingredients!$B$6:$B$105,0))),0))</f>
        <v/>
      </c>
      <c r="U166">
        <f>IF(OR(B166="",C166=""),0,IFERROR(N(INDEX(Ingredients!$AN$6:$AN$105,MATCH(C166,Ingredients!$B$6:$B$105,0))),0))</f>
        <v/>
      </c>
      <c r="V166">
        <f>IF(OR(B166="",C166=""),0,IFERROR(N(INDEX(Ingredients!$AO$6:$AO$105,MATCH(C166,Ingredients!$B$6:$B$105,0))),0))</f>
        <v/>
      </c>
      <c r="W166">
        <f>IF(OR(B166="",C166=""),0,IFERROR(N(INDEX(Ingredients!$AP$6:$AP$105,MATCH(C166,Ingredients!$B$6:$B$105,0))),0))</f>
        <v/>
      </c>
      <c r="X166">
        <f>IF(OR(B166="",C166=""),0,IFERROR(N(INDEX(Ingredients!$AQ$6:$AQ$105,MATCH(C166,Ingredients!$B$6:$B$105,0))),0))</f>
        <v/>
      </c>
    </row>
    <row r="167">
      <c r="A167" s="1" t="n"/>
      <c r="B167" s="21" t="n"/>
      <c r="C167" s="39" t="n"/>
      <c r="D167" s="40" t="n"/>
      <c r="E167" s="12">
        <f>IF(C167="","",IF(ISNA(MATCH(C167,Ingredients!$B$6:$B$105,0)),"Not on Ingredients",IFERROR(IF(INDEX(Ingredients!$C$6:$C$105,MATCH(C167,Ingredients!$B$6:$B$105,0))="","",INDEX(Ingredients!$C$6:$C$105,MATCH(C167,Ingredients!$B$6:$B$105,0))),"")))</f>
        <v/>
      </c>
      <c r="F167" s="26">
        <f>IF(OR(B167="",C167=""),"",N(D167)*IFERROR(N(INDEX(Ingredients!$H$6:$H$105,MATCH(C167,Ingredients!$B$6:$B$105,0))),0))</f>
        <v/>
      </c>
      <c r="G167" s="1">
        <f>IF(OR(B167="",C167=""),0,IFERROR(N(INDEX(Products!$D$6:$D$45,MATCH(B167,Products!$B$6:$B$45,0))),0))</f>
        <v/>
      </c>
      <c r="H167">
        <f>IF(N(G167)=0,0,N(D167)*SUMIFS(Batches!$D$6:$D$505,Batches!$C$6:$C$505,B167)/G167)</f>
        <v/>
      </c>
      <c r="I167">
        <f>IF(OR(B167="",C167=""),"",IF(B167&lt;&gt;Label!$H$3,"",IF(IFERROR(N(INDEX(Ingredients!$AS$6:$AS$105,MATCH(C167,Ingredients!$B$6:$B$105,0))),0)=1,"",ROUND(N(D167)*1000,0)*100000+100000-ROW())))</f>
        <v/>
      </c>
      <c r="J167">
        <f>IF(OR(B167="",C167=""),0,IFERROR(N(INDEX(Ingredients!$AC$6:$AC$105,MATCH(C167,Ingredients!$B$6:$B$105,0))),0))</f>
        <v/>
      </c>
      <c r="K167">
        <f>IF(OR(B167="",C167=""),0,IFERROR(N(INDEX(Ingredients!$AD$6:$AD$105,MATCH(C167,Ingredients!$B$6:$B$105,0))),0))</f>
        <v/>
      </c>
      <c r="L167">
        <f>IF(OR(B167="",C167=""),0,IFERROR(N(INDEX(Ingredients!$AE$6:$AE$105,MATCH(C167,Ingredients!$B$6:$B$105,0))),0))</f>
        <v/>
      </c>
      <c r="M167">
        <f>IF(OR(B167="",C167=""),0,IFERROR(N(INDEX(Ingredients!$AF$6:$AF$105,MATCH(C167,Ingredients!$B$6:$B$105,0))),0))</f>
        <v/>
      </c>
      <c r="N167">
        <f>IF(OR(B167="",C167=""),0,IFERROR(N(INDEX(Ingredients!$AG$6:$AG$105,MATCH(C167,Ingredients!$B$6:$B$105,0))),0))</f>
        <v/>
      </c>
      <c r="O167">
        <f>IF(OR(B167="",C167=""),0,IFERROR(N(INDEX(Ingredients!$AH$6:$AH$105,MATCH(C167,Ingredients!$B$6:$B$105,0))),0))</f>
        <v/>
      </c>
      <c r="P167">
        <f>IF(OR(B167="",C167=""),0,IFERROR(N(INDEX(Ingredients!$AI$6:$AI$105,MATCH(C167,Ingredients!$B$6:$B$105,0))),0))</f>
        <v/>
      </c>
      <c r="Q167">
        <f>IF(OR(B167="",C167=""),0,IFERROR(N(INDEX(Ingredients!$AJ$6:$AJ$105,MATCH(C167,Ingredients!$B$6:$B$105,0))),0))</f>
        <v/>
      </c>
      <c r="R167">
        <f>IF(OR(B167="",C167=""),0,IFERROR(N(INDEX(Ingredients!$AK$6:$AK$105,MATCH(C167,Ingredients!$B$6:$B$105,0))),0))</f>
        <v/>
      </c>
      <c r="S167">
        <f>IF(OR(B167="",C167=""),0,IFERROR(N(INDEX(Ingredients!$AL$6:$AL$105,MATCH(C167,Ingredients!$B$6:$B$105,0))),0))</f>
        <v/>
      </c>
      <c r="T167">
        <f>IF(OR(B167="",C167=""),0,IFERROR(N(INDEX(Ingredients!$AM$6:$AM$105,MATCH(C167,Ingredients!$B$6:$B$105,0))),0))</f>
        <v/>
      </c>
      <c r="U167">
        <f>IF(OR(B167="",C167=""),0,IFERROR(N(INDEX(Ingredients!$AN$6:$AN$105,MATCH(C167,Ingredients!$B$6:$B$105,0))),0))</f>
        <v/>
      </c>
      <c r="V167">
        <f>IF(OR(B167="",C167=""),0,IFERROR(N(INDEX(Ingredients!$AO$6:$AO$105,MATCH(C167,Ingredients!$B$6:$B$105,0))),0))</f>
        <v/>
      </c>
      <c r="W167">
        <f>IF(OR(B167="",C167=""),0,IFERROR(N(INDEX(Ingredients!$AP$6:$AP$105,MATCH(C167,Ingredients!$B$6:$B$105,0))),0))</f>
        <v/>
      </c>
      <c r="X167">
        <f>IF(OR(B167="",C167=""),0,IFERROR(N(INDEX(Ingredients!$AQ$6:$AQ$105,MATCH(C167,Ingredients!$B$6:$B$105,0))),0))</f>
        <v/>
      </c>
    </row>
    <row r="168">
      <c r="A168" s="1" t="n"/>
      <c r="B168" s="21" t="n"/>
      <c r="C168" s="39" t="n"/>
      <c r="D168" s="40" t="n"/>
      <c r="E168" s="12">
        <f>IF(C168="","",IF(ISNA(MATCH(C168,Ingredients!$B$6:$B$105,0)),"Not on Ingredients",IFERROR(IF(INDEX(Ingredients!$C$6:$C$105,MATCH(C168,Ingredients!$B$6:$B$105,0))="","",INDEX(Ingredients!$C$6:$C$105,MATCH(C168,Ingredients!$B$6:$B$105,0))),"")))</f>
        <v/>
      </c>
      <c r="F168" s="26">
        <f>IF(OR(B168="",C168=""),"",N(D168)*IFERROR(N(INDEX(Ingredients!$H$6:$H$105,MATCH(C168,Ingredients!$B$6:$B$105,0))),0))</f>
        <v/>
      </c>
      <c r="G168" s="1">
        <f>IF(OR(B168="",C168=""),0,IFERROR(N(INDEX(Products!$D$6:$D$45,MATCH(B168,Products!$B$6:$B$45,0))),0))</f>
        <v/>
      </c>
      <c r="H168">
        <f>IF(N(G168)=0,0,N(D168)*SUMIFS(Batches!$D$6:$D$505,Batches!$C$6:$C$505,B168)/G168)</f>
        <v/>
      </c>
      <c r="I168">
        <f>IF(OR(B168="",C168=""),"",IF(B168&lt;&gt;Label!$H$3,"",IF(IFERROR(N(INDEX(Ingredients!$AS$6:$AS$105,MATCH(C168,Ingredients!$B$6:$B$105,0))),0)=1,"",ROUND(N(D168)*1000,0)*100000+100000-ROW())))</f>
        <v/>
      </c>
      <c r="J168">
        <f>IF(OR(B168="",C168=""),0,IFERROR(N(INDEX(Ingredients!$AC$6:$AC$105,MATCH(C168,Ingredients!$B$6:$B$105,0))),0))</f>
        <v/>
      </c>
      <c r="K168">
        <f>IF(OR(B168="",C168=""),0,IFERROR(N(INDEX(Ingredients!$AD$6:$AD$105,MATCH(C168,Ingredients!$B$6:$B$105,0))),0))</f>
        <v/>
      </c>
      <c r="L168">
        <f>IF(OR(B168="",C168=""),0,IFERROR(N(INDEX(Ingredients!$AE$6:$AE$105,MATCH(C168,Ingredients!$B$6:$B$105,0))),0))</f>
        <v/>
      </c>
      <c r="M168">
        <f>IF(OR(B168="",C168=""),0,IFERROR(N(INDEX(Ingredients!$AF$6:$AF$105,MATCH(C168,Ingredients!$B$6:$B$105,0))),0))</f>
        <v/>
      </c>
      <c r="N168">
        <f>IF(OR(B168="",C168=""),0,IFERROR(N(INDEX(Ingredients!$AG$6:$AG$105,MATCH(C168,Ingredients!$B$6:$B$105,0))),0))</f>
        <v/>
      </c>
      <c r="O168">
        <f>IF(OR(B168="",C168=""),0,IFERROR(N(INDEX(Ingredients!$AH$6:$AH$105,MATCH(C168,Ingredients!$B$6:$B$105,0))),0))</f>
        <v/>
      </c>
      <c r="P168">
        <f>IF(OR(B168="",C168=""),0,IFERROR(N(INDEX(Ingredients!$AI$6:$AI$105,MATCH(C168,Ingredients!$B$6:$B$105,0))),0))</f>
        <v/>
      </c>
      <c r="Q168">
        <f>IF(OR(B168="",C168=""),0,IFERROR(N(INDEX(Ingredients!$AJ$6:$AJ$105,MATCH(C168,Ingredients!$B$6:$B$105,0))),0))</f>
        <v/>
      </c>
      <c r="R168">
        <f>IF(OR(B168="",C168=""),0,IFERROR(N(INDEX(Ingredients!$AK$6:$AK$105,MATCH(C168,Ingredients!$B$6:$B$105,0))),0))</f>
        <v/>
      </c>
      <c r="S168">
        <f>IF(OR(B168="",C168=""),0,IFERROR(N(INDEX(Ingredients!$AL$6:$AL$105,MATCH(C168,Ingredients!$B$6:$B$105,0))),0))</f>
        <v/>
      </c>
      <c r="T168">
        <f>IF(OR(B168="",C168=""),0,IFERROR(N(INDEX(Ingredients!$AM$6:$AM$105,MATCH(C168,Ingredients!$B$6:$B$105,0))),0))</f>
        <v/>
      </c>
      <c r="U168">
        <f>IF(OR(B168="",C168=""),0,IFERROR(N(INDEX(Ingredients!$AN$6:$AN$105,MATCH(C168,Ingredients!$B$6:$B$105,0))),0))</f>
        <v/>
      </c>
      <c r="V168">
        <f>IF(OR(B168="",C168=""),0,IFERROR(N(INDEX(Ingredients!$AO$6:$AO$105,MATCH(C168,Ingredients!$B$6:$B$105,0))),0))</f>
        <v/>
      </c>
      <c r="W168">
        <f>IF(OR(B168="",C168=""),0,IFERROR(N(INDEX(Ingredients!$AP$6:$AP$105,MATCH(C168,Ingredients!$B$6:$B$105,0))),0))</f>
        <v/>
      </c>
      <c r="X168">
        <f>IF(OR(B168="",C168=""),0,IFERROR(N(INDEX(Ingredients!$AQ$6:$AQ$105,MATCH(C168,Ingredients!$B$6:$B$105,0))),0))</f>
        <v/>
      </c>
    </row>
    <row r="169">
      <c r="A169" s="1" t="n"/>
      <c r="B169" s="21" t="n"/>
      <c r="C169" s="39" t="n"/>
      <c r="D169" s="40" t="n"/>
      <c r="E169" s="12">
        <f>IF(C169="","",IF(ISNA(MATCH(C169,Ingredients!$B$6:$B$105,0)),"Not on Ingredients",IFERROR(IF(INDEX(Ingredients!$C$6:$C$105,MATCH(C169,Ingredients!$B$6:$B$105,0))="","",INDEX(Ingredients!$C$6:$C$105,MATCH(C169,Ingredients!$B$6:$B$105,0))),"")))</f>
        <v/>
      </c>
      <c r="F169" s="26">
        <f>IF(OR(B169="",C169=""),"",N(D169)*IFERROR(N(INDEX(Ingredients!$H$6:$H$105,MATCH(C169,Ingredients!$B$6:$B$105,0))),0))</f>
        <v/>
      </c>
      <c r="G169" s="1">
        <f>IF(OR(B169="",C169=""),0,IFERROR(N(INDEX(Products!$D$6:$D$45,MATCH(B169,Products!$B$6:$B$45,0))),0))</f>
        <v/>
      </c>
      <c r="H169">
        <f>IF(N(G169)=0,0,N(D169)*SUMIFS(Batches!$D$6:$D$505,Batches!$C$6:$C$505,B169)/G169)</f>
        <v/>
      </c>
      <c r="I169">
        <f>IF(OR(B169="",C169=""),"",IF(B169&lt;&gt;Label!$H$3,"",IF(IFERROR(N(INDEX(Ingredients!$AS$6:$AS$105,MATCH(C169,Ingredients!$B$6:$B$105,0))),0)=1,"",ROUND(N(D169)*1000,0)*100000+100000-ROW())))</f>
        <v/>
      </c>
      <c r="J169">
        <f>IF(OR(B169="",C169=""),0,IFERROR(N(INDEX(Ingredients!$AC$6:$AC$105,MATCH(C169,Ingredients!$B$6:$B$105,0))),0))</f>
        <v/>
      </c>
      <c r="K169">
        <f>IF(OR(B169="",C169=""),0,IFERROR(N(INDEX(Ingredients!$AD$6:$AD$105,MATCH(C169,Ingredients!$B$6:$B$105,0))),0))</f>
        <v/>
      </c>
      <c r="L169">
        <f>IF(OR(B169="",C169=""),0,IFERROR(N(INDEX(Ingredients!$AE$6:$AE$105,MATCH(C169,Ingredients!$B$6:$B$105,0))),0))</f>
        <v/>
      </c>
      <c r="M169">
        <f>IF(OR(B169="",C169=""),0,IFERROR(N(INDEX(Ingredients!$AF$6:$AF$105,MATCH(C169,Ingredients!$B$6:$B$105,0))),0))</f>
        <v/>
      </c>
      <c r="N169">
        <f>IF(OR(B169="",C169=""),0,IFERROR(N(INDEX(Ingredients!$AG$6:$AG$105,MATCH(C169,Ingredients!$B$6:$B$105,0))),0))</f>
        <v/>
      </c>
      <c r="O169">
        <f>IF(OR(B169="",C169=""),0,IFERROR(N(INDEX(Ingredients!$AH$6:$AH$105,MATCH(C169,Ingredients!$B$6:$B$105,0))),0))</f>
        <v/>
      </c>
      <c r="P169">
        <f>IF(OR(B169="",C169=""),0,IFERROR(N(INDEX(Ingredients!$AI$6:$AI$105,MATCH(C169,Ingredients!$B$6:$B$105,0))),0))</f>
        <v/>
      </c>
      <c r="Q169">
        <f>IF(OR(B169="",C169=""),0,IFERROR(N(INDEX(Ingredients!$AJ$6:$AJ$105,MATCH(C169,Ingredients!$B$6:$B$105,0))),0))</f>
        <v/>
      </c>
      <c r="R169">
        <f>IF(OR(B169="",C169=""),0,IFERROR(N(INDEX(Ingredients!$AK$6:$AK$105,MATCH(C169,Ingredients!$B$6:$B$105,0))),0))</f>
        <v/>
      </c>
      <c r="S169">
        <f>IF(OR(B169="",C169=""),0,IFERROR(N(INDEX(Ingredients!$AL$6:$AL$105,MATCH(C169,Ingredients!$B$6:$B$105,0))),0))</f>
        <v/>
      </c>
      <c r="T169">
        <f>IF(OR(B169="",C169=""),0,IFERROR(N(INDEX(Ingredients!$AM$6:$AM$105,MATCH(C169,Ingredients!$B$6:$B$105,0))),0))</f>
        <v/>
      </c>
      <c r="U169">
        <f>IF(OR(B169="",C169=""),0,IFERROR(N(INDEX(Ingredients!$AN$6:$AN$105,MATCH(C169,Ingredients!$B$6:$B$105,0))),0))</f>
        <v/>
      </c>
      <c r="V169">
        <f>IF(OR(B169="",C169=""),0,IFERROR(N(INDEX(Ingredients!$AO$6:$AO$105,MATCH(C169,Ingredients!$B$6:$B$105,0))),0))</f>
        <v/>
      </c>
      <c r="W169">
        <f>IF(OR(B169="",C169=""),0,IFERROR(N(INDEX(Ingredients!$AP$6:$AP$105,MATCH(C169,Ingredients!$B$6:$B$105,0))),0))</f>
        <v/>
      </c>
      <c r="X169">
        <f>IF(OR(B169="",C169=""),0,IFERROR(N(INDEX(Ingredients!$AQ$6:$AQ$105,MATCH(C169,Ingredients!$B$6:$B$105,0))),0))</f>
        <v/>
      </c>
    </row>
    <row r="170">
      <c r="A170" s="1" t="n"/>
      <c r="B170" s="21" t="n"/>
      <c r="C170" s="39" t="n"/>
      <c r="D170" s="40" t="n"/>
      <c r="E170" s="12">
        <f>IF(C170="","",IF(ISNA(MATCH(C170,Ingredients!$B$6:$B$105,0)),"Not on Ingredients",IFERROR(IF(INDEX(Ingredients!$C$6:$C$105,MATCH(C170,Ingredients!$B$6:$B$105,0))="","",INDEX(Ingredients!$C$6:$C$105,MATCH(C170,Ingredients!$B$6:$B$105,0))),"")))</f>
        <v/>
      </c>
      <c r="F170" s="26">
        <f>IF(OR(B170="",C170=""),"",N(D170)*IFERROR(N(INDEX(Ingredients!$H$6:$H$105,MATCH(C170,Ingredients!$B$6:$B$105,0))),0))</f>
        <v/>
      </c>
      <c r="G170" s="1">
        <f>IF(OR(B170="",C170=""),0,IFERROR(N(INDEX(Products!$D$6:$D$45,MATCH(B170,Products!$B$6:$B$45,0))),0))</f>
        <v/>
      </c>
      <c r="H170">
        <f>IF(N(G170)=0,0,N(D170)*SUMIFS(Batches!$D$6:$D$505,Batches!$C$6:$C$505,B170)/G170)</f>
        <v/>
      </c>
      <c r="I170">
        <f>IF(OR(B170="",C170=""),"",IF(B170&lt;&gt;Label!$H$3,"",IF(IFERROR(N(INDEX(Ingredients!$AS$6:$AS$105,MATCH(C170,Ingredients!$B$6:$B$105,0))),0)=1,"",ROUND(N(D170)*1000,0)*100000+100000-ROW())))</f>
        <v/>
      </c>
      <c r="J170">
        <f>IF(OR(B170="",C170=""),0,IFERROR(N(INDEX(Ingredients!$AC$6:$AC$105,MATCH(C170,Ingredients!$B$6:$B$105,0))),0))</f>
        <v/>
      </c>
      <c r="K170">
        <f>IF(OR(B170="",C170=""),0,IFERROR(N(INDEX(Ingredients!$AD$6:$AD$105,MATCH(C170,Ingredients!$B$6:$B$105,0))),0))</f>
        <v/>
      </c>
      <c r="L170">
        <f>IF(OR(B170="",C170=""),0,IFERROR(N(INDEX(Ingredients!$AE$6:$AE$105,MATCH(C170,Ingredients!$B$6:$B$105,0))),0))</f>
        <v/>
      </c>
      <c r="M170">
        <f>IF(OR(B170="",C170=""),0,IFERROR(N(INDEX(Ingredients!$AF$6:$AF$105,MATCH(C170,Ingredients!$B$6:$B$105,0))),0))</f>
        <v/>
      </c>
      <c r="N170">
        <f>IF(OR(B170="",C170=""),0,IFERROR(N(INDEX(Ingredients!$AG$6:$AG$105,MATCH(C170,Ingredients!$B$6:$B$105,0))),0))</f>
        <v/>
      </c>
      <c r="O170">
        <f>IF(OR(B170="",C170=""),0,IFERROR(N(INDEX(Ingredients!$AH$6:$AH$105,MATCH(C170,Ingredients!$B$6:$B$105,0))),0))</f>
        <v/>
      </c>
      <c r="P170">
        <f>IF(OR(B170="",C170=""),0,IFERROR(N(INDEX(Ingredients!$AI$6:$AI$105,MATCH(C170,Ingredients!$B$6:$B$105,0))),0))</f>
        <v/>
      </c>
      <c r="Q170">
        <f>IF(OR(B170="",C170=""),0,IFERROR(N(INDEX(Ingredients!$AJ$6:$AJ$105,MATCH(C170,Ingredients!$B$6:$B$105,0))),0))</f>
        <v/>
      </c>
      <c r="R170">
        <f>IF(OR(B170="",C170=""),0,IFERROR(N(INDEX(Ingredients!$AK$6:$AK$105,MATCH(C170,Ingredients!$B$6:$B$105,0))),0))</f>
        <v/>
      </c>
      <c r="S170">
        <f>IF(OR(B170="",C170=""),0,IFERROR(N(INDEX(Ingredients!$AL$6:$AL$105,MATCH(C170,Ingredients!$B$6:$B$105,0))),0))</f>
        <v/>
      </c>
      <c r="T170">
        <f>IF(OR(B170="",C170=""),0,IFERROR(N(INDEX(Ingredients!$AM$6:$AM$105,MATCH(C170,Ingredients!$B$6:$B$105,0))),0))</f>
        <v/>
      </c>
      <c r="U170">
        <f>IF(OR(B170="",C170=""),0,IFERROR(N(INDEX(Ingredients!$AN$6:$AN$105,MATCH(C170,Ingredients!$B$6:$B$105,0))),0))</f>
        <v/>
      </c>
      <c r="V170">
        <f>IF(OR(B170="",C170=""),0,IFERROR(N(INDEX(Ingredients!$AO$6:$AO$105,MATCH(C170,Ingredients!$B$6:$B$105,0))),0))</f>
        <v/>
      </c>
      <c r="W170">
        <f>IF(OR(B170="",C170=""),0,IFERROR(N(INDEX(Ingredients!$AP$6:$AP$105,MATCH(C170,Ingredients!$B$6:$B$105,0))),0))</f>
        <v/>
      </c>
      <c r="X170">
        <f>IF(OR(B170="",C170=""),0,IFERROR(N(INDEX(Ingredients!$AQ$6:$AQ$105,MATCH(C170,Ingredients!$B$6:$B$105,0))),0))</f>
        <v/>
      </c>
    </row>
    <row r="171">
      <c r="A171" s="1" t="n"/>
      <c r="B171" s="21" t="n"/>
      <c r="C171" s="39" t="n"/>
      <c r="D171" s="40" t="n"/>
      <c r="E171" s="12">
        <f>IF(C171="","",IF(ISNA(MATCH(C171,Ingredients!$B$6:$B$105,0)),"Not on Ingredients",IFERROR(IF(INDEX(Ingredients!$C$6:$C$105,MATCH(C171,Ingredients!$B$6:$B$105,0))="","",INDEX(Ingredients!$C$6:$C$105,MATCH(C171,Ingredients!$B$6:$B$105,0))),"")))</f>
        <v/>
      </c>
      <c r="F171" s="26">
        <f>IF(OR(B171="",C171=""),"",N(D171)*IFERROR(N(INDEX(Ingredients!$H$6:$H$105,MATCH(C171,Ingredients!$B$6:$B$105,0))),0))</f>
        <v/>
      </c>
      <c r="G171" s="1">
        <f>IF(OR(B171="",C171=""),0,IFERROR(N(INDEX(Products!$D$6:$D$45,MATCH(B171,Products!$B$6:$B$45,0))),0))</f>
        <v/>
      </c>
      <c r="H171">
        <f>IF(N(G171)=0,0,N(D171)*SUMIFS(Batches!$D$6:$D$505,Batches!$C$6:$C$505,B171)/G171)</f>
        <v/>
      </c>
      <c r="I171">
        <f>IF(OR(B171="",C171=""),"",IF(B171&lt;&gt;Label!$H$3,"",IF(IFERROR(N(INDEX(Ingredients!$AS$6:$AS$105,MATCH(C171,Ingredients!$B$6:$B$105,0))),0)=1,"",ROUND(N(D171)*1000,0)*100000+100000-ROW())))</f>
        <v/>
      </c>
      <c r="J171">
        <f>IF(OR(B171="",C171=""),0,IFERROR(N(INDEX(Ingredients!$AC$6:$AC$105,MATCH(C171,Ingredients!$B$6:$B$105,0))),0))</f>
        <v/>
      </c>
      <c r="K171">
        <f>IF(OR(B171="",C171=""),0,IFERROR(N(INDEX(Ingredients!$AD$6:$AD$105,MATCH(C171,Ingredients!$B$6:$B$105,0))),0))</f>
        <v/>
      </c>
      <c r="L171">
        <f>IF(OR(B171="",C171=""),0,IFERROR(N(INDEX(Ingredients!$AE$6:$AE$105,MATCH(C171,Ingredients!$B$6:$B$105,0))),0))</f>
        <v/>
      </c>
      <c r="M171">
        <f>IF(OR(B171="",C171=""),0,IFERROR(N(INDEX(Ingredients!$AF$6:$AF$105,MATCH(C171,Ingredients!$B$6:$B$105,0))),0))</f>
        <v/>
      </c>
      <c r="N171">
        <f>IF(OR(B171="",C171=""),0,IFERROR(N(INDEX(Ingredients!$AG$6:$AG$105,MATCH(C171,Ingredients!$B$6:$B$105,0))),0))</f>
        <v/>
      </c>
      <c r="O171">
        <f>IF(OR(B171="",C171=""),0,IFERROR(N(INDEX(Ingredients!$AH$6:$AH$105,MATCH(C171,Ingredients!$B$6:$B$105,0))),0))</f>
        <v/>
      </c>
      <c r="P171">
        <f>IF(OR(B171="",C171=""),0,IFERROR(N(INDEX(Ingredients!$AI$6:$AI$105,MATCH(C171,Ingredients!$B$6:$B$105,0))),0))</f>
        <v/>
      </c>
      <c r="Q171">
        <f>IF(OR(B171="",C171=""),0,IFERROR(N(INDEX(Ingredients!$AJ$6:$AJ$105,MATCH(C171,Ingredients!$B$6:$B$105,0))),0))</f>
        <v/>
      </c>
      <c r="R171">
        <f>IF(OR(B171="",C171=""),0,IFERROR(N(INDEX(Ingredients!$AK$6:$AK$105,MATCH(C171,Ingredients!$B$6:$B$105,0))),0))</f>
        <v/>
      </c>
      <c r="S171">
        <f>IF(OR(B171="",C171=""),0,IFERROR(N(INDEX(Ingredients!$AL$6:$AL$105,MATCH(C171,Ingredients!$B$6:$B$105,0))),0))</f>
        <v/>
      </c>
      <c r="T171">
        <f>IF(OR(B171="",C171=""),0,IFERROR(N(INDEX(Ingredients!$AM$6:$AM$105,MATCH(C171,Ingredients!$B$6:$B$105,0))),0))</f>
        <v/>
      </c>
      <c r="U171">
        <f>IF(OR(B171="",C171=""),0,IFERROR(N(INDEX(Ingredients!$AN$6:$AN$105,MATCH(C171,Ingredients!$B$6:$B$105,0))),0))</f>
        <v/>
      </c>
      <c r="V171">
        <f>IF(OR(B171="",C171=""),0,IFERROR(N(INDEX(Ingredients!$AO$6:$AO$105,MATCH(C171,Ingredients!$B$6:$B$105,0))),0))</f>
        <v/>
      </c>
      <c r="W171">
        <f>IF(OR(B171="",C171=""),0,IFERROR(N(INDEX(Ingredients!$AP$6:$AP$105,MATCH(C171,Ingredients!$B$6:$B$105,0))),0))</f>
        <v/>
      </c>
      <c r="X171">
        <f>IF(OR(B171="",C171=""),0,IFERROR(N(INDEX(Ingredients!$AQ$6:$AQ$105,MATCH(C171,Ingredients!$B$6:$B$105,0))),0))</f>
        <v/>
      </c>
    </row>
    <row r="172">
      <c r="A172" s="1" t="n"/>
      <c r="B172" s="21" t="n"/>
      <c r="C172" s="39" t="n"/>
      <c r="D172" s="40" t="n"/>
      <c r="E172" s="12">
        <f>IF(C172="","",IF(ISNA(MATCH(C172,Ingredients!$B$6:$B$105,0)),"Not on Ingredients",IFERROR(IF(INDEX(Ingredients!$C$6:$C$105,MATCH(C172,Ingredients!$B$6:$B$105,0))="","",INDEX(Ingredients!$C$6:$C$105,MATCH(C172,Ingredients!$B$6:$B$105,0))),"")))</f>
        <v/>
      </c>
      <c r="F172" s="26">
        <f>IF(OR(B172="",C172=""),"",N(D172)*IFERROR(N(INDEX(Ingredients!$H$6:$H$105,MATCH(C172,Ingredients!$B$6:$B$105,0))),0))</f>
        <v/>
      </c>
      <c r="G172" s="1">
        <f>IF(OR(B172="",C172=""),0,IFERROR(N(INDEX(Products!$D$6:$D$45,MATCH(B172,Products!$B$6:$B$45,0))),0))</f>
        <v/>
      </c>
      <c r="H172">
        <f>IF(N(G172)=0,0,N(D172)*SUMIFS(Batches!$D$6:$D$505,Batches!$C$6:$C$505,B172)/G172)</f>
        <v/>
      </c>
      <c r="I172">
        <f>IF(OR(B172="",C172=""),"",IF(B172&lt;&gt;Label!$H$3,"",IF(IFERROR(N(INDEX(Ingredients!$AS$6:$AS$105,MATCH(C172,Ingredients!$B$6:$B$105,0))),0)=1,"",ROUND(N(D172)*1000,0)*100000+100000-ROW())))</f>
        <v/>
      </c>
      <c r="J172">
        <f>IF(OR(B172="",C172=""),0,IFERROR(N(INDEX(Ingredients!$AC$6:$AC$105,MATCH(C172,Ingredients!$B$6:$B$105,0))),0))</f>
        <v/>
      </c>
      <c r="K172">
        <f>IF(OR(B172="",C172=""),0,IFERROR(N(INDEX(Ingredients!$AD$6:$AD$105,MATCH(C172,Ingredients!$B$6:$B$105,0))),0))</f>
        <v/>
      </c>
      <c r="L172">
        <f>IF(OR(B172="",C172=""),0,IFERROR(N(INDEX(Ingredients!$AE$6:$AE$105,MATCH(C172,Ingredients!$B$6:$B$105,0))),0))</f>
        <v/>
      </c>
      <c r="M172">
        <f>IF(OR(B172="",C172=""),0,IFERROR(N(INDEX(Ingredients!$AF$6:$AF$105,MATCH(C172,Ingredients!$B$6:$B$105,0))),0))</f>
        <v/>
      </c>
      <c r="N172">
        <f>IF(OR(B172="",C172=""),0,IFERROR(N(INDEX(Ingredients!$AG$6:$AG$105,MATCH(C172,Ingredients!$B$6:$B$105,0))),0))</f>
        <v/>
      </c>
      <c r="O172">
        <f>IF(OR(B172="",C172=""),0,IFERROR(N(INDEX(Ingredients!$AH$6:$AH$105,MATCH(C172,Ingredients!$B$6:$B$105,0))),0))</f>
        <v/>
      </c>
      <c r="P172">
        <f>IF(OR(B172="",C172=""),0,IFERROR(N(INDEX(Ingredients!$AI$6:$AI$105,MATCH(C172,Ingredients!$B$6:$B$105,0))),0))</f>
        <v/>
      </c>
      <c r="Q172">
        <f>IF(OR(B172="",C172=""),0,IFERROR(N(INDEX(Ingredients!$AJ$6:$AJ$105,MATCH(C172,Ingredients!$B$6:$B$105,0))),0))</f>
        <v/>
      </c>
      <c r="R172">
        <f>IF(OR(B172="",C172=""),0,IFERROR(N(INDEX(Ingredients!$AK$6:$AK$105,MATCH(C172,Ingredients!$B$6:$B$105,0))),0))</f>
        <v/>
      </c>
      <c r="S172">
        <f>IF(OR(B172="",C172=""),0,IFERROR(N(INDEX(Ingredients!$AL$6:$AL$105,MATCH(C172,Ingredients!$B$6:$B$105,0))),0))</f>
        <v/>
      </c>
      <c r="T172">
        <f>IF(OR(B172="",C172=""),0,IFERROR(N(INDEX(Ingredients!$AM$6:$AM$105,MATCH(C172,Ingredients!$B$6:$B$105,0))),0))</f>
        <v/>
      </c>
      <c r="U172">
        <f>IF(OR(B172="",C172=""),0,IFERROR(N(INDEX(Ingredients!$AN$6:$AN$105,MATCH(C172,Ingredients!$B$6:$B$105,0))),0))</f>
        <v/>
      </c>
      <c r="V172">
        <f>IF(OR(B172="",C172=""),0,IFERROR(N(INDEX(Ingredients!$AO$6:$AO$105,MATCH(C172,Ingredients!$B$6:$B$105,0))),0))</f>
        <v/>
      </c>
      <c r="W172">
        <f>IF(OR(B172="",C172=""),0,IFERROR(N(INDEX(Ingredients!$AP$6:$AP$105,MATCH(C172,Ingredients!$B$6:$B$105,0))),0))</f>
        <v/>
      </c>
      <c r="X172">
        <f>IF(OR(B172="",C172=""),0,IFERROR(N(INDEX(Ingredients!$AQ$6:$AQ$105,MATCH(C172,Ingredients!$B$6:$B$105,0))),0))</f>
        <v/>
      </c>
    </row>
    <row r="173">
      <c r="A173" s="1" t="n"/>
      <c r="B173" s="21" t="n"/>
      <c r="C173" s="39" t="n"/>
      <c r="D173" s="40" t="n"/>
      <c r="E173" s="12">
        <f>IF(C173="","",IF(ISNA(MATCH(C173,Ingredients!$B$6:$B$105,0)),"Not on Ingredients",IFERROR(IF(INDEX(Ingredients!$C$6:$C$105,MATCH(C173,Ingredients!$B$6:$B$105,0))="","",INDEX(Ingredients!$C$6:$C$105,MATCH(C173,Ingredients!$B$6:$B$105,0))),"")))</f>
        <v/>
      </c>
      <c r="F173" s="26">
        <f>IF(OR(B173="",C173=""),"",N(D173)*IFERROR(N(INDEX(Ingredients!$H$6:$H$105,MATCH(C173,Ingredients!$B$6:$B$105,0))),0))</f>
        <v/>
      </c>
      <c r="G173" s="1">
        <f>IF(OR(B173="",C173=""),0,IFERROR(N(INDEX(Products!$D$6:$D$45,MATCH(B173,Products!$B$6:$B$45,0))),0))</f>
        <v/>
      </c>
      <c r="H173">
        <f>IF(N(G173)=0,0,N(D173)*SUMIFS(Batches!$D$6:$D$505,Batches!$C$6:$C$505,B173)/G173)</f>
        <v/>
      </c>
      <c r="I173">
        <f>IF(OR(B173="",C173=""),"",IF(B173&lt;&gt;Label!$H$3,"",IF(IFERROR(N(INDEX(Ingredients!$AS$6:$AS$105,MATCH(C173,Ingredients!$B$6:$B$105,0))),0)=1,"",ROUND(N(D173)*1000,0)*100000+100000-ROW())))</f>
        <v/>
      </c>
      <c r="J173">
        <f>IF(OR(B173="",C173=""),0,IFERROR(N(INDEX(Ingredients!$AC$6:$AC$105,MATCH(C173,Ingredients!$B$6:$B$105,0))),0))</f>
        <v/>
      </c>
      <c r="K173">
        <f>IF(OR(B173="",C173=""),0,IFERROR(N(INDEX(Ingredients!$AD$6:$AD$105,MATCH(C173,Ingredients!$B$6:$B$105,0))),0))</f>
        <v/>
      </c>
      <c r="L173">
        <f>IF(OR(B173="",C173=""),0,IFERROR(N(INDEX(Ingredients!$AE$6:$AE$105,MATCH(C173,Ingredients!$B$6:$B$105,0))),0))</f>
        <v/>
      </c>
      <c r="M173">
        <f>IF(OR(B173="",C173=""),0,IFERROR(N(INDEX(Ingredients!$AF$6:$AF$105,MATCH(C173,Ingredients!$B$6:$B$105,0))),0))</f>
        <v/>
      </c>
      <c r="N173">
        <f>IF(OR(B173="",C173=""),0,IFERROR(N(INDEX(Ingredients!$AG$6:$AG$105,MATCH(C173,Ingredients!$B$6:$B$105,0))),0))</f>
        <v/>
      </c>
      <c r="O173">
        <f>IF(OR(B173="",C173=""),0,IFERROR(N(INDEX(Ingredients!$AH$6:$AH$105,MATCH(C173,Ingredients!$B$6:$B$105,0))),0))</f>
        <v/>
      </c>
      <c r="P173">
        <f>IF(OR(B173="",C173=""),0,IFERROR(N(INDEX(Ingredients!$AI$6:$AI$105,MATCH(C173,Ingredients!$B$6:$B$105,0))),0))</f>
        <v/>
      </c>
      <c r="Q173">
        <f>IF(OR(B173="",C173=""),0,IFERROR(N(INDEX(Ingredients!$AJ$6:$AJ$105,MATCH(C173,Ingredients!$B$6:$B$105,0))),0))</f>
        <v/>
      </c>
      <c r="R173">
        <f>IF(OR(B173="",C173=""),0,IFERROR(N(INDEX(Ingredients!$AK$6:$AK$105,MATCH(C173,Ingredients!$B$6:$B$105,0))),0))</f>
        <v/>
      </c>
      <c r="S173">
        <f>IF(OR(B173="",C173=""),0,IFERROR(N(INDEX(Ingredients!$AL$6:$AL$105,MATCH(C173,Ingredients!$B$6:$B$105,0))),0))</f>
        <v/>
      </c>
      <c r="T173">
        <f>IF(OR(B173="",C173=""),0,IFERROR(N(INDEX(Ingredients!$AM$6:$AM$105,MATCH(C173,Ingredients!$B$6:$B$105,0))),0))</f>
        <v/>
      </c>
      <c r="U173">
        <f>IF(OR(B173="",C173=""),0,IFERROR(N(INDEX(Ingredients!$AN$6:$AN$105,MATCH(C173,Ingredients!$B$6:$B$105,0))),0))</f>
        <v/>
      </c>
      <c r="V173">
        <f>IF(OR(B173="",C173=""),0,IFERROR(N(INDEX(Ingredients!$AO$6:$AO$105,MATCH(C173,Ingredients!$B$6:$B$105,0))),0))</f>
        <v/>
      </c>
      <c r="W173">
        <f>IF(OR(B173="",C173=""),0,IFERROR(N(INDEX(Ingredients!$AP$6:$AP$105,MATCH(C173,Ingredients!$B$6:$B$105,0))),0))</f>
        <v/>
      </c>
      <c r="X173">
        <f>IF(OR(B173="",C173=""),0,IFERROR(N(INDEX(Ingredients!$AQ$6:$AQ$105,MATCH(C173,Ingredients!$B$6:$B$105,0))),0))</f>
        <v/>
      </c>
    </row>
    <row r="174">
      <c r="A174" s="1" t="n"/>
      <c r="B174" s="21" t="n"/>
      <c r="C174" s="39" t="n"/>
      <c r="D174" s="40" t="n"/>
      <c r="E174" s="12">
        <f>IF(C174="","",IF(ISNA(MATCH(C174,Ingredients!$B$6:$B$105,0)),"Not on Ingredients",IFERROR(IF(INDEX(Ingredients!$C$6:$C$105,MATCH(C174,Ingredients!$B$6:$B$105,0))="","",INDEX(Ingredients!$C$6:$C$105,MATCH(C174,Ingredients!$B$6:$B$105,0))),"")))</f>
        <v/>
      </c>
      <c r="F174" s="26">
        <f>IF(OR(B174="",C174=""),"",N(D174)*IFERROR(N(INDEX(Ingredients!$H$6:$H$105,MATCH(C174,Ingredients!$B$6:$B$105,0))),0))</f>
        <v/>
      </c>
      <c r="G174" s="1">
        <f>IF(OR(B174="",C174=""),0,IFERROR(N(INDEX(Products!$D$6:$D$45,MATCH(B174,Products!$B$6:$B$45,0))),0))</f>
        <v/>
      </c>
      <c r="H174">
        <f>IF(N(G174)=0,0,N(D174)*SUMIFS(Batches!$D$6:$D$505,Batches!$C$6:$C$505,B174)/G174)</f>
        <v/>
      </c>
      <c r="I174">
        <f>IF(OR(B174="",C174=""),"",IF(B174&lt;&gt;Label!$H$3,"",IF(IFERROR(N(INDEX(Ingredients!$AS$6:$AS$105,MATCH(C174,Ingredients!$B$6:$B$105,0))),0)=1,"",ROUND(N(D174)*1000,0)*100000+100000-ROW())))</f>
        <v/>
      </c>
      <c r="J174">
        <f>IF(OR(B174="",C174=""),0,IFERROR(N(INDEX(Ingredients!$AC$6:$AC$105,MATCH(C174,Ingredients!$B$6:$B$105,0))),0))</f>
        <v/>
      </c>
      <c r="K174">
        <f>IF(OR(B174="",C174=""),0,IFERROR(N(INDEX(Ingredients!$AD$6:$AD$105,MATCH(C174,Ingredients!$B$6:$B$105,0))),0))</f>
        <v/>
      </c>
      <c r="L174">
        <f>IF(OR(B174="",C174=""),0,IFERROR(N(INDEX(Ingredients!$AE$6:$AE$105,MATCH(C174,Ingredients!$B$6:$B$105,0))),0))</f>
        <v/>
      </c>
      <c r="M174">
        <f>IF(OR(B174="",C174=""),0,IFERROR(N(INDEX(Ingredients!$AF$6:$AF$105,MATCH(C174,Ingredients!$B$6:$B$105,0))),0))</f>
        <v/>
      </c>
      <c r="N174">
        <f>IF(OR(B174="",C174=""),0,IFERROR(N(INDEX(Ingredients!$AG$6:$AG$105,MATCH(C174,Ingredients!$B$6:$B$105,0))),0))</f>
        <v/>
      </c>
      <c r="O174">
        <f>IF(OR(B174="",C174=""),0,IFERROR(N(INDEX(Ingredients!$AH$6:$AH$105,MATCH(C174,Ingredients!$B$6:$B$105,0))),0))</f>
        <v/>
      </c>
      <c r="P174">
        <f>IF(OR(B174="",C174=""),0,IFERROR(N(INDEX(Ingredients!$AI$6:$AI$105,MATCH(C174,Ingredients!$B$6:$B$105,0))),0))</f>
        <v/>
      </c>
      <c r="Q174">
        <f>IF(OR(B174="",C174=""),0,IFERROR(N(INDEX(Ingredients!$AJ$6:$AJ$105,MATCH(C174,Ingredients!$B$6:$B$105,0))),0))</f>
        <v/>
      </c>
      <c r="R174">
        <f>IF(OR(B174="",C174=""),0,IFERROR(N(INDEX(Ingredients!$AK$6:$AK$105,MATCH(C174,Ingredients!$B$6:$B$105,0))),0))</f>
        <v/>
      </c>
      <c r="S174">
        <f>IF(OR(B174="",C174=""),0,IFERROR(N(INDEX(Ingredients!$AL$6:$AL$105,MATCH(C174,Ingredients!$B$6:$B$105,0))),0))</f>
        <v/>
      </c>
      <c r="T174">
        <f>IF(OR(B174="",C174=""),0,IFERROR(N(INDEX(Ingredients!$AM$6:$AM$105,MATCH(C174,Ingredients!$B$6:$B$105,0))),0))</f>
        <v/>
      </c>
      <c r="U174">
        <f>IF(OR(B174="",C174=""),0,IFERROR(N(INDEX(Ingredients!$AN$6:$AN$105,MATCH(C174,Ingredients!$B$6:$B$105,0))),0))</f>
        <v/>
      </c>
      <c r="V174">
        <f>IF(OR(B174="",C174=""),0,IFERROR(N(INDEX(Ingredients!$AO$6:$AO$105,MATCH(C174,Ingredients!$B$6:$B$105,0))),0))</f>
        <v/>
      </c>
      <c r="W174">
        <f>IF(OR(B174="",C174=""),0,IFERROR(N(INDEX(Ingredients!$AP$6:$AP$105,MATCH(C174,Ingredients!$B$6:$B$105,0))),0))</f>
        <v/>
      </c>
      <c r="X174">
        <f>IF(OR(B174="",C174=""),0,IFERROR(N(INDEX(Ingredients!$AQ$6:$AQ$105,MATCH(C174,Ingredients!$B$6:$B$105,0))),0))</f>
        <v/>
      </c>
    </row>
    <row r="175">
      <c r="A175" s="1" t="n"/>
      <c r="B175" s="21" t="n"/>
      <c r="C175" s="39" t="n"/>
      <c r="D175" s="40" t="n"/>
      <c r="E175" s="12">
        <f>IF(C175="","",IF(ISNA(MATCH(C175,Ingredients!$B$6:$B$105,0)),"Not on Ingredients",IFERROR(IF(INDEX(Ingredients!$C$6:$C$105,MATCH(C175,Ingredients!$B$6:$B$105,0))="","",INDEX(Ingredients!$C$6:$C$105,MATCH(C175,Ingredients!$B$6:$B$105,0))),"")))</f>
        <v/>
      </c>
      <c r="F175" s="26">
        <f>IF(OR(B175="",C175=""),"",N(D175)*IFERROR(N(INDEX(Ingredients!$H$6:$H$105,MATCH(C175,Ingredients!$B$6:$B$105,0))),0))</f>
        <v/>
      </c>
      <c r="G175" s="1">
        <f>IF(OR(B175="",C175=""),0,IFERROR(N(INDEX(Products!$D$6:$D$45,MATCH(B175,Products!$B$6:$B$45,0))),0))</f>
        <v/>
      </c>
      <c r="H175">
        <f>IF(N(G175)=0,0,N(D175)*SUMIFS(Batches!$D$6:$D$505,Batches!$C$6:$C$505,B175)/G175)</f>
        <v/>
      </c>
      <c r="I175">
        <f>IF(OR(B175="",C175=""),"",IF(B175&lt;&gt;Label!$H$3,"",IF(IFERROR(N(INDEX(Ingredients!$AS$6:$AS$105,MATCH(C175,Ingredients!$B$6:$B$105,0))),0)=1,"",ROUND(N(D175)*1000,0)*100000+100000-ROW())))</f>
        <v/>
      </c>
      <c r="J175">
        <f>IF(OR(B175="",C175=""),0,IFERROR(N(INDEX(Ingredients!$AC$6:$AC$105,MATCH(C175,Ingredients!$B$6:$B$105,0))),0))</f>
        <v/>
      </c>
      <c r="K175">
        <f>IF(OR(B175="",C175=""),0,IFERROR(N(INDEX(Ingredients!$AD$6:$AD$105,MATCH(C175,Ingredients!$B$6:$B$105,0))),0))</f>
        <v/>
      </c>
      <c r="L175">
        <f>IF(OR(B175="",C175=""),0,IFERROR(N(INDEX(Ingredients!$AE$6:$AE$105,MATCH(C175,Ingredients!$B$6:$B$105,0))),0))</f>
        <v/>
      </c>
      <c r="M175">
        <f>IF(OR(B175="",C175=""),0,IFERROR(N(INDEX(Ingredients!$AF$6:$AF$105,MATCH(C175,Ingredients!$B$6:$B$105,0))),0))</f>
        <v/>
      </c>
      <c r="N175">
        <f>IF(OR(B175="",C175=""),0,IFERROR(N(INDEX(Ingredients!$AG$6:$AG$105,MATCH(C175,Ingredients!$B$6:$B$105,0))),0))</f>
        <v/>
      </c>
      <c r="O175">
        <f>IF(OR(B175="",C175=""),0,IFERROR(N(INDEX(Ingredients!$AH$6:$AH$105,MATCH(C175,Ingredients!$B$6:$B$105,0))),0))</f>
        <v/>
      </c>
      <c r="P175">
        <f>IF(OR(B175="",C175=""),0,IFERROR(N(INDEX(Ingredients!$AI$6:$AI$105,MATCH(C175,Ingredients!$B$6:$B$105,0))),0))</f>
        <v/>
      </c>
      <c r="Q175">
        <f>IF(OR(B175="",C175=""),0,IFERROR(N(INDEX(Ingredients!$AJ$6:$AJ$105,MATCH(C175,Ingredients!$B$6:$B$105,0))),0))</f>
        <v/>
      </c>
      <c r="R175">
        <f>IF(OR(B175="",C175=""),0,IFERROR(N(INDEX(Ingredients!$AK$6:$AK$105,MATCH(C175,Ingredients!$B$6:$B$105,0))),0))</f>
        <v/>
      </c>
      <c r="S175">
        <f>IF(OR(B175="",C175=""),0,IFERROR(N(INDEX(Ingredients!$AL$6:$AL$105,MATCH(C175,Ingredients!$B$6:$B$105,0))),0))</f>
        <v/>
      </c>
      <c r="T175">
        <f>IF(OR(B175="",C175=""),0,IFERROR(N(INDEX(Ingredients!$AM$6:$AM$105,MATCH(C175,Ingredients!$B$6:$B$105,0))),0))</f>
        <v/>
      </c>
      <c r="U175">
        <f>IF(OR(B175="",C175=""),0,IFERROR(N(INDEX(Ingredients!$AN$6:$AN$105,MATCH(C175,Ingredients!$B$6:$B$105,0))),0))</f>
        <v/>
      </c>
      <c r="V175">
        <f>IF(OR(B175="",C175=""),0,IFERROR(N(INDEX(Ingredients!$AO$6:$AO$105,MATCH(C175,Ingredients!$B$6:$B$105,0))),0))</f>
        <v/>
      </c>
      <c r="W175">
        <f>IF(OR(B175="",C175=""),0,IFERROR(N(INDEX(Ingredients!$AP$6:$AP$105,MATCH(C175,Ingredients!$B$6:$B$105,0))),0))</f>
        <v/>
      </c>
      <c r="X175">
        <f>IF(OR(B175="",C175=""),0,IFERROR(N(INDEX(Ingredients!$AQ$6:$AQ$105,MATCH(C175,Ingredients!$B$6:$B$105,0))),0))</f>
        <v/>
      </c>
    </row>
    <row r="176">
      <c r="A176" s="1" t="n"/>
      <c r="B176" s="21" t="n"/>
      <c r="C176" s="39" t="n"/>
      <c r="D176" s="40" t="n"/>
      <c r="E176" s="12">
        <f>IF(C176="","",IF(ISNA(MATCH(C176,Ingredients!$B$6:$B$105,0)),"Not on Ingredients",IFERROR(IF(INDEX(Ingredients!$C$6:$C$105,MATCH(C176,Ingredients!$B$6:$B$105,0))="","",INDEX(Ingredients!$C$6:$C$105,MATCH(C176,Ingredients!$B$6:$B$105,0))),"")))</f>
        <v/>
      </c>
      <c r="F176" s="26">
        <f>IF(OR(B176="",C176=""),"",N(D176)*IFERROR(N(INDEX(Ingredients!$H$6:$H$105,MATCH(C176,Ingredients!$B$6:$B$105,0))),0))</f>
        <v/>
      </c>
      <c r="G176" s="1">
        <f>IF(OR(B176="",C176=""),0,IFERROR(N(INDEX(Products!$D$6:$D$45,MATCH(B176,Products!$B$6:$B$45,0))),0))</f>
        <v/>
      </c>
      <c r="H176">
        <f>IF(N(G176)=0,0,N(D176)*SUMIFS(Batches!$D$6:$D$505,Batches!$C$6:$C$505,B176)/G176)</f>
        <v/>
      </c>
      <c r="I176">
        <f>IF(OR(B176="",C176=""),"",IF(B176&lt;&gt;Label!$H$3,"",IF(IFERROR(N(INDEX(Ingredients!$AS$6:$AS$105,MATCH(C176,Ingredients!$B$6:$B$105,0))),0)=1,"",ROUND(N(D176)*1000,0)*100000+100000-ROW())))</f>
        <v/>
      </c>
      <c r="J176">
        <f>IF(OR(B176="",C176=""),0,IFERROR(N(INDEX(Ingredients!$AC$6:$AC$105,MATCH(C176,Ingredients!$B$6:$B$105,0))),0))</f>
        <v/>
      </c>
      <c r="K176">
        <f>IF(OR(B176="",C176=""),0,IFERROR(N(INDEX(Ingredients!$AD$6:$AD$105,MATCH(C176,Ingredients!$B$6:$B$105,0))),0))</f>
        <v/>
      </c>
      <c r="L176">
        <f>IF(OR(B176="",C176=""),0,IFERROR(N(INDEX(Ingredients!$AE$6:$AE$105,MATCH(C176,Ingredients!$B$6:$B$105,0))),0))</f>
        <v/>
      </c>
      <c r="M176">
        <f>IF(OR(B176="",C176=""),0,IFERROR(N(INDEX(Ingredients!$AF$6:$AF$105,MATCH(C176,Ingredients!$B$6:$B$105,0))),0))</f>
        <v/>
      </c>
      <c r="N176">
        <f>IF(OR(B176="",C176=""),0,IFERROR(N(INDEX(Ingredients!$AG$6:$AG$105,MATCH(C176,Ingredients!$B$6:$B$105,0))),0))</f>
        <v/>
      </c>
      <c r="O176">
        <f>IF(OR(B176="",C176=""),0,IFERROR(N(INDEX(Ingredients!$AH$6:$AH$105,MATCH(C176,Ingredients!$B$6:$B$105,0))),0))</f>
        <v/>
      </c>
      <c r="P176">
        <f>IF(OR(B176="",C176=""),0,IFERROR(N(INDEX(Ingredients!$AI$6:$AI$105,MATCH(C176,Ingredients!$B$6:$B$105,0))),0))</f>
        <v/>
      </c>
      <c r="Q176">
        <f>IF(OR(B176="",C176=""),0,IFERROR(N(INDEX(Ingredients!$AJ$6:$AJ$105,MATCH(C176,Ingredients!$B$6:$B$105,0))),0))</f>
        <v/>
      </c>
      <c r="R176">
        <f>IF(OR(B176="",C176=""),0,IFERROR(N(INDEX(Ingredients!$AK$6:$AK$105,MATCH(C176,Ingredients!$B$6:$B$105,0))),0))</f>
        <v/>
      </c>
      <c r="S176">
        <f>IF(OR(B176="",C176=""),0,IFERROR(N(INDEX(Ingredients!$AL$6:$AL$105,MATCH(C176,Ingredients!$B$6:$B$105,0))),0))</f>
        <v/>
      </c>
      <c r="T176">
        <f>IF(OR(B176="",C176=""),0,IFERROR(N(INDEX(Ingredients!$AM$6:$AM$105,MATCH(C176,Ingredients!$B$6:$B$105,0))),0))</f>
        <v/>
      </c>
      <c r="U176">
        <f>IF(OR(B176="",C176=""),0,IFERROR(N(INDEX(Ingredients!$AN$6:$AN$105,MATCH(C176,Ingredients!$B$6:$B$105,0))),0))</f>
        <v/>
      </c>
      <c r="V176">
        <f>IF(OR(B176="",C176=""),0,IFERROR(N(INDEX(Ingredients!$AO$6:$AO$105,MATCH(C176,Ingredients!$B$6:$B$105,0))),0))</f>
        <v/>
      </c>
      <c r="W176">
        <f>IF(OR(B176="",C176=""),0,IFERROR(N(INDEX(Ingredients!$AP$6:$AP$105,MATCH(C176,Ingredients!$B$6:$B$105,0))),0))</f>
        <v/>
      </c>
      <c r="X176">
        <f>IF(OR(B176="",C176=""),0,IFERROR(N(INDEX(Ingredients!$AQ$6:$AQ$105,MATCH(C176,Ingredients!$B$6:$B$105,0))),0))</f>
        <v/>
      </c>
    </row>
    <row r="177">
      <c r="A177" s="1" t="n"/>
      <c r="B177" s="21" t="n"/>
      <c r="C177" s="39" t="n"/>
      <c r="D177" s="40" t="n"/>
      <c r="E177" s="12">
        <f>IF(C177="","",IF(ISNA(MATCH(C177,Ingredients!$B$6:$B$105,0)),"Not on Ingredients",IFERROR(IF(INDEX(Ingredients!$C$6:$C$105,MATCH(C177,Ingredients!$B$6:$B$105,0))="","",INDEX(Ingredients!$C$6:$C$105,MATCH(C177,Ingredients!$B$6:$B$105,0))),"")))</f>
        <v/>
      </c>
      <c r="F177" s="26">
        <f>IF(OR(B177="",C177=""),"",N(D177)*IFERROR(N(INDEX(Ingredients!$H$6:$H$105,MATCH(C177,Ingredients!$B$6:$B$105,0))),0))</f>
        <v/>
      </c>
      <c r="G177" s="1">
        <f>IF(OR(B177="",C177=""),0,IFERROR(N(INDEX(Products!$D$6:$D$45,MATCH(B177,Products!$B$6:$B$45,0))),0))</f>
        <v/>
      </c>
      <c r="H177">
        <f>IF(N(G177)=0,0,N(D177)*SUMIFS(Batches!$D$6:$D$505,Batches!$C$6:$C$505,B177)/G177)</f>
        <v/>
      </c>
      <c r="I177">
        <f>IF(OR(B177="",C177=""),"",IF(B177&lt;&gt;Label!$H$3,"",IF(IFERROR(N(INDEX(Ingredients!$AS$6:$AS$105,MATCH(C177,Ingredients!$B$6:$B$105,0))),0)=1,"",ROUND(N(D177)*1000,0)*100000+100000-ROW())))</f>
        <v/>
      </c>
      <c r="J177">
        <f>IF(OR(B177="",C177=""),0,IFERROR(N(INDEX(Ingredients!$AC$6:$AC$105,MATCH(C177,Ingredients!$B$6:$B$105,0))),0))</f>
        <v/>
      </c>
      <c r="K177">
        <f>IF(OR(B177="",C177=""),0,IFERROR(N(INDEX(Ingredients!$AD$6:$AD$105,MATCH(C177,Ingredients!$B$6:$B$105,0))),0))</f>
        <v/>
      </c>
      <c r="L177">
        <f>IF(OR(B177="",C177=""),0,IFERROR(N(INDEX(Ingredients!$AE$6:$AE$105,MATCH(C177,Ingredients!$B$6:$B$105,0))),0))</f>
        <v/>
      </c>
      <c r="M177">
        <f>IF(OR(B177="",C177=""),0,IFERROR(N(INDEX(Ingredients!$AF$6:$AF$105,MATCH(C177,Ingredients!$B$6:$B$105,0))),0))</f>
        <v/>
      </c>
      <c r="N177">
        <f>IF(OR(B177="",C177=""),0,IFERROR(N(INDEX(Ingredients!$AG$6:$AG$105,MATCH(C177,Ingredients!$B$6:$B$105,0))),0))</f>
        <v/>
      </c>
      <c r="O177">
        <f>IF(OR(B177="",C177=""),0,IFERROR(N(INDEX(Ingredients!$AH$6:$AH$105,MATCH(C177,Ingredients!$B$6:$B$105,0))),0))</f>
        <v/>
      </c>
      <c r="P177">
        <f>IF(OR(B177="",C177=""),0,IFERROR(N(INDEX(Ingredients!$AI$6:$AI$105,MATCH(C177,Ingredients!$B$6:$B$105,0))),0))</f>
        <v/>
      </c>
      <c r="Q177">
        <f>IF(OR(B177="",C177=""),0,IFERROR(N(INDEX(Ingredients!$AJ$6:$AJ$105,MATCH(C177,Ingredients!$B$6:$B$105,0))),0))</f>
        <v/>
      </c>
      <c r="R177">
        <f>IF(OR(B177="",C177=""),0,IFERROR(N(INDEX(Ingredients!$AK$6:$AK$105,MATCH(C177,Ingredients!$B$6:$B$105,0))),0))</f>
        <v/>
      </c>
      <c r="S177">
        <f>IF(OR(B177="",C177=""),0,IFERROR(N(INDEX(Ingredients!$AL$6:$AL$105,MATCH(C177,Ingredients!$B$6:$B$105,0))),0))</f>
        <v/>
      </c>
      <c r="T177">
        <f>IF(OR(B177="",C177=""),0,IFERROR(N(INDEX(Ingredients!$AM$6:$AM$105,MATCH(C177,Ingredients!$B$6:$B$105,0))),0))</f>
        <v/>
      </c>
      <c r="U177">
        <f>IF(OR(B177="",C177=""),0,IFERROR(N(INDEX(Ingredients!$AN$6:$AN$105,MATCH(C177,Ingredients!$B$6:$B$105,0))),0))</f>
        <v/>
      </c>
      <c r="V177">
        <f>IF(OR(B177="",C177=""),0,IFERROR(N(INDEX(Ingredients!$AO$6:$AO$105,MATCH(C177,Ingredients!$B$6:$B$105,0))),0))</f>
        <v/>
      </c>
      <c r="W177">
        <f>IF(OR(B177="",C177=""),0,IFERROR(N(INDEX(Ingredients!$AP$6:$AP$105,MATCH(C177,Ingredients!$B$6:$B$105,0))),0))</f>
        <v/>
      </c>
      <c r="X177">
        <f>IF(OR(B177="",C177=""),0,IFERROR(N(INDEX(Ingredients!$AQ$6:$AQ$105,MATCH(C177,Ingredients!$B$6:$B$105,0))),0))</f>
        <v/>
      </c>
    </row>
    <row r="178">
      <c r="A178" s="1" t="n"/>
      <c r="B178" s="21" t="n"/>
      <c r="C178" s="39" t="n"/>
      <c r="D178" s="40" t="n"/>
      <c r="E178" s="12">
        <f>IF(C178="","",IF(ISNA(MATCH(C178,Ingredients!$B$6:$B$105,0)),"Not on Ingredients",IFERROR(IF(INDEX(Ingredients!$C$6:$C$105,MATCH(C178,Ingredients!$B$6:$B$105,0))="","",INDEX(Ingredients!$C$6:$C$105,MATCH(C178,Ingredients!$B$6:$B$105,0))),"")))</f>
        <v/>
      </c>
      <c r="F178" s="26">
        <f>IF(OR(B178="",C178=""),"",N(D178)*IFERROR(N(INDEX(Ingredients!$H$6:$H$105,MATCH(C178,Ingredients!$B$6:$B$105,0))),0))</f>
        <v/>
      </c>
      <c r="G178" s="1">
        <f>IF(OR(B178="",C178=""),0,IFERROR(N(INDEX(Products!$D$6:$D$45,MATCH(B178,Products!$B$6:$B$45,0))),0))</f>
        <v/>
      </c>
      <c r="H178">
        <f>IF(N(G178)=0,0,N(D178)*SUMIFS(Batches!$D$6:$D$505,Batches!$C$6:$C$505,B178)/G178)</f>
        <v/>
      </c>
      <c r="I178">
        <f>IF(OR(B178="",C178=""),"",IF(B178&lt;&gt;Label!$H$3,"",IF(IFERROR(N(INDEX(Ingredients!$AS$6:$AS$105,MATCH(C178,Ingredients!$B$6:$B$105,0))),0)=1,"",ROUND(N(D178)*1000,0)*100000+100000-ROW())))</f>
        <v/>
      </c>
      <c r="J178">
        <f>IF(OR(B178="",C178=""),0,IFERROR(N(INDEX(Ingredients!$AC$6:$AC$105,MATCH(C178,Ingredients!$B$6:$B$105,0))),0))</f>
        <v/>
      </c>
      <c r="K178">
        <f>IF(OR(B178="",C178=""),0,IFERROR(N(INDEX(Ingredients!$AD$6:$AD$105,MATCH(C178,Ingredients!$B$6:$B$105,0))),0))</f>
        <v/>
      </c>
      <c r="L178">
        <f>IF(OR(B178="",C178=""),0,IFERROR(N(INDEX(Ingredients!$AE$6:$AE$105,MATCH(C178,Ingredients!$B$6:$B$105,0))),0))</f>
        <v/>
      </c>
      <c r="M178">
        <f>IF(OR(B178="",C178=""),0,IFERROR(N(INDEX(Ingredients!$AF$6:$AF$105,MATCH(C178,Ingredients!$B$6:$B$105,0))),0))</f>
        <v/>
      </c>
      <c r="N178">
        <f>IF(OR(B178="",C178=""),0,IFERROR(N(INDEX(Ingredients!$AG$6:$AG$105,MATCH(C178,Ingredients!$B$6:$B$105,0))),0))</f>
        <v/>
      </c>
      <c r="O178">
        <f>IF(OR(B178="",C178=""),0,IFERROR(N(INDEX(Ingredients!$AH$6:$AH$105,MATCH(C178,Ingredients!$B$6:$B$105,0))),0))</f>
        <v/>
      </c>
      <c r="P178">
        <f>IF(OR(B178="",C178=""),0,IFERROR(N(INDEX(Ingredients!$AI$6:$AI$105,MATCH(C178,Ingredients!$B$6:$B$105,0))),0))</f>
        <v/>
      </c>
      <c r="Q178">
        <f>IF(OR(B178="",C178=""),0,IFERROR(N(INDEX(Ingredients!$AJ$6:$AJ$105,MATCH(C178,Ingredients!$B$6:$B$105,0))),0))</f>
        <v/>
      </c>
      <c r="R178">
        <f>IF(OR(B178="",C178=""),0,IFERROR(N(INDEX(Ingredients!$AK$6:$AK$105,MATCH(C178,Ingredients!$B$6:$B$105,0))),0))</f>
        <v/>
      </c>
      <c r="S178">
        <f>IF(OR(B178="",C178=""),0,IFERROR(N(INDEX(Ingredients!$AL$6:$AL$105,MATCH(C178,Ingredients!$B$6:$B$105,0))),0))</f>
        <v/>
      </c>
      <c r="T178">
        <f>IF(OR(B178="",C178=""),0,IFERROR(N(INDEX(Ingredients!$AM$6:$AM$105,MATCH(C178,Ingredients!$B$6:$B$105,0))),0))</f>
        <v/>
      </c>
      <c r="U178">
        <f>IF(OR(B178="",C178=""),0,IFERROR(N(INDEX(Ingredients!$AN$6:$AN$105,MATCH(C178,Ingredients!$B$6:$B$105,0))),0))</f>
        <v/>
      </c>
      <c r="V178">
        <f>IF(OR(B178="",C178=""),0,IFERROR(N(INDEX(Ingredients!$AO$6:$AO$105,MATCH(C178,Ingredients!$B$6:$B$105,0))),0))</f>
        <v/>
      </c>
      <c r="W178">
        <f>IF(OR(B178="",C178=""),0,IFERROR(N(INDEX(Ingredients!$AP$6:$AP$105,MATCH(C178,Ingredients!$B$6:$B$105,0))),0))</f>
        <v/>
      </c>
      <c r="X178">
        <f>IF(OR(B178="",C178=""),0,IFERROR(N(INDEX(Ingredients!$AQ$6:$AQ$105,MATCH(C178,Ingredients!$B$6:$B$105,0))),0))</f>
        <v/>
      </c>
    </row>
    <row r="179">
      <c r="A179" s="1" t="n"/>
      <c r="B179" s="21" t="n"/>
      <c r="C179" s="39" t="n"/>
      <c r="D179" s="40" t="n"/>
      <c r="E179" s="12">
        <f>IF(C179="","",IF(ISNA(MATCH(C179,Ingredients!$B$6:$B$105,0)),"Not on Ingredients",IFERROR(IF(INDEX(Ingredients!$C$6:$C$105,MATCH(C179,Ingredients!$B$6:$B$105,0))="","",INDEX(Ingredients!$C$6:$C$105,MATCH(C179,Ingredients!$B$6:$B$105,0))),"")))</f>
        <v/>
      </c>
      <c r="F179" s="26">
        <f>IF(OR(B179="",C179=""),"",N(D179)*IFERROR(N(INDEX(Ingredients!$H$6:$H$105,MATCH(C179,Ingredients!$B$6:$B$105,0))),0))</f>
        <v/>
      </c>
      <c r="G179" s="1">
        <f>IF(OR(B179="",C179=""),0,IFERROR(N(INDEX(Products!$D$6:$D$45,MATCH(B179,Products!$B$6:$B$45,0))),0))</f>
        <v/>
      </c>
      <c r="H179">
        <f>IF(N(G179)=0,0,N(D179)*SUMIFS(Batches!$D$6:$D$505,Batches!$C$6:$C$505,B179)/G179)</f>
        <v/>
      </c>
      <c r="I179">
        <f>IF(OR(B179="",C179=""),"",IF(B179&lt;&gt;Label!$H$3,"",IF(IFERROR(N(INDEX(Ingredients!$AS$6:$AS$105,MATCH(C179,Ingredients!$B$6:$B$105,0))),0)=1,"",ROUND(N(D179)*1000,0)*100000+100000-ROW())))</f>
        <v/>
      </c>
      <c r="J179">
        <f>IF(OR(B179="",C179=""),0,IFERROR(N(INDEX(Ingredients!$AC$6:$AC$105,MATCH(C179,Ingredients!$B$6:$B$105,0))),0))</f>
        <v/>
      </c>
      <c r="K179">
        <f>IF(OR(B179="",C179=""),0,IFERROR(N(INDEX(Ingredients!$AD$6:$AD$105,MATCH(C179,Ingredients!$B$6:$B$105,0))),0))</f>
        <v/>
      </c>
      <c r="L179">
        <f>IF(OR(B179="",C179=""),0,IFERROR(N(INDEX(Ingredients!$AE$6:$AE$105,MATCH(C179,Ingredients!$B$6:$B$105,0))),0))</f>
        <v/>
      </c>
      <c r="M179">
        <f>IF(OR(B179="",C179=""),0,IFERROR(N(INDEX(Ingredients!$AF$6:$AF$105,MATCH(C179,Ingredients!$B$6:$B$105,0))),0))</f>
        <v/>
      </c>
      <c r="N179">
        <f>IF(OR(B179="",C179=""),0,IFERROR(N(INDEX(Ingredients!$AG$6:$AG$105,MATCH(C179,Ingredients!$B$6:$B$105,0))),0))</f>
        <v/>
      </c>
      <c r="O179">
        <f>IF(OR(B179="",C179=""),0,IFERROR(N(INDEX(Ingredients!$AH$6:$AH$105,MATCH(C179,Ingredients!$B$6:$B$105,0))),0))</f>
        <v/>
      </c>
      <c r="P179">
        <f>IF(OR(B179="",C179=""),0,IFERROR(N(INDEX(Ingredients!$AI$6:$AI$105,MATCH(C179,Ingredients!$B$6:$B$105,0))),0))</f>
        <v/>
      </c>
      <c r="Q179">
        <f>IF(OR(B179="",C179=""),0,IFERROR(N(INDEX(Ingredients!$AJ$6:$AJ$105,MATCH(C179,Ingredients!$B$6:$B$105,0))),0))</f>
        <v/>
      </c>
      <c r="R179">
        <f>IF(OR(B179="",C179=""),0,IFERROR(N(INDEX(Ingredients!$AK$6:$AK$105,MATCH(C179,Ingredients!$B$6:$B$105,0))),0))</f>
        <v/>
      </c>
      <c r="S179">
        <f>IF(OR(B179="",C179=""),0,IFERROR(N(INDEX(Ingredients!$AL$6:$AL$105,MATCH(C179,Ingredients!$B$6:$B$105,0))),0))</f>
        <v/>
      </c>
      <c r="T179">
        <f>IF(OR(B179="",C179=""),0,IFERROR(N(INDEX(Ingredients!$AM$6:$AM$105,MATCH(C179,Ingredients!$B$6:$B$105,0))),0))</f>
        <v/>
      </c>
      <c r="U179">
        <f>IF(OR(B179="",C179=""),0,IFERROR(N(INDEX(Ingredients!$AN$6:$AN$105,MATCH(C179,Ingredients!$B$6:$B$105,0))),0))</f>
        <v/>
      </c>
      <c r="V179">
        <f>IF(OR(B179="",C179=""),0,IFERROR(N(INDEX(Ingredients!$AO$6:$AO$105,MATCH(C179,Ingredients!$B$6:$B$105,0))),0))</f>
        <v/>
      </c>
      <c r="W179">
        <f>IF(OR(B179="",C179=""),0,IFERROR(N(INDEX(Ingredients!$AP$6:$AP$105,MATCH(C179,Ingredients!$B$6:$B$105,0))),0))</f>
        <v/>
      </c>
      <c r="X179">
        <f>IF(OR(B179="",C179=""),0,IFERROR(N(INDEX(Ingredients!$AQ$6:$AQ$105,MATCH(C179,Ingredients!$B$6:$B$105,0))),0))</f>
        <v/>
      </c>
    </row>
    <row r="180">
      <c r="A180" s="1" t="n"/>
      <c r="B180" s="21" t="n"/>
      <c r="C180" s="39" t="n"/>
      <c r="D180" s="40" t="n"/>
      <c r="E180" s="12">
        <f>IF(C180="","",IF(ISNA(MATCH(C180,Ingredients!$B$6:$B$105,0)),"Not on Ingredients",IFERROR(IF(INDEX(Ingredients!$C$6:$C$105,MATCH(C180,Ingredients!$B$6:$B$105,0))="","",INDEX(Ingredients!$C$6:$C$105,MATCH(C180,Ingredients!$B$6:$B$105,0))),"")))</f>
        <v/>
      </c>
      <c r="F180" s="26">
        <f>IF(OR(B180="",C180=""),"",N(D180)*IFERROR(N(INDEX(Ingredients!$H$6:$H$105,MATCH(C180,Ingredients!$B$6:$B$105,0))),0))</f>
        <v/>
      </c>
      <c r="G180" s="1">
        <f>IF(OR(B180="",C180=""),0,IFERROR(N(INDEX(Products!$D$6:$D$45,MATCH(B180,Products!$B$6:$B$45,0))),0))</f>
        <v/>
      </c>
      <c r="H180">
        <f>IF(N(G180)=0,0,N(D180)*SUMIFS(Batches!$D$6:$D$505,Batches!$C$6:$C$505,B180)/G180)</f>
        <v/>
      </c>
      <c r="I180">
        <f>IF(OR(B180="",C180=""),"",IF(B180&lt;&gt;Label!$H$3,"",IF(IFERROR(N(INDEX(Ingredients!$AS$6:$AS$105,MATCH(C180,Ingredients!$B$6:$B$105,0))),0)=1,"",ROUND(N(D180)*1000,0)*100000+100000-ROW())))</f>
        <v/>
      </c>
      <c r="J180">
        <f>IF(OR(B180="",C180=""),0,IFERROR(N(INDEX(Ingredients!$AC$6:$AC$105,MATCH(C180,Ingredients!$B$6:$B$105,0))),0))</f>
        <v/>
      </c>
      <c r="K180">
        <f>IF(OR(B180="",C180=""),0,IFERROR(N(INDEX(Ingredients!$AD$6:$AD$105,MATCH(C180,Ingredients!$B$6:$B$105,0))),0))</f>
        <v/>
      </c>
      <c r="L180">
        <f>IF(OR(B180="",C180=""),0,IFERROR(N(INDEX(Ingredients!$AE$6:$AE$105,MATCH(C180,Ingredients!$B$6:$B$105,0))),0))</f>
        <v/>
      </c>
      <c r="M180">
        <f>IF(OR(B180="",C180=""),0,IFERROR(N(INDEX(Ingredients!$AF$6:$AF$105,MATCH(C180,Ingredients!$B$6:$B$105,0))),0))</f>
        <v/>
      </c>
      <c r="N180">
        <f>IF(OR(B180="",C180=""),0,IFERROR(N(INDEX(Ingredients!$AG$6:$AG$105,MATCH(C180,Ingredients!$B$6:$B$105,0))),0))</f>
        <v/>
      </c>
      <c r="O180">
        <f>IF(OR(B180="",C180=""),0,IFERROR(N(INDEX(Ingredients!$AH$6:$AH$105,MATCH(C180,Ingredients!$B$6:$B$105,0))),0))</f>
        <v/>
      </c>
      <c r="P180">
        <f>IF(OR(B180="",C180=""),0,IFERROR(N(INDEX(Ingredients!$AI$6:$AI$105,MATCH(C180,Ingredients!$B$6:$B$105,0))),0))</f>
        <v/>
      </c>
      <c r="Q180">
        <f>IF(OR(B180="",C180=""),0,IFERROR(N(INDEX(Ingredients!$AJ$6:$AJ$105,MATCH(C180,Ingredients!$B$6:$B$105,0))),0))</f>
        <v/>
      </c>
      <c r="R180">
        <f>IF(OR(B180="",C180=""),0,IFERROR(N(INDEX(Ingredients!$AK$6:$AK$105,MATCH(C180,Ingredients!$B$6:$B$105,0))),0))</f>
        <v/>
      </c>
      <c r="S180">
        <f>IF(OR(B180="",C180=""),0,IFERROR(N(INDEX(Ingredients!$AL$6:$AL$105,MATCH(C180,Ingredients!$B$6:$B$105,0))),0))</f>
        <v/>
      </c>
      <c r="T180">
        <f>IF(OR(B180="",C180=""),0,IFERROR(N(INDEX(Ingredients!$AM$6:$AM$105,MATCH(C180,Ingredients!$B$6:$B$105,0))),0))</f>
        <v/>
      </c>
      <c r="U180">
        <f>IF(OR(B180="",C180=""),0,IFERROR(N(INDEX(Ingredients!$AN$6:$AN$105,MATCH(C180,Ingredients!$B$6:$B$105,0))),0))</f>
        <v/>
      </c>
      <c r="V180">
        <f>IF(OR(B180="",C180=""),0,IFERROR(N(INDEX(Ingredients!$AO$6:$AO$105,MATCH(C180,Ingredients!$B$6:$B$105,0))),0))</f>
        <v/>
      </c>
      <c r="W180">
        <f>IF(OR(B180="",C180=""),0,IFERROR(N(INDEX(Ingredients!$AP$6:$AP$105,MATCH(C180,Ingredients!$B$6:$B$105,0))),0))</f>
        <v/>
      </c>
      <c r="X180">
        <f>IF(OR(B180="",C180=""),0,IFERROR(N(INDEX(Ingredients!$AQ$6:$AQ$105,MATCH(C180,Ingredients!$B$6:$B$105,0))),0))</f>
        <v/>
      </c>
    </row>
    <row r="181">
      <c r="A181" s="1" t="n"/>
      <c r="B181" s="21" t="n"/>
      <c r="C181" s="39" t="n"/>
      <c r="D181" s="40" t="n"/>
      <c r="E181" s="12">
        <f>IF(C181="","",IF(ISNA(MATCH(C181,Ingredients!$B$6:$B$105,0)),"Not on Ingredients",IFERROR(IF(INDEX(Ingredients!$C$6:$C$105,MATCH(C181,Ingredients!$B$6:$B$105,0))="","",INDEX(Ingredients!$C$6:$C$105,MATCH(C181,Ingredients!$B$6:$B$105,0))),"")))</f>
        <v/>
      </c>
      <c r="F181" s="26">
        <f>IF(OR(B181="",C181=""),"",N(D181)*IFERROR(N(INDEX(Ingredients!$H$6:$H$105,MATCH(C181,Ingredients!$B$6:$B$105,0))),0))</f>
        <v/>
      </c>
      <c r="G181" s="1">
        <f>IF(OR(B181="",C181=""),0,IFERROR(N(INDEX(Products!$D$6:$D$45,MATCH(B181,Products!$B$6:$B$45,0))),0))</f>
        <v/>
      </c>
      <c r="H181">
        <f>IF(N(G181)=0,0,N(D181)*SUMIFS(Batches!$D$6:$D$505,Batches!$C$6:$C$505,B181)/G181)</f>
        <v/>
      </c>
      <c r="I181">
        <f>IF(OR(B181="",C181=""),"",IF(B181&lt;&gt;Label!$H$3,"",IF(IFERROR(N(INDEX(Ingredients!$AS$6:$AS$105,MATCH(C181,Ingredients!$B$6:$B$105,0))),0)=1,"",ROUND(N(D181)*1000,0)*100000+100000-ROW())))</f>
        <v/>
      </c>
      <c r="J181">
        <f>IF(OR(B181="",C181=""),0,IFERROR(N(INDEX(Ingredients!$AC$6:$AC$105,MATCH(C181,Ingredients!$B$6:$B$105,0))),0))</f>
        <v/>
      </c>
      <c r="K181">
        <f>IF(OR(B181="",C181=""),0,IFERROR(N(INDEX(Ingredients!$AD$6:$AD$105,MATCH(C181,Ingredients!$B$6:$B$105,0))),0))</f>
        <v/>
      </c>
      <c r="L181">
        <f>IF(OR(B181="",C181=""),0,IFERROR(N(INDEX(Ingredients!$AE$6:$AE$105,MATCH(C181,Ingredients!$B$6:$B$105,0))),0))</f>
        <v/>
      </c>
      <c r="M181">
        <f>IF(OR(B181="",C181=""),0,IFERROR(N(INDEX(Ingredients!$AF$6:$AF$105,MATCH(C181,Ingredients!$B$6:$B$105,0))),0))</f>
        <v/>
      </c>
      <c r="N181">
        <f>IF(OR(B181="",C181=""),0,IFERROR(N(INDEX(Ingredients!$AG$6:$AG$105,MATCH(C181,Ingredients!$B$6:$B$105,0))),0))</f>
        <v/>
      </c>
      <c r="O181">
        <f>IF(OR(B181="",C181=""),0,IFERROR(N(INDEX(Ingredients!$AH$6:$AH$105,MATCH(C181,Ingredients!$B$6:$B$105,0))),0))</f>
        <v/>
      </c>
      <c r="P181">
        <f>IF(OR(B181="",C181=""),0,IFERROR(N(INDEX(Ingredients!$AI$6:$AI$105,MATCH(C181,Ingredients!$B$6:$B$105,0))),0))</f>
        <v/>
      </c>
      <c r="Q181">
        <f>IF(OR(B181="",C181=""),0,IFERROR(N(INDEX(Ingredients!$AJ$6:$AJ$105,MATCH(C181,Ingredients!$B$6:$B$105,0))),0))</f>
        <v/>
      </c>
      <c r="R181">
        <f>IF(OR(B181="",C181=""),0,IFERROR(N(INDEX(Ingredients!$AK$6:$AK$105,MATCH(C181,Ingredients!$B$6:$B$105,0))),0))</f>
        <v/>
      </c>
      <c r="S181">
        <f>IF(OR(B181="",C181=""),0,IFERROR(N(INDEX(Ingredients!$AL$6:$AL$105,MATCH(C181,Ingredients!$B$6:$B$105,0))),0))</f>
        <v/>
      </c>
      <c r="T181">
        <f>IF(OR(B181="",C181=""),0,IFERROR(N(INDEX(Ingredients!$AM$6:$AM$105,MATCH(C181,Ingredients!$B$6:$B$105,0))),0))</f>
        <v/>
      </c>
      <c r="U181">
        <f>IF(OR(B181="",C181=""),0,IFERROR(N(INDEX(Ingredients!$AN$6:$AN$105,MATCH(C181,Ingredients!$B$6:$B$105,0))),0))</f>
        <v/>
      </c>
      <c r="V181">
        <f>IF(OR(B181="",C181=""),0,IFERROR(N(INDEX(Ingredients!$AO$6:$AO$105,MATCH(C181,Ingredients!$B$6:$B$105,0))),0))</f>
        <v/>
      </c>
      <c r="W181">
        <f>IF(OR(B181="",C181=""),0,IFERROR(N(INDEX(Ingredients!$AP$6:$AP$105,MATCH(C181,Ingredients!$B$6:$B$105,0))),0))</f>
        <v/>
      </c>
      <c r="X181">
        <f>IF(OR(B181="",C181=""),0,IFERROR(N(INDEX(Ingredients!$AQ$6:$AQ$105,MATCH(C181,Ingredients!$B$6:$B$105,0))),0))</f>
        <v/>
      </c>
    </row>
    <row r="182">
      <c r="A182" s="1" t="n"/>
      <c r="B182" s="21" t="n"/>
      <c r="C182" s="39" t="n"/>
      <c r="D182" s="40" t="n"/>
      <c r="E182" s="12">
        <f>IF(C182="","",IF(ISNA(MATCH(C182,Ingredients!$B$6:$B$105,0)),"Not on Ingredients",IFERROR(IF(INDEX(Ingredients!$C$6:$C$105,MATCH(C182,Ingredients!$B$6:$B$105,0))="","",INDEX(Ingredients!$C$6:$C$105,MATCH(C182,Ingredients!$B$6:$B$105,0))),"")))</f>
        <v/>
      </c>
      <c r="F182" s="26">
        <f>IF(OR(B182="",C182=""),"",N(D182)*IFERROR(N(INDEX(Ingredients!$H$6:$H$105,MATCH(C182,Ingredients!$B$6:$B$105,0))),0))</f>
        <v/>
      </c>
      <c r="G182" s="1">
        <f>IF(OR(B182="",C182=""),0,IFERROR(N(INDEX(Products!$D$6:$D$45,MATCH(B182,Products!$B$6:$B$45,0))),0))</f>
        <v/>
      </c>
      <c r="H182">
        <f>IF(N(G182)=0,0,N(D182)*SUMIFS(Batches!$D$6:$D$505,Batches!$C$6:$C$505,B182)/G182)</f>
        <v/>
      </c>
      <c r="I182">
        <f>IF(OR(B182="",C182=""),"",IF(B182&lt;&gt;Label!$H$3,"",IF(IFERROR(N(INDEX(Ingredients!$AS$6:$AS$105,MATCH(C182,Ingredients!$B$6:$B$105,0))),0)=1,"",ROUND(N(D182)*1000,0)*100000+100000-ROW())))</f>
        <v/>
      </c>
      <c r="J182">
        <f>IF(OR(B182="",C182=""),0,IFERROR(N(INDEX(Ingredients!$AC$6:$AC$105,MATCH(C182,Ingredients!$B$6:$B$105,0))),0))</f>
        <v/>
      </c>
      <c r="K182">
        <f>IF(OR(B182="",C182=""),0,IFERROR(N(INDEX(Ingredients!$AD$6:$AD$105,MATCH(C182,Ingredients!$B$6:$B$105,0))),0))</f>
        <v/>
      </c>
      <c r="L182">
        <f>IF(OR(B182="",C182=""),0,IFERROR(N(INDEX(Ingredients!$AE$6:$AE$105,MATCH(C182,Ingredients!$B$6:$B$105,0))),0))</f>
        <v/>
      </c>
      <c r="M182">
        <f>IF(OR(B182="",C182=""),0,IFERROR(N(INDEX(Ingredients!$AF$6:$AF$105,MATCH(C182,Ingredients!$B$6:$B$105,0))),0))</f>
        <v/>
      </c>
      <c r="N182">
        <f>IF(OR(B182="",C182=""),0,IFERROR(N(INDEX(Ingredients!$AG$6:$AG$105,MATCH(C182,Ingredients!$B$6:$B$105,0))),0))</f>
        <v/>
      </c>
      <c r="O182">
        <f>IF(OR(B182="",C182=""),0,IFERROR(N(INDEX(Ingredients!$AH$6:$AH$105,MATCH(C182,Ingredients!$B$6:$B$105,0))),0))</f>
        <v/>
      </c>
      <c r="P182">
        <f>IF(OR(B182="",C182=""),0,IFERROR(N(INDEX(Ingredients!$AI$6:$AI$105,MATCH(C182,Ingredients!$B$6:$B$105,0))),0))</f>
        <v/>
      </c>
      <c r="Q182">
        <f>IF(OR(B182="",C182=""),0,IFERROR(N(INDEX(Ingredients!$AJ$6:$AJ$105,MATCH(C182,Ingredients!$B$6:$B$105,0))),0))</f>
        <v/>
      </c>
      <c r="R182">
        <f>IF(OR(B182="",C182=""),0,IFERROR(N(INDEX(Ingredients!$AK$6:$AK$105,MATCH(C182,Ingredients!$B$6:$B$105,0))),0))</f>
        <v/>
      </c>
      <c r="S182">
        <f>IF(OR(B182="",C182=""),0,IFERROR(N(INDEX(Ingredients!$AL$6:$AL$105,MATCH(C182,Ingredients!$B$6:$B$105,0))),0))</f>
        <v/>
      </c>
      <c r="T182">
        <f>IF(OR(B182="",C182=""),0,IFERROR(N(INDEX(Ingredients!$AM$6:$AM$105,MATCH(C182,Ingredients!$B$6:$B$105,0))),0))</f>
        <v/>
      </c>
      <c r="U182">
        <f>IF(OR(B182="",C182=""),0,IFERROR(N(INDEX(Ingredients!$AN$6:$AN$105,MATCH(C182,Ingredients!$B$6:$B$105,0))),0))</f>
        <v/>
      </c>
      <c r="V182">
        <f>IF(OR(B182="",C182=""),0,IFERROR(N(INDEX(Ingredients!$AO$6:$AO$105,MATCH(C182,Ingredients!$B$6:$B$105,0))),0))</f>
        <v/>
      </c>
      <c r="W182">
        <f>IF(OR(B182="",C182=""),0,IFERROR(N(INDEX(Ingredients!$AP$6:$AP$105,MATCH(C182,Ingredients!$B$6:$B$105,0))),0))</f>
        <v/>
      </c>
      <c r="X182">
        <f>IF(OR(B182="",C182=""),0,IFERROR(N(INDEX(Ingredients!$AQ$6:$AQ$105,MATCH(C182,Ingredients!$B$6:$B$105,0))),0))</f>
        <v/>
      </c>
    </row>
    <row r="183">
      <c r="A183" s="1" t="n"/>
      <c r="B183" s="21" t="n"/>
      <c r="C183" s="39" t="n"/>
      <c r="D183" s="40" t="n"/>
      <c r="E183" s="12">
        <f>IF(C183="","",IF(ISNA(MATCH(C183,Ingredients!$B$6:$B$105,0)),"Not on Ingredients",IFERROR(IF(INDEX(Ingredients!$C$6:$C$105,MATCH(C183,Ingredients!$B$6:$B$105,0))="","",INDEX(Ingredients!$C$6:$C$105,MATCH(C183,Ingredients!$B$6:$B$105,0))),"")))</f>
        <v/>
      </c>
      <c r="F183" s="26">
        <f>IF(OR(B183="",C183=""),"",N(D183)*IFERROR(N(INDEX(Ingredients!$H$6:$H$105,MATCH(C183,Ingredients!$B$6:$B$105,0))),0))</f>
        <v/>
      </c>
      <c r="G183" s="1">
        <f>IF(OR(B183="",C183=""),0,IFERROR(N(INDEX(Products!$D$6:$D$45,MATCH(B183,Products!$B$6:$B$45,0))),0))</f>
        <v/>
      </c>
      <c r="H183">
        <f>IF(N(G183)=0,0,N(D183)*SUMIFS(Batches!$D$6:$D$505,Batches!$C$6:$C$505,B183)/G183)</f>
        <v/>
      </c>
      <c r="I183">
        <f>IF(OR(B183="",C183=""),"",IF(B183&lt;&gt;Label!$H$3,"",IF(IFERROR(N(INDEX(Ingredients!$AS$6:$AS$105,MATCH(C183,Ingredients!$B$6:$B$105,0))),0)=1,"",ROUND(N(D183)*1000,0)*100000+100000-ROW())))</f>
        <v/>
      </c>
      <c r="J183">
        <f>IF(OR(B183="",C183=""),0,IFERROR(N(INDEX(Ingredients!$AC$6:$AC$105,MATCH(C183,Ingredients!$B$6:$B$105,0))),0))</f>
        <v/>
      </c>
      <c r="K183">
        <f>IF(OR(B183="",C183=""),0,IFERROR(N(INDEX(Ingredients!$AD$6:$AD$105,MATCH(C183,Ingredients!$B$6:$B$105,0))),0))</f>
        <v/>
      </c>
      <c r="L183">
        <f>IF(OR(B183="",C183=""),0,IFERROR(N(INDEX(Ingredients!$AE$6:$AE$105,MATCH(C183,Ingredients!$B$6:$B$105,0))),0))</f>
        <v/>
      </c>
      <c r="M183">
        <f>IF(OR(B183="",C183=""),0,IFERROR(N(INDEX(Ingredients!$AF$6:$AF$105,MATCH(C183,Ingredients!$B$6:$B$105,0))),0))</f>
        <v/>
      </c>
      <c r="N183">
        <f>IF(OR(B183="",C183=""),0,IFERROR(N(INDEX(Ingredients!$AG$6:$AG$105,MATCH(C183,Ingredients!$B$6:$B$105,0))),0))</f>
        <v/>
      </c>
      <c r="O183">
        <f>IF(OR(B183="",C183=""),0,IFERROR(N(INDEX(Ingredients!$AH$6:$AH$105,MATCH(C183,Ingredients!$B$6:$B$105,0))),0))</f>
        <v/>
      </c>
      <c r="P183">
        <f>IF(OR(B183="",C183=""),0,IFERROR(N(INDEX(Ingredients!$AI$6:$AI$105,MATCH(C183,Ingredients!$B$6:$B$105,0))),0))</f>
        <v/>
      </c>
      <c r="Q183">
        <f>IF(OR(B183="",C183=""),0,IFERROR(N(INDEX(Ingredients!$AJ$6:$AJ$105,MATCH(C183,Ingredients!$B$6:$B$105,0))),0))</f>
        <v/>
      </c>
      <c r="R183">
        <f>IF(OR(B183="",C183=""),0,IFERROR(N(INDEX(Ingredients!$AK$6:$AK$105,MATCH(C183,Ingredients!$B$6:$B$105,0))),0))</f>
        <v/>
      </c>
      <c r="S183">
        <f>IF(OR(B183="",C183=""),0,IFERROR(N(INDEX(Ingredients!$AL$6:$AL$105,MATCH(C183,Ingredients!$B$6:$B$105,0))),0))</f>
        <v/>
      </c>
      <c r="T183">
        <f>IF(OR(B183="",C183=""),0,IFERROR(N(INDEX(Ingredients!$AM$6:$AM$105,MATCH(C183,Ingredients!$B$6:$B$105,0))),0))</f>
        <v/>
      </c>
      <c r="U183">
        <f>IF(OR(B183="",C183=""),0,IFERROR(N(INDEX(Ingredients!$AN$6:$AN$105,MATCH(C183,Ingredients!$B$6:$B$105,0))),0))</f>
        <v/>
      </c>
      <c r="V183">
        <f>IF(OR(B183="",C183=""),0,IFERROR(N(INDEX(Ingredients!$AO$6:$AO$105,MATCH(C183,Ingredients!$B$6:$B$105,0))),0))</f>
        <v/>
      </c>
      <c r="W183">
        <f>IF(OR(B183="",C183=""),0,IFERROR(N(INDEX(Ingredients!$AP$6:$AP$105,MATCH(C183,Ingredients!$B$6:$B$105,0))),0))</f>
        <v/>
      </c>
      <c r="X183">
        <f>IF(OR(B183="",C183=""),0,IFERROR(N(INDEX(Ingredients!$AQ$6:$AQ$105,MATCH(C183,Ingredients!$B$6:$B$105,0))),0))</f>
        <v/>
      </c>
    </row>
    <row r="184">
      <c r="A184" s="1" t="n"/>
      <c r="B184" s="21" t="n"/>
      <c r="C184" s="39" t="n"/>
      <c r="D184" s="40" t="n"/>
      <c r="E184" s="12">
        <f>IF(C184="","",IF(ISNA(MATCH(C184,Ingredients!$B$6:$B$105,0)),"Not on Ingredients",IFERROR(IF(INDEX(Ingredients!$C$6:$C$105,MATCH(C184,Ingredients!$B$6:$B$105,0))="","",INDEX(Ingredients!$C$6:$C$105,MATCH(C184,Ingredients!$B$6:$B$105,0))),"")))</f>
        <v/>
      </c>
      <c r="F184" s="26">
        <f>IF(OR(B184="",C184=""),"",N(D184)*IFERROR(N(INDEX(Ingredients!$H$6:$H$105,MATCH(C184,Ingredients!$B$6:$B$105,0))),0))</f>
        <v/>
      </c>
      <c r="G184" s="1">
        <f>IF(OR(B184="",C184=""),0,IFERROR(N(INDEX(Products!$D$6:$D$45,MATCH(B184,Products!$B$6:$B$45,0))),0))</f>
        <v/>
      </c>
      <c r="H184">
        <f>IF(N(G184)=0,0,N(D184)*SUMIFS(Batches!$D$6:$D$505,Batches!$C$6:$C$505,B184)/G184)</f>
        <v/>
      </c>
      <c r="I184">
        <f>IF(OR(B184="",C184=""),"",IF(B184&lt;&gt;Label!$H$3,"",IF(IFERROR(N(INDEX(Ingredients!$AS$6:$AS$105,MATCH(C184,Ingredients!$B$6:$B$105,0))),0)=1,"",ROUND(N(D184)*1000,0)*100000+100000-ROW())))</f>
        <v/>
      </c>
      <c r="J184">
        <f>IF(OR(B184="",C184=""),0,IFERROR(N(INDEX(Ingredients!$AC$6:$AC$105,MATCH(C184,Ingredients!$B$6:$B$105,0))),0))</f>
        <v/>
      </c>
      <c r="K184">
        <f>IF(OR(B184="",C184=""),0,IFERROR(N(INDEX(Ingredients!$AD$6:$AD$105,MATCH(C184,Ingredients!$B$6:$B$105,0))),0))</f>
        <v/>
      </c>
      <c r="L184">
        <f>IF(OR(B184="",C184=""),0,IFERROR(N(INDEX(Ingredients!$AE$6:$AE$105,MATCH(C184,Ingredients!$B$6:$B$105,0))),0))</f>
        <v/>
      </c>
      <c r="M184">
        <f>IF(OR(B184="",C184=""),0,IFERROR(N(INDEX(Ingredients!$AF$6:$AF$105,MATCH(C184,Ingredients!$B$6:$B$105,0))),0))</f>
        <v/>
      </c>
      <c r="N184">
        <f>IF(OR(B184="",C184=""),0,IFERROR(N(INDEX(Ingredients!$AG$6:$AG$105,MATCH(C184,Ingredients!$B$6:$B$105,0))),0))</f>
        <v/>
      </c>
      <c r="O184">
        <f>IF(OR(B184="",C184=""),0,IFERROR(N(INDEX(Ingredients!$AH$6:$AH$105,MATCH(C184,Ingredients!$B$6:$B$105,0))),0))</f>
        <v/>
      </c>
      <c r="P184">
        <f>IF(OR(B184="",C184=""),0,IFERROR(N(INDEX(Ingredients!$AI$6:$AI$105,MATCH(C184,Ingredients!$B$6:$B$105,0))),0))</f>
        <v/>
      </c>
      <c r="Q184">
        <f>IF(OR(B184="",C184=""),0,IFERROR(N(INDEX(Ingredients!$AJ$6:$AJ$105,MATCH(C184,Ingredients!$B$6:$B$105,0))),0))</f>
        <v/>
      </c>
      <c r="R184">
        <f>IF(OR(B184="",C184=""),0,IFERROR(N(INDEX(Ingredients!$AK$6:$AK$105,MATCH(C184,Ingredients!$B$6:$B$105,0))),0))</f>
        <v/>
      </c>
      <c r="S184">
        <f>IF(OR(B184="",C184=""),0,IFERROR(N(INDEX(Ingredients!$AL$6:$AL$105,MATCH(C184,Ingredients!$B$6:$B$105,0))),0))</f>
        <v/>
      </c>
      <c r="T184">
        <f>IF(OR(B184="",C184=""),0,IFERROR(N(INDEX(Ingredients!$AM$6:$AM$105,MATCH(C184,Ingredients!$B$6:$B$105,0))),0))</f>
        <v/>
      </c>
      <c r="U184">
        <f>IF(OR(B184="",C184=""),0,IFERROR(N(INDEX(Ingredients!$AN$6:$AN$105,MATCH(C184,Ingredients!$B$6:$B$105,0))),0))</f>
        <v/>
      </c>
      <c r="V184">
        <f>IF(OR(B184="",C184=""),0,IFERROR(N(INDEX(Ingredients!$AO$6:$AO$105,MATCH(C184,Ingredients!$B$6:$B$105,0))),0))</f>
        <v/>
      </c>
      <c r="W184">
        <f>IF(OR(B184="",C184=""),0,IFERROR(N(INDEX(Ingredients!$AP$6:$AP$105,MATCH(C184,Ingredients!$B$6:$B$105,0))),0))</f>
        <v/>
      </c>
      <c r="X184">
        <f>IF(OR(B184="",C184=""),0,IFERROR(N(INDEX(Ingredients!$AQ$6:$AQ$105,MATCH(C184,Ingredients!$B$6:$B$105,0))),0))</f>
        <v/>
      </c>
    </row>
    <row r="185">
      <c r="A185" s="1" t="n"/>
      <c r="B185" s="21" t="n"/>
      <c r="C185" s="39" t="n"/>
      <c r="D185" s="40" t="n"/>
      <c r="E185" s="12">
        <f>IF(C185="","",IF(ISNA(MATCH(C185,Ingredients!$B$6:$B$105,0)),"Not on Ingredients",IFERROR(IF(INDEX(Ingredients!$C$6:$C$105,MATCH(C185,Ingredients!$B$6:$B$105,0))="","",INDEX(Ingredients!$C$6:$C$105,MATCH(C185,Ingredients!$B$6:$B$105,0))),"")))</f>
        <v/>
      </c>
      <c r="F185" s="26">
        <f>IF(OR(B185="",C185=""),"",N(D185)*IFERROR(N(INDEX(Ingredients!$H$6:$H$105,MATCH(C185,Ingredients!$B$6:$B$105,0))),0))</f>
        <v/>
      </c>
      <c r="G185" s="1">
        <f>IF(OR(B185="",C185=""),0,IFERROR(N(INDEX(Products!$D$6:$D$45,MATCH(B185,Products!$B$6:$B$45,0))),0))</f>
        <v/>
      </c>
      <c r="H185">
        <f>IF(N(G185)=0,0,N(D185)*SUMIFS(Batches!$D$6:$D$505,Batches!$C$6:$C$505,B185)/G185)</f>
        <v/>
      </c>
      <c r="I185">
        <f>IF(OR(B185="",C185=""),"",IF(B185&lt;&gt;Label!$H$3,"",IF(IFERROR(N(INDEX(Ingredients!$AS$6:$AS$105,MATCH(C185,Ingredients!$B$6:$B$105,0))),0)=1,"",ROUND(N(D185)*1000,0)*100000+100000-ROW())))</f>
        <v/>
      </c>
      <c r="J185">
        <f>IF(OR(B185="",C185=""),0,IFERROR(N(INDEX(Ingredients!$AC$6:$AC$105,MATCH(C185,Ingredients!$B$6:$B$105,0))),0))</f>
        <v/>
      </c>
      <c r="K185">
        <f>IF(OR(B185="",C185=""),0,IFERROR(N(INDEX(Ingredients!$AD$6:$AD$105,MATCH(C185,Ingredients!$B$6:$B$105,0))),0))</f>
        <v/>
      </c>
      <c r="L185">
        <f>IF(OR(B185="",C185=""),0,IFERROR(N(INDEX(Ingredients!$AE$6:$AE$105,MATCH(C185,Ingredients!$B$6:$B$105,0))),0))</f>
        <v/>
      </c>
      <c r="M185">
        <f>IF(OR(B185="",C185=""),0,IFERROR(N(INDEX(Ingredients!$AF$6:$AF$105,MATCH(C185,Ingredients!$B$6:$B$105,0))),0))</f>
        <v/>
      </c>
      <c r="N185">
        <f>IF(OR(B185="",C185=""),0,IFERROR(N(INDEX(Ingredients!$AG$6:$AG$105,MATCH(C185,Ingredients!$B$6:$B$105,0))),0))</f>
        <v/>
      </c>
      <c r="O185">
        <f>IF(OR(B185="",C185=""),0,IFERROR(N(INDEX(Ingredients!$AH$6:$AH$105,MATCH(C185,Ingredients!$B$6:$B$105,0))),0))</f>
        <v/>
      </c>
      <c r="P185">
        <f>IF(OR(B185="",C185=""),0,IFERROR(N(INDEX(Ingredients!$AI$6:$AI$105,MATCH(C185,Ingredients!$B$6:$B$105,0))),0))</f>
        <v/>
      </c>
      <c r="Q185">
        <f>IF(OR(B185="",C185=""),0,IFERROR(N(INDEX(Ingredients!$AJ$6:$AJ$105,MATCH(C185,Ingredients!$B$6:$B$105,0))),0))</f>
        <v/>
      </c>
      <c r="R185">
        <f>IF(OR(B185="",C185=""),0,IFERROR(N(INDEX(Ingredients!$AK$6:$AK$105,MATCH(C185,Ingredients!$B$6:$B$105,0))),0))</f>
        <v/>
      </c>
      <c r="S185">
        <f>IF(OR(B185="",C185=""),0,IFERROR(N(INDEX(Ingredients!$AL$6:$AL$105,MATCH(C185,Ingredients!$B$6:$B$105,0))),0))</f>
        <v/>
      </c>
      <c r="T185">
        <f>IF(OR(B185="",C185=""),0,IFERROR(N(INDEX(Ingredients!$AM$6:$AM$105,MATCH(C185,Ingredients!$B$6:$B$105,0))),0))</f>
        <v/>
      </c>
      <c r="U185">
        <f>IF(OR(B185="",C185=""),0,IFERROR(N(INDEX(Ingredients!$AN$6:$AN$105,MATCH(C185,Ingredients!$B$6:$B$105,0))),0))</f>
        <v/>
      </c>
      <c r="V185">
        <f>IF(OR(B185="",C185=""),0,IFERROR(N(INDEX(Ingredients!$AO$6:$AO$105,MATCH(C185,Ingredients!$B$6:$B$105,0))),0))</f>
        <v/>
      </c>
      <c r="W185">
        <f>IF(OR(B185="",C185=""),0,IFERROR(N(INDEX(Ingredients!$AP$6:$AP$105,MATCH(C185,Ingredients!$B$6:$B$105,0))),0))</f>
        <v/>
      </c>
      <c r="X185">
        <f>IF(OR(B185="",C185=""),0,IFERROR(N(INDEX(Ingredients!$AQ$6:$AQ$105,MATCH(C185,Ingredients!$B$6:$B$105,0))),0))</f>
        <v/>
      </c>
    </row>
    <row r="186">
      <c r="A186" s="1" t="n"/>
      <c r="B186" s="21" t="n"/>
      <c r="C186" s="39" t="n"/>
      <c r="D186" s="40" t="n"/>
      <c r="E186" s="12">
        <f>IF(C186="","",IF(ISNA(MATCH(C186,Ingredients!$B$6:$B$105,0)),"Not on Ingredients",IFERROR(IF(INDEX(Ingredients!$C$6:$C$105,MATCH(C186,Ingredients!$B$6:$B$105,0))="","",INDEX(Ingredients!$C$6:$C$105,MATCH(C186,Ingredients!$B$6:$B$105,0))),"")))</f>
        <v/>
      </c>
      <c r="F186" s="26">
        <f>IF(OR(B186="",C186=""),"",N(D186)*IFERROR(N(INDEX(Ingredients!$H$6:$H$105,MATCH(C186,Ingredients!$B$6:$B$105,0))),0))</f>
        <v/>
      </c>
      <c r="G186" s="1">
        <f>IF(OR(B186="",C186=""),0,IFERROR(N(INDEX(Products!$D$6:$D$45,MATCH(B186,Products!$B$6:$B$45,0))),0))</f>
        <v/>
      </c>
      <c r="H186">
        <f>IF(N(G186)=0,0,N(D186)*SUMIFS(Batches!$D$6:$D$505,Batches!$C$6:$C$505,B186)/G186)</f>
        <v/>
      </c>
      <c r="I186">
        <f>IF(OR(B186="",C186=""),"",IF(B186&lt;&gt;Label!$H$3,"",IF(IFERROR(N(INDEX(Ingredients!$AS$6:$AS$105,MATCH(C186,Ingredients!$B$6:$B$105,0))),0)=1,"",ROUND(N(D186)*1000,0)*100000+100000-ROW())))</f>
        <v/>
      </c>
      <c r="J186">
        <f>IF(OR(B186="",C186=""),0,IFERROR(N(INDEX(Ingredients!$AC$6:$AC$105,MATCH(C186,Ingredients!$B$6:$B$105,0))),0))</f>
        <v/>
      </c>
      <c r="K186">
        <f>IF(OR(B186="",C186=""),0,IFERROR(N(INDEX(Ingredients!$AD$6:$AD$105,MATCH(C186,Ingredients!$B$6:$B$105,0))),0))</f>
        <v/>
      </c>
      <c r="L186">
        <f>IF(OR(B186="",C186=""),0,IFERROR(N(INDEX(Ingredients!$AE$6:$AE$105,MATCH(C186,Ingredients!$B$6:$B$105,0))),0))</f>
        <v/>
      </c>
      <c r="M186">
        <f>IF(OR(B186="",C186=""),0,IFERROR(N(INDEX(Ingredients!$AF$6:$AF$105,MATCH(C186,Ingredients!$B$6:$B$105,0))),0))</f>
        <v/>
      </c>
      <c r="N186">
        <f>IF(OR(B186="",C186=""),0,IFERROR(N(INDEX(Ingredients!$AG$6:$AG$105,MATCH(C186,Ingredients!$B$6:$B$105,0))),0))</f>
        <v/>
      </c>
      <c r="O186">
        <f>IF(OR(B186="",C186=""),0,IFERROR(N(INDEX(Ingredients!$AH$6:$AH$105,MATCH(C186,Ingredients!$B$6:$B$105,0))),0))</f>
        <v/>
      </c>
      <c r="P186">
        <f>IF(OR(B186="",C186=""),0,IFERROR(N(INDEX(Ingredients!$AI$6:$AI$105,MATCH(C186,Ingredients!$B$6:$B$105,0))),0))</f>
        <v/>
      </c>
      <c r="Q186">
        <f>IF(OR(B186="",C186=""),0,IFERROR(N(INDEX(Ingredients!$AJ$6:$AJ$105,MATCH(C186,Ingredients!$B$6:$B$105,0))),0))</f>
        <v/>
      </c>
      <c r="R186">
        <f>IF(OR(B186="",C186=""),0,IFERROR(N(INDEX(Ingredients!$AK$6:$AK$105,MATCH(C186,Ingredients!$B$6:$B$105,0))),0))</f>
        <v/>
      </c>
      <c r="S186">
        <f>IF(OR(B186="",C186=""),0,IFERROR(N(INDEX(Ingredients!$AL$6:$AL$105,MATCH(C186,Ingredients!$B$6:$B$105,0))),0))</f>
        <v/>
      </c>
      <c r="T186">
        <f>IF(OR(B186="",C186=""),0,IFERROR(N(INDEX(Ingredients!$AM$6:$AM$105,MATCH(C186,Ingredients!$B$6:$B$105,0))),0))</f>
        <v/>
      </c>
      <c r="U186">
        <f>IF(OR(B186="",C186=""),0,IFERROR(N(INDEX(Ingredients!$AN$6:$AN$105,MATCH(C186,Ingredients!$B$6:$B$105,0))),0))</f>
        <v/>
      </c>
      <c r="V186">
        <f>IF(OR(B186="",C186=""),0,IFERROR(N(INDEX(Ingredients!$AO$6:$AO$105,MATCH(C186,Ingredients!$B$6:$B$105,0))),0))</f>
        <v/>
      </c>
      <c r="W186">
        <f>IF(OR(B186="",C186=""),0,IFERROR(N(INDEX(Ingredients!$AP$6:$AP$105,MATCH(C186,Ingredients!$B$6:$B$105,0))),0))</f>
        <v/>
      </c>
      <c r="X186">
        <f>IF(OR(B186="",C186=""),0,IFERROR(N(INDEX(Ingredients!$AQ$6:$AQ$105,MATCH(C186,Ingredients!$B$6:$B$105,0))),0))</f>
        <v/>
      </c>
    </row>
    <row r="187">
      <c r="A187" s="1" t="n"/>
      <c r="B187" s="21" t="n"/>
      <c r="C187" s="39" t="n"/>
      <c r="D187" s="40" t="n"/>
      <c r="E187" s="12">
        <f>IF(C187="","",IF(ISNA(MATCH(C187,Ingredients!$B$6:$B$105,0)),"Not on Ingredients",IFERROR(IF(INDEX(Ingredients!$C$6:$C$105,MATCH(C187,Ingredients!$B$6:$B$105,0))="","",INDEX(Ingredients!$C$6:$C$105,MATCH(C187,Ingredients!$B$6:$B$105,0))),"")))</f>
        <v/>
      </c>
      <c r="F187" s="26">
        <f>IF(OR(B187="",C187=""),"",N(D187)*IFERROR(N(INDEX(Ingredients!$H$6:$H$105,MATCH(C187,Ingredients!$B$6:$B$105,0))),0))</f>
        <v/>
      </c>
      <c r="G187" s="1">
        <f>IF(OR(B187="",C187=""),0,IFERROR(N(INDEX(Products!$D$6:$D$45,MATCH(B187,Products!$B$6:$B$45,0))),0))</f>
        <v/>
      </c>
      <c r="H187">
        <f>IF(N(G187)=0,0,N(D187)*SUMIFS(Batches!$D$6:$D$505,Batches!$C$6:$C$505,B187)/G187)</f>
        <v/>
      </c>
      <c r="I187">
        <f>IF(OR(B187="",C187=""),"",IF(B187&lt;&gt;Label!$H$3,"",IF(IFERROR(N(INDEX(Ingredients!$AS$6:$AS$105,MATCH(C187,Ingredients!$B$6:$B$105,0))),0)=1,"",ROUND(N(D187)*1000,0)*100000+100000-ROW())))</f>
        <v/>
      </c>
      <c r="J187">
        <f>IF(OR(B187="",C187=""),0,IFERROR(N(INDEX(Ingredients!$AC$6:$AC$105,MATCH(C187,Ingredients!$B$6:$B$105,0))),0))</f>
        <v/>
      </c>
      <c r="K187">
        <f>IF(OR(B187="",C187=""),0,IFERROR(N(INDEX(Ingredients!$AD$6:$AD$105,MATCH(C187,Ingredients!$B$6:$B$105,0))),0))</f>
        <v/>
      </c>
      <c r="L187">
        <f>IF(OR(B187="",C187=""),0,IFERROR(N(INDEX(Ingredients!$AE$6:$AE$105,MATCH(C187,Ingredients!$B$6:$B$105,0))),0))</f>
        <v/>
      </c>
      <c r="M187">
        <f>IF(OR(B187="",C187=""),0,IFERROR(N(INDEX(Ingredients!$AF$6:$AF$105,MATCH(C187,Ingredients!$B$6:$B$105,0))),0))</f>
        <v/>
      </c>
      <c r="N187">
        <f>IF(OR(B187="",C187=""),0,IFERROR(N(INDEX(Ingredients!$AG$6:$AG$105,MATCH(C187,Ingredients!$B$6:$B$105,0))),0))</f>
        <v/>
      </c>
      <c r="O187">
        <f>IF(OR(B187="",C187=""),0,IFERROR(N(INDEX(Ingredients!$AH$6:$AH$105,MATCH(C187,Ingredients!$B$6:$B$105,0))),0))</f>
        <v/>
      </c>
      <c r="P187">
        <f>IF(OR(B187="",C187=""),0,IFERROR(N(INDEX(Ingredients!$AI$6:$AI$105,MATCH(C187,Ingredients!$B$6:$B$105,0))),0))</f>
        <v/>
      </c>
      <c r="Q187">
        <f>IF(OR(B187="",C187=""),0,IFERROR(N(INDEX(Ingredients!$AJ$6:$AJ$105,MATCH(C187,Ingredients!$B$6:$B$105,0))),0))</f>
        <v/>
      </c>
      <c r="R187">
        <f>IF(OR(B187="",C187=""),0,IFERROR(N(INDEX(Ingredients!$AK$6:$AK$105,MATCH(C187,Ingredients!$B$6:$B$105,0))),0))</f>
        <v/>
      </c>
      <c r="S187">
        <f>IF(OR(B187="",C187=""),0,IFERROR(N(INDEX(Ingredients!$AL$6:$AL$105,MATCH(C187,Ingredients!$B$6:$B$105,0))),0))</f>
        <v/>
      </c>
      <c r="T187">
        <f>IF(OR(B187="",C187=""),0,IFERROR(N(INDEX(Ingredients!$AM$6:$AM$105,MATCH(C187,Ingredients!$B$6:$B$105,0))),0))</f>
        <v/>
      </c>
      <c r="U187">
        <f>IF(OR(B187="",C187=""),0,IFERROR(N(INDEX(Ingredients!$AN$6:$AN$105,MATCH(C187,Ingredients!$B$6:$B$105,0))),0))</f>
        <v/>
      </c>
      <c r="V187">
        <f>IF(OR(B187="",C187=""),0,IFERROR(N(INDEX(Ingredients!$AO$6:$AO$105,MATCH(C187,Ingredients!$B$6:$B$105,0))),0))</f>
        <v/>
      </c>
      <c r="W187">
        <f>IF(OR(B187="",C187=""),0,IFERROR(N(INDEX(Ingredients!$AP$6:$AP$105,MATCH(C187,Ingredients!$B$6:$B$105,0))),0))</f>
        <v/>
      </c>
      <c r="X187">
        <f>IF(OR(B187="",C187=""),0,IFERROR(N(INDEX(Ingredients!$AQ$6:$AQ$105,MATCH(C187,Ingredients!$B$6:$B$105,0))),0))</f>
        <v/>
      </c>
    </row>
    <row r="188">
      <c r="A188" s="1" t="n"/>
      <c r="B188" s="21" t="n"/>
      <c r="C188" s="39" t="n"/>
      <c r="D188" s="40" t="n"/>
      <c r="E188" s="12">
        <f>IF(C188="","",IF(ISNA(MATCH(C188,Ingredients!$B$6:$B$105,0)),"Not on Ingredients",IFERROR(IF(INDEX(Ingredients!$C$6:$C$105,MATCH(C188,Ingredients!$B$6:$B$105,0))="","",INDEX(Ingredients!$C$6:$C$105,MATCH(C188,Ingredients!$B$6:$B$105,0))),"")))</f>
        <v/>
      </c>
      <c r="F188" s="26">
        <f>IF(OR(B188="",C188=""),"",N(D188)*IFERROR(N(INDEX(Ingredients!$H$6:$H$105,MATCH(C188,Ingredients!$B$6:$B$105,0))),0))</f>
        <v/>
      </c>
      <c r="G188" s="1">
        <f>IF(OR(B188="",C188=""),0,IFERROR(N(INDEX(Products!$D$6:$D$45,MATCH(B188,Products!$B$6:$B$45,0))),0))</f>
        <v/>
      </c>
      <c r="H188">
        <f>IF(N(G188)=0,0,N(D188)*SUMIFS(Batches!$D$6:$D$505,Batches!$C$6:$C$505,B188)/G188)</f>
        <v/>
      </c>
      <c r="I188">
        <f>IF(OR(B188="",C188=""),"",IF(B188&lt;&gt;Label!$H$3,"",IF(IFERROR(N(INDEX(Ingredients!$AS$6:$AS$105,MATCH(C188,Ingredients!$B$6:$B$105,0))),0)=1,"",ROUND(N(D188)*1000,0)*100000+100000-ROW())))</f>
        <v/>
      </c>
      <c r="J188">
        <f>IF(OR(B188="",C188=""),0,IFERROR(N(INDEX(Ingredients!$AC$6:$AC$105,MATCH(C188,Ingredients!$B$6:$B$105,0))),0))</f>
        <v/>
      </c>
      <c r="K188">
        <f>IF(OR(B188="",C188=""),0,IFERROR(N(INDEX(Ingredients!$AD$6:$AD$105,MATCH(C188,Ingredients!$B$6:$B$105,0))),0))</f>
        <v/>
      </c>
      <c r="L188">
        <f>IF(OR(B188="",C188=""),0,IFERROR(N(INDEX(Ingredients!$AE$6:$AE$105,MATCH(C188,Ingredients!$B$6:$B$105,0))),0))</f>
        <v/>
      </c>
      <c r="M188">
        <f>IF(OR(B188="",C188=""),0,IFERROR(N(INDEX(Ingredients!$AF$6:$AF$105,MATCH(C188,Ingredients!$B$6:$B$105,0))),0))</f>
        <v/>
      </c>
      <c r="N188">
        <f>IF(OR(B188="",C188=""),0,IFERROR(N(INDEX(Ingredients!$AG$6:$AG$105,MATCH(C188,Ingredients!$B$6:$B$105,0))),0))</f>
        <v/>
      </c>
      <c r="O188">
        <f>IF(OR(B188="",C188=""),0,IFERROR(N(INDEX(Ingredients!$AH$6:$AH$105,MATCH(C188,Ingredients!$B$6:$B$105,0))),0))</f>
        <v/>
      </c>
      <c r="P188">
        <f>IF(OR(B188="",C188=""),0,IFERROR(N(INDEX(Ingredients!$AI$6:$AI$105,MATCH(C188,Ingredients!$B$6:$B$105,0))),0))</f>
        <v/>
      </c>
      <c r="Q188">
        <f>IF(OR(B188="",C188=""),0,IFERROR(N(INDEX(Ingredients!$AJ$6:$AJ$105,MATCH(C188,Ingredients!$B$6:$B$105,0))),0))</f>
        <v/>
      </c>
      <c r="R188">
        <f>IF(OR(B188="",C188=""),0,IFERROR(N(INDEX(Ingredients!$AK$6:$AK$105,MATCH(C188,Ingredients!$B$6:$B$105,0))),0))</f>
        <v/>
      </c>
      <c r="S188">
        <f>IF(OR(B188="",C188=""),0,IFERROR(N(INDEX(Ingredients!$AL$6:$AL$105,MATCH(C188,Ingredients!$B$6:$B$105,0))),0))</f>
        <v/>
      </c>
      <c r="T188">
        <f>IF(OR(B188="",C188=""),0,IFERROR(N(INDEX(Ingredients!$AM$6:$AM$105,MATCH(C188,Ingredients!$B$6:$B$105,0))),0))</f>
        <v/>
      </c>
      <c r="U188">
        <f>IF(OR(B188="",C188=""),0,IFERROR(N(INDEX(Ingredients!$AN$6:$AN$105,MATCH(C188,Ingredients!$B$6:$B$105,0))),0))</f>
        <v/>
      </c>
      <c r="V188">
        <f>IF(OR(B188="",C188=""),0,IFERROR(N(INDEX(Ingredients!$AO$6:$AO$105,MATCH(C188,Ingredients!$B$6:$B$105,0))),0))</f>
        <v/>
      </c>
      <c r="W188">
        <f>IF(OR(B188="",C188=""),0,IFERROR(N(INDEX(Ingredients!$AP$6:$AP$105,MATCH(C188,Ingredients!$B$6:$B$105,0))),0))</f>
        <v/>
      </c>
      <c r="X188">
        <f>IF(OR(B188="",C188=""),0,IFERROR(N(INDEX(Ingredients!$AQ$6:$AQ$105,MATCH(C188,Ingredients!$B$6:$B$105,0))),0))</f>
        <v/>
      </c>
    </row>
    <row r="189">
      <c r="A189" s="1" t="n"/>
      <c r="B189" s="21" t="n"/>
      <c r="C189" s="39" t="n"/>
      <c r="D189" s="40" t="n"/>
      <c r="E189" s="12">
        <f>IF(C189="","",IF(ISNA(MATCH(C189,Ingredients!$B$6:$B$105,0)),"Not on Ingredients",IFERROR(IF(INDEX(Ingredients!$C$6:$C$105,MATCH(C189,Ingredients!$B$6:$B$105,0))="","",INDEX(Ingredients!$C$6:$C$105,MATCH(C189,Ingredients!$B$6:$B$105,0))),"")))</f>
        <v/>
      </c>
      <c r="F189" s="26">
        <f>IF(OR(B189="",C189=""),"",N(D189)*IFERROR(N(INDEX(Ingredients!$H$6:$H$105,MATCH(C189,Ingredients!$B$6:$B$105,0))),0))</f>
        <v/>
      </c>
      <c r="G189" s="1">
        <f>IF(OR(B189="",C189=""),0,IFERROR(N(INDEX(Products!$D$6:$D$45,MATCH(B189,Products!$B$6:$B$45,0))),0))</f>
        <v/>
      </c>
      <c r="H189">
        <f>IF(N(G189)=0,0,N(D189)*SUMIFS(Batches!$D$6:$D$505,Batches!$C$6:$C$505,B189)/G189)</f>
        <v/>
      </c>
      <c r="I189">
        <f>IF(OR(B189="",C189=""),"",IF(B189&lt;&gt;Label!$H$3,"",IF(IFERROR(N(INDEX(Ingredients!$AS$6:$AS$105,MATCH(C189,Ingredients!$B$6:$B$105,0))),0)=1,"",ROUND(N(D189)*1000,0)*100000+100000-ROW())))</f>
        <v/>
      </c>
      <c r="J189">
        <f>IF(OR(B189="",C189=""),0,IFERROR(N(INDEX(Ingredients!$AC$6:$AC$105,MATCH(C189,Ingredients!$B$6:$B$105,0))),0))</f>
        <v/>
      </c>
      <c r="K189">
        <f>IF(OR(B189="",C189=""),0,IFERROR(N(INDEX(Ingredients!$AD$6:$AD$105,MATCH(C189,Ingredients!$B$6:$B$105,0))),0))</f>
        <v/>
      </c>
      <c r="L189">
        <f>IF(OR(B189="",C189=""),0,IFERROR(N(INDEX(Ingredients!$AE$6:$AE$105,MATCH(C189,Ingredients!$B$6:$B$105,0))),0))</f>
        <v/>
      </c>
      <c r="M189">
        <f>IF(OR(B189="",C189=""),0,IFERROR(N(INDEX(Ingredients!$AF$6:$AF$105,MATCH(C189,Ingredients!$B$6:$B$105,0))),0))</f>
        <v/>
      </c>
      <c r="N189">
        <f>IF(OR(B189="",C189=""),0,IFERROR(N(INDEX(Ingredients!$AG$6:$AG$105,MATCH(C189,Ingredients!$B$6:$B$105,0))),0))</f>
        <v/>
      </c>
      <c r="O189">
        <f>IF(OR(B189="",C189=""),0,IFERROR(N(INDEX(Ingredients!$AH$6:$AH$105,MATCH(C189,Ingredients!$B$6:$B$105,0))),0))</f>
        <v/>
      </c>
      <c r="P189">
        <f>IF(OR(B189="",C189=""),0,IFERROR(N(INDEX(Ingredients!$AI$6:$AI$105,MATCH(C189,Ingredients!$B$6:$B$105,0))),0))</f>
        <v/>
      </c>
      <c r="Q189">
        <f>IF(OR(B189="",C189=""),0,IFERROR(N(INDEX(Ingredients!$AJ$6:$AJ$105,MATCH(C189,Ingredients!$B$6:$B$105,0))),0))</f>
        <v/>
      </c>
      <c r="R189">
        <f>IF(OR(B189="",C189=""),0,IFERROR(N(INDEX(Ingredients!$AK$6:$AK$105,MATCH(C189,Ingredients!$B$6:$B$105,0))),0))</f>
        <v/>
      </c>
      <c r="S189">
        <f>IF(OR(B189="",C189=""),0,IFERROR(N(INDEX(Ingredients!$AL$6:$AL$105,MATCH(C189,Ingredients!$B$6:$B$105,0))),0))</f>
        <v/>
      </c>
      <c r="T189">
        <f>IF(OR(B189="",C189=""),0,IFERROR(N(INDEX(Ingredients!$AM$6:$AM$105,MATCH(C189,Ingredients!$B$6:$B$105,0))),0))</f>
        <v/>
      </c>
      <c r="U189">
        <f>IF(OR(B189="",C189=""),0,IFERROR(N(INDEX(Ingredients!$AN$6:$AN$105,MATCH(C189,Ingredients!$B$6:$B$105,0))),0))</f>
        <v/>
      </c>
      <c r="V189">
        <f>IF(OR(B189="",C189=""),0,IFERROR(N(INDEX(Ingredients!$AO$6:$AO$105,MATCH(C189,Ingredients!$B$6:$B$105,0))),0))</f>
        <v/>
      </c>
      <c r="W189">
        <f>IF(OR(B189="",C189=""),0,IFERROR(N(INDEX(Ingredients!$AP$6:$AP$105,MATCH(C189,Ingredients!$B$6:$B$105,0))),0))</f>
        <v/>
      </c>
      <c r="X189">
        <f>IF(OR(B189="",C189=""),0,IFERROR(N(INDEX(Ingredients!$AQ$6:$AQ$105,MATCH(C189,Ingredients!$B$6:$B$105,0))),0))</f>
        <v/>
      </c>
    </row>
    <row r="190">
      <c r="A190" s="1" t="n"/>
      <c r="B190" s="21" t="n"/>
      <c r="C190" s="39" t="n"/>
      <c r="D190" s="40" t="n"/>
      <c r="E190" s="12">
        <f>IF(C190="","",IF(ISNA(MATCH(C190,Ingredients!$B$6:$B$105,0)),"Not on Ingredients",IFERROR(IF(INDEX(Ingredients!$C$6:$C$105,MATCH(C190,Ingredients!$B$6:$B$105,0))="","",INDEX(Ingredients!$C$6:$C$105,MATCH(C190,Ingredients!$B$6:$B$105,0))),"")))</f>
        <v/>
      </c>
      <c r="F190" s="26">
        <f>IF(OR(B190="",C190=""),"",N(D190)*IFERROR(N(INDEX(Ingredients!$H$6:$H$105,MATCH(C190,Ingredients!$B$6:$B$105,0))),0))</f>
        <v/>
      </c>
      <c r="G190" s="1">
        <f>IF(OR(B190="",C190=""),0,IFERROR(N(INDEX(Products!$D$6:$D$45,MATCH(B190,Products!$B$6:$B$45,0))),0))</f>
        <v/>
      </c>
      <c r="H190">
        <f>IF(N(G190)=0,0,N(D190)*SUMIFS(Batches!$D$6:$D$505,Batches!$C$6:$C$505,B190)/G190)</f>
        <v/>
      </c>
      <c r="I190">
        <f>IF(OR(B190="",C190=""),"",IF(B190&lt;&gt;Label!$H$3,"",IF(IFERROR(N(INDEX(Ingredients!$AS$6:$AS$105,MATCH(C190,Ingredients!$B$6:$B$105,0))),0)=1,"",ROUND(N(D190)*1000,0)*100000+100000-ROW())))</f>
        <v/>
      </c>
      <c r="J190">
        <f>IF(OR(B190="",C190=""),0,IFERROR(N(INDEX(Ingredients!$AC$6:$AC$105,MATCH(C190,Ingredients!$B$6:$B$105,0))),0))</f>
        <v/>
      </c>
      <c r="K190">
        <f>IF(OR(B190="",C190=""),0,IFERROR(N(INDEX(Ingredients!$AD$6:$AD$105,MATCH(C190,Ingredients!$B$6:$B$105,0))),0))</f>
        <v/>
      </c>
      <c r="L190">
        <f>IF(OR(B190="",C190=""),0,IFERROR(N(INDEX(Ingredients!$AE$6:$AE$105,MATCH(C190,Ingredients!$B$6:$B$105,0))),0))</f>
        <v/>
      </c>
      <c r="M190">
        <f>IF(OR(B190="",C190=""),0,IFERROR(N(INDEX(Ingredients!$AF$6:$AF$105,MATCH(C190,Ingredients!$B$6:$B$105,0))),0))</f>
        <v/>
      </c>
      <c r="N190">
        <f>IF(OR(B190="",C190=""),0,IFERROR(N(INDEX(Ingredients!$AG$6:$AG$105,MATCH(C190,Ingredients!$B$6:$B$105,0))),0))</f>
        <v/>
      </c>
      <c r="O190">
        <f>IF(OR(B190="",C190=""),0,IFERROR(N(INDEX(Ingredients!$AH$6:$AH$105,MATCH(C190,Ingredients!$B$6:$B$105,0))),0))</f>
        <v/>
      </c>
      <c r="P190">
        <f>IF(OR(B190="",C190=""),0,IFERROR(N(INDEX(Ingredients!$AI$6:$AI$105,MATCH(C190,Ingredients!$B$6:$B$105,0))),0))</f>
        <v/>
      </c>
      <c r="Q190">
        <f>IF(OR(B190="",C190=""),0,IFERROR(N(INDEX(Ingredients!$AJ$6:$AJ$105,MATCH(C190,Ingredients!$B$6:$B$105,0))),0))</f>
        <v/>
      </c>
      <c r="R190">
        <f>IF(OR(B190="",C190=""),0,IFERROR(N(INDEX(Ingredients!$AK$6:$AK$105,MATCH(C190,Ingredients!$B$6:$B$105,0))),0))</f>
        <v/>
      </c>
      <c r="S190">
        <f>IF(OR(B190="",C190=""),0,IFERROR(N(INDEX(Ingredients!$AL$6:$AL$105,MATCH(C190,Ingredients!$B$6:$B$105,0))),0))</f>
        <v/>
      </c>
      <c r="T190">
        <f>IF(OR(B190="",C190=""),0,IFERROR(N(INDEX(Ingredients!$AM$6:$AM$105,MATCH(C190,Ingredients!$B$6:$B$105,0))),0))</f>
        <v/>
      </c>
      <c r="U190">
        <f>IF(OR(B190="",C190=""),0,IFERROR(N(INDEX(Ingredients!$AN$6:$AN$105,MATCH(C190,Ingredients!$B$6:$B$105,0))),0))</f>
        <v/>
      </c>
      <c r="V190">
        <f>IF(OR(B190="",C190=""),0,IFERROR(N(INDEX(Ingredients!$AO$6:$AO$105,MATCH(C190,Ingredients!$B$6:$B$105,0))),0))</f>
        <v/>
      </c>
      <c r="W190">
        <f>IF(OR(B190="",C190=""),0,IFERROR(N(INDEX(Ingredients!$AP$6:$AP$105,MATCH(C190,Ingredients!$B$6:$B$105,0))),0))</f>
        <v/>
      </c>
      <c r="X190">
        <f>IF(OR(B190="",C190=""),0,IFERROR(N(INDEX(Ingredients!$AQ$6:$AQ$105,MATCH(C190,Ingredients!$B$6:$B$105,0))),0))</f>
        <v/>
      </c>
    </row>
    <row r="191">
      <c r="A191" s="1" t="n"/>
      <c r="B191" s="21" t="n"/>
      <c r="C191" s="39" t="n"/>
      <c r="D191" s="40" t="n"/>
      <c r="E191" s="12">
        <f>IF(C191="","",IF(ISNA(MATCH(C191,Ingredients!$B$6:$B$105,0)),"Not on Ingredients",IFERROR(IF(INDEX(Ingredients!$C$6:$C$105,MATCH(C191,Ingredients!$B$6:$B$105,0))="","",INDEX(Ingredients!$C$6:$C$105,MATCH(C191,Ingredients!$B$6:$B$105,0))),"")))</f>
        <v/>
      </c>
      <c r="F191" s="26">
        <f>IF(OR(B191="",C191=""),"",N(D191)*IFERROR(N(INDEX(Ingredients!$H$6:$H$105,MATCH(C191,Ingredients!$B$6:$B$105,0))),0))</f>
        <v/>
      </c>
      <c r="G191" s="1">
        <f>IF(OR(B191="",C191=""),0,IFERROR(N(INDEX(Products!$D$6:$D$45,MATCH(B191,Products!$B$6:$B$45,0))),0))</f>
        <v/>
      </c>
      <c r="H191">
        <f>IF(N(G191)=0,0,N(D191)*SUMIFS(Batches!$D$6:$D$505,Batches!$C$6:$C$505,B191)/G191)</f>
        <v/>
      </c>
      <c r="I191">
        <f>IF(OR(B191="",C191=""),"",IF(B191&lt;&gt;Label!$H$3,"",IF(IFERROR(N(INDEX(Ingredients!$AS$6:$AS$105,MATCH(C191,Ingredients!$B$6:$B$105,0))),0)=1,"",ROUND(N(D191)*1000,0)*100000+100000-ROW())))</f>
        <v/>
      </c>
      <c r="J191">
        <f>IF(OR(B191="",C191=""),0,IFERROR(N(INDEX(Ingredients!$AC$6:$AC$105,MATCH(C191,Ingredients!$B$6:$B$105,0))),0))</f>
        <v/>
      </c>
      <c r="K191">
        <f>IF(OR(B191="",C191=""),0,IFERROR(N(INDEX(Ingredients!$AD$6:$AD$105,MATCH(C191,Ingredients!$B$6:$B$105,0))),0))</f>
        <v/>
      </c>
      <c r="L191">
        <f>IF(OR(B191="",C191=""),0,IFERROR(N(INDEX(Ingredients!$AE$6:$AE$105,MATCH(C191,Ingredients!$B$6:$B$105,0))),0))</f>
        <v/>
      </c>
      <c r="M191">
        <f>IF(OR(B191="",C191=""),0,IFERROR(N(INDEX(Ingredients!$AF$6:$AF$105,MATCH(C191,Ingredients!$B$6:$B$105,0))),0))</f>
        <v/>
      </c>
      <c r="N191">
        <f>IF(OR(B191="",C191=""),0,IFERROR(N(INDEX(Ingredients!$AG$6:$AG$105,MATCH(C191,Ingredients!$B$6:$B$105,0))),0))</f>
        <v/>
      </c>
      <c r="O191">
        <f>IF(OR(B191="",C191=""),0,IFERROR(N(INDEX(Ingredients!$AH$6:$AH$105,MATCH(C191,Ingredients!$B$6:$B$105,0))),0))</f>
        <v/>
      </c>
      <c r="P191">
        <f>IF(OR(B191="",C191=""),0,IFERROR(N(INDEX(Ingredients!$AI$6:$AI$105,MATCH(C191,Ingredients!$B$6:$B$105,0))),0))</f>
        <v/>
      </c>
      <c r="Q191">
        <f>IF(OR(B191="",C191=""),0,IFERROR(N(INDEX(Ingredients!$AJ$6:$AJ$105,MATCH(C191,Ingredients!$B$6:$B$105,0))),0))</f>
        <v/>
      </c>
      <c r="R191">
        <f>IF(OR(B191="",C191=""),0,IFERROR(N(INDEX(Ingredients!$AK$6:$AK$105,MATCH(C191,Ingredients!$B$6:$B$105,0))),0))</f>
        <v/>
      </c>
      <c r="S191">
        <f>IF(OR(B191="",C191=""),0,IFERROR(N(INDEX(Ingredients!$AL$6:$AL$105,MATCH(C191,Ingredients!$B$6:$B$105,0))),0))</f>
        <v/>
      </c>
      <c r="T191">
        <f>IF(OR(B191="",C191=""),0,IFERROR(N(INDEX(Ingredients!$AM$6:$AM$105,MATCH(C191,Ingredients!$B$6:$B$105,0))),0))</f>
        <v/>
      </c>
      <c r="U191">
        <f>IF(OR(B191="",C191=""),0,IFERROR(N(INDEX(Ingredients!$AN$6:$AN$105,MATCH(C191,Ingredients!$B$6:$B$105,0))),0))</f>
        <v/>
      </c>
      <c r="V191">
        <f>IF(OR(B191="",C191=""),0,IFERROR(N(INDEX(Ingredients!$AO$6:$AO$105,MATCH(C191,Ingredients!$B$6:$B$105,0))),0))</f>
        <v/>
      </c>
      <c r="W191">
        <f>IF(OR(B191="",C191=""),0,IFERROR(N(INDEX(Ingredients!$AP$6:$AP$105,MATCH(C191,Ingredients!$B$6:$B$105,0))),0))</f>
        <v/>
      </c>
      <c r="X191">
        <f>IF(OR(B191="",C191=""),0,IFERROR(N(INDEX(Ingredients!$AQ$6:$AQ$105,MATCH(C191,Ingredients!$B$6:$B$105,0))),0))</f>
        <v/>
      </c>
    </row>
    <row r="192">
      <c r="A192" s="1" t="n"/>
      <c r="B192" s="21" t="n"/>
      <c r="C192" s="39" t="n"/>
      <c r="D192" s="40" t="n"/>
      <c r="E192" s="12">
        <f>IF(C192="","",IF(ISNA(MATCH(C192,Ingredients!$B$6:$B$105,0)),"Not on Ingredients",IFERROR(IF(INDEX(Ingredients!$C$6:$C$105,MATCH(C192,Ingredients!$B$6:$B$105,0))="","",INDEX(Ingredients!$C$6:$C$105,MATCH(C192,Ingredients!$B$6:$B$105,0))),"")))</f>
        <v/>
      </c>
      <c r="F192" s="26">
        <f>IF(OR(B192="",C192=""),"",N(D192)*IFERROR(N(INDEX(Ingredients!$H$6:$H$105,MATCH(C192,Ingredients!$B$6:$B$105,0))),0))</f>
        <v/>
      </c>
      <c r="G192" s="1">
        <f>IF(OR(B192="",C192=""),0,IFERROR(N(INDEX(Products!$D$6:$D$45,MATCH(B192,Products!$B$6:$B$45,0))),0))</f>
        <v/>
      </c>
      <c r="H192">
        <f>IF(N(G192)=0,0,N(D192)*SUMIFS(Batches!$D$6:$D$505,Batches!$C$6:$C$505,B192)/G192)</f>
        <v/>
      </c>
      <c r="I192">
        <f>IF(OR(B192="",C192=""),"",IF(B192&lt;&gt;Label!$H$3,"",IF(IFERROR(N(INDEX(Ingredients!$AS$6:$AS$105,MATCH(C192,Ingredients!$B$6:$B$105,0))),0)=1,"",ROUND(N(D192)*1000,0)*100000+100000-ROW())))</f>
        <v/>
      </c>
      <c r="J192">
        <f>IF(OR(B192="",C192=""),0,IFERROR(N(INDEX(Ingredients!$AC$6:$AC$105,MATCH(C192,Ingredients!$B$6:$B$105,0))),0))</f>
        <v/>
      </c>
      <c r="K192">
        <f>IF(OR(B192="",C192=""),0,IFERROR(N(INDEX(Ingredients!$AD$6:$AD$105,MATCH(C192,Ingredients!$B$6:$B$105,0))),0))</f>
        <v/>
      </c>
      <c r="L192">
        <f>IF(OR(B192="",C192=""),0,IFERROR(N(INDEX(Ingredients!$AE$6:$AE$105,MATCH(C192,Ingredients!$B$6:$B$105,0))),0))</f>
        <v/>
      </c>
      <c r="M192">
        <f>IF(OR(B192="",C192=""),0,IFERROR(N(INDEX(Ingredients!$AF$6:$AF$105,MATCH(C192,Ingredients!$B$6:$B$105,0))),0))</f>
        <v/>
      </c>
      <c r="N192">
        <f>IF(OR(B192="",C192=""),0,IFERROR(N(INDEX(Ingredients!$AG$6:$AG$105,MATCH(C192,Ingredients!$B$6:$B$105,0))),0))</f>
        <v/>
      </c>
      <c r="O192">
        <f>IF(OR(B192="",C192=""),0,IFERROR(N(INDEX(Ingredients!$AH$6:$AH$105,MATCH(C192,Ingredients!$B$6:$B$105,0))),0))</f>
        <v/>
      </c>
      <c r="P192">
        <f>IF(OR(B192="",C192=""),0,IFERROR(N(INDEX(Ingredients!$AI$6:$AI$105,MATCH(C192,Ingredients!$B$6:$B$105,0))),0))</f>
        <v/>
      </c>
      <c r="Q192">
        <f>IF(OR(B192="",C192=""),0,IFERROR(N(INDEX(Ingredients!$AJ$6:$AJ$105,MATCH(C192,Ingredients!$B$6:$B$105,0))),0))</f>
        <v/>
      </c>
      <c r="R192">
        <f>IF(OR(B192="",C192=""),0,IFERROR(N(INDEX(Ingredients!$AK$6:$AK$105,MATCH(C192,Ingredients!$B$6:$B$105,0))),0))</f>
        <v/>
      </c>
      <c r="S192">
        <f>IF(OR(B192="",C192=""),0,IFERROR(N(INDEX(Ingredients!$AL$6:$AL$105,MATCH(C192,Ingredients!$B$6:$B$105,0))),0))</f>
        <v/>
      </c>
      <c r="T192">
        <f>IF(OR(B192="",C192=""),0,IFERROR(N(INDEX(Ingredients!$AM$6:$AM$105,MATCH(C192,Ingredients!$B$6:$B$105,0))),0))</f>
        <v/>
      </c>
      <c r="U192">
        <f>IF(OR(B192="",C192=""),0,IFERROR(N(INDEX(Ingredients!$AN$6:$AN$105,MATCH(C192,Ingredients!$B$6:$B$105,0))),0))</f>
        <v/>
      </c>
      <c r="V192">
        <f>IF(OR(B192="",C192=""),0,IFERROR(N(INDEX(Ingredients!$AO$6:$AO$105,MATCH(C192,Ingredients!$B$6:$B$105,0))),0))</f>
        <v/>
      </c>
      <c r="W192">
        <f>IF(OR(B192="",C192=""),0,IFERROR(N(INDEX(Ingredients!$AP$6:$AP$105,MATCH(C192,Ingredients!$B$6:$B$105,0))),0))</f>
        <v/>
      </c>
      <c r="X192">
        <f>IF(OR(B192="",C192=""),0,IFERROR(N(INDEX(Ingredients!$AQ$6:$AQ$105,MATCH(C192,Ingredients!$B$6:$B$105,0))),0))</f>
        <v/>
      </c>
    </row>
    <row r="193">
      <c r="A193" s="1" t="n"/>
      <c r="B193" s="21" t="n"/>
      <c r="C193" s="39" t="n"/>
      <c r="D193" s="40" t="n"/>
      <c r="E193" s="12">
        <f>IF(C193="","",IF(ISNA(MATCH(C193,Ingredients!$B$6:$B$105,0)),"Not on Ingredients",IFERROR(IF(INDEX(Ingredients!$C$6:$C$105,MATCH(C193,Ingredients!$B$6:$B$105,0))="","",INDEX(Ingredients!$C$6:$C$105,MATCH(C193,Ingredients!$B$6:$B$105,0))),"")))</f>
        <v/>
      </c>
      <c r="F193" s="26">
        <f>IF(OR(B193="",C193=""),"",N(D193)*IFERROR(N(INDEX(Ingredients!$H$6:$H$105,MATCH(C193,Ingredients!$B$6:$B$105,0))),0))</f>
        <v/>
      </c>
      <c r="G193" s="1">
        <f>IF(OR(B193="",C193=""),0,IFERROR(N(INDEX(Products!$D$6:$D$45,MATCH(B193,Products!$B$6:$B$45,0))),0))</f>
        <v/>
      </c>
      <c r="H193">
        <f>IF(N(G193)=0,0,N(D193)*SUMIFS(Batches!$D$6:$D$505,Batches!$C$6:$C$505,B193)/G193)</f>
        <v/>
      </c>
      <c r="I193">
        <f>IF(OR(B193="",C193=""),"",IF(B193&lt;&gt;Label!$H$3,"",IF(IFERROR(N(INDEX(Ingredients!$AS$6:$AS$105,MATCH(C193,Ingredients!$B$6:$B$105,0))),0)=1,"",ROUND(N(D193)*1000,0)*100000+100000-ROW())))</f>
        <v/>
      </c>
      <c r="J193">
        <f>IF(OR(B193="",C193=""),0,IFERROR(N(INDEX(Ingredients!$AC$6:$AC$105,MATCH(C193,Ingredients!$B$6:$B$105,0))),0))</f>
        <v/>
      </c>
      <c r="K193">
        <f>IF(OR(B193="",C193=""),0,IFERROR(N(INDEX(Ingredients!$AD$6:$AD$105,MATCH(C193,Ingredients!$B$6:$B$105,0))),0))</f>
        <v/>
      </c>
      <c r="L193">
        <f>IF(OR(B193="",C193=""),0,IFERROR(N(INDEX(Ingredients!$AE$6:$AE$105,MATCH(C193,Ingredients!$B$6:$B$105,0))),0))</f>
        <v/>
      </c>
      <c r="M193">
        <f>IF(OR(B193="",C193=""),0,IFERROR(N(INDEX(Ingredients!$AF$6:$AF$105,MATCH(C193,Ingredients!$B$6:$B$105,0))),0))</f>
        <v/>
      </c>
      <c r="N193">
        <f>IF(OR(B193="",C193=""),0,IFERROR(N(INDEX(Ingredients!$AG$6:$AG$105,MATCH(C193,Ingredients!$B$6:$B$105,0))),0))</f>
        <v/>
      </c>
      <c r="O193">
        <f>IF(OR(B193="",C193=""),0,IFERROR(N(INDEX(Ingredients!$AH$6:$AH$105,MATCH(C193,Ingredients!$B$6:$B$105,0))),0))</f>
        <v/>
      </c>
      <c r="P193">
        <f>IF(OR(B193="",C193=""),0,IFERROR(N(INDEX(Ingredients!$AI$6:$AI$105,MATCH(C193,Ingredients!$B$6:$B$105,0))),0))</f>
        <v/>
      </c>
      <c r="Q193">
        <f>IF(OR(B193="",C193=""),0,IFERROR(N(INDEX(Ingredients!$AJ$6:$AJ$105,MATCH(C193,Ingredients!$B$6:$B$105,0))),0))</f>
        <v/>
      </c>
      <c r="R193">
        <f>IF(OR(B193="",C193=""),0,IFERROR(N(INDEX(Ingredients!$AK$6:$AK$105,MATCH(C193,Ingredients!$B$6:$B$105,0))),0))</f>
        <v/>
      </c>
      <c r="S193">
        <f>IF(OR(B193="",C193=""),0,IFERROR(N(INDEX(Ingredients!$AL$6:$AL$105,MATCH(C193,Ingredients!$B$6:$B$105,0))),0))</f>
        <v/>
      </c>
      <c r="T193">
        <f>IF(OR(B193="",C193=""),0,IFERROR(N(INDEX(Ingredients!$AM$6:$AM$105,MATCH(C193,Ingredients!$B$6:$B$105,0))),0))</f>
        <v/>
      </c>
      <c r="U193">
        <f>IF(OR(B193="",C193=""),0,IFERROR(N(INDEX(Ingredients!$AN$6:$AN$105,MATCH(C193,Ingredients!$B$6:$B$105,0))),0))</f>
        <v/>
      </c>
      <c r="V193">
        <f>IF(OR(B193="",C193=""),0,IFERROR(N(INDEX(Ingredients!$AO$6:$AO$105,MATCH(C193,Ingredients!$B$6:$B$105,0))),0))</f>
        <v/>
      </c>
      <c r="W193">
        <f>IF(OR(B193="",C193=""),0,IFERROR(N(INDEX(Ingredients!$AP$6:$AP$105,MATCH(C193,Ingredients!$B$6:$B$105,0))),0))</f>
        <v/>
      </c>
      <c r="X193">
        <f>IF(OR(B193="",C193=""),0,IFERROR(N(INDEX(Ingredients!$AQ$6:$AQ$105,MATCH(C193,Ingredients!$B$6:$B$105,0))),0))</f>
        <v/>
      </c>
    </row>
    <row r="194">
      <c r="A194" s="1" t="n"/>
      <c r="B194" s="21" t="n"/>
      <c r="C194" s="39" t="n"/>
      <c r="D194" s="40" t="n"/>
      <c r="E194" s="12">
        <f>IF(C194="","",IF(ISNA(MATCH(C194,Ingredients!$B$6:$B$105,0)),"Not on Ingredients",IFERROR(IF(INDEX(Ingredients!$C$6:$C$105,MATCH(C194,Ingredients!$B$6:$B$105,0))="","",INDEX(Ingredients!$C$6:$C$105,MATCH(C194,Ingredients!$B$6:$B$105,0))),"")))</f>
        <v/>
      </c>
      <c r="F194" s="26">
        <f>IF(OR(B194="",C194=""),"",N(D194)*IFERROR(N(INDEX(Ingredients!$H$6:$H$105,MATCH(C194,Ingredients!$B$6:$B$105,0))),0))</f>
        <v/>
      </c>
      <c r="G194" s="1">
        <f>IF(OR(B194="",C194=""),0,IFERROR(N(INDEX(Products!$D$6:$D$45,MATCH(B194,Products!$B$6:$B$45,0))),0))</f>
        <v/>
      </c>
      <c r="H194">
        <f>IF(N(G194)=0,0,N(D194)*SUMIFS(Batches!$D$6:$D$505,Batches!$C$6:$C$505,B194)/G194)</f>
        <v/>
      </c>
      <c r="I194">
        <f>IF(OR(B194="",C194=""),"",IF(B194&lt;&gt;Label!$H$3,"",IF(IFERROR(N(INDEX(Ingredients!$AS$6:$AS$105,MATCH(C194,Ingredients!$B$6:$B$105,0))),0)=1,"",ROUND(N(D194)*1000,0)*100000+100000-ROW())))</f>
        <v/>
      </c>
      <c r="J194">
        <f>IF(OR(B194="",C194=""),0,IFERROR(N(INDEX(Ingredients!$AC$6:$AC$105,MATCH(C194,Ingredients!$B$6:$B$105,0))),0))</f>
        <v/>
      </c>
      <c r="K194">
        <f>IF(OR(B194="",C194=""),0,IFERROR(N(INDEX(Ingredients!$AD$6:$AD$105,MATCH(C194,Ingredients!$B$6:$B$105,0))),0))</f>
        <v/>
      </c>
      <c r="L194">
        <f>IF(OR(B194="",C194=""),0,IFERROR(N(INDEX(Ingredients!$AE$6:$AE$105,MATCH(C194,Ingredients!$B$6:$B$105,0))),0))</f>
        <v/>
      </c>
      <c r="M194">
        <f>IF(OR(B194="",C194=""),0,IFERROR(N(INDEX(Ingredients!$AF$6:$AF$105,MATCH(C194,Ingredients!$B$6:$B$105,0))),0))</f>
        <v/>
      </c>
      <c r="N194">
        <f>IF(OR(B194="",C194=""),0,IFERROR(N(INDEX(Ingredients!$AG$6:$AG$105,MATCH(C194,Ingredients!$B$6:$B$105,0))),0))</f>
        <v/>
      </c>
      <c r="O194">
        <f>IF(OR(B194="",C194=""),0,IFERROR(N(INDEX(Ingredients!$AH$6:$AH$105,MATCH(C194,Ingredients!$B$6:$B$105,0))),0))</f>
        <v/>
      </c>
      <c r="P194">
        <f>IF(OR(B194="",C194=""),0,IFERROR(N(INDEX(Ingredients!$AI$6:$AI$105,MATCH(C194,Ingredients!$B$6:$B$105,0))),0))</f>
        <v/>
      </c>
      <c r="Q194">
        <f>IF(OR(B194="",C194=""),0,IFERROR(N(INDEX(Ingredients!$AJ$6:$AJ$105,MATCH(C194,Ingredients!$B$6:$B$105,0))),0))</f>
        <v/>
      </c>
      <c r="R194">
        <f>IF(OR(B194="",C194=""),0,IFERROR(N(INDEX(Ingredients!$AK$6:$AK$105,MATCH(C194,Ingredients!$B$6:$B$105,0))),0))</f>
        <v/>
      </c>
      <c r="S194">
        <f>IF(OR(B194="",C194=""),0,IFERROR(N(INDEX(Ingredients!$AL$6:$AL$105,MATCH(C194,Ingredients!$B$6:$B$105,0))),0))</f>
        <v/>
      </c>
      <c r="T194">
        <f>IF(OR(B194="",C194=""),0,IFERROR(N(INDEX(Ingredients!$AM$6:$AM$105,MATCH(C194,Ingredients!$B$6:$B$105,0))),0))</f>
        <v/>
      </c>
      <c r="U194">
        <f>IF(OR(B194="",C194=""),0,IFERROR(N(INDEX(Ingredients!$AN$6:$AN$105,MATCH(C194,Ingredients!$B$6:$B$105,0))),0))</f>
        <v/>
      </c>
      <c r="V194">
        <f>IF(OR(B194="",C194=""),0,IFERROR(N(INDEX(Ingredients!$AO$6:$AO$105,MATCH(C194,Ingredients!$B$6:$B$105,0))),0))</f>
        <v/>
      </c>
      <c r="W194">
        <f>IF(OR(B194="",C194=""),0,IFERROR(N(INDEX(Ingredients!$AP$6:$AP$105,MATCH(C194,Ingredients!$B$6:$B$105,0))),0))</f>
        <v/>
      </c>
      <c r="X194">
        <f>IF(OR(B194="",C194=""),0,IFERROR(N(INDEX(Ingredients!$AQ$6:$AQ$105,MATCH(C194,Ingredients!$B$6:$B$105,0))),0))</f>
        <v/>
      </c>
    </row>
    <row r="195">
      <c r="A195" s="1" t="n"/>
      <c r="B195" s="21" t="n"/>
      <c r="C195" s="39" t="n"/>
      <c r="D195" s="40" t="n"/>
      <c r="E195" s="12">
        <f>IF(C195="","",IF(ISNA(MATCH(C195,Ingredients!$B$6:$B$105,0)),"Not on Ingredients",IFERROR(IF(INDEX(Ingredients!$C$6:$C$105,MATCH(C195,Ingredients!$B$6:$B$105,0))="","",INDEX(Ingredients!$C$6:$C$105,MATCH(C195,Ingredients!$B$6:$B$105,0))),"")))</f>
        <v/>
      </c>
      <c r="F195" s="26">
        <f>IF(OR(B195="",C195=""),"",N(D195)*IFERROR(N(INDEX(Ingredients!$H$6:$H$105,MATCH(C195,Ingredients!$B$6:$B$105,0))),0))</f>
        <v/>
      </c>
      <c r="G195" s="1">
        <f>IF(OR(B195="",C195=""),0,IFERROR(N(INDEX(Products!$D$6:$D$45,MATCH(B195,Products!$B$6:$B$45,0))),0))</f>
        <v/>
      </c>
      <c r="H195">
        <f>IF(N(G195)=0,0,N(D195)*SUMIFS(Batches!$D$6:$D$505,Batches!$C$6:$C$505,B195)/G195)</f>
        <v/>
      </c>
      <c r="I195">
        <f>IF(OR(B195="",C195=""),"",IF(B195&lt;&gt;Label!$H$3,"",IF(IFERROR(N(INDEX(Ingredients!$AS$6:$AS$105,MATCH(C195,Ingredients!$B$6:$B$105,0))),0)=1,"",ROUND(N(D195)*1000,0)*100000+100000-ROW())))</f>
        <v/>
      </c>
      <c r="J195">
        <f>IF(OR(B195="",C195=""),0,IFERROR(N(INDEX(Ingredients!$AC$6:$AC$105,MATCH(C195,Ingredients!$B$6:$B$105,0))),0))</f>
        <v/>
      </c>
      <c r="K195">
        <f>IF(OR(B195="",C195=""),0,IFERROR(N(INDEX(Ingredients!$AD$6:$AD$105,MATCH(C195,Ingredients!$B$6:$B$105,0))),0))</f>
        <v/>
      </c>
      <c r="L195">
        <f>IF(OR(B195="",C195=""),0,IFERROR(N(INDEX(Ingredients!$AE$6:$AE$105,MATCH(C195,Ingredients!$B$6:$B$105,0))),0))</f>
        <v/>
      </c>
      <c r="M195">
        <f>IF(OR(B195="",C195=""),0,IFERROR(N(INDEX(Ingredients!$AF$6:$AF$105,MATCH(C195,Ingredients!$B$6:$B$105,0))),0))</f>
        <v/>
      </c>
      <c r="N195">
        <f>IF(OR(B195="",C195=""),0,IFERROR(N(INDEX(Ingredients!$AG$6:$AG$105,MATCH(C195,Ingredients!$B$6:$B$105,0))),0))</f>
        <v/>
      </c>
      <c r="O195">
        <f>IF(OR(B195="",C195=""),0,IFERROR(N(INDEX(Ingredients!$AH$6:$AH$105,MATCH(C195,Ingredients!$B$6:$B$105,0))),0))</f>
        <v/>
      </c>
      <c r="P195">
        <f>IF(OR(B195="",C195=""),0,IFERROR(N(INDEX(Ingredients!$AI$6:$AI$105,MATCH(C195,Ingredients!$B$6:$B$105,0))),0))</f>
        <v/>
      </c>
      <c r="Q195">
        <f>IF(OR(B195="",C195=""),0,IFERROR(N(INDEX(Ingredients!$AJ$6:$AJ$105,MATCH(C195,Ingredients!$B$6:$B$105,0))),0))</f>
        <v/>
      </c>
      <c r="R195">
        <f>IF(OR(B195="",C195=""),0,IFERROR(N(INDEX(Ingredients!$AK$6:$AK$105,MATCH(C195,Ingredients!$B$6:$B$105,0))),0))</f>
        <v/>
      </c>
      <c r="S195">
        <f>IF(OR(B195="",C195=""),0,IFERROR(N(INDEX(Ingredients!$AL$6:$AL$105,MATCH(C195,Ingredients!$B$6:$B$105,0))),0))</f>
        <v/>
      </c>
      <c r="T195">
        <f>IF(OR(B195="",C195=""),0,IFERROR(N(INDEX(Ingredients!$AM$6:$AM$105,MATCH(C195,Ingredients!$B$6:$B$105,0))),0))</f>
        <v/>
      </c>
      <c r="U195">
        <f>IF(OR(B195="",C195=""),0,IFERROR(N(INDEX(Ingredients!$AN$6:$AN$105,MATCH(C195,Ingredients!$B$6:$B$105,0))),0))</f>
        <v/>
      </c>
      <c r="V195">
        <f>IF(OR(B195="",C195=""),0,IFERROR(N(INDEX(Ingredients!$AO$6:$AO$105,MATCH(C195,Ingredients!$B$6:$B$105,0))),0))</f>
        <v/>
      </c>
      <c r="W195">
        <f>IF(OR(B195="",C195=""),0,IFERROR(N(INDEX(Ingredients!$AP$6:$AP$105,MATCH(C195,Ingredients!$B$6:$B$105,0))),0))</f>
        <v/>
      </c>
      <c r="X195">
        <f>IF(OR(B195="",C195=""),0,IFERROR(N(INDEX(Ingredients!$AQ$6:$AQ$105,MATCH(C195,Ingredients!$B$6:$B$105,0))),0))</f>
        <v/>
      </c>
    </row>
    <row r="196">
      <c r="A196" s="1" t="n"/>
      <c r="B196" s="21" t="n"/>
      <c r="C196" s="39" t="n"/>
      <c r="D196" s="40" t="n"/>
      <c r="E196" s="12">
        <f>IF(C196="","",IF(ISNA(MATCH(C196,Ingredients!$B$6:$B$105,0)),"Not on Ingredients",IFERROR(IF(INDEX(Ingredients!$C$6:$C$105,MATCH(C196,Ingredients!$B$6:$B$105,0))="","",INDEX(Ingredients!$C$6:$C$105,MATCH(C196,Ingredients!$B$6:$B$105,0))),"")))</f>
        <v/>
      </c>
      <c r="F196" s="26">
        <f>IF(OR(B196="",C196=""),"",N(D196)*IFERROR(N(INDEX(Ingredients!$H$6:$H$105,MATCH(C196,Ingredients!$B$6:$B$105,0))),0))</f>
        <v/>
      </c>
      <c r="G196" s="1">
        <f>IF(OR(B196="",C196=""),0,IFERROR(N(INDEX(Products!$D$6:$D$45,MATCH(B196,Products!$B$6:$B$45,0))),0))</f>
        <v/>
      </c>
      <c r="H196">
        <f>IF(N(G196)=0,0,N(D196)*SUMIFS(Batches!$D$6:$D$505,Batches!$C$6:$C$505,B196)/G196)</f>
        <v/>
      </c>
      <c r="I196">
        <f>IF(OR(B196="",C196=""),"",IF(B196&lt;&gt;Label!$H$3,"",IF(IFERROR(N(INDEX(Ingredients!$AS$6:$AS$105,MATCH(C196,Ingredients!$B$6:$B$105,0))),0)=1,"",ROUND(N(D196)*1000,0)*100000+100000-ROW())))</f>
        <v/>
      </c>
      <c r="J196">
        <f>IF(OR(B196="",C196=""),0,IFERROR(N(INDEX(Ingredients!$AC$6:$AC$105,MATCH(C196,Ingredients!$B$6:$B$105,0))),0))</f>
        <v/>
      </c>
      <c r="K196">
        <f>IF(OR(B196="",C196=""),0,IFERROR(N(INDEX(Ingredients!$AD$6:$AD$105,MATCH(C196,Ingredients!$B$6:$B$105,0))),0))</f>
        <v/>
      </c>
      <c r="L196">
        <f>IF(OR(B196="",C196=""),0,IFERROR(N(INDEX(Ingredients!$AE$6:$AE$105,MATCH(C196,Ingredients!$B$6:$B$105,0))),0))</f>
        <v/>
      </c>
      <c r="M196">
        <f>IF(OR(B196="",C196=""),0,IFERROR(N(INDEX(Ingredients!$AF$6:$AF$105,MATCH(C196,Ingredients!$B$6:$B$105,0))),0))</f>
        <v/>
      </c>
      <c r="N196">
        <f>IF(OR(B196="",C196=""),0,IFERROR(N(INDEX(Ingredients!$AG$6:$AG$105,MATCH(C196,Ingredients!$B$6:$B$105,0))),0))</f>
        <v/>
      </c>
      <c r="O196">
        <f>IF(OR(B196="",C196=""),0,IFERROR(N(INDEX(Ingredients!$AH$6:$AH$105,MATCH(C196,Ingredients!$B$6:$B$105,0))),0))</f>
        <v/>
      </c>
      <c r="P196">
        <f>IF(OR(B196="",C196=""),0,IFERROR(N(INDEX(Ingredients!$AI$6:$AI$105,MATCH(C196,Ingredients!$B$6:$B$105,0))),0))</f>
        <v/>
      </c>
      <c r="Q196">
        <f>IF(OR(B196="",C196=""),0,IFERROR(N(INDEX(Ingredients!$AJ$6:$AJ$105,MATCH(C196,Ingredients!$B$6:$B$105,0))),0))</f>
        <v/>
      </c>
      <c r="R196">
        <f>IF(OR(B196="",C196=""),0,IFERROR(N(INDEX(Ingredients!$AK$6:$AK$105,MATCH(C196,Ingredients!$B$6:$B$105,0))),0))</f>
        <v/>
      </c>
      <c r="S196">
        <f>IF(OR(B196="",C196=""),0,IFERROR(N(INDEX(Ingredients!$AL$6:$AL$105,MATCH(C196,Ingredients!$B$6:$B$105,0))),0))</f>
        <v/>
      </c>
      <c r="T196">
        <f>IF(OR(B196="",C196=""),0,IFERROR(N(INDEX(Ingredients!$AM$6:$AM$105,MATCH(C196,Ingredients!$B$6:$B$105,0))),0))</f>
        <v/>
      </c>
      <c r="U196">
        <f>IF(OR(B196="",C196=""),0,IFERROR(N(INDEX(Ingredients!$AN$6:$AN$105,MATCH(C196,Ingredients!$B$6:$B$105,0))),0))</f>
        <v/>
      </c>
      <c r="V196">
        <f>IF(OR(B196="",C196=""),0,IFERROR(N(INDEX(Ingredients!$AO$6:$AO$105,MATCH(C196,Ingredients!$B$6:$B$105,0))),0))</f>
        <v/>
      </c>
      <c r="W196">
        <f>IF(OR(B196="",C196=""),0,IFERROR(N(INDEX(Ingredients!$AP$6:$AP$105,MATCH(C196,Ingredients!$B$6:$B$105,0))),0))</f>
        <v/>
      </c>
      <c r="X196">
        <f>IF(OR(B196="",C196=""),0,IFERROR(N(INDEX(Ingredients!$AQ$6:$AQ$105,MATCH(C196,Ingredients!$B$6:$B$105,0))),0))</f>
        <v/>
      </c>
    </row>
    <row r="197">
      <c r="A197" s="1" t="n"/>
      <c r="B197" s="21" t="n"/>
      <c r="C197" s="39" t="n"/>
      <c r="D197" s="40" t="n"/>
      <c r="E197" s="12">
        <f>IF(C197="","",IF(ISNA(MATCH(C197,Ingredients!$B$6:$B$105,0)),"Not on Ingredients",IFERROR(IF(INDEX(Ingredients!$C$6:$C$105,MATCH(C197,Ingredients!$B$6:$B$105,0))="","",INDEX(Ingredients!$C$6:$C$105,MATCH(C197,Ingredients!$B$6:$B$105,0))),"")))</f>
        <v/>
      </c>
      <c r="F197" s="26">
        <f>IF(OR(B197="",C197=""),"",N(D197)*IFERROR(N(INDEX(Ingredients!$H$6:$H$105,MATCH(C197,Ingredients!$B$6:$B$105,0))),0))</f>
        <v/>
      </c>
      <c r="G197" s="1">
        <f>IF(OR(B197="",C197=""),0,IFERROR(N(INDEX(Products!$D$6:$D$45,MATCH(B197,Products!$B$6:$B$45,0))),0))</f>
        <v/>
      </c>
      <c r="H197">
        <f>IF(N(G197)=0,0,N(D197)*SUMIFS(Batches!$D$6:$D$505,Batches!$C$6:$C$505,B197)/G197)</f>
        <v/>
      </c>
      <c r="I197">
        <f>IF(OR(B197="",C197=""),"",IF(B197&lt;&gt;Label!$H$3,"",IF(IFERROR(N(INDEX(Ingredients!$AS$6:$AS$105,MATCH(C197,Ingredients!$B$6:$B$105,0))),0)=1,"",ROUND(N(D197)*1000,0)*100000+100000-ROW())))</f>
        <v/>
      </c>
      <c r="J197">
        <f>IF(OR(B197="",C197=""),0,IFERROR(N(INDEX(Ingredients!$AC$6:$AC$105,MATCH(C197,Ingredients!$B$6:$B$105,0))),0))</f>
        <v/>
      </c>
      <c r="K197">
        <f>IF(OR(B197="",C197=""),0,IFERROR(N(INDEX(Ingredients!$AD$6:$AD$105,MATCH(C197,Ingredients!$B$6:$B$105,0))),0))</f>
        <v/>
      </c>
      <c r="L197">
        <f>IF(OR(B197="",C197=""),0,IFERROR(N(INDEX(Ingredients!$AE$6:$AE$105,MATCH(C197,Ingredients!$B$6:$B$105,0))),0))</f>
        <v/>
      </c>
      <c r="M197">
        <f>IF(OR(B197="",C197=""),0,IFERROR(N(INDEX(Ingredients!$AF$6:$AF$105,MATCH(C197,Ingredients!$B$6:$B$105,0))),0))</f>
        <v/>
      </c>
      <c r="N197">
        <f>IF(OR(B197="",C197=""),0,IFERROR(N(INDEX(Ingredients!$AG$6:$AG$105,MATCH(C197,Ingredients!$B$6:$B$105,0))),0))</f>
        <v/>
      </c>
      <c r="O197">
        <f>IF(OR(B197="",C197=""),0,IFERROR(N(INDEX(Ingredients!$AH$6:$AH$105,MATCH(C197,Ingredients!$B$6:$B$105,0))),0))</f>
        <v/>
      </c>
      <c r="P197">
        <f>IF(OR(B197="",C197=""),0,IFERROR(N(INDEX(Ingredients!$AI$6:$AI$105,MATCH(C197,Ingredients!$B$6:$B$105,0))),0))</f>
        <v/>
      </c>
      <c r="Q197">
        <f>IF(OR(B197="",C197=""),0,IFERROR(N(INDEX(Ingredients!$AJ$6:$AJ$105,MATCH(C197,Ingredients!$B$6:$B$105,0))),0))</f>
        <v/>
      </c>
      <c r="R197">
        <f>IF(OR(B197="",C197=""),0,IFERROR(N(INDEX(Ingredients!$AK$6:$AK$105,MATCH(C197,Ingredients!$B$6:$B$105,0))),0))</f>
        <v/>
      </c>
      <c r="S197">
        <f>IF(OR(B197="",C197=""),0,IFERROR(N(INDEX(Ingredients!$AL$6:$AL$105,MATCH(C197,Ingredients!$B$6:$B$105,0))),0))</f>
        <v/>
      </c>
      <c r="T197">
        <f>IF(OR(B197="",C197=""),0,IFERROR(N(INDEX(Ingredients!$AM$6:$AM$105,MATCH(C197,Ingredients!$B$6:$B$105,0))),0))</f>
        <v/>
      </c>
      <c r="U197">
        <f>IF(OR(B197="",C197=""),0,IFERROR(N(INDEX(Ingredients!$AN$6:$AN$105,MATCH(C197,Ingredients!$B$6:$B$105,0))),0))</f>
        <v/>
      </c>
      <c r="V197">
        <f>IF(OR(B197="",C197=""),0,IFERROR(N(INDEX(Ingredients!$AO$6:$AO$105,MATCH(C197,Ingredients!$B$6:$B$105,0))),0))</f>
        <v/>
      </c>
      <c r="W197">
        <f>IF(OR(B197="",C197=""),0,IFERROR(N(INDEX(Ingredients!$AP$6:$AP$105,MATCH(C197,Ingredients!$B$6:$B$105,0))),0))</f>
        <v/>
      </c>
      <c r="X197">
        <f>IF(OR(B197="",C197=""),0,IFERROR(N(INDEX(Ingredients!$AQ$6:$AQ$105,MATCH(C197,Ingredients!$B$6:$B$105,0))),0))</f>
        <v/>
      </c>
    </row>
    <row r="198">
      <c r="A198" s="1" t="n"/>
      <c r="B198" s="21" t="n"/>
      <c r="C198" s="39" t="n"/>
      <c r="D198" s="40" t="n"/>
      <c r="E198" s="12">
        <f>IF(C198="","",IF(ISNA(MATCH(C198,Ingredients!$B$6:$B$105,0)),"Not on Ingredients",IFERROR(IF(INDEX(Ingredients!$C$6:$C$105,MATCH(C198,Ingredients!$B$6:$B$105,0))="","",INDEX(Ingredients!$C$6:$C$105,MATCH(C198,Ingredients!$B$6:$B$105,0))),"")))</f>
        <v/>
      </c>
      <c r="F198" s="26">
        <f>IF(OR(B198="",C198=""),"",N(D198)*IFERROR(N(INDEX(Ingredients!$H$6:$H$105,MATCH(C198,Ingredients!$B$6:$B$105,0))),0))</f>
        <v/>
      </c>
      <c r="G198" s="1">
        <f>IF(OR(B198="",C198=""),0,IFERROR(N(INDEX(Products!$D$6:$D$45,MATCH(B198,Products!$B$6:$B$45,0))),0))</f>
        <v/>
      </c>
      <c r="H198">
        <f>IF(N(G198)=0,0,N(D198)*SUMIFS(Batches!$D$6:$D$505,Batches!$C$6:$C$505,B198)/G198)</f>
        <v/>
      </c>
      <c r="I198">
        <f>IF(OR(B198="",C198=""),"",IF(B198&lt;&gt;Label!$H$3,"",IF(IFERROR(N(INDEX(Ingredients!$AS$6:$AS$105,MATCH(C198,Ingredients!$B$6:$B$105,0))),0)=1,"",ROUND(N(D198)*1000,0)*100000+100000-ROW())))</f>
        <v/>
      </c>
      <c r="J198">
        <f>IF(OR(B198="",C198=""),0,IFERROR(N(INDEX(Ingredients!$AC$6:$AC$105,MATCH(C198,Ingredients!$B$6:$B$105,0))),0))</f>
        <v/>
      </c>
      <c r="K198">
        <f>IF(OR(B198="",C198=""),0,IFERROR(N(INDEX(Ingredients!$AD$6:$AD$105,MATCH(C198,Ingredients!$B$6:$B$105,0))),0))</f>
        <v/>
      </c>
      <c r="L198">
        <f>IF(OR(B198="",C198=""),0,IFERROR(N(INDEX(Ingredients!$AE$6:$AE$105,MATCH(C198,Ingredients!$B$6:$B$105,0))),0))</f>
        <v/>
      </c>
      <c r="M198">
        <f>IF(OR(B198="",C198=""),0,IFERROR(N(INDEX(Ingredients!$AF$6:$AF$105,MATCH(C198,Ingredients!$B$6:$B$105,0))),0))</f>
        <v/>
      </c>
      <c r="N198">
        <f>IF(OR(B198="",C198=""),0,IFERROR(N(INDEX(Ingredients!$AG$6:$AG$105,MATCH(C198,Ingredients!$B$6:$B$105,0))),0))</f>
        <v/>
      </c>
      <c r="O198">
        <f>IF(OR(B198="",C198=""),0,IFERROR(N(INDEX(Ingredients!$AH$6:$AH$105,MATCH(C198,Ingredients!$B$6:$B$105,0))),0))</f>
        <v/>
      </c>
      <c r="P198">
        <f>IF(OR(B198="",C198=""),0,IFERROR(N(INDEX(Ingredients!$AI$6:$AI$105,MATCH(C198,Ingredients!$B$6:$B$105,0))),0))</f>
        <v/>
      </c>
      <c r="Q198">
        <f>IF(OR(B198="",C198=""),0,IFERROR(N(INDEX(Ingredients!$AJ$6:$AJ$105,MATCH(C198,Ingredients!$B$6:$B$105,0))),0))</f>
        <v/>
      </c>
      <c r="R198">
        <f>IF(OR(B198="",C198=""),0,IFERROR(N(INDEX(Ingredients!$AK$6:$AK$105,MATCH(C198,Ingredients!$B$6:$B$105,0))),0))</f>
        <v/>
      </c>
      <c r="S198">
        <f>IF(OR(B198="",C198=""),0,IFERROR(N(INDEX(Ingredients!$AL$6:$AL$105,MATCH(C198,Ingredients!$B$6:$B$105,0))),0))</f>
        <v/>
      </c>
      <c r="T198">
        <f>IF(OR(B198="",C198=""),0,IFERROR(N(INDEX(Ingredients!$AM$6:$AM$105,MATCH(C198,Ingredients!$B$6:$B$105,0))),0))</f>
        <v/>
      </c>
      <c r="U198">
        <f>IF(OR(B198="",C198=""),0,IFERROR(N(INDEX(Ingredients!$AN$6:$AN$105,MATCH(C198,Ingredients!$B$6:$B$105,0))),0))</f>
        <v/>
      </c>
      <c r="V198">
        <f>IF(OR(B198="",C198=""),0,IFERROR(N(INDEX(Ingredients!$AO$6:$AO$105,MATCH(C198,Ingredients!$B$6:$B$105,0))),0))</f>
        <v/>
      </c>
      <c r="W198">
        <f>IF(OR(B198="",C198=""),0,IFERROR(N(INDEX(Ingredients!$AP$6:$AP$105,MATCH(C198,Ingredients!$B$6:$B$105,0))),0))</f>
        <v/>
      </c>
      <c r="X198">
        <f>IF(OR(B198="",C198=""),0,IFERROR(N(INDEX(Ingredients!$AQ$6:$AQ$105,MATCH(C198,Ingredients!$B$6:$B$105,0))),0))</f>
        <v/>
      </c>
    </row>
    <row r="199">
      <c r="A199" s="1" t="n"/>
      <c r="B199" s="21" t="n"/>
      <c r="C199" s="39" t="n"/>
      <c r="D199" s="40" t="n"/>
      <c r="E199" s="12">
        <f>IF(C199="","",IF(ISNA(MATCH(C199,Ingredients!$B$6:$B$105,0)),"Not on Ingredients",IFERROR(IF(INDEX(Ingredients!$C$6:$C$105,MATCH(C199,Ingredients!$B$6:$B$105,0))="","",INDEX(Ingredients!$C$6:$C$105,MATCH(C199,Ingredients!$B$6:$B$105,0))),"")))</f>
        <v/>
      </c>
      <c r="F199" s="26">
        <f>IF(OR(B199="",C199=""),"",N(D199)*IFERROR(N(INDEX(Ingredients!$H$6:$H$105,MATCH(C199,Ingredients!$B$6:$B$105,0))),0))</f>
        <v/>
      </c>
      <c r="G199" s="1">
        <f>IF(OR(B199="",C199=""),0,IFERROR(N(INDEX(Products!$D$6:$D$45,MATCH(B199,Products!$B$6:$B$45,0))),0))</f>
        <v/>
      </c>
      <c r="H199">
        <f>IF(N(G199)=0,0,N(D199)*SUMIFS(Batches!$D$6:$D$505,Batches!$C$6:$C$505,B199)/G199)</f>
        <v/>
      </c>
      <c r="I199">
        <f>IF(OR(B199="",C199=""),"",IF(B199&lt;&gt;Label!$H$3,"",IF(IFERROR(N(INDEX(Ingredients!$AS$6:$AS$105,MATCH(C199,Ingredients!$B$6:$B$105,0))),0)=1,"",ROUND(N(D199)*1000,0)*100000+100000-ROW())))</f>
        <v/>
      </c>
      <c r="J199">
        <f>IF(OR(B199="",C199=""),0,IFERROR(N(INDEX(Ingredients!$AC$6:$AC$105,MATCH(C199,Ingredients!$B$6:$B$105,0))),0))</f>
        <v/>
      </c>
      <c r="K199">
        <f>IF(OR(B199="",C199=""),0,IFERROR(N(INDEX(Ingredients!$AD$6:$AD$105,MATCH(C199,Ingredients!$B$6:$B$105,0))),0))</f>
        <v/>
      </c>
      <c r="L199">
        <f>IF(OR(B199="",C199=""),0,IFERROR(N(INDEX(Ingredients!$AE$6:$AE$105,MATCH(C199,Ingredients!$B$6:$B$105,0))),0))</f>
        <v/>
      </c>
      <c r="M199">
        <f>IF(OR(B199="",C199=""),0,IFERROR(N(INDEX(Ingredients!$AF$6:$AF$105,MATCH(C199,Ingredients!$B$6:$B$105,0))),0))</f>
        <v/>
      </c>
      <c r="N199">
        <f>IF(OR(B199="",C199=""),0,IFERROR(N(INDEX(Ingredients!$AG$6:$AG$105,MATCH(C199,Ingredients!$B$6:$B$105,0))),0))</f>
        <v/>
      </c>
      <c r="O199">
        <f>IF(OR(B199="",C199=""),0,IFERROR(N(INDEX(Ingredients!$AH$6:$AH$105,MATCH(C199,Ingredients!$B$6:$B$105,0))),0))</f>
        <v/>
      </c>
      <c r="P199">
        <f>IF(OR(B199="",C199=""),0,IFERROR(N(INDEX(Ingredients!$AI$6:$AI$105,MATCH(C199,Ingredients!$B$6:$B$105,0))),0))</f>
        <v/>
      </c>
      <c r="Q199">
        <f>IF(OR(B199="",C199=""),0,IFERROR(N(INDEX(Ingredients!$AJ$6:$AJ$105,MATCH(C199,Ingredients!$B$6:$B$105,0))),0))</f>
        <v/>
      </c>
      <c r="R199">
        <f>IF(OR(B199="",C199=""),0,IFERROR(N(INDEX(Ingredients!$AK$6:$AK$105,MATCH(C199,Ingredients!$B$6:$B$105,0))),0))</f>
        <v/>
      </c>
      <c r="S199">
        <f>IF(OR(B199="",C199=""),0,IFERROR(N(INDEX(Ingredients!$AL$6:$AL$105,MATCH(C199,Ingredients!$B$6:$B$105,0))),0))</f>
        <v/>
      </c>
      <c r="T199">
        <f>IF(OR(B199="",C199=""),0,IFERROR(N(INDEX(Ingredients!$AM$6:$AM$105,MATCH(C199,Ingredients!$B$6:$B$105,0))),0))</f>
        <v/>
      </c>
      <c r="U199">
        <f>IF(OR(B199="",C199=""),0,IFERROR(N(INDEX(Ingredients!$AN$6:$AN$105,MATCH(C199,Ingredients!$B$6:$B$105,0))),0))</f>
        <v/>
      </c>
      <c r="V199">
        <f>IF(OR(B199="",C199=""),0,IFERROR(N(INDEX(Ingredients!$AO$6:$AO$105,MATCH(C199,Ingredients!$B$6:$B$105,0))),0))</f>
        <v/>
      </c>
      <c r="W199">
        <f>IF(OR(B199="",C199=""),0,IFERROR(N(INDEX(Ingredients!$AP$6:$AP$105,MATCH(C199,Ingredients!$B$6:$B$105,0))),0))</f>
        <v/>
      </c>
      <c r="X199">
        <f>IF(OR(B199="",C199=""),0,IFERROR(N(INDEX(Ingredients!$AQ$6:$AQ$105,MATCH(C199,Ingredients!$B$6:$B$105,0))),0))</f>
        <v/>
      </c>
    </row>
    <row r="200">
      <c r="A200" s="1" t="n"/>
      <c r="B200" s="21" t="n"/>
      <c r="C200" s="39" t="n"/>
      <c r="D200" s="40" t="n"/>
      <c r="E200" s="12">
        <f>IF(C200="","",IF(ISNA(MATCH(C200,Ingredients!$B$6:$B$105,0)),"Not on Ingredients",IFERROR(IF(INDEX(Ingredients!$C$6:$C$105,MATCH(C200,Ingredients!$B$6:$B$105,0))="","",INDEX(Ingredients!$C$6:$C$105,MATCH(C200,Ingredients!$B$6:$B$105,0))),"")))</f>
        <v/>
      </c>
      <c r="F200" s="26">
        <f>IF(OR(B200="",C200=""),"",N(D200)*IFERROR(N(INDEX(Ingredients!$H$6:$H$105,MATCH(C200,Ingredients!$B$6:$B$105,0))),0))</f>
        <v/>
      </c>
      <c r="G200" s="1">
        <f>IF(OR(B200="",C200=""),0,IFERROR(N(INDEX(Products!$D$6:$D$45,MATCH(B200,Products!$B$6:$B$45,0))),0))</f>
        <v/>
      </c>
      <c r="H200">
        <f>IF(N(G200)=0,0,N(D200)*SUMIFS(Batches!$D$6:$D$505,Batches!$C$6:$C$505,B200)/G200)</f>
        <v/>
      </c>
      <c r="I200">
        <f>IF(OR(B200="",C200=""),"",IF(B200&lt;&gt;Label!$H$3,"",IF(IFERROR(N(INDEX(Ingredients!$AS$6:$AS$105,MATCH(C200,Ingredients!$B$6:$B$105,0))),0)=1,"",ROUND(N(D200)*1000,0)*100000+100000-ROW())))</f>
        <v/>
      </c>
      <c r="J200">
        <f>IF(OR(B200="",C200=""),0,IFERROR(N(INDEX(Ingredients!$AC$6:$AC$105,MATCH(C200,Ingredients!$B$6:$B$105,0))),0))</f>
        <v/>
      </c>
      <c r="K200">
        <f>IF(OR(B200="",C200=""),0,IFERROR(N(INDEX(Ingredients!$AD$6:$AD$105,MATCH(C200,Ingredients!$B$6:$B$105,0))),0))</f>
        <v/>
      </c>
      <c r="L200">
        <f>IF(OR(B200="",C200=""),0,IFERROR(N(INDEX(Ingredients!$AE$6:$AE$105,MATCH(C200,Ingredients!$B$6:$B$105,0))),0))</f>
        <v/>
      </c>
      <c r="M200">
        <f>IF(OR(B200="",C200=""),0,IFERROR(N(INDEX(Ingredients!$AF$6:$AF$105,MATCH(C200,Ingredients!$B$6:$B$105,0))),0))</f>
        <v/>
      </c>
      <c r="N200">
        <f>IF(OR(B200="",C200=""),0,IFERROR(N(INDEX(Ingredients!$AG$6:$AG$105,MATCH(C200,Ingredients!$B$6:$B$105,0))),0))</f>
        <v/>
      </c>
      <c r="O200">
        <f>IF(OR(B200="",C200=""),0,IFERROR(N(INDEX(Ingredients!$AH$6:$AH$105,MATCH(C200,Ingredients!$B$6:$B$105,0))),0))</f>
        <v/>
      </c>
      <c r="P200">
        <f>IF(OR(B200="",C200=""),0,IFERROR(N(INDEX(Ingredients!$AI$6:$AI$105,MATCH(C200,Ingredients!$B$6:$B$105,0))),0))</f>
        <v/>
      </c>
      <c r="Q200">
        <f>IF(OR(B200="",C200=""),0,IFERROR(N(INDEX(Ingredients!$AJ$6:$AJ$105,MATCH(C200,Ingredients!$B$6:$B$105,0))),0))</f>
        <v/>
      </c>
      <c r="R200">
        <f>IF(OR(B200="",C200=""),0,IFERROR(N(INDEX(Ingredients!$AK$6:$AK$105,MATCH(C200,Ingredients!$B$6:$B$105,0))),0))</f>
        <v/>
      </c>
      <c r="S200">
        <f>IF(OR(B200="",C200=""),0,IFERROR(N(INDEX(Ingredients!$AL$6:$AL$105,MATCH(C200,Ingredients!$B$6:$B$105,0))),0))</f>
        <v/>
      </c>
      <c r="T200">
        <f>IF(OR(B200="",C200=""),0,IFERROR(N(INDEX(Ingredients!$AM$6:$AM$105,MATCH(C200,Ingredients!$B$6:$B$105,0))),0))</f>
        <v/>
      </c>
      <c r="U200">
        <f>IF(OR(B200="",C200=""),0,IFERROR(N(INDEX(Ingredients!$AN$6:$AN$105,MATCH(C200,Ingredients!$B$6:$B$105,0))),0))</f>
        <v/>
      </c>
      <c r="V200">
        <f>IF(OR(B200="",C200=""),0,IFERROR(N(INDEX(Ingredients!$AO$6:$AO$105,MATCH(C200,Ingredients!$B$6:$B$105,0))),0))</f>
        <v/>
      </c>
      <c r="W200">
        <f>IF(OR(B200="",C200=""),0,IFERROR(N(INDEX(Ingredients!$AP$6:$AP$105,MATCH(C200,Ingredients!$B$6:$B$105,0))),0))</f>
        <v/>
      </c>
      <c r="X200">
        <f>IF(OR(B200="",C200=""),0,IFERROR(N(INDEX(Ingredients!$AQ$6:$AQ$105,MATCH(C200,Ingredients!$B$6:$B$105,0))),0))</f>
        <v/>
      </c>
    </row>
    <row r="201">
      <c r="A201" s="1" t="n"/>
      <c r="B201" s="21" t="n"/>
      <c r="C201" s="39" t="n"/>
      <c r="D201" s="40" t="n"/>
      <c r="E201" s="12">
        <f>IF(C201="","",IF(ISNA(MATCH(C201,Ingredients!$B$6:$B$105,0)),"Not on Ingredients",IFERROR(IF(INDEX(Ingredients!$C$6:$C$105,MATCH(C201,Ingredients!$B$6:$B$105,0))="","",INDEX(Ingredients!$C$6:$C$105,MATCH(C201,Ingredients!$B$6:$B$105,0))),"")))</f>
        <v/>
      </c>
      <c r="F201" s="26">
        <f>IF(OR(B201="",C201=""),"",N(D201)*IFERROR(N(INDEX(Ingredients!$H$6:$H$105,MATCH(C201,Ingredients!$B$6:$B$105,0))),0))</f>
        <v/>
      </c>
      <c r="G201" s="1">
        <f>IF(OR(B201="",C201=""),0,IFERROR(N(INDEX(Products!$D$6:$D$45,MATCH(B201,Products!$B$6:$B$45,0))),0))</f>
        <v/>
      </c>
      <c r="H201">
        <f>IF(N(G201)=0,0,N(D201)*SUMIFS(Batches!$D$6:$D$505,Batches!$C$6:$C$505,B201)/G201)</f>
        <v/>
      </c>
      <c r="I201">
        <f>IF(OR(B201="",C201=""),"",IF(B201&lt;&gt;Label!$H$3,"",IF(IFERROR(N(INDEX(Ingredients!$AS$6:$AS$105,MATCH(C201,Ingredients!$B$6:$B$105,0))),0)=1,"",ROUND(N(D201)*1000,0)*100000+100000-ROW())))</f>
        <v/>
      </c>
      <c r="J201">
        <f>IF(OR(B201="",C201=""),0,IFERROR(N(INDEX(Ingredients!$AC$6:$AC$105,MATCH(C201,Ingredients!$B$6:$B$105,0))),0))</f>
        <v/>
      </c>
      <c r="K201">
        <f>IF(OR(B201="",C201=""),0,IFERROR(N(INDEX(Ingredients!$AD$6:$AD$105,MATCH(C201,Ingredients!$B$6:$B$105,0))),0))</f>
        <v/>
      </c>
      <c r="L201">
        <f>IF(OR(B201="",C201=""),0,IFERROR(N(INDEX(Ingredients!$AE$6:$AE$105,MATCH(C201,Ingredients!$B$6:$B$105,0))),0))</f>
        <v/>
      </c>
      <c r="M201">
        <f>IF(OR(B201="",C201=""),0,IFERROR(N(INDEX(Ingredients!$AF$6:$AF$105,MATCH(C201,Ingredients!$B$6:$B$105,0))),0))</f>
        <v/>
      </c>
      <c r="N201">
        <f>IF(OR(B201="",C201=""),0,IFERROR(N(INDEX(Ingredients!$AG$6:$AG$105,MATCH(C201,Ingredients!$B$6:$B$105,0))),0))</f>
        <v/>
      </c>
      <c r="O201">
        <f>IF(OR(B201="",C201=""),0,IFERROR(N(INDEX(Ingredients!$AH$6:$AH$105,MATCH(C201,Ingredients!$B$6:$B$105,0))),0))</f>
        <v/>
      </c>
      <c r="P201">
        <f>IF(OR(B201="",C201=""),0,IFERROR(N(INDEX(Ingredients!$AI$6:$AI$105,MATCH(C201,Ingredients!$B$6:$B$105,0))),0))</f>
        <v/>
      </c>
      <c r="Q201">
        <f>IF(OR(B201="",C201=""),0,IFERROR(N(INDEX(Ingredients!$AJ$6:$AJ$105,MATCH(C201,Ingredients!$B$6:$B$105,0))),0))</f>
        <v/>
      </c>
      <c r="R201">
        <f>IF(OR(B201="",C201=""),0,IFERROR(N(INDEX(Ingredients!$AK$6:$AK$105,MATCH(C201,Ingredients!$B$6:$B$105,0))),0))</f>
        <v/>
      </c>
      <c r="S201">
        <f>IF(OR(B201="",C201=""),0,IFERROR(N(INDEX(Ingredients!$AL$6:$AL$105,MATCH(C201,Ingredients!$B$6:$B$105,0))),0))</f>
        <v/>
      </c>
      <c r="T201">
        <f>IF(OR(B201="",C201=""),0,IFERROR(N(INDEX(Ingredients!$AM$6:$AM$105,MATCH(C201,Ingredients!$B$6:$B$105,0))),0))</f>
        <v/>
      </c>
      <c r="U201">
        <f>IF(OR(B201="",C201=""),0,IFERROR(N(INDEX(Ingredients!$AN$6:$AN$105,MATCH(C201,Ingredients!$B$6:$B$105,0))),0))</f>
        <v/>
      </c>
      <c r="V201">
        <f>IF(OR(B201="",C201=""),0,IFERROR(N(INDEX(Ingredients!$AO$6:$AO$105,MATCH(C201,Ingredients!$B$6:$B$105,0))),0))</f>
        <v/>
      </c>
      <c r="W201">
        <f>IF(OR(B201="",C201=""),0,IFERROR(N(INDEX(Ingredients!$AP$6:$AP$105,MATCH(C201,Ingredients!$B$6:$B$105,0))),0))</f>
        <v/>
      </c>
      <c r="X201">
        <f>IF(OR(B201="",C201=""),0,IFERROR(N(INDEX(Ingredients!$AQ$6:$AQ$105,MATCH(C201,Ingredients!$B$6:$B$105,0))),0))</f>
        <v/>
      </c>
    </row>
    <row r="202">
      <c r="A202" s="1" t="n"/>
      <c r="B202" s="21" t="n"/>
      <c r="C202" s="39" t="n"/>
      <c r="D202" s="40" t="n"/>
      <c r="E202" s="12">
        <f>IF(C202="","",IF(ISNA(MATCH(C202,Ingredients!$B$6:$B$105,0)),"Not on Ingredients",IFERROR(IF(INDEX(Ingredients!$C$6:$C$105,MATCH(C202,Ingredients!$B$6:$B$105,0))="","",INDEX(Ingredients!$C$6:$C$105,MATCH(C202,Ingredients!$B$6:$B$105,0))),"")))</f>
        <v/>
      </c>
      <c r="F202" s="26">
        <f>IF(OR(B202="",C202=""),"",N(D202)*IFERROR(N(INDEX(Ingredients!$H$6:$H$105,MATCH(C202,Ingredients!$B$6:$B$105,0))),0))</f>
        <v/>
      </c>
      <c r="G202" s="1">
        <f>IF(OR(B202="",C202=""),0,IFERROR(N(INDEX(Products!$D$6:$D$45,MATCH(B202,Products!$B$6:$B$45,0))),0))</f>
        <v/>
      </c>
      <c r="H202">
        <f>IF(N(G202)=0,0,N(D202)*SUMIFS(Batches!$D$6:$D$505,Batches!$C$6:$C$505,B202)/G202)</f>
        <v/>
      </c>
      <c r="I202">
        <f>IF(OR(B202="",C202=""),"",IF(B202&lt;&gt;Label!$H$3,"",IF(IFERROR(N(INDEX(Ingredients!$AS$6:$AS$105,MATCH(C202,Ingredients!$B$6:$B$105,0))),0)=1,"",ROUND(N(D202)*1000,0)*100000+100000-ROW())))</f>
        <v/>
      </c>
      <c r="J202">
        <f>IF(OR(B202="",C202=""),0,IFERROR(N(INDEX(Ingredients!$AC$6:$AC$105,MATCH(C202,Ingredients!$B$6:$B$105,0))),0))</f>
        <v/>
      </c>
      <c r="K202">
        <f>IF(OR(B202="",C202=""),0,IFERROR(N(INDEX(Ingredients!$AD$6:$AD$105,MATCH(C202,Ingredients!$B$6:$B$105,0))),0))</f>
        <v/>
      </c>
      <c r="L202">
        <f>IF(OR(B202="",C202=""),0,IFERROR(N(INDEX(Ingredients!$AE$6:$AE$105,MATCH(C202,Ingredients!$B$6:$B$105,0))),0))</f>
        <v/>
      </c>
      <c r="M202">
        <f>IF(OR(B202="",C202=""),0,IFERROR(N(INDEX(Ingredients!$AF$6:$AF$105,MATCH(C202,Ingredients!$B$6:$B$105,0))),0))</f>
        <v/>
      </c>
      <c r="N202">
        <f>IF(OR(B202="",C202=""),0,IFERROR(N(INDEX(Ingredients!$AG$6:$AG$105,MATCH(C202,Ingredients!$B$6:$B$105,0))),0))</f>
        <v/>
      </c>
      <c r="O202">
        <f>IF(OR(B202="",C202=""),0,IFERROR(N(INDEX(Ingredients!$AH$6:$AH$105,MATCH(C202,Ingredients!$B$6:$B$105,0))),0))</f>
        <v/>
      </c>
      <c r="P202">
        <f>IF(OR(B202="",C202=""),0,IFERROR(N(INDEX(Ingredients!$AI$6:$AI$105,MATCH(C202,Ingredients!$B$6:$B$105,0))),0))</f>
        <v/>
      </c>
      <c r="Q202">
        <f>IF(OR(B202="",C202=""),0,IFERROR(N(INDEX(Ingredients!$AJ$6:$AJ$105,MATCH(C202,Ingredients!$B$6:$B$105,0))),0))</f>
        <v/>
      </c>
      <c r="R202">
        <f>IF(OR(B202="",C202=""),0,IFERROR(N(INDEX(Ingredients!$AK$6:$AK$105,MATCH(C202,Ingredients!$B$6:$B$105,0))),0))</f>
        <v/>
      </c>
      <c r="S202">
        <f>IF(OR(B202="",C202=""),0,IFERROR(N(INDEX(Ingredients!$AL$6:$AL$105,MATCH(C202,Ingredients!$B$6:$B$105,0))),0))</f>
        <v/>
      </c>
      <c r="T202">
        <f>IF(OR(B202="",C202=""),0,IFERROR(N(INDEX(Ingredients!$AM$6:$AM$105,MATCH(C202,Ingredients!$B$6:$B$105,0))),0))</f>
        <v/>
      </c>
      <c r="U202">
        <f>IF(OR(B202="",C202=""),0,IFERROR(N(INDEX(Ingredients!$AN$6:$AN$105,MATCH(C202,Ingredients!$B$6:$B$105,0))),0))</f>
        <v/>
      </c>
      <c r="V202">
        <f>IF(OR(B202="",C202=""),0,IFERROR(N(INDEX(Ingredients!$AO$6:$AO$105,MATCH(C202,Ingredients!$B$6:$B$105,0))),0))</f>
        <v/>
      </c>
      <c r="W202">
        <f>IF(OR(B202="",C202=""),0,IFERROR(N(INDEX(Ingredients!$AP$6:$AP$105,MATCH(C202,Ingredients!$B$6:$B$105,0))),0))</f>
        <v/>
      </c>
      <c r="X202">
        <f>IF(OR(B202="",C202=""),0,IFERROR(N(INDEX(Ingredients!$AQ$6:$AQ$105,MATCH(C202,Ingredients!$B$6:$B$105,0))),0))</f>
        <v/>
      </c>
    </row>
    <row r="203">
      <c r="A203" s="1" t="n"/>
      <c r="B203" s="21" t="n"/>
      <c r="C203" s="39" t="n"/>
      <c r="D203" s="40" t="n"/>
      <c r="E203" s="12">
        <f>IF(C203="","",IF(ISNA(MATCH(C203,Ingredients!$B$6:$B$105,0)),"Not on Ingredients",IFERROR(IF(INDEX(Ingredients!$C$6:$C$105,MATCH(C203,Ingredients!$B$6:$B$105,0))="","",INDEX(Ingredients!$C$6:$C$105,MATCH(C203,Ingredients!$B$6:$B$105,0))),"")))</f>
        <v/>
      </c>
      <c r="F203" s="26">
        <f>IF(OR(B203="",C203=""),"",N(D203)*IFERROR(N(INDEX(Ingredients!$H$6:$H$105,MATCH(C203,Ingredients!$B$6:$B$105,0))),0))</f>
        <v/>
      </c>
      <c r="G203" s="1">
        <f>IF(OR(B203="",C203=""),0,IFERROR(N(INDEX(Products!$D$6:$D$45,MATCH(B203,Products!$B$6:$B$45,0))),0))</f>
        <v/>
      </c>
      <c r="H203">
        <f>IF(N(G203)=0,0,N(D203)*SUMIFS(Batches!$D$6:$D$505,Batches!$C$6:$C$505,B203)/G203)</f>
        <v/>
      </c>
      <c r="I203">
        <f>IF(OR(B203="",C203=""),"",IF(B203&lt;&gt;Label!$H$3,"",IF(IFERROR(N(INDEX(Ingredients!$AS$6:$AS$105,MATCH(C203,Ingredients!$B$6:$B$105,0))),0)=1,"",ROUND(N(D203)*1000,0)*100000+100000-ROW())))</f>
        <v/>
      </c>
      <c r="J203">
        <f>IF(OR(B203="",C203=""),0,IFERROR(N(INDEX(Ingredients!$AC$6:$AC$105,MATCH(C203,Ingredients!$B$6:$B$105,0))),0))</f>
        <v/>
      </c>
      <c r="K203">
        <f>IF(OR(B203="",C203=""),0,IFERROR(N(INDEX(Ingredients!$AD$6:$AD$105,MATCH(C203,Ingredients!$B$6:$B$105,0))),0))</f>
        <v/>
      </c>
      <c r="L203">
        <f>IF(OR(B203="",C203=""),0,IFERROR(N(INDEX(Ingredients!$AE$6:$AE$105,MATCH(C203,Ingredients!$B$6:$B$105,0))),0))</f>
        <v/>
      </c>
      <c r="M203">
        <f>IF(OR(B203="",C203=""),0,IFERROR(N(INDEX(Ingredients!$AF$6:$AF$105,MATCH(C203,Ingredients!$B$6:$B$105,0))),0))</f>
        <v/>
      </c>
      <c r="N203">
        <f>IF(OR(B203="",C203=""),0,IFERROR(N(INDEX(Ingredients!$AG$6:$AG$105,MATCH(C203,Ingredients!$B$6:$B$105,0))),0))</f>
        <v/>
      </c>
      <c r="O203">
        <f>IF(OR(B203="",C203=""),0,IFERROR(N(INDEX(Ingredients!$AH$6:$AH$105,MATCH(C203,Ingredients!$B$6:$B$105,0))),0))</f>
        <v/>
      </c>
      <c r="P203">
        <f>IF(OR(B203="",C203=""),0,IFERROR(N(INDEX(Ingredients!$AI$6:$AI$105,MATCH(C203,Ingredients!$B$6:$B$105,0))),0))</f>
        <v/>
      </c>
      <c r="Q203">
        <f>IF(OR(B203="",C203=""),0,IFERROR(N(INDEX(Ingredients!$AJ$6:$AJ$105,MATCH(C203,Ingredients!$B$6:$B$105,0))),0))</f>
        <v/>
      </c>
      <c r="R203">
        <f>IF(OR(B203="",C203=""),0,IFERROR(N(INDEX(Ingredients!$AK$6:$AK$105,MATCH(C203,Ingredients!$B$6:$B$105,0))),0))</f>
        <v/>
      </c>
      <c r="S203">
        <f>IF(OR(B203="",C203=""),0,IFERROR(N(INDEX(Ingredients!$AL$6:$AL$105,MATCH(C203,Ingredients!$B$6:$B$105,0))),0))</f>
        <v/>
      </c>
      <c r="T203">
        <f>IF(OR(B203="",C203=""),0,IFERROR(N(INDEX(Ingredients!$AM$6:$AM$105,MATCH(C203,Ingredients!$B$6:$B$105,0))),0))</f>
        <v/>
      </c>
      <c r="U203">
        <f>IF(OR(B203="",C203=""),0,IFERROR(N(INDEX(Ingredients!$AN$6:$AN$105,MATCH(C203,Ingredients!$B$6:$B$105,0))),0))</f>
        <v/>
      </c>
      <c r="V203">
        <f>IF(OR(B203="",C203=""),0,IFERROR(N(INDEX(Ingredients!$AO$6:$AO$105,MATCH(C203,Ingredients!$B$6:$B$105,0))),0))</f>
        <v/>
      </c>
      <c r="W203">
        <f>IF(OR(B203="",C203=""),0,IFERROR(N(INDEX(Ingredients!$AP$6:$AP$105,MATCH(C203,Ingredients!$B$6:$B$105,0))),0))</f>
        <v/>
      </c>
      <c r="X203">
        <f>IF(OR(B203="",C203=""),0,IFERROR(N(INDEX(Ingredients!$AQ$6:$AQ$105,MATCH(C203,Ingredients!$B$6:$B$105,0))),0))</f>
        <v/>
      </c>
    </row>
    <row r="204">
      <c r="A204" s="1" t="n"/>
      <c r="B204" s="21" t="n"/>
      <c r="C204" s="39" t="n"/>
      <c r="D204" s="40" t="n"/>
      <c r="E204" s="12">
        <f>IF(C204="","",IF(ISNA(MATCH(C204,Ingredients!$B$6:$B$105,0)),"Not on Ingredients",IFERROR(IF(INDEX(Ingredients!$C$6:$C$105,MATCH(C204,Ingredients!$B$6:$B$105,0))="","",INDEX(Ingredients!$C$6:$C$105,MATCH(C204,Ingredients!$B$6:$B$105,0))),"")))</f>
        <v/>
      </c>
      <c r="F204" s="26">
        <f>IF(OR(B204="",C204=""),"",N(D204)*IFERROR(N(INDEX(Ingredients!$H$6:$H$105,MATCH(C204,Ingredients!$B$6:$B$105,0))),0))</f>
        <v/>
      </c>
      <c r="G204" s="1">
        <f>IF(OR(B204="",C204=""),0,IFERROR(N(INDEX(Products!$D$6:$D$45,MATCH(B204,Products!$B$6:$B$45,0))),0))</f>
        <v/>
      </c>
      <c r="H204">
        <f>IF(N(G204)=0,0,N(D204)*SUMIFS(Batches!$D$6:$D$505,Batches!$C$6:$C$505,B204)/G204)</f>
        <v/>
      </c>
      <c r="I204">
        <f>IF(OR(B204="",C204=""),"",IF(B204&lt;&gt;Label!$H$3,"",IF(IFERROR(N(INDEX(Ingredients!$AS$6:$AS$105,MATCH(C204,Ingredients!$B$6:$B$105,0))),0)=1,"",ROUND(N(D204)*1000,0)*100000+100000-ROW())))</f>
        <v/>
      </c>
      <c r="J204">
        <f>IF(OR(B204="",C204=""),0,IFERROR(N(INDEX(Ingredients!$AC$6:$AC$105,MATCH(C204,Ingredients!$B$6:$B$105,0))),0))</f>
        <v/>
      </c>
      <c r="K204">
        <f>IF(OR(B204="",C204=""),0,IFERROR(N(INDEX(Ingredients!$AD$6:$AD$105,MATCH(C204,Ingredients!$B$6:$B$105,0))),0))</f>
        <v/>
      </c>
      <c r="L204">
        <f>IF(OR(B204="",C204=""),0,IFERROR(N(INDEX(Ingredients!$AE$6:$AE$105,MATCH(C204,Ingredients!$B$6:$B$105,0))),0))</f>
        <v/>
      </c>
      <c r="M204">
        <f>IF(OR(B204="",C204=""),0,IFERROR(N(INDEX(Ingredients!$AF$6:$AF$105,MATCH(C204,Ingredients!$B$6:$B$105,0))),0))</f>
        <v/>
      </c>
      <c r="N204">
        <f>IF(OR(B204="",C204=""),0,IFERROR(N(INDEX(Ingredients!$AG$6:$AG$105,MATCH(C204,Ingredients!$B$6:$B$105,0))),0))</f>
        <v/>
      </c>
      <c r="O204">
        <f>IF(OR(B204="",C204=""),0,IFERROR(N(INDEX(Ingredients!$AH$6:$AH$105,MATCH(C204,Ingredients!$B$6:$B$105,0))),0))</f>
        <v/>
      </c>
      <c r="P204">
        <f>IF(OR(B204="",C204=""),0,IFERROR(N(INDEX(Ingredients!$AI$6:$AI$105,MATCH(C204,Ingredients!$B$6:$B$105,0))),0))</f>
        <v/>
      </c>
      <c r="Q204">
        <f>IF(OR(B204="",C204=""),0,IFERROR(N(INDEX(Ingredients!$AJ$6:$AJ$105,MATCH(C204,Ingredients!$B$6:$B$105,0))),0))</f>
        <v/>
      </c>
      <c r="R204">
        <f>IF(OR(B204="",C204=""),0,IFERROR(N(INDEX(Ingredients!$AK$6:$AK$105,MATCH(C204,Ingredients!$B$6:$B$105,0))),0))</f>
        <v/>
      </c>
      <c r="S204">
        <f>IF(OR(B204="",C204=""),0,IFERROR(N(INDEX(Ingredients!$AL$6:$AL$105,MATCH(C204,Ingredients!$B$6:$B$105,0))),0))</f>
        <v/>
      </c>
      <c r="T204">
        <f>IF(OR(B204="",C204=""),0,IFERROR(N(INDEX(Ingredients!$AM$6:$AM$105,MATCH(C204,Ingredients!$B$6:$B$105,0))),0))</f>
        <v/>
      </c>
      <c r="U204">
        <f>IF(OR(B204="",C204=""),0,IFERROR(N(INDEX(Ingredients!$AN$6:$AN$105,MATCH(C204,Ingredients!$B$6:$B$105,0))),0))</f>
        <v/>
      </c>
      <c r="V204">
        <f>IF(OR(B204="",C204=""),0,IFERROR(N(INDEX(Ingredients!$AO$6:$AO$105,MATCH(C204,Ingredients!$B$6:$B$105,0))),0))</f>
        <v/>
      </c>
      <c r="W204">
        <f>IF(OR(B204="",C204=""),0,IFERROR(N(INDEX(Ingredients!$AP$6:$AP$105,MATCH(C204,Ingredients!$B$6:$B$105,0))),0))</f>
        <v/>
      </c>
      <c r="X204">
        <f>IF(OR(B204="",C204=""),0,IFERROR(N(INDEX(Ingredients!$AQ$6:$AQ$105,MATCH(C204,Ingredients!$B$6:$B$105,0))),0))</f>
        <v/>
      </c>
    </row>
    <row r="205">
      <c r="A205" s="1" t="n"/>
      <c r="B205" s="21" t="n"/>
      <c r="C205" s="39" t="n"/>
      <c r="D205" s="40" t="n"/>
      <c r="E205" s="12">
        <f>IF(C205="","",IF(ISNA(MATCH(C205,Ingredients!$B$6:$B$105,0)),"Not on Ingredients",IFERROR(IF(INDEX(Ingredients!$C$6:$C$105,MATCH(C205,Ingredients!$B$6:$B$105,0))="","",INDEX(Ingredients!$C$6:$C$105,MATCH(C205,Ingredients!$B$6:$B$105,0))),"")))</f>
        <v/>
      </c>
      <c r="F205" s="26">
        <f>IF(OR(B205="",C205=""),"",N(D205)*IFERROR(N(INDEX(Ingredients!$H$6:$H$105,MATCH(C205,Ingredients!$B$6:$B$105,0))),0))</f>
        <v/>
      </c>
      <c r="G205" s="1">
        <f>IF(OR(B205="",C205=""),0,IFERROR(N(INDEX(Products!$D$6:$D$45,MATCH(B205,Products!$B$6:$B$45,0))),0))</f>
        <v/>
      </c>
      <c r="H205">
        <f>IF(N(G205)=0,0,N(D205)*SUMIFS(Batches!$D$6:$D$505,Batches!$C$6:$C$505,B205)/G205)</f>
        <v/>
      </c>
      <c r="I205">
        <f>IF(OR(B205="",C205=""),"",IF(B205&lt;&gt;Label!$H$3,"",IF(IFERROR(N(INDEX(Ingredients!$AS$6:$AS$105,MATCH(C205,Ingredients!$B$6:$B$105,0))),0)=1,"",ROUND(N(D205)*1000,0)*100000+100000-ROW())))</f>
        <v/>
      </c>
      <c r="J205">
        <f>IF(OR(B205="",C205=""),0,IFERROR(N(INDEX(Ingredients!$AC$6:$AC$105,MATCH(C205,Ingredients!$B$6:$B$105,0))),0))</f>
        <v/>
      </c>
      <c r="K205">
        <f>IF(OR(B205="",C205=""),0,IFERROR(N(INDEX(Ingredients!$AD$6:$AD$105,MATCH(C205,Ingredients!$B$6:$B$105,0))),0))</f>
        <v/>
      </c>
      <c r="L205">
        <f>IF(OR(B205="",C205=""),0,IFERROR(N(INDEX(Ingredients!$AE$6:$AE$105,MATCH(C205,Ingredients!$B$6:$B$105,0))),0))</f>
        <v/>
      </c>
      <c r="M205">
        <f>IF(OR(B205="",C205=""),0,IFERROR(N(INDEX(Ingredients!$AF$6:$AF$105,MATCH(C205,Ingredients!$B$6:$B$105,0))),0))</f>
        <v/>
      </c>
      <c r="N205">
        <f>IF(OR(B205="",C205=""),0,IFERROR(N(INDEX(Ingredients!$AG$6:$AG$105,MATCH(C205,Ingredients!$B$6:$B$105,0))),0))</f>
        <v/>
      </c>
      <c r="O205">
        <f>IF(OR(B205="",C205=""),0,IFERROR(N(INDEX(Ingredients!$AH$6:$AH$105,MATCH(C205,Ingredients!$B$6:$B$105,0))),0))</f>
        <v/>
      </c>
      <c r="P205">
        <f>IF(OR(B205="",C205=""),0,IFERROR(N(INDEX(Ingredients!$AI$6:$AI$105,MATCH(C205,Ingredients!$B$6:$B$105,0))),0))</f>
        <v/>
      </c>
      <c r="Q205">
        <f>IF(OR(B205="",C205=""),0,IFERROR(N(INDEX(Ingredients!$AJ$6:$AJ$105,MATCH(C205,Ingredients!$B$6:$B$105,0))),0))</f>
        <v/>
      </c>
      <c r="R205">
        <f>IF(OR(B205="",C205=""),0,IFERROR(N(INDEX(Ingredients!$AK$6:$AK$105,MATCH(C205,Ingredients!$B$6:$B$105,0))),0))</f>
        <v/>
      </c>
      <c r="S205">
        <f>IF(OR(B205="",C205=""),0,IFERROR(N(INDEX(Ingredients!$AL$6:$AL$105,MATCH(C205,Ingredients!$B$6:$B$105,0))),0))</f>
        <v/>
      </c>
      <c r="T205">
        <f>IF(OR(B205="",C205=""),0,IFERROR(N(INDEX(Ingredients!$AM$6:$AM$105,MATCH(C205,Ingredients!$B$6:$B$105,0))),0))</f>
        <v/>
      </c>
      <c r="U205">
        <f>IF(OR(B205="",C205=""),0,IFERROR(N(INDEX(Ingredients!$AN$6:$AN$105,MATCH(C205,Ingredients!$B$6:$B$105,0))),0))</f>
        <v/>
      </c>
      <c r="V205">
        <f>IF(OR(B205="",C205=""),0,IFERROR(N(INDEX(Ingredients!$AO$6:$AO$105,MATCH(C205,Ingredients!$B$6:$B$105,0))),0))</f>
        <v/>
      </c>
      <c r="W205">
        <f>IF(OR(B205="",C205=""),0,IFERROR(N(INDEX(Ingredients!$AP$6:$AP$105,MATCH(C205,Ingredients!$B$6:$B$105,0))),0))</f>
        <v/>
      </c>
      <c r="X205">
        <f>IF(OR(B205="",C205=""),0,IFERROR(N(INDEX(Ingredients!$AQ$6:$AQ$105,MATCH(C205,Ingredients!$B$6:$B$105,0))),0))</f>
        <v/>
      </c>
    </row>
    <row r="206">
      <c r="A206" s="1" t="n"/>
      <c r="B206" s="21" t="n"/>
      <c r="C206" s="39" t="n"/>
      <c r="D206" s="40" t="n"/>
      <c r="E206" s="12">
        <f>IF(C206="","",IF(ISNA(MATCH(C206,Ingredients!$B$6:$B$105,0)),"Not on Ingredients",IFERROR(IF(INDEX(Ingredients!$C$6:$C$105,MATCH(C206,Ingredients!$B$6:$B$105,0))="","",INDEX(Ingredients!$C$6:$C$105,MATCH(C206,Ingredients!$B$6:$B$105,0))),"")))</f>
        <v/>
      </c>
      <c r="F206" s="26">
        <f>IF(OR(B206="",C206=""),"",N(D206)*IFERROR(N(INDEX(Ingredients!$H$6:$H$105,MATCH(C206,Ingredients!$B$6:$B$105,0))),0))</f>
        <v/>
      </c>
      <c r="G206" s="1">
        <f>IF(OR(B206="",C206=""),0,IFERROR(N(INDEX(Products!$D$6:$D$45,MATCH(B206,Products!$B$6:$B$45,0))),0))</f>
        <v/>
      </c>
      <c r="H206">
        <f>IF(N(G206)=0,0,N(D206)*SUMIFS(Batches!$D$6:$D$505,Batches!$C$6:$C$505,B206)/G206)</f>
        <v/>
      </c>
      <c r="I206">
        <f>IF(OR(B206="",C206=""),"",IF(B206&lt;&gt;Label!$H$3,"",IF(IFERROR(N(INDEX(Ingredients!$AS$6:$AS$105,MATCH(C206,Ingredients!$B$6:$B$105,0))),0)=1,"",ROUND(N(D206)*1000,0)*100000+100000-ROW())))</f>
        <v/>
      </c>
      <c r="J206">
        <f>IF(OR(B206="",C206=""),0,IFERROR(N(INDEX(Ingredients!$AC$6:$AC$105,MATCH(C206,Ingredients!$B$6:$B$105,0))),0))</f>
        <v/>
      </c>
      <c r="K206">
        <f>IF(OR(B206="",C206=""),0,IFERROR(N(INDEX(Ingredients!$AD$6:$AD$105,MATCH(C206,Ingredients!$B$6:$B$105,0))),0))</f>
        <v/>
      </c>
      <c r="L206">
        <f>IF(OR(B206="",C206=""),0,IFERROR(N(INDEX(Ingredients!$AE$6:$AE$105,MATCH(C206,Ingredients!$B$6:$B$105,0))),0))</f>
        <v/>
      </c>
      <c r="M206">
        <f>IF(OR(B206="",C206=""),0,IFERROR(N(INDEX(Ingredients!$AF$6:$AF$105,MATCH(C206,Ingredients!$B$6:$B$105,0))),0))</f>
        <v/>
      </c>
      <c r="N206">
        <f>IF(OR(B206="",C206=""),0,IFERROR(N(INDEX(Ingredients!$AG$6:$AG$105,MATCH(C206,Ingredients!$B$6:$B$105,0))),0))</f>
        <v/>
      </c>
      <c r="O206">
        <f>IF(OR(B206="",C206=""),0,IFERROR(N(INDEX(Ingredients!$AH$6:$AH$105,MATCH(C206,Ingredients!$B$6:$B$105,0))),0))</f>
        <v/>
      </c>
      <c r="P206">
        <f>IF(OR(B206="",C206=""),0,IFERROR(N(INDEX(Ingredients!$AI$6:$AI$105,MATCH(C206,Ingredients!$B$6:$B$105,0))),0))</f>
        <v/>
      </c>
      <c r="Q206">
        <f>IF(OR(B206="",C206=""),0,IFERROR(N(INDEX(Ingredients!$AJ$6:$AJ$105,MATCH(C206,Ingredients!$B$6:$B$105,0))),0))</f>
        <v/>
      </c>
      <c r="R206">
        <f>IF(OR(B206="",C206=""),0,IFERROR(N(INDEX(Ingredients!$AK$6:$AK$105,MATCH(C206,Ingredients!$B$6:$B$105,0))),0))</f>
        <v/>
      </c>
      <c r="S206">
        <f>IF(OR(B206="",C206=""),0,IFERROR(N(INDEX(Ingredients!$AL$6:$AL$105,MATCH(C206,Ingredients!$B$6:$B$105,0))),0))</f>
        <v/>
      </c>
      <c r="T206">
        <f>IF(OR(B206="",C206=""),0,IFERROR(N(INDEX(Ingredients!$AM$6:$AM$105,MATCH(C206,Ingredients!$B$6:$B$105,0))),0))</f>
        <v/>
      </c>
      <c r="U206">
        <f>IF(OR(B206="",C206=""),0,IFERROR(N(INDEX(Ingredients!$AN$6:$AN$105,MATCH(C206,Ingredients!$B$6:$B$105,0))),0))</f>
        <v/>
      </c>
      <c r="V206">
        <f>IF(OR(B206="",C206=""),0,IFERROR(N(INDEX(Ingredients!$AO$6:$AO$105,MATCH(C206,Ingredients!$B$6:$B$105,0))),0))</f>
        <v/>
      </c>
      <c r="W206">
        <f>IF(OR(B206="",C206=""),0,IFERROR(N(INDEX(Ingredients!$AP$6:$AP$105,MATCH(C206,Ingredients!$B$6:$B$105,0))),0))</f>
        <v/>
      </c>
      <c r="X206">
        <f>IF(OR(B206="",C206=""),0,IFERROR(N(INDEX(Ingredients!$AQ$6:$AQ$105,MATCH(C206,Ingredients!$B$6:$B$105,0))),0))</f>
        <v/>
      </c>
    </row>
    <row r="207">
      <c r="A207" s="1" t="n"/>
      <c r="B207" s="21" t="n"/>
      <c r="C207" s="39" t="n"/>
      <c r="D207" s="40" t="n"/>
      <c r="E207" s="12">
        <f>IF(C207="","",IF(ISNA(MATCH(C207,Ingredients!$B$6:$B$105,0)),"Not on Ingredients",IFERROR(IF(INDEX(Ingredients!$C$6:$C$105,MATCH(C207,Ingredients!$B$6:$B$105,0))="","",INDEX(Ingredients!$C$6:$C$105,MATCH(C207,Ingredients!$B$6:$B$105,0))),"")))</f>
        <v/>
      </c>
      <c r="F207" s="26">
        <f>IF(OR(B207="",C207=""),"",N(D207)*IFERROR(N(INDEX(Ingredients!$H$6:$H$105,MATCH(C207,Ingredients!$B$6:$B$105,0))),0))</f>
        <v/>
      </c>
      <c r="G207" s="1">
        <f>IF(OR(B207="",C207=""),0,IFERROR(N(INDEX(Products!$D$6:$D$45,MATCH(B207,Products!$B$6:$B$45,0))),0))</f>
        <v/>
      </c>
      <c r="H207">
        <f>IF(N(G207)=0,0,N(D207)*SUMIFS(Batches!$D$6:$D$505,Batches!$C$6:$C$505,B207)/G207)</f>
        <v/>
      </c>
      <c r="I207">
        <f>IF(OR(B207="",C207=""),"",IF(B207&lt;&gt;Label!$H$3,"",IF(IFERROR(N(INDEX(Ingredients!$AS$6:$AS$105,MATCH(C207,Ingredients!$B$6:$B$105,0))),0)=1,"",ROUND(N(D207)*1000,0)*100000+100000-ROW())))</f>
        <v/>
      </c>
      <c r="J207">
        <f>IF(OR(B207="",C207=""),0,IFERROR(N(INDEX(Ingredients!$AC$6:$AC$105,MATCH(C207,Ingredients!$B$6:$B$105,0))),0))</f>
        <v/>
      </c>
      <c r="K207">
        <f>IF(OR(B207="",C207=""),0,IFERROR(N(INDEX(Ingredients!$AD$6:$AD$105,MATCH(C207,Ingredients!$B$6:$B$105,0))),0))</f>
        <v/>
      </c>
      <c r="L207">
        <f>IF(OR(B207="",C207=""),0,IFERROR(N(INDEX(Ingredients!$AE$6:$AE$105,MATCH(C207,Ingredients!$B$6:$B$105,0))),0))</f>
        <v/>
      </c>
      <c r="M207">
        <f>IF(OR(B207="",C207=""),0,IFERROR(N(INDEX(Ingredients!$AF$6:$AF$105,MATCH(C207,Ingredients!$B$6:$B$105,0))),0))</f>
        <v/>
      </c>
      <c r="N207">
        <f>IF(OR(B207="",C207=""),0,IFERROR(N(INDEX(Ingredients!$AG$6:$AG$105,MATCH(C207,Ingredients!$B$6:$B$105,0))),0))</f>
        <v/>
      </c>
      <c r="O207">
        <f>IF(OR(B207="",C207=""),0,IFERROR(N(INDEX(Ingredients!$AH$6:$AH$105,MATCH(C207,Ingredients!$B$6:$B$105,0))),0))</f>
        <v/>
      </c>
      <c r="P207">
        <f>IF(OR(B207="",C207=""),0,IFERROR(N(INDEX(Ingredients!$AI$6:$AI$105,MATCH(C207,Ingredients!$B$6:$B$105,0))),0))</f>
        <v/>
      </c>
      <c r="Q207">
        <f>IF(OR(B207="",C207=""),0,IFERROR(N(INDEX(Ingredients!$AJ$6:$AJ$105,MATCH(C207,Ingredients!$B$6:$B$105,0))),0))</f>
        <v/>
      </c>
      <c r="R207">
        <f>IF(OR(B207="",C207=""),0,IFERROR(N(INDEX(Ingredients!$AK$6:$AK$105,MATCH(C207,Ingredients!$B$6:$B$105,0))),0))</f>
        <v/>
      </c>
      <c r="S207">
        <f>IF(OR(B207="",C207=""),0,IFERROR(N(INDEX(Ingredients!$AL$6:$AL$105,MATCH(C207,Ingredients!$B$6:$B$105,0))),0))</f>
        <v/>
      </c>
      <c r="T207">
        <f>IF(OR(B207="",C207=""),0,IFERROR(N(INDEX(Ingredients!$AM$6:$AM$105,MATCH(C207,Ingredients!$B$6:$B$105,0))),0))</f>
        <v/>
      </c>
      <c r="U207">
        <f>IF(OR(B207="",C207=""),0,IFERROR(N(INDEX(Ingredients!$AN$6:$AN$105,MATCH(C207,Ingredients!$B$6:$B$105,0))),0))</f>
        <v/>
      </c>
      <c r="V207">
        <f>IF(OR(B207="",C207=""),0,IFERROR(N(INDEX(Ingredients!$AO$6:$AO$105,MATCH(C207,Ingredients!$B$6:$B$105,0))),0))</f>
        <v/>
      </c>
      <c r="W207">
        <f>IF(OR(B207="",C207=""),0,IFERROR(N(INDEX(Ingredients!$AP$6:$AP$105,MATCH(C207,Ingredients!$B$6:$B$105,0))),0))</f>
        <v/>
      </c>
      <c r="X207">
        <f>IF(OR(B207="",C207=""),0,IFERROR(N(INDEX(Ingredients!$AQ$6:$AQ$105,MATCH(C207,Ingredients!$B$6:$B$105,0))),0))</f>
        <v/>
      </c>
    </row>
    <row r="208">
      <c r="A208" s="1" t="n"/>
      <c r="B208" s="21" t="n"/>
      <c r="C208" s="39" t="n"/>
      <c r="D208" s="40" t="n"/>
      <c r="E208" s="12">
        <f>IF(C208="","",IF(ISNA(MATCH(C208,Ingredients!$B$6:$B$105,0)),"Not on Ingredients",IFERROR(IF(INDEX(Ingredients!$C$6:$C$105,MATCH(C208,Ingredients!$B$6:$B$105,0))="","",INDEX(Ingredients!$C$6:$C$105,MATCH(C208,Ingredients!$B$6:$B$105,0))),"")))</f>
        <v/>
      </c>
      <c r="F208" s="26">
        <f>IF(OR(B208="",C208=""),"",N(D208)*IFERROR(N(INDEX(Ingredients!$H$6:$H$105,MATCH(C208,Ingredients!$B$6:$B$105,0))),0))</f>
        <v/>
      </c>
      <c r="G208" s="1">
        <f>IF(OR(B208="",C208=""),0,IFERROR(N(INDEX(Products!$D$6:$D$45,MATCH(B208,Products!$B$6:$B$45,0))),0))</f>
        <v/>
      </c>
      <c r="H208">
        <f>IF(N(G208)=0,0,N(D208)*SUMIFS(Batches!$D$6:$D$505,Batches!$C$6:$C$505,B208)/G208)</f>
        <v/>
      </c>
      <c r="I208">
        <f>IF(OR(B208="",C208=""),"",IF(B208&lt;&gt;Label!$H$3,"",IF(IFERROR(N(INDEX(Ingredients!$AS$6:$AS$105,MATCH(C208,Ingredients!$B$6:$B$105,0))),0)=1,"",ROUND(N(D208)*1000,0)*100000+100000-ROW())))</f>
        <v/>
      </c>
      <c r="J208">
        <f>IF(OR(B208="",C208=""),0,IFERROR(N(INDEX(Ingredients!$AC$6:$AC$105,MATCH(C208,Ingredients!$B$6:$B$105,0))),0))</f>
        <v/>
      </c>
      <c r="K208">
        <f>IF(OR(B208="",C208=""),0,IFERROR(N(INDEX(Ingredients!$AD$6:$AD$105,MATCH(C208,Ingredients!$B$6:$B$105,0))),0))</f>
        <v/>
      </c>
      <c r="L208">
        <f>IF(OR(B208="",C208=""),0,IFERROR(N(INDEX(Ingredients!$AE$6:$AE$105,MATCH(C208,Ingredients!$B$6:$B$105,0))),0))</f>
        <v/>
      </c>
      <c r="M208">
        <f>IF(OR(B208="",C208=""),0,IFERROR(N(INDEX(Ingredients!$AF$6:$AF$105,MATCH(C208,Ingredients!$B$6:$B$105,0))),0))</f>
        <v/>
      </c>
      <c r="N208">
        <f>IF(OR(B208="",C208=""),0,IFERROR(N(INDEX(Ingredients!$AG$6:$AG$105,MATCH(C208,Ingredients!$B$6:$B$105,0))),0))</f>
        <v/>
      </c>
      <c r="O208">
        <f>IF(OR(B208="",C208=""),0,IFERROR(N(INDEX(Ingredients!$AH$6:$AH$105,MATCH(C208,Ingredients!$B$6:$B$105,0))),0))</f>
        <v/>
      </c>
      <c r="P208">
        <f>IF(OR(B208="",C208=""),0,IFERROR(N(INDEX(Ingredients!$AI$6:$AI$105,MATCH(C208,Ingredients!$B$6:$B$105,0))),0))</f>
        <v/>
      </c>
      <c r="Q208">
        <f>IF(OR(B208="",C208=""),0,IFERROR(N(INDEX(Ingredients!$AJ$6:$AJ$105,MATCH(C208,Ingredients!$B$6:$B$105,0))),0))</f>
        <v/>
      </c>
      <c r="R208">
        <f>IF(OR(B208="",C208=""),0,IFERROR(N(INDEX(Ingredients!$AK$6:$AK$105,MATCH(C208,Ingredients!$B$6:$B$105,0))),0))</f>
        <v/>
      </c>
      <c r="S208">
        <f>IF(OR(B208="",C208=""),0,IFERROR(N(INDEX(Ingredients!$AL$6:$AL$105,MATCH(C208,Ingredients!$B$6:$B$105,0))),0))</f>
        <v/>
      </c>
      <c r="T208">
        <f>IF(OR(B208="",C208=""),0,IFERROR(N(INDEX(Ingredients!$AM$6:$AM$105,MATCH(C208,Ingredients!$B$6:$B$105,0))),0))</f>
        <v/>
      </c>
      <c r="U208">
        <f>IF(OR(B208="",C208=""),0,IFERROR(N(INDEX(Ingredients!$AN$6:$AN$105,MATCH(C208,Ingredients!$B$6:$B$105,0))),0))</f>
        <v/>
      </c>
      <c r="V208">
        <f>IF(OR(B208="",C208=""),0,IFERROR(N(INDEX(Ingredients!$AO$6:$AO$105,MATCH(C208,Ingredients!$B$6:$B$105,0))),0))</f>
        <v/>
      </c>
      <c r="W208">
        <f>IF(OR(B208="",C208=""),0,IFERROR(N(INDEX(Ingredients!$AP$6:$AP$105,MATCH(C208,Ingredients!$B$6:$B$105,0))),0))</f>
        <v/>
      </c>
      <c r="X208">
        <f>IF(OR(B208="",C208=""),0,IFERROR(N(INDEX(Ingredients!$AQ$6:$AQ$105,MATCH(C208,Ingredients!$B$6:$B$105,0))),0))</f>
        <v/>
      </c>
    </row>
    <row r="209">
      <c r="A209" s="1" t="n"/>
      <c r="B209" s="21" t="n"/>
      <c r="C209" s="39" t="n"/>
      <c r="D209" s="40" t="n"/>
      <c r="E209" s="12">
        <f>IF(C209="","",IF(ISNA(MATCH(C209,Ingredients!$B$6:$B$105,0)),"Not on Ingredients",IFERROR(IF(INDEX(Ingredients!$C$6:$C$105,MATCH(C209,Ingredients!$B$6:$B$105,0))="","",INDEX(Ingredients!$C$6:$C$105,MATCH(C209,Ingredients!$B$6:$B$105,0))),"")))</f>
        <v/>
      </c>
      <c r="F209" s="26">
        <f>IF(OR(B209="",C209=""),"",N(D209)*IFERROR(N(INDEX(Ingredients!$H$6:$H$105,MATCH(C209,Ingredients!$B$6:$B$105,0))),0))</f>
        <v/>
      </c>
      <c r="G209" s="1">
        <f>IF(OR(B209="",C209=""),0,IFERROR(N(INDEX(Products!$D$6:$D$45,MATCH(B209,Products!$B$6:$B$45,0))),0))</f>
        <v/>
      </c>
      <c r="H209">
        <f>IF(N(G209)=0,0,N(D209)*SUMIFS(Batches!$D$6:$D$505,Batches!$C$6:$C$505,B209)/G209)</f>
        <v/>
      </c>
      <c r="I209">
        <f>IF(OR(B209="",C209=""),"",IF(B209&lt;&gt;Label!$H$3,"",IF(IFERROR(N(INDEX(Ingredients!$AS$6:$AS$105,MATCH(C209,Ingredients!$B$6:$B$105,0))),0)=1,"",ROUND(N(D209)*1000,0)*100000+100000-ROW())))</f>
        <v/>
      </c>
      <c r="J209">
        <f>IF(OR(B209="",C209=""),0,IFERROR(N(INDEX(Ingredients!$AC$6:$AC$105,MATCH(C209,Ingredients!$B$6:$B$105,0))),0))</f>
        <v/>
      </c>
      <c r="K209">
        <f>IF(OR(B209="",C209=""),0,IFERROR(N(INDEX(Ingredients!$AD$6:$AD$105,MATCH(C209,Ingredients!$B$6:$B$105,0))),0))</f>
        <v/>
      </c>
      <c r="L209">
        <f>IF(OR(B209="",C209=""),0,IFERROR(N(INDEX(Ingredients!$AE$6:$AE$105,MATCH(C209,Ingredients!$B$6:$B$105,0))),0))</f>
        <v/>
      </c>
      <c r="M209">
        <f>IF(OR(B209="",C209=""),0,IFERROR(N(INDEX(Ingredients!$AF$6:$AF$105,MATCH(C209,Ingredients!$B$6:$B$105,0))),0))</f>
        <v/>
      </c>
      <c r="N209">
        <f>IF(OR(B209="",C209=""),0,IFERROR(N(INDEX(Ingredients!$AG$6:$AG$105,MATCH(C209,Ingredients!$B$6:$B$105,0))),0))</f>
        <v/>
      </c>
      <c r="O209">
        <f>IF(OR(B209="",C209=""),0,IFERROR(N(INDEX(Ingredients!$AH$6:$AH$105,MATCH(C209,Ingredients!$B$6:$B$105,0))),0))</f>
        <v/>
      </c>
      <c r="P209">
        <f>IF(OR(B209="",C209=""),0,IFERROR(N(INDEX(Ingredients!$AI$6:$AI$105,MATCH(C209,Ingredients!$B$6:$B$105,0))),0))</f>
        <v/>
      </c>
      <c r="Q209">
        <f>IF(OR(B209="",C209=""),0,IFERROR(N(INDEX(Ingredients!$AJ$6:$AJ$105,MATCH(C209,Ingredients!$B$6:$B$105,0))),0))</f>
        <v/>
      </c>
      <c r="R209">
        <f>IF(OR(B209="",C209=""),0,IFERROR(N(INDEX(Ingredients!$AK$6:$AK$105,MATCH(C209,Ingredients!$B$6:$B$105,0))),0))</f>
        <v/>
      </c>
      <c r="S209">
        <f>IF(OR(B209="",C209=""),0,IFERROR(N(INDEX(Ingredients!$AL$6:$AL$105,MATCH(C209,Ingredients!$B$6:$B$105,0))),0))</f>
        <v/>
      </c>
      <c r="T209">
        <f>IF(OR(B209="",C209=""),0,IFERROR(N(INDEX(Ingredients!$AM$6:$AM$105,MATCH(C209,Ingredients!$B$6:$B$105,0))),0))</f>
        <v/>
      </c>
      <c r="U209">
        <f>IF(OR(B209="",C209=""),0,IFERROR(N(INDEX(Ingredients!$AN$6:$AN$105,MATCH(C209,Ingredients!$B$6:$B$105,0))),0))</f>
        <v/>
      </c>
      <c r="V209">
        <f>IF(OR(B209="",C209=""),0,IFERROR(N(INDEX(Ingredients!$AO$6:$AO$105,MATCH(C209,Ingredients!$B$6:$B$105,0))),0))</f>
        <v/>
      </c>
      <c r="W209">
        <f>IF(OR(B209="",C209=""),0,IFERROR(N(INDEX(Ingredients!$AP$6:$AP$105,MATCH(C209,Ingredients!$B$6:$B$105,0))),0))</f>
        <v/>
      </c>
      <c r="X209">
        <f>IF(OR(B209="",C209=""),0,IFERROR(N(INDEX(Ingredients!$AQ$6:$AQ$105,MATCH(C209,Ingredients!$B$6:$B$105,0))),0))</f>
        <v/>
      </c>
    </row>
    <row r="210">
      <c r="A210" s="1" t="n"/>
      <c r="B210" s="21" t="n"/>
      <c r="C210" s="39" t="n"/>
      <c r="D210" s="40" t="n"/>
      <c r="E210" s="12">
        <f>IF(C210="","",IF(ISNA(MATCH(C210,Ingredients!$B$6:$B$105,0)),"Not on Ingredients",IFERROR(IF(INDEX(Ingredients!$C$6:$C$105,MATCH(C210,Ingredients!$B$6:$B$105,0))="","",INDEX(Ingredients!$C$6:$C$105,MATCH(C210,Ingredients!$B$6:$B$105,0))),"")))</f>
        <v/>
      </c>
      <c r="F210" s="26">
        <f>IF(OR(B210="",C210=""),"",N(D210)*IFERROR(N(INDEX(Ingredients!$H$6:$H$105,MATCH(C210,Ingredients!$B$6:$B$105,0))),0))</f>
        <v/>
      </c>
      <c r="G210" s="1">
        <f>IF(OR(B210="",C210=""),0,IFERROR(N(INDEX(Products!$D$6:$D$45,MATCH(B210,Products!$B$6:$B$45,0))),0))</f>
        <v/>
      </c>
      <c r="H210">
        <f>IF(N(G210)=0,0,N(D210)*SUMIFS(Batches!$D$6:$D$505,Batches!$C$6:$C$505,B210)/G210)</f>
        <v/>
      </c>
      <c r="I210">
        <f>IF(OR(B210="",C210=""),"",IF(B210&lt;&gt;Label!$H$3,"",IF(IFERROR(N(INDEX(Ingredients!$AS$6:$AS$105,MATCH(C210,Ingredients!$B$6:$B$105,0))),0)=1,"",ROUND(N(D210)*1000,0)*100000+100000-ROW())))</f>
        <v/>
      </c>
      <c r="J210">
        <f>IF(OR(B210="",C210=""),0,IFERROR(N(INDEX(Ingredients!$AC$6:$AC$105,MATCH(C210,Ingredients!$B$6:$B$105,0))),0))</f>
        <v/>
      </c>
      <c r="K210">
        <f>IF(OR(B210="",C210=""),0,IFERROR(N(INDEX(Ingredients!$AD$6:$AD$105,MATCH(C210,Ingredients!$B$6:$B$105,0))),0))</f>
        <v/>
      </c>
      <c r="L210">
        <f>IF(OR(B210="",C210=""),0,IFERROR(N(INDEX(Ingredients!$AE$6:$AE$105,MATCH(C210,Ingredients!$B$6:$B$105,0))),0))</f>
        <v/>
      </c>
      <c r="M210">
        <f>IF(OR(B210="",C210=""),0,IFERROR(N(INDEX(Ingredients!$AF$6:$AF$105,MATCH(C210,Ingredients!$B$6:$B$105,0))),0))</f>
        <v/>
      </c>
      <c r="N210">
        <f>IF(OR(B210="",C210=""),0,IFERROR(N(INDEX(Ingredients!$AG$6:$AG$105,MATCH(C210,Ingredients!$B$6:$B$105,0))),0))</f>
        <v/>
      </c>
      <c r="O210">
        <f>IF(OR(B210="",C210=""),0,IFERROR(N(INDEX(Ingredients!$AH$6:$AH$105,MATCH(C210,Ingredients!$B$6:$B$105,0))),0))</f>
        <v/>
      </c>
      <c r="P210">
        <f>IF(OR(B210="",C210=""),0,IFERROR(N(INDEX(Ingredients!$AI$6:$AI$105,MATCH(C210,Ingredients!$B$6:$B$105,0))),0))</f>
        <v/>
      </c>
      <c r="Q210">
        <f>IF(OR(B210="",C210=""),0,IFERROR(N(INDEX(Ingredients!$AJ$6:$AJ$105,MATCH(C210,Ingredients!$B$6:$B$105,0))),0))</f>
        <v/>
      </c>
      <c r="R210">
        <f>IF(OR(B210="",C210=""),0,IFERROR(N(INDEX(Ingredients!$AK$6:$AK$105,MATCH(C210,Ingredients!$B$6:$B$105,0))),0))</f>
        <v/>
      </c>
      <c r="S210">
        <f>IF(OR(B210="",C210=""),0,IFERROR(N(INDEX(Ingredients!$AL$6:$AL$105,MATCH(C210,Ingredients!$B$6:$B$105,0))),0))</f>
        <v/>
      </c>
      <c r="T210">
        <f>IF(OR(B210="",C210=""),0,IFERROR(N(INDEX(Ingredients!$AM$6:$AM$105,MATCH(C210,Ingredients!$B$6:$B$105,0))),0))</f>
        <v/>
      </c>
      <c r="U210">
        <f>IF(OR(B210="",C210=""),0,IFERROR(N(INDEX(Ingredients!$AN$6:$AN$105,MATCH(C210,Ingredients!$B$6:$B$105,0))),0))</f>
        <v/>
      </c>
      <c r="V210">
        <f>IF(OR(B210="",C210=""),0,IFERROR(N(INDEX(Ingredients!$AO$6:$AO$105,MATCH(C210,Ingredients!$B$6:$B$105,0))),0))</f>
        <v/>
      </c>
      <c r="W210">
        <f>IF(OR(B210="",C210=""),0,IFERROR(N(INDEX(Ingredients!$AP$6:$AP$105,MATCH(C210,Ingredients!$B$6:$B$105,0))),0))</f>
        <v/>
      </c>
      <c r="X210">
        <f>IF(OR(B210="",C210=""),0,IFERROR(N(INDEX(Ingredients!$AQ$6:$AQ$105,MATCH(C210,Ingredients!$B$6:$B$105,0))),0))</f>
        <v/>
      </c>
    </row>
    <row r="211">
      <c r="A211" s="1" t="n"/>
      <c r="B211" s="21" t="n"/>
      <c r="C211" s="39" t="n"/>
      <c r="D211" s="40" t="n"/>
      <c r="E211" s="12">
        <f>IF(C211="","",IF(ISNA(MATCH(C211,Ingredients!$B$6:$B$105,0)),"Not on Ingredients",IFERROR(IF(INDEX(Ingredients!$C$6:$C$105,MATCH(C211,Ingredients!$B$6:$B$105,0))="","",INDEX(Ingredients!$C$6:$C$105,MATCH(C211,Ingredients!$B$6:$B$105,0))),"")))</f>
        <v/>
      </c>
      <c r="F211" s="26">
        <f>IF(OR(B211="",C211=""),"",N(D211)*IFERROR(N(INDEX(Ingredients!$H$6:$H$105,MATCH(C211,Ingredients!$B$6:$B$105,0))),0))</f>
        <v/>
      </c>
      <c r="G211" s="1">
        <f>IF(OR(B211="",C211=""),0,IFERROR(N(INDEX(Products!$D$6:$D$45,MATCH(B211,Products!$B$6:$B$45,0))),0))</f>
        <v/>
      </c>
      <c r="H211">
        <f>IF(N(G211)=0,0,N(D211)*SUMIFS(Batches!$D$6:$D$505,Batches!$C$6:$C$505,B211)/G211)</f>
        <v/>
      </c>
      <c r="I211">
        <f>IF(OR(B211="",C211=""),"",IF(B211&lt;&gt;Label!$H$3,"",IF(IFERROR(N(INDEX(Ingredients!$AS$6:$AS$105,MATCH(C211,Ingredients!$B$6:$B$105,0))),0)=1,"",ROUND(N(D211)*1000,0)*100000+100000-ROW())))</f>
        <v/>
      </c>
      <c r="J211">
        <f>IF(OR(B211="",C211=""),0,IFERROR(N(INDEX(Ingredients!$AC$6:$AC$105,MATCH(C211,Ingredients!$B$6:$B$105,0))),0))</f>
        <v/>
      </c>
      <c r="K211">
        <f>IF(OR(B211="",C211=""),0,IFERROR(N(INDEX(Ingredients!$AD$6:$AD$105,MATCH(C211,Ingredients!$B$6:$B$105,0))),0))</f>
        <v/>
      </c>
      <c r="L211">
        <f>IF(OR(B211="",C211=""),0,IFERROR(N(INDEX(Ingredients!$AE$6:$AE$105,MATCH(C211,Ingredients!$B$6:$B$105,0))),0))</f>
        <v/>
      </c>
      <c r="M211">
        <f>IF(OR(B211="",C211=""),0,IFERROR(N(INDEX(Ingredients!$AF$6:$AF$105,MATCH(C211,Ingredients!$B$6:$B$105,0))),0))</f>
        <v/>
      </c>
      <c r="N211">
        <f>IF(OR(B211="",C211=""),0,IFERROR(N(INDEX(Ingredients!$AG$6:$AG$105,MATCH(C211,Ingredients!$B$6:$B$105,0))),0))</f>
        <v/>
      </c>
      <c r="O211">
        <f>IF(OR(B211="",C211=""),0,IFERROR(N(INDEX(Ingredients!$AH$6:$AH$105,MATCH(C211,Ingredients!$B$6:$B$105,0))),0))</f>
        <v/>
      </c>
      <c r="P211">
        <f>IF(OR(B211="",C211=""),0,IFERROR(N(INDEX(Ingredients!$AI$6:$AI$105,MATCH(C211,Ingredients!$B$6:$B$105,0))),0))</f>
        <v/>
      </c>
      <c r="Q211">
        <f>IF(OR(B211="",C211=""),0,IFERROR(N(INDEX(Ingredients!$AJ$6:$AJ$105,MATCH(C211,Ingredients!$B$6:$B$105,0))),0))</f>
        <v/>
      </c>
      <c r="R211">
        <f>IF(OR(B211="",C211=""),0,IFERROR(N(INDEX(Ingredients!$AK$6:$AK$105,MATCH(C211,Ingredients!$B$6:$B$105,0))),0))</f>
        <v/>
      </c>
      <c r="S211">
        <f>IF(OR(B211="",C211=""),0,IFERROR(N(INDEX(Ingredients!$AL$6:$AL$105,MATCH(C211,Ingredients!$B$6:$B$105,0))),0))</f>
        <v/>
      </c>
      <c r="T211">
        <f>IF(OR(B211="",C211=""),0,IFERROR(N(INDEX(Ingredients!$AM$6:$AM$105,MATCH(C211,Ingredients!$B$6:$B$105,0))),0))</f>
        <v/>
      </c>
      <c r="U211">
        <f>IF(OR(B211="",C211=""),0,IFERROR(N(INDEX(Ingredients!$AN$6:$AN$105,MATCH(C211,Ingredients!$B$6:$B$105,0))),0))</f>
        <v/>
      </c>
      <c r="V211">
        <f>IF(OR(B211="",C211=""),0,IFERROR(N(INDEX(Ingredients!$AO$6:$AO$105,MATCH(C211,Ingredients!$B$6:$B$105,0))),0))</f>
        <v/>
      </c>
      <c r="W211">
        <f>IF(OR(B211="",C211=""),0,IFERROR(N(INDEX(Ingredients!$AP$6:$AP$105,MATCH(C211,Ingredients!$B$6:$B$105,0))),0))</f>
        <v/>
      </c>
      <c r="X211">
        <f>IF(OR(B211="",C211=""),0,IFERROR(N(INDEX(Ingredients!$AQ$6:$AQ$105,MATCH(C211,Ingredients!$B$6:$B$105,0))),0))</f>
        <v/>
      </c>
    </row>
    <row r="212">
      <c r="A212" s="1" t="n"/>
      <c r="B212" s="21" t="n"/>
      <c r="C212" s="39" t="n"/>
      <c r="D212" s="40" t="n"/>
      <c r="E212" s="12">
        <f>IF(C212="","",IF(ISNA(MATCH(C212,Ingredients!$B$6:$B$105,0)),"Not on Ingredients",IFERROR(IF(INDEX(Ingredients!$C$6:$C$105,MATCH(C212,Ingredients!$B$6:$B$105,0))="","",INDEX(Ingredients!$C$6:$C$105,MATCH(C212,Ingredients!$B$6:$B$105,0))),"")))</f>
        <v/>
      </c>
      <c r="F212" s="26">
        <f>IF(OR(B212="",C212=""),"",N(D212)*IFERROR(N(INDEX(Ingredients!$H$6:$H$105,MATCH(C212,Ingredients!$B$6:$B$105,0))),0))</f>
        <v/>
      </c>
      <c r="G212" s="1">
        <f>IF(OR(B212="",C212=""),0,IFERROR(N(INDEX(Products!$D$6:$D$45,MATCH(B212,Products!$B$6:$B$45,0))),0))</f>
        <v/>
      </c>
      <c r="H212">
        <f>IF(N(G212)=0,0,N(D212)*SUMIFS(Batches!$D$6:$D$505,Batches!$C$6:$C$505,B212)/G212)</f>
        <v/>
      </c>
      <c r="I212">
        <f>IF(OR(B212="",C212=""),"",IF(B212&lt;&gt;Label!$H$3,"",IF(IFERROR(N(INDEX(Ingredients!$AS$6:$AS$105,MATCH(C212,Ingredients!$B$6:$B$105,0))),0)=1,"",ROUND(N(D212)*1000,0)*100000+100000-ROW())))</f>
        <v/>
      </c>
      <c r="J212">
        <f>IF(OR(B212="",C212=""),0,IFERROR(N(INDEX(Ingredients!$AC$6:$AC$105,MATCH(C212,Ingredients!$B$6:$B$105,0))),0))</f>
        <v/>
      </c>
      <c r="K212">
        <f>IF(OR(B212="",C212=""),0,IFERROR(N(INDEX(Ingredients!$AD$6:$AD$105,MATCH(C212,Ingredients!$B$6:$B$105,0))),0))</f>
        <v/>
      </c>
      <c r="L212">
        <f>IF(OR(B212="",C212=""),0,IFERROR(N(INDEX(Ingredients!$AE$6:$AE$105,MATCH(C212,Ingredients!$B$6:$B$105,0))),0))</f>
        <v/>
      </c>
      <c r="M212">
        <f>IF(OR(B212="",C212=""),0,IFERROR(N(INDEX(Ingredients!$AF$6:$AF$105,MATCH(C212,Ingredients!$B$6:$B$105,0))),0))</f>
        <v/>
      </c>
      <c r="N212">
        <f>IF(OR(B212="",C212=""),0,IFERROR(N(INDEX(Ingredients!$AG$6:$AG$105,MATCH(C212,Ingredients!$B$6:$B$105,0))),0))</f>
        <v/>
      </c>
      <c r="O212">
        <f>IF(OR(B212="",C212=""),0,IFERROR(N(INDEX(Ingredients!$AH$6:$AH$105,MATCH(C212,Ingredients!$B$6:$B$105,0))),0))</f>
        <v/>
      </c>
      <c r="P212">
        <f>IF(OR(B212="",C212=""),0,IFERROR(N(INDEX(Ingredients!$AI$6:$AI$105,MATCH(C212,Ingredients!$B$6:$B$105,0))),0))</f>
        <v/>
      </c>
      <c r="Q212">
        <f>IF(OR(B212="",C212=""),0,IFERROR(N(INDEX(Ingredients!$AJ$6:$AJ$105,MATCH(C212,Ingredients!$B$6:$B$105,0))),0))</f>
        <v/>
      </c>
      <c r="R212">
        <f>IF(OR(B212="",C212=""),0,IFERROR(N(INDEX(Ingredients!$AK$6:$AK$105,MATCH(C212,Ingredients!$B$6:$B$105,0))),0))</f>
        <v/>
      </c>
      <c r="S212">
        <f>IF(OR(B212="",C212=""),0,IFERROR(N(INDEX(Ingredients!$AL$6:$AL$105,MATCH(C212,Ingredients!$B$6:$B$105,0))),0))</f>
        <v/>
      </c>
      <c r="T212">
        <f>IF(OR(B212="",C212=""),0,IFERROR(N(INDEX(Ingredients!$AM$6:$AM$105,MATCH(C212,Ingredients!$B$6:$B$105,0))),0))</f>
        <v/>
      </c>
      <c r="U212">
        <f>IF(OR(B212="",C212=""),0,IFERROR(N(INDEX(Ingredients!$AN$6:$AN$105,MATCH(C212,Ingredients!$B$6:$B$105,0))),0))</f>
        <v/>
      </c>
      <c r="V212">
        <f>IF(OR(B212="",C212=""),0,IFERROR(N(INDEX(Ingredients!$AO$6:$AO$105,MATCH(C212,Ingredients!$B$6:$B$105,0))),0))</f>
        <v/>
      </c>
      <c r="W212">
        <f>IF(OR(B212="",C212=""),0,IFERROR(N(INDEX(Ingredients!$AP$6:$AP$105,MATCH(C212,Ingredients!$B$6:$B$105,0))),0))</f>
        <v/>
      </c>
      <c r="X212">
        <f>IF(OR(B212="",C212=""),0,IFERROR(N(INDEX(Ingredients!$AQ$6:$AQ$105,MATCH(C212,Ingredients!$B$6:$B$105,0))),0))</f>
        <v/>
      </c>
    </row>
    <row r="213">
      <c r="A213" s="1" t="n"/>
      <c r="B213" s="21" t="n"/>
      <c r="C213" s="39" t="n"/>
      <c r="D213" s="40" t="n"/>
      <c r="E213" s="12">
        <f>IF(C213="","",IF(ISNA(MATCH(C213,Ingredients!$B$6:$B$105,0)),"Not on Ingredients",IFERROR(IF(INDEX(Ingredients!$C$6:$C$105,MATCH(C213,Ingredients!$B$6:$B$105,0))="","",INDEX(Ingredients!$C$6:$C$105,MATCH(C213,Ingredients!$B$6:$B$105,0))),"")))</f>
        <v/>
      </c>
      <c r="F213" s="26">
        <f>IF(OR(B213="",C213=""),"",N(D213)*IFERROR(N(INDEX(Ingredients!$H$6:$H$105,MATCH(C213,Ingredients!$B$6:$B$105,0))),0))</f>
        <v/>
      </c>
      <c r="G213" s="1">
        <f>IF(OR(B213="",C213=""),0,IFERROR(N(INDEX(Products!$D$6:$D$45,MATCH(B213,Products!$B$6:$B$45,0))),0))</f>
        <v/>
      </c>
      <c r="H213">
        <f>IF(N(G213)=0,0,N(D213)*SUMIFS(Batches!$D$6:$D$505,Batches!$C$6:$C$505,B213)/G213)</f>
        <v/>
      </c>
      <c r="I213">
        <f>IF(OR(B213="",C213=""),"",IF(B213&lt;&gt;Label!$H$3,"",IF(IFERROR(N(INDEX(Ingredients!$AS$6:$AS$105,MATCH(C213,Ingredients!$B$6:$B$105,0))),0)=1,"",ROUND(N(D213)*1000,0)*100000+100000-ROW())))</f>
        <v/>
      </c>
      <c r="J213">
        <f>IF(OR(B213="",C213=""),0,IFERROR(N(INDEX(Ingredients!$AC$6:$AC$105,MATCH(C213,Ingredients!$B$6:$B$105,0))),0))</f>
        <v/>
      </c>
      <c r="K213">
        <f>IF(OR(B213="",C213=""),0,IFERROR(N(INDEX(Ingredients!$AD$6:$AD$105,MATCH(C213,Ingredients!$B$6:$B$105,0))),0))</f>
        <v/>
      </c>
      <c r="L213">
        <f>IF(OR(B213="",C213=""),0,IFERROR(N(INDEX(Ingredients!$AE$6:$AE$105,MATCH(C213,Ingredients!$B$6:$B$105,0))),0))</f>
        <v/>
      </c>
      <c r="M213">
        <f>IF(OR(B213="",C213=""),0,IFERROR(N(INDEX(Ingredients!$AF$6:$AF$105,MATCH(C213,Ingredients!$B$6:$B$105,0))),0))</f>
        <v/>
      </c>
      <c r="N213">
        <f>IF(OR(B213="",C213=""),0,IFERROR(N(INDEX(Ingredients!$AG$6:$AG$105,MATCH(C213,Ingredients!$B$6:$B$105,0))),0))</f>
        <v/>
      </c>
      <c r="O213">
        <f>IF(OR(B213="",C213=""),0,IFERROR(N(INDEX(Ingredients!$AH$6:$AH$105,MATCH(C213,Ingredients!$B$6:$B$105,0))),0))</f>
        <v/>
      </c>
      <c r="P213">
        <f>IF(OR(B213="",C213=""),0,IFERROR(N(INDEX(Ingredients!$AI$6:$AI$105,MATCH(C213,Ingredients!$B$6:$B$105,0))),0))</f>
        <v/>
      </c>
      <c r="Q213">
        <f>IF(OR(B213="",C213=""),0,IFERROR(N(INDEX(Ingredients!$AJ$6:$AJ$105,MATCH(C213,Ingredients!$B$6:$B$105,0))),0))</f>
        <v/>
      </c>
      <c r="R213">
        <f>IF(OR(B213="",C213=""),0,IFERROR(N(INDEX(Ingredients!$AK$6:$AK$105,MATCH(C213,Ingredients!$B$6:$B$105,0))),0))</f>
        <v/>
      </c>
      <c r="S213">
        <f>IF(OR(B213="",C213=""),0,IFERROR(N(INDEX(Ingredients!$AL$6:$AL$105,MATCH(C213,Ingredients!$B$6:$B$105,0))),0))</f>
        <v/>
      </c>
      <c r="T213">
        <f>IF(OR(B213="",C213=""),0,IFERROR(N(INDEX(Ingredients!$AM$6:$AM$105,MATCH(C213,Ingredients!$B$6:$B$105,0))),0))</f>
        <v/>
      </c>
      <c r="U213">
        <f>IF(OR(B213="",C213=""),0,IFERROR(N(INDEX(Ingredients!$AN$6:$AN$105,MATCH(C213,Ingredients!$B$6:$B$105,0))),0))</f>
        <v/>
      </c>
      <c r="V213">
        <f>IF(OR(B213="",C213=""),0,IFERROR(N(INDEX(Ingredients!$AO$6:$AO$105,MATCH(C213,Ingredients!$B$6:$B$105,0))),0))</f>
        <v/>
      </c>
      <c r="W213">
        <f>IF(OR(B213="",C213=""),0,IFERROR(N(INDEX(Ingredients!$AP$6:$AP$105,MATCH(C213,Ingredients!$B$6:$B$105,0))),0))</f>
        <v/>
      </c>
      <c r="X213">
        <f>IF(OR(B213="",C213=""),0,IFERROR(N(INDEX(Ingredients!$AQ$6:$AQ$105,MATCH(C213,Ingredients!$B$6:$B$105,0))),0))</f>
        <v/>
      </c>
    </row>
    <row r="214">
      <c r="A214" s="1" t="n"/>
      <c r="B214" s="21" t="n"/>
      <c r="C214" s="39" t="n"/>
      <c r="D214" s="40" t="n"/>
      <c r="E214" s="12">
        <f>IF(C214="","",IF(ISNA(MATCH(C214,Ingredients!$B$6:$B$105,0)),"Not on Ingredients",IFERROR(IF(INDEX(Ingredients!$C$6:$C$105,MATCH(C214,Ingredients!$B$6:$B$105,0))="","",INDEX(Ingredients!$C$6:$C$105,MATCH(C214,Ingredients!$B$6:$B$105,0))),"")))</f>
        <v/>
      </c>
      <c r="F214" s="26">
        <f>IF(OR(B214="",C214=""),"",N(D214)*IFERROR(N(INDEX(Ingredients!$H$6:$H$105,MATCH(C214,Ingredients!$B$6:$B$105,0))),0))</f>
        <v/>
      </c>
      <c r="G214" s="1">
        <f>IF(OR(B214="",C214=""),0,IFERROR(N(INDEX(Products!$D$6:$D$45,MATCH(B214,Products!$B$6:$B$45,0))),0))</f>
        <v/>
      </c>
      <c r="H214">
        <f>IF(N(G214)=0,0,N(D214)*SUMIFS(Batches!$D$6:$D$505,Batches!$C$6:$C$505,B214)/G214)</f>
        <v/>
      </c>
      <c r="I214">
        <f>IF(OR(B214="",C214=""),"",IF(B214&lt;&gt;Label!$H$3,"",IF(IFERROR(N(INDEX(Ingredients!$AS$6:$AS$105,MATCH(C214,Ingredients!$B$6:$B$105,0))),0)=1,"",ROUND(N(D214)*1000,0)*100000+100000-ROW())))</f>
        <v/>
      </c>
      <c r="J214">
        <f>IF(OR(B214="",C214=""),0,IFERROR(N(INDEX(Ingredients!$AC$6:$AC$105,MATCH(C214,Ingredients!$B$6:$B$105,0))),0))</f>
        <v/>
      </c>
      <c r="K214">
        <f>IF(OR(B214="",C214=""),0,IFERROR(N(INDEX(Ingredients!$AD$6:$AD$105,MATCH(C214,Ingredients!$B$6:$B$105,0))),0))</f>
        <v/>
      </c>
      <c r="L214">
        <f>IF(OR(B214="",C214=""),0,IFERROR(N(INDEX(Ingredients!$AE$6:$AE$105,MATCH(C214,Ingredients!$B$6:$B$105,0))),0))</f>
        <v/>
      </c>
      <c r="M214">
        <f>IF(OR(B214="",C214=""),0,IFERROR(N(INDEX(Ingredients!$AF$6:$AF$105,MATCH(C214,Ingredients!$B$6:$B$105,0))),0))</f>
        <v/>
      </c>
      <c r="N214">
        <f>IF(OR(B214="",C214=""),0,IFERROR(N(INDEX(Ingredients!$AG$6:$AG$105,MATCH(C214,Ingredients!$B$6:$B$105,0))),0))</f>
        <v/>
      </c>
      <c r="O214">
        <f>IF(OR(B214="",C214=""),0,IFERROR(N(INDEX(Ingredients!$AH$6:$AH$105,MATCH(C214,Ingredients!$B$6:$B$105,0))),0))</f>
        <v/>
      </c>
      <c r="P214">
        <f>IF(OR(B214="",C214=""),0,IFERROR(N(INDEX(Ingredients!$AI$6:$AI$105,MATCH(C214,Ingredients!$B$6:$B$105,0))),0))</f>
        <v/>
      </c>
      <c r="Q214">
        <f>IF(OR(B214="",C214=""),0,IFERROR(N(INDEX(Ingredients!$AJ$6:$AJ$105,MATCH(C214,Ingredients!$B$6:$B$105,0))),0))</f>
        <v/>
      </c>
      <c r="R214">
        <f>IF(OR(B214="",C214=""),0,IFERROR(N(INDEX(Ingredients!$AK$6:$AK$105,MATCH(C214,Ingredients!$B$6:$B$105,0))),0))</f>
        <v/>
      </c>
      <c r="S214">
        <f>IF(OR(B214="",C214=""),0,IFERROR(N(INDEX(Ingredients!$AL$6:$AL$105,MATCH(C214,Ingredients!$B$6:$B$105,0))),0))</f>
        <v/>
      </c>
      <c r="T214">
        <f>IF(OR(B214="",C214=""),0,IFERROR(N(INDEX(Ingredients!$AM$6:$AM$105,MATCH(C214,Ingredients!$B$6:$B$105,0))),0))</f>
        <v/>
      </c>
      <c r="U214">
        <f>IF(OR(B214="",C214=""),0,IFERROR(N(INDEX(Ingredients!$AN$6:$AN$105,MATCH(C214,Ingredients!$B$6:$B$105,0))),0))</f>
        <v/>
      </c>
      <c r="V214">
        <f>IF(OR(B214="",C214=""),0,IFERROR(N(INDEX(Ingredients!$AO$6:$AO$105,MATCH(C214,Ingredients!$B$6:$B$105,0))),0))</f>
        <v/>
      </c>
      <c r="W214">
        <f>IF(OR(B214="",C214=""),0,IFERROR(N(INDEX(Ingredients!$AP$6:$AP$105,MATCH(C214,Ingredients!$B$6:$B$105,0))),0))</f>
        <v/>
      </c>
      <c r="X214">
        <f>IF(OR(B214="",C214=""),0,IFERROR(N(INDEX(Ingredients!$AQ$6:$AQ$105,MATCH(C214,Ingredients!$B$6:$B$105,0))),0))</f>
        <v/>
      </c>
    </row>
    <row r="215">
      <c r="A215" s="1" t="n"/>
      <c r="B215" s="21" t="n"/>
      <c r="C215" s="39" t="n"/>
      <c r="D215" s="40" t="n"/>
      <c r="E215" s="12">
        <f>IF(C215="","",IF(ISNA(MATCH(C215,Ingredients!$B$6:$B$105,0)),"Not on Ingredients",IFERROR(IF(INDEX(Ingredients!$C$6:$C$105,MATCH(C215,Ingredients!$B$6:$B$105,0))="","",INDEX(Ingredients!$C$6:$C$105,MATCH(C215,Ingredients!$B$6:$B$105,0))),"")))</f>
        <v/>
      </c>
      <c r="F215" s="26">
        <f>IF(OR(B215="",C215=""),"",N(D215)*IFERROR(N(INDEX(Ingredients!$H$6:$H$105,MATCH(C215,Ingredients!$B$6:$B$105,0))),0))</f>
        <v/>
      </c>
      <c r="G215" s="1">
        <f>IF(OR(B215="",C215=""),0,IFERROR(N(INDEX(Products!$D$6:$D$45,MATCH(B215,Products!$B$6:$B$45,0))),0))</f>
        <v/>
      </c>
      <c r="H215">
        <f>IF(N(G215)=0,0,N(D215)*SUMIFS(Batches!$D$6:$D$505,Batches!$C$6:$C$505,B215)/G215)</f>
        <v/>
      </c>
      <c r="I215">
        <f>IF(OR(B215="",C215=""),"",IF(B215&lt;&gt;Label!$H$3,"",IF(IFERROR(N(INDEX(Ingredients!$AS$6:$AS$105,MATCH(C215,Ingredients!$B$6:$B$105,0))),0)=1,"",ROUND(N(D215)*1000,0)*100000+100000-ROW())))</f>
        <v/>
      </c>
      <c r="J215">
        <f>IF(OR(B215="",C215=""),0,IFERROR(N(INDEX(Ingredients!$AC$6:$AC$105,MATCH(C215,Ingredients!$B$6:$B$105,0))),0))</f>
        <v/>
      </c>
      <c r="K215">
        <f>IF(OR(B215="",C215=""),0,IFERROR(N(INDEX(Ingredients!$AD$6:$AD$105,MATCH(C215,Ingredients!$B$6:$B$105,0))),0))</f>
        <v/>
      </c>
      <c r="L215">
        <f>IF(OR(B215="",C215=""),0,IFERROR(N(INDEX(Ingredients!$AE$6:$AE$105,MATCH(C215,Ingredients!$B$6:$B$105,0))),0))</f>
        <v/>
      </c>
      <c r="M215">
        <f>IF(OR(B215="",C215=""),0,IFERROR(N(INDEX(Ingredients!$AF$6:$AF$105,MATCH(C215,Ingredients!$B$6:$B$105,0))),0))</f>
        <v/>
      </c>
      <c r="N215">
        <f>IF(OR(B215="",C215=""),0,IFERROR(N(INDEX(Ingredients!$AG$6:$AG$105,MATCH(C215,Ingredients!$B$6:$B$105,0))),0))</f>
        <v/>
      </c>
      <c r="O215">
        <f>IF(OR(B215="",C215=""),0,IFERROR(N(INDEX(Ingredients!$AH$6:$AH$105,MATCH(C215,Ingredients!$B$6:$B$105,0))),0))</f>
        <v/>
      </c>
      <c r="P215">
        <f>IF(OR(B215="",C215=""),0,IFERROR(N(INDEX(Ingredients!$AI$6:$AI$105,MATCH(C215,Ingredients!$B$6:$B$105,0))),0))</f>
        <v/>
      </c>
      <c r="Q215">
        <f>IF(OR(B215="",C215=""),0,IFERROR(N(INDEX(Ingredients!$AJ$6:$AJ$105,MATCH(C215,Ingredients!$B$6:$B$105,0))),0))</f>
        <v/>
      </c>
      <c r="R215">
        <f>IF(OR(B215="",C215=""),0,IFERROR(N(INDEX(Ingredients!$AK$6:$AK$105,MATCH(C215,Ingredients!$B$6:$B$105,0))),0))</f>
        <v/>
      </c>
      <c r="S215">
        <f>IF(OR(B215="",C215=""),0,IFERROR(N(INDEX(Ingredients!$AL$6:$AL$105,MATCH(C215,Ingredients!$B$6:$B$105,0))),0))</f>
        <v/>
      </c>
      <c r="T215">
        <f>IF(OR(B215="",C215=""),0,IFERROR(N(INDEX(Ingredients!$AM$6:$AM$105,MATCH(C215,Ingredients!$B$6:$B$105,0))),0))</f>
        <v/>
      </c>
      <c r="U215">
        <f>IF(OR(B215="",C215=""),0,IFERROR(N(INDEX(Ingredients!$AN$6:$AN$105,MATCH(C215,Ingredients!$B$6:$B$105,0))),0))</f>
        <v/>
      </c>
      <c r="V215">
        <f>IF(OR(B215="",C215=""),0,IFERROR(N(INDEX(Ingredients!$AO$6:$AO$105,MATCH(C215,Ingredients!$B$6:$B$105,0))),0))</f>
        <v/>
      </c>
      <c r="W215">
        <f>IF(OR(B215="",C215=""),0,IFERROR(N(INDEX(Ingredients!$AP$6:$AP$105,MATCH(C215,Ingredients!$B$6:$B$105,0))),0))</f>
        <v/>
      </c>
      <c r="X215">
        <f>IF(OR(B215="",C215=""),0,IFERROR(N(INDEX(Ingredients!$AQ$6:$AQ$105,MATCH(C215,Ingredients!$B$6:$B$105,0))),0))</f>
        <v/>
      </c>
    </row>
    <row r="216">
      <c r="A216" s="1" t="n"/>
      <c r="B216" s="21" t="n"/>
      <c r="C216" s="39" t="n"/>
      <c r="D216" s="40" t="n"/>
      <c r="E216" s="12">
        <f>IF(C216="","",IF(ISNA(MATCH(C216,Ingredients!$B$6:$B$105,0)),"Not on Ingredients",IFERROR(IF(INDEX(Ingredients!$C$6:$C$105,MATCH(C216,Ingredients!$B$6:$B$105,0))="","",INDEX(Ingredients!$C$6:$C$105,MATCH(C216,Ingredients!$B$6:$B$105,0))),"")))</f>
        <v/>
      </c>
      <c r="F216" s="26">
        <f>IF(OR(B216="",C216=""),"",N(D216)*IFERROR(N(INDEX(Ingredients!$H$6:$H$105,MATCH(C216,Ingredients!$B$6:$B$105,0))),0))</f>
        <v/>
      </c>
      <c r="G216" s="1">
        <f>IF(OR(B216="",C216=""),0,IFERROR(N(INDEX(Products!$D$6:$D$45,MATCH(B216,Products!$B$6:$B$45,0))),0))</f>
        <v/>
      </c>
      <c r="H216">
        <f>IF(N(G216)=0,0,N(D216)*SUMIFS(Batches!$D$6:$D$505,Batches!$C$6:$C$505,B216)/G216)</f>
        <v/>
      </c>
      <c r="I216">
        <f>IF(OR(B216="",C216=""),"",IF(B216&lt;&gt;Label!$H$3,"",IF(IFERROR(N(INDEX(Ingredients!$AS$6:$AS$105,MATCH(C216,Ingredients!$B$6:$B$105,0))),0)=1,"",ROUND(N(D216)*1000,0)*100000+100000-ROW())))</f>
        <v/>
      </c>
      <c r="J216">
        <f>IF(OR(B216="",C216=""),0,IFERROR(N(INDEX(Ingredients!$AC$6:$AC$105,MATCH(C216,Ingredients!$B$6:$B$105,0))),0))</f>
        <v/>
      </c>
      <c r="K216">
        <f>IF(OR(B216="",C216=""),0,IFERROR(N(INDEX(Ingredients!$AD$6:$AD$105,MATCH(C216,Ingredients!$B$6:$B$105,0))),0))</f>
        <v/>
      </c>
      <c r="L216">
        <f>IF(OR(B216="",C216=""),0,IFERROR(N(INDEX(Ingredients!$AE$6:$AE$105,MATCH(C216,Ingredients!$B$6:$B$105,0))),0))</f>
        <v/>
      </c>
      <c r="M216">
        <f>IF(OR(B216="",C216=""),0,IFERROR(N(INDEX(Ingredients!$AF$6:$AF$105,MATCH(C216,Ingredients!$B$6:$B$105,0))),0))</f>
        <v/>
      </c>
      <c r="N216">
        <f>IF(OR(B216="",C216=""),0,IFERROR(N(INDEX(Ingredients!$AG$6:$AG$105,MATCH(C216,Ingredients!$B$6:$B$105,0))),0))</f>
        <v/>
      </c>
      <c r="O216">
        <f>IF(OR(B216="",C216=""),0,IFERROR(N(INDEX(Ingredients!$AH$6:$AH$105,MATCH(C216,Ingredients!$B$6:$B$105,0))),0))</f>
        <v/>
      </c>
      <c r="P216">
        <f>IF(OR(B216="",C216=""),0,IFERROR(N(INDEX(Ingredients!$AI$6:$AI$105,MATCH(C216,Ingredients!$B$6:$B$105,0))),0))</f>
        <v/>
      </c>
      <c r="Q216">
        <f>IF(OR(B216="",C216=""),0,IFERROR(N(INDEX(Ingredients!$AJ$6:$AJ$105,MATCH(C216,Ingredients!$B$6:$B$105,0))),0))</f>
        <v/>
      </c>
      <c r="R216">
        <f>IF(OR(B216="",C216=""),0,IFERROR(N(INDEX(Ingredients!$AK$6:$AK$105,MATCH(C216,Ingredients!$B$6:$B$105,0))),0))</f>
        <v/>
      </c>
      <c r="S216">
        <f>IF(OR(B216="",C216=""),0,IFERROR(N(INDEX(Ingredients!$AL$6:$AL$105,MATCH(C216,Ingredients!$B$6:$B$105,0))),0))</f>
        <v/>
      </c>
      <c r="T216">
        <f>IF(OR(B216="",C216=""),0,IFERROR(N(INDEX(Ingredients!$AM$6:$AM$105,MATCH(C216,Ingredients!$B$6:$B$105,0))),0))</f>
        <v/>
      </c>
      <c r="U216">
        <f>IF(OR(B216="",C216=""),0,IFERROR(N(INDEX(Ingredients!$AN$6:$AN$105,MATCH(C216,Ingredients!$B$6:$B$105,0))),0))</f>
        <v/>
      </c>
      <c r="V216">
        <f>IF(OR(B216="",C216=""),0,IFERROR(N(INDEX(Ingredients!$AO$6:$AO$105,MATCH(C216,Ingredients!$B$6:$B$105,0))),0))</f>
        <v/>
      </c>
      <c r="W216">
        <f>IF(OR(B216="",C216=""),0,IFERROR(N(INDEX(Ingredients!$AP$6:$AP$105,MATCH(C216,Ingredients!$B$6:$B$105,0))),0))</f>
        <v/>
      </c>
      <c r="X216">
        <f>IF(OR(B216="",C216=""),0,IFERROR(N(INDEX(Ingredients!$AQ$6:$AQ$105,MATCH(C216,Ingredients!$B$6:$B$105,0))),0))</f>
        <v/>
      </c>
    </row>
    <row r="217">
      <c r="A217" s="1" t="n"/>
      <c r="B217" s="21" t="n"/>
      <c r="C217" s="39" t="n"/>
      <c r="D217" s="40" t="n"/>
      <c r="E217" s="12">
        <f>IF(C217="","",IF(ISNA(MATCH(C217,Ingredients!$B$6:$B$105,0)),"Not on Ingredients",IFERROR(IF(INDEX(Ingredients!$C$6:$C$105,MATCH(C217,Ingredients!$B$6:$B$105,0))="","",INDEX(Ingredients!$C$6:$C$105,MATCH(C217,Ingredients!$B$6:$B$105,0))),"")))</f>
        <v/>
      </c>
      <c r="F217" s="26">
        <f>IF(OR(B217="",C217=""),"",N(D217)*IFERROR(N(INDEX(Ingredients!$H$6:$H$105,MATCH(C217,Ingredients!$B$6:$B$105,0))),0))</f>
        <v/>
      </c>
      <c r="G217" s="1">
        <f>IF(OR(B217="",C217=""),0,IFERROR(N(INDEX(Products!$D$6:$D$45,MATCH(B217,Products!$B$6:$B$45,0))),0))</f>
        <v/>
      </c>
      <c r="H217">
        <f>IF(N(G217)=0,0,N(D217)*SUMIFS(Batches!$D$6:$D$505,Batches!$C$6:$C$505,B217)/G217)</f>
        <v/>
      </c>
      <c r="I217">
        <f>IF(OR(B217="",C217=""),"",IF(B217&lt;&gt;Label!$H$3,"",IF(IFERROR(N(INDEX(Ingredients!$AS$6:$AS$105,MATCH(C217,Ingredients!$B$6:$B$105,0))),0)=1,"",ROUND(N(D217)*1000,0)*100000+100000-ROW())))</f>
        <v/>
      </c>
      <c r="J217">
        <f>IF(OR(B217="",C217=""),0,IFERROR(N(INDEX(Ingredients!$AC$6:$AC$105,MATCH(C217,Ingredients!$B$6:$B$105,0))),0))</f>
        <v/>
      </c>
      <c r="K217">
        <f>IF(OR(B217="",C217=""),0,IFERROR(N(INDEX(Ingredients!$AD$6:$AD$105,MATCH(C217,Ingredients!$B$6:$B$105,0))),0))</f>
        <v/>
      </c>
      <c r="L217">
        <f>IF(OR(B217="",C217=""),0,IFERROR(N(INDEX(Ingredients!$AE$6:$AE$105,MATCH(C217,Ingredients!$B$6:$B$105,0))),0))</f>
        <v/>
      </c>
      <c r="M217">
        <f>IF(OR(B217="",C217=""),0,IFERROR(N(INDEX(Ingredients!$AF$6:$AF$105,MATCH(C217,Ingredients!$B$6:$B$105,0))),0))</f>
        <v/>
      </c>
      <c r="N217">
        <f>IF(OR(B217="",C217=""),0,IFERROR(N(INDEX(Ingredients!$AG$6:$AG$105,MATCH(C217,Ingredients!$B$6:$B$105,0))),0))</f>
        <v/>
      </c>
      <c r="O217">
        <f>IF(OR(B217="",C217=""),0,IFERROR(N(INDEX(Ingredients!$AH$6:$AH$105,MATCH(C217,Ingredients!$B$6:$B$105,0))),0))</f>
        <v/>
      </c>
      <c r="P217">
        <f>IF(OR(B217="",C217=""),0,IFERROR(N(INDEX(Ingredients!$AI$6:$AI$105,MATCH(C217,Ingredients!$B$6:$B$105,0))),0))</f>
        <v/>
      </c>
      <c r="Q217">
        <f>IF(OR(B217="",C217=""),0,IFERROR(N(INDEX(Ingredients!$AJ$6:$AJ$105,MATCH(C217,Ingredients!$B$6:$B$105,0))),0))</f>
        <v/>
      </c>
      <c r="R217">
        <f>IF(OR(B217="",C217=""),0,IFERROR(N(INDEX(Ingredients!$AK$6:$AK$105,MATCH(C217,Ingredients!$B$6:$B$105,0))),0))</f>
        <v/>
      </c>
      <c r="S217">
        <f>IF(OR(B217="",C217=""),0,IFERROR(N(INDEX(Ingredients!$AL$6:$AL$105,MATCH(C217,Ingredients!$B$6:$B$105,0))),0))</f>
        <v/>
      </c>
      <c r="T217">
        <f>IF(OR(B217="",C217=""),0,IFERROR(N(INDEX(Ingredients!$AM$6:$AM$105,MATCH(C217,Ingredients!$B$6:$B$105,0))),0))</f>
        <v/>
      </c>
      <c r="U217">
        <f>IF(OR(B217="",C217=""),0,IFERROR(N(INDEX(Ingredients!$AN$6:$AN$105,MATCH(C217,Ingredients!$B$6:$B$105,0))),0))</f>
        <v/>
      </c>
      <c r="V217">
        <f>IF(OR(B217="",C217=""),0,IFERROR(N(INDEX(Ingredients!$AO$6:$AO$105,MATCH(C217,Ingredients!$B$6:$B$105,0))),0))</f>
        <v/>
      </c>
      <c r="W217">
        <f>IF(OR(B217="",C217=""),0,IFERROR(N(INDEX(Ingredients!$AP$6:$AP$105,MATCH(C217,Ingredients!$B$6:$B$105,0))),0))</f>
        <v/>
      </c>
      <c r="X217">
        <f>IF(OR(B217="",C217=""),0,IFERROR(N(INDEX(Ingredients!$AQ$6:$AQ$105,MATCH(C217,Ingredients!$B$6:$B$105,0))),0))</f>
        <v/>
      </c>
    </row>
    <row r="218">
      <c r="A218" s="1" t="n"/>
      <c r="B218" s="21" t="n"/>
      <c r="C218" s="39" t="n"/>
      <c r="D218" s="40" t="n"/>
      <c r="E218" s="12">
        <f>IF(C218="","",IF(ISNA(MATCH(C218,Ingredients!$B$6:$B$105,0)),"Not on Ingredients",IFERROR(IF(INDEX(Ingredients!$C$6:$C$105,MATCH(C218,Ingredients!$B$6:$B$105,0))="","",INDEX(Ingredients!$C$6:$C$105,MATCH(C218,Ingredients!$B$6:$B$105,0))),"")))</f>
        <v/>
      </c>
      <c r="F218" s="26">
        <f>IF(OR(B218="",C218=""),"",N(D218)*IFERROR(N(INDEX(Ingredients!$H$6:$H$105,MATCH(C218,Ingredients!$B$6:$B$105,0))),0))</f>
        <v/>
      </c>
      <c r="G218" s="1">
        <f>IF(OR(B218="",C218=""),0,IFERROR(N(INDEX(Products!$D$6:$D$45,MATCH(B218,Products!$B$6:$B$45,0))),0))</f>
        <v/>
      </c>
      <c r="H218">
        <f>IF(N(G218)=0,0,N(D218)*SUMIFS(Batches!$D$6:$D$505,Batches!$C$6:$C$505,B218)/G218)</f>
        <v/>
      </c>
      <c r="I218">
        <f>IF(OR(B218="",C218=""),"",IF(B218&lt;&gt;Label!$H$3,"",IF(IFERROR(N(INDEX(Ingredients!$AS$6:$AS$105,MATCH(C218,Ingredients!$B$6:$B$105,0))),0)=1,"",ROUND(N(D218)*1000,0)*100000+100000-ROW())))</f>
        <v/>
      </c>
      <c r="J218">
        <f>IF(OR(B218="",C218=""),0,IFERROR(N(INDEX(Ingredients!$AC$6:$AC$105,MATCH(C218,Ingredients!$B$6:$B$105,0))),0))</f>
        <v/>
      </c>
      <c r="K218">
        <f>IF(OR(B218="",C218=""),0,IFERROR(N(INDEX(Ingredients!$AD$6:$AD$105,MATCH(C218,Ingredients!$B$6:$B$105,0))),0))</f>
        <v/>
      </c>
      <c r="L218">
        <f>IF(OR(B218="",C218=""),0,IFERROR(N(INDEX(Ingredients!$AE$6:$AE$105,MATCH(C218,Ingredients!$B$6:$B$105,0))),0))</f>
        <v/>
      </c>
      <c r="M218">
        <f>IF(OR(B218="",C218=""),0,IFERROR(N(INDEX(Ingredients!$AF$6:$AF$105,MATCH(C218,Ingredients!$B$6:$B$105,0))),0))</f>
        <v/>
      </c>
      <c r="N218">
        <f>IF(OR(B218="",C218=""),0,IFERROR(N(INDEX(Ingredients!$AG$6:$AG$105,MATCH(C218,Ingredients!$B$6:$B$105,0))),0))</f>
        <v/>
      </c>
      <c r="O218">
        <f>IF(OR(B218="",C218=""),0,IFERROR(N(INDEX(Ingredients!$AH$6:$AH$105,MATCH(C218,Ingredients!$B$6:$B$105,0))),0))</f>
        <v/>
      </c>
      <c r="P218">
        <f>IF(OR(B218="",C218=""),0,IFERROR(N(INDEX(Ingredients!$AI$6:$AI$105,MATCH(C218,Ingredients!$B$6:$B$105,0))),0))</f>
        <v/>
      </c>
      <c r="Q218">
        <f>IF(OR(B218="",C218=""),0,IFERROR(N(INDEX(Ingredients!$AJ$6:$AJ$105,MATCH(C218,Ingredients!$B$6:$B$105,0))),0))</f>
        <v/>
      </c>
      <c r="R218">
        <f>IF(OR(B218="",C218=""),0,IFERROR(N(INDEX(Ingredients!$AK$6:$AK$105,MATCH(C218,Ingredients!$B$6:$B$105,0))),0))</f>
        <v/>
      </c>
      <c r="S218">
        <f>IF(OR(B218="",C218=""),0,IFERROR(N(INDEX(Ingredients!$AL$6:$AL$105,MATCH(C218,Ingredients!$B$6:$B$105,0))),0))</f>
        <v/>
      </c>
      <c r="T218">
        <f>IF(OR(B218="",C218=""),0,IFERROR(N(INDEX(Ingredients!$AM$6:$AM$105,MATCH(C218,Ingredients!$B$6:$B$105,0))),0))</f>
        <v/>
      </c>
      <c r="U218">
        <f>IF(OR(B218="",C218=""),0,IFERROR(N(INDEX(Ingredients!$AN$6:$AN$105,MATCH(C218,Ingredients!$B$6:$B$105,0))),0))</f>
        <v/>
      </c>
      <c r="V218">
        <f>IF(OR(B218="",C218=""),0,IFERROR(N(INDEX(Ingredients!$AO$6:$AO$105,MATCH(C218,Ingredients!$B$6:$B$105,0))),0))</f>
        <v/>
      </c>
      <c r="W218">
        <f>IF(OR(B218="",C218=""),0,IFERROR(N(INDEX(Ingredients!$AP$6:$AP$105,MATCH(C218,Ingredients!$B$6:$B$105,0))),0))</f>
        <v/>
      </c>
      <c r="X218">
        <f>IF(OR(B218="",C218=""),0,IFERROR(N(INDEX(Ingredients!$AQ$6:$AQ$105,MATCH(C218,Ingredients!$B$6:$B$105,0))),0))</f>
        <v/>
      </c>
    </row>
    <row r="219">
      <c r="A219" s="1" t="n"/>
      <c r="B219" s="21" t="n"/>
      <c r="C219" s="39" t="n"/>
      <c r="D219" s="40" t="n"/>
      <c r="E219" s="12">
        <f>IF(C219="","",IF(ISNA(MATCH(C219,Ingredients!$B$6:$B$105,0)),"Not on Ingredients",IFERROR(IF(INDEX(Ingredients!$C$6:$C$105,MATCH(C219,Ingredients!$B$6:$B$105,0))="","",INDEX(Ingredients!$C$6:$C$105,MATCH(C219,Ingredients!$B$6:$B$105,0))),"")))</f>
        <v/>
      </c>
      <c r="F219" s="26">
        <f>IF(OR(B219="",C219=""),"",N(D219)*IFERROR(N(INDEX(Ingredients!$H$6:$H$105,MATCH(C219,Ingredients!$B$6:$B$105,0))),0))</f>
        <v/>
      </c>
      <c r="G219" s="1">
        <f>IF(OR(B219="",C219=""),0,IFERROR(N(INDEX(Products!$D$6:$D$45,MATCH(B219,Products!$B$6:$B$45,0))),0))</f>
        <v/>
      </c>
      <c r="H219">
        <f>IF(N(G219)=0,0,N(D219)*SUMIFS(Batches!$D$6:$D$505,Batches!$C$6:$C$505,B219)/G219)</f>
        <v/>
      </c>
      <c r="I219">
        <f>IF(OR(B219="",C219=""),"",IF(B219&lt;&gt;Label!$H$3,"",IF(IFERROR(N(INDEX(Ingredients!$AS$6:$AS$105,MATCH(C219,Ingredients!$B$6:$B$105,0))),0)=1,"",ROUND(N(D219)*1000,0)*100000+100000-ROW())))</f>
        <v/>
      </c>
      <c r="J219">
        <f>IF(OR(B219="",C219=""),0,IFERROR(N(INDEX(Ingredients!$AC$6:$AC$105,MATCH(C219,Ingredients!$B$6:$B$105,0))),0))</f>
        <v/>
      </c>
      <c r="K219">
        <f>IF(OR(B219="",C219=""),0,IFERROR(N(INDEX(Ingredients!$AD$6:$AD$105,MATCH(C219,Ingredients!$B$6:$B$105,0))),0))</f>
        <v/>
      </c>
      <c r="L219">
        <f>IF(OR(B219="",C219=""),0,IFERROR(N(INDEX(Ingredients!$AE$6:$AE$105,MATCH(C219,Ingredients!$B$6:$B$105,0))),0))</f>
        <v/>
      </c>
      <c r="M219">
        <f>IF(OR(B219="",C219=""),0,IFERROR(N(INDEX(Ingredients!$AF$6:$AF$105,MATCH(C219,Ingredients!$B$6:$B$105,0))),0))</f>
        <v/>
      </c>
      <c r="N219">
        <f>IF(OR(B219="",C219=""),0,IFERROR(N(INDEX(Ingredients!$AG$6:$AG$105,MATCH(C219,Ingredients!$B$6:$B$105,0))),0))</f>
        <v/>
      </c>
      <c r="O219">
        <f>IF(OR(B219="",C219=""),0,IFERROR(N(INDEX(Ingredients!$AH$6:$AH$105,MATCH(C219,Ingredients!$B$6:$B$105,0))),0))</f>
        <v/>
      </c>
      <c r="P219">
        <f>IF(OR(B219="",C219=""),0,IFERROR(N(INDEX(Ingredients!$AI$6:$AI$105,MATCH(C219,Ingredients!$B$6:$B$105,0))),0))</f>
        <v/>
      </c>
      <c r="Q219">
        <f>IF(OR(B219="",C219=""),0,IFERROR(N(INDEX(Ingredients!$AJ$6:$AJ$105,MATCH(C219,Ingredients!$B$6:$B$105,0))),0))</f>
        <v/>
      </c>
      <c r="R219">
        <f>IF(OR(B219="",C219=""),0,IFERROR(N(INDEX(Ingredients!$AK$6:$AK$105,MATCH(C219,Ingredients!$B$6:$B$105,0))),0))</f>
        <v/>
      </c>
      <c r="S219">
        <f>IF(OR(B219="",C219=""),0,IFERROR(N(INDEX(Ingredients!$AL$6:$AL$105,MATCH(C219,Ingredients!$B$6:$B$105,0))),0))</f>
        <v/>
      </c>
      <c r="T219">
        <f>IF(OR(B219="",C219=""),0,IFERROR(N(INDEX(Ingredients!$AM$6:$AM$105,MATCH(C219,Ingredients!$B$6:$B$105,0))),0))</f>
        <v/>
      </c>
      <c r="U219">
        <f>IF(OR(B219="",C219=""),0,IFERROR(N(INDEX(Ingredients!$AN$6:$AN$105,MATCH(C219,Ingredients!$B$6:$B$105,0))),0))</f>
        <v/>
      </c>
      <c r="V219">
        <f>IF(OR(B219="",C219=""),0,IFERROR(N(INDEX(Ingredients!$AO$6:$AO$105,MATCH(C219,Ingredients!$B$6:$B$105,0))),0))</f>
        <v/>
      </c>
      <c r="W219">
        <f>IF(OR(B219="",C219=""),0,IFERROR(N(INDEX(Ingredients!$AP$6:$AP$105,MATCH(C219,Ingredients!$B$6:$B$105,0))),0))</f>
        <v/>
      </c>
      <c r="X219">
        <f>IF(OR(B219="",C219=""),0,IFERROR(N(INDEX(Ingredients!$AQ$6:$AQ$105,MATCH(C219,Ingredients!$B$6:$B$105,0))),0))</f>
        <v/>
      </c>
    </row>
    <row r="220">
      <c r="A220" s="1" t="n"/>
      <c r="B220" s="21" t="n"/>
      <c r="C220" s="39" t="n"/>
      <c r="D220" s="40" t="n"/>
      <c r="E220" s="12">
        <f>IF(C220="","",IF(ISNA(MATCH(C220,Ingredients!$B$6:$B$105,0)),"Not on Ingredients",IFERROR(IF(INDEX(Ingredients!$C$6:$C$105,MATCH(C220,Ingredients!$B$6:$B$105,0))="","",INDEX(Ingredients!$C$6:$C$105,MATCH(C220,Ingredients!$B$6:$B$105,0))),"")))</f>
        <v/>
      </c>
      <c r="F220" s="26">
        <f>IF(OR(B220="",C220=""),"",N(D220)*IFERROR(N(INDEX(Ingredients!$H$6:$H$105,MATCH(C220,Ingredients!$B$6:$B$105,0))),0))</f>
        <v/>
      </c>
      <c r="G220" s="1">
        <f>IF(OR(B220="",C220=""),0,IFERROR(N(INDEX(Products!$D$6:$D$45,MATCH(B220,Products!$B$6:$B$45,0))),0))</f>
        <v/>
      </c>
      <c r="H220">
        <f>IF(N(G220)=0,0,N(D220)*SUMIFS(Batches!$D$6:$D$505,Batches!$C$6:$C$505,B220)/G220)</f>
        <v/>
      </c>
      <c r="I220">
        <f>IF(OR(B220="",C220=""),"",IF(B220&lt;&gt;Label!$H$3,"",IF(IFERROR(N(INDEX(Ingredients!$AS$6:$AS$105,MATCH(C220,Ingredients!$B$6:$B$105,0))),0)=1,"",ROUND(N(D220)*1000,0)*100000+100000-ROW())))</f>
        <v/>
      </c>
      <c r="J220">
        <f>IF(OR(B220="",C220=""),0,IFERROR(N(INDEX(Ingredients!$AC$6:$AC$105,MATCH(C220,Ingredients!$B$6:$B$105,0))),0))</f>
        <v/>
      </c>
      <c r="K220">
        <f>IF(OR(B220="",C220=""),0,IFERROR(N(INDEX(Ingredients!$AD$6:$AD$105,MATCH(C220,Ingredients!$B$6:$B$105,0))),0))</f>
        <v/>
      </c>
      <c r="L220">
        <f>IF(OR(B220="",C220=""),0,IFERROR(N(INDEX(Ingredients!$AE$6:$AE$105,MATCH(C220,Ingredients!$B$6:$B$105,0))),0))</f>
        <v/>
      </c>
      <c r="M220">
        <f>IF(OR(B220="",C220=""),0,IFERROR(N(INDEX(Ingredients!$AF$6:$AF$105,MATCH(C220,Ingredients!$B$6:$B$105,0))),0))</f>
        <v/>
      </c>
      <c r="N220">
        <f>IF(OR(B220="",C220=""),0,IFERROR(N(INDEX(Ingredients!$AG$6:$AG$105,MATCH(C220,Ingredients!$B$6:$B$105,0))),0))</f>
        <v/>
      </c>
      <c r="O220">
        <f>IF(OR(B220="",C220=""),0,IFERROR(N(INDEX(Ingredients!$AH$6:$AH$105,MATCH(C220,Ingredients!$B$6:$B$105,0))),0))</f>
        <v/>
      </c>
      <c r="P220">
        <f>IF(OR(B220="",C220=""),0,IFERROR(N(INDEX(Ingredients!$AI$6:$AI$105,MATCH(C220,Ingredients!$B$6:$B$105,0))),0))</f>
        <v/>
      </c>
      <c r="Q220">
        <f>IF(OR(B220="",C220=""),0,IFERROR(N(INDEX(Ingredients!$AJ$6:$AJ$105,MATCH(C220,Ingredients!$B$6:$B$105,0))),0))</f>
        <v/>
      </c>
      <c r="R220">
        <f>IF(OR(B220="",C220=""),0,IFERROR(N(INDEX(Ingredients!$AK$6:$AK$105,MATCH(C220,Ingredients!$B$6:$B$105,0))),0))</f>
        <v/>
      </c>
      <c r="S220">
        <f>IF(OR(B220="",C220=""),0,IFERROR(N(INDEX(Ingredients!$AL$6:$AL$105,MATCH(C220,Ingredients!$B$6:$B$105,0))),0))</f>
        <v/>
      </c>
      <c r="T220">
        <f>IF(OR(B220="",C220=""),0,IFERROR(N(INDEX(Ingredients!$AM$6:$AM$105,MATCH(C220,Ingredients!$B$6:$B$105,0))),0))</f>
        <v/>
      </c>
      <c r="U220">
        <f>IF(OR(B220="",C220=""),0,IFERROR(N(INDEX(Ingredients!$AN$6:$AN$105,MATCH(C220,Ingredients!$B$6:$B$105,0))),0))</f>
        <v/>
      </c>
      <c r="V220">
        <f>IF(OR(B220="",C220=""),0,IFERROR(N(INDEX(Ingredients!$AO$6:$AO$105,MATCH(C220,Ingredients!$B$6:$B$105,0))),0))</f>
        <v/>
      </c>
      <c r="W220">
        <f>IF(OR(B220="",C220=""),0,IFERROR(N(INDEX(Ingredients!$AP$6:$AP$105,MATCH(C220,Ingredients!$B$6:$B$105,0))),0))</f>
        <v/>
      </c>
      <c r="X220">
        <f>IF(OR(B220="",C220=""),0,IFERROR(N(INDEX(Ingredients!$AQ$6:$AQ$105,MATCH(C220,Ingredients!$B$6:$B$105,0))),0))</f>
        <v/>
      </c>
    </row>
    <row r="221">
      <c r="A221" s="1" t="n"/>
      <c r="B221" s="21" t="n"/>
      <c r="C221" s="39" t="n"/>
      <c r="D221" s="40" t="n"/>
      <c r="E221" s="12">
        <f>IF(C221="","",IF(ISNA(MATCH(C221,Ingredients!$B$6:$B$105,0)),"Not on Ingredients",IFERROR(IF(INDEX(Ingredients!$C$6:$C$105,MATCH(C221,Ingredients!$B$6:$B$105,0))="","",INDEX(Ingredients!$C$6:$C$105,MATCH(C221,Ingredients!$B$6:$B$105,0))),"")))</f>
        <v/>
      </c>
      <c r="F221" s="26">
        <f>IF(OR(B221="",C221=""),"",N(D221)*IFERROR(N(INDEX(Ingredients!$H$6:$H$105,MATCH(C221,Ingredients!$B$6:$B$105,0))),0))</f>
        <v/>
      </c>
      <c r="G221" s="1">
        <f>IF(OR(B221="",C221=""),0,IFERROR(N(INDEX(Products!$D$6:$D$45,MATCH(B221,Products!$B$6:$B$45,0))),0))</f>
        <v/>
      </c>
      <c r="H221">
        <f>IF(N(G221)=0,0,N(D221)*SUMIFS(Batches!$D$6:$D$505,Batches!$C$6:$C$505,B221)/G221)</f>
        <v/>
      </c>
      <c r="I221">
        <f>IF(OR(B221="",C221=""),"",IF(B221&lt;&gt;Label!$H$3,"",IF(IFERROR(N(INDEX(Ingredients!$AS$6:$AS$105,MATCH(C221,Ingredients!$B$6:$B$105,0))),0)=1,"",ROUND(N(D221)*1000,0)*100000+100000-ROW())))</f>
        <v/>
      </c>
      <c r="J221">
        <f>IF(OR(B221="",C221=""),0,IFERROR(N(INDEX(Ingredients!$AC$6:$AC$105,MATCH(C221,Ingredients!$B$6:$B$105,0))),0))</f>
        <v/>
      </c>
      <c r="K221">
        <f>IF(OR(B221="",C221=""),0,IFERROR(N(INDEX(Ingredients!$AD$6:$AD$105,MATCH(C221,Ingredients!$B$6:$B$105,0))),0))</f>
        <v/>
      </c>
      <c r="L221">
        <f>IF(OR(B221="",C221=""),0,IFERROR(N(INDEX(Ingredients!$AE$6:$AE$105,MATCH(C221,Ingredients!$B$6:$B$105,0))),0))</f>
        <v/>
      </c>
      <c r="M221">
        <f>IF(OR(B221="",C221=""),0,IFERROR(N(INDEX(Ingredients!$AF$6:$AF$105,MATCH(C221,Ingredients!$B$6:$B$105,0))),0))</f>
        <v/>
      </c>
      <c r="N221">
        <f>IF(OR(B221="",C221=""),0,IFERROR(N(INDEX(Ingredients!$AG$6:$AG$105,MATCH(C221,Ingredients!$B$6:$B$105,0))),0))</f>
        <v/>
      </c>
      <c r="O221">
        <f>IF(OR(B221="",C221=""),0,IFERROR(N(INDEX(Ingredients!$AH$6:$AH$105,MATCH(C221,Ingredients!$B$6:$B$105,0))),0))</f>
        <v/>
      </c>
      <c r="P221">
        <f>IF(OR(B221="",C221=""),0,IFERROR(N(INDEX(Ingredients!$AI$6:$AI$105,MATCH(C221,Ingredients!$B$6:$B$105,0))),0))</f>
        <v/>
      </c>
      <c r="Q221">
        <f>IF(OR(B221="",C221=""),0,IFERROR(N(INDEX(Ingredients!$AJ$6:$AJ$105,MATCH(C221,Ingredients!$B$6:$B$105,0))),0))</f>
        <v/>
      </c>
      <c r="R221">
        <f>IF(OR(B221="",C221=""),0,IFERROR(N(INDEX(Ingredients!$AK$6:$AK$105,MATCH(C221,Ingredients!$B$6:$B$105,0))),0))</f>
        <v/>
      </c>
      <c r="S221">
        <f>IF(OR(B221="",C221=""),0,IFERROR(N(INDEX(Ingredients!$AL$6:$AL$105,MATCH(C221,Ingredients!$B$6:$B$105,0))),0))</f>
        <v/>
      </c>
      <c r="T221">
        <f>IF(OR(B221="",C221=""),0,IFERROR(N(INDEX(Ingredients!$AM$6:$AM$105,MATCH(C221,Ingredients!$B$6:$B$105,0))),0))</f>
        <v/>
      </c>
      <c r="U221">
        <f>IF(OR(B221="",C221=""),0,IFERROR(N(INDEX(Ingredients!$AN$6:$AN$105,MATCH(C221,Ingredients!$B$6:$B$105,0))),0))</f>
        <v/>
      </c>
      <c r="V221">
        <f>IF(OR(B221="",C221=""),0,IFERROR(N(INDEX(Ingredients!$AO$6:$AO$105,MATCH(C221,Ingredients!$B$6:$B$105,0))),0))</f>
        <v/>
      </c>
      <c r="W221">
        <f>IF(OR(B221="",C221=""),0,IFERROR(N(INDEX(Ingredients!$AP$6:$AP$105,MATCH(C221,Ingredients!$B$6:$B$105,0))),0))</f>
        <v/>
      </c>
      <c r="X221">
        <f>IF(OR(B221="",C221=""),0,IFERROR(N(INDEX(Ingredients!$AQ$6:$AQ$105,MATCH(C221,Ingredients!$B$6:$B$105,0))),0))</f>
        <v/>
      </c>
    </row>
    <row r="222">
      <c r="A222" s="1" t="n"/>
      <c r="B222" s="21" t="n"/>
      <c r="C222" s="39" t="n"/>
      <c r="D222" s="40" t="n"/>
      <c r="E222" s="12">
        <f>IF(C222="","",IF(ISNA(MATCH(C222,Ingredients!$B$6:$B$105,0)),"Not on Ingredients",IFERROR(IF(INDEX(Ingredients!$C$6:$C$105,MATCH(C222,Ingredients!$B$6:$B$105,0))="","",INDEX(Ingredients!$C$6:$C$105,MATCH(C222,Ingredients!$B$6:$B$105,0))),"")))</f>
        <v/>
      </c>
      <c r="F222" s="26">
        <f>IF(OR(B222="",C222=""),"",N(D222)*IFERROR(N(INDEX(Ingredients!$H$6:$H$105,MATCH(C222,Ingredients!$B$6:$B$105,0))),0))</f>
        <v/>
      </c>
      <c r="G222" s="1">
        <f>IF(OR(B222="",C222=""),0,IFERROR(N(INDEX(Products!$D$6:$D$45,MATCH(B222,Products!$B$6:$B$45,0))),0))</f>
        <v/>
      </c>
      <c r="H222">
        <f>IF(N(G222)=0,0,N(D222)*SUMIFS(Batches!$D$6:$D$505,Batches!$C$6:$C$505,B222)/G222)</f>
        <v/>
      </c>
      <c r="I222">
        <f>IF(OR(B222="",C222=""),"",IF(B222&lt;&gt;Label!$H$3,"",IF(IFERROR(N(INDEX(Ingredients!$AS$6:$AS$105,MATCH(C222,Ingredients!$B$6:$B$105,0))),0)=1,"",ROUND(N(D222)*1000,0)*100000+100000-ROW())))</f>
        <v/>
      </c>
      <c r="J222">
        <f>IF(OR(B222="",C222=""),0,IFERROR(N(INDEX(Ingredients!$AC$6:$AC$105,MATCH(C222,Ingredients!$B$6:$B$105,0))),0))</f>
        <v/>
      </c>
      <c r="K222">
        <f>IF(OR(B222="",C222=""),0,IFERROR(N(INDEX(Ingredients!$AD$6:$AD$105,MATCH(C222,Ingredients!$B$6:$B$105,0))),0))</f>
        <v/>
      </c>
      <c r="L222">
        <f>IF(OR(B222="",C222=""),0,IFERROR(N(INDEX(Ingredients!$AE$6:$AE$105,MATCH(C222,Ingredients!$B$6:$B$105,0))),0))</f>
        <v/>
      </c>
      <c r="M222">
        <f>IF(OR(B222="",C222=""),0,IFERROR(N(INDEX(Ingredients!$AF$6:$AF$105,MATCH(C222,Ingredients!$B$6:$B$105,0))),0))</f>
        <v/>
      </c>
      <c r="N222">
        <f>IF(OR(B222="",C222=""),0,IFERROR(N(INDEX(Ingredients!$AG$6:$AG$105,MATCH(C222,Ingredients!$B$6:$B$105,0))),0))</f>
        <v/>
      </c>
      <c r="O222">
        <f>IF(OR(B222="",C222=""),0,IFERROR(N(INDEX(Ingredients!$AH$6:$AH$105,MATCH(C222,Ingredients!$B$6:$B$105,0))),0))</f>
        <v/>
      </c>
      <c r="P222">
        <f>IF(OR(B222="",C222=""),0,IFERROR(N(INDEX(Ingredients!$AI$6:$AI$105,MATCH(C222,Ingredients!$B$6:$B$105,0))),0))</f>
        <v/>
      </c>
      <c r="Q222">
        <f>IF(OR(B222="",C222=""),0,IFERROR(N(INDEX(Ingredients!$AJ$6:$AJ$105,MATCH(C222,Ingredients!$B$6:$B$105,0))),0))</f>
        <v/>
      </c>
      <c r="R222">
        <f>IF(OR(B222="",C222=""),0,IFERROR(N(INDEX(Ingredients!$AK$6:$AK$105,MATCH(C222,Ingredients!$B$6:$B$105,0))),0))</f>
        <v/>
      </c>
      <c r="S222">
        <f>IF(OR(B222="",C222=""),0,IFERROR(N(INDEX(Ingredients!$AL$6:$AL$105,MATCH(C222,Ingredients!$B$6:$B$105,0))),0))</f>
        <v/>
      </c>
      <c r="T222">
        <f>IF(OR(B222="",C222=""),0,IFERROR(N(INDEX(Ingredients!$AM$6:$AM$105,MATCH(C222,Ingredients!$B$6:$B$105,0))),0))</f>
        <v/>
      </c>
      <c r="U222">
        <f>IF(OR(B222="",C222=""),0,IFERROR(N(INDEX(Ingredients!$AN$6:$AN$105,MATCH(C222,Ingredients!$B$6:$B$105,0))),0))</f>
        <v/>
      </c>
      <c r="V222">
        <f>IF(OR(B222="",C222=""),0,IFERROR(N(INDEX(Ingredients!$AO$6:$AO$105,MATCH(C222,Ingredients!$B$6:$B$105,0))),0))</f>
        <v/>
      </c>
      <c r="W222">
        <f>IF(OR(B222="",C222=""),0,IFERROR(N(INDEX(Ingredients!$AP$6:$AP$105,MATCH(C222,Ingredients!$B$6:$B$105,0))),0))</f>
        <v/>
      </c>
      <c r="X222">
        <f>IF(OR(B222="",C222=""),0,IFERROR(N(INDEX(Ingredients!$AQ$6:$AQ$105,MATCH(C222,Ingredients!$B$6:$B$105,0))),0))</f>
        <v/>
      </c>
    </row>
    <row r="223">
      <c r="A223" s="1" t="n"/>
      <c r="B223" s="21" t="n"/>
      <c r="C223" s="39" t="n"/>
      <c r="D223" s="40" t="n"/>
      <c r="E223" s="12">
        <f>IF(C223="","",IF(ISNA(MATCH(C223,Ingredients!$B$6:$B$105,0)),"Not on Ingredients",IFERROR(IF(INDEX(Ingredients!$C$6:$C$105,MATCH(C223,Ingredients!$B$6:$B$105,0))="","",INDEX(Ingredients!$C$6:$C$105,MATCH(C223,Ingredients!$B$6:$B$105,0))),"")))</f>
        <v/>
      </c>
      <c r="F223" s="26">
        <f>IF(OR(B223="",C223=""),"",N(D223)*IFERROR(N(INDEX(Ingredients!$H$6:$H$105,MATCH(C223,Ingredients!$B$6:$B$105,0))),0))</f>
        <v/>
      </c>
      <c r="G223" s="1">
        <f>IF(OR(B223="",C223=""),0,IFERROR(N(INDEX(Products!$D$6:$D$45,MATCH(B223,Products!$B$6:$B$45,0))),0))</f>
        <v/>
      </c>
      <c r="H223">
        <f>IF(N(G223)=0,0,N(D223)*SUMIFS(Batches!$D$6:$D$505,Batches!$C$6:$C$505,B223)/G223)</f>
        <v/>
      </c>
      <c r="I223">
        <f>IF(OR(B223="",C223=""),"",IF(B223&lt;&gt;Label!$H$3,"",IF(IFERROR(N(INDEX(Ingredients!$AS$6:$AS$105,MATCH(C223,Ingredients!$B$6:$B$105,0))),0)=1,"",ROUND(N(D223)*1000,0)*100000+100000-ROW())))</f>
        <v/>
      </c>
      <c r="J223">
        <f>IF(OR(B223="",C223=""),0,IFERROR(N(INDEX(Ingredients!$AC$6:$AC$105,MATCH(C223,Ingredients!$B$6:$B$105,0))),0))</f>
        <v/>
      </c>
      <c r="K223">
        <f>IF(OR(B223="",C223=""),0,IFERROR(N(INDEX(Ingredients!$AD$6:$AD$105,MATCH(C223,Ingredients!$B$6:$B$105,0))),0))</f>
        <v/>
      </c>
      <c r="L223">
        <f>IF(OR(B223="",C223=""),0,IFERROR(N(INDEX(Ingredients!$AE$6:$AE$105,MATCH(C223,Ingredients!$B$6:$B$105,0))),0))</f>
        <v/>
      </c>
      <c r="M223">
        <f>IF(OR(B223="",C223=""),0,IFERROR(N(INDEX(Ingredients!$AF$6:$AF$105,MATCH(C223,Ingredients!$B$6:$B$105,0))),0))</f>
        <v/>
      </c>
      <c r="N223">
        <f>IF(OR(B223="",C223=""),0,IFERROR(N(INDEX(Ingredients!$AG$6:$AG$105,MATCH(C223,Ingredients!$B$6:$B$105,0))),0))</f>
        <v/>
      </c>
      <c r="O223">
        <f>IF(OR(B223="",C223=""),0,IFERROR(N(INDEX(Ingredients!$AH$6:$AH$105,MATCH(C223,Ingredients!$B$6:$B$105,0))),0))</f>
        <v/>
      </c>
      <c r="P223">
        <f>IF(OR(B223="",C223=""),0,IFERROR(N(INDEX(Ingredients!$AI$6:$AI$105,MATCH(C223,Ingredients!$B$6:$B$105,0))),0))</f>
        <v/>
      </c>
      <c r="Q223">
        <f>IF(OR(B223="",C223=""),0,IFERROR(N(INDEX(Ingredients!$AJ$6:$AJ$105,MATCH(C223,Ingredients!$B$6:$B$105,0))),0))</f>
        <v/>
      </c>
      <c r="R223">
        <f>IF(OR(B223="",C223=""),0,IFERROR(N(INDEX(Ingredients!$AK$6:$AK$105,MATCH(C223,Ingredients!$B$6:$B$105,0))),0))</f>
        <v/>
      </c>
      <c r="S223">
        <f>IF(OR(B223="",C223=""),0,IFERROR(N(INDEX(Ingredients!$AL$6:$AL$105,MATCH(C223,Ingredients!$B$6:$B$105,0))),0))</f>
        <v/>
      </c>
      <c r="T223">
        <f>IF(OR(B223="",C223=""),0,IFERROR(N(INDEX(Ingredients!$AM$6:$AM$105,MATCH(C223,Ingredients!$B$6:$B$105,0))),0))</f>
        <v/>
      </c>
      <c r="U223">
        <f>IF(OR(B223="",C223=""),0,IFERROR(N(INDEX(Ingredients!$AN$6:$AN$105,MATCH(C223,Ingredients!$B$6:$B$105,0))),0))</f>
        <v/>
      </c>
      <c r="V223">
        <f>IF(OR(B223="",C223=""),0,IFERROR(N(INDEX(Ingredients!$AO$6:$AO$105,MATCH(C223,Ingredients!$B$6:$B$105,0))),0))</f>
        <v/>
      </c>
      <c r="W223">
        <f>IF(OR(B223="",C223=""),0,IFERROR(N(INDEX(Ingredients!$AP$6:$AP$105,MATCH(C223,Ingredients!$B$6:$B$105,0))),0))</f>
        <v/>
      </c>
      <c r="X223">
        <f>IF(OR(B223="",C223=""),0,IFERROR(N(INDEX(Ingredients!$AQ$6:$AQ$105,MATCH(C223,Ingredients!$B$6:$B$105,0))),0))</f>
        <v/>
      </c>
    </row>
    <row r="224">
      <c r="A224" s="1" t="n"/>
      <c r="B224" s="21" t="n"/>
      <c r="C224" s="39" t="n"/>
      <c r="D224" s="40" t="n"/>
      <c r="E224" s="12">
        <f>IF(C224="","",IF(ISNA(MATCH(C224,Ingredients!$B$6:$B$105,0)),"Not on Ingredients",IFERROR(IF(INDEX(Ingredients!$C$6:$C$105,MATCH(C224,Ingredients!$B$6:$B$105,0))="","",INDEX(Ingredients!$C$6:$C$105,MATCH(C224,Ingredients!$B$6:$B$105,0))),"")))</f>
        <v/>
      </c>
      <c r="F224" s="26">
        <f>IF(OR(B224="",C224=""),"",N(D224)*IFERROR(N(INDEX(Ingredients!$H$6:$H$105,MATCH(C224,Ingredients!$B$6:$B$105,0))),0))</f>
        <v/>
      </c>
      <c r="G224" s="1">
        <f>IF(OR(B224="",C224=""),0,IFERROR(N(INDEX(Products!$D$6:$D$45,MATCH(B224,Products!$B$6:$B$45,0))),0))</f>
        <v/>
      </c>
      <c r="H224">
        <f>IF(N(G224)=0,0,N(D224)*SUMIFS(Batches!$D$6:$D$505,Batches!$C$6:$C$505,B224)/G224)</f>
        <v/>
      </c>
      <c r="I224">
        <f>IF(OR(B224="",C224=""),"",IF(B224&lt;&gt;Label!$H$3,"",IF(IFERROR(N(INDEX(Ingredients!$AS$6:$AS$105,MATCH(C224,Ingredients!$B$6:$B$105,0))),0)=1,"",ROUND(N(D224)*1000,0)*100000+100000-ROW())))</f>
        <v/>
      </c>
      <c r="J224">
        <f>IF(OR(B224="",C224=""),0,IFERROR(N(INDEX(Ingredients!$AC$6:$AC$105,MATCH(C224,Ingredients!$B$6:$B$105,0))),0))</f>
        <v/>
      </c>
      <c r="K224">
        <f>IF(OR(B224="",C224=""),0,IFERROR(N(INDEX(Ingredients!$AD$6:$AD$105,MATCH(C224,Ingredients!$B$6:$B$105,0))),0))</f>
        <v/>
      </c>
      <c r="L224">
        <f>IF(OR(B224="",C224=""),0,IFERROR(N(INDEX(Ingredients!$AE$6:$AE$105,MATCH(C224,Ingredients!$B$6:$B$105,0))),0))</f>
        <v/>
      </c>
      <c r="M224">
        <f>IF(OR(B224="",C224=""),0,IFERROR(N(INDEX(Ingredients!$AF$6:$AF$105,MATCH(C224,Ingredients!$B$6:$B$105,0))),0))</f>
        <v/>
      </c>
      <c r="N224">
        <f>IF(OR(B224="",C224=""),0,IFERROR(N(INDEX(Ingredients!$AG$6:$AG$105,MATCH(C224,Ingredients!$B$6:$B$105,0))),0))</f>
        <v/>
      </c>
      <c r="O224">
        <f>IF(OR(B224="",C224=""),0,IFERROR(N(INDEX(Ingredients!$AH$6:$AH$105,MATCH(C224,Ingredients!$B$6:$B$105,0))),0))</f>
        <v/>
      </c>
      <c r="P224">
        <f>IF(OR(B224="",C224=""),0,IFERROR(N(INDEX(Ingredients!$AI$6:$AI$105,MATCH(C224,Ingredients!$B$6:$B$105,0))),0))</f>
        <v/>
      </c>
      <c r="Q224">
        <f>IF(OR(B224="",C224=""),0,IFERROR(N(INDEX(Ingredients!$AJ$6:$AJ$105,MATCH(C224,Ingredients!$B$6:$B$105,0))),0))</f>
        <v/>
      </c>
      <c r="R224">
        <f>IF(OR(B224="",C224=""),0,IFERROR(N(INDEX(Ingredients!$AK$6:$AK$105,MATCH(C224,Ingredients!$B$6:$B$105,0))),0))</f>
        <v/>
      </c>
      <c r="S224">
        <f>IF(OR(B224="",C224=""),0,IFERROR(N(INDEX(Ingredients!$AL$6:$AL$105,MATCH(C224,Ingredients!$B$6:$B$105,0))),0))</f>
        <v/>
      </c>
      <c r="T224">
        <f>IF(OR(B224="",C224=""),0,IFERROR(N(INDEX(Ingredients!$AM$6:$AM$105,MATCH(C224,Ingredients!$B$6:$B$105,0))),0))</f>
        <v/>
      </c>
      <c r="U224">
        <f>IF(OR(B224="",C224=""),0,IFERROR(N(INDEX(Ingredients!$AN$6:$AN$105,MATCH(C224,Ingredients!$B$6:$B$105,0))),0))</f>
        <v/>
      </c>
      <c r="V224">
        <f>IF(OR(B224="",C224=""),0,IFERROR(N(INDEX(Ingredients!$AO$6:$AO$105,MATCH(C224,Ingredients!$B$6:$B$105,0))),0))</f>
        <v/>
      </c>
      <c r="W224">
        <f>IF(OR(B224="",C224=""),0,IFERROR(N(INDEX(Ingredients!$AP$6:$AP$105,MATCH(C224,Ingredients!$B$6:$B$105,0))),0))</f>
        <v/>
      </c>
      <c r="X224">
        <f>IF(OR(B224="",C224=""),0,IFERROR(N(INDEX(Ingredients!$AQ$6:$AQ$105,MATCH(C224,Ingredients!$B$6:$B$105,0))),0))</f>
        <v/>
      </c>
    </row>
    <row r="225">
      <c r="A225" s="1" t="n"/>
      <c r="B225" s="21" t="n"/>
      <c r="C225" s="39" t="n"/>
      <c r="D225" s="40" t="n"/>
      <c r="E225" s="12">
        <f>IF(C225="","",IF(ISNA(MATCH(C225,Ingredients!$B$6:$B$105,0)),"Not on Ingredients",IFERROR(IF(INDEX(Ingredients!$C$6:$C$105,MATCH(C225,Ingredients!$B$6:$B$105,0))="","",INDEX(Ingredients!$C$6:$C$105,MATCH(C225,Ingredients!$B$6:$B$105,0))),"")))</f>
        <v/>
      </c>
      <c r="F225" s="26">
        <f>IF(OR(B225="",C225=""),"",N(D225)*IFERROR(N(INDEX(Ingredients!$H$6:$H$105,MATCH(C225,Ingredients!$B$6:$B$105,0))),0))</f>
        <v/>
      </c>
      <c r="G225" s="1">
        <f>IF(OR(B225="",C225=""),0,IFERROR(N(INDEX(Products!$D$6:$D$45,MATCH(B225,Products!$B$6:$B$45,0))),0))</f>
        <v/>
      </c>
      <c r="H225">
        <f>IF(N(G225)=0,0,N(D225)*SUMIFS(Batches!$D$6:$D$505,Batches!$C$6:$C$505,B225)/G225)</f>
        <v/>
      </c>
      <c r="I225">
        <f>IF(OR(B225="",C225=""),"",IF(B225&lt;&gt;Label!$H$3,"",IF(IFERROR(N(INDEX(Ingredients!$AS$6:$AS$105,MATCH(C225,Ingredients!$B$6:$B$105,0))),0)=1,"",ROUND(N(D225)*1000,0)*100000+100000-ROW())))</f>
        <v/>
      </c>
      <c r="J225">
        <f>IF(OR(B225="",C225=""),0,IFERROR(N(INDEX(Ingredients!$AC$6:$AC$105,MATCH(C225,Ingredients!$B$6:$B$105,0))),0))</f>
        <v/>
      </c>
      <c r="K225">
        <f>IF(OR(B225="",C225=""),0,IFERROR(N(INDEX(Ingredients!$AD$6:$AD$105,MATCH(C225,Ingredients!$B$6:$B$105,0))),0))</f>
        <v/>
      </c>
      <c r="L225">
        <f>IF(OR(B225="",C225=""),0,IFERROR(N(INDEX(Ingredients!$AE$6:$AE$105,MATCH(C225,Ingredients!$B$6:$B$105,0))),0))</f>
        <v/>
      </c>
      <c r="M225">
        <f>IF(OR(B225="",C225=""),0,IFERROR(N(INDEX(Ingredients!$AF$6:$AF$105,MATCH(C225,Ingredients!$B$6:$B$105,0))),0))</f>
        <v/>
      </c>
      <c r="N225">
        <f>IF(OR(B225="",C225=""),0,IFERROR(N(INDEX(Ingredients!$AG$6:$AG$105,MATCH(C225,Ingredients!$B$6:$B$105,0))),0))</f>
        <v/>
      </c>
      <c r="O225">
        <f>IF(OR(B225="",C225=""),0,IFERROR(N(INDEX(Ingredients!$AH$6:$AH$105,MATCH(C225,Ingredients!$B$6:$B$105,0))),0))</f>
        <v/>
      </c>
      <c r="P225">
        <f>IF(OR(B225="",C225=""),0,IFERROR(N(INDEX(Ingredients!$AI$6:$AI$105,MATCH(C225,Ingredients!$B$6:$B$105,0))),0))</f>
        <v/>
      </c>
      <c r="Q225">
        <f>IF(OR(B225="",C225=""),0,IFERROR(N(INDEX(Ingredients!$AJ$6:$AJ$105,MATCH(C225,Ingredients!$B$6:$B$105,0))),0))</f>
        <v/>
      </c>
      <c r="R225">
        <f>IF(OR(B225="",C225=""),0,IFERROR(N(INDEX(Ingredients!$AK$6:$AK$105,MATCH(C225,Ingredients!$B$6:$B$105,0))),0))</f>
        <v/>
      </c>
      <c r="S225">
        <f>IF(OR(B225="",C225=""),0,IFERROR(N(INDEX(Ingredients!$AL$6:$AL$105,MATCH(C225,Ingredients!$B$6:$B$105,0))),0))</f>
        <v/>
      </c>
      <c r="T225">
        <f>IF(OR(B225="",C225=""),0,IFERROR(N(INDEX(Ingredients!$AM$6:$AM$105,MATCH(C225,Ingredients!$B$6:$B$105,0))),0))</f>
        <v/>
      </c>
      <c r="U225">
        <f>IF(OR(B225="",C225=""),0,IFERROR(N(INDEX(Ingredients!$AN$6:$AN$105,MATCH(C225,Ingredients!$B$6:$B$105,0))),0))</f>
        <v/>
      </c>
      <c r="V225">
        <f>IF(OR(B225="",C225=""),0,IFERROR(N(INDEX(Ingredients!$AO$6:$AO$105,MATCH(C225,Ingredients!$B$6:$B$105,0))),0))</f>
        <v/>
      </c>
      <c r="W225">
        <f>IF(OR(B225="",C225=""),0,IFERROR(N(INDEX(Ingredients!$AP$6:$AP$105,MATCH(C225,Ingredients!$B$6:$B$105,0))),0))</f>
        <v/>
      </c>
      <c r="X225">
        <f>IF(OR(B225="",C225=""),0,IFERROR(N(INDEX(Ingredients!$AQ$6:$AQ$105,MATCH(C225,Ingredients!$B$6:$B$105,0))),0))</f>
        <v/>
      </c>
    </row>
    <row r="226">
      <c r="A226" s="1" t="n"/>
      <c r="B226" s="21" t="n"/>
      <c r="C226" s="39" t="n"/>
      <c r="D226" s="40" t="n"/>
      <c r="E226" s="12">
        <f>IF(C226="","",IF(ISNA(MATCH(C226,Ingredients!$B$6:$B$105,0)),"Not on Ingredients",IFERROR(IF(INDEX(Ingredients!$C$6:$C$105,MATCH(C226,Ingredients!$B$6:$B$105,0))="","",INDEX(Ingredients!$C$6:$C$105,MATCH(C226,Ingredients!$B$6:$B$105,0))),"")))</f>
        <v/>
      </c>
      <c r="F226" s="26">
        <f>IF(OR(B226="",C226=""),"",N(D226)*IFERROR(N(INDEX(Ingredients!$H$6:$H$105,MATCH(C226,Ingredients!$B$6:$B$105,0))),0))</f>
        <v/>
      </c>
      <c r="G226" s="1">
        <f>IF(OR(B226="",C226=""),0,IFERROR(N(INDEX(Products!$D$6:$D$45,MATCH(B226,Products!$B$6:$B$45,0))),0))</f>
        <v/>
      </c>
      <c r="H226">
        <f>IF(N(G226)=0,0,N(D226)*SUMIFS(Batches!$D$6:$D$505,Batches!$C$6:$C$505,B226)/G226)</f>
        <v/>
      </c>
      <c r="I226">
        <f>IF(OR(B226="",C226=""),"",IF(B226&lt;&gt;Label!$H$3,"",IF(IFERROR(N(INDEX(Ingredients!$AS$6:$AS$105,MATCH(C226,Ingredients!$B$6:$B$105,0))),0)=1,"",ROUND(N(D226)*1000,0)*100000+100000-ROW())))</f>
        <v/>
      </c>
      <c r="J226">
        <f>IF(OR(B226="",C226=""),0,IFERROR(N(INDEX(Ingredients!$AC$6:$AC$105,MATCH(C226,Ingredients!$B$6:$B$105,0))),0))</f>
        <v/>
      </c>
      <c r="K226">
        <f>IF(OR(B226="",C226=""),0,IFERROR(N(INDEX(Ingredients!$AD$6:$AD$105,MATCH(C226,Ingredients!$B$6:$B$105,0))),0))</f>
        <v/>
      </c>
      <c r="L226">
        <f>IF(OR(B226="",C226=""),0,IFERROR(N(INDEX(Ingredients!$AE$6:$AE$105,MATCH(C226,Ingredients!$B$6:$B$105,0))),0))</f>
        <v/>
      </c>
      <c r="M226">
        <f>IF(OR(B226="",C226=""),0,IFERROR(N(INDEX(Ingredients!$AF$6:$AF$105,MATCH(C226,Ingredients!$B$6:$B$105,0))),0))</f>
        <v/>
      </c>
      <c r="N226">
        <f>IF(OR(B226="",C226=""),0,IFERROR(N(INDEX(Ingredients!$AG$6:$AG$105,MATCH(C226,Ingredients!$B$6:$B$105,0))),0))</f>
        <v/>
      </c>
      <c r="O226">
        <f>IF(OR(B226="",C226=""),0,IFERROR(N(INDEX(Ingredients!$AH$6:$AH$105,MATCH(C226,Ingredients!$B$6:$B$105,0))),0))</f>
        <v/>
      </c>
      <c r="P226">
        <f>IF(OR(B226="",C226=""),0,IFERROR(N(INDEX(Ingredients!$AI$6:$AI$105,MATCH(C226,Ingredients!$B$6:$B$105,0))),0))</f>
        <v/>
      </c>
      <c r="Q226">
        <f>IF(OR(B226="",C226=""),0,IFERROR(N(INDEX(Ingredients!$AJ$6:$AJ$105,MATCH(C226,Ingredients!$B$6:$B$105,0))),0))</f>
        <v/>
      </c>
      <c r="R226">
        <f>IF(OR(B226="",C226=""),0,IFERROR(N(INDEX(Ingredients!$AK$6:$AK$105,MATCH(C226,Ingredients!$B$6:$B$105,0))),0))</f>
        <v/>
      </c>
      <c r="S226">
        <f>IF(OR(B226="",C226=""),0,IFERROR(N(INDEX(Ingredients!$AL$6:$AL$105,MATCH(C226,Ingredients!$B$6:$B$105,0))),0))</f>
        <v/>
      </c>
      <c r="T226">
        <f>IF(OR(B226="",C226=""),0,IFERROR(N(INDEX(Ingredients!$AM$6:$AM$105,MATCH(C226,Ingredients!$B$6:$B$105,0))),0))</f>
        <v/>
      </c>
      <c r="U226">
        <f>IF(OR(B226="",C226=""),0,IFERROR(N(INDEX(Ingredients!$AN$6:$AN$105,MATCH(C226,Ingredients!$B$6:$B$105,0))),0))</f>
        <v/>
      </c>
      <c r="V226">
        <f>IF(OR(B226="",C226=""),0,IFERROR(N(INDEX(Ingredients!$AO$6:$AO$105,MATCH(C226,Ingredients!$B$6:$B$105,0))),0))</f>
        <v/>
      </c>
      <c r="W226">
        <f>IF(OR(B226="",C226=""),0,IFERROR(N(INDEX(Ingredients!$AP$6:$AP$105,MATCH(C226,Ingredients!$B$6:$B$105,0))),0))</f>
        <v/>
      </c>
      <c r="X226">
        <f>IF(OR(B226="",C226=""),0,IFERROR(N(INDEX(Ingredients!$AQ$6:$AQ$105,MATCH(C226,Ingredients!$B$6:$B$105,0))),0))</f>
        <v/>
      </c>
    </row>
    <row r="227">
      <c r="A227" s="1" t="n"/>
      <c r="B227" s="21" t="n"/>
      <c r="C227" s="39" t="n"/>
      <c r="D227" s="40" t="n"/>
      <c r="E227" s="12">
        <f>IF(C227="","",IF(ISNA(MATCH(C227,Ingredients!$B$6:$B$105,0)),"Not on Ingredients",IFERROR(IF(INDEX(Ingredients!$C$6:$C$105,MATCH(C227,Ingredients!$B$6:$B$105,0))="","",INDEX(Ingredients!$C$6:$C$105,MATCH(C227,Ingredients!$B$6:$B$105,0))),"")))</f>
        <v/>
      </c>
      <c r="F227" s="26">
        <f>IF(OR(B227="",C227=""),"",N(D227)*IFERROR(N(INDEX(Ingredients!$H$6:$H$105,MATCH(C227,Ingredients!$B$6:$B$105,0))),0))</f>
        <v/>
      </c>
      <c r="G227" s="1">
        <f>IF(OR(B227="",C227=""),0,IFERROR(N(INDEX(Products!$D$6:$D$45,MATCH(B227,Products!$B$6:$B$45,0))),0))</f>
        <v/>
      </c>
      <c r="H227">
        <f>IF(N(G227)=0,0,N(D227)*SUMIFS(Batches!$D$6:$D$505,Batches!$C$6:$C$505,B227)/G227)</f>
        <v/>
      </c>
      <c r="I227">
        <f>IF(OR(B227="",C227=""),"",IF(B227&lt;&gt;Label!$H$3,"",IF(IFERROR(N(INDEX(Ingredients!$AS$6:$AS$105,MATCH(C227,Ingredients!$B$6:$B$105,0))),0)=1,"",ROUND(N(D227)*1000,0)*100000+100000-ROW())))</f>
        <v/>
      </c>
      <c r="J227">
        <f>IF(OR(B227="",C227=""),0,IFERROR(N(INDEX(Ingredients!$AC$6:$AC$105,MATCH(C227,Ingredients!$B$6:$B$105,0))),0))</f>
        <v/>
      </c>
      <c r="K227">
        <f>IF(OR(B227="",C227=""),0,IFERROR(N(INDEX(Ingredients!$AD$6:$AD$105,MATCH(C227,Ingredients!$B$6:$B$105,0))),0))</f>
        <v/>
      </c>
      <c r="L227">
        <f>IF(OR(B227="",C227=""),0,IFERROR(N(INDEX(Ingredients!$AE$6:$AE$105,MATCH(C227,Ingredients!$B$6:$B$105,0))),0))</f>
        <v/>
      </c>
      <c r="M227">
        <f>IF(OR(B227="",C227=""),0,IFERROR(N(INDEX(Ingredients!$AF$6:$AF$105,MATCH(C227,Ingredients!$B$6:$B$105,0))),0))</f>
        <v/>
      </c>
      <c r="N227">
        <f>IF(OR(B227="",C227=""),0,IFERROR(N(INDEX(Ingredients!$AG$6:$AG$105,MATCH(C227,Ingredients!$B$6:$B$105,0))),0))</f>
        <v/>
      </c>
      <c r="O227">
        <f>IF(OR(B227="",C227=""),0,IFERROR(N(INDEX(Ingredients!$AH$6:$AH$105,MATCH(C227,Ingredients!$B$6:$B$105,0))),0))</f>
        <v/>
      </c>
      <c r="P227">
        <f>IF(OR(B227="",C227=""),0,IFERROR(N(INDEX(Ingredients!$AI$6:$AI$105,MATCH(C227,Ingredients!$B$6:$B$105,0))),0))</f>
        <v/>
      </c>
      <c r="Q227">
        <f>IF(OR(B227="",C227=""),0,IFERROR(N(INDEX(Ingredients!$AJ$6:$AJ$105,MATCH(C227,Ingredients!$B$6:$B$105,0))),0))</f>
        <v/>
      </c>
      <c r="R227">
        <f>IF(OR(B227="",C227=""),0,IFERROR(N(INDEX(Ingredients!$AK$6:$AK$105,MATCH(C227,Ingredients!$B$6:$B$105,0))),0))</f>
        <v/>
      </c>
      <c r="S227">
        <f>IF(OR(B227="",C227=""),0,IFERROR(N(INDEX(Ingredients!$AL$6:$AL$105,MATCH(C227,Ingredients!$B$6:$B$105,0))),0))</f>
        <v/>
      </c>
      <c r="T227">
        <f>IF(OR(B227="",C227=""),0,IFERROR(N(INDEX(Ingredients!$AM$6:$AM$105,MATCH(C227,Ingredients!$B$6:$B$105,0))),0))</f>
        <v/>
      </c>
      <c r="U227">
        <f>IF(OR(B227="",C227=""),0,IFERROR(N(INDEX(Ingredients!$AN$6:$AN$105,MATCH(C227,Ingredients!$B$6:$B$105,0))),0))</f>
        <v/>
      </c>
      <c r="V227">
        <f>IF(OR(B227="",C227=""),0,IFERROR(N(INDEX(Ingredients!$AO$6:$AO$105,MATCH(C227,Ingredients!$B$6:$B$105,0))),0))</f>
        <v/>
      </c>
      <c r="W227">
        <f>IF(OR(B227="",C227=""),0,IFERROR(N(INDEX(Ingredients!$AP$6:$AP$105,MATCH(C227,Ingredients!$B$6:$B$105,0))),0))</f>
        <v/>
      </c>
      <c r="X227">
        <f>IF(OR(B227="",C227=""),0,IFERROR(N(INDEX(Ingredients!$AQ$6:$AQ$105,MATCH(C227,Ingredients!$B$6:$B$105,0))),0))</f>
        <v/>
      </c>
    </row>
    <row r="228">
      <c r="A228" s="1" t="n"/>
      <c r="B228" s="21" t="n"/>
      <c r="C228" s="39" t="n"/>
      <c r="D228" s="40" t="n"/>
      <c r="E228" s="12">
        <f>IF(C228="","",IF(ISNA(MATCH(C228,Ingredients!$B$6:$B$105,0)),"Not on Ingredients",IFERROR(IF(INDEX(Ingredients!$C$6:$C$105,MATCH(C228,Ingredients!$B$6:$B$105,0))="","",INDEX(Ingredients!$C$6:$C$105,MATCH(C228,Ingredients!$B$6:$B$105,0))),"")))</f>
        <v/>
      </c>
      <c r="F228" s="26">
        <f>IF(OR(B228="",C228=""),"",N(D228)*IFERROR(N(INDEX(Ingredients!$H$6:$H$105,MATCH(C228,Ingredients!$B$6:$B$105,0))),0))</f>
        <v/>
      </c>
      <c r="G228" s="1">
        <f>IF(OR(B228="",C228=""),0,IFERROR(N(INDEX(Products!$D$6:$D$45,MATCH(B228,Products!$B$6:$B$45,0))),0))</f>
        <v/>
      </c>
      <c r="H228">
        <f>IF(N(G228)=0,0,N(D228)*SUMIFS(Batches!$D$6:$D$505,Batches!$C$6:$C$505,B228)/G228)</f>
        <v/>
      </c>
      <c r="I228">
        <f>IF(OR(B228="",C228=""),"",IF(B228&lt;&gt;Label!$H$3,"",IF(IFERROR(N(INDEX(Ingredients!$AS$6:$AS$105,MATCH(C228,Ingredients!$B$6:$B$105,0))),0)=1,"",ROUND(N(D228)*1000,0)*100000+100000-ROW())))</f>
        <v/>
      </c>
      <c r="J228">
        <f>IF(OR(B228="",C228=""),0,IFERROR(N(INDEX(Ingredients!$AC$6:$AC$105,MATCH(C228,Ingredients!$B$6:$B$105,0))),0))</f>
        <v/>
      </c>
      <c r="K228">
        <f>IF(OR(B228="",C228=""),0,IFERROR(N(INDEX(Ingredients!$AD$6:$AD$105,MATCH(C228,Ingredients!$B$6:$B$105,0))),0))</f>
        <v/>
      </c>
      <c r="L228">
        <f>IF(OR(B228="",C228=""),0,IFERROR(N(INDEX(Ingredients!$AE$6:$AE$105,MATCH(C228,Ingredients!$B$6:$B$105,0))),0))</f>
        <v/>
      </c>
      <c r="M228">
        <f>IF(OR(B228="",C228=""),0,IFERROR(N(INDEX(Ingredients!$AF$6:$AF$105,MATCH(C228,Ingredients!$B$6:$B$105,0))),0))</f>
        <v/>
      </c>
      <c r="N228">
        <f>IF(OR(B228="",C228=""),0,IFERROR(N(INDEX(Ingredients!$AG$6:$AG$105,MATCH(C228,Ingredients!$B$6:$B$105,0))),0))</f>
        <v/>
      </c>
      <c r="O228">
        <f>IF(OR(B228="",C228=""),0,IFERROR(N(INDEX(Ingredients!$AH$6:$AH$105,MATCH(C228,Ingredients!$B$6:$B$105,0))),0))</f>
        <v/>
      </c>
      <c r="P228">
        <f>IF(OR(B228="",C228=""),0,IFERROR(N(INDEX(Ingredients!$AI$6:$AI$105,MATCH(C228,Ingredients!$B$6:$B$105,0))),0))</f>
        <v/>
      </c>
      <c r="Q228">
        <f>IF(OR(B228="",C228=""),0,IFERROR(N(INDEX(Ingredients!$AJ$6:$AJ$105,MATCH(C228,Ingredients!$B$6:$B$105,0))),0))</f>
        <v/>
      </c>
      <c r="R228">
        <f>IF(OR(B228="",C228=""),0,IFERROR(N(INDEX(Ingredients!$AK$6:$AK$105,MATCH(C228,Ingredients!$B$6:$B$105,0))),0))</f>
        <v/>
      </c>
      <c r="S228">
        <f>IF(OR(B228="",C228=""),0,IFERROR(N(INDEX(Ingredients!$AL$6:$AL$105,MATCH(C228,Ingredients!$B$6:$B$105,0))),0))</f>
        <v/>
      </c>
      <c r="T228">
        <f>IF(OR(B228="",C228=""),0,IFERROR(N(INDEX(Ingredients!$AM$6:$AM$105,MATCH(C228,Ingredients!$B$6:$B$105,0))),0))</f>
        <v/>
      </c>
      <c r="U228">
        <f>IF(OR(B228="",C228=""),0,IFERROR(N(INDEX(Ingredients!$AN$6:$AN$105,MATCH(C228,Ingredients!$B$6:$B$105,0))),0))</f>
        <v/>
      </c>
      <c r="V228">
        <f>IF(OR(B228="",C228=""),0,IFERROR(N(INDEX(Ingredients!$AO$6:$AO$105,MATCH(C228,Ingredients!$B$6:$B$105,0))),0))</f>
        <v/>
      </c>
      <c r="W228">
        <f>IF(OR(B228="",C228=""),0,IFERROR(N(INDEX(Ingredients!$AP$6:$AP$105,MATCH(C228,Ingredients!$B$6:$B$105,0))),0))</f>
        <v/>
      </c>
      <c r="X228">
        <f>IF(OR(B228="",C228=""),0,IFERROR(N(INDEX(Ingredients!$AQ$6:$AQ$105,MATCH(C228,Ingredients!$B$6:$B$105,0))),0))</f>
        <v/>
      </c>
    </row>
    <row r="229">
      <c r="A229" s="1" t="n"/>
      <c r="B229" s="21" t="n"/>
      <c r="C229" s="39" t="n"/>
      <c r="D229" s="40" t="n"/>
      <c r="E229" s="12">
        <f>IF(C229="","",IF(ISNA(MATCH(C229,Ingredients!$B$6:$B$105,0)),"Not on Ingredients",IFERROR(IF(INDEX(Ingredients!$C$6:$C$105,MATCH(C229,Ingredients!$B$6:$B$105,0))="","",INDEX(Ingredients!$C$6:$C$105,MATCH(C229,Ingredients!$B$6:$B$105,0))),"")))</f>
        <v/>
      </c>
      <c r="F229" s="26">
        <f>IF(OR(B229="",C229=""),"",N(D229)*IFERROR(N(INDEX(Ingredients!$H$6:$H$105,MATCH(C229,Ingredients!$B$6:$B$105,0))),0))</f>
        <v/>
      </c>
      <c r="G229" s="1">
        <f>IF(OR(B229="",C229=""),0,IFERROR(N(INDEX(Products!$D$6:$D$45,MATCH(B229,Products!$B$6:$B$45,0))),0))</f>
        <v/>
      </c>
      <c r="H229">
        <f>IF(N(G229)=0,0,N(D229)*SUMIFS(Batches!$D$6:$D$505,Batches!$C$6:$C$505,B229)/G229)</f>
        <v/>
      </c>
      <c r="I229">
        <f>IF(OR(B229="",C229=""),"",IF(B229&lt;&gt;Label!$H$3,"",IF(IFERROR(N(INDEX(Ingredients!$AS$6:$AS$105,MATCH(C229,Ingredients!$B$6:$B$105,0))),0)=1,"",ROUND(N(D229)*1000,0)*100000+100000-ROW())))</f>
        <v/>
      </c>
      <c r="J229">
        <f>IF(OR(B229="",C229=""),0,IFERROR(N(INDEX(Ingredients!$AC$6:$AC$105,MATCH(C229,Ingredients!$B$6:$B$105,0))),0))</f>
        <v/>
      </c>
      <c r="K229">
        <f>IF(OR(B229="",C229=""),0,IFERROR(N(INDEX(Ingredients!$AD$6:$AD$105,MATCH(C229,Ingredients!$B$6:$B$105,0))),0))</f>
        <v/>
      </c>
      <c r="L229">
        <f>IF(OR(B229="",C229=""),0,IFERROR(N(INDEX(Ingredients!$AE$6:$AE$105,MATCH(C229,Ingredients!$B$6:$B$105,0))),0))</f>
        <v/>
      </c>
      <c r="M229">
        <f>IF(OR(B229="",C229=""),0,IFERROR(N(INDEX(Ingredients!$AF$6:$AF$105,MATCH(C229,Ingredients!$B$6:$B$105,0))),0))</f>
        <v/>
      </c>
      <c r="N229">
        <f>IF(OR(B229="",C229=""),0,IFERROR(N(INDEX(Ingredients!$AG$6:$AG$105,MATCH(C229,Ingredients!$B$6:$B$105,0))),0))</f>
        <v/>
      </c>
      <c r="O229">
        <f>IF(OR(B229="",C229=""),0,IFERROR(N(INDEX(Ingredients!$AH$6:$AH$105,MATCH(C229,Ingredients!$B$6:$B$105,0))),0))</f>
        <v/>
      </c>
      <c r="P229">
        <f>IF(OR(B229="",C229=""),0,IFERROR(N(INDEX(Ingredients!$AI$6:$AI$105,MATCH(C229,Ingredients!$B$6:$B$105,0))),0))</f>
        <v/>
      </c>
      <c r="Q229">
        <f>IF(OR(B229="",C229=""),0,IFERROR(N(INDEX(Ingredients!$AJ$6:$AJ$105,MATCH(C229,Ingredients!$B$6:$B$105,0))),0))</f>
        <v/>
      </c>
      <c r="R229">
        <f>IF(OR(B229="",C229=""),0,IFERROR(N(INDEX(Ingredients!$AK$6:$AK$105,MATCH(C229,Ingredients!$B$6:$B$105,0))),0))</f>
        <v/>
      </c>
      <c r="S229">
        <f>IF(OR(B229="",C229=""),0,IFERROR(N(INDEX(Ingredients!$AL$6:$AL$105,MATCH(C229,Ingredients!$B$6:$B$105,0))),0))</f>
        <v/>
      </c>
      <c r="T229">
        <f>IF(OR(B229="",C229=""),0,IFERROR(N(INDEX(Ingredients!$AM$6:$AM$105,MATCH(C229,Ingredients!$B$6:$B$105,0))),0))</f>
        <v/>
      </c>
      <c r="U229">
        <f>IF(OR(B229="",C229=""),0,IFERROR(N(INDEX(Ingredients!$AN$6:$AN$105,MATCH(C229,Ingredients!$B$6:$B$105,0))),0))</f>
        <v/>
      </c>
      <c r="V229">
        <f>IF(OR(B229="",C229=""),0,IFERROR(N(INDEX(Ingredients!$AO$6:$AO$105,MATCH(C229,Ingredients!$B$6:$B$105,0))),0))</f>
        <v/>
      </c>
      <c r="W229">
        <f>IF(OR(B229="",C229=""),0,IFERROR(N(INDEX(Ingredients!$AP$6:$AP$105,MATCH(C229,Ingredients!$B$6:$B$105,0))),0))</f>
        <v/>
      </c>
      <c r="X229">
        <f>IF(OR(B229="",C229=""),0,IFERROR(N(INDEX(Ingredients!$AQ$6:$AQ$105,MATCH(C229,Ingredients!$B$6:$B$105,0))),0))</f>
        <v/>
      </c>
    </row>
    <row r="230">
      <c r="A230" s="1" t="n"/>
      <c r="B230" s="21" t="n"/>
      <c r="C230" s="39" t="n"/>
      <c r="D230" s="40" t="n"/>
      <c r="E230" s="12">
        <f>IF(C230="","",IF(ISNA(MATCH(C230,Ingredients!$B$6:$B$105,0)),"Not on Ingredients",IFERROR(IF(INDEX(Ingredients!$C$6:$C$105,MATCH(C230,Ingredients!$B$6:$B$105,0))="","",INDEX(Ingredients!$C$6:$C$105,MATCH(C230,Ingredients!$B$6:$B$105,0))),"")))</f>
        <v/>
      </c>
      <c r="F230" s="26">
        <f>IF(OR(B230="",C230=""),"",N(D230)*IFERROR(N(INDEX(Ingredients!$H$6:$H$105,MATCH(C230,Ingredients!$B$6:$B$105,0))),0))</f>
        <v/>
      </c>
      <c r="G230" s="1">
        <f>IF(OR(B230="",C230=""),0,IFERROR(N(INDEX(Products!$D$6:$D$45,MATCH(B230,Products!$B$6:$B$45,0))),0))</f>
        <v/>
      </c>
      <c r="H230">
        <f>IF(N(G230)=0,0,N(D230)*SUMIFS(Batches!$D$6:$D$505,Batches!$C$6:$C$505,B230)/G230)</f>
        <v/>
      </c>
      <c r="I230">
        <f>IF(OR(B230="",C230=""),"",IF(B230&lt;&gt;Label!$H$3,"",IF(IFERROR(N(INDEX(Ingredients!$AS$6:$AS$105,MATCH(C230,Ingredients!$B$6:$B$105,0))),0)=1,"",ROUND(N(D230)*1000,0)*100000+100000-ROW())))</f>
        <v/>
      </c>
      <c r="J230">
        <f>IF(OR(B230="",C230=""),0,IFERROR(N(INDEX(Ingredients!$AC$6:$AC$105,MATCH(C230,Ingredients!$B$6:$B$105,0))),0))</f>
        <v/>
      </c>
      <c r="K230">
        <f>IF(OR(B230="",C230=""),0,IFERROR(N(INDEX(Ingredients!$AD$6:$AD$105,MATCH(C230,Ingredients!$B$6:$B$105,0))),0))</f>
        <v/>
      </c>
      <c r="L230">
        <f>IF(OR(B230="",C230=""),0,IFERROR(N(INDEX(Ingredients!$AE$6:$AE$105,MATCH(C230,Ingredients!$B$6:$B$105,0))),0))</f>
        <v/>
      </c>
      <c r="M230">
        <f>IF(OR(B230="",C230=""),0,IFERROR(N(INDEX(Ingredients!$AF$6:$AF$105,MATCH(C230,Ingredients!$B$6:$B$105,0))),0))</f>
        <v/>
      </c>
      <c r="N230">
        <f>IF(OR(B230="",C230=""),0,IFERROR(N(INDEX(Ingredients!$AG$6:$AG$105,MATCH(C230,Ingredients!$B$6:$B$105,0))),0))</f>
        <v/>
      </c>
      <c r="O230">
        <f>IF(OR(B230="",C230=""),0,IFERROR(N(INDEX(Ingredients!$AH$6:$AH$105,MATCH(C230,Ingredients!$B$6:$B$105,0))),0))</f>
        <v/>
      </c>
      <c r="P230">
        <f>IF(OR(B230="",C230=""),0,IFERROR(N(INDEX(Ingredients!$AI$6:$AI$105,MATCH(C230,Ingredients!$B$6:$B$105,0))),0))</f>
        <v/>
      </c>
      <c r="Q230">
        <f>IF(OR(B230="",C230=""),0,IFERROR(N(INDEX(Ingredients!$AJ$6:$AJ$105,MATCH(C230,Ingredients!$B$6:$B$105,0))),0))</f>
        <v/>
      </c>
      <c r="R230">
        <f>IF(OR(B230="",C230=""),0,IFERROR(N(INDEX(Ingredients!$AK$6:$AK$105,MATCH(C230,Ingredients!$B$6:$B$105,0))),0))</f>
        <v/>
      </c>
      <c r="S230">
        <f>IF(OR(B230="",C230=""),0,IFERROR(N(INDEX(Ingredients!$AL$6:$AL$105,MATCH(C230,Ingredients!$B$6:$B$105,0))),0))</f>
        <v/>
      </c>
      <c r="T230">
        <f>IF(OR(B230="",C230=""),0,IFERROR(N(INDEX(Ingredients!$AM$6:$AM$105,MATCH(C230,Ingredients!$B$6:$B$105,0))),0))</f>
        <v/>
      </c>
      <c r="U230">
        <f>IF(OR(B230="",C230=""),0,IFERROR(N(INDEX(Ingredients!$AN$6:$AN$105,MATCH(C230,Ingredients!$B$6:$B$105,0))),0))</f>
        <v/>
      </c>
      <c r="V230">
        <f>IF(OR(B230="",C230=""),0,IFERROR(N(INDEX(Ingredients!$AO$6:$AO$105,MATCH(C230,Ingredients!$B$6:$B$105,0))),0))</f>
        <v/>
      </c>
      <c r="W230">
        <f>IF(OR(B230="",C230=""),0,IFERROR(N(INDEX(Ingredients!$AP$6:$AP$105,MATCH(C230,Ingredients!$B$6:$B$105,0))),0))</f>
        <v/>
      </c>
      <c r="X230">
        <f>IF(OR(B230="",C230=""),0,IFERROR(N(INDEX(Ingredients!$AQ$6:$AQ$105,MATCH(C230,Ingredients!$B$6:$B$105,0))),0))</f>
        <v/>
      </c>
    </row>
    <row r="231">
      <c r="A231" s="1" t="n"/>
      <c r="B231" s="21" t="n"/>
      <c r="C231" s="39" t="n"/>
      <c r="D231" s="40" t="n"/>
      <c r="E231" s="12">
        <f>IF(C231="","",IF(ISNA(MATCH(C231,Ingredients!$B$6:$B$105,0)),"Not on Ingredients",IFERROR(IF(INDEX(Ingredients!$C$6:$C$105,MATCH(C231,Ingredients!$B$6:$B$105,0))="","",INDEX(Ingredients!$C$6:$C$105,MATCH(C231,Ingredients!$B$6:$B$105,0))),"")))</f>
        <v/>
      </c>
      <c r="F231" s="26">
        <f>IF(OR(B231="",C231=""),"",N(D231)*IFERROR(N(INDEX(Ingredients!$H$6:$H$105,MATCH(C231,Ingredients!$B$6:$B$105,0))),0))</f>
        <v/>
      </c>
      <c r="G231" s="1">
        <f>IF(OR(B231="",C231=""),0,IFERROR(N(INDEX(Products!$D$6:$D$45,MATCH(B231,Products!$B$6:$B$45,0))),0))</f>
        <v/>
      </c>
      <c r="H231">
        <f>IF(N(G231)=0,0,N(D231)*SUMIFS(Batches!$D$6:$D$505,Batches!$C$6:$C$505,B231)/G231)</f>
        <v/>
      </c>
      <c r="I231">
        <f>IF(OR(B231="",C231=""),"",IF(B231&lt;&gt;Label!$H$3,"",IF(IFERROR(N(INDEX(Ingredients!$AS$6:$AS$105,MATCH(C231,Ingredients!$B$6:$B$105,0))),0)=1,"",ROUND(N(D231)*1000,0)*100000+100000-ROW())))</f>
        <v/>
      </c>
      <c r="J231">
        <f>IF(OR(B231="",C231=""),0,IFERROR(N(INDEX(Ingredients!$AC$6:$AC$105,MATCH(C231,Ingredients!$B$6:$B$105,0))),0))</f>
        <v/>
      </c>
      <c r="K231">
        <f>IF(OR(B231="",C231=""),0,IFERROR(N(INDEX(Ingredients!$AD$6:$AD$105,MATCH(C231,Ingredients!$B$6:$B$105,0))),0))</f>
        <v/>
      </c>
      <c r="L231">
        <f>IF(OR(B231="",C231=""),0,IFERROR(N(INDEX(Ingredients!$AE$6:$AE$105,MATCH(C231,Ingredients!$B$6:$B$105,0))),0))</f>
        <v/>
      </c>
      <c r="M231">
        <f>IF(OR(B231="",C231=""),0,IFERROR(N(INDEX(Ingredients!$AF$6:$AF$105,MATCH(C231,Ingredients!$B$6:$B$105,0))),0))</f>
        <v/>
      </c>
      <c r="N231">
        <f>IF(OR(B231="",C231=""),0,IFERROR(N(INDEX(Ingredients!$AG$6:$AG$105,MATCH(C231,Ingredients!$B$6:$B$105,0))),0))</f>
        <v/>
      </c>
      <c r="O231">
        <f>IF(OR(B231="",C231=""),0,IFERROR(N(INDEX(Ingredients!$AH$6:$AH$105,MATCH(C231,Ingredients!$B$6:$B$105,0))),0))</f>
        <v/>
      </c>
      <c r="P231">
        <f>IF(OR(B231="",C231=""),0,IFERROR(N(INDEX(Ingredients!$AI$6:$AI$105,MATCH(C231,Ingredients!$B$6:$B$105,0))),0))</f>
        <v/>
      </c>
      <c r="Q231">
        <f>IF(OR(B231="",C231=""),0,IFERROR(N(INDEX(Ingredients!$AJ$6:$AJ$105,MATCH(C231,Ingredients!$B$6:$B$105,0))),0))</f>
        <v/>
      </c>
      <c r="R231">
        <f>IF(OR(B231="",C231=""),0,IFERROR(N(INDEX(Ingredients!$AK$6:$AK$105,MATCH(C231,Ingredients!$B$6:$B$105,0))),0))</f>
        <v/>
      </c>
      <c r="S231">
        <f>IF(OR(B231="",C231=""),0,IFERROR(N(INDEX(Ingredients!$AL$6:$AL$105,MATCH(C231,Ingredients!$B$6:$B$105,0))),0))</f>
        <v/>
      </c>
      <c r="T231">
        <f>IF(OR(B231="",C231=""),0,IFERROR(N(INDEX(Ingredients!$AM$6:$AM$105,MATCH(C231,Ingredients!$B$6:$B$105,0))),0))</f>
        <v/>
      </c>
      <c r="U231">
        <f>IF(OR(B231="",C231=""),0,IFERROR(N(INDEX(Ingredients!$AN$6:$AN$105,MATCH(C231,Ingredients!$B$6:$B$105,0))),0))</f>
        <v/>
      </c>
      <c r="V231">
        <f>IF(OR(B231="",C231=""),0,IFERROR(N(INDEX(Ingredients!$AO$6:$AO$105,MATCH(C231,Ingredients!$B$6:$B$105,0))),0))</f>
        <v/>
      </c>
      <c r="W231">
        <f>IF(OR(B231="",C231=""),0,IFERROR(N(INDEX(Ingredients!$AP$6:$AP$105,MATCH(C231,Ingredients!$B$6:$B$105,0))),0))</f>
        <v/>
      </c>
      <c r="X231">
        <f>IF(OR(B231="",C231=""),0,IFERROR(N(INDEX(Ingredients!$AQ$6:$AQ$105,MATCH(C231,Ingredients!$B$6:$B$105,0))),0))</f>
        <v/>
      </c>
    </row>
    <row r="232">
      <c r="A232" s="1" t="n"/>
      <c r="B232" s="21" t="n"/>
      <c r="C232" s="39" t="n"/>
      <c r="D232" s="40" t="n"/>
      <c r="E232" s="12">
        <f>IF(C232="","",IF(ISNA(MATCH(C232,Ingredients!$B$6:$B$105,0)),"Not on Ingredients",IFERROR(IF(INDEX(Ingredients!$C$6:$C$105,MATCH(C232,Ingredients!$B$6:$B$105,0))="","",INDEX(Ingredients!$C$6:$C$105,MATCH(C232,Ingredients!$B$6:$B$105,0))),"")))</f>
        <v/>
      </c>
      <c r="F232" s="26">
        <f>IF(OR(B232="",C232=""),"",N(D232)*IFERROR(N(INDEX(Ingredients!$H$6:$H$105,MATCH(C232,Ingredients!$B$6:$B$105,0))),0))</f>
        <v/>
      </c>
      <c r="G232" s="1">
        <f>IF(OR(B232="",C232=""),0,IFERROR(N(INDEX(Products!$D$6:$D$45,MATCH(B232,Products!$B$6:$B$45,0))),0))</f>
        <v/>
      </c>
      <c r="H232">
        <f>IF(N(G232)=0,0,N(D232)*SUMIFS(Batches!$D$6:$D$505,Batches!$C$6:$C$505,B232)/G232)</f>
        <v/>
      </c>
      <c r="I232">
        <f>IF(OR(B232="",C232=""),"",IF(B232&lt;&gt;Label!$H$3,"",IF(IFERROR(N(INDEX(Ingredients!$AS$6:$AS$105,MATCH(C232,Ingredients!$B$6:$B$105,0))),0)=1,"",ROUND(N(D232)*1000,0)*100000+100000-ROW())))</f>
        <v/>
      </c>
      <c r="J232">
        <f>IF(OR(B232="",C232=""),0,IFERROR(N(INDEX(Ingredients!$AC$6:$AC$105,MATCH(C232,Ingredients!$B$6:$B$105,0))),0))</f>
        <v/>
      </c>
      <c r="K232">
        <f>IF(OR(B232="",C232=""),0,IFERROR(N(INDEX(Ingredients!$AD$6:$AD$105,MATCH(C232,Ingredients!$B$6:$B$105,0))),0))</f>
        <v/>
      </c>
      <c r="L232">
        <f>IF(OR(B232="",C232=""),0,IFERROR(N(INDEX(Ingredients!$AE$6:$AE$105,MATCH(C232,Ingredients!$B$6:$B$105,0))),0))</f>
        <v/>
      </c>
      <c r="M232">
        <f>IF(OR(B232="",C232=""),0,IFERROR(N(INDEX(Ingredients!$AF$6:$AF$105,MATCH(C232,Ingredients!$B$6:$B$105,0))),0))</f>
        <v/>
      </c>
      <c r="N232">
        <f>IF(OR(B232="",C232=""),0,IFERROR(N(INDEX(Ingredients!$AG$6:$AG$105,MATCH(C232,Ingredients!$B$6:$B$105,0))),0))</f>
        <v/>
      </c>
      <c r="O232">
        <f>IF(OR(B232="",C232=""),0,IFERROR(N(INDEX(Ingredients!$AH$6:$AH$105,MATCH(C232,Ingredients!$B$6:$B$105,0))),0))</f>
        <v/>
      </c>
      <c r="P232">
        <f>IF(OR(B232="",C232=""),0,IFERROR(N(INDEX(Ingredients!$AI$6:$AI$105,MATCH(C232,Ingredients!$B$6:$B$105,0))),0))</f>
        <v/>
      </c>
      <c r="Q232">
        <f>IF(OR(B232="",C232=""),0,IFERROR(N(INDEX(Ingredients!$AJ$6:$AJ$105,MATCH(C232,Ingredients!$B$6:$B$105,0))),0))</f>
        <v/>
      </c>
      <c r="R232">
        <f>IF(OR(B232="",C232=""),0,IFERROR(N(INDEX(Ingredients!$AK$6:$AK$105,MATCH(C232,Ingredients!$B$6:$B$105,0))),0))</f>
        <v/>
      </c>
      <c r="S232">
        <f>IF(OR(B232="",C232=""),0,IFERROR(N(INDEX(Ingredients!$AL$6:$AL$105,MATCH(C232,Ingredients!$B$6:$B$105,0))),0))</f>
        <v/>
      </c>
      <c r="T232">
        <f>IF(OR(B232="",C232=""),0,IFERROR(N(INDEX(Ingredients!$AM$6:$AM$105,MATCH(C232,Ingredients!$B$6:$B$105,0))),0))</f>
        <v/>
      </c>
      <c r="U232">
        <f>IF(OR(B232="",C232=""),0,IFERROR(N(INDEX(Ingredients!$AN$6:$AN$105,MATCH(C232,Ingredients!$B$6:$B$105,0))),0))</f>
        <v/>
      </c>
      <c r="V232">
        <f>IF(OR(B232="",C232=""),0,IFERROR(N(INDEX(Ingredients!$AO$6:$AO$105,MATCH(C232,Ingredients!$B$6:$B$105,0))),0))</f>
        <v/>
      </c>
      <c r="W232">
        <f>IF(OR(B232="",C232=""),0,IFERROR(N(INDEX(Ingredients!$AP$6:$AP$105,MATCH(C232,Ingredients!$B$6:$B$105,0))),0))</f>
        <v/>
      </c>
      <c r="X232">
        <f>IF(OR(B232="",C232=""),0,IFERROR(N(INDEX(Ingredients!$AQ$6:$AQ$105,MATCH(C232,Ingredients!$B$6:$B$105,0))),0))</f>
        <v/>
      </c>
    </row>
    <row r="233">
      <c r="A233" s="1" t="n"/>
      <c r="B233" s="21" t="n"/>
      <c r="C233" s="39" t="n"/>
      <c r="D233" s="40" t="n"/>
      <c r="E233" s="12">
        <f>IF(C233="","",IF(ISNA(MATCH(C233,Ingredients!$B$6:$B$105,0)),"Not on Ingredients",IFERROR(IF(INDEX(Ingredients!$C$6:$C$105,MATCH(C233,Ingredients!$B$6:$B$105,0))="","",INDEX(Ingredients!$C$6:$C$105,MATCH(C233,Ingredients!$B$6:$B$105,0))),"")))</f>
        <v/>
      </c>
      <c r="F233" s="26">
        <f>IF(OR(B233="",C233=""),"",N(D233)*IFERROR(N(INDEX(Ingredients!$H$6:$H$105,MATCH(C233,Ingredients!$B$6:$B$105,0))),0))</f>
        <v/>
      </c>
      <c r="G233" s="1">
        <f>IF(OR(B233="",C233=""),0,IFERROR(N(INDEX(Products!$D$6:$D$45,MATCH(B233,Products!$B$6:$B$45,0))),0))</f>
        <v/>
      </c>
      <c r="H233">
        <f>IF(N(G233)=0,0,N(D233)*SUMIFS(Batches!$D$6:$D$505,Batches!$C$6:$C$505,B233)/G233)</f>
        <v/>
      </c>
      <c r="I233">
        <f>IF(OR(B233="",C233=""),"",IF(B233&lt;&gt;Label!$H$3,"",IF(IFERROR(N(INDEX(Ingredients!$AS$6:$AS$105,MATCH(C233,Ingredients!$B$6:$B$105,0))),0)=1,"",ROUND(N(D233)*1000,0)*100000+100000-ROW())))</f>
        <v/>
      </c>
      <c r="J233">
        <f>IF(OR(B233="",C233=""),0,IFERROR(N(INDEX(Ingredients!$AC$6:$AC$105,MATCH(C233,Ingredients!$B$6:$B$105,0))),0))</f>
        <v/>
      </c>
      <c r="K233">
        <f>IF(OR(B233="",C233=""),0,IFERROR(N(INDEX(Ingredients!$AD$6:$AD$105,MATCH(C233,Ingredients!$B$6:$B$105,0))),0))</f>
        <v/>
      </c>
      <c r="L233">
        <f>IF(OR(B233="",C233=""),0,IFERROR(N(INDEX(Ingredients!$AE$6:$AE$105,MATCH(C233,Ingredients!$B$6:$B$105,0))),0))</f>
        <v/>
      </c>
      <c r="M233">
        <f>IF(OR(B233="",C233=""),0,IFERROR(N(INDEX(Ingredients!$AF$6:$AF$105,MATCH(C233,Ingredients!$B$6:$B$105,0))),0))</f>
        <v/>
      </c>
      <c r="N233">
        <f>IF(OR(B233="",C233=""),0,IFERROR(N(INDEX(Ingredients!$AG$6:$AG$105,MATCH(C233,Ingredients!$B$6:$B$105,0))),0))</f>
        <v/>
      </c>
      <c r="O233">
        <f>IF(OR(B233="",C233=""),0,IFERROR(N(INDEX(Ingredients!$AH$6:$AH$105,MATCH(C233,Ingredients!$B$6:$B$105,0))),0))</f>
        <v/>
      </c>
      <c r="P233">
        <f>IF(OR(B233="",C233=""),0,IFERROR(N(INDEX(Ingredients!$AI$6:$AI$105,MATCH(C233,Ingredients!$B$6:$B$105,0))),0))</f>
        <v/>
      </c>
      <c r="Q233">
        <f>IF(OR(B233="",C233=""),0,IFERROR(N(INDEX(Ingredients!$AJ$6:$AJ$105,MATCH(C233,Ingredients!$B$6:$B$105,0))),0))</f>
        <v/>
      </c>
      <c r="R233">
        <f>IF(OR(B233="",C233=""),0,IFERROR(N(INDEX(Ingredients!$AK$6:$AK$105,MATCH(C233,Ingredients!$B$6:$B$105,0))),0))</f>
        <v/>
      </c>
      <c r="S233">
        <f>IF(OR(B233="",C233=""),0,IFERROR(N(INDEX(Ingredients!$AL$6:$AL$105,MATCH(C233,Ingredients!$B$6:$B$105,0))),0))</f>
        <v/>
      </c>
      <c r="T233">
        <f>IF(OR(B233="",C233=""),0,IFERROR(N(INDEX(Ingredients!$AM$6:$AM$105,MATCH(C233,Ingredients!$B$6:$B$105,0))),0))</f>
        <v/>
      </c>
      <c r="U233">
        <f>IF(OR(B233="",C233=""),0,IFERROR(N(INDEX(Ingredients!$AN$6:$AN$105,MATCH(C233,Ingredients!$B$6:$B$105,0))),0))</f>
        <v/>
      </c>
      <c r="V233">
        <f>IF(OR(B233="",C233=""),0,IFERROR(N(INDEX(Ingredients!$AO$6:$AO$105,MATCH(C233,Ingredients!$B$6:$B$105,0))),0))</f>
        <v/>
      </c>
      <c r="W233">
        <f>IF(OR(B233="",C233=""),0,IFERROR(N(INDEX(Ingredients!$AP$6:$AP$105,MATCH(C233,Ingredients!$B$6:$B$105,0))),0))</f>
        <v/>
      </c>
      <c r="X233">
        <f>IF(OR(B233="",C233=""),0,IFERROR(N(INDEX(Ingredients!$AQ$6:$AQ$105,MATCH(C233,Ingredients!$B$6:$B$105,0))),0))</f>
        <v/>
      </c>
    </row>
    <row r="234">
      <c r="A234" s="1" t="n"/>
      <c r="B234" s="21" t="n"/>
      <c r="C234" s="39" t="n"/>
      <c r="D234" s="40" t="n"/>
      <c r="E234" s="12">
        <f>IF(C234="","",IF(ISNA(MATCH(C234,Ingredients!$B$6:$B$105,0)),"Not on Ingredients",IFERROR(IF(INDEX(Ingredients!$C$6:$C$105,MATCH(C234,Ingredients!$B$6:$B$105,0))="","",INDEX(Ingredients!$C$6:$C$105,MATCH(C234,Ingredients!$B$6:$B$105,0))),"")))</f>
        <v/>
      </c>
      <c r="F234" s="26">
        <f>IF(OR(B234="",C234=""),"",N(D234)*IFERROR(N(INDEX(Ingredients!$H$6:$H$105,MATCH(C234,Ingredients!$B$6:$B$105,0))),0))</f>
        <v/>
      </c>
      <c r="G234" s="1">
        <f>IF(OR(B234="",C234=""),0,IFERROR(N(INDEX(Products!$D$6:$D$45,MATCH(B234,Products!$B$6:$B$45,0))),0))</f>
        <v/>
      </c>
      <c r="H234">
        <f>IF(N(G234)=0,0,N(D234)*SUMIFS(Batches!$D$6:$D$505,Batches!$C$6:$C$505,B234)/G234)</f>
        <v/>
      </c>
      <c r="I234">
        <f>IF(OR(B234="",C234=""),"",IF(B234&lt;&gt;Label!$H$3,"",IF(IFERROR(N(INDEX(Ingredients!$AS$6:$AS$105,MATCH(C234,Ingredients!$B$6:$B$105,0))),0)=1,"",ROUND(N(D234)*1000,0)*100000+100000-ROW())))</f>
        <v/>
      </c>
      <c r="J234">
        <f>IF(OR(B234="",C234=""),0,IFERROR(N(INDEX(Ingredients!$AC$6:$AC$105,MATCH(C234,Ingredients!$B$6:$B$105,0))),0))</f>
        <v/>
      </c>
      <c r="K234">
        <f>IF(OR(B234="",C234=""),0,IFERROR(N(INDEX(Ingredients!$AD$6:$AD$105,MATCH(C234,Ingredients!$B$6:$B$105,0))),0))</f>
        <v/>
      </c>
      <c r="L234">
        <f>IF(OR(B234="",C234=""),0,IFERROR(N(INDEX(Ingredients!$AE$6:$AE$105,MATCH(C234,Ingredients!$B$6:$B$105,0))),0))</f>
        <v/>
      </c>
      <c r="M234">
        <f>IF(OR(B234="",C234=""),0,IFERROR(N(INDEX(Ingredients!$AF$6:$AF$105,MATCH(C234,Ingredients!$B$6:$B$105,0))),0))</f>
        <v/>
      </c>
      <c r="N234">
        <f>IF(OR(B234="",C234=""),0,IFERROR(N(INDEX(Ingredients!$AG$6:$AG$105,MATCH(C234,Ingredients!$B$6:$B$105,0))),0))</f>
        <v/>
      </c>
      <c r="O234">
        <f>IF(OR(B234="",C234=""),0,IFERROR(N(INDEX(Ingredients!$AH$6:$AH$105,MATCH(C234,Ingredients!$B$6:$B$105,0))),0))</f>
        <v/>
      </c>
      <c r="P234">
        <f>IF(OR(B234="",C234=""),0,IFERROR(N(INDEX(Ingredients!$AI$6:$AI$105,MATCH(C234,Ingredients!$B$6:$B$105,0))),0))</f>
        <v/>
      </c>
      <c r="Q234">
        <f>IF(OR(B234="",C234=""),0,IFERROR(N(INDEX(Ingredients!$AJ$6:$AJ$105,MATCH(C234,Ingredients!$B$6:$B$105,0))),0))</f>
        <v/>
      </c>
      <c r="R234">
        <f>IF(OR(B234="",C234=""),0,IFERROR(N(INDEX(Ingredients!$AK$6:$AK$105,MATCH(C234,Ingredients!$B$6:$B$105,0))),0))</f>
        <v/>
      </c>
      <c r="S234">
        <f>IF(OR(B234="",C234=""),0,IFERROR(N(INDEX(Ingredients!$AL$6:$AL$105,MATCH(C234,Ingredients!$B$6:$B$105,0))),0))</f>
        <v/>
      </c>
      <c r="T234">
        <f>IF(OR(B234="",C234=""),0,IFERROR(N(INDEX(Ingredients!$AM$6:$AM$105,MATCH(C234,Ingredients!$B$6:$B$105,0))),0))</f>
        <v/>
      </c>
      <c r="U234">
        <f>IF(OR(B234="",C234=""),0,IFERROR(N(INDEX(Ingredients!$AN$6:$AN$105,MATCH(C234,Ingredients!$B$6:$B$105,0))),0))</f>
        <v/>
      </c>
      <c r="V234">
        <f>IF(OR(B234="",C234=""),0,IFERROR(N(INDEX(Ingredients!$AO$6:$AO$105,MATCH(C234,Ingredients!$B$6:$B$105,0))),0))</f>
        <v/>
      </c>
      <c r="W234">
        <f>IF(OR(B234="",C234=""),0,IFERROR(N(INDEX(Ingredients!$AP$6:$AP$105,MATCH(C234,Ingredients!$B$6:$B$105,0))),0))</f>
        <v/>
      </c>
      <c r="X234">
        <f>IF(OR(B234="",C234=""),0,IFERROR(N(INDEX(Ingredients!$AQ$6:$AQ$105,MATCH(C234,Ingredients!$B$6:$B$105,0))),0))</f>
        <v/>
      </c>
    </row>
    <row r="235">
      <c r="A235" s="1" t="n"/>
      <c r="B235" s="21" t="n"/>
      <c r="C235" s="39" t="n"/>
      <c r="D235" s="40" t="n"/>
      <c r="E235" s="12">
        <f>IF(C235="","",IF(ISNA(MATCH(C235,Ingredients!$B$6:$B$105,0)),"Not on Ingredients",IFERROR(IF(INDEX(Ingredients!$C$6:$C$105,MATCH(C235,Ingredients!$B$6:$B$105,0))="","",INDEX(Ingredients!$C$6:$C$105,MATCH(C235,Ingredients!$B$6:$B$105,0))),"")))</f>
        <v/>
      </c>
      <c r="F235" s="26">
        <f>IF(OR(B235="",C235=""),"",N(D235)*IFERROR(N(INDEX(Ingredients!$H$6:$H$105,MATCH(C235,Ingredients!$B$6:$B$105,0))),0))</f>
        <v/>
      </c>
      <c r="G235" s="1">
        <f>IF(OR(B235="",C235=""),0,IFERROR(N(INDEX(Products!$D$6:$D$45,MATCH(B235,Products!$B$6:$B$45,0))),0))</f>
        <v/>
      </c>
      <c r="H235">
        <f>IF(N(G235)=0,0,N(D235)*SUMIFS(Batches!$D$6:$D$505,Batches!$C$6:$C$505,B235)/G235)</f>
        <v/>
      </c>
      <c r="I235">
        <f>IF(OR(B235="",C235=""),"",IF(B235&lt;&gt;Label!$H$3,"",IF(IFERROR(N(INDEX(Ingredients!$AS$6:$AS$105,MATCH(C235,Ingredients!$B$6:$B$105,0))),0)=1,"",ROUND(N(D235)*1000,0)*100000+100000-ROW())))</f>
        <v/>
      </c>
      <c r="J235">
        <f>IF(OR(B235="",C235=""),0,IFERROR(N(INDEX(Ingredients!$AC$6:$AC$105,MATCH(C235,Ingredients!$B$6:$B$105,0))),0))</f>
        <v/>
      </c>
      <c r="K235">
        <f>IF(OR(B235="",C235=""),0,IFERROR(N(INDEX(Ingredients!$AD$6:$AD$105,MATCH(C235,Ingredients!$B$6:$B$105,0))),0))</f>
        <v/>
      </c>
      <c r="L235">
        <f>IF(OR(B235="",C235=""),0,IFERROR(N(INDEX(Ingredients!$AE$6:$AE$105,MATCH(C235,Ingredients!$B$6:$B$105,0))),0))</f>
        <v/>
      </c>
      <c r="M235">
        <f>IF(OR(B235="",C235=""),0,IFERROR(N(INDEX(Ingredients!$AF$6:$AF$105,MATCH(C235,Ingredients!$B$6:$B$105,0))),0))</f>
        <v/>
      </c>
      <c r="N235">
        <f>IF(OR(B235="",C235=""),0,IFERROR(N(INDEX(Ingredients!$AG$6:$AG$105,MATCH(C235,Ingredients!$B$6:$B$105,0))),0))</f>
        <v/>
      </c>
      <c r="O235">
        <f>IF(OR(B235="",C235=""),0,IFERROR(N(INDEX(Ingredients!$AH$6:$AH$105,MATCH(C235,Ingredients!$B$6:$B$105,0))),0))</f>
        <v/>
      </c>
      <c r="P235">
        <f>IF(OR(B235="",C235=""),0,IFERROR(N(INDEX(Ingredients!$AI$6:$AI$105,MATCH(C235,Ingredients!$B$6:$B$105,0))),0))</f>
        <v/>
      </c>
      <c r="Q235">
        <f>IF(OR(B235="",C235=""),0,IFERROR(N(INDEX(Ingredients!$AJ$6:$AJ$105,MATCH(C235,Ingredients!$B$6:$B$105,0))),0))</f>
        <v/>
      </c>
      <c r="R235">
        <f>IF(OR(B235="",C235=""),0,IFERROR(N(INDEX(Ingredients!$AK$6:$AK$105,MATCH(C235,Ingredients!$B$6:$B$105,0))),0))</f>
        <v/>
      </c>
      <c r="S235">
        <f>IF(OR(B235="",C235=""),0,IFERROR(N(INDEX(Ingredients!$AL$6:$AL$105,MATCH(C235,Ingredients!$B$6:$B$105,0))),0))</f>
        <v/>
      </c>
      <c r="T235">
        <f>IF(OR(B235="",C235=""),0,IFERROR(N(INDEX(Ingredients!$AM$6:$AM$105,MATCH(C235,Ingredients!$B$6:$B$105,0))),0))</f>
        <v/>
      </c>
      <c r="U235">
        <f>IF(OR(B235="",C235=""),0,IFERROR(N(INDEX(Ingredients!$AN$6:$AN$105,MATCH(C235,Ingredients!$B$6:$B$105,0))),0))</f>
        <v/>
      </c>
      <c r="V235">
        <f>IF(OR(B235="",C235=""),0,IFERROR(N(INDEX(Ingredients!$AO$6:$AO$105,MATCH(C235,Ingredients!$B$6:$B$105,0))),0))</f>
        <v/>
      </c>
      <c r="W235">
        <f>IF(OR(B235="",C235=""),0,IFERROR(N(INDEX(Ingredients!$AP$6:$AP$105,MATCH(C235,Ingredients!$B$6:$B$105,0))),0))</f>
        <v/>
      </c>
      <c r="X235">
        <f>IF(OR(B235="",C235=""),0,IFERROR(N(INDEX(Ingredients!$AQ$6:$AQ$105,MATCH(C235,Ingredients!$B$6:$B$105,0))),0))</f>
        <v/>
      </c>
    </row>
    <row r="236">
      <c r="A236" s="1" t="n"/>
      <c r="B236" s="21" t="n"/>
      <c r="C236" s="39" t="n"/>
      <c r="D236" s="40" t="n"/>
      <c r="E236" s="12">
        <f>IF(C236="","",IF(ISNA(MATCH(C236,Ingredients!$B$6:$B$105,0)),"Not on Ingredients",IFERROR(IF(INDEX(Ingredients!$C$6:$C$105,MATCH(C236,Ingredients!$B$6:$B$105,0))="","",INDEX(Ingredients!$C$6:$C$105,MATCH(C236,Ingredients!$B$6:$B$105,0))),"")))</f>
        <v/>
      </c>
      <c r="F236" s="26">
        <f>IF(OR(B236="",C236=""),"",N(D236)*IFERROR(N(INDEX(Ingredients!$H$6:$H$105,MATCH(C236,Ingredients!$B$6:$B$105,0))),0))</f>
        <v/>
      </c>
      <c r="G236" s="1">
        <f>IF(OR(B236="",C236=""),0,IFERROR(N(INDEX(Products!$D$6:$D$45,MATCH(B236,Products!$B$6:$B$45,0))),0))</f>
        <v/>
      </c>
      <c r="H236">
        <f>IF(N(G236)=0,0,N(D236)*SUMIFS(Batches!$D$6:$D$505,Batches!$C$6:$C$505,B236)/G236)</f>
        <v/>
      </c>
      <c r="I236">
        <f>IF(OR(B236="",C236=""),"",IF(B236&lt;&gt;Label!$H$3,"",IF(IFERROR(N(INDEX(Ingredients!$AS$6:$AS$105,MATCH(C236,Ingredients!$B$6:$B$105,0))),0)=1,"",ROUND(N(D236)*1000,0)*100000+100000-ROW())))</f>
        <v/>
      </c>
      <c r="J236">
        <f>IF(OR(B236="",C236=""),0,IFERROR(N(INDEX(Ingredients!$AC$6:$AC$105,MATCH(C236,Ingredients!$B$6:$B$105,0))),0))</f>
        <v/>
      </c>
      <c r="K236">
        <f>IF(OR(B236="",C236=""),0,IFERROR(N(INDEX(Ingredients!$AD$6:$AD$105,MATCH(C236,Ingredients!$B$6:$B$105,0))),0))</f>
        <v/>
      </c>
      <c r="L236">
        <f>IF(OR(B236="",C236=""),0,IFERROR(N(INDEX(Ingredients!$AE$6:$AE$105,MATCH(C236,Ingredients!$B$6:$B$105,0))),0))</f>
        <v/>
      </c>
      <c r="M236">
        <f>IF(OR(B236="",C236=""),0,IFERROR(N(INDEX(Ingredients!$AF$6:$AF$105,MATCH(C236,Ingredients!$B$6:$B$105,0))),0))</f>
        <v/>
      </c>
      <c r="N236">
        <f>IF(OR(B236="",C236=""),0,IFERROR(N(INDEX(Ingredients!$AG$6:$AG$105,MATCH(C236,Ingredients!$B$6:$B$105,0))),0))</f>
        <v/>
      </c>
      <c r="O236">
        <f>IF(OR(B236="",C236=""),0,IFERROR(N(INDEX(Ingredients!$AH$6:$AH$105,MATCH(C236,Ingredients!$B$6:$B$105,0))),0))</f>
        <v/>
      </c>
      <c r="P236">
        <f>IF(OR(B236="",C236=""),0,IFERROR(N(INDEX(Ingredients!$AI$6:$AI$105,MATCH(C236,Ingredients!$B$6:$B$105,0))),0))</f>
        <v/>
      </c>
      <c r="Q236">
        <f>IF(OR(B236="",C236=""),0,IFERROR(N(INDEX(Ingredients!$AJ$6:$AJ$105,MATCH(C236,Ingredients!$B$6:$B$105,0))),0))</f>
        <v/>
      </c>
      <c r="R236">
        <f>IF(OR(B236="",C236=""),0,IFERROR(N(INDEX(Ingredients!$AK$6:$AK$105,MATCH(C236,Ingredients!$B$6:$B$105,0))),0))</f>
        <v/>
      </c>
      <c r="S236">
        <f>IF(OR(B236="",C236=""),0,IFERROR(N(INDEX(Ingredients!$AL$6:$AL$105,MATCH(C236,Ingredients!$B$6:$B$105,0))),0))</f>
        <v/>
      </c>
      <c r="T236">
        <f>IF(OR(B236="",C236=""),0,IFERROR(N(INDEX(Ingredients!$AM$6:$AM$105,MATCH(C236,Ingredients!$B$6:$B$105,0))),0))</f>
        <v/>
      </c>
      <c r="U236">
        <f>IF(OR(B236="",C236=""),0,IFERROR(N(INDEX(Ingredients!$AN$6:$AN$105,MATCH(C236,Ingredients!$B$6:$B$105,0))),0))</f>
        <v/>
      </c>
      <c r="V236">
        <f>IF(OR(B236="",C236=""),0,IFERROR(N(INDEX(Ingredients!$AO$6:$AO$105,MATCH(C236,Ingredients!$B$6:$B$105,0))),0))</f>
        <v/>
      </c>
      <c r="W236">
        <f>IF(OR(B236="",C236=""),0,IFERROR(N(INDEX(Ingredients!$AP$6:$AP$105,MATCH(C236,Ingredients!$B$6:$B$105,0))),0))</f>
        <v/>
      </c>
      <c r="X236">
        <f>IF(OR(B236="",C236=""),0,IFERROR(N(INDEX(Ingredients!$AQ$6:$AQ$105,MATCH(C236,Ingredients!$B$6:$B$105,0))),0))</f>
        <v/>
      </c>
    </row>
    <row r="237">
      <c r="A237" s="1" t="n"/>
      <c r="B237" s="21" t="n"/>
      <c r="C237" s="39" t="n"/>
      <c r="D237" s="40" t="n"/>
      <c r="E237" s="12">
        <f>IF(C237="","",IF(ISNA(MATCH(C237,Ingredients!$B$6:$B$105,0)),"Not on Ingredients",IFERROR(IF(INDEX(Ingredients!$C$6:$C$105,MATCH(C237,Ingredients!$B$6:$B$105,0))="","",INDEX(Ingredients!$C$6:$C$105,MATCH(C237,Ingredients!$B$6:$B$105,0))),"")))</f>
        <v/>
      </c>
      <c r="F237" s="26">
        <f>IF(OR(B237="",C237=""),"",N(D237)*IFERROR(N(INDEX(Ingredients!$H$6:$H$105,MATCH(C237,Ingredients!$B$6:$B$105,0))),0))</f>
        <v/>
      </c>
      <c r="G237" s="1">
        <f>IF(OR(B237="",C237=""),0,IFERROR(N(INDEX(Products!$D$6:$D$45,MATCH(B237,Products!$B$6:$B$45,0))),0))</f>
        <v/>
      </c>
      <c r="H237">
        <f>IF(N(G237)=0,0,N(D237)*SUMIFS(Batches!$D$6:$D$505,Batches!$C$6:$C$505,B237)/G237)</f>
        <v/>
      </c>
      <c r="I237">
        <f>IF(OR(B237="",C237=""),"",IF(B237&lt;&gt;Label!$H$3,"",IF(IFERROR(N(INDEX(Ingredients!$AS$6:$AS$105,MATCH(C237,Ingredients!$B$6:$B$105,0))),0)=1,"",ROUND(N(D237)*1000,0)*100000+100000-ROW())))</f>
        <v/>
      </c>
      <c r="J237">
        <f>IF(OR(B237="",C237=""),0,IFERROR(N(INDEX(Ingredients!$AC$6:$AC$105,MATCH(C237,Ingredients!$B$6:$B$105,0))),0))</f>
        <v/>
      </c>
      <c r="K237">
        <f>IF(OR(B237="",C237=""),0,IFERROR(N(INDEX(Ingredients!$AD$6:$AD$105,MATCH(C237,Ingredients!$B$6:$B$105,0))),0))</f>
        <v/>
      </c>
      <c r="L237">
        <f>IF(OR(B237="",C237=""),0,IFERROR(N(INDEX(Ingredients!$AE$6:$AE$105,MATCH(C237,Ingredients!$B$6:$B$105,0))),0))</f>
        <v/>
      </c>
      <c r="M237">
        <f>IF(OR(B237="",C237=""),0,IFERROR(N(INDEX(Ingredients!$AF$6:$AF$105,MATCH(C237,Ingredients!$B$6:$B$105,0))),0))</f>
        <v/>
      </c>
      <c r="N237">
        <f>IF(OR(B237="",C237=""),0,IFERROR(N(INDEX(Ingredients!$AG$6:$AG$105,MATCH(C237,Ingredients!$B$6:$B$105,0))),0))</f>
        <v/>
      </c>
      <c r="O237">
        <f>IF(OR(B237="",C237=""),0,IFERROR(N(INDEX(Ingredients!$AH$6:$AH$105,MATCH(C237,Ingredients!$B$6:$B$105,0))),0))</f>
        <v/>
      </c>
      <c r="P237">
        <f>IF(OR(B237="",C237=""),0,IFERROR(N(INDEX(Ingredients!$AI$6:$AI$105,MATCH(C237,Ingredients!$B$6:$B$105,0))),0))</f>
        <v/>
      </c>
      <c r="Q237">
        <f>IF(OR(B237="",C237=""),0,IFERROR(N(INDEX(Ingredients!$AJ$6:$AJ$105,MATCH(C237,Ingredients!$B$6:$B$105,0))),0))</f>
        <v/>
      </c>
      <c r="R237">
        <f>IF(OR(B237="",C237=""),0,IFERROR(N(INDEX(Ingredients!$AK$6:$AK$105,MATCH(C237,Ingredients!$B$6:$B$105,0))),0))</f>
        <v/>
      </c>
      <c r="S237">
        <f>IF(OR(B237="",C237=""),0,IFERROR(N(INDEX(Ingredients!$AL$6:$AL$105,MATCH(C237,Ingredients!$B$6:$B$105,0))),0))</f>
        <v/>
      </c>
      <c r="T237">
        <f>IF(OR(B237="",C237=""),0,IFERROR(N(INDEX(Ingredients!$AM$6:$AM$105,MATCH(C237,Ingredients!$B$6:$B$105,0))),0))</f>
        <v/>
      </c>
      <c r="U237">
        <f>IF(OR(B237="",C237=""),0,IFERROR(N(INDEX(Ingredients!$AN$6:$AN$105,MATCH(C237,Ingredients!$B$6:$B$105,0))),0))</f>
        <v/>
      </c>
      <c r="V237">
        <f>IF(OR(B237="",C237=""),0,IFERROR(N(INDEX(Ingredients!$AO$6:$AO$105,MATCH(C237,Ingredients!$B$6:$B$105,0))),0))</f>
        <v/>
      </c>
      <c r="W237">
        <f>IF(OR(B237="",C237=""),0,IFERROR(N(INDEX(Ingredients!$AP$6:$AP$105,MATCH(C237,Ingredients!$B$6:$B$105,0))),0))</f>
        <v/>
      </c>
      <c r="X237">
        <f>IF(OR(B237="",C237=""),0,IFERROR(N(INDEX(Ingredients!$AQ$6:$AQ$105,MATCH(C237,Ingredients!$B$6:$B$105,0))),0))</f>
        <v/>
      </c>
    </row>
    <row r="238">
      <c r="A238" s="1" t="n"/>
      <c r="B238" s="21" t="n"/>
      <c r="C238" s="39" t="n"/>
      <c r="D238" s="40" t="n"/>
      <c r="E238" s="12">
        <f>IF(C238="","",IF(ISNA(MATCH(C238,Ingredients!$B$6:$B$105,0)),"Not on Ingredients",IFERROR(IF(INDEX(Ingredients!$C$6:$C$105,MATCH(C238,Ingredients!$B$6:$B$105,0))="","",INDEX(Ingredients!$C$6:$C$105,MATCH(C238,Ingredients!$B$6:$B$105,0))),"")))</f>
        <v/>
      </c>
      <c r="F238" s="26">
        <f>IF(OR(B238="",C238=""),"",N(D238)*IFERROR(N(INDEX(Ingredients!$H$6:$H$105,MATCH(C238,Ingredients!$B$6:$B$105,0))),0))</f>
        <v/>
      </c>
      <c r="G238" s="1">
        <f>IF(OR(B238="",C238=""),0,IFERROR(N(INDEX(Products!$D$6:$D$45,MATCH(B238,Products!$B$6:$B$45,0))),0))</f>
        <v/>
      </c>
      <c r="H238">
        <f>IF(N(G238)=0,0,N(D238)*SUMIFS(Batches!$D$6:$D$505,Batches!$C$6:$C$505,B238)/G238)</f>
        <v/>
      </c>
      <c r="I238">
        <f>IF(OR(B238="",C238=""),"",IF(B238&lt;&gt;Label!$H$3,"",IF(IFERROR(N(INDEX(Ingredients!$AS$6:$AS$105,MATCH(C238,Ingredients!$B$6:$B$105,0))),0)=1,"",ROUND(N(D238)*1000,0)*100000+100000-ROW())))</f>
        <v/>
      </c>
      <c r="J238">
        <f>IF(OR(B238="",C238=""),0,IFERROR(N(INDEX(Ingredients!$AC$6:$AC$105,MATCH(C238,Ingredients!$B$6:$B$105,0))),0))</f>
        <v/>
      </c>
      <c r="K238">
        <f>IF(OR(B238="",C238=""),0,IFERROR(N(INDEX(Ingredients!$AD$6:$AD$105,MATCH(C238,Ingredients!$B$6:$B$105,0))),0))</f>
        <v/>
      </c>
      <c r="L238">
        <f>IF(OR(B238="",C238=""),0,IFERROR(N(INDEX(Ingredients!$AE$6:$AE$105,MATCH(C238,Ingredients!$B$6:$B$105,0))),0))</f>
        <v/>
      </c>
      <c r="M238">
        <f>IF(OR(B238="",C238=""),0,IFERROR(N(INDEX(Ingredients!$AF$6:$AF$105,MATCH(C238,Ingredients!$B$6:$B$105,0))),0))</f>
        <v/>
      </c>
      <c r="N238">
        <f>IF(OR(B238="",C238=""),0,IFERROR(N(INDEX(Ingredients!$AG$6:$AG$105,MATCH(C238,Ingredients!$B$6:$B$105,0))),0))</f>
        <v/>
      </c>
      <c r="O238">
        <f>IF(OR(B238="",C238=""),0,IFERROR(N(INDEX(Ingredients!$AH$6:$AH$105,MATCH(C238,Ingredients!$B$6:$B$105,0))),0))</f>
        <v/>
      </c>
      <c r="P238">
        <f>IF(OR(B238="",C238=""),0,IFERROR(N(INDEX(Ingredients!$AI$6:$AI$105,MATCH(C238,Ingredients!$B$6:$B$105,0))),0))</f>
        <v/>
      </c>
      <c r="Q238">
        <f>IF(OR(B238="",C238=""),0,IFERROR(N(INDEX(Ingredients!$AJ$6:$AJ$105,MATCH(C238,Ingredients!$B$6:$B$105,0))),0))</f>
        <v/>
      </c>
      <c r="R238">
        <f>IF(OR(B238="",C238=""),0,IFERROR(N(INDEX(Ingredients!$AK$6:$AK$105,MATCH(C238,Ingredients!$B$6:$B$105,0))),0))</f>
        <v/>
      </c>
      <c r="S238">
        <f>IF(OR(B238="",C238=""),0,IFERROR(N(INDEX(Ingredients!$AL$6:$AL$105,MATCH(C238,Ingredients!$B$6:$B$105,0))),0))</f>
        <v/>
      </c>
      <c r="T238">
        <f>IF(OR(B238="",C238=""),0,IFERROR(N(INDEX(Ingredients!$AM$6:$AM$105,MATCH(C238,Ingredients!$B$6:$B$105,0))),0))</f>
        <v/>
      </c>
      <c r="U238">
        <f>IF(OR(B238="",C238=""),0,IFERROR(N(INDEX(Ingredients!$AN$6:$AN$105,MATCH(C238,Ingredients!$B$6:$B$105,0))),0))</f>
        <v/>
      </c>
      <c r="V238">
        <f>IF(OR(B238="",C238=""),0,IFERROR(N(INDEX(Ingredients!$AO$6:$AO$105,MATCH(C238,Ingredients!$B$6:$B$105,0))),0))</f>
        <v/>
      </c>
      <c r="W238">
        <f>IF(OR(B238="",C238=""),0,IFERROR(N(INDEX(Ingredients!$AP$6:$AP$105,MATCH(C238,Ingredients!$B$6:$B$105,0))),0))</f>
        <v/>
      </c>
      <c r="X238">
        <f>IF(OR(B238="",C238=""),0,IFERROR(N(INDEX(Ingredients!$AQ$6:$AQ$105,MATCH(C238,Ingredients!$B$6:$B$105,0))),0))</f>
        <v/>
      </c>
    </row>
    <row r="239">
      <c r="A239" s="1" t="n"/>
      <c r="B239" s="21" t="n"/>
      <c r="C239" s="39" t="n"/>
      <c r="D239" s="40" t="n"/>
      <c r="E239" s="12">
        <f>IF(C239="","",IF(ISNA(MATCH(C239,Ingredients!$B$6:$B$105,0)),"Not on Ingredients",IFERROR(IF(INDEX(Ingredients!$C$6:$C$105,MATCH(C239,Ingredients!$B$6:$B$105,0))="","",INDEX(Ingredients!$C$6:$C$105,MATCH(C239,Ingredients!$B$6:$B$105,0))),"")))</f>
        <v/>
      </c>
      <c r="F239" s="26">
        <f>IF(OR(B239="",C239=""),"",N(D239)*IFERROR(N(INDEX(Ingredients!$H$6:$H$105,MATCH(C239,Ingredients!$B$6:$B$105,0))),0))</f>
        <v/>
      </c>
      <c r="G239" s="1">
        <f>IF(OR(B239="",C239=""),0,IFERROR(N(INDEX(Products!$D$6:$D$45,MATCH(B239,Products!$B$6:$B$45,0))),0))</f>
        <v/>
      </c>
      <c r="H239">
        <f>IF(N(G239)=0,0,N(D239)*SUMIFS(Batches!$D$6:$D$505,Batches!$C$6:$C$505,B239)/G239)</f>
        <v/>
      </c>
      <c r="I239">
        <f>IF(OR(B239="",C239=""),"",IF(B239&lt;&gt;Label!$H$3,"",IF(IFERROR(N(INDEX(Ingredients!$AS$6:$AS$105,MATCH(C239,Ingredients!$B$6:$B$105,0))),0)=1,"",ROUND(N(D239)*1000,0)*100000+100000-ROW())))</f>
        <v/>
      </c>
      <c r="J239">
        <f>IF(OR(B239="",C239=""),0,IFERROR(N(INDEX(Ingredients!$AC$6:$AC$105,MATCH(C239,Ingredients!$B$6:$B$105,0))),0))</f>
        <v/>
      </c>
      <c r="K239">
        <f>IF(OR(B239="",C239=""),0,IFERROR(N(INDEX(Ingredients!$AD$6:$AD$105,MATCH(C239,Ingredients!$B$6:$B$105,0))),0))</f>
        <v/>
      </c>
      <c r="L239">
        <f>IF(OR(B239="",C239=""),0,IFERROR(N(INDEX(Ingredients!$AE$6:$AE$105,MATCH(C239,Ingredients!$B$6:$B$105,0))),0))</f>
        <v/>
      </c>
      <c r="M239">
        <f>IF(OR(B239="",C239=""),0,IFERROR(N(INDEX(Ingredients!$AF$6:$AF$105,MATCH(C239,Ingredients!$B$6:$B$105,0))),0))</f>
        <v/>
      </c>
      <c r="N239">
        <f>IF(OR(B239="",C239=""),0,IFERROR(N(INDEX(Ingredients!$AG$6:$AG$105,MATCH(C239,Ingredients!$B$6:$B$105,0))),0))</f>
        <v/>
      </c>
      <c r="O239">
        <f>IF(OR(B239="",C239=""),0,IFERROR(N(INDEX(Ingredients!$AH$6:$AH$105,MATCH(C239,Ingredients!$B$6:$B$105,0))),0))</f>
        <v/>
      </c>
      <c r="P239">
        <f>IF(OR(B239="",C239=""),0,IFERROR(N(INDEX(Ingredients!$AI$6:$AI$105,MATCH(C239,Ingredients!$B$6:$B$105,0))),0))</f>
        <v/>
      </c>
      <c r="Q239">
        <f>IF(OR(B239="",C239=""),0,IFERROR(N(INDEX(Ingredients!$AJ$6:$AJ$105,MATCH(C239,Ingredients!$B$6:$B$105,0))),0))</f>
        <v/>
      </c>
      <c r="R239">
        <f>IF(OR(B239="",C239=""),0,IFERROR(N(INDEX(Ingredients!$AK$6:$AK$105,MATCH(C239,Ingredients!$B$6:$B$105,0))),0))</f>
        <v/>
      </c>
      <c r="S239">
        <f>IF(OR(B239="",C239=""),0,IFERROR(N(INDEX(Ingredients!$AL$6:$AL$105,MATCH(C239,Ingredients!$B$6:$B$105,0))),0))</f>
        <v/>
      </c>
      <c r="T239">
        <f>IF(OR(B239="",C239=""),0,IFERROR(N(INDEX(Ingredients!$AM$6:$AM$105,MATCH(C239,Ingredients!$B$6:$B$105,0))),0))</f>
        <v/>
      </c>
      <c r="U239">
        <f>IF(OR(B239="",C239=""),0,IFERROR(N(INDEX(Ingredients!$AN$6:$AN$105,MATCH(C239,Ingredients!$B$6:$B$105,0))),0))</f>
        <v/>
      </c>
      <c r="V239">
        <f>IF(OR(B239="",C239=""),0,IFERROR(N(INDEX(Ingredients!$AO$6:$AO$105,MATCH(C239,Ingredients!$B$6:$B$105,0))),0))</f>
        <v/>
      </c>
      <c r="W239">
        <f>IF(OR(B239="",C239=""),0,IFERROR(N(INDEX(Ingredients!$AP$6:$AP$105,MATCH(C239,Ingredients!$B$6:$B$105,0))),0))</f>
        <v/>
      </c>
      <c r="X239">
        <f>IF(OR(B239="",C239=""),0,IFERROR(N(INDEX(Ingredients!$AQ$6:$AQ$105,MATCH(C239,Ingredients!$B$6:$B$105,0))),0))</f>
        <v/>
      </c>
    </row>
    <row r="240">
      <c r="A240" s="1" t="n"/>
      <c r="B240" s="21" t="n"/>
      <c r="C240" s="39" t="n"/>
      <c r="D240" s="40" t="n"/>
      <c r="E240" s="12">
        <f>IF(C240="","",IF(ISNA(MATCH(C240,Ingredients!$B$6:$B$105,0)),"Not on Ingredients",IFERROR(IF(INDEX(Ingredients!$C$6:$C$105,MATCH(C240,Ingredients!$B$6:$B$105,0))="","",INDEX(Ingredients!$C$6:$C$105,MATCH(C240,Ingredients!$B$6:$B$105,0))),"")))</f>
        <v/>
      </c>
      <c r="F240" s="26">
        <f>IF(OR(B240="",C240=""),"",N(D240)*IFERROR(N(INDEX(Ingredients!$H$6:$H$105,MATCH(C240,Ingredients!$B$6:$B$105,0))),0))</f>
        <v/>
      </c>
      <c r="G240" s="1">
        <f>IF(OR(B240="",C240=""),0,IFERROR(N(INDEX(Products!$D$6:$D$45,MATCH(B240,Products!$B$6:$B$45,0))),0))</f>
        <v/>
      </c>
      <c r="H240">
        <f>IF(N(G240)=0,0,N(D240)*SUMIFS(Batches!$D$6:$D$505,Batches!$C$6:$C$505,B240)/G240)</f>
        <v/>
      </c>
      <c r="I240">
        <f>IF(OR(B240="",C240=""),"",IF(B240&lt;&gt;Label!$H$3,"",IF(IFERROR(N(INDEX(Ingredients!$AS$6:$AS$105,MATCH(C240,Ingredients!$B$6:$B$105,0))),0)=1,"",ROUND(N(D240)*1000,0)*100000+100000-ROW())))</f>
        <v/>
      </c>
      <c r="J240">
        <f>IF(OR(B240="",C240=""),0,IFERROR(N(INDEX(Ingredients!$AC$6:$AC$105,MATCH(C240,Ingredients!$B$6:$B$105,0))),0))</f>
        <v/>
      </c>
      <c r="K240">
        <f>IF(OR(B240="",C240=""),0,IFERROR(N(INDEX(Ingredients!$AD$6:$AD$105,MATCH(C240,Ingredients!$B$6:$B$105,0))),0))</f>
        <v/>
      </c>
      <c r="L240">
        <f>IF(OR(B240="",C240=""),0,IFERROR(N(INDEX(Ingredients!$AE$6:$AE$105,MATCH(C240,Ingredients!$B$6:$B$105,0))),0))</f>
        <v/>
      </c>
      <c r="M240">
        <f>IF(OR(B240="",C240=""),0,IFERROR(N(INDEX(Ingredients!$AF$6:$AF$105,MATCH(C240,Ingredients!$B$6:$B$105,0))),0))</f>
        <v/>
      </c>
      <c r="N240">
        <f>IF(OR(B240="",C240=""),0,IFERROR(N(INDEX(Ingredients!$AG$6:$AG$105,MATCH(C240,Ingredients!$B$6:$B$105,0))),0))</f>
        <v/>
      </c>
      <c r="O240">
        <f>IF(OR(B240="",C240=""),0,IFERROR(N(INDEX(Ingredients!$AH$6:$AH$105,MATCH(C240,Ingredients!$B$6:$B$105,0))),0))</f>
        <v/>
      </c>
      <c r="P240">
        <f>IF(OR(B240="",C240=""),0,IFERROR(N(INDEX(Ingredients!$AI$6:$AI$105,MATCH(C240,Ingredients!$B$6:$B$105,0))),0))</f>
        <v/>
      </c>
      <c r="Q240">
        <f>IF(OR(B240="",C240=""),0,IFERROR(N(INDEX(Ingredients!$AJ$6:$AJ$105,MATCH(C240,Ingredients!$B$6:$B$105,0))),0))</f>
        <v/>
      </c>
      <c r="R240">
        <f>IF(OR(B240="",C240=""),0,IFERROR(N(INDEX(Ingredients!$AK$6:$AK$105,MATCH(C240,Ingredients!$B$6:$B$105,0))),0))</f>
        <v/>
      </c>
      <c r="S240">
        <f>IF(OR(B240="",C240=""),0,IFERROR(N(INDEX(Ingredients!$AL$6:$AL$105,MATCH(C240,Ingredients!$B$6:$B$105,0))),0))</f>
        <v/>
      </c>
      <c r="T240">
        <f>IF(OR(B240="",C240=""),0,IFERROR(N(INDEX(Ingredients!$AM$6:$AM$105,MATCH(C240,Ingredients!$B$6:$B$105,0))),0))</f>
        <v/>
      </c>
      <c r="U240">
        <f>IF(OR(B240="",C240=""),0,IFERROR(N(INDEX(Ingredients!$AN$6:$AN$105,MATCH(C240,Ingredients!$B$6:$B$105,0))),0))</f>
        <v/>
      </c>
      <c r="V240">
        <f>IF(OR(B240="",C240=""),0,IFERROR(N(INDEX(Ingredients!$AO$6:$AO$105,MATCH(C240,Ingredients!$B$6:$B$105,0))),0))</f>
        <v/>
      </c>
      <c r="W240">
        <f>IF(OR(B240="",C240=""),0,IFERROR(N(INDEX(Ingredients!$AP$6:$AP$105,MATCH(C240,Ingredients!$B$6:$B$105,0))),0))</f>
        <v/>
      </c>
      <c r="X240">
        <f>IF(OR(B240="",C240=""),0,IFERROR(N(INDEX(Ingredients!$AQ$6:$AQ$105,MATCH(C240,Ingredients!$B$6:$B$105,0))),0))</f>
        <v/>
      </c>
    </row>
    <row r="241">
      <c r="A241" s="1" t="n"/>
      <c r="B241" s="21" t="n"/>
      <c r="C241" s="39" t="n"/>
      <c r="D241" s="40" t="n"/>
      <c r="E241" s="12">
        <f>IF(C241="","",IF(ISNA(MATCH(C241,Ingredients!$B$6:$B$105,0)),"Not on Ingredients",IFERROR(IF(INDEX(Ingredients!$C$6:$C$105,MATCH(C241,Ingredients!$B$6:$B$105,0))="","",INDEX(Ingredients!$C$6:$C$105,MATCH(C241,Ingredients!$B$6:$B$105,0))),"")))</f>
        <v/>
      </c>
      <c r="F241" s="26">
        <f>IF(OR(B241="",C241=""),"",N(D241)*IFERROR(N(INDEX(Ingredients!$H$6:$H$105,MATCH(C241,Ingredients!$B$6:$B$105,0))),0))</f>
        <v/>
      </c>
      <c r="G241" s="1">
        <f>IF(OR(B241="",C241=""),0,IFERROR(N(INDEX(Products!$D$6:$D$45,MATCH(B241,Products!$B$6:$B$45,0))),0))</f>
        <v/>
      </c>
      <c r="H241">
        <f>IF(N(G241)=0,0,N(D241)*SUMIFS(Batches!$D$6:$D$505,Batches!$C$6:$C$505,B241)/G241)</f>
        <v/>
      </c>
      <c r="I241">
        <f>IF(OR(B241="",C241=""),"",IF(B241&lt;&gt;Label!$H$3,"",IF(IFERROR(N(INDEX(Ingredients!$AS$6:$AS$105,MATCH(C241,Ingredients!$B$6:$B$105,0))),0)=1,"",ROUND(N(D241)*1000,0)*100000+100000-ROW())))</f>
        <v/>
      </c>
      <c r="J241">
        <f>IF(OR(B241="",C241=""),0,IFERROR(N(INDEX(Ingredients!$AC$6:$AC$105,MATCH(C241,Ingredients!$B$6:$B$105,0))),0))</f>
        <v/>
      </c>
      <c r="K241">
        <f>IF(OR(B241="",C241=""),0,IFERROR(N(INDEX(Ingredients!$AD$6:$AD$105,MATCH(C241,Ingredients!$B$6:$B$105,0))),0))</f>
        <v/>
      </c>
      <c r="L241">
        <f>IF(OR(B241="",C241=""),0,IFERROR(N(INDEX(Ingredients!$AE$6:$AE$105,MATCH(C241,Ingredients!$B$6:$B$105,0))),0))</f>
        <v/>
      </c>
      <c r="M241">
        <f>IF(OR(B241="",C241=""),0,IFERROR(N(INDEX(Ingredients!$AF$6:$AF$105,MATCH(C241,Ingredients!$B$6:$B$105,0))),0))</f>
        <v/>
      </c>
      <c r="N241">
        <f>IF(OR(B241="",C241=""),0,IFERROR(N(INDEX(Ingredients!$AG$6:$AG$105,MATCH(C241,Ingredients!$B$6:$B$105,0))),0))</f>
        <v/>
      </c>
      <c r="O241">
        <f>IF(OR(B241="",C241=""),0,IFERROR(N(INDEX(Ingredients!$AH$6:$AH$105,MATCH(C241,Ingredients!$B$6:$B$105,0))),0))</f>
        <v/>
      </c>
      <c r="P241">
        <f>IF(OR(B241="",C241=""),0,IFERROR(N(INDEX(Ingredients!$AI$6:$AI$105,MATCH(C241,Ingredients!$B$6:$B$105,0))),0))</f>
        <v/>
      </c>
      <c r="Q241">
        <f>IF(OR(B241="",C241=""),0,IFERROR(N(INDEX(Ingredients!$AJ$6:$AJ$105,MATCH(C241,Ingredients!$B$6:$B$105,0))),0))</f>
        <v/>
      </c>
      <c r="R241">
        <f>IF(OR(B241="",C241=""),0,IFERROR(N(INDEX(Ingredients!$AK$6:$AK$105,MATCH(C241,Ingredients!$B$6:$B$105,0))),0))</f>
        <v/>
      </c>
      <c r="S241">
        <f>IF(OR(B241="",C241=""),0,IFERROR(N(INDEX(Ingredients!$AL$6:$AL$105,MATCH(C241,Ingredients!$B$6:$B$105,0))),0))</f>
        <v/>
      </c>
      <c r="T241">
        <f>IF(OR(B241="",C241=""),0,IFERROR(N(INDEX(Ingredients!$AM$6:$AM$105,MATCH(C241,Ingredients!$B$6:$B$105,0))),0))</f>
        <v/>
      </c>
      <c r="U241">
        <f>IF(OR(B241="",C241=""),0,IFERROR(N(INDEX(Ingredients!$AN$6:$AN$105,MATCH(C241,Ingredients!$B$6:$B$105,0))),0))</f>
        <v/>
      </c>
      <c r="V241">
        <f>IF(OR(B241="",C241=""),0,IFERROR(N(INDEX(Ingredients!$AO$6:$AO$105,MATCH(C241,Ingredients!$B$6:$B$105,0))),0))</f>
        <v/>
      </c>
      <c r="W241">
        <f>IF(OR(B241="",C241=""),0,IFERROR(N(INDEX(Ingredients!$AP$6:$AP$105,MATCH(C241,Ingredients!$B$6:$B$105,0))),0))</f>
        <v/>
      </c>
      <c r="X241">
        <f>IF(OR(B241="",C241=""),0,IFERROR(N(INDEX(Ingredients!$AQ$6:$AQ$105,MATCH(C241,Ingredients!$B$6:$B$105,0))),0))</f>
        <v/>
      </c>
    </row>
    <row r="242">
      <c r="A242" s="1" t="n"/>
      <c r="B242" s="21" t="n"/>
      <c r="C242" s="39" t="n"/>
      <c r="D242" s="40" t="n"/>
      <c r="E242" s="12">
        <f>IF(C242="","",IF(ISNA(MATCH(C242,Ingredients!$B$6:$B$105,0)),"Not on Ingredients",IFERROR(IF(INDEX(Ingredients!$C$6:$C$105,MATCH(C242,Ingredients!$B$6:$B$105,0))="","",INDEX(Ingredients!$C$6:$C$105,MATCH(C242,Ingredients!$B$6:$B$105,0))),"")))</f>
        <v/>
      </c>
      <c r="F242" s="26">
        <f>IF(OR(B242="",C242=""),"",N(D242)*IFERROR(N(INDEX(Ingredients!$H$6:$H$105,MATCH(C242,Ingredients!$B$6:$B$105,0))),0))</f>
        <v/>
      </c>
      <c r="G242" s="1">
        <f>IF(OR(B242="",C242=""),0,IFERROR(N(INDEX(Products!$D$6:$D$45,MATCH(B242,Products!$B$6:$B$45,0))),0))</f>
        <v/>
      </c>
      <c r="H242">
        <f>IF(N(G242)=0,0,N(D242)*SUMIFS(Batches!$D$6:$D$505,Batches!$C$6:$C$505,B242)/G242)</f>
        <v/>
      </c>
      <c r="I242">
        <f>IF(OR(B242="",C242=""),"",IF(B242&lt;&gt;Label!$H$3,"",IF(IFERROR(N(INDEX(Ingredients!$AS$6:$AS$105,MATCH(C242,Ingredients!$B$6:$B$105,0))),0)=1,"",ROUND(N(D242)*1000,0)*100000+100000-ROW())))</f>
        <v/>
      </c>
      <c r="J242">
        <f>IF(OR(B242="",C242=""),0,IFERROR(N(INDEX(Ingredients!$AC$6:$AC$105,MATCH(C242,Ingredients!$B$6:$B$105,0))),0))</f>
        <v/>
      </c>
      <c r="K242">
        <f>IF(OR(B242="",C242=""),0,IFERROR(N(INDEX(Ingredients!$AD$6:$AD$105,MATCH(C242,Ingredients!$B$6:$B$105,0))),0))</f>
        <v/>
      </c>
      <c r="L242">
        <f>IF(OR(B242="",C242=""),0,IFERROR(N(INDEX(Ingredients!$AE$6:$AE$105,MATCH(C242,Ingredients!$B$6:$B$105,0))),0))</f>
        <v/>
      </c>
      <c r="M242">
        <f>IF(OR(B242="",C242=""),0,IFERROR(N(INDEX(Ingredients!$AF$6:$AF$105,MATCH(C242,Ingredients!$B$6:$B$105,0))),0))</f>
        <v/>
      </c>
      <c r="N242">
        <f>IF(OR(B242="",C242=""),0,IFERROR(N(INDEX(Ingredients!$AG$6:$AG$105,MATCH(C242,Ingredients!$B$6:$B$105,0))),0))</f>
        <v/>
      </c>
      <c r="O242">
        <f>IF(OR(B242="",C242=""),0,IFERROR(N(INDEX(Ingredients!$AH$6:$AH$105,MATCH(C242,Ingredients!$B$6:$B$105,0))),0))</f>
        <v/>
      </c>
      <c r="P242">
        <f>IF(OR(B242="",C242=""),0,IFERROR(N(INDEX(Ingredients!$AI$6:$AI$105,MATCH(C242,Ingredients!$B$6:$B$105,0))),0))</f>
        <v/>
      </c>
      <c r="Q242">
        <f>IF(OR(B242="",C242=""),0,IFERROR(N(INDEX(Ingredients!$AJ$6:$AJ$105,MATCH(C242,Ingredients!$B$6:$B$105,0))),0))</f>
        <v/>
      </c>
      <c r="R242">
        <f>IF(OR(B242="",C242=""),0,IFERROR(N(INDEX(Ingredients!$AK$6:$AK$105,MATCH(C242,Ingredients!$B$6:$B$105,0))),0))</f>
        <v/>
      </c>
      <c r="S242">
        <f>IF(OR(B242="",C242=""),0,IFERROR(N(INDEX(Ingredients!$AL$6:$AL$105,MATCH(C242,Ingredients!$B$6:$B$105,0))),0))</f>
        <v/>
      </c>
      <c r="T242">
        <f>IF(OR(B242="",C242=""),0,IFERROR(N(INDEX(Ingredients!$AM$6:$AM$105,MATCH(C242,Ingredients!$B$6:$B$105,0))),0))</f>
        <v/>
      </c>
      <c r="U242">
        <f>IF(OR(B242="",C242=""),0,IFERROR(N(INDEX(Ingredients!$AN$6:$AN$105,MATCH(C242,Ingredients!$B$6:$B$105,0))),0))</f>
        <v/>
      </c>
      <c r="V242">
        <f>IF(OR(B242="",C242=""),0,IFERROR(N(INDEX(Ingredients!$AO$6:$AO$105,MATCH(C242,Ingredients!$B$6:$B$105,0))),0))</f>
        <v/>
      </c>
      <c r="W242">
        <f>IF(OR(B242="",C242=""),0,IFERROR(N(INDEX(Ingredients!$AP$6:$AP$105,MATCH(C242,Ingredients!$B$6:$B$105,0))),0))</f>
        <v/>
      </c>
      <c r="X242">
        <f>IF(OR(B242="",C242=""),0,IFERROR(N(INDEX(Ingredients!$AQ$6:$AQ$105,MATCH(C242,Ingredients!$B$6:$B$105,0))),0))</f>
        <v/>
      </c>
    </row>
    <row r="243">
      <c r="A243" s="1" t="n"/>
      <c r="B243" s="21" t="n"/>
      <c r="C243" s="39" t="n"/>
      <c r="D243" s="40" t="n"/>
      <c r="E243" s="12">
        <f>IF(C243="","",IF(ISNA(MATCH(C243,Ingredients!$B$6:$B$105,0)),"Not on Ingredients",IFERROR(IF(INDEX(Ingredients!$C$6:$C$105,MATCH(C243,Ingredients!$B$6:$B$105,0))="","",INDEX(Ingredients!$C$6:$C$105,MATCH(C243,Ingredients!$B$6:$B$105,0))),"")))</f>
        <v/>
      </c>
      <c r="F243" s="26">
        <f>IF(OR(B243="",C243=""),"",N(D243)*IFERROR(N(INDEX(Ingredients!$H$6:$H$105,MATCH(C243,Ingredients!$B$6:$B$105,0))),0))</f>
        <v/>
      </c>
      <c r="G243" s="1">
        <f>IF(OR(B243="",C243=""),0,IFERROR(N(INDEX(Products!$D$6:$D$45,MATCH(B243,Products!$B$6:$B$45,0))),0))</f>
        <v/>
      </c>
      <c r="H243">
        <f>IF(N(G243)=0,0,N(D243)*SUMIFS(Batches!$D$6:$D$505,Batches!$C$6:$C$505,B243)/G243)</f>
        <v/>
      </c>
      <c r="I243">
        <f>IF(OR(B243="",C243=""),"",IF(B243&lt;&gt;Label!$H$3,"",IF(IFERROR(N(INDEX(Ingredients!$AS$6:$AS$105,MATCH(C243,Ingredients!$B$6:$B$105,0))),0)=1,"",ROUND(N(D243)*1000,0)*100000+100000-ROW())))</f>
        <v/>
      </c>
      <c r="J243">
        <f>IF(OR(B243="",C243=""),0,IFERROR(N(INDEX(Ingredients!$AC$6:$AC$105,MATCH(C243,Ingredients!$B$6:$B$105,0))),0))</f>
        <v/>
      </c>
      <c r="K243">
        <f>IF(OR(B243="",C243=""),0,IFERROR(N(INDEX(Ingredients!$AD$6:$AD$105,MATCH(C243,Ingredients!$B$6:$B$105,0))),0))</f>
        <v/>
      </c>
      <c r="L243">
        <f>IF(OR(B243="",C243=""),0,IFERROR(N(INDEX(Ingredients!$AE$6:$AE$105,MATCH(C243,Ingredients!$B$6:$B$105,0))),0))</f>
        <v/>
      </c>
      <c r="M243">
        <f>IF(OR(B243="",C243=""),0,IFERROR(N(INDEX(Ingredients!$AF$6:$AF$105,MATCH(C243,Ingredients!$B$6:$B$105,0))),0))</f>
        <v/>
      </c>
      <c r="N243">
        <f>IF(OR(B243="",C243=""),0,IFERROR(N(INDEX(Ingredients!$AG$6:$AG$105,MATCH(C243,Ingredients!$B$6:$B$105,0))),0))</f>
        <v/>
      </c>
      <c r="O243">
        <f>IF(OR(B243="",C243=""),0,IFERROR(N(INDEX(Ingredients!$AH$6:$AH$105,MATCH(C243,Ingredients!$B$6:$B$105,0))),0))</f>
        <v/>
      </c>
      <c r="P243">
        <f>IF(OR(B243="",C243=""),0,IFERROR(N(INDEX(Ingredients!$AI$6:$AI$105,MATCH(C243,Ingredients!$B$6:$B$105,0))),0))</f>
        <v/>
      </c>
      <c r="Q243">
        <f>IF(OR(B243="",C243=""),0,IFERROR(N(INDEX(Ingredients!$AJ$6:$AJ$105,MATCH(C243,Ingredients!$B$6:$B$105,0))),0))</f>
        <v/>
      </c>
      <c r="R243">
        <f>IF(OR(B243="",C243=""),0,IFERROR(N(INDEX(Ingredients!$AK$6:$AK$105,MATCH(C243,Ingredients!$B$6:$B$105,0))),0))</f>
        <v/>
      </c>
      <c r="S243">
        <f>IF(OR(B243="",C243=""),0,IFERROR(N(INDEX(Ingredients!$AL$6:$AL$105,MATCH(C243,Ingredients!$B$6:$B$105,0))),0))</f>
        <v/>
      </c>
      <c r="T243">
        <f>IF(OR(B243="",C243=""),0,IFERROR(N(INDEX(Ingredients!$AM$6:$AM$105,MATCH(C243,Ingredients!$B$6:$B$105,0))),0))</f>
        <v/>
      </c>
      <c r="U243">
        <f>IF(OR(B243="",C243=""),0,IFERROR(N(INDEX(Ingredients!$AN$6:$AN$105,MATCH(C243,Ingredients!$B$6:$B$105,0))),0))</f>
        <v/>
      </c>
      <c r="V243">
        <f>IF(OR(B243="",C243=""),0,IFERROR(N(INDEX(Ingredients!$AO$6:$AO$105,MATCH(C243,Ingredients!$B$6:$B$105,0))),0))</f>
        <v/>
      </c>
      <c r="W243">
        <f>IF(OR(B243="",C243=""),0,IFERROR(N(INDEX(Ingredients!$AP$6:$AP$105,MATCH(C243,Ingredients!$B$6:$B$105,0))),0))</f>
        <v/>
      </c>
      <c r="X243">
        <f>IF(OR(B243="",C243=""),0,IFERROR(N(INDEX(Ingredients!$AQ$6:$AQ$105,MATCH(C243,Ingredients!$B$6:$B$105,0))),0))</f>
        <v/>
      </c>
    </row>
    <row r="244">
      <c r="A244" s="1" t="n"/>
      <c r="B244" s="21" t="n"/>
      <c r="C244" s="39" t="n"/>
      <c r="D244" s="40" t="n"/>
      <c r="E244" s="12">
        <f>IF(C244="","",IF(ISNA(MATCH(C244,Ingredients!$B$6:$B$105,0)),"Not on Ingredients",IFERROR(IF(INDEX(Ingredients!$C$6:$C$105,MATCH(C244,Ingredients!$B$6:$B$105,0))="","",INDEX(Ingredients!$C$6:$C$105,MATCH(C244,Ingredients!$B$6:$B$105,0))),"")))</f>
        <v/>
      </c>
      <c r="F244" s="26">
        <f>IF(OR(B244="",C244=""),"",N(D244)*IFERROR(N(INDEX(Ingredients!$H$6:$H$105,MATCH(C244,Ingredients!$B$6:$B$105,0))),0))</f>
        <v/>
      </c>
      <c r="G244" s="1">
        <f>IF(OR(B244="",C244=""),0,IFERROR(N(INDEX(Products!$D$6:$D$45,MATCH(B244,Products!$B$6:$B$45,0))),0))</f>
        <v/>
      </c>
      <c r="H244">
        <f>IF(N(G244)=0,0,N(D244)*SUMIFS(Batches!$D$6:$D$505,Batches!$C$6:$C$505,B244)/G244)</f>
        <v/>
      </c>
      <c r="I244">
        <f>IF(OR(B244="",C244=""),"",IF(B244&lt;&gt;Label!$H$3,"",IF(IFERROR(N(INDEX(Ingredients!$AS$6:$AS$105,MATCH(C244,Ingredients!$B$6:$B$105,0))),0)=1,"",ROUND(N(D244)*1000,0)*100000+100000-ROW())))</f>
        <v/>
      </c>
      <c r="J244">
        <f>IF(OR(B244="",C244=""),0,IFERROR(N(INDEX(Ingredients!$AC$6:$AC$105,MATCH(C244,Ingredients!$B$6:$B$105,0))),0))</f>
        <v/>
      </c>
      <c r="K244">
        <f>IF(OR(B244="",C244=""),0,IFERROR(N(INDEX(Ingredients!$AD$6:$AD$105,MATCH(C244,Ingredients!$B$6:$B$105,0))),0))</f>
        <v/>
      </c>
      <c r="L244">
        <f>IF(OR(B244="",C244=""),0,IFERROR(N(INDEX(Ingredients!$AE$6:$AE$105,MATCH(C244,Ingredients!$B$6:$B$105,0))),0))</f>
        <v/>
      </c>
      <c r="M244">
        <f>IF(OR(B244="",C244=""),0,IFERROR(N(INDEX(Ingredients!$AF$6:$AF$105,MATCH(C244,Ingredients!$B$6:$B$105,0))),0))</f>
        <v/>
      </c>
      <c r="N244">
        <f>IF(OR(B244="",C244=""),0,IFERROR(N(INDEX(Ingredients!$AG$6:$AG$105,MATCH(C244,Ingredients!$B$6:$B$105,0))),0))</f>
        <v/>
      </c>
      <c r="O244">
        <f>IF(OR(B244="",C244=""),0,IFERROR(N(INDEX(Ingredients!$AH$6:$AH$105,MATCH(C244,Ingredients!$B$6:$B$105,0))),0))</f>
        <v/>
      </c>
      <c r="P244">
        <f>IF(OR(B244="",C244=""),0,IFERROR(N(INDEX(Ingredients!$AI$6:$AI$105,MATCH(C244,Ingredients!$B$6:$B$105,0))),0))</f>
        <v/>
      </c>
      <c r="Q244">
        <f>IF(OR(B244="",C244=""),0,IFERROR(N(INDEX(Ingredients!$AJ$6:$AJ$105,MATCH(C244,Ingredients!$B$6:$B$105,0))),0))</f>
        <v/>
      </c>
      <c r="R244">
        <f>IF(OR(B244="",C244=""),0,IFERROR(N(INDEX(Ingredients!$AK$6:$AK$105,MATCH(C244,Ingredients!$B$6:$B$105,0))),0))</f>
        <v/>
      </c>
      <c r="S244">
        <f>IF(OR(B244="",C244=""),0,IFERROR(N(INDEX(Ingredients!$AL$6:$AL$105,MATCH(C244,Ingredients!$B$6:$B$105,0))),0))</f>
        <v/>
      </c>
      <c r="T244">
        <f>IF(OR(B244="",C244=""),0,IFERROR(N(INDEX(Ingredients!$AM$6:$AM$105,MATCH(C244,Ingredients!$B$6:$B$105,0))),0))</f>
        <v/>
      </c>
      <c r="U244">
        <f>IF(OR(B244="",C244=""),0,IFERROR(N(INDEX(Ingredients!$AN$6:$AN$105,MATCH(C244,Ingredients!$B$6:$B$105,0))),0))</f>
        <v/>
      </c>
      <c r="V244">
        <f>IF(OR(B244="",C244=""),0,IFERROR(N(INDEX(Ingredients!$AO$6:$AO$105,MATCH(C244,Ingredients!$B$6:$B$105,0))),0))</f>
        <v/>
      </c>
      <c r="W244">
        <f>IF(OR(B244="",C244=""),0,IFERROR(N(INDEX(Ingredients!$AP$6:$AP$105,MATCH(C244,Ingredients!$B$6:$B$105,0))),0))</f>
        <v/>
      </c>
      <c r="X244">
        <f>IF(OR(B244="",C244=""),0,IFERROR(N(INDEX(Ingredients!$AQ$6:$AQ$105,MATCH(C244,Ingredients!$B$6:$B$105,0))),0))</f>
        <v/>
      </c>
    </row>
    <row r="245">
      <c r="A245" s="1" t="n"/>
      <c r="B245" s="21" t="n"/>
      <c r="C245" s="39" t="n"/>
      <c r="D245" s="40" t="n"/>
      <c r="E245" s="12">
        <f>IF(C245="","",IF(ISNA(MATCH(C245,Ingredients!$B$6:$B$105,0)),"Not on Ingredients",IFERROR(IF(INDEX(Ingredients!$C$6:$C$105,MATCH(C245,Ingredients!$B$6:$B$105,0))="","",INDEX(Ingredients!$C$6:$C$105,MATCH(C245,Ingredients!$B$6:$B$105,0))),"")))</f>
        <v/>
      </c>
      <c r="F245" s="26">
        <f>IF(OR(B245="",C245=""),"",N(D245)*IFERROR(N(INDEX(Ingredients!$H$6:$H$105,MATCH(C245,Ingredients!$B$6:$B$105,0))),0))</f>
        <v/>
      </c>
      <c r="G245" s="1">
        <f>IF(OR(B245="",C245=""),0,IFERROR(N(INDEX(Products!$D$6:$D$45,MATCH(B245,Products!$B$6:$B$45,0))),0))</f>
        <v/>
      </c>
      <c r="H245">
        <f>IF(N(G245)=0,0,N(D245)*SUMIFS(Batches!$D$6:$D$505,Batches!$C$6:$C$505,B245)/G245)</f>
        <v/>
      </c>
      <c r="I245">
        <f>IF(OR(B245="",C245=""),"",IF(B245&lt;&gt;Label!$H$3,"",IF(IFERROR(N(INDEX(Ingredients!$AS$6:$AS$105,MATCH(C245,Ingredients!$B$6:$B$105,0))),0)=1,"",ROUND(N(D245)*1000,0)*100000+100000-ROW())))</f>
        <v/>
      </c>
      <c r="J245">
        <f>IF(OR(B245="",C245=""),0,IFERROR(N(INDEX(Ingredients!$AC$6:$AC$105,MATCH(C245,Ingredients!$B$6:$B$105,0))),0))</f>
        <v/>
      </c>
      <c r="K245">
        <f>IF(OR(B245="",C245=""),0,IFERROR(N(INDEX(Ingredients!$AD$6:$AD$105,MATCH(C245,Ingredients!$B$6:$B$105,0))),0))</f>
        <v/>
      </c>
      <c r="L245">
        <f>IF(OR(B245="",C245=""),0,IFERROR(N(INDEX(Ingredients!$AE$6:$AE$105,MATCH(C245,Ingredients!$B$6:$B$105,0))),0))</f>
        <v/>
      </c>
      <c r="M245">
        <f>IF(OR(B245="",C245=""),0,IFERROR(N(INDEX(Ingredients!$AF$6:$AF$105,MATCH(C245,Ingredients!$B$6:$B$105,0))),0))</f>
        <v/>
      </c>
      <c r="N245">
        <f>IF(OR(B245="",C245=""),0,IFERROR(N(INDEX(Ingredients!$AG$6:$AG$105,MATCH(C245,Ingredients!$B$6:$B$105,0))),0))</f>
        <v/>
      </c>
      <c r="O245">
        <f>IF(OR(B245="",C245=""),0,IFERROR(N(INDEX(Ingredients!$AH$6:$AH$105,MATCH(C245,Ingredients!$B$6:$B$105,0))),0))</f>
        <v/>
      </c>
      <c r="P245">
        <f>IF(OR(B245="",C245=""),0,IFERROR(N(INDEX(Ingredients!$AI$6:$AI$105,MATCH(C245,Ingredients!$B$6:$B$105,0))),0))</f>
        <v/>
      </c>
      <c r="Q245">
        <f>IF(OR(B245="",C245=""),0,IFERROR(N(INDEX(Ingredients!$AJ$6:$AJ$105,MATCH(C245,Ingredients!$B$6:$B$105,0))),0))</f>
        <v/>
      </c>
      <c r="R245">
        <f>IF(OR(B245="",C245=""),0,IFERROR(N(INDEX(Ingredients!$AK$6:$AK$105,MATCH(C245,Ingredients!$B$6:$B$105,0))),0))</f>
        <v/>
      </c>
      <c r="S245">
        <f>IF(OR(B245="",C245=""),0,IFERROR(N(INDEX(Ingredients!$AL$6:$AL$105,MATCH(C245,Ingredients!$B$6:$B$105,0))),0))</f>
        <v/>
      </c>
      <c r="T245">
        <f>IF(OR(B245="",C245=""),0,IFERROR(N(INDEX(Ingredients!$AM$6:$AM$105,MATCH(C245,Ingredients!$B$6:$B$105,0))),0))</f>
        <v/>
      </c>
      <c r="U245">
        <f>IF(OR(B245="",C245=""),0,IFERROR(N(INDEX(Ingredients!$AN$6:$AN$105,MATCH(C245,Ingredients!$B$6:$B$105,0))),0))</f>
        <v/>
      </c>
      <c r="V245">
        <f>IF(OR(B245="",C245=""),0,IFERROR(N(INDEX(Ingredients!$AO$6:$AO$105,MATCH(C245,Ingredients!$B$6:$B$105,0))),0))</f>
        <v/>
      </c>
      <c r="W245">
        <f>IF(OR(B245="",C245=""),0,IFERROR(N(INDEX(Ingredients!$AP$6:$AP$105,MATCH(C245,Ingredients!$B$6:$B$105,0))),0))</f>
        <v/>
      </c>
      <c r="X245">
        <f>IF(OR(B245="",C245=""),0,IFERROR(N(INDEX(Ingredients!$AQ$6:$AQ$105,MATCH(C245,Ingredients!$B$6:$B$105,0))),0))</f>
        <v/>
      </c>
    </row>
    <row r="246">
      <c r="A246" s="1" t="n"/>
      <c r="B246" s="21" t="n"/>
      <c r="C246" s="39" t="n"/>
      <c r="D246" s="40" t="n"/>
      <c r="E246" s="12">
        <f>IF(C246="","",IF(ISNA(MATCH(C246,Ingredients!$B$6:$B$105,0)),"Not on Ingredients",IFERROR(IF(INDEX(Ingredients!$C$6:$C$105,MATCH(C246,Ingredients!$B$6:$B$105,0))="","",INDEX(Ingredients!$C$6:$C$105,MATCH(C246,Ingredients!$B$6:$B$105,0))),"")))</f>
        <v/>
      </c>
      <c r="F246" s="26">
        <f>IF(OR(B246="",C246=""),"",N(D246)*IFERROR(N(INDEX(Ingredients!$H$6:$H$105,MATCH(C246,Ingredients!$B$6:$B$105,0))),0))</f>
        <v/>
      </c>
      <c r="G246" s="1">
        <f>IF(OR(B246="",C246=""),0,IFERROR(N(INDEX(Products!$D$6:$D$45,MATCH(B246,Products!$B$6:$B$45,0))),0))</f>
        <v/>
      </c>
      <c r="H246">
        <f>IF(N(G246)=0,0,N(D246)*SUMIFS(Batches!$D$6:$D$505,Batches!$C$6:$C$505,B246)/G246)</f>
        <v/>
      </c>
      <c r="I246">
        <f>IF(OR(B246="",C246=""),"",IF(B246&lt;&gt;Label!$H$3,"",IF(IFERROR(N(INDEX(Ingredients!$AS$6:$AS$105,MATCH(C246,Ingredients!$B$6:$B$105,0))),0)=1,"",ROUND(N(D246)*1000,0)*100000+100000-ROW())))</f>
        <v/>
      </c>
      <c r="J246">
        <f>IF(OR(B246="",C246=""),0,IFERROR(N(INDEX(Ingredients!$AC$6:$AC$105,MATCH(C246,Ingredients!$B$6:$B$105,0))),0))</f>
        <v/>
      </c>
      <c r="K246">
        <f>IF(OR(B246="",C246=""),0,IFERROR(N(INDEX(Ingredients!$AD$6:$AD$105,MATCH(C246,Ingredients!$B$6:$B$105,0))),0))</f>
        <v/>
      </c>
      <c r="L246">
        <f>IF(OR(B246="",C246=""),0,IFERROR(N(INDEX(Ingredients!$AE$6:$AE$105,MATCH(C246,Ingredients!$B$6:$B$105,0))),0))</f>
        <v/>
      </c>
      <c r="M246">
        <f>IF(OR(B246="",C246=""),0,IFERROR(N(INDEX(Ingredients!$AF$6:$AF$105,MATCH(C246,Ingredients!$B$6:$B$105,0))),0))</f>
        <v/>
      </c>
      <c r="N246">
        <f>IF(OR(B246="",C246=""),0,IFERROR(N(INDEX(Ingredients!$AG$6:$AG$105,MATCH(C246,Ingredients!$B$6:$B$105,0))),0))</f>
        <v/>
      </c>
      <c r="O246">
        <f>IF(OR(B246="",C246=""),0,IFERROR(N(INDEX(Ingredients!$AH$6:$AH$105,MATCH(C246,Ingredients!$B$6:$B$105,0))),0))</f>
        <v/>
      </c>
      <c r="P246">
        <f>IF(OR(B246="",C246=""),0,IFERROR(N(INDEX(Ingredients!$AI$6:$AI$105,MATCH(C246,Ingredients!$B$6:$B$105,0))),0))</f>
        <v/>
      </c>
      <c r="Q246">
        <f>IF(OR(B246="",C246=""),0,IFERROR(N(INDEX(Ingredients!$AJ$6:$AJ$105,MATCH(C246,Ingredients!$B$6:$B$105,0))),0))</f>
        <v/>
      </c>
      <c r="R246">
        <f>IF(OR(B246="",C246=""),0,IFERROR(N(INDEX(Ingredients!$AK$6:$AK$105,MATCH(C246,Ingredients!$B$6:$B$105,0))),0))</f>
        <v/>
      </c>
      <c r="S246">
        <f>IF(OR(B246="",C246=""),0,IFERROR(N(INDEX(Ingredients!$AL$6:$AL$105,MATCH(C246,Ingredients!$B$6:$B$105,0))),0))</f>
        <v/>
      </c>
      <c r="T246">
        <f>IF(OR(B246="",C246=""),0,IFERROR(N(INDEX(Ingredients!$AM$6:$AM$105,MATCH(C246,Ingredients!$B$6:$B$105,0))),0))</f>
        <v/>
      </c>
      <c r="U246">
        <f>IF(OR(B246="",C246=""),0,IFERROR(N(INDEX(Ingredients!$AN$6:$AN$105,MATCH(C246,Ingredients!$B$6:$B$105,0))),0))</f>
        <v/>
      </c>
      <c r="V246">
        <f>IF(OR(B246="",C246=""),0,IFERROR(N(INDEX(Ingredients!$AO$6:$AO$105,MATCH(C246,Ingredients!$B$6:$B$105,0))),0))</f>
        <v/>
      </c>
      <c r="W246">
        <f>IF(OR(B246="",C246=""),0,IFERROR(N(INDEX(Ingredients!$AP$6:$AP$105,MATCH(C246,Ingredients!$B$6:$B$105,0))),0))</f>
        <v/>
      </c>
      <c r="X246">
        <f>IF(OR(B246="",C246=""),0,IFERROR(N(INDEX(Ingredients!$AQ$6:$AQ$105,MATCH(C246,Ingredients!$B$6:$B$105,0))),0))</f>
        <v/>
      </c>
    </row>
    <row r="247">
      <c r="A247" s="1" t="n"/>
      <c r="B247" s="21" t="n"/>
      <c r="C247" s="39" t="n"/>
      <c r="D247" s="40" t="n"/>
      <c r="E247" s="12">
        <f>IF(C247="","",IF(ISNA(MATCH(C247,Ingredients!$B$6:$B$105,0)),"Not on Ingredients",IFERROR(IF(INDEX(Ingredients!$C$6:$C$105,MATCH(C247,Ingredients!$B$6:$B$105,0))="","",INDEX(Ingredients!$C$6:$C$105,MATCH(C247,Ingredients!$B$6:$B$105,0))),"")))</f>
        <v/>
      </c>
      <c r="F247" s="26">
        <f>IF(OR(B247="",C247=""),"",N(D247)*IFERROR(N(INDEX(Ingredients!$H$6:$H$105,MATCH(C247,Ingredients!$B$6:$B$105,0))),0))</f>
        <v/>
      </c>
      <c r="G247" s="1">
        <f>IF(OR(B247="",C247=""),0,IFERROR(N(INDEX(Products!$D$6:$D$45,MATCH(B247,Products!$B$6:$B$45,0))),0))</f>
        <v/>
      </c>
      <c r="H247">
        <f>IF(N(G247)=0,0,N(D247)*SUMIFS(Batches!$D$6:$D$505,Batches!$C$6:$C$505,B247)/G247)</f>
        <v/>
      </c>
      <c r="I247">
        <f>IF(OR(B247="",C247=""),"",IF(B247&lt;&gt;Label!$H$3,"",IF(IFERROR(N(INDEX(Ingredients!$AS$6:$AS$105,MATCH(C247,Ingredients!$B$6:$B$105,0))),0)=1,"",ROUND(N(D247)*1000,0)*100000+100000-ROW())))</f>
        <v/>
      </c>
      <c r="J247">
        <f>IF(OR(B247="",C247=""),0,IFERROR(N(INDEX(Ingredients!$AC$6:$AC$105,MATCH(C247,Ingredients!$B$6:$B$105,0))),0))</f>
        <v/>
      </c>
      <c r="K247">
        <f>IF(OR(B247="",C247=""),0,IFERROR(N(INDEX(Ingredients!$AD$6:$AD$105,MATCH(C247,Ingredients!$B$6:$B$105,0))),0))</f>
        <v/>
      </c>
      <c r="L247">
        <f>IF(OR(B247="",C247=""),0,IFERROR(N(INDEX(Ingredients!$AE$6:$AE$105,MATCH(C247,Ingredients!$B$6:$B$105,0))),0))</f>
        <v/>
      </c>
      <c r="M247">
        <f>IF(OR(B247="",C247=""),0,IFERROR(N(INDEX(Ingredients!$AF$6:$AF$105,MATCH(C247,Ingredients!$B$6:$B$105,0))),0))</f>
        <v/>
      </c>
      <c r="N247">
        <f>IF(OR(B247="",C247=""),0,IFERROR(N(INDEX(Ingredients!$AG$6:$AG$105,MATCH(C247,Ingredients!$B$6:$B$105,0))),0))</f>
        <v/>
      </c>
      <c r="O247">
        <f>IF(OR(B247="",C247=""),0,IFERROR(N(INDEX(Ingredients!$AH$6:$AH$105,MATCH(C247,Ingredients!$B$6:$B$105,0))),0))</f>
        <v/>
      </c>
      <c r="P247">
        <f>IF(OR(B247="",C247=""),0,IFERROR(N(INDEX(Ingredients!$AI$6:$AI$105,MATCH(C247,Ingredients!$B$6:$B$105,0))),0))</f>
        <v/>
      </c>
      <c r="Q247">
        <f>IF(OR(B247="",C247=""),0,IFERROR(N(INDEX(Ingredients!$AJ$6:$AJ$105,MATCH(C247,Ingredients!$B$6:$B$105,0))),0))</f>
        <v/>
      </c>
      <c r="R247">
        <f>IF(OR(B247="",C247=""),0,IFERROR(N(INDEX(Ingredients!$AK$6:$AK$105,MATCH(C247,Ingredients!$B$6:$B$105,0))),0))</f>
        <v/>
      </c>
      <c r="S247">
        <f>IF(OR(B247="",C247=""),0,IFERROR(N(INDEX(Ingredients!$AL$6:$AL$105,MATCH(C247,Ingredients!$B$6:$B$105,0))),0))</f>
        <v/>
      </c>
      <c r="T247">
        <f>IF(OR(B247="",C247=""),0,IFERROR(N(INDEX(Ingredients!$AM$6:$AM$105,MATCH(C247,Ingredients!$B$6:$B$105,0))),0))</f>
        <v/>
      </c>
      <c r="U247">
        <f>IF(OR(B247="",C247=""),0,IFERROR(N(INDEX(Ingredients!$AN$6:$AN$105,MATCH(C247,Ingredients!$B$6:$B$105,0))),0))</f>
        <v/>
      </c>
      <c r="V247">
        <f>IF(OR(B247="",C247=""),0,IFERROR(N(INDEX(Ingredients!$AO$6:$AO$105,MATCH(C247,Ingredients!$B$6:$B$105,0))),0))</f>
        <v/>
      </c>
      <c r="W247">
        <f>IF(OR(B247="",C247=""),0,IFERROR(N(INDEX(Ingredients!$AP$6:$AP$105,MATCH(C247,Ingredients!$B$6:$B$105,0))),0))</f>
        <v/>
      </c>
      <c r="X247">
        <f>IF(OR(B247="",C247=""),0,IFERROR(N(INDEX(Ingredients!$AQ$6:$AQ$105,MATCH(C247,Ingredients!$B$6:$B$105,0))),0))</f>
        <v/>
      </c>
    </row>
    <row r="248">
      <c r="A248" s="1" t="n"/>
      <c r="B248" s="21" t="n"/>
      <c r="C248" s="39" t="n"/>
      <c r="D248" s="40" t="n"/>
      <c r="E248" s="12">
        <f>IF(C248="","",IF(ISNA(MATCH(C248,Ingredients!$B$6:$B$105,0)),"Not on Ingredients",IFERROR(IF(INDEX(Ingredients!$C$6:$C$105,MATCH(C248,Ingredients!$B$6:$B$105,0))="","",INDEX(Ingredients!$C$6:$C$105,MATCH(C248,Ingredients!$B$6:$B$105,0))),"")))</f>
        <v/>
      </c>
      <c r="F248" s="26">
        <f>IF(OR(B248="",C248=""),"",N(D248)*IFERROR(N(INDEX(Ingredients!$H$6:$H$105,MATCH(C248,Ingredients!$B$6:$B$105,0))),0))</f>
        <v/>
      </c>
      <c r="G248" s="1">
        <f>IF(OR(B248="",C248=""),0,IFERROR(N(INDEX(Products!$D$6:$D$45,MATCH(B248,Products!$B$6:$B$45,0))),0))</f>
        <v/>
      </c>
      <c r="H248">
        <f>IF(N(G248)=0,0,N(D248)*SUMIFS(Batches!$D$6:$D$505,Batches!$C$6:$C$505,B248)/G248)</f>
        <v/>
      </c>
      <c r="I248">
        <f>IF(OR(B248="",C248=""),"",IF(B248&lt;&gt;Label!$H$3,"",IF(IFERROR(N(INDEX(Ingredients!$AS$6:$AS$105,MATCH(C248,Ingredients!$B$6:$B$105,0))),0)=1,"",ROUND(N(D248)*1000,0)*100000+100000-ROW())))</f>
        <v/>
      </c>
      <c r="J248">
        <f>IF(OR(B248="",C248=""),0,IFERROR(N(INDEX(Ingredients!$AC$6:$AC$105,MATCH(C248,Ingredients!$B$6:$B$105,0))),0))</f>
        <v/>
      </c>
      <c r="K248">
        <f>IF(OR(B248="",C248=""),0,IFERROR(N(INDEX(Ingredients!$AD$6:$AD$105,MATCH(C248,Ingredients!$B$6:$B$105,0))),0))</f>
        <v/>
      </c>
      <c r="L248">
        <f>IF(OR(B248="",C248=""),0,IFERROR(N(INDEX(Ingredients!$AE$6:$AE$105,MATCH(C248,Ingredients!$B$6:$B$105,0))),0))</f>
        <v/>
      </c>
      <c r="M248">
        <f>IF(OR(B248="",C248=""),0,IFERROR(N(INDEX(Ingredients!$AF$6:$AF$105,MATCH(C248,Ingredients!$B$6:$B$105,0))),0))</f>
        <v/>
      </c>
      <c r="N248">
        <f>IF(OR(B248="",C248=""),0,IFERROR(N(INDEX(Ingredients!$AG$6:$AG$105,MATCH(C248,Ingredients!$B$6:$B$105,0))),0))</f>
        <v/>
      </c>
      <c r="O248">
        <f>IF(OR(B248="",C248=""),0,IFERROR(N(INDEX(Ingredients!$AH$6:$AH$105,MATCH(C248,Ingredients!$B$6:$B$105,0))),0))</f>
        <v/>
      </c>
      <c r="P248">
        <f>IF(OR(B248="",C248=""),0,IFERROR(N(INDEX(Ingredients!$AI$6:$AI$105,MATCH(C248,Ingredients!$B$6:$B$105,0))),0))</f>
        <v/>
      </c>
      <c r="Q248">
        <f>IF(OR(B248="",C248=""),0,IFERROR(N(INDEX(Ingredients!$AJ$6:$AJ$105,MATCH(C248,Ingredients!$B$6:$B$105,0))),0))</f>
        <v/>
      </c>
      <c r="R248">
        <f>IF(OR(B248="",C248=""),0,IFERROR(N(INDEX(Ingredients!$AK$6:$AK$105,MATCH(C248,Ingredients!$B$6:$B$105,0))),0))</f>
        <v/>
      </c>
      <c r="S248">
        <f>IF(OR(B248="",C248=""),0,IFERROR(N(INDEX(Ingredients!$AL$6:$AL$105,MATCH(C248,Ingredients!$B$6:$B$105,0))),0))</f>
        <v/>
      </c>
      <c r="T248">
        <f>IF(OR(B248="",C248=""),0,IFERROR(N(INDEX(Ingredients!$AM$6:$AM$105,MATCH(C248,Ingredients!$B$6:$B$105,0))),0))</f>
        <v/>
      </c>
      <c r="U248">
        <f>IF(OR(B248="",C248=""),0,IFERROR(N(INDEX(Ingredients!$AN$6:$AN$105,MATCH(C248,Ingredients!$B$6:$B$105,0))),0))</f>
        <v/>
      </c>
      <c r="V248">
        <f>IF(OR(B248="",C248=""),0,IFERROR(N(INDEX(Ingredients!$AO$6:$AO$105,MATCH(C248,Ingredients!$B$6:$B$105,0))),0))</f>
        <v/>
      </c>
      <c r="W248">
        <f>IF(OR(B248="",C248=""),0,IFERROR(N(INDEX(Ingredients!$AP$6:$AP$105,MATCH(C248,Ingredients!$B$6:$B$105,0))),0))</f>
        <v/>
      </c>
      <c r="X248">
        <f>IF(OR(B248="",C248=""),0,IFERROR(N(INDEX(Ingredients!$AQ$6:$AQ$105,MATCH(C248,Ingredients!$B$6:$B$105,0))),0))</f>
        <v/>
      </c>
    </row>
    <row r="249">
      <c r="A249" s="1" t="n"/>
      <c r="B249" s="21" t="n"/>
      <c r="C249" s="39" t="n"/>
      <c r="D249" s="40" t="n"/>
      <c r="E249" s="12">
        <f>IF(C249="","",IF(ISNA(MATCH(C249,Ingredients!$B$6:$B$105,0)),"Not on Ingredients",IFERROR(IF(INDEX(Ingredients!$C$6:$C$105,MATCH(C249,Ingredients!$B$6:$B$105,0))="","",INDEX(Ingredients!$C$6:$C$105,MATCH(C249,Ingredients!$B$6:$B$105,0))),"")))</f>
        <v/>
      </c>
      <c r="F249" s="26">
        <f>IF(OR(B249="",C249=""),"",N(D249)*IFERROR(N(INDEX(Ingredients!$H$6:$H$105,MATCH(C249,Ingredients!$B$6:$B$105,0))),0))</f>
        <v/>
      </c>
      <c r="G249" s="1">
        <f>IF(OR(B249="",C249=""),0,IFERROR(N(INDEX(Products!$D$6:$D$45,MATCH(B249,Products!$B$6:$B$45,0))),0))</f>
        <v/>
      </c>
      <c r="H249">
        <f>IF(N(G249)=0,0,N(D249)*SUMIFS(Batches!$D$6:$D$505,Batches!$C$6:$C$505,B249)/G249)</f>
        <v/>
      </c>
      <c r="I249">
        <f>IF(OR(B249="",C249=""),"",IF(B249&lt;&gt;Label!$H$3,"",IF(IFERROR(N(INDEX(Ingredients!$AS$6:$AS$105,MATCH(C249,Ingredients!$B$6:$B$105,0))),0)=1,"",ROUND(N(D249)*1000,0)*100000+100000-ROW())))</f>
        <v/>
      </c>
      <c r="J249">
        <f>IF(OR(B249="",C249=""),0,IFERROR(N(INDEX(Ingredients!$AC$6:$AC$105,MATCH(C249,Ingredients!$B$6:$B$105,0))),0))</f>
        <v/>
      </c>
      <c r="K249">
        <f>IF(OR(B249="",C249=""),0,IFERROR(N(INDEX(Ingredients!$AD$6:$AD$105,MATCH(C249,Ingredients!$B$6:$B$105,0))),0))</f>
        <v/>
      </c>
      <c r="L249">
        <f>IF(OR(B249="",C249=""),0,IFERROR(N(INDEX(Ingredients!$AE$6:$AE$105,MATCH(C249,Ingredients!$B$6:$B$105,0))),0))</f>
        <v/>
      </c>
      <c r="M249">
        <f>IF(OR(B249="",C249=""),0,IFERROR(N(INDEX(Ingredients!$AF$6:$AF$105,MATCH(C249,Ingredients!$B$6:$B$105,0))),0))</f>
        <v/>
      </c>
      <c r="N249">
        <f>IF(OR(B249="",C249=""),0,IFERROR(N(INDEX(Ingredients!$AG$6:$AG$105,MATCH(C249,Ingredients!$B$6:$B$105,0))),0))</f>
        <v/>
      </c>
      <c r="O249">
        <f>IF(OR(B249="",C249=""),0,IFERROR(N(INDEX(Ingredients!$AH$6:$AH$105,MATCH(C249,Ingredients!$B$6:$B$105,0))),0))</f>
        <v/>
      </c>
      <c r="P249">
        <f>IF(OR(B249="",C249=""),0,IFERROR(N(INDEX(Ingredients!$AI$6:$AI$105,MATCH(C249,Ingredients!$B$6:$B$105,0))),0))</f>
        <v/>
      </c>
      <c r="Q249">
        <f>IF(OR(B249="",C249=""),0,IFERROR(N(INDEX(Ingredients!$AJ$6:$AJ$105,MATCH(C249,Ingredients!$B$6:$B$105,0))),0))</f>
        <v/>
      </c>
      <c r="R249">
        <f>IF(OR(B249="",C249=""),0,IFERROR(N(INDEX(Ingredients!$AK$6:$AK$105,MATCH(C249,Ingredients!$B$6:$B$105,0))),0))</f>
        <v/>
      </c>
      <c r="S249">
        <f>IF(OR(B249="",C249=""),0,IFERROR(N(INDEX(Ingredients!$AL$6:$AL$105,MATCH(C249,Ingredients!$B$6:$B$105,0))),0))</f>
        <v/>
      </c>
      <c r="T249">
        <f>IF(OR(B249="",C249=""),0,IFERROR(N(INDEX(Ingredients!$AM$6:$AM$105,MATCH(C249,Ingredients!$B$6:$B$105,0))),0))</f>
        <v/>
      </c>
      <c r="U249">
        <f>IF(OR(B249="",C249=""),0,IFERROR(N(INDEX(Ingredients!$AN$6:$AN$105,MATCH(C249,Ingredients!$B$6:$B$105,0))),0))</f>
        <v/>
      </c>
      <c r="V249">
        <f>IF(OR(B249="",C249=""),0,IFERROR(N(INDEX(Ingredients!$AO$6:$AO$105,MATCH(C249,Ingredients!$B$6:$B$105,0))),0))</f>
        <v/>
      </c>
      <c r="W249">
        <f>IF(OR(B249="",C249=""),0,IFERROR(N(INDEX(Ingredients!$AP$6:$AP$105,MATCH(C249,Ingredients!$B$6:$B$105,0))),0))</f>
        <v/>
      </c>
      <c r="X249">
        <f>IF(OR(B249="",C249=""),0,IFERROR(N(INDEX(Ingredients!$AQ$6:$AQ$105,MATCH(C249,Ingredients!$B$6:$B$105,0))),0))</f>
        <v/>
      </c>
    </row>
    <row r="250">
      <c r="A250" s="1" t="n"/>
      <c r="B250" s="21" t="n"/>
      <c r="C250" s="39" t="n"/>
      <c r="D250" s="40" t="n"/>
      <c r="E250" s="12">
        <f>IF(C250="","",IF(ISNA(MATCH(C250,Ingredients!$B$6:$B$105,0)),"Not on Ingredients",IFERROR(IF(INDEX(Ingredients!$C$6:$C$105,MATCH(C250,Ingredients!$B$6:$B$105,0))="","",INDEX(Ingredients!$C$6:$C$105,MATCH(C250,Ingredients!$B$6:$B$105,0))),"")))</f>
        <v/>
      </c>
      <c r="F250" s="26">
        <f>IF(OR(B250="",C250=""),"",N(D250)*IFERROR(N(INDEX(Ingredients!$H$6:$H$105,MATCH(C250,Ingredients!$B$6:$B$105,0))),0))</f>
        <v/>
      </c>
      <c r="G250" s="1">
        <f>IF(OR(B250="",C250=""),0,IFERROR(N(INDEX(Products!$D$6:$D$45,MATCH(B250,Products!$B$6:$B$45,0))),0))</f>
        <v/>
      </c>
      <c r="H250">
        <f>IF(N(G250)=0,0,N(D250)*SUMIFS(Batches!$D$6:$D$505,Batches!$C$6:$C$505,B250)/G250)</f>
        <v/>
      </c>
      <c r="I250">
        <f>IF(OR(B250="",C250=""),"",IF(B250&lt;&gt;Label!$H$3,"",IF(IFERROR(N(INDEX(Ingredients!$AS$6:$AS$105,MATCH(C250,Ingredients!$B$6:$B$105,0))),0)=1,"",ROUND(N(D250)*1000,0)*100000+100000-ROW())))</f>
        <v/>
      </c>
      <c r="J250">
        <f>IF(OR(B250="",C250=""),0,IFERROR(N(INDEX(Ingredients!$AC$6:$AC$105,MATCH(C250,Ingredients!$B$6:$B$105,0))),0))</f>
        <v/>
      </c>
      <c r="K250">
        <f>IF(OR(B250="",C250=""),0,IFERROR(N(INDEX(Ingredients!$AD$6:$AD$105,MATCH(C250,Ingredients!$B$6:$B$105,0))),0))</f>
        <v/>
      </c>
      <c r="L250">
        <f>IF(OR(B250="",C250=""),0,IFERROR(N(INDEX(Ingredients!$AE$6:$AE$105,MATCH(C250,Ingredients!$B$6:$B$105,0))),0))</f>
        <v/>
      </c>
      <c r="M250">
        <f>IF(OR(B250="",C250=""),0,IFERROR(N(INDEX(Ingredients!$AF$6:$AF$105,MATCH(C250,Ingredients!$B$6:$B$105,0))),0))</f>
        <v/>
      </c>
      <c r="N250">
        <f>IF(OR(B250="",C250=""),0,IFERROR(N(INDEX(Ingredients!$AG$6:$AG$105,MATCH(C250,Ingredients!$B$6:$B$105,0))),0))</f>
        <v/>
      </c>
      <c r="O250">
        <f>IF(OR(B250="",C250=""),0,IFERROR(N(INDEX(Ingredients!$AH$6:$AH$105,MATCH(C250,Ingredients!$B$6:$B$105,0))),0))</f>
        <v/>
      </c>
      <c r="P250">
        <f>IF(OR(B250="",C250=""),0,IFERROR(N(INDEX(Ingredients!$AI$6:$AI$105,MATCH(C250,Ingredients!$B$6:$B$105,0))),0))</f>
        <v/>
      </c>
      <c r="Q250">
        <f>IF(OR(B250="",C250=""),0,IFERROR(N(INDEX(Ingredients!$AJ$6:$AJ$105,MATCH(C250,Ingredients!$B$6:$B$105,0))),0))</f>
        <v/>
      </c>
      <c r="R250">
        <f>IF(OR(B250="",C250=""),0,IFERROR(N(INDEX(Ingredients!$AK$6:$AK$105,MATCH(C250,Ingredients!$B$6:$B$105,0))),0))</f>
        <v/>
      </c>
      <c r="S250">
        <f>IF(OR(B250="",C250=""),0,IFERROR(N(INDEX(Ingredients!$AL$6:$AL$105,MATCH(C250,Ingredients!$B$6:$B$105,0))),0))</f>
        <v/>
      </c>
      <c r="T250">
        <f>IF(OR(B250="",C250=""),0,IFERROR(N(INDEX(Ingredients!$AM$6:$AM$105,MATCH(C250,Ingredients!$B$6:$B$105,0))),0))</f>
        <v/>
      </c>
      <c r="U250">
        <f>IF(OR(B250="",C250=""),0,IFERROR(N(INDEX(Ingredients!$AN$6:$AN$105,MATCH(C250,Ingredients!$B$6:$B$105,0))),0))</f>
        <v/>
      </c>
      <c r="V250">
        <f>IF(OR(B250="",C250=""),0,IFERROR(N(INDEX(Ingredients!$AO$6:$AO$105,MATCH(C250,Ingredients!$B$6:$B$105,0))),0))</f>
        <v/>
      </c>
      <c r="W250">
        <f>IF(OR(B250="",C250=""),0,IFERROR(N(INDEX(Ingredients!$AP$6:$AP$105,MATCH(C250,Ingredients!$B$6:$B$105,0))),0))</f>
        <v/>
      </c>
      <c r="X250">
        <f>IF(OR(B250="",C250=""),0,IFERROR(N(INDEX(Ingredients!$AQ$6:$AQ$105,MATCH(C250,Ingredients!$B$6:$B$105,0))),0))</f>
        <v/>
      </c>
    </row>
    <row r="251">
      <c r="A251" s="1" t="n"/>
      <c r="B251" s="21" t="n"/>
      <c r="C251" s="39" t="n"/>
      <c r="D251" s="40" t="n"/>
      <c r="E251" s="12">
        <f>IF(C251="","",IF(ISNA(MATCH(C251,Ingredients!$B$6:$B$105,0)),"Not on Ingredients",IFERROR(IF(INDEX(Ingredients!$C$6:$C$105,MATCH(C251,Ingredients!$B$6:$B$105,0))="","",INDEX(Ingredients!$C$6:$C$105,MATCH(C251,Ingredients!$B$6:$B$105,0))),"")))</f>
        <v/>
      </c>
      <c r="F251" s="26">
        <f>IF(OR(B251="",C251=""),"",N(D251)*IFERROR(N(INDEX(Ingredients!$H$6:$H$105,MATCH(C251,Ingredients!$B$6:$B$105,0))),0))</f>
        <v/>
      </c>
      <c r="G251" s="1">
        <f>IF(OR(B251="",C251=""),0,IFERROR(N(INDEX(Products!$D$6:$D$45,MATCH(B251,Products!$B$6:$B$45,0))),0))</f>
        <v/>
      </c>
      <c r="H251">
        <f>IF(N(G251)=0,0,N(D251)*SUMIFS(Batches!$D$6:$D$505,Batches!$C$6:$C$505,B251)/G251)</f>
        <v/>
      </c>
      <c r="I251">
        <f>IF(OR(B251="",C251=""),"",IF(B251&lt;&gt;Label!$H$3,"",IF(IFERROR(N(INDEX(Ingredients!$AS$6:$AS$105,MATCH(C251,Ingredients!$B$6:$B$105,0))),0)=1,"",ROUND(N(D251)*1000,0)*100000+100000-ROW())))</f>
        <v/>
      </c>
      <c r="J251">
        <f>IF(OR(B251="",C251=""),0,IFERROR(N(INDEX(Ingredients!$AC$6:$AC$105,MATCH(C251,Ingredients!$B$6:$B$105,0))),0))</f>
        <v/>
      </c>
      <c r="K251">
        <f>IF(OR(B251="",C251=""),0,IFERROR(N(INDEX(Ingredients!$AD$6:$AD$105,MATCH(C251,Ingredients!$B$6:$B$105,0))),0))</f>
        <v/>
      </c>
      <c r="L251">
        <f>IF(OR(B251="",C251=""),0,IFERROR(N(INDEX(Ingredients!$AE$6:$AE$105,MATCH(C251,Ingredients!$B$6:$B$105,0))),0))</f>
        <v/>
      </c>
      <c r="M251">
        <f>IF(OR(B251="",C251=""),0,IFERROR(N(INDEX(Ingredients!$AF$6:$AF$105,MATCH(C251,Ingredients!$B$6:$B$105,0))),0))</f>
        <v/>
      </c>
      <c r="N251">
        <f>IF(OR(B251="",C251=""),0,IFERROR(N(INDEX(Ingredients!$AG$6:$AG$105,MATCH(C251,Ingredients!$B$6:$B$105,0))),0))</f>
        <v/>
      </c>
      <c r="O251">
        <f>IF(OR(B251="",C251=""),0,IFERROR(N(INDEX(Ingredients!$AH$6:$AH$105,MATCH(C251,Ingredients!$B$6:$B$105,0))),0))</f>
        <v/>
      </c>
      <c r="P251">
        <f>IF(OR(B251="",C251=""),0,IFERROR(N(INDEX(Ingredients!$AI$6:$AI$105,MATCH(C251,Ingredients!$B$6:$B$105,0))),0))</f>
        <v/>
      </c>
      <c r="Q251">
        <f>IF(OR(B251="",C251=""),0,IFERROR(N(INDEX(Ingredients!$AJ$6:$AJ$105,MATCH(C251,Ingredients!$B$6:$B$105,0))),0))</f>
        <v/>
      </c>
      <c r="R251">
        <f>IF(OR(B251="",C251=""),0,IFERROR(N(INDEX(Ingredients!$AK$6:$AK$105,MATCH(C251,Ingredients!$B$6:$B$105,0))),0))</f>
        <v/>
      </c>
      <c r="S251">
        <f>IF(OR(B251="",C251=""),0,IFERROR(N(INDEX(Ingredients!$AL$6:$AL$105,MATCH(C251,Ingredients!$B$6:$B$105,0))),0))</f>
        <v/>
      </c>
      <c r="T251">
        <f>IF(OR(B251="",C251=""),0,IFERROR(N(INDEX(Ingredients!$AM$6:$AM$105,MATCH(C251,Ingredients!$B$6:$B$105,0))),0))</f>
        <v/>
      </c>
      <c r="U251">
        <f>IF(OR(B251="",C251=""),0,IFERROR(N(INDEX(Ingredients!$AN$6:$AN$105,MATCH(C251,Ingredients!$B$6:$B$105,0))),0))</f>
        <v/>
      </c>
      <c r="V251">
        <f>IF(OR(B251="",C251=""),0,IFERROR(N(INDEX(Ingredients!$AO$6:$AO$105,MATCH(C251,Ingredients!$B$6:$B$105,0))),0))</f>
        <v/>
      </c>
      <c r="W251">
        <f>IF(OR(B251="",C251=""),0,IFERROR(N(INDEX(Ingredients!$AP$6:$AP$105,MATCH(C251,Ingredients!$B$6:$B$105,0))),0))</f>
        <v/>
      </c>
      <c r="X251">
        <f>IF(OR(B251="",C251=""),0,IFERROR(N(INDEX(Ingredients!$AQ$6:$AQ$105,MATCH(C251,Ingredients!$B$6:$B$105,0))),0))</f>
        <v/>
      </c>
    </row>
    <row r="252">
      <c r="A252" s="1" t="n"/>
      <c r="B252" s="21" t="n"/>
      <c r="C252" s="39" t="n"/>
      <c r="D252" s="40" t="n"/>
      <c r="E252" s="12">
        <f>IF(C252="","",IF(ISNA(MATCH(C252,Ingredients!$B$6:$B$105,0)),"Not on Ingredients",IFERROR(IF(INDEX(Ingredients!$C$6:$C$105,MATCH(C252,Ingredients!$B$6:$B$105,0))="","",INDEX(Ingredients!$C$6:$C$105,MATCH(C252,Ingredients!$B$6:$B$105,0))),"")))</f>
        <v/>
      </c>
      <c r="F252" s="26">
        <f>IF(OR(B252="",C252=""),"",N(D252)*IFERROR(N(INDEX(Ingredients!$H$6:$H$105,MATCH(C252,Ingredients!$B$6:$B$105,0))),0))</f>
        <v/>
      </c>
      <c r="G252" s="1">
        <f>IF(OR(B252="",C252=""),0,IFERROR(N(INDEX(Products!$D$6:$D$45,MATCH(B252,Products!$B$6:$B$45,0))),0))</f>
        <v/>
      </c>
      <c r="H252">
        <f>IF(N(G252)=0,0,N(D252)*SUMIFS(Batches!$D$6:$D$505,Batches!$C$6:$C$505,B252)/G252)</f>
        <v/>
      </c>
      <c r="I252">
        <f>IF(OR(B252="",C252=""),"",IF(B252&lt;&gt;Label!$H$3,"",IF(IFERROR(N(INDEX(Ingredients!$AS$6:$AS$105,MATCH(C252,Ingredients!$B$6:$B$105,0))),0)=1,"",ROUND(N(D252)*1000,0)*100000+100000-ROW())))</f>
        <v/>
      </c>
      <c r="J252">
        <f>IF(OR(B252="",C252=""),0,IFERROR(N(INDEX(Ingredients!$AC$6:$AC$105,MATCH(C252,Ingredients!$B$6:$B$105,0))),0))</f>
        <v/>
      </c>
      <c r="K252">
        <f>IF(OR(B252="",C252=""),0,IFERROR(N(INDEX(Ingredients!$AD$6:$AD$105,MATCH(C252,Ingredients!$B$6:$B$105,0))),0))</f>
        <v/>
      </c>
      <c r="L252">
        <f>IF(OR(B252="",C252=""),0,IFERROR(N(INDEX(Ingredients!$AE$6:$AE$105,MATCH(C252,Ingredients!$B$6:$B$105,0))),0))</f>
        <v/>
      </c>
      <c r="M252">
        <f>IF(OR(B252="",C252=""),0,IFERROR(N(INDEX(Ingredients!$AF$6:$AF$105,MATCH(C252,Ingredients!$B$6:$B$105,0))),0))</f>
        <v/>
      </c>
      <c r="N252">
        <f>IF(OR(B252="",C252=""),0,IFERROR(N(INDEX(Ingredients!$AG$6:$AG$105,MATCH(C252,Ingredients!$B$6:$B$105,0))),0))</f>
        <v/>
      </c>
      <c r="O252">
        <f>IF(OR(B252="",C252=""),0,IFERROR(N(INDEX(Ingredients!$AH$6:$AH$105,MATCH(C252,Ingredients!$B$6:$B$105,0))),0))</f>
        <v/>
      </c>
      <c r="P252">
        <f>IF(OR(B252="",C252=""),0,IFERROR(N(INDEX(Ingredients!$AI$6:$AI$105,MATCH(C252,Ingredients!$B$6:$B$105,0))),0))</f>
        <v/>
      </c>
      <c r="Q252">
        <f>IF(OR(B252="",C252=""),0,IFERROR(N(INDEX(Ingredients!$AJ$6:$AJ$105,MATCH(C252,Ingredients!$B$6:$B$105,0))),0))</f>
        <v/>
      </c>
      <c r="R252">
        <f>IF(OR(B252="",C252=""),0,IFERROR(N(INDEX(Ingredients!$AK$6:$AK$105,MATCH(C252,Ingredients!$B$6:$B$105,0))),0))</f>
        <v/>
      </c>
      <c r="S252">
        <f>IF(OR(B252="",C252=""),0,IFERROR(N(INDEX(Ingredients!$AL$6:$AL$105,MATCH(C252,Ingredients!$B$6:$B$105,0))),0))</f>
        <v/>
      </c>
      <c r="T252">
        <f>IF(OR(B252="",C252=""),0,IFERROR(N(INDEX(Ingredients!$AM$6:$AM$105,MATCH(C252,Ingredients!$B$6:$B$105,0))),0))</f>
        <v/>
      </c>
      <c r="U252">
        <f>IF(OR(B252="",C252=""),0,IFERROR(N(INDEX(Ingredients!$AN$6:$AN$105,MATCH(C252,Ingredients!$B$6:$B$105,0))),0))</f>
        <v/>
      </c>
      <c r="V252">
        <f>IF(OR(B252="",C252=""),0,IFERROR(N(INDEX(Ingredients!$AO$6:$AO$105,MATCH(C252,Ingredients!$B$6:$B$105,0))),0))</f>
        <v/>
      </c>
      <c r="W252">
        <f>IF(OR(B252="",C252=""),0,IFERROR(N(INDEX(Ingredients!$AP$6:$AP$105,MATCH(C252,Ingredients!$B$6:$B$105,0))),0))</f>
        <v/>
      </c>
      <c r="X252">
        <f>IF(OR(B252="",C252=""),0,IFERROR(N(INDEX(Ingredients!$AQ$6:$AQ$105,MATCH(C252,Ingredients!$B$6:$B$105,0))),0))</f>
        <v/>
      </c>
    </row>
    <row r="253">
      <c r="A253" s="1" t="n"/>
      <c r="B253" s="21" t="n"/>
      <c r="C253" s="39" t="n"/>
      <c r="D253" s="40" t="n"/>
      <c r="E253" s="12">
        <f>IF(C253="","",IF(ISNA(MATCH(C253,Ingredients!$B$6:$B$105,0)),"Not on Ingredients",IFERROR(IF(INDEX(Ingredients!$C$6:$C$105,MATCH(C253,Ingredients!$B$6:$B$105,0))="","",INDEX(Ingredients!$C$6:$C$105,MATCH(C253,Ingredients!$B$6:$B$105,0))),"")))</f>
        <v/>
      </c>
      <c r="F253" s="26">
        <f>IF(OR(B253="",C253=""),"",N(D253)*IFERROR(N(INDEX(Ingredients!$H$6:$H$105,MATCH(C253,Ingredients!$B$6:$B$105,0))),0))</f>
        <v/>
      </c>
      <c r="G253" s="1">
        <f>IF(OR(B253="",C253=""),0,IFERROR(N(INDEX(Products!$D$6:$D$45,MATCH(B253,Products!$B$6:$B$45,0))),0))</f>
        <v/>
      </c>
      <c r="H253">
        <f>IF(N(G253)=0,0,N(D253)*SUMIFS(Batches!$D$6:$D$505,Batches!$C$6:$C$505,B253)/G253)</f>
        <v/>
      </c>
      <c r="I253">
        <f>IF(OR(B253="",C253=""),"",IF(B253&lt;&gt;Label!$H$3,"",IF(IFERROR(N(INDEX(Ingredients!$AS$6:$AS$105,MATCH(C253,Ingredients!$B$6:$B$105,0))),0)=1,"",ROUND(N(D253)*1000,0)*100000+100000-ROW())))</f>
        <v/>
      </c>
      <c r="J253">
        <f>IF(OR(B253="",C253=""),0,IFERROR(N(INDEX(Ingredients!$AC$6:$AC$105,MATCH(C253,Ingredients!$B$6:$B$105,0))),0))</f>
        <v/>
      </c>
      <c r="K253">
        <f>IF(OR(B253="",C253=""),0,IFERROR(N(INDEX(Ingredients!$AD$6:$AD$105,MATCH(C253,Ingredients!$B$6:$B$105,0))),0))</f>
        <v/>
      </c>
      <c r="L253">
        <f>IF(OR(B253="",C253=""),0,IFERROR(N(INDEX(Ingredients!$AE$6:$AE$105,MATCH(C253,Ingredients!$B$6:$B$105,0))),0))</f>
        <v/>
      </c>
      <c r="M253">
        <f>IF(OR(B253="",C253=""),0,IFERROR(N(INDEX(Ingredients!$AF$6:$AF$105,MATCH(C253,Ingredients!$B$6:$B$105,0))),0))</f>
        <v/>
      </c>
      <c r="N253">
        <f>IF(OR(B253="",C253=""),0,IFERROR(N(INDEX(Ingredients!$AG$6:$AG$105,MATCH(C253,Ingredients!$B$6:$B$105,0))),0))</f>
        <v/>
      </c>
      <c r="O253">
        <f>IF(OR(B253="",C253=""),0,IFERROR(N(INDEX(Ingredients!$AH$6:$AH$105,MATCH(C253,Ingredients!$B$6:$B$105,0))),0))</f>
        <v/>
      </c>
      <c r="P253">
        <f>IF(OR(B253="",C253=""),0,IFERROR(N(INDEX(Ingredients!$AI$6:$AI$105,MATCH(C253,Ingredients!$B$6:$B$105,0))),0))</f>
        <v/>
      </c>
      <c r="Q253">
        <f>IF(OR(B253="",C253=""),0,IFERROR(N(INDEX(Ingredients!$AJ$6:$AJ$105,MATCH(C253,Ingredients!$B$6:$B$105,0))),0))</f>
        <v/>
      </c>
      <c r="R253">
        <f>IF(OR(B253="",C253=""),0,IFERROR(N(INDEX(Ingredients!$AK$6:$AK$105,MATCH(C253,Ingredients!$B$6:$B$105,0))),0))</f>
        <v/>
      </c>
      <c r="S253">
        <f>IF(OR(B253="",C253=""),0,IFERROR(N(INDEX(Ingredients!$AL$6:$AL$105,MATCH(C253,Ingredients!$B$6:$B$105,0))),0))</f>
        <v/>
      </c>
      <c r="T253">
        <f>IF(OR(B253="",C253=""),0,IFERROR(N(INDEX(Ingredients!$AM$6:$AM$105,MATCH(C253,Ingredients!$B$6:$B$105,0))),0))</f>
        <v/>
      </c>
      <c r="U253">
        <f>IF(OR(B253="",C253=""),0,IFERROR(N(INDEX(Ingredients!$AN$6:$AN$105,MATCH(C253,Ingredients!$B$6:$B$105,0))),0))</f>
        <v/>
      </c>
      <c r="V253">
        <f>IF(OR(B253="",C253=""),0,IFERROR(N(INDEX(Ingredients!$AO$6:$AO$105,MATCH(C253,Ingredients!$B$6:$B$105,0))),0))</f>
        <v/>
      </c>
      <c r="W253">
        <f>IF(OR(B253="",C253=""),0,IFERROR(N(INDEX(Ingredients!$AP$6:$AP$105,MATCH(C253,Ingredients!$B$6:$B$105,0))),0))</f>
        <v/>
      </c>
      <c r="X253">
        <f>IF(OR(B253="",C253=""),0,IFERROR(N(INDEX(Ingredients!$AQ$6:$AQ$105,MATCH(C253,Ingredients!$B$6:$B$105,0))),0))</f>
        <v/>
      </c>
    </row>
    <row r="254">
      <c r="A254" s="1" t="n"/>
      <c r="B254" s="21" t="n"/>
      <c r="C254" s="39" t="n"/>
      <c r="D254" s="40" t="n"/>
      <c r="E254" s="12">
        <f>IF(C254="","",IF(ISNA(MATCH(C254,Ingredients!$B$6:$B$105,0)),"Not on Ingredients",IFERROR(IF(INDEX(Ingredients!$C$6:$C$105,MATCH(C254,Ingredients!$B$6:$B$105,0))="","",INDEX(Ingredients!$C$6:$C$105,MATCH(C254,Ingredients!$B$6:$B$105,0))),"")))</f>
        <v/>
      </c>
      <c r="F254" s="26">
        <f>IF(OR(B254="",C254=""),"",N(D254)*IFERROR(N(INDEX(Ingredients!$H$6:$H$105,MATCH(C254,Ingredients!$B$6:$B$105,0))),0))</f>
        <v/>
      </c>
      <c r="G254" s="1">
        <f>IF(OR(B254="",C254=""),0,IFERROR(N(INDEX(Products!$D$6:$D$45,MATCH(B254,Products!$B$6:$B$45,0))),0))</f>
        <v/>
      </c>
      <c r="H254">
        <f>IF(N(G254)=0,0,N(D254)*SUMIFS(Batches!$D$6:$D$505,Batches!$C$6:$C$505,B254)/G254)</f>
        <v/>
      </c>
      <c r="I254">
        <f>IF(OR(B254="",C254=""),"",IF(B254&lt;&gt;Label!$H$3,"",IF(IFERROR(N(INDEX(Ingredients!$AS$6:$AS$105,MATCH(C254,Ingredients!$B$6:$B$105,0))),0)=1,"",ROUND(N(D254)*1000,0)*100000+100000-ROW())))</f>
        <v/>
      </c>
      <c r="J254">
        <f>IF(OR(B254="",C254=""),0,IFERROR(N(INDEX(Ingredients!$AC$6:$AC$105,MATCH(C254,Ingredients!$B$6:$B$105,0))),0))</f>
        <v/>
      </c>
      <c r="K254">
        <f>IF(OR(B254="",C254=""),0,IFERROR(N(INDEX(Ingredients!$AD$6:$AD$105,MATCH(C254,Ingredients!$B$6:$B$105,0))),0))</f>
        <v/>
      </c>
      <c r="L254">
        <f>IF(OR(B254="",C254=""),0,IFERROR(N(INDEX(Ingredients!$AE$6:$AE$105,MATCH(C254,Ingredients!$B$6:$B$105,0))),0))</f>
        <v/>
      </c>
      <c r="M254">
        <f>IF(OR(B254="",C254=""),0,IFERROR(N(INDEX(Ingredients!$AF$6:$AF$105,MATCH(C254,Ingredients!$B$6:$B$105,0))),0))</f>
        <v/>
      </c>
      <c r="N254">
        <f>IF(OR(B254="",C254=""),0,IFERROR(N(INDEX(Ingredients!$AG$6:$AG$105,MATCH(C254,Ingredients!$B$6:$B$105,0))),0))</f>
        <v/>
      </c>
      <c r="O254">
        <f>IF(OR(B254="",C254=""),0,IFERROR(N(INDEX(Ingredients!$AH$6:$AH$105,MATCH(C254,Ingredients!$B$6:$B$105,0))),0))</f>
        <v/>
      </c>
      <c r="P254">
        <f>IF(OR(B254="",C254=""),0,IFERROR(N(INDEX(Ingredients!$AI$6:$AI$105,MATCH(C254,Ingredients!$B$6:$B$105,0))),0))</f>
        <v/>
      </c>
      <c r="Q254">
        <f>IF(OR(B254="",C254=""),0,IFERROR(N(INDEX(Ingredients!$AJ$6:$AJ$105,MATCH(C254,Ingredients!$B$6:$B$105,0))),0))</f>
        <v/>
      </c>
      <c r="R254">
        <f>IF(OR(B254="",C254=""),0,IFERROR(N(INDEX(Ingredients!$AK$6:$AK$105,MATCH(C254,Ingredients!$B$6:$B$105,0))),0))</f>
        <v/>
      </c>
      <c r="S254">
        <f>IF(OR(B254="",C254=""),0,IFERROR(N(INDEX(Ingredients!$AL$6:$AL$105,MATCH(C254,Ingredients!$B$6:$B$105,0))),0))</f>
        <v/>
      </c>
      <c r="T254">
        <f>IF(OR(B254="",C254=""),0,IFERROR(N(INDEX(Ingredients!$AM$6:$AM$105,MATCH(C254,Ingredients!$B$6:$B$105,0))),0))</f>
        <v/>
      </c>
      <c r="U254">
        <f>IF(OR(B254="",C254=""),0,IFERROR(N(INDEX(Ingredients!$AN$6:$AN$105,MATCH(C254,Ingredients!$B$6:$B$105,0))),0))</f>
        <v/>
      </c>
      <c r="V254">
        <f>IF(OR(B254="",C254=""),0,IFERROR(N(INDEX(Ingredients!$AO$6:$AO$105,MATCH(C254,Ingredients!$B$6:$B$105,0))),0))</f>
        <v/>
      </c>
      <c r="W254">
        <f>IF(OR(B254="",C254=""),0,IFERROR(N(INDEX(Ingredients!$AP$6:$AP$105,MATCH(C254,Ingredients!$B$6:$B$105,0))),0))</f>
        <v/>
      </c>
      <c r="X254">
        <f>IF(OR(B254="",C254=""),0,IFERROR(N(INDEX(Ingredients!$AQ$6:$AQ$105,MATCH(C254,Ingredients!$B$6:$B$105,0))),0))</f>
        <v/>
      </c>
    </row>
    <row r="255">
      <c r="A255" s="1" t="n"/>
      <c r="B255" s="21" t="n"/>
      <c r="C255" s="39" t="n"/>
      <c r="D255" s="40" t="n"/>
      <c r="E255" s="12">
        <f>IF(C255="","",IF(ISNA(MATCH(C255,Ingredients!$B$6:$B$105,0)),"Not on Ingredients",IFERROR(IF(INDEX(Ingredients!$C$6:$C$105,MATCH(C255,Ingredients!$B$6:$B$105,0))="","",INDEX(Ingredients!$C$6:$C$105,MATCH(C255,Ingredients!$B$6:$B$105,0))),"")))</f>
        <v/>
      </c>
      <c r="F255" s="26">
        <f>IF(OR(B255="",C255=""),"",N(D255)*IFERROR(N(INDEX(Ingredients!$H$6:$H$105,MATCH(C255,Ingredients!$B$6:$B$105,0))),0))</f>
        <v/>
      </c>
      <c r="G255" s="1">
        <f>IF(OR(B255="",C255=""),0,IFERROR(N(INDEX(Products!$D$6:$D$45,MATCH(B255,Products!$B$6:$B$45,0))),0))</f>
        <v/>
      </c>
      <c r="H255">
        <f>IF(N(G255)=0,0,N(D255)*SUMIFS(Batches!$D$6:$D$505,Batches!$C$6:$C$505,B255)/G255)</f>
        <v/>
      </c>
      <c r="I255">
        <f>IF(OR(B255="",C255=""),"",IF(B255&lt;&gt;Label!$H$3,"",IF(IFERROR(N(INDEX(Ingredients!$AS$6:$AS$105,MATCH(C255,Ingredients!$B$6:$B$105,0))),0)=1,"",ROUND(N(D255)*1000,0)*100000+100000-ROW())))</f>
        <v/>
      </c>
      <c r="J255">
        <f>IF(OR(B255="",C255=""),0,IFERROR(N(INDEX(Ingredients!$AC$6:$AC$105,MATCH(C255,Ingredients!$B$6:$B$105,0))),0))</f>
        <v/>
      </c>
      <c r="K255">
        <f>IF(OR(B255="",C255=""),0,IFERROR(N(INDEX(Ingredients!$AD$6:$AD$105,MATCH(C255,Ingredients!$B$6:$B$105,0))),0))</f>
        <v/>
      </c>
      <c r="L255">
        <f>IF(OR(B255="",C255=""),0,IFERROR(N(INDEX(Ingredients!$AE$6:$AE$105,MATCH(C255,Ingredients!$B$6:$B$105,0))),0))</f>
        <v/>
      </c>
      <c r="M255">
        <f>IF(OR(B255="",C255=""),0,IFERROR(N(INDEX(Ingredients!$AF$6:$AF$105,MATCH(C255,Ingredients!$B$6:$B$105,0))),0))</f>
        <v/>
      </c>
      <c r="N255">
        <f>IF(OR(B255="",C255=""),0,IFERROR(N(INDEX(Ingredients!$AG$6:$AG$105,MATCH(C255,Ingredients!$B$6:$B$105,0))),0))</f>
        <v/>
      </c>
      <c r="O255">
        <f>IF(OR(B255="",C255=""),0,IFERROR(N(INDEX(Ingredients!$AH$6:$AH$105,MATCH(C255,Ingredients!$B$6:$B$105,0))),0))</f>
        <v/>
      </c>
      <c r="P255">
        <f>IF(OR(B255="",C255=""),0,IFERROR(N(INDEX(Ingredients!$AI$6:$AI$105,MATCH(C255,Ingredients!$B$6:$B$105,0))),0))</f>
        <v/>
      </c>
      <c r="Q255">
        <f>IF(OR(B255="",C255=""),0,IFERROR(N(INDEX(Ingredients!$AJ$6:$AJ$105,MATCH(C255,Ingredients!$B$6:$B$105,0))),0))</f>
        <v/>
      </c>
      <c r="R255">
        <f>IF(OR(B255="",C255=""),0,IFERROR(N(INDEX(Ingredients!$AK$6:$AK$105,MATCH(C255,Ingredients!$B$6:$B$105,0))),0))</f>
        <v/>
      </c>
      <c r="S255">
        <f>IF(OR(B255="",C255=""),0,IFERROR(N(INDEX(Ingredients!$AL$6:$AL$105,MATCH(C255,Ingredients!$B$6:$B$105,0))),0))</f>
        <v/>
      </c>
      <c r="T255">
        <f>IF(OR(B255="",C255=""),0,IFERROR(N(INDEX(Ingredients!$AM$6:$AM$105,MATCH(C255,Ingredients!$B$6:$B$105,0))),0))</f>
        <v/>
      </c>
      <c r="U255">
        <f>IF(OR(B255="",C255=""),0,IFERROR(N(INDEX(Ingredients!$AN$6:$AN$105,MATCH(C255,Ingredients!$B$6:$B$105,0))),0))</f>
        <v/>
      </c>
      <c r="V255">
        <f>IF(OR(B255="",C255=""),0,IFERROR(N(INDEX(Ingredients!$AO$6:$AO$105,MATCH(C255,Ingredients!$B$6:$B$105,0))),0))</f>
        <v/>
      </c>
      <c r="W255">
        <f>IF(OR(B255="",C255=""),0,IFERROR(N(INDEX(Ingredients!$AP$6:$AP$105,MATCH(C255,Ingredients!$B$6:$B$105,0))),0))</f>
        <v/>
      </c>
      <c r="X255">
        <f>IF(OR(B255="",C255=""),0,IFERROR(N(INDEX(Ingredients!$AQ$6:$AQ$105,MATCH(C255,Ingredients!$B$6:$B$105,0))),0))</f>
        <v/>
      </c>
    </row>
    <row r="256">
      <c r="A256" s="1" t="n"/>
      <c r="B256" s="21" t="n"/>
      <c r="C256" s="39" t="n"/>
      <c r="D256" s="40" t="n"/>
      <c r="E256" s="12">
        <f>IF(C256="","",IF(ISNA(MATCH(C256,Ingredients!$B$6:$B$105,0)),"Not on Ingredients",IFERROR(IF(INDEX(Ingredients!$C$6:$C$105,MATCH(C256,Ingredients!$B$6:$B$105,0))="","",INDEX(Ingredients!$C$6:$C$105,MATCH(C256,Ingredients!$B$6:$B$105,0))),"")))</f>
        <v/>
      </c>
      <c r="F256" s="26">
        <f>IF(OR(B256="",C256=""),"",N(D256)*IFERROR(N(INDEX(Ingredients!$H$6:$H$105,MATCH(C256,Ingredients!$B$6:$B$105,0))),0))</f>
        <v/>
      </c>
      <c r="G256" s="1">
        <f>IF(OR(B256="",C256=""),0,IFERROR(N(INDEX(Products!$D$6:$D$45,MATCH(B256,Products!$B$6:$B$45,0))),0))</f>
        <v/>
      </c>
      <c r="H256">
        <f>IF(N(G256)=0,0,N(D256)*SUMIFS(Batches!$D$6:$D$505,Batches!$C$6:$C$505,B256)/G256)</f>
        <v/>
      </c>
      <c r="I256">
        <f>IF(OR(B256="",C256=""),"",IF(B256&lt;&gt;Label!$H$3,"",IF(IFERROR(N(INDEX(Ingredients!$AS$6:$AS$105,MATCH(C256,Ingredients!$B$6:$B$105,0))),0)=1,"",ROUND(N(D256)*1000,0)*100000+100000-ROW())))</f>
        <v/>
      </c>
      <c r="J256">
        <f>IF(OR(B256="",C256=""),0,IFERROR(N(INDEX(Ingredients!$AC$6:$AC$105,MATCH(C256,Ingredients!$B$6:$B$105,0))),0))</f>
        <v/>
      </c>
      <c r="K256">
        <f>IF(OR(B256="",C256=""),0,IFERROR(N(INDEX(Ingredients!$AD$6:$AD$105,MATCH(C256,Ingredients!$B$6:$B$105,0))),0))</f>
        <v/>
      </c>
      <c r="L256">
        <f>IF(OR(B256="",C256=""),0,IFERROR(N(INDEX(Ingredients!$AE$6:$AE$105,MATCH(C256,Ingredients!$B$6:$B$105,0))),0))</f>
        <v/>
      </c>
      <c r="M256">
        <f>IF(OR(B256="",C256=""),0,IFERROR(N(INDEX(Ingredients!$AF$6:$AF$105,MATCH(C256,Ingredients!$B$6:$B$105,0))),0))</f>
        <v/>
      </c>
      <c r="N256">
        <f>IF(OR(B256="",C256=""),0,IFERROR(N(INDEX(Ingredients!$AG$6:$AG$105,MATCH(C256,Ingredients!$B$6:$B$105,0))),0))</f>
        <v/>
      </c>
      <c r="O256">
        <f>IF(OR(B256="",C256=""),0,IFERROR(N(INDEX(Ingredients!$AH$6:$AH$105,MATCH(C256,Ingredients!$B$6:$B$105,0))),0))</f>
        <v/>
      </c>
      <c r="P256">
        <f>IF(OR(B256="",C256=""),0,IFERROR(N(INDEX(Ingredients!$AI$6:$AI$105,MATCH(C256,Ingredients!$B$6:$B$105,0))),0))</f>
        <v/>
      </c>
      <c r="Q256">
        <f>IF(OR(B256="",C256=""),0,IFERROR(N(INDEX(Ingredients!$AJ$6:$AJ$105,MATCH(C256,Ingredients!$B$6:$B$105,0))),0))</f>
        <v/>
      </c>
      <c r="R256">
        <f>IF(OR(B256="",C256=""),0,IFERROR(N(INDEX(Ingredients!$AK$6:$AK$105,MATCH(C256,Ingredients!$B$6:$B$105,0))),0))</f>
        <v/>
      </c>
      <c r="S256">
        <f>IF(OR(B256="",C256=""),0,IFERROR(N(INDEX(Ingredients!$AL$6:$AL$105,MATCH(C256,Ingredients!$B$6:$B$105,0))),0))</f>
        <v/>
      </c>
      <c r="T256">
        <f>IF(OR(B256="",C256=""),0,IFERROR(N(INDEX(Ingredients!$AM$6:$AM$105,MATCH(C256,Ingredients!$B$6:$B$105,0))),0))</f>
        <v/>
      </c>
      <c r="U256">
        <f>IF(OR(B256="",C256=""),0,IFERROR(N(INDEX(Ingredients!$AN$6:$AN$105,MATCH(C256,Ingredients!$B$6:$B$105,0))),0))</f>
        <v/>
      </c>
      <c r="V256">
        <f>IF(OR(B256="",C256=""),0,IFERROR(N(INDEX(Ingredients!$AO$6:$AO$105,MATCH(C256,Ingredients!$B$6:$B$105,0))),0))</f>
        <v/>
      </c>
      <c r="W256">
        <f>IF(OR(B256="",C256=""),0,IFERROR(N(INDEX(Ingredients!$AP$6:$AP$105,MATCH(C256,Ingredients!$B$6:$B$105,0))),0))</f>
        <v/>
      </c>
      <c r="X256">
        <f>IF(OR(B256="",C256=""),0,IFERROR(N(INDEX(Ingredients!$AQ$6:$AQ$105,MATCH(C256,Ingredients!$B$6:$B$105,0))),0))</f>
        <v/>
      </c>
    </row>
    <row r="257">
      <c r="A257" s="1" t="n"/>
      <c r="B257" s="21" t="n"/>
      <c r="C257" s="39" t="n"/>
      <c r="D257" s="40" t="n"/>
      <c r="E257" s="12">
        <f>IF(C257="","",IF(ISNA(MATCH(C257,Ingredients!$B$6:$B$105,0)),"Not on Ingredients",IFERROR(IF(INDEX(Ingredients!$C$6:$C$105,MATCH(C257,Ingredients!$B$6:$B$105,0))="","",INDEX(Ingredients!$C$6:$C$105,MATCH(C257,Ingredients!$B$6:$B$105,0))),"")))</f>
        <v/>
      </c>
      <c r="F257" s="26">
        <f>IF(OR(B257="",C257=""),"",N(D257)*IFERROR(N(INDEX(Ingredients!$H$6:$H$105,MATCH(C257,Ingredients!$B$6:$B$105,0))),0))</f>
        <v/>
      </c>
      <c r="G257" s="1">
        <f>IF(OR(B257="",C257=""),0,IFERROR(N(INDEX(Products!$D$6:$D$45,MATCH(B257,Products!$B$6:$B$45,0))),0))</f>
        <v/>
      </c>
      <c r="H257">
        <f>IF(N(G257)=0,0,N(D257)*SUMIFS(Batches!$D$6:$D$505,Batches!$C$6:$C$505,B257)/G257)</f>
        <v/>
      </c>
      <c r="I257">
        <f>IF(OR(B257="",C257=""),"",IF(B257&lt;&gt;Label!$H$3,"",IF(IFERROR(N(INDEX(Ingredients!$AS$6:$AS$105,MATCH(C257,Ingredients!$B$6:$B$105,0))),0)=1,"",ROUND(N(D257)*1000,0)*100000+100000-ROW())))</f>
        <v/>
      </c>
      <c r="J257">
        <f>IF(OR(B257="",C257=""),0,IFERROR(N(INDEX(Ingredients!$AC$6:$AC$105,MATCH(C257,Ingredients!$B$6:$B$105,0))),0))</f>
        <v/>
      </c>
      <c r="K257">
        <f>IF(OR(B257="",C257=""),0,IFERROR(N(INDEX(Ingredients!$AD$6:$AD$105,MATCH(C257,Ingredients!$B$6:$B$105,0))),0))</f>
        <v/>
      </c>
      <c r="L257">
        <f>IF(OR(B257="",C257=""),0,IFERROR(N(INDEX(Ingredients!$AE$6:$AE$105,MATCH(C257,Ingredients!$B$6:$B$105,0))),0))</f>
        <v/>
      </c>
      <c r="M257">
        <f>IF(OR(B257="",C257=""),0,IFERROR(N(INDEX(Ingredients!$AF$6:$AF$105,MATCH(C257,Ingredients!$B$6:$B$105,0))),0))</f>
        <v/>
      </c>
      <c r="N257">
        <f>IF(OR(B257="",C257=""),0,IFERROR(N(INDEX(Ingredients!$AG$6:$AG$105,MATCH(C257,Ingredients!$B$6:$B$105,0))),0))</f>
        <v/>
      </c>
      <c r="O257">
        <f>IF(OR(B257="",C257=""),0,IFERROR(N(INDEX(Ingredients!$AH$6:$AH$105,MATCH(C257,Ingredients!$B$6:$B$105,0))),0))</f>
        <v/>
      </c>
      <c r="P257">
        <f>IF(OR(B257="",C257=""),0,IFERROR(N(INDEX(Ingredients!$AI$6:$AI$105,MATCH(C257,Ingredients!$B$6:$B$105,0))),0))</f>
        <v/>
      </c>
      <c r="Q257">
        <f>IF(OR(B257="",C257=""),0,IFERROR(N(INDEX(Ingredients!$AJ$6:$AJ$105,MATCH(C257,Ingredients!$B$6:$B$105,0))),0))</f>
        <v/>
      </c>
      <c r="R257">
        <f>IF(OR(B257="",C257=""),0,IFERROR(N(INDEX(Ingredients!$AK$6:$AK$105,MATCH(C257,Ingredients!$B$6:$B$105,0))),0))</f>
        <v/>
      </c>
      <c r="S257">
        <f>IF(OR(B257="",C257=""),0,IFERROR(N(INDEX(Ingredients!$AL$6:$AL$105,MATCH(C257,Ingredients!$B$6:$B$105,0))),0))</f>
        <v/>
      </c>
      <c r="T257">
        <f>IF(OR(B257="",C257=""),0,IFERROR(N(INDEX(Ingredients!$AM$6:$AM$105,MATCH(C257,Ingredients!$B$6:$B$105,0))),0))</f>
        <v/>
      </c>
      <c r="U257">
        <f>IF(OR(B257="",C257=""),0,IFERROR(N(INDEX(Ingredients!$AN$6:$AN$105,MATCH(C257,Ingredients!$B$6:$B$105,0))),0))</f>
        <v/>
      </c>
      <c r="V257">
        <f>IF(OR(B257="",C257=""),0,IFERROR(N(INDEX(Ingredients!$AO$6:$AO$105,MATCH(C257,Ingredients!$B$6:$B$105,0))),0))</f>
        <v/>
      </c>
      <c r="W257">
        <f>IF(OR(B257="",C257=""),0,IFERROR(N(INDEX(Ingredients!$AP$6:$AP$105,MATCH(C257,Ingredients!$B$6:$B$105,0))),0))</f>
        <v/>
      </c>
      <c r="X257">
        <f>IF(OR(B257="",C257=""),0,IFERROR(N(INDEX(Ingredients!$AQ$6:$AQ$105,MATCH(C257,Ingredients!$B$6:$B$105,0))),0))</f>
        <v/>
      </c>
    </row>
    <row r="258">
      <c r="A258" s="1" t="n"/>
      <c r="B258" s="21" t="n"/>
      <c r="C258" s="39" t="n"/>
      <c r="D258" s="40" t="n"/>
      <c r="E258" s="12">
        <f>IF(C258="","",IF(ISNA(MATCH(C258,Ingredients!$B$6:$B$105,0)),"Not on Ingredients",IFERROR(IF(INDEX(Ingredients!$C$6:$C$105,MATCH(C258,Ingredients!$B$6:$B$105,0))="","",INDEX(Ingredients!$C$6:$C$105,MATCH(C258,Ingredients!$B$6:$B$105,0))),"")))</f>
        <v/>
      </c>
      <c r="F258" s="26">
        <f>IF(OR(B258="",C258=""),"",N(D258)*IFERROR(N(INDEX(Ingredients!$H$6:$H$105,MATCH(C258,Ingredients!$B$6:$B$105,0))),0))</f>
        <v/>
      </c>
      <c r="G258" s="1">
        <f>IF(OR(B258="",C258=""),0,IFERROR(N(INDEX(Products!$D$6:$D$45,MATCH(B258,Products!$B$6:$B$45,0))),0))</f>
        <v/>
      </c>
      <c r="H258">
        <f>IF(N(G258)=0,0,N(D258)*SUMIFS(Batches!$D$6:$D$505,Batches!$C$6:$C$505,B258)/G258)</f>
        <v/>
      </c>
      <c r="I258">
        <f>IF(OR(B258="",C258=""),"",IF(B258&lt;&gt;Label!$H$3,"",IF(IFERROR(N(INDEX(Ingredients!$AS$6:$AS$105,MATCH(C258,Ingredients!$B$6:$B$105,0))),0)=1,"",ROUND(N(D258)*1000,0)*100000+100000-ROW())))</f>
        <v/>
      </c>
      <c r="J258">
        <f>IF(OR(B258="",C258=""),0,IFERROR(N(INDEX(Ingredients!$AC$6:$AC$105,MATCH(C258,Ingredients!$B$6:$B$105,0))),0))</f>
        <v/>
      </c>
      <c r="K258">
        <f>IF(OR(B258="",C258=""),0,IFERROR(N(INDEX(Ingredients!$AD$6:$AD$105,MATCH(C258,Ingredients!$B$6:$B$105,0))),0))</f>
        <v/>
      </c>
      <c r="L258">
        <f>IF(OR(B258="",C258=""),0,IFERROR(N(INDEX(Ingredients!$AE$6:$AE$105,MATCH(C258,Ingredients!$B$6:$B$105,0))),0))</f>
        <v/>
      </c>
      <c r="M258">
        <f>IF(OR(B258="",C258=""),0,IFERROR(N(INDEX(Ingredients!$AF$6:$AF$105,MATCH(C258,Ingredients!$B$6:$B$105,0))),0))</f>
        <v/>
      </c>
      <c r="N258">
        <f>IF(OR(B258="",C258=""),0,IFERROR(N(INDEX(Ingredients!$AG$6:$AG$105,MATCH(C258,Ingredients!$B$6:$B$105,0))),0))</f>
        <v/>
      </c>
      <c r="O258">
        <f>IF(OR(B258="",C258=""),0,IFERROR(N(INDEX(Ingredients!$AH$6:$AH$105,MATCH(C258,Ingredients!$B$6:$B$105,0))),0))</f>
        <v/>
      </c>
      <c r="P258">
        <f>IF(OR(B258="",C258=""),0,IFERROR(N(INDEX(Ingredients!$AI$6:$AI$105,MATCH(C258,Ingredients!$B$6:$B$105,0))),0))</f>
        <v/>
      </c>
      <c r="Q258">
        <f>IF(OR(B258="",C258=""),0,IFERROR(N(INDEX(Ingredients!$AJ$6:$AJ$105,MATCH(C258,Ingredients!$B$6:$B$105,0))),0))</f>
        <v/>
      </c>
      <c r="R258">
        <f>IF(OR(B258="",C258=""),0,IFERROR(N(INDEX(Ingredients!$AK$6:$AK$105,MATCH(C258,Ingredients!$B$6:$B$105,0))),0))</f>
        <v/>
      </c>
      <c r="S258">
        <f>IF(OR(B258="",C258=""),0,IFERROR(N(INDEX(Ingredients!$AL$6:$AL$105,MATCH(C258,Ingredients!$B$6:$B$105,0))),0))</f>
        <v/>
      </c>
      <c r="T258">
        <f>IF(OR(B258="",C258=""),0,IFERROR(N(INDEX(Ingredients!$AM$6:$AM$105,MATCH(C258,Ingredients!$B$6:$B$105,0))),0))</f>
        <v/>
      </c>
      <c r="U258">
        <f>IF(OR(B258="",C258=""),0,IFERROR(N(INDEX(Ingredients!$AN$6:$AN$105,MATCH(C258,Ingredients!$B$6:$B$105,0))),0))</f>
        <v/>
      </c>
      <c r="V258">
        <f>IF(OR(B258="",C258=""),0,IFERROR(N(INDEX(Ingredients!$AO$6:$AO$105,MATCH(C258,Ingredients!$B$6:$B$105,0))),0))</f>
        <v/>
      </c>
      <c r="W258">
        <f>IF(OR(B258="",C258=""),0,IFERROR(N(INDEX(Ingredients!$AP$6:$AP$105,MATCH(C258,Ingredients!$B$6:$B$105,0))),0))</f>
        <v/>
      </c>
      <c r="X258">
        <f>IF(OR(B258="",C258=""),0,IFERROR(N(INDEX(Ingredients!$AQ$6:$AQ$105,MATCH(C258,Ingredients!$B$6:$B$105,0))),0))</f>
        <v/>
      </c>
    </row>
    <row r="259">
      <c r="A259" s="1" t="n"/>
      <c r="B259" s="21" t="n"/>
      <c r="C259" s="39" t="n"/>
      <c r="D259" s="40" t="n"/>
      <c r="E259" s="12">
        <f>IF(C259="","",IF(ISNA(MATCH(C259,Ingredients!$B$6:$B$105,0)),"Not on Ingredients",IFERROR(IF(INDEX(Ingredients!$C$6:$C$105,MATCH(C259,Ingredients!$B$6:$B$105,0))="","",INDEX(Ingredients!$C$6:$C$105,MATCH(C259,Ingredients!$B$6:$B$105,0))),"")))</f>
        <v/>
      </c>
      <c r="F259" s="26">
        <f>IF(OR(B259="",C259=""),"",N(D259)*IFERROR(N(INDEX(Ingredients!$H$6:$H$105,MATCH(C259,Ingredients!$B$6:$B$105,0))),0))</f>
        <v/>
      </c>
      <c r="G259" s="1">
        <f>IF(OR(B259="",C259=""),0,IFERROR(N(INDEX(Products!$D$6:$D$45,MATCH(B259,Products!$B$6:$B$45,0))),0))</f>
        <v/>
      </c>
      <c r="H259">
        <f>IF(N(G259)=0,0,N(D259)*SUMIFS(Batches!$D$6:$D$505,Batches!$C$6:$C$505,B259)/G259)</f>
        <v/>
      </c>
      <c r="I259">
        <f>IF(OR(B259="",C259=""),"",IF(B259&lt;&gt;Label!$H$3,"",IF(IFERROR(N(INDEX(Ingredients!$AS$6:$AS$105,MATCH(C259,Ingredients!$B$6:$B$105,0))),0)=1,"",ROUND(N(D259)*1000,0)*100000+100000-ROW())))</f>
        <v/>
      </c>
      <c r="J259">
        <f>IF(OR(B259="",C259=""),0,IFERROR(N(INDEX(Ingredients!$AC$6:$AC$105,MATCH(C259,Ingredients!$B$6:$B$105,0))),0))</f>
        <v/>
      </c>
      <c r="K259">
        <f>IF(OR(B259="",C259=""),0,IFERROR(N(INDEX(Ingredients!$AD$6:$AD$105,MATCH(C259,Ingredients!$B$6:$B$105,0))),0))</f>
        <v/>
      </c>
      <c r="L259">
        <f>IF(OR(B259="",C259=""),0,IFERROR(N(INDEX(Ingredients!$AE$6:$AE$105,MATCH(C259,Ingredients!$B$6:$B$105,0))),0))</f>
        <v/>
      </c>
      <c r="M259">
        <f>IF(OR(B259="",C259=""),0,IFERROR(N(INDEX(Ingredients!$AF$6:$AF$105,MATCH(C259,Ingredients!$B$6:$B$105,0))),0))</f>
        <v/>
      </c>
      <c r="N259">
        <f>IF(OR(B259="",C259=""),0,IFERROR(N(INDEX(Ingredients!$AG$6:$AG$105,MATCH(C259,Ingredients!$B$6:$B$105,0))),0))</f>
        <v/>
      </c>
      <c r="O259">
        <f>IF(OR(B259="",C259=""),0,IFERROR(N(INDEX(Ingredients!$AH$6:$AH$105,MATCH(C259,Ingredients!$B$6:$B$105,0))),0))</f>
        <v/>
      </c>
      <c r="P259">
        <f>IF(OR(B259="",C259=""),0,IFERROR(N(INDEX(Ingredients!$AI$6:$AI$105,MATCH(C259,Ingredients!$B$6:$B$105,0))),0))</f>
        <v/>
      </c>
      <c r="Q259">
        <f>IF(OR(B259="",C259=""),0,IFERROR(N(INDEX(Ingredients!$AJ$6:$AJ$105,MATCH(C259,Ingredients!$B$6:$B$105,0))),0))</f>
        <v/>
      </c>
      <c r="R259">
        <f>IF(OR(B259="",C259=""),0,IFERROR(N(INDEX(Ingredients!$AK$6:$AK$105,MATCH(C259,Ingredients!$B$6:$B$105,0))),0))</f>
        <v/>
      </c>
      <c r="S259">
        <f>IF(OR(B259="",C259=""),0,IFERROR(N(INDEX(Ingredients!$AL$6:$AL$105,MATCH(C259,Ingredients!$B$6:$B$105,0))),0))</f>
        <v/>
      </c>
      <c r="T259">
        <f>IF(OR(B259="",C259=""),0,IFERROR(N(INDEX(Ingredients!$AM$6:$AM$105,MATCH(C259,Ingredients!$B$6:$B$105,0))),0))</f>
        <v/>
      </c>
      <c r="U259">
        <f>IF(OR(B259="",C259=""),0,IFERROR(N(INDEX(Ingredients!$AN$6:$AN$105,MATCH(C259,Ingredients!$B$6:$B$105,0))),0))</f>
        <v/>
      </c>
      <c r="V259">
        <f>IF(OR(B259="",C259=""),0,IFERROR(N(INDEX(Ingredients!$AO$6:$AO$105,MATCH(C259,Ingredients!$B$6:$B$105,0))),0))</f>
        <v/>
      </c>
      <c r="W259">
        <f>IF(OR(B259="",C259=""),0,IFERROR(N(INDEX(Ingredients!$AP$6:$AP$105,MATCH(C259,Ingredients!$B$6:$B$105,0))),0))</f>
        <v/>
      </c>
      <c r="X259">
        <f>IF(OR(B259="",C259=""),0,IFERROR(N(INDEX(Ingredients!$AQ$6:$AQ$105,MATCH(C259,Ingredients!$B$6:$B$105,0))),0))</f>
        <v/>
      </c>
    </row>
    <row r="260">
      <c r="A260" s="1" t="n"/>
      <c r="B260" s="21" t="n"/>
      <c r="C260" s="39" t="n"/>
      <c r="D260" s="40" t="n"/>
      <c r="E260" s="12">
        <f>IF(C260="","",IF(ISNA(MATCH(C260,Ingredients!$B$6:$B$105,0)),"Not on Ingredients",IFERROR(IF(INDEX(Ingredients!$C$6:$C$105,MATCH(C260,Ingredients!$B$6:$B$105,0))="","",INDEX(Ingredients!$C$6:$C$105,MATCH(C260,Ingredients!$B$6:$B$105,0))),"")))</f>
        <v/>
      </c>
      <c r="F260" s="26">
        <f>IF(OR(B260="",C260=""),"",N(D260)*IFERROR(N(INDEX(Ingredients!$H$6:$H$105,MATCH(C260,Ingredients!$B$6:$B$105,0))),0))</f>
        <v/>
      </c>
      <c r="G260" s="1">
        <f>IF(OR(B260="",C260=""),0,IFERROR(N(INDEX(Products!$D$6:$D$45,MATCH(B260,Products!$B$6:$B$45,0))),0))</f>
        <v/>
      </c>
      <c r="H260">
        <f>IF(N(G260)=0,0,N(D260)*SUMIFS(Batches!$D$6:$D$505,Batches!$C$6:$C$505,B260)/G260)</f>
        <v/>
      </c>
      <c r="I260">
        <f>IF(OR(B260="",C260=""),"",IF(B260&lt;&gt;Label!$H$3,"",IF(IFERROR(N(INDEX(Ingredients!$AS$6:$AS$105,MATCH(C260,Ingredients!$B$6:$B$105,0))),0)=1,"",ROUND(N(D260)*1000,0)*100000+100000-ROW())))</f>
        <v/>
      </c>
      <c r="J260">
        <f>IF(OR(B260="",C260=""),0,IFERROR(N(INDEX(Ingredients!$AC$6:$AC$105,MATCH(C260,Ingredients!$B$6:$B$105,0))),0))</f>
        <v/>
      </c>
      <c r="K260">
        <f>IF(OR(B260="",C260=""),0,IFERROR(N(INDEX(Ingredients!$AD$6:$AD$105,MATCH(C260,Ingredients!$B$6:$B$105,0))),0))</f>
        <v/>
      </c>
      <c r="L260">
        <f>IF(OR(B260="",C260=""),0,IFERROR(N(INDEX(Ingredients!$AE$6:$AE$105,MATCH(C260,Ingredients!$B$6:$B$105,0))),0))</f>
        <v/>
      </c>
      <c r="M260">
        <f>IF(OR(B260="",C260=""),0,IFERROR(N(INDEX(Ingredients!$AF$6:$AF$105,MATCH(C260,Ingredients!$B$6:$B$105,0))),0))</f>
        <v/>
      </c>
      <c r="N260">
        <f>IF(OR(B260="",C260=""),0,IFERROR(N(INDEX(Ingredients!$AG$6:$AG$105,MATCH(C260,Ingredients!$B$6:$B$105,0))),0))</f>
        <v/>
      </c>
      <c r="O260">
        <f>IF(OR(B260="",C260=""),0,IFERROR(N(INDEX(Ingredients!$AH$6:$AH$105,MATCH(C260,Ingredients!$B$6:$B$105,0))),0))</f>
        <v/>
      </c>
      <c r="P260">
        <f>IF(OR(B260="",C260=""),0,IFERROR(N(INDEX(Ingredients!$AI$6:$AI$105,MATCH(C260,Ingredients!$B$6:$B$105,0))),0))</f>
        <v/>
      </c>
      <c r="Q260">
        <f>IF(OR(B260="",C260=""),0,IFERROR(N(INDEX(Ingredients!$AJ$6:$AJ$105,MATCH(C260,Ingredients!$B$6:$B$105,0))),0))</f>
        <v/>
      </c>
      <c r="R260">
        <f>IF(OR(B260="",C260=""),0,IFERROR(N(INDEX(Ingredients!$AK$6:$AK$105,MATCH(C260,Ingredients!$B$6:$B$105,0))),0))</f>
        <v/>
      </c>
      <c r="S260">
        <f>IF(OR(B260="",C260=""),0,IFERROR(N(INDEX(Ingredients!$AL$6:$AL$105,MATCH(C260,Ingredients!$B$6:$B$105,0))),0))</f>
        <v/>
      </c>
      <c r="T260">
        <f>IF(OR(B260="",C260=""),0,IFERROR(N(INDEX(Ingredients!$AM$6:$AM$105,MATCH(C260,Ingredients!$B$6:$B$105,0))),0))</f>
        <v/>
      </c>
      <c r="U260">
        <f>IF(OR(B260="",C260=""),0,IFERROR(N(INDEX(Ingredients!$AN$6:$AN$105,MATCH(C260,Ingredients!$B$6:$B$105,0))),0))</f>
        <v/>
      </c>
      <c r="V260">
        <f>IF(OR(B260="",C260=""),0,IFERROR(N(INDEX(Ingredients!$AO$6:$AO$105,MATCH(C260,Ingredients!$B$6:$B$105,0))),0))</f>
        <v/>
      </c>
      <c r="W260">
        <f>IF(OR(B260="",C260=""),0,IFERROR(N(INDEX(Ingredients!$AP$6:$AP$105,MATCH(C260,Ingredients!$B$6:$B$105,0))),0))</f>
        <v/>
      </c>
      <c r="X260">
        <f>IF(OR(B260="",C260=""),0,IFERROR(N(INDEX(Ingredients!$AQ$6:$AQ$105,MATCH(C260,Ingredients!$B$6:$B$105,0))),0))</f>
        <v/>
      </c>
    </row>
    <row r="261">
      <c r="A261" s="1" t="n"/>
      <c r="B261" s="21" t="n"/>
      <c r="C261" s="39" t="n"/>
      <c r="D261" s="40" t="n"/>
      <c r="E261" s="12">
        <f>IF(C261="","",IF(ISNA(MATCH(C261,Ingredients!$B$6:$B$105,0)),"Not on Ingredients",IFERROR(IF(INDEX(Ingredients!$C$6:$C$105,MATCH(C261,Ingredients!$B$6:$B$105,0))="","",INDEX(Ingredients!$C$6:$C$105,MATCH(C261,Ingredients!$B$6:$B$105,0))),"")))</f>
        <v/>
      </c>
      <c r="F261" s="26">
        <f>IF(OR(B261="",C261=""),"",N(D261)*IFERROR(N(INDEX(Ingredients!$H$6:$H$105,MATCH(C261,Ingredients!$B$6:$B$105,0))),0))</f>
        <v/>
      </c>
      <c r="G261" s="1">
        <f>IF(OR(B261="",C261=""),0,IFERROR(N(INDEX(Products!$D$6:$D$45,MATCH(B261,Products!$B$6:$B$45,0))),0))</f>
        <v/>
      </c>
      <c r="H261">
        <f>IF(N(G261)=0,0,N(D261)*SUMIFS(Batches!$D$6:$D$505,Batches!$C$6:$C$505,B261)/G261)</f>
        <v/>
      </c>
      <c r="I261">
        <f>IF(OR(B261="",C261=""),"",IF(B261&lt;&gt;Label!$H$3,"",IF(IFERROR(N(INDEX(Ingredients!$AS$6:$AS$105,MATCH(C261,Ingredients!$B$6:$B$105,0))),0)=1,"",ROUND(N(D261)*1000,0)*100000+100000-ROW())))</f>
        <v/>
      </c>
      <c r="J261">
        <f>IF(OR(B261="",C261=""),0,IFERROR(N(INDEX(Ingredients!$AC$6:$AC$105,MATCH(C261,Ingredients!$B$6:$B$105,0))),0))</f>
        <v/>
      </c>
      <c r="K261">
        <f>IF(OR(B261="",C261=""),0,IFERROR(N(INDEX(Ingredients!$AD$6:$AD$105,MATCH(C261,Ingredients!$B$6:$B$105,0))),0))</f>
        <v/>
      </c>
      <c r="L261">
        <f>IF(OR(B261="",C261=""),0,IFERROR(N(INDEX(Ingredients!$AE$6:$AE$105,MATCH(C261,Ingredients!$B$6:$B$105,0))),0))</f>
        <v/>
      </c>
      <c r="M261">
        <f>IF(OR(B261="",C261=""),0,IFERROR(N(INDEX(Ingredients!$AF$6:$AF$105,MATCH(C261,Ingredients!$B$6:$B$105,0))),0))</f>
        <v/>
      </c>
      <c r="N261">
        <f>IF(OR(B261="",C261=""),0,IFERROR(N(INDEX(Ingredients!$AG$6:$AG$105,MATCH(C261,Ingredients!$B$6:$B$105,0))),0))</f>
        <v/>
      </c>
      <c r="O261">
        <f>IF(OR(B261="",C261=""),0,IFERROR(N(INDEX(Ingredients!$AH$6:$AH$105,MATCH(C261,Ingredients!$B$6:$B$105,0))),0))</f>
        <v/>
      </c>
      <c r="P261">
        <f>IF(OR(B261="",C261=""),0,IFERROR(N(INDEX(Ingredients!$AI$6:$AI$105,MATCH(C261,Ingredients!$B$6:$B$105,0))),0))</f>
        <v/>
      </c>
      <c r="Q261">
        <f>IF(OR(B261="",C261=""),0,IFERROR(N(INDEX(Ingredients!$AJ$6:$AJ$105,MATCH(C261,Ingredients!$B$6:$B$105,0))),0))</f>
        <v/>
      </c>
      <c r="R261">
        <f>IF(OR(B261="",C261=""),0,IFERROR(N(INDEX(Ingredients!$AK$6:$AK$105,MATCH(C261,Ingredients!$B$6:$B$105,0))),0))</f>
        <v/>
      </c>
      <c r="S261">
        <f>IF(OR(B261="",C261=""),0,IFERROR(N(INDEX(Ingredients!$AL$6:$AL$105,MATCH(C261,Ingredients!$B$6:$B$105,0))),0))</f>
        <v/>
      </c>
      <c r="T261">
        <f>IF(OR(B261="",C261=""),0,IFERROR(N(INDEX(Ingredients!$AM$6:$AM$105,MATCH(C261,Ingredients!$B$6:$B$105,0))),0))</f>
        <v/>
      </c>
      <c r="U261">
        <f>IF(OR(B261="",C261=""),0,IFERROR(N(INDEX(Ingredients!$AN$6:$AN$105,MATCH(C261,Ingredients!$B$6:$B$105,0))),0))</f>
        <v/>
      </c>
      <c r="V261">
        <f>IF(OR(B261="",C261=""),0,IFERROR(N(INDEX(Ingredients!$AO$6:$AO$105,MATCH(C261,Ingredients!$B$6:$B$105,0))),0))</f>
        <v/>
      </c>
      <c r="W261">
        <f>IF(OR(B261="",C261=""),0,IFERROR(N(INDEX(Ingredients!$AP$6:$AP$105,MATCH(C261,Ingredients!$B$6:$B$105,0))),0))</f>
        <v/>
      </c>
      <c r="X261">
        <f>IF(OR(B261="",C261=""),0,IFERROR(N(INDEX(Ingredients!$AQ$6:$AQ$105,MATCH(C261,Ingredients!$B$6:$B$105,0))),0))</f>
        <v/>
      </c>
    </row>
    <row r="262">
      <c r="A262" s="1" t="n"/>
      <c r="B262" s="21" t="n"/>
      <c r="C262" s="39" t="n"/>
      <c r="D262" s="40" t="n"/>
      <c r="E262" s="12">
        <f>IF(C262="","",IF(ISNA(MATCH(C262,Ingredients!$B$6:$B$105,0)),"Not on Ingredients",IFERROR(IF(INDEX(Ingredients!$C$6:$C$105,MATCH(C262,Ingredients!$B$6:$B$105,0))="","",INDEX(Ingredients!$C$6:$C$105,MATCH(C262,Ingredients!$B$6:$B$105,0))),"")))</f>
        <v/>
      </c>
      <c r="F262" s="26">
        <f>IF(OR(B262="",C262=""),"",N(D262)*IFERROR(N(INDEX(Ingredients!$H$6:$H$105,MATCH(C262,Ingredients!$B$6:$B$105,0))),0))</f>
        <v/>
      </c>
      <c r="G262" s="1">
        <f>IF(OR(B262="",C262=""),0,IFERROR(N(INDEX(Products!$D$6:$D$45,MATCH(B262,Products!$B$6:$B$45,0))),0))</f>
        <v/>
      </c>
      <c r="H262">
        <f>IF(N(G262)=0,0,N(D262)*SUMIFS(Batches!$D$6:$D$505,Batches!$C$6:$C$505,B262)/G262)</f>
        <v/>
      </c>
      <c r="I262">
        <f>IF(OR(B262="",C262=""),"",IF(B262&lt;&gt;Label!$H$3,"",IF(IFERROR(N(INDEX(Ingredients!$AS$6:$AS$105,MATCH(C262,Ingredients!$B$6:$B$105,0))),0)=1,"",ROUND(N(D262)*1000,0)*100000+100000-ROW())))</f>
        <v/>
      </c>
      <c r="J262">
        <f>IF(OR(B262="",C262=""),0,IFERROR(N(INDEX(Ingredients!$AC$6:$AC$105,MATCH(C262,Ingredients!$B$6:$B$105,0))),0))</f>
        <v/>
      </c>
      <c r="K262">
        <f>IF(OR(B262="",C262=""),0,IFERROR(N(INDEX(Ingredients!$AD$6:$AD$105,MATCH(C262,Ingredients!$B$6:$B$105,0))),0))</f>
        <v/>
      </c>
      <c r="L262">
        <f>IF(OR(B262="",C262=""),0,IFERROR(N(INDEX(Ingredients!$AE$6:$AE$105,MATCH(C262,Ingredients!$B$6:$B$105,0))),0))</f>
        <v/>
      </c>
      <c r="M262">
        <f>IF(OR(B262="",C262=""),0,IFERROR(N(INDEX(Ingredients!$AF$6:$AF$105,MATCH(C262,Ingredients!$B$6:$B$105,0))),0))</f>
        <v/>
      </c>
      <c r="N262">
        <f>IF(OR(B262="",C262=""),0,IFERROR(N(INDEX(Ingredients!$AG$6:$AG$105,MATCH(C262,Ingredients!$B$6:$B$105,0))),0))</f>
        <v/>
      </c>
      <c r="O262">
        <f>IF(OR(B262="",C262=""),0,IFERROR(N(INDEX(Ingredients!$AH$6:$AH$105,MATCH(C262,Ingredients!$B$6:$B$105,0))),0))</f>
        <v/>
      </c>
      <c r="P262">
        <f>IF(OR(B262="",C262=""),0,IFERROR(N(INDEX(Ingredients!$AI$6:$AI$105,MATCH(C262,Ingredients!$B$6:$B$105,0))),0))</f>
        <v/>
      </c>
      <c r="Q262">
        <f>IF(OR(B262="",C262=""),0,IFERROR(N(INDEX(Ingredients!$AJ$6:$AJ$105,MATCH(C262,Ingredients!$B$6:$B$105,0))),0))</f>
        <v/>
      </c>
      <c r="R262">
        <f>IF(OR(B262="",C262=""),0,IFERROR(N(INDEX(Ingredients!$AK$6:$AK$105,MATCH(C262,Ingredients!$B$6:$B$105,0))),0))</f>
        <v/>
      </c>
      <c r="S262">
        <f>IF(OR(B262="",C262=""),0,IFERROR(N(INDEX(Ingredients!$AL$6:$AL$105,MATCH(C262,Ingredients!$B$6:$B$105,0))),0))</f>
        <v/>
      </c>
      <c r="T262">
        <f>IF(OR(B262="",C262=""),0,IFERROR(N(INDEX(Ingredients!$AM$6:$AM$105,MATCH(C262,Ingredients!$B$6:$B$105,0))),0))</f>
        <v/>
      </c>
      <c r="U262">
        <f>IF(OR(B262="",C262=""),0,IFERROR(N(INDEX(Ingredients!$AN$6:$AN$105,MATCH(C262,Ingredients!$B$6:$B$105,0))),0))</f>
        <v/>
      </c>
      <c r="V262">
        <f>IF(OR(B262="",C262=""),0,IFERROR(N(INDEX(Ingredients!$AO$6:$AO$105,MATCH(C262,Ingredients!$B$6:$B$105,0))),0))</f>
        <v/>
      </c>
      <c r="W262">
        <f>IF(OR(B262="",C262=""),0,IFERROR(N(INDEX(Ingredients!$AP$6:$AP$105,MATCH(C262,Ingredients!$B$6:$B$105,0))),0))</f>
        <v/>
      </c>
      <c r="X262">
        <f>IF(OR(B262="",C262=""),0,IFERROR(N(INDEX(Ingredients!$AQ$6:$AQ$105,MATCH(C262,Ingredients!$B$6:$B$105,0))),0))</f>
        <v/>
      </c>
    </row>
    <row r="263">
      <c r="A263" s="1" t="n"/>
      <c r="B263" s="21" t="n"/>
      <c r="C263" s="39" t="n"/>
      <c r="D263" s="40" t="n"/>
      <c r="E263" s="12">
        <f>IF(C263="","",IF(ISNA(MATCH(C263,Ingredients!$B$6:$B$105,0)),"Not on Ingredients",IFERROR(IF(INDEX(Ingredients!$C$6:$C$105,MATCH(C263,Ingredients!$B$6:$B$105,0))="","",INDEX(Ingredients!$C$6:$C$105,MATCH(C263,Ingredients!$B$6:$B$105,0))),"")))</f>
        <v/>
      </c>
      <c r="F263" s="26">
        <f>IF(OR(B263="",C263=""),"",N(D263)*IFERROR(N(INDEX(Ingredients!$H$6:$H$105,MATCH(C263,Ingredients!$B$6:$B$105,0))),0))</f>
        <v/>
      </c>
      <c r="G263" s="1">
        <f>IF(OR(B263="",C263=""),0,IFERROR(N(INDEX(Products!$D$6:$D$45,MATCH(B263,Products!$B$6:$B$45,0))),0))</f>
        <v/>
      </c>
      <c r="H263">
        <f>IF(N(G263)=0,0,N(D263)*SUMIFS(Batches!$D$6:$D$505,Batches!$C$6:$C$505,B263)/G263)</f>
        <v/>
      </c>
      <c r="I263">
        <f>IF(OR(B263="",C263=""),"",IF(B263&lt;&gt;Label!$H$3,"",IF(IFERROR(N(INDEX(Ingredients!$AS$6:$AS$105,MATCH(C263,Ingredients!$B$6:$B$105,0))),0)=1,"",ROUND(N(D263)*1000,0)*100000+100000-ROW())))</f>
        <v/>
      </c>
      <c r="J263">
        <f>IF(OR(B263="",C263=""),0,IFERROR(N(INDEX(Ingredients!$AC$6:$AC$105,MATCH(C263,Ingredients!$B$6:$B$105,0))),0))</f>
        <v/>
      </c>
      <c r="K263">
        <f>IF(OR(B263="",C263=""),0,IFERROR(N(INDEX(Ingredients!$AD$6:$AD$105,MATCH(C263,Ingredients!$B$6:$B$105,0))),0))</f>
        <v/>
      </c>
      <c r="L263">
        <f>IF(OR(B263="",C263=""),0,IFERROR(N(INDEX(Ingredients!$AE$6:$AE$105,MATCH(C263,Ingredients!$B$6:$B$105,0))),0))</f>
        <v/>
      </c>
      <c r="M263">
        <f>IF(OR(B263="",C263=""),0,IFERROR(N(INDEX(Ingredients!$AF$6:$AF$105,MATCH(C263,Ingredients!$B$6:$B$105,0))),0))</f>
        <v/>
      </c>
      <c r="N263">
        <f>IF(OR(B263="",C263=""),0,IFERROR(N(INDEX(Ingredients!$AG$6:$AG$105,MATCH(C263,Ingredients!$B$6:$B$105,0))),0))</f>
        <v/>
      </c>
      <c r="O263">
        <f>IF(OR(B263="",C263=""),0,IFERROR(N(INDEX(Ingredients!$AH$6:$AH$105,MATCH(C263,Ingredients!$B$6:$B$105,0))),0))</f>
        <v/>
      </c>
      <c r="P263">
        <f>IF(OR(B263="",C263=""),0,IFERROR(N(INDEX(Ingredients!$AI$6:$AI$105,MATCH(C263,Ingredients!$B$6:$B$105,0))),0))</f>
        <v/>
      </c>
      <c r="Q263">
        <f>IF(OR(B263="",C263=""),0,IFERROR(N(INDEX(Ingredients!$AJ$6:$AJ$105,MATCH(C263,Ingredients!$B$6:$B$105,0))),0))</f>
        <v/>
      </c>
      <c r="R263">
        <f>IF(OR(B263="",C263=""),0,IFERROR(N(INDEX(Ingredients!$AK$6:$AK$105,MATCH(C263,Ingredients!$B$6:$B$105,0))),0))</f>
        <v/>
      </c>
      <c r="S263">
        <f>IF(OR(B263="",C263=""),0,IFERROR(N(INDEX(Ingredients!$AL$6:$AL$105,MATCH(C263,Ingredients!$B$6:$B$105,0))),0))</f>
        <v/>
      </c>
      <c r="T263">
        <f>IF(OR(B263="",C263=""),0,IFERROR(N(INDEX(Ingredients!$AM$6:$AM$105,MATCH(C263,Ingredients!$B$6:$B$105,0))),0))</f>
        <v/>
      </c>
      <c r="U263">
        <f>IF(OR(B263="",C263=""),0,IFERROR(N(INDEX(Ingredients!$AN$6:$AN$105,MATCH(C263,Ingredients!$B$6:$B$105,0))),0))</f>
        <v/>
      </c>
      <c r="V263">
        <f>IF(OR(B263="",C263=""),0,IFERROR(N(INDEX(Ingredients!$AO$6:$AO$105,MATCH(C263,Ingredients!$B$6:$B$105,0))),0))</f>
        <v/>
      </c>
      <c r="W263">
        <f>IF(OR(B263="",C263=""),0,IFERROR(N(INDEX(Ingredients!$AP$6:$AP$105,MATCH(C263,Ingredients!$B$6:$B$105,0))),0))</f>
        <v/>
      </c>
      <c r="X263">
        <f>IF(OR(B263="",C263=""),0,IFERROR(N(INDEX(Ingredients!$AQ$6:$AQ$105,MATCH(C263,Ingredients!$B$6:$B$105,0))),0))</f>
        <v/>
      </c>
    </row>
    <row r="264">
      <c r="A264" s="1" t="n"/>
      <c r="B264" s="21" t="n"/>
      <c r="C264" s="39" t="n"/>
      <c r="D264" s="40" t="n"/>
      <c r="E264" s="12">
        <f>IF(C264="","",IF(ISNA(MATCH(C264,Ingredients!$B$6:$B$105,0)),"Not on Ingredients",IFERROR(IF(INDEX(Ingredients!$C$6:$C$105,MATCH(C264,Ingredients!$B$6:$B$105,0))="","",INDEX(Ingredients!$C$6:$C$105,MATCH(C264,Ingredients!$B$6:$B$105,0))),"")))</f>
        <v/>
      </c>
      <c r="F264" s="26">
        <f>IF(OR(B264="",C264=""),"",N(D264)*IFERROR(N(INDEX(Ingredients!$H$6:$H$105,MATCH(C264,Ingredients!$B$6:$B$105,0))),0))</f>
        <v/>
      </c>
      <c r="G264" s="1">
        <f>IF(OR(B264="",C264=""),0,IFERROR(N(INDEX(Products!$D$6:$D$45,MATCH(B264,Products!$B$6:$B$45,0))),0))</f>
        <v/>
      </c>
      <c r="H264">
        <f>IF(N(G264)=0,0,N(D264)*SUMIFS(Batches!$D$6:$D$505,Batches!$C$6:$C$505,B264)/G264)</f>
        <v/>
      </c>
      <c r="I264">
        <f>IF(OR(B264="",C264=""),"",IF(B264&lt;&gt;Label!$H$3,"",IF(IFERROR(N(INDEX(Ingredients!$AS$6:$AS$105,MATCH(C264,Ingredients!$B$6:$B$105,0))),0)=1,"",ROUND(N(D264)*1000,0)*100000+100000-ROW())))</f>
        <v/>
      </c>
      <c r="J264">
        <f>IF(OR(B264="",C264=""),0,IFERROR(N(INDEX(Ingredients!$AC$6:$AC$105,MATCH(C264,Ingredients!$B$6:$B$105,0))),0))</f>
        <v/>
      </c>
      <c r="K264">
        <f>IF(OR(B264="",C264=""),0,IFERROR(N(INDEX(Ingredients!$AD$6:$AD$105,MATCH(C264,Ingredients!$B$6:$B$105,0))),0))</f>
        <v/>
      </c>
      <c r="L264">
        <f>IF(OR(B264="",C264=""),0,IFERROR(N(INDEX(Ingredients!$AE$6:$AE$105,MATCH(C264,Ingredients!$B$6:$B$105,0))),0))</f>
        <v/>
      </c>
      <c r="M264">
        <f>IF(OR(B264="",C264=""),0,IFERROR(N(INDEX(Ingredients!$AF$6:$AF$105,MATCH(C264,Ingredients!$B$6:$B$105,0))),0))</f>
        <v/>
      </c>
      <c r="N264">
        <f>IF(OR(B264="",C264=""),0,IFERROR(N(INDEX(Ingredients!$AG$6:$AG$105,MATCH(C264,Ingredients!$B$6:$B$105,0))),0))</f>
        <v/>
      </c>
      <c r="O264">
        <f>IF(OR(B264="",C264=""),0,IFERROR(N(INDEX(Ingredients!$AH$6:$AH$105,MATCH(C264,Ingredients!$B$6:$B$105,0))),0))</f>
        <v/>
      </c>
      <c r="P264">
        <f>IF(OR(B264="",C264=""),0,IFERROR(N(INDEX(Ingredients!$AI$6:$AI$105,MATCH(C264,Ingredients!$B$6:$B$105,0))),0))</f>
        <v/>
      </c>
      <c r="Q264">
        <f>IF(OR(B264="",C264=""),0,IFERROR(N(INDEX(Ingredients!$AJ$6:$AJ$105,MATCH(C264,Ingredients!$B$6:$B$105,0))),0))</f>
        <v/>
      </c>
      <c r="R264">
        <f>IF(OR(B264="",C264=""),0,IFERROR(N(INDEX(Ingredients!$AK$6:$AK$105,MATCH(C264,Ingredients!$B$6:$B$105,0))),0))</f>
        <v/>
      </c>
      <c r="S264">
        <f>IF(OR(B264="",C264=""),0,IFERROR(N(INDEX(Ingredients!$AL$6:$AL$105,MATCH(C264,Ingredients!$B$6:$B$105,0))),0))</f>
        <v/>
      </c>
      <c r="T264">
        <f>IF(OR(B264="",C264=""),0,IFERROR(N(INDEX(Ingredients!$AM$6:$AM$105,MATCH(C264,Ingredients!$B$6:$B$105,0))),0))</f>
        <v/>
      </c>
      <c r="U264">
        <f>IF(OR(B264="",C264=""),0,IFERROR(N(INDEX(Ingredients!$AN$6:$AN$105,MATCH(C264,Ingredients!$B$6:$B$105,0))),0))</f>
        <v/>
      </c>
      <c r="V264">
        <f>IF(OR(B264="",C264=""),0,IFERROR(N(INDEX(Ingredients!$AO$6:$AO$105,MATCH(C264,Ingredients!$B$6:$B$105,0))),0))</f>
        <v/>
      </c>
      <c r="W264">
        <f>IF(OR(B264="",C264=""),0,IFERROR(N(INDEX(Ingredients!$AP$6:$AP$105,MATCH(C264,Ingredients!$B$6:$B$105,0))),0))</f>
        <v/>
      </c>
      <c r="X264">
        <f>IF(OR(B264="",C264=""),0,IFERROR(N(INDEX(Ingredients!$AQ$6:$AQ$105,MATCH(C264,Ingredients!$B$6:$B$105,0))),0))</f>
        <v/>
      </c>
    </row>
    <row r="265">
      <c r="A265" s="1" t="n"/>
      <c r="B265" s="21" t="n"/>
      <c r="C265" s="39" t="n"/>
      <c r="D265" s="40" t="n"/>
      <c r="E265" s="12">
        <f>IF(C265="","",IF(ISNA(MATCH(C265,Ingredients!$B$6:$B$105,0)),"Not on Ingredients",IFERROR(IF(INDEX(Ingredients!$C$6:$C$105,MATCH(C265,Ingredients!$B$6:$B$105,0))="","",INDEX(Ingredients!$C$6:$C$105,MATCH(C265,Ingredients!$B$6:$B$105,0))),"")))</f>
        <v/>
      </c>
      <c r="F265" s="26">
        <f>IF(OR(B265="",C265=""),"",N(D265)*IFERROR(N(INDEX(Ingredients!$H$6:$H$105,MATCH(C265,Ingredients!$B$6:$B$105,0))),0))</f>
        <v/>
      </c>
      <c r="G265" s="1">
        <f>IF(OR(B265="",C265=""),0,IFERROR(N(INDEX(Products!$D$6:$D$45,MATCH(B265,Products!$B$6:$B$45,0))),0))</f>
        <v/>
      </c>
      <c r="H265">
        <f>IF(N(G265)=0,0,N(D265)*SUMIFS(Batches!$D$6:$D$505,Batches!$C$6:$C$505,B265)/G265)</f>
        <v/>
      </c>
      <c r="I265">
        <f>IF(OR(B265="",C265=""),"",IF(B265&lt;&gt;Label!$H$3,"",IF(IFERROR(N(INDEX(Ingredients!$AS$6:$AS$105,MATCH(C265,Ingredients!$B$6:$B$105,0))),0)=1,"",ROUND(N(D265)*1000,0)*100000+100000-ROW())))</f>
        <v/>
      </c>
      <c r="J265">
        <f>IF(OR(B265="",C265=""),0,IFERROR(N(INDEX(Ingredients!$AC$6:$AC$105,MATCH(C265,Ingredients!$B$6:$B$105,0))),0))</f>
        <v/>
      </c>
      <c r="K265">
        <f>IF(OR(B265="",C265=""),0,IFERROR(N(INDEX(Ingredients!$AD$6:$AD$105,MATCH(C265,Ingredients!$B$6:$B$105,0))),0))</f>
        <v/>
      </c>
      <c r="L265">
        <f>IF(OR(B265="",C265=""),0,IFERROR(N(INDEX(Ingredients!$AE$6:$AE$105,MATCH(C265,Ingredients!$B$6:$B$105,0))),0))</f>
        <v/>
      </c>
      <c r="M265">
        <f>IF(OR(B265="",C265=""),0,IFERROR(N(INDEX(Ingredients!$AF$6:$AF$105,MATCH(C265,Ingredients!$B$6:$B$105,0))),0))</f>
        <v/>
      </c>
      <c r="N265">
        <f>IF(OR(B265="",C265=""),0,IFERROR(N(INDEX(Ingredients!$AG$6:$AG$105,MATCH(C265,Ingredients!$B$6:$B$105,0))),0))</f>
        <v/>
      </c>
      <c r="O265">
        <f>IF(OR(B265="",C265=""),0,IFERROR(N(INDEX(Ingredients!$AH$6:$AH$105,MATCH(C265,Ingredients!$B$6:$B$105,0))),0))</f>
        <v/>
      </c>
      <c r="P265">
        <f>IF(OR(B265="",C265=""),0,IFERROR(N(INDEX(Ingredients!$AI$6:$AI$105,MATCH(C265,Ingredients!$B$6:$B$105,0))),0))</f>
        <v/>
      </c>
      <c r="Q265">
        <f>IF(OR(B265="",C265=""),0,IFERROR(N(INDEX(Ingredients!$AJ$6:$AJ$105,MATCH(C265,Ingredients!$B$6:$B$105,0))),0))</f>
        <v/>
      </c>
      <c r="R265">
        <f>IF(OR(B265="",C265=""),0,IFERROR(N(INDEX(Ingredients!$AK$6:$AK$105,MATCH(C265,Ingredients!$B$6:$B$105,0))),0))</f>
        <v/>
      </c>
      <c r="S265">
        <f>IF(OR(B265="",C265=""),0,IFERROR(N(INDEX(Ingredients!$AL$6:$AL$105,MATCH(C265,Ingredients!$B$6:$B$105,0))),0))</f>
        <v/>
      </c>
      <c r="T265">
        <f>IF(OR(B265="",C265=""),0,IFERROR(N(INDEX(Ingredients!$AM$6:$AM$105,MATCH(C265,Ingredients!$B$6:$B$105,0))),0))</f>
        <v/>
      </c>
      <c r="U265">
        <f>IF(OR(B265="",C265=""),0,IFERROR(N(INDEX(Ingredients!$AN$6:$AN$105,MATCH(C265,Ingredients!$B$6:$B$105,0))),0))</f>
        <v/>
      </c>
      <c r="V265">
        <f>IF(OR(B265="",C265=""),0,IFERROR(N(INDEX(Ingredients!$AO$6:$AO$105,MATCH(C265,Ingredients!$B$6:$B$105,0))),0))</f>
        <v/>
      </c>
      <c r="W265">
        <f>IF(OR(B265="",C265=""),0,IFERROR(N(INDEX(Ingredients!$AP$6:$AP$105,MATCH(C265,Ingredients!$B$6:$B$105,0))),0))</f>
        <v/>
      </c>
      <c r="X265">
        <f>IF(OR(B265="",C265=""),0,IFERROR(N(INDEX(Ingredients!$AQ$6:$AQ$105,MATCH(C265,Ingredients!$B$6:$B$105,0))),0))</f>
        <v/>
      </c>
    </row>
    <row r="266">
      <c r="A266" s="1" t="n"/>
      <c r="B266" s="21" t="n"/>
      <c r="C266" s="39" t="n"/>
      <c r="D266" s="40" t="n"/>
      <c r="E266" s="12">
        <f>IF(C266="","",IF(ISNA(MATCH(C266,Ingredients!$B$6:$B$105,0)),"Not on Ingredients",IFERROR(IF(INDEX(Ingredients!$C$6:$C$105,MATCH(C266,Ingredients!$B$6:$B$105,0))="","",INDEX(Ingredients!$C$6:$C$105,MATCH(C266,Ingredients!$B$6:$B$105,0))),"")))</f>
        <v/>
      </c>
      <c r="F266" s="26">
        <f>IF(OR(B266="",C266=""),"",N(D266)*IFERROR(N(INDEX(Ingredients!$H$6:$H$105,MATCH(C266,Ingredients!$B$6:$B$105,0))),0))</f>
        <v/>
      </c>
      <c r="G266" s="1">
        <f>IF(OR(B266="",C266=""),0,IFERROR(N(INDEX(Products!$D$6:$D$45,MATCH(B266,Products!$B$6:$B$45,0))),0))</f>
        <v/>
      </c>
      <c r="H266">
        <f>IF(N(G266)=0,0,N(D266)*SUMIFS(Batches!$D$6:$D$505,Batches!$C$6:$C$505,B266)/G266)</f>
        <v/>
      </c>
      <c r="I266">
        <f>IF(OR(B266="",C266=""),"",IF(B266&lt;&gt;Label!$H$3,"",IF(IFERROR(N(INDEX(Ingredients!$AS$6:$AS$105,MATCH(C266,Ingredients!$B$6:$B$105,0))),0)=1,"",ROUND(N(D266)*1000,0)*100000+100000-ROW())))</f>
        <v/>
      </c>
      <c r="J266">
        <f>IF(OR(B266="",C266=""),0,IFERROR(N(INDEX(Ingredients!$AC$6:$AC$105,MATCH(C266,Ingredients!$B$6:$B$105,0))),0))</f>
        <v/>
      </c>
      <c r="K266">
        <f>IF(OR(B266="",C266=""),0,IFERROR(N(INDEX(Ingredients!$AD$6:$AD$105,MATCH(C266,Ingredients!$B$6:$B$105,0))),0))</f>
        <v/>
      </c>
      <c r="L266">
        <f>IF(OR(B266="",C266=""),0,IFERROR(N(INDEX(Ingredients!$AE$6:$AE$105,MATCH(C266,Ingredients!$B$6:$B$105,0))),0))</f>
        <v/>
      </c>
      <c r="M266">
        <f>IF(OR(B266="",C266=""),0,IFERROR(N(INDEX(Ingredients!$AF$6:$AF$105,MATCH(C266,Ingredients!$B$6:$B$105,0))),0))</f>
        <v/>
      </c>
      <c r="N266">
        <f>IF(OR(B266="",C266=""),0,IFERROR(N(INDEX(Ingredients!$AG$6:$AG$105,MATCH(C266,Ingredients!$B$6:$B$105,0))),0))</f>
        <v/>
      </c>
      <c r="O266">
        <f>IF(OR(B266="",C266=""),0,IFERROR(N(INDEX(Ingredients!$AH$6:$AH$105,MATCH(C266,Ingredients!$B$6:$B$105,0))),0))</f>
        <v/>
      </c>
      <c r="P266">
        <f>IF(OR(B266="",C266=""),0,IFERROR(N(INDEX(Ingredients!$AI$6:$AI$105,MATCH(C266,Ingredients!$B$6:$B$105,0))),0))</f>
        <v/>
      </c>
      <c r="Q266">
        <f>IF(OR(B266="",C266=""),0,IFERROR(N(INDEX(Ingredients!$AJ$6:$AJ$105,MATCH(C266,Ingredients!$B$6:$B$105,0))),0))</f>
        <v/>
      </c>
      <c r="R266">
        <f>IF(OR(B266="",C266=""),0,IFERROR(N(INDEX(Ingredients!$AK$6:$AK$105,MATCH(C266,Ingredients!$B$6:$B$105,0))),0))</f>
        <v/>
      </c>
      <c r="S266">
        <f>IF(OR(B266="",C266=""),0,IFERROR(N(INDEX(Ingredients!$AL$6:$AL$105,MATCH(C266,Ingredients!$B$6:$B$105,0))),0))</f>
        <v/>
      </c>
      <c r="T266">
        <f>IF(OR(B266="",C266=""),0,IFERROR(N(INDEX(Ingredients!$AM$6:$AM$105,MATCH(C266,Ingredients!$B$6:$B$105,0))),0))</f>
        <v/>
      </c>
      <c r="U266">
        <f>IF(OR(B266="",C266=""),0,IFERROR(N(INDEX(Ingredients!$AN$6:$AN$105,MATCH(C266,Ingredients!$B$6:$B$105,0))),0))</f>
        <v/>
      </c>
      <c r="V266">
        <f>IF(OR(B266="",C266=""),0,IFERROR(N(INDEX(Ingredients!$AO$6:$AO$105,MATCH(C266,Ingredients!$B$6:$B$105,0))),0))</f>
        <v/>
      </c>
      <c r="W266">
        <f>IF(OR(B266="",C266=""),0,IFERROR(N(INDEX(Ingredients!$AP$6:$AP$105,MATCH(C266,Ingredients!$B$6:$B$105,0))),0))</f>
        <v/>
      </c>
      <c r="X266">
        <f>IF(OR(B266="",C266=""),0,IFERROR(N(INDEX(Ingredients!$AQ$6:$AQ$105,MATCH(C266,Ingredients!$B$6:$B$105,0))),0))</f>
        <v/>
      </c>
    </row>
    <row r="267">
      <c r="A267" s="1" t="n"/>
      <c r="B267" s="21" t="n"/>
      <c r="C267" s="39" t="n"/>
      <c r="D267" s="40" t="n"/>
      <c r="E267" s="12">
        <f>IF(C267="","",IF(ISNA(MATCH(C267,Ingredients!$B$6:$B$105,0)),"Not on Ingredients",IFERROR(IF(INDEX(Ingredients!$C$6:$C$105,MATCH(C267,Ingredients!$B$6:$B$105,0))="","",INDEX(Ingredients!$C$6:$C$105,MATCH(C267,Ingredients!$B$6:$B$105,0))),"")))</f>
        <v/>
      </c>
      <c r="F267" s="26">
        <f>IF(OR(B267="",C267=""),"",N(D267)*IFERROR(N(INDEX(Ingredients!$H$6:$H$105,MATCH(C267,Ingredients!$B$6:$B$105,0))),0))</f>
        <v/>
      </c>
      <c r="G267" s="1">
        <f>IF(OR(B267="",C267=""),0,IFERROR(N(INDEX(Products!$D$6:$D$45,MATCH(B267,Products!$B$6:$B$45,0))),0))</f>
        <v/>
      </c>
      <c r="H267">
        <f>IF(N(G267)=0,0,N(D267)*SUMIFS(Batches!$D$6:$D$505,Batches!$C$6:$C$505,B267)/G267)</f>
        <v/>
      </c>
      <c r="I267">
        <f>IF(OR(B267="",C267=""),"",IF(B267&lt;&gt;Label!$H$3,"",IF(IFERROR(N(INDEX(Ingredients!$AS$6:$AS$105,MATCH(C267,Ingredients!$B$6:$B$105,0))),0)=1,"",ROUND(N(D267)*1000,0)*100000+100000-ROW())))</f>
        <v/>
      </c>
      <c r="J267">
        <f>IF(OR(B267="",C267=""),0,IFERROR(N(INDEX(Ingredients!$AC$6:$AC$105,MATCH(C267,Ingredients!$B$6:$B$105,0))),0))</f>
        <v/>
      </c>
      <c r="K267">
        <f>IF(OR(B267="",C267=""),0,IFERROR(N(INDEX(Ingredients!$AD$6:$AD$105,MATCH(C267,Ingredients!$B$6:$B$105,0))),0))</f>
        <v/>
      </c>
      <c r="L267">
        <f>IF(OR(B267="",C267=""),0,IFERROR(N(INDEX(Ingredients!$AE$6:$AE$105,MATCH(C267,Ingredients!$B$6:$B$105,0))),0))</f>
        <v/>
      </c>
      <c r="M267">
        <f>IF(OR(B267="",C267=""),0,IFERROR(N(INDEX(Ingredients!$AF$6:$AF$105,MATCH(C267,Ingredients!$B$6:$B$105,0))),0))</f>
        <v/>
      </c>
      <c r="N267">
        <f>IF(OR(B267="",C267=""),0,IFERROR(N(INDEX(Ingredients!$AG$6:$AG$105,MATCH(C267,Ingredients!$B$6:$B$105,0))),0))</f>
        <v/>
      </c>
      <c r="O267">
        <f>IF(OR(B267="",C267=""),0,IFERROR(N(INDEX(Ingredients!$AH$6:$AH$105,MATCH(C267,Ingredients!$B$6:$B$105,0))),0))</f>
        <v/>
      </c>
      <c r="P267">
        <f>IF(OR(B267="",C267=""),0,IFERROR(N(INDEX(Ingredients!$AI$6:$AI$105,MATCH(C267,Ingredients!$B$6:$B$105,0))),0))</f>
        <v/>
      </c>
      <c r="Q267">
        <f>IF(OR(B267="",C267=""),0,IFERROR(N(INDEX(Ingredients!$AJ$6:$AJ$105,MATCH(C267,Ingredients!$B$6:$B$105,0))),0))</f>
        <v/>
      </c>
      <c r="R267">
        <f>IF(OR(B267="",C267=""),0,IFERROR(N(INDEX(Ingredients!$AK$6:$AK$105,MATCH(C267,Ingredients!$B$6:$B$105,0))),0))</f>
        <v/>
      </c>
      <c r="S267">
        <f>IF(OR(B267="",C267=""),0,IFERROR(N(INDEX(Ingredients!$AL$6:$AL$105,MATCH(C267,Ingredients!$B$6:$B$105,0))),0))</f>
        <v/>
      </c>
      <c r="T267">
        <f>IF(OR(B267="",C267=""),0,IFERROR(N(INDEX(Ingredients!$AM$6:$AM$105,MATCH(C267,Ingredients!$B$6:$B$105,0))),0))</f>
        <v/>
      </c>
      <c r="U267">
        <f>IF(OR(B267="",C267=""),0,IFERROR(N(INDEX(Ingredients!$AN$6:$AN$105,MATCH(C267,Ingredients!$B$6:$B$105,0))),0))</f>
        <v/>
      </c>
      <c r="V267">
        <f>IF(OR(B267="",C267=""),0,IFERROR(N(INDEX(Ingredients!$AO$6:$AO$105,MATCH(C267,Ingredients!$B$6:$B$105,0))),0))</f>
        <v/>
      </c>
      <c r="W267">
        <f>IF(OR(B267="",C267=""),0,IFERROR(N(INDEX(Ingredients!$AP$6:$AP$105,MATCH(C267,Ingredients!$B$6:$B$105,0))),0))</f>
        <v/>
      </c>
      <c r="X267">
        <f>IF(OR(B267="",C267=""),0,IFERROR(N(INDEX(Ingredients!$AQ$6:$AQ$105,MATCH(C267,Ingredients!$B$6:$B$105,0))),0))</f>
        <v/>
      </c>
    </row>
    <row r="268">
      <c r="A268" s="1" t="n"/>
      <c r="B268" s="21" t="n"/>
      <c r="C268" s="39" t="n"/>
      <c r="D268" s="40" t="n"/>
      <c r="E268" s="12">
        <f>IF(C268="","",IF(ISNA(MATCH(C268,Ingredients!$B$6:$B$105,0)),"Not on Ingredients",IFERROR(IF(INDEX(Ingredients!$C$6:$C$105,MATCH(C268,Ingredients!$B$6:$B$105,0))="","",INDEX(Ingredients!$C$6:$C$105,MATCH(C268,Ingredients!$B$6:$B$105,0))),"")))</f>
        <v/>
      </c>
      <c r="F268" s="26">
        <f>IF(OR(B268="",C268=""),"",N(D268)*IFERROR(N(INDEX(Ingredients!$H$6:$H$105,MATCH(C268,Ingredients!$B$6:$B$105,0))),0))</f>
        <v/>
      </c>
      <c r="G268" s="1">
        <f>IF(OR(B268="",C268=""),0,IFERROR(N(INDEX(Products!$D$6:$D$45,MATCH(B268,Products!$B$6:$B$45,0))),0))</f>
        <v/>
      </c>
      <c r="H268">
        <f>IF(N(G268)=0,0,N(D268)*SUMIFS(Batches!$D$6:$D$505,Batches!$C$6:$C$505,B268)/G268)</f>
        <v/>
      </c>
      <c r="I268">
        <f>IF(OR(B268="",C268=""),"",IF(B268&lt;&gt;Label!$H$3,"",IF(IFERROR(N(INDEX(Ingredients!$AS$6:$AS$105,MATCH(C268,Ingredients!$B$6:$B$105,0))),0)=1,"",ROUND(N(D268)*1000,0)*100000+100000-ROW())))</f>
        <v/>
      </c>
      <c r="J268">
        <f>IF(OR(B268="",C268=""),0,IFERROR(N(INDEX(Ingredients!$AC$6:$AC$105,MATCH(C268,Ingredients!$B$6:$B$105,0))),0))</f>
        <v/>
      </c>
      <c r="K268">
        <f>IF(OR(B268="",C268=""),0,IFERROR(N(INDEX(Ingredients!$AD$6:$AD$105,MATCH(C268,Ingredients!$B$6:$B$105,0))),0))</f>
        <v/>
      </c>
      <c r="L268">
        <f>IF(OR(B268="",C268=""),0,IFERROR(N(INDEX(Ingredients!$AE$6:$AE$105,MATCH(C268,Ingredients!$B$6:$B$105,0))),0))</f>
        <v/>
      </c>
      <c r="M268">
        <f>IF(OR(B268="",C268=""),0,IFERROR(N(INDEX(Ingredients!$AF$6:$AF$105,MATCH(C268,Ingredients!$B$6:$B$105,0))),0))</f>
        <v/>
      </c>
      <c r="N268">
        <f>IF(OR(B268="",C268=""),0,IFERROR(N(INDEX(Ingredients!$AG$6:$AG$105,MATCH(C268,Ingredients!$B$6:$B$105,0))),0))</f>
        <v/>
      </c>
      <c r="O268">
        <f>IF(OR(B268="",C268=""),0,IFERROR(N(INDEX(Ingredients!$AH$6:$AH$105,MATCH(C268,Ingredients!$B$6:$B$105,0))),0))</f>
        <v/>
      </c>
      <c r="P268">
        <f>IF(OR(B268="",C268=""),0,IFERROR(N(INDEX(Ingredients!$AI$6:$AI$105,MATCH(C268,Ingredients!$B$6:$B$105,0))),0))</f>
        <v/>
      </c>
      <c r="Q268">
        <f>IF(OR(B268="",C268=""),0,IFERROR(N(INDEX(Ingredients!$AJ$6:$AJ$105,MATCH(C268,Ingredients!$B$6:$B$105,0))),0))</f>
        <v/>
      </c>
      <c r="R268">
        <f>IF(OR(B268="",C268=""),0,IFERROR(N(INDEX(Ingredients!$AK$6:$AK$105,MATCH(C268,Ingredients!$B$6:$B$105,0))),0))</f>
        <v/>
      </c>
      <c r="S268">
        <f>IF(OR(B268="",C268=""),0,IFERROR(N(INDEX(Ingredients!$AL$6:$AL$105,MATCH(C268,Ingredients!$B$6:$B$105,0))),0))</f>
        <v/>
      </c>
      <c r="T268">
        <f>IF(OR(B268="",C268=""),0,IFERROR(N(INDEX(Ingredients!$AM$6:$AM$105,MATCH(C268,Ingredients!$B$6:$B$105,0))),0))</f>
        <v/>
      </c>
      <c r="U268">
        <f>IF(OR(B268="",C268=""),0,IFERROR(N(INDEX(Ingredients!$AN$6:$AN$105,MATCH(C268,Ingredients!$B$6:$B$105,0))),0))</f>
        <v/>
      </c>
      <c r="V268">
        <f>IF(OR(B268="",C268=""),0,IFERROR(N(INDEX(Ingredients!$AO$6:$AO$105,MATCH(C268,Ingredients!$B$6:$B$105,0))),0))</f>
        <v/>
      </c>
      <c r="W268">
        <f>IF(OR(B268="",C268=""),0,IFERROR(N(INDEX(Ingredients!$AP$6:$AP$105,MATCH(C268,Ingredients!$B$6:$B$105,0))),0))</f>
        <v/>
      </c>
      <c r="X268">
        <f>IF(OR(B268="",C268=""),0,IFERROR(N(INDEX(Ingredients!$AQ$6:$AQ$105,MATCH(C268,Ingredients!$B$6:$B$105,0))),0))</f>
        <v/>
      </c>
    </row>
    <row r="269">
      <c r="A269" s="1" t="n"/>
      <c r="B269" s="21" t="n"/>
      <c r="C269" s="39" t="n"/>
      <c r="D269" s="40" t="n"/>
      <c r="E269" s="12">
        <f>IF(C269="","",IF(ISNA(MATCH(C269,Ingredients!$B$6:$B$105,0)),"Not on Ingredients",IFERROR(IF(INDEX(Ingredients!$C$6:$C$105,MATCH(C269,Ingredients!$B$6:$B$105,0))="","",INDEX(Ingredients!$C$6:$C$105,MATCH(C269,Ingredients!$B$6:$B$105,0))),"")))</f>
        <v/>
      </c>
      <c r="F269" s="26">
        <f>IF(OR(B269="",C269=""),"",N(D269)*IFERROR(N(INDEX(Ingredients!$H$6:$H$105,MATCH(C269,Ingredients!$B$6:$B$105,0))),0))</f>
        <v/>
      </c>
      <c r="G269" s="1">
        <f>IF(OR(B269="",C269=""),0,IFERROR(N(INDEX(Products!$D$6:$D$45,MATCH(B269,Products!$B$6:$B$45,0))),0))</f>
        <v/>
      </c>
      <c r="H269">
        <f>IF(N(G269)=0,0,N(D269)*SUMIFS(Batches!$D$6:$D$505,Batches!$C$6:$C$505,B269)/G269)</f>
        <v/>
      </c>
      <c r="I269">
        <f>IF(OR(B269="",C269=""),"",IF(B269&lt;&gt;Label!$H$3,"",IF(IFERROR(N(INDEX(Ingredients!$AS$6:$AS$105,MATCH(C269,Ingredients!$B$6:$B$105,0))),0)=1,"",ROUND(N(D269)*1000,0)*100000+100000-ROW())))</f>
        <v/>
      </c>
      <c r="J269">
        <f>IF(OR(B269="",C269=""),0,IFERROR(N(INDEX(Ingredients!$AC$6:$AC$105,MATCH(C269,Ingredients!$B$6:$B$105,0))),0))</f>
        <v/>
      </c>
      <c r="K269">
        <f>IF(OR(B269="",C269=""),0,IFERROR(N(INDEX(Ingredients!$AD$6:$AD$105,MATCH(C269,Ingredients!$B$6:$B$105,0))),0))</f>
        <v/>
      </c>
      <c r="L269">
        <f>IF(OR(B269="",C269=""),0,IFERROR(N(INDEX(Ingredients!$AE$6:$AE$105,MATCH(C269,Ingredients!$B$6:$B$105,0))),0))</f>
        <v/>
      </c>
      <c r="M269">
        <f>IF(OR(B269="",C269=""),0,IFERROR(N(INDEX(Ingredients!$AF$6:$AF$105,MATCH(C269,Ingredients!$B$6:$B$105,0))),0))</f>
        <v/>
      </c>
      <c r="N269">
        <f>IF(OR(B269="",C269=""),0,IFERROR(N(INDEX(Ingredients!$AG$6:$AG$105,MATCH(C269,Ingredients!$B$6:$B$105,0))),0))</f>
        <v/>
      </c>
      <c r="O269">
        <f>IF(OR(B269="",C269=""),0,IFERROR(N(INDEX(Ingredients!$AH$6:$AH$105,MATCH(C269,Ingredients!$B$6:$B$105,0))),0))</f>
        <v/>
      </c>
      <c r="P269">
        <f>IF(OR(B269="",C269=""),0,IFERROR(N(INDEX(Ingredients!$AI$6:$AI$105,MATCH(C269,Ingredients!$B$6:$B$105,0))),0))</f>
        <v/>
      </c>
      <c r="Q269">
        <f>IF(OR(B269="",C269=""),0,IFERROR(N(INDEX(Ingredients!$AJ$6:$AJ$105,MATCH(C269,Ingredients!$B$6:$B$105,0))),0))</f>
        <v/>
      </c>
      <c r="R269">
        <f>IF(OR(B269="",C269=""),0,IFERROR(N(INDEX(Ingredients!$AK$6:$AK$105,MATCH(C269,Ingredients!$B$6:$B$105,0))),0))</f>
        <v/>
      </c>
      <c r="S269">
        <f>IF(OR(B269="",C269=""),0,IFERROR(N(INDEX(Ingredients!$AL$6:$AL$105,MATCH(C269,Ingredients!$B$6:$B$105,0))),0))</f>
        <v/>
      </c>
      <c r="T269">
        <f>IF(OR(B269="",C269=""),0,IFERROR(N(INDEX(Ingredients!$AM$6:$AM$105,MATCH(C269,Ingredients!$B$6:$B$105,0))),0))</f>
        <v/>
      </c>
      <c r="U269">
        <f>IF(OR(B269="",C269=""),0,IFERROR(N(INDEX(Ingredients!$AN$6:$AN$105,MATCH(C269,Ingredients!$B$6:$B$105,0))),0))</f>
        <v/>
      </c>
      <c r="V269">
        <f>IF(OR(B269="",C269=""),0,IFERROR(N(INDEX(Ingredients!$AO$6:$AO$105,MATCH(C269,Ingredients!$B$6:$B$105,0))),0))</f>
        <v/>
      </c>
      <c r="W269">
        <f>IF(OR(B269="",C269=""),0,IFERROR(N(INDEX(Ingredients!$AP$6:$AP$105,MATCH(C269,Ingredients!$B$6:$B$105,0))),0))</f>
        <v/>
      </c>
      <c r="X269">
        <f>IF(OR(B269="",C269=""),0,IFERROR(N(INDEX(Ingredients!$AQ$6:$AQ$105,MATCH(C269,Ingredients!$B$6:$B$105,0))),0))</f>
        <v/>
      </c>
    </row>
    <row r="270">
      <c r="A270" s="1" t="n"/>
      <c r="B270" s="21" t="n"/>
      <c r="C270" s="39" t="n"/>
      <c r="D270" s="40" t="n"/>
      <c r="E270" s="12">
        <f>IF(C270="","",IF(ISNA(MATCH(C270,Ingredients!$B$6:$B$105,0)),"Not on Ingredients",IFERROR(IF(INDEX(Ingredients!$C$6:$C$105,MATCH(C270,Ingredients!$B$6:$B$105,0))="","",INDEX(Ingredients!$C$6:$C$105,MATCH(C270,Ingredients!$B$6:$B$105,0))),"")))</f>
        <v/>
      </c>
      <c r="F270" s="26">
        <f>IF(OR(B270="",C270=""),"",N(D270)*IFERROR(N(INDEX(Ingredients!$H$6:$H$105,MATCH(C270,Ingredients!$B$6:$B$105,0))),0))</f>
        <v/>
      </c>
      <c r="G270" s="1">
        <f>IF(OR(B270="",C270=""),0,IFERROR(N(INDEX(Products!$D$6:$D$45,MATCH(B270,Products!$B$6:$B$45,0))),0))</f>
        <v/>
      </c>
      <c r="H270">
        <f>IF(N(G270)=0,0,N(D270)*SUMIFS(Batches!$D$6:$D$505,Batches!$C$6:$C$505,B270)/G270)</f>
        <v/>
      </c>
      <c r="I270">
        <f>IF(OR(B270="",C270=""),"",IF(B270&lt;&gt;Label!$H$3,"",IF(IFERROR(N(INDEX(Ingredients!$AS$6:$AS$105,MATCH(C270,Ingredients!$B$6:$B$105,0))),0)=1,"",ROUND(N(D270)*1000,0)*100000+100000-ROW())))</f>
        <v/>
      </c>
      <c r="J270">
        <f>IF(OR(B270="",C270=""),0,IFERROR(N(INDEX(Ingredients!$AC$6:$AC$105,MATCH(C270,Ingredients!$B$6:$B$105,0))),0))</f>
        <v/>
      </c>
      <c r="K270">
        <f>IF(OR(B270="",C270=""),0,IFERROR(N(INDEX(Ingredients!$AD$6:$AD$105,MATCH(C270,Ingredients!$B$6:$B$105,0))),0))</f>
        <v/>
      </c>
      <c r="L270">
        <f>IF(OR(B270="",C270=""),0,IFERROR(N(INDEX(Ingredients!$AE$6:$AE$105,MATCH(C270,Ingredients!$B$6:$B$105,0))),0))</f>
        <v/>
      </c>
      <c r="M270">
        <f>IF(OR(B270="",C270=""),0,IFERROR(N(INDEX(Ingredients!$AF$6:$AF$105,MATCH(C270,Ingredients!$B$6:$B$105,0))),0))</f>
        <v/>
      </c>
      <c r="N270">
        <f>IF(OR(B270="",C270=""),0,IFERROR(N(INDEX(Ingredients!$AG$6:$AG$105,MATCH(C270,Ingredients!$B$6:$B$105,0))),0))</f>
        <v/>
      </c>
      <c r="O270">
        <f>IF(OR(B270="",C270=""),0,IFERROR(N(INDEX(Ingredients!$AH$6:$AH$105,MATCH(C270,Ingredients!$B$6:$B$105,0))),0))</f>
        <v/>
      </c>
      <c r="P270">
        <f>IF(OR(B270="",C270=""),0,IFERROR(N(INDEX(Ingredients!$AI$6:$AI$105,MATCH(C270,Ingredients!$B$6:$B$105,0))),0))</f>
        <v/>
      </c>
      <c r="Q270">
        <f>IF(OR(B270="",C270=""),0,IFERROR(N(INDEX(Ingredients!$AJ$6:$AJ$105,MATCH(C270,Ingredients!$B$6:$B$105,0))),0))</f>
        <v/>
      </c>
      <c r="R270">
        <f>IF(OR(B270="",C270=""),0,IFERROR(N(INDEX(Ingredients!$AK$6:$AK$105,MATCH(C270,Ingredients!$B$6:$B$105,0))),0))</f>
        <v/>
      </c>
      <c r="S270">
        <f>IF(OR(B270="",C270=""),0,IFERROR(N(INDEX(Ingredients!$AL$6:$AL$105,MATCH(C270,Ingredients!$B$6:$B$105,0))),0))</f>
        <v/>
      </c>
      <c r="T270">
        <f>IF(OR(B270="",C270=""),0,IFERROR(N(INDEX(Ingredients!$AM$6:$AM$105,MATCH(C270,Ingredients!$B$6:$B$105,0))),0))</f>
        <v/>
      </c>
      <c r="U270">
        <f>IF(OR(B270="",C270=""),0,IFERROR(N(INDEX(Ingredients!$AN$6:$AN$105,MATCH(C270,Ingredients!$B$6:$B$105,0))),0))</f>
        <v/>
      </c>
      <c r="V270">
        <f>IF(OR(B270="",C270=""),0,IFERROR(N(INDEX(Ingredients!$AO$6:$AO$105,MATCH(C270,Ingredients!$B$6:$B$105,0))),0))</f>
        <v/>
      </c>
      <c r="W270">
        <f>IF(OR(B270="",C270=""),0,IFERROR(N(INDEX(Ingredients!$AP$6:$AP$105,MATCH(C270,Ingredients!$B$6:$B$105,0))),0))</f>
        <v/>
      </c>
      <c r="X270">
        <f>IF(OR(B270="",C270=""),0,IFERROR(N(INDEX(Ingredients!$AQ$6:$AQ$105,MATCH(C270,Ingredients!$B$6:$B$105,0))),0))</f>
        <v/>
      </c>
    </row>
    <row r="271">
      <c r="A271" s="1" t="n"/>
      <c r="B271" s="21" t="n"/>
      <c r="C271" s="39" t="n"/>
      <c r="D271" s="40" t="n"/>
      <c r="E271" s="12">
        <f>IF(C271="","",IF(ISNA(MATCH(C271,Ingredients!$B$6:$B$105,0)),"Not on Ingredients",IFERROR(IF(INDEX(Ingredients!$C$6:$C$105,MATCH(C271,Ingredients!$B$6:$B$105,0))="","",INDEX(Ingredients!$C$6:$C$105,MATCH(C271,Ingredients!$B$6:$B$105,0))),"")))</f>
        <v/>
      </c>
      <c r="F271" s="26">
        <f>IF(OR(B271="",C271=""),"",N(D271)*IFERROR(N(INDEX(Ingredients!$H$6:$H$105,MATCH(C271,Ingredients!$B$6:$B$105,0))),0))</f>
        <v/>
      </c>
      <c r="G271" s="1">
        <f>IF(OR(B271="",C271=""),0,IFERROR(N(INDEX(Products!$D$6:$D$45,MATCH(B271,Products!$B$6:$B$45,0))),0))</f>
        <v/>
      </c>
      <c r="H271">
        <f>IF(N(G271)=0,0,N(D271)*SUMIFS(Batches!$D$6:$D$505,Batches!$C$6:$C$505,B271)/G271)</f>
        <v/>
      </c>
      <c r="I271">
        <f>IF(OR(B271="",C271=""),"",IF(B271&lt;&gt;Label!$H$3,"",IF(IFERROR(N(INDEX(Ingredients!$AS$6:$AS$105,MATCH(C271,Ingredients!$B$6:$B$105,0))),0)=1,"",ROUND(N(D271)*1000,0)*100000+100000-ROW())))</f>
        <v/>
      </c>
      <c r="J271">
        <f>IF(OR(B271="",C271=""),0,IFERROR(N(INDEX(Ingredients!$AC$6:$AC$105,MATCH(C271,Ingredients!$B$6:$B$105,0))),0))</f>
        <v/>
      </c>
      <c r="K271">
        <f>IF(OR(B271="",C271=""),0,IFERROR(N(INDEX(Ingredients!$AD$6:$AD$105,MATCH(C271,Ingredients!$B$6:$B$105,0))),0))</f>
        <v/>
      </c>
      <c r="L271">
        <f>IF(OR(B271="",C271=""),0,IFERROR(N(INDEX(Ingredients!$AE$6:$AE$105,MATCH(C271,Ingredients!$B$6:$B$105,0))),0))</f>
        <v/>
      </c>
      <c r="M271">
        <f>IF(OR(B271="",C271=""),0,IFERROR(N(INDEX(Ingredients!$AF$6:$AF$105,MATCH(C271,Ingredients!$B$6:$B$105,0))),0))</f>
        <v/>
      </c>
      <c r="N271">
        <f>IF(OR(B271="",C271=""),0,IFERROR(N(INDEX(Ingredients!$AG$6:$AG$105,MATCH(C271,Ingredients!$B$6:$B$105,0))),0))</f>
        <v/>
      </c>
      <c r="O271">
        <f>IF(OR(B271="",C271=""),0,IFERROR(N(INDEX(Ingredients!$AH$6:$AH$105,MATCH(C271,Ingredients!$B$6:$B$105,0))),0))</f>
        <v/>
      </c>
      <c r="P271">
        <f>IF(OR(B271="",C271=""),0,IFERROR(N(INDEX(Ingredients!$AI$6:$AI$105,MATCH(C271,Ingredients!$B$6:$B$105,0))),0))</f>
        <v/>
      </c>
      <c r="Q271">
        <f>IF(OR(B271="",C271=""),0,IFERROR(N(INDEX(Ingredients!$AJ$6:$AJ$105,MATCH(C271,Ingredients!$B$6:$B$105,0))),0))</f>
        <v/>
      </c>
      <c r="R271">
        <f>IF(OR(B271="",C271=""),0,IFERROR(N(INDEX(Ingredients!$AK$6:$AK$105,MATCH(C271,Ingredients!$B$6:$B$105,0))),0))</f>
        <v/>
      </c>
      <c r="S271">
        <f>IF(OR(B271="",C271=""),0,IFERROR(N(INDEX(Ingredients!$AL$6:$AL$105,MATCH(C271,Ingredients!$B$6:$B$105,0))),0))</f>
        <v/>
      </c>
      <c r="T271">
        <f>IF(OR(B271="",C271=""),0,IFERROR(N(INDEX(Ingredients!$AM$6:$AM$105,MATCH(C271,Ingredients!$B$6:$B$105,0))),0))</f>
        <v/>
      </c>
      <c r="U271">
        <f>IF(OR(B271="",C271=""),0,IFERROR(N(INDEX(Ingredients!$AN$6:$AN$105,MATCH(C271,Ingredients!$B$6:$B$105,0))),0))</f>
        <v/>
      </c>
      <c r="V271">
        <f>IF(OR(B271="",C271=""),0,IFERROR(N(INDEX(Ingredients!$AO$6:$AO$105,MATCH(C271,Ingredients!$B$6:$B$105,0))),0))</f>
        <v/>
      </c>
      <c r="W271">
        <f>IF(OR(B271="",C271=""),0,IFERROR(N(INDEX(Ingredients!$AP$6:$AP$105,MATCH(C271,Ingredients!$B$6:$B$105,0))),0))</f>
        <v/>
      </c>
      <c r="X271">
        <f>IF(OR(B271="",C271=""),0,IFERROR(N(INDEX(Ingredients!$AQ$6:$AQ$105,MATCH(C271,Ingredients!$B$6:$B$105,0))),0))</f>
        <v/>
      </c>
    </row>
    <row r="272">
      <c r="A272" s="1" t="n"/>
      <c r="B272" s="21" t="n"/>
      <c r="C272" s="39" t="n"/>
      <c r="D272" s="40" t="n"/>
      <c r="E272" s="12">
        <f>IF(C272="","",IF(ISNA(MATCH(C272,Ingredients!$B$6:$B$105,0)),"Not on Ingredients",IFERROR(IF(INDEX(Ingredients!$C$6:$C$105,MATCH(C272,Ingredients!$B$6:$B$105,0))="","",INDEX(Ingredients!$C$6:$C$105,MATCH(C272,Ingredients!$B$6:$B$105,0))),"")))</f>
        <v/>
      </c>
      <c r="F272" s="26">
        <f>IF(OR(B272="",C272=""),"",N(D272)*IFERROR(N(INDEX(Ingredients!$H$6:$H$105,MATCH(C272,Ingredients!$B$6:$B$105,0))),0))</f>
        <v/>
      </c>
      <c r="G272" s="1">
        <f>IF(OR(B272="",C272=""),0,IFERROR(N(INDEX(Products!$D$6:$D$45,MATCH(B272,Products!$B$6:$B$45,0))),0))</f>
        <v/>
      </c>
      <c r="H272">
        <f>IF(N(G272)=0,0,N(D272)*SUMIFS(Batches!$D$6:$D$505,Batches!$C$6:$C$505,B272)/G272)</f>
        <v/>
      </c>
      <c r="I272">
        <f>IF(OR(B272="",C272=""),"",IF(B272&lt;&gt;Label!$H$3,"",IF(IFERROR(N(INDEX(Ingredients!$AS$6:$AS$105,MATCH(C272,Ingredients!$B$6:$B$105,0))),0)=1,"",ROUND(N(D272)*1000,0)*100000+100000-ROW())))</f>
        <v/>
      </c>
      <c r="J272">
        <f>IF(OR(B272="",C272=""),0,IFERROR(N(INDEX(Ingredients!$AC$6:$AC$105,MATCH(C272,Ingredients!$B$6:$B$105,0))),0))</f>
        <v/>
      </c>
      <c r="K272">
        <f>IF(OR(B272="",C272=""),0,IFERROR(N(INDEX(Ingredients!$AD$6:$AD$105,MATCH(C272,Ingredients!$B$6:$B$105,0))),0))</f>
        <v/>
      </c>
      <c r="L272">
        <f>IF(OR(B272="",C272=""),0,IFERROR(N(INDEX(Ingredients!$AE$6:$AE$105,MATCH(C272,Ingredients!$B$6:$B$105,0))),0))</f>
        <v/>
      </c>
      <c r="M272">
        <f>IF(OR(B272="",C272=""),0,IFERROR(N(INDEX(Ingredients!$AF$6:$AF$105,MATCH(C272,Ingredients!$B$6:$B$105,0))),0))</f>
        <v/>
      </c>
      <c r="N272">
        <f>IF(OR(B272="",C272=""),0,IFERROR(N(INDEX(Ingredients!$AG$6:$AG$105,MATCH(C272,Ingredients!$B$6:$B$105,0))),0))</f>
        <v/>
      </c>
      <c r="O272">
        <f>IF(OR(B272="",C272=""),0,IFERROR(N(INDEX(Ingredients!$AH$6:$AH$105,MATCH(C272,Ingredients!$B$6:$B$105,0))),0))</f>
        <v/>
      </c>
      <c r="P272">
        <f>IF(OR(B272="",C272=""),0,IFERROR(N(INDEX(Ingredients!$AI$6:$AI$105,MATCH(C272,Ingredients!$B$6:$B$105,0))),0))</f>
        <v/>
      </c>
      <c r="Q272">
        <f>IF(OR(B272="",C272=""),0,IFERROR(N(INDEX(Ingredients!$AJ$6:$AJ$105,MATCH(C272,Ingredients!$B$6:$B$105,0))),0))</f>
        <v/>
      </c>
      <c r="R272">
        <f>IF(OR(B272="",C272=""),0,IFERROR(N(INDEX(Ingredients!$AK$6:$AK$105,MATCH(C272,Ingredients!$B$6:$B$105,0))),0))</f>
        <v/>
      </c>
      <c r="S272">
        <f>IF(OR(B272="",C272=""),0,IFERROR(N(INDEX(Ingredients!$AL$6:$AL$105,MATCH(C272,Ingredients!$B$6:$B$105,0))),0))</f>
        <v/>
      </c>
      <c r="T272">
        <f>IF(OR(B272="",C272=""),0,IFERROR(N(INDEX(Ingredients!$AM$6:$AM$105,MATCH(C272,Ingredients!$B$6:$B$105,0))),0))</f>
        <v/>
      </c>
      <c r="U272">
        <f>IF(OR(B272="",C272=""),0,IFERROR(N(INDEX(Ingredients!$AN$6:$AN$105,MATCH(C272,Ingredients!$B$6:$B$105,0))),0))</f>
        <v/>
      </c>
      <c r="V272">
        <f>IF(OR(B272="",C272=""),0,IFERROR(N(INDEX(Ingredients!$AO$6:$AO$105,MATCH(C272,Ingredients!$B$6:$B$105,0))),0))</f>
        <v/>
      </c>
      <c r="W272">
        <f>IF(OR(B272="",C272=""),0,IFERROR(N(INDEX(Ingredients!$AP$6:$AP$105,MATCH(C272,Ingredients!$B$6:$B$105,0))),0))</f>
        <v/>
      </c>
      <c r="X272">
        <f>IF(OR(B272="",C272=""),0,IFERROR(N(INDEX(Ingredients!$AQ$6:$AQ$105,MATCH(C272,Ingredients!$B$6:$B$105,0))),0))</f>
        <v/>
      </c>
    </row>
    <row r="273">
      <c r="A273" s="1" t="n"/>
      <c r="B273" s="21" t="n"/>
      <c r="C273" s="39" t="n"/>
      <c r="D273" s="40" t="n"/>
      <c r="E273" s="12">
        <f>IF(C273="","",IF(ISNA(MATCH(C273,Ingredients!$B$6:$B$105,0)),"Not on Ingredients",IFERROR(IF(INDEX(Ingredients!$C$6:$C$105,MATCH(C273,Ingredients!$B$6:$B$105,0))="","",INDEX(Ingredients!$C$6:$C$105,MATCH(C273,Ingredients!$B$6:$B$105,0))),"")))</f>
        <v/>
      </c>
      <c r="F273" s="26">
        <f>IF(OR(B273="",C273=""),"",N(D273)*IFERROR(N(INDEX(Ingredients!$H$6:$H$105,MATCH(C273,Ingredients!$B$6:$B$105,0))),0))</f>
        <v/>
      </c>
      <c r="G273" s="1">
        <f>IF(OR(B273="",C273=""),0,IFERROR(N(INDEX(Products!$D$6:$D$45,MATCH(B273,Products!$B$6:$B$45,0))),0))</f>
        <v/>
      </c>
      <c r="H273">
        <f>IF(N(G273)=0,0,N(D273)*SUMIFS(Batches!$D$6:$D$505,Batches!$C$6:$C$505,B273)/G273)</f>
        <v/>
      </c>
      <c r="I273">
        <f>IF(OR(B273="",C273=""),"",IF(B273&lt;&gt;Label!$H$3,"",IF(IFERROR(N(INDEX(Ingredients!$AS$6:$AS$105,MATCH(C273,Ingredients!$B$6:$B$105,0))),0)=1,"",ROUND(N(D273)*1000,0)*100000+100000-ROW())))</f>
        <v/>
      </c>
      <c r="J273">
        <f>IF(OR(B273="",C273=""),0,IFERROR(N(INDEX(Ingredients!$AC$6:$AC$105,MATCH(C273,Ingredients!$B$6:$B$105,0))),0))</f>
        <v/>
      </c>
      <c r="K273">
        <f>IF(OR(B273="",C273=""),0,IFERROR(N(INDEX(Ingredients!$AD$6:$AD$105,MATCH(C273,Ingredients!$B$6:$B$105,0))),0))</f>
        <v/>
      </c>
      <c r="L273">
        <f>IF(OR(B273="",C273=""),0,IFERROR(N(INDEX(Ingredients!$AE$6:$AE$105,MATCH(C273,Ingredients!$B$6:$B$105,0))),0))</f>
        <v/>
      </c>
      <c r="M273">
        <f>IF(OR(B273="",C273=""),0,IFERROR(N(INDEX(Ingredients!$AF$6:$AF$105,MATCH(C273,Ingredients!$B$6:$B$105,0))),0))</f>
        <v/>
      </c>
      <c r="N273">
        <f>IF(OR(B273="",C273=""),0,IFERROR(N(INDEX(Ingredients!$AG$6:$AG$105,MATCH(C273,Ingredients!$B$6:$B$105,0))),0))</f>
        <v/>
      </c>
      <c r="O273">
        <f>IF(OR(B273="",C273=""),0,IFERROR(N(INDEX(Ingredients!$AH$6:$AH$105,MATCH(C273,Ingredients!$B$6:$B$105,0))),0))</f>
        <v/>
      </c>
      <c r="P273">
        <f>IF(OR(B273="",C273=""),0,IFERROR(N(INDEX(Ingredients!$AI$6:$AI$105,MATCH(C273,Ingredients!$B$6:$B$105,0))),0))</f>
        <v/>
      </c>
      <c r="Q273">
        <f>IF(OR(B273="",C273=""),0,IFERROR(N(INDEX(Ingredients!$AJ$6:$AJ$105,MATCH(C273,Ingredients!$B$6:$B$105,0))),0))</f>
        <v/>
      </c>
      <c r="R273">
        <f>IF(OR(B273="",C273=""),0,IFERROR(N(INDEX(Ingredients!$AK$6:$AK$105,MATCH(C273,Ingredients!$B$6:$B$105,0))),0))</f>
        <v/>
      </c>
      <c r="S273">
        <f>IF(OR(B273="",C273=""),0,IFERROR(N(INDEX(Ingredients!$AL$6:$AL$105,MATCH(C273,Ingredients!$B$6:$B$105,0))),0))</f>
        <v/>
      </c>
      <c r="T273">
        <f>IF(OR(B273="",C273=""),0,IFERROR(N(INDEX(Ingredients!$AM$6:$AM$105,MATCH(C273,Ingredients!$B$6:$B$105,0))),0))</f>
        <v/>
      </c>
      <c r="U273">
        <f>IF(OR(B273="",C273=""),0,IFERROR(N(INDEX(Ingredients!$AN$6:$AN$105,MATCH(C273,Ingredients!$B$6:$B$105,0))),0))</f>
        <v/>
      </c>
      <c r="V273">
        <f>IF(OR(B273="",C273=""),0,IFERROR(N(INDEX(Ingredients!$AO$6:$AO$105,MATCH(C273,Ingredients!$B$6:$B$105,0))),0))</f>
        <v/>
      </c>
      <c r="W273">
        <f>IF(OR(B273="",C273=""),0,IFERROR(N(INDEX(Ingredients!$AP$6:$AP$105,MATCH(C273,Ingredients!$B$6:$B$105,0))),0))</f>
        <v/>
      </c>
      <c r="X273">
        <f>IF(OR(B273="",C273=""),0,IFERROR(N(INDEX(Ingredients!$AQ$6:$AQ$105,MATCH(C273,Ingredients!$B$6:$B$105,0))),0))</f>
        <v/>
      </c>
    </row>
    <row r="274">
      <c r="A274" s="1" t="n"/>
      <c r="B274" s="21" t="n"/>
      <c r="C274" s="39" t="n"/>
      <c r="D274" s="40" t="n"/>
      <c r="E274" s="12">
        <f>IF(C274="","",IF(ISNA(MATCH(C274,Ingredients!$B$6:$B$105,0)),"Not on Ingredients",IFERROR(IF(INDEX(Ingredients!$C$6:$C$105,MATCH(C274,Ingredients!$B$6:$B$105,0))="","",INDEX(Ingredients!$C$6:$C$105,MATCH(C274,Ingredients!$B$6:$B$105,0))),"")))</f>
        <v/>
      </c>
      <c r="F274" s="26">
        <f>IF(OR(B274="",C274=""),"",N(D274)*IFERROR(N(INDEX(Ingredients!$H$6:$H$105,MATCH(C274,Ingredients!$B$6:$B$105,0))),0))</f>
        <v/>
      </c>
      <c r="G274" s="1">
        <f>IF(OR(B274="",C274=""),0,IFERROR(N(INDEX(Products!$D$6:$D$45,MATCH(B274,Products!$B$6:$B$45,0))),0))</f>
        <v/>
      </c>
      <c r="H274">
        <f>IF(N(G274)=0,0,N(D274)*SUMIFS(Batches!$D$6:$D$505,Batches!$C$6:$C$505,B274)/G274)</f>
        <v/>
      </c>
      <c r="I274">
        <f>IF(OR(B274="",C274=""),"",IF(B274&lt;&gt;Label!$H$3,"",IF(IFERROR(N(INDEX(Ingredients!$AS$6:$AS$105,MATCH(C274,Ingredients!$B$6:$B$105,0))),0)=1,"",ROUND(N(D274)*1000,0)*100000+100000-ROW())))</f>
        <v/>
      </c>
      <c r="J274">
        <f>IF(OR(B274="",C274=""),0,IFERROR(N(INDEX(Ingredients!$AC$6:$AC$105,MATCH(C274,Ingredients!$B$6:$B$105,0))),0))</f>
        <v/>
      </c>
      <c r="K274">
        <f>IF(OR(B274="",C274=""),0,IFERROR(N(INDEX(Ingredients!$AD$6:$AD$105,MATCH(C274,Ingredients!$B$6:$B$105,0))),0))</f>
        <v/>
      </c>
      <c r="L274">
        <f>IF(OR(B274="",C274=""),0,IFERROR(N(INDEX(Ingredients!$AE$6:$AE$105,MATCH(C274,Ingredients!$B$6:$B$105,0))),0))</f>
        <v/>
      </c>
      <c r="M274">
        <f>IF(OR(B274="",C274=""),0,IFERROR(N(INDEX(Ingredients!$AF$6:$AF$105,MATCH(C274,Ingredients!$B$6:$B$105,0))),0))</f>
        <v/>
      </c>
      <c r="N274">
        <f>IF(OR(B274="",C274=""),0,IFERROR(N(INDEX(Ingredients!$AG$6:$AG$105,MATCH(C274,Ingredients!$B$6:$B$105,0))),0))</f>
        <v/>
      </c>
      <c r="O274">
        <f>IF(OR(B274="",C274=""),0,IFERROR(N(INDEX(Ingredients!$AH$6:$AH$105,MATCH(C274,Ingredients!$B$6:$B$105,0))),0))</f>
        <v/>
      </c>
      <c r="P274">
        <f>IF(OR(B274="",C274=""),0,IFERROR(N(INDEX(Ingredients!$AI$6:$AI$105,MATCH(C274,Ingredients!$B$6:$B$105,0))),0))</f>
        <v/>
      </c>
      <c r="Q274">
        <f>IF(OR(B274="",C274=""),0,IFERROR(N(INDEX(Ingredients!$AJ$6:$AJ$105,MATCH(C274,Ingredients!$B$6:$B$105,0))),0))</f>
        <v/>
      </c>
      <c r="R274">
        <f>IF(OR(B274="",C274=""),0,IFERROR(N(INDEX(Ingredients!$AK$6:$AK$105,MATCH(C274,Ingredients!$B$6:$B$105,0))),0))</f>
        <v/>
      </c>
      <c r="S274">
        <f>IF(OR(B274="",C274=""),0,IFERROR(N(INDEX(Ingredients!$AL$6:$AL$105,MATCH(C274,Ingredients!$B$6:$B$105,0))),0))</f>
        <v/>
      </c>
      <c r="T274">
        <f>IF(OR(B274="",C274=""),0,IFERROR(N(INDEX(Ingredients!$AM$6:$AM$105,MATCH(C274,Ingredients!$B$6:$B$105,0))),0))</f>
        <v/>
      </c>
      <c r="U274">
        <f>IF(OR(B274="",C274=""),0,IFERROR(N(INDEX(Ingredients!$AN$6:$AN$105,MATCH(C274,Ingredients!$B$6:$B$105,0))),0))</f>
        <v/>
      </c>
      <c r="V274">
        <f>IF(OR(B274="",C274=""),0,IFERROR(N(INDEX(Ingredients!$AO$6:$AO$105,MATCH(C274,Ingredients!$B$6:$B$105,0))),0))</f>
        <v/>
      </c>
      <c r="W274">
        <f>IF(OR(B274="",C274=""),0,IFERROR(N(INDEX(Ingredients!$AP$6:$AP$105,MATCH(C274,Ingredients!$B$6:$B$105,0))),0))</f>
        <v/>
      </c>
      <c r="X274">
        <f>IF(OR(B274="",C274=""),0,IFERROR(N(INDEX(Ingredients!$AQ$6:$AQ$105,MATCH(C274,Ingredients!$B$6:$B$105,0))),0))</f>
        <v/>
      </c>
    </row>
    <row r="275">
      <c r="A275" s="1" t="n"/>
      <c r="B275" s="21" t="n"/>
      <c r="C275" s="39" t="n"/>
      <c r="D275" s="40" t="n"/>
      <c r="E275" s="12">
        <f>IF(C275="","",IF(ISNA(MATCH(C275,Ingredients!$B$6:$B$105,0)),"Not on Ingredients",IFERROR(IF(INDEX(Ingredients!$C$6:$C$105,MATCH(C275,Ingredients!$B$6:$B$105,0))="","",INDEX(Ingredients!$C$6:$C$105,MATCH(C275,Ingredients!$B$6:$B$105,0))),"")))</f>
        <v/>
      </c>
      <c r="F275" s="26">
        <f>IF(OR(B275="",C275=""),"",N(D275)*IFERROR(N(INDEX(Ingredients!$H$6:$H$105,MATCH(C275,Ingredients!$B$6:$B$105,0))),0))</f>
        <v/>
      </c>
      <c r="G275" s="1">
        <f>IF(OR(B275="",C275=""),0,IFERROR(N(INDEX(Products!$D$6:$D$45,MATCH(B275,Products!$B$6:$B$45,0))),0))</f>
        <v/>
      </c>
      <c r="H275">
        <f>IF(N(G275)=0,0,N(D275)*SUMIFS(Batches!$D$6:$D$505,Batches!$C$6:$C$505,B275)/G275)</f>
        <v/>
      </c>
      <c r="I275">
        <f>IF(OR(B275="",C275=""),"",IF(B275&lt;&gt;Label!$H$3,"",IF(IFERROR(N(INDEX(Ingredients!$AS$6:$AS$105,MATCH(C275,Ingredients!$B$6:$B$105,0))),0)=1,"",ROUND(N(D275)*1000,0)*100000+100000-ROW())))</f>
        <v/>
      </c>
      <c r="J275">
        <f>IF(OR(B275="",C275=""),0,IFERROR(N(INDEX(Ingredients!$AC$6:$AC$105,MATCH(C275,Ingredients!$B$6:$B$105,0))),0))</f>
        <v/>
      </c>
      <c r="K275">
        <f>IF(OR(B275="",C275=""),0,IFERROR(N(INDEX(Ingredients!$AD$6:$AD$105,MATCH(C275,Ingredients!$B$6:$B$105,0))),0))</f>
        <v/>
      </c>
      <c r="L275">
        <f>IF(OR(B275="",C275=""),0,IFERROR(N(INDEX(Ingredients!$AE$6:$AE$105,MATCH(C275,Ingredients!$B$6:$B$105,0))),0))</f>
        <v/>
      </c>
      <c r="M275">
        <f>IF(OR(B275="",C275=""),0,IFERROR(N(INDEX(Ingredients!$AF$6:$AF$105,MATCH(C275,Ingredients!$B$6:$B$105,0))),0))</f>
        <v/>
      </c>
      <c r="N275">
        <f>IF(OR(B275="",C275=""),0,IFERROR(N(INDEX(Ingredients!$AG$6:$AG$105,MATCH(C275,Ingredients!$B$6:$B$105,0))),0))</f>
        <v/>
      </c>
      <c r="O275">
        <f>IF(OR(B275="",C275=""),0,IFERROR(N(INDEX(Ingredients!$AH$6:$AH$105,MATCH(C275,Ingredients!$B$6:$B$105,0))),0))</f>
        <v/>
      </c>
      <c r="P275">
        <f>IF(OR(B275="",C275=""),0,IFERROR(N(INDEX(Ingredients!$AI$6:$AI$105,MATCH(C275,Ingredients!$B$6:$B$105,0))),0))</f>
        <v/>
      </c>
      <c r="Q275">
        <f>IF(OR(B275="",C275=""),0,IFERROR(N(INDEX(Ingredients!$AJ$6:$AJ$105,MATCH(C275,Ingredients!$B$6:$B$105,0))),0))</f>
        <v/>
      </c>
      <c r="R275">
        <f>IF(OR(B275="",C275=""),0,IFERROR(N(INDEX(Ingredients!$AK$6:$AK$105,MATCH(C275,Ingredients!$B$6:$B$105,0))),0))</f>
        <v/>
      </c>
      <c r="S275">
        <f>IF(OR(B275="",C275=""),0,IFERROR(N(INDEX(Ingredients!$AL$6:$AL$105,MATCH(C275,Ingredients!$B$6:$B$105,0))),0))</f>
        <v/>
      </c>
      <c r="T275">
        <f>IF(OR(B275="",C275=""),0,IFERROR(N(INDEX(Ingredients!$AM$6:$AM$105,MATCH(C275,Ingredients!$B$6:$B$105,0))),0))</f>
        <v/>
      </c>
      <c r="U275">
        <f>IF(OR(B275="",C275=""),0,IFERROR(N(INDEX(Ingredients!$AN$6:$AN$105,MATCH(C275,Ingredients!$B$6:$B$105,0))),0))</f>
        <v/>
      </c>
      <c r="V275">
        <f>IF(OR(B275="",C275=""),0,IFERROR(N(INDEX(Ingredients!$AO$6:$AO$105,MATCH(C275,Ingredients!$B$6:$B$105,0))),0))</f>
        <v/>
      </c>
      <c r="W275">
        <f>IF(OR(B275="",C275=""),0,IFERROR(N(INDEX(Ingredients!$AP$6:$AP$105,MATCH(C275,Ingredients!$B$6:$B$105,0))),0))</f>
        <v/>
      </c>
      <c r="X275">
        <f>IF(OR(B275="",C275=""),0,IFERROR(N(INDEX(Ingredients!$AQ$6:$AQ$105,MATCH(C275,Ingredients!$B$6:$B$105,0))),0))</f>
        <v/>
      </c>
    </row>
    <row r="276">
      <c r="A276" s="1" t="n"/>
      <c r="B276" s="21" t="n"/>
      <c r="C276" s="39" t="n"/>
      <c r="D276" s="40" t="n"/>
      <c r="E276" s="12">
        <f>IF(C276="","",IF(ISNA(MATCH(C276,Ingredients!$B$6:$B$105,0)),"Not on Ingredients",IFERROR(IF(INDEX(Ingredients!$C$6:$C$105,MATCH(C276,Ingredients!$B$6:$B$105,0))="","",INDEX(Ingredients!$C$6:$C$105,MATCH(C276,Ingredients!$B$6:$B$105,0))),"")))</f>
        <v/>
      </c>
      <c r="F276" s="26">
        <f>IF(OR(B276="",C276=""),"",N(D276)*IFERROR(N(INDEX(Ingredients!$H$6:$H$105,MATCH(C276,Ingredients!$B$6:$B$105,0))),0))</f>
        <v/>
      </c>
      <c r="G276" s="1">
        <f>IF(OR(B276="",C276=""),0,IFERROR(N(INDEX(Products!$D$6:$D$45,MATCH(B276,Products!$B$6:$B$45,0))),0))</f>
        <v/>
      </c>
      <c r="H276">
        <f>IF(N(G276)=0,0,N(D276)*SUMIFS(Batches!$D$6:$D$505,Batches!$C$6:$C$505,B276)/G276)</f>
        <v/>
      </c>
      <c r="I276">
        <f>IF(OR(B276="",C276=""),"",IF(B276&lt;&gt;Label!$H$3,"",IF(IFERROR(N(INDEX(Ingredients!$AS$6:$AS$105,MATCH(C276,Ingredients!$B$6:$B$105,0))),0)=1,"",ROUND(N(D276)*1000,0)*100000+100000-ROW())))</f>
        <v/>
      </c>
      <c r="J276">
        <f>IF(OR(B276="",C276=""),0,IFERROR(N(INDEX(Ingredients!$AC$6:$AC$105,MATCH(C276,Ingredients!$B$6:$B$105,0))),0))</f>
        <v/>
      </c>
      <c r="K276">
        <f>IF(OR(B276="",C276=""),0,IFERROR(N(INDEX(Ingredients!$AD$6:$AD$105,MATCH(C276,Ingredients!$B$6:$B$105,0))),0))</f>
        <v/>
      </c>
      <c r="L276">
        <f>IF(OR(B276="",C276=""),0,IFERROR(N(INDEX(Ingredients!$AE$6:$AE$105,MATCH(C276,Ingredients!$B$6:$B$105,0))),0))</f>
        <v/>
      </c>
      <c r="M276">
        <f>IF(OR(B276="",C276=""),0,IFERROR(N(INDEX(Ingredients!$AF$6:$AF$105,MATCH(C276,Ingredients!$B$6:$B$105,0))),0))</f>
        <v/>
      </c>
      <c r="N276">
        <f>IF(OR(B276="",C276=""),0,IFERROR(N(INDEX(Ingredients!$AG$6:$AG$105,MATCH(C276,Ingredients!$B$6:$B$105,0))),0))</f>
        <v/>
      </c>
      <c r="O276">
        <f>IF(OR(B276="",C276=""),0,IFERROR(N(INDEX(Ingredients!$AH$6:$AH$105,MATCH(C276,Ingredients!$B$6:$B$105,0))),0))</f>
        <v/>
      </c>
      <c r="P276">
        <f>IF(OR(B276="",C276=""),0,IFERROR(N(INDEX(Ingredients!$AI$6:$AI$105,MATCH(C276,Ingredients!$B$6:$B$105,0))),0))</f>
        <v/>
      </c>
      <c r="Q276">
        <f>IF(OR(B276="",C276=""),0,IFERROR(N(INDEX(Ingredients!$AJ$6:$AJ$105,MATCH(C276,Ingredients!$B$6:$B$105,0))),0))</f>
        <v/>
      </c>
      <c r="R276">
        <f>IF(OR(B276="",C276=""),0,IFERROR(N(INDEX(Ingredients!$AK$6:$AK$105,MATCH(C276,Ingredients!$B$6:$B$105,0))),0))</f>
        <v/>
      </c>
      <c r="S276">
        <f>IF(OR(B276="",C276=""),0,IFERROR(N(INDEX(Ingredients!$AL$6:$AL$105,MATCH(C276,Ingredients!$B$6:$B$105,0))),0))</f>
        <v/>
      </c>
      <c r="T276">
        <f>IF(OR(B276="",C276=""),0,IFERROR(N(INDEX(Ingredients!$AM$6:$AM$105,MATCH(C276,Ingredients!$B$6:$B$105,0))),0))</f>
        <v/>
      </c>
      <c r="U276">
        <f>IF(OR(B276="",C276=""),0,IFERROR(N(INDEX(Ingredients!$AN$6:$AN$105,MATCH(C276,Ingredients!$B$6:$B$105,0))),0))</f>
        <v/>
      </c>
      <c r="V276">
        <f>IF(OR(B276="",C276=""),0,IFERROR(N(INDEX(Ingredients!$AO$6:$AO$105,MATCH(C276,Ingredients!$B$6:$B$105,0))),0))</f>
        <v/>
      </c>
      <c r="W276">
        <f>IF(OR(B276="",C276=""),0,IFERROR(N(INDEX(Ingredients!$AP$6:$AP$105,MATCH(C276,Ingredients!$B$6:$B$105,0))),0))</f>
        <v/>
      </c>
      <c r="X276">
        <f>IF(OR(B276="",C276=""),0,IFERROR(N(INDEX(Ingredients!$AQ$6:$AQ$105,MATCH(C276,Ingredients!$B$6:$B$105,0))),0))</f>
        <v/>
      </c>
    </row>
    <row r="277">
      <c r="A277" s="1" t="n"/>
      <c r="B277" s="21" t="n"/>
      <c r="C277" s="39" t="n"/>
      <c r="D277" s="40" t="n"/>
      <c r="E277" s="12">
        <f>IF(C277="","",IF(ISNA(MATCH(C277,Ingredients!$B$6:$B$105,0)),"Not on Ingredients",IFERROR(IF(INDEX(Ingredients!$C$6:$C$105,MATCH(C277,Ingredients!$B$6:$B$105,0))="","",INDEX(Ingredients!$C$6:$C$105,MATCH(C277,Ingredients!$B$6:$B$105,0))),"")))</f>
        <v/>
      </c>
      <c r="F277" s="26">
        <f>IF(OR(B277="",C277=""),"",N(D277)*IFERROR(N(INDEX(Ingredients!$H$6:$H$105,MATCH(C277,Ingredients!$B$6:$B$105,0))),0))</f>
        <v/>
      </c>
      <c r="G277" s="1">
        <f>IF(OR(B277="",C277=""),0,IFERROR(N(INDEX(Products!$D$6:$D$45,MATCH(B277,Products!$B$6:$B$45,0))),0))</f>
        <v/>
      </c>
      <c r="H277">
        <f>IF(N(G277)=0,0,N(D277)*SUMIFS(Batches!$D$6:$D$505,Batches!$C$6:$C$505,B277)/G277)</f>
        <v/>
      </c>
      <c r="I277">
        <f>IF(OR(B277="",C277=""),"",IF(B277&lt;&gt;Label!$H$3,"",IF(IFERROR(N(INDEX(Ingredients!$AS$6:$AS$105,MATCH(C277,Ingredients!$B$6:$B$105,0))),0)=1,"",ROUND(N(D277)*1000,0)*100000+100000-ROW())))</f>
        <v/>
      </c>
      <c r="J277">
        <f>IF(OR(B277="",C277=""),0,IFERROR(N(INDEX(Ingredients!$AC$6:$AC$105,MATCH(C277,Ingredients!$B$6:$B$105,0))),0))</f>
        <v/>
      </c>
      <c r="K277">
        <f>IF(OR(B277="",C277=""),0,IFERROR(N(INDEX(Ingredients!$AD$6:$AD$105,MATCH(C277,Ingredients!$B$6:$B$105,0))),0))</f>
        <v/>
      </c>
      <c r="L277">
        <f>IF(OR(B277="",C277=""),0,IFERROR(N(INDEX(Ingredients!$AE$6:$AE$105,MATCH(C277,Ingredients!$B$6:$B$105,0))),0))</f>
        <v/>
      </c>
      <c r="M277">
        <f>IF(OR(B277="",C277=""),0,IFERROR(N(INDEX(Ingredients!$AF$6:$AF$105,MATCH(C277,Ingredients!$B$6:$B$105,0))),0))</f>
        <v/>
      </c>
      <c r="N277">
        <f>IF(OR(B277="",C277=""),0,IFERROR(N(INDEX(Ingredients!$AG$6:$AG$105,MATCH(C277,Ingredients!$B$6:$B$105,0))),0))</f>
        <v/>
      </c>
      <c r="O277">
        <f>IF(OR(B277="",C277=""),0,IFERROR(N(INDEX(Ingredients!$AH$6:$AH$105,MATCH(C277,Ingredients!$B$6:$B$105,0))),0))</f>
        <v/>
      </c>
      <c r="P277">
        <f>IF(OR(B277="",C277=""),0,IFERROR(N(INDEX(Ingredients!$AI$6:$AI$105,MATCH(C277,Ingredients!$B$6:$B$105,0))),0))</f>
        <v/>
      </c>
      <c r="Q277">
        <f>IF(OR(B277="",C277=""),0,IFERROR(N(INDEX(Ingredients!$AJ$6:$AJ$105,MATCH(C277,Ingredients!$B$6:$B$105,0))),0))</f>
        <v/>
      </c>
      <c r="R277">
        <f>IF(OR(B277="",C277=""),0,IFERROR(N(INDEX(Ingredients!$AK$6:$AK$105,MATCH(C277,Ingredients!$B$6:$B$105,0))),0))</f>
        <v/>
      </c>
      <c r="S277">
        <f>IF(OR(B277="",C277=""),0,IFERROR(N(INDEX(Ingredients!$AL$6:$AL$105,MATCH(C277,Ingredients!$B$6:$B$105,0))),0))</f>
        <v/>
      </c>
      <c r="T277">
        <f>IF(OR(B277="",C277=""),0,IFERROR(N(INDEX(Ingredients!$AM$6:$AM$105,MATCH(C277,Ingredients!$B$6:$B$105,0))),0))</f>
        <v/>
      </c>
      <c r="U277">
        <f>IF(OR(B277="",C277=""),0,IFERROR(N(INDEX(Ingredients!$AN$6:$AN$105,MATCH(C277,Ingredients!$B$6:$B$105,0))),0))</f>
        <v/>
      </c>
      <c r="V277">
        <f>IF(OR(B277="",C277=""),0,IFERROR(N(INDEX(Ingredients!$AO$6:$AO$105,MATCH(C277,Ingredients!$B$6:$B$105,0))),0))</f>
        <v/>
      </c>
      <c r="W277">
        <f>IF(OR(B277="",C277=""),0,IFERROR(N(INDEX(Ingredients!$AP$6:$AP$105,MATCH(C277,Ingredients!$B$6:$B$105,0))),0))</f>
        <v/>
      </c>
      <c r="X277">
        <f>IF(OR(B277="",C277=""),0,IFERROR(N(INDEX(Ingredients!$AQ$6:$AQ$105,MATCH(C277,Ingredients!$B$6:$B$105,0))),0))</f>
        <v/>
      </c>
    </row>
    <row r="278">
      <c r="A278" s="1" t="n"/>
      <c r="B278" s="21" t="n"/>
      <c r="C278" s="39" t="n"/>
      <c r="D278" s="40" t="n"/>
      <c r="E278" s="12">
        <f>IF(C278="","",IF(ISNA(MATCH(C278,Ingredients!$B$6:$B$105,0)),"Not on Ingredients",IFERROR(IF(INDEX(Ingredients!$C$6:$C$105,MATCH(C278,Ingredients!$B$6:$B$105,0))="","",INDEX(Ingredients!$C$6:$C$105,MATCH(C278,Ingredients!$B$6:$B$105,0))),"")))</f>
        <v/>
      </c>
      <c r="F278" s="26">
        <f>IF(OR(B278="",C278=""),"",N(D278)*IFERROR(N(INDEX(Ingredients!$H$6:$H$105,MATCH(C278,Ingredients!$B$6:$B$105,0))),0))</f>
        <v/>
      </c>
      <c r="G278" s="1">
        <f>IF(OR(B278="",C278=""),0,IFERROR(N(INDEX(Products!$D$6:$D$45,MATCH(B278,Products!$B$6:$B$45,0))),0))</f>
        <v/>
      </c>
      <c r="H278">
        <f>IF(N(G278)=0,0,N(D278)*SUMIFS(Batches!$D$6:$D$505,Batches!$C$6:$C$505,B278)/G278)</f>
        <v/>
      </c>
      <c r="I278">
        <f>IF(OR(B278="",C278=""),"",IF(B278&lt;&gt;Label!$H$3,"",IF(IFERROR(N(INDEX(Ingredients!$AS$6:$AS$105,MATCH(C278,Ingredients!$B$6:$B$105,0))),0)=1,"",ROUND(N(D278)*1000,0)*100000+100000-ROW())))</f>
        <v/>
      </c>
      <c r="J278">
        <f>IF(OR(B278="",C278=""),0,IFERROR(N(INDEX(Ingredients!$AC$6:$AC$105,MATCH(C278,Ingredients!$B$6:$B$105,0))),0))</f>
        <v/>
      </c>
      <c r="K278">
        <f>IF(OR(B278="",C278=""),0,IFERROR(N(INDEX(Ingredients!$AD$6:$AD$105,MATCH(C278,Ingredients!$B$6:$B$105,0))),0))</f>
        <v/>
      </c>
      <c r="L278">
        <f>IF(OR(B278="",C278=""),0,IFERROR(N(INDEX(Ingredients!$AE$6:$AE$105,MATCH(C278,Ingredients!$B$6:$B$105,0))),0))</f>
        <v/>
      </c>
      <c r="M278">
        <f>IF(OR(B278="",C278=""),0,IFERROR(N(INDEX(Ingredients!$AF$6:$AF$105,MATCH(C278,Ingredients!$B$6:$B$105,0))),0))</f>
        <v/>
      </c>
      <c r="N278">
        <f>IF(OR(B278="",C278=""),0,IFERROR(N(INDEX(Ingredients!$AG$6:$AG$105,MATCH(C278,Ingredients!$B$6:$B$105,0))),0))</f>
        <v/>
      </c>
      <c r="O278">
        <f>IF(OR(B278="",C278=""),0,IFERROR(N(INDEX(Ingredients!$AH$6:$AH$105,MATCH(C278,Ingredients!$B$6:$B$105,0))),0))</f>
        <v/>
      </c>
      <c r="P278">
        <f>IF(OR(B278="",C278=""),0,IFERROR(N(INDEX(Ingredients!$AI$6:$AI$105,MATCH(C278,Ingredients!$B$6:$B$105,0))),0))</f>
        <v/>
      </c>
      <c r="Q278">
        <f>IF(OR(B278="",C278=""),0,IFERROR(N(INDEX(Ingredients!$AJ$6:$AJ$105,MATCH(C278,Ingredients!$B$6:$B$105,0))),0))</f>
        <v/>
      </c>
      <c r="R278">
        <f>IF(OR(B278="",C278=""),0,IFERROR(N(INDEX(Ingredients!$AK$6:$AK$105,MATCH(C278,Ingredients!$B$6:$B$105,0))),0))</f>
        <v/>
      </c>
      <c r="S278">
        <f>IF(OR(B278="",C278=""),0,IFERROR(N(INDEX(Ingredients!$AL$6:$AL$105,MATCH(C278,Ingredients!$B$6:$B$105,0))),0))</f>
        <v/>
      </c>
      <c r="T278">
        <f>IF(OR(B278="",C278=""),0,IFERROR(N(INDEX(Ingredients!$AM$6:$AM$105,MATCH(C278,Ingredients!$B$6:$B$105,0))),0))</f>
        <v/>
      </c>
      <c r="U278">
        <f>IF(OR(B278="",C278=""),0,IFERROR(N(INDEX(Ingredients!$AN$6:$AN$105,MATCH(C278,Ingredients!$B$6:$B$105,0))),0))</f>
        <v/>
      </c>
      <c r="V278">
        <f>IF(OR(B278="",C278=""),0,IFERROR(N(INDEX(Ingredients!$AO$6:$AO$105,MATCH(C278,Ingredients!$B$6:$B$105,0))),0))</f>
        <v/>
      </c>
      <c r="W278">
        <f>IF(OR(B278="",C278=""),0,IFERROR(N(INDEX(Ingredients!$AP$6:$AP$105,MATCH(C278,Ingredients!$B$6:$B$105,0))),0))</f>
        <v/>
      </c>
      <c r="X278">
        <f>IF(OR(B278="",C278=""),0,IFERROR(N(INDEX(Ingredients!$AQ$6:$AQ$105,MATCH(C278,Ingredients!$B$6:$B$105,0))),0))</f>
        <v/>
      </c>
    </row>
    <row r="279">
      <c r="A279" s="1" t="n"/>
      <c r="B279" s="21" t="n"/>
      <c r="C279" s="39" t="n"/>
      <c r="D279" s="40" t="n"/>
      <c r="E279" s="12">
        <f>IF(C279="","",IF(ISNA(MATCH(C279,Ingredients!$B$6:$B$105,0)),"Not on Ingredients",IFERROR(IF(INDEX(Ingredients!$C$6:$C$105,MATCH(C279,Ingredients!$B$6:$B$105,0))="","",INDEX(Ingredients!$C$6:$C$105,MATCH(C279,Ingredients!$B$6:$B$105,0))),"")))</f>
        <v/>
      </c>
      <c r="F279" s="26">
        <f>IF(OR(B279="",C279=""),"",N(D279)*IFERROR(N(INDEX(Ingredients!$H$6:$H$105,MATCH(C279,Ingredients!$B$6:$B$105,0))),0))</f>
        <v/>
      </c>
      <c r="G279" s="1">
        <f>IF(OR(B279="",C279=""),0,IFERROR(N(INDEX(Products!$D$6:$D$45,MATCH(B279,Products!$B$6:$B$45,0))),0))</f>
        <v/>
      </c>
      <c r="H279">
        <f>IF(N(G279)=0,0,N(D279)*SUMIFS(Batches!$D$6:$D$505,Batches!$C$6:$C$505,B279)/G279)</f>
        <v/>
      </c>
      <c r="I279">
        <f>IF(OR(B279="",C279=""),"",IF(B279&lt;&gt;Label!$H$3,"",IF(IFERROR(N(INDEX(Ingredients!$AS$6:$AS$105,MATCH(C279,Ingredients!$B$6:$B$105,0))),0)=1,"",ROUND(N(D279)*1000,0)*100000+100000-ROW())))</f>
        <v/>
      </c>
      <c r="J279">
        <f>IF(OR(B279="",C279=""),0,IFERROR(N(INDEX(Ingredients!$AC$6:$AC$105,MATCH(C279,Ingredients!$B$6:$B$105,0))),0))</f>
        <v/>
      </c>
      <c r="K279">
        <f>IF(OR(B279="",C279=""),0,IFERROR(N(INDEX(Ingredients!$AD$6:$AD$105,MATCH(C279,Ingredients!$B$6:$B$105,0))),0))</f>
        <v/>
      </c>
      <c r="L279">
        <f>IF(OR(B279="",C279=""),0,IFERROR(N(INDEX(Ingredients!$AE$6:$AE$105,MATCH(C279,Ingredients!$B$6:$B$105,0))),0))</f>
        <v/>
      </c>
      <c r="M279">
        <f>IF(OR(B279="",C279=""),0,IFERROR(N(INDEX(Ingredients!$AF$6:$AF$105,MATCH(C279,Ingredients!$B$6:$B$105,0))),0))</f>
        <v/>
      </c>
      <c r="N279">
        <f>IF(OR(B279="",C279=""),0,IFERROR(N(INDEX(Ingredients!$AG$6:$AG$105,MATCH(C279,Ingredients!$B$6:$B$105,0))),0))</f>
        <v/>
      </c>
      <c r="O279">
        <f>IF(OR(B279="",C279=""),0,IFERROR(N(INDEX(Ingredients!$AH$6:$AH$105,MATCH(C279,Ingredients!$B$6:$B$105,0))),0))</f>
        <v/>
      </c>
      <c r="P279">
        <f>IF(OR(B279="",C279=""),0,IFERROR(N(INDEX(Ingredients!$AI$6:$AI$105,MATCH(C279,Ingredients!$B$6:$B$105,0))),0))</f>
        <v/>
      </c>
      <c r="Q279">
        <f>IF(OR(B279="",C279=""),0,IFERROR(N(INDEX(Ingredients!$AJ$6:$AJ$105,MATCH(C279,Ingredients!$B$6:$B$105,0))),0))</f>
        <v/>
      </c>
      <c r="R279">
        <f>IF(OR(B279="",C279=""),0,IFERROR(N(INDEX(Ingredients!$AK$6:$AK$105,MATCH(C279,Ingredients!$B$6:$B$105,0))),0))</f>
        <v/>
      </c>
      <c r="S279">
        <f>IF(OR(B279="",C279=""),0,IFERROR(N(INDEX(Ingredients!$AL$6:$AL$105,MATCH(C279,Ingredients!$B$6:$B$105,0))),0))</f>
        <v/>
      </c>
      <c r="T279">
        <f>IF(OR(B279="",C279=""),0,IFERROR(N(INDEX(Ingredients!$AM$6:$AM$105,MATCH(C279,Ingredients!$B$6:$B$105,0))),0))</f>
        <v/>
      </c>
      <c r="U279">
        <f>IF(OR(B279="",C279=""),0,IFERROR(N(INDEX(Ingredients!$AN$6:$AN$105,MATCH(C279,Ingredients!$B$6:$B$105,0))),0))</f>
        <v/>
      </c>
      <c r="V279">
        <f>IF(OR(B279="",C279=""),0,IFERROR(N(INDEX(Ingredients!$AO$6:$AO$105,MATCH(C279,Ingredients!$B$6:$B$105,0))),0))</f>
        <v/>
      </c>
      <c r="W279">
        <f>IF(OR(B279="",C279=""),0,IFERROR(N(INDEX(Ingredients!$AP$6:$AP$105,MATCH(C279,Ingredients!$B$6:$B$105,0))),0))</f>
        <v/>
      </c>
      <c r="X279">
        <f>IF(OR(B279="",C279=""),0,IFERROR(N(INDEX(Ingredients!$AQ$6:$AQ$105,MATCH(C279,Ingredients!$B$6:$B$105,0))),0))</f>
        <v/>
      </c>
    </row>
    <row r="280">
      <c r="A280" s="1" t="n"/>
      <c r="B280" s="21" t="n"/>
      <c r="C280" s="39" t="n"/>
      <c r="D280" s="40" t="n"/>
      <c r="E280" s="12">
        <f>IF(C280="","",IF(ISNA(MATCH(C280,Ingredients!$B$6:$B$105,0)),"Not on Ingredients",IFERROR(IF(INDEX(Ingredients!$C$6:$C$105,MATCH(C280,Ingredients!$B$6:$B$105,0))="","",INDEX(Ingredients!$C$6:$C$105,MATCH(C280,Ingredients!$B$6:$B$105,0))),"")))</f>
        <v/>
      </c>
      <c r="F280" s="26">
        <f>IF(OR(B280="",C280=""),"",N(D280)*IFERROR(N(INDEX(Ingredients!$H$6:$H$105,MATCH(C280,Ingredients!$B$6:$B$105,0))),0))</f>
        <v/>
      </c>
      <c r="G280" s="1">
        <f>IF(OR(B280="",C280=""),0,IFERROR(N(INDEX(Products!$D$6:$D$45,MATCH(B280,Products!$B$6:$B$45,0))),0))</f>
        <v/>
      </c>
      <c r="H280">
        <f>IF(N(G280)=0,0,N(D280)*SUMIFS(Batches!$D$6:$D$505,Batches!$C$6:$C$505,B280)/G280)</f>
        <v/>
      </c>
      <c r="I280">
        <f>IF(OR(B280="",C280=""),"",IF(B280&lt;&gt;Label!$H$3,"",IF(IFERROR(N(INDEX(Ingredients!$AS$6:$AS$105,MATCH(C280,Ingredients!$B$6:$B$105,0))),0)=1,"",ROUND(N(D280)*1000,0)*100000+100000-ROW())))</f>
        <v/>
      </c>
      <c r="J280">
        <f>IF(OR(B280="",C280=""),0,IFERROR(N(INDEX(Ingredients!$AC$6:$AC$105,MATCH(C280,Ingredients!$B$6:$B$105,0))),0))</f>
        <v/>
      </c>
      <c r="K280">
        <f>IF(OR(B280="",C280=""),0,IFERROR(N(INDEX(Ingredients!$AD$6:$AD$105,MATCH(C280,Ingredients!$B$6:$B$105,0))),0))</f>
        <v/>
      </c>
      <c r="L280">
        <f>IF(OR(B280="",C280=""),0,IFERROR(N(INDEX(Ingredients!$AE$6:$AE$105,MATCH(C280,Ingredients!$B$6:$B$105,0))),0))</f>
        <v/>
      </c>
      <c r="M280">
        <f>IF(OR(B280="",C280=""),0,IFERROR(N(INDEX(Ingredients!$AF$6:$AF$105,MATCH(C280,Ingredients!$B$6:$B$105,0))),0))</f>
        <v/>
      </c>
      <c r="N280">
        <f>IF(OR(B280="",C280=""),0,IFERROR(N(INDEX(Ingredients!$AG$6:$AG$105,MATCH(C280,Ingredients!$B$6:$B$105,0))),0))</f>
        <v/>
      </c>
      <c r="O280">
        <f>IF(OR(B280="",C280=""),0,IFERROR(N(INDEX(Ingredients!$AH$6:$AH$105,MATCH(C280,Ingredients!$B$6:$B$105,0))),0))</f>
        <v/>
      </c>
      <c r="P280">
        <f>IF(OR(B280="",C280=""),0,IFERROR(N(INDEX(Ingredients!$AI$6:$AI$105,MATCH(C280,Ingredients!$B$6:$B$105,0))),0))</f>
        <v/>
      </c>
      <c r="Q280">
        <f>IF(OR(B280="",C280=""),0,IFERROR(N(INDEX(Ingredients!$AJ$6:$AJ$105,MATCH(C280,Ingredients!$B$6:$B$105,0))),0))</f>
        <v/>
      </c>
      <c r="R280">
        <f>IF(OR(B280="",C280=""),0,IFERROR(N(INDEX(Ingredients!$AK$6:$AK$105,MATCH(C280,Ingredients!$B$6:$B$105,0))),0))</f>
        <v/>
      </c>
      <c r="S280">
        <f>IF(OR(B280="",C280=""),0,IFERROR(N(INDEX(Ingredients!$AL$6:$AL$105,MATCH(C280,Ingredients!$B$6:$B$105,0))),0))</f>
        <v/>
      </c>
      <c r="T280">
        <f>IF(OR(B280="",C280=""),0,IFERROR(N(INDEX(Ingredients!$AM$6:$AM$105,MATCH(C280,Ingredients!$B$6:$B$105,0))),0))</f>
        <v/>
      </c>
      <c r="U280">
        <f>IF(OR(B280="",C280=""),0,IFERROR(N(INDEX(Ingredients!$AN$6:$AN$105,MATCH(C280,Ingredients!$B$6:$B$105,0))),0))</f>
        <v/>
      </c>
      <c r="V280">
        <f>IF(OR(B280="",C280=""),0,IFERROR(N(INDEX(Ingredients!$AO$6:$AO$105,MATCH(C280,Ingredients!$B$6:$B$105,0))),0))</f>
        <v/>
      </c>
      <c r="W280">
        <f>IF(OR(B280="",C280=""),0,IFERROR(N(INDEX(Ingredients!$AP$6:$AP$105,MATCH(C280,Ingredients!$B$6:$B$105,0))),0))</f>
        <v/>
      </c>
      <c r="X280">
        <f>IF(OR(B280="",C280=""),0,IFERROR(N(INDEX(Ingredients!$AQ$6:$AQ$105,MATCH(C280,Ingredients!$B$6:$B$105,0))),0))</f>
        <v/>
      </c>
    </row>
    <row r="281">
      <c r="A281" s="1" t="n"/>
      <c r="B281" s="21" t="n"/>
      <c r="C281" s="39" t="n"/>
      <c r="D281" s="40" t="n"/>
      <c r="E281" s="12">
        <f>IF(C281="","",IF(ISNA(MATCH(C281,Ingredients!$B$6:$B$105,0)),"Not on Ingredients",IFERROR(IF(INDEX(Ingredients!$C$6:$C$105,MATCH(C281,Ingredients!$B$6:$B$105,0))="","",INDEX(Ingredients!$C$6:$C$105,MATCH(C281,Ingredients!$B$6:$B$105,0))),"")))</f>
        <v/>
      </c>
      <c r="F281" s="26">
        <f>IF(OR(B281="",C281=""),"",N(D281)*IFERROR(N(INDEX(Ingredients!$H$6:$H$105,MATCH(C281,Ingredients!$B$6:$B$105,0))),0))</f>
        <v/>
      </c>
      <c r="G281" s="1">
        <f>IF(OR(B281="",C281=""),0,IFERROR(N(INDEX(Products!$D$6:$D$45,MATCH(B281,Products!$B$6:$B$45,0))),0))</f>
        <v/>
      </c>
      <c r="H281">
        <f>IF(N(G281)=0,0,N(D281)*SUMIFS(Batches!$D$6:$D$505,Batches!$C$6:$C$505,B281)/G281)</f>
        <v/>
      </c>
      <c r="I281">
        <f>IF(OR(B281="",C281=""),"",IF(B281&lt;&gt;Label!$H$3,"",IF(IFERROR(N(INDEX(Ingredients!$AS$6:$AS$105,MATCH(C281,Ingredients!$B$6:$B$105,0))),0)=1,"",ROUND(N(D281)*1000,0)*100000+100000-ROW())))</f>
        <v/>
      </c>
      <c r="J281">
        <f>IF(OR(B281="",C281=""),0,IFERROR(N(INDEX(Ingredients!$AC$6:$AC$105,MATCH(C281,Ingredients!$B$6:$B$105,0))),0))</f>
        <v/>
      </c>
      <c r="K281">
        <f>IF(OR(B281="",C281=""),0,IFERROR(N(INDEX(Ingredients!$AD$6:$AD$105,MATCH(C281,Ingredients!$B$6:$B$105,0))),0))</f>
        <v/>
      </c>
      <c r="L281">
        <f>IF(OR(B281="",C281=""),0,IFERROR(N(INDEX(Ingredients!$AE$6:$AE$105,MATCH(C281,Ingredients!$B$6:$B$105,0))),0))</f>
        <v/>
      </c>
      <c r="M281">
        <f>IF(OR(B281="",C281=""),0,IFERROR(N(INDEX(Ingredients!$AF$6:$AF$105,MATCH(C281,Ingredients!$B$6:$B$105,0))),0))</f>
        <v/>
      </c>
      <c r="N281">
        <f>IF(OR(B281="",C281=""),0,IFERROR(N(INDEX(Ingredients!$AG$6:$AG$105,MATCH(C281,Ingredients!$B$6:$B$105,0))),0))</f>
        <v/>
      </c>
      <c r="O281">
        <f>IF(OR(B281="",C281=""),0,IFERROR(N(INDEX(Ingredients!$AH$6:$AH$105,MATCH(C281,Ingredients!$B$6:$B$105,0))),0))</f>
        <v/>
      </c>
      <c r="P281">
        <f>IF(OR(B281="",C281=""),0,IFERROR(N(INDEX(Ingredients!$AI$6:$AI$105,MATCH(C281,Ingredients!$B$6:$B$105,0))),0))</f>
        <v/>
      </c>
      <c r="Q281">
        <f>IF(OR(B281="",C281=""),0,IFERROR(N(INDEX(Ingredients!$AJ$6:$AJ$105,MATCH(C281,Ingredients!$B$6:$B$105,0))),0))</f>
        <v/>
      </c>
      <c r="R281">
        <f>IF(OR(B281="",C281=""),0,IFERROR(N(INDEX(Ingredients!$AK$6:$AK$105,MATCH(C281,Ingredients!$B$6:$B$105,0))),0))</f>
        <v/>
      </c>
      <c r="S281">
        <f>IF(OR(B281="",C281=""),0,IFERROR(N(INDEX(Ingredients!$AL$6:$AL$105,MATCH(C281,Ingredients!$B$6:$B$105,0))),0))</f>
        <v/>
      </c>
      <c r="T281">
        <f>IF(OR(B281="",C281=""),0,IFERROR(N(INDEX(Ingredients!$AM$6:$AM$105,MATCH(C281,Ingredients!$B$6:$B$105,0))),0))</f>
        <v/>
      </c>
      <c r="U281">
        <f>IF(OR(B281="",C281=""),0,IFERROR(N(INDEX(Ingredients!$AN$6:$AN$105,MATCH(C281,Ingredients!$B$6:$B$105,0))),0))</f>
        <v/>
      </c>
      <c r="V281">
        <f>IF(OR(B281="",C281=""),0,IFERROR(N(INDEX(Ingredients!$AO$6:$AO$105,MATCH(C281,Ingredients!$B$6:$B$105,0))),0))</f>
        <v/>
      </c>
      <c r="W281">
        <f>IF(OR(B281="",C281=""),0,IFERROR(N(INDEX(Ingredients!$AP$6:$AP$105,MATCH(C281,Ingredients!$B$6:$B$105,0))),0))</f>
        <v/>
      </c>
      <c r="X281">
        <f>IF(OR(B281="",C281=""),0,IFERROR(N(INDEX(Ingredients!$AQ$6:$AQ$105,MATCH(C281,Ingredients!$B$6:$B$105,0))),0))</f>
        <v/>
      </c>
    </row>
    <row r="282">
      <c r="A282" s="1" t="n"/>
      <c r="B282" s="21" t="n"/>
      <c r="C282" s="39" t="n"/>
      <c r="D282" s="40" t="n"/>
      <c r="E282" s="12">
        <f>IF(C282="","",IF(ISNA(MATCH(C282,Ingredients!$B$6:$B$105,0)),"Not on Ingredients",IFERROR(IF(INDEX(Ingredients!$C$6:$C$105,MATCH(C282,Ingredients!$B$6:$B$105,0))="","",INDEX(Ingredients!$C$6:$C$105,MATCH(C282,Ingredients!$B$6:$B$105,0))),"")))</f>
        <v/>
      </c>
      <c r="F282" s="26">
        <f>IF(OR(B282="",C282=""),"",N(D282)*IFERROR(N(INDEX(Ingredients!$H$6:$H$105,MATCH(C282,Ingredients!$B$6:$B$105,0))),0))</f>
        <v/>
      </c>
      <c r="G282" s="1">
        <f>IF(OR(B282="",C282=""),0,IFERROR(N(INDEX(Products!$D$6:$D$45,MATCH(B282,Products!$B$6:$B$45,0))),0))</f>
        <v/>
      </c>
      <c r="H282">
        <f>IF(N(G282)=0,0,N(D282)*SUMIFS(Batches!$D$6:$D$505,Batches!$C$6:$C$505,B282)/G282)</f>
        <v/>
      </c>
      <c r="I282">
        <f>IF(OR(B282="",C282=""),"",IF(B282&lt;&gt;Label!$H$3,"",IF(IFERROR(N(INDEX(Ingredients!$AS$6:$AS$105,MATCH(C282,Ingredients!$B$6:$B$105,0))),0)=1,"",ROUND(N(D282)*1000,0)*100000+100000-ROW())))</f>
        <v/>
      </c>
      <c r="J282">
        <f>IF(OR(B282="",C282=""),0,IFERROR(N(INDEX(Ingredients!$AC$6:$AC$105,MATCH(C282,Ingredients!$B$6:$B$105,0))),0))</f>
        <v/>
      </c>
      <c r="K282">
        <f>IF(OR(B282="",C282=""),0,IFERROR(N(INDEX(Ingredients!$AD$6:$AD$105,MATCH(C282,Ingredients!$B$6:$B$105,0))),0))</f>
        <v/>
      </c>
      <c r="L282">
        <f>IF(OR(B282="",C282=""),0,IFERROR(N(INDEX(Ingredients!$AE$6:$AE$105,MATCH(C282,Ingredients!$B$6:$B$105,0))),0))</f>
        <v/>
      </c>
      <c r="M282">
        <f>IF(OR(B282="",C282=""),0,IFERROR(N(INDEX(Ingredients!$AF$6:$AF$105,MATCH(C282,Ingredients!$B$6:$B$105,0))),0))</f>
        <v/>
      </c>
      <c r="N282">
        <f>IF(OR(B282="",C282=""),0,IFERROR(N(INDEX(Ingredients!$AG$6:$AG$105,MATCH(C282,Ingredients!$B$6:$B$105,0))),0))</f>
        <v/>
      </c>
      <c r="O282">
        <f>IF(OR(B282="",C282=""),0,IFERROR(N(INDEX(Ingredients!$AH$6:$AH$105,MATCH(C282,Ingredients!$B$6:$B$105,0))),0))</f>
        <v/>
      </c>
      <c r="P282">
        <f>IF(OR(B282="",C282=""),0,IFERROR(N(INDEX(Ingredients!$AI$6:$AI$105,MATCH(C282,Ingredients!$B$6:$B$105,0))),0))</f>
        <v/>
      </c>
      <c r="Q282">
        <f>IF(OR(B282="",C282=""),0,IFERROR(N(INDEX(Ingredients!$AJ$6:$AJ$105,MATCH(C282,Ingredients!$B$6:$B$105,0))),0))</f>
        <v/>
      </c>
      <c r="R282">
        <f>IF(OR(B282="",C282=""),0,IFERROR(N(INDEX(Ingredients!$AK$6:$AK$105,MATCH(C282,Ingredients!$B$6:$B$105,0))),0))</f>
        <v/>
      </c>
      <c r="S282">
        <f>IF(OR(B282="",C282=""),0,IFERROR(N(INDEX(Ingredients!$AL$6:$AL$105,MATCH(C282,Ingredients!$B$6:$B$105,0))),0))</f>
        <v/>
      </c>
      <c r="T282">
        <f>IF(OR(B282="",C282=""),0,IFERROR(N(INDEX(Ingredients!$AM$6:$AM$105,MATCH(C282,Ingredients!$B$6:$B$105,0))),0))</f>
        <v/>
      </c>
      <c r="U282">
        <f>IF(OR(B282="",C282=""),0,IFERROR(N(INDEX(Ingredients!$AN$6:$AN$105,MATCH(C282,Ingredients!$B$6:$B$105,0))),0))</f>
        <v/>
      </c>
      <c r="V282">
        <f>IF(OR(B282="",C282=""),0,IFERROR(N(INDEX(Ingredients!$AO$6:$AO$105,MATCH(C282,Ingredients!$B$6:$B$105,0))),0))</f>
        <v/>
      </c>
      <c r="W282">
        <f>IF(OR(B282="",C282=""),0,IFERROR(N(INDEX(Ingredients!$AP$6:$AP$105,MATCH(C282,Ingredients!$B$6:$B$105,0))),0))</f>
        <v/>
      </c>
      <c r="X282">
        <f>IF(OR(B282="",C282=""),0,IFERROR(N(INDEX(Ingredients!$AQ$6:$AQ$105,MATCH(C282,Ingredients!$B$6:$B$105,0))),0))</f>
        <v/>
      </c>
    </row>
    <row r="283">
      <c r="A283" s="1" t="n"/>
      <c r="B283" s="21" t="n"/>
      <c r="C283" s="39" t="n"/>
      <c r="D283" s="40" t="n"/>
      <c r="E283" s="12">
        <f>IF(C283="","",IF(ISNA(MATCH(C283,Ingredients!$B$6:$B$105,0)),"Not on Ingredients",IFERROR(IF(INDEX(Ingredients!$C$6:$C$105,MATCH(C283,Ingredients!$B$6:$B$105,0))="","",INDEX(Ingredients!$C$6:$C$105,MATCH(C283,Ingredients!$B$6:$B$105,0))),"")))</f>
        <v/>
      </c>
      <c r="F283" s="26">
        <f>IF(OR(B283="",C283=""),"",N(D283)*IFERROR(N(INDEX(Ingredients!$H$6:$H$105,MATCH(C283,Ingredients!$B$6:$B$105,0))),0))</f>
        <v/>
      </c>
      <c r="G283" s="1">
        <f>IF(OR(B283="",C283=""),0,IFERROR(N(INDEX(Products!$D$6:$D$45,MATCH(B283,Products!$B$6:$B$45,0))),0))</f>
        <v/>
      </c>
      <c r="H283">
        <f>IF(N(G283)=0,0,N(D283)*SUMIFS(Batches!$D$6:$D$505,Batches!$C$6:$C$505,B283)/G283)</f>
        <v/>
      </c>
      <c r="I283">
        <f>IF(OR(B283="",C283=""),"",IF(B283&lt;&gt;Label!$H$3,"",IF(IFERROR(N(INDEX(Ingredients!$AS$6:$AS$105,MATCH(C283,Ingredients!$B$6:$B$105,0))),0)=1,"",ROUND(N(D283)*1000,0)*100000+100000-ROW())))</f>
        <v/>
      </c>
      <c r="J283">
        <f>IF(OR(B283="",C283=""),0,IFERROR(N(INDEX(Ingredients!$AC$6:$AC$105,MATCH(C283,Ingredients!$B$6:$B$105,0))),0))</f>
        <v/>
      </c>
      <c r="K283">
        <f>IF(OR(B283="",C283=""),0,IFERROR(N(INDEX(Ingredients!$AD$6:$AD$105,MATCH(C283,Ingredients!$B$6:$B$105,0))),0))</f>
        <v/>
      </c>
      <c r="L283">
        <f>IF(OR(B283="",C283=""),0,IFERROR(N(INDEX(Ingredients!$AE$6:$AE$105,MATCH(C283,Ingredients!$B$6:$B$105,0))),0))</f>
        <v/>
      </c>
      <c r="M283">
        <f>IF(OR(B283="",C283=""),0,IFERROR(N(INDEX(Ingredients!$AF$6:$AF$105,MATCH(C283,Ingredients!$B$6:$B$105,0))),0))</f>
        <v/>
      </c>
      <c r="N283">
        <f>IF(OR(B283="",C283=""),0,IFERROR(N(INDEX(Ingredients!$AG$6:$AG$105,MATCH(C283,Ingredients!$B$6:$B$105,0))),0))</f>
        <v/>
      </c>
      <c r="O283">
        <f>IF(OR(B283="",C283=""),0,IFERROR(N(INDEX(Ingredients!$AH$6:$AH$105,MATCH(C283,Ingredients!$B$6:$B$105,0))),0))</f>
        <v/>
      </c>
      <c r="P283">
        <f>IF(OR(B283="",C283=""),0,IFERROR(N(INDEX(Ingredients!$AI$6:$AI$105,MATCH(C283,Ingredients!$B$6:$B$105,0))),0))</f>
        <v/>
      </c>
      <c r="Q283">
        <f>IF(OR(B283="",C283=""),0,IFERROR(N(INDEX(Ingredients!$AJ$6:$AJ$105,MATCH(C283,Ingredients!$B$6:$B$105,0))),0))</f>
        <v/>
      </c>
      <c r="R283">
        <f>IF(OR(B283="",C283=""),0,IFERROR(N(INDEX(Ingredients!$AK$6:$AK$105,MATCH(C283,Ingredients!$B$6:$B$105,0))),0))</f>
        <v/>
      </c>
      <c r="S283">
        <f>IF(OR(B283="",C283=""),0,IFERROR(N(INDEX(Ingredients!$AL$6:$AL$105,MATCH(C283,Ingredients!$B$6:$B$105,0))),0))</f>
        <v/>
      </c>
      <c r="T283">
        <f>IF(OR(B283="",C283=""),0,IFERROR(N(INDEX(Ingredients!$AM$6:$AM$105,MATCH(C283,Ingredients!$B$6:$B$105,0))),0))</f>
        <v/>
      </c>
      <c r="U283">
        <f>IF(OR(B283="",C283=""),0,IFERROR(N(INDEX(Ingredients!$AN$6:$AN$105,MATCH(C283,Ingredients!$B$6:$B$105,0))),0))</f>
        <v/>
      </c>
      <c r="V283">
        <f>IF(OR(B283="",C283=""),0,IFERROR(N(INDEX(Ingredients!$AO$6:$AO$105,MATCH(C283,Ingredients!$B$6:$B$105,0))),0))</f>
        <v/>
      </c>
      <c r="W283">
        <f>IF(OR(B283="",C283=""),0,IFERROR(N(INDEX(Ingredients!$AP$6:$AP$105,MATCH(C283,Ingredients!$B$6:$B$105,0))),0))</f>
        <v/>
      </c>
      <c r="X283">
        <f>IF(OR(B283="",C283=""),0,IFERROR(N(INDEX(Ingredients!$AQ$6:$AQ$105,MATCH(C283,Ingredients!$B$6:$B$105,0))),0))</f>
        <v/>
      </c>
    </row>
    <row r="284">
      <c r="A284" s="1" t="n"/>
      <c r="B284" s="21" t="n"/>
      <c r="C284" s="39" t="n"/>
      <c r="D284" s="40" t="n"/>
      <c r="E284" s="12">
        <f>IF(C284="","",IF(ISNA(MATCH(C284,Ingredients!$B$6:$B$105,0)),"Not on Ingredients",IFERROR(IF(INDEX(Ingredients!$C$6:$C$105,MATCH(C284,Ingredients!$B$6:$B$105,0))="","",INDEX(Ingredients!$C$6:$C$105,MATCH(C284,Ingredients!$B$6:$B$105,0))),"")))</f>
        <v/>
      </c>
      <c r="F284" s="26">
        <f>IF(OR(B284="",C284=""),"",N(D284)*IFERROR(N(INDEX(Ingredients!$H$6:$H$105,MATCH(C284,Ingredients!$B$6:$B$105,0))),0))</f>
        <v/>
      </c>
      <c r="G284" s="1">
        <f>IF(OR(B284="",C284=""),0,IFERROR(N(INDEX(Products!$D$6:$D$45,MATCH(B284,Products!$B$6:$B$45,0))),0))</f>
        <v/>
      </c>
      <c r="H284">
        <f>IF(N(G284)=0,0,N(D284)*SUMIFS(Batches!$D$6:$D$505,Batches!$C$6:$C$505,B284)/G284)</f>
        <v/>
      </c>
      <c r="I284">
        <f>IF(OR(B284="",C284=""),"",IF(B284&lt;&gt;Label!$H$3,"",IF(IFERROR(N(INDEX(Ingredients!$AS$6:$AS$105,MATCH(C284,Ingredients!$B$6:$B$105,0))),0)=1,"",ROUND(N(D284)*1000,0)*100000+100000-ROW())))</f>
        <v/>
      </c>
      <c r="J284">
        <f>IF(OR(B284="",C284=""),0,IFERROR(N(INDEX(Ingredients!$AC$6:$AC$105,MATCH(C284,Ingredients!$B$6:$B$105,0))),0))</f>
        <v/>
      </c>
      <c r="K284">
        <f>IF(OR(B284="",C284=""),0,IFERROR(N(INDEX(Ingredients!$AD$6:$AD$105,MATCH(C284,Ingredients!$B$6:$B$105,0))),0))</f>
        <v/>
      </c>
      <c r="L284">
        <f>IF(OR(B284="",C284=""),0,IFERROR(N(INDEX(Ingredients!$AE$6:$AE$105,MATCH(C284,Ingredients!$B$6:$B$105,0))),0))</f>
        <v/>
      </c>
      <c r="M284">
        <f>IF(OR(B284="",C284=""),0,IFERROR(N(INDEX(Ingredients!$AF$6:$AF$105,MATCH(C284,Ingredients!$B$6:$B$105,0))),0))</f>
        <v/>
      </c>
      <c r="N284">
        <f>IF(OR(B284="",C284=""),0,IFERROR(N(INDEX(Ingredients!$AG$6:$AG$105,MATCH(C284,Ingredients!$B$6:$B$105,0))),0))</f>
        <v/>
      </c>
      <c r="O284">
        <f>IF(OR(B284="",C284=""),0,IFERROR(N(INDEX(Ingredients!$AH$6:$AH$105,MATCH(C284,Ingredients!$B$6:$B$105,0))),0))</f>
        <v/>
      </c>
      <c r="P284">
        <f>IF(OR(B284="",C284=""),0,IFERROR(N(INDEX(Ingredients!$AI$6:$AI$105,MATCH(C284,Ingredients!$B$6:$B$105,0))),0))</f>
        <v/>
      </c>
      <c r="Q284">
        <f>IF(OR(B284="",C284=""),0,IFERROR(N(INDEX(Ingredients!$AJ$6:$AJ$105,MATCH(C284,Ingredients!$B$6:$B$105,0))),0))</f>
        <v/>
      </c>
      <c r="R284">
        <f>IF(OR(B284="",C284=""),0,IFERROR(N(INDEX(Ingredients!$AK$6:$AK$105,MATCH(C284,Ingredients!$B$6:$B$105,0))),0))</f>
        <v/>
      </c>
      <c r="S284">
        <f>IF(OR(B284="",C284=""),0,IFERROR(N(INDEX(Ingredients!$AL$6:$AL$105,MATCH(C284,Ingredients!$B$6:$B$105,0))),0))</f>
        <v/>
      </c>
      <c r="T284">
        <f>IF(OR(B284="",C284=""),0,IFERROR(N(INDEX(Ingredients!$AM$6:$AM$105,MATCH(C284,Ingredients!$B$6:$B$105,0))),0))</f>
        <v/>
      </c>
      <c r="U284">
        <f>IF(OR(B284="",C284=""),0,IFERROR(N(INDEX(Ingredients!$AN$6:$AN$105,MATCH(C284,Ingredients!$B$6:$B$105,0))),0))</f>
        <v/>
      </c>
      <c r="V284">
        <f>IF(OR(B284="",C284=""),0,IFERROR(N(INDEX(Ingredients!$AO$6:$AO$105,MATCH(C284,Ingredients!$B$6:$B$105,0))),0))</f>
        <v/>
      </c>
      <c r="W284">
        <f>IF(OR(B284="",C284=""),0,IFERROR(N(INDEX(Ingredients!$AP$6:$AP$105,MATCH(C284,Ingredients!$B$6:$B$105,0))),0))</f>
        <v/>
      </c>
      <c r="X284">
        <f>IF(OR(B284="",C284=""),0,IFERROR(N(INDEX(Ingredients!$AQ$6:$AQ$105,MATCH(C284,Ingredients!$B$6:$B$105,0))),0))</f>
        <v/>
      </c>
    </row>
    <row r="285">
      <c r="A285" s="1" t="n"/>
      <c r="B285" s="21" t="n"/>
      <c r="C285" s="39" t="n"/>
      <c r="D285" s="40" t="n"/>
      <c r="E285" s="12">
        <f>IF(C285="","",IF(ISNA(MATCH(C285,Ingredients!$B$6:$B$105,0)),"Not on Ingredients",IFERROR(IF(INDEX(Ingredients!$C$6:$C$105,MATCH(C285,Ingredients!$B$6:$B$105,0))="","",INDEX(Ingredients!$C$6:$C$105,MATCH(C285,Ingredients!$B$6:$B$105,0))),"")))</f>
        <v/>
      </c>
      <c r="F285" s="26">
        <f>IF(OR(B285="",C285=""),"",N(D285)*IFERROR(N(INDEX(Ingredients!$H$6:$H$105,MATCH(C285,Ingredients!$B$6:$B$105,0))),0))</f>
        <v/>
      </c>
      <c r="G285" s="1">
        <f>IF(OR(B285="",C285=""),0,IFERROR(N(INDEX(Products!$D$6:$D$45,MATCH(B285,Products!$B$6:$B$45,0))),0))</f>
        <v/>
      </c>
      <c r="H285">
        <f>IF(N(G285)=0,0,N(D285)*SUMIFS(Batches!$D$6:$D$505,Batches!$C$6:$C$505,B285)/G285)</f>
        <v/>
      </c>
      <c r="I285">
        <f>IF(OR(B285="",C285=""),"",IF(B285&lt;&gt;Label!$H$3,"",IF(IFERROR(N(INDEX(Ingredients!$AS$6:$AS$105,MATCH(C285,Ingredients!$B$6:$B$105,0))),0)=1,"",ROUND(N(D285)*1000,0)*100000+100000-ROW())))</f>
        <v/>
      </c>
      <c r="J285">
        <f>IF(OR(B285="",C285=""),0,IFERROR(N(INDEX(Ingredients!$AC$6:$AC$105,MATCH(C285,Ingredients!$B$6:$B$105,0))),0))</f>
        <v/>
      </c>
      <c r="K285">
        <f>IF(OR(B285="",C285=""),0,IFERROR(N(INDEX(Ingredients!$AD$6:$AD$105,MATCH(C285,Ingredients!$B$6:$B$105,0))),0))</f>
        <v/>
      </c>
      <c r="L285">
        <f>IF(OR(B285="",C285=""),0,IFERROR(N(INDEX(Ingredients!$AE$6:$AE$105,MATCH(C285,Ingredients!$B$6:$B$105,0))),0))</f>
        <v/>
      </c>
      <c r="M285">
        <f>IF(OR(B285="",C285=""),0,IFERROR(N(INDEX(Ingredients!$AF$6:$AF$105,MATCH(C285,Ingredients!$B$6:$B$105,0))),0))</f>
        <v/>
      </c>
      <c r="N285">
        <f>IF(OR(B285="",C285=""),0,IFERROR(N(INDEX(Ingredients!$AG$6:$AG$105,MATCH(C285,Ingredients!$B$6:$B$105,0))),0))</f>
        <v/>
      </c>
      <c r="O285">
        <f>IF(OR(B285="",C285=""),0,IFERROR(N(INDEX(Ingredients!$AH$6:$AH$105,MATCH(C285,Ingredients!$B$6:$B$105,0))),0))</f>
        <v/>
      </c>
      <c r="P285">
        <f>IF(OR(B285="",C285=""),0,IFERROR(N(INDEX(Ingredients!$AI$6:$AI$105,MATCH(C285,Ingredients!$B$6:$B$105,0))),0))</f>
        <v/>
      </c>
      <c r="Q285">
        <f>IF(OR(B285="",C285=""),0,IFERROR(N(INDEX(Ingredients!$AJ$6:$AJ$105,MATCH(C285,Ingredients!$B$6:$B$105,0))),0))</f>
        <v/>
      </c>
      <c r="R285">
        <f>IF(OR(B285="",C285=""),0,IFERROR(N(INDEX(Ingredients!$AK$6:$AK$105,MATCH(C285,Ingredients!$B$6:$B$105,0))),0))</f>
        <v/>
      </c>
      <c r="S285">
        <f>IF(OR(B285="",C285=""),0,IFERROR(N(INDEX(Ingredients!$AL$6:$AL$105,MATCH(C285,Ingredients!$B$6:$B$105,0))),0))</f>
        <v/>
      </c>
      <c r="T285">
        <f>IF(OR(B285="",C285=""),0,IFERROR(N(INDEX(Ingredients!$AM$6:$AM$105,MATCH(C285,Ingredients!$B$6:$B$105,0))),0))</f>
        <v/>
      </c>
      <c r="U285">
        <f>IF(OR(B285="",C285=""),0,IFERROR(N(INDEX(Ingredients!$AN$6:$AN$105,MATCH(C285,Ingredients!$B$6:$B$105,0))),0))</f>
        <v/>
      </c>
      <c r="V285">
        <f>IF(OR(B285="",C285=""),0,IFERROR(N(INDEX(Ingredients!$AO$6:$AO$105,MATCH(C285,Ingredients!$B$6:$B$105,0))),0))</f>
        <v/>
      </c>
      <c r="W285">
        <f>IF(OR(B285="",C285=""),0,IFERROR(N(INDEX(Ingredients!$AP$6:$AP$105,MATCH(C285,Ingredients!$B$6:$B$105,0))),0))</f>
        <v/>
      </c>
      <c r="X285">
        <f>IF(OR(B285="",C285=""),0,IFERROR(N(INDEX(Ingredients!$AQ$6:$AQ$105,MATCH(C285,Ingredients!$B$6:$B$105,0))),0))</f>
        <v/>
      </c>
    </row>
    <row r="286">
      <c r="A286" s="1" t="n"/>
      <c r="B286" s="21" t="n"/>
      <c r="C286" s="39" t="n"/>
      <c r="D286" s="40" t="n"/>
      <c r="E286" s="12">
        <f>IF(C286="","",IF(ISNA(MATCH(C286,Ingredients!$B$6:$B$105,0)),"Not on Ingredients",IFERROR(IF(INDEX(Ingredients!$C$6:$C$105,MATCH(C286,Ingredients!$B$6:$B$105,0))="","",INDEX(Ingredients!$C$6:$C$105,MATCH(C286,Ingredients!$B$6:$B$105,0))),"")))</f>
        <v/>
      </c>
      <c r="F286" s="26">
        <f>IF(OR(B286="",C286=""),"",N(D286)*IFERROR(N(INDEX(Ingredients!$H$6:$H$105,MATCH(C286,Ingredients!$B$6:$B$105,0))),0))</f>
        <v/>
      </c>
      <c r="G286" s="1">
        <f>IF(OR(B286="",C286=""),0,IFERROR(N(INDEX(Products!$D$6:$D$45,MATCH(B286,Products!$B$6:$B$45,0))),0))</f>
        <v/>
      </c>
      <c r="H286">
        <f>IF(N(G286)=0,0,N(D286)*SUMIFS(Batches!$D$6:$D$505,Batches!$C$6:$C$505,B286)/G286)</f>
        <v/>
      </c>
      <c r="I286">
        <f>IF(OR(B286="",C286=""),"",IF(B286&lt;&gt;Label!$H$3,"",IF(IFERROR(N(INDEX(Ingredients!$AS$6:$AS$105,MATCH(C286,Ingredients!$B$6:$B$105,0))),0)=1,"",ROUND(N(D286)*1000,0)*100000+100000-ROW())))</f>
        <v/>
      </c>
      <c r="J286">
        <f>IF(OR(B286="",C286=""),0,IFERROR(N(INDEX(Ingredients!$AC$6:$AC$105,MATCH(C286,Ingredients!$B$6:$B$105,0))),0))</f>
        <v/>
      </c>
      <c r="K286">
        <f>IF(OR(B286="",C286=""),0,IFERROR(N(INDEX(Ingredients!$AD$6:$AD$105,MATCH(C286,Ingredients!$B$6:$B$105,0))),0))</f>
        <v/>
      </c>
      <c r="L286">
        <f>IF(OR(B286="",C286=""),0,IFERROR(N(INDEX(Ingredients!$AE$6:$AE$105,MATCH(C286,Ingredients!$B$6:$B$105,0))),0))</f>
        <v/>
      </c>
      <c r="M286">
        <f>IF(OR(B286="",C286=""),0,IFERROR(N(INDEX(Ingredients!$AF$6:$AF$105,MATCH(C286,Ingredients!$B$6:$B$105,0))),0))</f>
        <v/>
      </c>
      <c r="N286">
        <f>IF(OR(B286="",C286=""),0,IFERROR(N(INDEX(Ingredients!$AG$6:$AG$105,MATCH(C286,Ingredients!$B$6:$B$105,0))),0))</f>
        <v/>
      </c>
      <c r="O286">
        <f>IF(OR(B286="",C286=""),0,IFERROR(N(INDEX(Ingredients!$AH$6:$AH$105,MATCH(C286,Ingredients!$B$6:$B$105,0))),0))</f>
        <v/>
      </c>
      <c r="P286">
        <f>IF(OR(B286="",C286=""),0,IFERROR(N(INDEX(Ingredients!$AI$6:$AI$105,MATCH(C286,Ingredients!$B$6:$B$105,0))),0))</f>
        <v/>
      </c>
      <c r="Q286">
        <f>IF(OR(B286="",C286=""),0,IFERROR(N(INDEX(Ingredients!$AJ$6:$AJ$105,MATCH(C286,Ingredients!$B$6:$B$105,0))),0))</f>
        <v/>
      </c>
      <c r="R286">
        <f>IF(OR(B286="",C286=""),0,IFERROR(N(INDEX(Ingredients!$AK$6:$AK$105,MATCH(C286,Ingredients!$B$6:$B$105,0))),0))</f>
        <v/>
      </c>
      <c r="S286">
        <f>IF(OR(B286="",C286=""),0,IFERROR(N(INDEX(Ingredients!$AL$6:$AL$105,MATCH(C286,Ingredients!$B$6:$B$105,0))),0))</f>
        <v/>
      </c>
      <c r="T286">
        <f>IF(OR(B286="",C286=""),0,IFERROR(N(INDEX(Ingredients!$AM$6:$AM$105,MATCH(C286,Ingredients!$B$6:$B$105,0))),0))</f>
        <v/>
      </c>
      <c r="U286">
        <f>IF(OR(B286="",C286=""),0,IFERROR(N(INDEX(Ingredients!$AN$6:$AN$105,MATCH(C286,Ingredients!$B$6:$B$105,0))),0))</f>
        <v/>
      </c>
      <c r="V286">
        <f>IF(OR(B286="",C286=""),0,IFERROR(N(INDEX(Ingredients!$AO$6:$AO$105,MATCH(C286,Ingredients!$B$6:$B$105,0))),0))</f>
        <v/>
      </c>
      <c r="W286">
        <f>IF(OR(B286="",C286=""),0,IFERROR(N(INDEX(Ingredients!$AP$6:$AP$105,MATCH(C286,Ingredients!$B$6:$B$105,0))),0))</f>
        <v/>
      </c>
      <c r="X286">
        <f>IF(OR(B286="",C286=""),0,IFERROR(N(INDEX(Ingredients!$AQ$6:$AQ$105,MATCH(C286,Ingredients!$B$6:$B$105,0))),0))</f>
        <v/>
      </c>
    </row>
    <row r="287">
      <c r="A287" s="1" t="n"/>
      <c r="B287" s="21" t="n"/>
      <c r="C287" s="39" t="n"/>
      <c r="D287" s="40" t="n"/>
      <c r="E287" s="12">
        <f>IF(C287="","",IF(ISNA(MATCH(C287,Ingredients!$B$6:$B$105,0)),"Not on Ingredients",IFERROR(IF(INDEX(Ingredients!$C$6:$C$105,MATCH(C287,Ingredients!$B$6:$B$105,0))="","",INDEX(Ingredients!$C$6:$C$105,MATCH(C287,Ingredients!$B$6:$B$105,0))),"")))</f>
        <v/>
      </c>
      <c r="F287" s="26">
        <f>IF(OR(B287="",C287=""),"",N(D287)*IFERROR(N(INDEX(Ingredients!$H$6:$H$105,MATCH(C287,Ingredients!$B$6:$B$105,0))),0))</f>
        <v/>
      </c>
      <c r="G287" s="1">
        <f>IF(OR(B287="",C287=""),0,IFERROR(N(INDEX(Products!$D$6:$D$45,MATCH(B287,Products!$B$6:$B$45,0))),0))</f>
        <v/>
      </c>
      <c r="H287">
        <f>IF(N(G287)=0,0,N(D287)*SUMIFS(Batches!$D$6:$D$505,Batches!$C$6:$C$505,B287)/G287)</f>
        <v/>
      </c>
      <c r="I287">
        <f>IF(OR(B287="",C287=""),"",IF(B287&lt;&gt;Label!$H$3,"",IF(IFERROR(N(INDEX(Ingredients!$AS$6:$AS$105,MATCH(C287,Ingredients!$B$6:$B$105,0))),0)=1,"",ROUND(N(D287)*1000,0)*100000+100000-ROW())))</f>
        <v/>
      </c>
      <c r="J287">
        <f>IF(OR(B287="",C287=""),0,IFERROR(N(INDEX(Ingredients!$AC$6:$AC$105,MATCH(C287,Ingredients!$B$6:$B$105,0))),0))</f>
        <v/>
      </c>
      <c r="K287">
        <f>IF(OR(B287="",C287=""),0,IFERROR(N(INDEX(Ingredients!$AD$6:$AD$105,MATCH(C287,Ingredients!$B$6:$B$105,0))),0))</f>
        <v/>
      </c>
      <c r="L287">
        <f>IF(OR(B287="",C287=""),0,IFERROR(N(INDEX(Ingredients!$AE$6:$AE$105,MATCH(C287,Ingredients!$B$6:$B$105,0))),0))</f>
        <v/>
      </c>
      <c r="M287">
        <f>IF(OR(B287="",C287=""),0,IFERROR(N(INDEX(Ingredients!$AF$6:$AF$105,MATCH(C287,Ingredients!$B$6:$B$105,0))),0))</f>
        <v/>
      </c>
      <c r="N287">
        <f>IF(OR(B287="",C287=""),0,IFERROR(N(INDEX(Ingredients!$AG$6:$AG$105,MATCH(C287,Ingredients!$B$6:$B$105,0))),0))</f>
        <v/>
      </c>
      <c r="O287">
        <f>IF(OR(B287="",C287=""),0,IFERROR(N(INDEX(Ingredients!$AH$6:$AH$105,MATCH(C287,Ingredients!$B$6:$B$105,0))),0))</f>
        <v/>
      </c>
      <c r="P287">
        <f>IF(OR(B287="",C287=""),0,IFERROR(N(INDEX(Ingredients!$AI$6:$AI$105,MATCH(C287,Ingredients!$B$6:$B$105,0))),0))</f>
        <v/>
      </c>
      <c r="Q287">
        <f>IF(OR(B287="",C287=""),0,IFERROR(N(INDEX(Ingredients!$AJ$6:$AJ$105,MATCH(C287,Ingredients!$B$6:$B$105,0))),0))</f>
        <v/>
      </c>
      <c r="R287">
        <f>IF(OR(B287="",C287=""),0,IFERROR(N(INDEX(Ingredients!$AK$6:$AK$105,MATCH(C287,Ingredients!$B$6:$B$105,0))),0))</f>
        <v/>
      </c>
      <c r="S287">
        <f>IF(OR(B287="",C287=""),0,IFERROR(N(INDEX(Ingredients!$AL$6:$AL$105,MATCH(C287,Ingredients!$B$6:$B$105,0))),0))</f>
        <v/>
      </c>
      <c r="T287">
        <f>IF(OR(B287="",C287=""),0,IFERROR(N(INDEX(Ingredients!$AM$6:$AM$105,MATCH(C287,Ingredients!$B$6:$B$105,0))),0))</f>
        <v/>
      </c>
      <c r="U287">
        <f>IF(OR(B287="",C287=""),0,IFERROR(N(INDEX(Ingredients!$AN$6:$AN$105,MATCH(C287,Ingredients!$B$6:$B$105,0))),0))</f>
        <v/>
      </c>
      <c r="V287">
        <f>IF(OR(B287="",C287=""),0,IFERROR(N(INDEX(Ingredients!$AO$6:$AO$105,MATCH(C287,Ingredients!$B$6:$B$105,0))),0))</f>
        <v/>
      </c>
      <c r="W287">
        <f>IF(OR(B287="",C287=""),0,IFERROR(N(INDEX(Ingredients!$AP$6:$AP$105,MATCH(C287,Ingredients!$B$6:$B$105,0))),0))</f>
        <v/>
      </c>
      <c r="X287">
        <f>IF(OR(B287="",C287=""),0,IFERROR(N(INDEX(Ingredients!$AQ$6:$AQ$105,MATCH(C287,Ingredients!$B$6:$B$105,0))),0))</f>
        <v/>
      </c>
    </row>
    <row r="288">
      <c r="A288" s="1" t="n"/>
      <c r="B288" s="21" t="n"/>
      <c r="C288" s="39" t="n"/>
      <c r="D288" s="40" t="n"/>
      <c r="E288" s="12">
        <f>IF(C288="","",IF(ISNA(MATCH(C288,Ingredients!$B$6:$B$105,0)),"Not on Ingredients",IFERROR(IF(INDEX(Ingredients!$C$6:$C$105,MATCH(C288,Ingredients!$B$6:$B$105,0))="","",INDEX(Ingredients!$C$6:$C$105,MATCH(C288,Ingredients!$B$6:$B$105,0))),"")))</f>
        <v/>
      </c>
      <c r="F288" s="26">
        <f>IF(OR(B288="",C288=""),"",N(D288)*IFERROR(N(INDEX(Ingredients!$H$6:$H$105,MATCH(C288,Ingredients!$B$6:$B$105,0))),0))</f>
        <v/>
      </c>
      <c r="G288" s="1">
        <f>IF(OR(B288="",C288=""),0,IFERROR(N(INDEX(Products!$D$6:$D$45,MATCH(B288,Products!$B$6:$B$45,0))),0))</f>
        <v/>
      </c>
      <c r="H288">
        <f>IF(N(G288)=0,0,N(D288)*SUMIFS(Batches!$D$6:$D$505,Batches!$C$6:$C$505,B288)/G288)</f>
        <v/>
      </c>
      <c r="I288">
        <f>IF(OR(B288="",C288=""),"",IF(B288&lt;&gt;Label!$H$3,"",IF(IFERROR(N(INDEX(Ingredients!$AS$6:$AS$105,MATCH(C288,Ingredients!$B$6:$B$105,0))),0)=1,"",ROUND(N(D288)*1000,0)*100000+100000-ROW())))</f>
        <v/>
      </c>
      <c r="J288">
        <f>IF(OR(B288="",C288=""),0,IFERROR(N(INDEX(Ingredients!$AC$6:$AC$105,MATCH(C288,Ingredients!$B$6:$B$105,0))),0))</f>
        <v/>
      </c>
      <c r="K288">
        <f>IF(OR(B288="",C288=""),0,IFERROR(N(INDEX(Ingredients!$AD$6:$AD$105,MATCH(C288,Ingredients!$B$6:$B$105,0))),0))</f>
        <v/>
      </c>
      <c r="L288">
        <f>IF(OR(B288="",C288=""),0,IFERROR(N(INDEX(Ingredients!$AE$6:$AE$105,MATCH(C288,Ingredients!$B$6:$B$105,0))),0))</f>
        <v/>
      </c>
      <c r="M288">
        <f>IF(OR(B288="",C288=""),0,IFERROR(N(INDEX(Ingredients!$AF$6:$AF$105,MATCH(C288,Ingredients!$B$6:$B$105,0))),0))</f>
        <v/>
      </c>
      <c r="N288">
        <f>IF(OR(B288="",C288=""),0,IFERROR(N(INDEX(Ingredients!$AG$6:$AG$105,MATCH(C288,Ingredients!$B$6:$B$105,0))),0))</f>
        <v/>
      </c>
      <c r="O288">
        <f>IF(OR(B288="",C288=""),0,IFERROR(N(INDEX(Ingredients!$AH$6:$AH$105,MATCH(C288,Ingredients!$B$6:$B$105,0))),0))</f>
        <v/>
      </c>
      <c r="P288">
        <f>IF(OR(B288="",C288=""),0,IFERROR(N(INDEX(Ingredients!$AI$6:$AI$105,MATCH(C288,Ingredients!$B$6:$B$105,0))),0))</f>
        <v/>
      </c>
      <c r="Q288">
        <f>IF(OR(B288="",C288=""),0,IFERROR(N(INDEX(Ingredients!$AJ$6:$AJ$105,MATCH(C288,Ingredients!$B$6:$B$105,0))),0))</f>
        <v/>
      </c>
      <c r="R288">
        <f>IF(OR(B288="",C288=""),0,IFERROR(N(INDEX(Ingredients!$AK$6:$AK$105,MATCH(C288,Ingredients!$B$6:$B$105,0))),0))</f>
        <v/>
      </c>
      <c r="S288">
        <f>IF(OR(B288="",C288=""),0,IFERROR(N(INDEX(Ingredients!$AL$6:$AL$105,MATCH(C288,Ingredients!$B$6:$B$105,0))),0))</f>
        <v/>
      </c>
      <c r="T288">
        <f>IF(OR(B288="",C288=""),0,IFERROR(N(INDEX(Ingredients!$AM$6:$AM$105,MATCH(C288,Ingredients!$B$6:$B$105,0))),0))</f>
        <v/>
      </c>
      <c r="U288">
        <f>IF(OR(B288="",C288=""),0,IFERROR(N(INDEX(Ingredients!$AN$6:$AN$105,MATCH(C288,Ingredients!$B$6:$B$105,0))),0))</f>
        <v/>
      </c>
      <c r="V288">
        <f>IF(OR(B288="",C288=""),0,IFERROR(N(INDEX(Ingredients!$AO$6:$AO$105,MATCH(C288,Ingredients!$B$6:$B$105,0))),0))</f>
        <v/>
      </c>
      <c r="W288">
        <f>IF(OR(B288="",C288=""),0,IFERROR(N(INDEX(Ingredients!$AP$6:$AP$105,MATCH(C288,Ingredients!$B$6:$B$105,0))),0))</f>
        <v/>
      </c>
      <c r="X288">
        <f>IF(OR(B288="",C288=""),0,IFERROR(N(INDEX(Ingredients!$AQ$6:$AQ$105,MATCH(C288,Ingredients!$B$6:$B$105,0))),0))</f>
        <v/>
      </c>
    </row>
    <row r="289">
      <c r="A289" s="1" t="n"/>
      <c r="B289" s="21" t="n"/>
      <c r="C289" s="39" t="n"/>
      <c r="D289" s="40" t="n"/>
      <c r="E289" s="12">
        <f>IF(C289="","",IF(ISNA(MATCH(C289,Ingredients!$B$6:$B$105,0)),"Not on Ingredients",IFERROR(IF(INDEX(Ingredients!$C$6:$C$105,MATCH(C289,Ingredients!$B$6:$B$105,0))="","",INDEX(Ingredients!$C$6:$C$105,MATCH(C289,Ingredients!$B$6:$B$105,0))),"")))</f>
        <v/>
      </c>
      <c r="F289" s="26">
        <f>IF(OR(B289="",C289=""),"",N(D289)*IFERROR(N(INDEX(Ingredients!$H$6:$H$105,MATCH(C289,Ingredients!$B$6:$B$105,0))),0))</f>
        <v/>
      </c>
      <c r="G289" s="1">
        <f>IF(OR(B289="",C289=""),0,IFERROR(N(INDEX(Products!$D$6:$D$45,MATCH(B289,Products!$B$6:$B$45,0))),0))</f>
        <v/>
      </c>
      <c r="H289">
        <f>IF(N(G289)=0,0,N(D289)*SUMIFS(Batches!$D$6:$D$505,Batches!$C$6:$C$505,B289)/G289)</f>
        <v/>
      </c>
      <c r="I289">
        <f>IF(OR(B289="",C289=""),"",IF(B289&lt;&gt;Label!$H$3,"",IF(IFERROR(N(INDEX(Ingredients!$AS$6:$AS$105,MATCH(C289,Ingredients!$B$6:$B$105,0))),0)=1,"",ROUND(N(D289)*1000,0)*100000+100000-ROW())))</f>
        <v/>
      </c>
      <c r="J289">
        <f>IF(OR(B289="",C289=""),0,IFERROR(N(INDEX(Ingredients!$AC$6:$AC$105,MATCH(C289,Ingredients!$B$6:$B$105,0))),0))</f>
        <v/>
      </c>
      <c r="K289">
        <f>IF(OR(B289="",C289=""),0,IFERROR(N(INDEX(Ingredients!$AD$6:$AD$105,MATCH(C289,Ingredients!$B$6:$B$105,0))),0))</f>
        <v/>
      </c>
      <c r="L289">
        <f>IF(OR(B289="",C289=""),0,IFERROR(N(INDEX(Ingredients!$AE$6:$AE$105,MATCH(C289,Ingredients!$B$6:$B$105,0))),0))</f>
        <v/>
      </c>
      <c r="M289">
        <f>IF(OR(B289="",C289=""),0,IFERROR(N(INDEX(Ingredients!$AF$6:$AF$105,MATCH(C289,Ingredients!$B$6:$B$105,0))),0))</f>
        <v/>
      </c>
      <c r="N289">
        <f>IF(OR(B289="",C289=""),0,IFERROR(N(INDEX(Ingredients!$AG$6:$AG$105,MATCH(C289,Ingredients!$B$6:$B$105,0))),0))</f>
        <v/>
      </c>
      <c r="O289">
        <f>IF(OR(B289="",C289=""),0,IFERROR(N(INDEX(Ingredients!$AH$6:$AH$105,MATCH(C289,Ingredients!$B$6:$B$105,0))),0))</f>
        <v/>
      </c>
      <c r="P289">
        <f>IF(OR(B289="",C289=""),0,IFERROR(N(INDEX(Ingredients!$AI$6:$AI$105,MATCH(C289,Ingredients!$B$6:$B$105,0))),0))</f>
        <v/>
      </c>
      <c r="Q289">
        <f>IF(OR(B289="",C289=""),0,IFERROR(N(INDEX(Ingredients!$AJ$6:$AJ$105,MATCH(C289,Ingredients!$B$6:$B$105,0))),0))</f>
        <v/>
      </c>
      <c r="R289">
        <f>IF(OR(B289="",C289=""),0,IFERROR(N(INDEX(Ingredients!$AK$6:$AK$105,MATCH(C289,Ingredients!$B$6:$B$105,0))),0))</f>
        <v/>
      </c>
      <c r="S289">
        <f>IF(OR(B289="",C289=""),0,IFERROR(N(INDEX(Ingredients!$AL$6:$AL$105,MATCH(C289,Ingredients!$B$6:$B$105,0))),0))</f>
        <v/>
      </c>
      <c r="T289">
        <f>IF(OR(B289="",C289=""),0,IFERROR(N(INDEX(Ingredients!$AM$6:$AM$105,MATCH(C289,Ingredients!$B$6:$B$105,0))),0))</f>
        <v/>
      </c>
      <c r="U289">
        <f>IF(OR(B289="",C289=""),0,IFERROR(N(INDEX(Ingredients!$AN$6:$AN$105,MATCH(C289,Ingredients!$B$6:$B$105,0))),0))</f>
        <v/>
      </c>
      <c r="V289">
        <f>IF(OR(B289="",C289=""),0,IFERROR(N(INDEX(Ingredients!$AO$6:$AO$105,MATCH(C289,Ingredients!$B$6:$B$105,0))),0))</f>
        <v/>
      </c>
      <c r="W289">
        <f>IF(OR(B289="",C289=""),0,IFERROR(N(INDEX(Ingredients!$AP$6:$AP$105,MATCH(C289,Ingredients!$B$6:$B$105,0))),0))</f>
        <v/>
      </c>
      <c r="X289">
        <f>IF(OR(B289="",C289=""),0,IFERROR(N(INDEX(Ingredients!$AQ$6:$AQ$105,MATCH(C289,Ingredients!$B$6:$B$105,0))),0))</f>
        <v/>
      </c>
    </row>
    <row r="290">
      <c r="A290" s="1" t="n"/>
      <c r="B290" s="21" t="n"/>
      <c r="C290" s="39" t="n"/>
      <c r="D290" s="40" t="n"/>
      <c r="E290" s="12">
        <f>IF(C290="","",IF(ISNA(MATCH(C290,Ingredients!$B$6:$B$105,0)),"Not on Ingredients",IFERROR(IF(INDEX(Ingredients!$C$6:$C$105,MATCH(C290,Ingredients!$B$6:$B$105,0))="","",INDEX(Ingredients!$C$6:$C$105,MATCH(C290,Ingredients!$B$6:$B$105,0))),"")))</f>
        <v/>
      </c>
      <c r="F290" s="26">
        <f>IF(OR(B290="",C290=""),"",N(D290)*IFERROR(N(INDEX(Ingredients!$H$6:$H$105,MATCH(C290,Ingredients!$B$6:$B$105,0))),0))</f>
        <v/>
      </c>
      <c r="G290" s="1">
        <f>IF(OR(B290="",C290=""),0,IFERROR(N(INDEX(Products!$D$6:$D$45,MATCH(B290,Products!$B$6:$B$45,0))),0))</f>
        <v/>
      </c>
      <c r="H290">
        <f>IF(N(G290)=0,0,N(D290)*SUMIFS(Batches!$D$6:$D$505,Batches!$C$6:$C$505,B290)/G290)</f>
        <v/>
      </c>
      <c r="I290">
        <f>IF(OR(B290="",C290=""),"",IF(B290&lt;&gt;Label!$H$3,"",IF(IFERROR(N(INDEX(Ingredients!$AS$6:$AS$105,MATCH(C290,Ingredients!$B$6:$B$105,0))),0)=1,"",ROUND(N(D290)*1000,0)*100000+100000-ROW())))</f>
        <v/>
      </c>
      <c r="J290">
        <f>IF(OR(B290="",C290=""),0,IFERROR(N(INDEX(Ingredients!$AC$6:$AC$105,MATCH(C290,Ingredients!$B$6:$B$105,0))),0))</f>
        <v/>
      </c>
      <c r="K290">
        <f>IF(OR(B290="",C290=""),0,IFERROR(N(INDEX(Ingredients!$AD$6:$AD$105,MATCH(C290,Ingredients!$B$6:$B$105,0))),0))</f>
        <v/>
      </c>
      <c r="L290">
        <f>IF(OR(B290="",C290=""),0,IFERROR(N(INDEX(Ingredients!$AE$6:$AE$105,MATCH(C290,Ingredients!$B$6:$B$105,0))),0))</f>
        <v/>
      </c>
      <c r="M290">
        <f>IF(OR(B290="",C290=""),0,IFERROR(N(INDEX(Ingredients!$AF$6:$AF$105,MATCH(C290,Ingredients!$B$6:$B$105,0))),0))</f>
        <v/>
      </c>
      <c r="N290">
        <f>IF(OR(B290="",C290=""),0,IFERROR(N(INDEX(Ingredients!$AG$6:$AG$105,MATCH(C290,Ingredients!$B$6:$B$105,0))),0))</f>
        <v/>
      </c>
      <c r="O290">
        <f>IF(OR(B290="",C290=""),0,IFERROR(N(INDEX(Ingredients!$AH$6:$AH$105,MATCH(C290,Ingredients!$B$6:$B$105,0))),0))</f>
        <v/>
      </c>
      <c r="P290">
        <f>IF(OR(B290="",C290=""),0,IFERROR(N(INDEX(Ingredients!$AI$6:$AI$105,MATCH(C290,Ingredients!$B$6:$B$105,0))),0))</f>
        <v/>
      </c>
      <c r="Q290">
        <f>IF(OR(B290="",C290=""),0,IFERROR(N(INDEX(Ingredients!$AJ$6:$AJ$105,MATCH(C290,Ingredients!$B$6:$B$105,0))),0))</f>
        <v/>
      </c>
      <c r="R290">
        <f>IF(OR(B290="",C290=""),0,IFERROR(N(INDEX(Ingredients!$AK$6:$AK$105,MATCH(C290,Ingredients!$B$6:$B$105,0))),0))</f>
        <v/>
      </c>
      <c r="S290">
        <f>IF(OR(B290="",C290=""),0,IFERROR(N(INDEX(Ingredients!$AL$6:$AL$105,MATCH(C290,Ingredients!$B$6:$B$105,0))),0))</f>
        <v/>
      </c>
      <c r="T290">
        <f>IF(OR(B290="",C290=""),0,IFERROR(N(INDEX(Ingredients!$AM$6:$AM$105,MATCH(C290,Ingredients!$B$6:$B$105,0))),0))</f>
        <v/>
      </c>
      <c r="U290">
        <f>IF(OR(B290="",C290=""),0,IFERROR(N(INDEX(Ingredients!$AN$6:$AN$105,MATCH(C290,Ingredients!$B$6:$B$105,0))),0))</f>
        <v/>
      </c>
      <c r="V290">
        <f>IF(OR(B290="",C290=""),0,IFERROR(N(INDEX(Ingredients!$AO$6:$AO$105,MATCH(C290,Ingredients!$B$6:$B$105,0))),0))</f>
        <v/>
      </c>
      <c r="W290">
        <f>IF(OR(B290="",C290=""),0,IFERROR(N(INDEX(Ingredients!$AP$6:$AP$105,MATCH(C290,Ingredients!$B$6:$B$105,0))),0))</f>
        <v/>
      </c>
      <c r="X290">
        <f>IF(OR(B290="",C290=""),0,IFERROR(N(INDEX(Ingredients!$AQ$6:$AQ$105,MATCH(C290,Ingredients!$B$6:$B$105,0))),0))</f>
        <v/>
      </c>
    </row>
    <row r="291">
      <c r="A291" s="1" t="n"/>
      <c r="B291" s="21" t="n"/>
      <c r="C291" s="39" t="n"/>
      <c r="D291" s="40" t="n"/>
      <c r="E291" s="12">
        <f>IF(C291="","",IF(ISNA(MATCH(C291,Ingredients!$B$6:$B$105,0)),"Not on Ingredients",IFERROR(IF(INDEX(Ingredients!$C$6:$C$105,MATCH(C291,Ingredients!$B$6:$B$105,0))="","",INDEX(Ingredients!$C$6:$C$105,MATCH(C291,Ingredients!$B$6:$B$105,0))),"")))</f>
        <v/>
      </c>
      <c r="F291" s="26">
        <f>IF(OR(B291="",C291=""),"",N(D291)*IFERROR(N(INDEX(Ingredients!$H$6:$H$105,MATCH(C291,Ingredients!$B$6:$B$105,0))),0))</f>
        <v/>
      </c>
      <c r="G291" s="1">
        <f>IF(OR(B291="",C291=""),0,IFERROR(N(INDEX(Products!$D$6:$D$45,MATCH(B291,Products!$B$6:$B$45,0))),0))</f>
        <v/>
      </c>
      <c r="H291">
        <f>IF(N(G291)=0,0,N(D291)*SUMIFS(Batches!$D$6:$D$505,Batches!$C$6:$C$505,B291)/G291)</f>
        <v/>
      </c>
      <c r="I291">
        <f>IF(OR(B291="",C291=""),"",IF(B291&lt;&gt;Label!$H$3,"",IF(IFERROR(N(INDEX(Ingredients!$AS$6:$AS$105,MATCH(C291,Ingredients!$B$6:$B$105,0))),0)=1,"",ROUND(N(D291)*1000,0)*100000+100000-ROW())))</f>
        <v/>
      </c>
      <c r="J291">
        <f>IF(OR(B291="",C291=""),0,IFERROR(N(INDEX(Ingredients!$AC$6:$AC$105,MATCH(C291,Ingredients!$B$6:$B$105,0))),0))</f>
        <v/>
      </c>
      <c r="K291">
        <f>IF(OR(B291="",C291=""),0,IFERROR(N(INDEX(Ingredients!$AD$6:$AD$105,MATCH(C291,Ingredients!$B$6:$B$105,0))),0))</f>
        <v/>
      </c>
      <c r="L291">
        <f>IF(OR(B291="",C291=""),0,IFERROR(N(INDEX(Ingredients!$AE$6:$AE$105,MATCH(C291,Ingredients!$B$6:$B$105,0))),0))</f>
        <v/>
      </c>
      <c r="M291">
        <f>IF(OR(B291="",C291=""),0,IFERROR(N(INDEX(Ingredients!$AF$6:$AF$105,MATCH(C291,Ingredients!$B$6:$B$105,0))),0))</f>
        <v/>
      </c>
      <c r="N291">
        <f>IF(OR(B291="",C291=""),0,IFERROR(N(INDEX(Ingredients!$AG$6:$AG$105,MATCH(C291,Ingredients!$B$6:$B$105,0))),0))</f>
        <v/>
      </c>
      <c r="O291">
        <f>IF(OR(B291="",C291=""),0,IFERROR(N(INDEX(Ingredients!$AH$6:$AH$105,MATCH(C291,Ingredients!$B$6:$B$105,0))),0))</f>
        <v/>
      </c>
      <c r="P291">
        <f>IF(OR(B291="",C291=""),0,IFERROR(N(INDEX(Ingredients!$AI$6:$AI$105,MATCH(C291,Ingredients!$B$6:$B$105,0))),0))</f>
        <v/>
      </c>
      <c r="Q291">
        <f>IF(OR(B291="",C291=""),0,IFERROR(N(INDEX(Ingredients!$AJ$6:$AJ$105,MATCH(C291,Ingredients!$B$6:$B$105,0))),0))</f>
        <v/>
      </c>
      <c r="R291">
        <f>IF(OR(B291="",C291=""),0,IFERROR(N(INDEX(Ingredients!$AK$6:$AK$105,MATCH(C291,Ingredients!$B$6:$B$105,0))),0))</f>
        <v/>
      </c>
      <c r="S291">
        <f>IF(OR(B291="",C291=""),0,IFERROR(N(INDEX(Ingredients!$AL$6:$AL$105,MATCH(C291,Ingredients!$B$6:$B$105,0))),0))</f>
        <v/>
      </c>
      <c r="T291">
        <f>IF(OR(B291="",C291=""),0,IFERROR(N(INDEX(Ingredients!$AM$6:$AM$105,MATCH(C291,Ingredients!$B$6:$B$105,0))),0))</f>
        <v/>
      </c>
      <c r="U291">
        <f>IF(OR(B291="",C291=""),0,IFERROR(N(INDEX(Ingredients!$AN$6:$AN$105,MATCH(C291,Ingredients!$B$6:$B$105,0))),0))</f>
        <v/>
      </c>
      <c r="V291">
        <f>IF(OR(B291="",C291=""),0,IFERROR(N(INDEX(Ingredients!$AO$6:$AO$105,MATCH(C291,Ingredients!$B$6:$B$105,0))),0))</f>
        <v/>
      </c>
      <c r="W291">
        <f>IF(OR(B291="",C291=""),0,IFERROR(N(INDEX(Ingredients!$AP$6:$AP$105,MATCH(C291,Ingredients!$B$6:$B$105,0))),0))</f>
        <v/>
      </c>
      <c r="X291">
        <f>IF(OR(B291="",C291=""),0,IFERROR(N(INDEX(Ingredients!$AQ$6:$AQ$105,MATCH(C291,Ingredients!$B$6:$B$105,0))),0))</f>
        <v/>
      </c>
    </row>
    <row r="292">
      <c r="A292" s="1" t="n"/>
      <c r="B292" s="21" t="n"/>
      <c r="C292" s="39" t="n"/>
      <c r="D292" s="40" t="n"/>
      <c r="E292" s="12">
        <f>IF(C292="","",IF(ISNA(MATCH(C292,Ingredients!$B$6:$B$105,0)),"Not on Ingredients",IFERROR(IF(INDEX(Ingredients!$C$6:$C$105,MATCH(C292,Ingredients!$B$6:$B$105,0))="","",INDEX(Ingredients!$C$6:$C$105,MATCH(C292,Ingredients!$B$6:$B$105,0))),"")))</f>
        <v/>
      </c>
      <c r="F292" s="26">
        <f>IF(OR(B292="",C292=""),"",N(D292)*IFERROR(N(INDEX(Ingredients!$H$6:$H$105,MATCH(C292,Ingredients!$B$6:$B$105,0))),0))</f>
        <v/>
      </c>
      <c r="G292" s="1">
        <f>IF(OR(B292="",C292=""),0,IFERROR(N(INDEX(Products!$D$6:$D$45,MATCH(B292,Products!$B$6:$B$45,0))),0))</f>
        <v/>
      </c>
      <c r="H292">
        <f>IF(N(G292)=0,0,N(D292)*SUMIFS(Batches!$D$6:$D$505,Batches!$C$6:$C$505,B292)/G292)</f>
        <v/>
      </c>
      <c r="I292">
        <f>IF(OR(B292="",C292=""),"",IF(B292&lt;&gt;Label!$H$3,"",IF(IFERROR(N(INDEX(Ingredients!$AS$6:$AS$105,MATCH(C292,Ingredients!$B$6:$B$105,0))),0)=1,"",ROUND(N(D292)*1000,0)*100000+100000-ROW())))</f>
        <v/>
      </c>
      <c r="J292">
        <f>IF(OR(B292="",C292=""),0,IFERROR(N(INDEX(Ingredients!$AC$6:$AC$105,MATCH(C292,Ingredients!$B$6:$B$105,0))),0))</f>
        <v/>
      </c>
      <c r="K292">
        <f>IF(OR(B292="",C292=""),0,IFERROR(N(INDEX(Ingredients!$AD$6:$AD$105,MATCH(C292,Ingredients!$B$6:$B$105,0))),0))</f>
        <v/>
      </c>
      <c r="L292">
        <f>IF(OR(B292="",C292=""),0,IFERROR(N(INDEX(Ingredients!$AE$6:$AE$105,MATCH(C292,Ingredients!$B$6:$B$105,0))),0))</f>
        <v/>
      </c>
      <c r="M292">
        <f>IF(OR(B292="",C292=""),0,IFERROR(N(INDEX(Ingredients!$AF$6:$AF$105,MATCH(C292,Ingredients!$B$6:$B$105,0))),0))</f>
        <v/>
      </c>
      <c r="N292">
        <f>IF(OR(B292="",C292=""),0,IFERROR(N(INDEX(Ingredients!$AG$6:$AG$105,MATCH(C292,Ingredients!$B$6:$B$105,0))),0))</f>
        <v/>
      </c>
      <c r="O292">
        <f>IF(OR(B292="",C292=""),0,IFERROR(N(INDEX(Ingredients!$AH$6:$AH$105,MATCH(C292,Ingredients!$B$6:$B$105,0))),0))</f>
        <v/>
      </c>
      <c r="P292">
        <f>IF(OR(B292="",C292=""),0,IFERROR(N(INDEX(Ingredients!$AI$6:$AI$105,MATCH(C292,Ingredients!$B$6:$B$105,0))),0))</f>
        <v/>
      </c>
      <c r="Q292">
        <f>IF(OR(B292="",C292=""),0,IFERROR(N(INDEX(Ingredients!$AJ$6:$AJ$105,MATCH(C292,Ingredients!$B$6:$B$105,0))),0))</f>
        <v/>
      </c>
      <c r="R292">
        <f>IF(OR(B292="",C292=""),0,IFERROR(N(INDEX(Ingredients!$AK$6:$AK$105,MATCH(C292,Ingredients!$B$6:$B$105,0))),0))</f>
        <v/>
      </c>
      <c r="S292">
        <f>IF(OR(B292="",C292=""),0,IFERROR(N(INDEX(Ingredients!$AL$6:$AL$105,MATCH(C292,Ingredients!$B$6:$B$105,0))),0))</f>
        <v/>
      </c>
      <c r="T292">
        <f>IF(OR(B292="",C292=""),0,IFERROR(N(INDEX(Ingredients!$AM$6:$AM$105,MATCH(C292,Ingredients!$B$6:$B$105,0))),0))</f>
        <v/>
      </c>
      <c r="U292">
        <f>IF(OR(B292="",C292=""),0,IFERROR(N(INDEX(Ingredients!$AN$6:$AN$105,MATCH(C292,Ingredients!$B$6:$B$105,0))),0))</f>
        <v/>
      </c>
      <c r="V292">
        <f>IF(OR(B292="",C292=""),0,IFERROR(N(INDEX(Ingredients!$AO$6:$AO$105,MATCH(C292,Ingredients!$B$6:$B$105,0))),0))</f>
        <v/>
      </c>
      <c r="W292">
        <f>IF(OR(B292="",C292=""),0,IFERROR(N(INDEX(Ingredients!$AP$6:$AP$105,MATCH(C292,Ingredients!$B$6:$B$105,0))),0))</f>
        <v/>
      </c>
      <c r="X292">
        <f>IF(OR(B292="",C292=""),0,IFERROR(N(INDEX(Ingredients!$AQ$6:$AQ$105,MATCH(C292,Ingredients!$B$6:$B$105,0))),0))</f>
        <v/>
      </c>
    </row>
    <row r="293">
      <c r="A293" s="1" t="n"/>
      <c r="B293" s="21" t="n"/>
      <c r="C293" s="39" t="n"/>
      <c r="D293" s="40" t="n"/>
      <c r="E293" s="12">
        <f>IF(C293="","",IF(ISNA(MATCH(C293,Ingredients!$B$6:$B$105,0)),"Not on Ingredients",IFERROR(IF(INDEX(Ingredients!$C$6:$C$105,MATCH(C293,Ingredients!$B$6:$B$105,0))="","",INDEX(Ingredients!$C$6:$C$105,MATCH(C293,Ingredients!$B$6:$B$105,0))),"")))</f>
        <v/>
      </c>
      <c r="F293" s="26">
        <f>IF(OR(B293="",C293=""),"",N(D293)*IFERROR(N(INDEX(Ingredients!$H$6:$H$105,MATCH(C293,Ingredients!$B$6:$B$105,0))),0))</f>
        <v/>
      </c>
      <c r="G293" s="1">
        <f>IF(OR(B293="",C293=""),0,IFERROR(N(INDEX(Products!$D$6:$D$45,MATCH(B293,Products!$B$6:$B$45,0))),0))</f>
        <v/>
      </c>
      <c r="H293">
        <f>IF(N(G293)=0,0,N(D293)*SUMIFS(Batches!$D$6:$D$505,Batches!$C$6:$C$505,B293)/G293)</f>
        <v/>
      </c>
      <c r="I293">
        <f>IF(OR(B293="",C293=""),"",IF(B293&lt;&gt;Label!$H$3,"",IF(IFERROR(N(INDEX(Ingredients!$AS$6:$AS$105,MATCH(C293,Ingredients!$B$6:$B$105,0))),0)=1,"",ROUND(N(D293)*1000,0)*100000+100000-ROW())))</f>
        <v/>
      </c>
      <c r="J293">
        <f>IF(OR(B293="",C293=""),0,IFERROR(N(INDEX(Ingredients!$AC$6:$AC$105,MATCH(C293,Ingredients!$B$6:$B$105,0))),0))</f>
        <v/>
      </c>
      <c r="K293">
        <f>IF(OR(B293="",C293=""),0,IFERROR(N(INDEX(Ingredients!$AD$6:$AD$105,MATCH(C293,Ingredients!$B$6:$B$105,0))),0))</f>
        <v/>
      </c>
      <c r="L293">
        <f>IF(OR(B293="",C293=""),0,IFERROR(N(INDEX(Ingredients!$AE$6:$AE$105,MATCH(C293,Ingredients!$B$6:$B$105,0))),0))</f>
        <v/>
      </c>
      <c r="M293">
        <f>IF(OR(B293="",C293=""),0,IFERROR(N(INDEX(Ingredients!$AF$6:$AF$105,MATCH(C293,Ingredients!$B$6:$B$105,0))),0))</f>
        <v/>
      </c>
      <c r="N293">
        <f>IF(OR(B293="",C293=""),0,IFERROR(N(INDEX(Ingredients!$AG$6:$AG$105,MATCH(C293,Ingredients!$B$6:$B$105,0))),0))</f>
        <v/>
      </c>
      <c r="O293">
        <f>IF(OR(B293="",C293=""),0,IFERROR(N(INDEX(Ingredients!$AH$6:$AH$105,MATCH(C293,Ingredients!$B$6:$B$105,0))),0))</f>
        <v/>
      </c>
      <c r="P293">
        <f>IF(OR(B293="",C293=""),0,IFERROR(N(INDEX(Ingredients!$AI$6:$AI$105,MATCH(C293,Ingredients!$B$6:$B$105,0))),0))</f>
        <v/>
      </c>
      <c r="Q293">
        <f>IF(OR(B293="",C293=""),0,IFERROR(N(INDEX(Ingredients!$AJ$6:$AJ$105,MATCH(C293,Ingredients!$B$6:$B$105,0))),0))</f>
        <v/>
      </c>
      <c r="R293">
        <f>IF(OR(B293="",C293=""),0,IFERROR(N(INDEX(Ingredients!$AK$6:$AK$105,MATCH(C293,Ingredients!$B$6:$B$105,0))),0))</f>
        <v/>
      </c>
      <c r="S293">
        <f>IF(OR(B293="",C293=""),0,IFERROR(N(INDEX(Ingredients!$AL$6:$AL$105,MATCH(C293,Ingredients!$B$6:$B$105,0))),0))</f>
        <v/>
      </c>
      <c r="T293">
        <f>IF(OR(B293="",C293=""),0,IFERROR(N(INDEX(Ingredients!$AM$6:$AM$105,MATCH(C293,Ingredients!$B$6:$B$105,0))),0))</f>
        <v/>
      </c>
      <c r="U293">
        <f>IF(OR(B293="",C293=""),0,IFERROR(N(INDEX(Ingredients!$AN$6:$AN$105,MATCH(C293,Ingredients!$B$6:$B$105,0))),0))</f>
        <v/>
      </c>
      <c r="V293">
        <f>IF(OR(B293="",C293=""),0,IFERROR(N(INDEX(Ingredients!$AO$6:$AO$105,MATCH(C293,Ingredients!$B$6:$B$105,0))),0))</f>
        <v/>
      </c>
      <c r="W293">
        <f>IF(OR(B293="",C293=""),0,IFERROR(N(INDEX(Ingredients!$AP$6:$AP$105,MATCH(C293,Ingredients!$B$6:$B$105,0))),0))</f>
        <v/>
      </c>
      <c r="X293">
        <f>IF(OR(B293="",C293=""),0,IFERROR(N(INDEX(Ingredients!$AQ$6:$AQ$105,MATCH(C293,Ingredients!$B$6:$B$105,0))),0))</f>
        <v/>
      </c>
    </row>
    <row r="294">
      <c r="A294" s="1" t="n"/>
      <c r="B294" s="21" t="n"/>
      <c r="C294" s="39" t="n"/>
      <c r="D294" s="40" t="n"/>
      <c r="E294" s="12">
        <f>IF(C294="","",IF(ISNA(MATCH(C294,Ingredients!$B$6:$B$105,0)),"Not on Ingredients",IFERROR(IF(INDEX(Ingredients!$C$6:$C$105,MATCH(C294,Ingredients!$B$6:$B$105,0))="","",INDEX(Ingredients!$C$6:$C$105,MATCH(C294,Ingredients!$B$6:$B$105,0))),"")))</f>
        <v/>
      </c>
      <c r="F294" s="26">
        <f>IF(OR(B294="",C294=""),"",N(D294)*IFERROR(N(INDEX(Ingredients!$H$6:$H$105,MATCH(C294,Ingredients!$B$6:$B$105,0))),0))</f>
        <v/>
      </c>
      <c r="G294" s="1">
        <f>IF(OR(B294="",C294=""),0,IFERROR(N(INDEX(Products!$D$6:$D$45,MATCH(B294,Products!$B$6:$B$45,0))),0))</f>
        <v/>
      </c>
      <c r="H294">
        <f>IF(N(G294)=0,0,N(D294)*SUMIFS(Batches!$D$6:$D$505,Batches!$C$6:$C$505,B294)/G294)</f>
        <v/>
      </c>
      <c r="I294">
        <f>IF(OR(B294="",C294=""),"",IF(B294&lt;&gt;Label!$H$3,"",IF(IFERROR(N(INDEX(Ingredients!$AS$6:$AS$105,MATCH(C294,Ingredients!$B$6:$B$105,0))),0)=1,"",ROUND(N(D294)*1000,0)*100000+100000-ROW())))</f>
        <v/>
      </c>
      <c r="J294">
        <f>IF(OR(B294="",C294=""),0,IFERROR(N(INDEX(Ingredients!$AC$6:$AC$105,MATCH(C294,Ingredients!$B$6:$B$105,0))),0))</f>
        <v/>
      </c>
      <c r="K294">
        <f>IF(OR(B294="",C294=""),0,IFERROR(N(INDEX(Ingredients!$AD$6:$AD$105,MATCH(C294,Ingredients!$B$6:$B$105,0))),0))</f>
        <v/>
      </c>
      <c r="L294">
        <f>IF(OR(B294="",C294=""),0,IFERROR(N(INDEX(Ingredients!$AE$6:$AE$105,MATCH(C294,Ingredients!$B$6:$B$105,0))),0))</f>
        <v/>
      </c>
      <c r="M294">
        <f>IF(OR(B294="",C294=""),0,IFERROR(N(INDEX(Ingredients!$AF$6:$AF$105,MATCH(C294,Ingredients!$B$6:$B$105,0))),0))</f>
        <v/>
      </c>
      <c r="N294">
        <f>IF(OR(B294="",C294=""),0,IFERROR(N(INDEX(Ingredients!$AG$6:$AG$105,MATCH(C294,Ingredients!$B$6:$B$105,0))),0))</f>
        <v/>
      </c>
      <c r="O294">
        <f>IF(OR(B294="",C294=""),0,IFERROR(N(INDEX(Ingredients!$AH$6:$AH$105,MATCH(C294,Ingredients!$B$6:$B$105,0))),0))</f>
        <v/>
      </c>
      <c r="P294">
        <f>IF(OR(B294="",C294=""),0,IFERROR(N(INDEX(Ingredients!$AI$6:$AI$105,MATCH(C294,Ingredients!$B$6:$B$105,0))),0))</f>
        <v/>
      </c>
      <c r="Q294">
        <f>IF(OR(B294="",C294=""),0,IFERROR(N(INDEX(Ingredients!$AJ$6:$AJ$105,MATCH(C294,Ingredients!$B$6:$B$105,0))),0))</f>
        <v/>
      </c>
      <c r="R294">
        <f>IF(OR(B294="",C294=""),0,IFERROR(N(INDEX(Ingredients!$AK$6:$AK$105,MATCH(C294,Ingredients!$B$6:$B$105,0))),0))</f>
        <v/>
      </c>
      <c r="S294">
        <f>IF(OR(B294="",C294=""),0,IFERROR(N(INDEX(Ingredients!$AL$6:$AL$105,MATCH(C294,Ingredients!$B$6:$B$105,0))),0))</f>
        <v/>
      </c>
      <c r="T294">
        <f>IF(OR(B294="",C294=""),0,IFERROR(N(INDEX(Ingredients!$AM$6:$AM$105,MATCH(C294,Ingredients!$B$6:$B$105,0))),0))</f>
        <v/>
      </c>
      <c r="U294">
        <f>IF(OR(B294="",C294=""),0,IFERROR(N(INDEX(Ingredients!$AN$6:$AN$105,MATCH(C294,Ingredients!$B$6:$B$105,0))),0))</f>
        <v/>
      </c>
      <c r="V294">
        <f>IF(OR(B294="",C294=""),0,IFERROR(N(INDEX(Ingredients!$AO$6:$AO$105,MATCH(C294,Ingredients!$B$6:$B$105,0))),0))</f>
        <v/>
      </c>
      <c r="W294">
        <f>IF(OR(B294="",C294=""),0,IFERROR(N(INDEX(Ingredients!$AP$6:$AP$105,MATCH(C294,Ingredients!$B$6:$B$105,0))),0))</f>
        <v/>
      </c>
      <c r="X294">
        <f>IF(OR(B294="",C294=""),0,IFERROR(N(INDEX(Ingredients!$AQ$6:$AQ$105,MATCH(C294,Ingredients!$B$6:$B$105,0))),0))</f>
        <v/>
      </c>
    </row>
    <row r="295">
      <c r="A295" s="1" t="n"/>
      <c r="B295" s="21" t="n"/>
      <c r="C295" s="39" t="n"/>
      <c r="D295" s="40" t="n"/>
      <c r="E295" s="12">
        <f>IF(C295="","",IF(ISNA(MATCH(C295,Ingredients!$B$6:$B$105,0)),"Not on Ingredients",IFERROR(IF(INDEX(Ingredients!$C$6:$C$105,MATCH(C295,Ingredients!$B$6:$B$105,0))="","",INDEX(Ingredients!$C$6:$C$105,MATCH(C295,Ingredients!$B$6:$B$105,0))),"")))</f>
        <v/>
      </c>
      <c r="F295" s="26">
        <f>IF(OR(B295="",C295=""),"",N(D295)*IFERROR(N(INDEX(Ingredients!$H$6:$H$105,MATCH(C295,Ingredients!$B$6:$B$105,0))),0))</f>
        <v/>
      </c>
      <c r="G295" s="1">
        <f>IF(OR(B295="",C295=""),0,IFERROR(N(INDEX(Products!$D$6:$D$45,MATCH(B295,Products!$B$6:$B$45,0))),0))</f>
        <v/>
      </c>
      <c r="H295">
        <f>IF(N(G295)=0,0,N(D295)*SUMIFS(Batches!$D$6:$D$505,Batches!$C$6:$C$505,B295)/G295)</f>
        <v/>
      </c>
      <c r="I295">
        <f>IF(OR(B295="",C295=""),"",IF(B295&lt;&gt;Label!$H$3,"",IF(IFERROR(N(INDEX(Ingredients!$AS$6:$AS$105,MATCH(C295,Ingredients!$B$6:$B$105,0))),0)=1,"",ROUND(N(D295)*1000,0)*100000+100000-ROW())))</f>
        <v/>
      </c>
      <c r="J295">
        <f>IF(OR(B295="",C295=""),0,IFERROR(N(INDEX(Ingredients!$AC$6:$AC$105,MATCH(C295,Ingredients!$B$6:$B$105,0))),0))</f>
        <v/>
      </c>
      <c r="K295">
        <f>IF(OR(B295="",C295=""),0,IFERROR(N(INDEX(Ingredients!$AD$6:$AD$105,MATCH(C295,Ingredients!$B$6:$B$105,0))),0))</f>
        <v/>
      </c>
      <c r="L295">
        <f>IF(OR(B295="",C295=""),0,IFERROR(N(INDEX(Ingredients!$AE$6:$AE$105,MATCH(C295,Ingredients!$B$6:$B$105,0))),0))</f>
        <v/>
      </c>
      <c r="M295">
        <f>IF(OR(B295="",C295=""),0,IFERROR(N(INDEX(Ingredients!$AF$6:$AF$105,MATCH(C295,Ingredients!$B$6:$B$105,0))),0))</f>
        <v/>
      </c>
      <c r="N295">
        <f>IF(OR(B295="",C295=""),0,IFERROR(N(INDEX(Ingredients!$AG$6:$AG$105,MATCH(C295,Ingredients!$B$6:$B$105,0))),0))</f>
        <v/>
      </c>
      <c r="O295">
        <f>IF(OR(B295="",C295=""),0,IFERROR(N(INDEX(Ingredients!$AH$6:$AH$105,MATCH(C295,Ingredients!$B$6:$B$105,0))),0))</f>
        <v/>
      </c>
      <c r="P295">
        <f>IF(OR(B295="",C295=""),0,IFERROR(N(INDEX(Ingredients!$AI$6:$AI$105,MATCH(C295,Ingredients!$B$6:$B$105,0))),0))</f>
        <v/>
      </c>
      <c r="Q295">
        <f>IF(OR(B295="",C295=""),0,IFERROR(N(INDEX(Ingredients!$AJ$6:$AJ$105,MATCH(C295,Ingredients!$B$6:$B$105,0))),0))</f>
        <v/>
      </c>
      <c r="R295">
        <f>IF(OR(B295="",C295=""),0,IFERROR(N(INDEX(Ingredients!$AK$6:$AK$105,MATCH(C295,Ingredients!$B$6:$B$105,0))),0))</f>
        <v/>
      </c>
      <c r="S295">
        <f>IF(OR(B295="",C295=""),0,IFERROR(N(INDEX(Ingredients!$AL$6:$AL$105,MATCH(C295,Ingredients!$B$6:$B$105,0))),0))</f>
        <v/>
      </c>
      <c r="T295">
        <f>IF(OR(B295="",C295=""),0,IFERROR(N(INDEX(Ingredients!$AM$6:$AM$105,MATCH(C295,Ingredients!$B$6:$B$105,0))),0))</f>
        <v/>
      </c>
      <c r="U295">
        <f>IF(OR(B295="",C295=""),0,IFERROR(N(INDEX(Ingredients!$AN$6:$AN$105,MATCH(C295,Ingredients!$B$6:$B$105,0))),0))</f>
        <v/>
      </c>
      <c r="V295">
        <f>IF(OR(B295="",C295=""),0,IFERROR(N(INDEX(Ingredients!$AO$6:$AO$105,MATCH(C295,Ingredients!$B$6:$B$105,0))),0))</f>
        <v/>
      </c>
      <c r="W295">
        <f>IF(OR(B295="",C295=""),0,IFERROR(N(INDEX(Ingredients!$AP$6:$AP$105,MATCH(C295,Ingredients!$B$6:$B$105,0))),0))</f>
        <v/>
      </c>
      <c r="X295">
        <f>IF(OR(B295="",C295=""),0,IFERROR(N(INDEX(Ingredients!$AQ$6:$AQ$105,MATCH(C295,Ingredients!$B$6:$B$105,0))),0))</f>
        <v/>
      </c>
    </row>
    <row r="296">
      <c r="A296" s="1" t="n"/>
      <c r="B296" s="21" t="n"/>
      <c r="C296" s="39" t="n"/>
      <c r="D296" s="40" t="n"/>
      <c r="E296" s="12">
        <f>IF(C296="","",IF(ISNA(MATCH(C296,Ingredients!$B$6:$B$105,0)),"Not on Ingredients",IFERROR(IF(INDEX(Ingredients!$C$6:$C$105,MATCH(C296,Ingredients!$B$6:$B$105,0))="","",INDEX(Ingredients!$C$6:$C$105,MATCH(C296,Ingredients!$B$6:$B$105,0))),"")))</f>
        <v/>
      </c>
      <c r="F296" s="26">
        <f>IF(OR(B296="",C296=""),"",N(D296)*IFERROR(N(INDEX(Ingredients!$H$6:$H$105,MATCH(C296,Ingredients!$B$6:$B$105,0))),0))</f>
        <v/>
      </c>
      <c r="G296" s="1">
        <f>IF(OR(B296="",C296=""),0,IFERROR(N(INDEX(Products!$D$6:$D$45,MATCH(B296,Products!$B$6:$B$45,0))),0))</f>
        <v/>
      </c>
      <c r="H296">
        <f>IF(N(G296)=0,0,N(D296)*SUMIFS(Batches!$D$6:$D$505,Batches!$C$6:$C$505,B296)/G296)</f>
        <v/>
      </c>
      <c r="I296">
        <f>IF(OR(B296="",C296=""),"",IF(B296&lt;&gt;Label!$H$3,"",IF(IFERROR(N(INDEX(Ingredients!$AS$6:$AS$105,MATCH(C296,Ingredients!$B$6:$B$105,0))),0)=1,"",ROUND(N(D296)*1000,0)*100000+100000-ROW())))</f>
        <v/>
      </c>
      <c r="J296">
        <f>IF(OR(B296="",C296=""),0,IFERROR(N(INDEX(Ingredients!$AC$6:$AC$105,MATCH(C296,Ingredients!$B$6:$B$105,0))),0))</f>
        <v/>
      </c>
      <c r="K296">
        <f>IF(OR(B296="",C296=""),0,IFERROR(N(INDEX(Ingredients!$AD$6:$AD$105,MATCH(C296,Ingredients!$B$6:$B$105,0))),0))</f>
        <v/>
      </c>
      <c r="L296">
        <f>IF(OR(B296="",C296=""),0,IFERROR(N(INDEX(Ingredients!$AE$6:$AE$105,MATCH(C296,Ingredients!$B$6:$B$105,0))),0))</f>
        <v/>
      </c>
      <c r="M296">
        <f>IF(OR(B296="",C296=""),0,IFERROR(N(INDEX(Ingredients!$AF$6:$AF$105,MATCH(C296,Ingredients!$B$6:$B$105,0))),0))</f>
        <v/>
      </c>
      <c r="N296">
        <f>IF(OR(B296="",C296=""),0,IFERROR(N(INDEX(Ingredients!$AG$6:$AG$105,MATCH(C296,Ingredients!$B$6:$B$105,0))),0))</f>
        <v/>
      </c>
      <c r="O296">
        <f>IF(OR(B296="",C296=""),0,IFERROR(N(INDEX(Ingredients!$AH$6:$AH$105,MATCH(C296,Ingredients!$B$6:$B$105,0))),0))</f>
        <v/>
      </c>
      <c r="P296">
        <f>IF(OR(B296="",C296=""),0,IFERROR(N(INDEX(Ingredients!$AI$6:$AI$105,MATCH(C296,Ingredients!$B$6:$B$105,0))),0))</f>
        <v/>
      </c>
      <c r="Q296">
        <f>IF(OR(B296="",C296=""),0,IFERROR(N(INDEX(Ingredients!$AJ$6:$AJ$105,MATCH(C296,Ingredients!$B$6:$B$105,0))),0))</f>
        <v/>
      </c>
      <c r="R296">
        <f>IF(OR(B296="",C296=""),0,IFERROR(N(INDEX(Ingredients!$AK$6:$AK$105,MATCH(C296,Ingredients!$B$6:$B$105,0))),0))</f>
        <v/>
      </c>
      <c r="S296">
        <f>IF(OR(B296="",C296=""),0,IFERROR(N(INDEX(Ingredients!$AL$6:$AL$105,MATCH(C296,Ingredients!$B$6:$B$105,0))),0))</f>
        <v/>
      </c>
      <c r="T296">
        <f>IF(OR(B296="",C296=""),0,IFERROR(N(INDEX(Ingredients!$AM$6:$AM$105,MATCH(C296,Ingredients!$B$6:$B$105,0))),0))</f>
        <v/>
      </c>
      <c r="U296">
        <f>IF(OR(B296="",C296=""),0,IFERROR(N(INDEX(Ingredients!$AN$6:$AN$105,MATCH(C296,Ingredients!$B$6:$B$105,0))),0))</f>
        <v/>
      </c>
      <c r="V296">
        <f>IF(OR(B296="",C296=""),0,IFERROR(N(INDEX(Ingredients!$AO$6:$AO$105,MATCH(C296,Ingredients!$B$6:$B$105,0))),0))</f>
        <v/>
      </c>
      <c r="W296">
        <f>IF(OR(B296="",C296=""),0,IFERROR(N(INDEX(Ingredients!$AP$6:$AP$105,MATCH(C296,Ingredients!$B$6:$B$105,0))),0))</f>
        <v/>
      </c>
      <c r="X296">
        <f>IF(OR(B296="",C296=""),0,IFERROR(N(INDEX(Ingredients!$AQ$6:$AQ$105,MATCH(C296,Ingredients!$B$6:$B$105,0))),0))</f>
        <v/>
      </c>
    </row>
    <row r="297">
      <c r="A297" s="1" t="n"/>
      <c r="B297" s="21" t="n"/>
      <c r="C297" s="39" t="n"/>
      <c r="D297" s="40" t="n"/>
      <c r="E297" s="12">
        <f>IF(C297="","",IF(ISNA(MATCH(C297,Ingredients!$B$6:$B$105,0)),"Not on Ingredients",IFERROR(IF(INDEX(Ingredients!$C$6:$C$105,MATCH(C297,Ingredients!$B$6:$B$105,0))="","",INDEX(Ingredients!$C$6:$C$105,MATCH(C297,Ingredients!$B$6:$B$105,0))),"")))</f>
        <v/>
      </c>
      <c r="F297" s="26">
        <f>IF(OR(B297="",C297=""),"",N(D297)*IFERROR(N(INDEX(Ingredients!$H$6:$H$105,MATCH(C297,Ingredients!$B$6:$B$105,0))),0))</f>
        <v/>
      </c>
      <c r="G297" s="1">
        <f>IF(OR(B297="",C297=""),0,IFERROR(N(INDEX(Products!$D$6:$D$45,MATCH(B297,Products!$B$6:$B$45,0))),0))</f>
        <v/>
      </c>
      <c r="H297">
        <f>IF(N(G297)=0,0,N(D297)*SUMIFS(Batches!$D$6:$D$505,Batches!$C$6:$C$505,B297)/G297)</f>
        <v/>
      </c>
      <c r="I297">
        <f>IF(OR(B297="",C297=""),"",IF(B297&lt;&gt;Label!$H$3,"",IF(IFERROR(N(INDEX(Ingredients!$AS$6:$AS$105,MATCH(C297,Ingredients!$B$6:$B$105,0))),0)=1,"",ROUND(N(D297)*1000,0)*100000+100000-ROW())))</f>
        <v/>
      </c>
      <c r="J297">
        <f>IF(OR(B297="",C297=""),0,IFERROR(N(INDEX(Ingredients!$AC$6:$AC$105,MATCH(C297,Ingredients!$B$6:$B$105,0))),0))</f>
        <v/>
      </c>
      <c r="K297">
        <f>IF(OR(B297="",C297=""),0,IFERROR(N(INDEX(Ingredients!$AD$6:$AD$105,MATCH(C297,Ingredients!$B$6:$B$105,0))),0))</f>
        <v/>
      </c>
      <c r="L297">
        <f>IF(OR(B297="",C297=""),0,IFERROR(N(INDEX(Ingredients!$AE$6:$AE$105,MATCH(C297,Ingredients!$B$6:$B$105,0))),0))</f>
        <v/>
      </c>
      <c r="M297">
        <f>IF(OR(B297="",C297=""),0,IFERROR(N(INDEX(Ingredients!$AF$6:$AF$105,MATCH(C297,Ingredients!$B$6:$B$105,0))),0))</f>
        <v/>
      </c>
      <c r="N297">
        <f>IF(OR(B297="",C297=""),0,IFERROR(N(INDEX(Ingredients!$AG$6:$AG$105,MATCH(C297,Ingredients!$B$6:$B$105,0))),0))</f>
        <v/>
      </c>
      <c r="O297">
        <f>IF(OR(B297="",C297=""),0,IFERROR(N(INDEX(Ingredients!$AH$6:$AH$105,MATCH(C297,Ingredients!$B$6:$B$105,0))),0))</f>
        <v/>
      </c>
      <c r="P297">
        <f>IF(OR(B297="",C297=""),0,IFERROR(N(INDEX(Ingredients!$AI$6:$AI$105,MATCH(C297,Ingredients!$B$6:$B$105,0))),0))</f>
        <v/>
      </c>
      <c r="Q297">
        <f>IF(OR(B297="",C297=""),0,IFERROR(N(INDEX(Ingredients!$AJ$6:$AJ$105,MATCH(C297,Ingredients!$B$6:$B$105,0))),0))</f>
        <v/>
      </c>
      <c r="R297">
        <f>IF(OR(B297="",C297=""),0,IFERROR(N(INDEX(Ingredients!$AK$6:$AK$105,MATCH(C297,Ingredients!$B$6:$B$105,0))),0))</f>
        <v/>
      </c>
      <c r="S297">
        <f>IF(OR(B297="",C297=""),0,IFERROR(N(INDEX(Ingredients!$AL$6:$AL$105,MATCH(C297,Ingredients!$B$6:$B$105,0))),0))</f>
        <v/>
      </c>
      <c r="T297">
        <f>IF(OR(B297="",C297=""),0,IFERROR(N(INDEX(Ingredients!$AM$6:$AM$105,MATCH(C297,Ingredients!$B$6:$B$105,0))),0))</f>
        <v/>
      </c>
      <c r="U297">
        <f>IF(OR(B297="",C297=""),0,IFERROR(N(INDEX(Ingredients!$AN$6:$AN$105,MATCH(C297,Ingredients!$B$6:$B$105,0))),0))</f>
        <v/>
      </c>
      <c r="V297">
        <f>IF(OR(B297="",C297=""),0,IFERROR(N(INDEX(Ingredients!$AO$6:$AO$105,MATCH(C297,Ingredients!$B$6:$B$105,0))),0))</f>
        <v/>
      </c>
      <c r="W297">
        <f>IF(OR(B297="",C297=""),0,IFERROR(N(INDEX(Ingredients!$AP$6:$AP$105,MATCH(C297,Ingredients!$B$6:$B$105,0))),0))</f>
        <v/>
      </c>
      <c r="X297">
        <f>IF(OR(B297="",C297=""),0,IFERROR(N(INDEX(Ingredients!$AQ$6:$AQ$105,MATCH(C297,Ingredients!$B$6:$B$105,0))),0))</f>
        <v/>
      </c>
    </row>
    <row r="298">
      <c r="A298" s="1" t="n"/>
      <c r="B298" s="21" t="n"/>
      <c r="C298" s="39" t="n"/>
      <c r="D298" s="40" t="n"/>
      <c r="E298" s="12">
        <f>IF(C298="","",IF(ISNA(MATCH(C298,Ingredients!$B$6:$B$105,0)),"Not on Ingredients",IFERROR(IF(INDEX(Ingredients!$C$6:$C$105,MATCH(C298,Ingredients!$B$6:$B$105,0))="","",INDEX(Ingredients!$C$6:$C$105,MATCH(C298,Ingredients!$B$6:$B$105,0))),"")))</f>
        <v/>
      </c>
      <c r="F298" s="26">
        <f>IF(OR(B298="",C298=""),"",N(D298)*IFERROR(N(INDEX(Ingredients!$H$6:$H$105,MATCH(C298,Ingredients!$B$6:$B$105,0))),0))</f>
        <v/>
      </c>
      <c r="G298" s="1">
        <f>IF(OR(B298="",C298=""),0,IFERROR(N(INDEX(Products!$D$6:$D$45,MATCH(B298,Products!$B$6:$B$45,0))),0))</f>
        <v/>
      </c>
      <c r="H298">
        <f>IF(N(G298)=0,0,N(D298)*SUMIFS(Batches!$D$6:$D$505,Batches!$C$6:$C$505,B298)/G298)</f>
        <v/>
      </c>
      <c r="I298">
        <f>IF(OR(B298="",C298=""),"",IF(B298&lt;&gt;Label!$H$3,"",IF(IFERROR(N(INDEX(Ingredients!$AS$6:$AS$105,MATCH(C298,Ingredients!$B$6:$B$105,0))),0)=1,"",ROUND(N(D298)*1000,0)*100000+100000-ROW())))</f>
        <v/>
      </c>
      <c r="J298">
        <f>IF(OR(B298="",C298=""),0,IFERROR(N(INDEX(Ingredients!$AC$6:$AC$105,MATCH(C298,Ingredients!$B$6:$B$105,0))),0))</f>
        <v/>
      </c>
      <c r="K298">
        <f>IF(OR(B298="",C298=""),0,IFERROR(N(INDEX(Ingredients!$AD$6:$AD$105,MATCH(C298,Ingredients!$B$6:$B$105,0))),0))</f>
        <v/>
      </c>
      <c r="L298">
        <f>IF(OR(B298="",C298=""),0,IFERROR(N(INDEX(Ingredients!$AE$6:$AE$105,MATCH(C298,Ingredients!$B$6:$B$105,0))),0))</f>
        <v/>
      </c>
      <c r="M298">
        <f>IF(OR(B298="",C298=""),0,IFERROR(N(INDEX(Ingredients!$AF$6:$AF$105,MATCH(C298,Ingredients!$B$6:$B$105,0))),0))</f>
        <v/>
      </c>
      <c r="N298">
        <f>IF(OR(B298="",C298=""),0,IFERROR(N(INDEX(Ingredients!$AG$6:$AG$105,MATCH(C298,Ingredients!$B$6:$B$105,0))),0))</f>
        <v/>
      </c>
      <c r="O298">
        <f>IF(OR(B298="",C298=""),0,IFERROR(N(INDEX(Ingredients!$AH$6:$AH$105,MATCH(C298,Ingredients!$B$6:$B$105,0))),0))</f>
        <v/>
      </c>
      <c r="P298">
        <f>IF(OR(B298="",C298=""),0,IFERROR(N(INDEX(Ingredients!$AI$6:$AI$105,MATCH(C298,Ingredients!$B$6:$B$105,0))),0))</f>
        <v/>
      </c>
      <c r="Q298">
        <f>IF(OR(B298="",C298=""),0,IFERROR(N(INDEX(Ingredients!$AJ$6:$AJ$105,MATCH(C298,Ingredients!$B$6:$B$105,0))),0))</f>
        <v/>
      </c>
      <c r="R298">
        <f>IF(OR(B298="",C298=""),0,IFERROR(N(INDEX(Ingredients!$AK$6:$AK$105,MATCH(C298,Ingredients!$B$6:$B$105,0))),0))</f>
        <v/>
      </c>
      <c r="S298">
        <f>IF(OR(B298="",C298=""),0,IFERROR(N(INDEX(Ingredients!$AL$6:$AL$105,MATCH(C298,Ingredients!$B$6:$B$105,0))),0))</f>
        <v/>
      </c>
      <c r="T298">
        <f>IF(OR(B298="",C298=""),0,IFERROR(N(INDEX(Ingredients!$AM$6:$AM$105,MATCH(C298,Ingredients!$B$6:$B$105,0))),0))</f>
        <v/>
      </c>
      <c r="U298">
        <f>IF(OR(B298="",C298=""),0,IFERROR(N(INDEX(Ingredients!$AN$6:$AN$105,MATCH(C298,Ingredients!$B$6:$B$105,0))),0))</f>
        <v/>
      </c>
      <c r="V298">
        <f>IF(OR(B298="",C298=""),0,IFERROR(N(INDEX(Ingredients!$AO$6:$AO$105,MATCH(C298,Ingredients!$B$6:$B$105,0))),0))</f>
        <v/>
      </c>
      <c r="W298">
        <f>IF(OR(B298="",C298=""),0,IFERROR(N(INDEX(Ingredients!$AP$6:$AP$105,MATCH(C298,Ingredients!$B$6:$B$105,0))),0))</f>
        <v/>
      </c>
      <c r="X298">
        <f>IF(OR(B298="",C298=""),0,IFERROR(N(INDEX(Ingredients!$AQ$6:$AQ$105,MATCH(C298,Ingredients!$B$6:$B$105,0))),0))</f>
        <v/>
      </c>
    </row>
    <row r="299">
      <c r="A299" s="1" t="n"/>
      <c r="B299" s="21" t="n"/>
      <c r="C299" s="39" t="n"/>
      <c r="D299" s="40" t="n"/>
      <c r="E299" s="12">
        <f>IF(C299="","",IF(ISNA(MATCH(C299,Ingredients!$B$6:$B$105,0)),"Not on Ingredients",IFERROR(IF(INDEX(Ingredients!$C$6:$C$105,MATCH(C299,Ingredients!$B$6:$B$105,0))="","",INDEX(Ingredients!$C$6:$C$105,MATCH(C299,Ingredients!$B$6:$B$105,0))),"")))</f>
        <v/>
      </c>
      <c r="F299" s="26">
        <f>IF(OR(B299="",C299=""),"",N(D299)*IFERROR(N(INDEX(Ingredients!$H$6:$H$105,MATCH(C299,Ingredients!$B$6:$B$105,0))),0))</f>
        <v/>
      </c>
      <c r="G299" s="1">
        <f>IF(OR(B299="",C299=""),0,IFERROR(N(INDEX(Products!$D$6:$D$45,MATCH(B299,Products!$B$6:$B$45,0))),0))</f>
        <v/>
      </c>
      <c r="H299">
        <f>IF(N(G299)=0,0,N(D299)*SUMIFS(Batches!$D$6:$D$505,Batches!$C$6:$C$505,B299)/G299)</f>
        <v/>
      </c>
      <c r="I299">
        <f>IF(OR(B299="",C299=""),"",IF(B299&lt;&gt;Label!$H$3,"",IF(IFERROR(N(INDEX(Ingredients!$AS$6:$AS$105,MATCH(C299,Ingredients!$B$6:$B$105,0))),0)=1,"",ROUND(N(D299)*1000,0)*100000+100000-ROW())))</f>
        <v/>
      </c>
      <c r="J299">
        <f>IF(OR(B299="",C299=""),0,IFERROR(N(INDEX(Ingredients!$AC$6:$AC$105,MATCH(C299,Ingredients!$B$6:$B$105,0))),0))</f>
        <v/>
      </c>
      <c r="K299">
        <f>IF(OR(B299="",C299=""),0,IFERROR(N(INDEX(Ingredients!$AD$6:$AD$105,MATCH(C299,Ingredients!$B$6:$B$105,0))),0))</f>
        <v/>
      </c>
      <c r="L299">
        <f>IF(OR(B299="",C299=""),0,IFERROR(N(INDEX(Ingredients!$AE$6:$AE$105,MATCH(C299,Ingredients!$B$6:$B$105,0))),0))</f>
        <v/>
      </c>
      <c r="M299">
        <f>IF(OR(B299="",C299=""),0,IFERROR(N(INDEX(Ingredients!$AF$6:$AF$105,MATCH(C299,Ingredients!$B$6:$B$105,0))),0))</f>
        <v/>
      </c>
      <c r="N299">
        <f>IF(OR(B299="",C299=""),0,IFERROR(N(INDEX(Ingredients!$AG$6:$AG$105,MATCH(C299,Ingredients!$B$6:$B$105,0))),0))</f>
        <v/>
      </c>
      <c r="O299">
        <f>IF(OR(B299="",C299=""),0,IFERROR(N(INDEX(Ingredients!$AH$6:$AH$105,MATCH(C299,Ingredients!$B$6:$B$105,0))),0))</f>
        <v/>
      </c>
      <c r="P299">
        <f>IF(OR(B299="",C299=""),0,IFERROR(N(INDEX(Ingredients!$AI$6:$AI$105,MATCH(C299,Ingredients!$B$6:$B$105,0))),0))</f>
        <v/>
      </c>
      <c r="Q299">
        <f>IF(OR(B299="",C299=""),0,IFERROR(N(INDEX(Ingredients!$AJ$6:$AJ$105,MATCH(C299,Ingredients!$B$6:$B$105,0))),0))</f>
        <v/>
      </c>
      <c r="R299">
        <f>IF(OR(B299="",C299=""),0,IFERROR(N(INDEX(Ingredients!$AK$6:$AK$105,MATCH(C299,Ingredients!$B$6:$B$105,0))),0))</f>
        <v/>
      </c>
      <c r="S299">
        <f>IF(OR(B299="",C299=""),0,IFERROR(N(INDEX(Ingredients!$AL$6:$AL$105,MATCH(C299,Ingredients!$B$6:$B$105,0))),0))</f>
        <v/>
      </c>
      <c r="T299">
        <f>IF(OR(B299="",C299=""),0,IFERROR(N(INDEX(Ingredients!$AM$6:$AM$105,MATCH(C299,Ingredients!$B$6:$B$105,0))),0))</f>
        <v/>
      </c>
      <c r="U299">
        <f>IF(OR(B299="",C299=""),0,IFERROR(N(INDEX(Ingredients!$AN$6:$AN$105,MATCH(C299,Ingredients!$B$6:$B$105,0))),0))</f>
        <v/>
      </c>
      <c r="V299">
        <f>IF(OR(B299="",C299=""),0,IFERROR(N(INDEX(Ingredients!$AO$6:$AO$105,MATCH(C299,Ingredients!$B$6:$B$105,0))),0))</f>
        <v/>
      </c>
      <c r="W299">
        <f>IF(OR(B299="",C299=""),0,IFERROR(N(INDEX(Ingredients!$AP$6:$AP$105,MATCH(C299,Ingredients!$B$6:$B$105,0))),0))</f>
        <v/>
      </c>
      <c r="X299">
        <f>IF(OR(B299="",C299=""),0,IFERROR(N(INDEX(Ingredients!$AQ$6:$AQ$105,MATCH(C299,Ingredients!$B$6:$B$105,0))),0))</f>
        <v/>
      </c>
    </row>
    <row r="300">
      <c r="A300" s="1" t="n"/>
      <c r="B300" s="21" t="n"/>
      <c r="C300" s="39" t="n"/>
      <c r="D300" s="40" t="n"/>
      <c r="E300" s="12">
        <f>IF(C300="","",IF(ISNA(MATCH(C300,Ingredients!$B$6:$B$105,0)),"Not on Ingredients",IFERROR(IF(INDEX(Ingredients!$C$6:$C$105,MATCH(C300,Ingredients!$B$6:$B$105,0))="","",INDEX(Ingredients!$C$6:$C$105,MATCH(C300,Ingredients!$B$6:$B$105,0))),"")))</f>
        <v/>
      </c>
      <c r="F300" s="26">
        <f>IF(OR(B300="",C300=""),"",N(D300)*IFERROR(N(INDEX(Ingredients!$H$6:$H$105,MATCH(C300,Ingredients!$B$6:$B$105,0))),0))</f>
        <v/>
      </c>
      <c r="G300" s="1">
        <f>IF(OR(B300="",C300=""),0,IFERROR(N(INDEX(Products!$D$6:$D$45,MATCH(B300,Products!$B$6:$B$45,0))),0))</f>
        <v/>
      </c>
      <c r="H300">
        <f>IF(N(G300)=0,0,N(D300)*SUMIFS(Batches!$D$6:$D$505,Batches!$C$6:$C$505,B300)/G300)</f>
        <v/>
      </c>
      <c r="I300">
        <f>IF(OR(B300="",C300=""),"",IF(B300&lt;&gt;Label!$H$3,"",IF(IFERROR(N(INDEX(Ingredients!$AS$6:$AS$105,MATCH(C300,Ingredients!$B$6:$B$105,0))),0)=1,"",ROUND(N(D300)*1000,0)*100000+100000-ROW())))</f>
        <v/>
      </c>
      <c r="J300">
        <f>IF(OR(B300="",C300=""),0,IFERROR(N(INDEX(Ingredients!$AC$6:$AC$105,MATCH(C300,Ingredients!$B$6:$B$105,0))),0))</f>
        <v/>
      </c>
      <c r="K300">
        <f>IF(OR(B300="",C300=""),0,IFERROR(N(INDEX(Ingredients!$AD$6:$AD$105,MATCH(C300,Ingredients!$B$6:$B$105,0))),0))</f>
        <v/>
      </c>
      <c r="L300">
        <f>IF(OR(B300="",C300=""),0,IFERROR(N(INDEX(Ingredients!$AE$6:$AE$105,MATCH(C300,Ingredients!$B$6:$B$105,0))),0))</f>
        <v/>
      </c>
      <c r="M300">
        <f>IF(OR(B300="",C300=""),0,IFERROR(N(INDEX(Ingredients!$AF$6:$AF$105,MATCH(C300,Ingredients!$B$6:$B$105,0))),0))</f>
        <v/>
      </c>
      <c r="N300">
        <f>IF(OR(B300="",C300=""),0,IFERROR(N(INDEX(Ingredients!$AG$6:$AG$105,MATCH(C300,Ingredients!$B$6:$B$105,0))),0))</f>
        <v/>
      </c>
      <c r="O300">
        <f>IF(OR(B300="",C300=""),0,IFERROR(N(INDEX(Ingredients!$AH$6:$AH$105,MATCH(C300,Ingredients!$B$6:$B$105,0))),0))</f>
        <v/>
      </c>
      <c r="P300">
        <f>IF(OR(B300="",C300=""),0,IFERROR(N(INDEX(Ingredients!$AI$6:$AI$105,MATCH(C300,Ingredients!$B$6:$B$105,0))),0))</f>
        <v/>
      </c>
      <c r="Q300">
        <f>IF(OR(B300="",C300=""),0,IFERROR(N(INDEX(Ingredients!$AJ$6:$AJ$105,MATCH(C300,Ingredients!$B$6:$B$105,0))),0))</f>
        <v/>
      </c>
      <c r="R300">
        <f>IF(OR(B300="",C300=""),0,IFERROR(N(INDEX(Ingredients!$AK$6:$AK$105,MATCH(C300,Ingredients!$B$6:$B$105,0))),0))</f>
        <v/>
      </c>
      <c r="S300">
        <f>IF(OR(B300="",C300=""),0,IFERROR(N(INDEX(Ingredients!$AL$6:$AL$105,MATCH(C300,Ingredients!$B$6:$B$105,0))),0))</f>
        <v/>
      </c>
      <c r="T300">
        <f>IF(OR(B300="",C300=""),0,IFERROR(N(INDEX(Ingredients!$AM$6:$AM$105,MATCH(C300,Ingredients!$B$6:$B$105,0))),0))</f>
        <v/>
      </c>
      <c r="U300">
        <f>IF(OR(B300="",C300=""),0,IFERROR(N(INDEX(Ingredients!$AN$6:$AN$105,MATCH(C300,Ingredients!$B$6:$B$105,0))),0))</f>
        <v/>
      </c>
      <c r="V300">
        <f>IF(OR(B300="",C300=""),0,IFERROR(N(INDEX(Ingredients!$AO$6:$AO$105,MATCH(C300,Ingredients!$B$6:$B$105,0))),0))</f>
        <v/>
      </c>
      <c r="W300">
        <f>IF(OR(B300="",C300=""),0,IFERROR(N(INDEX(Ingredients!$AP$6:$AP$105,MATCH(C300,Ingredients!$B$6:$B$105,0))),0))</f>
        <v/>
      </c>
      <c r="X300">
        <f>IF(OR(B300="",C300=""),0,IFERROR(N(INDEX(Ingredients!$AQ$6:$AQ$105,MATCH(C300,Ingredients!$B$6:$B$105,0))),0))</f>
        <v/>
      </c>
    </row>
    <row r="301">
      <c r="A301" s="1" t="n"/>
      <c r="B301" s="21" t="n"/>
      <c r="C301" s="39" t="n"/>
      <c r="D301" s="40" t="n"/>
      <c r="E301" s="12">
        <f>IF(C301="","",IF(ISNA(MATCH(C301,Ingredients!$B$6:$B$105,0)),"Not on Ingredients",IFERROR(IF(INDEX(Ingredients!$C$6:$C$105,MATCH(C301,Ingredients!$B$6:$B$105,0))="","",INDEX(Ingredients!$C$6:$C$105,MATCH(C301,Ingredients!$B$6:$B$105,0))),"")))</f>
        <v/>
      </c>
      <c r="F301" s="26">
        <f>IF(OR(B301="",C301=""),"",N(D301)*IFERROR(N(INDEX(Ingredients!$H$6:$H$105,MATCH(C301,Ingredients!$B$6:$B$105,0))),0))</f>
        <v/>
      </c>
      <c r="G301" s="1">
        <f>IF(OR(B301="",C301=""),0,IFERROR(N(INDEX(Products!$D$6:$D$45,MATCH(B301,Products!$B$6:$B$45,0))),0))</f>
        <v/>
      </c>
      <c r="H301">
        <f>IF(N(G301)=0,0,N(D301)*SUMIFS(Batches!$D$6:$D$505,Batches!$C$6:$C$505,B301)/G301)</f>
        <v/>
      </c>
      <c r="I301">
        <f>IF(OR(B301="",C301=""),"",IF(B301&lt;&gt;Label!$H$3,"",IF(IFERROR(N(INDEX(Ingredients!$AS$6:$AS$105,MATCH(C301,Ingredients!$B$6:$B$105,0))),0)=1,"",ROUND(N(D301)*1000,0)*100000+100000-ROW())))</f>
        <v/>
      </c>
      <c r="J301">
        <f>IF(OR(B301="",C301=""),0,IFERROR(N(INDEX(Ingredients!$AC$6:$AC$105,MATCH(C301,Ingredients!$B$6:$B$105,0))),0))</f>
        <v/>
      </c>
      <c r="K301">
        <f>IF(OR(B301="",C301=""),0,IFERROR(N(INDEX(Ingredients!$AD$6:$AD$105,MATCH(C301,Ingredients!$B$6:$B$105,0))),0))</f>
        <v/>
      </c>
      <c r="L301">
        <f>IF(OR(B301="",C301=""),0,IFERROR(N(INDEX(Ingredients!$AE$6:$AE$105,MATCH(C301,Ingredients!$B$6:$B$105,0))),0))</f>
        <v/>
      </c>
      <c r="M301">
        <f>IF(OR(B301="",C301=""),0,IFERROR(N(INDEX(Ingredients!$AF$6:$AF$105,MATCH(C301,Ingredients!$B$6:$B$105,0))),0))</f>
        <v/>
      </c>
      <c r="N301">
        <f>IF(OR(B301="",C301=""),0,IFERROR(N(INDEX(Ingredients!$AG$6:$AG$105,MATCH(C301,Ingredients!$B$6:$B$105,0))),0))</f>
        <v/>
      </c>
      <c r="O301">
        <f>IF(OR(B301="",C301=""),0,IFERROR(N(INDEX(Ingredients!$AH$6:$AH$105,MATCH(C301,Ingredients!$B$6:$B$105,0))),0))</f>
        <v/>
      </c>
      <c r="P301">
        <f>IF(OR(B301="",C301=""),0,IFERROR(N(INDEX(Ingredients!$AI$6:$AI$105,MATCH(C301,Ingredients!$B$6:$B$105,0))),0))</f>
        <v/>
      </c>
      <c r="Q301">
        <f>IF(OR(B301="",C301=""),0,IFERROR(N(INDEX(Ingredients!$AJ$6:$AJ$105,MATCH(C301,Ingredients!$B$6:$B$105,0))),0))</f>
        <v/>
      </c>
      <c r="R301">
        <f>IF(OR(B301="",C301=""),0,IFERROR(N(INDEX(Ingredients!$AK$6:$AK$105,MATCH(C301,Ingredients!$B$6:$B$105,0))),0))</f>
        <v/>
      </c>
      <c r="S301">
        <f>IF(OR(B301="",C301=""),0,IFERROR(N(INDEX(Ingredients!$AL$6:$AL$105,MATCH(C301,Ingredients!$B$6:$B$105,0))),0))</f>
        <v/>
      </c>
      <c r="T301">
        <f>IF(OR(B301="",C301=""),0,IFERROR(N(INDEX(Ingredients!$AM$6:$AM$105,MATCH(C301,Ingredients!$B$6:$B$105,0))),0))</f>
        <v/>
      </c>
      <c r="U301">
        <f>IF(OR(B301="",C301=""),0,IFERROR(N(INDEX(Ingredients!$AN$6:$AN$105,MATCH(C301,Ingredients!$B$6:$B$105,0))),0))</f>
        <v/>
      </c>
      <c r="V301">
        <f>IF(OR(B301="",C301=""),0,IFERROR(N(INDEX(Ingredients!$AO$6:$AO$105,MATCH(C301,Ingredients!$B$6:$B$105,0))),0))</f>
        <v/>
      </c>
      <c r="W301">
        <f>IF(OR(B301="",C301=""),0,IFERROR(N(INDEX(Ingredients!$AP$6:$AP$105,MATCH(C301,Ingredients!$B$6:$B$105,0))),0))</f>
        <v/>
      </c>
      <c r="X301">
        <f>IF(OR(B301="",C301=""),0,IFERROR(N(INDEX(Ingredients!$AQ$6:$AQ$105,MATCH(C301,Ingredients!$B$6:$B$105,0))),0))</f>
        <v/>
      </c>
    </row>
    <row r="302">
      <c r="A302" s="1" t="n"/>
      <c r="B302" s="21" t="n"/>
      <c r="C302" s="39" t="n"/>
      <c r="D302" s="40" t="n"/>
      <c r="E302" s="12">
        <f>IF(C302="","",IF(ISNA(MATCH(C302,Ingredients!$B$6:$B$105,0)),"Not on Ingredients",IFERROR(IF(INDEX(Ingredients!$C$6:$C$105,MATCH(C302,Ingredients!$B$6:$B$105,0))="","",INDEX(Ingredients!$C$6:$C$105,MATCH(C302,Ingredients!$B$6:$B$105,0))),"")))</f>
        <v/>
      </c>
      <c r="F302" s="26">
        <f>IF(OR(B302="",C302=""),"",N(D302)*IFERROR(N(INDEX(Ingredients!$H$6:$H$105,MATCH(C302,Ingredients!$B$6:$B$105,0))),0))</f>
        <v/>
      </c>
      <c r="G302" s="1">
        <f>IF(OR(B302="",C302=""),0,IFERROR(N(INDEX(Products!$D$6:$D$45,MATCH(B302,Products!$B$6:$B$45,0))),0))</f>
        <v/>
      </c>
      <c r="H302">
        <f>IF(N(G302)=0,0,N(D302)*SUMIFS(Batches!$D$6:$D$505,Batches!$C$6:$C$505,B302)/G302)</f>
        <v/>
      </c>
      <c r="I302">
        <f>IF(OR(B302="",C302=""),"",IF(B302&lt;&gt;Label!$H$3,"",IF(IFERROR(N(INDEX(Ingredients!$AS$6:$AS$105,MATCH(C302,Ingredients!$B$6:$B$105,0))),0)=1,"",ROUND(N(D302)*1000,0)*100000+100000-ROW())))</f>
        <v/>
      </c>
      <c r="J302">
        <f>IF(OR(B302="",C302=""),0,IFERROR(N(INDEX(Ingredients!$AC$6:$AC$105,MATCH(C302,Ingredients!$B$6:$B$105,0))),0))</f>
        <v/>
      </c>
      <c r="K302">
        <f>IF(OR(B302="",C302=""),0,IFERROR(N(INDEX(Ingredients!$AD$6:$AD$105,MATCH(C302,Ingredients!$B$6:$B$105,0))),0))</f>
        <v/>
      </c>
      <c r="L302">
        <f>IF(OR(B302="",C302=""),0,IFERROR(N(INDEX(Ingredients!$AE$6:$AE$105,MATCH(C302,Ingredients!$B$6:$B$105,0))),0))</f>
        <v/>
      </c>
      <c r="M302">
        <f>IF(OR(B302="",C302=""),0,IFERROR(N(INDEX(Ingredients!$AF$6:$AF$105,MATCH(C302,Ingredients!$B$6:$B$105,0))),0))</f>
        <v/>
      </c>
      <c r="N302">
        <f>IF(OR(B302="",C302=""),0,IFERROR(N(INDEX(Ingredients!$AG$6:$AG$105,MATCH(C302,Ingredients!$B$6:$B$105,0))),0))</f>
        <v/>
      </c>
      <c r="O302">
        <f>IF(OR(B302="",C302=""),0,IFERROR(N(INDEX(Ingredients!$AH$6:$AH$105,MATCH(C302,Ingredients!$B$6:$B$105,0))),0))</f>
        <v/>
      </c>
      <c r="P302">
        <f>IF(OR(B302="",C302=""),0,IFERROR(N(INDEX(Ingredients!$AI$6:$AI$105,MATCH(C302,Ingredients!$B$6:$B$105,0))),0))</f>
        <v/>
      </c>
      <c r="Q302">
        <f>IF(OR(B302="",C302=""),0,IFERROR(N(INDEX(Ingredients!$AJ$6:$AJ$105,MATCH(C302,Ingredients!$B$6:$B$105,0))),0))</f>
        <v/>
      </c>
      <c r="R302">
        <f>IF(OR(B302="",C302=""),0,IFERROR(N(INDEX(Ingredients!$AK$6:$AK$105,MATCH(C302,Ingredients!$B$6:$B$105,0))),0))</f>
        <v/>
      </c>
      <c r="S302">
        <f>IF(OR(B302="",C302=""),0,IFERROR(N(INDEX(Ingredients!$AL$6:$AL$105,MATCH(C302,Ingredients!$B$6:$B$105,0))),0))</f>
        <v/>
      </c>
      <c r="T302">
        <f>IF(OR(B302="",C302=""),0,IFERROR(N(INDEX(Ingredients!$AM$6:$AM$105,MATCH(C302,Ingredients!$B$6:$B$105,0))),0))</f>
        <v/>
      </c>
      <c r="U302">
        <f>IF(OR(B302="",C302=""),0,IFERROR(N(INDEX(Ingredients!$AN$6:$AN$105,MATCH(C302,Ingredients!$B$6:$B$105,0))),0))</f>
        <v/>
      </c>
      <c r="V302">
        <f>IF(OR(B302="",C302=""),0,IFERROR(N(INDEX(Ingredients!$AO$6:$AO$105,MATCH(C302,Ingredients!$B$6:$B$105,0))),0))</f>
        <v/>
      </c>
      <c r="W302">
        <f>IF(OR(B302="",C302=""),0,IFERROR(N(INDEX(Ingredients!$AP$6:$AP$105,MATCH(C302,Ingredients!$B$6:$B$105,0))),0))</f>
        <v/>
      </c>
      <c r="X302">
        <f>IF(OR(B302="",C302=""),0,IFERROR(N(INDEX(Ingredients!$AQ$6:$AQ$105,MATCH(C302,Ingredients!$B$6:$B$105,0))),0))</f>
        <v/>
      </c>
    </row>
    <row r="303">
      <c r="A303" s="1" t="n"/>
      <c r="B303" s="21" t="n"/>
      <c r="C303" s="39" t="n"/>
      <c r="D303" s="40" t="n"/>
      <c r="E303" s="12">
        <f>IF(C303="","",IF(ISNA(MATCH(C303,Ingredients!$B$6:$B$105,0)),"Not on Ingredients",IFERROR(IF(INDEX(Ingredients!$C$6:$C$105,MATCH(C303,Ingredients!$B$6:$B$105,0))="","",INDEX(Ingredients!$C$6:$C$105,MATCH(C303,Ingredients!$B$6:$B$105,0))),"")))</f>
        <v/>
      </c>
      <c r="F303" s="26">
        <f>IF(OR(B303="",C303=""),"",N(D303)*IFERROR(N(INDEX(Ingredients!$H$6:$H$105,MATCH(C303,Ingredients!$B$6:$B$105,0))),0))</f>
        <v/>
      </c>
      <c r="G303" s="1">
        <f>IF(OR(B303="",C303=""),0,IFERROR(N(INDEX(Products!$D$6:$D$45,MATCH(B303,Products!$B$6:$B$45,0))),0))</f>
        <v/>
      </c>
      <c r="H303">
        <f>IF(N(G303)=0,0,N(D303)*SUMIFS(Batches!$D$6:$D$505,Batches!$C$6:$C$505,B303)/G303)</f>
        <v/>
      </c>
      <c r="I303">
        <f>IF(OR(B303="",C303=""),"",IF(B303&lt;&gt;Label!$H$3,"",IF(IFERROR(N(INDEX(Ingredients!$AS$6:$AS$105,MATCH(C303,Ingredients!$B$6:$B$105,0))),0)=1,"",ROUND(N(D303)*1000,0)*100000+100000-ROW())))</f>
        <v/>
      </c>
      <c r="J303">
        <f>IF(OR(B303="",C303=""),0,IFERROR(N(INDEX(Ingredients!$AC$6:$AC$105,MATCH(C303,Ingredients!$B$6:$B$105,0))),0))</f>
        <v/>
      </c>
      <c r="K303">
        <f>IF(OR(B303="",C303=""),0,IFERROR(N(INDEX(Ingredients!$AD$6:$AD$105,MATCH(C303,Ingredients!$B$6:$B$105,0))),0))</f>
        <v/>
      </c>
      <c r="L303">
        <f>IF(OR(B303="",C303=""),0,IFERROR(N(INDEX(Ingredients!$AE$6:$AE$105,MATCH(C303,Ingredients!$B$6:$B$105,0))),0))</f>
        <v/>
      </c>
      <c r="M303">
        <f>IF(OR(B303="",C303=""),0,IFERROR(N(INDEX(Ingredients!$AF$6:$AF$105,MATCH(C303,Ingredients!$B$6:$B$105,0))),0))</f>
        <v/>
      </c>
      <c r="N303">
        <f>IF(OR(B303="",C303=""),0,IFERROR(N(INDEX(Ingredients!$AG$6:$AG$105,MATCH(C303,Ingredients!$B$6:$B$105,0))),0))</f>
        <v/>
      </c>
      <c r="O303">
        <f>IF(OR(B303="",C303=""),0,IFERROR(N(INDEX(Ingredients!$AH$6:$AH$105,MATCH(C303,Ingredients!$B$6:$B$105,0))),0))</f>
        <v/>
      </c>
      <c r="P303">
        <f>IF(OR(B303="",C303=""),0,IFERROR(N(INDEX(Ingredients!$AI$6:$AI$105,MATCH(C303,Ingredients!$B$6:$B$105,0))),0))</f>
        <v/>
      </c>
      <c r="Q303">
        <f>IF(OR(B303="",C303=""),0,IFERROR(N(INDEX(Ingredients!$AJ$6:$AJ$105,MATCH(C303,Ingredients!$B$6:$B$105,0))),0))</f>
        <v/>
      </c>
      <c r="R303">
        <f>IF(OR(B303="",C303=""),0,IFERROR(N(INDEX(Ingredients!$AK$6:$AK$105,MATCH(C303,Ingredients!$B$6:$B$105,0))),0))</f>
        <v/>
      </c>
      <c r="S303">
        <f>IF(OR(B303="",C303=""),0,IFERROR(N(INDEX(Ingredients!$AL$6:$AL$105,MATCH(C303,Ingredients!$B$6:$B$105,0))),0))</f>
        <v/>
      </c>
      <c r="T303">
        <f>IF(OR(B303="",C303=""),0,IFERROR(N(INDEX(Ingredients!$AM$6:$AM$105,MATCH(C303,Ingredients!$B$6:$B$105,0))),0))</f>
        <v/>
      </c>
      <c r="U303">
        <f>IF(OR(B303="",C303=""),0,IFERROR(N(INDEX(Ingredients!$AN$6:$AN$105,MATCH(C303,Ingredients!$B$6:$B$105,0))),0))</f>
        <v/>
      </c>
      <c r="V303">
        <f>IF(OR(B303="",C303=""),0,IFERROR(N(INDEX(Ingredients!$AO$6:$AO$105,MATCH(C303,Ingredients!$B$6:$B$105,0))),0))</f>
        <v/>
      </c>
      <c r="W303">
        <f>IF(OR(B303="",C303=""),0,IFERROR(N(INDEX(Ingredients!$AP$6:$AP$105,MATCH(C303,Ingredients!$B$6:$B$105,0))),0))</f>
        <v/>
      </c>
      <c r="X303">
        <f>IF(OR(B303="",C303=""),0,IFERROR(N(INDEX(Ingredients!$AQ$6:$AQ$105,MATCH(C303,Ingredients!$B$6:$B$105,0))),0))</f>
        <v/>
      </c>
    </row>
    <row r="304">
      <c r="A304" s="1" t="n"/>
      <c r="B304" s="21" t="n"/>
      <c r="C304" s="39" t="n"/>
      <c r="D304" s="40" t="n"/>
      <c r="E304" s="12">
        <f>IF(C304="","",IF(ISNA(MATCH(C304,Ingredients!$B$6:$B$105,0)),"Not on Ingredients",IFERROR(IF(INDEX(Ingredients!$C$6:$C$105,MATCH(C304,Ingredients!$B$6:$B$105,0))="","",INDEX(Ingredients!$C$6:$C$105,MATCH(C304,Ingredients!$B$6:$B$105,0))),"")))</f>
        <v/>
      </c>
      <c r="F304" s="26">
        <f>IF(OR(B304="",C304=""),"",N(D304)*IFERROR(N(INDEX(Ingredients!$H$6:$H$105,MATCH(C304,Ingredients!$B$6:$B$105,0))),0))</f>
        <v/>
      </c>
      <c r="G304" s="1">
        <f>IF(OR(B304="",C304=""),0,IFERROR(N(INDEX(Products!$D$6:$D$45,MATCH(B304,Products!$B$6:$B$45,0))),0))</f>
        <v/>
      </c>
      <c r="H304">
        <f>IF(N(G304)=0,0,N(D304)*SUMIFS(Batches!$D$6:$D$505,Batches!$C$6:$C$505,B304)/G304)</f>
        <v/>
      </c>
      <c r="I304">
        <f>IF(OR(B304="",C304=""),"",IF(B304&lt;&gt;Label!$H$3,"",IF(IFERROR(N(INDEX(Ingredients!$AS$6:$AS$105,MATCH(C304,Ingredients!$B$6:$B$105,0))),0)=1,"",ROUND(N(D304)*1000,0)*100000+100000-ROW())))</f>
        <v/>
      </c>
      <c r="J304">
        <f>IF(OR(B304="",C304=""),0,IFERROR(N(INDEX(Ingredients!$AC$6:$AC$105,MATCH(C304,Ingredients!$B$6:$B$105,0))),0))</f>
        <v/>
      </c>
      <c r="K304">
        <f>IF(OR(B304="",C304=""),0,IFERROR(N(INDEX(Ingredients!$AD$6:$AD$105,MATCH(C304,Ingredients!$B$6:$B$105,0))),0))</f>
        <v/>
      </c>
      <c r="L304">
        <f>IF(OR(B304="",C304=""),0,IFERROR(N(INDEX(Ingredients!$AE$6:$AE$105,MATCH(C304,Ingredients!$B$6:$B$105,0))),0))</f>
        <v/>
      </c>
      <c r="M304">
        <f>IF(OR(B304="",C304=""),0,IFERROR(N(INDEX(Ingredients!$AF$6:$AF$105,MATCH(C304,Ingredients!$B$6:$B$105,0))),0))</f>
        <v/>
      </c>
      <c r="N304">
        <f>IF(OR(B304="",C304=""),0,IFERROR(N(INDEX(Ingredients!$AG$6:$AG$105,MATCH(C304,Ingredients!$B$6:$B$105,0))),0))</f>
        <v/>
      </c>
      <c r="O304">
        <f>IF(OR(B304="",C304=""),0,IFERROR(N(INDEX(Ingredients!$AH$6:$AH$105,MATCH(C304,Ingredients!$B$6:$B$105,0))),0))</f>
        <v/>
      </c>
      <c r="P304">
        <f>IF(OR(B304="",C304=""),0,IFERROR(N(INDEX(Ingredients!$AI$6:$AI$105,MATCH(C304,Ingredients!$B$6:$B$105,0))),0))</f>
        <v/>
      </c>
      <c r="Q304">
        <f>IF(OR(B304="",C304=""),0,IFERROR(N(INDEX(Ingredients!$AJ$6:$AJ$105,MATCH(C304,Ingredients!$B$6:$B$105,0))),0))</f>
        <v/>
      </c>
      <c r="R304">
        <f>IF(OR(B304="",C304=""),0,IFERROR(N(INDEX(Ingredients!$AK$6:$AK$105,MATCH(C304,Ingredients!$B$6:$B$105,0))),0))</f>
        <v/>
      </c>
      <c r="S304">
        <f>IF(OR(B304="",C304=""),0,IFERROR(N(INDEX(Ingredients!$AL$6:$AL$105,MATCH(C304,Ingredients!$B$6:$B$105,0))),0))</f>
        <v/>
      </c>
      <c r="T304">
        <f>IF(OR(B304="",C304=""),0,IFERROR(N(INDEX(Ingredients!$AM$6:$AM$105,MATCH(C304,Ingredients!$B$6:$B$105,0))),0))</f>
        <v/>
      </c>
      <c r="U304">
        <f>IF(OR(B304="",C304=""),0,IFERROR(N(INDEX(Ingredients!$AN$6:$AN$105,MATCH(C304,Ingredients!$B$6:$B$105,0))),0))</f>
        <v/>
      </c>
      <c r="V304">
        <f>IF(OR(B304="",C304=""),0,IFERROR(N(INDEX(Ingredients!$AO$6:$AO$105,MATCH(C304,Ingredients!$B$6:$B$105,0))),0))</f>
        <v/>
      </c>
      <c r="W304">
        <f>IF(OR(B304="",C304=""),0,IFERROR(N(INDEX(Ingredients!$AP$6:$AP$105,MATCH(C304,Ingredients!$B$6:$B$105,0))),0))</f>
        <v/>
      </c>
      <c r="X304">
        <f>IF(OR(B304="",C304=""),0,IFERROR(N(INDEX(Ingredients!$AQ$6:$AQ$105,MATCH(C304,Ingredients!$B$6:$B$105,0))),0))</f>
        <v/>
      </c>
    </row>
    <row r="305">
      <c r="A305" s="1" t="n"/>
      <c r="B305" s="21" t="n"/>
      <c r="C305" s="39" t="n"/>
      <c r="D305" s="40" t="n"/>
      <c r="E305" s="12">
        <f>IF(C305="","",IF(ISNA(MATCH(C305,Ingredients!$B$6:$B$105,0)),"Not on Ingredients",IFERROR(IF(INDEX(Ingredients!$C$6:$C$105,MATCH(C305,Ingredients!$B$6:$B$105,0))="","",INDEX(Ingredients!$C$6:$C$105,MATCH(C305,Ingredients!$B$6:$B$105,0))),"")))</f>
        <v/>
      </c>
      <c r="F305" s="26">
        <f>IF(OR(B305="",C305=""),"",N(D305)*IFERROR(N(INDEX(Ingredients!$H$6:$H$105,MATCH(C305,Ingredients!$B$6:$B$105,0))),0))</f>
        <v/>
      </c>
      <c r="G305" s="1">
        <f>IF(OR(B305="",C305=""),0,IFERROR(N(INDEX(Products!$D$6:$D$45,MATCH(B305,Products!$B$6:$B$45,0))),0))</f>
        <v/>
      </c>
      <c r="H305">
        <f>IF(N(G305)=0,0,N(D305)*SUMIFS(Batches!$D$6:$D$505,Batches!$C$6:$C$505,B305)/G305)</f>
        <v/>
      </c>
      <c r="I305">
        <f>IF(OR(B305="",C305=""),"",IF(B305&lt;&gt;Label!$H$3,"",IF(IFERROR(N(INDEX(Ingredients!$AS$6:$AS$105,MATCH(C305,Ingredients!$B$6:$B$105,0))),0)=1,"",ROUND(N(D305)*1000,0)*100000+100000-ROW())))</f>
        <v/>
      </c>
      <c r="J305">
        <f>IF(OR(B305="",C305=""),0,IFERROR(N(INDEX(Ingredients!$AC$6:$AC$105,MATCH(C305,Ingredients!$B$6:$B$105,0))),0))</f>
        <v/>
      </c>
      <c r="K305">
        <f>IF(OR(B305="",C305=""),0,IFERROR(N(INDEX(Ingredients!$AD$6:$AD$105,MATCH(C305,Ingredients!$B$6:$B$105,0))),0))</f>
        <v/>
      </c>
      <c r="L305">
        <f>IF(OR(B305="",C305=""),0,IFERROR(N(INDEX(Ingredients!$AE$6:$AE$105,MATCH(C305,Ingredients!$B$6:$B$105,0))),0))</f>
        <v/>
      </c>
      <c r="M305">
        <f>IF(OR(B305="",C305=""),0,IFERROR(N(INDEX(Ingredients!$AF$6:$AF$105,MATCH(C305,Ingredients!$B$6:$B$105,0))),0))</f>
        <v/>
      </c>
      <c r="N305">
        <f>IF(OR(B305="",C305=""),0,IFERROR(N(INDEX(Ingredients!$AG$6:$AG$105,MATCH(C305,Ingredients!$B$6:$B$105,0))),0))</f>
        <v/>
      </c>
      <c r="O305">
        <f>IF(OR(B305="",C305=""),0,IFERROR(N(INDEX(Ingredients!$AH$6:$AH$105,MATCH(C305,Ingredients!$B$6:$B$105,0))),0))</f>
        <v/>
      </c>
      <c r="P305">
        <f>IF(OR(B305="",C305=""),0,IFERROR(N(INDEX(Ingredients!$AI$6:$AI$105,MATCH(C305,Ingredients!$B$6:$B$105,0))),0))</f>
        <v/>
      </c>
      <c r="Q305">
        <f>IF(OR(B305="",C305=""),0,IFERROR(N(INDEX(Ingredients!$AJ$6:$AJ$105,MATCH(C305,Ingredients!$B$6:$B$105,0))),0))</f>
        <v/>
      </c>
      <c r="R305">
        <f>IF(OR(B305="",C305=""),0,IFERROR(N(INDEX(Ingredients!$AK$6:$AK$105,MATCH(C305,Ingredients!$B$6:$B$105,0))),0))</f>
        <v/>
      </c>
      <c r="S305">
        <f>IF(OR(B305="",C305=""),0,IFERROR(N(INDEX(Ingredients!$AL$6:$AL$105,MATCH(C305,Ingredients!$B$6:$B$105,0))),0))</f>
        <v/>
      </c>
      <c r="T305">
        <f>IF(OR(B305="",C305=""),0,IFERROR(N(INDEX(Ingredients!$AM$6:$AM$105,MATCH(C305,Ingredients!$B$6:$B$105,0))),0))</f>
        <v/>
      </c>
      <c r="U305">
        <f>IF(OR(B305="",C305=""),0,IFERROR(N(INDEX(Ingredients!$AN$6:$AN$105,MATCH(C305,Ingredients!$B$6:$B$105,0))),0))</f>
        <v/>
      </c>
      <c r="V305">
        <f>IF(OR(B305="",C305=""),0,IFERROR(N(INDEX(Ingredients!$AO$6:$AO$105,MATCH(C305,Ingredients!$B$6:$B$105,0))),0))</f>
        <v/>
      </c>
      <c r="W305">
        <f>IF(OR(B305="",C305=""),0,IFERROR(N(INDEX(Ingredients!$AP$6:$AP$105,MATCH(C305,Ingredients!$B$6:$B$105,0))),0))</f>
        <v/>
      </c>
      <c r="X305">
        <f>IF(OR(B305="",C305=""),0,IFERROR(N(INDEX(Ingredients!$AQ$6:$AQ$105,MATCH(C305,Ingredients!$B$6:$B$105,0))),0))</f>
        <v/>
      </c>
    </row>
    <row r="306">
      <c r="A306" s="1" t="n"/>
      <c r="B306" s="21" t="n"/>
      <c r="C306" s="39" t="n"/>
      <c r="D306" s="40" t="n"/>
      <c r="E306" s="12">
        <f>IF(C306="","",IF(ISNA(MATCH(C306,Ingredients!$B$6:$B$105,0)),"Not on Ingredients",IFERROR(IF(INDEX(Ingredients!$C$6:$C$105,MATCH(C306,Ingredients!$B$6:$B$105,0))="","",INDEX(Ingredients!$C$6:$C$105,MATCH(C306,Ingredients!$B$6:$B$105,0))),"")))</f>
        <v/>
      </c>
      <c r="F306" s="26">
        <f>IF(OR(B306="",C306=""),"",N(D306)*IFERROR(N(INDEX(Ingredients!$H$6:$H$105,MATCH(C306,Ingredients!$B$6:$B$105,0))),0))</f>
        <v/>
      </c>
      <c r="G306" s="1">
        <f>IF(OR(B306="",C306=""),0,IFERROR(N(INDEX(Products!$D$6:$D$45,MATCH(B306,Products!$B$6:$B$45,0))),0))</f>
        <v/>
      </c>
      <c r="H306">
        <f>IF(N(G306)=0,0,N(D306)*SUMIFS(Batches!$D$6:$D$505,Batches!$C$6:$C$505,B306)/G306)</f>
        <v/>
      </c>
      <c r="I306">
        <f>IF(OR(B306="",C306=""),"",IF(B306&lt;&gt;Label!$H$3,"",IF(IFERROR(N(INDEX(Ingredients!$AS$6:$AS$105,MATCH(C306,Ingredients!$B$6:$B$105,0))),0)=1,"",ROUND(N(D306)*1000,0)*100000+100000-ROW())))</f>
        <v/>
      </c>
      <c r="J306">
        <f>IF(OR(B306="",C306=""),0,IFERROR(N(INDEX(Ingredients!$AC$6:$AC$105,MATCH(C306,Ingredients!$B$6:$B$105,0))),0))</f>
        <v/>
      </c>
      <c r="K306">
        <f>IF(OR(B306="",C306=""),0,IFERROR(N(INDEX(Ingredients!$AD$6:$AD$105,MATCH(C306,Ingredients!$B$6:$B$105,0))),0))</f>
        <v/>
      </c>
      <c r="L306">
        <f>IF(OR(B306="",C306=""),0,IFERROR(N(INDEX(Ingredients!$AE$6:$AE$105,MATCH(C306,Ingredients!$B$6:$B$105,0))),0))</f>
        <v/>
      </c>
      <c r="M306">
        <f>IF(OR(B306="",C306=""),0,IFERROR(N(INDEX(Ingredients!$AF$6:$AF$105,MATCH(C306,Ingredients!$B$6:$B$105,0))),0))</f>
        <v/>
      </c>
      <c r="N306">
        <f>IF(OR(B306="",C306=""),0,IFERROR(N(INDEX(Ingredients!$AG$6:$AG$105,MATCH(C306,Ingredients!$B$6:$B$105,0))),0))</f>
        <v/>
      </c>
      <c r="O306">
        <f>IF(OR(B306="",C306=""),0,IFERROR(N(INDEX(Ingredients!$AH$6:$AH$105,MATCH(C306,Ingredients!$B$6:$B$105,0))),0))</f>
        <v/>
      </c>
      <c r="P306">
        <f>IF(OR(B306="",C306=""),0,IFERROR(N(INDEX(Ingredients!$AI$6:$AI$105,MATCH(C306,Ingredients!$B$6:$B$105,0))),0))</f>
        <v/>
      </c>
      <c r="Q306">
        <f>IF(OR(B306="",C306=""),0,IFERROR(N(INDEX(Ingredients!$AJ$6:$AJ$105,MATCH(C306,Ingredients!$B$6:$B$105,0))),0))</f>
        <v/>
      </c>
      <c r="R306">
        <f>IF(OR(B306="",C306=""),0,IFERROR(N(INDEX(Ingredients!$AK$6:$AK$105,MATCH(C306,Ingredients!$B$6:$B$105,0))),0))</f>
        <v/>
      </c>
      <c r="S306">
        <f>IF(OR(B306="",C306=""),0,IFERROR(N(INDEX(Ingredients!$AL$6:$AL$105,MATCH(C306,Ingredients!$B$6:$B$105,0))),0))</f>
        <v/>
      </c>
      <c r="T306">
        <f>IF(OR(B306="",C306=""),0,IFERROR(N(INDEX(Ingredients!$AM$6:$AM$105,MATCH(C306,Ingredients!$B$6:$B$105,0))),0))</f>
        <v/>
      </c>
      <c r="U306">
        <f>IF(OR(B306="",C306=""),0,IFERROR(N(INDEX(Ingredients!$AN$6:$AN$105,MATCH(C306,Ingredients!$B$6:$B$105,0))),0))</f>
        <v/>
      </c>
      <c r="V306">
        <f>IF(OR(B306="",C306=""),0,IFERROR(N(INDEX(Ingredients!$AO$6:$AO$105,MATCH(C306,Ingredients!$B$6:$B$105,0))),0))</f>
        <v/>
      </c>
      <c r="W306">
        <f>IF(OR(B306="",C306=""),0,IFERROR(N(INDEX(Ingredients!$AP$6:$AP$105,MATCH(C306,Ingredients!$B$6:$B$105,0))),0))</f>
        <v/>
      </c>
      <c r="X306">
        <f>IF(OR(B306="",C306=""),0,IFERROR(N(INDEX(Ingredients!$AQ$6:$AQ$105,MATCH(C306,Ingredients!$B$6:$B$105,0))),0))</f>
        <v/>
      </c>
    </row>
    <row r="307">
      <c r="A307" s="1" t="n"/>
      <c r="B307" s="21" t="n"/>
      <c r="C307" s="39" t="n"/>
      <c r="D307" s="40" t="n"/>
      <c r="E307" s="12">
        <f>IF(C307="","",IF(ISNA(MATCH(C307,Ingredients!$B$6:$B$105,0)),"Not on Ingredients",IFERROR(IF(INDEX(Ingredients!$C$6:$C$105,MATCH(C307,Ingredients!$B$6:$B$105,0))="","",INDEX(Ingredients!$C$6:$C$105,MATCH(C307,Ingredients!$B$6:$B$105,0))),"")))</f>
        <v/>
      </c>
      <c r="F307" s="26">
        <f>IF(OR(B307="",C307=""),"",N(D307)*IFERROR(N(INDEX(Ingredients!$H$6:$H$105,MATCH(C307,Ingredients!$B$6:$B$105,0))),0))</f>
        <v/>
      </c>
      <c r="G307" s="1">
        <f>IF(OR(B307="",C307=""),0,IFERROR(N(INDEX(Products!$D$6:$D$45,MATCH(B307,Products!$B$6:$B$45,0))),0))</f>
        <v/>
      </c>
      <c r="H307">
        <f>IF(N(G307)=0,0,N(D307)*SUMIFS(Batches!$D$6:$D$505,Batches!$C$6:$C$505,B307)/G307)</f>
        <v/>
      </c>
      <c r="I307">
        <f>IF(OR(B307="",C307=""),"",IF(B307&lt;&gt;Label!$H$3,"",IF(IFERROR(N(INDEX(Ingredients!$AS$6:$AS$105,MATCH(C307,Ingredients!$B$6:$B$105,0))),0)=1,"",ROUND(N(D307)*1000,0)*100000+100000-ROW())))</f>
        <v/>
      </c>
      <c r="J307">
        <f>IF(OR(B307="",C307=""),0,IFERROR(N(INDEX(Ingredients!$AC$6:$AC$105,MATCH(C307,Ingredients!$B$6:$B$105,0))),0))</f>
        <v/>
      </c>
      <c r="K307">
        <f>IF(OR(B307="",C307=""),0,IFERROR(N(INDEX(Ingredients!$AD$6:$AD$105,MATCH(C307,Ingredients!$B$6:$B$105,0))),0))</f>
        <v/>
      </c>
      <c r="L307">
        <f>IF(OR(B307="",C307=""),0,IFERROR(N(INDEX(Ingredients!$AE$6:$AE$105,MATCH(C307,Ingredients!$B$6:$B$105,0))),0))</f>
        <v/>
      </c>
      <c r="M307">
        <f>IF(OR(B307="",C307=""),0,IFERROR(N(INDEX(Ingredients!$AF$6:$AF$105,MATCH(C307,Ingredients!$B$6:$B$105,0))),0))</f>
        <v/>
      </c>
      <c r="N307">
        <f>IF(OR(B307="",C307=""),0,IFERROR(N(INDEX(Ingredients!$AG$6:$AG$105,MATCH(C307,Ingredients!$B$6:$B$105,0))),0))</f>
        <v/>
      </c>
      <c r="O307">
        <f>IF(OR(B307="",C307=""),0,IFERROR(N(INDEX(Ingredients!$AH$6:$AH$105,MATCH(C307,Ingredients!$B$6:$B$105,0))),0))</f>
        <v/>
      </c>
      <c r="P307">
        <f>IF(OR(B307="",C307=""),0,IFERROR(N(INDEX(Ingredients!$AI$6:$AI$105,MATCH(C307,Ingredients!$B$6:$B$105,0))),0))</f>
        <v/>
      </c>
      <c r="Q307">
        <f>IF(OR(B307="",C307=""),0,IFERROR(N(INDEX(Ingredients!$AJ$6:$AJ$105,MATCH(C307,Ingredients!$B$6:$B$105,0))),0))</f>
        <v/>
      </c>
      <c r="R307">
        <f>IF(OR(B307="",C307=""),0,IFERROR(N(INDEX(Ingredients!$AK$6:$AK$105,MATCH(C307,Ingredients!$B$6:$B$105,0))),0))</f>
        <v/>
      </c>
      <c r="S307">
        <f>IF(OR(B307="",C307=""),0,IFERROR(N(INDEX(Ingredients!$AL$6:$AL$105,MATCH(C307,Ingredients!$B$6:$B$105,0))),0))</f>
        <v/>
      </c>
      <c r="T307">
        <f>IF(OR(B307="",C307=""),0,IFERROR(N(INDEX(Ingredients!$AM$6:$AM$105,MATCH(C307,Ingredients!$B$6:$B$105,0))),0))</f>
        <v/>
      </c>
      <c r="U307">
        <f>IF(OR(B307="",C307=""),0,IFERROR(N(INDEX(Ingredients!$AN$6:$AN$105,MATCH(C307,Ingredients!$B$6:$B$105,0))),0))</f>
        <v/>
      </c>
      <c r="V307">
        <f>IF(OR(B307="",C307=""),0,IFERROR(N(INDEX(Ingredients!$AO$6:$AO$105,MATCH(C307,Ingredients!$B$6:$B$105,0))),0))</f>
        <v/>
      </c>
      <c r="W307">
        <f>IF(OR(B307="",C307=""),0,IFERROR(N(INDEX(Ingredients!$AP$6:$AP$105,MATCH(C307,Ingredients!$B$6:$B$105,0))),0))</f>
        <v/>
      </c>
      <c r="X307">
        <f>IF(OR(B307="",C307=""),0,IFERROR(N(INDEX(Ingredients!$AQ$6:$AQ$105,MATCH(C307,Ingredients!$B$6:$B$105,0))),0))</f>
        <v/>
      </c>
    </row>
    <row r="308">
      <c r="A308" s="1" t="n"/>
      <c r="B308" s="21" t="n"/>
      <c r="C308" s="39" t="n"/>
      <c r="D308" s="40" t="n"/>
      <c r="E308" s="12">
        <f>IF(C308="","",IF(ISNA(MATCH(C308,Ingredients!$B$6:$B$105,0)),"Not on Ingredients",IFERROR(IF(INDEX(Ingredients!$C$6:$C$105,MATCH(C308,Ingredients!$B$6:$B$105,0))="","",INDEX(Ingredients!$C$6:$C$105,MATCH(C308,Ingredients!$B$6:$B$105,0))),"")))</f>
        <v/>
      </c>
      <c r="F308" s="26">
        <f>IF(OR(B308="",C308=""),"",N(D308)*IFERROR(N(INDEX(Ingredients!$H$6:$H$105,MATCH(C308,Ingredients!$B$6:$B$105,0))),0))</f>
        <v/>
      </c>
      <c r="G308" s="1">
        <f>IF(OR(B308="",C308=""),0,IFERROR(N(INDEX(Products!$D$6:$D$45,MATCH(B308,Products!$B$6:$B$45,0))),0))</f>
        <v/>
      </c>
      <c r="H308">
        <f>IF(N(G308)=0,0,N(D308)*SUMIFS(Batches!$D$6:$D$505,Batches!$C$6:$C$505,B308)/G308)</f>
        <v/>
      </c>
      <c r="I308">
        <f>IF(OR(B308="",C308=""),"",IF(B308&lt;&gt;Label!$H$3,"",IF(IFERROR(N(INDEX(Ingredients!$AS$6:$AS$105,MATCH(C308,Ingredients!$B$6:$B$105,0))),0)=1,"",ROUND(N(D308)*1000,0)*100000+100000-ROW())))</f>
        <v/>
      </c>
      <c r="J308">
        <f>IF(OR(B308="",C308=""),0,IFERROR(N(INDEX(Ingredients!$AC$6:$AC$105,MATCH(C308,Ingredients!$B$6:$B$105,0))),0))</f>
        <v/>
      </c>
      <c r="K308">
        <f>IF(OR(B308="",C308=""),0,IFERROR(N(INDEX(Ingredients!$AD$6:$AD$105,MATCH(C308,Ingredients!$B$6:$B$105,0))),0))</f>
        <v/>
      </c>
      <c r="L308">
        <f>IF(OR(B308="",C308=""),0,IFERROR(N(INDEX(Ingredients!$AE$6:$AE$105,MATCH(C308,Ingredients!$B$6:$B$105,0))),0))</f>
        <v/>
      </c>
      <c r="M308">
        <f>IF(OR(B308="",C308=""),0,IFERROR(N(INDEX(Ingredients!$AF$6:$AF$105,MATCH(C308,Ingredients!$B$6:$B$105,0))),0))</f>
        <v/>
      </c>
      <c r="N308">
        <f>IF(OR(B308="",C308=""),0,IFERROR(N(INDEX(Ingredients!$AG$6:$AG$105,MATCH(C308,Ingredients!$B$6:$B$105,0))),0))</f>
        <v/>
      </c>
      <c r="O308">
        <f>IF(OR(B308="",C308=""),0,IFERROR(N(INDEX(Ingredients!$AH$6:$AH$105,MATCH(C308,Ingredients!$B$6:$B$105,0))),0))</f>
        <v/>
      </c>
      <c r="P308">
        <f>IF(OR(B308="",C308=""),0,IFERROR(N(INDEX(Ingredients!$AI$6:$AI$105,MATCH(C308,Ingredients!$B$6:$B$105,0))),0))</f>
        <v/>
      </c>
      <c r="Q308">
        <f>IF(OR(B308="",C308=""),0,IFERROR(N(INDEX(Ingredients!$AJ$6:$AJ$105,MATCH(C308,Ingredients!$B$6:$B$105,0))),0))</f>
        <v/>
      </c>
      <c r="R308">
        <f>IF(OR(B308="",C308=""),0,IFERROR(N(INDEX(Ingredients!$AK$6:$AK$105,MATCH(C308,Ingredients!$B$6:$B$105,0))),0))</f>
        <v/>
      </c>
      <c r="S308">
        <f>IF(OR(B308="",C308=""),0,IFERROR(N(INDEX(Ingredients!$AL$6:$AL$105,MATCH(C308,Ingredients!$B$6:$B$105,0))),0))</f>
        <v/>
      </c>
      <c r="T308">
        <f>IF(OR(B308="",C308=""),0,IFERROR(N(INDEX(Ingredients!$AM$6:$AM$105,MATCH(C308,Ingredients!$B$6:$B$105,0))),0))</f>
        <v/>
      </c>
      <c r="U308">
        <f>IF(OR(B308="",C308=""),0,IFERROR(N(INDEX(Ingredients!$AN$6:$AN$105,MATCH(C308,Ingredients!$B$6:$B$105,0))),0))</f>
        <v/>
      </c>
      <c r="V308">
        <f>IF(OR(B308="",C308=""),0,IFERROR(N(INDEX(Ingredients!$AO$6:$AO$105,MATCH(C308,Ingredients!$B$6:$B$105,0))),0))</f>
        <v/>
      </c>
      <c r="W308">
        <f>IF(OR(B308="",C308=""),0,IFERROR(N(INDEX(Ingredients!$AP$6:$AP$105,MATCH(C308,Ingredients!$B$6:$B$105,0))),0))</f>
        <v/>
      </c>
      <c r="X308">
        <f>IF(OR(B308="",C308=""),0,IFERROR(N(INDEX(Ingredients!$AQ$6:$AQ$105,MATCH(C308,Ingredients!$B$6:$B$105,0))),0))</f>
        <v/>
      </c>
    </row>
    <row r="309">
      <c r="A309" s="1" t="n"/>
      <c r="B309" s="21" t="n"/>
      <c r="C309" s="39" t="n"/>
      <c r="D309" s="40" t="n"/>
      <c r="E309" s="12">
        <f>IF(C309="","",IF(ISNA(MATCH(C309,Ingredients!$B$6:$B$105,0)),"Not on Ingredients",IFERROR(IF(INDEX(Ingredients!$C$6:$C$105,MATCH(C309,Ingredients!$B$6:$B$105,0))="","",INDEX(Ingredients!$C$6:$C$105,MATCH(C309,Ingredients!$B$6:$B$105,0))),"")))</f>
        <v/>
      </c>
      <c r="F309" s="26">
        <f>IF(OR(B309="",C309=""),"",N(D309)*IFERROR(N(INDEX(Ingredients!$H$6:$H$105,MATCH(C309,Ingredients!$B$6:$B$105,0))),0))</f>
        <v/>
      </c>
      <c r="G309" s="1">
        <f>IF(OR(B309="",C309=""),0,IFERROR(N(INDEX(Products!$D$6:$D$45,MATCH(B309,Products!$B$6:$B$45,0))),0))</f>
        <v/>
      </c>
      <c r="H309">
        <f>IF(N(G309)=0,0,N(D309)*SUMIFS(Batches!$D$6:$D$505,Batches!$C$6:$C$505,B309)/G309)</f>
        <v/>
      </c>
      <c r="I309">
        <f>IF(OR(B309="",C309=""),"",IF(B309&lt;&gt;Label!$H$3,"",IF(IFERROR(N(INDEX(Ingredients!$AS$6:$AS$105,MATCH(C309,Ingredients!$B$6:$B$105,0))),0)=1,"",ROUND(N(D309)*1000,0)*100000+100000-ROW())))</f>
        <v/>
      </c>
      <c r="J309">
        <f>IF(OR(B309="",C309=""),0,IFERROR(N(INDEX(Ingredients!$AC$6:$AC$105,MATCH(C309,Ingredients!$B$6:$B$105,0))),0))</f>
        <v/>
      </c>
      <c r="K309">
        <f>IF(OR(B309="",C309=""),0,IFERROR(N(INDEX(Ingredients!$AD$6:$AD$105,MATCH(C309,Ingredients!$B$6:$B$105,0))),0))</f>
        <v/>
      </c>
      <c r="L309">
        <f>IF(OR(B309="",C309=""),0,IFERROR(N(INDEX(Ingredients!$AE$6:$AE$105,MATCH(C309,Ingredients!$B$6:$B$105,0))),0))</f>
        <v/>
      </c>
      <c r="M309">
        <f>IF(OR(B309="",C309=""),0,IFERROR(N(INDEX(Ingredients!$AF$6:$AF$105,MATCH(C309,Ingredients!$B$6:$B$105,0))),0))</f>
        <v/>
      </c>
      <c r="N309">
        <f>IF(OR(B309="",C309=""),0,IFERROR(N(INDEX(Ingredients!$AG$6:$AG$105,MATCH(C309,Ingredients!$B$6:$B$105,0))),0))</f>
        <v/>
      </c>
      <c r="O309">
        <f>IF(OR(B309="",C309=""),0,IFERROR(N(INDEX(Ingredients!$AH$6:$AH$105,MATCH(C309,Ingredients!$B$6:$B$105,0))),0))</f>
        <v/>
      </c>
      <c r="P309">
        <f>IF(OR(B309="",C309=""),0,IFERROR(N(INDEX(Ingredients!$AI$6:$AI$105,MATCH(C309,Ingredients!$B$6:$B$105,0))),0))</f>
        <v/>
      </c>
      <c r="Q309">
        <f>IF(OR(B309="",C309=""),0,IFERROR(N(INDEX(Ingredients!$AJ$6:$AJ$105,MATCH(C309,Ingredients!$B$6:$B$105,0))),0))</f>
        <v/>
      </c>
      <c r="R309">
        <f>IF(OR(B309="",C309=""),0,IFERROR(N(INDEX(Ingredients!$AK$6:$AK$105,MATCH(C309,Ingredients!$B$6:$B$105,0))),0))</f>
        <v/>
      </c>
      <c r="S309">
        <f>IF(OR(B309="",C309=""),0,IFERROR(N(INDEX(Ingredients!$AL$6:$AL$105,MATCH(C309,Ingredients!$B$6:$B$105,0))),0))</f>
        <v/>
      </c>
      <c r="T309">
        <f>IF(OR(B309="",C309=""),0,IFERROR(N(INDEX(Ingredients!$AM$6:$AM$105,MATCH(C309,Ingredients!$B$6:$B$105,0))),0))</f>
        <v/>
      </c>
      <c r="U309">
        <f>IF(OR(B309="",C309=""),0,IFERROR(N(INDEX(Ingredients!$AN$6:$AN$105,MATCH(C309,Ingredients!$B$6:$B$105,0))),0))</f>
        <v/>
      </c>
      <c r="V309">
        <f>IF(OR(B309="",C309=""),0,IFERROR(N(INDEX(Ingredients!$AO$6:$AO$105,MATCH(C309,Ingredients!$B$6:$B$105,0))),0))</f>
        <v/>
      </c>
      <c r="W309">
        <f>IF(OR(B309="",C309=""),0,IFERROR(N(INDEX(Ingredients!$AP$6:$AP$105,MATCH(C309,Ingredients!$B$6:$B$105,0))),0))</f>
        <v/>
      </c>
      <c r="X309">
        <f>IF(OR(B309="",C309=""),0,IFERROR(N(INDEX(Ingredients!$AQ$6:$AQ$105,MATCH(C309,Ingredients!$B$6:$B$105,0))),0))</f>
        <v/>
      </c>
    </row>
    <row r="310">
      <c r="A310" s="1" t="n"/>
      <c r="B310" s="21" t="n"/>
      <c r="C310" s="39" t="n"/>
      <c r="D310" s="40" t="n"/>
      <c r="E310" s="12">
        <f>IF(C310="","",IF(ISNA(MATCH(C310,Ingredients!$B$6:$B$105,0)),"Not on Ingredients",IFERROR(IF(INDEX(Ingredients!$C$6:$C$105,MATCH(C310,Ingredients!$B$6:$B$105,0))="","",INDEX(Ingredients!$C$6:$C$105,MATCH(C310,Ingredients!$B$6:$B$105,0))),"")))</f>
        <v/>
      </c>
      <c r="F310" s="26">
        <f>IF(OR(B310="",C310=""),"",N(D310)*IFERROR(N(INDEX(Ingredients!$H$6:$H$105,MATCH(C310,Ingredients!$B$6:$B$105,0))),0))</f>
        <v/>
      </c>
      <c r="G310" s="1">
        <f>IF(OR(B310="",C310=""),0,IFERROR(N(INDEX(Products!$D$6:$D$45,MATCH(B310,Products!$B$6:$B$45,0))),0))</f>
        <v/>
      </c>
      <c r="H310">
        <f>IF(N(G310)=0,0,N(D310)*SUMIFS(Batches!$D$6:$D$505,Batches!$C$6:$C$505,B310)/G310)</f>
        <v/>
      </c>
      <c r="I310">
        <f>IF(OR(B310="",C310=""),"",IF(B310&lt;&gt;Label!$H$3,"",IF(IFERROR(N(INDEX(Ingredients!$AS$6:$AS$105,MATCH(C310,Ingredients!$B$6:$B$105,0))),0)=1,"",ROUND(N(D310)*1000,0)*100000+100000-ROW())))</f>
        <v/>
      </c>
      <c r="J310">
        <f>IF(OR(B310="",C310=""),0,IFERROR(N(INDEX(Ingredients!$AC$6:$AC$105,MATCH(C310,Ingredients!$B$6:$B$105,0))),0))</f>
        <v/>
      </c>
      <c r="K310">
        <f>IF(OR(B310="",C310=""),0,IFERROR(N(INDEX(Ingredients!$AD$6:$AD$105,MATCH(C310,Ingredients!$B$6:$B$105,0))),0))</f>
        <v/>
      </c>
      <c r="L310">
        <f>IF(OR(B310="",C310=""),0,IFERROR(N(INDEX(Ingredients!$AE$6:$AE$105,MATCH(C310,Ingredients!$B$6:$B$105,0))),0))</f>
        <v/>
      </c>
      <c r="M310">
        <f>IF(OR(B310="",C310=""),0,IFERROR(N(INDEX(Ingredients!$AF$6:$AF$105,MATCH(C310,Ingredients!$B$6:$B$105,0))),0))</f>
        <v/>
      </c>
      <c r="N310">
        <f>IF(OR(B310="",C310=""),0,IFERROR(N(INDEX(Ingredients!$AG$6:$AG$105,MATCH(C310,Ingredients!$B$6:$B$105,0))),0))</f>
        <v/>
      </c>
      <c r="O310">
        <f>IF(OR(B310="",C310=""),0,IFERROR(N(INDEX(Ingredients!$AH$6:$AH$105,MATCH(C310,Ingredients!$B$6:$B$105,0))),0))</f>
        <v/>
      </c>
      <c r="P310">
        <f>IF(OR(B310="",C310=""),0,IFERROR(N(INDEX(Ingredients!$AI$6:$AI$105,MATCH(C310,Ingredients!$B$6:$B$105,0))),0))</f>
        <v/>
      </c>
      <c r="Q310">
        <f>IF(OR(B310="",C310=""),0,IFERROR(N(INDEX(Ingredients!$AJ$6:$AJ$105,MATCH(C310,Ingredients!$B$6:$B$105,0))),0))</f>
        <v/>
      </c>
      <c r="R310">
        <f>IF(OR(B310="",C310=""),0,IFERROR(N(INDEX(Ingredients!$AK$6:$AK$105,MATCH(C310,Ingredients!$B$6:$B$105,0))),0))</f>
        <v/>
      </c>
      <c r="S310">
        <f>IF(OR(B310="",C310=""),0,IFERROR(N(INDEX(Ingredients!$AL$6:$AL$105,MATCH(C310,Ingredients!$B$6:$B$105,0))),0))</f>
        <v/>
      </c>
      <c r="T310">
        <f>IF(OR(B310="",C310=""),0,IFERROR(N(INDEX(Ingredients!$AM$6:$AM$105,MATCH(C310,Ingredients!$B$6:$B$105,0))),0))</f>
        <v/>
      </c>
      <c r="U310">
        <f>IF(OR(B310="",C310=""),0,IFERROR(N(INDEX(Ingredients!$AN$6:$AN$105,MATCH(C310,Ingredients!$B$6:$B$105,0))),0))</f>
        <v/>
      </c>
      <c r="V310">
        <f>IF(OR(B310="",C310=""),0,IFERROR(N(INDEX(Ingredients!$AO$6:$AO$105,MATCH(C310,Ingredients!$B$6:$B$105,0))),0))</f>
        <v/>
      </c>
      <c r="W310">
        <f>IF(OR(B310="",C310=""),0,IFERROR(N(INDEX(Ingredients!$AP$6:$AP$105,MATCH(C310,Ingredients!$B$6:$B$105,0))),0))</f>
        <v/>
      </c>
      <c r="X310">
        <f>IF(OR(B310="",C310=""),0,IFERROR(N(INDEX(Ingredients!$AQ$6:$AQ$105,MATCH(C310,Ingredients!$B$6:$B$105,0))),0))</f>
        <v/>
      </c>
    </row>
    <row r="311">
      <c r="A311" s="1" t="n"/>
      <c r="B311" s="21" t="n"/>
      <c r="C311" s="39" t="n"/>
      <c r="D311" s="40" t="n"/>
      <c r="E311" s="12">
        <f>IF(C311="","",IF(ISNA(MATCH(C311,Ingredients!$B$6:$B$105,0)),"Not on Ingredients",IFERROR(IF(INDEX(Ingredients!$C$6:$C$105,MATCH(C311,Ingredients!$B$6:$B$105,0))="","",INDEX(Ingredients!$C$6:$C$105,MATCH(C311,Ingredients!$B$6:$B$105,0))),"")))</f>
        <v/>
      </c>
      <c r="F311" s="26">
        <f>IF(OR(B311="",C311=""),"",N(D311)*IFERROR(N(INDEX(Ingredients!$H$6:$H$105,MATCH(C311,Ingredients!$B$6:$B$105,0))),0))</f>
        <v/>
      </c>
      <c r="G311" s="1">
        <f>IF(OR(B311="",C311=""),0,IFERROR(N(INDEX(Products!$D$6:$D$45,MATCH(B311,Products!$B$6:$B$45,0))),0))</f>
        <v/>
      </c>
      <c r="H311">
        <f>IF(N(G311)=0,0,N(D311)*SUMIFS(Batches!$D$6:$D$505,Batches!$C$6:$C$505,B311)/G311)</f>
        <v/>
      </c>
      <c r="I311">
        <f>IF(OR(B311="",C311=""),"",IF(B311&lt;&gt;Label!$H$3,"",IF(IFERROR(N(INDEX(Ingredients!$AS$6:$AS$105,MATCH(C311,Ingredients!$B$6:$B$105,0))),0)=1,"",ROUND(N(D311)*1000,0)*100000+100000-ROW())))</f>
        <v/>
      </c>
      <c r="J311">
        <f>IF(OR(B311="",C311=""),0,IFERROR(N(INDEX(Ingredients!$AC$6:$AC$105,MATCH(C311,Ingredients!$B$6:$B$105,0))),0))</f>
        <v/>
      </c>
      <c r="K311">
        <f>IF(OR(B311="",C311=""),0,IFERROR(N(INDEX(Ingredients!$AD$6:$AD$105,MATCH(C311,Ingredients!$B$6:$B$105,0))),0))</f>
        <v/>
      </c>
      <c r="L311">
        <f>IF(OR(B311="",C311=""),0,IFERROR(N(INDEX(Ingredients!$AE$6:$AE$105,MATCH(C311,Ingredients!$B$6:$B$105,0))),0))</f>
        <v/>
      </c>
      <c r="M311">
        <f>IF(OR(B311="",C311=""),0,IFERROR(N(INDEX(Ingredients!$AF$6:$AF$105,MATCH(C311,Ingredients!$B$6:$B$105,0))),0))</f>
        <v/>
      </c>
      <c r="N311">
        <f>IF(OR(B311="",C311=""),0,IFERROR(N(INDEX(Ingredients!$AG$6:$AG$105,MATCH(C311,Ingredients!$B$6:$B$105,0))),0))</f>
        <v/>
      </c>
      <c r="O311">
        <f>IF(OR(B311="",C311=""),0,IFERROR(N(INDEX(Ingredients!$AH$6:$AH$105,MATCH(C311,Ingredients!$B$6:$B$105,0))),0))</f>
        <v/>
      </c>
      <c r="P311">
        <f>IF(OR(B311="",C311=""),0,IFERROR(N(INDEX(Ingredients!$AI$6:$AI$105,MATCH(C311,Ingredients!$B$6:$B$105,0))),0))</f>
        <v/>
      </c>
      <c r="Q311">
        <f>IF(OR(B311="",C311=""),0,IFERROR(N(INDEX(Ingredients!$AJ$6:$AJ$105,MATCH(C311,Ingredients!$B$6:$B$105,0))),0))</f>
        <v/>
      </c>
      <c r="R311">
        <f>IF(OR(B311="",C311=""),0,IFERROR(N(INDEX(Ingredients!$AK$6:$AK$105,MATCH(C311,Ingredients!$B$6:$B$105,0))),0))</f>
        <v/>
      </c>
      <c r="S311">
        <f>IF(OR(B311="",C311=""),0,IFERROR(N(INDEX(Ingredients!$AL$6:$AL$105,MATCH(C311,Ingredients!$B$6:$B$105,0))),0))</f>
        <v/>
      </c>
      <c r="T311">
        <f>IF(OR(B311="",C311=""),0,IFERROR(N(INDEX(Ingredients!$AM$6:$AM$105,MATCH(C311,Ingredients!$B$6:$B$105,0))),0))</f>
        <v/>
      </c>
      <c r="U311">
        <f>IF(OR(B311="",C311=""),0,IFERROR(N(INDEX(Ingredients!$AN$6:$AN$105,MATCH(C311,Ingredients!$B$6:$B$105,0))),0))</f>
        <v/>
      </c>
      <c r="V311">
        <f>IF(OR(B311="",C311=""),0,IFERROR(N(INDEX(Ingredients!$AO$6:$AO$105,MATCH(C311,Ingredients!$B$6:$B$105,0))),0))</f>
        <v/>
      </c>
      <c r="W311">
        <f>IF(OR(B311="",C311=""),0,IFERROR(N(INDEX(Ingredients!$AP$6:$AP$105,MATCH(C311,Ingredients!$B$6:$B$105,0))),0))</f>
        <v/>
      </c>
      <c r="X311">
        <f>IF(OR(B311="",C311=""),0,IFERROR(N(INDEX(Ingredients!$AQ$6:$AQ$105,MATCH(C311,Ingredients!$B$6:$B$105,0))),0))</f>
        <v/>
      </c>
    </row>
    <row r="312">
      <c r="A312" s="1" t="n"/>
      <c r="B312" s="21" t="n"/>
      <c r="C312" s="39" t="n"/>
      <c r="D312" s="40" t="n"/>
      <c r="E312" s="12">
        <f>IF(C312="","",IF(ISNA(MATCH(C312,Ingredients!$B$6:$B$105,0)),"Not on Ingredients",IFERROR(IF(INDEX(Ingredients!$C$6:$C$105,MATCH(C312,Ingredients!$B$6:$B$105,0))="","",INDEX(Ingredients!$C$6:$C$105,MATCH(C312,Ingredients!$B$6:$B$105,0))),"")))</f>
        <v/>
      </c>
      <c r="F312" s="26">
        <f>IF(OR(B312="",C312=""),"",N(D312)*IFERROR(N(INDEX(Ingredients!$H$6:$H$105,MATCH(C312,Ingredients!$B$6:$B$105,0))),0))</f>
        <v/>
      </c>
      <c r="G312" s="1">
        <f>IF(OR(B312="",C312=""),0,IFERROR(N(INDEX(Products!$D$6:$D$45,MATCH(B312,Products!$B$6:$B$45,0))),0))</f>
        <v/>
      </c>
      <c r="H312">
        <f>IF(N(G312)=0,0,N(D312)*SUMIFS(Batches!$D$6:$D$505,Batches!$C$6:$C$505,B312)/G312)</f>
        <v/>
      </c>
      <c r="I312">
        <f>IF(OR(B312="",C312=""),"",IF(B312&lt;&gt;Label!$H$3,"",IF(IFERROR(N(INDEX(Ingredients!$AS$6:$AS$105,MATCH(C312,Ingredients!$B$6:$B$105,0))),0)=1,"",ROUND(N(D312)*1000,0)*100000+100000-ROW())))</f>
        <v/>
      </c>
      <c r="J312">
        <f>IF(OR(B312="",C312=""),0,IFERROR(N(INDEX(Ingredients!$AC$6:$AC$105,MATCH(C312,Ingredients!$B$6:$B$105,0))),0))</f>
        <v/>
      </c>
      <c r="K312">
        <f>IF(OR(B312="",C312=""),0,IFERROR(N(INDEX(Ingredients!$AD$6:$AD$105,MATCH(C312,Ingredients!$B$6:$B$105,0))),0))</f>
        <v/>
      </c>
      <c r="L312">
        <f>IF(OR(B312="",C312=""),0,IFERROR(N(INDEX(Ingredients!$AE$6:$AE$105,MATCH(C312,Ingredients!$B$6:$B$105,0))),0))</f>
        <v/>
      </c>
      <c r="M312">
        <f>IF(OR(B312="",C312=""),0,IFERROR(N(INDEX(Ingredients!$AF$6:$AF$105,MATCH(C312,Ingredients!$B$6:$B$105,0))),0))</f>
        <v/>
      </c>
      <c r="N312">
        <f>IF(OR(B312="",C312=""),0,IFERROR(N(INDEX(Ingredients!$AG$6:$AG$105,MATCH(C312,Ingredients!$B$6:$B$105,0))),0))</f>
        <v/>
      </c>
      <c r="O312">
        <f>IF(OR(B312="",C312=""),0,IFERROR(N(INDEX(Ingredients!$AH$6:$AH$105,MATCH(C312,Ingredients!$B$6:$B$105,0))),0))</f>
        <v/>
      </c>
      <c r="P312">
        <f>IF(OR(B312="",C312=""),0,IFERROR(N(INDEX(Ingredients!$AI$6:$AI$105,MATCH(C312,Ingredients!$B$6:$B$105,0))),0))</f>
        <v/>
      </c>
      <c r="Q312">
        <f>IF(OR(B312="",C312=""),0,IFERROR(N(INDEX(Ingredients!$AJ$6:$AJ$105,MATCH(C312,Ingredients!$B$6:$B$105,0))),0))</f>
        <v/>
      </c>
      <c r="R312">
        <f>IF(OR(B312="",C312=""),0,IFERROR(N(INDEX(Ingredients!$AK$6:$AK$105,MATCH(C312,Ingredients!$B$6:$B$105,0))),0))</f>
        <v/>
      </c>
      <c r="S312">
        <f>IF(OR(B312="",C312=""),0,IFERROR(N(INDEX(Ingredients!$AL$6:$AL$105,MATCH(C312,Ingredients!$B$6:$B$105,0))),0))</f>
        <v/>
      </c>
      <c r="T312">
        <f>IF(OR(B312="",C312=""),0,IFERROR(N(INDEX(Ingredients!$AM$6:$AM$105,MATCH(C312,Ingredients!$B$6:$B$105,0))),0))</f>
        <v/>
      </c>
      <c r="U312">
        <f>IF(OR(B312="",C312=""),0,IFERROR(N(INDEX(Ingredients!$AN$6:$AN$105,MATCH(C312,Ingredients!$B$6:$B$105,0))),0))</f>
        <v/>
      </c>
      <c r="V312">
        <f>IF(OR(B312="",C312=""),0,IFERROR(N(INDEX(Ingredients!$AO$6:$AO$105,MATCH(C312,Ingredients!$B$6:$B$105,0))),0))</f>
        <v/>
      </c>
      <c r="W312">
        <f>IF(OR(B312="",C312=""),0,IFERROR(N(INDEX(Ingredients!$AP$6:$AP$105,MATCH(C312,Ingredients!$B$6:$B$105,0))),0))</f>
        <v/>
      </c>
      <c r="X312">
        <f>IF(OR(B312="",C312=""),0,IFERROR(N(INDEX(Ingredients!$AQ$6:$AQ$105,MATCH(C312,Ingredients!$B$6:$B$105,0))),0))</f>
        <v/>
      </c>
    </row>
    <row r="313">
      <c r="A313" s="1" t="n"/>
      <c r="B313" s="21" t="n"/>
      <c r="C313" s="39" t="n"/>
      <c r="D313" s="40" t="n"/>
      <c r="E313" s="12">
        <f>IF(C313="","",IF(ISNA(MATCH(C313,Ingredients!$B$6:$B$105,0)),"Not on Ingredients",IFERROR(IF(INDEX(Ingredients!$C$6:$C$105,MATCH(C313,Ingredients!$B$6:$B$105,0))="","",INDEX(Ingredients!$C$6:$C$105,MATCH(C313,Ingredients!$B$6:$B$105,0))),"")))</f>
        <v/>
      </c>
      <c r="F313" s="26">
        <f>IF(OR(B313="",C313=""),"",N(D313)*IFERROR(N(INDEX(Ingredients!$H$6:$H$105,MATCH(C313,Ingredients!$B$6:$B$105,0))),0))</f>
        <v/>
      </c>
      <c r="G313" s="1">
        <f>IF(OR(B313="",C313=""),0,IFERROR(N(INDEX(Products!$D$6:$D$45,MATCH(B313,Products!$B$6:$B$45,0))),0))</f>
        <v/>
      </c>
      <c r="H313">
        <f>IF(N(G313)=0,0,N(D313)*SUMIFS(Batches!$D$6:$D$505,Batches!$C$6:$C$505,B313)/G313)</f>
        <v/>
      </c>
      <c r="I313">
        <f>IF(OR(B313="",C313=""),"",IF(B313&lt;&gt;Label!$H$3,"",IF(IFERROR(N(INDEX(Ingredients!$AS$6:$AS$105,MATCH(C313,Ingredients!$B$6:$B$105,0))),0)=1,"",ROUND(N(D313)*1000,0)*100000+100000-ROW())))</f>
        <v/>
      </c>
      <c r="J313">
        <f>IF(OR(B313="",C313=""),0,IFERROR(N(INDEX(Ingredients!$AC$6:$AC$105,MATCH(C313,Ingredients!$B$6:$B$105,0))),0))</f>
        <v/>
      </c>
      <c r="K313">
        <f>IF(OR(B313="",C313=""),0,IFERROR(N(INDEX(Ingredients!$AD$6:$AD$105,MATCH(C313,Ingredients!$B$6:$B$105,0))),0))</f>
        <v/>
      </c>
      <c r="L313">
        <f>IF(OR(B313="",C313=""),0,IFERROR(N(INDEX(Ingredients!$AE$6:$AE$105,MATCH(C313,Ingredients!$B$6:$B$105,0))),0))</f>
        <v/>
      </c>
      <c r="M313">
        <f>IF(OR(B313="",C313=""),0,IFERROR(N(INDEX(Ingredients!$AF$6:$AF$105,MATCH(C313,Ingredients!$B$6:$B$105,0))),0))</f>
        <v/>
      </c>
      <c r="N313">
        <f>IF(OR(B313="",C313=""),0,IFERROR(N(INDEX(Ingredients!$AG$6:$AG$105,MATCH(C313,Ingredients!$B$6:$B$105,0))),0))</f>
        <v/>
      </c>
      <c r="O313">
        <f>IF(OR(B313="",C313=""),0,IFERROR(N(INDEX(Ingredients!$AH$6:$AH$105,MATCH(C313,Ingredients!$B$6:$B$105,0))),0))</f>
        <v/>
      </c>
      <c r="P313">
        <f>IF(OR(B313="",C313=""),0,IFERROR(N(INDEX(Ingredients!$AI$6:$AI$105,MATCH(C313,Ingredients!$B$6:$B$105,0))),0))</f>
        <v/>
      </c>
      <c r="Q313">
        <f>IF(OR(B313="",C313=""),0,IFERROR(N(INDEX(Ingredients!$AJ$6:$AJ$105,MATCH(C313,Ingredients!$B$6:$B$105,0))),0))</f>
        <v/>
      </c>
      <c r="R313">
        <f>IF(OR(B313="",C313=""),0,IFERROR(N(INDEX(Ingredients!$AK$6:$AK$105,MATCH(C313,Ingredients!$B$6:$B$105,0))),0))</f>
        <v/>
      </c>
      <c r="S313">
        <f>IF(OR(B313="",C313=""),0,IFERROR(N(INDEX(Ingredients!$AL$6:$AL$105,MATCH(C313,Ingredients!$B$6:$B$105,0))),0))</f>
        <v/>
      </c>
      <c r="T313">
        <f>IF(OR(B313="",C313=""),0,IFERROR(N(INDEX(Ingredients!$AM$6:$AM$105,MATCH(C313,Ingredients!$B$6:$B$105,0))),0))</f>
        <v/>
      </c>
      <c r="U313">
        <f>IF(OR(B313="",C313=""),0,IFERROR(N(INDEX(Ingredients!$AN$6:$AN$105,MATCH(C313,Ingredients!$B$6:$B$105,0))),0))</f>
        <v/>
      </c>
      <c r="V313">
        <f>IF(OR(B313="",C313=""),0,IFERROR(N(INDEX(Ingredients!$AO$6:$AO$105,MATCH(C313,Ingredients!$B$6:$B$105,0))),0))</f>
        <v/>
      </c>
      <c r="W313">
        <f>IF(OR(B313="",C313=""),0,IFERROR(N(INDEX(Ingredients!$AP$6:$AP$105,MATCH(C313,Ingredients!$B$6:$B$105,0))),0))</f>
        <v/>
      </c>
      <c r="X313">
        <f>IF(OR(B313="",C313=""),0,IFERROR(N(INDEX(Ingredients!$AQ$6:$AQ$105,MATCH(C313,Ingredients!$B$6:$B$105,0))),0))</f>
        <v/>
      </c>
    </row>
    <row r="314">
      <c r="A314" s="1" t="n"/>
      <c r="B314" s="21" t="n"/>
      <c r="C314" s="39" t="n"/>
      <c r="D314" s="40" t="n"/>
      <c r="E314" s="12">
        <f>IF(C314="","",IF(ISNA(MATCH(C314,Ingredients!$B$6:$B$105,0)),"Not on Ingredients",IFERROR(IF(INDEX(Ingredients!$C$6:$C$105,MATCH(C314,Ingredients!$B$6:$B$105,0))="","",INDEX(Ingredients!$C$6:$C$105,MATCH(C314,Ingredients!$B$6:$B$105,0))),"")))</f>
        <v/>
      </c>
      <c r="F314" s="26">
        <f>IF(OR(B314="",C314=""),"",N(D314)*IFERROR(N(INDEX(Ingredients!$H$6:$H$105,MATCH(C314,Ingredients!$B$6:$B$105,0))),0))</f>
        <v/>
      </c>
      <c r="G314" s="1">
        <f>IF(OR(B314="",C314=""),0,IFERROR(N(INDEX(Products!$D$6:$D$45,MATCH(B314,Products!$B$6:$B$45,0))),0))</f>
        <v/>
      </c>
      <c r="H314">
        <f>IF(N(G314)=0,0,N(D314)*SUMIFS(Batches!$D$6:$D$505,Batches!$C$6:$C$505,B314)/G314)</f>
        <v/>
      </c>
      <c r="I314">
        <f>IF(OR(B314="",C314=""),"",IF(B314&lt;&gt;Label!$H$3,"",IF(IFERROR(N(INDEX(Ingredients!$AS$6:$AS$105,MATCH(C314,Ingredients!$B$6:$B$105,0))),0)=1,"",ROUND(N(D314)*1000,0)*100000+100000-ROW())))</f>
        <v/>
      </c>
      <c r="J314">
        <f>IF(OR(B314="",C314=""),0,IFERROR(N(INDEX(Ingredients!$AC$6:$AC$105,MATCH(C314,Ingredients!$B$6:$B$105,0))),0))</f>
        <v/>
      </c>
      <c r="K314">
        <f>IF(OR(B314="",C314=""),0,IFERROR(N(INDEX(Ingredients!$AD$6:$AD$105,MATCH(C314,Ingredients!$B$6:$B$105,0))),0))</f>
        <v/>
      </c>
      <c r="L314">
        <f>IF(OR(B314="",C314=""),0,IFERROR(N(INDEX(Ingredients!$AE$6:$AE$105,MATCH(C314,Ingredients!$B$6:$B$105,0))),0))</f>
        <v/>
      </c>
      <c r="M314">
        <f>IF(OR(B314="",C314=""),0,IFERROR(N(INDEX(Ingredients!$AF$6:$AF$105,MATCH(C314,Ingredients!$B$6:$B$105,0))),0))</f>
        <v/>
      </c>
      <c r="N314">
        <f>IF(OR(B314="",C314=""),0,IFERROR(N(INDEX(Ingredients!$AG$6:$AG$105,MATCH(C314,Ingredients!$B$6:$B$105,0))),0))</f>
        <v/>
      </c>
      <c r="O314">
        <f>IF(OR(B314="",C314=""),0,IFERROR(N(INDEX(Ingredients!$AH$6:$AH$105,MATCH(C314,Ingredients!$B$6:$B$105,0))),0))</f>
        <v/>
      </c>
      <c r="P314">
        <f>IF(OR(B314="",C314=""),0,IFERROR(N(INDEX(Ingredients!$AI$6:$AI$105,MATCH(C314,Ingredients!$B$6:$B$105,0))),0))</f>
        <v/>
      </c>
      <c r="Q314">
        <f>IF(OR(B314="",C314=""),0,IFERROR(N(INDEX(Ingredients!$AJ$6:$AJ$105,MATCH(C314,Ingredients!$B$6:$B$105,0))),0))</f>
        <v/>
      </c>
      <c r="R314">
        <f>IF(OR(B314="",C314=""),0,IFERROR(N(INDEX(Ingredients!$AK$6:$AK$105,MATCH(C314,Ingredients!$B$6:$B$105,0))),0))</f>
        <v/>
      </c>
      <c r="S314">
        <f>IF(OR(B314="",C314=""),0,IFERROR(N(INDEX(Ingredients!$AL$6:$AL$105,MATCH(C314,Ingredients!$B$6:$B$105,0))),0))</f>
        <v/>
      </c>
      <c r="T314">
        <f>IF(OR(B314="",C314=""),0,IFERROR(N(INDEX(Ingredients!$AM$6:$AM$105,MATCH(C314,Ingredients!$B$6:$B$105,0))),0))</f>
        <v/>
      </c>
      <c r="U314">
        <f>IF(OR(B314="",C314=""),0,IFERROR(N(INDEX(Ingredients!$AN$6:$AN$105,MATCH(C314,Ingredients!$B$6:$B$105,0))),0))</f>
        <v/>
      </c>
      <c r="V314">
        <f>IF(OR(B314="",C314=""),0,IFERROR(N(INDEX(Ingredients!$AO$6:$AO$105,MATCH(C314,Ingredients!$B$6:$B$105,0))),0))</f>
        <v/>
      </c>
      <c r="W314">
        <f>IF(OR(B314="",C314=""),0,IFERROR(N(INDEX(Ingredients!$AP$6:$AP$105,MATCH(C314,Ingredients!$B$6:$B$105,0))),0))</f>
        <v/>
      </c>
      <c r="X314">
        <f>IF(OR(B314="",C314=""),0,IFERROR(N(INDEX(Ingredients!$AQ$6:$AQ$105,MATCH(C314,Ingredients!$B$6:$B$105,0))),0))</f>
        <v/>
      </c>
    </row>
    <row r="315">
      <c r="A315" s="1" t="n"/>
      <c r="B315" s="21" t="n"/>
      <c r="C315" s="39" t="n"/>
      <c r="D315" s="40" t="n"/>
      <c r="E315" s="12">
        <f>IF(C315="","",IF(ISNA(MATCH(C315,Ingredients!$B$6:$B$105,0)),"Not on Ingredients",IFERROR(IF(INDEX(Ingredients!$C$6:$C$105,MATCH(C315,Ingredients!$B$6:$B$105,0))="","",INDEX(Ingredients!$C$6:$C$105,MATCH(C315,Ingredients!$B$6:$B$105,0))),"")))</f>
        <v/>
      </c>
      <c r="F315" s="26">
        <f>IF(OR(B315="",C315=""),"",N(D315)*IFERROR(N(INDEX(Ingredients!$H$6:$H$105,MATCH(C315,Ingredients!$B$6:$B$105,0))),0))</f>
        <v/>
      </c>
      <c r="G315" s="1">
        <f>IF(OR(B315="",C315=""),0,IFERROR(N(INDEX(Products!$D$6:$D$45,MATCH(B315,Products!$B$6:$B$45,0))),0))</f>
        <v/>
      </c>
      <c r="H315">
        <f>IF(N(G315)=0,0,N(D315)*SUMIFS(Batches!$D$6:$D$505,Batches!$C$6:$C$505,B315)/G315)</f>
        <v/>
      </c>
      <c r="I315">
        <f>IF(OR(B315="",C315=""),"",IF(B315&lt;&gt;Label!$H$3,"",IF(IFERROR(N(INDEX(Ingredients!$AS$6:$AS$105,MATCH(C315,Ingredients!$B$6:$B$105,0))),0)=1,"",ROUND(N(D315)*1000,0)*100000+100000-ROW())))</f>
        <v/>
      </c>
      <c r="J315">
        <f>IF(OR(B315="",C315=""),0,IFERROR(N(INDEX(Ingredients!$AC$6:$AC$105,MATCH(C315,Ingredients!$B$6:$B$105,0))),0))</f>
        <v/>
      </c>
      <c r="K315">
        <f>IF(OR(B315="",C315=""),0,IFERROR(N(INDEX(Ingredients!$AD$6:$AD$105,MATCH(C315,Ingredients!$B$6:$B$105,0))),0))</f>
        <v/>
      </c>
      <c r="L315">
        <f>IF(OR(B315="",C315=""),0,IFERROR(N(INDEX(Ingredients!$AE$6:$AE$105,MATCH(C315,Ingredients!$B$6:$B$105,0))),0))</f>
        <v/>
      </c>
      <c r="M315">
        <f>IF(OR(B315="",C315=""),0,IFERROR(N(INDEX(Ingredients!$AF$6:$AF$105,MATCH(C315,Ingredients!$B$6:$B$105,0))),0))</f>
        <v/>
      </c>
      <c r="N315">
        <f>IF(OR(B315="",C315=""),0,IFERROR(N(INDEX(Ingredients!$AG$6:$AG$105,MATCH(C315,Ingredients!$B$6:$B$105,0))),0))</f>
        <v/>
      </c>
      <c r="O315">
        <f>IF(OR(B315="",C315=""),0,IFERROR(N(INDEX(Ingredients!$AH$6:$AH$105,MATCH(C315,Ingredients!$B$6:$B$105,0))),0))</f>
        <v/>
      </c>
      <c r="P315">
        <f>IF(OR(B315="",C315=""),0,IFERROR(N(INDEX(Ingredients!$AI$6:$AI$105,MATCH(C315,Ingredients!$B$6:$B$105,0))),0))</f>
        <v/>
      </c>
      <c r="Q315">
        <f>IF(OR(B315="",C315=""),0,IFERROR(N(INDEX(Ingredients!$AJ$6:$AJ$105,MATCH(C315,Ingredients!$B$6:$B$105,0))),0))</f>
        <v/>
      </c>
      <c r="R315">
        <f>IF(OR(B315="",C315=""),0,IFERROR(N(INDEX(Ingredients!$AK$6:$AK$105,MATCH(C315,Ingredients!$B$6:$B$105,0))),0))</f>
        <v/>
      </c>
      <c r="S315">
        <f>IF(OR(B315="",C315=""),0,IFERROR(N(INDEX(Ingredients!$AL$6:$AL$105,MATCH(C315,Ingredients!$B$6:$B$105,0))),0))</f>
        <v/>
      </c>
      <c r="T315">
        <f>IF(OR(B315="",C315=""),0,IFERROR(N(INDEX(Ingredients!$AM$6:$AM$105,MATCH(C315,Ingredients!$B$6:$B$105,0))),0))</f>
        <v/>
      </c>
      <c r="U315">
        <f>IF(OR(B315="",C315=""),0,IFERROR(N(INDEX(Ingredients!$AN$6:$AN$105,MATCH(C315,Ingredients!$B$6:$B$105,0))),0))</f>
        <v/>
      </c>
      <c r="V315">
        <f>IF(OR(B315="",C315=""),0,IFERROR(N(INDEX(Ingredients!$AO$6:$AO$105,MATCH(C315,Ingredients!$B$6:$B$105,0))),0))</f>
        <v/>
      </c>
      <c r="W315">
        <f>IF(OR(B315="",C315=""),0,IFERROR(N(INDEX(Ingredients!$AP$6:$AP$105,MATCH(C315,Ingredients!$B$6:$B$105,0))),0))</f>
        <v/>
      </c>
      <c r="X315">
        <f>IF(OR(B315="",C315=""),0,IFERROR(N(INDEX(Ingredients!$AQ$6:$AQ$105,MATCH(C315,Ingredients!$B$6:$B$105,0))),0))</f>
        <v/>
      </c>
    </row>
    <row r="316">
      <c r="A316" s="1" t="n"/>
      <c r="B316" s="21" t="n"/>
      <c r="C316" s="39" t="n"/>
      <c r="D316" s="40" t="n"/>
      <c r="E316" s="12">
        <f>IF(C316="","",IF(ISNA(MATCH(C316,Ingredients!$B$6:$B$105,0)),"Not on Ingredients",IFERROR(IF(INDEX(Ingredients!$C$6:$C$105,MATCH(C316,Ingredients!$B$6:$B$105,0))="","",INDEX(Ingredients!$C$6:$C$105,MATCH(C316,Ingredients!$B$6:$B$105,0))),"")))</f>
        <v/>
      </c>
      <c r="F316" s="26">
        <f>IF(OR(B316="",C316=""),"",N(D316)*IFERROR(N(INDEX(Ingredients!$H$6:$H$105,MATCH(C316,Ingredients!$B$6:$B$105,0))),0))</f>
        <v/>
      </c>
      <c r="G316" s="1">
        <f>IF(OR(B316="",C316=""),0,IFERROR(N(INDEX(Products!$D$6:$D$45,MATCH(B316,Products!$B$6:$B$45,0))),0))</f>
        <v/>
      </c>
      <c r="H316">
        <f>IF(N(G316)=0,0,N(D316)*SUMIFS(Batches!$D$6:$D$505,Batches!$C$6:$C$505,B316)/G316)</f>
        <v/>
      </c>
      <c r="I316">
        <f>IF(OR(B316="",C316=""),"",IF(B316&lt;&gt;Label!$H$3,"",IF(IFERROR(N(INDEX(Ingredients!$AS$6:$AS$105,MATCH(C316,Ingredients!$B$6:$B$105,0))),0)=1,"",ROUND(N(D316)*1000,0)*100000+100000-ROW())))</f>
        <v/>
      </c>
      <c r="J316">
        <f>IF(OR(B316="",C316=""),0,IFERROR(N(INDEX(Ingredients!$AC$6:$AC$105,MATCH(C316,Ingredients!$B$6:$B$105,0))),0))</f>
        <v/>
      </c>
      <c r="K316">
        <f>IF(OR(B316="",C316=""),0,IFERROR(N(INDEX(Ingredients!$AD$6:$AD$105,MATCH(C316,Ingredients!$B$6:$B$105,0))),0))</f>
        <v/>
      </c>
      <c r="L316">
        <f>IF(OR(B316="",C316=""),0,IFERROR(N(INDEX(Ingredients!$AE$6:$AE$105,MATCH(C316,Ingredients!$B$6:$B$105,0))),0))</f>
        <v/>
      </c>
      <c r="M316">
        <f>IF(OR(B316="",C316=""),0,IFERROR(N(INDEX(Ingredients!$AF$6:$AF$105,MATCH(C316,Ingredients!$B$6:$B$105,0))),0))</f>
        <v/>
      </c>
      <c r="N316">
        <f>IF(OR(B316="",C316=""),0,IFERROR(N(INDEX(Ingredients!$AG$6:$AG$105,MATCH(C316,Ingredients!$B$6:$B$105,0))),0))</f>
        <v/>
      </c>
      <c r="O316">
        <f>IF(OR(B316="",C316=""),0,IFERROR(N(INDEX(Ingredients!$AH$6:$AH$105,MATCH(C316,Ingredients!$B$6:$B$105,0))),0))</f>
        <v/>
      </c>
      <c r="P316">
        <f>IF(OR(B316="",C316=""),0,IFERROR(N(INDEX(Ingredients!$AI$6:$AI$105,MATCH(C316,Ingredients!$B$6:$B$105,0))),0))</f>
        <v/>
      </c>
      <c r="Q316">
        <f>IF(OR(B316="",C316=""),0,IFERROR(N(INDEX(Ingredients!$AJ$6:$AJ$105,MATCH(C316,Ingredients!$B$6:$B$105,0))),0))</f>
        <v/>
      </c>
      <c r="R316">
        <f>IF(OR(B316="",C316=""),0,IFERROR(N(INDEX(Ingredients!$AK$6:$AK$105,MATCH(C316,Ingredients!$B$6:$B$105,0))),0))</f>
        <v/>
      </c>
      <c r="S316">
        <f>IF(OR(B316="",C316=""),0,IFERROR(N(INDEX(Ingredients!$AL$6:$AL$105,MATCH(C316,Ingredients!$B$6:$B$105,0))),0))</f>
        <v/>
      </c>
      <c r="T316">
        <f>IF(OR(B316="",C316=""),0,IFERROR(N(INDEX(Ingredients!$AM$6:$AM$105,MATCH(C316,Ingredients!$B$6:$B$105,0))),0))</f>
        <v/>
      </c>
      <c r="U316">
        <f>IF(OR(B316="",C316=""),0,IFERROR(N(INDEX(Ingredients!$AN$6:$AN$105,MATCH(C316,Ingredients!$B$6:$B$105,0))),0))</f>
        <v/>
      </c>
      <c r="V316">
        <f>IF(OR(B316="",C316=""),0,IFERROR(N(INDEX(Ingredients!$AO$6:$AO$105,MATCH(C316,Ingredients!$B$6:$B$105,0))),0))</f>
        <v/>
      </c>
      <c r="W316">
        <f>IF(OR(B316="",C316=""),0,IFERROR(N(INDEX(Ingredients!$AP$6:$AP$105,MATCH(C316,Ingredients!$B$6:$B$105,0))),0))</f>
        <v/>
      </c>
      <c r="X316">
        <f>IF(OR(B316="",C316=""),0,IFERROR(N(INDEX(Ingredients!$AQ$6:$AQ$105,MATCH(C316,Ingredients!$B$6:$B$105,0))),0))</f>
        <v/>
      </c>
    </row>
    <row r="317">
      <c r="A317" s="1" t="n"/>
      <c r="B317" s="21" t="n"/>
      <c r="C317" s="39" t="n"/>
      <c r="D317" s="40" t="n"/>
      <c r="E317" s="12">
        <f>IF(C317="","",IF(ISNA(MATCH(C317,Ingredients!$B$6:$B$105,0)),"Not on Ingredients",IFERROR(IF(INDEX(Ingredients!$C$6:$C$105,MATCH(C317,Ingredients!$B$6:$B$105,0))="","",INDEX(Ingredients!$C$6:$C$105,MATCH(C317,Ingredients!$B$6:$B$105,0))),"")))</f>
        <v/>
      </c>
      <c r="F317" s="26">
        <f>IF(OR(B317="",C317=""),"",N(D317)*IFERROR(N(INDEX(Ingredients!$H$6:$H$105,MATCH(C317,Ingredients!$B$6:$B$105,0))),0))</f>
        <v/>
      </c>
      <c r="G317" s="1">
        <f>IF(OR(B317="",C317=""),0,IFERROR(N(INDEX(Products!$D$6:$D$45,MATCH(B317,Products!$B$6:$B$45,0))),0))</f>
        <v/>
      </c>
      <c r="H317">
        <f>IF(N(G317)=0,0,N(D317)*SUMIFS(Batches!$D$6:$D$505,Batches!$C$6:$C$505,B317)/G317)</f>
        <v/>
      </c>
      <c r="I317">
        <f>IF(OR(B317="",C317=""),"",IF(B317&lt;&gt;Label!$H$3,"",IF(IFERROR(N(INDEX(Ingredients!$AS$6:$AS$105,MATCH(C317,Ingredients!$B$6:$B$105,0))),0)=1,"",ROUND(N(D317)*1000,0)*100000+100000-ROW())))</f>
        <v/>
      </c>
      <c r="J317">
        <f>IF(OR(B317="",C317=""),0,IFERROR(N(INDEX(Ingredients!$AC$6:$AC$105,MATCH(C317,Ingredients!$B$6:$B$105,0))),0))</f>
        <v/>
      </c>
      <c r="K317">
        <f>IF(OR(B317="",C317=""),0,IFERROR(N(INDEX(Ingredients!$AD$6:$AD$105,MATCH(C317,Ingredients!$B$6:$B$105,0))),0))</f>
        <v/>
      </c>
      <c r="L317">
        <f>IF(OR(B317="",C317=""),0,IFERROR(N(INDEX(Ingredients!$AE$6:$AE$105,MATCH(C317,Ingredients!$B$6:$B$105,0))),0))</f>
        <v/>
      </c>
      <c r="M317">
        <f>IF(OR(B317="",C317=""),0,IFERROR(N(INDEX(Ingredients!$AF$6:$AF$105,MATCH(C317,Ingredients!$B$6:$B$105,0))),0))</f>
        <v/>
      </c>
      <c r="N317">
        <f>IF(OR(B317="",C317=""),0,IFERROR(N(INDEX(Ingredients!$AG$6:$AG$105,MATCH(C317,Ingredients!$B$6:$B$105,0))),0))</f>
        <v/>
      </c>
      <c r="O317">
        <f>IF(OR(B317="",C317=""),0,IFERROR(N(INDEX(Ingredients!$AH$6:$AH$105,MATCH(C317,Ingredients!$B$6:$B$105,0))),0))</f>
        <v/>
      </c>
      <c r="P317">
        <f>IF(OR(B317="",C317=""),0,IFERROR(N(INDEX(Ingredients!$AI$6:$AI$105,MATCH(C317,Ingredients!$B$6:$B$105,0))),0))</f>
        <v/>
      </c>
      <c r="Q317">
        <f>IF(OR(B317="",C317=""),0,IFERROR(N(INDEX(Ingredients!$AJ$6:$AJ$105,MATCH(C317,Ingredients!$B$6:$B$105,0))),0))</f>
        <v/>
      </c>
      <c r="R317">
        <f>IF(OR(B317="",C317=""),0,IFERROR(N(INDEX(Ingredients!$AK$6:$AK$105,MATCH(C317,Ingredients!$B$6:$B$105,0))),0))</f>
        <v/>
      </c>
      <c r="S317">
        <f>IF(OR(B317="",C317=""),0,IFERROR(N(INDEX(Ingredients!$AL$6:$AL$105,MATCH(C317,Ingredients!$B$6:$B$105,0))),0))</f>
        <v/>
      </c>
      <c r="T317">
        <f>IF(OR(B317="",C317=""),0,IFERROR(N(INDEX(Ingredients!$AM$6:$AM$105,MATCH(C317,Ingredients!$B$6:$B$105,0))),0))</f>
        <v/>
      </c>
      <c r="U317">
        <f>IF(OR(B317="",C317=""),0,IFERROR(N(INDEX(Ingredients!$AN$6:$AN$105,MATCH(C317,Ingredients!$B$6:$B$105,0))),0))</f>
        <v/>
      </c>
      <c r="V317">
        <f>IF(OR(B317="",C317=""),0,IFERROR(N(INDEX(Ingredients!$AO$6:$AO$105,MATCH(C317,Ingredients!$B$6:$B$105,0))),0))</f>
        <v/>
      </c>
      <c r="W317">
        <f>IF(OR(B317="",C317=""),0,IFERROR(N(INDEX(Ingredients!$AP$6:$AP$105,MATCH(C317,Ingredients!$B$6:$B$105,0))),0))</f>
        <v/>
      </c>
      <c r="X317">
        <f>IF(OR(B317="",C317=""),0,IFERROR(N(INDEX(Ingredients!$AQ$6:$AQ$105,MATCH(C317,Ingredients!$B$6:$B$105,0))),0))</f>
        <v/>
      </c>
    </row>
    <row r="318">
      <c r="A318" s="1" t="n"/>
      <c r="B318" s="21" t="n"/>
      <c r="C318" s="39" t="n"/>
      <c r="D318" s="40" t="n"/>
      <c r="E318" s="12">
        <f>IF(C318="","",IF(ISNA(MATCH(C318,Ingredients!$B$6:$B$105,0)),"Not on Ingredients",IFERROR(IF(INDEX(Ingredients!$C$6:$C$105,MATCH(C318,Ingredients!$B$6:$B$105,0))="","",INDEX(Ingredients!$C$6:$C$105,MATCH(C318,Ingredients!$B$6:$B$105,0))),"")))</f>
        <v/>
      </c>
      <c r="F318" s="26">
        <f>IF(OR(B318="",C318=""),"",N(D318)*IFERROR(N(INDEX(Ingredients!$H$6:$H$105,MATCH(C318,Ingredients!$B$6:$B$105,0))),0))</f>
        <v/>
      </c>
      <c r="G318" s="1">
        <f>IF(OR(B318="",C318=""),0,IFERROR(N(INDEX(Products!$D$6:$D$45,MATCH(B318,Products!$B$6:$B$45,0))),0))</f>
        <v/>
      </c>
      <c r="H318">
        <f>IF(N(G318)=0,0,N(D318)*SUMIFS(Batches!$D$6:$D$505,Batches!$C$6:$C$505,B318)/G318)</f>
        <v/>
      </c>
      <c r="I318">
        <f>IF(OR(B318="",C318=""),"",IF(B318&lt;&gt;Label!$H$3,"",IF(IFERROR(N(INDEX(Ingredients!$AS$6:$AS$105,MATCH(C318,Ingredients!$B$6:$B$105,0))),0)=1,"",ROUND(N(D318)*1000,0)*100000+100000-ROW())))</f>
        <v/>
      </c>
      <c r="J318">
        <f>IF(OR(B318="",C318=""),0,IFERROR(N(INDEX(Ingredients!$AC$6:$AC$105,MATCH(C318,Ingredients!$B$6:$B$105,0))),0))</f>
        <v/>
      </c>
      <c r="K318">
        <f>IF(OR(B318="",C318=""),0,IFERROR(N(INDEX(Ingredients!$AD$6:$AD$105,MATCH(C318,Ingredients!$B$6:$B$105,0))),0))</f>
        <v/>
      </c>
      <c r="L318">
        <f>IF(OR(B318="",C318=""),0,IFERROR(N(INDEX(Ingredients!$AE$6:$AE$105,MATCH(C318,Ingredients!$B$6:$B$105,0))),0))</f>
        <v/>
      </c>
      <c r="M318">
        <f>IF(OR(B318="",C318=""),0,IFERROR(N(INDEX(Ingredients!$AF$6:$AF$105,MATCH(C318,Ingredients!$B$6:$B$105,0))),0))</f>
        <v/>
      </c>
      <c r="N318">
        <f>IF(OR(B318="",C318=""),0,IFERROR(N(INDEX(Ingredients!$AG$6:$AG$105,MATCH(C318,Ingredients!$B$6:$B$105,0))),0))</f>
        <v/>
      </c>
      <c r="O318">
        <f>IF(OR(B318="",C318=""),0,IFERROR(N(INDEX(Ingredients!$AH$6:$AH$105,MATCH(C318,Ingredients!$B$6:$B$105,0))),0))</f>
        <v/>
      </c>
      <c r="P318">
        <f>IF(OR(B318="",C318=""),0,IFERROR(N(INDEX(Ingredients!$AI$6:$AI$105,MATCH(C318,Ingredients!$B$6:$B$105,0))),0))</f>
        <v/>
      </c>
      <c r="Q318">
        <f>IF(OR(B318="",C318=""),0,IFERROR(N(INDEX(Ingredients!$AJ$6:$AJ$105,MATCH(C318,Ingredients!$B$6:$B$105,0))),0))</f>
        <v/>
      </c>
      <c r="R318">
        <f>IF(OR(B318="",C318=""),0,IFERROR(N(INDEX(Ingredients!$AK$6:$AK$105,MATCH(C318,Ingredients!$B$6:$B$105,0))),0))</f>
        <v/>
      </c>
      <c r="S318">
        <f>IF(OR(B318="",C318=""),0,IFERROR(N(INDEX(Ingredients!$AL$6:$AL$105,MATCH(C318,Ingredients!$B$6:$B$105,0))),0))</f>
        <v/>
      </c>
      <c r="T318">
        <f>IF(OR(B318="",C318=""),0,IFERROR(N(INDEX(Ingredients!$AM$6:$AM$105,MATCH(C318,Ingredients!$B$6:$B$105,0))),0))</f>
        <v/>
      </c>
      <c r="U318">
        <f>IF(OR(B318="",C318=""),0,IFERROR(N(INDEX(Ingredients!$AN$6:$AN$105,MATCH(C318,Ingredients!$B$6:$B$105,0))),0))</f>
        <v/>
      </c>
      <c r="V318">
        <f>IF(OR(B318="",C318=""),0,IFERROR(N(INDEX(Ingredients!$AO$6:$AO$105,MATCH(C318,Ingredients!$B$6:$B$105,0))),0))</f>
        <v/>
      </c>
      <c r="W318">
        <f>IF(OR(B318="",C318=""),0,IFERROR(N(INDEX(Ingredients!$AP$6:$AP$105,MATCH(C318,Ingredients!$B$6:$B$105,0))),0))</f>
        <v/>
      </c>
      <c r="X318">
        <f>IF(OR(B318="",C318=""),0,IFERROR(N(INDEX(Ingredients!$AQ$6:$AQ$105,MATCH(C318,Ingredients!$B$6:$B$105,0))),0))</f>
        <v/>
      </c>
    </row>
    <row r="319">
      <c r="A319" s="1" t="n"/>
      <c r="B319" s="21" t="n"/>
      <c r="C319" s="39" t="n"/>
      <c r="D319" s="40" t="n"/>
      <c r="E319" s="12">
        <f>IF(C319="","",IF(ISNA(MATCH(C319,Ingredients!$B$6:$B$105,0)),"Not on Ingredients",IFERROR(IF(INDEX(Ingredients!$C$6:$C$105,MATCH(C319,Ingredients!$B$6:$B$105,0))="","",INDEX(Ingredients!$C$6:$C$105,MATCH(C319,Ingredients!$B$6:$B$105,0))),"")))</f>
        <v/>
      </c>
      <c r="F319" s="26">
        <f>IF(OR(B319="",C319=""),"",N(D319)*IFERROR(N(INDEX(Ingredients!$H$6:$H$105,MATCH(C319,Ingredients!$B$6:$B$105,0))),0))</f>
        <v/>
      </c>
      <c r="G319" s="1">
        <f>IF(OR(B319="",C319=""),0,IFERROR(N(INDEX(Products!$D$6:$D$45,MATCH(B319,Products!$B$6:$B$45,0))),0))</f>
        <v/>
      </c>
      <c r="H319">
        <f>IF(N(G319)=0,0,N(D319)*SUMIFS(Batches!$D$6:$D$505,Batches!$C$6:$C$505,B319)/G319)</f>
        <v/>
      </c>
      <c r="I319">
        <f>IF(OR(B319="",C319=""),"",IF(B319&lt;&gt;Label!$H$3,"",IF(IFERROR(N(INDEX(Ingredients!$AS$6:$AS$105,MATCH(C319,Ingredients!$B$6:$B$105,0))),0)=1,"",ROUND(N(D319)*1000,0)*100000+100000-ROW())))</f>
        <v/>
      </c>
      <c r="J319">
        <f>IF(OR(B319="",C319=""),0,IFERROR(N(INDEX(Ingredients!$AC$6:$AC$105,MATCH(C319,Ingredients!$B$6:$B$105,0))),0))</f>
        <v/>
      </c>
      <c r="K319">
        <f>IF(OR(B319="",C319=""),0,IFERROR(N(INDEX(Ingredients!$AD$6:$AD$105,MATCH(C319,Ingredients!$B$6:$B$105,0))),0))</f>
        <v/>
      </c>
      <c r="L319">
        <f>IF(OR(B319="",C319=""),0,IFERROR(N(INDEX(Ingredients!$AE$6:$AE$105,MATCH(C319,Ingredients!$B$6:$B$105,0))),0))</f>
        <v/>
      </c>
      <c r="M319">
        <f>IF(OR(B319="",C319=""),0,IFERROR(N(INDEX(Ingredients!$AF$6:$AF$105,MATCH(C319,Ingredients!$B$6:$B$105,0))),0))</f>
        <v/>
      </c>
      <c r="N319">
        <f>IF(OR(B319="",C319=""),0,IFERROR(N(INDEX(Ingredients!$AG$6:$AG$105,MATCH(C319,Ingredients!$B$6:$B$105,0))),0))</f>
        <v/>
      </c>
      <c r="O319">
        <f>IF(OR(B319="",C319=""),0,IFERROR(N(INDEX(Ingredients!$AH$6:$AH$105,MATCH(C319,Ingredients!$B$6:$B$105,0))),0))</f>
        <v/>
      </c>
      <c r="P319">
        <f>IF(OR(B319="",C319=""),0,IFERROR(N(INDEX(Ingredients!$AI$6:$AI$105,MATCH(C319,Ingredients!$B$6:$B$105,0))),0))</f>
        <v/>
      </c>
      <c r="Q319">
        <f>IF(OR(B319="",C319=""),0,IFERROR(N(INDEX(Ingredients!$AJ$6:$AJ$105,MATCH(C319,Ingredients!$B$6:$B$105,0))),0))</f>
        <v/>
      </c>
      <c r="R319">
        <f>IF(OR(B319="",C319=""),0,IFERROR(N(INDEX(Ingredients!$AK$6:$AK$105,MATCH(C319,Ingredients!$B$6:$B$105,0))),0))</f>
        <v/>
      </c>
      <c r="S319">
        <f>IF(OR(B319="",C319=""),0,IFERROR(N(INDEX(Ingredients!$AL$6:$AL$105,MATCH(C319,Ingredients!$B$6:$B$105,0))),0))</f>
        <v/>
      </c>
      <c r="T319">
        <f>IF(OR(B319="",C319=""),0,IFERROR(N(INDEX(Ingredients!$AM$6:$AM$105,MATCH(C319,Ingredients!$B$6:$B$105,0))),0))</f>
        <v/>
      </c>
      <c r="U319">
        <f>IF(OR(B319="",C319=""),0,IFERROR(N(INDEX(Ingredients!$AN$6:$AN$105,MATCH(C319,Ingredients!$B$6:$B$105,0))),0))</f>
        <v/>
      </c>
      <c r="V319">
        <f>IF(OR(B319="",C319=""),0,IFERROR(N(INDEX(Ingredients!$AO$6:$AO$105,MATCH(C319,Ingredients!$B$6:$B$105,0))),0))</f>
        <v/>
      </c>
      <c r="W319">
        <f>IF(OR(B319="",C319=""),0,IFERROR(N(INDEX(Ingredients!$AP$6:$AP$105,MATCH(C319,Ingredients!$B$6:$B$105,0))),0))</f>
        <v/>
      </c>
      <c r="X319">
        <f>IF(OR(B319="",C319=""),0,IFERROR(N(INDEX(Ingredients!$AQ$6:$AQ$105,MATCH(C319,Ingredients!$B$6:$B$105,0))),0))</f>
        <v/>
      </c>
    </row>
    <row r="320">
      <c r="A320" s="1" t="n"/>
      <c r="B320" s="21" t="n"/>
      <c r="C320" s="39" t="n"/>
      <c r="D320" s="40" t="n"/>
      <c r="E320" s="12">
        <f>IF(C320="","",IF(ISNA(MATCH(C320,Ingredients!$B$6:$B$105,0)),"Not on Ingredients",IFERROR(IF(INDEX(Ingredients!$C$6:$C$105,MATCH(C320,Ingredients!$B$6:$B$105,0))="","",INDEX(Ingredients!$C$6:$C$105,MATCH(C320,Ingredients!$B$6:$B$105,0))),"")))</f>
        <v/>
      </c>
      <c r="F320" s="26">
        <f>IF(OR(B320="",C320=""),"",N(D320)*IFERROR(N(INDEX(Ingredients!$H$6:$H$105,MATCH(C320,Ingredients!$B$6:$B$105,0))),0))</f>
        <v/>
      </c>
      <c r="G320" s="1">
        <f>IF(OR(B320="",C320=""),0,IFERROR(N(INDEX(Products!$D$6:$D$45,MATCH(B320,Products!$B$6:$B$45,0))),0))</f>
        <v/>
      </c>
      <c r="H320">
        <f>IF(N(G320)=0,0,N(D320)*SUMIFS(Batches!$D$6:$D$505,Batches!$C$6:$C$505,B320)/G320)</f>
        <v/>
      </c>
      <c r="I320">
        <f>IF(OR(B320="",C320=""),"",IF(B320&lt;&gt;Label!$H$3,"",IF(IFERROR(N(INDEX(Ingredients!$AS$6:$AS$105,MATCH(C320,Ingredients!$B$6:$B$105,0))),0)=1,"",ROUND(N(D320)*1000,0)*100000+100000-ROW())))</f>
        <v/>
      </c>
      <c r="J320">
        <f>IF(OR(B320="",C320=""),0,IFERROR(N(INDEX(Ingredients!$AC$6:$AC$105,MATCH(C320,Ingredients!$B$6:$B$105,0))),0))</f>
        <v/>
      </c>
      <c r="K320">
        <f>IF(OR(B320="",C320=""),0,IFERROR(N(INDEX(Ingredients!$AD$6:$AD$105,MATCH(C320,Ingredients!$B$6:$B$105,0))),0))</f>
        <v/>
      </c>
      <c r="L320">
        <f>IF(OR(B320="",C320=""),0,IFERROR(N(INDEX(Ingredients!$AE$6:$AE$105,MATCH(C320,Ingredients!$B$6:$B$105,0))),0))</f>
        <v/>
      </c>
      <c r="M320">
        <f>IF(OR(B320="",C320=""),0,IFERROR(N(INDEX(Ingredients!$AF$6:$AF$105,MATCH(C320,Ingredients!$B$6:$B$105,0))),0))</f>
        <v/>
      </c>
      <c r="N320">
        <f>IF(OR(B320="",C320=""),0,IFERROR(N(INDEX(Ingredients!$AG$6:$AG$105,MATCH(C320,Ingredients!$B$6:$B$105,0))),0))</f>
        <v/>
      </c>
      <c r="O320">
        <f>IF(OR(B320="",C320=""),0,IFERROR(N(INDEX(Ingredients!$AH$6:$AH$105,MATCH(C320,Ingredients!$B$6:$B$105,0))),0))</f>
        <v/>
      </c>
      <c r="P320">
        <f>IF(OR(B320="",C320=""),0,IFERROR(N(INDEX(Ingredients!$AI$6:$AI$105,MATCH(C320,Ingredients!$B$6:$B$105,0))),0))</f>
        <v/>
      </c>
      <c r="Q320">
        <f>IF(OR(B320="",C320=""),0,IFERROR(N(INDEX(Ingredients!$AJ$6:$AJ$105,MATCH(C320,Ingredients!$B$6:$B$105,0))),0))</f>
        <v/>
      </c>
      <c r="R320">
        <f>IF(OR(B320="",C320=""),0,IFERROR(N(INDEX(Ingredients!$AK$6:$AK$105,MATCH(C320,Ingredients!$B$6:$B$105,0))),0))</f>
        <v/>
      </c>
      <c r="S320">
        <f>IF(OR(B320="",C320=""),0,IFERROR(N(INDEX(Ingredients!$AL$6:$AL$105,MATCH(C320,Ingredients!$B$6:$B$105,0))),0))</f>
        <v/>
      </c>
      <c r="T320">
        <f>IF(OR(B320="",C320=""),0,IFERROR(N(INDEX(Ingredients!$AM$6:$AM$105,MATCH(C320,Ingredients!$B$6:$B$105,0))),0))</f>
        <v/>
      </c>
      <c r="U320">
        <f>IF(OR(B320="",C320=""),0,IFERROR(N(INDEX(Ingredients!$AN$6:$AN$105,MATCH(C320,Ingredients!$B$6:$B$105,0))),0))</f>
        <v/>
      </c>
      <c r="V320">
        <f>IF(OR(B320="",C320=""),0,IFERROR(N(INDEX(Ingredients!$AO$6:$AO$105,MATCH(C320,Ingredients!$B$6:$B$105,0))),0))</f>
        <v/>
      </c>
      <c r="W320">
        <f>IF(OR(B320="",C320=""),0,IFERROR(N(INDEX(Ingredients!$AP$6:$AP$105,MATCH(C320,Ingredients!$B$6:$B$105,0))),0))</f>
        <v/>
      </c>
      <c r="X320">
        <f>IF(OR(B320="",C320=""),0,IFERROR(N(INDEX(Ingredients!$AQ$6:$AQ$105,MATCH(C320,Ingredients!$B$6:$B$105,0))),0))</f>
        <v/>
      </c>
    </row>
    <row r="321">
      <c r="A321" s="1" t="n"/>
      <c r="B321" s="21" t="n"/>
      <c r="C321" s="39" t="n"/>
      <c r="D321" s="40" t="n"/>
      <c r="E321" s="12">
        <f>IF(C321="","",IF(ISNA(MATCH(C321,Ingredients!$B$6:$B$105,0)),"Not on Ingredients",IFERROR(IF(INDEX(Ingredients!$C$6:$C$105,MATCH(C321,Ingredients!$B$6:$B$105,0))="","",INDEX(Ingredients!$C$6:$C$105,MATCH(C321,Ingredients!$B$6:$B$105,0))),"")))</f>
        <v/>
      </c>
      <c r="F321" s="26">
        <f>IF(OR(B321="",C321=""),"",N(D321)*IFERROR(N(INDEX(Ingredients!$H$6:$H$105,MATCH(C321,Ingredients!$B$6:$B$105,0))),0))</f>
        <v/>
      </c>
      <c r="G321" s="1">
        <f>IF(OR(B321="",C321=""),0,IFERROR(N(INDEX(Products!$D$6:$D$45,MATCH(B321,Products!$B$6:$B$45,0))),0))</f>
        <v/>
      </c>
      <c r="H321">
        <f>IF(N(G321)=0,0,N(D321)*SUMIFS(Batches!$D$6:$D$505,Batches!$C$6:$C$505,B321)/G321)</f>
        <v/>
      </c>
      <c r="I321">
        <f>IF(OR(B321="",C321=""),"",IF(B321&lt;&gt;Label!$H$3,"",IF(IFERROR(N(INDEX(Ingredients!$AS$6:$AS$105,MATCH(C321,Ingredients!$B$6:$B$105,0))),0)=1,"",ROUND(N(D321)*1000,0)*100000+100000-ROW())))</f>
        <v/>
      </c>
      <c r="J321">
        <f>IF(OR(B321="",C321=""),0,IFERROR(N(INDEX(Ingredients!$AC$6:$AC$105,MATCH(C321,Ingredients!$B$6:$B$105,0))),0))</f>
        <v/>
      </c>
      <c r="K321">
        <f>IF(OR(B321="",C321=""),0,IFERROR(N(INDEX(Ingredients!$AD$6:$AD$105,MATCH(C321,Ingredients!$B$6:$B$105,0))),0))</f>
        <v/>
      </c>
      <c r="L321">
        <f>IF(OR(B321="",C321=""),0,IFERROR(N(INDEX(Ingredients!$AE$6:$AE$105,MATCH(C321,Ingredients!$B$6:$B$105,0))),0))</f>
        <v/>
      </c>
      <c r="M321">
        <f>IF(OR(B321="",C321=""),0,IFERROR(N(INDEX(Ingredients!$AF$6:$AF$105,MATCH(C321,Ingredients!$B$6:$B$105,0))),0))</f>
        <v/>
      </c>
      <c r="N321">
        <f>IF(OR(B321="",C321=""),0,IFERROR(N(INDEX(Ingredients!$AG$6:$AG$105,MATCH(C321,Ingredients!$B$6:$B$105,0))),0))</f>
        <v/>
      </c>
      <c r="O321">
        <f>IF(OR(B321="",C321=""),0,IFERROR(N(INDEX(Ingredients!$AH$6:$AH$105,MATCH(C321,Ingredients!$B$6:$B$105,0))),0))</f>
        <v/>
      </c>
      <c r="P321">
        <f>IF(OR(B321="",C321=""),0,IFERROR(N(INDEX(Ingredients!$AI$6:$AI$105,MATCH(C321,Ingredients!$B$6:$B$105,0))),0))</f>
        <v/>
      </c>
      <c r="Q321">
        <f>IF(OR(B321="",C321=""),0,IFERROR(N(INDEX(Ingredients!$AJ$6:$AJ$105,MATCH(C321,Ingredients!$B$6:$B$105,0))),0))</f>
        <v/>
      </c>
      <c r="R321">
        <f>IF(OR(B321="",C321=""),0,IFERROR(N(INDEX(Ingredients!$AK$6:$AK$105,MATCH(C321,Ingredients!$B$6:$B$105,0))),0))</f>
        <v/>
      </c>
      <c r="S321">
        <f>IF(OR(B321="",C321=""),0,IFERROR(N(INDEX(Ingredients!$AL$6:$AL$105,MATCH(C321,Ingredients!$B$6:$B$105,0))),0))</f>
        <v/>
      </c>
      <c r="T321">
        <f>IF(OR(B321="",C321=""),0,IFERROR(N(INDEX(Ingredients!$AM$6:$AM$105,MATCH(C321,Ingredients!$B$6:$B$105,0))),0))</f>
        <v/>
      </c>
      <c r="U321">
        <f>IF(OR(B321="",C321=""),0,IFERROR(N(INDEX(Ingredients!$AN$6:$AN$105,MATCH(C321,Ingredients!$B$6:$B$105,0))),0))</f>
        <v/>
      </c>
      <c r="V321">
        <f>IF(OR(B321="",C321=""),0,IFERROR(N(INDEX(Ingredients!$AO$6:$AO$105,MATCH(C321,Ingredients!$B$6:$B$105,0))),0))</f>
        <v/>
      </c>
      <c r="W321">
        <f>IF(OR(B321="",C321=""),0,IFERROR(N(INDEX(Ingredients!$AP$6:$AP$105,MATCH(C321,Ingredients!$B$6:$B$105,0))),0))</f>
        <v/>
      </c>
      <c r="X321">
        <f>IF(OR(B321="",C321=""),0,IFERROR(N(INDEX(Ingredients!$AQ$6:$AQ$105,MATCH(C321,Ingredients!$B$6:$B$105,0))),0))</f>
        <v/>
      </c>
    </row>
    <row r="322">
      <c r="A322" s="1" t="n"/>
      <c r="B322" s="21" t="n"/>
      <c r="C322" s="39" t="n"/>
      <c r="D322" s="40" t="n"/>
      <c r="E322" s="12">
        <f>IF(C322="","",IF(ISNA(MATCH(C322,Ingredients!$B$6:$B$105,0)),"Not on Ingredients",IFERROR(IF(INDEX(Ingredients!$C$6:$C$105,MATCH(C322,Ingredients!$B$6:$B$105,0))="","",INDEX(Ingredients!$C$6:$C$105,MATCH(C322,Ingredients!$B$6:$B$105,0))),"")))</f>
        <v/>
      </c>
      <c r="F322" s="26">
        <f>IF(OR(B322="",C322=""),"",N(D322)*IFERROR(N(INDEX(Ingredients!$H$6:$H$105,MATCH(C322,Ingredients!$B$6:$B$105,0))),0))</f>
        <v/>
      </c>
      <c r="G322" s="1">
        <f>IF(OR(B322="",C322=""),0,IFERROR(N(INDEX(Products!$D$6:$D$45,MATCH(B322,Products!$B$6:$B$45,0))),0))</f>
        <v/>
      </c>
      <c r="H322">
        <f>IF(N(G322)=0,0,N(D322)*SUMIFS(Batches!$D$6:$D$505,Batches!$C$6:$C$505,B322)/G322)</f>
        <v/>
      </c>
      <c r="I322">
        <f>IF(OR(B322="",C322=""),"",IF(B322&lt;&gt;Label!$H$3,"",IF(IFERROR(N(INDEX(Ingredients!$AS$6:$AS$105,MATCH(C322,Ingredients!$B$6:$B$105,0))),0)=1,"",ROUND(N(D322)*1000,0)*100000+100000-ROW())))</f>
        <v/>
      </c>
      <c r="J322">
        <f>IF(OR(B322="",C322=""),0,IFERROR(N(INDEX(Ingredients!$AC$6:$AC$105,MATCH(C322,Ingredients!$B$6:$B$105,0))),0))</f>
        <v/>
      </c>
      <c r="K322">
        <f>IF(OR(B322="",C322=""),0,IFERROR(N(INDEX(Ingredients!$AD$6:$AD$105,MATCH(C322,Ingredients!$B$6:$B$105,0))),0))</f>
        <v/>
      </c>
      <c r="L322">
        <f>IF(OR(B322="",C322=""),0,IFERROR(N(INDEX(Ingredients!$AE$6:$AE$105,MATCH(C322,Ingredients!$B$6:$B$105,0))),0))</f>
        <v/>
      </c>
      <c r="M322">
        <f>IF(OR(B322="",C322=""),0,IFERROR(N(INDEX(Ingredients!$AF$6:$AF$105,MATCH(C322,Ingredients!$B$6:$B$105,0))),0))</f>
        <v/>
      </c>
      <c r="N322">
        <f>IF(OR(B322="",C322=""),0,IFERROR(N(INDEX(Ingredients!$AG$6:$AG$105,MATCH(C322,Ingredients!$B$6:$B$105,0))),0))</f>
        <v/>
      </c>
      <c r="O322">
        <f>IF(OR(B322="",C322=""),0,IFERROR(N(INDEX(Ingredients!$AH$6:$AH$105,MATCH(C322,Ingredients!$B$6:$B$105,0))),0))</f>
        <v/>
      </c>
      <c r="P322">
        <f>IF(OR(B322="",C322=""),0,IFERROR(N(INDEX(Ingredients!$AI$6:$AI$105,MATCH(C322,Ingredients!$B$6:$B$105,0))),0))</f>
        <v/>
      </c>
      <c r="Q322">
        <f>IF(OR(B322="",C322=""),0,IFERROR(N(INDEX(Ingredients!$AJ$6:$AJ$105,MATCH(C322,Ingredients!$B$6:$B$105,0))),0))</f>
        <v/>
      </c>
      <c r="R322">
        <f>IF(OR(B322="",C322=""),0,IFERROR(N(INDEX(Ingredients!$AK$6:$AK$105,MATCH(C322,Ingredients!$B$6:$B$105,0))),0))</f>
        <v/>
      </c>
      <c r="S322">
        <f>IF(OR(B322="",C322=""),0,IFERROR(N(INDEX(Ingredients!$AL$6:$AL$105,MATCH(C322,Ingredients!$B$6:$B$105,0))),0))</f>
        <v/>
      </c>
      <c r="T322">
        <f>IF(OR(B322="",C322=""),0,IFERROR(N(INDEX(Ingredients!$AM$6:$AM$105,MATCH(C322,Ingredients!$B$6:$B$105,0))),0))</f>
        <v/>
      </c>
      <c r="U322">
        <f>IF(OR(B322="",C322=""),0,IFERROR(N(INDEX(Ingredients!$AN$6:$AN$105,MATCH(C322,Ingredients!$B$6:$B$105,0))),0))</f>
        <v/>
      </c>
      <c r="V322">
        <f>IF(OR(B322="",C322=""),0,IFERROR(N(INDEX(Ingredients!$AO$6:$AO$105,MATCH(C322,Ingredients!$B$6:$B$105,0))),0))</f>
        <v/>
      </c>
      <c r="W322">
        <f>IF(OR(B322="",C322=""),0,IFERROR(N(INDEX(Ingredients!$AP$6:$AP$105,MATCH(C322,Ingredients!$B$6:$B$105,0))),0))</f>
        <v/>
      </c>
      <c r="X322">
        <f>IF(OR(B322="",C322=""),0,IFERROR(N(INDEX(Ingredients!$AQ$6:$AQ$105,MATCH(C322,Ingredients!$B$6:$B$105,0))),0))</f>
        <v/>
      </c>
    </row>
    <row r="323">
      <c r="A323" s="1" t="n"/>
      <c r="B323" s="21" t="n"/>
      <c r="C323" s="39" t="n"/>
      <c r="D323" s="40" t="n"/>
      <c r="E323" s="12">
        <f>IF(C323="","",IF(ISNA(MATCH(C323,Ingredients!$B$6:$B$105,0)),"Not on Ingredients",IFERROR(IF(INDEX(Ingredients!$C$6:$C$105,MATCH(C323,Ingredients!$B$6:$B$105,0))="","",INDEX(Ingredients!$C$6:$C$105,MATCH(C323,Ingredients!$B$6:$B$105,0))),"")))</f>
        <v/>
      </c>
      <c r="F323" s="26">
        <f>IF(OR(B323="",C323=""),"",N(D323)*IFERROR(N(INDEX(Ingredients!$H$6:$H$105,MATCH(C323,Ingredients!$B$6:$B$105,0))),0))</f>
        <v/>
      </c>
      <c r="G323" s="1">
        <f>IF(OR(B323="",C323=""),0,IFERROR(N(INDEX(Products!$D$6:$D$45,MATCH(B323,Products!$B$6:$B$45,0))),0))</f>
        <v/>
      </c>
      <c r="H323">
        <f>IF(N(G323)=0,0,N(D323)*SUMIFS(Batches!$D$6:$D$505,Batches!$C$6:$C$505,B323)/G323)</f>
        <v/>
      </c>
      <c r="I323">
        <f>IF(OR(B323="",C323=""),"",IF(B323&lt;&gt;Label!$H$3,"",IF(IFERROR(N(INDEX(Ingredients!$AS$6:$AS$105,MATCH(C323,Ingredients!$B$6:$B$105,0))),0)=1,"",ROUND(N(D323)*1000,0)*100000+100000-ROW())))</f>
        <v/>
      </c>
      <c r="J323">
        <f>IF(OR(B323="",C323=""),0,IFERROR(N(INDEX(Ingredients!$AC$6:$AC$105,MATCH(C323,Ingredients!$B$6:$B$105,0))),0))</f>
        <v/>
      </c>
      <c r="K323">
        <f>IF(OR(B323="",C323=""),0,IFERROR(N(INDEX(Ingredients!$AD$6:$AD$105,MATCH(C323,Ingredients!$B$6:$B$105,0))),0))</f>
        <v/>
      </c>
      <c r="L323">
        <f>IF(OR(B323="",C323=""),0,IFERROR(N(INDEX(Ingredients!$AE$6:$AE$105,MATCH(C323,Ingredients!$B$6:$B$105,0))),0))</f>
        <v/>
      </c>
      <c r="M323">
        <f>IF(OR(B323="",C323=""),0,IFERROR(N(INDEX(Ingredients!$AF$6:$AF$105,MATCH(C323,Ingredients!$B$6:$B$105,0))),0))</f>
        <v/>
      </c>
      <c r="N323">
        <f>IF(OR(B323="",C323=""),0,IFERROR(N(INDEX(Ingredients!$AG$6:$AG$105,MATCH(C323,Ingredients!$B$6:$B$105,0))),0))</f>
        <v/>
      </c>
      <c r="O323">
        <f>IF(OR(B323="",C323=""),0,IFERROR(N(INDEX(Ingredients!$AH$6:$AH$105,MATCH(C323,Ingredients!$B$6:$B$105,0))),0))</f>
        <v/>
      </c>
      <c r="P323">
        <f>IF(OR(B323="",C323=""),0,IFERROR(N(INDEX(Ingredients!$AI$6:$AI$105,MATCH(C323,Ingredients!$B$6:$B$105,0))),0))</f>
        <v/>
      </c>
      <c r="Q323">
        <f>IF(OR(B323="",C323=""),0,IFERROR(N(INDEX(Ingredients!$AJ$6:$AJ$105,MATCH(C323,Ingredients!$B$6:$B$105,0))),0))</f>
        <v/>
      </c>
      <c r="R323">
        <f>IF(OR(B323="",C323=""),0,IFERROR(N(INDEX(Ingredients!$AK$6:$AK$105,MATCH(C323,Ingredients!$B$6:$B$105,0))),0))</f>
        <v/>
      </c>
      <c r="S323">
        <f>IF(OR(B323="",C323=""),0,IFERROR(N(INDEX(Ingredients!$AL$6:$AL$105,MATCH(C323,Ingredients!$B$6:$B$105,0))),0))</f>
        <v/>
      </c>
      <c r="T323">
        <f>IF(OR(B323="",C323=""),0,IFERROR(N(INDEX(Ingredients!$AM$6:$AM$105,MATCH(C323,Ingredients!$B$6:$B$105,0))),0))</f>
        <v/>
      </c>
      <c r="U323">
        <f>IF(OR(B323="",C323=""),0,IFERROR(N(INDEX(Ingredients!$AN$6:$AN$105,MATCH(C323,Ingredients!$B$6:$B$105,0))),0))</f>
        <v/>
      </c>
      <c r="V323">
        <f>IF(OR(B323="",C323=""),0,IFERROR(N(INDEX(Ingredients!$AO$6:$AO$105,MATCH(C323,Ingredients!$B$6:$B$105,0))),0))</f>
        <v/>
      </c>
      <c r="W323">
        <f>IF(OR(B323="",C323=""),0,IFERROR(N(INDEX(Ingredients!$AP$6:$AP$105,MATCH(C323,Ingredients!$B$6:$B$105,0))),0))</f>
        <v/>
      </c>
      <c r="X323">
        <f>IF(OR(B323="",C323=""),0,IFERROR(N(INDEX(Ingredients!$AQ$6:$AQ$105,MATCH(C323,Ingredients!$B$6:$B$105,0))),0))</f>
        <v/>
      </c>
    </row>
    <row r="324">
      <c r="A324" s="1" t="n"/>
      <c r="B324" s="21" t="n"/>
      <c r="C324" s="39" t="n"/>
      <c r="D324" s="40" t="n"/>
      <c r="E324" s="12">
        <f>IF(C324="","",IF(ISNA(MATCH(C324,Ingredients!$B$6:$B$105,0)),"Not on Ingredients",IFERROR(IF(INDEX(Ingredients!$C$6:$C$105,MATCH(C324,Ingredients!$B$6:$B$105,0))="","",INDEX(Ingredients!$C$6:$C$105,MATCH(C324,Ingredients!$B$6:$B$105,0))),"")))</f>
        <v/>
      </c>
      <c r="F324" s="26">
        <f>IF(OR(B324="",C324=""),"",N(D324)*IFERROR(N(INDEX(Ingredients!$H$6:$H$105,MATCH(C324,Ingredients!$B$6:$B$105,0))),0))</f>
        <v/>
      </c>
      <c r="G324" s="1">
        <f>IF(OR(B324="",C324=""),0,IFERROR(N(INDEX(Products!$D$6:$D$45,MATCH(B324,Products!$B$6:$B$45,0))),0))</f>
        <v/>
      </c>
      <c r="H324">
        <f>IF(N(G324)=0,0,N(D324)*SUMIFS(Batches!$D$6:$D$505,Batches!$C$6:$C$505,B324)/G324)</f>
        <v/>
      </c>
      <c r="I324">
        <f>IF(OR(B324="",C324=""),"",IF(B324&lt;&gt;Label!$H$3,"",IF(IFERROR(N(INDEX(Ingredients!$AS$6:$AS$105,MATCH(C324,Ingredients!$B$6:$B$105,0))),0)=1,"",ROUND(N(D324)*1000,0)*100000+100000-ROW())))</f>
        <v/>
      </c>
      <c r="J324">
        <f>IF(OR(B324="",C324=""),0,IFERROR(N(INDEX(Ingredients!$AC$6:$AC$105,MATCH(C324,Ingredients!$B$6:$B$105,0))),0))</f>
        <v/>
      </c>
      <c r="K324">
        <f>IF(OR(B324="",C324=""),0,IFERROR(N(INDEX(Ingredients!$AD$6:$AD$105,MATCH(C324,Ingredients!$B$6:$B$105,0))),0))</f>
        <v/>
      </c>
      <c r="L324">
        <f>IF(OR(B324="",C324=""),0,IFERROR(N(INDEX(Ingredients!$AE$6:$AE$105,MATCH(C324,Ingredients!$B$6:$B$105,0))),0))</f>
        <v/>
      </c>
      <c r="M324">
        <f>IF(OR(B324="",C324=""),0,IFERROR(N(INDEX(Ingredients!$AF$6:$AF$105,MATCH(C324,Ingredients!$B$6:$B$105,0))),0))</f>
        <v/>
      </c>
      <c r="N324">
        <f>IF(OR(B324="",C324=""),0,IFERROR(N(INDEX(Ingredients!$AG$6:$AG$105,MATCH(C324,Ingredients!$B$6:$B$105,0))),0))</f>
        <v/>
      </c>
      <c r="O324">
        <f>IF(OR(B324="",C324=""),0,IFERROR(N(INDEX(Ingredients!$AH$6:$AH$105,MATCH(C324,Ingredients!$B$6:$B$105,0))),0))</f>
        <v/>
      </c>
      <c r="P324">
        <f>IF(OR(B324="",C324=""),0,IFERROR(N(INDEX(Ingredients!$AI$6:$AI$105,MATCH(C324,Ingredients!$B$6:$B$105,0))),0))</f>
        <v/>
      </c>
      <c r="Q324">
        <f>IF(OR(B324="",C324=""),0,IFERROR(N(INDEX(Ingredients!$AJ$6:$AJ$105,MATCH(C324,Ingredients!$B$6:$B$105,0))),0))</f>
        <v/>
      </c>
      <c r="R324">
        <f>IF(OR(B324="",C324=""),0,IFERROR(N(INDEX(Ingredients!$AK$6:$AK$105,MATCH(C324,Ingredients!$B$6:$B$105,0))),0))</f>
        <v/>
      </c>
      <c r="S324">
        <f>IF(OR(B324="",C324=""),0,IFERROR(N(INDEX(Ingredients!$AL$6:$AL$105,MATCH(C324,Ingredients!$B$6:$B$105,0))),0))</f>
        <v/>
      </c>
      <c r="T324">
        <f>IF(OR(B324="",C324=""),0,IFERROR(N(INDEX(Ingredients!$AM$6:$AM$105,MATCH(C324,Ingredients!$B$6:$B$105,0))),0))</f>
        <v/>
      </c>
      <c r="U324">
        <f>IF(OR(B324="",C324=""),0,IFERROR(N(INDEX(Ingredients!$AN$6:$AN$105,MATCH(C324,Ingredients!$B$6:$B$105,0))),0))</f>
        <v/>
      </c>
      <c r="V324">
        <f>IF(OR(B324="",C324=""),0,IFERROR(N(INDEX(Ingredients!$AO$6:$AO$105,MATCH(C324,Ingredients!$B$6:$B$105,0))),0))</f>
        <v/>
      </c>
      <c r="W324">
        <f>IF(OR(B324="",C324=""),0,IFERROR(N(INDEX(Ingredients!$AP$6:$AP$105,MATCH(C324,Ingredients!$B$6:$B$105,0))),0))</f>
        <v/>
      </c>
      <c r="X324">
        <f>IF(OR(B324="",C324=""),0,IFERROR(N(INDEX(Ingredients!$AQ$6:$AQ$105,MATCH(C324,Ingredients!$B$6:$B$105,0))),0))</f>
        <v/>
      </c>
    </row>
    <row r="325">
      <c r="A325" s="1" t="n"/>
      <c r="B325" s="21" t="n"/>
      <c r="C325" s="39" t="n"/>
      <c r="D325" s="40" t="n"/>
      <c r="E325" s="12">
        <f>IF(C325="","",IF(ISNA(MATCH(C325,Ingredients!$B$6:$B$105,0)),"Not on Ingredients",IFERROR(IF(INDEX(Ingredients!$C$6:$C$105,MATCH(C325,Ingredients!$B$6:$B$105,0))="","",INDEX(Ingredients!$C$6:$C$105,MATCH(C325,Ingredients!$B$6:$B$105,0))),"")))</f>
        <v/>
      </c>
      <c r="F325" s="26">
        <f>IF(OR(B325="",C325=""),"",N(D325)*IFERROR(N(INDEX(Ingredients!$H$6:$H$105,MATCH(C325,Ingredients!$B$6:$B$105,0))),0))</f>
        <v/>
      </c>
      <c r="G325" s="1">
        <f>IF(OR(B325="",C325=""),0,IFERROR(N(INDEX(Products!$D$6:$D$45,MATCH(B325,Products!$B$6:$B$45,0))),0))</f>
        <v/>
      </c>
      <c r="H325">
        <f>IF(N(G325)=0,0,N(D325)*SUMIFS(Batches!$D$6:$D$505,Batches!$C$6:$C$505,B325)/G325)</f>
        <v/>
      </c>
      <c r="I325">
        <f>IF(OR(B325="",C325=""),"",IF(B325&lt;&gt;Label!$H$3,"",IF(IFERROR(N(INDEX(Ingredients!$AS$6:$AS$105,MATCH(C325,Ingredients!$B$6:$B$105,0))),0)=1,"",ROUND(N(D325)*1000,0)*100000+100000-ROW())))</f>
        <v/>
      </c>
      <c r="J325">
        <f>IF(OR(B325="",C325=""),0,IFERROR(N(INDEX(Ingredients!$AC$6:$AC$105,MATCH(C325,Ingredients!$B$6:$B$105,0))),0))</f>
        <v/>
      </c>
      <c r="K325">
        <f>IF(OR(B325="",C325=""),0,IFERROR(N(INDEX(Ingredients!$AD$6:$AD$105,MATCH(C325,Ingredients!$B$6:$B$105,0))),0))</f>
        <v/>
      </c>
      <c r="L325">
        <f>IF(OR(B325="",C325=""),0,IFERROR(N(INDEX(Ingredients!$AE$6:$AE$105,MATCH(C325,Ingredients!$B$6:$B$105,0))),0))</f>
        <v/>
      </c>
      <c r="M325">
        <f>IF(OR(B325="",C325=""),0,IFERROR(N(INDEX(Ingredients!$AF$6:$AF$105,MATCH(C325,Ingredients!$B$6:$B$105,0))),0))</f>
        <v/>
      </c>
      <c r="N325">
        <f>IF(OR(B325="",C325=""),0,IFERROR(N(INDEX(Ingredients!$AG$6:$AG$105,MATCH(C325,Ingredients!$B$6:$B$105,0))),0))</f>
        <v/>
      </c>
      <c r="O325">
        <f>IF(OR(B325="",C325=""),0,IFERROR(N(INDEX(Ingredients!$AH$6:$AH$105,MATCH(C325,Ingredients!$B$6:$B$105,0))),0))</f>
        <v/>
      </c>
      <c r="P325">
        <f>IF(OR(B325="",C325=""),0,IFERROR(N(INDEX(Ingredients!$AI$6:$AI$105,MATCH(C325,Ingredients!$B$6:$B$105,0))),0))</f>
        <v/>
      </c>
      <c r="Q325">
        <f>IF(OR(B325="",C325=""),0,IFERROR(N(INDEX(Ingredients!$AJ$6:$AJ$105,MATCH(C325,Ingredients!$B$6:$B$105,0))),0))</f>
        <v/>
      </c>
      <c r="R325">
        <f>IF(OR(B325="",C325=""),0,IFERROR(N(INDEX(Ingredients!$AK$6:$AK$105,MATCH(C325,Ingredients!$B$6:$B$105,0))),0))</f>
        <v/>
      </c>
      <c r="S325">
        <f>IF(OR(B325="",C325=""),0,IFERROR(N(INDEX(Ingredients!$AL$6:$AL$105,MATCH(C325,Ingredients!$B$6:$B$105,0))),0))</f>
        <v/>
      </c>
      <c r="T325">
        <f>IF(OR(B325="",C325=""),0,IFERROR(N(INDEX(Ingredients!$AM$6:$AM$105,MATCH(C325,Ingredients!$B$6:$B$105,0))),0))</f>
        <v/>
      </c>
      <c r="U325">
        <f>IF(OR(B325="",C325=""),0,IFERROR(N(INDEX(Ingredients!$AN$6:$AN$105,MATCH(C325,Ingredients!$B$6:$B$105,0))),0))</f>
        <v/>
      </c>
      <c r="V325">
        <f>IF(OR(B325="",C325=""),0,IFERROR(N(INDEX(Ingredients!$AO$6:$AO$105,MATCH(C325,Ingredients!$B$6:$B$105,0))),0))</f>
        <v/>
      </c>
      <c r="W325">
        <f>IF(OR(B325="",C325=""),0,IFERROR(N(INDEX(Ingredients!$AP$6:$AP$105,MATCH(C325,Ingredients!$B$6:$B$105,0))),0))</f>
        <v/>
      </c>
      <c r="X325">
        <f>IF(OR(B325="",C325=""),0,IFERROR(N(INDEX(Ingredients!$AQ$6:$AQ$105,MATCH(C325,Ingredients!$B$6:$B$105,0))),0))</f>
        <v/>
      </c>
    </row>
    <row r="326">
      <c r="A326" s="1" t="n"/>
      <c r="B326" s="21" t="n"/>
      <c r="C326" s="39" t="n"/>
      <c r="D326" s="40" t="n"/>
      <c r="E326" s="12">
        <f>IF(C326="","",IF(ISNA(MATCH(C326,Ingredients!$B$6:$B$105,0)),"Not on Ingredients",IFERROR(IF(INDEX(Ingredients!$C$6:$C$105,MATCH(C326,Ingredients!$B$6:$B$105,0))="","",INDEX(Ingredients!$C$6:$C$105,MATCH(C326,Ingredients!$B$6:$B$105,0))),"")))</f>
        <v/>
      </c>
      <c r="F326" s="26">
        <f>IF(OR(B326="",C326=""),"",N(D326)*IFERROR(N(INDEX(Ingredients!$H$6:$H$105,MATCH(C326,Ingredients!$B$6:$B$105,0))),0))</f>
        <v/>
      </c>
      <c r="G326" s="1">
        <f>IF(OR(B326="",C326=""),0,IFERROR(N(INDEX(Products!$D$6:$D$45,MATCH(B326,Products!$B$6:$B$45,0))),0))</f>
        <v/>
      </c>
      <c r="H326">
        <f>IF(N(G326)=0,0,N(D326)*SUMIFS(Batches!$D$6:$D$505,Batches!$C$6:$C$505,B326)/G326)</f>
        <v/>
      </c>
      <c r="I326">
        <f>IF(OR(B326="",C326=""),"",IF(B326&lt;&gt;Label!$H$3,"",IF(IFERROR(N(INDEX(Ingredients!$AS$6:$AS$105,MATCH(C326,Ingredients!$B$6:$B$105,0))),0)=1,"",ROUND(N(D326)*1000,0)*100000+100000-ROW())))</f>
        <v/>
      </c>
      <c r="J326">
        <f>IF(OR(B326="",C326=""),0,IFERROR(N(INDEX(Ingredients!$AC$6:$AC$105,MATCH(C326,Ingredients!$B$6:$B$105,0))),0))</f>
        <v/>
      </c>
      <c r="K326">
        <f>IF(OR(B326="",C326=""),0,IFERROR(N(INDEX(Ingredients!$AD$6:$AD$105,MATCH(C326,Ingredients!$B$6:$B$105,0))),0))</f>
        <v/>
      </c>
      <c r="L326">
        <f>IF(OR(B326="",C326=""),0,IFERROR(N(INDEX(Ingredients!$AE$6:$AE$105,MATCH(C326,Ingredients!$B$6:$B$105,0))),0))</f>
        <v/>
      </c>
      <c r="M326">
        <f>IF(OR(B326="",C326=""),0,IFERROR(N(INDEX(Ingredients!$AF$6:$AF$105,MATCH(C326,Ingredients!$B$6:$B$105,0))),0))</f>
        <v/>
      </c>
      <c r="N326">
        <f>IF(OR(B326="",C326=""),0,IFERROR(N(INDEX(Ingredients!$AG$6:$AG$105,MATCH(C326,Ingredients!$B$6:$B$105,0))),0))</f>
        <v/>
      </c>
      <c r="O326">
        <f>IF(OR(B326="",C326=""),0,IFERROR(N(INDEX(Ingredients!$AH$6:$AH$105,MATCH(C326,Ingredients!$B$6:$B$105,0))),0))</f>
        <v/>
      </c>
      <c r="P326">
        <f>IF(OR(B326="",C326=""),0,IFERROR(N(INDEX(Ingredients!$AI$6:$AI$105,MATCH(C326,Ingredients!$B$6:$B$105,0))),0))</f>
        <v/>
      </c>
      <c r="Q326">
        <f>IF(OR(B326="",C326=""),0,IFERROR(N(INDEX(Ingredients!$AJ$6:$AJ$105,MATCH(C326,Ingredients!$B$6:$B$105,0))),0))</f>
        <v/>
      </c>
      <c r="R326">
        <f>IF(OR(B326="",C326=""),0,IFERROR(N(INDEX(Ingredients!$AK$6:$AK$105,MATCH(C326,Ingredients!$B$6:$B$105,0))),0))</f>
        <v/>
      </c>
      <c r="S326">
        <f>IF(OR(B326="",C326=""),0,IFERROR(N(INDEX(Ingredients!$AL$6:$AL$105,MATCH(C326,Ingredients!$B$6:$B$105,0))),0))</f>
        <v/>
      </c>
      <c r="T326">
        <f>IF(OR(B326="",C326=""),0,IFERROR(N(INDEX(Ingredients!$AM$6:$AM$105,MATCH(C326,Ingredients!$B$6:$B$105,0))),0))</f>
        <v/>
      </c>
      <c r="U326">
        <f>IF(OR(B326="",C326=""),0,IFERROR(N(INDEX(Ingredients!$AN$6:$AN$105,MATCH(C326,Ingredients!$B$6:$B$105,0))),0))</f>
        <v/>
      </c>
      <c r="V326">
        <f>IF(OR(B326="",C326=""),0,IFERROR(N(INDEX(Ingredients!$AO$6:$AO$105,MATCH(C326,Ingredients!$B$6:$B$105,0))),0))</f>
        <v/>
      </c>
      <c r="W326">
        <f>IF(OR(B326="",C326=""),0,IFERROR(N(INDEX(Ingredients!$AP$6:$AP$105,MATCH(C326,Ingredients!$B$6:$B$105,0))),0))</f>
        <v/>
      </c>
      <c r="X326">
        <f>IF(OR(B326="",C326=""),0,IFERROR(N(INDEX(Ingredients!$AQ$6:$AQ$105,MATCH(C326,Ingredients!$B$6:$B$105,0))),0))</f>
        <v/>
      </c>
    </row>
    <row r="327">
      <c r="A327" s="1" t="n"/>
      <c r="B327" s="21" t="n"/>
      <c r="C327" s="39" t="n"/>
      <c r="D327" s="40" t="n"/>
      <c r="E327" s="12">
        <f>IF(C327="","",IF(ISNA(MATCH(C327,Ingredients!$B$6:$B$105,0)),"Not on Ingredients",IFERROR(IF(INDEX(Ingredients!$C$6:$C$105,MATCH(C327,Ingredients!$B$6:$B$105,0))="","",INDEX(Ingredients!$C$6:$C$105,MATCH(C327,Ingredients!$B$6:$B$105,0))),"")))</f>
        <v/>
      </c>
      <c r="F327" s="26">
        <f>IF(OR(B327="",C327=""),"",N(D327)*IFERROR(N(INDEX(Ingredients!$H$6:$H$105,MATCH(C327,Ingredients!$B$6:$B$105,0))),0))</f>
        <v/>
      </c>
      <c r="G327" s="1">
        <f>IF(OR(B327="",C327=""),0,IFERROR(N(INDEX(Products!$D$6:$D$45,MATCH(B327,Products!$B$6:$B$45,0))),0))</f>
        <v/>
      </c>
      <c r="H327">
        <f>IF(N(G327)=0,0,N(D327)*SUMIFS(Batches!$D$6:$D$505,Batches!$C$6:$C$505,B327)/G327)</f>
        <v/>
      </c>
      <c r="I327">
        <f>IF(OR(B327="",C327=""),"",IF(B327&lt;&gt;Label!$H$3,"",IF(IFERROR(N(INDEX(Ingredients!$AS$6:$AS$105,MATCH(C327,Ingredients!$B$6:$B$105,0))),0)=1,"",ROUND(N(D327)*1000,0)*100000+100000-ROW())))</f>
        <v/>
      </c>
      <c r="J327">
        <f>IF(OR(B327="",C327=""),0,IFERROR(N(INDEX(Ingredients!$AC$6:$AC$105,MATCH(C327,Ingredients!$B$6:$B$105,0))),0))</f>
        <v/>
      </c>
      <c r="K327">
        <f>IF(OR(B327="",C327=""),0,IFERROR(N(INDEX(Ingredients!$AD$6:$AD$105,MATCH(C327,Ingredients!$B$6:$B$105,0))),0))</f>
        <v/>
      </c>
      <c r="L327">
        <f>IF(OR(B327="",C327=""),0,IFERROR(N(INDEX(Ingredients!$AE$6:$AE$105,MATCH(C327,Ingredients!$B$6:$B$105,0))),0))</f>
        <v/>
      </c>
      <c r="M327">
        <f>IF(OR(B327="",C327=""),0,IFERROR(N(INDEX(Ingredients!$AF$6:$AF$105,MATCH(C327,Ingredients!$B$6:$B$105,0))),0))</f>
        <v/>
      </c>
      <c r="N327">
        <f>IF(OR(B327="",C327=""),0,IFERROR(N(INDEX(Ingredients!$AG$6:$AG$105,MATCH(C327,Ingredients!$B$6:$B$105,0))),0))</f>
        <v/>
      </c>
      <c r="O327">
        <f>IF(OR(B327="",C327=""),0,IFERROR(N(INDEX(Ingredients!$AH$6:$AH$105,MATCH(C327,Ingredients!$B$6:$B$105,0))),0))</f>
        <v/>
      </c>
      <c r="P327">
        <f>IF(OR(B327="",C327=""),0,IFERROR(N(INDEX(Ingredients!$AI$6:$AI$105,MATCH(C327,Ingredients!$B$6:$B$105,0))),0))</f>
        <v/>
      </c>
      <c r="Q327">
        <f>IF(OR(B327="",C327=""),0,IFERROR(N(INDEX(Ingredients!$AJ$6:$AJ$105,MATCH(C327,Ingredients!$B$6:$B$105,0))),0))</f>
        <v/>
      </c>
      <c r="R327">
        <f>IF(OR(B327="",C327=""),0,IFERROR(N(INDEX(Ingredients!$AK$6:$AK$105,MATCH(C327,Ingredients!$B$6:$B$105,0))),0))</f>
        <v/>
      </c>
      <c r="S327">
        <f>IF(OR(B327="",C327=""),0,IFERROR(N(INDEX(Ingredients!$AL$6:$AL$105,MATCH(C327,Ingredients!$B$6:$B$105,0))),0))</f>
        <v/>
      </c>
      <c r="T327">
        <f>IF(OR(B327="",C327=""),0,IFERROR(N(INDEX(Ingredients!$AM$6:$AM$105,MATCH(C327,Ingredients!$B$6:$B$105,0))),0))</f>
        <v/>
      </c>
      <c r="U327">
        <f>IF(OR(B327="",C327=""),0,IFERROR(N(INDEX(Ingredients!$AN$6:$AN$105,MATCH(C327,Ingredients!$B$6:$B$105,0))),0))</f>
        <v/>
      </c>
      <c r="V327">
        <f>IF(OR(B327="",C327=""),0,IFERROR(N(INDEX(Ingredients!$AO$6:$AO$105,MATCH(C327,Ingredients!$B$6:$B$105,0))),0))</f>
        <v/>
      </c>
      <c r="W327">
        <f>IF(OR(B327="",C327=""),0,IFERROR(N(INDEX(Ingredients!$AP$6:$AP$105,MATCH(C327,Ingredients!$B$6:$B$105,0))),0))</f>
        <v/>
      </c>
      <c r="X327">
        <f>IF(OR(B327="",C327=""),0,IFERROR(N(INDEX(Ingredients!$AQ$6:$AQ$105,MATCH(C327,Ingredients!$B$6:$B$105,0))),0))</f>
        <v/>
      </c>
    </row>
    <row r="328">
      <c r="A328" s="1" t="n"/>
      <c r="B328" s="21" t="n"/>
      <c r="C328" s="39" t="n"/>
      <c r="D328" s="40" t="n"/>
      <c r="E328" s="12">
        <f>IF(C328="","",IF(ISNA(MATCH(C328,Ingredients!$B$6:$B$105,0)),"Not on Ingredients",IFERROR(IF(INDEX(Ingredients!$C$6:$C$105,MATCH(C328,Ingredients!$B$6:$B$105,0))="","",INDEX(Ingredients!$C$6:$C$105,MATCH(C328,Ingredients!$B$6:$B$105,0))),"")))</f>
        <v/>
      </c>
      <c r="F328" s="26">
        <f>IF(OR(B328="",C328=""),"",N(D328)*IFERROR(N(INDEX(Ingredients!$H$6:$H$105,MATCH(C328,Ingredients!$B$6:$B$105,0))),0))</f>
        <v/>
      </c>
      <c r="G328" s="1">
        <f>IF(OR(B328="",C328=""),0,IFERROR(N(INDEX(Products!$D$6:$D$45,MATCH(B328,Products!$B$6:$B$45,0))),0))</f>
        <v/>
      </c>
      <c r="H328">
        <f>IF(N(G328)=0,0,N(D328)*SUMIFS(Batches!$D$6:$D$505,Batches!$C$6:$C$505,B328)/G328)</f>
        <v/>
      </c>
      <c r="I328">
        <f>IF(OR(B328="",C328=""),"",IF(B328&lt;&gt;Label!$H$3,"",IF(IFERROR(N(INDEX(Ingredients!$AS$6:$AS$105,MATCH(C328,Ingredients!$B$6:$B$105,0))),0)=1,"",ROUND(N(D328)*1000,0)*100000+100000-ROW())))</f>
        <v/>
      </c>
      <c r="J328">
        <f>IF(OR(B328="",C328=""),0,IFERROR(N(INDEX(Ingredients!$AC$6:$AC$105,MATCH(C328,Ingredients!$B$6:$B$105,0))),0))</f>
        <v/>
      </c>
      <c r="K328">
        <f>IF(OR(B328="",C328=""),0,IFERROR(N(INDEX(Ingredients!$AD$6:$AD$105,MATCH(C328,Ingredients!$B$6:$B$105,0))),0))</f>
        <v/>
      </c>
      <c r="L328">
        <f>IF(OR(B328="",C328=""),0,IFERROR(N(INDEX(Ingredients!$AE$6:$AE$105,MATCH(C328,Ingredients!$B$6:$B$105,0))),0))</f>
        <v/>
      </c>
      <c r="M328">
        <f>IF(OR(B328="",C328=""),0,IFERROR(N(INDEX(Ingredients!$AF$6:$AF$105,MATCH(C328,Ingredients!$B$6:$B$105,0))),0))</f>
        <v/>
      </c>
      <c r="N328">
        <f>IF(OR(B328="",C328=""),0,IFERROR(N(INDEX(Ingredients!$AG$6:$AG$105,MATCH(C328,Ingredients!$B$6:$B$105,0))),0))</f>
        <v/>
      </c>
      <c r="O328">
        <f>IF(OR(B328="",C328=""),0,IFERROR(N(INDEX(Ingredients!$AH$6:$AH$105,MATCH(C328,Ingredients!$B$6:$B$105,0))),0))</f>
        <v/>
      </c>
      <c r="P328">
        <f>IF(OR(B328="",C328=""),0,IFERROR(N(INDEX(Ingredients!$AI$6:$AI$105,MATCH(C328,Ingredients!$B$6:$B$105,0))),0))</f>
        <v/>
      </c>
      <c r="Q328">
        <f>IF(OR(B328="",C328=""),0,IFERROR(N(INDEX(Ingredients!$AJ$6:$AJ$105,MATCH(C328,Ingredients!$B$6:$B$105,0))),0))</f>
        <v/>
      </c>
      <c r="R328">
        <f>IF(OR(B328="",C328=""),0,IFERROR(N(INDEX(Ingredients!$AK$6:$AK$105,MATCH(C328,Ingredients!$B$6:$B$105,0))),0))</f>
        <v/>
      </c>
      <c r="S328">
        <f>IF(OR(B328="",C328=""),0,IFERROR(N(INDEX(Ingredients!$AL$6:$AL$105,MATCH(C328,Ingredients!$B$6:$B$105,0))),0))</f>
        <v/>
      </c>
      <c r="T328">
        <f>IF(OR(B328="",C328=""),0,IFERROR(N(INDEX(Ingredients!$AM$6:$AM$105,MATCH(C328,Ingredients!$B$6:$B$105,0))),0))</f>
        <v/>
      </c>
      <c r="U328">
        <f>IF(OR(B328="",C328=""),0,IFERROR(N(INDEX(Ingredients!$AN$6:$AN$105,MATCH(C328,Ingredients!$B$6:$B$105,0))),0))</f>
        <v/>
      </c>
      <c r="V328">
        <f>IF(OR(B328="",C328=""),0,IFERROR(N(INDEX(Ingredients!$AO$6:$AO$105,MATCH(C328,Ingredients!$B$6:$B$105,0))),0))</f>
        <v/>
      </c>
      <c r="W328">
        <f>IF(OR(B328="",C328=""),0,IFERROR(N(INDEX(Ingredients!$AP$6:$AP$105,MATCH(C328,Ingredients!$B$6:$B$105,0))),0))</f>
        <v/>
      </c>
      <c r="X328">
        <f>IF(OR(B328="",C328=""),0,IFERROR(N(INDEX(Ingredients!$AQ$6:$AQ$105,MATCH(C328,Ingredients!$B$6:$B$105,0))),0))</f>
        <v/>
      </c>
    </row>
    <row r="329">
      <c r="A329" s="1" t="n"/>
      <c r="B329" s="21" t="n"/>
      <c r="C329" s="39" t="n"/>
      <c r="D329" s="40" t="n"/>
      <c r="E329" s="12">
        <f>IF(C329="","",IF(ISNA(MATCH(C329,Ingredients!$B$6:$B$105,0)),"Not on Ingredients",IFERROR(IF(INDEX(Ingredients!$C$6:$C$105,MATCH(C329,Ingredients!$B$6:$B$105,0))="","",INDEX(Ingredients!$C$6:$C$105,MATCH(C329,Ingredients!$B$6:$B$105,0))),"")))</f>
        <v/>
      </c>
      <c r="F329" s="26">
        <f>IF(OR(B329="",C329=""),"",N(D329)*IFERROR(N(INDEX(Ingredients!$H$6:$H$105,MATCH(C329,Ingredients!$B$6:$B$105,0))),0))</f>
        <v/>
      </c>
      <c r="G329" s="1">
        <f>IF(OR(B329="",C329=""),0,IFERROR(N(INDEX(Products!$D$6:$D$45,MATCH(B329,Products!$B$6:$B$45,0))),0))</f>
        <v/>
      </c>
      <c r="H329">
        <f>IF(N(G329)=0,0,N(D329)*SUMIFS(Batches!$D$6:$D$505,Batches!$C$6:$C$505,B329)/G329)</f>
        <v/>
      </c>
      <c r="I329">
        <f>IF(OR(B329="",C329=""),"",IF(B329&lt;&gt;Label!$H$3,"",IF(IFERROR(N(INDEX(Ingredients!$AS$6:$AS$105,MATCH(C329,Ingredients!$B$6:$B$105,0))),0)=1,"",ROUND(N(D329)*1000,0)*100000+100000-ROW())))</f>
        <v/>
      </c>
      <c r="J329">
        <f>IF(OR(B329="",C329=""),0,IFERROR(N(INDEX(Ingredients!$AC$6:$AC$105,MATCH(C329,Ingredients!$B$6:$B$105,0))),0))</f>
        <v/>
      </c>
      <c r="K329">
        <f>IF(OR(B329="",C329=""),0,IFERROR(N(INDEX(Ingredients!$AD$6:$AD$105,MATCH(C329,Ingredients!$B$6:$B$105,0))),0))</f>
        <v/>
      </c>
      <c r="L329">
        <f>IF(OR(B329="",C329=""),0,IFERROR(N(INDEX(Ingredients!$AE$6:$AE$105,MATCH(C329,Ingredients!$B$6:$B$105,0))),0))</f>
        <v/>
      </c>
      <c r="M329">
        <f>IF(OR(B329="",C329=""),0,IFERROR(N(INDEX(Ingredients!$AF$6:$AF$105,MATCH(C329,Ingredients!$B$6:$B$105,0))),0))</f>
        <v/>
      </c>
      <c r="N329">
        <f>IF(OR(B329="",C329=""),0,IFERROR(N(INDEX(Ingredients!$AG$6:$AG$105,MATCH(C329,Ingredients!$B$6:$B$105,0))),0))</f>
        <v/>
      </c>
      <c r="O329">
        <f>IF(OR(B329="",C329=""),0,IFERROR(N(INDEX(Ingredients!$AH$6:$AH$105,MATCH(C329,Ingredients!$B$6:$B$105,0))),0))</f>
        <v/>
      </c>
      <c r="P329">
        <f>IF(OR(B329="",C329=""),0,IFERROR(N(INDEX(Ingredients!$AI$6:$AI$105,MATCH(C329,Ingredients!$B$6:$B$105,0))),0))</f>
        <v/>
      </c>
      <c r="Q329">
        <f>IF(OR(B329="",C329=""),0,IFERROR(N(INDEX(Ingredients!$AJ$6:$AJ$105,MATCH(C329,Ingredients!$B$6:$B$105,0))),0))</f>
        <v/>
      </c>
      <c r="R329">
        <f>IF(OR(B329="",C329=""),0,IFERROR(N(INDEX(Ingredients!$AK$6:$AK$105,MATCH(C329,Ingredients!$B$6:$B$105,0))),0))</f>
        <v/>
      </c>
      <c r="S329">
        <f>IF(OR(B329="",C329=""),0,IFERROR(N(INDEX(Ingredients!$AL$6:$AL$105,MATCH(C329,Ingredients!$B$6:$B$105,0))),0))</f>
        <v/>
      </c>
      <c r="T329">
        <f>IF(OR(B329="",C329=""),0,IFERROR(N(INDEX(Ingredients!$AM$6:$AM$105,MATCH(C329,Ingredients!$B$6:$B$105,0))),0))</f>
        <v/>
      </c>
      <c r="U329">
        <f>IF(OR(B329="",C329=""),0,IFERROR(N(INDEX(Ingredients!$AN$6:$AN$105,MATCH(C329,Ingredients!$B$6:$B$105,0))),0))</f>
        <v/>
      </c>
      <c r="V329">
        <f>IF(OR(B329="",C329=""),0,IFERROR(N(INDEX(Ingredients!$AO$6:$AO$105,MATCH(C329,Ingredients!$B$6:$B$105,0))),0))</f>
        <v/>
      </c>
      <c r="W329">
        <f>IF(OR(B329="",C329=""),0,IFERROR(N(INDEX(Ingredients!$AP$6:$AP$105,MATCH(C329,Ingredients!$B$6:$B$105,0))),0))</f>
        <v/>
      </c>
      <c r="X329">
        <f>IF(OR(B329="",C329=""),0,IFERROR(N(INDEX(Ingredients!$AQ$6:$AQ$105,MATCH(C329,Ingredients!$B$6:$B$105,0))),0))</f>
        <v/>
      </c>
    </row>
    <row r="330">
      <c r="A330" s="1" t="n"/>
      <c r="B330" s="21" t="n"/>
      <c r="C330" s="39" t="n"/>
      <c r="D330" s="40" t="n"/>
      <c r="E330" s="12">
        <f>IF(C330="","",IF(ISNA(MATCH(C330,Ingredients!$B$6:$B$105,0)),"Not on Ingredients",IFERROR(IF(INDEX(Ingredients!$C$6:$C$105,MATCH(C330,Ingredients!$B$6:$B$105,0))="","",INDEX(Ingredients!$C$6:$C$105,MATCH(C330,Ingredients!$B$6:$B$105,0))),"")))</f>
        <v/>
      </c>
      <c r="F330" s="26">
        <f>IF(OR(B330="",C330=""),"",N(D330)*IFERROR(N(INDEX(Ingredients!$H$6:$H$105,MATCH(C330,Ingredients!$B$6:$B$105,0))),0))</f>
        <v/>
      </c>
      <c r="G330" s="1">
        <f>IF(OR(B330="",C330=""),0,IFERROR(N(INDEX(Products!$D$6:$D$45,MATCH(B330,Products!$B$6:$B$45,0))),0))</f>
        <v/>
      </c>
      <c r="H330">
        <f>IF(N(G330)=0,0,N(D330)*SUMIFS(Batches!$D$6:$D$505,Batches!$C$6:$C$505,B330)/G330)</f>
        <v/>
      </c>
      <c r="I330">
        <f>IF(OR(B330="",C330=""),"",IF(B330&lt;&gt;Label!$H$3,"",IF(IFERROR(N(INDEX(Ingredients!$AS$6:$AS$105,MATCH(C330,Ingredients!$B$6:$B$105,0))),0)=1,"",ROUND(N(D330)*1000,0)*100000+100000-ROW())))</f>
        <v/>
      </c>
      <c r="J330">
        <f>IF(OR(B330="",C330=""),0,IFERROR(N(INDEX(Ingredients!$AC$6:$AC$105,MATCH(C330,Ingredients!$B$6:$B$105,0))),0))</f>
        <v/>
      </c>
      <c r="K330">
        <f>IF(OR(B330="",C330=""),0,IFERROR(N(INDEX(Ingredients!$AD$6:$AD$105,MATCH(C330,Ingredients!$B$6:$B$105,0))),0))</f>
        <v/>
      </c>
      <c r="L330">
        <f>IF(OR(B330="",C330=""),0,IFERROR(N(INDEX(Ingredients!$AE$6:$AE$105,MATCH(C330,Ingredients!$B$6:$B$105,0))),0))</f>
        <v/>
      </c>
      <c r="M330">
        <f>IF(OR(B330="",C330=""),0,IFERROR(N(INDEX(Ingredients!$AF$6:$AF$105,MATCH(C330,Ingredients!$B$6:$B$105,0))),0))</f>
        <v/>
      </c>
      <c r="N330">
        <f>IF(OR(B330="",C330=""),0,IFERROR(N(INDEX(Ingredients!$AG$6:$AG$105,MATCH(C330,Ingredients!$B$6:$B$105,0))),0))</f>
        <v/>
      </c>
      <c r="O330">
        <f>IF(OR(B330="",C330=""),0,IFERROR(N(INDEX(Ingredients!$AH$6:$AH$105,MATCH(C330,Ingredients!$B$6:$B$105,0))),0))</f>
        <v/>
      </c>
      <c r="P330">
        <f>IF(OR(B330="",C330=""),0,IFERROR(N(INDEX(Ingredients!$AI$6:$AI$105,MATCH(C330,Ingredients!$B$6:$B$105,0))),0))</f>
        <v/>
      </c>
      <c r="Q330">
        <f>IF(OR(B330="",C330=""),0,IFERROR(N(INDEX(Ingredients!$AJ$6:$AJ$105,MATCH(C330,Ingredients!$B$6:$B$105,0))),0))</f>
        <v/>
      </c>
      <c r="R330">
        <f>IF(OR(B330="",C330=""),0,IFERROR(N(INDEX(Ingredients!$AK$6:$AK$105,MATCH(C330,Ingredients!$B$6:$B$105,0))),0))</f>
        <v/>
      </c>
      <c r="S330">
        <f>IF(OR(B330="",C330=""),0,IFERROR(N(INDEX(Ingredients!$AL$6:$AL$105,MATCH(C330,Ingredients!$B$6:$B$105,0))),0))</f>
        <v/>
      </c>
      <c r="T330">
        <f>IF(OR(B330="",C330=""),0,IFERROR(N(INDEX(Ingredients!$AM$6:$AM$105,MATCH(C330,Ingredients!$B$6:$B$105,0))),0))</f>
        <v/>
      </c>
      <c r="U330">
        <f>IF(OR(B330="",C330=""),0,IFERROR(N(INDEX(Ingredients!$AN$6:$AN$105,MATCH(C330,Ingredients!$B$6:$B$105,0))),0))</f>
        <v/>
      </c>
      <c r="V330">
        <f>IF(OR(B330="",C330=""),0,IFERROR(N(INDEX(Ingredients!$AO$6:$AO$105,MATCH(C330,Ingredients!$B$6:$B$105,0))),0))</f>
        <v/>
      </c>
      <c r="W330">
        <f>IF(OR(B330="",C330=""),0,IFERROR(N(INDEX(Ingredients!$AP$6:$AP$105,MATCH(C330,Ingredients!$B$6:$B$105,0))),0))</f>
        <v/>
      </c>
      <c r="X330">
        <f>IF(OR(B330="",C330=""),0,IFERROR(N(INDEX(Ingredients!$AQ$6:$AQ$105,MATCH(C330,Ingredients!$B$6:$B$105,0))),0))</f>
        <v/>
      </c>
    </row>
    <row r="331">
      <c r="A331" s="1" t="n"/>
      <c r="B331" s="21" t="n"/>
      <c r="C331" s="39" t="n"/>
      <c r="D331" s="40" t="n"/>
      <c r="E331" s="12">
        <f>IF(C331="","",IF(ISNA(MATCH(C331,Ingredients!$B$6:$B$105,0)),"Not on Ingredients",IFERROR(IF(INDEX(Ingredients!$C$6:$C$105,MATCH(C331,Ingredients!$B$6:$B$105,0))="","",INDEX(Ingredients!$C$6:$C$105,MATCH(C331,Ingredients!$B$6:$B$105,0))),"")))</f>
        <v/>
      </c>
      <c r="F331" s="26">
        <f>IF(OR(B331="",C331=""),"",N(D331)*IFERROR(N(INDEX(Ingredients!$H$6:$H$105,MATCH(C331,Ingredients!$B$6:$B$105,0))),0))</f>
        <v/>
      </c>
      <c r="G331" s="1">
        <f>IF(OR(B331="",C331=""),0,IFERROR(N(INDEX(Products!$D$6:$D$45,MATCH(B331,Products!$B$6:$B$45,0))),0))</f>
        <v/>
      </c>
      <c r="H331">
        <f>IF(N(G331)=0,0,N(D331)*SUMIFS(Batches!$D$6:$D$505,Batches!$C$6:$C$505,B331)/G331)</f>
        <v/>
      </c>
      <c r="I331">
        <f>IF(OR(B331="",C331=""),"",IF(B331&lt;&gt;Label!$H$3,"",IF(IFERROR(N(INDEX(Ingredients!$AS$6:$AS$105,MATCH(C331,Ingredients!$B$6:$B$105,0))),0)=1,"",ROUND(N(D331)*1000,0)*100000+100000-ROW())))</f>
        <v/>
      </c>
      <c r="J331">
        <f>IF(OR(B331="",C331=""),0,IFERROR(N(INDEX(Ingredients!$AC$6:$AC$105,MATCH(C331,Ingredients!$B$6:$B$105,0))),0))</f>
        <v/>
      </c>
      <c r="K331">
        <f>IF(OR(B331="",C331=""),0,IFERROR(N(INDEX(Ingredients!$AD$6:$AD$105,MATCH(C331,Ingredients!$B$6:$B$105,0))),0))</f>
        <v/>
      </c>
      <c r="L331">
        <f>IF(OR(B331="",C331=""),0,IFERROR(N(INDEX(Ingredients!$AE$6:$AE$105,MATCH(C331,Ingredients!$B$6:$B$105,0))),0))</f>
        <v/>
      </c>
      <c r="M331">
        <f>IF(OR(B331="",C331=""),0,IFERROR(N(INDEX(Ingredients!$AF$6:$AF$105,MATCH(C331,Ingredients!$B$6:$B$105,0))),0))</f>
        <v/>
      </c>
      <c r="N331">
        <f>IF(OR(B331="",C331=""),0,IFERROR(N(INDEX(Ingredients!$AG$6:$AG$105,MATCH(C331,Ingredients!$B$6:$B$105,0))),0))</f>
        <v/>
      </c>
      <c r="O331">
        <f>IF(OR(B331="",C331=""),0,IFERROR(N(INDEX(Ingredients!$AH$6:$AH$105,MATCH(C331,Ingredients!$B$6:$B$105,0))),0))</f>
        <v/>
      </c>
      <c r="P331">
        <f>IF(OR(B331="",C331=""),0,IFERROR(N(INDEX(Ingredients!$AI$6:$AI$105,MATCH(C331,Ingredients!$B$6:$B$105,0))),0))</f>
        <v/>
      </c>
      <c r="Q331">
        <f>IF(OR(B331="",C331=""),0,IFERROR(N(INDEX(Ingredients!$AJ$6:$AJ$105,MATCH(C331,Ingredients!$B$6:$B$105,0))),0))</f>
        <v/>
      </c>
      <c r="R331">
        <f>IF(OR(B331="",C331=""),0,IFERROR(N(INDEX(Ingredients!$AK$6:$AK$105,MATCH(C331,Ingredients!$B$6:$B$105,0))),0))</f>
        <v/>
      </c>
      <c r="S331">
        <f>IF(OR(B331="",C331=""),0,IFERROR(N(INDEX(Ingredients!$AL$6:$AL$105,MATCH(C331,Ingredients!$B$6:$B$105,0))),0))</f>
        <v/>
      </c>
      <c r="T331">
        <f>IF(OR(B331="",C331=""),0,IFERROR(N(INDEX(Ingredients!$AM$6:$AM$105,MATCH(C331,Ingredients!$B$6:$B$105,0))),0))</f>
        <v/>
      </c>
      <c r="U331">
        <f>IF(OR(B331="",C331=""),0,IFERROR(N(INDEX(Ingredients!$AN$6:$AN$105,MATCH(C331,Ingredients!$B$6:$B$105,0))),0))</f>
        <v/>
      </c>
      <c r="V331">
        <f>IF(OR(B331="",C331=""),0,IFERROR(N(INDEX(Ingredients!$AO$6:$AO$105,MATCH(C331,Ingredients!$B$6:$B$105,0))),0))</f>
        <v/>
      </c>
      <c r="W331">
        <f>IF(OR(B331="",C331=""),0,IFERROR(N(INDEX(Ingredients!$AP$6:$AP$105,MATCH(C331,Ingredients!$B$6:$B$105,0))),0))</f>
        <v/>
      </c>
      <c r="X331">
        <f>IF(OR(B331="",C331=""),0,IFERROR(N(INDEX(Ingredients!$AQ$6:$AQ$105,MATCH(C331,Ingredients!$B$6:$B$105,0))),0))</f>
        <v/>
      </c>
    </row>
    <row r="332">
      <c r="A332" s="1" t="n"/>
      <c r="B332" s="21" t="n"/>
      <c r="C332" s="39" t="n"/>
      <c r="D332" s="40" t="n"/>
      <c r="E332" s="12">
        <f>IF(C332="","",IF(ISNA(MATCH(C332,Ingredients!$B$6:$B$105,0)),"Not on Ingredients",IFERROR(IF(INDEX(Ingredients!$C$6:$C$105,MATCH(C332,Ingredients!$B$6:$B$105,0))="","",INDEX(Ingredients!$C$6:$C$105,MATCH(C332,Ingredients!$B$6:$B$105,0))),"")))</f>
        <v/>
      </c>
      <c r="F332" s="26">
        <f>IF(OR(B332="",C332=""),"",N(D332)*IFERROR(N(INDEX(Ingredients!$H$6:$H$105,MATCH(C332,Ingredients!$B$6:$B$105,0))),0))</f>
        <v/>
      </c>
      <c r="G332" s="1">
        <f>IF(OR(B332="",C332=""),0,IFERROR(N(INDEX(Products!$D$6:$D$45,MATCH(B332,Products!$B$6:$B$45,0))),0))</f>
        <v/>
      </c>
      <c r="H332">
        <f>IF(N(G332)=0,0,N(D332)*SUMIFS(Batches!$D$6:$D$505,Batches!$C$6:$C$505,B332)/G332)</f>
        <v/>
      </c>
      <c r="I332">
        <f>IF(OR(B332="",C332=""),"",IF(B332&lt;&gt;Label!$H$3,"",IF(IFERROR(N(INDEX(Ingredients!$AS$6:$AS$105,MATCH(C332,Ingredients!$B$6:$B$105,0))),0)=1,"",ROUND(N(D332)*1000,0)*100000+100000-ROW())))</f>
        <v/>
      </c>
      <c r="J332">
        <f>IF(OR(B332="",C332=""),0,IFERROR(N(INDEX(Ingredients!$AC$6:$AC$105,MATCH(C332,Ingredients!$B$6:$B$105,0))),0))</f>
        <v/>
      </c>
      <c r="K332">
        <f>IF(OR(B332="",C332=""),0,IFERROR(N(INDEX(Ingredients!$AD$6:$AD$105,MATCH(C332,Ingredients!$B$6:$B$105,0))),0))</f>
        <v/>
      </c>
      <c r="L332">
        <f>IF(OR(B332="",C332=""),0,IFERROR(N(INDEX(Ingredients!$AE$6:$AE$105,MATCH(C332,Ingredients!$B$6:$B$105,0))),0))</f>
        <v/>
      </c>
      <c r="M332">
        <f>IF(OR(B332="",C332=""),0,IFERROR(N(INDEX(Ingredients!$AF$6:$AF$105,MATCH(C332,Ingredients!$B$6:$B$105,0))),0))</f>
        <v/>
      </c>
      <c r="N332">
        <f>IF(OR(B332="",C332=""),0,IFERROR(N(INDEX(Ingredients!$AG$6:$AG$105,MATCH(C332,Ingredients!$B$6:$B$105,0))),0))</f>
        <v/>
      </c>
      <c r="O332">
        <f>IF(OR(B332="",C332=""),0,IFERROR(N(INDEX(Ingredients!$AH$6:$AH$105,MATCH(C332,Ingredients!$B$6:$B$105,0))),0))</f>
        <v/>
      </c>
      <c r="P332">
        <f>IF(OR(B332="",C332=""),0,IFERROR(N(INDEX(Ingredients!$AI$6:$AI$105,MATCH(C332,Ingredients!$B$6:$B$105,0))),0))</f>
        <v/>
      </c>
      <c r="Q332">
        <f>IF(OR(B332="",C332=""),0,IFERROR(N(INDEX(Ingredients!$AJ$6:$AJ$105,MATCH(C332,Ingredients!$B$6:$B$105,0))),0))</f>
        <v/>
      </c>
      <c r="R332">
        <f>IF(OR(B332="",C332=""),0,IFERROR(N(INDEX(Ingredients!$AK$6:$AK$105,MATCH(C332,Ingredients!$B$6:$B$105,0))),0))</f>
        <v/>
      </c>
      <c r="S332">
        <f>IF(OR(B332="",C332=""),0,IFERROR(N(INDEX(Ingredients!$AL$6:$AL$105,MATCH(C332,Ingredients!$B$6:$B$105,0))),0))</f>
        <v/>
      </c>
      <c r="T332">
        <f>IF(OR(B332="",C332=""),0,IFERROR(N(INDEX(Ingredients!$AM$6:$AM$105,MATCH(C332,Ingredients!$B$6:$B$105,0))),0))</f>
        <v/>
      </c>
      <c r="U332">
        <f>IF(OR(B332="",C332=""),0,IFERROR(N(INDEX(Ingredients!$AN$6:$AN$105,MATCH(C332,Ingredients!$B$6:$B$105,0))),0))</f>
        <v/>
      </c>
      <c r="V332">
        <f>IF(OR(B332="",C332=""),0,IFERROR(N(INDEX(Ingredients!$AO$6:$AO$105,MATCH(C332,Ingredients!$B$6:$B$105,0))),0))</f>
        <v/>
      </c>
      <c r="W332">
        <f>IF(OR(B332="",C332=""),0,IFERROR(N(INDEX(Ingredients!$AP$6:$AP$105,MATCH(C332,Ingredients!$B$6:$B$105,0))),0))</f>
        <v/>
      </c>
      <c r="X332">
        <f>IF(OR(B332="",C332=""),0,IFERROR(N(INDEX(Ingredients!$AQ$6:$AQ$105,MATCH(C332,Ingredients!$B$6:$B$105,0))),0))</f>
        <v/>
      </c>
    </row>
    <row r="333">
      <c r="A333" s="1" t="n"/>
      <c r="B333" s="21" t="n"/>
      <c r="C333" s="39" t="n"/>
      <c r="D333" s="40" t="n"/>
      <c r="E333" s="12">
        <f>IF(C333="","",IF(ISNA(MATCH(C333,Ingredients!$B$6:$B$105,0)),"Not on Ingredients",IFERROR(IF(INDEX(Ingredients!$C$6:$C$105,MATCH(C333,Ingredients!$B$6:$B$105,0))="","",INDEX(Ingredients!$C$6:$C$105,MATCH(C333,Ingredients!$B$6:$B$105,0))),"")))</f>
        <v/>
      </c>
      <c r="F333" s="26">
        <f>IF(OR(B333="",C333=""),"",N(D333)*IFERROR(N(INDEX(Ingredients!$H$6:$H$105,MATCH(C333,Ingredients!$B$6:$B$105,0))),0))</f>
        <v/>
      </c>
      <c r="G333" s="1">
        <f>IF(OR(B333="",C333=""),0,IFERROR(N(INDEX(Products!$D$6:$D$45,MATCH(B333,Products!$B$6:$B$45,0))),0))</f>
        <v/>
      </c>
      <c r="H333">
        <f>IF(N(G333)=0,0,N(D333)*SUMIFS(Batches!$D$6:$D$505,Batches!$C$6:$C$505,B333)/G333)</f>
        <v/>
      </c>
      <c r="I333">
        <f>IF(OR(B333="",C333=""),"",IF(B333&lt;&gt;Label!$H$3,"",IF(IFERROR(N(INDEX(Ingredients!$AS$6:$AS$105,MATCH(C333,Ingredients!$B$6:$B$105,0))),0)=1,"",ROUND(N(D333)*1000,0)*100000+100000-ROW())))</f>
        <v/>
      </c>
      <c r="J333">
        <f>IF(OR(B333="",C333=""),0,IFERROR(N(INDEX(Ingredients!$AC$6:$AC$105,MATCH(C333,Ingredients!$B$6:$B$105,0))),0))</f>
        <v/>
      </c>
      <c r="K333">
        <f>IF(OR(B333="",C333=""),0,IFERROR(N(INDEX(Ingredients!$AD$6:$AD$105,MATCH(C333,Ingredients!$B$6:$B$105,0))),0))</f>
        <v/>
      </c>
      <c r="L333">
        <f>IF(OR(B333="",C333=""),0,IFERROR(N(INDEX(Ingredients!$AE$6:$AE$105,MATCH(C333,Ingredients!$B$6:$B$105,0))),0))</f>
        <v/>
      </c>
      <c r="M333">
        <f>IF(OR(B333="",C333=""),0,IFERROR(N(INDEX(Ingredients!$AF$6:$AF$105,MATCH(C333,Ingredients!$B$6:$B$105,0))),0))</f>
        <v/>
      </c>
      <c r="N333">
        <f>IF(OR(B333="",C333=""),0,IFERROR(N(INDEX(Ingredients!$AG$6:$AG$105,MATCH(C333,Ingredients!$B$6:$B$105,0))),0))</f>
        <v/>
      </c>
      <c r="O333">
        <f>IF(OR(B333="",C333=""),0,IFERROR(N(INDEX(Ingredients!$AH$6:$AH$105,MATCH(C333,Ingredients!$B$6:$B$105,0))),0))</f>
        <v/>
      </c>
      <c r="P333">
        <f>IF(OR(B333="",C333=""),0,IFERROR(N(INDEX(Ingredients!$AI$6:$AI$105,MATCH(C333,Ingredients!$B$6:$B$105,0))),0))</f>
        <v/>
      </c>
      <c r="Q333">
        <f>IF(OR(B333="",C333=""),0,IFERROR(N(INDEX(Ingredients!$AJ$6:$AJ$105,MATCH(C333,Ingredients!$B$6:$B$105,0))),0))</f>
        <v/>
      </c>
      <c r="R333">
        <f>IF(OR(B333="",C333=""),0,IFERROR(N(INDEX(Ingredients!$AK$6:$AK$105,MATCH(C333,Ingredients!$B$6:$B$105,0))),0))</f>
        <v/>
      </c>
      <c r="S333">
        <f>IF(OR(B333="",C333=""),0,IFERROR(N(INDEX(Ingredients!$AL$6:$AL$105,MATCH(C333,Ingredients!$B$6:$B$105,0))),0))</f>
        <v/>
      </c>
      <c r="T333">
        <f>IF(OR(B333="",C333=""),0,IFERROR(N(INDEX(Ingredients!$AM$6:$AM$105,MATCH(C333,Ingredients!$B$6:$B$105,0))),0))</f>
        <v/>
      </c>
      <c r="U333">
        <f>IF(OR(B333="",C333=""),0,IFERROR(N(INDEX(Ingredients!$AN$6:$AN$105,MATCH(C333,Ingredients!$B$6:$B$105,0))),0))</f>
        <v/>
      </c>
      <c r="V333">
        <f>IF(OR(B333="",C333=""),0,IFERROR(N(INDEX(Ingredients!$AO$6:$AO$105,MATCH(C333,Ingredients!$B$6:$B$105,0))),0))</f>
        <v/>
      </c>
      <c r="W333">
        <f>IF(OR(B333="",C333=""),0,IFERROR(N(INDEX(Ingredients!$AP$6:$AP$105,MATCH(C333,Ingredients!$B$6:$B$105,0))),0))</f>
        <v/>
      </c>
      <c r="X333">
        <f>IF(OR(B333="",C333=""),0,IFERROR(N(INDEX(Ingredients!$AQ$6:$AQ$105,MATCH(C333,Ingredients!$B$6:$B$105,0))),0))</f>
        <v/>
      </c>
    </row>
    <row r="334">
      <c r="A334" s="1" t="n"/>
      <c r="B334" s="21" t="n"/>
      <c r="C334" s="39" t="n"/>
      <c r="D334" s="40" t="n"/>
      <c r="E334" s="12">
        <f>IF(C334="","",IF(ISNA(MATCH(C334,Ingredients!$B$6:$B$105,0)),"Not on Ingredients",IFERROR(IF(INDEX(Ingredients!$C$6:$C$105,MATCH(C334,Ingredients!$B$6:$B$105,0))="","",INDEX(Ingredients!$C$6:$C$105,MATCH(C334,Ingredients!$B$6:$B$105,0))),"")))</f>
        <v/>
      </c>
      <c r="F334" s="26">
        <f>IF(OR(B334="",C334=""),"",N(D334)*IFERROR(N(INDEX(Ingredients!$H$6:$H$105,MATCH(C334,Ingredients!$B$6:$B$105,0))),0))</f>
        <v/>
      </c>
      <c r="G334" s="1">
        <f>IF(OR(B334="",C334=""),0,IFERROR(N(INDEX(Products!$D$6:$D$45,MATCH(B334,Products!$B$6:$B$45,0))),0))</f>
        <v/>
      </c>
      <c r="H334">
        <f>IF(N(G334)=0,0,N(D334)*SUMIFS(Batches!$D$6:$D$505,Batches!$C$6:$C$505,B334)/G334)</f>
        <v/>
      </c>
      <c r="I334">
        <f>IF(OR(B334="",C334=""),"",IF(B334&lt;&gt;Label!$H$3,"",IF(IFERROR(N(INDEX(Ingredients!$AS$6:$AS$105,MATCH(C334,Ingredients!$B$6:$B$105,0))),0)=1,"",ROUND(N(D334)*1000,0)*100000+100000-ROW())))</f>
        <v/>
      </c>
      <c r="J334">
        <f>IF(OR(B334="",C334=""),0,IFERROR(N(INDEX(Ingredients!$AC$6:$AC$105,MATCH(C334,Ingredients!$B$6:$B$105,0))),0))</f>
        <v/>
      </c>
      <c r="K334">
        <f>IF(OR(B334="",C334=""),0,IFERROR(N(INDEX(Ingredients!$AD$6:$AD$105,MATCH(C334,Ingredients!$B$6:$B$105,0))),0))</f>
        <v/>
      </c>
      <c r="L334">
        <f>IF(OR(B334="",C334=""),0,IFERROR(N(INDEX(Ingredients!$AE$6:$AE$105,MATCH(C334,Ingredients!$B$6:$B$105,0))),0))</f>
        <v/>
      </c>
      <c r="M334">
        <f>IF(OR(B334="",C334=""),0,IFERROR(N(INDEX(Ingredients!$AF$6:$AF$105,MATCH(C334,Ingredients!$B$6:$B$105,0))),0))</f>
        <v/>
      </c>
      <c r="N334">
        <f>IF(OR(B334="",C334=""),0,IFERROR(N(INDEX(Ingredients!$AG$6:$AG$105,MATCH(C334,Ingredients!$B$6:$B$105,0))),0))</f>
        <v/>
      </c>
      <c r="O334">
        <f>IF(OR(B334="",C334=""),0,IFERROR(N(INDEX(Ingredients!$AH$6:$AH$105,MATCH(C334,Ingredients!$B$6:$B$105,0))),0))</f>
        <v/>
      </c>
      <c r="P334">
        <f>IF(OR(B334="",C334=""),0,IFERROR(N(INDEX(Ingredients!$AI$6:$AI$105,MATCH(C334,Ingredients!$B$6:$B$105,0))),0))</f>
        <v/>
      </c>
      <c r="Q334">
        <f>IF(OR(B334="",C334=""),0,IFERROR(N(INDEX(Ingredients!$AJ$6:$AJ$105,MATCH(C334,Ingredients!$B$6:$B$105,0))),0))</f>
        <v/>
      </c>
      <c r="R334">
        <f>IF(OR(B334="",C334=""),0,IFERROR(N(INDEX(Ingredients!$AK$6:$AK$105,MATCH(C334,Ingredients!$B$6:$B$105,0))),0))</f>
        <v/>
      </c>
      <c r="S334">
        <f>IF(OR(B334="",C334=""),0,IFERROR(N(INDEX(Ingredients!$AL$6:$AL$105,MATCH(C334,Ingredients!$B$6:$B$105,0))),0))</f>
        <v/>
      </c>
      <c r="T334">
        <f>IF(OR(B334="",C334=""),0,IFERROR(N(INDEX(Ingredients!$AM$6:$AM$105,MATCH(C334,Ingredients!$B$6:$B$105,0))),0))</f>
        <v/>
      </c>
      <c r="U334">
        <f>IF(OR(B334="",C334=""),0,IFERROR(N(INDEX(Ingredients!$AN$6:$AN$105,MATCH(C334,Ingredients!$B$6:$B$105,0))),0))</f>
        <v/>
      </c>
      <c r="V334">
        <f>IF(OR(B334="",C334=""),0,IFERROR(N(INDEX(Ingredients!$AO$6:$AO$105,MATCH(C334,Ingredients!$B$6:$B$105,0))),0))</f>
        <v/>
      </c>
      <c r="W334">
        <f>IF(OR(B334="",C334=""),0,IFERROR(N(INDEX(Ingredients!$AP$6:$AP$105,MATCH(C334,Ingredients!$B$6:$B$105,0))),0))</f>
        <v/>
      </c>
      <c r="X334">
        <f>IF(OR(B334="",C334=""),0,IFERROR(N(INDEX(Ingredients!$AQ$6:$AQ$105,MATCH(C334,Ingredients!$B$6:$B$105,0))),0))</f>
        <v/>
      </c>
    </row>
    <row r="335">
      <c r="A335" s="1" t="n"/>
      <c r="B335" s="21" t="n"/>
      <c r="C335" s="39" t="n"/>
      <c r="D335" s="40" t="n"/>
      <c r="E335" s="12">
        <f>IF(C335="","",IF(ISNA(MATCH(C335,Ingredients!$B$6:$B$105,0)),"Not on Ingredients",IFERROR(IF(INDEX(Ingredients!$C$6:$C$105,MATCH(C335,Ingredients!$B$6:$B$105,0))="","",INDEX(Ingredients!$C$6:$C$105,MATCH(C335,Ingredients!$B$6:$B$105,0))),"")))</f>
        <v/>
      </c>
      <c r="F335" s="26">
        <f>IF(OR(B335="",C335=""),"",N(D335)*IFERROR(N(INDEX(Ingredients!$H$6:$H$105,MATCH(C335,Ingredients!$B$6:$B$105,0))),0))</f>
        <v/>
      </c>
      <c r="G335" s="1">
        <f>IF(OR(B335="",C335=""),0,IFERROR(N(INDEX(Products!$D$6:$D$45,MATCH(B335,Products!$B$6:$B$45,0))),0))</f>
        <v/>
      </c>
      <c r="H335">
        <f>IF(N(G335)=0,0,N(D335)*SUMIFS(Batches!$D$6:$D$505,Batches!$C$6:$C$505,B335)/G335)</f>
        <v/>
      </c>
      <c r="I335">
        <f>IF(OR(B335="",C335=""),"",IF(B335&lt;&gt;Label!$H$3,"",IF(IFERROR(N(INDEX(Ingredients!$AS$6:$AS$105,MATCH(C335,Ingredients!$B$6:$B$105,0))),0)=1,"",ROUND(N(D335)*1000,0)*100000+100000-ROW())))</f>
        <v/>
      </c>
      <c r="J335">
        <f>IF(OR(B335="",C335=""),0,IFERROR(N(INDEX(Ingredients!$AC$6:$AC$105,MATCH(C335,Ingredients!$B$6:$B$105,0))),0))</f>
        <v/>
      </c>
      <c r="K335">
        <f>IF(OR(B335="",C335=""),0,IFERROR(N(INDEX(Ingredients!$AD$6:$AD$105,MATCH(C335,Ingredients!$B$6:$B$105,0))),0))</f>
        <v/>
      </c>
      <c r="L335">
        <f>IF(OR(B335="",C335=""),0,IFERROR(N(INDEX(Ingredients!$AE$6:$AE$105,MATCH(C335,Ingredients!$B$6:$B$105,0))),0))</f>
        <v/>
      </c>
      <c r="M335">
        <f>IF(OR(B335="",C335=""),0,IFERROR(N(INDEX(Ingredients!$AF$6:$AF$105,MATCH(C335,Ingredients!$B$6:$B$105,0))),0))</f>
        <v/>
      </c>
      <c r="N335">
        <f>IF(OR(B335="",C335=""),0,IFERROR(N(INDEX(Ingredients!$AG$6:$AG$105,MATCH(C335,Ingredients!$B$6:$B$105,0))),0))</f>
        <v/>
      </c>
      <c r="O335">
        <f>IF(OR(B335="",C335=""),0,IFERROR(N(INDEX(Ingredients!$AH$6:$AH$105,MATCH(C335,Ingredients!$B$6:$B$105,0))),0))</f>
        <v/>
      </c>
      <c r="P335">
        <f>IF(OR(B335="",C335=""),0,IFERROR(N(INDEX(Ingredients!$AI$6:$AI$105,MATCH(C335,Ingredients!$B$6:$B$105,0))),0))</f>
        <v/>
      </c>
      <c r="Q335">
        <f>IF(OR(B335="",C335=""),0,IFERROR(N(INDEX(Ingredients!$AJ$6:$AJ$105,MATCH(C335,Ingredients!$B$6:$B$105,0))),0))</f>
        <v/>
      </c>
      <c r="R335">
        <f>IF(OR(B335="",C335=""),0,IFERROR(N(INDEX(Ingredients!$AK$6:$AK$105,MATCH(C335,Ingredients!$B$6:$B$105,0))),0))</f>
        <v/>
      </c>
      <c r="S335">
        <f>IF(OR(B335="",C335=""),0,IFERROR(N(INDEX(Ingredients!$AL$6:$AL$105,MATCH(C335,Ingredients!$B$6:$B$105,0))),0))</f>
        <v/>
      </c>
      <c r="T335">
        <f>IF(OR(B335="",C335=""),0,IFERROR(N(INDEX(Ingredients!$AM$6:$AM$105,MATCH(C335,Ingredients!$B$6:$B$105,0))),0))</f>
        <v/>
      </c>
      <c r="U335">
        <f>IF(OR(B335="",C335=""),0,IFERROR(N(INDEX(Ingredients!$AN$6:$AN$105,MATCH(C335,Ingredients!$B$6:$B$105,0))),0))</f>
        <v/>
      </c>
      <c r="V335">
        <f>IF(OR(B335="",C335=""),0,IFERROR(N(INDEX(Ingredients!$AO$6:$AO$105,MATCH(C335,Ingredients!$B$6:$B$105,0))),0))</f>
        <v/>
      </c>
      <c r="W335">
        <f>IF(OR(B335="",C335=""),0,IFERROR(N(INDEX(Ingredients!$AP$6:$AP$105,MATCH(C335,Ingredients!$B$6:$B$105,0))),0))</f>
        <v/>
      </c>
      <c r="X335">
        <f>IF(OR(B335="",C335=""),0,IFERROR(N(INDEX(Ingredients!$AQ$6:$AQ$105,MATCH(C335,Ingredients!$B$6:$B$105,0))),0))</f>
        <v/>
      </c>
    </row>
    <row r="336">
      <c r="A336" s="1" t="n"/>
      <c r="B336" s="21" t="n"/>
      <c r="C336" s="39" t="n"/>
      <c r="D336" s="40" t="n"/>
      <c r="E336" s="12">
        <f>IF(C336="","",IF(ISNA(MATCH(C336,Ingredients!$B$6:$B$105,0)),"Not on Ingredients",IFERROR(IF(INDEX(Ingredients!$C$6:$C$105,MATCH(C336,Ingredients!$B$6:$B$105,0))="","",INDEX(Ingredients!$C$6:$C$105,MATCH(C336,Ingredients!$B$6:$B$105,0))),"")))</f>
        <v/>
      </c>
      <c r="F336" s="26">
        <f>IF(OR(B336="",C336=""),"",N(D336)*IFERROR(N(INDEX(Ingredients!$H$6:$H$105,MATCH(C336,Ingredients!$B$6:$B$105,0))),0))</f>
        <v/>
      </c>
      <c r="G336" s="1">
        <f>IF(OR(B336="",C336=""),0,IFERROR(N(INDEX(Products!$D$6:$D$45,MATCH(B336,Products!$B$6:$B$45,0))),0))</f>
        <v/>
      </c>
      <c r="H336">
        <f>IF(N(G336)=0,0,N(D336)*SUMIFS(Batches!$D$6:$D$505,Batches!$C$6:$C$505,B336)/G336)</f>
        <v/>
      </c>
      <c r="I336">
        <f>IF(OR(B336="",C336=""),"",IF(B336&lt;&gt;Label!$H$3,"",IF(IFERROR(N(INDEX(Ingredients!$AS$6:$AS$105,MATCH(C336,Ingredients!$B$6:$B$105,0))),0)=1,"",ROUND(N(D336)*1000,0)*100000+100000-ROW())))</f>
        <v/>
      </c>
      <c r="J336">
        <f>IF(OR(B336="",C336=""),0,IFERROR(N(INDEX(Ingredients!$AC$6:$AC$105,MATCH(C336,Ingredients!$B$6:$B$105,0))),0))</f>
        <v/>
      </c>
      <c r="K336">
        <f>IF(OR(B336="",C336=""),0,IFERROR(N(INDEX(Ingredients!$AD$6:$AD$105,MATCH(C336,Ingredients!$B$6:$B$105,0))),0))</f>
        <v/>
      </c>
      <c r="L336">
        <f>IF(OR(B336="",C336=""),0,IFERROR(N(INDEX(Ingredients!$AE$6:$AE$105,MATCH(C336,Ingredients!$B$6:$B$105,0))),0))</f>
        <v/>
      </c>
      <c r="M336">
        <f>IF(OR(B336="",C336=""),0,IFERROR(N(INDEX(Ingredients!$AF$6:$AF$105,MATCH(C336,Ingredients!$B$6:$B$105,0))),0))</f>
        <v/>
      </c>
      <c r="N336">
        <f>IF(OR(B336="",C336=""),0,IFERROR(N(INDEX(Ingredients!$AG$6:$AG$105,MATCH(C336,Ingredients!$B$6:$B$105,0))),0))</f>
        <v/>
      </c>
      <c r="O336">
        <f>IF(OR(B336="",C336=""),0,IFERROR(N(INDEX(Ingredients!$AH$6:$AH$105,MATCH(C336,Ingredients!$B$6:$B$105,0))),0))</f>
        <v/>
      </c>
      <c r="P336">
        <f>IF(OR(B336="",C336=""),0,IFERROR(N(INDEX(Ingredients!$AI$6:$AI$105,MATCH(C336,Ingredients!$B$6:$B$105,0))),0))</f>
        <v/>
      </c>
      <c r="Q336">
        <f>IF(OR(B336="",C336=""),0,IFERROR(N(INDEX(Ingredients!$AJ$6:$AJ$105,MATCH(C336,Ingredients!$B$6:$B$105,0))),0))</f>
        <v/>
      </c>
      <c r="R336">
        <f>IF(OR(B336="",C336=""),0,IFERROR(N(INDEX(Ingredients!$AK$6:$AK$105,MATCH(C336,Ingredients!$B$6:$B$105,0))),0))</f>
        <v/>
      </c>
      <c r="S336">
        <f>IF(OR(B336="",C336=""),0,IFERROR(N(INDEX(Ingredients!$AL$6:$AL$105,MATCH(C336,Ingredients!$B$6:$B$105,0))),0))</f>
        <v/>
      </c>
      <c r="T336">
        <f>IF(OR(B336="",C336=""),0,IFERROR(N(INDEX(Ingredients!$AM$6:$AM$105,MATCH(C336,Ingredients!$B$6:$B$105,0))),0))</f>
        <v/>
      </c>
      <c r="U336">
        <f>IF(OR(B336="",C336=""),0,IFERROR(N(INDEX(Ingredients!$AN$6:$AN$105,MATCH(C336,Ingredients!$B$6:$B$105,0))),0))</f>
        <v/>
      </c>
      <c r="V336">
        <f>IF(OR(B336="",C336=""),0,IFERROR(N(INDEX(Ingredients!$AO$6:$AO$105,MATCH(C336,Ingredients!$B$6:$B$105,0))),0))</f>
        <v/>
      </c>
      <c r="W336">
        <f>IF(OR(B336="",C336=""),0,IFERROR(N(INDEX(Ingredients!$AP$6:$AP$105,MATCH(C336,Ingredients!$B$6:$B$105,0))),0))</f>
        <v/>
      </c>
      <c r="X336">
        <f>IF(OR(B336="",C336=""),0,IFERROR(N(INDEX(Ingredients!$AQ$6:$AQ$105,MATCH(C336,Ingredients!$B$6:$B$105,0))),0))</f>
        <v/>
      </c>
    </row>
    <row r="337">
      <c r="A337" s="1" t="n"/>
      <c r="B337" s="21" t="n"/>
      <c r="C337" s="39" t="n"/>
      <c r="D337" s="40" t="n"/>
      <c r="E337" s="12">
        <f>IF(C337="","",IF(ISNA(MATCH(C337,Ingredients!$B$6:$B$105,0)),"Not on Ingredients",IFERROR(IF(INDEX(Ingredients!$C$6:$C$105,MATCH(C337,Ingredients!$B$6:$B$105,0))="","",INDEX(Ingredients!$C$6:$C$105,MATCH(C337,Ingredients!$B$6:$B$105,0))),"")))</f>
        <v/>
      </c>
      <c r="F337" s="26">
        <f>IF(OR(B337="",C337=""),"",N(D337)*IFERROR(N(INDEX(Ingredients!$H$6:$H$105,MATCH(C337,Ingredients!$B$6:$B$105,0))),0))</f>
        <v/>
      </c>
      <c r="G337" s="1">
        <f>IF(OR(B337="",C337=""),0,IFERROR(N(INDEX(Products!$D$6:$D$45,MATCH(B337,Products!$B$6:$B$45,0))),0))</f>
        <v/>
      </c>
      <c r="H337">
        <f>IF(N(G337)=0,0,N(D337)*SUMIFS(Batches!$D$6:$D$505,Batches!$C$6:$C$505,B337)/G337)</f>
        <v/>
      </c>
      <c r="I337">
        <f>IF(OR(B337="",C337=""),"",IF(B337&lt;&gt;Label!$H$3,"",IF(IFERROR(N(INDEX(Ingredients!$AS$6:$AS$105,MATCH(C337,Ingredients!$B$6:$B$105,0))),0)=1,"",ROUND(N(D337)*1000,0)*100000+100000-ROW())))</f>
        <v/>
      </c>
      <c r="J337">
        <f>IF(OR(B337="",C337=""),0,IFERROR(N(INDEX(Ingredients!$AC$6:$AC$105,MATCH(C337,Ingredients!$B$6:$B$105,0))),0))</f>
        <v/>
      </c>
      <c r="K337">
        <f>IF(OR(B337="",C337=""),0,IFERROR(N(INDEX(Ingredients!$AD$6:$AD$105,MATCH(C337,Ingredients!$B$6:$B$105,0))),0))</f>
        <v/>
      </c>
      <c r="L337">
        <f>IF(OR(B337="",C337=""),0,IFERROR(N(INDEX(Ingredients!$AE$6:$AE$105,MATCH(C337,Ingredients!$B$6:$B$105,0))),0))</f>
        <v/>
      </c>
      <c r="M337">
        <f>IF(OR(B337="",C337=""),0,IFERROR(N(INDEX(Ingredients!$AF$6:$AF$105,MATCH(C337,Ingredients!$B$6:$B$105,0))),0))</f>
        <v/>
      </c>
      <c r="N337">
        <f>IF(OR(B337="",C337=""),0,IFERROR(N(INDEX(Ingredients!$AG$6:$AG$105,MATCH(C337,Ingredients!$B$6:$B$105,0))),0))</f>
        <v/>
      </c>
      <c r="O337">
        <f>IF(OR(B337="",C337=""),0,IFERROR(N(INDEX(Ingredients!$AH$6:$AH$105,MATCH(C337,Ingredients!$B$6:$B$105,0))),0))</f>
        <v/>
      </c>
      <c r="P337">
        <f>IF(OR(B337="",C337=""),0,IFERROR(N(INDEX(Ingredients!$AI$6:$AI$105,MATCH(C337,Ingredients!$B$6:$B$105,0))),0))</f>
        <v/>
      </c>
      <c r="Q337">
        <f>IF(OR(B337="",C337=""),0,IFERROR(N(INDEX(Ingredients!$AJ$6:$AJ$105,MATCH(C337,Ingredients!$B$6:$B$105,0))),0))</f>
        <v/>
      </c>
      <c r="R337">
        <f>IF(OR(B337="",C337=""),0,IFERROR(N(INDEX(Ingredients!$AK$6:$AK$105,MATCH(C337,Ingredients!$B$6:$B$105,0))),0))</f>
        <v/>
      </c>
      <c r="S337">
        <f>IF(OR(B337="",C337=""),0,IFERROR(N(INDEX(Ingredients!$AL$6:$AL$105,MATCH(C337,Ingredients!$B$6:$B$105,0))),0))</f>
        <v/>
      </c>
      <c r="T337">
        <f>IF(OR(B337="",C337=""),0,IFERROR(N(INDEX(Ingredients!$AM$6:$AM$105,MATCH(C337,Ingredients!$B$6:$B$105,0))),0))</f>
        <v/>
      </c>
      <c r="U337">
        <f>IF(OR(B337="",C337=""),0,IFERROR(N(INDEX(Ingredients!$AN$6:$AN$105,MATCH(C337,Ingredients!$B$6:$B$105,0))),0))</f>
        <v/>
      </c>
      <c r="V337">
        <f>IF(OR(B337="",C337=""),0,IFERROR(N(INDEX(Ingredients!$AO$6:$AO$105,MATCH(C337,Ingredients!$B$6:$B$105,0))),0))</f>
        <v/>
      </c>
      <c r="W337">
        <f>IF(OR(B337="",C337=""),0,IFERROR(N(INDEX(Ingredients!$AP$6:$AP$105,MATCH(C337,Ingredients!$B$6:$B$105,0))),0))</f>
        <v/>
      </c>
      <c r="X337">
        <f>IF(OR(B337="",C337=""),0,IFERROR(N(INDEX(Ingredients!$AQ$6:$AQ$105,MATCH(C337,Ingredients!$B$6:$B$105,0))),0))</f>
        <v/>
      </c>
    </row>
    <row r="338">
      <c r="A338" s="1" t="n"/>
      <c r="B338" s="21" t="n"/>
      <c r="C338" s="39" t="n"/>
      <c r="D338" s="40" t="n"/>
      <c r="E338" s="12">
        <f>IF(C338="","",IF(ISNA(MATCH(C338,Ingredients!$B$6:$B$105,0)),"Not on Ingredients",IFERROR(IF(INDEX(Ingredients!$C$6:$C$105,MATCH(C338,Ingredients!$B$6:$B$105,0))="","",INDEX(Ingredients!$C$6:$C$105,MATCH(C338,Ingredients!$B$6:$B$105,0))),"")))</f>
        <v/>
      </c>
      <c r="F338" s="26">
        <f>IF(OR(B338="",C338=""),"",N(D338)*IFERROR(N(INDEX(Ingredients!$H$6:$H$105,MATCH(C338,Ingredients!$B$6:$B$105,0))),0))</f>
        <v/>
      </c>
      <c r="G338" s="1">
        <f>IF(OR(B338="",C338=""),0,IFERROR(N(INDEX(Products!$D$6:$D$45,MATCH(B338,Products!$B$6:$B$45,0))),0))</f>
        <v/>
      </c>
      <c r="H338">
        <f>IF(N(G338)=0,0,N(D338)*SUMIFS(Batches!$D$6:$D$505,Batches!$C$6:$C$505,B338)/G338)</f>
        <v/>
      </c>
      <c r="I338">
        <f>IF(OR(B338="",C338=""),"",IF(B338&lt;&gt;Label!$H$3,"",IF(IFERROR(N(INDEX(Ingredients!$AS$6:$AS$105,MATCH(C338,Ingredients!$B$6:$B$105,0))),0)=1,"",ROUND(N(D338)*1000,0)*100000+100000-ROW())))</f>
        <v/>
      </c>
      <c r="J338">
        <f>IF(OR(B338="",C338=""),0,IFERROR(N(INDEX(Ingredients!$AC$6:$AC$105,MATCH(C338,Ingredients!$B$6:$B$105,0))),0))</f>
        <v/>
      </c>
      <c r="K338">
        <f>IF(OR(B338="",C338=""),0,IFERROR(N(INDEX(Ingredients!$AD$6:$AD$105,MATCH(C338,Ingredients!$B$6:$B$105,0))),0))</f>
        <v/>
      </c>
      <c r="L338">
        <f>IF(OR(B338="",C338=""),0,IFERROR(N(INDEX(Ingredients!$AE$6:$AE$105,MATCH(C338,Ingredients!$B$6:$B$105,0))),0))</f>
        <v/>
      </c>
      <c r="M338">
        <f>IF(OR(B338="",C338=""),0,IFERROR(N(INDEX(Ingredients!$AF$6:$AF$105,MATCH(C338,Ingredients!$B$6:$B$105,0))),0))</f>
        <v/>
      </c>
      <c r="N338">
        <f>IF(OR(B338="",C338=""),0,IFERROR(N(INDEX(Ingredients!$AG$6:$AG$105,MATCH(C338,Ingredients!$B$6:$B$105,0))),0))</f>
        <v/>
      </c>
      <c r="O338">
        <f>IF(OR(B338="",C338=""),0,IFERROR(N(INDEX(Ingredients!$AH$6:$AH$105,MATCH(C338,Ingredients!$B$6:$B$105,0))),0))</f>
        <v/>
      </c>
      <c r="P338">
        <f>IF(OR(B338="",C338=""),0,IFERROR(N(INDEX(Ingredients!$AI$6:$AI$105,MATCH(C338,Ingredients!$B$6:$B$105,0))),0))</f>
        <v/>
      </c>
      <c r="Q338">
        <f>IF(OR(B338="",C338=""),0,IFERROR(N(INDEX(Ingredients!$AJ$6:$AJ$105,MATCH(C338,Ingredients!$B$6:$B$105,0))),0))</f>
        <v/>
      </c>
      <c r="R338">
        <f>IF(OR(B338="",C338=""),0,IFERROR(N(INDEX(Ingredients!$AK$6:$AK$105,MATCH(C338,Ingredients!$B$6:$B$105,0))),0))</f>
        <v/>
      </c>
      <c r="S338">
        <f>IF(OR(B338="",C338=""),0,IFERROR(N(INDEX(Ingredients!$AL$6:$AL$105,MATCH(C338,Ingredients!$B$6:$B$105,0))),0))</f>
        <v/>
      </c>
      <c r="T338">
        <f>IF(OR(B338="",C338=""),0,IFERROR(N(INDEX(Ingredients!$AM$6:$AM$105,MATCH(C338,Ingredients!$B$6:$B$105,0))),0))</f>
        <v/>
      </c>
      <c r="U338">
        <f>IF(OR(B338="",C338=""),0,IFERROR(N(INDEX(Ingredients!$AN$6:$AN$105,MATCH(C338,Ingredients!$B$6:$B$105,0))),0))</f>
        <v/>
      </c>
      <c r="V338">
        <f>IF(OR(B338="",C338=""),0,IFERROR(N(INDEX(Ingredients!$AO$6:$AO$105,MATCH(C338,Ingredients!$B$6:$B$105,0))),0))</f>
        <v/>
      </c>
      <c r="W338">
        <f>IF(OR(B338="",C338=""),0,IFERROR(N(INDEX(Ingredients!$AP$6:$AP$105,MATCH(C338,Ingredients!$B$6:$B$105,0))),0))</f>
        <v/>
      </c>
      <c r="X338">
        <f>IF(OR(B338="",C338=""),0,IFERROR(N(INDEX(Ingredients!$AQ$6:$AQ$105,MATCH(C338,Ingredients!$B$6:$B$105,0))),0))</f>
        <v/>
      </c>
    </row>
    <row r="339">
      <c r="A339" s="1" t="n"/>
      <c r="B339" s="21" t="n"/>
      <c r="C339" s="39" t="n"/>
      <c r="D339" s="40" t="n"/>
      <c r="E339" s="12">
        <f>IF(C339="","",IF(ISNA(MATCH(C339,Ingredients!$B$6:$B$105,0)),"Not on Ingredients",IFERROR(IF(INDEX(Ingredients!$C$6:$C$105,MATCH(C339,Ingredients!$B$6:$B$105,0))="","",INDEX(Ingredients!$C$6:$C$105,MATCH(C339,Ingredients!$B$6:$B$105,0))),"")))</f>
        <v/>
      </c>
      <c r="F339" s="26">
        <f>IF(OR(B339="",C339=""),"",N(D339)*IFERROR(N(INDEX(Ingredients!$H$6:$H$105,MATCH(C339,Ingredients!$B$6:$B$105,0))),0))</f>
        <v/>
      </c>
      <c r="G339" s="1">
        <f>IF(OR(B339="",C339=""),0,IFERROR(N(INDEX(Products!$D$6:$D$45,MATCH(B339,Products!$B$6:$B$45,0))),0))</f>
        <v/>
      </c>
      <c r="H339">
        <f>IF(N(G339)=0,0,N(D339)*SUMIFS(Batches!$D$6:$D$505,Batches!$C$6:$C$505,B339)/G339)</f>
        <v/>
      </c>
      <c r="I339">
        <f>IF(OR(B339="",C339=""),"",IF(B339&lt;&gt;Label!$H$3,"",IF(IFERROR(N(INDEX(Ingredients!$AS$6:$AS$105,MATCH(C339,Ingredients!$B$6:$B$105,0))),0)=1,"",ROUND(N(D339)*1000,0)*100000+100000-ROW())))</f>
        <v/>
      </c>
      <c r="J339">
        <f>IF(OR(B339="",C339=""),0,IFERROR(N(INDEX(Ingredients!$AC$6:$AC$105,MATCH(C339,Ingredients!$B$6:$B$105,0))),0))</f>
        <v/>
      </c>
      <c r="K339">
        <f>IF(OR(B339="",C339=""),0,IFERROR(N(INDEX(Ingredients!$AD$6:$AD$105,MATCH(C339,Ingredients!$B$6:$B$105,0))),0))</f>
        <v/>
      </c>
      <c r="L339">
        <f>IF(OR(B339="",C339=""),0,IFERROR(N(INDEX(Ingredients!$AE$6:$AE$105,MATCH(C339,Ingredients!$B$6:$B$105,0))),0))</f>
        <v/>
      </c>
      <c r="M339">
        <f>IF(OR(B339="",C339=""),0,IFERROR(N(INDEX(Ingredients!$AF$6:$AF$105,MATCH(C339,Ingredients!$B$6:$B$105,0))),0))</f>
        <v/>
      </c>
      <c r="N339">
        <f>IF(OR(B339="",C339=""),0,IFERROR(N(INDEX(Ingredients!$AG$6:$AG$105,MATCH(C339,Ingredients!$B$6:$B$105,0))),0))</f>
        <v/>
      </c>
      <c r="O339">
        <f>IF(OR(B339="",C339=""),0,IFERROR(N(INDEX(Ingredients!$AH$6:$AH$105,MATCH(C339,Ingredients!$B$6:$B$105,0))),0))</f>
        <v/>
      </c>
      <c r="P339">
        <f>IF(OR(B339="",C339=""),0,IFERROR(N(INDEX(Ingredients!$AI$6:$AI$105,MATCH(C339,Ingredients!$B$6:$B$105,0))),0))</f>
        <v/>
      </c>
      <c r="Q339">
        <f>IF(OR(B339="",C339=""),0,IFERROR(N(INDEX(Ingredients!$AJ$6:$AJ$105,MATCH(C339,Ingredients!$B$6:$B$105,0))),0))</f>
        <v/>
      </c>
      <c r="R339">
        <f>IF(OR(B339="",C339=""),0,IFERROR(N(INDEX(Ingredients!$AK$6:$AK$105,MATCH(C339,Ingredients!$B$6:$B$105,0))),0))</f>
        <v/>
      </c>
      <c r="S339">
        <f>IF(OR(B339="",C339=""),0,IFERROR(N(INDEX(Ingredients!$AL$6:$AL$105,MATCH(C339,Ingredients!$B$6:$B$105,0))),0))</f>
        <v/>
      </c>
      <c r="T339">
        <f>IF(OR(B339="",C339=""),0,IFERROR(N(INDEX(Ingredients!$AM$6:$AM$105,MATCH(C339,Ingredients!$B$6:$B$105,0))),0))</f>
        <v/>
      </c>
      <c r="U339">
        <f>IF(OR(B339="",C339=""),0,IFERROR(N(INDEX(Ingredients!$AN$6:$AN$105,MATCH(C339,Ingredients!$B$6:$B$105,0))),0))</f>
        <v/>
      </c>
      <c r="V339">
        <f>IF(OR(B339="",C339=""),0,IFERROR(N(INDEX(Ingredients!$AO$6:$AO$105,MATCH(C339,Ingredients!$B$6:$B$105,0))),0))</f>
        <v/>
      </c>
      <c r="W339">
        <f>IF(OR(B339="",C339=""),0,IFERROR(N(INDEX(Ingredients!$AP$6:$AP$105,MATCH(C339,Ingredients!$B$6:$B$105,0))),0))</f>
        <v/>
      </c>
      <c r="X339">
        <f>IF(OR(B339="",C339=""),0,IFERROR(N(INDEX(Ingredients!$AQ$6:$AQ$105,MATCH(C339,Ingredients!$B$6:$B$105,0))),0))</f>
        <v/>
      </c>
    </row>
    <row r="340">
      <c r="A340" s="1" t="n"/>
      <c r="B340" s="21" t="n"/>
      <c r="C340" s="39" t="n"/>
      <c r="D340" s="40" t="n"/>
      <c r="E340" s="12">
        <f>IF(C340="","",IF(ISNA(MATCH(C340,Ingredients!$B$6:$B$105,0)),"Not on Ingredients",IFERROR(IF(INDEX(Ingredients!$C$6:$C$105,MATCH(C340,Ingredients!$B$6:$B$105,0))="","",INDEX(Ingredients!$C$6:$C$105,MATCH(C340,Ingredients!$B$6:$B$105,0))),"")))</f>
        <v/>
      </c>
      <c r="F340" s="26">
        <f>IF(OR(B340="",C340=""),"",N(D340)*IFERROR(N(INDEX(Ingredients!$H$6:$H$105,MATCH(C340,Ingredients!$B$6:$B$105,0))),0))</f>
        <v/>
      </c>
      <c r="G340" s="1">
        <f>IF(OR(B340="",C340=""),0,IFERROR(N(INDEX(Products!$D$6:$D$45,MATCH(B340,Products!$B$6:$B$45,0))),0))</f>
        <v/>
      </c>
      <c r="H340">
        <f>IF(N(G340)=0,0,N(D340)*SUMIFS(Batches!$D$6:$D$505,Batches!$C$6:$C$505,B340)/G340)</f>
        <v/>
      </c>
      <c r="I340">
        <f>IF(OR(B340="",C340=""),"",IF(B340&lt;&gt;Label!$H$3,"",IF(IFERROR(N(INDEX(Ingredients!$AS$6:$AS$105,MATCH(C340,Ingredients!$B$6:$B$105,0))),0)=1,"",ROUND(N(D340)*1000,0)*100000+100000-ROW())))</f>
        <v/>
      </c>
      <c r="J340">
        <f>IF(OR(B340="",C340=""),0,IFERROR(N(INDEX(Ingredients!$AC$6:$AC$105,MATCH(C340,Ingredients!$B$6:$B$105,0))),0))</f>
        <v/>
      </c>
      <c r="K340">
        <f>IF(OR(B340="",C340=""),0,IFERROR(N(INDEX(Ingredients!$AD$6:$AD$105,MATCH(C340,Ingredients!$B$6:$B$105,0))),0))</f>
        <v/>
      </c>
      <c r="L340">
        <f>IF(OR(B340="",C340=""),0,IFERROR(N(INDEX(Ingredients!$AE$6:$AE$105,MATCH(C340,Ingredients!$B$6:$B$105,0))),0))</f>
        <v/>
      </c>
      <c r="M340">
        <f>IF(OR(B340="",C340=""),0,IFERROR(N(INDEX(Ingredients!$AF$6:$AF$105,MATCH(C340,Ingredients!$B$6:$B$105,0))),0))</f>
        <v/>
      </c>
      <c r="N340">
        <f>IF(OR(B340="",C340=""),0,IFERROR(N(INDEX(Ingredients!$AG$6:$AG$105,MATCH(C340,Ingredients!$B$6:$B$105,0))),0))</f>
        <v/>
      </c>
      <c r="O340">
        <f>IF(OR(B340="",C340=""),0,IFERROR(N(INDEX(Ingredients!$AH$6:$AH$105,MATCH(C340,Ingredients!$B$6:$B$105,0))),0))</f>
        <v/>
      </c>
      <c r="P340">
        <f>IF(OR(B340="",C340=""),0,IFERROR(N(INDEX(Ingredients!$AI$6:$AI$105,MATCH(C340,Ingredients!$B$6:$B$105,0))),0))</f>
        <v/>
      </c>
      <c r="Q340">
        <f>IF(OR(B340="",C340=""),0,IFERROR(N(INDEX(Ingredients!$AJ$6:$AJ$105,MATCH(C340,Ingredients!$B$6:$B$105,0))),0))</f>
        <v/>
      </c>
      <c r="R340">
        <f>IF(OR(B340="",C340=""),0,IFERROR(N(INDEX(Ingredients!$AK$6:$AK$105,MATCH(C340,Ingredients!$B$6:$B$105,0))),0))</f>
        <v/>
      </c>
      <c r="S340">
        <f>IF(OR(B340="",C340=""),0,IFERROR(N(INDEX(Ingredients!$AL$6:$AL$105,MATCH(C340,Ingredients!$B$6:$B$105,0))),0))</f>
        <v/>
      </c>
      <c r="T340">
        <f>IF(OR(B340="",C340=""),0,IFERROR(N(INDEX(Ingredients!$AM$6:$AM$105,MATCH(C340,Ingredients!$B$6:$B$105,0))),0))</f>
        <v/>
      </c>
      <c r="U340">
        <f>IF(OR(B340="",C340=""),0,IFERROR(N(INDEX(Ingredients!$AN$6:$AN$105,MATCH(C340,Ingredients!$B$6:$B$105,0))),0))</f>
        <v/>
      </c>
      <c r="V340">
        <f>IF(OR(B340="",C340=""),0,IFERROR(N(INDEX(Ingredients!$AO$6:$AO$105,MATCH(C340,Ingredients!$B$6:$B$105,0))),0))</f>
        <v/>
      </c>
      <c r="W340">
        <f>IF(OR(B340="",C340=""),0,IFERROR(N(INDEX(Ingredients!$AP$6:$AP$105,MATCH(C340,Ingredients!$B$6:$B$105,0))),0))</f>
        <v/>
      </c>
      <c r="X340">
        <f>IF(OR(B340="",C340=""),0,IFERROR(N(INDEX(Ingredients!$AQ$6:$AQ$105,MATCH(C340,Ingredients!$B$6:$B$105,0))),0))</f>
        <v/>
      </c>
    </row>
    <row r="341">
      <c r="A341" s="1" t="n"/>
      <c r="B341" s="21" t="n"/>
      <c r="C341" s="39" t="n"/>
      <c r="D341" s="40" t="n"/>
      <c r="E341" s="12">
        <f>IF(C341="","",IF(ISNA(MATCH(C341,Ingredients!$B$6:$B$105,0)),"Not on Ingredients",IFERROR(IF(INDEX(Ingredients!$C$6:$C$105,MATCH(C341,Ingredients!$B$6:$B$105,0))="","",INDEX(Ingredients!$C$6:$C$105,MATCH(C341,Ingredients!$B$6:$B$105,0))),"")))</f>
        <v/>
      </c>
      <c r="F341" s="26">
        <f>IF(OR(B341="",C341=""),"",N(D341)*IFERROR(N(INDEX(Ingredients!$H$6:$H$105,MATCH(C341,Ingredients!$B$6:$B$105,0))),0))</f>
        <v/>
      </c>
      <c r="G341" s="1">
        <f>IF(OR(B341="",C341=""),0,IFERROR(N(INDEX(Products!$D$6:$D$45,MATCH(B341,Products!$B$6:$B$45,0))),0))</f>
        <v/>
      </c>
      <c r="H341">
        <f>IF(N(G341)=0,0,N(D341)*SUMIFS(Batches!$D$6:$D$505,Batches!$C$6:$C$505,B341)/G341)</f>
        <v/>
      </c>
      <c r="I341">
        <f>IF(OR(B341="",C341=""),"",IF(B341&lt;&gt;Label!$H$3,"",IF(IFERROR(N(INDEX(Ingredients!$AS$6:$AS$105,MATCH(C341,Ingredients!$B$6:$B$105,0))),0)=1,"",ROUND(N(D341)*1000,0)*100000+100000-ROW())))</f>
        <v/>
      </c>
      <c r="J341">
        <f>IF(OR(B341="",C341=""),0,IFERROR(N(INDEX(Ingredients!$AC$6:$AC$105,MATCH(C341,Ingredients!$B$6:$B$105,0))),0))</f>
        <v/>
      </c>
      <c r="K341">
        <f>IF(OR(B341="",C341=""),0,IFERROR(N(INDEX(Ingredients!$AD$6:$AD$105,MATCH(C341,Ingredients!$B$6:$B$105,0))),0))</f>
        <v/>
      </c>
      <c r="L341">
        <f>IF(OR(B341="",C341=""),0,IFERROR(N(INDEX(Ingredients!$AE$6:$AE$105,MATCH(C341,Ingredients!$B$6:$B$105,0))),0))</f>
        <v/>
      </c>
      <c r="M341">
        <f>IF(OR(B341="",C341=""),0,IFERROR(N(INDEX(Ingredients!$AF$6:$AF$105,MATCH(C341,Ingredients!$B$6:$B$105,0))),0))</f>
        <v/>
      </c>
      <c r="N341">
        <f>IF(OR(B341="",C341=""),0,IFERROR(N(INDEX(Ingredients!$AG$6:$AG$105,MATCH(C341,Ingredients!$B$6:$B$105,0))),0))</f>
        <v/>
      </c>
      <c r="O341">
        <f>IF(OR(B341="",C341=""),0,IFERROR(N(INDEX(Ingredients!$AH$6:$AH$105,MATCH(C341,Ingredients!$B$6:$B$105,0))),0))</f>
        <v/>
      </c>
      <c r="P341">
        <f>IF(OR(B341="",C341=""),0,IFERROR(N(INDEX(Ingredients!$AI$6:$AI$105,MATCH(C341,Ingredients!$B$6:$B$105,0))),0))</f>
        <v/>
      </c>
      <c r="Q341">
        <f>IF(OR(B341="",C341=""),0,IFERROR(N(INDEX(Ingredients!$AJ$6:$AJ$105,MATCH(C341,Ingredients!$B$6:$B$105,0))),0))</f>
        <v/>
      </c>
      <c r="R341">
        <f>IF(OR(B341="",C341=""),0,IFERROR(N(INDEX(Ingredients!$AK$6:$AK$105,MATCH(C341,Ingredients!$B$6:$B$105,0))),0))</f>
        <v/>
      </c>
      <c r="S341">
        <f>IF(OR(B341="",C341=""),0,IFERROR(N(INDEX(Ingredients!$AL$6:$AL$105,MATCH(C341,Ingredients!$B$6:$B$105,0))),0))</f>
        <v/>
      </c>
      <c r="T341">
        <f>IF(OR(B341="",C341=""),0,IFERROR(N(INDEX(Ingredients!$AM$6:$AM$105,MATCH(C341,Ingredients!$B$6:$B$105,0))),0))</f>
        <v/>
      </c>
      <c r="U341">
        <f>IF(OR(B341="",C341=""),0,IFERROR(N(INDEX(Ingredients!$AN$6:$AN$105,MATCH(C341,Ingredients!$B$6:$B$105,0))),0))</f>
        <v/>
      </c>
      <c r="V341">
        <f>IF(OR(B341="",C341=""),0,IFERROR(N(INDEX(Ingredients!$AO$6:$AO$105,MATCH(C341,Ingredients!$B$6:$B$105,0))),0))</f>
        <v/>
      </c>
      <c r="W341">
        <f>IF(OR(B341="",C341=""),0,IFERROR(N(INDEX(Ingredients!$AP$6:$AP$105,MATCH(C341,Ingredients!$B$6:$B$105,0))),0))</f>
        <v/>
      </c>
      <c r="X341">
        <f>IF(OR(B341="",C341=""),0,IFERROR(N(INDEX(Ingredients!$AQ$6:$AQ$105,MATCH(C341,Ingredients!$B$6:$B$105,0))),0))</f>
        <v/>
      </c>
    </row>
    <row r="342">
      <c r="A342" s="1" t="n"/>
      <c r="B342" s="21" t="n"/>
      <c r="C342" s="39" t="n"/>
      <c r="D342" s="40" t="n"/>
      <c r="E342" s="12">
        <f>IF(C342="","",IF(ISNA(MATCH(C342,Ingredients!$B$6:$B$105,0)),"Not on Ingredients",IFERROR(IF(INDEX(Ingredients!$C$6:$C$105,MATCH(C342,Ingredients!$B$6:$B$105,0))="","",INDEX(Ingredients!$C$6:$C$105,MATCH(C342,Ingredients!$B$6:$B$105,0))),"")))</f>
        <v/>
      </c>
      <c r="F342" s="26">
        <f>IF(OR(B342="",C342=""),"",N(D342)*IFERROR(N(INDEX(Ingredients!$H$6:$H$105,MATCH(C342,Ingredients!$B$6:$B$105,0))),0))</f>
        <v/>
      </c>
      <c r="G342" s="1">
        <f>IF(OR(B342="",C342=""),0,IFERROR(N(INDEX(Products!$D$6:$D$45,MATCH(B342,Products!$B$6:$B$45,0))),0))</f>
        <v/>
      </c>
      <c r="H342">
        <f>IF(N(G342)=0,0,N(D342)*SUMIFS(Batches!$D$6:$D$505,Batches!$C$6:$C$505,B342)/G342)</f>
        <v/>
      </c>
      <c r="I342">
        <f>IF(OR(B342="",C342=""),"",IF(B342&lt;&gt;Label!$H$3,"",IF(IFERROR(N(INDEX(Ingredients!$AS$6:$AS$105,MATCH(C342,Ingredients!$B$6:$B$105,0))),0)=1,"",ROUND(N(D342)*1000,0)*100000+100000-ROW())))</f>
        <v/>
      </c>
      <c r="J342">
        <f>IF(OR(B342="",C342=""),0,IFERROR(N(INDEX(Ingredients!$AC$6:$AC$105,MATCH(C342,Ingredients!$B$6:$B$105,0))),0))</f>
        <v/>
      </c>
      <c r="K342">
        <f>IF(OR(B342="",C342=""),0,IFERROR(N(INDEX(Ingredients!$AD$6:$AD$105,MATCH(C342,Ingredients!$B$6:$B$105,0))),0))</f>
        <v/>
      </c>
      <c r="L342">
        <f>IF(OR(B342="",C342=""),0,IFERROR(N(INDEX(Ingredients!$AE$6:$AE$105,MATCH(C342,Ingredients!$B$6:$B$105,0))),0))</f>
        <v/>
      </c>
      <c r="M342">
        <f>IF(OR(B342="",C342=""),0,IFERROR(N(INDEX(Ingredients!$AF$6:$AF$105,MATCH(C342,Ingredients!$B$6:$B$105,0))),0))</f>
        <v/>
      </c>
      <c r="N342">
        <f>IF(OR(B342="",C342=""),0,IFERROR(N(INDEX(Ingredients!$AG$6:$AG$105,MATCH(C342,Ingredients!$B$6:$B$105,0))),0))</f>
        <v/>
      </c>
      <c r="O342">
        <f>IF(OR(B342="",C342=""),0,IFERROR(N(INDEX(Ingredients!$AH$6:$AH$105,MATCH(C342,Ingredients!$B$6:$B$105,0))),0))</f>
        <v/>
      </c>
      <c r="P342">
        <f>IF(OR(B342="",C342=""),0,IFERROR(N(INDEX(Ingredients!$AI$6:$AI$105,MATCH(C342,Ingredients!$B$6:$B$105,0))),0))</f>
        <v/>
      </c>
      <c r="Q342">
        <f>IF(OR(B342="",C342=""),0,IFERROR(N(INDEX(Ingredients!$AJ$6:$AJ$105,MATCH(C342,Ingredients!$B$6:$B$105,0))),0))</f>
        <v/>
      </c>
      <c r="R342">
        <f>IF(OR(B342="",C342=""),0,IFERROR(N(INDEX(Ingredients!$AK$6:$AK$105,MATCH(C342,Ingredients!$B$6:$B$105,0))),0))</f>
        <v/>
      </c>
      <c r="S342">
        <f>IF(OR(B342="",C342=""),0,IFERROR(N(INDEX(Ingredients!$AL$6:$AL$105,MATCH(C342,Ingredients!$B$6:$B$105,0))),0))</f>
        <v/>
      </c>
      <c r="T342">
        <f>IF(OR(B342="",C342=""),0,IFERROR(N(INDEX(Ingredients!$AM$6:$AM$105,MATCH(C342,Ingredients!$B$6:$B$105,0))),0))</f>
        <v/>
      </c>
      <c r="U342">
        <f>IF(OR(B342="",C342=""),0,IFERROR(N(INDEX(Ingredients!$AN$6:$AN$105,MATCH(C342,Ingredients!$B$6:$B$105,0))),0))</f>
        <v/>
      </c>
      <c r="V342">
        <f>IF(OR(B342="",C342=""),0,IFERROR(N(INDEX(Ingredients!$AO$6:$AO$105,MATCH(C342,Ingredients!$B$6:$B$105,0))),0))</f>
        <v/>
      </c>
      <c r="W342">
        <f>IF(OR(B342="",C342=""),0,IFERROR(N(INDEX(Ingredients!$AP$6:$AP$105,MATCH(C342,Ingredients!$B$6:$B$105,0))),0))</f>
        <v/>
      </c>
      <c r="X342">
        <f>IF(OR(B342="",C342=""),0,IFERROR(N(INDEX(Ingredients!$AQ$6:$AQ$105,MATCH(C342,Ingredients!$B$6:$B$105,0))),0))</f>
        <v/>
      </c>
    </row>
    <row r="343">
      <c r="A343" s="1" t="n"/>
      <c r="B343" s="21" t="n"/>
      <c r="C343" s="39" t="n"/>
      <c r="D343" s="40" t="n"/>
      <c r="E343" s="12">
        <f>IF(C343="","",IF(ISNA(MATCH(C343,Ingredients!$B$6:$B$105,0)),"Not on Ingredients",IFERROR(IF(INDEX(Ingredients!$C$6:$C$105,MATCH(C343,Ingredients!$B$6:$B$105,0))="","",INDEX(Ingredients!$C$6:$C$105,MATCH(C343,Ingredients!$B$6:$B$105,0))),"")))</f>
        <v/>
      </c>
      <c r="F343" s="26">
        <f>IF(OR(B343="",C343=""),"",N(D343)*IFERROR(N(INDEX(Ingredients!$H$6:$H$105,MATCH(C343,Ingredients!$B$6:$B$105,0))),0))</f>
        <v/>
      </c>
      <c r="G343" s="1">
        <f>IF(OR(B343="",C343=""),0,IFERROR(N(INDEX(Products!$D$6:$D$45,MATCH(B343,Products!$B$6:$B$45,0))),0))</f>
        <v/>
      </c>
      <c r="H343">
        <f>IF(N(G343)=0,0,N(D343)*SUMIFS(Batches!$D$6:$D$505,Batches!$C$6:$C$505,B343)/G343)</f>
        <v/>
      </c>
      <c r="I343">
        <f>IF(OR(B343="",C343=""),"",IF(B343&lt;&gt;Label!$H$3,"",IF(IFERROR(N(INDEX(Ingredients!$AS$6:$AS$105,MATCH(C343,Ingredients!$B$6:$B$105,0))),0)=1,"",ROUND(N(D343)*1000,0)*100000+100000-ROW())))</f>
        <v/>
      </c>
      <c r="J343">
        <f>IF(OR(B343="",C343=""),0,IFERROR(N(INDEX(Ingredients!$AC$6:$AC$105,MATCH(C343,Ingredients!$B$6:$B$105,0))),0))</f>
        <v/>
      </c>
      <c r="K343">
        <f>IF(OR(B343="",C343=""),0,IFERROR(N(INDEX(Ingredients!$AD$6:$AD$105,MATCH(C343,Ingredients!$B$6:$B$105,0))),0))</f>
        <v/>
      </c>
      <c r="L343">
        <f>IF(OR(B343="",C343=""),0,IFERROR(N(INDEX(Ingredients!$AE$6:$AE$105,MATCH(C343,Ingredients!$B$6:$B$105,0))),0))</f>
        <v/>
      </c>
      <c r="M343">
        <f>IF(OR(B343="",C343=""),0,IFERROR(N(INDEX(Ingredients!$AF$6:$AF$105,MATCH(C343,Ingredients!$B$6:$B$105,0))),0))</f>
        <v/>
      </c>
      <c r="N343">
        <f>IF(OR(B343="",C343=""),0,IFERROR(N(INDEX(Ingredients!$AG$6:$AG$105,MATCH(C343,Ingredients!$B$6:$B$105,0))),0))</f>
        <v/>
      </c>
      <c r="O343">
        <f>IF(OR(B343="",C343=""),0,IFERROR(N(INDEX(Ingredients!$AH$6:$AH$105,MATCH(C343,Ingredients!$B$6:$B$105,0))),0))</f>
        <v/>
      </c>
      <c r="P343">
        <f>IF(OR(B343="",C343=""),0,IFERROR(N(INDEX(Ingredients!$AI$6:$AI$105,MATCH(C343,Ingredients!$B$6:$B$105,0))),0))</f>
        <v/>
      </c>
      <c r="Q343">
        <f>IF(OR(B343="",C343=""),0,IFERROR(N(INDEX(Ingredients!$AJ$6:$AJ$105,MATCH(C343,Ingredients!$B$6:$B$105,0))),0))</f>
        <v/>
      </c>
      <c r="R343">
        <f>IF(OR(B343="",C343=""),0,IFERROR(N(INDEX(Ingredients!$AK$6:$AK$105,MATCH(C343,Ingredients!$B$6:$B$105,0))),0))</f>
        <v/>
      </c>
      <c r="S343">
        <f>IF(OR(B343="",C343=""),0,IFERROR(N(INDEX(Ingredients!$AL$6:$AL$105,MATCH(C343,Ingredients!$B$6:$B$105,0))),0))</f>
        <v/>
      </c>
      <c r="T343">
        <f>IF(OR(B343="",C343=""),0,IFERROR(N(INDEX(Ingredients!$AM$6:$AM$105,MATCH(C343,Ingredients!$B$6:$B$105,0))),0))</f>
        <v/>
      </c>
      <c r="U343">
        <f>IF(OR(B343="",C343=""),0,IFERROR(N(INDEX(Ingredients!$AN$6:$AN$105,MATCH(C343,Ingredients!$B$6:$B$105,0))),0))</f>
        <v/>
      </c>
      <c r="V343">
        <f>IF(OR(B343="",C343=""),0,IFERROR(N(INDEX(Ingredients!$AO$6:$AO$105,MATCH(C343,Ingredients!$B$6:$B$105,0))),0))</f>
        <v/>
      </c>
      <c r="W343">
        <f>IF(OR(B343="",C343=""),0,IFERROR(N(INDEX(Ingredients!$AP$6:$AP$105,MATCH(C343,Ingredients!$B$6:$B$105,0))),0))</f>
        <v/>
      </c>
      <c r="X343">
        <f>IF(OR(B343="",C343=""),0,IFERROR(N(INDEX(Ingredients!$AQ$6:$AQ$105,MATCH(C343,Ingredients!$B$6:$B$105,0))),0))</f>
        <v/>
      </c>
    </row>
    <row r="344">
      <c r="A344" s="1" t="n"/>
      <c r="B344" s="21" t="n"/>
      <c r="C344" s="39" t="n"/>
      <c r="D344" s="40" t="n"/>
      <c r="E344" s="12">
        <f>IF(C344="","",IF(ISNA(MATCH(C344,Ingredients!$B$6:$B$105,0)),"Not on Ingredients",IFERROR(IF(INDEX(Ingredients!$C$6:$C$105,MATCH(C344,Ingredients!$B$6:$B$105,0))="","",INDEX(Ingredients!$C$6:$C$105,MATCH(C344,Ingredients!$B$6:$B$105,0))),"")))</f>
        <v/>
      </c>
      <c r="F344" s="26">
        <f>IF(OR(B344="",C344=""),"",N(D344)*IFERROR(N(INDEX(Ingredients!$H$6:$H$105,MATCH(C344,Ingredients!$B$6:$B$105,0))),0))</f>
        <v/>
      </c>
      <c r="G344" s="1">
        <f>IF(OR(B344="",C344=""),0,IFERROR(N(INDEX(Products!$D$6:$D$45,MATCH(B344,Products!$B$6:$B$45,0))),0))</f>
        <v/>
      </c>
      <c r="H344">
        <f>IF(N(G344)=0,0,N(D344)*SUMIFS(Batches!$D$6:$D$505,Batches!$C$6:$C$505,B344)/G344)</f>
        <v/>
      </c>
      <c r="I344">
        <f>IF(OR(B344="",C344=""),"",IF(B344&lt;&gt;Label!$H$3,"",IF(IFERROR(N(INDEX(Ingredients!$AS$6:$AS$105,MATCH(C344,Ingredients!$B$6:$B$105,0))),0)=1,"",ROUND(N(D344)*1000,0)*100000+100000-ROW())))</f>
        <v/>
      </c>
      <c r="J344">
        <f>IF(OR(B344="",C344=""),0,IFERROR(N(INDEX(Ingredients!$AC$6:$AC$105,MATCH(C344,Ingredients!$B$6:$B$105,0))),0))</f>
        <v/>
      </c>
      <c r="K344">
        <f>IF(OR(B344="",C344=""),0,IFERROR(N(INDEX(Ingredients!$AD$6:$AD$105,MATCH(C344,Ingredients!$B$6:$B$105,0))),0))</f>
        <v/>
      </c>
      <c r="L344">
        <f>IF(OR(B344="",C344=""),0,IFERROR(N(INDEX(Ingredients!$AE$6:$AE$105,MATCH(C344,Ingredients!$B$6:$B$105,0))),0))</f>
        <v/>
      </c>
      <c r="M344">
        <f>IF(OR(B344="",C344=""),0,IFERROR(N(INDEX(Ingredients!$AF$6:$AF$105,MATCH(C344,Ingredients!$B$6:$B$105,0))),0))</f>
        <v/>
      </c>
      <c r="N344">
        <f>IF(OR(B344="",C344=""),0,IFERROR(N(INDEX(Ingredients!$AG$6:$AG$105,MATCH(C344,Ingredients!$B$6:$B$105,0))),0))</f>
        <v/>
      </c>
      <c r="O344">
        <f>IF(OR(B344="",C344=""),0,IFERROR(N(INDEX(Ingredients!$AH$6:$AH$105,MATCH(C344,Ingredients!$B$6:$B$105,0))),0))</f>
        <v/>
      </c>
      <c r="P344">
        <f>IF(OR(B344="",C344=""),0,IFERROR(N(INDEX(Ingredients!$AI$6:$AI$105,MATCH(C344,Ingredients!$B$6:$B$105,0))),0))</f>
        <v/>
      </c>
      <c r="Q344">
        <f>IF(OR(B344="",C344=""),0,IFERROR(N(INDEX(Ingredients!$AJ$6:$AJ$105,MATCH(C344,Ingredients!$B$6:$B$105,0))),0))</f>
        <v/>
      </c>
      <c r="R344">
        <f>IF(OR(B344="",C344=""),0,IFERROR(N(INDEX(Ingredients!$AK$6:$AK$105,MATCH(C344,Ingredients!$B$6:$B$105,0))),0))</f>
        <v/>
      </c>
      <c r="S344">
        <f>IF(OR(B344="",C344=""),0,IFERROR(N(INDEX(Ingredients!$AL$6:$AL$105,MATCH(C344,Ingredients!$B$6:$B$105,0))),0))</f>
        <v/>
      </c>
      <c r="T344">
        <f>IF(OR(B344="",C344=""),0,IFERROR(N(INDEX(Ingredients!$AM$6:$AM$105,MATCH(C344,Ingredients!$B$6:$B$105,0))),0))</f>
        <v/>
      </c>
      <c r="U344">
        <f>IF(OR(B344="",C344=""),0,IFERROR(N(INDEX(Ingredients!$AN$6:$AN$105,MATCH(C344,Ingredients!$B$6:$B$105,0))),0))</f>
        <v/>
      </c>
      <c r="V344">
        <f>IF(OR(B344="",C344=""),0,IFERROR(N(INDEX(Ingredients!$AO$6:$AO$105,MATCH(C344,Ingredients!$B$6:$B$105,0))),0))</f>
        <v/>
      </c>
      <c r="W344">
        <f>IF(OR(B344="",C344=""),0,IFERROR(N(INDEX(Ingredients!$AP$6:$AP$105,MATCH(C344,Ingredients!$B$6:$B$105,0))),0))</f>
        <v/>
      </c>
      <c r="X344">
        <f>IF(OR(B344="",C344=""),0,IFERROR(N(INDEX(Ingredients!$AQ$6:$AQ$105,MATCH(C344,Ingredients!$B$6:$B$105,0))),0))</f>
        <v/>
      </c>
    </row>
    <row r="345">
      <c r="A345" s="1" t="n"/>
      <c r="B345" s="21" t="n"/>
      <c r="C345" s="39" t="n"/>
      <c r="D345" s="40" t="n"/>
      <c r="E345" s="12">
        <f>IF(C345="","",IF(ISNA(MATCH(C345,Ingredients!$B$6:$B$105,0)),"Not on Ingredients",IFERROR(IF(INDEX(Ingredients!$C$6:$C$105,MATCH(C345,Ingredients!$B$6:$B$105,0))="","",INDEX(Ingredients!$C$6:$C$105,MATCH(C345,Ingredients!$B$6:$B$105,0))),"")))</f>
        <v/>
      </c>
      <c r="F345" s="26">
        <f>IF(OR(B345="",C345=""),"",N(D345)*IFERROR(N(INDEX(Ingredients!$H$6:$H$105,MATCH(C345,Ingredients!$B$6:$B$105,0))),0))</f>
        <v/>
      </c>
      <c r="G345" s="1">
        <f>IF(OR(B345="",C345=""),0,IFERROR(N(INDEX(Products!$D$6:$D$45,MATCH(B345,Products!$B$6:$B$45,0))),0))</f>
        <v/>
      </c>
      <c r="H345">
        <f>IF(N(G345)=0,0,N(D345)*SUMIFS(Batches!$D$6:$D$505,Batches!$C$6:$C$505,B345)/G345)</f>
        <v/>
      </c>
      <c r="I345">
        <f>IF(OR(B345="",C345=""),"",IF(B345&lt;&gt;Label!$H$3,"",IF(IFERROR(N(INDEX(Ingredients!$AS$6:$AS$105,MATCH(C345,Ingredients!$B$6:$B$105,0))),0)=1,"",ROUND(N(D345)*1000,0)*100000+100000-ROW())))</f>
        <v/>
      </c>
      <c r="J345">
        <f>IF(OR(B345="",C345=""),0,IFERROR(N(INDEX(Ingredients!$AC$6:$AC$105,MATCH(C345,Ingredients!$B$6:$B$105,0))),0))</f>
        <v/>
      </c>
      <c r="K345">
        <f>IF(OR(B345="",C345=""),0,IFERROR(N(INDEX(Ingredients!$AD$6:$AD$105,MATCH(C345,Ingredients!$B$6:$B$105,0))),0))</f>
        <v/>
      </c>
      <c r="L345">
        <f>IF(OR(B345="",C345=""),0,IFERROR(N(INDEX(Ingredients!$AE$6:$AE$105,MATCH(C345,Ingredients!$B$6:$B$105,0))),0))</f>
        <v/>
      </c>
      <c r="M345">
        <f>IF(OR(B345="",C345=""),0,IFERROR(N(INDEX(Ingredients!$AF$6:$AF$105,MATCH(C345,Ingredients!$B$6:$B$105,0))),0))</f>
        <v/>
      </c>
      <c r="N345">
        <f>IF(OR(B345="",C345=""),0,IFERROR(N(INDEX(Ingredients!$AG$6:$AG$105,MATCH(C345,Ingredients!$B$6:$B$105,0))),0))</f>
        <v/>
      </c>
      <c r="O345">
        <f>IF(OR(B345="",C345=""),0,IFERROR(N(INDEX(Ingredients!$AH$6:$AH$105,MATCH(C345,Ingredients!$B$6:$B$105,0))),0))</f>
        <v/>
      </c>
      <c r="P345">
        <f>IF(OR(B345="",C345=""),0,IFERROR(N(INDEX(Ingredients!$AI$6:$AI$105,MATCH(C345,Ingredients!$B$6:$B$105,0))),0))</f>
        <v/>
      </c>
      <c r="Q345">
        <f>IF(OR(B345="",C345=""),0,IFERROR(N(INDEX(Ingredients!$AJ$6:$AJ$105,MATCH(C345,Ingredients!$B$6:$B$105,0))),0))</f>
        <v/>
      </c>
      <c r="R345">
        <f>IF(OR(B345="",C345=""),0,IFERROR(N(INDEX(Ingredients!$AK$6:$AK$105,MATCH(C345,Ingredients!$B$6:$B$105,0))),0))</f>
        <v/>
      </c>
      <c r="S345">
        <f>IF(OR(B345="",C345=""),0,IFERROR(N(INDEX(Ingredients!$AL$6:$AL$105,MATCH(C345,Ingredients!$B$6:$B$105,0))),0))</f>
        <v/>
      </c>
      <c r="T345">
        <f>IF(OR(B345="",C345=""),0,IFERROR(N(INDEX(Ingredients!$AM$6:$AM$105,MATCH(C345,Ingredients!$B$6:$B$105,0))),0))</f>
        <v/>
      </c>
      <c r="U345">
        <f>IF(OR(B345="",C345=""),0,IFERROR(N(INDEX(Ingredients!$AN$6:$AN$105,MATCH(C345,Ingredients!$B$6:$B$105,0))),0))</f>
        <v/>
      </c>
      <c r="V345">
        <f>IF(OR(B345="",C345=""),0,IFERROR(N(INDEX(Ingredients!$AO$6:$AO$105,MATCH(C345,Ingredients!$B$6:$B$105,0))),0))</f>
        <v/>
      </c>
      <c r="W345">
        <f>IF(OR(B345="",C345=""),0,IFERROR(N(INDEX(Ingredients!$AP$6:$AP$105,MATCH(C345,Ingredients!$B$6:$B$105,0))),0))</f>
        <v/>
      </c>
      <c r="X345">
        <f>IF(OR(B345="",C345=""),0,IFERROR(N(INDEX(Ingredients!$AQ$6:$AQ$105,MATCH(C345,Ingredients!$B$6:$B$105,0))),0))</f>
        <v/>
      </c>
    </row>
    <row r="346">
      <c r="A346" s="1" t="n"/>
      <c r="B346" s="21" t="n"/>
      <c r="C346" s="39" t="n"/>
      <c r="D346" s="40" t="n"/>
      <c r="E346" s="12">
        <f>IF(C346="","",IF(ISNA(MATCH(C346,Ingredients!$B$6:$B$105,0)),"Not on Ingredients",IFERROR(IF(INDEX(Ingredients!$C$6:$C$105,MATCH(C346,Ingredients!$B$6:$B$105,0))="","",INDEX(Ingredients!$C$6:$C$105,MATCH(C346,Ingredients!$B$6:$B$105,0))),"")))</f>
        <v/>
      </c>
      <c r="F346" s="26">
        <f>IF(OR(B346="",C346=""),"",N(D346)*IFERROR(N(INDEX(Ingredients!$H$6:$H$105,MATCH(C346,Ingredients!$B$6:$B$105,0))),0))</f>
        <v/>
      </c>
      <c r="G346" s="1">
        <f>IF(OR(B346="",C346=""),0,IFERROR(N(INDEX(Products!$D$6:$D$45,MATCH(B346,Products!$B$6:$B$45,0))),0))</f>
        <v/>
      </c>
      <c r="H346">
        <f>IF(N(G346)=0,0,N(D346)*SUMIFS(Batches!$D$6:$D$505,Batches!$C$6:$C$505,B346)/G346)</f>
        <v/>
      </c>
      <c r="I346">
        <f>IF(OR(B346="",C346=""),"",IF(B346&lt;&gt;Label!$H$3,"",IF(IFERROR(N(INDEX(Ingredients!$AS$6:$AS$105,MATCH(C346,Ingredients!$B$6:$B$105,0))),0)=1,"",ROUND(N(D346)*1000,0)*100000+100000-ROW())))</f>
        <v/>
      </c>
      <c r="J346">
        <f>IF(OR(B346="",C346=""),0,IFERROR(N(INDEX(Ingredients!$AC$6:$AC$105,MATCH(C346,Ingredients!$B$6:$B$105,0))),0))</f>
        <v/>
      </c>
      <c r="K346">
        <f>IF(OR(B346="",C346=""),0,IFERROR(N(INDEX(Ingredients!$AD$6:$AD$105,MATCH(C346,Ingredients!$B$6:$B$105,0))),0))</f>
        <v/>
      </c>
      <c r="L346">
        <f>IF(OR(B346="",C346=""),0,IFERROR(N(INDEX(Ingredients!$AE$6:$AE$105,MATCH(C346,Ingredients!$B$6:$B$105,0))),0))</f>
        <v/>
      </c>
      <c r="M346">
        <f>IF(OR(B346="",C346=""),0,IFERROR(N(INDEX(Ingredients!$AF$6:$AF$105,MATCH(C346,Ingredients!$B$6:$B$105,0))),0))</f>
        <v/>
      </c>
      <c r="N346">
        <f>IF(OR(B346="",C346=""),0,IFERROR(N(INDEX(Ingredients!$AG$6:$AG$105,MATCH(C346,Ingredients!$B$6:$B$105,0))),0))</f>
        <v/>
      </c>
      <c r="O346">
        <f>IF(OR(B346="",C346=""),0,IFERROR(N(INDEX(Ingredients!$AH$6:$AH$105,MATCH(C346,Ingredients!$B$6:$B$105,0))),0))</f>
        <v/>
      </c>
      <c r="P346">
        <f>IF(OR(B346="",C346=""),0,IFERROR(N(INDEX(Ingredients!$AI$6:$AI$105,MATCH(C346,Ingredients!$B$6:$B$105,0))),0))</f>
        <v/>
      </c>
      <c r="Q346">
        <f>IF(OR(B346="",C346=""),0,IFERROR(N(INDEX(Ingredients!$AJ$6:$AJ$105,MATCH(C346,Ingredients!$B$6:$B$105,0))),0))</f>
        <v/>
      </c>
      <c r="R346">
        <f>IF(OR(B346="",C346=""),0,IFERROR(N(INDEX(Ingredients!$AK$6:$AK$105,MATCH(C346,Ingredients!$B$6:$B$105,0))),0))</f>
        <v/>
      </c>
      <c r="S346">
        <f>IF(OR(B346="",C346=""),0,IFERROR(N(INDEX(Ingredients!$AL$6:$AL$105,MATCH(C346,Ingredients!$B$6:$B$105,0))),0))</f>
        <v/>
      </c>
      <c r="T346">
        <f>IF(OR(B346="",C346=""),0,IFERROR(N(INDEX(Ingredients!$AM$6:$AM$105,MATCH(C346,Ingredients!$B$6:$B$105,0))),0))</f>
        <v/>
      </c>
      <c r="U346">
        <f>IF(OR(B346="",C346=""),0,IFERROR(N(INDEX(Ingredients!$AN$6:$AN$105,MATCH(C346,Ingredients!$B$6:$B$105,0))),0))</f>
        <v/>
      </c>
      <c r="V346">
        <f>IF(OR(B346="",C346=""),0,IFERROR(N(INDEX(Ingredients!$AO$6:$AO$105,MATCH(C346,Ingredients!$B$6:$B$105,0))),0))</f>
        <v/>
      </c>
      <c r="W346">
        <f>IF(OR(B346="",C346=""),0,IFERROR(N(INDEX(Ingredients!$AP$6:$AP$105,MATCH(C346,Ingredients!$B$6:$B$105,0))),0))</f>
        <v/>
      </c>
      <c r="X346">
        <f>IF(OR(B346="",C346=""),0,IFERROR(N(INDEX(Ingredients!$AQ$6:$AQ$105,MATCH(C346,Ingredients!$B$6:$B$105,0))),0))</f>
        <v/>
      </c>
    </row>
    <row r="347">
      <c r="A347" s="1" t="n"/>
      <c r="B347" s="21" t="n"/>
      <c r="C347" s="39" t="n"/>
      <c r="D347" s="40" t="n"/>
      <c r="E347" s="12">
        <f>IF(C347="","",IF(ISNA(MATCH(C347,Ingredients!$B$6:$B$105,0)),"Not on Ingredients",IFERROR(IF(INDEX(Ingredients!$C$6:$C$105,MATCH(C347,Ingredients!$B$6:$B$105,0))="","",INDEX(Ingredients!$C$6:$C$105,MATCH(C347,Ingredients!$B$6:$B$105,0))),"")))</f>
        <v/>
      </c>
      <c r="F347" s="26">
        <f>IF(OR(B347="",C347=""),"",N(D347)*IFERROR(N(INDEX(Ingredients!$H$6:$H$105,MATCH(C347,Ingredients!$B$6:$B$105,0))),0))</f>
        <v/>
      </c>
      <c r="G347" s="1">
        <f>IF(OR(B347="",C347=""),0,IFERROR(N(INDEX(Products!$D$6:$D$45,MATCH(B347,Products!$B$6:$B$45,0))),0))</f>
        <v/>
      </c>
      <c r="H347">
        <f>IF(N(G347)=0,0,N(D347)*SUMIFS(Batches!$D$6:$D$505,Batches!$C$6:$C$505,B347)/G347)</f>
        <v/>
      </c>
      <c r="I347">
        <f>IF(OR(B347="",C347=""),"",IF(B347&lt;&gt;Label!$H$3,"",IF(IFERROR(N(INDEX(Ingredients!$AS$6:$AS$105,MATCH(C347,Ingredients!$B$6:$B$105,0))),0)=1,"",ROUND(N(D347)*1000,0)*100000+100000-ROW())))</f>
        <v/>
      </c>
      <c r="J347">
        <f>IF(OR(B347="",C347=""),0,IFERROR(N(INDEX(Ingredients!$AC$6:$AC$105,MATCH(C347,Ingredients!$B$6:$B$105,0))),0))</f>
        <v/>
      </c>
      <c r="K347">
        <f>IF(OR(B347="",C347=""),0,IFERROR(N(INDEX(Ingredients!$AD$6:$AD$105,MATCH(C347,Ingredients!$B$6:$B$105,0))),0))</f>
        <v/>
      </c>
      <c r="L347">
        <f>IF(OR(B347="",C347=""),0,IFERROR(N(INDEX(Ingredients!$AE$6:$AE$105,MATCH(C347,Ingredients!$B$6:$B$105,0))),0))</f>
        <v/>
      </c>
      <c r="M347">
        <f>IF(OR(B347="",C347=""),0,IFERROR(N(INDEX(Ingredients!$AF$6:$AF$105,MATCH(C347,Ingredients!$B$6:$B$105,0))),0))</f>
        <v/>
      </c>
      <c r="N347">
        <f>IF(OR(B347="",C347=""),0,IFERROR(N(INDEX(Ingredients!$AG$6:$AG$105,MATCH(C347,Ingredients!$B$6:$B$105,0))),0))</f>
        <v/>
      </c>
      <c r="O347">
        <f>IF(OR(B347="",C347=""),0,IFERROR(N(INDEX(Ingredients!$AH$6:$AH$105,MATCH(C347,Ingredients!$B$6:$B$105,0))),0))</f>
        <v/>
      </c>
      <c r="P347">
        <f>IF(OR(B347="",C347=""),0,IFERROR(N(INDEX(Ingredients!$AI$6:$AI$105,MATCH(C347,Ingredients!$B$6:$B$105,0))),0))</f>
        <v/>
      </c>
      <c r="Q347">
        <f>IF(OR(B347="",C347=""),0,IFERROR(N(INDEX(Ingredients!$AJ$6:$AJ$105,MATCH(C347,Ingredients!$B$6:$B$105,0))),0))</f>
        <v/>
      </c>
      <c r="R347">
        <f>IF(OR(B347="",C347=""),0,IFERROR(N(INDEX(Ingredients!$AK$6:$AK$105,MATCH(C347,Ingredients!$B$6:$B$105,0))),0))</f>
        <v/>
      </c>
      <c r="S347">
        <f>IF(OR(B347="",C347=""),0,IFERROR(N(INDEX(Ingredients!$AL$6:$AL$105,MATCH(C347,Ingredients!$B$6:$B$105,0))),0))</f>
        <v/>
      </c>
      <c r="T347">
        <f>IF(OR(B347="",C347=""),0,IFERROR(N(INDEX(Ingredients!$AM$6:$AM$105,MATCH(C347,Ingredients!$B$6:$B$105,0))),0))</f>
        <v/>
      </c>
      <c r="U347">
        <f>IF(OR(B347="",C347=""),0,IFERROR(N(INDEX(Ingredients!$AN$6:$AN$105,MATCH(C347,Ingredients!$B$6:$B$105,0))),0))</f>
        <v/>
      </c>
      <c r="V347">
        <f>IF(OR(B347="",C347=""),0,IFERROR(N(INDEX(Ingredients!$AO$6:$AO$105,MATCH(C347,Ingredients!$B$6:$B$105,0))),0))</f>
        <v/>
      </c>
      <c r="W347">
        <f>IF(OR(B347="",C347=""),0,IFERROR(N(INDEX(Ingredients!$AP$6:$AP$105,MATCH(C347,Ingredients!$B$6:$B$105,0))),0))</f>
        <v/>
      </c>
      <c r="X347">
        <f>IF(OR(B347="",C347=""),0,IFERROR(N(INDEX(Ingredients!$AQ$6:$AQ$105,MATCH(C347,Ingredients!$B$6:$B$105,0))),0))</f>
        <v/>
      </c>
    </row>
    <row r="348">
      <c r="A348" s="1" t="n"/>
      <c r="B348" s="21" t="n"/>
      <c r="C348" s="39" t="n"/>
      <c r="D348" s="40" t="n"/>
      <c r="E348" s="12">
        <f>IF(C348="","",IF(ISNA(MATCH(C348,Ingredients!$B$6:$B$105,0)),"Not on Ingredients",IFERROR(IF(INDEX(Ingredients!$C$6:$C$105,MATCH(C348,Ingredients!$B$6:$B$105,0))="","",INDEX(Ingredients!$C$6:$C$105,MATCH(C348,Ingredients!$B$6:$B$105,0))),"")))</f>
        <v/>
      </c>
      <c r="F348" s="26">
        <f>IF(OR(B348="",C348=""),"",N(D348)*IFERROR(N(INDEX(Ingredients!$H$6:$H$105,MATCH(C348,Ingredients!$B$6:$B$105,0))),0))</f>
        <v/>
      </c>
      <c r="G348" s="1">
        <f>IF(OR(B348="",C348=""),0,IFERROR(N(INDEX(Products!$D$6:$D$45,MATCH(B348,Products!$B$6:$B$45,0))),0))</f>
        <v/>
      </c>
      <c r="H348">
        <f>IF(N(G348)=0,0,N(D348)*SUMIFS(Batches!$D$6:$D$505,Batches!$C$6:$C$505,B348)/G348)</f>
        <v/>
      </c>
      <c r="I348">
        <f>IF(OR(B348="",C348=""),"",IF(B348&lt;&gt;Label!$H$3,"",IF(IFERROR(N(INDEX(Ingredients!$AS$6:$AS$105,MATCH(C348,Ingredients!$B$6:$B$105,0))),0)=1,"",ROUND(N(D348)*1000,0)*100000+100000-ROW())))</f>
        <v/>
      </c>
      <c r="J348">
        <f>IF(OR(B348="",C348=""),0,IFERROR(N(INDEX(Ingredients!$AC$6:$AC$105,MATCH(C348,Ingredients!$B$6:$B$105,0))),0))</f>
        <v/>
      </c>
      <c r="K348">
        <f>IF(OR(B348="",C348=""),0,IFERROR(N(INDEX(Ingredients!$AD$6:$AD$105,MATCH(C348,Ingredients!$B$6:$B$105,0))),0))</f>
        <v/>
      </c>
      <c r="L348">
        <f>IF(OR(B348="",C348=""),0,IFERROR(N(INDEX(Ingredients!$AE$6:$AE$105,MATCH(C348,Ingredients!$B$6:$B$105,0))),0))</f>
        <v/>
      </c>
      <c r="M348">
        <f>IF(OR(B348="",C348=""),0,IFERROR(N(INDEX(Ingredients!$AF$6:$AF$105,MATCH(C348,Ingredients!$B$6:$B$105,0))),0))</f>
        <v/>
      </c>
      <c r="N348">
        <f>IF(OR(B348="",C348=""),0,IFERROR(N(INDEX(Ingredients!$AG$6:$AG$105,MATCH(C348,Ingredients!$B$6:$B$105,0))),0))</f>
        <v/>
      </c>
      <c r="O348">
        <f>IF(OR(B348="",C348=""),0,IFERROR(N(INDEX(Ingredients!$AH$6:$AH$105,MATCH(C348,Ingredients!$B$6:$B$105,0))),0))</f>
        <v/>
      </c>
      <c r="P348">
        <f>IF(OR(B348="",C348=""),0,IFERROR(N(INDEX(Ingredients!$AI$6:$AI$105,MATCH(C348,Ingredients!$B$6:$B$105,0))),0))</f>
        <v/>
      </c>
      <c r="Q348">
        <f>IF(OR(B348="",C348=""),0,IFERROR(N(INDEX(Ingredients!$AJ$6:$AJ$105,MATCH(C348,Ingredients!$B$6:$B$105,0))),0))</f>
        <v/>
      </c>
      <c r="R348">
        <f>IF(OR(B348="",C348=""),0,IFERROR(N(INDEX(Ingredients!$AK$6:$AK$105,MATCH(C348,Ingredients!$B$6:$B$105,0))),0))</f>
        <v/>
      </c>
      <c r="S348">
        <f>IF(OR(B348="",C348=""),0,IFERROR(N(INDEX(Ingredients!$AL$6:$AL$105,MATCH(C348,Ingredients!$B$6:$B$105,0))),0))</f>
        <v/>
      </c>
      <c r="T348">
        <f>IF(OR(B348="",C348=""),0,IFERROR(N(INDEX(Ingredients!$AM$6:$AM$105,MATCH(C348,Ingredients!$B$6:$B$105,0))),0))</f>
        <v/>
      </c>
      <c r="U348">
        <f>IF(OR(B348="",C348=""),0,IFERROR(N(INDEX(Ingredients!$AN$6:$AN$105,MATCH(C348,Ingredients!$B$6:$B$105,0))),0))</f>
        <v/>
      </c>
      <c r="V348">
        <f>IF(OR(B348="",C348=""),0,IFERROR(N(INDEX(Ingredients!$AO$6:$AO$105,MATCH(C348,Ingredients!$B$6:$B$105,0))),0))</f>
        <v/>
      </c>
      <c r="W348">
        <f>IF(OR(B348="",C348=""),0,IFERROR(N(INDEX(Ingredients!$AP$6:$AP$105,MATCH(C348,Ingredients!$B$6:$B$105,0))),0))</f>
        <v/>
      </c>
      <c r="X348">
        <f>IF(OR(B348="",C348=""),0,IFERROR(N(INDEX(Ingredients!$AQ$6:$AQ$105,MATCH(C348,Ingredients!$B$6:$B$105,0))),0))</f>
        <v/>
      </c>
    </row>
    <row r="349">
      <c r="A349" s="1" t="n"/>
      <c r="B349" s="21" t="n"/>
      <c r="C349" s="39" t="n"/>
      <c r="D349" s="40" t="n"/>
      <c r="E349" s="12">
        <f>IF(C349="","",IF(ISNA(MATCH(C349,Ingredients!$B$6:$B$105,0)),"Not on Ingredients",IFERROR(IF(INDEX(Ingredients!$C$6:$C$105,MATCH(C349,Ingredients!$B$6:$B$105,0))="","",INDEX(Ingredients!$C$6:$C$105,MATCH(C349,Ingredients!$B$6:$B$105,0))),"")))</f>
        <v/>
      </c>
      <c r="F349" s="26">
        <f>IF(OR(B349="",C349=""),"",N(D349)*IFERROR(N(INDEX(Ingredients!$H$6:$H$105,MATCH(C349,Ingredients!$B$6:$B$105,0))),0))</f>
        <v/>
      </c>
      <c r="G349" s="1">
        <f>IF(OR(B349="",C349=""),0,IFERROR(N(INDEX(Products!$D$6:$D$45,MATCH(B349,Products!$B$6:$B$45,0))),0))</f>
        <v/>
      </c>
      <c r="H349">
        <f>IF(N(G349)=0,0,N(D349)*SUMIFS(Batches!$D$6:$D$505,Batches!$C$6:$C$505,B349)/G349)</f>
        <v/>
      </c>
      <c r="I349">
        <f>IF(OR(B349="",C349=""),"",IF(B349&lt;&gt;Label!$H$3,"",IF(IFERROR(N(INDEX(Ingredients!$AS$6:$AS$105,MATCH(C349,Ingredients!$B$6:$B$105,0))),0)=1,"",ROUND(N(D349)*1000,0)*100000+100000-ROW())))</f>
        <v/>
      </c>
      <c r="J349">
        <f>IF(OR(B349="",C349=""),0,IFERROR(N(INDEX(Ingredients!$AC$6:$AC$105,MATCH(C349,Ingredients!$B$6:$B$105,0))),0))</f>
        <v/>
      </c>
      <c r="K349">
        <f>IF(OR(B349="",C349=""),0,IFERROR(N(INDEX(Ingredients!$AD$6:$AD$105,MATCH(C349,Ingredients!$B$6:$B$105,0))),0))</f>
        <v/>
      </c>
      <c r="L349">
        <f>IF(OR(B349="",C349=""),0,IFERROR(N(INDEX(Ingredients!$AE$6:$AE$105,MATCH(C349,Ingredients!$B$6:$B$105,0))),0))</f>
        <v/>
      </c>
      <c r="M349">
        <f>IF(OR(B349="",C349=""),0,IFERROR(N(INDEX(Ingredients!$AF$6:$AF$105,MATCH(C349,Ingredients!$B$6:$B$105,0))),0))</f>
        <v/>
      </c>
      <c r="N349">
        <f>IF(OR(B349="",C349=""),0,IFERROR(N(INDEX(Ingredients!$AG$6:$AG$105,MATCH(C349,Ingredients!$B$6:$B$105,0))),0))</f>
        <v/>
      </c>
      <c r="O349">
        <f>IF(OR(B349="",C349=""),0,IFERROR(N(INDEX(Ingredients!$AH$6:$AH$105,MATCH(C349,Ingredients!$B$6:$B$105,0))),0))</f>
        <v/>
      </c>
      <c r="P349">
        <f>IF(OR(B349="",C349=""),0,IFERROR(N(INDEX(Ingredients!$AI$6:$AI$105,MATCH(C349,Ingredients!$B$6:$B$105,0))),0))</f>
        <v/>
      </c>
      <c r="Q349">
        <f>IF(OR(B349="",C349=""),0,IFERROR(N(INDEX(Ingredients!$AJ$6:$AJ$105,MATCH(C349,Ingredients!$B$6:$B$105,0))),0))</f>
        <v/>
      </c>
      <c r="R349">
        <f>IF(OR(B349="",C349=""),0,IFERROR(N(INDEX(Ingredients!$AK$6:$AK$105,MATCH(C349,Ingredients!$B$6:$B$105,0))),0))</f>
        <v/>
      </c>
      <c r="S349">
        <f>IF(OR(B349="",C349=""),0,IFERROR(N(INDEX(Ingredients!$AL$6:$AL$105,MATCH(C349,Ingredients!$B$6:$B$105,0))),0))</f>
        <v/>
      </c>
      <c r="T349">
        <f>IF(OR(B349="",C349=""),0,IFERROR(N(INDEX(Ingredients!$AM$6:$AM$105,MATCH(C349,Ingredients!$B$6:$B$105,0))),0))</f>
        <v/>
      </c>
      <c r="U349">
        <f>IF(OR(B349="",C349=""),0,IFERROR(N(INDEX(Ingredients!$AN$6:$AN$105,MATCH(C349,Ingredients!$B$6:$B$105,0))),0))</f>
        <v/>
      </c>
      <c r="V349">
        <f>IF(OR(B349="",C349=""),0,IFERROR(N(INDEX(Ingredients!$AO$6:$AO$105,MATCH(C349,Ingredients!$B$6:$B$105,0))),0))</f>
        <v/>
      </c>
      <c r="W349">
        <f>IF(OR(B349="",C349=""),0,IFERROR(N(INDEX(Ingredients!$AP$6:$AP$105,MATCH(C349,Ingredients!$B$6:$B$105,0))),0))</f>
        <v/>
      </c>
      <c r="X349">
        <f>IF(OR(B349="",C349=""),0,IFERROR(N(INDEX(Ingredients!$AQ$6:$AQ$105,MATCH(C349,Ingredients!$B$6:$B$105,0))),0))</f>
        <v/>
      </c>
    </row>
    <row r="350">
      <c r="A350" s="1" t="n"/>
      <c r="B350" s="21" t="n"/>
      <c r="C350" s="39" t="n"/>
      <c r="D350" s="40" t="n"/>
      <c r="E350" s="12">
        <f>IF(C350="","",IF(ISNA(MATCH(C350,Ingredients!$B$6:$B$105,0)),"Not on Ingredients",IFERROR(IF(INDEX(Ingredients!$C$6:$C$105,MATCH(C350,Ingredients!$B$6:$B$105,0))="","",INDEX(Ingredients!$C$6:$C$105,MATCH(C350,Ingredients!$B$6:$B$105,0))),"")))</f>
        <v/>
      </c>
      <c r="F350" s="26">
        <f>IF(OR(B350="",C350=""),"",N(D350)*IFERROR(N(INDEX(Ingredients!$H$6:$H$105,MATCH(C350,Ingredients!$B$6:$B$105,0))),0))</f>
        <v/>
      </c>
      <c r="G350" s="1">
        <f>IF(OR(B350="",C350=""),0,IFERROR(N(INDEX(Products!$D$6:$D$45,MATCH(B350,Products!$B$6:$B$45,0))),0))</f>
        <v/>
      </c>
      <c r="H350">
        <f>IF(N(G350)=0,0,N(D350)*SUMIFS(Batches!$D$6:$D$505,Batches!$C$6:$C$505,B350)/G350)</f>
        <v/>
      </c>
      <c r="I350">
        <f>IF(OR(B350="",C350=""),"",IF(B350&lt;&gt;Label!$H$3,"",IF(IFERROR(N(INDEX(Ingredients!$AS$6:$AS$105,MATCH(C350,Ingredients!$B$6:$B$105,0))),0)=1,"",ROUND(N(D350)*1000,0)*100000+100000-ROW())))</f>
        <v/>
      </c>
      <c r="J350">
        <f>IF(OR(B350="",C350=""),0,IFERROR(N(INDEX(Ingredients!$AC$6:$AC$105,MATCH(C350,Ingredients!$B$6:$B$105,0))),0))</f>
        <v/>
      </c>
      <c r="K350">
        <f>IF(OR(B350="",C350=""),0,IFERROR(N(INDEX(Ingredients!$AD$6:$AD$105,MATCH(C350,Ingredients!$B$6:$B$105,0))),0))</f>
        <v/>
      </c>
      <c r="L350">
        <f>IF(OR(B350="",C350=""),0,IFERROR(N(INDEX(Ingredients!$AE$6:$AE$105,MATCH(C350,Ingredients!$B$6:$B$105,0))),0))</f>
        <v/>
      </c>
      <c r="M350">
        <f>IF(OR(B350="",C350=""),0,IFERROR(N(INDEX(Ingredients!$AF$6:$AF$105,MATCH(C350,Ingredients!$B$6:$B$105,0))),0))</f>
        <v/>
      </c>
      <c r="N350">
        <f>IF(OR(B350="",C350=""),0,IFERROR(N(INDEX(Ingredients!$AG$6:$AG$105,MATCH(C350,Ingredients!$B$6:$B$105,0))),0))</f>
        <v/>
      </c>
      <c r="O350">
        <f>IF(OR(B350="",C350=""),0,IFERROR(N(INDEX(Ingredients!$AH$6:$AH$105,MATCH(C350,Ingredients!$B$6:$B$105,0))),0))</f>
        <v/>
      </c>
      <c r="P350">
        <f>IF(OR(B350="",C350=""),0,IFERROR(N(INDEX(Ingredients!$AI$6:$AI$105,MATCH(C350,Ingredients!$B$6:$B$105,0))),0))</f>
        <v/>
      </c>
      <c r="Q350">
        <f>IF(OR(B350="",C350=""),0,IFERROR(N(INDEX(Ingredients!$AJ$6:$AJ$105,MATCH(C350,Ingredients!$B$6:$B$105,0))),0))</f>
        <v/>
      </c>
      <c r="R350">
        <f>IF(OR(B350="",C350=""),0,IFERROR(N(INDEX(Ingredients!$AK$6:$AK$105,MATCH(C350,Ingredients!$B$6:$B$105,0))),0))</f>
        <v/>
      </c>
      <c r="S350">
        <f>IF(OR(B350="",C350=""),0,IFERROR(N(INDEX(Ingredients!$AL$6:$AL$105,MATCH(C350,Ingredients!$B$6:$B$105,0))),0))</f>
        <v/>
      </c>
      <c r="T350">
        <f>IF(OR(B350="",C350=""),0,IFERROR(N(INDEX(Ingredients!$AM$6:$AM$105,MATCH(C350,Ingredients!$B$6:$B$105,0))),0))</f>
        <v/>
      </c>
      <c r="U350">
        <f>IF(OR(B350="",C350=""),0,IFERROR(N(INDEX(Ingredients!$AN$6:$AN$105,MATCH(C350,Ingredients!$B$6:$B$105,0))),0))</f>
        <v/>
      </c>
      <c r="V350">
        <f>IF(OR(B350="",C350=""),0,IFERROR(N(INDEX(Ingredients!$AO$6:$AO$105,MATCH(C350,Ingredients!$B$6:$B$105,0))),0))</f>
        <v/>
      </c>
      <c r="W350">
        <f>IF(OR(B350="",C350=""),0,IFERROR(N(INDEX(Ingredients!$AP$6:$AP$105,MATCH(C350,Ingredients!$B$6:$B$105,0))),0))</f>
        <v/>
      </c>
      <c r="X350">
        <f>IF(OR(B350="",C350=""),0,IFERROR(N(INDEX(Ingredients!$AQ$6:$AQ$105,MATCH(C350,Ingredients!$B$6:$B$105,0))),0))</f>
        <v/>
      </c>
    </row>
    <row r="351">
      <c r="A351" s="1" t="n"/>
      <c r="B351" s="21" t="n"/>
      <c r="C351" s="39" t="n"/>
      <c r="D351" s="40" t="n"/>
      <c r="E351" s="12">
        <f>IF(C351="","",IF(ISNA(MATCH(C351,Ingredients!$B$6:$B$105,0)),"Not on Ingredients",IFERROR(IF(INDEX(Ingredients!$C$6:$C$105,MATCH(C351,Ingredients!$B$6:$B$105,0))="","",INDEX(Ingredients!$C$6:$C$105,MATCH(C351,Ingredients!$B$6:$B$105,0))),"")))</f>
        <v/>
      </c>
      <c r="F351" s="26">
        <f>IF(OR(B351="",C351=""),"",N(D351)*IFERROR(N(INDEX(Ingredients!$H$6:$H$105,MATCH(C351,Ingredients!$B$6:$B$105,0))),0))</f>
        <v/>
      </c>
      <c r="G351" s="1">
        <f>IF(OR(B351="",C351=""),0,IFERROR(N(INDEX(Products!$D$6:$D$45,MATCH(B351,Products!$B$6:$B$45,0))),0))</f>
        <v/>
      </c>
      <c r="H351">
        <f>IF(N(G351)=0,0,N(D351)*SUMIFS(Batches!$D$6:$D$505,Batches!$C$6:$C$505,B351)/G351)</f>
        <v/>
      </c>
      <c r="I351">
        <f>IF(OR(B351="",C351=""),"",IF(B351&lt;&gt;Label!$H$3,"",IF(IFERROR(N(INDEX(Ingredients!$AS$6:$AS$105,MATCH(C351,Ingredients!$B$6:$B$105,0))),0)=1,"",ROUND(N(D351)*1000,0)*100000+100000-ROW())))</f>
        <v/>
      </c>
      <c r="J351">
        <f>IF(OR(B351="",C351=""),0,IFERROR(N(INDEX(Ingredients!$AC$6:$AC$105,MATCH(C351,Ingredients!$B$6:$B$105,0))),0))</f>
        <v/>
      </c>
      <c r="K351">
        <f>IF(OR(B351="",C351=""),0,IFERROR(N(INDEX(Ingredients!$AD$6:$AD$105,MATCH(C351,Ingredients!$B$6:$B$105,0))),0))</f>
        <v/>
      </c>
      <c r="L351">
        <f>IF(OR(B351="",C351=""),0,IFERROR(N(INDEX(Ingredients!$AE$6:$AE$105,MATCH(C351,Ingredients!$B$6:$B$105,0))),0))</f>
        <v/>
      </c>
      <c r="M351">
        <f>IF(OR(B351="",C351=""),0,IFERROR(N(INDEX(Ingredients!$AF$6:$AF$105,MATCH(C351,Ingredients!$B$6:$B$105,0))),0))</f>
        <v/>
      </c>
      <c r="N351">
        <f>IF(OR(B351="",C351=""),0,IFERROR(N(INDEX(Ingredients!$AG$6:$AG$105,MATCH(C351,Ingredients!$B$6:$B$105,0))),0))</f>
        <v/>
      </c>
      <c r="O351">
        <f>IF(OR(B351="",C351=""),0,IFERROR(N(INDEX(Ingredients!$AH$6:$AH$105,MATCH(C351,Ingredients!$B$6:$B$105,0))),0))</f>
        <v/>
      </c>
      <c r="P351">
        <f>IF(OR(B351="",C351=""),0,IFERROR(N(INDEX(Ingredients!$AI$6:$AI$105,MATCH(C351,Ingredients!$B$6:$B$105,0))),0))</f>
        <v/>
      </c>
      <c r="Q351">
        <f>IF(OR(B351="",C351=""),0,IFERROR(N(INDEX(Ingredients!$AJ$6:$AJ$105,MATCH(C351,Ingredients!$B$6:$B$105,0))),0))</f>
        <v/>
      </c>
      <c r="R351">
        <f>IF(OR(B351="",C351=""),0,IFERROR(N(INDEX(Ingredients!$AK$6:$AK$105,MATCH(C351,Ingredients!$B$6:$B$105,0))),0))</f>
        <v/>
      </c>
      <c r="S351">
        <f>IF(OR(B351="",C351=""),0,IFERROR(N(INDEX(Ingredients!$AL$6:$AL$105,MATCH(C351,Ingredients!$B$6:$B$105,0))),0))</f>
        <v/>
      </c>
      <c r="T351">
        <f>IF(OR(B351="",C351=""),0,IFERROR(N(INDEX(Ingredients!$AM$6:$AM$105,MATCH(C351,Ingredients!$B$6:$B$105,0))),0))</f>
        <v/>
      </c>
      <c r="U351">
        <f>IF(OR(B351="",C351=""),0,IFERROR(N(INDEX(Ingredients!$AN$6:$AN$105,MATCH(C351,Ingredients!$B$6:$B$105,0))),0))</f>
        <v/>
      </c>
      <c r="V351">
        <f>IF(OR(B351="",C351=""),0,IFERROR(N(INDEX(Ingredients!$AO$6:$AO$105,MATCH(C351,Ingredients!$B$6:$B$105,0))),0))</f>
        <v/>
      </c>
      <c r="W351">
        <f>IF(OR(B351="",C351=""),0,IFERROR(N(INDEX(Ingredients!$AP$6:$AP$105,MATCH(C351,Ingredients!$B$6:$B$105,0))),0))</f>
        <v/>
      </c>
      <c r="X351">
        <f>IF(OR(B351="",C351=""),0,IFERROR(N(INDEX(Ingredients!$AQ$6:$AQ$105,MATCH(C351,Ingredients!$B$6:$B$105,0))),0))</f>
        <v/>
      </c>
    </row>
    <row r="352">
      <c r="A352" s="1" t="n"/>
      <c r="B352" s="21" t="n"/>
      <c r="C352" s="39" t="n"/>
      <c r="D352" s="40" t="n"/>
      <c r="E352" s="12">
        <f>IF(C352="","",IF(ISNA(MATCH(C352,Ingredients!$B$6:$B$105,0)),"Not on Ingredients",IFERROR(IF(INDEX(Ingredients!$C$6:$C$105,MATCH(C352,Ingredients!$B$6:$B$105,0))="","",INDEX(Ingredients!$C$6:$C$105,MATCH(C352,Ingredients!$B$6:$B$105,0))),"")))</f>
        <v/>
      </c>
      <c r="F352" s="26">
        <f>IF(OR(B352="",C352=""),"",N(D352)*IFERROR(N(INDEX(Ingredients!$H$6:$H$105,MATCH(C352,Ingredients!$B$6:$B$105,0))),0))</f>
        <v/>
      </c>
      <c r="G352" s="1">
        <f>IF(OR(B352="",C352=""),0,IFERROR(N(INDEX(Products!$D$6:$D$45,MATCH(B352,Products!$B$6:$B$45,0))),0))</f>
        <v/>
      </c>
      <c r="H352">
        <f>IF(N(G352)=0,0,N(D352)*SUMIFS(Batches!$D$6:$D$505,Batches!$C$6:$C$505,B352)/G352)</f>
        <v/>
      </c>
      <c r="I352">
        <f>IF(OR(B352="",C352=""),"",IF(B352&lt;&gt;Label!$H$3,"",IF(IFERROR(N(INDEX(Ingredients!$AS$6:$AS$105,MATCH(C352,Ingredients!$B$6:$B$105,0))),0)=1,"",ROUND(N(D352)*1000,0)*100000+100000-ROW())))</f>
        <v/>
      </c>
      <c r="J352">
        <f>IF(OR(B352="",C352=""),0,IFERROR(N(INDEX(Ingredients!$AC$6:$AC$105,MATCH(C352,Ingredients!$B$6:$B$105,0))),0))</f>
        <v/>
      </c>
      <c r="K352">
        <f>IF(OR(B352="",C352=""),0,IFERROR(N(INDEX(Ingredients!$AD$6:$AD$105,MATCH(C352,Ingredients!$B$6:$B$105,0))),0))</f>
        <v/>
      </c>
      <c r="L352">
        <f>IF(OR(B352="",C352=""),0,IFERROR(N(INDEX(Ingredients!$AE$6:$AE$105,MATCH(C352,Ingredients!$B$6:$B$105,0))),0))</f>
        <v/>
      </c>
      <c r="M352">
        <f>IF(OR(B352="",C352=""),0,IFERROR(N(INDEX(Ingredients!$AF$6:$AF$105,MATCH(C352,Ingredients!$B$6:$B$105,0))),0))</f>
        <v/>
      </c>
      <c r="N352">
        <f>IF(OR(B352="",C352=""),0,IFERROR(N(INDEX(Ingredients!$AG$6:$AG$105,MATCH(C352,Ingredients!$B$6:$B$105,0))),0))</f>
        <v/>
      </c>
      <c r="O352">
        <f>IF(OR(B352="",C352=""),0,IFERROR(N(INDEX(Ingredients!$AH$6:$AH$105,MATCH(C352,Ingredients!$B$6:$B$105,0))),0))</f>
        <v/>
      </c>
      <c r="P352">
        <f>IF(OR(B352="",C352=""),0,IFERROR(N(INDEX(Ingredients!$AI$6:$AI$105,MATCH(C352,Ingredients!$B$6:$B$105,0))),0))</f>
        <v/>
      </c>
      <c r="Q352">
        <f>IF(OR(B352="",C352=""),0,IFERROR(N(INDEX(Ingredients!$AJ$6:$AJ$105,MATCH(C352,Ingredients!$B$6:$B$105,0))),0))</f>
        <v/>
      </c>
      <c r="R352">
        <f>IF(OR(B352="",C352=""),0,IFERROR(N(INDEX(Ingredients!$AK$6:$AK$105,MATCH(C352,Ingredients!$B$6:$B$105,0))),0))</f>
        <v/>
      </c>
      <c r="S352">
        <f>IF(OR(B352="",C352=""),0,IFERROR(N(INDEX(Ingredients!$AL$6:$AL$105,MATCH(C352,Ingredients!$B$6:$B$105,0))),0))</f>
        <v/>
      </c>
      <c r="T352">
        <f>IF(OR(B352="",C352=""),0,IFERROR(N(INDEX(Ingredients!$AM$6:$AM$105,MATCH(C352,Ingredients!$B$6:$B$105,0))),0))</f>
        <v/>
      </c>
      <c r="U352">
        <f>IF(OR(B352="",C352=""),0,IFERROR(N(INDEX(Ingredients!$AN$6:$AN$105,MATCH(C352,Ingredients!$B$6:$B$105,0))),0))</f>
        <v/>
      </c>
      <c r="V352">
        <f>IF(OR(B352="",C352=""),0,IFERROR(N(INDEX(Ingredients!$AO$6:$AO$105,MATCH(C352,Ingredients!$B$6:$B$105,0))),0))</f>
        <v/>
      </c>
      <c r="W352">
        <f>IF(OR(B352="",C352=""),0,IFERROR(N(INDEX(Ingredients!$AP$6:$AP$105,MATCH(C352,Ingredients!$B$6:$B$105,0))),0))</f>
        <v/>
      </c>
      <c r="X352">
        <f>IF(OR(B352="",C352=""),0,IFERROR(N(INDEX(Ingredients!$AQ$6:$AQ$105,MATCH(C352,Ingredients!$B$6:$B$105,0))),0))</f>
        <v/>
      </c>
    </row>
    <row r="353">
      <c r="A353" s="1" t="n"/>
      <c r="B353" s="21" t="n"/>
      <c r="C353" s="39" t="n"/>
      <c r="D353" s="40" t="n"/>
      <c r="E353" s="12">
        <f>IF(C353="","",IF(ISNA(MATCH(C353,Ingredients!$B$6:$B$105,0)),"Not on Ingredients",IFERROR(IF(INDEX(Ingredients!$C$6:$C$105,MATCH(C353,Ingredients!$B$6:$B$105,0))="","",INDEX(Ingredients!$C$6:$C$105,MATCH(C353,Ingredients!$B$6:$B$105,0))),"")))</f>
        <v/>
      </c>
      <c r="F353" s="26">
        <f>IF(OR(B353="",C353=""),"",N(D353)*IFERROR(N(INDEX(Ingredients!$H$6:$H$105,MATCH(C353,Ingredients!$B$6:$B$105,0))),0))</f>
        <v/>
      </c>
      <c r="G353" s="1">
        <f>IF(OR(B353="",C353=""),0,IFERROR(N(INDEX(Products!$D$6:$D$45,MATCH(B353,Products!$B$6:$B$45,0))),0))</f>
        <v/>
      </c>
      <c r="H353">
        <f>IF(N(G353)=0,0,N(D353)*SUMIFS(Batches!$D$6:$D$505,Batches!$C$6:$C$505,B353)/G353)</f>
        <v/>
      </c>
      <c r="I353">
        <f>IF(OR(B353="",C353=""),"",IF(B353&lt;&gt;Label!$H$3,"",IF(IFERROR(N(INDEX(Ingredients!$AS$6:$AS$105,MATCH(C353,Ingredients!$B$6:$B$105,0))),0)=1,"",ROUND(N(D353)*1000,0)*100000+100000-ROW())))</f>
        <v/>
      </c>
      <c r="J353">
        <f>IF(OR(B353="",C353=""),0,IFERROR(N(INDEX(Ingredients!$AC$6:$AC$105,MATCH(C353,Ingredients!$B$6:$B$105,0))),0))</f>
        <v/>
      </c>
      <c r="K353">
        <f>IF(OR(B353="",C353=""),0,IFERROR(N(INDEX(Ingredients!$AD$6:$AD$105,MATCH(C353,Ingredients!$B$6:$B$105,0))),0))</f>
        <v/>
      </c>
      <c r="L353">
        <f>IF(OR(B353="",C353=""),0,IFERROR(N(INDEX(Ingredients!$AE$6:$AE$105,MATCH(C353,Ingredients!$B$6:$B$105,0))),0))</f>
        <v/>
      </c>
      <c r="M353">
        <f>IF(OR(B353="",C353=""),0,IFERROR(N(INDEX(Ingredients!$AF$6:$AF$105,MATCH(C353,Ingredients!$B$6:$B$105,0))),0))</f>
        <v/>
      </c>
      <c r="N353">
        <f>IF(OR(B353="",C353=""),0,IFERROR(N(INDEX(Ingredients!$AG$6:$AG$105,MATCH(C353,Ingredients!$B$6:$B$105,0))),0))</f>
        <v/>
      </c>
      <c r="O353">
        <f>IF(OR(B353="",C353=""),0,IFERROR(N(INDEX(Ingredients!$AH$6:$AH$105,MATCH(C353,Ingredients!$B$6:$B$105,0))),0))</f>
        <v/>
      </c>
      <c r="P353">
        <f>IF(OR(B353="",C353=""),0,IFERROR(N(INDEX(Ingredients!$AI$6:$AI$105,MATCH(C353,Ingredients!$B$6:$B$105,0))),0))</f>
        <v/>
      </c>
      <c r="Q353">
        <f>IF(OR(B353="",C353=""),0,IFERROR(N(INDEX(Ingredients!$AJ$6:$AJ$105,MATCH(C353,Ingredients!$B$6:$B$105,0))),0))</f>
        <v/>
      </c>
      <c r="R353">
        <f>IF(OR(B353="",C353=""),0,IFERROR(N(INDEX(Ingredients!$AK$6:$AK$105,MATCH(C353,Ingredients!$B$6:$B$105,0))),0))</f>
        <v/>
      </c>
      <c r="S353">
        <f>IF(OR(B353="",C353=""),0,IFERROR(N(INDEX(Ingredients!$AL$6:$AL$105,MATCH(C353,Ingredients!$B$6:$B$105,0))),0))</f>
        <v/>
      </c>
      <c r="T353">
        <f>IF(OR(B353="",C353=""),0,IFERROR(N(INDEX(Ingredients!$AM$6:$AM$105,MATCH(C353,Ingredients!$B$6:$B$105,0))),0))</f>
        <v/>
      </c>
      <c r="U353">
        <f>IF(OR(B353="",C353=""),0,IFERROR(N(INDEX(Ingredients!$AN$6:$AN$105,MATCH(C353,Ingredients!$B$6:$B$105,0))),0))</f>
        <v/>
      </c>
      <c r="V353">
        <f>IF(OR(B353="",C353=""),0,IFERROR(N(INDEX(Ingredients!$AO$6:$AO$105,MATCH(C353,Ingredients!$B$6:$B$105,0))),0))</f>
        <v/>
      </c>
      <c r="W353">
        <f>IF(OR(B353="",C353=""),0,IFERROR(N(INDEX(Ingredients!$AP$6:$AP$105,MATCH(C353,Ingredients!$B$6:$B$105,0))),0))</f>
        <v/>
      </c>
      <c r="X353">
        <f>IF(OR(B353="",C353=""),0,IFERROR(N(INDEX(Ingredients!$AQ$6:$AQ$105,MATCH(C353,Ingredients!$B$6:$B$105,0))),0))</f>
        <v/>
      </c>
    </row>
    <row r="354">
      <c r="A354" s="1" t="n"/>
      <c r="B354" s="21" t="n"/>
      <c r="C354" s="39" t="n"/>
      <c r="D354" s="40" t="n"/>
      <c r="E354" s="12">
        <f>IF(C354="","",IF(ISNA(MATCH(C354,Ingredients!$B$6:$B$105,0)),"Not on Ingredients",IFERROR(IF(INDEX(Ingredients!$C$6:$C$105,MATCH(C354,Ingredients!$B$6:$B$105,0))="","",INDEX(Ingredients!$C$6:$C$105,MATCH(C354,Ingredients!$B$6:$B$105,0))),"")))</f>
        <v/>
      </c>
      <c r="F354" s="26">
        <f>IF(OR(B354="",C354=""),"",N(D354)*IFERROR(N(INDEX(Ingredients!$H$6:$H$105,MATCH(C354,Ingredients!$B$6:$B$105,0))),0))</f>
        <v/>
      </c>
      <c r="G354" s="1">
        <f>IF(OR(B354="",C354=""),0,IFERROR(N(INDEX(Products!$D$6:$D$45,MATCH(B354,Products!$B$6:$B$45,0))),0))</f>
        <v/>
      </c>
      <c r="H354">
        <f>IF(N(G354)=0,0,N(D354)*SUMIFS(Batches!$D$6:$D$505,Batches!$C$6:$C$505,B354)/G354)</f>
        <v/>
      </c>
      <c r="I354">
        <f>IF(OR(B354="",C354=""),"",IF(B354&lt;&gt;Label!$H$3,"",IF(IFERROR(N(INDEX(Ingredients!$AS$6:$AS$105,MATCH(C354,Ingredients!$B$6:$B$105,0))),0)=1,"",ROUND(N(D354)*1000,0)*100000+100000-ROW())))</f>
        <v/>
      </c>
      <c r="J354">
        <f>IF(OR(B354="",C354=""),0,IFERROR(N(INDEX(Ingredients!$AC$6:$AC$105,MATCH(C354,Ingredients!$B$6:$B$105,0))),0))</f>
        <v/>
      </c>
      <c r="K354">
        <f>IF(OR(B354="",C354=""),0,IFERROR(N(INDEX(Ingredients!$AD$6:$AD$105,MATCH(C354,Ingredients!$B$6:$B$105,0))),0))</f>
        <v/>
      </c>
      <c r="L354">
        <f>IF(OR(B354="",C354=""),0,IFERROR(N(INDEX(Ingredients!$AE$6:$AE$105,MATCH(C354,Ingredients!$B$6:$B$105,0))),0))</f>
        <v/>
      </c>
      <c r="M354">
        <f>IF(OR(B354="",C354=""),0,IFERROR(N(INDEX(Ingredients!$AF$6:$AF$105,MATCH(C354,Ingredients!$B$6:$B$105,0))),0))</f>
        <v/>
      </c>
      <c r="N354">
        <f>IF(OR(B354="",C354=""),0,IFERROR(N(INDEX(Ingredients!$AG$6:$AG$105,MATCH(C354,Ingredients!$B$6:$B$105,0))),0))</f>
        <v/>
      </c>
      <c r="O354">
        <f>IF(OR(B354="",C354=""),0,IFERROR(N(INDEX(Ingredients!$AH$6:$AH$105,MATCH(C354,Ingredients!$B$6:$B$105,0))),0))</f>
        <v/>
      </c>
      <c r="P354">
        <f>IF(OR(B354="",C354=""),0,IFERROR(N(INDEX(Ingredients!$AI$6:$AI$105,MATCH(C354,Ingredients!$B$6:$B$105,0))),0))</f>
        <v/>
      </c>
      <c r="Q354">
        <f>IF(OR(B354="",C354=""),0,IFERROR(N(INDEX(Ingredients!$AJ$6:$AJ$105,MATCH(C354,Ingredients!$B$6:$B$105,0))),0))</f>
        <v/>
      </c>
      <c r="R354">
        <f>IF(OR(B354="",C354=""),0,IFERROR(N(INDEX(Ingredients!$AK$6:$AK$105,MATCH(C354,Ingredients!$B$6:$B$105,0))),0))</f>
        <v/>
      </c>
      <c r="S354">
        <f>IF(OR(B354="",C354=""),0,IFERROR(N(INDEX(Ingredients!$AL$6:$AL$105,MATCH(C354,Ingredients!$B$6:$B$105,0))),0))</f>
        <v/>
      </c>
      <c r="T354">
        <f>IF(OR(B354="",C354=""),0,IFERROR(N(INDEX(Ingredients!$AM$6:$AM$105,MATCH(C354,Ingredients!$B$6:$B$105,0))),0))</f>
        <v/>
      </c>
      <c r="U354">
        <f>IF(OR(B354="",C354=""),0,IFERROR(N(INDEX(Ingredients!$AN$6:$AN$105,MATCH(C354,Ingredients!$B$6:$B$105,0))),0))</f>
        <v/>
      </c>
      <c r="V354">
        <f>IF(OR(B354="",C354=""),0,IFERROR(N(INDEX(Ingredients!$AO$6:$AO$105,MATCH(C354,Ingredients!$B$6:$B$105,0))),0))</f>
        <v/>
      </c>
      <c r="W354">
        <f>IF(OR(B354="",C354=""),0,IFERROR(N(INDEX(Ingredients!$AP$6:$AP$105,MATCH(C354,Ingredients!$B$6:$B$105,0))),0))</f>
        <v/>
      </c>
      <c r="X354">
        <f>IF(OR(B354="",C354=""),0,IFERROR(N(INDEX(Ingredients!$AQ$6:$AQ$105,MATCH(C354,Ingredients!$B$6:$B$105,0))),0))</f>
        <v/>
      </c>
    </row>
    <row r="355">
      <c r="A355" s="1" t="n"/>
      <c r="B355" s="21" t="n"/>
      <c r="C355" s="39" t="n"/>
      <c r="D355" s="40" t="n"/>
      <c r="E355" s="12">
        <f>IF(C355="","",IF(ISNA(MATCH(C355,Ingredients!$B$6:$B$105,0)),"Not on Ingredients",IFERROR(IF(INDEX(Ingredients!$C$6:$C$105,MATCH(C355,Ingredients!$B$6:$B$105,0))="","",INDEX(Ingredients!$C$6:$C$105,MATCH(C355,Ingredients!$B$6:$B$105,0))),"")))</f>
        <v/>
      </c>
      <c r="F355" s="26">
        <f>IF(OR(B355="",C355=""),"",N(D355)*IFERROR(N(INDEX(Ingredients!$H$6:$H$105,MATCH(C355,Ingredients!$B$6:$B$105,0))),0))</f>
        <v/>
      </c>
      <c r="G355" s="1">
        <f>IF(OR(B355="",C355=""),0,IFERROR(N(INDEX(Products!$D$6:$D$45,MATCH(B355,Products!$B$6:$B$45,0))),0))</f>
        <v/>
      </c>
      <c r="H355">
        <f>IF(N(G355)=0,0,N(D355)*SUMIFS(Batches!$D$6:$D$505,Batches!$C$6:$C$505,B355)/G355)</f>
        <v/>
      </c>
      <c r="I355">
        <f>IF(OR(B355="",C355=""),"",IF(B355&lt;&gt;Label!$H$3,"",IF(IFERROR(N(INDEX(Ingredients!$AS$6:$AS$105,MATCH(C355,Ingredients!$B$6:$B$105,0))),0)=1,"",ROUND(N(D355)*1000,0)*100000+100000-ROW())))</f>
        <v/>
      </c>
      <c r="J355">
        <f>IF(OR(B355="",C355=""),0,IFERROR(N(INDEX(Ingredients!$AC$6:$AC$105,MATCH(C355,Ingredients!$B$6:$B$105,0))),0))</f>
        <v/>
      </c>
      <c r="K355">
        <f>IF(OR(B355="",C355=""),0,IFERROR(N(INDEX(Ingredients!$AD$6:$AD$105,MATCH(C355,Ingredients!$B$6:$B$105,0))),0))</f>
        <v/>
      </c>
      <c r="L355">
        <f>IF(OR(B355="",C355=""),0,IFERROR(N(INDEX(Ingredients!$AE$6:$AE$105,MATCH(C355,Ingredients!$B$6:$B$105,0))),0))</f>
        <v/>
      </c>
      <c r="M355">
        <f>IF(OR(B355="",C355=""),0,IFERROR(N(INDEX(Ingredients!$AF$6:$AF$105,MATCH(C355,Ingredients!$B$6:$B$105,0))),0))</f>
        <v/>
      </c>
      <c r="N355">
        <f>IF(OR(B355="",C355=""),0,IFERROR(N(INDEX(Ingredients!$AG$6:$AG$105,MATCH(C355,Ingredients!$B$6:$B$105,0))),0))</f>
        <v/>
      </c>
      <c r="O355">
        <f>IF(OR(B355="",C355=""),0,IFERROR(N(INDEX(Ingredients!$AH$6:$AH$105,MATCH(C355,Ingredients!$B$6:$B$105,0))),0))</f>
        <v/>
      </c>
      <c r="P355">
        <f>IF(OR(B355="",C355=""),0,IFERROR(N(INDEX(Ingredients!$AI$6:$AI$105,MATCH(C355,Ingredients!$B$6:$B$105,0))),0))</f>
        <v/>
      </c>
      <c r="Q355">
        <f>IF(OR(B355="",C355=""),0,IFERROR(N(INDEX(Ingredients!$AJ$6:$AJ$105,MATCH(C355,Ingredients!$B$6:$B$105,0))),0))</f>
        <v/>
      </c>
      <c r="R355">
        <f>IF(OR(B355="",C355=""),0,IFERROR(N(INDEX(Ingredients!$AK$6:$AK$105,MATCH(C355,Ingredients!$B$6:$B$105,0))),0))</f>
        <v/>
      </c>
      <c r="S355">
        <f>IF(OR(B355="",C355=""),0,IFERROR(N(INDEX(Ingredients!$AL$6:$AL$105,MATCH(C355,Ingredients!$B$6:$B$105,0))),0))</f>
        <v/>
      </c>
      <c r="T355">
        <f>IF(OR(B355="",C355=""),0,IFERROR(N(INDEX(Ingredients!$AM$6:$AM$105,MATCH(C355,Ingredients!$B$6:$B$105,0))),0))</f>
        <v/>
      </c>
      <c r="U355">
        <f>IF(OR(B355="",C355=""),0,IFERROR(N(INDEX(Ingredients!$AN$6:$AN$105,MATCH(C355,Ingredients!$B$6:$B$105,0))),0))</f>
        <v/>
      </c>
      <c r="V355">
        <f>IF(OR(B355="",C355=""),0,IFERROR(N(INDEX(Ingredients!$AO$6:$AO$105,MATCH(C355,Ingredients!$B$6:$B$105,0))),0))</f>
        <v/>
      </c>
      <c r="W355">
        <f>IF(OR(B355="",C355=""),0,IFERROR(N(INDEX(Ingredients!$AP$6:$AP$105,MATCH(C355,Ingredients!$B$6:$B$105,0))),0))</f>
        <v/>
      </c>
      <c r="X355">
        <f>IF(OR(B355="",C355=""),0,IFERROR(N(INDEX(Ingredients!$AQ$6:$AQ$105,MATCH(C355,Ingredients!$B$6:$B$105,0))),0))</f>
        <v/>
      </c>
    </row>
    <row r="356">
      <c r="A356" s="1" t="n"/>
      <c r="B356" s="21" t="n"/>
      <c r="C356" s="39" t="n"/>
      <c r="D356" s="40" t="n"/>
      <c r="E356" s="12">
        <f>IF(C356="","",IF(ISNA(MATCH(C356,Ingredients!$B$6:$B$105,0)),"Not on Ingredients",IFERROR(IF(INDEX(Ingredients!$C$6:$C$105,MATCH(C356,Ingredients!$B$6:$B$105,0))="","",INDEX(Ingredients!$C$6:$C$105,MATCH(C356,Ingredients!$B$6:$B$105,0))),"")))</f>
        <v/>
      </c>
      <c r="F356" s="26">
        <f>IF(OR(B356="",C356=""),"",N(D356)*IFERROR(N(INDEX(Ingredients!$H$6:$H$105,MATCH(C356,Ingredients!$B$6:$B$105,0))),0))</f>
        <v/>
      </c>
      <c r="G356" s="1">
        <f>IF(OR(B356="",C356=""),0,IFERROR(N(INDEX(Products!$D$6:$D$45,MATCH(B356,Products!$B$6:$B$45,0))),0))</f>
        <v/>
      </c>
      <c r="H356">
        <f>IF(N(G356)=0,0,N(D356)*SUMIFS(Batches!$D$6:$D$505,Batches!$C$6:$C$505,B356)/G356)</f>
        <v/>
      </c>
      <c r="I356">
        <f>IF(OR(B356="",C356=""),"",IF(B356&lt;&gt;Label!$H$3,"",IF(IFERROR(N(INDEX(Ingredients!$AS$6:$AS$105,MATCH(C356,Ingredients!$B$6:$B$105,0))),0)=1,"",ROUND(N(D356)*1000,0)*100000+100000-ROW())))</f>
        <v/>
      </c>
      <c r="J356">
        <f>IF(OR(B356="",C356=""),0,IFERROR(N(INDEX(Ingredients!$AC$6:$AC$105,MATCH(C356,Ingredients!$B$6:$B$105,0))),0))</f>
        <v/>
      </c>
      <c r="K356">
        <f>IF(OR(B356="",C356=""),0,IFERROR(N(INDEX(Ingredients!$AD$6:$AD$105,MATCH(C356,Ingredients!$B$6:$B$105,0))),0))</f>
        <v/>
      </c>
      <c r="L356">
        <f>IF(OR(B356="",C356=""),0,IFERROR(N(INDEX(Ingredients!$AE$6:$AE$105,MATCH(C356,Ingredients!$B$6:$B$105,0))),0))</f>
        <v/>
      </c>
      <c r="M356">
        <f>IF(OR(B356="",C356=""),0,IFERROR(N(INDEX(Ingredients!$AF$6:$AF$105,MATCH(C356,Ingredients!$B$6:$B$105,0))),0))</f>
        <v/>
      </c>
      <c r="N356">
        <f>IF(OR(B356="",C356=""),0,IFERROR(N(INDEX(Ingredients!$AG$6:$AG$105,MATCH(C356,Ingredients!$B$6:$B$105,0))),0))</f>
        <v/>
      </c>
      <c r="O356">
        <f>IF(OR(B356="",C356=""),0,IFERROR(N(INDEX(Ingredients!$AH$6:$AH$105,MATCH(C356,Ingredients!$B$6:$B$105,0))),0))</f>
        <v/>
      </c>
      <c r="P356">
        <f>IF(OR(B356="",C356=""),0,IFERROR(N(INDEX(Ingredients!$AI$6:$AI$105,MATCH(C356,Ingredients!$B$6:$B$105,0))),0))</f>
        <v/>
      </c>
      <c r="Q356">
        <f>IF(OR(B356="",C356=""),0,IFERROR(N(INDEX(Ingredients!$AJ$6:$AJ$105,MATCH(C356,Ingredients!$B$6:$B$105,0))),0))</f>
        <v/>
      </c>
      <c r="R356">
        <f>IF(OR(B356="",C356=""),0,IFERROR(N(INDEX(Ingredients!$AK$6:$AK$105,MATCH(C356,Ingredients!$B$6:$B$105,0))),0))</f>
        <v/>
      </c>
      <c r="S356">
        <f>IF(OR(B356="",C356=""),0,IFERROR(N(INDEX(Ingredients!$AL$6:$AL$105,MATCH(C356,Ingredients!$B$6:$B$105,0))),0))</f>
        <v/>
      </c>
      <c r="T356">
        <f>IF(OR(B356="",C356=""),0,IFERROR(N(INDEX(Ingredients!$AM$6:$AM$105,MATCH(C356,Ingredients!$B$6:$B$105,0))),0))</f>
        <v/>
      </c>
      <c r="U356">
        <f>IF(OR(B356="",C356=""),0,IFERROR(N(INDEX(Ingredients!$AN$6:$AN$105,MATCH(C356,Ingredients!$B$6:$B$105,0))),0))</f>
        <v/>
      </c>
      <c r="V356">
        <f>IF(OR(B356="",C356=""),0,IFERROR(N(INDEX(Ingredients!$AO$6:$AO$105,MATCH(C356,Ingredients!$B$6:$B$105,0))),0))</f>
        <v/>
      </c>
      <c r="W356">
        <f>IF(OR(B356="",C356=""),0,IFERROR(N(INDEX(Ingredients!$AP$6:$AP$105,MATCH(C356,Ingredients!$B$6:$B$105,0))),0))</f>
        <v/>
      </c>
      <c r="X356">
        <f>IF(OR(B356="",C356=""),0,IFERROR(N(INDEX(Ingredients!$AQ$6:$AQ$105,MATCH(C356,Ingredients!$B$6:$B$105,0))),0))</f>
        <v/>
      </c>
    </row>
    <row r="357">
      <c r="A357" s="1" t="n"/>
      <c r="B357" s="21" t="n"/>
      <c r="C357" s="39" t="n"/>
      <c r="D357" s="40" t="n"/>
      <c r="E357" s="12">
        <f>IF(C357="","",IF(ISNA(MATCH(C357,Ingredients!$B$6:$B$105,0)),"Not on Ingredients",IFERROR(IF(INDEX(Ingredients!$C$6:$C$105,MATCH(C357,Ingredients!$B$6:$B$105,0))="","",INDEX(Ingredients!$C$6:$C$105,MATCH(C357,Ingredients!$B$6:$B$105,0))),"")))</f>
        <v/>
      </c>
      <c r="F357" s="26">
        <f>IF(OR(B357="",C357=""),"",N(D357)*IFERROR(N(INDEX(Ingredients!$H$6:$H$105,MATCH(C357,Ingredients!$B$6:$B$105,0))),0))</f>
        <v/>
      </c>
      <c r="G357" s="1">
        <f>IF(OR(B357="",C357=""),0,IFERROR(N(INDEX(Products!$D$6:$D$45,MATCH(B357,Products!$B$6:$B$45,0))),0))</f>
        <v/>
      </c>
      <c r="H357">
        <f>IF(N(G357)=0,0,N(D357)*SUMIFS(Batches!$D$6:$D$505,Batches!$C$6:$C$505,B357)/G357)</f>
        <v/>
      </c>
      <c r="I357">
        <f>IF(OR(B357="",C357=""),"",IF(B357&lt;&gt;Label!$H$3,"",IF(IFERROR(N(INDEX(Ingredients!$AS$6:$AS$105,MATCH(C357,Ingredients!$B$6:$B$105,0))),0)=1,"",ROUND(N(D357)*1000,0)*100000+100000-ROW())))</f>
        <v/>
      </c>
      <c r="J357">
        <f>IF(OR(B357="",C357=""),0,IFERROR(N(INDEX(Ingredients!$AC$6:$AC$105,MATCH(C357,Ingredients!$B$6:$B$105,0))),0))</f>
        <v/>
      </c>
      <c r="K357">
        <f>IF(OR(B357="",C357=""),0,IFERROR(N(INDEX(Ingredients!$AD$6:$AD$105,MATCH(C357,Ingredients!$B$6:$B$105,0))),0))</f>
        <v/>
      </c>
      <c r="L357">
        <f>IF(OR(B357="",C357=""),0,IFERROR(N(INDEX(Ingredients!$AE$6:$AE$105,MATCH(C357,Ingredients!$B$6:$B$105,0))),0))</f>
        <v/>
      </c>
      <c r="M357">
        <f>IF(OR(B357="",C357=""),0,IFERROR(N(INDEX(Ingredients!$AF$6:$AF$105,MATCH(C357,Ingredients!$B$6:$B$105,0))),0))</f>
        <v/>
      </c>
      <c r="N357">
        <f>IF(OR(B357="",C357=""),0,IFERROR(N(INDEX(Ingredients!$AG$6:$AG$105,MATCH(C357,Ingredients!$B$6:$B$105,0))),0))</f>
        <v/>
      </c>
      <c r="O357">
        <f>IF(OR(B357="",C357=""),0,IFERROR(N(INDEX(Ingredients!$AH$6:$AH$105,MATCH(C357,Ingredients!$B$6:$B$105,0))),0))</f>
        <v/>
      </c>
      <c r="P357">
        <f>IF(OR(B357="",C357=""),0,IFERROR(N(INDEX(Ingredients!$AI$6:$AI$105,MATCH(C357,Ingredients!$B$6:$B$105,0))),0))</f>
        <v/>
      </c>
      <c r="Q357">
        <f>IF(OR(B357="",C357=""),0,IFERROR(N(INDEX(Ingredients!$AJ$6:$AJ$105,MATCH(C357,Ingredients!$B$6:$B$105,0))),0))</f>
        <v/>
      </c>
      <c r="R357">
        <f>IF(OR(B357="",C357=""),0,IFERROR(N(INDEX(Ingredients!$AK$6:$AK$105,MATCH(C357,Ingredients!$B$6:$B$105,0))),0))</f>
        <v/>
      </c>
      <c r="S357">
        <f>IF(OR(B357="",C357=""),0,IFERROR(N(INDEX(Ingredients!$AL$6:$AL$105,MATCH(C357,Ingredients!$B$6:$B$105,0))),0))</f>
        <v/>
      </c>
      <c r="T357">
        <f>IF(OR(B357="",C357=""),0,IFERROR(N(INDEX(Ingredients!$AM$6:$AM$105,MATCH(C357,Ingredients!$B$6:$B$105,0))),0))</f>
        <v/>
      </c>
      <c r="U357">
        <f>IF(OR(B357="",C357=""),0,IFERROR(N(INDEX(Ingredients!$AN$6:$AN$105,MATCH(C357,Ingredients!$B$6:$B$105,0))),0))</f>
        <v/>
      </c>
      <c r="V357">
        <f>IF(OR(B357="",C357=""),0,IFERROR(N(INDEX(Ingredients!$AO$6:$AO$105,MATCH(C357,Ingredients!$B$6:$B$105,0))),0))</f>
        <v/>
      </c>
      <c r="W357">
        <f>IF(OR(B357="",C357=""),0,IFERROR(N(INDEX(Ingredients!$AP$6:$AP$105,MATCH(C357,Ingredients!$B$6:$B$105,0))),0))</f>
        <v/>
      </c>
      <c r="X357">
        <f>IF(OR(B357="",C357=""),0,IFERROR(N(INDEX(Ingredients!$AQ$6:$AQ$105,MATCH(C357,Ingredients!$B$6:$B$105,0))),0))</f>
        <v/>
      </c>
    </row>
    <row r="358">
      <c r="A358" s="1" t="n"/>
      <c r="B358" s="21" t="n"/>
      <c r="C358" s="39" t="n"/>
      <c r="D358" s="40" t="n"/>
      <c r="E358" s="12">
        <f>IF(C358="","",IF(ISNA(MATCH(C358,Ingredients!$B$6:$B$105,0)),"Not on Ingredients",IFERROR(IF(INDEX(Ingredients!$C$6:$C$105,MATCH(C358,Ingredients!$B$6:$B$105,0))="","",INDEX(Ingredients!$C$6:$C$105,MATCH(C358,Ingredients!$B$6:$B$105,0))),"")))</f>
        <v/>
      </c>
      <c r="F358" s="26">
        <f>IF(OR(B358="",C358=""),"",N(D358)*IFERROR(N(INDEX(Ingredients!$H$6:$H$105,MATCH(C358,Ingredients!$B$6:$B$105,0))),0))</f>
        <v/>
      </c>
      <c r="G358" s="1">
        <f>IF(OR(B358="",C358=""),0,IFERROR(N(INDEX(Products!$D$6:$D$45,MATCH(B358,Products!$B$6:$B$45,0))),0))</f>
        <v/>
      </c>
      <c r="H358">
        <f>IF(N(G358)=0,0,N(D358)*SUMIFS(Batches!$D$6:$D$505,Batches!$C$6:$C$505,B358)/G358)</f>
        <v/>
      </c>
      <c r="I358">
        <f>IF(OR(B358="",C358=""),"",IF(B358&lt;&gt;Label!$H$3,"",IF(IFERROR(N(INDEX(Ingredients!$AS$6:$AS$105,MATCH(C358,Ingredients!$B$6:$B$105,0))),0)=1,"",ROUND(N(D358)*1000,0)*100000+100000-ROW())))</f>
        <v/>
      </c>
      <c r="J358">
        <f>IF(OR(B358="",C358=""),0,IFERROR(N(INDEX(Ingredients!$AC$6:$AC$105,MATCH(C358,Ingredients!$B$6:$B$105,0))),0))</f>
        <v/>
      </c>
      <c r="K358">
        <f>IF(OR(B358="",C358=""),0,IFERROR(N(INDEX(Ingredients!$AD$6:$AD$105,MATCH(C358,Ingredients!$B$6:$B$105,0))),0))</f>
        <v/>
      </c>
      <c r="L358">
        <f>IF(OR(B358="",C358=""),0,IFERROR(N(INDEX(Ingredients!$AE$6:$AE$105,MATCH(C358,Ingredients!$B$6:$B$105,0))),0))</f>
        <v/>
      </c>
      <c r="M358">
        <f>IF(OR(B358="",C358=""),0,IFERROR(N(INDEX(Ingredients!$AF$6:$AF$105,MATCH(C358,Ingredients!$B$6:$B$105,0))),0))</f>
        <v/>
      </c>
      <c r="N358">
        <f>IF(OR(B358="",C358=""),0,IFERROR(N(INDEX(Ingredients!$AG$6:$AG$105,MATCH(C358,Ingredients!$B$6:$B$105,0))),0))</f>
        <v/>
      </c>
      <c r="O358">
        <f>IF(OR(B358="",C358=""),0,IFERROR(N(INDEX(Ingredients!$AH$6:$AH$105,MATCH(C358,Ingredients!$B$6:$B$105,0))),0))</f>
        <v/>
      </c>
      <c r="P358">
        <f>IF(OR(B358="",C358=""),0,IFERROR(N(INDEX(Ingredients!$AI$6:$AI$105,MATCH(C358,Ingredients!$B$6:$B$105,0))),0))</f>
        <v/>
      </c>
      <c r="Q358">
        <f>IF(OR(B358="",C358=""),0,IFERROR(N(INDEX(Ingredients!$AJ$6:$AJ$105,MATCH(C358,Ingredients!$B$6:$B$105,0))),0))</f>
        <v/>
      </c>
      <c r="R358">
        <f>IF(OR(B358="",C358=""),0,IFERROR(N(INDEX(Ingredients!$AK$6:$AK$105,MATCH(C358,Ingredients!$B$6:$B$105,0))),0))</f>
        <v/>
      </c>
      <c r="S358">
        <f>IF(OR(B358="",C358=""),0,IFERROR(N(INDEX(Ingredients!$AL$6:$AL$105,MATCH(C358,Ingredients!$B$6:$B$105,0))),0))</f>
        <v/>
      </c>
      <c r="T358">
        <f>IF(OR(B358="",C358=""),0,IFERROR(N(INDEX(Ingredients!$AM$6:$AM$105,MATCH(C358,Ingredients!$B$6:$B$105,0))),0))</f>
        <v/>
      </c>
      <c r="U358">
        <f>IF(OR(B358="",C358=""),0,IFERROR(N(INDEX(Ingredients!$AN$6:$AN$105,MATCH(C358,Ingredients!$B$6:$B$105,0))),0))</f>
        <v/>
      </c>
      <c r="V358">
        <f>IF(OR(B358="",C358=""),0,IFERROR(N(INDEX(Ingredients!$AO$6:$AO$105,MATCH(C358,Ingredients!$B$6:$B$105,0))),0))</f>
        <v/>
      </c>
      <c r="W358">
        <f>IF(OR(B358="",C358=""),0,IFERROR(N(INDEX(Ingredients!$AP$6:$AP$105,MATCH(C358,Ingredients!$B$6:$B$105,0))),0))</f>
        <v/>
      </c>
      <c r="X358">
        <f>IF(OR(B358="",C358=""),0,IFERROR(N(INDEX(Ingredients!$AQ$6:$AQ$105,MATCH(C358,Ingredients!$B$6:$B$105,0))),0))</f>
        <v/>
      </c>
    </row>
    <row r="359">
      <c r="A359" s="1" t="n"/>
      <c r="B359" s="21" t="n"/>
      <c r="C359" s="39" t="n"/>
      <c r="D359" s="40" t="n"/>
      <c r="E359" s="12">
        <f>IF(C359="","",IF(ISNA(MATCH(C359,Ingredients!$B$6:$B$105,0)),"Not on Ingredients",IFERROR(IF(INDEX(Ingredients!$C$6:$C$105,MATCH(C359,Ingredients!$B$6:$B$105,0))="","",INDEX(Ingredients!$C$6:$C$105,MATCH(C359,Ingredients!$B$6:$B$105,0))),"")))</f>
        <v/>
      </c>
      <c r="F359" s="26">
        <f>IF(OR(B359="",C359=""),"",N(D359)*IFERROR(N(INDEX(Ingredients!$H$6:$H$105,MATCH(C359,Ingredients!$B$6:$B$105,0))),0))</f>
        <v/>
      </c>
      <c r="G359" s="1">
        <f>IF(OR(B359="",C359=""),0,IFERROR(N(INDEX(Products!$D$6:$D$45,MATCH(B359,Products!$B$6:$B$45,0))),0))</f>
        <v/>
      </c>
      <c r="H359">
        <f>IF(N(G359)=0,0,N(D359)*SUMIFS(Batches!$D$6:$D$505,Batches!$C$6:$C$505,B359)/G359)</f>
        <v/>
      </c>
      <c r="I359">
        <f>IF(OR(B359="",C359=""),"",IF(B359&lt;&gt;Label!$H$3,"",IF(IFERROR(N(INDEX(Ingredients!$AS$6:$AS$105,MATCH(C359,Ingredients!$B$6:$B$105,0))),0)=1,"",ROUND(N(D359)*1000,0)*100000+100000-ROW())))</f>
        <v/>
      </c>
      <c r="J359">
        <f>IF(OR(B359="",C359=""),0,IFERROR(N(INDEX(Ingredients!$AC$6:$AC$105,MATCH(C359,Ingredients!$B$6:$B$105,0))),0))</f>
        <v/>
      </c>
      <c r="K359">
        <f>IF(OR(B359="",C359=""),0,IFERROR(N(INDEX(Ingredients!$AD$6:$AD$105,MATCH(C359,Ingredients!$B$6:$B$105,0))),0))</f>
        <v/>
      </c>
      <c r="L359">
        <f>IF(OR(B359="",C359=""),0,IFERROR(N(INDEX(Ingredients!$AE$6:$AE$105,MATCH(C359,Ingredients!$B$6:$B$105,0))),0))</f>
        <v/>
      </c>
      <c r="M359">
        <f>IF(OR(B359="",C359=""),0,IFERROR(N(INDEX(Ingredients!$AF$6:$AF$105,MATCH(C359,Ingredients!$B$6:$B$105,0))),0))</f>
        <v/>
      </c>
      <c r="N359">
        <f>IF(OR(B359="",C359=""),0,IFERROR(N(INDEX(Ingredients!$AG$6:$AG$105,MATCH(C359,Ingredients!$B$6:$B$105,0))),0))</f>
        <v/>
      </c>
      <c r="O359">
        <f>IF(OR(B359="",C359=""),0,IFERROR(N(INDEX(Ingredients!$AH$6:$AH$105,MATCH(C359,Ingredients!$B$6:$B$105,0))),0))</f>
        <v/>
      </c>
      <c r="P359">
        <f>IF(OR(B359="",C359=""),0,IFERROR(N(INDEX(Ingredients!$AI$6:$AI$105,MATCH(C359,Ingredients!$B$6:$B$105,0))),0))</f>
        <v/>
      </c>
      <c r="Q359">
        <f>IF(OR(B359="",C359=""),0,IFERROR(N(INDEX(Ingredients!$AJ$6:$AJ$105,MATCH(C359,Ingredients!$B$6:$B$105,0))),0))</f>
        <v/>
      </c>
      <c r="R359">
        <f>IF(OR(B359="",C359=""),0,IFERROR(N(INDEX(Ingredients!$AK$6:$AK$105,MATCH(C359,Ingredients!$B$6:$B$105,0))),0))</f>
        <v/>
      </c>
      <c r="S359">
        <f>IF(OR(B359="",C359=""),0,IFERROR(N(INDEX(Ingredients!$AL$6:$AL$105,MATCH(C359,Ingredients!$B$6:$B$105,0))),0))</f>
        <v/>
      </c>
      <c r="T359">
        <f>IF(OR(B359="",C359=""),0,IFERROR(N(INDEX(Ingredients!$AM$6:$AM$105,MATCH(C359,Ingredients!$B$6:$B$105,0))),0))</f>
        <v/>
      </c>
      <c r="U359">
        <f>IF(OR(B359="",C359=""),0,IFERROR(N(INDEX(Ingredients!$AN$6:$AN$105,MATCH(C359,Ingredients!$B$6:$B$105,0))),0))</f>
        <v/>
      </c>
      <c r="V359">
        <f>IF(OR(B359="",C359=""),0,IFERROR(N(INDEX(Ingredients!$AO$6:$AO$105,MATCH(C359,Ingredients!$B$6:$B$105,0))),0))</f>
        <v/>
      </c>
      <c r="W359">
        <f>IF(OR(B359="",C359=""),0,IFERROR(N(INDEX(Ingredients!$AP$6:$AP$105,MATCH(C359,Ingredients!$B$6:$B$105,0))),0))</f>
        <v/>
      </c>
      <c r="X359">
        <f>IF(OR(B359="",C359=""),0,IFERROR(N(INDEX(Ingredients!$AQ$6:$AQ$105,MATCH(C359,Ingredients!$B$6:$B$105,0))),0))</f>
        <v/>
      </c>
    </row>
    <row r="360">
      <c r="A360" s="1" t="n"/>
      <c r="B360" s="21" t="n"/>
      <c r="C360" s="39" t="n"/>
      <c r="D360" s="40" t="n"/>
      <c r="E360" s="12">
        <f>IF(C360="","",IF(ISNA(MATCH(C360,Ingredients!$B$6:$B$105,0)),"Not on Ingredients",IFERROR(IF(INDEX(Ingredients!$C$6:$C$105,MATCH(C360,Ingredients!$B$6:$B$105,0))="","",INDEX(Ingredients!$C$6:$C$105,MATCH(C360,Ingredients!$B$6:$B$105,0))),"")))</f>
        <v/>
      </c>
      <c r="F360" s="26">
        <f>IF(OR(B360="",C360=""),"",N(D360)*IFERROR(N(INDEX(Ingredients!$H$6:$H$105,MATCH(C360,Ingredients!$B$6:$B$105,0))),0))</f>
        <v/>
      </c>
      <c r="G360" s="1">
        <f>IF(OR(B360="",C360=""),0,IFERROR(N(INDEX(Products!$D$6:$D$45,MATCH(B360,Products!$B$6:$B$45,0))),0))</f>
        <v/>
      </c>
      <c r="H360">
        <f>IF(N(G360)=0,0,N(D360)*SUMIFS(Batches!$D$6:$D$505,Batches!$C$6:$C$505,B360)/G360)</f>
        <v/>
      </c>
      <c r="I360">
        <f>IF(OR(B360="",C360=""),"",IF(B360&lt;&gt;Label!$H$3,"",IF(IFERROR(N(INDEX(Ingredients!$AS$6:$AS$105,MATCH(C360,Ingredients!$B$6:$B$105,0))),0)=1,"",ROUND(N(D360)*1000,0)*100000+100000-ROW())))</f>
        <v/>
      </c>
      <c r="J360">
        <f>IF(OR(B360="",C360=""),0,IFERROR(N(INDEX(Ingredients!$AC$6:$AC$105,MATCH(C360,Ingredients!$B$6:$B$105,0))),0))</f>
        <v/>
      </c>
      <c r="K360">
        <f>IF(OR(B360="",C360=""),0,IFERROR(N(INDEX(Ingredients!$AD$6:$AD$105,MATCH(C360,Ingredients!$B$6:$B$105,0))),0))</f>
        <v/>
      </c>
      <c r="L360">
        <f>IF(OR(B360="",C360=""),0,IFERROR(N(INDEX(Ingredients!$AE$6:$AE$105,MATCH(C360,Ingredients!$B$6:$B$105,0))),0))</f>
        <v/>
      </c>
      <c r="M360">
        <f>IF(OR(B360="",C360=""),0,IFERROR(N(INDEX(Ingredients!$AF$6:$AF$105,MATCH(C360,Ingredients!$B$6:$B$105,0))),0))</f>
        <v/>
      </c>
      <c r="N360">
        <f>IF(OR(B360="",C360=""),0,IFERROR(N(INDEX(Ingredients!$AG$6:$AG$105,MATCH(C360,Ingredients!$B$6:$B$105,0))),0))</f>
        <v/>
      </c>
      <c r="O360">
        <f>IF(OR(B360="",C360=""),0,IFERROR(N(INDEX(Ingredients!$AH$6:$AH$105,MATCH(C360,Ingredients!$B$6:$B$105,0))),0))</f>
        <v/>
      </c>
      <c r="P360">
        <f>IF(OR(B360="",C360=""),0,IFERROR(N(INDEX(Ingredients!$AI$6:$AI$105,MATCH(C360,Ingredients!$B$6:$B$105,0))),0))</f>
        <v/>
      </c>
      <c r="Q360">
        <f>IF(OR(B360="",C360=""),0,IFERROR(N(INDEX(Ingredients!$AJ$6:$AJ$105,MATCH(C360,Ingredients!$B$6:$B$105,0))),0))</f>
        <v/>
      </c>
      <c r="R360">
        <f>IF(OR(B360="",C360=""),0,IFERROR(N(INDEX(Ingredients!$AK$6:$AK$105,MATCH(C360,Ingredients!$B$6:$B$105,0))),0))</f>
        <v/>
      </c>
      <c r="S360">
        <f>IF(OR(B360="",C360=""),0,IFERROR(N(INDEX(Ingredients!$AL$6:$AL$105,MATCH(C360,Ingredients!$B$6:$B$105,0))),0))</f>
        <v/>
      </c>
      <c r="T360">
        <f>IF(OR(B360="",C360=""),0,IFERROR(N(INDEX(Ingredients!$AM$6:$AM$105,MATCH(C360,Ingredients!$B$6:$B$105,0))),0))</f>
        <v/>
      </c>
      <c r="U360">
        <f>IF(OR(B360="",C360=""),0,IFERROR(N(INDEX(Ingredients!$AN$6:$AN$105,MATCH(C360,Ingredients!$B$6:$B$105,0))),0))</f>
        <v/>
      </c>
      <c r="V360">
        <f>IF(OR(B360="",C360=""),0,IFERROR(N(INDEX(Ingredients!$AO$6:$AO$105,MATCH(C360,Ingredients!$B$6:$B$105,0))),0))</f>
        <v/>
      </c>
      <c r="W360">
        <f>IF(OR(B360="",C360=""),0,IFERROR(N(INDEX(Ingredients!$AP$6:$AP$105,MATCH(C360,Ingredients!$B$6:$B$105,0))),0))</f>
        <v/>
      </c>
      <c r="X360">
        <f>IF(OR(B360="",C360=""),0,IFERROR(N(INDEX(Ingredients!$AQ$6:$AQ$105,MATCH(C360,Ingredients!$B$6:$B$105,0))),0))</f>
        <v/>
      </c>
    </row>
    <row r="361">
      <c r="A361" s="1" t="n"/>
      <c r="B361" s="21" t="n"/>
      <c r="C361" s="39" t="n"/>
      <c r="D361" s="40" t="n"/>
      <c r="E361" s="12">
        <f>IF(C361="","",IF(ISNA(MATCH(C361,Ingredients!$B$6:$B$105,0)),"Not on Ingredients",IFERROR(IF(INDEX(Ingredients!$C$6:$C$105,MATCH(C361,Ingredients!$B$6:$B$105,0))="","",INDEX(Ingredients!$C$6:$C$105,MATCH(C361,Ingredients!$B$6:$B$105,0))),"")))</f>
        <v/>
      </c>
      <c r="F361" s="26">
        <f>IF(OR(B361="",C361=""),"",N(D361)*IFERROR(N(INDEX(Ingredients!$H$6:$H$105,MATCH(C361,Ingredients!$B$6:$B$105,0))),0))</f>
        <v/>
      </c>
      <c r="G361" s="1">
        <f>IF(OR(B361="",C361=""),0,IFERROR(N(INDEX(Products!$D$6:$D$45,MATCH(B361,Products!$B$6:$B$45,0))),0))</f>
        <v/>
      </c>
      <c r="H361">
        <f>IF(N(G361)=0,0,N(D361)*SUMIFS(Batches!$D$6:$D$505,Batches!$C$6:$C$505,B361)/G361)</f>
        <v/>
      </c>
      <c r="I361">
        <f>IF(OR(B361="",C361=""),"",IF(B361&lt;&gt;Label!$H$3,"",IF(IFERROR(N(INDEX(Ingredients!$AS$6:$AS$105,MATCH(C361,Ingredients!$B$6:$B$105,0))),0)=1,"",ROUND(N(D361)*1000,0)*100000+100000-ROW())))</f>
        <v/>
      </c>
      <c r="J361">
        <f>IF(OR(B361="",C361=""),0,IFERROR(N(INDEX(Ingredients!$AC$6:$AC$105,MATCH(C361,Ingredients!$B$6:$B$105,0))),0))</f>
        <v/>
      </c>
      <c r="K361">
        <f>IF(OR(B361="",C361=""),0,IFERROR(N(INDEX(Ingredients!$AD$6:$AD$105,MATCH(C361,Ingredients!$B$6:$B$105,0))),0))</f>
        <v/>
      </c>
      <c r="L361">
        <f>IF(OR(B361="",C361=""),0,IFERROR(N(INDEX(Ingredients!$AE$6:$AE$105,MATCH(C361,Ingredients!$B$6:$B$105,0))),0))</f>
        <v/>
      </c>
      <c r="M361">
        <f>IF(OR(B361="",C361=""),0,IFERROR(N(INDEX(Ingredients!$AF$6:$AF$105,MATCH(C361,Ingredients!$B$6:$B$105,0))),0))</f>
        <v/>
      </c>
      <c r="N361">
        <f>IF(OR(B361="",C361=""),0,IFERROR(N(INDEX(Ingredients!$AG$6:$AG$105,MATCH(C361,Ingredients!$B$6:$B$105,0))),0))</f>
        <v/>
      </c>
      <c r="O361">
        <f>IF(OR(B361="",C361=""),0,IFERROR(N(INDEX(Ingredients!$AH$6:$AH$105,MATCH(C361,Ingredients!$B$6:$B$105,0))),0))</f>
        <v/>
      </c>
      <c r="P361">
        <f>IF(OR(B361="",C361=""),0,IFERROR(N(INDEX(Ingredients!$AI$6:$AI$105,MATCH(C361,Ingredients!$B$6:$B$105,0))),0))</f>
        <v/>
      </c>
      <c r="Q361">
        <f>IF(OR(B361="",C361=""),0,IFERROR(N(INDEX(Ingredients!$AJ$6:$AJ$105,MATCH(C361,Ingredients!$B$6:$B$105,0))),0))</f>
        <v/>
      </c>
      <c r="R361">
        <f>IF(OR(B361="",C361=""),0,IFERROR(N(INDEX(Ingredients!$AK$6:$AK$105,MATCH(C361,Ingredients!$B$6:$B$105,0))),0))</f>
        <v/>
      </c>
      <c r="S361">
        <f>IF(OR(B361="",C361=""),0,IFERROR(N(INDEX(Ingredients!$AL$6:$AL$105,MATCH(C361,Ingredients!$B$6:$B$105,0))),0))</f>
        <v/>
      </c>
      <c r="T361">
        <f>IF(OR(B361="",C361=""),0,IFERROR(N(INDEX(Ingredients!$AM$6:$AM$105,MATCH(C361,Ingredients!$B$6:$B$105,0))),0))</f>
        <v/>
      </c>
      <c r="U361">
        <f>IF(OR(B361="",C361=""),0,IFERROR(N(INDEX(Ingredients!$AN$6:$AN$105,MATCH(C361,Ingredients!$B$6:$B$105,0))),0))</f>
        <v/>
      </c>
      <c r="V361">
        <f>IF(OR(B361="",C361=""),0,IFERROR(N(INDEX(Ingredients!$AO$6:$AO$105,MATCH(C361,Ingredients!$B$6:$B$105,0))),0))</f>
        <v/>
      </c>
      <c r="W361">
        <f>IF(OR(B361="",C361=""),0,IFERROR(N(INDEX(Ingredients!$AP$6:$AP$105,MATCH(C361,Ingredients!$B$6:$B$105,0))),0))</f>
        <v/>
      </c>
      <c r="X361">
        <f>IF(OR(B361="",C361=""),0,IFERROR(N(INDEX(Ingredients!$AQ$6:$AQ$105,MATCH(C361,Ingredients!$B$6:$B$105,0))),0))</f>
        <v/>
      </c>
    </row>
    <row r="362">
      <c r="A362" s="1" t="n"/>
      <c r="B362" s="21" t="n"/>
      <c r="C362" s="39" t="n"/>
      <c r="D362" s="40" t="n"/>
      <c r="E362" s="12">
        <f>IF(C362="","",IF(ISNA(MATCH(C362,Ingredients!$B$6:$B$105,0)),"Not on Ingredients",IFERROR(IF(INDEX(Ingredients!$C$6:$C$105,MATCH(C362,Ingredients!$B$6:$B$105,0))="","",INDEX(Ingredients!$C$6:$C$105,MATCH(C362,Ingredients!$B$6:$B$105,0))),"")))</f>
        <v/>
      </c>
      <c r="F362" s="26">
        <f>IF(OR(B362="",C362=""),"",N(D362)*IFERROR(N(INDEX(Ingredients!$H$6:$H$105,MATCH(C362,Ingredients!$B$6:$B$105,0))),0))</f>
        <v/>
      </c>
      <c r="G362" s="1">
        <f>IF(OR(B362="",C362=""),0,IFERROR(N(INDEX(Products!$D$6:$D$45,MATCH(B362,Products!$B$6:$B$45,0))),0))</f>
        <v/>
      </c>
      <c r="H362">
        <f>IF(N(G362)=0,0,N(D362)*SUMIFS(Batches!$D$6:$D$505,Batches!$C$6:$C$505,B362)/G362)</f>
        <v/>
      </c>
      <c r="I362">
        <f>IF(OR(B362="",C362=""),"",IF(B362&lt;&gt;Label!$H$3,"",IF(IFERROR(N(INDEX(Ingredients!$AS$6:$AS$105,MATCH(C362,Ingredients!$B$6:$B$105,0))),0)=1,"",ROUND(N(D362)*1000,0)*100000+100000-ROW())))</f>
        <v/>
      </c>
      <c r="J362">
        <f>IF(OR(B362="",C362=""),0,IFERROR(N(INDEX(Ingredients!$AC$6:$AC$105,MATCH(C362,Ingredients!$B$6:$B$105,0))),0))</f>
        <v/>
      </c>
      <c r="K362">
        <f>IF(OR(B362="",C362=""),0,IFERROR(N(INDEX(Ingredients!$AD$6:$AD$105,MATCH(C362,Ingredients!$B$6:$B$105,0))),0))</f>
        <v/>
      </c>
      <c r="L362">
        <f>IF(OR(B362="",C362=""),0,IFERROR(N(INDEX(Ingredients!$AE$6:$AE$105,MATCH(C362,Ingredients!$B$6:$B$105,0))),0))</f>
        <v/>
      </c>
      <c r="M362">
        <f>IF(OR(B362="",C362=""),0,IFERROR(N(INDEX(Ingredients!$AF$6:$AF$105,MATCH(C362,Ingredients!$B$6:$B$105,0))),0))</f>
        <v/>
      </c>
      <c r="N362">
        <f>IF(OR(B362="",C362=""),0,IFERROR(N(INDEX(Ingredients!$AG$6:$AG$105,MATCH(C362,Ingredients!$B$6:$B$105,0))),0))</f>
        <v/>
      </c>
      <c r="O362">
        <f>IF(OR(B362="",C362=""),0,IFERROR(N(INDEX(Ingredients!$AH$6:$AH$105,MATCH(C362,Ingredients!$B$6:$B$105,0))),0))</f>
        <v/>
      </c>
      <c r="P362">
        <f>IF(OR(B362="",C362=""),0,IFERROR(N(INDEX(Ingredients!$AI$6:$AI$105,MATCH(C362,Ingredients!$B$6:$B$105,0))),0))</f>
        <v/>
      </c>
      <c r="Q362">
        <f>IF(OR(B362="",C362=""),0,IFERROR(N(INDEX(Ingredients!$AJ$6:$AJ$105,MATCH(C362,Ingredients!$B$6:$B$105,0))),0))</f>
        <v/>
      </c>
      <c r="R362">
        <f>IF(OR(B362="",C362=""),0,IFERROR(N(INDEX(Ingredients!$AK$6:$AK$105,MATCH(C362,Ingredients!$B$6:$B$105,0))),0))</f>
        <v/>
      </c>
      <c r="S362">
        <f>IF(OR(B362="",C362=""),0,IFERROR(N(INDEX(Ingredients!$AL$6:$AL$105,MATCH(C362,Ingredients!$B$6:$B$105,0))),0))</f>
        <v/>
      </c>
      <c r="T362">
        <f>IF(OR(B362="",C362=""),0,IFERROR(N(INDEX(Ingredients!$AM$6:$AM$105,MATCH(C362,Ingredients!$B$6:$B$105,0))),0))</f>
        <v/>
      </c>
      <c r="U362">
        <f>IF(OR(B362="",C362=""),0,IFERROR(N(INDEX(Ingredients!$AN$6:$AN$105,MATCH(C362,Ingredients!$B$6:$B$105,0))),0))</f>
        <v/>
      </c>
      <c r="V362">
        <f>IF(OR(B362="",C362=""),0,IFERROR(N(INDEX(Ingredients!$AO$6:$AO$105,MATCH(C362,Ingredients!$B$6:$B$105,0))),0))</f>
        <v/>
      </c>
      <c r="W362">
        <f>IF(OR(B362="",C362=""),0,IFERROR(N(INDEX(Ingredients!$AP$6:$AP$105,MATCH(C362,Ingredients!$B$6:$B$105,0))),0))</f>
        <v/>
      </c>
      <c r="X362">
        <f>IF(OR(B362="",C362=""),0,IFERROR(N(INDEX(Ingredients!$AQ$6:$AQ$105,MATCH(C362,Ingredients!$B$6:$B$105,0))),0))</f>
        <v/>
      </c>
    </row>
    <row r="363">
      <c r="A363" s="1" t="n"/>
      <c r="B363" s="21" t="n"/>
      <c r="C363" s="39" t="n"/>
      <c r="D363" s="40" t="n"/>
      <c r="E363" s="12">
        <f>IF(C363="","",IF(ISNA(MATCH(C363,Ingredients!$B$6:$B$105,0)),"Not on Ingredients",IFERROR(IF(INDEX(Ingredients!$C$6:$C$105,MATCH(C363,Ingredients!$B$6:$B$105,0))="","",INDEX(Ingredients!$C$6:$C$105,MATCH(C363,Ingredients!$B$6:$B$105,0))),"")))</f>
        <v/>
      </c>
      <c r="F363" s="26">
        <f>IF(OR(B363="",C363=""),"",N(D363)*IFERROR(N(INDEX(Ingredients!$H$6:$H$105,MATCH(C363,Ingredients!$B$6:$B$105,0))),0))</f>
        <v/>
      </c>
      <c r="G363" s="1">
        <f>IF(OR(B363="",C363=""),0,IFERROR(N(INDEX(Products!$D$6:$D$45,MATCH(B363,Products!$B$6:$B$45,0))),0))</f>
        <v/>
      </c>
      <c r="H363">
        <f>IF(N(G363)=0,0,N(D363)*SUMIFS(Batches!$D$6:$D$505,Batches!$C$6:$C$505,B363)/G363)</f>
        <v/>
      </c>
      <c r="I363">
        <f>IF(OR(B363="",C363=""),"",IF(B363&lt;&gt;Label!$H$3,"",IF(IFERROR(N(INDEX(Ingredients!$AS$6:$AS$105,MATCH(C363,Ingredients!$B$6:$B$105,0))),0)=1,"",ROUND(N(D363)*1000,0)*100000+100000-ROW())))</f>
        <v/>
      </c>
      <c r="J363">
        <f>IF(OR(B363="",C363=""),0,IFERROR(N(INDEX(Ingredients!$AC$6:$AC$105,MATCH(C363,Ingredients!$B$6:$B$105,0))),0))</f>
        <v/>
      </c>
      <c r="K363">
        <f>IF(OR(B363="",C363=""),0,IFERROR(N(INDEX(Ingredients!$AD$6:$AD$105,MATCH(C363,Ingredients!$B$6:$B$105,0))),0))</f>
        <v/>
      </c>
      <c r="L363">
        <f>IF(OR(B363="",C363=""),0,IFERROR(N(INDEX(Ingredients!$AE$6:$AE$105,MATCH(C363,Ingredients!$B$6:$B$105,0))),0))</f>
        <v/>
      </c>
      <c r="M363">
        <f>IF(OR(B363="",C363=""),0,IFERROR(N(INDEX(Ingredients!$AF$6:$AF$105,MATCH(C363,Ingredients!$B$6:$B$105,0))),0))</f>
        <v/>
      </c>
      <c r="N363">
        <f>IF(OR(B363="",C363=""),0,IFERROR(N(INDEX(Ingredients!$AG$6:$AG$105,MATCH(C363,Ingredients!$B$6:$B$105,0))),0))</f>
        <v/>
      </c>
      <c r="O363">
        <f>IF(OR(B363="",C363=""),0,IFERROR(N(INDEX(Ingredients!$AH$6:$AH$105,MATCH(C363,Ingredients!$B$6:$B$105,0))),0))</f>
        <v/>
      </c>
      <c r="P363">
        <f>IF(OR(B363="",C363=""),0,IFERROR(N(INDEX(Ingredients!$AI$6:$AI$105,MATCH(C363,Ingredients!$B$6:$B$105,0))),0))</f>
        <v/>
      </c>
      <c r="Q363">
        <f>IF(OR(B363="",C363=""),0,IFERROR(N(INDEX(Ingredients!$AJ$6:$AJ$105,MATCH(C363,Ingredients!$B$6:$B$105,0))),0))</f>
        <v/>
      </c>
      <c r="R363">
        <f>IF(OR(B363="",C363=""),0,IFERROR(N(INDEX(Ingredients!$AK$6:$AK$105,MATCH(C363,Ingredients!$B$6:$B$105,0))),0))</f>
        <v/>
      </c>
      <c r="S363">
        <f>IF(OR(B363="",C363=""),0,IFERROR(N(INDEX(Ingredients!$AL$6:$AL$105,MATCH(C363,Ingredients!$B$6:$B$105,0))),0))</f>
        <v/>
      </c>
      <c r="T363">
        <f>IF(OR(B363="",C363=""),0,IFERROR(N(INDEX(Ingredients!$AM$6:$AM$105,MATCH(C363,Ingredients!$B$6:$B$105,0))),0))</f>
        <v/>
      </c>
      <c r="U363">
        <f>IF(OR(B363="",C363=""),0,IFERROR(N(INDEX(Ingredients!$AN$6:$AN$105,MATCH(C363,Ingredients!$B$6:$B$105,0))),0))</f>
        <v/>
      </c>
      <c r="V363">
        <f>IF(OR(B363="",C363=""),0,IFERROR(N(INDEX(Ingredients!$AO$6:$AO$105,MATCH(C363,Ingredients!$B$6:$B$105,0))),0))</f>
        <v/>
      </c>
      <c r="W363">
        <f>IF(OR(B363="",C363=""),0,IFERROR(N(INDEX(Ingredients!$AP$6:$AP$105,MATCH(C363,Ingredients!$B$6:$B$105,0))),0))</f>
        <v/>
      </c>
      <c r="X363">
        <f>IF(OR(B363="",C363=""),0,IFERROR(N(INDEX(Ingredients!$AQ$6:$AQ$105,MATCH(C363,Ingredients!$B$6:$B$105,0))),0))</f>
        <v/>
      </c>
    </row>
    <row r="364">
      <c r="A364" s="1" t="n"/>
      <c r="B364" s="21" t="n"/>
      <c r="C364" s="39" t="n"/>
      <c r="D364" s="40" t="n"/>
      <c r="E364" s="12">
        <f>IF(C364="","",IF(ISNA(MATCH(C364,Ingredients!$B$6:$B$105,0)),"Not on Ingredients",IFERROR(IF(INDEX(Ingredients!$C$6:$C$105,MATCH(C364,Ingredients!$B$6:$B$105,0))="","",INDEX(Ingredients!$C$6:$C$105,MATCH(C364,Ingredients!$B$6:$B$105,0))),"")))</f>
        <v/>
      </c>
      <c r="F364" s="26">
        <f>IF(OR(B364="",C364=""),"",N(D364)*IFERROR(N(INDEX(Ingredients!$H$6:$H$105,MATCH(C364,Ingredients!$B$6:$B$105,0))),0))</f>
        <v/>
      </c>
      <c r="G364" s="1">
        <f>IF(OR(B364="",C364=""),0,IFERROR(N(INDEX(Products!$D$6:$D$45,MATCH(B364,Products!$B$6:$B$45,0))),0))</f>
        <v/>
      </c>
      <c r="H364">
        <f>IF(N(G364)=0,0,N(D364)*SUMIFS(Batches!$D$6:$D$505,Batches!$C$6:$C$505,B364)/G364)</f>
        <v/>
      </c>
      <c r="I364">
        <f>IF(OR(B364="",C364=""),"",IF(B364&lt;&gt;Label!$H$3,"",IF(IFERROR(N(INDEX(Ingredients!$AS$6:$AS$105,MATCH(C364,Ingredients!$B$6:$B$105,0))),0)=1,"",ROUND(N(D364)*1000,0)*100000+100000-ROW())))</f>
        <v/>
      </c>
      <c r="J364">
        <f>IF(OR(B364="",C364=""),0,IFERROR(N(INDEX(Ingredients!$AC$6:$AC$105,MATCH(C364,Ingredients!$B$6:$B$105,0))),0))</f>
        <v/>
      </c>
      <c r="K364">
        <f>IF(OR(B364="",C364=""),0,IFERROR(N(INDEX(Ingredients!$AD$6:$AD$105,MATCH(C364,Ingredients!$B$6:$B$105,0))),0))</f>
        <v/>
      </c>
      <c r="L364">
        <f>IF(OR(B364="",C364=""),0,IFERROR(N(INDEX(Ingredients!$AE$6:$AE$105,MATCH(C364,Ingredients!$B$6:$B$105,0))),0))</f>
        <v/>
      </c>
      <c r="M364">
        <f>IF(OR(B364="",C364=""),0,IFERROR(N(INDEX(Ingredients!$AF$6:$AF$105,MATCH(C364,Ingredients!$B$6:$B$105,0))),0))</f>
        <v/>
      </c>
      <c r="N364">
        <f>IF(OR(B364="",C364=""),0,IFERROR(N(INDEX(Ingredients!$AG$6:$AG$105,MATCH(C364,Ingredients!$B$6:$B$105,0))),0))</f>
        <v/>
      </c>
      <c r="O364">
        <f>IF(OR(B364="",C364=""),0,IFERROR(N(INDEX(Ingredients!$AH$6:$AH$105,MATCH(C364,Ingredients!$B$6:$B$105,0))),0))</f>
        <v/>
      </c>
      <c r="P364">
        <f>IF(OR(B364="",C364=""),0,IFERROR(N(INDEX(Ingredients!$AI$6:$AI$105,MATCH(C364,Ingredients!$B$6:$B$105,0))),0))</f>
        <v/>
      </c>
      <c r="Q364">
        <f>IF(OR(B364="",C364=""),0,IFERROR(N(INDEX(Ingredients!$AJ$6:$AJ$105,MATCH(C364,Ingredients!$B$6:$B$105,0))),0))</f>
        <v/>
      </c>
      <c r="R364">
        <f>IF(OR(B364="",C364=""),0,IFERROR(N(INDEX(Ingredients!$AK$6:$AK$105,MATCH(C364,Ingredients!$B$6:$B$105,0))),0))</f>
        <v/>
      </c>
      <c r="S364">
        <f>IF(OR(B364="",C364=""),0,IFERROR(N(INDEX(Ingredients!$AL$6:$AL$105,MATCH(C364,Ingredients!$B$6:$B$105,0))),0))</f>
        <v/>
      </c>
      <c r="T364">
        <f>IF(OR(B364="",C364=""),0,IFERROR(N(INDEX(Ingredients!$AM$6:$AM$105,MATCH(C364,Ingredients!$B$6:$B$105,0))),0))</f>
        <v/>
      </c>
      <c r="U364">
        <f>IF(OR(B364="",C364=""),0,IFERROR(N(INDEX(Ingredients!$AN$6:$AN$105,MATCH(C364,Ingredients!$B$6:$B$105,0))),0))</f>
        <v/>
      </c>
      <c r="V364">
        <f>IF(OR(B364="",C364=""),0,IFERROR(N(INDEX(Ingredients!$AO$6:$AO$105,MATCH(C364,Ingredients!$B$6:$B$105,0))),0))</f>
        <v/>
      </c>
      <c r="W364">
        <f>IF(OR(B364="",C364=""),0,IFERROR(N(INDEX(Ingredients!$AP$6:$AP$105,MATCH(C364,Ingredients!$B$6:$B$105,0))),0))</f>
        <v/>
      </c>
      <c r="X364">
        <f>IF(OR(B364="",C364=""),0,IFERROR(N(INDEX(Ingredients!$AQ$6:$AQ$105,MATCH(C364,Ingredients!$B$6:$B$105,0))),0))</f>
        <v/>
      </c>
    </row>
    <row r="365">
      <c r="A365" s="1" t="n"/>
      <c r="B365" s="21" t="n"/>
      <c r="C365" s="39" t="n"/>
      <c r="D365" s="40" t="n"/>
      <c r="E365" s="12">
        <f>IF(C365="","",IF(ISNA(MATCH(C365,Ingredients!$B$6:$B$105,0)),"Not on Ingredients",IFERROR(IF(INDEX(Ingredients!$C$6:$C$105,MATCH(C365,Ingredients!$B$6:$B$105,0))="","",INDEX(Ingredients!$C$6:$C$105,MATCH(C365,Ingredients!$B$6:$B$105,0))),"")))</f>
        <v/>
      </c>
      <c r="F365" s="26">
        <f>IF(OR(B365="",C365=""),"",N(D365)*IFERROR(N(INDEX(Ingredients!$H$6:$H$105,MATCH(C365,Ingredients!$B$6:$B$105,0))),0))</f>
        <v/>
      </c>
      <c r="G365" s="1">
        <f>IF(OR(B365="",C365=""),0,IFERROR(N(INDEX(Products!$D$6:$D$45,MATCH(B365,Products!$B$6:$B$45,0))),0))</f>
        <v/>
      </c>
      <c r="H365">
        <f>IF(N(G365)=0,0,N(D365)*SUMIFS(Batches!$D$6:$D$505,Batches!$C$6:$C$505,B365)/G365)</f>
        <v/>
      </c>
      <c r="I365">
        <f>IF(OR(B365="",C365=""),"",IF(B365&lt;&gt;Label!$H$3,"",IF(IFERROR(N(INDEX(Ingredients!$AS$6:$AS$105,MATCH(C365,Ingredients!$B$6:$B$105,0))),0)=1,"",ROUND(N(D365)*1000,0)*100000+100000-ROW())))</f>
        <v/>
      </c>
      <c r="J365">
        <f>IF(OR(B365="",C365=""),0,IFERROR(N(INDEX(Ingredients!$AC$6:$AC$105,MATCH(C365,Ingredients!$B$6:$B$105,0))),0))</f>
        <v/>
      </c>
      <c r="K365">
        <f>IF(OR(B365="",C365=""),0,IFERROR(N(INDEX(Ingredients!$AD$6:$AD$105,MATCH(C365,Ingredients!$B$6:$B$105,0))),0))</f>
        <v/>
      </c>
      <c r="L365">
        <f>IF(OR(B365="",C365=""),0,IFERROR(N(INDEX(Ingredients!$AE$6:$AE$105,MATCH(C365,Ingredients!$B$6:$B$105,0))),0))</f>
        <v/>
      </c>
      <c r="M365">
        <f>IF(OR(B365="",C365=""),0,IFERROR(N(INDEX(Ingredients!$AF$6:$AF$105,MATCH(C365,Ingredients!$B$6:$B$105,0))),0))</f>
        <v/>
      </c>
      <c r="N365">
        <f>IF(OR(B365="",C365=""),0,IFERROR(N(INDEX(Ingredients!$AG$6:$AG$105,MATCH(C365,Ingredients!$B$6:$B$105,0))),0))</f>
        <v/>
      </c>
      <c r="O365">
        <f>IF(OR(B365="",C365=""),0,IFERROR(N(INDEX(Ingredients!$AH$6:$AH$105,MATCH(C365,Ingredients!$B$6:$B$105,0))),0))</f>
        <v/>
      </c>
      <c r="P365">
        <f>IF(OR(B365="",C365=""),0,IFERROR(N(INDEX(Ingredients!$AI$6:$AI$105,MATCH(C365,Ingredients!$B$6:$B$105,0))),0))</f>
        <v/>
      </c>
      <c r="Q365">
        <f>IF(OR(B365="",C365=""),0,IFERROR(N(INDEX(Ingredients!$AJ$6:$AJ$105,MATCH(C365,Ingredients!$B$6:$B$105,0))),0))</f>
        <v/>
      </c>
      <c r="R365">
        <f>IF(OR(B365="",C365=""),0,IFERROR(N(INDEX(Ingredients!$AK$6:$AK$105,MATCH(C365,Ingredients!$B$6:$B$105,0))),0))</f>
        <v/>
      </c>
      <c r="S365">
        <f>IF(OR(B365="",C365=""),0,IFERROR(N(INDEX(Ingredients!$AL$6:$AL$105,MATCH(C365,Ingredients!$B$6:$B$105,0))),0))</f>
        <v/>
      </c>
      <c r="T365">
        <f>IF(OR(B365="",C365=""),0,IFERROR(N(INDEX(Ingredients!$AM$6:$AM$105,MATCH(C365,Ingredients!$B$6:$B$105,0))),0))</f>
        <v/>
      </c>
      <c r="U365">
        <f>IF(OR(B365="",C365=""),0,IFERROR(N(INDEX(Ingredients!$AN$6:$AN$105,MATCH(C365,Ingredients!$B$6:$B$105,0))),0))</f>
        <v/>
      </c>
      <c r="V365">
        <f>IF(OR(B365="",C365=""),0,IFERROR(N(INDEX(Ingredients!$AO$6:$AO$105,MATCH(C365,Ingredients!$B$6:$B$105,0))),0))</f>
        <v/>
      </c>
      <c r="W365">
        <f>IF(OR(B365="",C365=""),0,IFERROR(N(INDEX(Ingredients!$AP$6:$AP$105,MATCH(C365,Ingredients!$B$6:$B$105,0))),0))</f>
        <v/>
      </c>
      <c r="X365">
        <f>IF(OR(B365="",C365=""),0,IFERROR(N(INDEX(Ingredients!$AQ$6:$AQ$105,MATCH(C365,Ingredients!$B$6:$B$105,0))),0))</f>
        <v/>
      </c>
    </row>
    <row r="366">
      <c r="A366" s="1" t="n"/>
      <c r="B366" s="21" t="n"/>
      <c r="C366" s="39" t="n"/>
      <c r="D366" s="40" t="n"/>
      <c r="E366" s="12">
        <f>IF(C366="","",IF(ISNA(MATCH(C366,Ingredients!$B$6:$B$105,0)),"Not on Ingredients",IFERROR(IF(INDEX(Ingredients!$C$6:$C$105,MATCH(C366,Ingredients!$B$6:$B$105,0))="","",INDEX(Ingredients!$C$6:$C$105,MATCH(C366,Ingredients!$B$6:$B$105,0))),"")))</f>
        <v/>
      </c>
      <c r="F366" s="26">
        <f>IF(OR(B366="",C366=""),"",N(D366)*IFERROR(N(INDEX(Ingredients!$H$6:$H$105,MATCH(C366,Ingredients!$B$6:$B$105,0))),0))</f>
        <v/>
      </c>
      <c r="G366" s="1">
        <f>IF(OR(B366="",C366=""),0,IFERROR(N(INDEX(Products!$D$6:$D$45,MATCH(B366,Products!$B$6:$B$45,0))),0))</f>
        <v/>
      </c>
      <c r="H366">
        <f>IF(N(G366)=0,0,N(D366)*SUMIFS(Batches!$D$6:$D$505,Batches!$C$6:$C$505,B366)/G366)</f>
        <v/>
      </c>
      <c r="I366">
        <f>IF(OR(B366="",C366=""),"",IF(B366&lt;&gt;Label!$H$3,"",IF(IFERROR(N(INDEX(Ingredients!$AS$6:$AS$105,MATCH(C366,Ingredients!$B$6:$B$105,0))),0)=1,"",ROUND(N(D366)*1000,0)*100000+100000-ROW())))</f>
        <v/>
      </c>
      <c r="J366">
        <f>IF(OR(B366="",C366=""),0,IFERROR(N(INDEX(Ingredients!$AC$6:$AC$105,MATCH(C366,Ingredients!$B$6:$B$105,0))),0))</f>
        <v/>
      </c>
      <c r="K366">
        <f>IF(OR(B366="",C366=""),0,IFERROR(N(INDEX(Ingredients!$AD$6:$AD$105,MATCH(C366,Ingredients!$B$6:$B$105,0))),0))</f>
        <v/>
      </c>
      <c r="L366">
        <f>IF(OR(B366="",C366=""),0,IFERROR(N(INDEX(Ingredients!$AE$6:$AE$105,MATCH(C366,Ingredients!$B$6:$B$105,0))),0))</f>
        <v/>
      </c>
      <c r="M366">
        <f>IF(OR(B366="",C366=""),0,IFERROR(N(INDEX(Ingredients!$AF$6:$AF$105,MATCH(C366,Ingredients!$B$6:$B$105,0))),0))</f>
        <v/>
      </c>
      <c r="N366">
        <f>IF(OR(B366="",C366=""),0,IFERROR(N(INDEX(Ingredients!$AG$6:$AG$105,MATCH(C366,Ingredients!$B$6:$B$105,0))),0))</f>
        <v/>
      </c>
      <c r="O366">
        <f>IF(OR(B366="",C366=""),0,IFERROR(N(INDEX(Ingredients!$AH$6:$AH$105,MATCH(C366,Ingredients!$B$6:$B$105,0))),0))</f>
        <v/>
      </c>
      <c r="P366">
        <f>IF(OR(B366="",C366=""),0,IFERROR(N(INDEX(Ingredients!$AI$6:$AI$105,MATCH(C366,Ingredients!$B$6:$B$105,0))),0))</f>
        <v/>
      </c>
      <c r="Q366">
        <f>IF(OR(B366="",C366=""),0,IFERROR(N(INDEX(Ingredients!$AJ$6:$AJ$105,MATCH(C366,Ingredients!$B$6:$B$105,0))),0))</f>
        <v/>
      </c>
      <c r="R366">
        <f>IF(OR(B366="",C366=""),0,IFERROR(N(INDEX(Ingredients!$AK$6:$AK$105,MATCH(C366,Ingredients!$B$6:$B$105,0))),0))</f>
        <v/>
      </c>
      <c r="S366">
        <f>IF(OR(B366="",C366=""),0,IFERROR(N(INDEX(Ingredients!$AL$6:$AL$105,MATCH(C366,Ingredients!$B$6:$B$105,0))),0))</f>
        <v/>
      </c>
      <c r="T366">
        <f>IF(OR(B366="",C366=""),0,IFERROR(N(INDEX(Ingredients!$AM$6:$AM$105,MATCH(C366,Ingredients!$B$6:$B$105,0))),0))</f>
        <v/>
      </c>
      <c r="U366">
        <f>IF(OR(B366="",C366=""),0,IFERROR(N(INDEX(Ingredients!$AN$6:$AN$105,MATCH(C366,Ingredients!$B$6:$B$105,0))),0))</f>
        <v/>
      </c>
      <c r="V366">
        <f>IF(OR(B366="",C366=""),0,IFERROR(N(INDEX(Ingredients!$AO$6:$AO$105,MATCH(C366,Ingredients!$B$6:$B$105,0))),0))</f>
        <v/>
      </c>
      <c r="W366">
        <f>IF(OR(B366="",C366=""),0,IFERROR(N(INDEX(Ingredients!$AP$6:$AP$105,MATCH(C366,Ingredients!$B$6:$B$105,0))),0))</f>
        <v/>
      </c>
      <c r="X366">
        <f>IF(OR(B366="",C366=""),0,IFERROR(N(INDEX(Ingredients!$AQ$6:$AQ$105,MATCH(C366,Ingredients!$B$6:$B$105,0))),0))</f>
        <v/>
      </c>
    </row>
    <row r="367">
      <c r="A367" s="1" t="n"/>
      <c r="B367" s="21" t="n"/>
      <c r="C367" s="39" t="n"/>
      <c r="D367" s="40" t="n"/>
      <c r="E367" s="12">
        <f>IF(C367="","",IF(ISNA(MATCH(C367,Ingredients!$B$6:$B$105,0)),"Not on Ingredients",IFERROR(IF(INDEX(Ingredients!$C$6:$C$105,MATCH(C367,Ingredients!$B$6:$B$105,0))="","",INDEX(Ingredients!$C$6:$C$105,MATCH(C367,Ingredients!$B$6:$B$105,0))),"")))</f>
        <v/>
      </c>
      <c r="F367" s="26">
        <f>IF(OR(B367="",C367=""),"",N(D367)*IFERROR(N(INDEX(Ingredients!$H$6:$H$105,MATCH(C367,Ingredients!$B$6:$B$105,0))),0))</f>
        <v/>
      </c>
      <c r="G367" s="1">
        <f>IF(OR(B367="",C367=""),0,IFERROR(N(INDEX(Products!$D$6:$D$45,MATCH(B367,Products!$B$6:$B$45,0))),0))</f>
        <v/>
      </c>
      <c r="H367">
        <f>IF(N(G367)=0,0,N(D367)*SUMIFS(Batches!$D$6:$D$505,Batches!$C$6:$C$505,B367)/G367)</f>
        <v/>
      </c>
      <c r="I367">
        <f>IF(OR(B367="",C367=""),"",IF(B367&lt;&gt;Label!$H$3,"",IF(IFERROR(N(INDEX(Ingredients!$AS$6:$AS$105,MATCH(C367,Ingredients!$B$6:$B$105,0))),0)=1,"",ROUND(N(D367)*1000,0)*100000+100000-ROW())))</f>
        <v/>
      </c>
      <c r="J367">
        <f>IF(OR(B367="",C367=""),0,IFERROR(N(INDEX(Ingredients!$AC$6:$AC$105,MATCH(C367,Ingredients!$B$6:$B$105,0))),0))</f>
        <v/>
      </c>
      <c r="K367">
        <f>IF(OR(B367="",C367=""),0,IFERROR(N(INDEX(Ingredients!$AD$6:$AD$105,MATCH(C367,Ingredients!$B$6:$B$105,0))),0))</f>
        <v/>
      </c>
      <c r="L367">
        <f>IF(OR(B367="",C367=""),0,IFERROR(N(INDEX(Ingredients!$AE$6:$AE$105,MATCH(C367,Ingredients!$B$6:$B$105,0))),0))</f>
        <v/>
      </c>
      <c r="M367">
        <f>IF(OR(B367="",C367=""),0,IFERROR(N(INDEX(Ingredients!$AF$6:$AF$105,MATCH(C367,Ingredients!$B$6:$B$105,0))),0))</f>
        <v/>
      </c>
      <c r="N367">
        <f>IF(OR(B367="",C367=""),0,IFERROR(N(INDEX(Ingredients!$AG$6:$AG$105,MATCH(C367,Ingredients!$B$6:$B$105,0))),0))</f>
        <v/>
      </c>
      <c r="O367">
        <f>IF(OR(B367="",C367=""),0,IFERROR(N(INDEX(Ingredients!$AH$6:$AH$105,MATCH(C367,Ingredients!$B$6:$B$105,0))),0))</f>
        <v/>
      </c>
      <c r="P367">
        <f>IF(OR(B367="",C367=""),0,IFERROR(N(INDEX(Ingredients!$AI$6:$AI$105,MATCH(C367,Ingredients!$B$6:$B$105,0))),0))</f>
        <v/>
      </c>
      <c r="Q367">
        <f>IF(OR(B367="",C367=""),0,IFERROR(N(INDEX(Ingredients!$AJ$6:$AJ$105,MATCH(C367,Ingredients!$B$6:$B$105,0))),0))</f>
        <v/>
      </c>
      <c r="R367">
        <f>IF(OR(B367="",C367=""),0,IFERROR(N(INDEX(Ingredients!$AK$6:$AK$105,MATCH(C367,Ingredients!$B$6:$B$105,0))),0))</f>
        <v/>
      </c>
      <c r="S367">
        <f>IF(OR(B367="",C367=""),0,IFERROR(N(INDEX(Ingredients!$AL$6:$AL$105,MATCH(C367,Ingredients!$B$6:$B$105,0))),0))</f>
        <v/>
      </c>
      <c r="T367">
        <f>IF(OR(B367="",C367=""),0,IFERROR(N(INDEX(Ingredients!$AM$6:$AM$105,MATCH(C367,Ingredients!$B$6:$B$105,0))),0))</f>
        <v/>
      </c>
      <c r="U367">
        <f>IF(OR(B367="",C367=""),0,IFERROR(N(INDEX(Ingredients!$AN$6:$AN$105,MATCH(C367,Ingredients!$B$6:$B$105,0))),0))</f>
        <v/>
      </c>
      <c r="V367">
        <f>IF(OR(B367="",C367=""),0,IFERROR(N(INDEX(Ingredients!$AO$6:$AO$105,MATCH(C367,Ingredients!$B$6:$B$105,0))),0))</f>
        <v/>
      </c>
      <c r="W367">
        <f>IF(OR(B367="",C367=""),0,IFERROR(N(INDEX(Ingredients!$AP$6:$AP$105,MATCH(C367,Ingredients!$B$6:$B$105,0))),0))</f>
        <v/>
      </c>
      <c r="X367">
        <f>IF(OR(B367="",C367=""),0,IFERROR(N(INDEX(Ingredients!$AQ$6:$AQ$105,MATCH(C367,Ingredients!$B$6:$B$105,0))),0))</f>
        <v/>
      </c>
    </row>
    <row r="368">
      <c r="A368" s="1" t="n"/>
      <c r="B368" s="21" t="n"/>
      <c r="C368" s="39" t="n"/>
      <c r="D368" s="40" t="n"/>
      <c r="E368" s="12">
        <f>IF(C368="","",IF(ISNA(MATCH(C368,Ingredients!$B$6:$B$105,0)),"Not on Ingredients",IFERROR(IF(INDEX(Ingredients!$C$6:$C$105,MATCH(C368,Ingredients!$B$6:$B$105,0))="","",INDEX(Ingredients!$C$6:$C$105,MATCH(C368,Ingredients!$B$6:$B$105,0))),"")))</f>
        <v/>
      </c>
      <c r="F368" s="26">
        <f>IF(OR(B368="",C368=""),"",N(D368)*IFERROR(N(INDEX(Ingredients!$H$6:$H$105,MATCH(C368,Ingredients!$B$6:$B$105,0))),0))</f>
        <v/>
      </c>
      <c r="G368" s="1">
        <f>IF(OR(B368="",C368=""),0,IFERROR(N(INDEX(Products!$D$6:$D$45,MATCH(B368,Products!$B$6:$B$45,0))),0))</f>
        <v/>
      </c>
      <c r="H368">
        <f>IF(N(G368)=0,0,N(D368)*SUMIFS(Batches!$D$6:$D$505,Batches!$C$6:$C$505,B368)/G368)</f>
        <v/>
      </c>
      <c r="I368">
        <f>IF(OR(B368="",C368=""),"",IF(B368&lt;&gt;Label!$H$3,"",IF(IFERROR(N(INDEX(Ingredients!$AS$6:$AS$105,MATCH(C368,Ingredients!$B$6:$B$105,0))),0)=1,"",ROUND(N(D368)*1000,0)*100000+100000-ROW())))</f>
        <v/>
      </c>
      <c r="J368">
        <f>IF(OR(B368="",C368=""),0,IFERROR(N(INDEX(Ingredients!$AC$6:$AC$105,MATCH(C368,Ingredients!$B$6:$B$105,0))),0))</f>
        <v/>
      </c>
      <c r="K368">
        <f>IF(OR(B368="",C368=""),0,IFERROR(N(INDEX(Ingredients!$AD$6:$AD$105,MATCH(C368,Ingredients!$B$6:$B$105,0))),0))</f>
        <v/>
      </c>
      <c r="L368">
        <f>IF(OR(B368="",C368=""),0,IFERROR(N(INDEX(Ingredients!$AE$6:$AE$105,MATCH(C368,Ingredients!$B$6:$B$105,0))),0))</f>
        <v/>
      </c>
      <c r="M368">
        <f>IF(OR(B368="",C368=""),0,IFERROR(N(INDEX(Ingredients!$AF$6:$AF$105,MATCH(C368,Ingredients!$B$6:$B$105,0))),0))</f>
        <v/>
      </c>
      <c r="N368">
        <f>IF(OR(B368="",C368=""),0,IFERROR(N(INDEX(Ingredients!$AG$6:$AG$105,MATCH(C368,Ingredients!$B$6:$B$105,0))),0))</f>
        <v/>
      </c>
      <c r="O368">
        <f>IF(OR(B368="",C368=""),0,IFERROR(N(INDEX(Ingredients!$AH$6:$AH$105,MATCH(C368,Ingredients!$B$6:$B$105,0))),0))</f>
        <v/>
      </c>
      <c r="P368">
        <f>IF(OR(B368="",C368=""),0,IFERROR(N(INDEX(Ingredients!$AI$6:$AI$105,MATCH(C368,Ingredients!$B$6:$B$105,0))),0))</f>
        <v/>
      </c>
      <c r="Q368">
        <f>IF(OR(B368="",C368=""),0,IFERROR(N(INDEX(Ingredients!$AJ$6:$AJ$105,MATCH(C368,Ingredients!$B$6:$B$105,0))),0))</f>
        <v/>
      </c>
      <c r="R368">
        <f>IF(OR(B368="",C368=""),0,IFERROR(N(INDEX(Ingredients!$AK$6:$AK$105,MATCH(C368,Ingredients!$B$6:$B$105,0))),0))</f>
        <v/>
      </c>
      <c r="S368">
        <f>IF(OR(B368="",C368=""),0,IFERROR(N(INDEX(Ingredients!$AL$6:$AL$105,MATCH(C368,Ingredients!$B$6:$B$105,0))),0))</f>
        <v/>
      </c>
      <c r="T368">
        <f>IF(OR(B368="",C368=""),0,IFERROR(N(INDEX(Ingredients!$AM$6:$AM$105,MATCH(C368,Ingredients!$B$6:$B$105,0))),0))</f>
        <v/>
      </c>
      <c r="U368">
        <f>IF(OR(B368="",C368=""),0,IFERROR(N(INDEX(Ingredients!$AN$6:$AN$105,MATCH(C368,Ingredients!$B$6:$B$105,0))),0))</f>
        <v/>
      </c>
      <c r="V368">
        <f>IF(OR(B368="",C368=""),0,IFERROR(N(INDEX(Ingredients!$AO$6:$AO$105,MATCH(C368,Ingredients!$B$6:$B$105,0))),0))</f>
        <v/>
      </c>
      <c r="W368">
        <f>IF(OR(B368="",C368=""),0,IFERROR(N(INDEX(Ingredients!$AP$6:$AP$105,MATCH(C368,Ingredients!$B$6:$B$105,0))),0))</f>
        <v/>
      </c>
      <c r="X368">
        <f>IF(OR(B368="",C368=""),0,IFERROR(N(INDEX(Ingredients!$AQ$6:$AQ$105,MATCH(C368,Ingredients!$B$6:$B$105,0))),0))</f>
        <v/>
      </c>
    </row>
    <row r="369">
      <c r="A369" s="1" t="n"/>
      <c r="B369" s="21" t="n"/>
      <c r="C369" s="39" t="n"/>
      <c r="D369" s="40" t="n"/>
      <c r="E369" s="12">
        <f>IF(C369="","",IF(ISNA(MATCH(C369,Ingredients!$B$6:$B$105,0)),"Not on Ingredients",IFERROR(IF(INDEX(Ingredients!$C$6:$C$105,MATCH(C369,Ingredients!$B$6:$B$105,0))="","",INDEX(Ingredients!$C$6:$C$105,MATCH(C369,Ingredients!$B$6:$B$105,0))),"")))</f>
        <v/>
      </c>
      <c r="F369" s="26">
        <f>IF(OR(B369="",C369=""),"",N(D369)*IFERROR(N(INDEX(Ingredients!$H$6:$H$105,MATCH(C369,Ingredients!$B$6:$B$105,0))),0))</f>
        <v/>
      </c>
      <c r="G369" s="1">
        <f>IF(OR(B369="",C369=""),0,IFERROR(N(INDEX(Products!$D$6:$D$45,MATCH(B369,Products!$B$6:$B$45,0))),0))</f>
        <v/>
      </c>
      <c r="H369">
        <f>IF(N(G369)=0,0,N(D369)*SUMIFS(Batches!$D$6:$D$505,Batches!$C$6:$C$505,B369)/G369)</f>
        <v/>
      </c>
      <c r="I369">
        <f>IF(OR(B369="",C369=""),"",IF(B369&lt;&gt;Label!$H$3,"",IF(IFERROR(N(INDEX(Ingredients!$AS$6:$AS$105,MATCH(C369,Ingredients!$B$6:$B$105,0))),0)=1,"",ROUND(N(D369)*1000,0)*100000+100000-ROW())))</f>
        <v/>
      </c>
      <c r="J369">
        <f>IF(OR(B369="",C369=""),0,IFERROR(N(INDEX(Ingredients!$AC$6:$AC$105,MATCH(C369,Ingredients!$B$6:$B$105,0))),0))</f>
        <v/>
      </c>
      <c r="K369">
        <f>IF(OR(B369="",C369=""),0,IFERROR(N(INDEX(Ingredients!$AD$6:$AD$105,MATCH(C369,Ingredients!$B$6:$B$105,0))),0))</f>
        <v/>
      </c>
      <c r="L369">
        <f>IF(OR(B369="",C369=""),0,IFERROR(N(INDEX(Ingredients!$AE$6:$AE$105,MATCH(C369,Ingredients!$B$6:$B$105,0))),0))</f>
        <v/>
      </c>
      <c r="M369">
        <f>IF(OR(B369="",C369=""),0,IFERROR(N(INDEX(Ingredients!$AF$6:$AF$105,MATCH(C369,Ingredients!$B$6:$B$105,0))),0))</f>
        <v/>
      </c>
      <c r="N369">
        <f>IF(OR(B369="",C369=""),0,IFERROR(N(INDEX(Ingredients!$AG$6:$AG$105,MATCH(C369,Ingredients!$B$6:$B$105,0))),0))</f>
        <v/>
      </c>
      <c r="O369">
        <f>IF(OR(B369="",C369=""),0,IFERROR(N(INDEX(Ingredients!$AH$6:$AH$105,MATCH(C369,Ingredients!$B$6:$B$105,0))),0))</f>
        <v/>
      </c>
      <c r="P369">
        <f>IF(OR(B369="",C369=""),0,IFERROR(N(INDEX(Ingredients!$AI$6:$AI$105,MATCH(C369,Ingredients!$B$6:$B$105,0))),0))</f>
        <v/>
      </c>
      <c r="Q369">
        <f>IF(OR(B369="",C369=""),0,IFERROR(N(INDEX(Ingredients!$AJ$6:$AJ$105,MATCH(C369,Ingredients!$B$6:$B$105,0))),0))</f>
        <v/>
      </c>
      <c r="R369">
        <f>IF(OR(B369="",C369=""),0,IFERROR(N(INDEX(Ingredients!$AK$6:$AK$105,MATCH(C369,Ingredients!$B$6:$B$105,0))),0))</f>
        <v/>
      </c>
      <c r="S369">
        <f>IF(OR(B369="",C369=""),0,IFERROR(N(INDEX(Ingredients!$AL$6:$AL$105,MATCH(C369,Ingredients!$B$6:$B$105,0))),0))</f>
        <v/>
      </c>
      <c r="T369">
        <f>IF(OR(B369="",C369=""),0,IFERROR(N(INDEX(Ingredients!$AM$6:$AM$105,MATCH(C369,Ingredients!$B$6:$B$105,0))),0))</f>
        <v/>
      </c>
      <c r="U369">
        <f>IF(OR(B369="",C369=""),0,IFERROR(N(INDEX(Ingredients!$AN$6:$AN$105,MATCH(C369,Ingredients!$B$6:$B$105,0))),0))</f>
        <v/>
      </c>
      <c r="V369">
        <f>IF(OR(B369="",C369=""),0,IFERROR(N(INDEX(Ingredients!$AO$6:$AO$105,MATCH(C369,Ingredients!$B$6:$B$105,0))),0))</f>
        <v/>
      </c>
      <c r="W369">
        <f>IF(OR(B369="",C369=""),0,IFERROR(N(INDEX(Ingredients!$AP$6:$AP$105,MATCH(C369,Ingredients!$B$6:$B$105,0))),0))</f>
        <v/>
      </c>
      <c r="X369">
        <f>IF(OR(B369="",C369=""),0,IFERROR(N(INDEX(Ingredients!$AQ$6:$AQ$105,MATCH(C369,Ingredients!$B$6:$B$105,0))),0))</f>
        <v/>
      </c>
    </row>
    <row r="370">
      <c r="A370" s="1" t="n"/>
      <c r="B370" s="21" t="n"/>
      <c r="C370" s="39" t="n"/>
      <c r="D370" s="40" t="n"/>
      <c r="E370" s="12">
        <f>IF(C370="","",IF(ISNA(MATCH(C370,Ingredients!$B$6:$B$105,0)),"Not on Ingredients",IFERROR(IF(INDEX(Ingredients!$C$6:$C$105,MATCH(C370,Ingredients!$B$6:$B$105,0))="","",INDEX(Ingredients!$C$6:$C$105,MATCH(C370,Ingredients!$B$6:$B$105,0))),"")))</f>
        <v/>
      </c>
      <c r="F370" s="26">
        <f>IF(OR(B370="",C370=""),"",N(D370)*IFERROR(N(INDEX(Ingredients!$H$6:$H$105,MATCH(C370,Ingredients!$B$6:$B$105,0))),0))</f>
        <v/>
      </c>
      <c r="G370" s="1">
        <f>IF(OR(B370="",C370=""),0,IFERROR(N(INDEX(Products!$D$6:$D$45,MATCH(B370,Products!$B$6:$B$45,0))),0))</f>
        <v/>
      </c>
      <c r="H370">
        <f>IF(N(G370)=0,0,N(D370)*SUMIFS(Batches!$D$6:$D$505,Batches!$C$6:$C$505,B370)/G370)</f>
        <v/>
      </c>
      <c r="I370">
        <f>IF(OR(B370="",C370=""),"",IF(B370&lt;&gt;Label!$H$3,"",IF(IFERROR(N(INDEX(Ingredients!$AS$6:$AS$105,MATCH(C370,Ingredients!$B$6:$B$105,0))),0)=1,"",ROUND(N(D370)*1000,0)*100000+100000-ROW())))</f>
        <v/>
      </c>
      <c r="J370">
        <f>IF(OR(B370="",C370=""),0,IFERROR(N(INDEX(Ingredients!$AC$6:$AC$105,MATCH(C370,Ingredients!$B$6:$B$105,0))),0))</f>
        <v/>
      </c>
      <c r="K370">
        <f>IF(OR(B370="",C370=""),0,IFERROR(N(INDEX(Ingredients!$AD$6:$AD$105,MATCH(C370,Ingredients!$B$6:$B$105,0))),0))</f>
        <v/>
      </c>
      <c r="L370">
        <f>IF(OR(B370="",C370=""),0,IFERROR(N(INDEX(Ingredients!$AE$6:$AE$105,MATCH(C370,Ingredients!$B$6:$B$105,0))),0))</f>
        <v/>
      </c>
      <c r="M370">
        <f>IF(OR(B370="",C370=""),0,IFERROR(N(INDEX(Ingredients!$AF$6:$AF$105,MATCH(C370,Ingredients!$B$6:$B$105,0))),0))</f>
        <v/>
      </c>
      <c r="N370">
        <f>IF(OR(B370="",C370=""),0,IFERROR(N(INDEX(Ingredients!$AG$6:$AG$105,MATCH(C370,Ingredients!$B$6:$B$105,0))),0))</f>
        <v/>
      </c>
      <c r="O370">
        <f>IF(OR(B370="",C370=""),0,IFERROR(N(INDEX(Ingredients!$AH$6:$AH$105,MATCH(C370,Ingredients!$B$6:$B$105,0))),0))</f>
        <v/>
      </c>
      <c r="P370">
        <f>IF(OR(B370="",C370=""),0,IFERROR(N(INDEX(Ingredients!$AI$6:$AI$105,MATCH(C370,Ingredients!$B$6:$B$105,0))),0))</f>
        <v/>
      </c>
      <c r="Q370">
        <f>IF(OR(B370="",C370=""),0,IFERROR(N(INDEX(Ingredients!$AJ$6:$AJ$105,MATCH(C370,Ingredients!$B$6:$B$105,0))),0))</f>
        <v/>
      </c>
      <c r="R370">
        <f>IF(OR(B370="",C370=""),0,IFERROR(N(INDEX(Ingredients!$AK$6:$AK$105,MATCH(C370,Ingredients!$B$6:$B$105,0))),0))</f>
        <v/>
      </c>
      <c r="S370">
        <f>IF(OR(B370="",C370=""),0,IFERROR(N(INDEX(Ingredients!$AL$6:$AL$105,MATCH(C370,Ingredients!$B$6:$B$105,0))),0))</f>
        <v/>
      </c>
      <c r="T370">
        <f>IF(OR(B370="",C370=""),0,IFERROR(N(INDEX(Ingredients!$AM$6:$AM$105,MATCH(C370,Ingredients!$B$6:$B$105,0))),0))</f>
        <v/>
      </c>
      <c r="U370">
        <f>IF(OR(B370="",C370=""),0,IFERROR(N(INDEX(Ingredients!$AN$6:$AN$105,MATCH(C370,Ingredients!$B$6:$B$105,0))),0))</f>
        <v/>
      </c>
      <c r="V370">
        <f>IF(OR(B370="",C370=""),0,IFERROR(N(INDEX(Ingredients!$AO$6:$AO$105,MATCH(C370,Ingredients!$B$6:$B$105,0))),0))</f>
        <v/>
      </c>
      <c r="W370">
        <f>IF(OR(B370="",C370=""),0,IFERROR(N(INDEX(Ingredients!$AP$6:$AP$105,MATCH(C370,Ingredients!$B$6:$B$105,0))),0))</f>
        <v/>
      </c>
      <c r="X370">
        <f>IF(OR(B370="",C370=""),0,IFERROR(N(INDEX(Ingredients!$AQ$6:$AQ$105,MATCH(C370,Ingredients!$B$6:$B$105,0))),0))</f>
        <v/>
      </c>
    </row>
    <row r="371">
      <c r="A371" s="1" t="n"/>
      <c r="B371" s="21" t="n"/>
      <c r="C371" s="39" t="n"/>
      <c r="D371" s="40" t="n"/>
      <c r="E371" s="12">
        <f>IF(C371="","",IF(ISNA(MATCH(C371,Ingredients!$B$6:$B$105,0)),"Not on Ingredients",IFERROR(IF(INDEX(Ingredients!$C$6:$C$105,MATCH(C371,Ingredients!$B$6:$B$105,0))="","",INDEX(Ingredients!$C$6:$C$105,MATCH(C371,Ingredients!$B$6:$B$105,0))),"")))</f>
        <v/>
      </c>
      <c r="F371" s="26">
        <f>IF(OR(B371="",C371=""),"",N(D371)*IFERROR(N(INDEX(Ingredients!$H$6:$H$105,MATCH(C371,Ingredients!$B$6:$B$105,0))),0))</f>
        <v/>
      </c>
      <c r="G371" s="1">
        <f>IF(OR(B371="",C371=""),0,IFERROR(N(INDEX(Products!$D$6:$D$45,MATCH(B371,Products!$B$6:$B$45,0))),0))</f>
        <v/>
      </c>
      <c r="H371">
        <f>IF(N(G371)=0,0,N(D371)*SUMIFS(Batches!$D$6:$D$505,Batches!$C$6:$C$505,B371)/G371)</f>
        <v/>
      </c>
      <c r="I371">
        <f>IF(OR(B371="",C371=""),"",IF(B371&lt;&gt;Label!$H$3,"",IF(IFERROR(N(INDEX(Ingredients!$AS$6:$AS$105,MATCH(C371,Ingredients!$B$6:$B$105,0))),0)=1,"",ROUND(N(D371)*1000,0)*100000+100000-ROW())))</f>
        <v/>
      </c>
      <c r="J371">
        <f>IF(OR(B371="",C371=""),0,IFERROR(N(INDEX(Ingredients!$AC$6:$AC$105,MATCH(C371,Ingredients!$B$6:$B$105,0))),0))</f>
        <v/>
      </c>
      <c r="K371">
        <f>IF(OR(B371="",C371=""),0,IFERROR(N(INDEX(Ingredients!$AD$6:$AD$105,MATCH(C371,Ingredients!$B$6:$B$105,0))),0))</f>
        <v/>
      </c>
      <c r="L371">
        <f>IF(OR(B371="",C371=""),0,IFERROR(N(INDEX(Ingredients!$AE$6:$AE$105,MATCH(C371,Ingredients!$B$6:$B$105,0))),0))</f>
        <v/>
      </c>
      <c r="M371">
        <f>IF(OR(B371="",C371=""),0,IFERROR(N(INDEX(Ingredients!$AF$6:$AF$105,MATCH(C371,Ingredients!$B$6:$B$105,0))),0))</f>
        <v/>
      </c>
      <c r="N371">
        <f>IF(OR(B371="",C371=""),0,IFERROR(N(INDEX(Ingredients!$AG$6:$AG$105,MATCH(C371,Ingredients!$B$6:$B$105,0))),0))</f>
        <v/>
      </c>
      <c r="O371">
        <f>IF(OR(B371="",C371=""),0,IFERROR(N(INDEX(Ingredients!$AH$6:$AH$105,MATCH(C371,Ingredients!$B$6:$B$105,0))),0))</f>
        <v/>
      </c>
      <c r="P371">
        <f>IF(OR(B371="",C371=""),0,IFERROR(N(INDEX(Ingredients!$AI$6:$AI$105,MATCH(C371,Ingredients!$B$6:$B$105,0))),0))</f>
        <v/>
      </c>
      <c r="Q371">
        <f>IF(OR(B371="",C371=""),0,IFERROR(N(INDEX(Ingredients!$AJ$6:$AJ$105,MATCH(C371,Ingredients!$B$6:$B$105,0))),0))</f>
        <v/>
      </c>
      <c r="R371">
        <f>IF(OR(B371="",C371=""),0,IFERROR(N(INDEX(Ingredients!$AK$6:$AK$105,MATCH(C371,Ingredients!$B$6:$B$105,0))),0))</f>
        <v/>
      </c>
      <c r="S371">
        <f>IF(OR(B371="",C371=""),0,IFERROR(N(INDEX(Ingredients!$AL$6:$AL$105,MATCH(C371,Ingredients!$B$6:$B$105,0))),0))</f>
        <v/>
      </c>
      <c r="T371">
        <f>IF(OR(B371="",C371=""),0,IFERROR(N(INDEX(Ingredients!$AM$6:$AM$105,MATCH(C371,Ingredients!$B$6:$B$105,0))),0))</f>
        <v/>
      </c>
      <c r="U371">
        <f>IF(OR(B371="",C371=""),0,IFERROR(N(INDEX(Ingredients!$AN$6:$AN$105,MATCH(C371,Ingredients!$B$6:$B$105,0))),0))</f>
        <v/>
      </c>
      <c r="V371">
        <f>IF(OR(B371="",C371=""),0,IFERROR(N(INDEX(Ingredients!$AO$6:$AO$105,MATCH(C371,Ingredients!$B$6:$B$105,0))),0))</f>
        <v/>
      </c>
      <c r="W371">
        <f>IF(OR(B371="",C371=""),0,IFERROR(N(INDEX(Ingredients!$AP$6:$AP$105,MATCH(C371,Ingredients!$B$6:$B$105,0))),0))</f>
        <v/>
      </c>
      <c r="X371">
        <f>IF(OR(B371="",C371=""),0,IFERROR(N(INDEX(Ingredients!$AQ$6:$AQ$105,MATCH(C371,Ingredients!$B$6:$B$105,0))),0))</f>
        <v/>
      </c>
    </row>
    <row r="372">
      <c r="A372" s="1" t="n"/>
      <c r="B372" s="21" t="n"/>
      <c r="C372" s="39" t="n"/>
      <c r="D372" s="40" t="n"/>
      <c r="E372" s="12">
        <f>IF(C372="","",IF(ISNA(MATCH(C372,Ingredients!$B$6:$B$105,0)),"Not on Ingredients",IFERROR(IF(INDEX(Ingredients!$C$6:$C$105,MATCH(C372,Ingredients!$B$6:$B$105,0))="","",INDEX(Ingredients!$C$6:$C$105,MATCH(C372,Ingredients!$B$6:$B$105,0))),"")))</f>
        <v/>
      </c>
      <c r="F372" s="26">
        <f>IF(OR(B372="",C372=""),"",N(D372)*IFERROR(N(INDEX(Ingredients!$H$6:$H$105,MATCH(C372,Ingredients!$B$6:$B$105,0))),0))</f>
        <v/>
      </c>
      <c r="G372" s="1">
        <f>IF(OR(B372="",C372=""),0,IFERROR(N(INDEX(Products!$D$6:$D$45,MATCH(B372,Products!$B$6:$B$45,0))),0))</f>
        <v/>
      </c>
      <c r="H372">
        <f>IF(N(G372)=0,0,N(D372)*SUMIFS(Batches!$D$6:$D$505,Batches!$C$6:$C$505,B372)/G372)</f>
        <v/>
      </c>
      <c r="I372">
        <f>IF(OR(B372="",C372=""),"",IF(B372&lt;&gt;Label!$H$3,"",IF(IFERROR(N(INDEX(Ingredients!$AS$6:$AS$105,MATCH(C372,Ingredients!$B$6:$B$105,0))),0)=1,"",ROUND(N(D372)*1000,0)*100000+100000-ROW())))</f>
        <v/>
      </c>
      <c r="J372">
        <f>IF(OR(B372="",C372=""),0,IFERROR(N(INDEX(Ingredients!$AC$6:$AC$105,MATCH(C372,Ingredients!$B$6:$B$105,0))),0))</f>
        <v/>
      </c>
      <c r="K372">
        <f>IF(OR(B372="",C372=""),0,IFERROR(N(INDEX(Ingredients!$AD$6:$AD$105,MATCH(C372,Ingredients!$B$6:$B$105,0))),0))</f>
        <v/>
      </c>
      <c r="L372">
        <f>IF(OR(B372="",C372=""),0,IFERROR(N(INDEX(Ingredients!$AE$6:$AE$105,MATCH(C372,Ingredients!$B$6:$B$105,0))),0))</f>
        <v/>
      </c>
      <c r="M372">
        <f>IF(OR(B372="",C372=""),0,IFERROR(N(INDEX(Ingredients!$AF$6:$AF$105,MATCH(C372,Ingredients!$B$6:$B$105,0))),0))</f>
        <v/>
      </c>
      <c r="N372">
        <f>IF(OR(B372="",C372=""),0,IFERROR(N(INDEX(Ingredients!$AG$6:$AG$105,MATCH(C372,Ingredients!$B$6:$B$105,0))),0))</f>
        <v/>
      </c>
      <c r="O372">
        <f>IF(OR(B372="",C372=""),0,IFERROR(N(INDEX(Ingredients!$AH$6:$AH$105,MATCH(C372,Ingredients!$B$6:$B$105,0))),0))</f>
        <v/>
      </c>
      <c r="P372">
        <f>IF(OR(B372="",C372=""),0,IFERROR(N(INDEX(Ingredients!$AI$6:$AI$105,MATCH(C372,Ingredients!$B$6:$B$105,0))),0))</f>
        <v/>
      </c>
      <c r="Q372">
        <f>IF(OR(B372="",C372=""),0,IFERROR(N(INDEX(Ingredients!$AJ$6:$AJ$105,MATCH(C372,Ingredients!$B$6:$B$105,0))),0))</f>
        <v/>
      </c>
      <c r="R372">
        <f>IF(OR(B372="",C372=""),0,IFERROR(N(INDEX(Ingredients!$AK$6:$AK$105,MATCH(C372,Ingredients!$B$6:$B$105,0))),0))</f>
        <v/>
      </c>
      <c r="S372">
        <f>IF(OR(B372="",C372=""),0,IFERROR(N(INDEX(Ingredients!$AL$6:$AL$105,MATCH(C372,Ingredients!$B$6:$B$105,0))),0))</f>
        <v/>
      </c>
      <c r="T372">
        <f>IF(OR(B372="",C372=""),0,IFERROR(N(INDEX(Ingredients!$AM$6:$AM$105,MATCH(C372,Ingredients!$B$6:$B$105,0))),0))</f>
        <v/>
      </c>
      <c r="U372">
        <f>IF(OR(B372="",C372=""),0,IFERROR(N(INDEX(Ingredients!$AN$6:$AN$105,MATCH(C372,Ingredients!$B$6:$B$105,0))),0))</f>
        <v/>
      </c>
      <c r="V372">
        <f>IF(OR(B372="",C372=""),0,IFERROR(N(INDEX(Ingredients!$AO$6:$AO$105,MATCH(C372,Ingredients!$B$6:$B$105,0))),0))</f>
        <v/>
      </c>
      <c r="W372">
        <f>IF(OR(B372="",C372=""),0,IFERROR(N(INDEX(Ingredients!$AP$6:$AP$105,MATCH(C372,Ingredients!$B$6:$B$105,0))),0))</f>
        <v/>
      </c>
      <c r="X372">
        <f>IF(OR(B372="",C372=""),0,IFERROR(N(INDEX(Ingredients!$AQ$6:$AQ$105,MATCH(C372,Ingredients!$B$6:$B$105,0))),0))</f>
        <v/>
      </c>
    </row>
    <row r="373">
      <c r="A373" s="1" t="n"/>
      <c r="B373" s="21" t="n"/>
      <c r="C373" s="39" t="n"/>
      <c r="D373" s="40" t="n"/>
      <c r="E373" s="12">
        <f>IF(C373="","",IF(ISNA(MATCH(C373,Ingredients!$B$6:$B$105,0)),"Not on Ingredients",IFERROR(IF(INDEX(Ingredients!$C$6:$C$105,MATCH(C373,Ingredients!$B$6:$B$105,0))="","",INDEX(Ingredients!$C$6:$C$105,MATCH(C373,Ingredients!$B$6:$B$105,0))),"")))</f>
        <v/>
      </c>
      <c r="F373" s="26">
        <f>IF(OR(B373="",C373=""),"",N(D373)*IFERROR(N(INDEX(Ingredients!$H$6:$H$105,MATCH(C373,Ingredients!$B$6:$B$105,0))),0))</f>
        <v/>
      </c>
      <c r="G373" s="1">
        <f>IF(OR(B373="",C373=""),0,IFERROR(N(INDEX(Products!$D$6:$D$45,MATCH(B373,Products!$B$6:$B$45,0))),0))</f>
        <v/>
      </c>
      <c r="H373">
        <f>IF(N(G373)=0,0,N(D373)*SUMIFS(Batches!$D$6:$D$505,Batches!$C$6:$C$505,B373)/G373)</f>
        <v/>
      </c>
      <c r="I373">
        <f>IF(OR(B373="",C373=""),"",IF(B373&lt;&gt;Label!$H$3,"",IF(IFERROR(N(INDEX(Ingredients!$AS$6:$AS$105,MATCH(C373,Ingredients!$B$6:$B$105,0))),0)=1,"",ROUND(N(D373)*1000,0)*100000+100000-ROW())))</f>
        <v/>
      </c>
      <c r="J373">
        <f>IF(OR(B373="",C373=""),0,IFERROR(N(INDEX(Ingredients!$AC$6:$AC$105,MATCH(C373,Ingredients!$B$6:$B$105,0))),0))</f>
        <v/>
      </c>
      <c r="K373">
        <f>IF(OR(B373="",C373=""),0,IFERROR(N(INDEX(Ingredients!$AD$6:$AD$105,MATCH(C373,Ingredients!$B$6:$B$105,0))),0))</f>
        <v/>
      </c>
      <c r="L373">
        <f>IF(OR(B373="",C373=""),0,IFERROR(N(INDEX(Ingredients!$AE$6:$AE$105,MATCH(C373,Ingredients!$B$6:$B$105,0))),0))</f>
        <v/>
      </c>
      <c r="M373">
        <f>IF(OR(B373="",C373=""),0,IFERROR(N(INDEX(Ingredients!$AF$6:$AF$105,MATCH(C373,Ingredients!$B$6:$B$105,0))),0))</f>
        <v/>
      </c>
      <c r="N373">
        <f>IF(OR(B373="",C373=""),0,IFERROR(N(INDEX(Ingredients!$AG$6:$AG$105,MATCH(C373,Ingredients!$B$6:$B$105,0))),0))</f>
        <v/>
      </c>
      <c r="O373">
        <f>IF(OR(B373="",C373=""),0,IFERROR(N(INDEX(Ingredients!$AH$6:$AH$105,MATCH(C373,Ingredients!$B$6:$B$105,0))),0))</f>
        <v/>
      </c>
      <c r="P373">
        <f>IF(OR(B373="",C373=""),0,IFERROR(N(INDEX(Ingredients!$AI$6:$AI$105,MATCH(C373,Ingredients!$B$6:$B$105,0))),0))</f>
        <v/>
      </c>
      <c r="Q373">
        <f>IF(OR(B373="",C373=""),0,IFERROR(N(INDEX(Ingredients!$AJ$6:$AJ$105,MATCH(C373,Ingredients!$B$6:$B$105,0))),0))</f>
        <v/>
      </c>
      <c r="R373">
        <f>IF(OR(B373="",C373=""),0,IFERROR(N(INDEX(Ingredients!$AK$6:$AK$105,MATCH(C373,Ingredients!$B$6:$B$105,0))),0))</f>
        <v/>
      </c>
      <c r="S373">
        <f>IF(OR(B373="",C373=""),0,IFERROR(N(INDEX(Ingredients!$AL$6:$AL$105,MATCH(C373,Ingredients!$B$6:$B$105,0))),0))</f>
        <v/>
      </c>
      <c r="T373">
        <f>IF(OR(B373="",C373=""),0,IFERROR(N(INDEX(Ingredients!$AM$6:$AM$105,MATCH(C373,Ingredients!$B$6:$B$105,0))),0))</f>
        <v/>
      </c>
      <c r="U373">
        <f>IF(OR(B373="",C373=""),0,IFERROR(N(INDEX(Ingredients!$AN$6:$AN$105,MATCH(C373,Ingredients!$B$6:$B$105,0))),0))</f>
        <v/>
      </c>
      <c r="V373">
        <f>IF(OR(B373="",C373=""),0,IFERROR(N(INDEX(Ingredients!$AO$6:$AO$105,MATCH(C373,Ingredients!$B$6:$B$105,0))),0))</f>
        <v/>
      </c>
      <c r="W373">
        <f>IF(OR(B373="",C373=""),0,IFERROR(N(INDEX(Ingredients!$AP$6:$AP$105,MATCH(C373,Ingredients!$B$6:$B$105,0))),0))</f>
        <v/>
      </c>
      <c r="X373">
        <f>IF(OR(B373="",C373=""),0,IFERROR(N(INDEX(Ingredients!$AQ$6:$AQ$105,MATCH(C373,Ingredients!$B$6:$B$105,0))),0))</f>
        <v/>
      </c>
    </row>
    <row r="374">
      <c r="A374" s="1" t="n"/>
      <c r="B374" s="21" t="n"/>
      <c r="C374" s="39" t="n"/>
      <c r="D374" s="40" t="n"/>
      <c r="E374" s="12">
        <f>IF(C374="","",IF(ISNA(MATCH(C374,Ingredients!$B$6:$B$105,0)),"Not on Ingredients",IFERROR(IF(INDEX(Ingredients!$C$6:$C$105,MATCH(C374,Ingredients!$B$6:$B$105,0))="","",INDEX(Ingredients!$C$6:$C$105,MATCH(C374,Ingredients!$B$6:$B$105,0))),"")))</f>
        <v/>
      </c>
      <c r="F374" s="26">
        <f>IF(OR(B374="",C374=""),"",N(D374)*IFERROR(N(INDEX(Ingredients!$H$6:$H$105,MATCH(C374,Ingredients!$B$6:$B$105,0))),0))</f>
        <v/>
      </c>
      <c r="G374" s="1">
        <f>IF(OR(B374="",C374=""),0,IFERROR(N(INDEX(Products!$D$6:$D$45,MATCH(B374,Products!$B$6:$B$45,0))),0))</f>
        <v/>
      </c>
      <c r="H374">
        <f>IF(N(G374)=0,0,N(D374)*SUMIFS(Batches!$D$6:$D$505,Batches!$C$6:$C$505,B374)/G374)</f>
        <v/>
      </c>
      <c r="I374">
        <f>IF(OR(B374="",C374=""),"",IF(B374&lt;&gt;Label!$H$3,"",IF(IFERROR(N(INDEX(Ingredients!$AS$6:$AS$105,MATCH(C374,Ingredients!$B$6:$B$105,0))),0)=1,"",ROUND(N(D374)*1000,0)*100000+100000-ROW())))</f>
        <v/>
      </c>
      <c r="J374">
        <f>IF(OR(B374="",C374=""),0,IFERROR(N(INDEX(Ingredients!$AC$6:$AC$105,MATCH(C374,Ingredients!$B$6:$B$105,0))),0))</f>
        <v/>
      </c>
      <c r="K374">
        <f>IF(OR(B374="",C374=""),0,IFERROR(N(INDEX(Ingredients!$AD$6:$AD$105,MATCH(C374,Ingredients!$B$6:$B$105,0))),0))</f>
        <v/>
      </c>
      <c r="L374">
        <f>IF(OR(B374="",C374=""),0,IFERROR(N(INDEX(Ingredients!$AE$6:$AE$105,MATCH(C374,Ingredients!$B$6:$B$105,0))),0))</f>
        <v/>
      </c>
      <c r="M374">
        <f>IF(OR(B374="",C374=""),0,IFERROR(N(INDEX(Ingredients!$AF$6:$AF$105,MATCH(C374,Ingredients!$B$6:$B$105,0))),0))</f>
        <v/>
      </c>
      <c r="N374">
        <f>IF(OR(B374="",C374=""),0,IFERROR(N(INDEX(Ingredients!$AG$6:$AG$105,MATCH(C374,Ingredients!$B$6:$B$105,0))),0))</f>
        <v/>
      </c>
      <c r="O374">
        <f>IF(OR(B374="",C374=""),0,IFERROR(N(INDEX(Ingredients!$AH$6:$AH$105,MATCH(C374,Ingredients!$B$6:$B$105,0))),0))</f>
        <v/>
      </c>
      <c r="P374">
        <f>IF(OR(B374="",C374=""),0,IFERROR(N(INDEX(Ingredients!$AI$6:$AI$105,MATCH(C374,Ingredients!$B$6:$B$105,0))),0))</f>
        <v/>
      </c>
      <c r="Q374">
        <f>IF(OR(B374="",C374=""),0,IFERROR(N(INDEX(Ingredients!$AJ$6:$AJ$105,MATCH(C374,Ingredients!$B$6:$B$105,0))),0))</f>
        <v/>
      </c>
      <c r="R374">
        <f>IF(OR(B374="",C374=""),0,IFERROR(N(INDEX(Ingredients!$AK$6:$AK$105,MATCH(C374,Ingredients!$B$6:$B$105,0))),0))</f>
        <v/>
      </c>
      <c r="S374">
        <f>IF(OR(B374="",C374=""),0,IFERROR(N(INDEX(Ingredients!$AL$6:$AL$105,MATCH(C374,Ingredients!$B$6:$B$105,0))),0))</f>
        <v/>
      </c>
      <c r="T374">
        <f>IF(OR(B374="",C374=""),0,IFERROR(N(INDEX(Ingredients!$AM$6:$AM$105,MATCH(C374,Ingredients!$B$6:$B$105,0))),0))</f>
        <v/>
      </c>
      <c r="U374">
        <f>IF(OR(B374="",C374=""),0,IFERROR(N(INDEX(Ingredients!$AN$6:$AN$105,MATCH(C374,Ingredients!$B$6:$B$105,0))),0))</f>
        <v/>
      </c>
      <c r="V374">
        <f>IF(OR(B374="",C374=""),0,IFERROR(N(INDEX(Ingredients!$AO$6:$AO$105,MATCH(C374,Ingredients!$B$6:$B$105,0))),0))</f>
        <v/>
      </c>
      <c r="W374">
        <f>IF(OR(B374="",C374=""),0,IFERROR(N(INDEX(Ingredients!$AP$6:$AP$105,MATCH(C374,Ingredients!$B$6:$B$105,0))),0))</f>
        <v/>
      </c>
      <c r="X374">
        <f>IF(OR(B374="",C374=""),0,IFERROR(N(INDEX(Ingredients!$AQ$6:$AQ$105,MATCH(C374,Ingredients!$B$6:$B$105,0))),0))</f>
        <v/>
      </c>
    </row>
    <row r="375">
      <c r="A375" s="1" t="n"/>
      <c r="B375" s="21" t="n"/>
      <c r="C375" s="39" t="n"/>
      <c r="D375" s="40" t="n"/>
      <c r="E375" s="12">
        <f>IF(C375="","",IF(ISNA(MATCH(C375,Ingredients!$B$6:$B$105,0)),"Not on Ingredients",IFERROR(IF(INDEX(Ingredients!$C$6:$C$105,MATCH(C375,Ingredients!$B$6:$B$105,0))="","",INDEX(Ingredients!$C$6:$C$105,MATCH(C375,Ingredients!$B$6:$B$105,0))),"")))</f>
        <v/>
      </c>
      <c r="F375" s="26">
        <f>IF(OR(B375="",C375=""),"",N(D375)*IFERROR(N(INDEX(Ingredients!$H$6:$H$105,MATCH(C375,Ingredients!$B$6:$B$105,0))),0))</f>
        <v/>
      </c>
      <c r="G375" s="1">
        <f>IF(OR(B375="",C375=""),0,IFERROR(N(INDEX(Products!$D$6:$D$45,MATCH(B375,Products!$B$6:$B$45,0))),0))</f>
        <v/>
      </c>
      <c r="H375">
        <f>IF(N(G375)=0,0,N(D375)*SUMIFS(Batches!$D$6:$D$505,Batches!$C$6:$C$505,B375)/G375)</f>
        <v/>
      </c>
      <c r="I375">
        <f>IF(OR(B375="",C375=""),"",IF(B375&lt;&gt;Label!$H$3,"",IF(IFERROR(N(INDEX(Ingredients!$AS$6:$AS$105,MATCH(C375,Ingredients!$B$6:$B$105,0))),0)=1,"",ROUND(N(D375)*1000,0)*100000+100000-ROW())))</f>
        <v/>
      </c>
      <c r="J375">
        <f>IF(OR(B375="",C375=""),0,IFERROR(N(INDEX(Ingredients!$AC$6:$AC$105,MATCH(C375,Ingredients!$B$6:$B$105,0))),0))</f>
        <v/>
      </c>
      <c r="K375">
        <f>IF(OR(B375="",C375=""),0,IFERROR(N(INDEX(Ingredients!$AD$6:$AD$105,MATCH(C375,Ingredients!$B$6:$B$105,0))),0))</f>
        <v/>
      </c>
      <c r="L375">
        <f>IF(OR(B375="",C375=""),0,IFERROR(N(INDEX(Ingredients!$AE$6:$AE$105,MATCH(C375,Ingredients!$B$6:$B$105,0))),0))</f>
        <v/>
      </c>
      <c r="M375">
        <f>IF(OR(B375="",C375=""),0,IFERROR(N(INDEX(Ingredients!$AF$6:$AF$105,MATCH(C375,Ingredients!$B$6:$B$105,0))),0))</f>
        <v/>
      </c>
      <c r="N375">
        <f>IF(OR(B375="",C375=""),0,IFERROR(N(INDEX(Ingredients!$AG$6:$AG$105,MATCH(C375,Ingredients!$B$6:$B$105,0))),0))</f>
        <v/>
      </c>
      <c r="O375">
        <f>IF(OR(B375="",C375=""),0,IFERROR(N(INDEX(Ingredients!$AH$6:$AH$105,MATCH(C375,Ingredients!$B$6:$B$105,0))),0))</f>
        <v/>
      </c>
      <c r="P375">
        <f>IF(OR(B375="",C375=""),0,IFERROR(N(INDEX(Ingredients!$AI$6:$AI$105,MATCH(C375,Ingredients!$B$6:$B$105,0))),0))</f>
        <v/>
      </c>
      <c r="Q375">
        <f>IF(OR(B375="",C375=""),0,IFERROR(N(INDEX(Ingredients!$AJ$6:$AJ$105,MATCH(C375,Ingredients!$B$6:$B$105,0))),0))</f>
        <v/>
      </c>
      <c r="R375">
        <f>IF(OR(B375="",C375=""),0,IFERROR(N(INDEX(Ingredients!$AK$6:$AK$105,MATCH(C375,Ingredients!$B$6:$B$105,0))),0))</f>
        <v/>
      </c>
      <c r="S375">
        <f>IF(OR(B375="",C375=""),0,IFERROR(N(INDEX(Ingredients!$AL$6:$AL$105,MATCH(C375,Ingredients!$B$6:$B$105,0))),0))</f>
        <v/>
      </c>
      <c r="T375">
        <f>IF(OR(B375="",C375=""),0,IFERROR(N(INDEX(Ingredients!$AM$6:$AM$105,MATCH(C375,Ingredients!$B$6:$B$105,0))),0))</f>
        <v/>
      </c>
      <c r="U375">
        <f>IF(OR(B375="",C375=""),0,IFERROR(N(INDEX(Ingredients!$AN$6:$AN$105,MATCH(C375,Ingredients!$B$6:$B$105,0))),0))</f>
        <v/>
      </c>
      <c r="V375">
        <f>IF(OR(B375="",C375=""),0,IFERROR(N(INDEX(Ingredients!$AO$6:$AO$105,MATCH(C375,Ingredients!$B$6:$B$105,0))),0))</f>
        <v/>
      </c>
      <c r="W375">
        <f>IF(OR(B375="",C375=""),0,IFERROR(N(INDEX(Ingredients!$AP$6:$AP$105,MATCH(C375,Ingredients!$B$6:$B$105,0))),0))</f>
        <v/>
      </c>
      <c r="X375">
        <f>IF(OR(B375="",C375=""),0,IFERROR(N(INDEX(Ingredients!$AQ$6:$AQ$105,MATCH(C375,Ingredients!$B$6:$B$105,0))),0))</f>
        <v/>
      </c>
    </row>
    <row r="376">
      <c r="A376" s="1" t="n"/>
      <c r="B376" s="21" t="n"/>
      <c r="C376" s="39" t="n"/>
      <c r="D376" s="40" t="n"/>
      <c r="E376" s="12">
        <f>IF(C376="","",IF(ISNA(MATCH(C376,Ingredients!$B$6:$B$105,0)),"Not on Ingredients",IFERROR(IF(INDEX(Ingredients!$C$6:$C$105,MATCH(C376,Ingredients!$B$6:$B$105,0))="","",INDEX(Ingredients!$C$6:$C$105,MATCH(C376,Ingredients!$B$6:$B$105,0))),"")))</f>
        <v/>
      </c>
      <c r="F376" s="26">
        <f>IF(OR(B376="",C376=""),"",N(D376)*IFERROR(N(INDEX(Ingredients!$H$6:$H$105,MATCH(C376,Ingredients!$B$6:$B$105,0))),0))</f>
        <v/>
      </c>
      <c r="G376" s="1">
        <f>IF(OR(B376="",C376=""),0,IFERROR(N(INDEX(Products!$D$6:$D$45,MATCH(B376,Products!$B$6:$B$45,0))),0))</f>
        <v/>
      </c>
      <c r="H376">
        <f>IF(N(G376)=0,0,N(D376)*SUMIFS(Batches!$D$6:$D$505,Batches!$C$6:$C$505,B376)/G376)</f>
        <v/>
      </c>
      <c r="I376">
        <f>IF(OR(B376="",C376=""),"",IF(B376&lt;&gt;Label!$H$3,"",IF(IFERROR(N(INDEX(Ingredients!$AS$6:$AS$105,MATCH(C376,Ingredients!$B$6:$B$105,0))),0)=1,"",ROUND(N(D376)*1000,0)*100000+100000-ROW())))</f>
        <v/>
      </c>
      <c r="J376">
        <f>IF(OR(B376="",C376=""),0,IFERROR(N(INDEX(Ingredients!$AC$6:$AC$105,MATCH(C376,Ingredients!$B$6:$B$105,0))),0))</f>
        <v/>
      </c>
      <c r="K376">
        <f>IF(OR(B376="",C376=""),0,IFERROR(N(INDEX(Ingredients!$AD$6:$AD$105,MATCH(C376,Ingredients!$B$6:$B$105,0))),0))</f>
        <v/>
      </c>
      <c r="L376">
        <f>IF(OR(B376="",C376=""),0,IFERROR(N(INDEX(Ingredients!$AE$6:$AE$105,MATCH(C376,Ingredients!$B$6:$B$105,0))),0))</f>
        <v/>
      </c>
      <c r="M376">
        <f>IF(OR(B376="",C376=""),0,IFERROR(N(INDEX(Ingredients!$AF$6:$AF$105,MATCH(C376,Ingredients!$B$6:$B$105,0))),0))</f>
        <v/>
      </c>
      <c r="N376">
        <f>IF(OR(B376="",C376=""),0,IFERROR(N(INDEX(Ingredients!$AG$6:$AG$105,MATCH(C376,Ingredients!$B$6:$B$105,0))),0))</f>
        <v/>
      </c>
      <c r="O376">
        <f>IF(OR(B376="",C376=""),0,IFERROR(N(INDEX(Ingredients!$AH$6:$AH$105,MATCH(C376,Ingredients!$B$6:$B$105,0))),0))</f>
        <v/>
      </c>
      <c r="P376">
        <f>IF(OR(B376="",C376=""),0,IFERROR(N(INDEX(Ingredients!$AI$6:$AI$105,MATCH(C376,Ingredients!$B$6:$B$105,0))),0))</f>
        <v/>
      </c>
      <c r="Q376">
        <f>IF(OR(B376="",C376=""),0,IFERROR(N(INDEX(Ingredients!$AJ$6:$AJ$105,MATCH(C376,Ingredients!$B$6:$B$105,0))),0))</f>
        <v/>
      </c>
      <c r="R376">
        <f>IF(OR(B376="",C376=""),0,IFERROR(N(INDEX(Ingredients!$AK$6:$AK$105,MATCH(C376,Ingredients!$B$6:$B$105,0))),0))</f>
        <v/>
      </c>
      <c r="S376">
        <f>IF(OR(B376="",C376=""),0,IFERROR(N(INDEX(Ingredients!$AL$6:$AL$105,MATCH(C376,Ingredients!$B$6:$B$105,0))),0))</f>
        <v/>
      </c>
      <c r="T376">
        <f>IF(OR(B376="",C376=""),0,IFERROR(N(INDEX(Ingredients!$AM$6:$AM$105,MATCH(C376,Ingredients!$B$6:$B$105,0))),0))</f>
        <v/>
      </c>
      <c r="U376">
        <f>IF(OR(B376="",C376=""),0,IFERROR(N(INDEX(Ingredients!$AN$6:$AN$105,MATCH(C376,Ingredients!$B$6:$B$105,0))),0))</f>
        <v/>
      </c>
      <c r="V376">
        <f>IF(OR(B376="",C376=""),0,IFERROR(N(INDEX(Ingredients!$AO$6:$AO$105,MATCH(C376,Ingredients!$B$6:$B$105,0))),0))</f>
        <v/>
      </c>
      <c r="W376">
        <f>IF(OR(B376="",C376=""),0,IFERROR(N(INDEX(Ingredients!$AP$6:$AP$105,MATCH(C376,Ingredients!$B$6:$B$105,0))),0))</f>
        <v/>
      </c>
      <c r="X376">
        <f>IF(OR(B376="",C376=""),0,IFERROR(N(INDEX(Ingredients!$AQ$6:$AQ$105,MATCH(C376,Ingredients!$B$6:$B$105,0))),0))</f>
        <v/>
      </c>
    </row>
    <row r="377">
      <c r="A377" s="1" t="n"/>
      <c r="B377" s="21" t="n"/>
      <c r="C377" s="39" t="n"/>
      <c r="D377" s="40" t="n"/>
      <c r="E377" s="12">
        <f>IF(C377="","",IF(ISNA(MATCH(C377,Ingredients!$B$6:$B$105,0)),"Not on Ingredients",IFERROR(IF(INDEX(Ingredients!$C$6:$C$105,MATCH(C377,Ingredients!$B$6:$B$105,0))="","",INDEX(Ingredients!$C$6:$C$105,MATCH(C377,Ingredients!$B$6:$B$105,0))),"")))</f>
        <v/>
      </c>
      <c r="F377" s="26">
        <f>IF(OR(B377="",C377=""),"",N(D377)*IFERROR(N(INDEX(Ingredients!$H$6:$H$105,MATCH(C377,Ingredients!$B$6:$B$105,0))),0))</f>
        <v/>
      </c>
      <c r="G377" s="1">
        <f>IF(OR(B377="",C377=""),0,IFERROR(N(INDEX(Products!$D$6:$D$45,MATCH(B377,Products!$B$6:$B$45,0))),0))</f>
        <v/>
      </c>
      <c r="H377">
        <f>IF(N(G377)=0,0,N(D377)*SUMIFS(Batches!$D$6:$D$505,Batches!$C$6:$C$505,B377)/G377)</f>
        <v/>
      </c>
      <c r="I377">
        <f>IF(OR(B377="",C377=""),"",IF(B377&lt;&gt;Label!$H$3,"",IF(IFERROR(N(INDEX(Ingredients!$AS$6:$AS$105,MATCH(C377,Ingredients!$B$6:$B$105,0))),0)=1,"",ROUND(N(D377)*1000,0)*100000+100000-ROW())))</f>
        <v/>
      </c>
      <c r="J377">
        <f>IF(OR(B377="",C377=""),0,IFERROR(N(INDEX(Ingredients!$AC$6:$AC$105,MATCH(C377,Ingredients!$B$6:$B$105,0))),0))</f>
        <v/>
      </c>
      <c r="K377">
        <f>IF(OR(B377="",C377=""),0,IFERROR(N(INDEX(Ingredients!$AD$6:$AD$105,MATCH(C377,Ingredients!$B$6:$B$105,0))),0))</f>
        <v/>
      </c>
      <c r="L377">
        <f>IF(OR(B377="",C377=""),0,IFERROR(N(INDEX(Ingredients!$AE$6:$AE$105,MATCH(C377,Ingredients!$B$6:$B$105,0))),0))</f>
        <v/>
      </c>
      <c r="M377">
        <f>IF(OR(B377="",C377=""),0,IFERROR(N(INDEX(Ingredients!$AF$6:$AF$105,MATCH(C377,Ingredients!$B$6:$B$105,0))),0))</f>
        <v/>
      </c>
      <c r="N377">
        <f>IF(OR(B377="",C377=""),0,IFERROR(N(INDEX(Ingredients!$AG$6:$AG$105,MATCH(C377,Ingredients!$B$6:$B$105,0))),0))</f>
        <v/>
      </c>
      <c r="O377">
        <f>IF(OR(B377="",C377=""),0,IFERROR(N(INDEX(Ingredients!$AH$6:$AH$105,MATCH(C377,Ingredients!$B$6:$B$105,0))),0))</f>
        <v/>
      </c>
      <c r="P377">
        <f>IF(OR(B377="",C377=""),0,IFERROR(N(INDEX(Ingredients!$AI$6:$AI$105,MATCH(C377,Ingredients!$B$6:$B$105,0))),0))</f>
        <v/>
      </c>
      <c r="Q377">
        <f>IF(OR(B377="",C377=""),0,IFERROR(N(INDEX(Ingredients!$AJ$6:$AJ$105,MATCH(C377,Ingredients!$B$6:$B$105,0))),0))</f>
        <v/>
      </c>
      <c r="R377">
        <f>IF(OR(B377="",C377=""),0,IFERROR(N(INDEX(Ingredients!$AK$6:$AK$105,MATCH(C377,Ingredients!$B$6:$B$105,0))),0))</f>
        <v/>
      </c>
      <c r="S377">
        <f>IF(OR(B377="",C377=""),0,IFERROR(N(INDEX(Ingredients!$AL$6:$AL$105,MATCH(C377,Ingredients!$B$6:$B$105,0))),0))</f>
        <v/>
      </c>
      <c r="T377">
        <f>IF(OR(B377="",C377=""),0,IFERROR(N(INDEX(Ingredients!$AM$6:$AM$105,MATCH(C377,Ingredients!$B$6:$B$105,0))),0))</f>
        <v/>
      </c>
      <c r="U377">
        <f>IF(OR(B377="",C377=""),0,IFERROR(N(INDEX(Ingredients!$AN$6:$AN$105,MATCH(C377,Ingredients!$B$6:$B$105,0))),0))</f>
        <v/>
      </c>
      <c r="V377">
        <f>IF(OR(B377="",C377=""),0,IFERROR(N(INDEX(Ingredients!$AO$6:$AO$105,MATCH(C377,Ingredients!$B$6:$B$105,0))),0))</f>
        <v/>
      </c>
      <c r="W377">
        <f>IF(OR(B377="",C377=""),0,IFERROR(N(INDEX(Ingredients!$AP$6:$AP$105,MATCH(C377,Ingredients!$B$6:$B$105,0))),0))</f>
        <v/>
      </c>
      <c r="X377">
        <f>IF(OR(B377="",C377=""),0,IFERROR(N(INDEX(Ingredients!$AQ$6:$AQ$105,MATCH(C377,Ingredients!$B$6:$B$105,0))),0))</f>
        <v/>
      </c>
    </row>
    <row r="378">
      <c r="A378" s="1" t="n"/>
      <c r="B378" s="21" t="n"/>
      <c r="C378" s="39" t="n"/>
      <c r="D378" s="40" t="n"/>
      <c r="E378" s="12">
        <f>IF(C378="","",IF(ISNA(MATCH(C378,Ingredients!$B$6:$B$105,0)),"Not on Ingredients",IFERROR(IF(INDEX(Ingredients!$C$6:$C$105,MATCH(C378,Ingredients!$B$6:$B$105,0))="","",INDEX(Ingredients!$C$6:$C$105,MATCH(C378,Ingredients!$B$6:$B$105,0))),"")))</f>
        <v/>
      </c>
      <c r="F378" s="26">
        <f>IF(OR(B378="",C378=""),"",N(D378)*IFERROR(N(INDEX(Ingredients!$H$6:$H$105,MATCH(C378,Ingredients!$B$6:$B$105,0))),0))</f>
        <v/>
      </c>
      <c r="G378" s="1">
        <f>IF(OR(B378="",C378=""),0,IFERROR(N(INDEX(Products!$D$6:$D$45,MATCH(B378,Products!$B$6:$B$45,0))),0))</f>
        <v/>
      </c>
      <c r="H378">
        <f>IF(N(G378)=0,0,N(D378)*SUMIFS(Batches!$D$6:$D$505,Batches!$C$6:$C$505,B378)/G378)</f>
        <v/>
      </c>
      <c r="I378">
        <f>IF(OR(B378="",C378=""),"",IF(B378&lt;&gt;Label!$H$3,"",IF(IFERROR(N(INDEX(Ingredients!$AS$6:$AS$105,MATCH(C378,Ingredients!$B$6:$B$105,0))),0)=1,"",ROUND(N(D378)*1000,0)*100000+100000-ROW())))</f>
        <v/>
      </c>
      <c r="J378">
        <f>IF(OR(B378="",C378=""),0,IFERROR(N(INDEX(Ingredients!$AC$6:$AC$105,MATCH(C378,Ingredients!$B$6:$B$105,0))),0))</f>
        <v/>
      </c>
      <c r="K378">
        <f>IF(OR(B378="",C378=""),0,IFERROR(N(INDEX(Ingredients!$AD$6:$AD$105,MATCH(C378,Ingredients!$B$6:$B$105,0))),0))</f>
        <v/>
      </c>
      <c r="L378">
        <f>IF(OR(B378="",C378=""),0,IFERROR(N(INDEX(Ingredients!$AE$6:$AE$105,MATCH(C378,Ingredients!$B$6:$B$105,0))),0))</f>
        <v/>
      </c>
      <c r="M378">
        <f>IF(OR(B378="",C378=""),0,IFERROR(N(INDEX(Ingredients!$AF$6:$AF$105,MATCH(C378,Ingredients!$B$6:$B$105,0))),0))</f>
        <v/>
      </c>
      <c r="N378">
        <f>IF(OR(B378="",C378=""),0,IFERROR(N(INDEX(Ingredients!$AG$6:$AG$105,MATCH(C378,Ingredients!$B$6:$B$105,0))),0))</f>
        <v/>
      </c>
      <c r="O378">
        <f>IF(OR(B378="",C378=""),0,IFERROR(N(INDEX(Ingredients!$AH$6:$AH$105,MATCH(C378,Ingredients!$B$6:$B$105,0))),0))</f>
        <v/>
      </c>
      <c r="P378">
        <f>IF(OR(B378="",C378=""),0,IFERROR(N(INDEX(Ingredients!$AI$6:$AI$105,MATCH(C378,Ingredients!$B$6:$B$105,0))),0))</f>
        <v/>
      </c>
      <c r="Q378">
        <f>IF(OR(B378="",C378=""),0,IFERROR(N(INDEX(Ingredients!$AJ$6:$AJ$105,MATCH(C378,Ingredients!$B$6:$B$105,0))),0))</f>
        <v/>
      </c>
      <c r="R378">
        <f>IF(OR(B378="",C378=""),0,IFERROR(N(INDEX(Ingredients!$AK$6:$AK$105,MATCH(C378,Ingredients!$B$6:$B$105,0))),0))</f>
        <v/>
      </c>
      <c r="S378">
        <f>IF(OR(B378="",C378=""),0,IFERROR(N(INDEX(Ingredients!$AL$6:$AL$105,MATCH(C378,Ingredients!$B$6:$B$105,0))),0))</f>
        <v/>
      </c>
      <c r="T378">
        <f>IF(OR(B378="",C378=""),0,IFERROR(N(INDEX(Ingredients!$AM$6:$AM$105,MATCH(C378,Ingredients!$B$6:$B$105,0))),0))</f>
        <v/>
      </c>
      <c r="U378">
        <f>IF(OR(B378="",C378=""),0,IFERROR(N(INDEX(Ingredients!$AN$6:$AN$105,MATCH(C378,Ingredients!$B$6:$B$105,0))),0))</f>
        <v/>
      </c>
      <c r="V378">
        <f>IF(OR(B378="",C378=""),0,IFERROR(N(INDEX(Ingredients!$AO$6:$AO$105,MATCH(C378,Ingredients!$B$6:$B$105,0))),0))</f>
        <v/>
      </c>
      <c r="W378">
        <f>IF(OR(B378="",C378=""),0,IFERROR(N(INDEX(Ingredients!$AP$6:$AP$105,MATCH(C378,Ingredients!$B$6:$B$105,0))),0))</f>
        <v/>
      </c>
      <c r="X378">
        <f>IF(OR(B378="",C378=""),0,IFERROR(N(INDEX(Ingredients!$AQ$6:$AQ$105,MATCH(C378,Ingredients!$B$6:$B$105,0))),0))</f>
        <v/>
      </c>
    </row>
    <row r="379">
      <c r="A379" s="1" t="n"/>
      <c r="B379" s="21" t="n"/>
      <c r="C379" s="39" t="n"/>
      <c r="D379" s="40" t="n"/>
      <c r="E379" s="12">
        <f>IF(C379="","",IF(ISNA(MATCH(C379,Ingredients!$B$6:$B$105,0)),"Not on Ingredients",IFERROR(IF(INDEX(Ingredients!$C$6:$C$105,MATCH(C379,Ingredients!$B$6:$B$105,0))="","",INDEX(Ingredients!$C$6:$C$105,MATCH(C379,Ingredients!$B$6:$B$105,0))),"")))</f>
        <v/>
      </c>
      <c r="F379" s="26">
        <f>IF(OR(B379="",C379=""),"",N(D379)*IFERROR(N(INDEX(Ingredients!$H$6:$H$105,MATCH(C379,Ingredients!$B$6:$B$105,0))),0))</f>
        <v/>
      </c>
      <c r="G379" s="1">
        <f>IF(OR(B379="",C379=""),0,IFERROR(N(INDEX(Products!$D$6:$D$45,MATCH(B379,Products!$B$6:$B$45,0))),0))</f>
        <v/>
      </c>
      <c r="H379">
        <f>IF(N(G379)=0,0,N(D379)*SUMIFS(Batches!$D$6:$D$505,Batches!$C$6:$C$505,B379)/G379)</f>
        <v/>
      </c>
      <c r="I379">
        <f>IF(OR(B379="",C379=""),"",IF(B379&lt;&gt;Label!$H$3,"",IF(IFERROR(N(INDEX(Ingredients!$AS$6:$AS$105,MATCH(C379,Ingredients!$B$6:$B$105,0))),0)=1,"",ROUND(N(D379)*1000,0)*100000+100000-ROW())))</f>
        <v/>
      </c>
      <c r="J379">
        <f>IF(OR(B379="",C379=""),0,IFERROR(N(INDEX(Ingredients!$AC$6:$AC$105,MATCH(C379,Ingredients!$B$6:$B$105,0))),0))</f>
        <v/>
      </c>
      <c r="K379">
        <f>IF(OR(B379="",C379=""),0,IFERROR(N(INDEX(Ingredients!$AD$6:$AD$105,MATCH(C379,Ingredients!$B$6:$B$105,0))),0))</f>
        <v/>
      </c>
      <c r="L379">
        <f>IF(OR(B379="",C379=""),0,IFERROR(N(INDEX(Ingredients!$AE$6:$AE$105,MATCH(C379,Ingredients!$B$6:$B$105,0))),0))</f>
        <v/>
      </c>
      <c r="M379">
        <f>IF(OR(B379="",C379=""),0,IFERROR(N(INDEX(Ingredients!$AF$6:$AF$105,MATCH(C379,Ingredients!$B$6:$B$105,0))),0))</f>
        <v/>
      </c>
      <c r="N379">
        <f>IF(OR(B379="",C379=""),0,IFERROR(N(INDEX(Ingredients!$AG$6:$AG$105,MATCH(C379,Ingredients!$B$6:$B$105,0))),0))</f>
        <v/>
      </c>
      <c r="O379">
        <f>IF(OR(B379="",C379=""),0,IFERROR(N(INDEX(Ingredients!$AH$6:$AH$105,MATCH(C379,Ingredients!$B$6:$B$105,0))),0))</f>
        <v/>
      </c>
      <c r="P379">
        <f>IF(OR(B379="",C379=""),0,IFERROR(N(INDEX(Ingredients!$AI$6:$AI$105,MATCH(C379,Ingredients!$B$6:$B$105,0))),0))</f>
        <v/>
      </c>
      <c r="Q379">
        <f>IF(OR(B379="",C379=""),0,IFERROR(N(INDEX(Ingredients!$AJ$6:$AJ$105,MATCH(C379,Ingredients!$B$6:$B$105,0))),0))</f>
        <v/>
      </c>
      <c r="R379">
        <f>IF(OR(B379="",C379=""),0,IFERROR(N(INDEX(Ingredients!$AK$6:$AK$105,MATCH(C379,Ingredients!$B$6:$B$105,0))),0))</f>
        <v/>
      </c>
      <c r="S379">
        <f>IF(OR(B379="",C379=""),0,IFERROR(N(INDEX(Ingredients!$AL$6:$AL$105,MATCH(C379,Ingredients!$B$6:$B$105,0))),0))</f>
        <v/>
      </c>
      <c r="T379">
        <f>IF(OR(B379="",C379=""),0,IFERROR(N(INDEX(Ingredients!$AM$6:$AM$105,MATCH(C379,Ingredients!$B$6:$B$105,0))),0))</f>
        <v/>
      </c>
      <c r="U379">
        <f>IF(OR(B379="",C379=""),0,IFERROR(N(INDEX(Ingredients!$AN$6:$AN$105,MATCH(C379,Ingredients!$B$6:$B$105,0))),0))</f>
        <v/>
      </c>
      <c r="V379">
        <f>IF(OR(B379="",C379=""),0,IFERROR(N(INDEX(Ingredients!$AO$6:$AO$105,MATCH(C379,Ingredients!$B$6:$B$105,0))),0))</f>
        <v/>
      </c>
      <c r="W379">
        <f>IF(OR(B379="",C379=""),0,IFERROR(N(INDEX(Ingredients!$AP$6:$AP$105,MATCH(C379,Ingredients!$B$6:$B$105,0))),0))</f>
        <v/>
      </c>
      <c r="X379">
        <f>IF(OR(B379="",C379=""),0,IFERROR(N(INDEX(Ingredients!$AQ$6:$AQ$105,MATCH(C379,Ingredients!$B$6:$B$105,0))),0))</f>
        <v/>
      </c>
    </row>
    <row r="380">
      <c r="A380" s="1" t="n"/>
      <c r="B380" s="21" t="n"/>
      <c r="C380" s="39" t="n"/>
      <c r="D380" s="40" t="n"/>
      <c r="E380" s="12">
        <f>IF(C380="","",IF(ISNA(MATCH(C380,Ingredients!$B$6:$B$105,0)),"Not on Ingredients",IFERROR(IF(INDEX(Ingredients!$C$6:$C$105,MATCH(C380,Ingredients!$B$6:$B$105,0))="","",INDEX(Ingredients!$C$6:$C$105,MATCH(C380,Ingredients!$B$6:$B$105,0))),"")))</f>
        <v/>
      </c>
      <c r="F380" s="26">
        <f>IF(OR(B380="",C380=""),"",N(D380)*IFERROR(N(INDEX(Ingredients!$H$6:$H$105,MATCH(C380,Ingredients!$B$6:$B$105,0))),0))</f>
        <v/>
      </c>
      <c r="G380" s="1">
        <f>IF(OR(B380="",C380=""),0,IFERROR(N(INDEX(Products!$D$6:$D$45,MATCH(B380,Products!$B$6:$B$45,0))),0))</f>
        <v/>
      </c>
      <c r="H380">
        <f>IF(N(G380)=0,0,N(D380)*SUMIFS(Batches!$D$6:$D$505,Batches!$C$6:$C$505,B380)/G380)</f>
        <v/>
      </c>
      <c r="I380">
        <f>IF(OR(B380="",C380=""),"",IF(B380&lt;&gt;Label!$H$3,"",IF(IFERROR(N(INDEX(Ingredients!$AS$6:$AS$105,MATCH(C380,Ingredients!$B$6:$B$105,0))),0)=1,"",ROUND(N(D380)*1000,0)*100000+100000-ROW())))</f>
        <v/>
      </c>
      <c r="J380">
        <f>IF(OR(B380="",C380=""),0,IFERROR(N(INDEX(Ingredients!$AC$6:$AC$105,MATCH(C380,Ingredients!$B$6:$B$105,0))),0))</f>
        <v/>
      </c>
      <c r="K380">
        <f>IF(OR(B380="",C380=""),0,IFERROR(N(INDEX(Ingredients!$AD$6:$AD$105,MATCH(C380,Ingredients!$B$6:$B$105,0))),0))</f>
        <v/>
      </c>
      <c r="L380">
        <f>IF(OR(B380="",C380=""),0,IFERROR(N(INDEX(Ingredients!$AE$6:$AE$105,MATCH(C380,Ingredients!$B$6:$B$105,0))),0))</f>
        <v/>
      </c>
      <c r="M380">
        <f>IF(OR(B380="",C380=""),0,IFERROR(N(INDEX(Ingredients!$AF$6:$AF$105,MATCH(C380,Ingredients!$B$6:$B$105,0))),0))</f>
        <v/>
      </c>
      <c r="N380">
        <f>IF(OR(B380="",C380=""),0,IFERROR(N(INDEX(Ingredients!$AG$6:$AG$105,MATCH(C380,Ingredients!$B$6:$B$105,0))),0))</f>
        <v/>
      </c>
      <c r="O380">
        <f>IF(OR(B380="",C380=""),0,IFERROR(N(INDEX(Ingredients!$AH$6:$AH$105,MATCH(C380,Ingredients!$B$6:$B$105,0))),0))</f>
        <v/>
      </c>
      <c r="P380">
        <f>IF(OR(B380="",C380=""),0,IFERROR(N(INDEX(Ingredients!$AI$6:$AI$105,MATCH(C380,Ingredients!$B$6:$B$105,0))),0))</f>
        <v/>
      </c>
      <c r="Q380">
        <f>IF(OR(B380="",C380=""),0,IFERROR(N(INDEX(Ingredients!$AJ$6:$AJ$105,MATCH(C380,Ingredients!$B$6:$B$105,0))),0))</f>
        <v/>
      </c>
      <c r="R380">
        <f>IF(OR(B380="",C380=""),0,IFERROR(N(INDEX(Ingredients!$AK$6:$AK$105,MATCH(C380,Ingredients!$B$6:$B$105,0))),0))</f>
        <v/>
      </c>
      <c r="S380">
        <f>IF(OR(B380="",C380=""),0,IFERROR(N(INDEX(Ingredients!$AL$6:$AL$105,MATCH(C380,Ingredients!$B$6:$B$105,0))),0))</f>
        <v/>
      </c>
      <c r="T380">
        <f>IF(OR(B380="",C380=""),0,IFERROR(N(INDEX(Ingredients!$AM$6:$AM$105,MATCH(C380,Ingredients!$B$6:$B$105,0))),0))</f>
        <v/>
      </c>
      <c r="U380">
        <f>IF(OR(B380="",C380=""),0,IFERROR(N(INDEX(Ingredients!$AN$6:$AN$105,MATCH(C380,Ingredients!$B$6:$B$105,0))),0))</f>
        <v/>
      </c>
      <c r="V380">
        <f>IF(OR(B380="",C380=""),0,IFERROR(N(INDEX(Ingredients!$AO$6:$AO$105,MATCH(C380,Ingredients!$B$6:$B$105,0))),0))</f>
        <v/>
      </c>
      <c r="W380">
        <f>IF(OR(B380="",C380=""),0,IFERROR(N(INDEX(Ingredients!$AP$6:$AP$105,MATCH(C380,Ingredients!$B$6:$B$105,0))),0))</f>
        <v/>
      </c>
      <c r="X380">
        <f>IF(OR(B380="",C380=""),0,IFERROR(N(INDEX(Ingredients!$AQ$6:$AQ$105,MATCH(C380,Ingredients!$B$6:$B$105,0))),0))</f>
        <v/>
      </c>
    </row>
    <row r="381">
      <c r="A381" s="1" t="n"/>
      <c r="B381" s="21" t="n"/>
      <c r="C381" s="39" t="n"/>
      <c r="D381" s="40" t="n"/>
      <c r="E381" s="12">
        <f>IF(C381="","",IF(ISNA(MATCH(C381,Ingredients!$B$6:$B$105,0)),"Not on Ingredients",IFERROR(IF(INDEX(Ingredients!$C$6:$C$105,MATCH(C381,Ingredients!$B$6:$B$105,0))="","",INDEX(Ingredients!$C$6:$C$105,MATCH(C381,Ingredients!$B$6:$B$105,0))),"")))</f>
        <v/>
      </c>
      <c r="F381" s="26">
        <f>IF(OR(B381="",C381=""),"",N(D381)*IFERROR(N(INDEX(Ingredients!$H$6:$H$105,MATCH(C381,Ingredients!$B$6:$B$105,0))),0))</f>
        <v/>
      </c>
      <c r="G381" s="1">
        <f>IF(OR(B381="",C381=""),0,IFERROR(N(INDEX(Products!$D$6:$D$45,MATCH(B381,Products!$B$6:$B$45,0))),0))</f>
        <v/>
      </c>
      <c r="H381">
        <f>IF(N(G381)=0,0,N(D381)*SUMIFS(Batches!$D$6:$D$505,Batches!$C$6:$C$505,B381)/G381)</f>
        <v/>
      </c>
      <c r="I381">
        <f>IF(OR(B381="",C381=""),"",IF(B381&lt;&gt;Label!$H$3,"",IF(IFERROR(N(INDEX(Ingredients!$AS$6:$AS$105,MATCH(C381,Ingredients!$B$6:$B$105,0))),0)=1,"",ROUND(N(D381)*1000,0)*100000+100000-ROW())))</f>
        <v/>
      </c>
      <c r="J381">
        <f>IF(OR(B381="",C381=""),0,IFERROR(N(INDEX(Ingredients!$AC$6:$AC$105,MATCH(C381,Ingredients!$B$6:$B$105,0))),0))</f>
        <v/>
      </c>
      <c r="K381">
        <f>IF(OR(B381="",C381=""),0,IFERROR(N(INDEX(Ingredients!$AD$6:$AD$105,MATCH(C381,Ingredients!$B$6:$B$105,0))),0))</f>
        <v/>
      </c>
      <c r="L381">
        <f>IF(OR(B381="",C381=""),0,IFERROR(N(INDEX(Ingredients!$AE$6:$AE$105,MATCH(C381,Ingredients!$B$6:$B$105,0))),0))</f>
        <v/>
      </c>
      <c r="M381">
        <f>IF(OR(B381="",C381=""),0,IFERROR(N(INDEX(Ingredients!$AF$6:$AF$105,MATCH(C381,Ingredients!$B$6:$B$105,0))),0))</f>
        <v/>
      </c>
      <c r="N381">
        <f>IF(OR(B381="",C381=""),0,IFERROR(N(INDEX(Ingredients!$AG$6:$AG$105,MATCH(C381,Ingredients!$B$6:$B$105,0))),0))</f>
        <v/>
      </c>
      <c r="O381">
        <f>IF(OR(B381="",C381=""),0,IFERROR(N(INDEX(Ingredients!$AH$6:$AH$105,MATCH(C381,Ingredients!$B$6:$B$105,0))),0))</f>
        <v/>
      </c>
      <c r="P381">
        <f>IF(OR(B381="",C381=""),0,IFERROR(N(INDEX(Ingredients!$AI$6:$AI$105,MATCH(C381,Ingredients!$B$6:$B$105,0))),0))</f>
        <v/>
      </c>
      <c r="Q381">
        <f>IF(OR(B381="",C381=""),0,IFERROR(N(INDEX(Ingredients!$AJ$6:$AJ$105,MATCH(C381,Ingredients!$B$6:$B$105,0))),0))</f>
        <v/>
      </c>
      <c r="R381">
        <f>IF(OR(B381="",C381=""),0,IFERROR(N(INDEX(Ingredients!$AK$6:$AK$105,MATCH(C381,Ingredients!$B$6:$B$105,0))),0))</f>
        <v/>
      </c>
      <c r="S381">
        <f>IF(OR(B381="",C381=""),0,IFERROR(N(INDEX(Ingredients!$AL$6:$AL$105,MATCH(C381,Ingredients!$B$6:$B$105,0))),0))</f>
        <v/>
      </c>
      <c r="T381">
        <f>IF(OR(B381="",C381=""),0,IFERROR(N(INDEX(Ingredients!$AM$6:$AM$105,MATCH(C381,Ingredients!$B$6:$B$105,0))),0))</f>
        <v/>
      </c>
      <c r="U381">
        <f>IF(OR(B381="",C381=""),0,IFERROR(N(INDEX(Ingredients!$AN$6:$AN$105,MATCH(C381,Ingredients!$B$6:$B$105,0))),0))</f>
        <v/>
      </c>
      <c r="V381">
        <f>IF(OR(B381="",C381=""),0,IFERROR(N(INDEX(Ingredients!$AO$6:$AO$105,MATCH(C381,Ingredients!$B$6:$B$105,0))),0))</f>
        <v/>
      </c>
      <c r="W381">
        <f>IF(OR(B381="",C381=""),0,IFERROR(N(INDEX(Ingredients!$AP$6:$AP$105,MATCH(C381,Ingredients!$B$6:$B$105,0))),0))</f>
        <v/>
      </c>
      <c r="X381">
        <f>IF(OR(B381="",C381=""),0,IFERROR(N(INDEX(Ingredients!$AQ$6:$AQ$105,MATCH(C381,Ingredients!$B$6:$B$105,0))),0))</f>
        <v/>
      </c>
    </row>
    <row r="382">
      <c r="A382" s="1" t="n"/>
      <c r="B382" s="21" t="n"/>
      <c r="C382" s="39" t="n"/>
      <c r="D382" s="40" t="n"/>
      <c r="E382" s="12">
        <f>IF(C382="","",IF(ISNA(MATCH(C382,Ingredients!$B$6:$B$105,0)),"Not on Ingredients",IFERROR(IF(INDEX(Ingredients!$C$6:$C$105,MATCH(C382,Ingredients!$B$6:$B$105,0))="","",INDEX(Ingredients!$C$6:$C$105,MATCH(C382,Ingredients!$B$6:$B$105,0))),"")))</f>
        <v/>
      </c>
      <c r="F382" s="26">
        <f>IF(OR(B382="",C382=""),"",N(D382)*IFERROR(N(INDEX(Ingredients!$H$6:$H$105,MATCH(C382,Ingredients!$B$6:$B$105,0))),0))</f>
        <v/>
      </c>
      <c r="G382" s="1">
        <f>IF(OR(B382="",C382=""),0,IFERROR(N(INDEX(Products!$D$6:$D$45,MATCH(B382,Products!$B$6:$B$45,0))),0))</f>
        <v/>
      </c>
      <c r="H382">
        <f>IF(N(G382)=0,0,N(D382)*SUMIFS(Batches!$D$6:$D$505,Batches!$C$6:$C$505,B382)/G382)</f>
        <v/>
      </c>
      <c r="I382">
        <f>IF(OR(B382="",C382=""),"",IF(B382&lt;&gt;Label!$H$3,"",IF(IFERROR(N(INDEX(Ingredients!$AS$6:$AS$105,MATCH(C382,Ingredients!$B$6:$B$105,0))),0)=1,"",ROUND(N(D382)*1000,0)*100000+100000-ROW())))</f>
        <v/>
      </c>
      <c r="J382">
        <f>IF(OR(B382="",C382=""),0,IFERROR(N(INDEX(Ingredients!$AC$6:$AC$105,MATCH(C382,Ingredients!$B$6:$B$105,0))),0))</f>
        <v/>
      </c>
      <c r="K382">
        <f>IF(OR(B382="",C382=""),0,IFERROR(N(INDEX(Ingredients!$AD$6:$AD$105,MATCH(C382,Ingredients!$B$6:$B$105,0))),0))</f>
        <v/>
      </c>
      <c r="L382">
        <f>IF(OR(B382="",C382=""),0,IFERROR(N(INDEX(Ingredients!$AE$6:$AE$105,MATCH(C382,Ingredients!$B$6:$B$105,0))),0))</f>
        <v/>
      </c>
      <c r="M382">
        <f>IF(OR(B382="",C382=""),0,IFERROR(N(INDEX(Ingredients!$AF$6:$AF$105,MATCH(C382,Ingredients!$B$6:$B$105,0))),0))</f>
        <v/>
      </c>
      <c r="N382">
        <f>IF(OR(B382="",C382=""),0,IFERROR(N(INDEX(Ingredients!$AG$6:$AG$105,MATCH(C382,Ingredients!$B$6:$B$105,0))),0))</f>
        <v/>
      </c>
      <c r="O382">
        <f>IF(OR(B382="",C382=""),0,IFERROR(N(INDEX(Ingredients!$AH$6:$AH$105,MATCH(C382,Ingredients!$B$6:$B$105,0))),0))</f>
        <v/>
      </c>
      <c r="P382">
        <f>IF(OR(B382="",C382=""),0,IFERROR(N(INDEX(Ingredients!$AI$6:$AI$105,MATCH(C382,Ingredients!$B$6:$B$105,0))),0))</f>
        <v/>
      </c>
      <c r="Q382">
        <f>IF(OR(B382="",C382=""),0,IFERROR(N(INDEX(Ingredients!$AJ$6:$AJ$105,MATCH(C382,Ingredients!$B$6:$B$105,0))),0))</f>
        <v/>
      </c>
      <c r="R382">
        <f>IF(OR(B382="",C382=""),0,IFERROR(N(INDEX(Ingredients!$AK$6:$AK$105,MATCH(C382,Ingredients!$B$6:$B$105,0))),0))</f>
        <v/>
      </c>
      <c r="S382">
        <f>IF(OR(B382="",C382=""),0,IFERROR(N(INDEX(Ingredients!$AL$6:$AL$105,MATCH(C382,Ingredients!$B$6:$B$105,0))),0))</f>
        <v/>
      </c>
      <c r="T382">
        <f>IF(OR(B382="",C382=""),0,IFERROR(N(INDEX(Ingredients!$AM$6:$AM$105,MATCH(C382,Ingredients!$B$6:$B$105,0))),0))</f>
        <v/>
      </c>
      <c r="U382">
        <f>IF(OR(B382="",C382=""),0,IFERROR(N(INDEX(Ingredients!$AN$6:$AN$105,MATCH(C382,Ingredients!$B$6:$B$105,0))),0))</f>
        <v/>
      </c>
      <c r="V382">
        <f>IF(OR(B382="",C382=""),0,IFERROR(N(INDEX(Ingredients!$AO$6:$AO$105,MATCH(C382,Ingredients!$B$6:$B$105,0))),0))</f>
        <v/>
      </c>
      <c r="W382">
        <f>IF(OR(B382="",C382=""),0,IFERROR(N(INDEX(Ingredients!$AP$6:$AP$105,MATCH(C382,Ingredients!$B$6:$B$105,0))),0))</f>
        <v/>
      </c>
      <c r="X382">
        <f>IF(OR(B382="",C382=""),0,IFERROR(N(INDEX(Ingredients!$AQ$6:$AQ$105,MATCH(C382,Ingredients!$B$6:$B$105,0))),0))</f>
        <v/>
      </c>
    </row>
    <row r="383">
      <c r="A383" s="1" t="n"/>
      <c r="B383" s="21" t="n"/>
      <c r="C383" s="39" t="n"/>
      <c r="D383" s="40" t="n"/>
      <c r="E383" s="12">
        <f>IF(C383="","",IF(ISNA(MATCH(C383,Ingredients!$B$6:$B$105,0)),"Not on Ingredients",IFERROR(IF(INDEX(Ingredients!$C$6:$C$105,MATCH(C383,Ingredients!$B$6:$B$105,0))="","",INDEX(Ingredients!$C$6:$C$105,MATCH(C383,Ingredients!$B$6:$B$105,0))),"")))</f>
        <v/>
      </c>
      <c r="F383" s="26">
        <f>IF(OR(B383="",C383=""),"",N(D383)*IFERROR(N(INDEX(Ingredients!$H$6:$H$105,MATCH(C383,Ingredients!$B$6:$B$105,0))),0))</f>
        <v/>
      </c>
      <c r="G383" s="1">
        <f>IF(OR(B383="",C383=""),0,IFERROR(N(INDEX(Products!$D$6:$D$45,MATCH(B383,Products!$B$6:$B$45,0))),0))</f>
        <v/>
      </c>
      <c r="H383">
        <f>IF(N(G383)=0,0,N(D383)*SUMIFS(Batches!$D$6:$D$505,Batches!$C$6:$C$505,B383)/G383)</f>
        <v/>
      </c>
      <c r="I383">
        <f>IF(OR(B383="",C383=""),"",IF(B383&lt;&gt;Label!$H$3,"",IF(IFERROR(N(INDEX(Ingredients!$AS$6:$AS$105,MATCH(C383,Ingredients!$B$6:$B$105,0))),0)=1,"",ROUND(N(D383)*1000,0)*100000+100000-ROW())))</f>
        <v/>
      </c>
      <c r="J383">
        <f>IF(OR(B383="",C383=""),0,IFERROR(N(INDEX(Ingredients!$AC$6:$AC$105,MATCH(C383,Ingredients!$B$6:$B$105,0))),0))</f>
        <v/>
      </c>
      <c r="K383">
        <f>IF(OR(B383="",C383=""),0,IFERROR(N(INDEX(Ingredients!$AD$6:$AD$105,MATCH(C383,Ingredients!$B$6:$B$105,0))),0))</f>
        <v/>
      </c>
      <c r="L383">
        <f>IF(OR(B383="",C383=""),0,IFERROR(N(INDEX(Ingredients!$AE$6:$AE$105,MATCH(C383,Ingredients!$B$6:$B$105,0))),0))</f>
        <v/>
      </c>
      <c r="M383">
        <f>IF(OR(B383="",C383=""),0,IFERROR(N(INDEX(Ingredients!$AF$6:$AF$105,MATCH(C383,Ingredients!$B$6:$B$105,0))),0))</f>
        <v/>
      </c>
      <c r="N383">
        <f>IF(OR(B383="",C383=""),0,IFERROR(N(INDEX(Ingredients!$AG$6:$AG$105,MATCH(C383,Ingredients!$B$6:$B$105,0))),0))</f>
        <v/>
      </c>
      <c r="O383">
        <f>IF(OR(B383="",C383=""),0,IFERROR(N(INDEX(Ingredients!$AH$6:$AH$105,MATCH(C383,Ingredients!$B$6:$B$105,0))),0))</f>
        <v/>
      </c>
      <c r="P383">
        <f>IF(OR(B383="",C383=""),0,IFERROR(N(INDEX(Ingredients!$AI$6:$AI$105,MATCH(C383,Ingredients!$B$6:$B$105,0))),0))</f>
        <v/>
      </c>
      <c r="Q383">
        <f>IF(OR(B383="",C383=""),0,IFERROR(N(INDEX(Ingredients!$AJ$6:$AJ$105,MATCH(C383,Ingredients!$B$6:$B$105,0))),0))</f>
        <v/>
      </c>
      <c r="R383">
        <f>IF(OR(B383="",C383=""),0,IFERROR(N(INDEX(Ingredients!$AK$6:$AK$105,MATCH(C383,Ingredients!$B$6:$B$105,0))),0))</f>
        <v/>
      </c>
      <c r="S383">
        <f>IF(OR(B383="",C383=""),0,IFERROR(N(INDEX(Ingredients!$AL$6:$AL$105,MATCH(C383,Ingredients!$B$6:$B$105,0))),0))</f>
        <v/>
      </c>
      <c r="T383">
        <f>IF(OR(B383="",C383=""),0,IFERROR(N(INDEX(Ingredients!$AM$6:$AM$105,MATCH(C383,Ingredients!$B$6:$B$105,0))),0))</f>
        <v/>
      </c>
      <c r="U383">
        <f>IF(OR(B383="",C383=""),0,IFERROR(N(INDEX(Ingredients!$AN$6:$AN$105,MATCH(C383,Ingredients!$B$6:$B$105,0))),0))</f>
        <v/>
      </c>
      <c r="V383">
        <f>IF(OR(B383="",C383=""),0,IFERROR(N(INDEX(Ingredients!$AO$6:$AO$105,MATCH(C383,Ingredients!$B$6:$B$105,0))),0))</f>
        <v/>
      </c>
      <c r="W383">
        <f>IF(OR(B383="",C383=""),0,IFERROR(N(INDEX(Ingredients!$AP$6:$AP$105,MATCH(C383,Ingredients!$B$6:$B$105,0))),0))</f>
        <v/>
      </c>
      <c r="X383">
        <f>IF(OR(B383="",C383=""),0,IFERROR(N(INDEX(Ingredients!$AQ$6:$AQ$105,MATCH(C383,Ingredients!$B$6:$B$105,0))),0))</f>
        <v/>
      </c>
    </row>
    <row r="384">
      <c r="A384" s="1" t="n"/>
      <c r="B384" s="21" t="n"/>
      <c r="C384" s="39" t="n"/>
      <c r="D384" s="40" t="n"/>
      <c r="E384" s="12">
        <f>IF(C384="","",IF(ISNA(MATCH(C384,Ingredients!$B$6:$B$105,0)),"Not on Ingredients",IFERROR(IF(INDEX(Ingredients!$C$6:$C$105,MATCH(C384,Ingredients!$B$6:$B$105,0))="","",INDEX(Ingredients!$C$6:$C$105,MATCH(C384,Ingredients!$B$6:$B$105,0))),"")))</f>
        <v/>
      </c>
      <c r="F384" s="26">
        <f>IF(OR(B384="",C384=""),"",N(D384)*IFERROR(N(INDEX(Ingredients!$H$6:$H$105,MATCH(C384,Ingredients!$B$6:$B$105,0))),0))</f>
        <v/>
      </c>
      <c r="G384" s="1">
        <f>IF(OR(B384="",C384=""),0,IFERROR(N(INDEX(Products!$D$6:$D$45,MATCH(B384,Products!$B$6:$B$45,0))),0))</f>
        <v/>
      </c>
      <c r="H384">
        <f>IF(N(G384)=0,0,N(D384)*SUMIFS(Batches!$D$6:$D$505,Batches!$C$6:$C$505,B384)/G384)</f>
        <v/>
      </c>
      <c r="I384">
        <f>IF(OR(B384="",C384=""),"",IF(B384&lt;&gt;Label!$H$3,"",IF(IFERROR(N(INDEX(Ingredients!$AS$6:$AS$105,MATCH(C384,Ingredients!$B$6:$B$105,0))),0)=1,"",ROUND(N(D384)*1000,0)*100000+100000-ROW())))</f>
        <v/>
      </c>
      <c r="J384">
        <f>IF(OR(B384="",C384=""),0,IFERROR(N(INDEX(Ingredients!$AC$6:$AC$105,MATCH(C384,Ingredients!$B$6:$B$105,0))),0))</f>
        <v/>
      </c>
      <c r="K384">
        <f>IF(OR(B384="",C384=""),0,IFERROR(N(INDEX(Ingredients!$AD$6:$AD$105,MATCH(C384,Ingredients!$B$6:$B$105,0))),0))</f>
        <v/>
      </c>
      <c r="L384">
        <f>IF(OR(B384="",C384=""),0,IFERROR(N(INDEX(Ingredients!$AE$6:$AE$105,MATCH(C384,Ingredients!$B$6:$B$105,0))),0))</f>
        <v/>
      </c>
      <c r="M384">
        <f>IF(OR(B384="",C384=""),0,IFERROR(N(INDEX(Ingredients!$AF$6:$AF$105,MATCH(C384,Ingredients!$B$6:$B$105,0))),0))</f>
        <v/>
      </c>
      <c r="N384">
        <f>IF(OR(B384="",C384=""),0,IFERROR(N(INDEX(Ingredients!$AG$6:$AG$105,MATCH(C384,Ingredients!$B$6:$B$105,0))),0))</f>
        <v/>
      </c>
      <c r="O384">
        <f>IF(OR(B384="",C384=""),0,IFERROR(N(INDEX(Ingredients!$AH$6:$AH$105,MATCH(C384,Ingredients!$B$6:$B$105,0))),0))</f>
        <v/>
      </c>
      <c r="P384">
        <f>IF(OR(B384="",C384=""),0,IFERROR(N(INDEX(Ingredients!$AI$6:$AI$105,MATCH(C384,Ingredients!$B$6:$B$105,0))),0))</f>
        <v/>
      </c>
      <c r="Q384">
        <f>IF(OR(B384="",C384=""),0,IFERROR(N(INDEX(Ingredients!$AJ$6:$AJ$105,MATCH(C384,Ingredients!$B$6:$B$105,0))),0))</f>
        <v/>
      </c>
      <c r="R384">
        <f>IF(OR(B384="",C384=""),0,IFERROR(N(INDEX(Ingredients!$AK$6:$AK$105,MATCH(C384,Ingredients!$B$6:$B$105,0))),0))</f>
        <v/>
      </c>
      <c r="S384">
        <f>IF(OR(B384="",C384=""),0,IFERROR(N(INDEX(Ingredients!$AL$6:$AL$105,MATCH(C384,Ingredients!$B$6:$B$105,0))),0))</f>
        <v/>
      </c>
      <c r="T384">
        <f>IF(OR(B384="",C384=""),0,IFERROR(N(INDEX(Ingredients!$AM$6:$AM$105,MATCH(C384,Ingredients!$B$6:$B$105,0))),0))</f>
        <v/>
      </c>
      <c r="U384">
        <f>IF(OR(B384="",C384=""),0,IFERROR(N(INDEX(Ingredients!$AN$6:$AN$105,MATCH(C384,Ingredients!$B$6:$B$105,0))),0))</f>
        <v/>
      </c>
      <c r="V384">
        <f>IF(OR(B384="",C384=""),0,IFERROR(N(INDEX(Ingredients!$AO$6:$AO$105,MATCH(C384,Ingredients!$B$6:$B$105,0))),0))</f>
        <v/>
      </c>
      <c r="W384">
        <f>IF(OR(B384="",C384=""),0,IFERROR(N(INDEX(Ingredients!$AP$6:$AP$105,MATCH(C384,Ingredients!$B$6:$B$105,0))),0))</f>
        <v/>
      </c>
      <c r="X384">
        <f>IF(OR(B384="",C384=""),0,IFERROR(N(INDEX(Ingredients!$AQ$6:$AQ$105,MATCH(C384,Ingredients!$B$6:$B$105,0))),0))</f>
        <v/>
      </c>
    </row>
    <row r="385">
      <c r="A385" s="1" t="n"/>
      <c r="B385" s="21" t="n"/>
      <c r="C385" s="39" t="n"/>
      <c r="D385" s="40" t="n"/>
      <c r="E385" s="12">
        <f>IF(C385="","",IF(ISNA(MATCH(C385,Ingredients!$B$6:$B$105,0)),"Not on Ingredients",IFERROR(IF(INDEX(Ingredients!$C$6:$C$105,MATCH(C385,Ingredients!$B$6:$B$105,0))="","",INDEX(Ingredients!$C$6:$C$105,MATCH(C385,Ingredients!$B$6:$B$105,0))),"")))</f>
        <v/>
      </c>
      <c r="F385" s="26">
        <f>IF(OR(B385="",C385=""),"",N(D385)*IFERROR(N(INDEX(Ingredients!$H$6:$H$105,MATCH(C385,Ingredients!$B$6:$B$105,0))),0))</f>
        <v/>
      </c>
      <c r="G385" s="1">
        <f>IF(OR(B385="",C385=""),0,IFERROR(N(INDEX(Products!$D$6:$D$45,MATCH(B385,Products!$B$6:$B$45,0))),0))</f>
        <v/>
      </c>
      <c r="H385">
        <f>IF(N(G385)=0,0,N(D385)*SUMIFS(Batches!$D$6:$D$505,Batches!$C$6:$C$505,B385)/G385)</f>
        <v/>
      </c>
      <c r="I385">
        <f>IF(OR(B385="",C385=""),"",IF(B385&lt;&gt;Label!$H$3,"",IF(IFERROR(N(INDEX(Ingredients!$AS$6:$AS$105,MATCH(C385,Ingredients!$B$6:$B$105,0))),0)=1,"",ROUND(N(D385)*1000,0)*100000+100000-ROW())))</f>
        <v/>
      </c>
      <c r="J385">
        <f>IF(OR(B385="",C385=""),0,IFERROR(N(INDEX(Ingredients!$AC$6:$AC$105,MATCH(C385,Ingredients!$B$6:$B$105,0))),0))</f>
        <v/>
      </c>
      <c r="K385">
        <f>IF(OR(B385="",C385=""),0,IFERROR(N(INDEX(Ingredients!$AD$6:$AD$105,MATCH(C385,Ingredients!$B$6:$B$105,0))),0))</f>
        <v/>
      </c>
      <c r="L385">
        <f>IF(OR(B385="",C385=""),0,IFERROR(N(INDEX(Ingredients!$AE$6:$AE$105,MATCH(C385,Ingredients!$B$6:$B$105,0))),0))</f>
        <v/>
      </c>
      <c r="M385">
        <f>IF(OR(B385="",C385=""),0,IFERROR(N(INDEX(Ingredients!$AF$6:$AF$105,MATCH(C385,Ingredients!$B$6:$B$105,0))),0))</f>
        <v/>
      </c>
      <c r="N385">
        <f>IF(OR(B385="",C385=""),0,IFERROR(N(INDEX(Ingredients!$AG$6:$AG$105,MATCH(C385,Ingredients!$B$6:$B$105,0))),0))</f>
        <v/>
      </c>
      <c r="O385">
        <f>IF(OR(B385="",C385=""),0,IFERROR(N(INDEX(Ingredients!$AH$6:$AH$105,MATCH(C385,Ingredients!$B$6:$B$105,0))),0))</f>
        <v/>
      </c>
      <c r="P385">
        <f>IF(OR(B385="",C385=""),0,IFERROR(N(INDEX(Ingredients!$AI$6:$AI$105,MATCH(C385,Ingredients!$B$6:$B$105,0))),0))</f>
        <v/>
      </c>
      <c r="Q385">
        <f>IF(OR(B385="",C385=""),0,IFERROR(N(INDEX(Ingredients!$AJ$6:$AJ$105,MATCH(C385,Ingredients!$B$6:$B$105,0))),0))</f>
        <v/>
      </c>
      <c r="R385">
        <f>IF(OR(B385="",C385=""),0,IFERROR(N(INDEX(Ingredients!$AK$6:$AK$105,MATCH(C385,Ingredients!$B$6:$B$105,0))),0))</f>
        <v/>
      </c>
      <c r="S385">
        <f>IF(OR(B385="",C385=""),0,IFERROR(N(INDEX(Ingredients!$AL$6:$AL$105,MATCH(C385,Ingredients!$B$6:$B$105,0))),0))</f>
        <v/>
      </c>
      <c r="T385">
        <f>IF(OR(B385="",C385=""),0,IFERROR(N(INDEX(Ingredients!$AM$6:$AM$105,MATCH(C385,Ingredients!$B$6:$B$105,0))),0))</f>
        <v/>
      </c>
      <c r="U385">
        <f>IF(OR(B385="",C385=""),0,IFERROR(N(INDEX(Ingredients!$AN$6:$AN$105,MATCH(C385,Ingredients!$B$6:$B$105,0))),0))</f>
        <v/>
      </c>
      <c r="V385">
        <f>IF(OR(B385="",C385=""),0,IFERROR(N(INDEX(Ingredients!$AO$6:$AO$105,MATCH(C385,Ingredients!$B$6:$B$105,0))),0))</f>
        <v/>
      </c>
      <c r="W385">
        <f>IF(OR(B385="",C385=""),0,IFERROR(N(INDEX(Ingredients!$AP$6:$AP$105,MATCH(C385,Ingredients!$B$6:$B$105,0))),0))</f>
        <v/>
      </c>
      <c r="X385">
        <f>IF(OR(B385="",C385=""),0,IFERROR(N(INDEX(Ingredients!$AQ$6:$AQ$105,MATCH(C385,Ingredients!$B$6:$B$105,0))),0))</f>
        <v/>
      </c>
    </row>
    <row r="386">
      <c r="A386" s="1" t="n"/>
      <c r="B386" s="21" t="n"/>
      <c r="C386" s="39" t="n"/>
      <c r="D386" s="40" t="n"/>
      <c r="E386" s="12">
        <f>IF(C386="","",IF(ISNA(MATCH(C386,Ingredients!$B$6:$B$105,0)),"Not on Ingredients",IFERROR(IF(INDEX(Ingredients!$C$6:$C$105,MATCH(C386,Ingredients!$B$6:$B$105,0))="","",INDEX(Ingredients!$C$6:$C$105,MATCH(C386,Ingredients!$B$6:$B$105,0))),"")))</f>
        <v/>
      </c>
      <c r="F386" s="26">
        <f>IF(OR(B386="",C386=""),"",N(D386)*IFERROR(N(INDEX(Ingredients!$H$6:$H$105,MATCH(C386,Ingredients!$B$6:$B$105,0))),0))</f>
        <v/>
      </c>
      <c r="G386" s="1">
        <f>IF(OR(B386="",C386=""),0,IFERROR(N(INDEX(Products!$D$6:$D$45,MATCH(B386,Products!$B$6:$B$45,0))),0))</f>
        <v/>
      </c>
      <c r="H386">
        <f>IF(N(G386)=0,0,N(D386)*SUMIFS(Batches!$D$6:$D$505,Batches!$C$6:$C$505,B386)/G386)</f>
        <v/>
      </c>
      <c r="I386">
        <f>IF(OR(B386="",C386=""),"",IF(B386&lt;&gt;Label!$H$3,"",IF(IFERROR(N(INDEX(Ingredients!$AS$6:$AS$105,MATCH(C386,Ingredients!$B$6:$B$105,0))),0)=1,"",ROUND(N(D386)*1000,0)*100000+100000-ROW())))</f>
        <v/>
      </c>
      <c r="J386">
        <f>IF(OR(B386="",C386=""),0,IFERROR(N(INDEX(Ingredients!$AC$6:$AC$105,MATCH(C386,Ingredients!$B$6:$B$105,0))),0))</f>
        <v/>
      </c>
      <c r="K386">
        <f>IF(OR(B386="",C386=""),0,IFERROR(N(INDEX(Ingredients!$AD$6:$AD$105,MATCH(C386,Ingredients!$B$6:$B$105,0))),0))</f>
        <v/>
      </c>
      <c r="L386">
        <f>IF(OR(B386="",C386=""),0,IFERROR(N(INDEX(Ingredients!$AE$6:$AE$105,MATCH(C386,Ingredients!$B$6:$B$105,0))),0))</f>
        <v/>
      </c>
      <c r="M386">
        <f>IF(OR(B386="",C386=""),0,IFERROR(N(INDEX(Ingredients!$AF$6:$AF$105,MATCH(C386,Ingredients!$B$6:$B$105,0))),0))</f>
        <v/>
      </c>
      <c r="N386">
        <f>IF(OR(B386="",C386=""),0,IFERROR(N(INDEX(Ingredients!$AG$6:$AG$105,MATCH(C386,Ingredients!$B$6:$B$105,0))),0))</f>
        <v/>
      </c>
      <c r="O386">
        <f>IF(OR(B386="",C386=""),0,IFERROR(N(INDEX(Ingredients!$AH$6:$AH$105,MATCH(C386,Ingredients!$B$6:$B$105,0))),0))</f>
        <v/>
      </c>
      <c r="P386">
        <f>IF(OR(B386="",C386=""),0,IFERROR(N(INDEX(Ingredients!$AI$6:$AI$105,MATCH(C386,Ingredients!$B$6:$B$105,0))),0))</f>
        <v/>
      </c>
      <c r="Q386">
        <f>IF(OR(B386="",C386=""),0,IFERROR(N(INDEX(Ingredients!$AJ$6:$AJ$105,MATCH(C386,Ingredients!$B$6:$B$105,0))),0))</f>
        <v/>
      </c>
      <c r="R386">
        <f>IF(OR(B386="",C386=""),0,IFERROR(N(INDEX(Ingredients!$AK$6:$AK$105,MATCH(C386,Ingredients!$B$6:$B$105,0))),0))</f>
        <v/>
      </c>
      <c r="S386">
        <f>IF(OR(B386="",C386=""),0,IFERROR(N(INDEX(Ingredients!$AL$6:$AL$105,MATCH(C386,Ingredients!$B$6:$B$105,0))),0))</f>
        <v/>
      </c>
      <c r="T386">
        <f>IF(OR(B386="",C386=""),0,IFERROR(N(INDEX(Ingredients!$AM$6:$AM$105,MATCH(C386,Ingredients!$B$6:$B$105,0))),0))</f>
        <v/>
      </c>
      <c r="U386">
        <f>IF(OR(B386="",C386=""),0,IFERROR(N(INDEX(Ingredients!$AN$6:$AN$105,MATCH(C386,Ingredients!$B$6:$B$105,0))),0))</f>
        <v/>
      </c>
      <c r="V386">
        <f>IF(OR(B386="",C386=""),0,IFERROR(N(INDEX(Ingredients!$AO$6:$AO$105,MATCH(C386,Ingredients!$B$6:$B$105,0))),0))</f>
        <v/>
      </c>
      <c r="W386">
        <f>IF(OR(B386="",C386=""),0,IFERROR(N(INDEX(Ingredients!$AP$6:$AP$105,MATCH(C386,Ingredients!$B$6:$B$105,0))),0))</f>
        <v/>
      </c>
      <c r="X386">
        <f>IF(OR(B386="",C386=""),0,IFERROR(N(INDEX(Ingredients!$AQ$6:$AQ$105,MATCH(C386,Ingredients!$B$6:$B$105,0))),0))</f>
        <v/>
      </c>
    </row>
    <row r="387">
      <c r="A387" s="1" t="n"/>
      <c r="B387" s="21" t="n"/>
      <c r="C387" s="39" t="n"/>
      <c r="D387" s="40" t="n"/>
      <c r="E387" s="12">
        <f>IF(C387="","",IF(ISNA(MATCH(C387,Ingredients!$B$6:$B$105,0)),"Not on Ingredients",IFERROR(IF(INDEX(Ingredients!$C$6:$C$105,MATCH(C387,Ingredients!$B$6:$B$105,0))="","",INDEX(Ingredients!$C$6:$C$105,MATCH(C387,Ingredients!$B$6:$B$105,0))),"")))</f>
        <v/>
      </c>
      <c r="F387" s="26">
        <f>IF(OR(B387="",C387=""),"",N(D387)*IFERROR(N(INDEX(Ingredients!$H$6:$H$105,MATCH(C387,Ingredients!$B$6:$B$105,0))),0))</f>
        <v/>
      </c>
      <c r="G387" s="1">
        <f>IF(OR(B387="",C387=""),0,IFERROR(N(INDEX(Products!$D$6:$D$45,MATCH(B387,Products!$B$6:$B$45,0))),0))</f>
        <v/>
      </c>
      <c r="H387">
        <f>IF(N(G387)=0,0,N(D387)*SUMIFS(Batches!$D$6:$D$505,Batches!$C$6:$C$505,B387)/G387)</f>
        <v/>
      </c>
      <c r="I387">
        <f>IF(OR(B387="",C387=""),"",IF(B387&lt;&gt;Label!$H$3,"",IF(IFERROR(N(INDEX(Ingredients!$AS$6:$AS$105,MATCH(C387,Ingredients!$B$6:$B$105,0))),0)=1,"",ROUND(N(D387)*1000,0)*100000+100000-ROW())))</f>
        <v/>
      </c>
      <c r="J387">
        <f>IF(OR(B387="",C387=""),0,IFERROR(N(INDEX(Ingredients!$AC$6:$AC$105,MATCH(C387,Ingredients!$B$6:$B$105,0))),0))</f>
        <v/>
      </c>
      <c r="K387">
        <f>IF(OR(B387="",C387=""),0,IFERROR(N(INDEX(Ingredients!$AD$6:$AD$105,MATCH(C387,Ingredients!$B$6:$B$105,0))),0))</f>
        <v/>
      </c>
      <c r="L387">
        <f>IF(OR(B387="",C387=""),0,IFERROR(N(INDEX(Ingredients!$AE$6:$AE$105,MATCH(C387,Ingredients!$B$6:$B$105,0))),0))</f>
        <v/>
      </c>
      <c r="M387">
        <f>IF(OR(B387="",C387=""),0,IFERROR(N(INDEX(Ingredients!$AF$6:$AF$105,MATCH(C387,Ingredients!$B$6:$B$105,0))),0))</f>
        <v/>
      </c>
      <c r="N387">
        <f>IF(OR(B387="",C387=""),0,IFERROR(N(INDEX(Ingredients!$AG$6:$AG$105,MATCH(C387,Ingredients!$B$6:$B$105,0))),0))</f>
        <v/>
      </c>
      <c r="O387">
        <f>IF(OR(B387="",C387=""),0,IFERROR(N(INDEX(Ingredients!$AH$6:$AH$105,MATCH(C387,Ingredients!$B$6:$B$105,0))),0))</f>
        <v/>
      </c>
      <c r="P387">
        <f>IF(OR(B387="",C387=""),0,IFERROR(N(INDEX(Ingredients!$AI$6:$AI$105,MATCH(C387,Ingredients!$B$6:$B$105,0))),0))</f>
        <v/>
      </c>
      <c r="Q387">
        <f>IF(OR(B387="",C387=""),0,IFERROR(N(INDEX(Ingredients!$AJ$6:$AJ$105,MATCH(C387,Ingredients!$B$6:$B$105,0))),0))</f>
        <v/>
      </c>
      <c r="R387">
        <f>IF(OR(B387="",C387=""),0,IFERROR(N(INDEX(Ingredients!$AK$6:$AK$105,MATCH(C387,Ingredients!$B$6:$B$105,0))),0))</f>
        <v/>
      </c>
      <c r="S387">
        <f>IF(OR(B387="",C387=""),0,IFERROR(N(INDEX(Ingredients!$AL$6:$AL$105,MATCH(C387,Ingredients!$B$6:$B$105,0))),0))</f>
        <v/>
      </c>
      <c r="T387">
        <f>IF(OR(B387="",C387=""),0,IFERROR(N(INDEX(Ingredients!$AM$6:$AM$105,MATCH(C387,Ingredients!$B$6:$B$105,0))),0))</f>
        <v/>
      </c>
      <c r="U387">
        <f>IF(OR(B387="",C387=""),0,IFERROR(N(INDEX(Ingredients!$AN$6:$AN$105,MATCH(C387,Ingredients!$B$6:$B$105,0))),0))</f>
        <v/>
      </c>
      <c r="V387">
        <f>IF(OR(B387="",C387=""),0,IFERROR(N(INDEX(Ingredients!$AO$6:$AO$105,MATCH(C387,Ingredients!$B$6:$B$105,0))),0))</f>
        <v/>
      </c>
      <c r="W387">
        <f>IF(OR(B387="",C387=""),0,IFERROR(N(INDEX(Ingredients!$AP$6:$AP$105,MATCH(C387,Ingredients!$B$6:$B$105,0))),0))</f>
        <v/>
      </c>
      <c r="X387">
        <f>IF(OR(B387="",C387=""),0,IFERROR(N(INDEX(Ingredients!$AQ$6:$AQ$105,MATCH(C387,Ingredients!$B$6:$B$105,0))),0))</f>
        <v/>
      </c>
    </row>
    <row r="388">
      <c r="A388" s="1" t="n"/>
      <c r="B388" s="21" t="n"/>
      <c r="C388" s="39" t="n"/>
      <c r="D388" s="40" t="n"/>
      <c r="E388" s="12">
        <f>IF(C388="","",IF(ISNA(MATCH(C388,Ingredients!$B$6:$B$105,0)),"Not on Ingredients",IFERROR(IF(INDEX(Ingredients!$C$6:$C$105,MATCH(C388,Ingredients!$B$6:$B$105,0))="","",INDEX(Ingredients!$C$6:$C$105,MATCH(C388,Ingredients!$B$6:$B$105,0))),"")))</f>
        <v/>
      </c>
      <c r="F388" s="26">
        <f>IF(OR(B388="",C388=""),"",N(D388)*IFERROR(N(INDEX(Ingredients!$H$6:$H$105,MATCH(C388,Ingredients!$B$6:$B$105,0))),0))</f>
        <v/>
      </c>
      <c r="G388" s="1">
        <f>IF(OR(B388="",C388=""),0,IFERROR(N(INDEX(Products!$D$6:$D$45,MATCH(B388,Products!$B$6:$B$45,0))),0))</f>
        <v/>
      </c>
      <c r="H388">
        <f>IF(N(G388)=0,0,N(D388)*SUMIFS(Batches!$D$6:$D$505,Batches!$C$6:$C$505,B388)/G388)</f>
        <v/>
      </c>
      <c r="I388">
        <f>IF(OR(B388="",C388=""),"",IF(B388&lt;&gt;Label!$H$3,"",IF(IFERROR(N(INDEX(Ingredients!$AS$6:$AS$105,MATCH(C388,Ingredients!$B$6:$B$105,0))),0)=1,"",ROUND(N(D388)*1000,0)*100000+100000-ROW())))</f>
        <v/>
      </c>
      <c r="J388">
        <f>IF(OR(B388="",C388=""),0,IFERROR(N(INDEX(Ingredients!$AC$6:$AC$105,MATCH(C388,Ingredients!$B$6:$B$105,0))),0))</f>
        <v/>
      </c>
      <c r="K388">
        <f>IF(OR(B388="",C388=""),0,IFERROR(N(INDEX(Ingredients!$AD$6:$AD$105,MATCH(C388,Ingredients!$B$6:$B$105,0))),0))</f>
        <v/>
      </c>
      <c r="L388">
        <f>IF(OR(B388="",C388=""),0,IFERROR(N(INDEX(Ingredients!$AE$6:$AE$105,MATCH(C388,Ingredients!$B$6:$B$105,0))),0))</f>
        <v/>
      </c>
      <c r="M388">
        <f>IF(OR(B388="",C388=""),0,IFERROR(N(INDEX(Ingredients!$AF$6:$AF$105,MATCH(C388,Ingredients!$B$6:$B$105,0))),0))</f>
        <v/>
      </c>
      <c r="N388">
        <f>IF(OR(B388="",C388=""),0,IFERROR(N(INDEX(Ingredients!$AG$6:$AG$105,MATCH(C388,Ingredients!$B$6:$B$105,0))),0))</f>
        <v/>
      </c>
      <c r="O388">
        <f>IF(OR(B388="",C388=""),0,IFERROR(N(INDEX(Ingredients!$AH$6:$AH$105,MATCH(C388,Ingredients!$B$6:$B$105,0))),0))</f>
        <v/>
      </c>
      <c r="P388">
        <f>IF(OR(B388="",C388=""),0,IFERROR(N(INDEX(Ingredients!$AI$6:$AI$105,MATCH(C388,Ingredients!$B$6:$B$105,0))),0))</f>
        <v/>
      </c>
      <c r="Q388">
        <f>IF(OR(B388="",C388=""),0,IFERROR(N(INDEX(Ingredients!$AJ$6:$AJ$105,MATCH(C388,Ingredients!$B$6:$B$105,0))),0))</f>
        <v/>
      </c>
      <c r="R388">
        <f>IF(OR(B388="",C388=""),0,IFERROR(N(INDEX(Ingredients!$AK$6:$AK$105,MATCH(C388,Ingredients!$B$6:$B$105,0))),0))</f>
        <v/>
      </c>
      <c r="S388">
        <f>IF(OR(B388="",C388=""),0,IFERROR(N(INDEX(Ingredients!$AL$6:$AL$105,MATCH(C388,Ingredients!$B$6:$B$105,0))),0))</f>
        <v/>
      </c>
      <c r="T388">
        <f>IF(OR(B388="",C388=""),0,IFERROR(N(INDEX(Ingredients!$AM$6:$AM$105,MATCH(C388,Ingredients!$B$6:$B$105,0))),0))</f>
        <v/>
      </c>
      <c r="U388">
        <f>IF(OR(B388="",C388=""),0,IFERROR(N(INDEX(Ingredients!$AN$6:$AN$105,MATCH(C388,Ingredients!$B$6:$B$105,0))),0))</f>
        <v/>
      </c>
      <c r="V388">
        <f>IF(OR(B388="",C388=""),0,IFERROR(N(INDEX(Ingredients!$AO$6:$AO$105,MATCH(C388,Ingredients!$B$6:$B$105,0))),0))</f>
        <v/>
      </c>
      <c r="W388">
        <f>IF(OR(B388="",C388=""),0,IFERROR(N(INDEX(Ingredients!$AP$6:$AP$105,MATCH(C388,Ingredients!$B$6:$B$105,0))),0))</f>
        <v/>
      </c>
      <c r="X388">
        <f>IF(OR(B388="",C388=""),0,IFERROR(N(INDEX(Ingredients!$AQ$6:$AQ$105,MATCH(C388,Ingredients!$B$6:$B$105,0))),0))</f>
        <v/>
      </c>
    </row>
    <row r="389">
      <c r="A389" s="1" t="n"/>
      <c r="B389" s="21" t="n"/>
      <c r="C389" s="39" t="n"/>
      <c r="D389" s="40" t="n"/>
      <c r="E389" s="12">
        <f>IF(C389="","",IF(ISNA(MATCH(C389,Ingredients!$B$6:$B$105,0)),"Not on Ingredients",IFERROR(IF(INDEX(Ingredients!$C$6:$C$105,MATCH(C389,Ingredients!$B$6:$B$105,0))="","",INDEX(Ingredients!$C$6:$C$105,MATCH(C389,Ingredients!$B$6:$B$105,0))),"")))</f>
        <v/>
      </c>
      <c r="F389" s="26">
        <f>IF(OR(B389="",C389=""),"",N(D389)*IFERROR(N(INDEX(Ingredients!$H$6:$H$105,MATCH(C389,Ingredients!$B$6:$B$105,0))),0))</f>
        <v/>
      </c>
      <c r="G389" s="1">
        <f>IF(OR(B389="",C389=""),0,IFERROR(N(INDEX(Products!$D$6:$D$45,MATCH(B389,Products!$B$6:$B$45,0))),0))</f>
        <v/>
      </c>
      <c r="H389">
        <f>IF(N(G389)=0,0,N(D389)*SUMIFS(Batches!$D$6:$D$505,Batches!$C$6:$C$505,B389)/G389)</f>
        <v/>
      </c>
      <c r="I389">
        <f>IF(OR(B389="",C389=""),"",IF(B389&lt;&gt;Label!$H$3,"",IF(IFERROR(N(INDEX(Ingredients!$AS$6:$AS$105,MATCH(C389,Ingredients!$B$6:$B$105,0))),0)=1,"",ROUND(N(D389)*1000,0)*100000+100000-ROW())))</f>
        <v/>
      </c>
      <c r="J389">
        <f>IF(OR(B389="",C389=""),0,IFERROR(N(INDEX(Ingredients!$AC$6:$AC$105,MATCH(C389,Ingredients!$B$6:$B$105,0))),0))</f>
        <v/>
      </c>
      <c r="K389">
        <f>IF(OR(B389="",C389=""),0,IFERROR(N(INDEX(Ingredients!$AD$6:$AD$105,MATCH(C389,Ingredients!$B$6:$B$105,0))),0))</f>
        <v/>
      </c>
      <c r="L389">
        <f>IF(OR(B389="",C389=""),0,IFERROR(N(INDEX(Ingredients!$AE$6:$AE$105,MATCH(C389,Ingredients!$B$6:$B$105,0))),0))</f>
        <v/>
      </c>
      <c r="M389">
        <f>IF(OR(B389="",C389=""),0,IFERROR(N(INDEX(Ingredients!$AF$6:$AF$105,MATCH(C389,Ingredients!$B$6:$B$105,0))),0))</f>
        <v/>
      </c>
      <c r="N389">
        <f>IF(OR(B389="",C389=""),0,IFERROR(N(INDEX(Ingredients!$AG$6:$AG$105,MATCH(C389,Ingredients!$B$6:$B$105,0))),0))</f>
        <v/>
      </c>
      <c r="O389">
        <f>IF(OR(B389="",C389=""),0,IFERROR(N(INDEX(Ingredients!$AH$6:$AH$105,MATCH(C389,Ingredients!$B$6:$B$105,0))),0))</f>
        <v/>
      </c>
      <c r="P389">
        <f>IF(OR(B389="",C389=""),0,IFERROR(N(INDEX(Ingredients!$AI$6:$AI$105,MATCH(C389,Ingredients!$B$6:$B$105,0))),0))</f>
        <v/>
      </c>
      <c r="Q389">
        <f>IF(OR(B389="",C389=""),0,IFERROR(N(INDEX(Ingredients!$AJ$6:$AJ$105,MATCH(C389,Ingredients!$B$6:$B$105,0))),0))</f>
        <v/>
      </c>
      <c r="R389">
        <f>IF(OR(B389="",C389=""),0,IFERROR(N(INDEX(Ingredients!$AK$6:$AK$105,MATCH(C389,Ingredients!$B$6:$B$105,0))),0))</f>
        <v/>
      </c>
      <c r="S389">
        <f>IF(OR(B389="",C389=""),0,IFERROR(N(INDEX(Ingredients!$AL$6:$AL$105,MATCH(C389,Ingredients!$B$6:$B$105,0))),0))</f>
        <v/>
      </c>
      <c r="T389">
        <f>IF(OR(B389="",C389=""),0,IFERROR(N(INDEX(Ingredients!$AM$6:$AM$105,MATCH(C389,Ingredients!$B$6:$B$105,0))),0))</f>
        <v/>
      </c>
      <c r="U389">
        <f>IF(OR(B389="",C389=""),0,IFERROR(N(INDEX(Ingredients!$AN$6:$AN$105,MATCH(C389,Ingredients!$B$6:$B$105,0))),0))</f>
        <v/>
      </c>
      <c r="V389">
        <f>IF(OR(B389="",C389=""),0,IFERROR(N(INDEX(Ingredients!$AO$6:$AO$105,MATCH(C389,Ingredients!$B$6:$B$105,0))),0))</f>
        <v/>
      </c>
      <c r="W389">
        <f>IF(OR(B389="",C389=""),0,IFERROR(N(INDEX(Ingredients!$AP$6:$AP$105,MATCH(C389,Ingredients!$B$6:$B$105,0))),0))</f>
        <v/>
      </c>
      <c r="X389">
        <f>IF(OR(B389="",C389=""),0,IFERROR(N(INDEX(Ingredients!$AQ$6:$AQ$105,MATCH(C389,Ingredients!$B$6:$B$105,0))),0))</f>
        <v/>
      </c>
    </row>
    <row r="390">
      <c r="A390" s="1" t="n"/>
      <c r="B390" s="21" t="n"/>
      <c r="C390" s="39" t="n"/>
      <c r="D390" s="40" t="n"/>
      <c r="E390" s="12">
        <f>IF(C390="","",IF(ISNA(MATCH(C390,Ingredients!$B$6:$B$105,0)),"Not on Ingredients",IFERROR(IF(INDEX(Ingredients!$C$6:$C$105,MATCH(C390,Ingredients!$B$6:$B$105,0))="","",INDEX(Ingredients!$C$6:$C$105,MATCH(C390,Ingredients!$B$6:$B$105,0))),"")))</f>
        <v/>
      </c>
      <c r="F390" s="26">
        <f>IF(OR(B390="",C390=""),"",N(D390)*IFERROR(N(INDEX(Ingredients!$H$6:$H$105,MATCH(C390,Ingredients!$B$6:$B$105,0))),0))</f>
        <v/>
      </c>
      <c r="G390" s="1">
        <f>IF(OR(B390="",C390=""),0,IFERROR(N(INDEX(Products!$D$6:$D$45,MATCH(B390,Products!$B$6:$B$45,0))),0))</f>
        <v/>
      </c>
      <c r="H390">
        <f>IF(N(G390)=0,0,N(D390)*SUMIFS(Batches!$D$6:$D$505,Batches!$C$6:$C$505,B390)/G390)</f>
        <v/>
      </c>
      <c r="I390">
        <f>IF(OR(B390="",C390=""),"",IF(B390&lt;&gt;Label!$H$3,"",IF(IFERROR(N(INDEX(Ingredients!$AS$6:$AS$105,MATCH(C390,Ingredients!$B$6:$B$105,0))),0)=1,"",ROUND(N(D390)*1000,0)*100000+100000-ROW())))</f>
        <v/>
      </c>
      <c r="J390">
        <f>IF(OR(B390="",C390=""),0,IFERROR(N(INDEX(Ingredients!$AC$6:$AC$105,MATCH(C390,Ingredients!$B$6:$B$105,0))),0))</f>
        <v/>
      </c>
      <c r="K390">
        <f>IF(OR(B390="",C390=""),0,IFERROR(N(INDEX(Ingredients!$AD$6:$AD$105,MATCH(C390,Ingredients!$B$6:$B$105,0))),0))</f>
        <v/>
      </c>
      <c r="L390">
        <f>IF(OR(B390="",C390=""),0,IFERROR(N(INDEX(Ingredients!$AE$6:$AE$105,MATCH(C390,Ingredients!$B$6:$B$105,0))),0))</f>
        <v/>
      </c>
      <c r="M390">
        <f>IF(OR(B390="",C390=""),0,IFERROR(N(INDEX(Ingredients!$AF$6:$AF$105,MATCH(C390,Ingredients!$B$6:$B$105,0))),0))</f>
        <v/>
      </c>
      <c r="N390">
        <f>IF(OR(B390="",C390=""),0,IFERROR(N(INDEX(Ingredients!$AG$6:$AG$105,MATCH(C390,Ingredients!$B$6:$B$105,0))),0))</f>
        <v/>
      </c>
      <c r="O390">
        <f>IF(OR(B390="",C390=""),0,IFERROR(N(INDEX(Ingredients!$AH$6:$AH$105,MATCH(C390,Ingredients!$B$6:$B$105,0))),0))</f>
        <v/>
      </c>
      <c r="P390">
        <f>IF(OR(B390="",C390=""),0,IFERROR(N(INDEX(Ingredients!$AI$6:$AI$105,MATCH(C390,Ingredients!$B$6:$B$105,0))),0))</f>
        <v/>
      </c>
      <c r="Q390">
        <f>IF(OR(B390="",C390=""),0,IFERROR(N(INDEX(Ingredients!$AJ$6:$AJ$105,MATCH(C390,Ingredients!$B$6:$B$105,0))),0))</f>
        <v/>
      </c>
      <c r="R390">
        <f>IF(OR(B390="",C390=""),0,IFERROR(N(INDEX(Ingredients!$AK$6:$AK$105,MATCH(C390,Ingredients!$B$6:$B$105,0))),0))</f>
        <v/>
      </c>
      <c r="S390">
        <f>IF(OR(B390="",C390=""),0,IFERROR(N(INDEX(Ingredients!$AL$6:$AL$105,MATCH(C390,Ingredients!$B$6:$B$105,0))),0))</f>
        <v/>
      </c>
      <c r="T390">
        <f>IF(OR(B390="",C390=""),0,IFERROR(N(INDEX(Ingredients!$AM$6:$AM$105,MATCH(C390,Ingredients!$B$6:$B$105,0))),0))</f>
        <v/>
      </c>
      <c r="U390">
        <f>IF(OR(B390="",C390=""),0,IFERROR(N(INDEX(Ingredients!$AN$6:$AN$105,MATCH(C390,Ingredients!$B$6:$B$105,0))),0))</f>
        <v/>
      </c>
      <c r="V390">
        <f>IF(OR(B390="",C390=""),0,IFERROR(N(INDEX(Ingredients!$AO$6:$AO$105,MATCH(C390,Ingredients!$B$6:$B$105,0))),0))</f>
        <v/>
      </c>
      <c r="W390">
        <f>IF(OR(B390="",C390=""),0,IFERROR(N(INDEX(Ingredients!$AP$6:$AP$105,MATCH(C390,Ingredients!$B$6:$B$105,0))),0))</f>
        <v/>
      </c>
      <c r="X390">
        <f>IF(OR(B390="",C390=""),0,IFERROR(N(INDEX(Ingredients!$AQ$6:$AQ$105,MATCH(C390,Ingredients!$B$6:$B$105,0))),0))</f>
        <v/>
      </c>
    </row>
    <row r="391">
      <c r="A391" s="1" t="n"/>
      <c r="B391" s="21" t="n"/>
      <c r="C391" s="39" t="n"/>
      <c r="D391" s="40" t="n"/>
      <c r="E391" s="12">
        <f>IF(C391="","",IF(ISNA(MATCH(C391,Ingredients!$B$6:$B$105,0)),"Not on Ingredients",IFERROR(IF(INDEX(Ingredients!$C$6:$C$105,MATCH(C391,Ingredients!$B$6:$B$105,0))="","",INDEX(Ingredients!$C$6:$C$105,MATCH(C391,Ingredients!$B$6:$B$105,0))),"")))</f>
        <v/>
      </c>
      <c r="F391" s="26">
        <f>IF(OR(B391="",C391=""),"",N(D391)*IFERROR(N(INDEX(Ingredients!$H$6:$H$105,MATCH(C391,Ingredients!$B$6:$B$105,0))),0))</f>
        <v/>
      </c>
      <c r="G391" s="1">
        <f>IF(OR(B391="",C391=""),0,IFERROR(N(INDEX(Products!$D$6:$D$45,MATCH(B391,Products!$B$6:$B$45,0))),0))</f>
        <v/>
      </c>
      <c r="H391">
        <f>IF(N(G391)=0,0,N(D391)*SUMIFS(Batches!$D$6:$D$505,Batches!$C$6:$C$505,B391)/G391)</f>
        <v/>
      </c>
      <c r="I391">
        <f>IF(OR(B391="",C391=""),"",IF(B391&lt;&gt;Label!$H$3,"",IF(IFERROR(N(INDEX(Ingredients!$AS$6:$AS$105,MATCH(C391,Ingredients!$B$6:$B$105,0))),0)=1,"",ROUND(N(D391)*1000,0)*100000+100000-ROW())))</f>
        <v/>
      </c>
      <c r="J391">
        <f>IF(OR(B391="",C391=""),0,IFERROR(N(INDEX(Ingredients!$AC$6:$AC$105,MATCH(C391,Ingredients!$B$6:$B$105,0))),0))</f>
        <v/>
      </c>
      <c r="K391">
        <f>IF(OR(B391="",C391=""),0,IFERROR(N(INDEX(Ingredients!$AD$6:$AD$105,MATCH(C391,Ingredients!$B$6:$B$105,0))),0))</f>
        <v/>
      </c>
      <c r="L391">
        <f>IF(OR(B391="",C391=""),0,IFERROR(N(INDEX(Ingredients!$AE$6:$AE$105,MATCH(C391,Ingredients!$B$6:$B$105,0))),0))</f>
        <v/>
      </c>
      <c r="M391">
        <f>IF(OR(B391="",C391=""),0,IFERROR(N(INDEX(Ingredients!$AF$6:$AF$105,MATCH(C391,Ingredients!$B$6:$B$105,0))),0))</f>
        <v/>
      </c>
      <c r="N391">
        <f>IF(OR(B391="",C391=""),0,IFERROR(N(INDEX(Ingredients!$AG$6:$AG$105,MATCH(C391,Ingredients!$B$6:$B$105,0))),0))</f>
        <v/>
      </c>
      <c r="O391">
        <f>IF(OR(B391="",C391=""),0,IFERROR(N(INDEX(Ingredients!$AH$6:$AH$105,MATCH(C391,Ingredients!$B$6:$B$105,0))),0))</f>
        <v/>
      </c>
      <c r="P391">
        <f>IF(OR(B391="",C391=""),0,IFERROR(N(INDEX(Ingredients!$AI$6:$AI$105,MATCH(C391,Ingredients!$B$6:$B$105,0))),0))</f>
        <v/>
      </c>
      <c r="Q391">
        <f>IF(OR(B391="",C391=""),0,IFERROR(N(INDEX(Ingredients!$AJ$6:$AJ$105,MATCH(C391,Ingredients!$B$6:$B$105,0))),0))</f>
        <v/>
      </c>
      <c r="R391">
        <f>IF(OR(B391="",C391=""),0,IFERROR(N(INDEX(Ingredients!$AK$6:$AK$105,MATCH(C391,Ingredients!$B$6:$B$105,0))),0))</f>
        <v/>
      </c>
      <c r="S391">
        <f>IF(OR(B391="",C391=""),0,IFERROR(N(INDEX(Ingredients!$AL$6:$AL$105,MATCH(C391,Ingredients!$B$6:$B$105,0))),0))</f>
        <v/>
      </c>
      <c r="T391">
        <f>IF(OR(B391="",C391=""),0,IFERROR(N(INDEX(Ingredients!$AM$6:$AM$105,MATCH(C391,Ingredients!$B$6:$B$105,0))),0))</f>
        <v/>
      </c>
      <c r="U391">
        <f>IF(OR(B391="",C391=""),0,IFERROR(N(INDEX(Ingredients!$AN$6:$AN$105,MATCH(C391,Ingredients!$B$6:$B$105,0))),0))</f>
        <v/>
      </c>
      <c r="V391">
        <f>IF(OR(B391="",C391=""),0,IFERROR(N(INDEX(Ingredients!$AO$6:$AO$105,MATCH(C391,Ingredients!$B$6:$B$105,0))),0))</f>
        <v/>
      </c>
      <c r="W391">
        <f>IF(OR(B391="",C391=""),0,IFERROR(N(INDEX(Ingredients!$AP$6:$AP$105,MATCH(C391,Ingredients!$B$6:$B$105,0))),0))</f>
        <v/>
      </c>
      <c r="X391">
        <f>IF(OR(B391="",C391=""),0,IFERROR(N(INDEX(Ingredients!$AQ$6:$AQ$105,MATCH(C391,Ingredients!$B$6:$B$105,0))),0))</f>
        <v/>
      </c>
    </row>
    <row r="392">
      <c r="A392" s="1" t="n"/>
      <c r="B392" s="21" t="n"/>
      <c r="C392" s="39" t="n"/>
      <c r="D392" s="40" t="n"/>
      <c r="E392" s="12">
        <f>IF(C392="","",IF(ISNA(MATCH(C392,Ingredients!$B$6:$B$105,0)),"Not on Ingredients",IFERROR(IF(INDEX(Ingredients!$C$6:$C$105,MATCH(C392,Ingredients!$B$6:$B$105,0))="","",INDEX(Ingredients!$C$6:$C$105,MATCH(C392,Ingredients!$B$6:$B$105,0))),"")))</f>
        <v/>
      </c>
      <c r="F392" s="26">
        <f>IF(OR(B392="",C392=""),"",N(D392)*IFERROR(N(INDEX(Ingredients!$H$6:$H$105,MATCH(C392,Ingredients!$B$6:$B$105,0))),0))</f>
        <v/>
      </c>
      <c r="G392" s="1">
        <f>IF(OR(B392="",C392=""),0,IFERROR(N(INDEX(Products!$D$6:$D$45,MATCH(B392,Products!$B$6:$B$45,0))),0))</f>
        <v/>
      </c>
      <c r="H392">
        <f>IF(N(G392)=0,0,N(D392)*SUMIFS(Batches!$D$6:$D$505,Batches!$C$6:$C$505,B392)/G392)</f>
        <v/>
      </c>
      <c r="I392">
        <f>IF(OR(B392="",C392=""),"",IF(B392&lt;&gt;Label!$H$3,"",IF(IFERROR(N(INDEX(Ingredients!$AS$6:$AS$105,MATCH(C392,Ingredients!$B$6:$B$105,0))),0)=1,"",ROUND(N(D392)*1000,0)*100000+100000-ROW())))</f>
        <v/>
      </c>
      <c r="J392">
        <f>IF(OR(B392="",C392=""),0,IFERROR(N(INDEX(Ingredients!$AC$6:$AC$105,MATCH(C392,Ingredients!$B$6:$B$105,0))),0))</f>
        <v/>
      </c>
      <c r="K392">
        <f>IF(OR(B392="",C392=""),0,IFERROR(N(INDEX(Ingredients!$AD$6:$AD$105,MATCH(C392,Ingredients!$B$6:$B$105,0))),0))</f>
        <v/>
      </c>
      <c r="L392">
        <f>IF(OR(B392="",C392=""),0,IFERROR(N(INDEX(Ingredients!$AE$6:$AE$105,MATCH(C392,Ingredients!$B$6:$B$105,0))),0))</f>
        <v/>
      </c>
      <c r="M392">
        <f>IF(OR(B392="",C392=""),0,IFERROR(N(INDEX(Ingredients!$AF$6:$AF$105,MATCH(C392,Ingredients!$B$6:$B$105,0))),0))</f>
        <v/>
      </c>
      <c r="N392">
        <f>IF(OR(B392="",C392=""),0,IFERROR(N(INDEX(Ingredients!$AG$6:$AG$105,MATCH(C392,Ingredients!$B$6:$B$105,0))),0))</f>
        <v/>
      </c>
      <c r="O392">
        <f>IF(OR(B392="",C392=""),0,IFERROR(N(INDEX(Ingredients!$AH$6:$AH$105,MATCH(C392,Ingredients!$B$6:$B$105,0))),0))</f>
        <v/>
      </c>
      <c r="P392">
        <f>IF(OR(B392="",C392=""),0,IFERROR(N(INDEX(Ingredients!$AI$6:$AI$105,MATCH(C392,Ingredients!$B$6:$B$105,0))),0))</f>
        <v/>
      </c>
      <c r="Q392">
        <f>IF(OR(B392="",C392=""),0,IFERROR(N(INDEX(Ingredients!$AJ$6:$AJ$105,MATCH(C392,Ingredients!$B$6:$B$105,0))),0))</f>
        <v/>
      </c>
      <c r="R392">
        <f>IF(OR(B392="",C392=""),0,IFERROR(N(INDEX(Ingredients!$AK$6:$AK$105,MATCH(C392,Ingredients!$B$6:$B$105,0))),0))</f>
        <v/>
      </c>
      <c r="S392">
        <f>IF(OR(B392="",C392=""),0,IFERROR(N(INDEX(Ingredients!$AL$6:$AL$105,MATCH(C392,Ingredients!$B$6:$B$105,0))),0))</f>
        <v/>
      </c>
      <c r="T392">
        <f>IF(OR(B392="",C392=""),0,IFERROR(N(INDEX(Ingredients!$AM$6:$AM$105,MATCH(C392,Ingredients!$B$6:$B$105,0))),0))</f>
        <v/>
      </c>
      <c r="U392">
        <f>IF(OR(B392="",C392=""),0,IFERROR(N(INDEX(Ingredients!$AN$6:$AN$105,MATCH(C392,Ingredients!$B$6:$B$105,0))),0))</f>
        <v/>
      </c>
      <c r="V392">
        <f>IF(OR(B392="",C392=""),0,IFERROR(N(INDEX(Ingredients!$AO$6:$AO$105,MATCH(C392,Ingredients!$B$6:$B$105,0))),0))</f>
        <v/>
      </c>
      <c r="W392">
        <f>IF(OR(B392="",C392=""),0,IFERROR(N(INDEX(Ingredients!$AP$6:$AP$105,MATCH(C392,Ingredients!$B$6:$B$105,0))),0))</f>
        <v/>
      </c>
      <c r="X392">
        <f>IF(OR(B392="",C392=""),0,IFERROR(N(INDEX(Ingredients!$AQ$6:$AQ$105,MATCH(C392,Ingredients!$B$6:$B$105,0))),0))</f>
        <v/>
      </c>
    </row>
    <row r="393">
      <c r="A393" s="1" t="n"/>
      <c r="B393" s="21" t="n"/>
      <c r="C393" s="39" t="n"/>
      <c r="D393" s="40" t="n"/>
      <c r="E393" s="12">
        <f>IF(C393="","",IF(ISNA(MATCH(C393,Ingredients!$B$6:$B$105,0)),"Not on Ingredients",IFERROR(IF(INDEX(Ingredients!$C$6:$C$105,MATCH(C393,Ingredients!$B$6:$B$105,0))="","",INDEX(Ingredients!$C$6:$C$105,MATCH(C393,Ingredients!$B$6:$B$105,0))),"")))</f>
        <v/>
      </c>
      <c r="F393" s="26">
        <f>IF(OR(B393="",C393=""),"",N(D393)*IFERROR(N(INDEX(Ingredients!$H$6:$H$105,MATCH(C393,Ingredients!$B$6:$B$105,0))),0))</f>
        <v/>
      </c>
      <c r="G393" s="1">
        <f>IF(OR(B393="",C393=""),0,IFERROR(N(INDEX(Products!$D$6:$D$45,MATCH(B393,Products!$B$6:$B$45,0))),0))</f>
        <v/>
      </c>
      <c r="H393">
        <f>IF(N(G393)=0,0,N(D393)*SUMIFS(Batches!$D$6:$D$505,Batches!$C$6:$C$505,B393)/G393)</f>
        <v/>
      </c>
      <c r="I393">
        <f>IF(OR(B393="",C393=""),"",IF(B393&lt;&gt;Label!$H$3,"",IF(IFERROR(N(INDEX(Ingredients!$AS$6:$AS$105,MATCH(C393,Ingredients!$B$6:$B$105,0))),0)=1,"",ROUND(N(D393)*1000,0)*100000+100000-ROW())))</f>
        <v/>
      </c>
      <c r="J393">
        <f>IF(OR(B393="",C393=""),0,IFERROR(N(INDEX(Ingredients!$AC$6:$AC$105,MATCH(C393,Ingredients!$B$6:$B$105,0))),0))</f>
        <v/>
      </c>
      <c r="K393">
        <f>IF(OR(B393="",C393=""),0,IFERROR(N(INDEX(Ingredients!$AD$6:$AD$105,MATCH(C393,Ingredients!$B$6:$B$105,0))),0))</f>
        <v/>
      </c>
      <c r="L393">
        <f>IF(OR(B393="",C393=""),0,IFERROR(N(INDEX(Ingredients!$AE$6:$AE$105,MATCH(C393,Ingredients!$B$6:$B$105,0))),0))</f>
        <v/>
      </c>
      <c r="M393">
        <f>IF(OR(B393="",C393=""),0,IFERROR(N(INDEX(Ingredients!$AF$6:$AF$105,MATCH(C393,Ingredients!$B$6:$B$105,0))),0))</f>
        <v/>
      </c>
      <c r="N393">
        <f>IF(OR(B393="",C393=""),0,IFERROR(N(INDEX(Ingredients!$AG$6:$AG$105,MATCH(C393,Ingredients!$B$6:$B$105,0))),0))</f>
        <v/>
      </c>
      <c r="O393">
        <f>IF(OR(B393="",C393=""),0,IFERROR(N(INDEX(Ingredients!$AH$6:$AH$105,MATCH(C393,Ingredients!$B$6:$B$105,0))),0))</f>
        <v/>
      </c>
      <c r="P393">
        <f>IF(OR(B393="",C393=""),0,IFERROR(N(INDEX(Ingredients!$AI$6:$AI$105,MATCH(C393,Ingredients!$B$6:$B$105,0))),0))</f>
        <v/>
      </c>
      <c r="Q393">
        <f>IF(OR(B393="",C393=""),0,IFERROR(N(INDEX(Ingredients!$AJ$6:$AJ$105,MATCH(C393,Ingredients!$B$6:$B$105,0))),0))</f>
        <v/>
      </c>
      <c r="R393">
        <f>IF(OR(B393="",C393=""),0,IFERROR(N(INDEX(Ingredients!$AK$6:$AK$105,MATCH(C393,Ingredients!$B$6:$B$105,0))),0))</f>
        <v/>
      </c>
      <c r="S393">
        <f>IF(OR(B393="",C393=""),0,IFERROR(N(INDEX(Ingredients!$AL$6:$AL$105,MATCH(C393,Ingredients!$B$6:$B$105,0))),0))</f>
        <v/>
      </c>
      <c r="T393">
        <f>IF(OR(B393="",C393=""),0,IFERROR(N(INDEX(Ingredients!$AM$6:$AM$105,MATCH(C393,Ingredients!$B$6:$B$105,0))),0))</f>
        <v/>
      </c>
      <c r="U393">
        <f>IF(OR(B393="",C393=""),0,IFERROR(N(INDEX(Ingredients!$AN$6:$AN$105,MATCH(C393,Ingredients!$B$6:$B$105,0))),0))</f>
        <v/>
      </c>
      <c r="V393">
        <f>IF(OR(B393="",C393=""),0,IFERROR(N(INDEX(Ingredients!$AO$6:$AO$105,MATCH(C393,Ingredients!$B$6:$B$105,0))),0))</f>
        <v/>
      </c>
      <c r="W393">
        <f>IF(OR(B393="",C393=""),0,IFERROR(N(INDEX(Ingredients!$AP$6:$AP$105,MATCH(C393,Ingredients!$B$6:$B$105,0))),0))</f>
        <v/>
      </c>
      <c r="X393">
        <f>IF(OR(B393="",C393=""),0,IFERROR(N(INDEX(Ingredients!$AQ$6:$AQ$105,MATCH(C393,Ingredients!$B$6:$B$105,0))),0))</f>
        <v/>
      </c>
    </row>
    <row r="394">
      <c r="A394" s="1" t="n"/>
      <c r="B394" s="21" t="n"/>
      <c r="C394" s="39" t="n"/>
      <c r="D394" s="40" t="n"/>
      <c r="E394" s="12">
        <f>IF(C394="","",IF(ISNA(MATCH(C394,Ingredients!$B$6:$B$105,0)),"Not on Ingredients",IFERROR(IF(INDEX(Ingredients!$C$6:$C$105,MATCH(C394,Ingredients!$B$6:$B$105,0))="","",INDEX(Ingredients!$C$6:$C$105,MATCH(C394,Ingredients!$B$6:$B$105,0))),"")))</f>
        <v/>
      </c>
      <c r="F394" s="26">
        <f>IF(OR(B394="",C394=""),"",N(D394)*IFERROR(N(INDEX(Ingredients!$H$6:$H$105,MATCH(C394,Ingredients!$B$6:$B$105,0))),0))</f>
        <v/>
      </c>
      <c r="G394" s="1">
        <f>IF(OR(B394="",C394=""),0,IFERROR(N(INDEX(Products!$D$6:$D$45,MATCH(B394,Products!$B$6:$B$45,0))),0))</f>
        <v/>
      </c>
      <c r="H394">
        <f>IF(N(G394)=0,0,N(D394)*SUMIFS(Batches!$D$6:$D$505,Batches!$C$6:$C$505,B394)/G394)</f>
        <v/>
      </c>
      <c r="I394">
        <f>IF(OR(B394="",C394=""),"",IF(B394&lt;&gt;Label!$H$3,"",IF(IFERROR(N(INDEX(Ingredients!$AS$6:$AS$105,MATCH(C394,Ingredients!$B$6:$B$105,0))),0)=1,"",ROUND(N(D394)*1000,0)*100000+100000-ROW())))</f>
        <v/>
      </c>
      <c r="J394">
        <f>IF(OR(B394="",C394=""),0,IFERROR(N(INDEX(Ingredients!$AC$6:$AC$105,MATCH(C394,Ingredients!$B$6:$B$105,0))),0))</f>
        <v/>
      </c>
      <c r="K394">
        <f>IF(OR(B394="",C394=""),0,IFERROR(N(INDEX(Ingredients!$AD$6:$AD$105,MATCH(C394,Ingredients!$B$6:$B$105,0))),0))</f>
        <v/>
      </c>
      <c r="L394">
        <f>IF(OR(B394="",C394=""),0,IFERROR(N(INDEX(Ingredients!$AE$6:$AE$105,MATCH(C394,Ingredients!$B$6:$B$105,0))),0))</f>
        <v/>
      </c>
      <c r="M394">
        <f>IF(OR(B394="",C394=""),0,IFERROR(N(INDEX(Ingredients!$AF$6:$AF$105,MATCH(C394,Ingredients!$B$6:$B$105,0))),0))</f>
        <v/>
      </c>
      <c r="N394">
        <f>IF(OR(B394="",C394=""),0,IFERROR(N(INDEX(Ingredients!$AG$6:$AG$105,MATCH(C394,Ingredients!$B$6:$B$105,0))),0))</f>
        <v/>
      </c>
      <c r="O394">
        <f>IF(OR(B394="",C394=""),0,IFERROR(N(INDEX(Ingredients!$AH$6:$AH$105,MATCH(C394,Ingredients!$B$6:$B$105,0))),0))</f>
        <v/>
      </c>
      <c r="P394">
        <f>IF(OR(B394="",C394=""),0,IFERROR(N(INDEX(Ingredients!$AI$6:$AI$105,MATCH(C394,Ingredients!$B$6:$B$105,0))),0))</f>
        <v/>
      </c>
      <c r="Q394">
        <f>IF(OR(B394="",C394=""),0,IFERROR(N(INDEX(Ingredients!$AJ$6:$AJ$105,MATCH(C394,Ingredients!$B$6:$B$105,0))),0))</f>
        <v/>
      </c>
      <c r="R394">
        <f>IF(OR(B394="",C394=""),0,IFERROR(N(INDEX(Ingredients!$AK$6:$AK$105,MATCH(C394,Ingredients!$B$6:$B$105,0))),0))</f>
        <v/>
      </c>
      <c r="S394">
        <f>IF(OR(B394="",C394=""),0,IFERROR(N(INDEX(Ingredients!$AL$6:$AL$105,MATCH(C394,Ingredients!$B$6:$B$105,0))),0))</f>
        <v/>
      </c>
      <c r="T394">
        <f>IF(OR(B394="",C394=""),0,IFERROR(N(INDEX(Ingredients!$AM$6:$AM$105,MATCH(C394,Ingredients!$B$6:$B$105,0))),0))</f>
        <v/>
      </c>
      <c r="U394">
        <f>IF(OR(B394="",C394=""),0,IFERROR(N(INDEX(Ingredients!$AN$6:$AN$105,MATCH(C394,Ingredients!$B$6:$B$105,0))),0))</f>
        <v/>
      </c>
      <c r="V394">
        <f>IF(OR(B394="",C394=""),0,IFERROR(N(INDEX(Ingredients!$AO$6:$AO$105,MATCH(C394,Ingredients!$B$6:$B$105,0))),0))</f>
        <v/>
      </c>
      <c r="W394">
        <f>IF(OR(B394="",C394=""),0,IFERROR(N(INDEX(Ingredients!$AP$6:$AP$105,MATCH(C394,Ingredients!$B$6:$B$105,0))),0))</f>
        <v/>
      </c>
      <c r="X394">
        <f>IF(OR(B394="",C394=""),0,IFERROR(N(INDEX(Ingredients!$AQ$6:$AQ$105,MATCH(C394,Ingredients!$B$6:$B$105,0))),0))</f>
        <v/>
      </c>
    </row>
    <row r="395">
      <c r="A395" s="1" t="n"/>
      <c r="B395" s="21" t="n"/>
      <c r="C395" s="39" t="n"/>
      <c r="D395" s="40" t="n"/>
      <c r="E395" s="12">
        <f>IF(C395="","",IF(ISNA(MATCH(C395,Ingredients!$B$6:$B$105,0)),"Not on Ingredients",IFERROR(IF(INDEX(Ingredients!$C$6:$C$105,MATCH(C395,Ingredients!$B$6:$B$105,0))="","",INDEX(Ingredients!$C$6:$C$105,MATCH(C395,Ingredients!$B$6:$B$105,0))),"")))</f>
        <v/>
      </c>
      <c r="F395" s="26">
        <f>IF(OR(B395="",C395=""),"",N(D395)*IFERROR(N(INDEX(Ingredients!$H$6:$H$105,MATCH(C395,Ingredients!$B$6:$B$105,0))),0))</f>
        <v/>
      </c>
      <c r="G395" s="1">
        <f>IF(OR(B395="",C395=""),0,IFERROR(N(INDEX(Products!$D$6:$D$45,MATCH(B395,Products!$B$6:$B$45,0))),0))</f>
        <v/>
      </c>
      <c r="H395">
        <f>IF(N(G395)=0,0,N(D395)*SUMIFS(Batches!$D$6:$D$505,Batches!$C$6:$C$505,B395)/G395)</f>
        <v/>
      </c>
      <c r="I395">
        <f>IF(OR(B395="",C395=""),"",IF(B395&lt;&gt;Label!$H$3,"",IF(IFERROR(N(INDEX(Ingredients!$AS$6:$AS$105,MATCH(C395,Ingredients!$B$6:$B$105,0))),0)=1,"",ROUND(N(D395)*1000,0)*100000+100000-ROW())))</f>
        <v/>
      </c>
      <c r="J395">
        <f>IF(OR(B395="",C395=""),0,IFERROR(N(INDEX(Ingredients!$AC$6:$AC$105,MATCH(C395,Ingredients!$B$6:$B$105,0))),0))</f>
        <v/>
      </c>
      <c r="K395">
        <f>IF(OR(B395="",C395=""),0,IFERROR(N(INDEX(Ingredients!$AD$6:$AD$105,MATCH(C395,Ingredients!$B$6:$B$105,0))),0))</f>
        <v/>
      </c>
      <c r="L395">
        <f>IF(OR(B395="",C395=""),0,IFERROR(N(INDEX(Ingredients!$AE$6:$AE$105,MATCH(C395,Ingredients!$B$6:$B$105,0))),0))</f>
        <v/>
      </c>
      <c r="M395">
        <f>IF(OR(B395="",C395=""),0,IFERROR(N(INDEX(Ingredients!$AF$6:$AF$105,MATCH(C395,Ingredients!$B$6:$B$105,0))),0))</f>
        <v/>
      </c>
      <c r="N395">
        <f>IF(OR(B395="",C395=""),0,IFERROR(N(INDEX(Ingredients!$AG$6:$AG$105,MATCH(C395,Ingredients!$B$6:$B$105,0))),0))</f>
        <v/>
      </c>
      <c r="O395">
        <f>IF(OR(B395="",C395=""),0,IFERROR(N(INDEX(Ingredients!$AH$6:$AH$105,MATCH(C395,Ingredients!$B$6:$B$105,0))),0))</f>
        <v/>
      </c>
      <c r="P395">
        <f>IF(OR(B395="",C395=""),0,IFERROR(N(INDEX(Ingredients!$AI$6:$AI$105,MATCH(C395,Ingredients!$B$6:$B$105,0))),0))</f>
        <v/>
      </c>
      <c r="Q395">
        <f>IF(OR(B395="",C395=""),0,IFERROR(N(INDEX(Ingredients!$AJ$6:$AJ$105,MATCH(C395,Ingredients!$B$6:$B$105,0))),0))</f>
        <v/>
      </c>
      <c r="R395">
        <f>IF(OR(B395="",C395=""),0,IFERROR(N(INDEX(Ingredients!$AK$6:$AK$105,MATCH(C395,Ingredients!$B$6:$B$105,0))),0))</f>
        <v/>
      </c>
      <c r="S395">
        <f>IF(OR(B395="",C395=""),0,IFERROR(N(INDEX(Ingredients!$AL$6:$AL$105,MATCH(C395,Ingredients!$B$6:$B$105,0))),0))</f>
        <v/>
      </c>
      <c r="T395">
        <f>IF(OR(B395="",C395=""),0,IFERROR(N(INDEX(Ingredients!$AM$6:$AM$105,MATCH(C395,Ingredients!$B$6:$B$105,0))),0))</f>
        <v/>
      </c>
      <c r="U395">
        <f>IF(OR(B395="",C395=""),0,IFERROR(N(INDEX(Ingredients!$AN$6:$AN$105,MATCH(C395,Ingredients!$B$6:$B$105,0))),0))</f>
        <v/>
      </c>
      <c r="V395">
        <f>IF(OR(B395="",C395=""),0,IFERROR(N(INDEX(Ingredients!$AO$6:$AO$105,MATCH(C395,Ingredients!$B$6:$B$105,0))),0))</f>
        <v/>
      </c>
      <c r="W395">
        <f>IF(OR(B395="",C395=""),0,IFERROR(N(INDEX(Ingredients!$AP$6:$AP$105,MATCH(C395,Ingredients!$B$6:$B$105,0))),0))</f>
        <v/>
      </c>
      <c r="X395">
        <f>IF(OR(B395="",C395=""),0,IFERROR(N(INDEX(Ingredients!$AQ$6:$AQ$105,MATCH(C395,Ingredients!$B$6:$B$105,0))),0))</f>
        <v/>
      </c>
    </row>
    <row r="396">
      <c r="A396" s="1" t="n"/>
      <c r="B396" s="21" t="n"/>
      <c r="C396" s="39" t="n"/>
      <c r="D396" s="40" t="n"/>
      <c r="E396" s="12">
        <f>IF(C396="","",IF(ISNA(MATCH(C396,Ingredients!$B$6:$B$105,0)),"Not on Ingredients",IFERROR(IF(INDEX(Ingredients!$C$6:$C$105,MATCH(C396,Ingredients!$B$6:$B$105,0))="","",INDEX(Ingredients!$C$6:$C$105,MATCH(C396,Ingredients!$B$6:$B$105,0))),"")))</f>
        <v/>
      </c>
      <c r="F396" s="26">
        <f>IF(OR(B396="",C396=""),"",N(D396)*IFERROR(N(INDEX(Ingredients!$H$6:$H$105,MATCH(C396,Ingredients!$B$6:$B$105,0))),0))</f>
        <v/>
      </c>
      <c r="G396" s="1">
        <f>IF(OR(B396="",C396=""),0,IFERROR(N(INDEX(Products!$D$6:$D$45,MATCH(B396,Products!$B$6:$B$45,0))),0))</f>
        <v/>
      </c>
      <c r="H396">
        <f>IF(N(G396)=0,0,N(D396)*SUMIFS(Batches!$D$6:$D$505,Batches!$C$6:$C$505,B396)/G396)</f>
        <v/>
      </c>
      <c r="I396">
        <f>IF(OR(B396="",C396=""),"",IF(B396&lt;&gt;Label!$H$3,"",IF(IFERROR(N(INDEX(Ingredients!$AS$6:$AS$105,MATCH(C396,Ingredients!$B$6:$B$105,0))),0)=1,"",ROUND(N(D396)*1000,0)*100000+100000-ROW())))</f>
        <v/>
      </c>
      <c r="J396">
        <f>IF(OR(B396="",C396=""),0,IFERROR(N(INDEX(Ingredients!$AC$6:$AC$105,MATCH(C396,Ingredients!$B$6:$B$105,0))),0))</f>
        <v/>
      </c>
      <c r="K396">
        <f>IF(OR(B396="",C396=""),0,IFERROR(N(INDEX(Ingredients!$AD$6:$AD$105,MATCH(C396,Ingredients!$B$6:$B$105,0))),0))</f>
        <v/>
      </c>
      <c r="L396">
        <f>IF(OR(B396="",C396=""),0,IFERROR(N(INDEX(Ingredients!$AE$6:$AE$105,MATCH(C396,Ingredients!$B$6:$B$105,0))),0))</f>
        <v/>
      </c>
      <c r="M396">
        <f>IF(OR(B396="",C396=""),0,IFERROR(N(INDEX(Ingredients!$AF$6:$AF$105,MATCH(C396,Ingredients!$B$6:$B$105,0))),0))</f>
        <v/>
      </c>
      <c r="N396">
        <f>IF(OR(B396="",C396=""),0,IFERROR(N(INDEX(Ingredients!$AG$6:$AG$105,MATCH(C396,Ingredients!$B$6:$B$105,0))),0))</f>
        <v/>
      </c>
      <c r="O396">
        <f>IF(OR(B396="",C396=""),0,IFERROR(N(INDEX(Ingredients!$AH$6:$AH$105,MATCH(C396,Ingredients!$B$6:$B$105,0))),0))</f>
        <v/>
      </c>
      <c r="P396">
        <f>IF(OR(B396="",C396=""),0,IFERROR(N(INDEX(Ingredients!$AI$6:$AI$105,MATCH(C396,Ingredients!$B$6:$B$105,0))),0))</f>
        <v/>
      </c>
      <c r="Q396">
        <f>IF(OR(B396="",C396=""),0,IFERROR(N(INDEX(Ingredients!$AJ$6:$AJ$105,MATCH(C396,Ingredients!$B$6:$B$105,0))),0))</f>
        <v/>
      </c>
      <c r="R396">
        <f>IF(OR(B396="",C396=""),0,IFERROR(N(INDEX(Ingredients!$AK$6:$AK$105,MATCH(C396,Ingredients!$B$6:$B$105,0))),0))</f>
        <v/>
      </c>
      <c r="S396">
        <f>IF(OR(B396="",C396=""),0,IFERROR(N(INDEX(Ingredients!$AL$6:$AL$105,MATCH(C396,Ingredients!$B$6:$B$105,0))),0))</f>
        <v/>
      </c>
      <c r="T396">
        <f>IF(OR(B396="",C396=""),0,IFERROR(N(INDEX(Ingredients!$AM$6:$AM$105,MATCH(C396,Ingredients!$B$6:$B$105,0))),0))</f>
        <v/>
      </c>
      <c r="U396">
        <f>IF(OR(B396="",C396=""),0,IFERROR(N(INDEX(Ingredients!$AN$6:$AN$105,MATCH(C396,Ingredients!$B$6:$B$105,0))),0))</f>
        <v/>
      </c>
      <c r="V396">
        <f>IF(OR(B396="",C396=""),0,IFERROR(N(INDEX(Ingredients!$AO$6:$AO$105,MATCH(C396,Ingredients!$B$6:$B$105,0))),0))</f>
        <v/>
      </c>
      <c r="W396">
        <f>IF(OR(B396="",C396=""),0,IFERROR(N(INDEX(Ingredients!$AP$6:$AP$105,MATCH(C396,Ingredients!$B$6:$B$105,0))),0))</f>
        <v/>
      </c>
      <c r="X396">
        <f>IF(OR(B396="",C396=""),0,IFERROR(N(INDEX(Ingredients!$AQ$6:$AQ$105,MATCH(C396,Ingredients!$B$6:$B$105,0))),0))</f>
        <v/>
      </c>
    </row>
    <row r="397">
      <c r="A397" s="1" t="n"/>
      <c r="B397" s="21" t="n"/>
      <c r="C397" s="39" t="n"/>
      <c r="D397" s="40" t="n"/>
      <c r="E397" s="12">
        <f>IF(C397="","",IF(ISNA(MATCH(C397,Ingredients!$B$6:$B$105,0)),"Not on Ingredients",IFERROR(IF(INDEX(Ingredients!$C$6:$C$105,MATCH(C397,Ingredients!$B$6:$B$105,0))="","",INDEX(Ingredients!$C$6:$C$105,MATCH(C397,Ingredients!$B$6:$B$105,0))),"")))</f>
        <v/>
      </c>
      <c r="F397" s="26">
        <f>IF(OR(B397="",C397=""),"",N(D397)*IFERROR(N(INDEX(Ingredients!$H$6:$H$105,MATCH(C397,Ingredients!$B$6:$B$105,0))),0))</f>
        <v/>
      </c>
      <c r="G397" s="1">
        <f>IF(OR(B397="",C397=""),0,IFERROR(N(INDEX(Products!$D$6:$D$45,MATCH(B397,Products!$B$6:$B$45,0))),0))</f>
        <v/>
      </c>
      <c r="H397">
        <f>IF(N(G397)=0,0,N(D397)*SUMIFS(Batches!$D$6:$D$505,Batches!$C$6:$C$505,B397)/G397)</f>
        <v/>
      </c>
      <c r="I397">
        <f>IF(OR(B397="",C397=""),"",IF(B397&lt;&gt;Label!$H$3,"",IF(IFERROR(N(INDEX(Ingredients!$AS$6:$AS$105,MATCH(C397,Ingredients!$B$6:$B$105,0))),0)=1,"",ROUND(N(D397)*1000,0)*100000+100000-ROW())))</f>
        <v/>
      </c>
      <c r="J397">
        <f>IF(OR(B397="",C397=""),0,IFERROR(N(INDEX(Ingredients!$AC$6:$AC$105,MATCH(C397,Ingredients!$B$6:$B$105,0))),0))</f>
        <v/>
      </c>
      <c r="K397">
        <f>IF(OR(B397="",C397=""),0,IFERROR(N(INDEX(Ingredients!$AD$6:$AD$105,MATCH(C397,Ingredients!$B$6:$B$105,0))),0))</f>
        <v/>
      </c>
      <c r="L397">
        <f>IF(OR(B397="",C397=""),0,IFERROR(N(INDEX(Ingredients!$AE$6:$AE$105,MATCH(C397,Ingredients!$B$6:$B$105,0))),0))</f>
        <v/>
      </c>
      <c r="M397">
        <f>IF(OR(B397="",C397=""),0,IFERROR(N(INDEX(Ingredients!$AF$6:$AF$105,MATCH(C397,Ingredients!$B$6:$B$105,0))),0))</f>
        <v/>
      </c>
      <c r="N397">
        <f>IF(OR(B397="",C397=""),0,IFERROR(N(INDEX(Ingredients!$AG$6:$AG$105,MATCH(C397,Ingredients!$B$6:$B$105,0))),0))</f>
        <v/>
      </c>
      <c r="O397">
        <f>IF(OR(B397="",C397=""),0,IFERROR(N(INDEX(Ingredients!$AH$6:$AH$105,MATCH(C397,Ingredients!$B$6:$B$105,0))),0))</f>
        <v/>
      </c>
      <c r="P397">
        <f>IF(OR(B397="",C397=""),0,IFERROR(N(INDEX(Ingredients!$AI$6:$AI$105,MATCH(C397,Ingredients!$B$6:$B$105,0))),0))</f>
        <v/>
      </c>
      <c r="Q397">
        <f>IF(OR(B397="",C397=""),0,IFERROR(N(INDEX(Ingredients!$AJ$6:$AJ$105,MATCH(C397,Ingredients!$B$6:$B$105,0))),0))</f>
        <v/>
      </c>
      <c r="R397">
        <f>IF(OR(B397="",C397=""),0,IFERROR(N(INDEX(Ingredients!$AK$6:$AK$105,MATCH(C397,Ingredients!$B$6:$B$105,0))),0))</f>
        <v/>
      </c>
      <c r="S397">
        <f>IF(OR(B397="",C397=""),0,IFERROR(N(INDEX(Ingredients!$AL$6:$AL$105,MATCH(C397,Ingredients!$B$6:$B$105,0))),0))</f>
        <v/>
      </c>
      <c r="T397">
        <f>IF(OR(B397="",C397=""),0,IFERROR(N(INDEX(Ingredients!$AM$6:$AM$105,MATCH(C397,Ingredients!$B$6:$B$105,0))),0))</f>
        <v/>
      </c>
      <c r="U397">
        <f>IF(OR(B397="",C397=""),0,IFERROR(N(INDEX(Ingredients!$AN$6:$AN$105,MATCH(C397,Ingredients!$B$6:$B$105,0))),0))</f>
        <v/>
      </c>
      <c r="V397">
        <f>IF(OR(B397="",C397=""),0,IFERROR(N(INDEX(Ingredients!$AO$6:$AO$105,MATCH(C397,Ingredients!$B$6:$B$105,0))),0))</f>
        <v/>
      </c>
      <c r="W397">
        <f>IF(OR(B397="",C397=""),0,IFERROR(N(INDEX(Ingredients!$AP$6:$AP$105,MATCH(C397,Ingredients!$B$6:$B$105,0))),0))</f>
        <v/>
      </c>
      <c r="X397">
        <f>IF(OR(B397="",C397=""),0,IFERROR(N(INDEX(Ingredients!$AQ$6:$AQ$105,MATCH(C397,Ingredients!$B$6:$B$105,0))),0))</f>
        <v/>
      </c>
    </row>
    <row r="398">
      <c r="A398" s="1" t="n"/>
      <c r="B398" s="21" t="n"/>
      <c r="C398" s="39" t="n"/>
      <c r="D398" s="40" t="n"/>
      <c r="E398" s="12">
        <f>IF(C398="","",IF(ISNA(MATCH(C398,Ingredients!$B$6:$B$105,0)),"Not on Ingredients",IFERROR(IF(INDEX(Ingredients!$C$6:$C$105,MATCH(C398,Ingredients!$B$6:$B$105,0))="","",INDEX(Ingredients!$C$6:$C$105,MATCH(C398,Ingredients!$B$6:$B$105,0))),"")))</f>
        <v/>
      </c>
      <c r="F398" s="26">
        <f>IF(OR(B398="",C398=""),"",N(D398)*IFERROR(N(INDEX(Ingredients!$H$6:$H$105,MATCH(C398,Ingredients!$B$6:$B$105,0))),0))</f>
        <v/>
      </c>
      <c r="G398" s="1">
        <f>IF(OR(B398="",C398=""),0,IFERROR(N(INDEX(Products!$D$6:$D$45,MATCH(B398,Products!$B$6:$B$45,0))),0))</f>
        <v/>
      </c>
      <c r="H398">
        <f>IF(N(G398)=0,0,N(D398)*SUMIFS(Batches!$D$6:$D$505,Batches!$C$6:$C$505,B398)/G398)</f>
        <v/>
      </c>
      <c r="I398">
        <f>IF(OR(B398="",C398=""),"",IF(B398&lt;&gt;Label!$H$3,"",IF(IFERROR(N(INDEX(Ingredients!$AS$6:$AS$105,MATCH(C398,Ingredients!$B$6:$B$105,0))),0)=1,"",ROUND(N(D398)*1000,0)*100000+100000-ROW())))</f>
        <v/>
      </c>
      <c r="J398">
        <f>IF(OR(B398="",C398=""),0,IFERROR(N(INDEX(Ingredients!$AC$6:$AC$105,MATCH(C398,Ingredients!$B$6:$B$105,0))),0))</f>
        <v/>
      </c>
      <c r="K398">
        <f>IF(OR(B398="",C398=""),0,IFERROR(N(INDEX(Ingredients!$AD$6:$AD$105,MATCH(C398,Ingredients!$B$6:$B$105,0))),0))</f>
        <v/>
      </c>
      <c r="L398">
        <f>IF(OR(B398="",C398=""),0,IFERROR(N(INDEX(Ingredients!$AE$6:$AE$105,MATCH(C398,Ingredients!$B$6:$B$105,0))),0))</f>
        <v/>
      </c>
      <c r="M398">
        <f>IF(OR(B398="",C398=""),0,IFERROR(N(INDEX(Ingredients!$AF$6:$AF$105,MATCH(C398,Ingredients!$B$6:$B$105,0))),0))</f>
        <v/>
      </c>
      <c r="N398">
        <f>IF(OR(B398="",C398=""),0,IFERROR(N(INDEX(Ingredients!$AG$6:$AG$105,MATCH(C398,Ingredients!$B$6:$B$105,0))),0))</f>
        <v/>
      </c>
      <c r="O398">
        <f>IF(OR(B398="",C398=""),0,IFERROR(N(INDEX(Ingredients!$AH$6:$AH$105,MATCH(C398,Ingredients!$B$6:$B$105,0))),0))</f>
        <v/>
      </c>
      <c r="P398">
        <f>IF(OR(B398="",C398=""),0,IFERROR(N(INDEX(Ingredients!$AI$6:$AI$105,MATCH(C398,Ingredients!$B$6:$B$105,0))),0))</f>
        <v/>
      </c>
      <c r="Q398">
        <f>IF(OR(B398="",C398=""),0,IFERROR(N(INDEX(Ingredients!$AJ$6:$AJ$105,MATCH(C398,Ingredients!$B$6:$B$105,0))),0))</f>
        <v/>
      </c>
      <c r="R398">
        <f>IF(OR(B398="",C398=""),0,IFERROR(N(INDEX(Ingredients!$AK$6:$AK$105,MATCH(C398,Ingredients!$B$6:$B$105,0))),0))</f>
        <v/>
      </c>
      <c r="S398">
        <f>IF(OR(B398="",C398=""),0,IFERROR(N(INDEX(Ingredients!$AL$6:$AL$105,MATCH(C398,Ingredients!$B$6:$B$105,0))),0))</f>
        <v/>
      </c>
      <c r="T398">
        <f>IF(OR(B398="",C398=""),0,IFERROR(N(INDEX(Ingredients!$AM$6:$AM$105,MATCH(C398,Ingredients!$B$6:$B$105,0))),0))</f>
        <v/>
      </c>
      <c r="U398">
        <f>IF(OR(B398="",C398=""),0,IFERROR(N(INDEX(Ingredients!$AN$6:$AN$105,MATCH(C398,Ingredients!$B$6:$B$105,0))),0))</f>
        <v/>
      </c>
      <c r="V398">
        <f>IF(OR(B398="",C398=""),0,IFERROR(N(INDEX(Ingredients!$AO$6:$AO$105,MATCH(C398,Ingredients!$B$6:$B$105,0))),0))</f>
        <v/>
      </c>
      <c r="W398">
        <f>IF(OR(B398="",C398=""),0,IFERROR(N(INDEX(Ingredients!$AP$6:$AP$105,MATCH(C398,Ingredients!$B$6:$B$105,0))),0))</f>
        <v/>
      </c>
      <c r="X398">
        <f>IF(OR(B398="",C398=""),0,IFERROR(N(INDEX(Ingredients!$AQ$6:$AQ$105,MATCH(C398,Ingredients!$B$6:$B$105,0))),0))</f>
        <v/>
      </c>
    </row>
    <row r="399">
      <c r="A399" s="1" t="n"/>
      <c r="B399" s="21" t="n"/>
      <c r="C399" s="39" t="n"/>
      <c r="D399" s="40" t="n"/>
      <c r="E399" s="12">
        <f>IF(C399="","",IF(ISNA(MATCH(C399,Ingredients!$B$6:$B$105,0)),"Not on Ingredients",IFERROR(IF(INDEX(Ingredients!$C$6:$C$105,MATCH(C399,Ingredients!$B$6:$B$105,0))="","",INDEX(Ingredients!$C$6:$C$105,MATCH(C399,Ingredients!$B$6:$B$105,0))),"")))</f>
        <v/>
      </c>
      <c r="F399" s="26">
        <f>IF(OR(B399="",C399=""),"",N(D399)*IFERROR(N(INDEX(Ingredients!$H$6:$H$105,MATCH(C399,Ingredients!$B$6:$B$105,0))),0))</f>
        <v/>
      </c>
      <c r="G399" s="1">
        <f>IF(OR(B399="",C399=""),0,IFERROR(N(INDEX(Products!$D$6:$D$45,MATCH(B399,Products!$B$6:$B$45,0))),0))</f>
        <v/>
      </c>
      <c r="H399">
        <f>IF(N(G399)=0,0,N(D399)*SUMIFS(Batches!$D$6:$D$505,Batches!$C$6:$C$505,B399)/G399)</f>
        <v/>
      </c>
      <c r="I399">
        <f>IF(OR(B399="",C399=""),"",IF(B399&lt;&gt;Label!$H$3,"",IF(IFERROR(N(INDEX(Ingredients!$AS$6:$AS$105,MATCH(C399,Ingredients!$B$6:$B$105,0))),0)=1,"",ROUND(N(D399)*1000,0)*100000+100000-ROW())))</f>
        <v/>
      </c>
      <c r="J399">
        <f>IF(OR(B399="",C399=""),0,IFERROR(N(INDEX(Ingredients!$AC$6:$AC$105,MATCH(C399,Ingredients!$B$6:$B$105,0))),0))</f>
        <v/>
      </c>
      <c r="K399">
        <f>IF(OR(B399="",C399=""),0,IFERROR(N(INDEX(Ingredients!$AD$6:$AD$105,MATCH(C399,Ingredients!$B$6:$B$105,0))),0))</f>
        <v/>
      </c>
      <c r="L399">
        <f>IF(OR(B399="",C399=""),0,IFERROR(N(INDEX(Ingredients!$AE$6:$AE$105,MATCH(C399,Ingredients!$B$6:$B$105,0))),0))</f>
        <v/>
      </c>
      <c r="M399">
        <f>IF(OR(B399="",C399=""),0,IFERROR(N(INDEX(Ingredients!$AF$6:$AF$105,MATCH(C399,Ingredients!$B$6:$B$105,0))),0))</f>
        <v/>
      </c>
      <c r="N399">
        <f>IF(OR(B399="",C399=""),0,IFERROR(N(INDEX(Ingredients!$AG$6:$AG$105,MATCH(C399,Ingredients!$B$6:$B$105,0))),0))</f>
        <v/>
      </c>
      <c r="O399">
        <f>IF(OR(B399="",C399=""),0,IFERROR(N(INDEX(Ingredients!$AH$6:$AH$105,MATCH(C399,Ingredients!$B$6:$B$105,0))),0))</f>
        <v/>
      </c>
      <c r="P399">
        <f>IF(OR(B399="",C399=""),0,IFERROR(N(INDEX(Ingredients!$AI$6:$AI$105,MATCH(C399,Ingredients!$B$6:$B$105,0))),0))</f>
        <v/>
      </c>
      <c r="Q399">
        <f>IF(OR(B399="",C399=""),0,IFERROR(N(INDEX(Ingredients!$AJ$6:$AJ$105,MATCH(C399,Ingredients!$B$6:$B$105,0))),0))</f>
        <v/>
      </c>
      <c r="R399">
        <f>IF(OR(B399="",C399=""),0,IFERROR(N(INDEX(Ingredients!$AK$6:$AK$105,MATCH(C399,Ingredients!$B$6:$B$105,0))),0))</f>
        <v/>
      </c>
      <c r="S399">
        <f>IF(OR(B399="",C399=""),0,IFERROR(N(INDEX(Ingredients!$AL$6:$AL$105,MATCH(C399,Ingredients!$B$6:$B$105,0))),0))</f>
        <v/>
      </c>
      <c r="T399">
        <f>IF(OR(B399="",C399=""),0,IFERROR(N(INDEX(Ingredients!$AM$6:$AM$105,MATCH(C399,Ingredients!$B$6:$B$105,0))),0))</f>
        <v/>
      </c>
      <c r="U399">
        <f>IF(OR(B399="",C399=""),0,IFERROR(N(INDEX(Ingredients!$AN$6:$AN$105,MATCH(C399,Ingredients!$B$6:$B$105,0))),0))</f>
        <v/>
      </c>
      <c r="V399">
        <f>IF(OR(B399="",C399=""),0,IFERROR(N(INDEX(Ingredients!$AO$6:$AO$105,MATCH(C399,Ingredients!$B$6:$B$105,0))),0))</f>
        <v/>
      </c>
      <c r="W399">
        <f>IF(OR(B399="",C399=""),0,IFERROR(N(INDEX(Ingredients!$AP$6:$AP$105,MATCH(C399,Ingredients!$B$6:$B$105,0))),0))</f>
        <v/>
      </c>
      <c r="X399">
        <f>IF(OR(B399="",C399=""),0,IFERROR(N(INDEX(Ingredients!$AQ$6:$AQ$105,MATCH(C399,Ingredients!$B$6:$B$105,0))),0))</f>
        <v/>
      </c>
    </row>
    <row r="400">
      <c r="A400" s="1" t="n"/>
      <c r="B400" s="21" t="n"/>
      <c r="C400" s="39" t="n"/>
      <c r="D400" s="40" t="n"/>
      <c r="E400" s="12">
        <f>IF(C400="","",IF(ISNA(MATCH(C400,Ingredients!$B$6:$B$105,0)),"Not on Ingredients",IFERROR(IF(INDEX(Ingredients!$C$6:$C$105,MATCH(C400,Ingredients!$B$6:$B$105,0))="","",INDEX(Ingredients!$C$6:$C$105,MATCH(C400,Ingredients!$B$6:$B$105,0))),"")))</f>
        <v/>
      </c>
      <c r="F400" s="26">
        <f>IF(OR(B400="",C400=""),"",N(D400)*IFERROR(N(INDEX(Ingredients!$H$6:$H$105,MATCH(C400,Ingredients!$B$6:$B$105,0))),0))</f>
        <v/>
      </c>
      <c r="G400" s="1">
        <f>IF(OR(B400="",C400=""),0,IFERROR(N(INDEX(Products!$D$6:$D$45,MATCH(B400,Products!$B$6:$B$45,0))),0))</f>
        <v/>
      </c>
      <c r="H400">
        <f>IF(N(G400)=0,0,N(D400)*SUMIFS(Batches!$D$6:$D$505,Batches!$C$6:$C$505,B400)/G400)</f>
        <v/>
      </c>
      <c r="I400">
        <f>IF(OR(B400="",C400=""),"",IF(B400&lt;&gt;Label!$H$3,"",IF(IFERROR(N(INDEX(Ingredients!$AS$6:$AS$105,MATCH(C400,Ingredients!$B$6:$B$105,0))),0)=1,"",ROUND(N(D400)*1000,0)*100000+100000-ROW())))</f>
        <v/>
      </c>
      <c r="J400">
        <f>IF(OR(B400="",C400=""),0,IFERROR(N(INDEX(Ingredients!$AC$6:$AC$105,MATCH(C400,Ingredients!$B$6:$B$105,0))),0))</f>
        <v/>
      </c>
      <c r="K400">
        <f>IF(OR(B400="",C400=""),0,IFERROR(N(INDEX(Ingredients!$AD$6:$AD$105,MATCH(C400,Ingredients!$B$6:$B$105,0))),0))</f>
        <v/>
      </c>
      <c r="L400">
        <f>IF(OR(B400="",C400=""),0,IFERROR(N(INDEX(Ingredients!$AE$6:$AE$105,MATCH(C400,Ingredients!$B$6:$B$105,0))),0))</f>
        <v/>
      </c>
      <c r="M400">
        <f>IF(OR(B400="",C400=""),0,IFERROR(N(INDEX(Ingredients!$AF$6:$AF$105,MATCH(C400,Ingredients!$B$6:$B$105,0))),0))</f>
        <v/>
      </c>
      <c r="N400">
        <f>IF(OR(B400="",C400=""),0,IFERROR(N(INDEX(Ingredients!$AG$6:$AG$105,MATCH(C400,Ingredients!$B$6:$B$105,0))),0))</f>
        <v/>
      </c>
      <c r="O400">
        <f>IF(OR(B400="",C400=""),0,IFERROR(N(INDEX(Ingredients!$AH$6:$AH$105,MATCH(C400,Ingredients!$B$6:$B$105,0))),0))</f>
        <v/>
      </c>
      <c r="P400">
        <f>IF(OR(B400="",C400=""),0,IFERROR(N(INDEX(Ingredients!$AI$6:$AI$105,MATCH(C400,Ingredients!$B$6:$B$105,0))),0))</f>
        <v/>
      </c>
      <c r="Q400">
        <f>IF(OR(B400="",C400=""),0,IFERROR(N(INDEX(Ingredients!$AJ$6:$AJ$105,MATCH(C400,Ingredients!$B$6:$B$105,0))),0))</f>
        <v/>
      </c>
      <c r="R400">
        <f>IF(OR(B400="",C400=""),0,IFERROR(N(INDEX(Ingredients!$AK$6:$AK$105,MATCH(C400,Ingredients!$B$6:$B$105,0))),0))</f>
        <v/>
      </c>
      <c r="S400">
        <f>IF(OR(B400="",C400=""),0,IFERROR(N(INDEX(Ingredients!$AL$6:$AL$105,MATCH(C400,Ingredients!$B$6:$B$105,0))),0))</f>
        <v/>
      </c>
      <c r="T400">
        <f>IF(OR(B400="",C400=""),0,IFERROR(N(INDEX(Ingredients!$AM$6:$AM$105,MATCH(C400,Ingredients!$B$6:$B$105,0))),0))</f>
        <v/>
      </c>
      <c r="U400">
        <f>IF(OR(B400="",C400=""),0,IFERROR(N(INDEX(Ingredients!$AN$6:$AN$105,MATCH(C400,Ingredients!$B$6:$B$105,0))),0))</f>
        <v/>
      </c>
      <c r="V400">
        <f>IF(OR(B400="",C400=""),0,IFERROR(N(INDEX(Ingredients!$AO$6:$AO$105,MATCH(C400,Ingredients!$B$6:$B$105,0))),0))</f>
        <v/>
      </c>
      <c r="W400">
        <f>IF(OR(B400="",C400=""),0,IFERROR(N(INDEX(Ingredients!$AP$6:$AP$105,MATCH(C400,Ingredients!$B$6:$B$105,0))),0))</f>
        <v/>
      </c>
      <c r="X400">
        <f>IF(OR(B400="",C400=""),0,IFERROR(N(INDEX(Ingredients!$AQ$6:$AQ$105,MATCH(C400,Ingredients!$B$6:$B$105,0))),0))</f>
        <v/>
      </c>
    </row>
    <row r="401">
      <c r="A401" s="1" t="n"/>
      <c r="B401" s="21" t="n"/>
      <c r="C401" s="39" t="n"/>
      <c r="D401" s="40" t="n"/>
      <c r="E401" s="12">
        <f>IF(C401="","",IF(ISNA(MATCH(C401,Ingredients!$B$6:$B$105,0)),"Not on Ingredients",IFERROR(IF(INDEX(Ingredients!$C$6:$C$105,MATCH(C401,Ingredients!$B$6:$B$105,0))="","",INDEX(Ingredients!$C$6:$C$105,MATCH(C401,Ingredients!$B$6:$B$105,0))),"")))</f>
        <v/>
      </c>
      <c r="F401" s="26">
        <f>IF(OR(B401="",C401=""),"",N(D401)*IFERROR(N(INDEX(Ingredients!$H$6:$H$105,MATCH(C401,Ingredients!$B$6:$B$105,0))),0))</f>
        <v/>
      </c>
      <c r="G401" s="1">
        <f>IF(OR(B401="",C401=""),0,IFERROR(N(INDEX(Products!$D$6:$D$45,MATCH(B401,Products!$B$6:$B$45,0))),0))</f>
        <v/>
      </c>
      <c r="H401">
        <f>IF(N(G401)=0,0,N(D401)*SUMIFS(Batches!$D$6:$D$505,Batches!$C$6:$C$505,B401)/G401)</f>
        <v/>
      </c>
      <c r="I401">
        <f>IF(OR(B401="",C401=""),"",IF(B401&lt;&gt;Label!$H$3,"",IF(IFERROR(N(INDEX(Ingredients!$AS$6:$AS$105,MATCH(C401,Ingredients!$B$6:$B$105,0))),0)=1,"",ROUND(N(D401)*1000,0)*100000+100000-ROW())))</f>
        <v/>
      </c>
      <c r="J401">
        <f>IF(OR(B401="",C401=""),0,IFERROR(N(INDEX(Ingredients!$AC$6:$AC$105,MATCH(C401,Ingredients!$B$6:$B$105,0))),0))</f>
        <v/>
      </c>
      <c r="K401">
        <f>IF(OR(B401="",C401=""),0,IFERROR(N(INDEX(Ingredients!$AD$6:$AD$105,MATCH(C401,Ingredients!$B$6:$B$105,0))),0))</f>
        <v/>
      </c>
      <c r="L401">
        <f>IF(OR(B401="",C401=""),0,IFERROR(N(INDEX(Ingredients!$AE$6:$AE$105,MATCH(C401,Ingredients!$B$6:$B$105,0))),0))</f>
        <v/>
      </c>
      <c r="M401">
        <f>IF(OR(B401="",C401=""),0,IFERROR(N(INDEX(Ingredients!$AF$6:$AF$105,MATCH(C401,Ingredients!$B$6:$B$105,0))),0))</f>
        <v/>
      </c>
      <c r="N401">
        <f>IF(OR(B401="",C401=""),0,IFERROR(N(INDEX(Ingredients!$AG$6:$AG$105,MATCH(C401,Ingredients!$B$6:$B$105,0))),0))</f>
        <v/>
      </c>
      <c r="O401">
        <f>IF(OR(B401="",C401=""),0,IFERROR(N(INDEX(Ingredients!$AH$6:$AH$105,MATCH(C401,Ingredients!$B$6:$B$105,0))),0))</f>
        <v/>
      </c>
      <c r="P401">
        <f>IF(OR(B401="",C401=""),0,IFERROR(N(INDEX(Ingredients!$AI$6:$AI$105,MATCH(C401,Ingredients!$B$6:$B$105,0))),0))</f>
        <v/>
      </c>
      <c r="Q401">
        <f>IF(OR(B401="",C401=""),0,IFERROR(N(INDEX(Ingredients!$AJ$6:$AJ$105,MATCH(C401,Ingredients!$B$6:$B$105,0))),0))</f>
        <v/>
      </c>
      <c r="R401">
        <f>IF(OR(B401="",C401=""),0,IFERROR(N(INDEX(Ingredients!$AK$6:$AK$105,MATCH(C401,Ingredients!$B$6:$B$105,0))),0))</f>
        <v/>
      </c>
      <c r="S401">
        <f>IF(OR(B401="",C401=""),0,IFERROR(N(INDEX(Ingredients!$AL$6:$AL$105,MATCH(C401,Ingredients!$B$6:$B$105,0))),0))</f>
        <v/>
      </c>
      <c r="T401">
        <f>IF(OR(B401="",C401=""),0,IFERROR(N(INDEX(Ingredients!$AM$6:$AM$105,MATCH(C401,Ingredients!$B$6:$B$105,0))),0))</f>
        <v/>
      </c>
      <c r="U401">
        <f>IF(OR(B401="",C401=""),0,IFERROR(N(INDEX(Ingredients!$AN$6:$AN$105,MATCH(C401,Ingredients!$B$6:$B$105,0))),0))</f>
        <v/>
      </c>
      <c r="V401">
        <f>IF(OR(B401="",C401=""),0,IFERROR(N(INDEX(Ingredients!$AO$6:$AO$105,MATCH(C401,Ingredients!$B$6:$B$105,0))),0))</f>
        <v/>
      </c>
      <c r="W401">
        <f>IF(OR(B401="",C401=""),0,IFERROR(N(INDEX(Ingredients!$AP$6:$AP$105,MATCH(C401,Ingredients!$B$6:$B$105,0))),0))</f>
        <v/>
      </c>
      <c r="X401">
        <f>IF(OR(B401="",C401=""),0,IFERROR(N(INDEX(Ingredients!$AQ$6:$AQ$105,MATCH(C401,Ingredients!$B$6:$B$105,0))),0))</f>
        <v/>
      </c>
    </row>
    <row r="402">
      <c r="A402" s="1" t="n"/>
      <c r="B402" s="21" t="n"/>
      <c r="C402" s="39" t="n"/>
      <c r="D402" s="40" t="n"/>
      <c r="E402" s="12">
        <f>IF(C402="","",IF(ISNA(MATCH(C402,Ingredients!$B$6:$B$105,0)),"Not on Ingredients",IFERROR(IF(INDEX(Ingredients!$C$6:$C$105,MATCH(C402,Ingredients!$B$6:$B$105,0))="","",INDEX(Ingredients!$C$6:$C$105,MATCH(C402,Ingredients!$B$6:$B$105,0))),"")))</f>
        <v/>
      </c>
      <c r="F402" s="26">
        <f>IF(OR(B402="",C402=""),"",N(D402)*IFERROR(N(INDEX(Ingredients!$H$6:$H$105,MATCH(C402,Ingredients!$B$6:$B$105,0))),0))</f>
        <v/>
      </c>
      <c r="G402" s="1">
        <f>IF(OR(B402="",C402=""),0,IFERROR(N(INDEX(Products!$D$6:$D$45,MATCH(B402,Products!$B$6:$B$45,0))),0))</f>
        <v/>
      </c>
      <c r="H402">
        <f>IF(N(G402)=0,0,N(D402)*SUMIFS(Batches!$D$6:$D$505,Batches!$C$6:$C$505,B402)/G402)</f>
        <v/>
      </c>
      <c r="I402">
        <f>IF(OR(B402="",C402=""),"",IF(B402&lt;&gt;Label!$H$3,"",IF(IFERROR(N(INDEX(Ingredients!$AS$6:$AS$105,MATCH(C402,Ingredients!$B$6:$B$105,0))),0)=1,"",ROUND(N(D402)*1000,0)*100000+100000-ROW())))</f>
        <v/>
      </c>
      <c r="J402">
        <f>IF(OR(B402="",C402=""),0,IFERROR(N(INDEX(Ingredients!$AC$6:$AC$105,MATCH(C402,Ingredients!$B$6:$B$105,0))),0))</f>
        <v/>
      </c>
      <c r="K402">
        <f>IF(OR(B402="",C402=""),0,IFERROR(N(INDEX(Ingredients!$AD$6:$AD$105,MATCH(C402,Ingredients!$B$6:$B$105,0))),0))</f>
        <v/>
      </c>
      <c r="L402">
        <f>IF(OR(B402="",C402=""),0,IFERROR(N(INDEX(Ingredients!$AE$6:$AE$105,MATCH(C402,Ingredients!$B$6:$B$105,0))),0))</f>
        <v/>
      </c>
      <c r="M402">
        <f>IF(OR(B402="",C402=""),0,IFERROR(N(INDEX(Ingredients!$AF$6:$AF$105,MATCH(C402,Ingredients!$B$6:$B$105,0))),0))</f>
        <v/>
      </c>
      <c r="N402">
        <f>IF(OR(B402="",C402=""),0,IFERROR(N(INDEX(Ingredients!$AG$6:$AG$105,MATCH(C402,Ingredients!$B$6:$B$105,0))),0))</f>
        <v/>
      </c>
      <c r="O402">
        <f>IF(OR(B402="",C402=""),0,IFERROR(N(INDEX(Ingredients!$AH$6:$AH$105,MATCH(C402,Ingredients!$B$6:$B$105,0))),0))</f>
        <v/>
      </c>
      <c r="P402">
        <f>IF(OR(B402="",C402=""),0,IFERROR(N(INDEX(Ingredients!$AI$6:$AI$105,MATCH(C402,Ingredients!$B$6:$B$105,0))),0))</f>
        <v/>
      </c>
      <c r="Q402">
        <f>IF(OR(B402="",C402=""),0,IFERROR(N(INDEX(Ingredients!$AJ$6:$AJ$105,MATCH(C402,Ingredients!$B$6:$B$105,0))),0))</f>
        <v/>
      </c>
      <c r="R402">
        <f>IF(OR(B402="",C402=""),0,IFERROR(N(INDEX(Ingredients!$AK$6:$AK$105,MATCH(C402,Ingredients!$B$6:$B$105,0))),0))</f>
        <v/>
      </c>
      <c r="S402">
        <f>IF(OR(B402="",C402=""),0,IFERROR(N(INDEX(Ingredients!$AL$6:$AL$105,MATCH(C402,Ingredients!$B$6:$B$105,0))),0))</f>
        <v/>
      </c>
      <c r="T402">
        <f>IF(OR(B402="",C402=""),0,IFERROR(N(INDEX(Ingredients!$AM$6:$AM$105,MATCH(C402,Ingredients!$B$6:$B$105,0))),0))</f>
        <v/>
      </c>
      <c r="U402">
        <f>IF(OR(B402="",C402=""),0,IFERROR(N(INDEX(Ingredients!$AN$6:$AN$105,MATCH(C402,Ingredients!$B$6:$B$105,0))),0))</f>
        <v/>
      </c>
      <c r="V402">
        <f>IF(OR(B402="",C402=""),0,IFERROR(N(INDEX(Ingredients!$AO$6:$AO$105,MATCH(C402,Ingredients!$B$6:$B$105,0))),0))</f>
        <v/>
      </c>
      <c r="W402">
        <f>IF(OR(B402="",C402=""),0,IFERROR(N(INDEX(Ingredients!$AP$6:$AP$105,MATCH(C402,Ingredients!$B$6:$B$105,0))),0))</f>
        <v/>
      </c>
      <c r="X402">
        <f>IF(OR(B402="",C402=""),0,IFERROR(N(INDEX(Ingredients!$AQ$6:$AQ$105,MATCH(C402,Ingredients!$B$6:$B$105,0))),0))</f>
        <v/>
      </c>
    </row>
    <row r="403">
      <c r="A403" s="1" t="n"/>
      <c r="B403" s="21" t="n"/>
      <c r="C403" s="39" t="n"/>
      <c r="D403" s="40" t="n"/>
      <c r="E403" s="12">
        <f>IF(C403="","",IF(ISNA(MATCH(C403,Ingredients!$B$6:$B$105,0)),"Not on Ingredients",IFERROR(IF(INDEX(Ingredients!$C$6:$C$105,MATCH(C403,Ingredients!$B$6:$B$105,0))="","",INDEX(Ingredients!$C$6:$C$105,MATCH(C403,Ingredients!$B$6:$B$105,0))),"")))</f>
        <v/>
      </c>
      <c r="F403" s="26">
        <f>IF(OR(B403="",C403=""),"",N(D403)*IFERROR(N(INDEX(Ingredients!$H$6:$H$105,MATCH(C403,Ingredients!$B$6:$B$105,0))),0))</f>
        <v/>
      </c>
      <c r="G403" s="1">
        <f>IF(OR(B403="",C403=""),0,IFERROR(N(INDEX(Products!$D$6:$D$45,MATCH(B403,Products!$B$6:$B$45,0))),0))</f>
        <v/>
      </c>
      <c r="H403">
        <f>IF(N(G403)=0,0,N(D403)*SUMIFS(Batches!$D$6:$D$505,Batches!$C$6:$C$505,B403)/G403)</f>
        <v/>
      </c>
      <c r="I403">
        <f>IF(OR(B403="",C403=""),"",IF(B403&lt;&gt;Label!$H$3,"",IF(IFERROR(N(INDEX(Ingredients!$AS$6:$AS$105,MATCH(C403,Ingredients!$B$6:$B$105,0))),0)=1,"",ROUND(N(D403)*1000,0)*100000+100000-ROW())))</f>
        <v/>
      </c>
      <c r="J403">
        <f>IF(OR(B403="",C403=""),0,IFERROR(N(INDEX(Ingredients!$AC$6:$AC$105,MATCH(C403,Ingredients!$B$6:$B$105,0))),0))</f>
        <v/>
      </c>
      <c r="K403">
        <f>IF(OR(B403="",C403=""),0,IFERROR(N(INDEX(Ingredients!$AD$6:$AD$105,MATCH(C403,Ingredients!$B$6:$B$105,0))),0))</f>
        <v/>
      </c>
      <c r="L403">
        <f>IF(OR(B403="",C403=""),0,IFERROR(N(INDEX(Ingredients!$AE$6:$AE$105,MATCH(C403,Ingredients!$B$6:$B$105,0))),0))</f>
        <v/>
      </c>
      <c r="M403">
        <f>IF(OR(B403="",C403=""),0,IFERROR(N(INDEX(Ingredients!$AF$6:$AF$105,MATCH(C403,Ingredients!$B$6:$B$105,0))),0))</f>
        <v/>
      </c>
      <c r="N403">
        <f>IF(OR(B403="",C403=""),0,IFERROR(N(INDEX(Ingredients!$AG$6:$AG$105,MATCH(C403,Ingredients!$B$6:$B$105,0))),0))</f>
        <v/>
      </c>
      <c r="O403">
        <f>IF(OR(B403="",C403=""),0,IFERROR(N(INDEX(Ingredients!$AH$6:$AH$105,MATCH(C403,Ingredients!$B$6:$B$105,0))),0))</f>
        <v/>
      </c>
      <c r="P403">
        <f>IF(OR(B403="",C403=""),0,IFERROR(N(INDEX(Ingredients!$AI$6:$AI$105,MATCH(C403,Ingredients!$B$6:$B$105,0))),0))</f>
        <v/>
      </c>
      <c r="Q403">
        <f>IF(OR(B403="",C403=""),0,IFERROR(N(INDEX(Ingredients!$AJ$6:$AJ$105,MATCH(C403,Ingredients!$B$6:$B$105,0))),0))</f>
        <v/>
      </c>
      <c r="R403">
        <f>IF(OR(B403="",C403=""),0,IFERROR(N(INDEX(Ingredients!$AK$6:$AK$105,MATCH(C403,Ingredients!$B$6:$B$105,0))),0))</f>
        <v/>
      </c>
      <c r="S403">
        <f>IF(OR(B403="",C403=""),0,IFERROR(N(INDEX(Ingredients!$AL$6:$AL$105,MATCH(C403,Ingredients!$B$6:$B$105,0))),0))</f>
        <v/>
      </c>
      <c r="T403">
        <f>IF(OR(B403="",C403=""),0,IFERROR(N(INDEX(Ingredients!$AM$6:$AM$105,MATCH(C403,Ingredients!$B$6:$B$105,0))),0))</f>
        <v/>
      </c>
      <c r="U403">
        <f>IF(OR(B403="",C403=""),0,IFERROR(N(INDEX(Ingredients!$AN$6:$AN$105,MATCH(C403,Ingredients!$B$6:$B$105,0))),0))</f>
        <v/>
      </c>
      <c r="V403">
        <f>IF(OR(B403="",C403=""),0,IFERROR(N(INDEX(Ingredients!$AO$6:$AO$105,MATCH(C403,Ingredients!$B$6:$B$105,0))),0))</f>
        <v/>
      </c>
      <c r="W403">
        <f>IF(OR(B403="",C403=""),0,IFERROR(N(INDEX(Ingredients!$AP$6:$AP$105,MATCH(C403,Ingredients!$B$6:$B$105,0))),0))</f>
        <v/>
      </c>
      <c r="X403">
        <f>IF(OR(B403="",C403=""),0,IFERROR(N(INDEX(Ingredients!$AQ$6:$AQ$105,MATCH(C403,Ingredients!$B$6:$B$105,0))),0))</f>
        <v/>
      </c>
    </row>
    <row r="404">
      <c r="A404" s="1" t="n"/>
      <c r="B404" s="21" t="n"/>
      <c r="C404" s="39" t="n"/>
      <c r="D404" s="40" t="n"/>
      <c r="E404" s="12">
        <f>IF(C404="","",IF(ISNA(MATCH(C404,Ingredients!$B$6:$B$105,0)),"Not on Ingredients",IFERROR(IF(INDEX(Ingredients!$C$6:$C$105,MATCH(C404,Ingredients!$B$6:$B$105,0))="","",INDEX(Ingredients!$C$6:$C$105,MATCH(C404,Ingredients!$B$6:$B$105,0))),"")))</f>
        <v/>
      </c>
      <c r="F404" s="26">
        <f>IF(OR(B404="",C404=""),"",N(D404)*IFERROR(N(INDEX(Ingredients!$H$6:$H$105,MATCH(C404,Ingredients!$B$6:$B$105,0))),0))</f>
        <v/>
      </c>
      <c r="G404" s="1">
        <f>IF(OR(B404="",C404=""),0,IFERROR(N(INDEX(Products!$D$6:$D$45,MATCH(B404,Products!$B$6:$B$45,0))),0))</f>
        <v/>
      </c>
      <c r="H404">
        <f>IF(N(G404)=0,0,N(D404)*SUMIFS(Batches!$D$6:$D$505,Batches!$C$6:$C$505,B404)/G404)</f>
        <v/>
      </c>
      <c r="I404">
        <f>IF(OR(B404="",C404=""),"",IF(B404&lt;&gt;Label!$H$3,"",IF(IFERROR(N(INDEX(Ingredients!$AS$6:$AS$105,MATCH(C404,Ingredients!$B$6:$B$105,0))),0)=1,"",ROUND(N(D404)*1000,0)*100000+100000-ROW())))</f>
        <v/>
      </c>
      <c r="J404">
        <f>IF(OR(B404="",C404=""),0,IFERROR(N(INDEX(Ingredients!$AC$6:$AC$105,MATCH(C404,Ingredients!$B$6:$B$105,0))),0))</f>
        <v/>
      </c>
      <c r="K404">
        <f>IF(OR(B404="",C404=""),0,IFERROR(N(INDEX(Ingredients!$AD$6:$AD$105,MATCH(C404,Ingredients!$B$6:$B$105,0))),0))</f>
        <v/>
      </c>
      <c r="L404">
        <f>IF(OR(B404="",C404=""),0,IFERROR(N(INDEX(Ingredients!$AE$6:$AE$105,MATCH(C404,Ingredients!$B$6:$B$105,0))),0))</f>
        <v/>
      </c>
      <c r="M404">
        <f>IF(OR(B404="",C404=""),0,IFERROR(N(INDEX(Ingredients!$AF$6:$AF$105,MATCH(C404,Ingredients!$B$6:$B$105,0))),0))</f>
        <v/>
      </c>
      <c r="N404">
        <f>IF(OR(B404="",C404=""),0,IFERROR(N(INDEX(Ingredients!$AG$6:$AG$105,MATCH(C404,Ingredients!$B$6:$B$105,0))),0))</f>
        <v/>
      </c>
      <c r="O404">
        <f>IF(OR(B404="",C404=""),0,IFERROR(N(INDEX(Ingredients!$AH$6:$AH$105,MATCH(C404,Ingredients!$B$6:$B$105,0))),0))</f>
        <v/>
      </c>
      <c r="P404">
        <f>IF(OR(B404="",C404=""),0,IFERROR(N(INDEX(Ingredients!$AI$6:$AI$105,MATCH(C404,Ingredients!$B$6:$B$105,0))),0))</f>
        <v/>
      </c>
      <c r="Q404">
        <f>IF(OR(B404="",C404=""),0,IFERROR(N(INDEX(Ingredients!$AJ$6:$AJ$105,MATCH(C404,Ingredients!$B$6:$B$105,0))),0))</f>
        <v/>
      </c>
      <c r="R404">
        <f>IF(OR(B404="",C404=""),0,IFERROR(N(INDEX(Ingredients!$AK$6:$AK$105,MATCH(C404,Ingredients!$B$6:$B$105,0))),0))</f>
        <v/>
      </c>
      <c r="S404">
        <f>IF(OR(B404="",C404=""),0,IFERROR(N(INDEX(Ingredients!$AL$6:$AL$105,MATCH(C404,Ingredients!$B$6:$B$105,0))),0))</f>
        <v/>
      </c>
      <c r="T404">
        <f>IF(OR(B404="",C404=""),0,IFERROR(N(INDEX(Ingredients!$AM$6:$AM$105,MATCH(C404,Ingredients!$B$6:$B$105,0))),0))</f>
        <v/>
      </c>
      <c r="U404">
        <f>IF(OR(B404="",C404=""),0,IFERROR(N(INDEX(Ingredients!$AN$6:$AN$105,MATCH(C404,Ingredients!$B$6:$B$105,0))),0))</f>
        <v/>
      </c>
      <c r="V404">
        <f>IF(OR(B404="",C404=""),0,IFERROR(N(INDEX(Ingredients!$AO$6:$AO$105,MATCH(C404,Ingredients!$B$6:$B$105,0))),0))</f>
        <v/>
      </c>
      <c r="W404">
        <f>IF(OR(B404="",C404=""),0,IFERROR(N(INDEX(Ingredients!$AP$6:$AP$105,MATCH(C404,Ingredients!$B$6:$B$105,0))),0))</f>
        <v/>
      </c>
      <c r="X404">
        <f>IF(OR(B404="",C404=""),0,IFERROR(N(INDEX(Ingredients!$AQ$6:$AQ$105,MATCH(C404,Ingredients!$B$6:$B$105,0))),0))</f>
        <v/>
      </c>
    </row>
    <row r="405">
      <c r="A405" s="1" t="n"/>
      <c r="B405" s="21" t="n"/>
      <c r="C405" s="39" t="n"/>
      <c r="D405" s="40" t="n"/>
      <c r="E405" s="12">
        <f>IF(C405="","",IF(ISNA(MATCH(C405,Ingredients!$B$6:$B$105,0)),"Not on Ingredients",IFERROR(IF(INDEX(Ingredients!$C$6:$C$105,MATCH(C405,Ingredients!$B$6:$B$105,0))="","",INDEX(Ingredients!$C$6:$C$105,MATCH(C405,Ingredients!$B$6:$B$105,0))),"")))</f>
        <v/>
      </c>
      <c r="F405" s="26">
        <f>IF(OR(B405="",C405=""),"",N(D405)*IFERROR(N(INDEX(Ingredients!$H$6:$H$105,MATCH(C405,Ingredients!$B$6:$B$105,0))),0))</f>
        <v/>
      </c>
      <c r="G405" s="1">
        <f>IF(OR(B405="",C405=""),0,IFERROR(N(INDEX(Products!$D$6:$D$45,MATCH(B405,Products!$B$6:$B$45,0))),0))</f>
        <v/>
      </c>
      <c r="H405">
        <f>IF(N(G405)=0,0,N(D405)*SUMIFS(Batches!$D$6:$D$505,Batches!$C$6:$C$505,B405)/G405)</f>
        <v/>
      </c>
      <c r="I405">
        <f>IF(OR(B405="",C405=""),"",IF(B405&lt;&gt;Label!$H$3,"",IF(IFERROR(N(INDEX(Ingredients!$AS$6:$AS$105,MATCH(C405,Ingredients!$B$6:$B$105,0))),0)=1,"",ROUND(N(D405)*1000,0)*100000+100000-ROW())))</f>
        <v/>
      </c>
      <c r="J405">
        <f>IF(OR(B405="",C405=""),0,IFERROR(N(INDEX(Ingredients!$AC$6:$AC$105,MATCH(C405,Ingredients!$B$6:$B$105,0))),0))</f>
        <v/>
      </c>
      <c r="K405">
        <f>IF(OR(B405="",C405=""),0,IFERROR(N(INDEX(Ingredients!$AD$6:$AD$105,MATCH(C405,Ingredients!$B$6:$B$105,0))),0))</f>
        <v/>
      </c>
      <c r="L405">
        <f>IF(OR(B405="",C405=""),0,IFERROR(N(INDEX(Ingredients!$AE$6:$AE$105,MATCH(C405,Ingredients!$B$6:$B$105,0))),0))</f>
        <v/>
      </c>
      <c r="M405">
        <f>IF(OR(B405="",C405=""),0,IFERROR(N(INDEX(Ingredients!$AF$6:$AF$105,MATCH(C405,Ingredients!$B$6:$B$105,0))),0))</f>
        <v/>
      </c>
      <c r="N405">
        <f>IF(OR(B405="",C405=""),0,IFERROR(N(INDEX(Ingredients!$AG$6:$AG$105,MATCH(C405,Ingredients!$B$6:$B$105,0))),0))</f>
        <v/>
      </c>
      <c r="O405">
        <f>IF(OR(B405="",C405=""),0,IFERROR(N(INDEX(Ingredients!$AH$6:$AH$105,MATCH(C405,Ingredients!$B$6:$B$105,0))),0))</f>
        <v/>
      </c>
      <c r="P405">
        <f>IF(OR(B405="",C405=""),0,IFERROR(N(INDEX(Ingredients!$AI$6:$AI$105,MATCH(C405,Ingredients!$B$6:$B$105,0))),0))</f>
        <v/>
      </c>
      <c r="Q405">
        <f>IF(OR(B405="",C405=""),0,IFERROR(N(INDEX(Ingredients!$AJ$6:$AJ$105,MATCH(C405,Ingredients!$B$6:$B$105,0))),0))</f>
        <v/>
      </c>
      <c r="R405">
        <f>IF(OR(B405="",C405=""),0,IFERROR(N(INDEX(Ingredients!$AK$6:$AK$105,MATCH(C405,Ingredients!$B$6:$B$105,0))),0))</f>
        <v/>
      </c>
      <c r="S405">
        <f>IF(OR(B405="",C405=""),0,IFERROR(N(INDEX(Ingredients!$AL$6:$AL$105,MATCH(C405,Ingredients!$B$6:$B$105,0))),0))</f>
        <v/>
      </c>
      <c r="T405">
        <f>IF(OR(B405="",C405=""),0,IFERROR(N(INDEX(Ingredients!$AM$6:$AM$105,MATCH(C405,Ingredients!$B$6:$B$105,0))),0))</f>
        <v/>
      </c>
      <c r="U405">
        <f>IF(OR(B405="",C405=""),0,IFERROR(N(INDEX(Ingredients!$AN$6:$AN$105,MATCH(C405,Ingredients!$B$6:$B$105,0))),0))</f>
        <v/>
      </c>
      <c r="V405">
        <f>IF(OR(B405="",C405=""),0,IFERROR(N(INDEX(Ingredients!$AO$6:$AO$105,MATCH(C405,Ingredients!$B$6:$B$105,0))),0))</f>
        <v/>
      </c>
      <c r="W405">
        <f>IF(OR(B405="",C405=""),0,IFERROR(N(INDEX(Ingredients!$AP$6:$AP$105,MATCH(C405,Ingredients!$B$6:$B$105,0))),0))</f>
        <v/>
      </c>
      <c r="X405">
        <f>IF(OR(B405="",C405=""),0,IFERROR(N(INDEX(Ingredients!$AQ$6:$AQ$105,MATCH(C405,Ingredients!$B$6:$B$105,0))),0))</f>
        <v/>
      </c>
    </row>
    <row r="406">
      <c r="A406" s="1" t="n"/>
      <c r="B406" s="1" t="n"/>
      <c r="C406" s="1" t="n"/>
      <c r="D406" s="1" t="n"/>
      <c r="E406" s="1" t="n"/>
      <c r="F406" s="1" t="n"/>
      <c r="G406" s="1" t="n"/>
    </row>
  </sheetData>
  <conditionalFormatting sqref="E6:E405">
    <cfRule type="expression" priority="1" dxfId="0">
      <formula>E6="Not on Ingredients"</formula>
    </cfRule>
  </conditionalFormatting>
  <dataValidations count="2">
    <dataValidation sqref="B6:B405" showDropDown="0" showInputMessage="0" showErrorMessage="1" allowBlank="1" type="list">
      <formula1>=Products!$B$6:$B$45</formula1>
    </dataValidation>
    <dataValidation sqref="C6:C405" showDropDown="0" showInputMessage="0" showErrorMessage="1" allowBlank="1" type="list">
      <formula1>=Ingredients!$B$6:$B$105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S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7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 t="inlineStr">
        <is>
          <t>Ingredients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n"/>
      <c r="B3" s="3" t="inlineStr">
        <is>
          <t>Each ingredient and packaging item once, with its pack price. An x under each allergen it contains.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66" customHeight="1">
      <c r="A5" s="1" t="n"/>
      <c r="B5" s="10" t="inlineStr">
        <is>
          <t>Ingredient</t>
        </is>
      </c>
      <c r="C5" s="10" t="inlineStr">
        <is>
          <t>Unit</t>
        </is>
      </c>
      <c r="D5" s="10" t="inlineStr">
        <is>
          <t>Pack size</t>
        </is>
      </c>
      <c r="E5" s="10" t="inlineStr">
        <is>
          <t>Pack price</t>
        </is>
      </c>
      <c r="F5" s="10" t="inlineStr">
        <is>
          <t>Buy more at</t>
        </is>
      </c>
      <c r="G5" s="10" t="inlineStr">
        <is>
          <t>Not on label</t>
        </is>
      </c>
      <c r="H5" s="10" t="inlineStr">
        <is>
          <t>Cost per unit</t>
        </is>
      </c>
      <c r="I5" s="10" t="inlineStr">
        <is>
          <t>Bought</t>
        </is>
      </c>
      <c r="J5" s="10" t="inlineStr">
        <is>
          <t>Used</t>
        </is>
      </c>
      <c r="K5" s="10" t="inlineStr">
        <is>
          <t>Left</t>
        </is>
      </c>
      <c r="L5" s="10" t="inlineStr">
        <is>
          <t>Status</t>
        </is>
      </c>
      <c r="M5" s="41">
        <f>Settings!$C$13</f>
        <v/>
      </c>
      <c r="N5" s="41">
        <f>Settings!$C$14</f>
        <v/>
      </c>
      <c r="O5" s="41">
        <f>Settings!$C$15</f>
        <v/>
      </c>
      <c r="P5" s="41">
        <f>Settings!$C$16</f>
        <v/>
      </c>
      <c r="Q5" s="41">
        <f>Settings!$C$17</f>
        <v/>
      </c>
      <c r="R5" s="41">
        <f>Settings!$C$18</f>
        <v/>
      </c>
      <c r="S5" s="41">
        <f>Settings!$C$19</f>
        <v/>
      </c>
      <c r="T5" s="41">
        <f>Settings!$C$20</f>
        <v/>
      </c>
      <c r="U5" s="41">
        <f>Settings!$C$21</f>
        <v/>
      </c>
      <c r="V5" s="41">
        <f>Settings!$C$22</f>
        <v/>
      </c>
      <c r="W5" s="41">
        <f>Settings!$C$23</f>
        <v/>
      </c>
      <c r="X5" s="41">
        <f>Settings!$C$24</f>
        <v/>
      </c>
      <c r="Y5" s="41">
        <f>Settings!$C$25</f>
        <v/>
      </c>
      <c r="Z5" s="41">
        <f>Settings!$C$26</f>
        <v/>
      </c>
      <c r="AA5" s="41">
        <f>Settings!$C$27</f>
        <v/>
      </c>
      <c r="AB5" s="1" t="n"/>
    </row>
    <row r="6">
      <c r="A6" s="1" t="n"/>
      <c r="B6" s="21" t="inlineStr">
        <is>
          <t>Plain flour</t>
        </is>
      </c>
      <c r="C6" s="36" t="inlineStr">
        <is>
          <t>g</t>
        </is>
      </c>
      <c r="D6" s="40" t="n">
        <v>2000</v>
      </c>
      <c r="E6" s="37" t="n">
        <v>2.4</v>
      </c>
      <c r="F6" s="40" t="n">
        <v>1500</v>
      </c>
      <c r="G6" s="36" t="n"/>
      <c r="H6" s="42">
        <f>IF(OR(B6="",N(D6)=0),"",N(E6)/D6)</f>
        <v/>
      </c>
      <c r="I6" s="43">
        <f>IF(B6="","",SUMIFS(Purchases!$J$6:$J$405,Purchases!$C$6:$C$405,B6))</f>
        <v/>
      </c>
      <c r="J6" s="43">
        <f>IF(B6="","",SUMIFS(Recipes!$H$6:$H$405,Recipes!$C$6:$C$405,B6))</f>
        <v/>
      </c>
      <c r="K6" s="43">
        <f>IF(OR(B6="",N(I6)=0),"",I6-J6)</f>
        <v/>
      </c>
      <c r="L6" s="12">
        <f>IF(OR(B6="",F6="",NOT(ISNUMBER(K6))),"",IF(K6&lt;=N(F6),"Buy more",""))</f>
        <v/>
      </c>
      <c r="M6" s="36" t="inlineStr">
        <is>
          <t>x</t>
        </is>
      </c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1" t="n"/>
      <c r="AC6">
        <f>IF(M6="",0,1)</f>
        <v/>
      </c>
      <c r="AD6">
        <f>IF(N6="",0,1)</f>
        <v/>
      </c>
      <c r="AE6">
        <f>IF(O6="",0,1)</f>
        <v/>
      </c>
      <c r="AF6">
        <f>IF(P6="",0,1)</f>
        <v/>
      </c>
      <c r="AG6">
        <f>IF(Q6="",0,1)</f>
        <v/>
      </c>
      <c r="AH6">
        <f>IF(R6="",0,1)</f>
        <v/>
      </c>
      <c r="AI6">
        <f>IF(S6="",0,1)</f>
        <v/>
      </c>
      <c r="AJ6">
        <f>IF(T6="",0,1)</f>
        <v/>
      </c>
      <c r="AK6">
        <f>IF(U6="",0,1)</f>
        <v/>
      </c>
      <c r="AL6">
        <f>IF(V6="",0,1)</f>
        <v/>
      </c>
      <c r="AM6">
        <f>IF(W6="",0,1)</f>
        <v/>
      </c>
      <c r="AN6">
        <f>IF(X6="",0,1)</f>
        <v/>
      </c>
      <c r="AO6">
        <f>IF(Y6="",0,1)</f>
        <v/>
      </c>
      <c r="AP6">
        <f>IF(Z6="",0,1)</f>
        <v/>
      </c>
      <c r="AQ6">
        <f>IF(AA6="",0,1)</f>
        <v/>
      </c>
      <c r="AR6">
        <f>IF(L6="Buy more",ROW(),"")</f>
        <v/>
      </c>
      <c r="AS6">
        <f>IF(G6="",0,1)</f>
        <v/>
      </c>
    </row>
    <row r="7">
      <c r="A7" s="1" t="n"/>
      <c r="B7" s="21" t="inlineStr">
        <is>
          <t>Bread flour</t>
        </is>
      </c>
      <c r="C7" s="36" t="inlineStr">
        <is>
          <t>g</t>
        </is>
      </c>
      <c r="D7" s="40" t="n">
        <v>2000</v>
      </c>
      <c r="E7" s="37" t="n">
        <v>3.2</v>
      </c>
      <c r="F7" s="40" t="n">
        <v>1500</v>
      </c>
      <c r="G7" s="36" t="n"/>
      <c r="H7" s="42">
        <f>IF(OR(B7="",N(D7)=0),"",N(E7)/D7)</f>
        <v/>
      </c>
      <c r="I7" s="43">
        <f>IF(B7="","",SUMIFS(Purchases!$J$6:$J$405,Purchases!$C$6:$C$405,B7))</f>
        <v/>
      </c>
      <c r="J7" s="43">
        <f>IF(B7="","",SUMIFS(Recipes!$H$6:$H$405,Recipes!$C$6:$C$405,B7))</f>
        <v/>
      </c>
      <c r="K7" s="43">
        <f>IF(OR(B7="",N(I7)=0),"",I7-J7)</f>
        <v/>
      </c>
      <c r="L7" s="12">
        <f>IF(OR(B7="",F7="",NOT(ISNUMBER(K7))),"",IF(K7&lt;=N(F7),"Buy more",""))</f>
        <v/>
      </c>
      <c r="M7" s="36" t="inlineStr">
        <is>
          <t>x</t>
        </is>
      </c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1" t="n"/>
      <c r="AC7">
        <f>IF(M7="",0,1)</f>
        <v/>
      </c>
      <c r="AD7">
        <f>IF(N7="",0,1)</f>
        <v/>
      </c>
      <c r="AE7">
        <f>IF(O7="",0,1)</f>
        <v/>
      </c>
      <c r="AF7">
        <f>IF(P7="",0,1)</f>
        <v/>
      </c>
      <c r="AG7">
        <f>IF(Q7="",0,1)</f>
        <v/>
      </c>
      <c r="AH7">
        <f>IF(R7="",0,1)</f>
        <v/>
      </c>
      <c r="AI7">
        <f>IF(S7="",0,1)</f>
        <v/>
      </c>
      <c r="AJ7">
        <f>IF(T7="",0,1)</f>
        <v/>
      </c>
      <c r="AK7">
        <f>IF(U7="",0,1)</f>
        <v/>
      </c>
      <c r="AL7">
        <f>IF(V7="",0,1)</f>
        <v/>
      </c>
      <c r="AM7">
        <f>IF(W7="",0,1)</f>
        <v/>
      </c>
      <c r="AN7">
        <f>IF(X7="",0,1)</f>
        <v/>
      </c>
      <c r="AO7">
        <f>IF(Y7="",0,1)</f>
        <v/>
      </c>
      <c r="AP7">
        <f>IF(Z7="",0,1)</f>
        <v/>
      </c>
      <c r="AQ7">
        <f>IF(AA7="",0,1)</f>
        <v/>
      </c>
      <c r="AR7">
        <f>IF(L7="Buy more",ROW(),"")</f>
        <v/>
      </c>
      <c r="AS7">
        <f>IF(G7="",0,1)</f>
        <v/>
      </c>
    </row>
    <row r="8">
      <c r="A8" s="1" t="n"/>
      <c r="B8" s="21" t="inlineStr">
        <is>
          <t>Rye flour</t>
        </is>
      </c>
      <c r="C8" s="36" t="inlineStr">
        <is>
          <t>g</t>
        </is>
      </c>
      <c r="D8" s="40" t="n">
        <v>1000</v>
      </c>
      <c r="E8" s="37" t="n">
        <v>2.8</v>
      </c>
      <c r="F8" s="40" t="n">
        <v>500</v>
      </c>
      <c r="G8" s="36" t="n"/>
      <c r="H8" s="42">
        <f>IF(OR(B8="",N(D8)=0),"",N(E8)/D8)</f>
        <v/>
      </c>
      <c r="I8" s="43">
        <f>IF(B8="","",SUMIFS(Purchases!$J$6:$J$405,Purchases!$C$6:$C$405,B8))</f>
        <v/>
      </c>
      <c r="J8" s="43">
        <f>IF(B8="","",SUMIFS(Recipes!$H$6:$H$405,Recipes!$C$6:$C$405,B8))</f>
        <v/>
      </c>
      <c r="K8" s="43">
        <f>IF(OR(B8="",N(I8)=0),"",I8-J8)</f>
        <v/>
      </c>
      <c r="L8" s="12">
        <f>IF(OR(B8="",F8="",NOT(ISNUMBER(K8))),"",IF(K8&lt;=N(F8),"Buy more",""))</f>
        <v/>
      </c>
      <c r="M8" s="36" t="n"/>
      <c r="N8" s="36" t="inlineStr">
        <is>
          <t>x</t>
        </is>
      </c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1" t="n"/>
      <c r="AC8">
        <f>IF(M8="",0,1)</f>
        <v/>
      </c>
      <c r="AD8">
        <f>IF(N8="",0,1)</f>
        <v/>
      </c>
      <c r="AE8">
        <f>IF(O8="",0,1)</f>
        <v/>
      </c>
      <c r="AF8">
        <f>IF(P8="",0,1)</f>
        <v/>
      </c>
      <c r="AG8">
        <f>IF(Q8="",0,1)</f>
        <v/>
      </c>
      <c r="AH8">
        <f>IF(R8="",0,1)</f>
        <v/>
      </c>
      <c r="AI8">
        <f>IF(S8="",0,1)</f>
        <v/>
      </c>
      <c r="AJ8">
        <f>IF(T8="",0,1)</f>
        <v/>
      </c>
      <c r="AK8">
        <f>IF(U8="",0,1)</f>
        <v/>
      </c>
      <c r="AL8">
        <f>IF(V8="",0,1)</f>
        <v/>
      </c>
      <c r="AM8">
        <f>IF(W8="",0,1)</f>
        <v/>
      </c>
      <c r="AN8">
        <f>IF(X8="",0,1)</f>
        <v/>
      </c>
      <c r="AO8">
        <f>IF(Y8="",0,1)</f>
        <v/>
      </c>
      <c r="AP8">
        <f>IF(Z8="",0,1)</f>
        <v/>
      </c>
      <c r="AQ8">
        <f>IF(AA8="",0,1)</f>
        <v/>
      </c>
      <c r="AR8">
        <f>IF(L8="Buy more",ROW(),"")</f>
        <v/>
      </c>
      <c r="AS8">
        <f>IF(G8="",0,1)</f>
        <v/>
      </c>
    </row>
    <row r="9">
      <c r="A9" s="1" t="n"/>
      <c r="B9" s="21" t="inlineStr">
        <is>
          <t>Caster sugar</t>
        </is>
      </c>
      <c r="C9" s="36" t="inlineStr">
        <is>
          <t>g</t>
        </is>
      </c>
      <c r="D9" s="40" t="n">
        <v>1000</v>
      </c>
      <c r="E9" s="37" t="n">
        <v>1.9</v>
      </c>
      <c r="F9" s="40" t="n">
        <v>800</v>
      </c>
      <c r="G9" s="36" t="n"/>
      <c r="H9" s="42">
        <f>IF(OR(B9="",N(D9)=0),"",N(E9)/D9)</f>
        <v/>
      </c>
      <c r="I9" s="43">
        <f>IF(B9="","",SUMIFS(Purchases!$J$6:$J$405,Purchases!$C$6:$C$405,B9))</f>
        <v/>
      </c>
      <c r="J9" s="43">
        <f>IF(B9="","",SUMIFS(Recipes!$H$6:$H$405,Recipes!$C$6:$C$405,B9))</f>
        <v/>
      </c>
      <c r="K9" s="43">
        <f>IF(OR(B9="",N(I9)=0),"",I9-J9)</f>
        <v/>
      </c>
      <c r="L9" s="12">
        <f>IF(OR(B9="",F9="",NOT(ISNUMBER(K9))),"",IF(K9&lt;=N(F9),"Buy more",""))</f>
        <v/>
      </c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1" t="n"/>
      <c r="AC9">
        <f>IF(M9="",0,1)</f>
        <v/>
      </c>
      <c r="AD9">
        <f>IF(N9="",0,1)</f>
        <v/>
      </c>
      <c r="AE9">
        <f>IF(O9="",0,1)</f>
        <v/>
      </c>
      <c r="AF9">
        <f>IF(P9="",0,1)</f>
        <v/>
      </c>
      <c r="AG9">
        <f>IF(Q9="",0,1)</f>
        <v/>
      </c>
      <c r="AH9">
        <f>IF(R9="",0,1)</f>
        <v/>
      </c>
      <c r="AI9">
        <f>IF(S9="",0,1)</f>
        <v/>
      </c>
      <c r="AJ9">
        <f>IF(T9="",0,1)</f>
        <v/>
      </c>
      <c r="AK9">
        <f>IF(U9="",0,1)</f>
        <v/>
      </c>
      <c r="AL9">
        <f>IF(V9="",0,1)</f>
        <v/>
      </c>
      <c r="AM9">
        <f>IF(W9="",0,1)</f>
        <v/>
      </c>
      <c r="AN9">
        <f>IF(X9="",0,1)</f>
        <v/>
      </c>
      <c r="AO9">
        <f>IF(Y9="",0,1)</f>
        <v/>
      </c>
      <c r="AP9">
        <f>IF(Z9="",0,1)</f>
        <v/>
      </c>
      <c r="AQ9">
        <f>IF(AA9="",0,1)</f>
        <v/>
      </c>
      <c r="AR9">
        <f>IF(L9="Buy more",ROW(),"")</f>
        <v/>
      </c>
      <c r="AS9">
        <f>IF(G9="",0,1)</f>
        <v/>
      </c>
    </row>
    <row r="10">
      <c r="A10" s="1" t="n"/>
      <c r="B10" s="21" t="inlineStr">
        <is>
          <t>Butter</t>
        </is>
      </c>
      <c r="C10" s="36" t="inlineStr">
        <is>
          <t>g</t>
        </is>
      </c>
      <c r="D10" s="40" t="n">
        <v>250</v>
      </c>
      <c r="E10" s="37" t="n">
        <v>2.6</v>
      </c>
      <c r="F10" s="40" t="n">
        <v>500</v>
      </c>
      <c r="G10" s="36" t="n"/>
      <c r="H10" s="42">
        <f>IF(OR(B10="",N(D10)=0),"",N(E10)/D10)</f>
        <v/>
      </c>
      <c r="I10" s="43">
        <f>IF(B10="","",SUMIFS(Purchases!$J$6:$J$405,Purchases!$C$6:$C$405,B10))</f>
        <v/>
      </c>
      <c r="J10" s="43">
        <f>IF(B10="","",SUMIFS(Recipes!$H$6:$H$405,Recipes!$C$6:$C$405,B10))</f>
        <v/>
      </c>
      <c r="K10" s="43">
        <f>IF(OR(B10="",N(I10)=0),"",I10-J10)</f>
        <v/>
      </c>
      <c r="L10" s="12">
        <f>IF(OR(B10="",F10="",NOT(ISNUMBER(K10))),"",IF(K10&lt;=N(F10),"Buy more",""))</f>
        <v/>
      </c>
      <c r="M10" s="36" t="n"/>
      <c r="N10" s="36" t="n"/>
      <c r="O10" s="36" t="inlineStr">
        <is>
          <t>x</t>
        </is>
      </c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1" t="n"/>
      <c r="AC10">
        <f>IF(M10="",0,1)</f>
        <v/>
      </c>
      <c r="AD10">
        <f>IF(N10="",0,1)</f>
        <v/>
      </c>
      <c r="AE10">
        <f>IF(O10="",0,1)</f>
        <v/>
      </c>
      <c r="AF10">
        <f>IF(P10="",0,1)</f>
        <v/>
      </c>
      <c r="AG10">
        <f>IF(Q10="",0,1)</f>
        <v/>
      </c>
      <c r="AH10">
        <f>IF(R10="",0,1)</f>
        <v/>
      </c>
      <c r="AI10">
        <f>IF(S10="",0,1)</f>
        <v/>
      </c>
      <c r="AJ10">
        <f>IF(T10="",0,1)</f>
        <v/>
      </c>
      <c r="AK10">
        <f>IF(U10="",0,1)</f>
        <v/>
      </c>
      <c r="AL10">
        <f>IF(V10="",0,1)</f>
        <v/>
      </c>
      <c r="AM10">
        <f>IF(W10="",0,1)</f>
        <v/>
      </c>
      <c r="AN10">
        <f>IF(X10="",0,1)</f>
        <v/>
      </c>
      <c r="AO10">
        <f>IF(Y10="",0,1)</f>
        <v/>
      </c>
      <c r="AP10">
        <f>IF(Z10="",0,1)</f>
        <v/>
      </c>
      <c r="AQ10">
        <f>IF(AA10="",0,1)</f>
        <v/>
      </c>
      <c r="AR10">
        <f>IF(L10="Buy more",ROW(),"")</f>
        <v/>
      </c>
      <c r="AS10">
        <f>IF(G10="",0,1)</f>
        <v/>
      </c>
    </row>
    <row r="11">
      <c r="A11" s="1" t="n"/>
      <c r="B11" s="21" t="inlineStr">
        <is>
          <t>Eggs</t>
        </is>
      </c>
      <c r="C11" s="36" t="inlineStr">
        <is>
          <t>g</t>
        </is>
      </c>
      <c r="D11" s="40" t="n">
        <v>600</v>
      </c>
      <c r="E11" s="37" t="n">
        <v>4.2</v>
      </c>
      <c r="F11" s="40" t="n">
        <v>600</v>
      </c>
      <c r="G11" s="36" t="n"/>
      <c r="H11" s="42">
        <f>IF(OR(B11="",N(D11)=0),"",N(E11)/D11)</f>
        <v/>
      </c>
      <c r="I11" s="43">
        <f>IF(B11="","",SUMIFS(Purchases!$J$6:$J$405,Purchases!$C$6:$C$405,B11))</f>
        <v/>
      </c>
      <c r="J11" s="43">
        <f>IF(B11="","",SUMIFS(Recipes!$H$6:$H$405,Recipes!$C$6:$C$405,B11))</f>
        <v/>
      </c>
      <c r="K11" s="43">
        <f>IF(OR(B11="",N(I11)=0),"",I11-J11)</f>
        <v/>
      </c>
      <c r="L11" s="12">
        <f>IF(OR(B11="",F11="",NOT(ISNUMBER(K11))),"",IF(K11&lt;=N(F11),"Buy more",""))</f>
        <v/>
      </c>
      <c r="M11" s="36" t="n"/>
      <c r="N11" s="36" t="n"/>
      <c r="O11" s="36" t="n"/>
      <c r="P11" s="36" t="inlineStr">
        <is>
          <t>x</t>
        </is>
      </c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1" t="n"/>
      <c r="AC11">
        <f>IF(M11="",0,1)</f>
        <v/>
      </c>
      <c r="AD11">
        <f>IF(N11="",0,1)</f>
        <v/>
      </c>
      <c r="AE11">
        <f>IF(O11="",0,1)</f>
        <v/>
      </c>
      <c r="AF11">
        <f>IF(P11="",0,1)</f>
        <v/>
      </c>
      <c r="AG11">
        <f>IF(Q11="",0,1)</f>
        <v/>
      </c>
      <c r="AH11">
        <f>IF(R11="",0,1)</f>
        <v/>
      </c>
      <c r="AI11">
        <f>IF(S11="",0,1)</f>
        <v/>
      </c>
      <c r="AJ11">
        <f>IF(T11="",0,1)</f>
        <v/>
      </c>
      <c r="AK11">
        <f>IF(U11="",0,1)</f>
        <v/>
      </c>
      <c r="AL11">
        <f>IF(V11="",0,1)</f>
        <v/>
      </c>
      <c r="AM11">
        <f>IF(W11="",0,1)</f>
        <v/>
      </c>
      <c r="AN11">
        <f>IF(X11="",0,1)</f>
        <v/>
      </c>
      <c r="AO11">
        <f>IF(Y11="",0,1)</f>
        <v/>
      </c>
      <c r="AP11">
        <f>IF(Z11="",0,1)</f>
        <v/>
      </c>
      <c r="AQ11">
        <f>IF(AA11="",0,1)</f>
        <v/>
      </c>
      <c r="AR11">
        <f>IF(L11="Buy more",ROW(),"")</f>
        <v/>
      </c>
      <c r="AS11">
        <f>IF(G11="",0,1)</f>
        <v/>
      </c>
    </row>
    <row r="12">
      <c r="A12" s="1" t="n"/>
      <c r="B12" s="21" t="inlineStr">
        <is>
          <t>Lemons</t>
        </is>
      </c>
      <c r="C12" s="36" t="inlineStr">
        <is>
          <t>each</t>
        </is>
      </c>
      <c r="D12" s="40" t="n">
        <v>4</v>
      </c>
      <c r="E12" s="37" t="n">
        <v>2</v>
      </c>
      <c r="F12" s="40" t="n">
        <v>4</v>
      </c>
      <c r="G12" s="36" t="n"/>
      <c r="H12" s="42">
        <f>IF(OR(B12="",N(D12)=0),"",N(E12)/D12)</f>
        <v/>
      </c>
      <c r="I12" s="43">
        <f>IF(B12="","",SUMIFS(Purchases!$J$6:$J$405,Purchases!$C$6:$C$405,B12))</f>
        <v/>
      </c>
      <c r="J12" s="43">
        <f>IF(B12="","",SUMIFS(Recipes!$H$6:$H$405,Recipes!$C$6:$C$405,B12))</f>
        <v/>
      </c>
      <c r="K12" s="43">
        <f>IF(OR(B12="",N(I12)=0),"",I12-J12)</f>
        <v/>
      </c>
      <c r="L12" s="12">
        <f>IF(OR(B12="",F12="",NOT(ISNUMBER(K12))),"",IF(K12&lt;=N(F12),"Buy more",""))</f>
        <v/>
      </c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1" t="n"/>
      <c r="AC12">
        <f>IF(M12="",0,1)</f>
        <v/>
      </c>
      <c r="AD12">
        <f>IF(N12="",0,1)</f>
        <v/>
      </c>
      <c r="AE12">
        <f>IF(O12="",0,1)</f>
        <v/>
      </c>
      <c r="AF12">
        <f>IF(P12="",0,1)</f>
        <v/>
      </c>
      <c r="AG12">
        <f>IF(Q12="",0,1)</f>
        <v/>
      </c>
      <c r="AH12">
        <f>IF(R12="",0,1)</f>
        <v/>
      </c>
      <c r="AI12">
        <f>IF(S12="",0,1)</f>
        <v/>
      </c>
      <c r="AJ12">
        <f>IF(T12="",0,1)</f>
        <v/>
      </c>
      <c r="AK12">
        <f>IF(U12="",0,1)</f>
        <v/>
      </c>
      <c r="AL12">
        <f>IF(V12="",0,1)</f>
        <v/>
      </c>
      <c r="AM12">
        <f>IF(W12="",0,1)</f>
        <v/>
      </c>
      <c r="AN12">
        <f>IF(X12="",0,1)</f>
        <v/>
      </c>
      <c r="AO12">
        <f>IF(Y12="",0,1)</f>
        <v/>
      </c>
      <c r="AP12">
        <f>IF(Z12="",0,1)</f>
        <v/>
      </c>
      <c r="AQ12">
        <f>IF(AA12="",0,1)</f>
        <v/>
      </c>
      <c r="AR12">
        <f>IF(L12="Buy more",ROW(),"")</f>
        <v/>
      </c>
      <c r="AS12">
        <f>IF(G12="",0,1)</f>
        <v/>
      </c>
    </row>
    <row r="13">
      <c r="A13" s="1" t="n"/>
      <c r="B13" s="21" t="inlineStr">
        <is>
          <t>Dark chocolate chips</t>
        </is>
      </c>
      <c r="C13" s="36" t="inlineStr">
        <is>
          <t>g</t>
        </is>
      </c>
      <c r="D13" s="40" t="n">
        <v>500</v>
      </c>
      <c r="E13" s="37" t="n">
        <v>5.5</v>
      </c>
      <c r="F13" s="40" t="n">
        <v>300</v>
      </c>
      <c r="G13" s="36" t="n"/>
      <c r="H13" s="42">
        <f>IF(OR(B13="",N(D13)=0),"",N(E13)/D13)</f>
        <v/>
      </c>
      <c r="I13" s="43">
        <f>IF(B13="","",SUMIFS(Purchases!$J$6:$J$405,Purchases!$C$6:$C$405,B13))</f>
        <v/>
      </c>
      <c r="J13" s="43">
        <f>IF(B13="","",SUMIFS(Recipes!$H$6:$H$405,Recipes!$C$6:$C$405,B13))</f>
        <v/>
      </c>
      <c r="K13" s="43">
        <f>IF(OR(B13="",N(I13)=0),"",I13-J13)</f>
        <v/>
      </c>
      <c r="L13" s="12">
        <f>IF(OR(B13="",F13="",NOT(ISNUMBER(K13))),"",IF(K13&lt;=N(F13),"Buy more",""))</f>
        <v/>
      </c>
      <c r="M13" s="36" t="n"/>
      <c r="N13" s="36" t="n"/>
      <c r="O13" s="36" t="inlineStr">
        <is>
          <t>x</t>
        </is>
      </c>
      <c r="P13" s="36" t="n"/>
      <c r="Q13" s="36" t="inlineStr">
        <is>
          <t>x</t>
        </is>
      </c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1" t="n"/>
      <c r="AC13">
        <f>IF(M13="",0,1)</f>
        <v/>
      </c>
      <c r="AD13">
        <f>IF(N13="",0,1)</f>
        <v/>
      </c>
      <c r="AE13">
        <f>IF(O13="",0,1)</f>
        <v/>
      </c>
      <c r="AF13">
        <f>IF(P13="",0,1)</f>
        <v/>
      </c>
      <c r="AG13">
        <f>IF(Q13="",0,1)</f>
        <v/>
      </c>
      <c r="AH13">
        <f>IF(R13="",0,1)</f>
        <v/>
      </c>
      <c r="AI13">
        <f>IF(S13="",0,1)</f>
        <v/>
      </c>
      <c r="AJ13">
        <f>IF(T13="",0,1)</f>
        <v/>
      </c>
      <c r="AK13">
        <f>IF(U13="",0,1)</f>
        <v/>
      </c>
      <c r="AL13">
        <f>IF(V13="",0,1)</f>
        <v/>
      </c>
      <c r="AM13">
        <f>IF(W13="",0,1)</f>
        <v/>
      </c>
      <c r="AN13">
        <f>IF(X13="",0,1)</f>
        <v/>
      </c>
      <c r="AO13">
        <f>IF(Y13="",0,1)</f>
        <v/>
      </c>
      <c r="AP13">
        <f>IF(Z13="",0,1)</f>
        <v/>
      </c>
      <c r="AQ13">
        <f>IF(AA13="",0,1)</f>
        <v/>
      </c>
      <c r="AR13">
        <f>IF(L13="Buy more",ROW(),"")</f>
        <v/>
      </c>
      <c r="AS13">
        <f>IF(G13="",0,1)</f>
        <v/>
      </c>
    </row>
    <row r="14">
      <c r="A14" s="1" t="n"/>
      <c r="B14" s="21" t="inlineStr">
        <is>
          <t>Cocoa powder</t>
        </is>
      </c>
      <c r="C14" s="36" t="inlineStr">
        <is>
          <t>g</t>
        </is>
      </c>
      <c r="D14" s="40" t="n">
        <v>250</v>
      </c>
      <c r="E14" s="37" t="n">
        <v>3.8</v>
      </c>
      <c r="F14" s="40" t="n">
        <v>100</v>
      </c>
      <c r="G14" s="36" t="n"/>
      <c r="H14" s="42">
        <f>IF(OR(B14="",N(D14)=0),"",N(E14)/D14)</f>
        <v/>
      </c>
      <c r="I14" s="43">
        <f>IF(B14="","",SUMIFS(Purchases!$J$6:$J$405,Purchases!$C$6:$C$405,B14))</f>
        <v/>
      </c>
      <c r="J14" s="43">
        <f>IF(B14="","",SUMIFS(Recipes!$H$6:$H$405,Recipes!$C$6:$C$405,B14))</f>
        <v/>
      </c>
      <c r="K14" s="43">
        <f>IF(OR(B14="",N(I14)=0),"",I14-J14)</f>
        <v/>
      </c>
      <c r="L14" s="12">
        <f>IF(OR(B14="",F14="",NOT(ISNUMBER(K14))),"",IF(K14&lt;=N(F14),"Buy more",""))</f>
        <v/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1" t="n"/>
      <c r="AC14">
        <f>IF(M14="",0,1)</f>
        <v/>
      </c>
      <c r="AD14">
        <f>IF(N14="",0,1)</f>
        <v/>
      </c>
      <c r="AE14">
        <f>IF(O14="",0,1)</f>
        <v/>
      </c>
      <c r="AF14">
        <f>IF(P14="",0,1)</f>
        <v/>
      </c>
      <c r="AG14">
        <f>IF(Q14="",0,1)</f>
        <v/>
      </c>
      <c r="AH14">
        <f>IF(R14="",0,1)</f>
        <v/>
      </c>
      <c r="AI14">
        <f>IF(S14="",0,1)</f>
        <v/>
      </c>
      <c r="AJ14">
        <f>IF(T14="",0,1)</f>
        <v/>
      </c>
      <c r="AK14">
        <f>IF(U14="",0,1)</f>
        <v/>
      </c>
      <c r="AL14">
        <f>IF(V14="",0,1)</f>
        <v/>
      </c>
      <c r="AM14">
        <f>IF(W14="",0,1)</f>
        <v/>
      </c>
      <c r="AN14">
        <f>IF(X14="",0,1)</f>
        <v/>
      </c>
      <c r="AO14">
        <f>IF(Y14="",0,1)</f>
        <v/>
      </c>
      <c r="AP14">
        <f>IF(Z14="",0,1)</f>
        <v/>
      </c>
      <c r="AQ14">
        <f>IF(AA14="",0,1)</f>
        <v/>
      </c>
      <c r="AR14">
        <f>IF(L14="Buy more",ROW(),"")</f>
        <v/>
      </c>
      <c r="AS14">
        <f>IF(G14="",0,1)</f>
        <v/>
      </c>
    </row>
    <row r="15">
      <c r="A15" s="1" t="n"/>
      <c r="B15" s="21" t="inlineStr">
        <is>
          <t>Strawberries</t>
        </is>
      </c>
      <c r="C15" s="36" t="inlineStr">
        <is>
          <t>g</t>
        </is>
      </c>
      <c r="D15" s="40" t="n">
        <v>1000</v>
      </c>
      <c r="E15" s="37" t="n">
        <v>6</v>
      </c>
      <c r="F15" s="40" t="n"/>
      <c r="G15" s="36" t="n"/>
      <c r="H15" s="42">
        <f>IF(OR(B15="",N(D15)=0),"",N(E15)/D15)</f>
        <v/>
      </c>
      <c r="I15" s="43">
        <f>IF(B15="","",SUMIFS(Purchases!$J$6:$J$405,Purchases!$C$6:$C$405,B15))</f>
        <v/>
      </c>
      <c r="J15" s="43">
        <f>IF(B15="","",SUMIFS(Recipes!$H$6:$H$405,Recipes!$C$6:$C$405,B15))</f>
        <v/>
      </c>
      <c r="K15" s="43">
        <f>IF(OR(B15="",N(I15)=0),"",I15-J15)</f>
        <v/>
      </c>
      <c r="L15" s="12">
        <f>IF(OR(B15="",F15="",NOT(ISNUMBER(K15))),"",IF(K15&lt;=N(F15),"Buy more",""))</f>
        <v/>
      </c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1" t="n"/>
      <c r="AC15">
        <f>IF(M15="",0,1)</f>
        <v/>
      </c>
      <c r="AD15">
        <f>IF(N15="",0,1)</f>
        <v/>
      </c>
      <c r="AE15">
        <f>IF(O15="",0,1)</f>
        <v/>
      </c>
      <c r="AF15">
        <f>IF(P15="",0,1)</f>
        <v/>
      </c>
      <c r="AG15">
        <f>IF(Q15="",0,1)</f>
        <v/>
      </c>
      <c r="AH15">
        <f>IF(R15="",0,1)</f>
        <v/>
      </c>
      <c r="AI15">
        <f>IF(S15="",0,1)</f>
        <v/>
      </c>
      <c r="AJ15">
        <f>IF(T15="",0,1)</f>
        <v/>
      </c>
      <c r="AK15">
        <f>IF(U15="",0,1)</f>
        <v/>
      </c>
      <c r="AL15">
        <f>IF(V15="",0,1)</f>
        <v/>
      </c>
      <c r="AM15">
        <f>IF(W15="",0,1)</f>
        <v/>
      </c>
      <c r="AN15">
        <f>IF(X15="",0,1)</f>
        <v/>
      </c>
      <c r="AO15">
        <f>IF(Y15="",0,1)</f>
        <v/>
      </c>
      <c r="AP15">
        <f>IF(Z15="",0,1)</f>
        <v/>
      </c>
      <c r="AQ15">
        <f>IF(AA15="",0,1)</f>
        <v/>
      </c>
      <c r="AR15">
        <f>IF(L15="Buy more",ROW(),"")</f>
        <v/>
      </c>
      <c r="AS15">
        <f>IF(G15="",0,1)</f>
        <v/>
      </c>
    </row>
    <row r="16">
      <c r="A16" s="1" t="n"/>
      <c r="B16" s="21" t="inlineStr">
        <is>
          <t>Jam sugar</t>
        </is>
      </c>
      <c r="C16" s="36" t="inlineStr">
        <is>
          <t>g</t>
        </is>
      </c>
      <c r="D16" s="40" t="n">
        <v>1000</v>
      </c>
      <c r="E16" s="37" t="n">
        <v>2.5</v>
      </c>
      <c r="F16" s="40" t="n">
        <v>500</v>
      </c>
      <c r="G16" s="36" t="n"/>
      <c r="H16" s="42">
        <f>IF(OR(B16="",N(D16)=0),"",N(E16)/D16)</f>
        <v/>
      </c>
      <c r="I16" s="43">
        <f>IF(B16="","",SUMIFS(Purchases!$J$6:$J$405,Purchases!$C$6:$C$405,B16))</f>
        <v/>
      </c>
      <c r="J16" s="43">
        <f>IF(B16="","",SUMIFS(Recipes!$H$6:$H$405,Recipes!$C$6:$C$405,B16))</f>
        <v/>
      </c>
      <c r="K16" s="43">
        <f>IF(OR(B16="",N(I16)=0),"",I16-J16)</f>
        <v/>
      </c>
      <c r="L16" s="12">
        <f>IF(OR(B16="",F16="",NOT(ISNUMBER(K16))),"",IF(K16&lt;=N(F16),"Buy more",""))</f>
        <v/>
      </c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1" t="n"/>
      <c r="AC16">
        <f>IF(M16="",0,1)</f>
        <v/>
      </c>
      <c r="AD16">
        <f>IF(N16="",0,1)</f>
        <v/>
      </c>
      <c r="AE16">
        <f>IF(O16="",0,1)</f>
        <v/>
      </c>
      <c r="AF16">
        <f>IF(P16="",0,1)</f>
        <v/>
      </c>
      <c r="AG16">
        <f>IF(Q16="",0,1)</f>
        <v/>
      </c>
      <c r="AH16">
        <f>IF(R16="",0,1)</f>
        <v/>
      </c>
      <c r="AI16">
        <f>IF(S16="",0,1)</f>
        <v/>
      </c>
      <c r="AJ16">
        <f>IF(T16="",0,1)</f>
        <v/>
      </c>
      <c r="AK16">
        <f>IF(U16="",0,1)</f>
        <v/>
      </c>
      <c r="AL16">
        <f>IF(V16="",0,1)</f>
        <v/>
      </c>
      <c r="AM16">
        <f>IF(W16="",0,1)</f>
        <v/>
      </c>
      <c r="AN16">
        <f>IF(X16="",0,1)</f>
        <v/>
      </c>
      <c r="AO16">
        <f>IF(Y16="",0,1)</f>
        <v/>
      </c>
      <c r="AP16">
        <f>IF(Z16="",0,1)</f>
        <v/>
      </c>
      <c r="AQ16">
        <f>IF(AA16="",0,1)</f>
        <v/>
      </c>
      <c r="AR16">
        <f>IF(L16="Buy more",ROW(),"")</f>
        <v/>
      </c>
      <c r="AS16">
        <f>IF(G16="",0,1)</f>
        <v/>
      </c>
    </row>
    <row r="17">
      <c r="A17" s="1" t="n"/>
      <c r="B17" s="21" t="inlineStr">
        <is>
          <t>Rolled oats</t>
        </is>
      </c>
      <c r="C17" s="36" t="inlineStr">
        <is>
          <t>g</t>
        </is>
      </c>
      <c r="D17" s="40" t="n">
        <v>1000</v>
      </c>
      <c r="E17" s="37" t="n">
        <v>2.2</v>
      </c>
      <c r="F17" s="40" t="n">
        <v>500</v>
      </c>
      <c r="G17" s="36" t="n"/>
      <c r="H17" s="42">
        <f>IF(OR(B17="",N(D17)=0),"",N(E17)/D17)</f>
        <v/>
      </c>
      <c r="I17" s="43">
        <f>IF(B17="","",SUMIFS(Purchases!$J$6:$J$405,Purchases!$C$6:$C$405,B17))</f>
        <v/>
      </c>
      <c r="J17" s="43">
        <f>IF(B17="","",SUMIFS(Recipes!$H$6:$H$405,Recipes!$C$6:$C$405,B17))</f>
        <v/>
      </c>
      <c r="K17" s="43">
        <f>IF(OR(B17="",N(I17)=0),"",I17-J17)</f>
        <v/>
      </c>
      <c r="L17" s="12">
        <f>IF(OR(B17="",F17="",NOT(ISNUMBER(K17))),"",IF(K17&lt;=N(F17),"Buy more",""))</f>
        <v/>
      </c>
      <c r="M17" s="36" t="n"/>
      <c r="N17" s="36" t="inlineStr">
        <is>
          <t>x</t>
        </is>
      </c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1" t="n"/>
      <c r="AC17">
        <f>IF(M17="",0,1)</f>
        <v/>
      </c>
      <c r="AD17">
        <f>IF(N17="",0,1)</f>
        <v/>
      </c>
      <c r="AE17">
        <f>IF(O17="",0,1)</f>
        <v/>
      </c>
      <c r="AF17">
        <f>IF(P17="",0,1)</f>
        <v/>
      </c>
      <c r="AG17">
        <f>IF(Q17="",0,1)</f>
        <v/>
      </c>
      <c r="AH17">
        <f>IF(R17="",0,1)</f>
        <v/>
      </c>
      <c r="AI17">
        <f>IF(S17="",0,1)</f>
        <v/>
      </c>
      <c r="AJ17">
        <f>IF(T17="",0,1)</f>
        <v/>
      </c>
      <c r="AK17">
        <f>IF(U17="",0,1)</f>
        <v/>
      </c>
      <c r="AL17">
        <f>IF(V17="",0,1)</f>
        <v/>
      </c>
      <c r="AM17">
        <f>IF(W17="",0,1)</f>
        <v/>
      </c>
      <c r="AN17">
        <f>IF(X17="",0,1)</f>
        <v/>
      </c>
      <c r="AO17">
        <f>IF(Y17="",0,1)</f>
        <v/>
      </c>
      <c r="AP17">
        <f>IF(Z17="",0,1)</f>
        <v/>
      </c>
      <c r="AQ17">
        <f>IF(AA17="",0,1)</f>
        <v/>
      </c>
      <c r="AR17">
        <f>IF(L17="Buy more",ROW(),"")</f>
        <v/>
      </c>
      <c r="AS17">
        <f>IF(G17="",0,1)</f>
        <v/>
      </c>
    </row>
    <row r="18">
      <c r="A18" s="1" t="n"/>
      <c r="B18" s="21" t="inlineStr">
        <is>
          <t>Honey</t>
        </is>
      </c>
      <c r="C18" s="36" t="inlineStr">
        <is>
          <t>g</t>
        </is>
      </c>
      <c r="D18" s="40" t="n">
        <v>340</v>
      </c>
      <c r="E18" s="37" t="n">
        <v>4.5</v>
      </c>
      <c r="F18" s="40" t="n">
        <v>340</v>
      </c>
      <c r="G18" s="36" t="n"/>
      <c r="H18" s="42">
        <f>IF(OR(B18="",N(D18)=0),"",N(E18)/D18)</f>
        <v/>
      </c>
      <c r="I18" s="43">
        <f>IF(B18="","",SUMIFS(Purchases!$J$6:$J$405,Purchases!$C$6:$C$405,B18))</f>
        <v/>
      </c>
      <c r="J18" s="43">
        <f>IF(B18="","",SUMIFS(Recipes!$H$6:$H$405,Recipes!$C$6:$C$405,B18))</f>
        <v/>
      </c>
      <c r="K18" s="43">
        <f>IF(OR(B18="",N(I18)=0),"",I18-J18)</f>
        <v/>
      </c>
      <c r="L18" s="12">
        <f>IF(OR(B18="",F18="",NOT(ISNUMBER(K18))),"",IF(K18&lt;=N(F18),"Buy more",""))</f>
        <v/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1" t="n"/>
      <c r="AC18">
        <f>IF(M18="",0,1)</f>
        <v/>
      </c>
      <c r="AD18">
        <f>IF(N18="",0,1)</f>
        <v/>
      </c>
      <c r="AE18">
        <f>IF(O18="",0,1)</f>
        <v/>
      </c>
      <c r="AF18">
        <f>IF(P18="",0,1)</f>
        <v/>
      </c>
      <c r="AG18">
        <f>IF(Q18="",0,1)</f>
        <v/>
      </c>
      <c r="AH18">
        <f>IF(R18="",0,1)</f>
        <v/>
      </c>
      <c r="AI18">
        <f>IF(S18="",0,1)</f>
        <v/>
      </c>
      <c r="AJ18">
        <f>IF(T18="",0,1)</f>
        <v/>
      </c>
      <c r="AK18">
        <f>IF(U18="",0,1)</f>
        <v/>
      </c>
      <c r="AL18">
        <f>IF(V18="",0,1)</f>
        <v/>
      </c>
      <c r="AM18">
        <f>IF(W18="",0,1)</f>
        <v/>
      </c>
      <c r="AN18">
        <f>IF(X18="",0,1)</f>
        <v/>
      </c>
      <c r="AO18">
        <f>IF(Y18="",0,1)</f>
        <v/>
      </c>
      <c r="AP18">
        <f>IF(Z18="",0,1)</f>
        <v/>
      </c>
      <c r="AQ18">
        <f>IF(AA18="",0,1)</f>
        <v/>
      </c>
      <c r="AR18">
        <f>IF(L18="Buy more",ROW(),"")</f>
        <v/>
      </c>
      <c r="AS18">
        <f>IF(G18="",0,1)</f>
        <v/>
      </c>
    </row>
    <row r="19">
      <c r="A19" s="1" t="n"/>
      <c r="B19" s="21" t="inlineStr">
        <is>
          <t>Almonds</t>
        </is>
      </c>
      <c r="C19" s="36" t="inlineStr">
        <is>
          <t>g</t>
        </is>
      </c>
      <c r="D19" s="40" t="n">
        <v>200</v>
      </c>
      <c r="E19" s="37" t="n">
        <v>3.6</v>
      </c>
      <c r="F19" s="40" t="n">
        <v>200</v>
      </c>
      <c r="G19" s="36" t="n"/>
      <c r="H19" s="42">
        <f>IF(OR(B19="",N(D19)=0),"",N(E19)/D19)</f>
        <v/>
      </c>
      <c r="I19" s="43">
        <f>IF(B19="","",SUMIFS(Purchases!$J$6:$J$405,Purchases!$C$6:$C$405,B19))</f>
        <v/>
      </c>
      <c r="J19" s="43">
        <f>IF(B19="","",SUMIFS(Recipes!$H$6:$H$405,Recipes!$C$6:$C$405,B19))</f>
        <v/>
      </c>
      <c r="K19" s="43">
        <f>IF(OR(B19="",N(I19)=0),"",I19-J19)</f>
        <v/>
      </c>
      <c r="L19" s="12">
        <f>IF(OR(B19="",F19="",NOT(ISNUMBER(K19))),"",IF(K19&lt;=N(F19),"Buy more",""))</f>
        <v/>
      </c>
      <c r="M19" s="36" t="n"/>
      <c r="N19" s="36" t="n"/>
      <c r="O19" s="36" t="n"/>
      <c r="P19" s="36" t="n"/>
      <c r="Q19" s="36" t="n"/>
      <c r="R19" s="36" t="n"/>
      <c r="S19" s="36" t="inlineStr">
        <is>
          <t>x</t>
        </is>
      </c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1" t="n"/>
      <c r="AC19">
        <f>IF(M19="",0,1)</f>
        <v/>
      </c>
      <c r="AD19">
        <f>IF(N19="",0,1)</f>
        <v/>
      </c>
      <c r="AE19">
        <f>IF(O19="",0,1)</f>
        <v/>
      </c>
      <c r="AF19">
        <f>IF(P19="",0,1)</f>
        <v/>
      </c>
      <c r="AG19">
        <f>IF(Q19="",0,1)</f>
        <v/>
      </c>
      <c r="AH19">
        <f>IF(R19="",0,1)</f>
        <v/>
      </c>
      <c r="AI19">
        <f>IF(S19="",0,1)</f>
        <v/>
      </c>
      <c r="AJ19">
        <f>IF(T19="",0,1)</f>
        <v/>
      </c>
      <c r="AK19">
        <f>IF(U19="",0,1)</f>
        <v/>
      </c>
      <c r="AL19">
        <f>IF(V19="",0,1)</f>
        <v/>
      </c>
      <c r="AM19">
        <f>IF(W19="",0,1)</f>
        <v/>
      </c>
      <c r="AN19">
        <f>IF(X19="",0,1)</f>
        <v/>
      </c>
      <c r="AO19">
        <f>IF(Y19="",0,1)</f>
        <v/>
      </c>
      <c r="AP19">
        <f>IF(Z19="",0,1)</f>
        <v/>
      </c>
      <c r="AQ19">
        <f>IF(AA19="",0,1)</f>
        <v/>
      </c>
      <c r="AR19">
        <f>IF(L19="Buy more",ROW(),"")</f>
        <v/>
      </c>
      <c r="AS19">
        <f>IF(G19="",0,1)</f>
        <v/>
      </c>
    </row>
    <row r="20">
      <c r="A20" s="1" t="n"/>
      <c r="B20" s="21" t="inlineStr">
        <is>
          <t>Cinnamon</t>
        </is>
      </c>
      <c r="C20" s="36" t="inlineStr">
        <is>
          <t>g</t>
        </is>
      </c>
      <c r="D20" s="40" t="n">
        <v>45</v>
      </c>
      <c r="E20" s="37" t="n">
        <v>2.1</v>
      </c>
      <c r="F20" s="40" t="n">
        <v>20</v>
      </c>
      <c r="G20" s="36" t="n"/>
      <c r="H20" s="42">
        <f>IF(OR(B20="",N(D20)=0),"",N(E20)/D20)</f>
        <v/>
      </c>
      <c r="I20" s="43">
        <f>IF(B20="","",SUMIFS(Purchases!$J$6:$J$405,Purchases!$C$6:$C$405,B20))</f>
        <v/>
      </c>
      <c r="J20" s="43">
        <f>IF(B20="","",SUMIFS(Recipes!$H$6:$H$405,Recipes!$C$6:$C$405,B20))</f>
        <v/>
      </c>
      <c r="K20" s="43">
        <f>IF(OR(B20="",N(I20)=0),"",I20-J20)</f>
        <v/>
      </c>
      <c r="L20" s="12">
        <f>IF(OR(B20="",F20="",NOT(ISNUMBER(K20))),"",IF(K20&lt;=N(F20),"Buy more",""))</f>
        <v/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1" t="n"/>
      <c r="AC20">
        <f>IF(M20="",0,1)</f>
        <v/>
      </c>
      <c r="AD20">
        <f>IF(N20="",0,1)</f>
        <v/>
      </c>
      <c r="AE20">
        <f>IF(O20="",0,1)</f>
        <v/>
      </c>
      <c r="AF20">
        <f>IF(P20="",0,1)</f>
        <v/>
      </c>
      <c r="AG20">
        <f>IF(Q20="",0,1)</f>
        <v/>
      </c>
      <c r="AH20">
        <f>IF(R20="",0,1)</f>
        <v/>
      </c>
      <c r="AI20">
        <f>IF(S20="",0,1)</f>
        <v/>
      </c>
      <c r="AJ20">
        <f>IF(T20="",0,1)</f>
        <v/>
      </c>
      <c r="AK20">
        <f>IF(U20="",0,1)</f>
        <v/>
      </c>
      <c r="AL20">
        <f>IF(V20="",0,1)</f>
        <v/>
      </c>
      <c r="AM20">
        <f>IF(W20="",0,1)</f>
        <v/>
      </c>
      <c r="AN20">
        <f>IF(X20="",0,1)</f>
        <v/>
      </c>
      <c r="AO20">
        <f>IF(Y20="",0,1)</f>
        <v/>
      </c>
      <c r="AP20">
        <f>IF(Z20="",0,1)</f>
        <v/>
      </c>
      <c r="AQ20">
        <f>IF(AA20="",0,1)</f>
        <v/>
      </c>
      <c r="AR20">
        <f>IF(L20="Buy more",ROW(),"")</f>
        <v/>
      </c>
      <c r="AS20">
        <f>IF(G20="",0,1)</f>
        <v/>
      </c>
    </row>
    <row r="21">
      <c r="A21" s="1" t="n"/>
      <c r="B21" s="21" t="inlineStr">
        <is>
          <t>Milk</t>
        </is>
      </c>
      <c r="C21" s="36" t="inlineStr">
        <is>
          <t>ml</t>
        </is>
      </c>
      <c r="D21" s="40" t="n">
        <v>1000</v>
      </c>
      <c r="E21" s="37" t="n">
        <v>1.1</v>
      </c>
      <c r="F21" s="40" t="n">
        <v>1000</v>
      </c>
      <c r="G21" s="36" t="n"/>
      <c r="H21" s="42">
        <f>IF(OR(B21="",N(D21)=0),"",N(E21)/D21)</f>
        <v/>
      </c>
      <c r="I21" s="43">
        <f>IF(B21="","",SUMIFS(Purchases!$J$6:$J$405,Purchases!$C$6:$C$405,B21))</f>
        <v/>
      </c>
      <c r="J21" s="43">
        <f>IF(B21="","",SUMIFS(Recipes!$H$6:$H$405,Recipes!$C$6:$C$405,B21))</f>
        <v/>
      </c>
      <c r="K21" s="43">
        <f>IF(OR(B21="",N(I21)=0),"",I21-J21)</f>
        <v/>
      </c>
      <c r="L21" s="12">
        <f>IF(OR(B21="",F21="",NOT(ISNUMBER(K21))),"",IF(K21&lt;=N(F21),"Buy more",""))</f>
        <v/>
      </c>
      <c r="M21" s="36" t="n"/>
      <c r="N21" s="36" t="n"/>
      <c r="O21" s="36" t="inlineStr">
        <is>
          <t>x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1" t="n"/>
      <c r="AC21">
        <f>IF(M21="",0,1)</f>
        <v/>
      </c>
      <c r="AD21">
        <f>IF(N21="",0,1)</f>
        <v/>
      </c>
      <c r="AE21">
        <f>IF(O21="",0,1)</f>
        <v/>
      </c>
      <c r="AF21">
        <f>IF(P21="",0,1)</f>
        <v/>
      </c>
      <c r="AG21">
        <f>IF(Q21="",0,1)</f>
        <v/>
      </c>
      <c r="AH21">
        <f>IF(R21="",0,1)</f>
        <v/>
      </c>
      <c r="AI21">
        <f>IF(S21="",0,1)</f>
        <v/>
      </c>
      <c r="AJ21">
        <f>IF(T21="",0,1)</f>
        <v/>
      </c>
      <c r="AK21">
        <f>IF(U21="",0,1)</f>
        <v/>
      </c>
      <c r="AL21">
        <f>IF(V21="",0,1)</f>
        <v/>
      </c>
      <c r="AM21">
        <f>IF(W21="",0,1)</f>
        <v/>
      </c>
      <c r="AN21">
        <f>IF(X21="",0,1)</f>
        <v/>
      </c>
      <c r="AO21">
        <f>IF(Y21="",0,1)</f>
        <v/>
      </c>
      <c r="AP21">
        <f>IF(Z21="",0,1)</f>
        <v/>
      </c>
      <c r="AQ21">
        <f>IF(AA21="",0,1)</f>
        <v/>
      </c>
      <c r="AR21">
        <f>IF(L21="Buy more",ROW(),"")</f>
        <v/>
      </c>
      <c r="AS21">
        <f>IF(G21="",0,1)</f>
        <v/>
      </c>
    </row>
    <row r="22">
      <c r="A22" s="1" t="n"/>
      <c r="B22" s="21" t="inlineStr">
        <is>
          <t>Dried yeast</t>
        </is>
      </c>
      <c r="C22" s="36" t="inlineStr">
        <is>
          <t>g</t>
        </is>
      </c>
      <c r="D22" s="40" t="n">
        <v>100</v>
      </c>
      <c r="E22" s="37" t="n">
        <v>2.3</v>
      </c>
      <c r="F22" s="40" t="n">
        <v>20</v>
      </c>
      <c r="G22" s="36" t="n"/>
      <c r="H22" s="42">
        <f>IF(OR(B22="",N(D22)=0),"",N(E22)/D22)</f>
        <v/>
      </c>
      <c r="I22" s="43">
        <f>IF(B22="","",SUMIFS(Purchases!$J$6:$J$405,Purchases!$C$6:$C$405,B22))</f>
        <v/>
      </c>
      <c r="J22" s="43">
        <f>IF(B22="","",SUMIFS(Recipes!$H$6:$H$405,Recipes!$C$6:$C$405,B22))</f>
        <v/>
      </c>
      <c r="K22" s="43">
        <f>IF(OR(B22="",N(I22)=0),"",I22-J22)</f>
        <v/>
      </c>
      <c r="L22" s="12">
        <f>IF(OR(B22="",F22="",NOT(ISNUMBER(K22))),"",IF(K22&lt;=N(F22),"Buy more",""))</f>
        <v/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1" t="n"/>
      <c r="AC22">
        <f>IF(M22="",0,1)</f>
        <v/>
      </c>
      <c r="AD22">
        <f>IF(N22="",0,1)</f>
        <v/>
      </c>
      <c r="AE22">
        <f>IF(O22="",0,1)</f>
        <v/>
      </c>
      <c r="AF22">
        <f>IF(P22="",0,1)</f>
        <v/>
      </c>
      <c r="AG22">
        <f>IF(Q22="",0,1)</f>
        <v/>
      </c>
      <c r="AH22">
        <f>IF(R22="",0,1)</f>
        <v/>
      </c>
      <c r="AI22">
        <f>IF(S22="",0,1)</f>
        <v/>
      </c>
      <c r="AJ22">
        <f>IF(T22="",0,1)</f>
        <v/>
      </c>
      <c r="AK22">
        <f>IF(U22="",0,1)</f>
        <v/>
      </c>
      <c r="AL22">
        <f>IF(V22="",0,1)</f>
        <v/>
      </c>
      <c r="AM22">
        <f>IF(W22="",0,1)</f>
        <v/>
      </c>
      <c r="AN22">
        <f>IF(X22="",0,1)</f>
        <v/>
      </c>
      <c r="AO22">
        <f>IF(Y22="",0,1)</f>
        <v/>
      </c>
      <c r="AP22">
        <f>IF(Z22="",0,1)</f>
        <v/>
      </c>
      <c r="AQ22">
        <f>IF(AA22="",0,1)</f>
        <v/>
      </c>
      <c r="AR22">
        <f>IF(L22="Buy more",ROW(),"")</f>
        <v/>
      </c>
      <c r="AS22">
        <f>IF(G22="",0,1)</f>
        <v/>
      </c>
    </row>
    <row r="23">
      <c r="A23" s="1" t="n"/>
      <c r="B23" s="21" t="inlineStr">
        <is>
          <t>Peanut butter</t>
        </is>
      </c>
      <c r="C23" s="36" t="inlineStr">
        <is>
          <t>g</t>
        </is>
      </c>
      <c r="D23" s="40" t="n">
        <v>340</v>
      </c>
      <c r="E23" s="37" t="n">
        <v>3.2</v>
      </c>
      <c r="F23" s="40" t="n">
        <v>340</v>
      </c>
      <c r="G23" s="36" t="n"/>
      <c r="H23" s="42">
        <f>IF(OR(B23="",N(D23)=0),"",N(E23)/D23)</f>
        <v/>
      </c>
      <c r="I23" s="43">
        <f>IF(B23="","",SUMIFS(Purchases!$J$6:$J$405,Purchases!$C$6:$C$405,B23))</f>
        <v/>
      </c>
      <c r="J23" s="43">
        <f>IF(B23="","",SUMIFS(Recipes!$H$6:$H$405,Recipes!$C$6:$C$405,B23))</f>
        <v/>
      </c>
      <c r="K23" s="43">
        <f>IF(OR(B23="",N(I23)=0),"",I23-J23)</f>
        <v/>
      </c>
      <c r="L23" s="12">
        <f>IF(OR(B23="",F23="",NOT(ISNUMBER(K23))),"",IF(K23&lt;=N(F23),"Buy more",""))</f>
        <v/>
      </c>
      <c r="M23" s="36" t="n"/>
      <c r="N23" s="36" t="n"/>
      <c r="O23" s="36" t="n"/>
      <c r="P23" s="36" t="n"/>
      <c r="Q23" s="36" t="n"/>
      <c r="R23" s="36" t="inlineStr">
        <is>
          <t>x</t>
        </is>
      </c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1" t="n"/>
      <c r="AC23">
        <f>IF(M23="",0,1)</f>
        <v/>
      </c>
      <c r="AD23">
        <f>IF(N23="",0,1)</f>
        <v/>
      </c>
      <c r="AE23">
        <f>IF(O23="",0,1)</f>
        <v/>
      </c>
      <c r="AF23">
        <f>IF(P23="",0,1)</f>
        <v/>
      </c>
      <c r="AG23">
        <f>IF(Q23="",0,1)</f>
        <v/>
      </c>
      <c r="AH23">
        <f>IF(R23="",0,1)</f>
        <v/>
      </c>
      <c r="AI23">
        <f>IF(S23="",0,1)</f>
        <v/>
      </c>
      <c r="AJ23">
        <f>IF(T23="",0,1)</f>
        <v/>
      </c>
      <c r="AK23">
        <f>IF(U23="",0,1)</f>
        <v/>
      </c>
      <c r="AL23">
        <f>IF(V23="",0,1)</f>
        <v/>
      </c>
      <c r="AM23">
        <f>IF(W23="",0,1)</f>
        <v/>
      </c>
      <c r="AN23">
        <f>IF(X23="",0,1)</f>
        <v/>
      </c>
      <c r="AO23">
        <f>IF(Y23="",0,1)</f>
        <v/>
      </c>
      <c r="AP23">
        <f>IF(Z23="",0,1)</f>
        <v/>
      </c>
      <c r="AQ23">
        <f>IF(AA23="",0,1)</f>
        <v/>
      </c>
      <c r="AR23">
        <f>IF(L23="Buy more",ROW(),"")</f>
        <v/>
      </c>
      <c r="AS23">
        <f>IF(G23="",0,1)</f>
        <v/>
      </c>
    </row>
    <row r="24">
      <c r="A24" s="1" t="n"/>
      <c r="B24" s="21" t="inlineStr">
        <is>
          <t>Salt</t>
        </is>
      </c>
      <c r="C24" s="36" t="inlineStr">
        <is>
          <t>g</t>
        </is>
      </c>
      <c r="D24" s="40" t="n">
        <v>1000</v>
      </c>
      <c r="E24" s="37" t="n">
        <v>0.8</v>
      </c>
      <c r="F24" s="40" t="n">
        <v>200</v>
      </c>
      <c r="G24" s="36" t="n"/>
      <c r="H24" s="42">
        <f>IF(OR(B24="",N(D24)=0),"",N(E24)/D24)</f>
        <v/>
      </c>
      <c r="I24" s="43">
        <f>IF(B24="","",SUMIFS(Purchases!$J$6:$J$405,Purchases!$C$6:$C$405,B24))</f>
        <v/>
      </c>
      <c r="J24" s="43">
        <f>IF(B24="","",SUMIFS(Recipes!$H$6:$H$405,Recipes!$C$6:$C$405,B24))</f>
        <v/>
      </c>
      <c r="K24" s="43">
        <f>IF(OR(B24="",N(I24)=0),"",I24-J24)</f>
        <v/>
      </c>
      <c r="L24" s="12">
        <f>IF(OR(B24="",F24="",NOT(ISNUMBER(K24))),"",IF(K24&lt;=N(F24),"Buy more",""))</f>
        <v/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1" t="n"/>
      <c r="AC24">
        <f>IF(M24="",0,1)</f>
        <v/>
      </c>
      <c r="AD24">
        <f>IF(N24="",0,1)</f>
        <v/>
      </c>
      <c r="AE24">
        <f>IF(O24="",0,1)</f>
        <v/>
      </c>
      <c r="AF24">
        <f>IF(P24="",0,1)</f>
        <v/>
      </c>
      <c r="AG24">
        <f>IF(Q24="",0,1)</f>
        <v/>
      </c>
      <c r="AH24">
        <f>IF(R24="",0,1)</f>
        <v/>
      </c>
      <c r="AI24">
        <f>IF(S24="",0,1)</f>
        <v/>
      </c>
      <c r="AJ24">
        <f>IF(T24="",0,1)</f>
        <v/>
      </c>
      <c r="AK24">
        <f>IF(U24="",0,1)</f>
        <v/>
      </c>
      <c r="AL24">
        <f>IF(V24="",0,1)</f>
        <v/>
      </c>
      <c r="AM24">
        <f>IF(W24="",0,1)</f>
        <v/>
      </c>
      <c r="AN24">
        <f>IF(X24="",0,1)</f>
        <v/>
      </c>
      <c r="AO24">
        <f>IF(Y24="",0,1)</f>
        <v/>
      </c>
      <c r="AP24">
        <f>IF(Z24="",0,1)</f>
        <v/>
      </c>
      <c r="AQ24">
        <f>IF(AA24="",0,1)</f>
        <v/>
      </c>
      <c r="AR24">
        <f>IF(L24="Buy more",ROW(),"")</f>
        <v/>
      </c>
      <c r="AS24">
        <f>IF(G24="",0,1)</f>
        <v/>
      </c>
    </row>
    <row r="25">
      <c r="A25" s="1" t="n"/>
      <c r="B25" s="21" t="inlineStr">
        <is>
          <t>Vanilla extract</t>
        </is>
      </c>
      <c r="C25" s="36" t="inlineStr">
        <is>
          <t>ml</t>
        </is>
      </c>
      <c r="D25" s="40" t="n">
        <v>60</v>
      </c>
      <c r="E25" s="37" t="n">
        <v>4.8</v>
      </c>
      <c r="F25" s="40" t="n">
        <v>20</v>
      </c>
      <c r="G25" s="36" t="n"/>
      <c r="H25" s="42">
        <f>IF(OR(B25="",N(D25)=0),"",N(E25)/D25)</f>
        <v/>
      </c>
      <c r="I25" s="43">
        <f>IF(B25="","",SUMIFS(Purchases!$J$6:$J$405,Purchases!$C$6:$C$405,B25))</f>
        <v/>
      </c>
      <c r="J25" s="43">
        <f>IF(B25="","",SUMIFS(Recipes!$H$6:$H$405,Recipes!$C$6:$C$405,B25))</f>
        <v/>
      </c>
      <c r="K25" s="43">
        <f>IF(OR(B25="",N(I25)=0),"",I25-J25)</f>
        <v/>
      </c>
      <c r="L25" s="12">
        <f>IF(OR(B25="",F25="",NOT(ISNUMBER(K25))),"",IF(K25&lt;=N(F25),"Buy more",""))</f>
        <v/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1" t="n"/>
      <c r="AC25">
        <f>IF(M25="",0,1)</f>
        <v/>
      </c>
      <c r="AD25">
        <f>IF(N25="",0,1)</f>
        <v/>
      </c>
      <c r="AE25">
        <f>IF(O25="",0,1)</f>
        <v/>
      </c>
      <c r="AF25">
        <f>IF(P25="",0,1)</f>
        <v/>
      </c>
      <c r="AG25">
        <f>IF(Q25="",0,1)</f>
        <v/>
      </c>
      <c r="AH25">
        <f>IF(R25="",0,1)</f>
        <v/>
      </c>
      <c r="AI25">
        <f>IF(S25="",0,1)</f>
        <v/>
      </c>
      <c r="AJ25">
        <f>IF(T25="",0,1)</f>
        <v/>
      </c>
      <c r="AK25">
        <f>IF(U25="",0,1)</f>
        <v/>
      </c>
      <c r="AL25">
        <f>IF(V25="",0,1)</f>
        <v/>
      </c>
      <c r="AM25">
        <f>IF(W25="",0,1)</f>
        <v/>
      </c>
      <c r="AN25">
        <f>IF(X25="",0,1)</f>
        <v/>
      </c>
      <c r="AO25">
        <f>IF(Y25="",0,1)</f>
        <v/>
      </c>
      <c r="AP25">
        <f>IF(Z25="",0,1)</f>
        <v/>
      </c>
      <c r="AQ25">
        <f>IF(AA25="",0,1)</f>
        <v/>
      </c>
      <c r="AR25">
        <f>IF(L25="Buy more",ROW(),"")</f>
        <v/>
      </c>
      <c r="AS25">
        <f>IF(G25="",0,1)</f>
        <v/>
      </c>
    </row>
    <row r="26">
      <c r="A26" s="1" t="n"/>
      <c r="B26" s="21" t="inlineStr">
        <is>
          <t>Jars and lids</t>
        </is>
      </c>
      <c r="C26" s="36" t="inlineStr">
        <is>
          <t>each</t>
        </is>
      </c>
      <c r="D26" s="40" t="n">
        <v>12</v>
      </c>
      <c r="E26" s="37" t="n">
        <v>9</v>
      </c>
      <c r="F26" s="40" t="n">
        <v>12</v>
      </c>
      <c r="G26" s="36" t="inlineStr">
        <is>
          <t>x</t>
        </is>
      </c>
      <c r="H26" s="42">
        <f>IF(OR(B26="",N(D26)=0),"",N(E26)/D26)</f>
        <v/>
      </c>
      <c r="I26" s="43">
        <f>IF(B26="","",SUMIFS(Purchases!$J$6:$J$405,Purchases!$C$6:$C$405,B26))</f>
        <v/>
      </c>
      <c r="J26" s="43">
        <f>IF(B26="","",SUMIFS(Recipes!$H$6:$H$405,Recipes!$C$6:$C$405,B26))</f>
        <v/>
      </c>
      <c r="K26" s="43">
        <f>IF(OR(B26="",N(I26)=0),"",I26-J26)</f>
        <v/>
      </c>
      <c r="L26" s="12">
        <f>IF(OR(B26="",F26="",NOT(ISNUMBER(K26))),"",IF(K26&lt;=N(F26),"Buy more",""))</f>
        <v/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1" t="n"/>
      <c r="AC26">
        <f>IF(M26="",0,1)</f>
        <v/>
      </c>
      <c r="AD26">
        <f>IF(N26="",0,1)</f>
        <v/>
      </c>
      <c r="AE26">
        <f>IF(O26="",0,1)</f>
        <v/>
      </c>
      <c r="AF26">
        <f>IF(P26="",0,1)</f>
        <v/>
      </c>
      <c r="AG26">
        <f>IF(Q26="",0,1)</f>
        <v/>
      </c>
      <c r="AH26">
        <f>IF(R26="",0,1)</f>
        <v/>
      </c>
      <c r="AI26">
        <f>IF(S26="",0,1)</f>
        <v/>
      </c>
      <c r="AJ26">
        <f>IF(T26="",0,1)</f>
        <v/>
      </c>
      <c r="AK26">
        <f>IF(U26="",0,1)</f>
        <v/>
      </c>
      <c r="AL26">
        <f>IF(V26="",0,1)</f>
        <v/>
      </c>
      <c r="AM26">
        <f>IF(W26="",0,1)</f>
        <v/>
      </c>
      <c r="AN26">
        <f>IF(X26="",0,1)</f>
        <v/>
      </c>
      <c r="AO26">
        <f>IF(Y26="",0,1)</f>
        <v/>
      </c>
      <c r="AP26">
        <f>IF(Z26="",0,1)</f>
        <v/>
      </c>
      <c r="AQ26">
        <f>IF(AA26="",0,1)</f>
        <v/>
      </c>
      <c r="AR26">
        <f>IF(L26="Buy more",ROW(),"")</f>
        <v/>
      </c>
      <c r="AS26">
        <f>IF(G26="",0,1)</f>
        <v/>
      </c>
    </row>
    <row r="27">
      <c r="A27" s="1" t="n"/>
      <c r="B27" s="21" t="inlineStr">
        <is>
          <t>Cookie bags</t>
        </is>
      </c>
      <c r="C27" s="36" t="inlineStr">
        <is>
          <t>each</t>
        </is>
      </c>
      <c r="D27" s="40" t="n">
        <v>50</v>
      </c>
      <c r="E27" s="37" t="n">
        <v>6</v>
      </c>
      <c r="F27" s="40" t="n">
        <v>20</v>
      </c>
      <c r="G27" s="36" t="inlineStr">
        <is>
          <t>x</t>
        </is>
      </c>
      <c r="H27" s="42">
        <f>IF(OR(B27="",N(D27)=0),"",N(E27)/D27)</f>
        <v/>
      </c>
      <c r="I27" s="43">
        <f>IF(B27="","",SUMIFS(Purchases!$J$6:$J$405,Purchases!$C$6:$C$405,B27))</f>
        <v/>
      </c>
      <c r="J27" s="43">
        <f>IF(B27="","",SUMIFS(Recipes!$H$6:$H$405,Recipes!$C$6:$C$405,B27))</f>
        <v/>
      </c>
      <c r="K27" s="43">
        <f>IF(OR(B27="",N(I27)=0),"",I27-J27)</f>
        <v/>
      </c>
      <c r="L27" s="12">
        <f>IF(OR(B27="",F27="",NOT(ISNUMBER(K27))),"",IF(K27&lt;=N(F27),"Buy more",""))</f>
        <v/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1" t="n"/>
      <c r="AC27">
        <f>IF(M27="",0,1)</f>
        <v/>
      </c>
      <c r="AD27">
        <f>IF(N27="",0,1)</f>
        <v/>
      </c>
      <c r="AE27">
        <f>IF(O27="",0,1)</f>
        <v/>
      </c>
      <c r="AF27">
        <f>IF(P27="",0,1)</f>
        <v/>
      </c>
      <c r="AG27">
        <f>IF(Q27="",0,1)</f>
        <v/>
      </c>
      <c r="AH27">
        <f>IF(R27="",0,1)</f>
        <v/>
      </c>
      <c r="AI27">
        <f>IF(S27="",0,1)</f>
        <v/>
      </c>
      <c r="AJ27">
        <f>IF(T27="",0,1)</f>
        <v/>
      </c>
      <c r="AK27">
        <f>IF(U27="",0,1)</f>
        <v/>
      </c>
      <c r="AL27">
        <f>IF(V27="",0,1)</f>
        <v/>
      </c>
      <c r="AM27">
        <f>IF(W27="",0,1)</f>
        <v/>
      </c>
      <c r="AN27">
        <f>IF(X27="",0,1)</f>
        <v/>
      </c>
      <c r="AO27">
        <f>IF(Y27="",0,1)</f>
        <v/>
      </c>
      <c r="AP27">
        <f>IF(Z27="",0,1)</f>
        <v/>
      </c>
      <c r="AQ27">
        <f>IF(AA27="",0,1)</f>
        <v/>
      </c>
      <c r="AR27">
        <f>IF(L27="Buy more",ROW(),"")</f>
        <v/>
      </c>
      <c r="AS27">
        <f>IF(G27="",0,1)</f>
        <v/>
      </c>
    </row>
    <row r="28">
      <c r="A28" s="1" t="n"/>
      <c r="B28" s="21" t="inlineStr">
        <is>
          <t>Cake boxes</t>
        </is>
      </c>
      <c r="C28" s="36" t="inlineStr">
        <is>
          <t>each</t>
        </is>
      </c>
      <c r="D28" s="40" t="n">
        <v>25</v>
      </c>
      <c r="E28" s="37" t="n">
        <v>11</v>
      </c>
      <c r="F28" s="40" t="n">
        <v>10</v>
      </c>
      <c r="G28" s="36" t="inlineStr">
        <is>
          <t>x</t>
        </is>
      </c>
      <c r="H28" s="42">
        <f>IF(OR(B28="",N(D28)=0),"",N(E28)/D28)</f>
        <v/>
      </c>
      <c r="I28" s="43">
        <f>IF(B28="","",SUMIFS(Purchases!$J$6:$J$405,Purchases!$C$6:$C$405,B28))</f>
        <v/>
      </c>
      <c r="J28" s="43">
        <f>IF(B28="","",SUMIFS(Recipes!$H$6:$H$405,Recipes!$C$6:$C$405,B28))</f>
        <v/>
      </c>
      <c r="K28" s="43">
        <f>IF(OR(B28="",N(I28)=0),"",I28-J28)</f>
        <v/>
      </c>
      <c r="L28" s="12">
        <f>IF(OR(B28="",F28="",NOT(ISNUMBER(K28))),"",IF(K28&lt;=N(F28),"Buy more",""))</f>
        <v/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1" t="n"/>
      <c r="AC28">
        <f>IF(M28="",0,1)</f>
        <v/>
      </c>
      <c r="AD28">
        <f>IF(N28="",0,1)</f>
        <v/>
      </c>
      <c r="AE28">
        <f>IF(O28="",0,1)</f>
        <v/>
      </c>
      <c r="AF28">
        <f>IF(P28="",0,1)</f>
        <v/>
      </c>
      <c r="AG28">
        <f>IF(Q28="",0,1)</f>
        <v/>
      </c>
      <c r="AH28">
        <f>IF(R28="",0,1)</f>
        <v/>
      </c>
      <c r="AI28">
        <f>IF(S28="",0,1)</f>
        <v/>
      </c>
      <c r="AJ28">
        <f>IF(T28="",0,1)</f>
        <v/>
      </c>
      <c r="AK28">
        <f>IF(U28="",0,1)</f>
        <v/>
      </c>
      <c r="AL28">
        <f>IF(V28="",0,1)</f>
        <v/>
      </c>
      <c r="AM28">
        <f>IF(W28="",0,1)</f>
        <v/>
      </c>
      <c r="AN28">
        <f>IF(X28="",0,1)</f>
        <v/>
      </c>
      <c r="AO28">
        <f>IF(Y28="",0,1)</f>
        <v/>
      </c>
      <c r="AP28">
        <f>IF(Z28="",0,1)</f>
        <v/>
      </c>
      <c r="AQ28">
        <f>IF(AA28="",0,1)</f>
        <v/>
      </c>
      <c r="AR28">
        <f>IF(L28="Buy more",ROW(),"")</f>
        <v/>
      </c>
      <c r="AS28">
        <f>IF(G28="",0,1)</f>
        <v/>
      </c>
    </row>
    <row r="29">
      <c r="A29" s="1" t="n"/>
      <c r="B29" s="21" t="n"/>
      <c r="C29" s="36" t="n"/>
      <c r="D29" s="40" t="n"/>
      <c r="E29" s="37" t="n"/>
      <c r="F29" s="40" t="n"/>
      <c r="G29" s="36" t="n"/>
      <c r="H29" s="42">
        <f>IF(OR(B29="",N(D29)=0),"",N(E29)/D29)</f>
        <v/>
      </c>
      <c r="I29" s="43">
        <f>IF(B29="","",SUMIFS(Purchases!$J$6:$J$405,Purchases!$C$6:$C$405,B29))</f>
        <v/>
      </c>
      <c r="J29" s="43">
        <f>IF(B29="","",SUMIFS(Recipes!$H$6:$H$405,Recipes!$C$6:$C$405,B29))</f>
        <v/>
      </c>
      <c r="K29" s="43">
        <f>IF(OR(B29="",N(I29)=0),"",I29-J29)</f>
        <v/>
      </c>
      <c r="L29" s="12">
        <f>IF(OR(B29="",F29="",NOT(ISNUMBER(K29))),"",IF(K29&lt;=N(F29),"Buy more",""))</f>
        <v/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1" t="n"/>
      <c r="AC29">
        <f>IF(M29="",0,1)</f>
        <v/>
      </c>
      <c r="AD29">
        <f>IF(N29="",0,1)</f>
        <v/>
      </c>
      <c r="AE29">
        <f>IF(O29="",0,1)</f>
        <v/>
      </c>
      <c r="AF29">
        <f>IF(P29="",0,1)</f>
        <v/>
      </c>
      <c r="AG29">
        <f>IF(Q29="",0,1)</f>
        <v/>
      </c>
      <c r="AH29">
        <f>IF(R29="",0,1)</f>
        <v/>
      </c>
      <c r="AI29">
        <f>IF(S29="",0,1)</f>
        <v/>
      </c>
      <c r="AJ29">
        <f>IF(T29="",0,1)</f>
        <v/>
      </c>
      <c r="AK29">
        <f>IF(U29="",0,1)</f>
        <v/>
      </c>
      <c r="AL29">
        <f>IF(V29="",0,1)</f>
        <v/>
      </c>
      <c r="AM29">
        <f>IF(W29="",0,1)</f>
        <v/>
      </c>
      <c r="AN29">
        <f>IF(X29="",0,1)</f>
        <v/>
      </c>
      <c r="AO29">
        <f>IF(Y29="",0,1)</f>
        <v/>
      </c>
      <c r="AP29">
        <f>IF(Z29="",0,1)</f>
        <v/>
      </c>
      <c r="AQ29">
        <f>IF(AA29="",0,1)</f>
        <v/>
      </c>
      <c r="AR29">
        <f>IF(L29="Buy more",ROW(),"")</f>
        <v/>
      </c>
      <c r="AS29">
        <f>IF(G29="",0,1)</f>
        <v/>
      </c>
    </row>
    <row r="30">
      <c r="A30" s="1" t="n"/>
      <c r="B30" s="21" t="n"/>
      <c r="C30" s="36" t="n"/>
      <c r="D30" s="40" t="n"/>
      <c r="E30" s="37" t="n"/>
      <c r="F30" s="40" t="n"/>
      <c r="G30" s="36" t="n"/>
      <c r="H30" s="42">
        <f>IF(OR(B30="",N(D30)=0),"",N(E30)/D30)</f>
        <v/>
      </c>
      <c r="I30" s="43">
        <f>IF(B30="","",SUMIFS(Purchases!$J$6:$J$405,Purchases!$C$6:$C$405,B30))</f>
        <v/>
      </c>
      <c r="J30" s="43">
        <f>IF(B30="","",SUMIFS(Recipes!$H$6:$H$405,Recipes!$C$6:$C$405,B30))</f>
        <v/>
      </c>
      <c r="K30" s="43">
        <f>IF(OR(B30="",N(I30)=0),"",I30-J30)</f>
        <v/>
      </c>
      <c r="L30" s="12">
        <f>IF(OR(B30="",F30="",NOT(ISNUMBER(K30))),"",IF(K30&lt;=N(F30),"Buy more",""))</f>
        <v/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1" t="n"/>
      <c r="AC30">
        <f>IF(M30="",0,1)</f>
        <v/>
      </c>
      <c r="AD30">
        <f>IF(N30="",0,1)</f>
        <v/>
      </c>
      <c r="AE30">
        <f>IF(O30="",0,1)</f>
        <v/>
      </c>
      <c r="AF30">
        <f>IF(P30="",0,1)</f>
        <v/>
      </c>
      <c r="AG30">
        <f>IF(Q30="",0,1)</f>
        <v/>
      </c>
      <c r="AH30">
        <f>IF(R30="",0,1)</f>
        <v/>
      </c>
      <c r="AI30">
        <f>IF(S30="",0,1)</f>
        <v/>
      </c>
      <c r="AJ30">
        <f>IF(T30="",0,1)</f>
        <v/>
      </c>
      <c r="AK30">
        <f>IF(U30="",0,1)</f>
        <v/>
      </c>
      <c r="AL30">
        <f>IF(V30="",0,1)</f>
        <v/>
      </c>
      <c r="AM30">
        <f>IF(W30="",0,1)</f>
        <v/>
      </c>
      <c r="AN30">
        <f>IF(X30="",0,1)</f>
        <v/>
      </c>
      <c r="AO30">
        <f>IF(Y30="",0,1)</f>
        <v/>
      </c>
      <c r="AP30">
        <f>IF(Z30="",0,1)</f>
        <v/>
      </c>
      <c r="AQ30">
        <f>IF(AA30="",0,1)</f>
        <v/>
      </c>
      <c r="AR30">
        <f>IF(L30="Buy more",ROW(),"")</f>
        <v/>
      </c>
      <c r="AS30">
        <f>IF(G30="",0,1)</f>
        <v/>
      </c>
    </row>
    <row r="31">
      <c r="A31" s="1" t="n"/>
      <c r="B31" s="21" t="n"/>
      <c r="C31" s="36" t="n"/>
      <c r="D31" s="40" t="n"/>
      <c r="E31" s="37" t="n"/>
      <c r="F31" s="40" t="n"/>
      <c r="G31" s="36" t="n"/>
      <c r="H31" s="42">
        <f>IF(OR(B31="",N(D31)=0),"",N(E31)/D31)</f>
        <v/>
      </c>
      <c r="I31" s="43">
        <f>IF(B31="","",SUMIFS(Purchases!$J$6:$J$405,Purchases!$C$6:$C$405,B31))</f>
        <v/>
      </c>
      <c r="J31" s="43">
        <f>IF(B31="","",SUMIFS(Recipes!$H$6:$H$405,Recipes!$C$6:$C$405,B31))</f>
        <v/>
      </c>
      <c r="K31" s="43">
        <f>IF(OR(B31="",N(I31)=0),"",I31-J31)</f>
        <v/>
      </c>
      <c r="L31" s="12">
        <f>IF(OR(B31="",F31="",NOT(ISNUMBER(K31))),"",IF(K31&lt;=N(F31),"Buy more",""))</f>
        <v/>
      </c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1" t="n"/>
      <c r="AC31">
        <f>IF(M31="",0,1)</f>
        <v/>
      </c>
      <c r="AD31">
        <f>IF(N31="",0,1)</f>
        <v/>
      </c>
      <c r="AE31">
        <f>IF(O31="",0,1)</f>
        <v/>
      </c>
      <c r="AF31">
        <f>IF(P31="",0,1)</f>
        <v/>
      </c>
      <c r="AG31">
        <f>IF(Q31="",0,1)</f>
        <v/>
      </c>
      <c r="AH31">
        <f>IF(R31="",0,1)</f>
        <v/>
      </c>
      <c r="AI31">
        <f>IF(S31="",0,1)</f>
        <v/>
      </c>
      <c r="AJ31">
        <f>IF(T31="",0,1)</f>
        <v/>
      </c>
      <c r="AK31">
        <f>IF(U31="",0,1)</f>
        <v/>
      </c>
      <c r="AL31">
        <f>IF(V31="",0,1)</f>
        <v/>
      </c>
      <c r="AM31">
        <f>IF(W31="",0,1)</f>
        <v/>
      </c>
      <c r="AN31">
        <f>IF(X31="",0,1)</f>
        <v/>
      </c>
      <c r="AO31">
        <f>IF(Y31="",0,1)</f>
        <v/>
      </c>
      <c r="AP31">
        <f>IF(Z31="",0,1)</f>
        <v/>
      </c>
      <c r="AQ31">
        <f>IF(AA31="",0,1)</f>
        <v/>
      </c>
      <c r="AR31">
        <f>IF(L31="Buy more",ROW(),"")</f>
        <v/>
      </c>
      <c r="AS31">
        <f>IF(G31="",0,1)</f>
        <v/>
      </c>
    </row>
    <row r="32">
      <c r="A32" s="1" t="n"/>
      <c r="B32" s="21" t="n"/>
      <c r="C32" s="36" t="n"/>
      <c r="D32" s="40" t="n"/>
      <c r="E32" s="37" t="n"/>
      <c r="F32" s="40" t="n"/>
      <c r="G32" s="36" t="n"/>
      <c r="H32" s="42">
        <f>IF(OR(B32="",N(D32)=0),"",N(E32)/D32)</f>
        <v/>
      </c>
      <c r="I32" s="43">
        <f>IF(B32="","",SUMIFS(Purchases!$J$6:$J$405,Purchases!$C$6:$C$405,B32))</f>
        <v/>
      </c>
      <c r="J32" s="43">
        <f>IF(B32="","",SUMIFS(Recipes!$H$6:$H$405,Recipes!$C$6:$C$405,B32))</f>
        <v/>
      </c>
      <c r="K32" s="43">
        <f>IF(OR(B32="",N(I32)=0),"",I32-J32)</f>
        <v/>
      </c>
      <c r="L32" s="12">
        <f>IF(OR(B32="",F32="",NOT(ISNUMBER(K32))),"",IF(K32&lt;=N(F32),"Buy more",""))</f>
        <v/>
      </c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1" t="n"/>
      <c r="AC32">
        <f>IF(M32="",0,1)</f>
        <v/>
      </c>
      <c r="AD32">
        <f>IF(N32="",0,1)</f>
        <v/>
      </c>
      <c r="AE32">
        <f>IF(O32="",0,1)</f>
        <v/>
      </c>
      <c r="AF32">
        <f>IF(P32="",0,1)</f>
        <v/>
      </c>
      <c r="AG32">
        <f>IF(Q32="",0,1)</f>
        <v/>
      </c>
      <c r="AH32">
        <f>IF(R32="",0,1)</f>
        <v/>
      </c>
      <c r="AI32">
        <f>IF(S32="",0,1)</f>
        <v/>
      </c>
      <c r="AJ32">
        <f>IF(T32="",0,1)</f>
        <v/>
      </c>
      <c r="AK32">
        <f>IF(U32="",0,1)</f>
        <v/>
      </c>
      <c r="AL32">
        <f>IF(V32="",0,1)</f>
        <v/>
      </c>
      <c r="AM32">
        <f>IF(W32="",0,1)</f>
        <v/>
      </c>
      <c r="AN32">
        <f>IF(X32="",0,1)</f>
        <v/>
      </c>
      <c r="AO32">
        <f>IF(Y32="",0,1)</f>
        <v/>
      </c>
      <c r="AP32">
        <f>IF(Z32="",0,1)</f>
        <v/>
      </c>
      <c r="AQ32">
        <f>IF(AA32="",0,1)</f>
        <v/>
      </c>
      <c r="AR32">
        <f>IF(L32="Buy more",ROW(),"")</f>
        <v/>
      </c>
      <c r="AS32">
        <f>IF(G32="",0,1)</f>
        <v/>
      </c>
    </row>
    <row r="33">
      <c r="A33" s="1" t="n"/>
      <c r="B33" s="21" t="n"/>
      <c r="C33" s="36" t="n"/>
      <c r="D33" s="40" t="n"/>
      <c r="E33" s="37" t="n"/>
      <c r="F33" s="40" t="n"/>
      <c r="G33" s="36" t="n"/>
      <c r="H33" s="42">
        <f>IF(OR(B33="",N(D33)=0),"",N(E33)/D33)</f>
        <v/>
      </c>
      <c r="I33" s="43">
        <f>IF(B33="","",SUMIFS(Purchases!$J$6:$J$405,Purchases!$C$6:$C$405,B33))</f>
        <v/>
      </c>
      <c r="J33" s="43">
        <f>IF(B33="","",SUMIFS(Recipes!$H$6:$H$405,Recipes!$C$6:$C$405,B33))</f>
        <v/>
      </c>
      <c r="K33" s="43">
        <f>IF(OR(B33="",N(I33)=0),"",I33-J33)</f>
        <v/>
      </c>
      <c r="L33" s="12">
        <f>IF(OR(B33="",F33="",NOT(ISNUMBER(K33))),"",IF(K33&lt;=N(F33),"Buy more",""))</f>
        <v/>
      </c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1" t="n"/>
      <c r="AC33">
        <f>IF(M33="",0,1)</f>
        <v/>
      </c>
      <c r="AD33">
        <f>IF(N33="",0,1)</f>
        <v/>
      </c>
      <c r="AE33">
        <f>IF(O33="",0,1)</f>
        <v/>
      </c>
      <c r="AF33">
        <f>IF(P33="",0,1)</f>
        <v/>
      </c>
      <c r="AG33">
        <f>IF(Q33="",0,1)</f>
        <v/>
      </c>
      <c r="AH33">
        <f>IF(R33="",0,1)</f>
        <v/>
      </c>
      <c r="AI33">
        <f>IF(S33="",0,1)</f>
        <v/>
      </c>
      <c r="AJ33">
        <f>IF(T33="",0,1)</f>
        <v/>
      </c>
      <c r="AK33">
        <f>IF(U33="",0,1)</f>
        <v/>
      </c>
      <c r="AL33">
        <f>IF(V33="",0,1)</f>
        <v/>
      </c>
      <c r="AM33">
        <f>IF(W33="",0,1)</f>
        <v/>
      </c>
      <c r="AN33">
        <f>IF(X33="",0,1)</f>
        <v/>
      </c>
      <c r="AO33">
        <f>IF(Y33="",0,1)</f>
        <v/>
      </c>
      <c r="AP33">
        <f>IF(Z33="",0,1)</f>
        <v/>
      </c>
      <c r="AQ33">
        <f>IF(AA33="",0,1)</f>
        <v/>
      </c>
      <c r="AR33">
        <f>IF(L33="Buy more",ROW(),"")</f>
        <v/>
      </c>
      <c r="AS33">
        <f>IF(G33="",0,1)</f>
        <v/>
      </c>
    </row>
    <row r="34">
      <c r="A34" s="1" t="n"/>
      <c r="B34" s="21" t="n"/>
      <c r="C34" s="36" t="n"/>
      <c r="D34" s="40" t="n"/>
      <c r="E34" s="37" t="n"/>
      <c r="F34" s="40" t="n"/>
      <c r="G34" s="36" t="n"/>
      <c r="H34" s="42">
        <f>IF(OR(B34="",N(D34)=0),"",N(E34)/D34)</f>
        <v/>
      </c>
      <c r="I34" s="43">
        <f>IF(B34="","",SUMIFS(Purchases!$J$6:$J$405,Purchases!$C$6:$C$405,B34))</f>
        <v/>
      </c>
      <c r="J34" s="43">
        <f>IF(B34="","",SUMIFS(Recipes!$H$6:$H$405,Recipes!$C$6:$C$405,B34))</f>
        <v/>
      </c>
      <c r="K34" s="43">
        <f>IF(OR(B34="",N(I34)=0),"",I34-J34)</f>
        <v/>
      </c>
      <c r="L34" s="12">
        <f>IF(OR(B34="",F34="",NOT(ISNUMBER(K34))),"",IF(K34&lt;=N(F34),"Buy more",""))</f>
        <v/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1" t="n"/>
      <c r="AC34">
        <f>IF(M34="",0,1)</f>
        <v/>
      </c>
      <c r="AD34">
        <f>IF(N34="",0,1)</f>
        <v/>
      </c>
      <c r="AE34">
        <f>IF(O34="",0,1)</f>
        <v/>
      </c>
      <c r="AF34">
        <f>IF(P34="",0,1)</f>
        <v/>
      </c>
      <c r="AG34">
        <f>IF(Q34="",0,1)</f>
        <v/>
      </c>
      <c r="AH34">
        <f>IF(R34="",0,1)</f>
        <v/>
      </c>
      <c r="AI34">
        <f>IF(S34="",0,1)</f>
        <v/>
      </c>
      <c r="AJ34">
        <f>IF(T34="",0,1)</f>
        <v/>
      </c>
      <c r="AK34">
        <f>IF(U34="",0,1)</f>
        <v/>
      </c>
      <c r="AL34">
        <f>IF(V34="",0,1)</f>
        <v/>
      </c>
      <c r="AM34">
        <f>IF(W34="",0,1)</f>
        <v/>
      </c>
      <c r="AN34">
        <f>IF(X34="",0,1)</f>
        <v/>
      </c>
      <c r="AO34">
        <f>IF(Y34="",0,1)</f>
        <v/>
      </c>
      <c r="AP34">
        <f>IF(Z34="",0,1)</f>
        <v/>
      </c>
      <c r="AQ34">
        <f>IF(AA34="",0,1)</f>
        <v/>
      </c>
      <c r="AR34">
        <f>IF(L34="Buy more",ROW(),"")</f>
        <v/>
      </c>
      <c r="AS34">
        <f>IF(G34="",0,1)</f>
        <v/>
      </c>
    </row>
    <row r="35">
      <c r="A35" s="1" t="n"/>
      <c r="B35" s="21" t="n"/>
      <c r="C35" s="36" t="n"/>
      <c r="D35" s="40" t="n"/>
      <c r="E35" s="37" t="n"/>
      <c r="F35" s="40" t="n"/>
      <c r="G35" s="36" t="n"/>
      <c r="H35" s="42">
        <f>IF(OR(B35="",N(D35)=0),"",N(E35)/D35)</f>
        <v/>
      </c>
      <c r="I35" s="43">
        <f>IF(B35="","",SUMIFS(Purchases!$J$6:$J$405,Purchases!$C$6:$C$405,B35))</f>
        <v/>
      </c>
      <c r="J35" s="43">
        <f>IF(B35="","",SUMIFS(Recipes!$H$6:$H$405,Recipes!$C$6:$C$405,B35))</f>
        <v/>
      </c>
      <c r="K35" s="43">
        <f>IF(OR(B35="",N(I35)=0),"",I35-J35)</f>
        <v/>
      </c>
      <c r="L35" s="12">
        <f>IF(OR(B35="",F35="",NOT(ISNUMBER(K35))),"",IF(K35&lt;=N(F35),"Buy more",""))</f>
        <v/>
      </c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1" t="n"/>
      <c r="AC35">
        <f>IF(M35="",0,1)</f>
        <v/>
      </c>
      <c r="AD35">
        <f>IF(N35="",0,1)</f>
        <v/>
      </c>
      <c r="AE35">
        <f>IF(O35="",0,1)</f>
        <v/>
      </c>
      <c r="AF35">
        <f>IF(P35="",0,1)</f>
        <v/>
      </c>
      <c r="AG35">
        <f>IF(Q35="",0,1)</f>
        <v/>
      </c>
      <c r="AH35">
        <f>IF(R35="",0,1)</f>
        <v/>
      </c>
      <c r="AI35">
        <f>IF(S35="",0,1)</f>
        <v/>
      </c>
      <c r="AJ35">
        <f>IF(T35="",0,1)</f>
        <v/>
      </c>
      <c r="AK35">
        <f>IF(U35="",0,1)</f>
        <v/>
      </c>
      <c r="AL35">
        <f>IF(V35="",0,1)</f>
        <v/>
      </c>
      <c r="AM35">
        <f>IF(W35="",0,1)</f>
        <v/>
      </c>
      <c r="AN35">
        <f>IF(X35="",0,1)</f>
        <v/>
      </c>
      <c r="AO35">
        <f>IF(Y35="",0,1)</f>
        <v/>
      </c>
      <c r="AP35">
        <f>IF(Z35="",0,1)</f>
        <v/>
      </c>
      <c r="AQ35">
        <f>IF(AA35="",0,1)</f>
        <v/>
      </c>
      <c r="AR35">
        <f>IF(L35="Buy more",ROW(),"")</f>
        <v/>
      </c>
      <c r="AS35">
        <f>IF(G35="",0,1)</f>
        <v/>
      </c>
    </row>
    <row r="36">
      <c r="A36" s="1" t="n"/>
      <c r="B36" s="21" t="n"/>
      <c r="C36" s="36" t="n"/>
      <c r="D36" s="40" t="n"/>
      <c r="E36" s="37" t="n"/>
      <c r="F36" s="40" t="n"/>
      <c r="G36" s="36" t="n"/>
      <c r="H36" s="42">
        <f>IF(OR(B36="",N(D36)=0),"",N(E36)/D36)</f>
        <v/>
      </c>
      <c r="I36" s="43">
        <f>IF(B36="","",SUMIFS(Purchases!$J$6:$J$405,Purchases!$C$6:$C$405,B36))</f>
        <v/>
      </c>
      <c r="J36" s="43">
        <f>IF(B36="","",SUMIFS(Recipes!$H$6:$H$405,Recipes!$C$6:$C$405,B36))</f>
        <v/>
      </c>
      <c r="K36" s="43">
        <f>IF(OR(B36="",N(I36)=0),"",I36-J36)</f>
        <v/>
      </c>
      <c r="L36" s="12">
        <f>IF(OR(B36="",F36="",NOT(ISNUMBER(K36))),"",IF(K36&lt;=N(F36),"Buy more",""))</f>
        <v/>
      </c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1" t="n"/>
      <c r="AC36">
        <f>IF(M36="",0,1)</f>
        <v/>
      </c>
      <c r="AD36">
        <f>IF(N36="",0,1)</f>
        <v/>
      </c>
      <c r="AE36">
        <f>IF(O36="",0,1)</f>
        <v/>
      </c>
      <c r="AF36">
        <f>IF(P36="",0,1)</f>
        <v/>
      </c>
      <c r="AG36">
        <f>IF(Q36="",0,1)</f>
        <v/>
      </c>
      <c r="AH36">
        <f>IF(R36="",0,1)</f>
        <v/>
      </c>
      <c r="AI36">
        <f>IF(S36="",0,1)</f>
        <v/>
      </c>
      <c r="AJ36">
        <f>IF(T36="",0,1)</f>
        <v/>
      </c>
      <c r="AK36">
        <f>IF(U36="",0,1)</f>
        <v/>
      </c>
      <c r="AL36">
        <f>IF(V36="",0,1)</f>
        <v/>
      </c>
      <c r="AM36">
        <f>IF(W36="",0,1)</f>
        <v/>
      </c>
      <c r="AN36">
        <f>IF(X36="",0,1)</f>
        <v/>
      </c>
      <c r="AO36">
        <f>IF(Y36="",0,1)</f>
        <v/>
      </c>
      <c r="AP36">
        <f>IF(Z36="",0,1)</f>
        <v/>
      </c>
      <c r="AQ36">
        <f>IF(AA36="",0,1)</f>
        <v/>
      </c>
      <c r="AR36">
        <f>IF(L36="Buy more",ROW(),"")</f>
        <v/>
      </c>
      <c r="AS36">
        <f>IF(G36="",0,1)</f>
        <v/>
      </c>
    </row>
    <row r="37">
      <c r="A37" s="1" t="n"/>
      <c r="B37" s="21" t="n"/>
      <c r="C37" s="36" t="n"/>
      <c r="D37" s="40" t="n"/>
      <c r="E37" s="37" t="n"/>
      <c r="F37" s="40" t="n"/>
      <c r="G37" s="36" t="n"/>
      <c r="H37" s="42">
        <f>IF(OR(B37="",N(D37)=0),"",N(E37)/D37)</f>
        <v/>
      </c>
      <c r="I37" s="43">
        <f>IF(B37="","",SUMIFS(Purchases!$J$6:$J$405,Purchases!$C$6:$C$405,B37))</f>
        <v/>
      </c>
      <c r="J37" s="43">
        <f>IF(B37="","",SUMIFS(Recipes!$H$6:$H$405,Recipes!$C$6:$C$405,B37))</f>
        <v/>
      </c>
      <c r="K37" s="43">
        <f>IF(OR(B37="",N(I37)=0),"",I37-J37)</f>
        <v/>
      </c>
      <c r="L37" s="12">
        <f>IF(OR(B37="",F37="",NOT(ISNUMBER(K37))),"",IF(K37&lt;=N(F37),"Buy more",""))</f>
        <v/>
      </c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1" t="n"/>
      <c r="AC37">
        <f>IF(M37="",0,1)</f>
        <v/>
      </c>
      <c r="AD37">
        <f>IF(N37="",0,1)</f>
        <v/>
      </c>
      <c r="AE37">
        <f>IF(O37="",0,1)</f>
        <v/>
      </c>
      <c r="AF37">
        <f>IF(P37="",0,1)</f>
        <v/>
      </c>
      <c r="AG37">
        <f>IF(Q37="",0,1)</f>
        <v/>
      </c>
      <c r="AH37">
        <f>IF(R37="",0,1)</f>
        <v/>
      </c>
      <c r="AI37">
        <f>IF(S37="",0,1)</f>
        <v/>
      </c>
      <c r="AJ37">
        <f>IF(T37="",0,1)</f>
        <v/>
      </c>
      <c r="AK37">
        <f>IF(U37="",0,1)</f>
        <v/>
      </c>
      <c r="AL37">
        <f>IF(V37="",0,1)</f>
        <v/>
      </c>
      <c r="AM37">
        <f>IF(W37="",0,1)</f>
        <v/>
      </c>
      <c r="AN37">
        <f>IF(X37="",0,1)</f>
        <v/>
      </c>
      <c r="AO37">
        <f>IF(Y37="",0,1)</f>
        <v/>
      </c>
      <c r="AP37">
        <f>IF(Z37="",0,1)</f>
        <v/>
      </c>
      <c r="AQ37">
        <f>IF(AA37="",0,1)</f>
        <v/>
      </c>
      <c r="AR37">
        <f>IF(L37="Buy more",ROW(),"")</f>
        <v/>
      </c>
      <c r="AS37">
        <f>IF(G37="",0,1)</f>
        <v/>
      </c>
    </row>
    <row r="38">
      <c r="A38" s="1" t="n"/>
      <c r="B38" s="21" t="n"/>
      <c r="C38" s="36" t="n"/>
      <c r="D38" s="40" t="n"/>
      <c r="E38" s="37" t="n"/>
      <c r="F38" s="40" t="n"/>
      <c r="G38" s="36" t="n"/>
      <c r="H38" s="42">
        <f>IF(OR(B38="",N(D38)=0),"",N(E38)/D38)</f>
        <v/>
      </c>
      <c r="I38" s="43">
        <f>IF(B38="","",SUMIFS(Purchases!$J$6:$J$405,Purchases!$C$6:$C$405,B38))</f>
        <v/>
      </c>
      <c r="J38" s="43">
        <f>IF(B38="","",SUMIFS(Recipes!$H$6:$H$405,Recipes!$C$6:$C$405,B38))</f>
        <v/>
      </c>
      <c r="K38" s="43">
        <f>IF(OR(B38="",N(I38)=0),"",I38-J38)</f>
        <v/>
      </c>
      <c r="L38" s="12">
        <f>IF(OR(B38="",F38="",NOT(ISNUMBER(K38))),"",IF(K38&lt;=N(F38),"Buy more",""))</f>
        <v/>
      </c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1" t="n"/>
      <c r="AC38">
        <f>IF(M38="",0,1)</f>
        <v/>
      </c>
      <c r="AD38">
        <f>IF(N38="",0,1)</f>
        <v/>
      </c>
      <c r="AE38">
        <f>IF(O38="",0,1)</f>
        <v/>
      </c>
      <c r="AF38">
        <f>IF(P38="",0,1)</f>
        <v/>
      </c>
      <c r="AG38">
        <f>IF(Q38="",0,1)</f>
        <v/>
      </c>
      <c r="AH38">
        <f>IF(R38="",0,1)</f>
        <v/>
      </c>
      <c r="AI38">
        <f>IF(S38="",0,1)</f>
        <v/>
      </c>
      <c r="AJ38">
        <f>IF(T38="",0,1)</f>
        <v/>
      </c>
      <c r="AK38">
        <f>IF(U38="",0,1)</f>
        <v/>
      </c>
      <c r="AL38">
        <f>IF(V38="",0,1)</f>
        <v/>
      </c>
      <c r="AM38">
        <f>IF(W38="",0,1)</f>
        <v/>
      </c>
      <c r="AN38">
        <f>IF(X38="",0,1)</f>
        <v/>
      </c>
      <c r="AO38">
        <f>IF(Y38="",0,1)</f>
        <v/>
      </c>
      <c r="AP38">
        <f>IF(Z38="",0,1)</f>
        <v/>
      </c>
      <c r="AQ38">
        <f>IF(AA38="",0,1)</f>
        <v/>
      </c>
      <c r="AR38">
        <f>IF(L38="Buy more",ROW(),"")</f>
        <v/>
      </c>
      <c r="AS38">
        <f>IF(G38="",0,1)</f>
        <v/>
      </c>
    </row>
    <row r="39">
      <c r="A39" s="1" t="n"/>
      <c r="B39" s="21" t="n"/>
      <c r="C39" s="36" t="n"/>
      <c r="D39" s="40" t="n"/>
      <c r="E39" s="37" t="n"/>
      <c r="F39" s="40" t="n"/>
      <c r="G39" s="36" t="n"/>
      <c r="H39" s="42">
        <f>IF(OR(B39="",N(D39)=0),"",N(E39)/D39)</f>
        <v/>
      </c>
      <c r="I39" s="43">
        <f>IF(B39="","",SUMIFS(Purchases!$J$6:$J$405,Purchases!$C$6:$C$405,B39))</f>
        <v/>
      </c>
      <c r="J39" s="43">
        <f>IF(B39="","",SUMIFS(Recipes!$H$6:$H$405,Recipes!$C$6:$C$405,B39))</f>
        <v/>
      </c>
      <c r="K39" s="43">
        <f>IF(OR(B39="",N(I39)=0),"",I39-J39)</f>
        <v/>
      </c>
      <c r="L39" s="12">
        <f>IF(OR(B39="",F39="",NOT(ISNUMBER(K39))),"",IF(K39&lt;=N(F39),"Buy more",""))</f>
        <v/>
      </c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1" t="n"/>
      <c r="AC39">
        <f>IF(M39="",0,1)</f>
        <v/>
      </c>
      <c r="AD39">
        <f>IF(N39="",0,1)</f>
        <v/>
      </c>
      <c r="AE39">
        <f>IF(O39="",0,1)</f>
        <v/>
      </c>
      <c r="AF39">
        <f>IF(P39="",0,1)</f>
        <v/>
      </c>
      <c r="AG39">
        <f>IF(Q39="",0,1)</f>
        <v/>
      </c>
      <c r="AH39">
        <f>IF(R39="",0,1)</f>
        <v/>
      </c>
      <c r="AI39">
        <f>IF(S39="",0,1)</f>
        <v/>
      </c>
      <c r="AJ39">
        <f>IF(T39="",0,1)</f>
        <v/>
      </c>
      <c r="AK39">
        <f>IF(U39="",0,1)</f>
        <v/>
      </c>
      <c r="AL39">
        <f>IF(V39="",0,1)</f>
        <v/>
      </c>
      <c r="AM39">
        <f>IF(W39="",0,1)</f>
        <v/>
      </c>
      <c r="AN39">
        <f>IF(X39="",0,1)</f>
        <v/>
      </c>
      <c r="AO39">
        <f>IF(Y39="",0,1)</f>
        <v/>
      </c>
      <c r="AP39">
        <f>IF(Z39="",0,1)</f>
        <v/>
      </c>
      <c r="AQ39">
        <f>IF(AA39="",0,1)</f>
        <v/>
      </c>
      <c r="AR39">
        <f>IF(L39="Buy more",ROW(),"")</f>
        <v/>
      </c>
      <c r="AS39">
        <f>IF(G39="",0,1)</f>
        <v/>
      </c>
    </row>
    <row r="40">
      <c r="A40" s="1" t="n"/>
      <c r="B40" s="21" t="n"/>
      <c r="C40" s="36" t="n"/>
      <c r="D40" s="40" t="n"/>
      <c r="E40" s="37" t="n"/>
      <c r="F40" s="40" t="n"/>
      <c r="G40" s="36" t="n"/>
      <c r="H40" s="42">
        <f>IF(OR(B40="",N(D40)=0),"",N(E40)/D40)</f>
        <v/>
      </c>
      <c r="I40" s="43">
        <f>IF(B40="","",SUMIFS(Purchases!$J$6:$J$405,Purchases!$C$6:$C$405,B40))</f>
        <v/>
      </c>
      <c r="J40" s="43">
        <f>IF(B40="","",SUMIFS(Recipes!$H$6:$H$405,Recipes!$C$6:$C$405,B40))</f>
        <v/>
      </c>
      <c r="K40" s="43">
        <f>IF(OR(B40="",N(I40)=0),"",I40-J40)</f>
        <v/>
      </c>
      <c r="L40" s="12">
        <f>IF(OR(B40="",F40="",NOT(ISNUMBER(K40))),"",IF(K40&lt;=N(F40),"Buy more",""))</f>
        <v/>
      </c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1" t="n"/>
      <c r="AC40">
        <f>IF(M40="",0,1)</f>
        <v/>
      </c>
      <c r="AD40">
        <f>IF(N40="",0,1)</f>
        <v/>
      </c>
      <c r="AE40">
        <f>IF(O40="",0,1)</f>
        <v/>
      </c>
      <c r="AF40">
        <f>IF(P40="",0,1)</f>
        <v/>
      </c>
      <c r="AG40">
        <f>IF(Q40="",0,1)</f>
        <v/>
      </c>
      <c r="AH40">
        <f>IF(R40="",0,1)</f>
        <v/>
      </c>
      <c r="AI40">
        <f>IF(S40="",0,1)</f>
        <v/>
      </c>
      <c r="AJ40">
        <f>IF(T40="",0,1)</f>
        <v/>
      </c>
      <c r="AK40">
        <f>IF(U40="",0,1)</f>
        <v/>
      </c>
      <c r="AL40">
        <f>IF(V40="",0,1)</f>
        <v/>
      </c>
      <c r="AM40">
        <f>IF(W40="",0,1)</f>
        <v/>
      </c>
      <c r="AN40">
        <f>IF(X40="",0,1)</f>
        <v/>
      </c>
      <c r="AO40">
        <f>IF(Y40="",0,1)</f>
        <v/>
      </c>
      <c r="AP40">
        <f>IF(Z40="",0,1)</f>
        <v/>
      </c>
      <c r="AQ40">
        <f>IF(AA40="",0,1)</f>
        <v/>
      </c>
      <c r="AR40">
        <f>IF(L40="Buy more",ROW(),"")</f>
        <v/>
      </c>
      <c r="AS40">
        <f>IF(G40="",0,1)</f>
        <v/>
      </c>
    </row>
    <row r="41">
      <c r="A41" s="1" t="n"/>
      <c r="B41" s="21" t="n"/>
      <c r="C41" s="36" t="n"/>
      <c r="D41" s="40" t="n"/>
      <c r="E41" s="37" t="n"/>
      <c r="F41" s="40" t="n"/>
      <c r="G41" s="36" t="n"/>
      <c r="H41" s="42">
        <f>IF(OR(B41="",N(D41)=0),"",N(E41)/D41)</f>
        <v/>
      </c>
      <c r="I41" s="43">
        <f>IF(B41="","",SUMIFS(Purchases!$J$6:$J$405,Purchases!$C$6:$C$405,B41))</f>
        <v/>
      </c>
      <c r="J41" s="43">
        <f>IF(B41="","",SUMIFS(Recipes!$H$6:$H$405,Recipes!$C$6:$C$405,B41))</f>
        <v/>
      </c>
      <c r="K41" s="43">
        <f>IF(OR(B41="",N(I41)=0),"",I41-J41)</f>
        <v/>
      </c>
      <c r="L41" s="12">
        <f>IF(OR(B41="",F41="",NOT(ISNUMBER(K41))),"",IF(K41&lt;=N(F41),"Buy more",""))</f>
        <v/>
      </c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1" t="n"/>
      <c r="AC41">
        <f>IF(M41="",0,1)</f>
        <v/>
      </c>
      <c r="AD41">
        <f>IF(N41="",0,1)</f>
        <v/>
      </c>
      <c r="AE41">
        <f>IF(O41="",0,1)</f>
        <v/>
      </c>
      <c r="AF41">
        <f>IF(P41="",0,1)</f>
        <v/>
      </c>
      <c r="AG41">
        <f>IF(Q41="",0,1)</f>
        <v/>
      </c>
      <c r="AH41">
        <f>IF(R41="",0,1)</f>
        <v/>
      </c>
      <c r="AI41">
        <f>IF(S41="",0,1)</f>
        <v/>
      </c>
      <c r="AJ41">
        <f>IF(T41="",0,1)</f>
        <v/>
      </c>
      <c r="AK41">
        <f>IF(U41="",0,1)</f>
        <v/>
      </c>
      <c r="AL41">
        <f>IF(V41="",0,1)</f>
        <v/>
      </c>
      <c r="AM41">
        <f>IF(W41="",0,1)</f>
        <v/>
      </c>
      <c r="AN41">
        <f>IF(X41="",0,1)</f>
        <v/>
      </c>
      <c r="AO41">
        <f>IF(Y41="",0,1)</f>
        <v/>
      </c>
      <c r="AP41">
        <f>IF(Z41="",0,1)</f>
        <v/>
      </c>
      <c r="AQ41">
        <f>IF(AA41="",0,1)</f>
        <v/>
      </c>
      <c r="AR41">
        <f>IF(L41="Buy more",ROW(),"")</f>
        <v/>
      </c>
      <c r="AS41">
        <f>IF(G41="",0,1)</f>
        <v/>
      </c>
    </row>
    <row r="42">
      <c r="A42" s="1" t="n"/>
      <c r="B42" s="21" t="n"/>
      <c r="C42" s="36" t="n"/>
      <c r="D42" s="40" t="n"/>
      <c r="E42" s="37" t="n"/>
      <c r="F42" s="40" t="n"/>
      <c r="G42" s="36" t="n"/>
      <c r="H42" s="42">
        <f>IF(OR(B42="",N(D42)=0),"",N(E42)/D42)</f>
        <v/>
      </c>
      <c r="I42" s="43">
        <f>IF(B42="","",SUMIFS(Purchases!$J$6:$J$405,Purchases!$C$6:$C$405,B42))</f>
        <v/>
      </c>
      <c r="J42" s="43">
        <f>IF(B42="","",SUMIFS(Recipes!$H$6:$H$405,Recipes!$C$6:$C$405,B42))</f>
        <v/>
      </c>
      <c r="K42" s="43">
        <f>IF(OR(B42="",N(I42)=0),"",I42-J42)</f>
        <v/>
      </c>
      <c r="L42" s="12">
        <f>IF(OR(B42="",F42="",NOT(ISNUMBER(K42))),"",IF(K42&lt;=N(F42),"Buy more",""))</f>
        <v/>
      </c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1" t="n"/>
      <c r="AC42">
        <f>IF(M42="",0,1)</f>
        <v/>
      </c>
      <c r="AD42">
        <f>IF(N42="",0,1)</f>
        <v/>
      </c>
      <c r="AE42">
        <f>IF(O42="",0,1)</f>
        <v/>
      </c>
      <c r="AF42">
        <f>IF(P42="",0,1)</f>
        <v/>
      </c>
      <c r="AG42">
        <f>IF(Q42="",0,1)</f>
        <v/>
      </c>
      <c r="AH42">
        <f>IF(R42="",0,1)</f>
        <v/>
      </c>
      <c r="AI42">
        <f>IF(S42="",0,1)</f>
        <v/>
      </c>
      <c r="AJ42">
        <f>IF(T42="",0,1)</f>
        <v/>
      </c>
      <c r="AK42">
        <f>IF(U42="",0,1)</f>
        <v/>
      </c>
      <c r="AL42">
        <f>IF(V42="",0,1)</f>
        <v/>
      </c>
      <c r="AM42">
        <f>IF(W42="",0,1)</f>
        <v/>
      </c>
      <c r="AN42">
        <f>IF(X42="",0,1)</f>
        <v/>
      </c>
      <c r="AO42">
        <f>IF(Y42="",0,1)</f>
        <v/>
      </c>
      <c r="AP42">
        <f>IF(Z42="",0,1)</f>
        <v/>
      </c>
      <c r="AQ42">
        <f>IF(AA42="",0,1)</f>
        <v/>
      </c>
      <c r="AR42">
        <f>IF(L42="Buy more",ROW(),"")</f>
        <v/>
      </c>
      <c r="AS42">
        <f>IF(G42="",0,1)</f>
        <v/>
      </c>
    </row>
    <row r="43">
      <c r="A43" s="1" t="n"/>
      <c r="B43" s="21" t="n"/>
      <c r="C43" s="36" t="n"/>
      <c r="D43" s="40" t="n"/>
      <c r="E43" s="37" t="n"/>
      <c r="F43" s="40" t="n"/>
      <c r="G43" s="36" t="n"/>
      <c r="H43" s="42">
        <f>IF(OR(B43="",N(D43)=0),"",N(E43)/D43)</f>
        <v/>
      </c>
      <c r="I43" s="43">
        <f>IF(B43="","",SUMIFS(Purchases!$J$6:$J$405,Purchases!$C$6:$C$405,B43))</f>
        <v/>
      </c>
      <c r="J43" s="43">
        <f>IF(B43="","",SUMIFS(Recipes!$H$6:$H$405,Recipes!$C$6:$C$405,B43))</f>
        <v/>
      </c>
      <c r="K43" s="43">
        <f>IF(OR(B43="",N(I43)=0),"",I43-J43)</f>
        <v/>
      </c>
      <c r="L43" s="12">
        <f>IF(OR(B43="",F43="",NOT(ISNUMBER(K43))),"",IF(K43&lt;=N(F43),"Buy more",""))</f>
        <v/>
      </c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1" t="n"/>
      <c r="AC43">
        <f>IF(M43="",0,1)</f>
        <v/>
      </c>
      <c r="AD43">
        <f>IF(N43="",0,1)</f>
        <v/>
      </c>
      <c r="AE43">
        <f>IF(O43="",0,1)</f>
        <v/>
      </c>
      <c r="AF43">
        <f>IF(P43="",0,1)</f>
        <v/>
      </c>
      <c r="AG43">
        <f>IF(Q43="",0,1)</f>
        <v/>
      </c>
      <c r="AH43">
        <f>IF(R43="",0,1)</f>
        <v/>
      </c>
      <c r="AI43">
        <f>IF(S43="",0,1)</f>
        <v/>
      </c>
      <c r="AJ43">
        <f>IF(T43="",0,1)</f>
        <v/>
      </c>
      <c r="AK43">
        <f>IF(U43="",0,1)</f>
        <v/>
      </c>
      <c r="AL43">
        <f>IF(V43="",0,1)</f>
        <v/>
      </c>
      <c r="AM43">
        <f>IF(W43="",0,1)</f>
        <v/>
      </c>
      <c r="AN43">
        <f>IF(X43="",0,1)</f>
        <v/>
      </c>
      <c r="AO43">
        <f>IF(Y43="",0,1)</f>
        <v/>
      </c>
      <c r="AP43">
        <f>IF(Z43="",0,1)</f>
        <v/>
      </c>
      <c r="AQ43">
        <f>IF(AA43="",0,1)</f>
        <v/>
      </c>
      <c r="AR43">
        <f>IF(L43="Buy more",ROW(),"")</f>
        <v/>
      </c>
      <c r="AS43">
        <f>IF(G43="",0,1)</f>
        <v/>
      </c>
    </row>
    <row r="44">
      <c r="A44" s="1" t="n"/>
      <c r="B44" s="21" t="n"/>
      <c r="C44" s="36" t="n"/>
      <c r="D44" s="40" t="n"/>
      <c r="E44" s="37" t="n"/>
      <c r="F44" s="40" t="n"/>
      <c r="G44" s="36" t="n"/>
      <c r="H44" s="42">
        <f>IF(OR(B44="",N(D44)=0),"",N(E44)/D44)</f>
        <v/>
      </c>
      <c r="I44" s="43">
        <f>IF(B44="","",SUMIFS(Purchases!$J$6:$J$405,Purchases!$C$6:$C$405,B44))</f>
        <v/>
      </c>
      <c r="J44" s="43">
        <f>IF(B44="","",SUMIFS(Recipes!$H$6:$H$405,Recipes!$C$6:$C$405,B44))</f>
        <v/>
      </c>
      <c r="K44" s="43">
        <f>IF(OR(B44="",N(I44)=0),"",I44-J44)</f>
        <v/>
      </c>
      <c r="L44" s="12">
        <f>IF(OR(B44="",F44="",NOT(ISNUMBER(K44))),"",IF(K44&lt;=N(F44),"Buy more",""))</f>
        <v/>
      </c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1" t="n"/>
      <c r="AC44">
        <f>IF(M44="",0,1)</f>
        <v/>
      </c>
      <c r="AD44">
        <f>IF(N44="",0,1)</f>
        <v/>
      </c>
      <c r="AE44">
        <f>IF(O44="",0,1)</f>
        <v/>
      </c>
      <c r="AF44">
        <f>IF(P44="",0,1)</f>
        <v/>
      </c>
      <c r="AG44">
        <f>IF(Q44="",0,1)</f>
        <v/>
      </c>
      <c r="AH44">
        <f>IF(R44="",0,1)</f>
        <v/>
      </c>
      <c r="AI44">
        <f>IF(S44="",0,1)</f>
        <v/>
      </c>
      <c r="AJ44">
        <f>IF(T44="",0,1)</f>
        <v/>
      </c>
      <c r="AK44">
        <f>IF(U44="",0,1)</f>
        <v/>
      </c>
      <c r="AL44">
        <f>IF(V44="",0,1)</f>
        <v/>
      </c>
      <c r="AM44">
        <f>IF(W44="",0,1)</f>
        <v/>
      </c>
      <c r="AN44">
        <f>IF(X44="",0,1)</f>
        <v/>
      </c>
      <c r="AO44">
        <f>IF(Y44="",0,1)</f>
        <v/>
      </c>
      <c r="AP44">
        <f>IF(Z44="",0,1)</f>
        <v/>
      </c>
      <c r="AQ44">
        <f>IF(AA44="",0,1)</f>
        <v/>
      </c>
      <c r="AR44">
        <f>IF(L44="Buy more",ROW(),"")</f>
        <v/>
      </c>
      <c r="AS44">
        <f>IF(G44="",0,1)</f>
        <v/>
      </c>
    </row>
    <row r="45">
      <c r="A45" s="1" t="n"/>
      <c r="B45" s="21" t="n"/>
      <c r="C45" s="36" t="n"/>
      <c r="D45" s="40" t="n"/>
      <c r="E45" s="37" t="n"/>
      <c r="F45" s="40" t="n"/>
      <c r="G45" s="36" t="n"/>
      <c r="H45" s="42">
        <f>IF(OR(B45="",N(D45)=0),"",N(E45)/D45)</f>
        <v/>
      </c>
      <c r="I45" s="43">
        <f>IF(B45="","",SUMIFS(Purchases!$J$6:$J$405,Purchases!$C$6:$C$405,B45))</f>
        <v/>
      </c>
      <c r="J45" s="43">
        <f>IF(B45="","",SUMIFS(Recipes!$H$6:$H$405,Recipes!$C$6:$C$405,B45))</f>
        <v/>
      </c>
      <c r="K45" s="43">
        <f>IF(OR(B45="",N(I45)=0),"",I45-J45)</f>
        <v/>
      </c>
      <c r="L45" s="12">
        <f>IF(OR(B45="",F45="",NOT(ISNUMBER(K45))),"",IF(K45&lt;=N(F45),"Buy more",""))</f>
        <v/>
      </c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1" t="n"/>
      <c r="AC45">
        <f>IF(M45="",0,1)</f>
        <v/>
      </c>
      <c r="AD45">
        <f>IF(N45="",0,1)</f>
        <v/>
      </c>
      <c r="AE45">
        <f>IF(O45="",0,1)</f>
        <v/>
      </c>
      <c r="AF45">
        <f>IF(P45="",0,1)</f>
        <v/>
      </c>
      <c r="AG45">
        <f>IF(Q45="",0,1)</f>
        <v/>
      </c>
      <c r="AH45">
        <f>IF(R45="",0,1)</f>
        <v/>
      </c>
      <c r="AI45">
        <f>IF(S45="",0,1)</f>
        <v/>
      </c>
      <c r="AJ45">
        <f>IF(T45="",0,1)</f>
        <v/>
      </c>
      <c r="AK45">
        <f>IF(U45="",0,1)</f>
        <v/>
      </c>
      <c r="AL45">
        <f>IF(V45="",0,1)</f>
        <v/>
      </c>
      <c r="AM45">
        <f>IF(W45="",0,1)</f>
        <v/>
      </c>
      <c r="AN45">
        <f>IF(X45="",0,1)</f>
        <v/>
      </c>
      <c r="AO45">
        <f>IF(Y45="",0,1)</f>
        <v/>
      </c>
      <c r="AP45">
        <f>IF(Z45="",0,1)</f>
        <v/>
      </c>
      <c r="AQ45">
        <f>IF(AA45="",0,1)</f>
        <v/>
      </c>
      <c r="AR45">
        <f>IF(L45="Buy more",ROW(),"")</f>
        <v/>
      </c>
      <c r="AS45">
        <f>IF(G45="",0,1)</f>
        <v/>
      </c>
    </row>
    <row r="46">
      <c r="A46" s="1" t="n"/>
      <c r="B46" s="21" t="n"/>
      <c r="C46" s="36" t="n"/>
      <c r="D46" s="40" t="n"/>
      <c r="E46" s="37" t="n"/>
      <c r="F46" s="40" t="n"/>
      <c r="G46" s="36" t="n"/>
      <c r="H46" s="42">
        <f>IF(OR(B46="",N(D46)=0),"",N(E46)/D46)</f>
        <v/>
      </c>
      <c r="I46" s="43">
        <f>IF(B46="","",SUMIFS(Purchases!$J$6:$J$405,Purchases!$C$6:$C$405,B46))</f>
        <v/>
      </c>
      <c r="J46" s="43">
        <f>IF(B46="","",SUMIFS(Recipes!$H$6:$H$405,Recipes!$C$6:$C$405,B46))</f>
        <v/>
      </c>
      <c r="K46" s="43">
        <f>IF(OR(B46="",N(I46)=0),"",I46-J46)</f>
        <v/>
      </c>
      <c r="L46" s="12">
        <f>IF(OR(B46="",F46="",NOT(ISNUMBER(K46))),"",IF(K46&lt;=N(F46),"Buy more",""))</f>
        <v/>
      </c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1" t="n"/>
      <c r="AC46">
        <f>IF(M46="",0,1)</f>
        <v/>
      </c>
      <c r="AD46">
        <f>IF(N46="",0,1)</f>
        <v/>
      </c>
      <c r="AE46">
        <f>IF(O46="",0,1)</f>
        <v/>
      </c>
      <c r="AF46">
        <f>IF(P46="",0,1)</f>
        <v/>
      </c>
      <c r="AG46">
        <f>IF(Q46="",0,1)</f>
        <v/>
      </c>
      <c r="AH46">
        <f>IF(R46="",0,1)</f>
        <v/>
      </c>
      <c r="AI46">
        <f>IF(S46="",0,1)</f>
        <v/>
      </c>
      <c r="AJ46">
        <f>IF(T46="",0,1)</f>
        <v/>
      </c>
      <c r="AK46">
        <f>IF(U46="",0,1)</f>
        <v/>
      </c>
      <c r="AL46">
        <f>IF(V46="",0,1)</f>
        <v/>
      </c>
      <c r="AM46">
        <f>IF(W46="",0,1)</f>
        <v/>
      </c>
      <c r="AN46">
        <f>IF(X46="",0,1)</f>
        <v/>
      </c>
      <c r="AO46">
        <f>IF(Y46="",0,1)</f>
        <v/>
      </c>
      <c r="AP46">
        <f>IF(Z46="",0,1)</f>
        <v/>
      </c>
      <c r="AQ46">
        <f>IF(AA46="",0,1)</f>
        <v/>
      </c>
      <c r="AR46">
        <f>IF(L46="Buy more",ROW(),"")</f>
        <v/>
      </c>
      <c r="AS46">
        <f>IF(G46="",0,1)</f>
        <v/>
      </c>
    </row>
    <row r="47">
      <c r="A47" s="1" t="n"/>
      <c r="B47" s="21" t="n"/>
      <c r="C47" s="36" t="n"/>
      <c r="D47" s="40" t="n"/>
      <c r="E47" s="37" t="n"/>
      <c r="F47" s="40" t="n"/>
      <c r="G47" s="36" t="n"/>
      <c r="H47" s="42">
        <f>IF(OR(B47="",N(D47)=0),"",N(E47)/D47)</f>
        <v/>
      </c>
      <c r="I47" s="43">
        <f>IF(B47="","",SUMIFS(Purchases!$J$6:$J$405,Purchases!$C$6:$C$405,B47))</f>
        <v/>
      </c>
      <c r="J47" s="43">
        <f>IF(B47="","",SUMIFS(Recipes!$H$6:$H$405,Recipes!$C$6:$C$405,B47))</f>
        <v/>
      </c>
      <c r="K47" s="43">
        <f>IF(OR(B47="",N(I47)=0),"",I47-J47)</f>
        <v/>
      </c>
      <c r="L47" s="12">
        <f>IF(OR(B47="",F47="",NOT(ISNUMBER(K47))),"",IF(K47&lt;=N(F47),"Buy more",""))</f>
        <v/>
      </c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1" t="n"/>
      <c r="AC47">
        <f>IF(M47="",0,1)</f>
        <v/>
      </c>
      <c r="AD47">
        <f>IF(N47="",0,1)</f>
        <v/>
      </c>
      <c r="AE47">
        <f>IF(O47="",0,1)</f>
        <v/>
      </c>
      <c r="AF47">
        <f>IF(P47="",0,1)</f>
        <v/>
      </c>
      <c r="AG47">
        <f>IF(Q47="",0,1)</f>
        <v/>
      </c>
      <c r="AH47">
        <f>IF(R47="",0,1)</f>
        <v/>
      </c>
      <c r="AI47">
        <f>IF(S47="",0,1)</f>
        <v/>
      </c>
      <c r="AJ47">
        <f>IF(T47="",0,1)</f>
        <v/>
      </c>
      <c r="AK47">
        <f>IF(U47="",0,1)</f>
        <v/>
      </c>
      <c r="AL47">
        <f>IF(V47="",0,1)</f>
        <v/>
      </c>
      <c r="AM47">
        <f>IF(W47="",0,1)</f>
        <v/>
      </c>
      <c r="AN47">
        <f>IF(X47="",0,1)</f>
        <v/>
      </c>
      <c r="AO47">
        <f>IF(Y47="",0,1)</f>
        <v/>
      </c>
      <c r="AP47">
        <f>IF(Z47="",0,1)</f>
        <v/>
      </c>
      <c r="AQ47">
        <f>IF(AA47="",0,1)</f>
        <v/>
      </c>
      <c r="AR47">
        <f>IF(L47="Buy more",ROW(),"")</f>
        <v/>
      </c>
      <c r="AS47">
        <f>IF(G47="",0,1)</f>
        <v/>
      </c>
    </row>
    <row r="48">
      <c r="A48" s="1" t="n"/>
      <c r="B48" s="21" t="n"/>
      <c r="C48" s="36" t="n"/>
      <c r="D48" s="40" t="n"/>
      <c r="E48" s="37" t="n"/>
      <c r="F48" s="40" t="n"/>
      <c r="G48" s="36" t="n"/>
      <c r="H48" s="42">
        <f>IF(OR(B48="",N(D48)=0),"",N(E48)/D48)</f>
        <v/>
      </c>
      <c r="I48" s="43">
        <f>IF(B48="","",SUMIFS(Purchases!$J$6:$J$405,Purchases!$C$6:$C$405,B48))</f>
        <v/>
      </c>
      <c r="J48" s="43">
        <f>IF(B48="","",SUMIFS(Recipes!$H$6:$H$405,Recipes!$C$6:$C$405,B48))</f>
        <v/>
      </c>
      <c r="K48" s="43">
        <f>IF(OR(B48="",N(I48)=0),"",I48-J48)</f>
        <v/>
      </c>
      <c r="L48" s="12">
        <f>IF(OR(B48="",F48="",NOT(ISNUMBER(K48))),"",IF(K48&lt;=N(F48),"Buy more",""))</f>
        <v/>
      </c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1" t="n"/>
      <c r="AC48">
        <f>IF(M48="",0,1)</f>
        <v/>
      </c>
      <c r="AD48">
        <f>IF(N48="",0,1)</f>
        <v/>
      </c>
      <c r="AE48">
        <f>IF(O48="",0,1)</f>
        <v/>
      </c>
      <c r="AF48">
        <f>IF(P48="",0,1)</f>
        <v/>
      </c>
      <c r="AG48">
        <f>IF(Q48="",0,1)</f>
        <v/>
      </c>
      <c r="AH48">
        <f>IF(R48="",0,1)</f>
        <v/>
      </c>
      <c r="AI48">
        <f>IF(S48="",0,1)</f>
        <v/>
      </c>
      <c r="AJ48">
        <f>IF(T48="",0,1)</f>
        <v/>
      </c>
      <c r="AK48">
        <f>IF(U48="",0,1)</f>
        <v/>
      </c>
      <c r="AL48">
        <f>IF(V48="",0,1)</f>
        <v/>
      </c>
      <c r="AM48">
        <f>IF(W48="",0,1)</f>
        <v/>
      </c>
      <c r="AN48">
        <f>IF(X48="",0,1)</f>
        <v/>
      </c>
      <c r="AO48">
        <f>IF(Y48="",0,1)</f>
        <v/>
      </c>
      <c r="AP48">
        <f>IF(Z48="",0,1)</f>
        <v/>
      </c>
      <c r="AQ48">
        <f>IF(AA48="",0,1)</f>
        <v/>
      </c>
      <c r="AR48">
        <f>IF(L48="Buy more",ROW(),"")</f>
        <v/>
      </c>
      <c r="AS48">
        <f>IF(G48="",0,1)</f>
        <v/>
      </c>
    </row>
    <row r="49">
      <c r="A49" s="1" t="n"/>
      <c r="B49" s="21" t="n"/>
      <c r="C49" s="36" t="n"/>
      <c r="D49" s="40" t="n"/>
      <c r="E49" s="37" t="n"/>
      <c r="F49" s="40" t="n"/>
      <c r="G49" s="36" t="n"/>
      <c r="H49" s="42">
        <f>IF(OR(B49="",N(D49)=0),"",N(E49)/D49)</f>
        <v/>
      </c>
      <c r="I49" s="43">
        <f>IF(B49="","",SUMIFS(Purchases!$J$6:$J$405,Purchases!$C$6:$C$405,B49))</f>
        <v/>
      </c>
      <c r="J49" s="43">
        <f>IF(B49="","",SUMIFS(Recipes!$H$6:$H$405,Recipes!$C$6:$C$405,B49))</f>
        <v/>
      </c>
      <c r="K49" s="43">
        <f>IF(OR(B49="",N(I49)=0),"",I49-J49)</f>
        <v/>
      </c>
      <c r="L49" s="12">
        <f>IF(OR(B49="",F49="",NOT(ISNUMBER(K49))),"",IF(K49&lt;=N(F49),"Buy more",""))</f>
        <v/>
      </c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1" t="n"/>
      <c r="AC49">
        <f>IF(M49="",0,1)</f>
        <v/>
      </c>
      <c r="AD49">
        <f>IF(N49="",0,1)</f>
        <v/>
      </c>
      <c r="AE49">
        <f>IF(O49="",0,1)</f>
        <v/>
      </c>
      <c r="AF49">
        <f>IF(P49="",0,1)</f>
        <v/>
      </c>
      <c r="AG49">
        <f>IF(Q49="",0,1)</f>
        <v/>
      </c>
      <c r="AH49">
        <f>IF(R49="",0,1)</f>
        <v/>
      </c>
      <c r="AI49">
        <f>IF(S49="",0,1)</f>
        <v/>
      </c>
      <c r="AJ49">
        <f>IF(T49="",0,1)</f>
        <v/>
      </c>
      <c r="AK49">
        <f>IF(U49="",0,1)</f>
        <v/>
      </c>
      <c r="AL49">
        <f>IF(V49="",0,1)</f>
        <v/>
      </c>
      <c r="AM49">
        <f>IF(W49="",0,1)</f>
        <v/>
      </c>
      <c r="AN49">
        <f>IF(X49="",0,1)</f>
        <v/>
      </c>
      <c r="AO49">
        <f>IF(Y49="",0,1)</f>
        <v/>
      </c>
      <c r="AP49">
        <f>IF(Z49="",0,1)</f>
        <v/>
      </c>
      <c r="AQ49">
        <f>IF(AA49="",0,1)</f>
        <v/>
      </c>
      <c r="AR49">
        <f>IF(L49="Buy more",ROW(),"")</f>
        <v/>
      </c>
      <c r="AS49">
        <f>IF(G49="",0,1)</f>
        <v/>
      </c>
    </row>
    <row r="50">
      <c r="A50" s="1" t="n"/>
      <c r="B50" s="21" t="n"/>
      <c r="C50" s="36" t="n"/>
      <c r="D50" s="40" t="n"/>
      <c r="E50" s="37" t="n"/>
      <c r="F50" s="40" t="n"/>
      <c r="G50" s="36" t="n"/>
      <c r="H50" s="42">
        <f>IF(OR(B50="",N(D50)=0),"",N(E50)/D50)</f>
        <v/>
      </c>
      <c r="I50" s="43">
        <f>IF(B50="","",SUMIFS(Purchases!$J$6:$J$405,Purchases!$C$6:$C$405,B50))</f>
        <v/>
      </c>
      <c r="J50" s="43">
        <f>IF(B50="","",SUMIFS(Recipes!$H$6:$H$405,Recipes!$C$6:$C$405,B50))</f>
        <v/>
      </c>
      <c r="K50" s="43">
        <f>IF(OR(B50="",N(I50)=0),"",I50-J50)</f>
        <v/>
      </c>
      <c r="L50" s="12">
        <f>IF(OR(B50="",F50="",NOT(ISNUMBER(K50))),"",IF(K50&lt;=N(F50),"Buy more",""))</f>
        <v/>
      </c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1" t="n"/>
      <c r="AC50">
        <f>IF(M50="",0,1)</f>
        <v/>
      </c>
      <c r="AD50">
        <f>IF(N50="",0,1)</f>
        <v/>
      </c>
      <c r="AE50">
        <f>IF(O50="",0,1)</f>
        <v/>
      </c>
      <c r="AF50">
        <f>IF(P50="",0,1)</f>
        <v/>
      </c>
      <c r="AG50">
        <f>IF(Q50="",0,1)</f>
        <v/>
      </c>
      <c r="AH50">
        <f>IF(R50="",0,1)</f>
        <v/>
      </c>
      <c r="AI50">
        <f>IF(S50="",0,1)</f>
        <v/>
      </c>
      <c r="AJ50">
        <f>IF(T50="",0,1)</f>
        <v/>
      </c>
      <c r="AK50">
        <f>IF(U50="",0,1)</f>
        <v/>
      </c>
      <c r="AL50">
        <f>IF(V50="",0,1)</f>
        <v/>
      </c>
      <c r="AM50">
        <f>IF(W50="",0,1)</f>
        <v/>
      </c>
      <c r="AN50">
        <f>IF(X50="",0,1)</f>
        <v/>
      </c>
      <c r="AO50">
        <f>IF(Y50="",0,1)</f>
        <v/>
      </c>
      <c r="AP50">
        <f>IF(Z50="",0,1)</f>
        <v/>
      </c>
      <c r="AQ50">
        <f>IF(AA50="",0,1)</f>
        <v/>
      </c>
      <c r="AR50">
        <f>IF(L50="Buy more",ROW(),"")</f>
        <v/>
      </c>
      <c r="AS50">
        <f>IF(G50="",0,1)</f>
        <v/>
      </c>
    </row>
    <row r="51">
      <c r="A51" s="1" t="n"/>
      <c r="B51" s="21" t="n"/>
      <c r="C51" s="36" t="n"/>
      <c r="D51" s="40" t="n"/>
      <c r="E51" s="37" t="n"/>
      <c r="F51" s="40" t="n"/>
      <c r="G51" s="36" t="n"/>
      <c r="H51" s="42">
        <f>IF(OR(B51="",N(D51)=0),"",N(E51)/D51)</f>
        <v/>
      </c>
      <c r="I51" s="43">
        <f>IF(B51="","",SUMIFS(Purchases!$J$6:$J$405,Purchases!$C$6:$C$405,B51))</f>
        <v/>
      </c>
      <c r="J51" s="43">
        <f>IF(B51="","",SUMIFS(Recipes!$H$6:$H$405,Recipes!$C$6:$C$405,B51))</f>
        <v/>
      </c>
      <c r="K51" s="43">
        <f>IF(OR(B51="",N(I51)=0),"",I51-J51)</f>
        <v/>
      </c>
      <c r="L51" s="12">
        <f>IF(OR(B51="",F51="",NOT(ISNUMBER(K51))),"",IF(K51&lt;=N(F51),"Buy more",""))</f>
        <v/>
      </c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1" t="n"/>
      <c r="AC51">
        <f>IF(M51="",0,1)</f>
        <v/>
      </c>
      <c r="AD51">
        <f>IF(N51="",0,1)</f>
        <v/>
      </c>
      <c r="AE51">
        <f>IF(O51="",0,1)</f>
        <v/>
      </c>
      <c r="AF51">
        <f>IF(P51="",0,1)</f>
        <v/>
      </c>
      <c r="AG51">
        <f>IF(Q51="",0,1)</f>
        <v/>
      </c>
      <c r="AH51">
        <f>IF(R51="",0,1)</f>
        <v/>
      </c>
      <c r="AI51">
        <f>IF(S51="",0,1)</f>
        <v/>
      </c>
      <c r="AJ51">
        <f>IF(T51="",0,1)</f>
        <v/>
      </c>
      <c r="AK51">
        <f>IF(U51="",0,1)</f>
        <v/>
      </c>
      <c r="AL51">
        <f>IF(V51="",0,1)</f>
        <v/>
      </c>
      <c r="AM51">
        <f>IF(W51="",0,1)</f>
        <v/>
      </c>
      <c r="AN51">
        <f>IF(X51="",0,1)</f>
        <v/>
      </c>
      <c r="AO51">
        <f>IF(Y51="",0,1)</f>
        <v/>
      </c>
      <c r="AP51">
        <f>IF(Z51="",0,1)</f>
        <v/>
      </c>
      <c r="AQ51">
        <f>IF(AA51="",0,1)</f>
        <v/>
      </c>
      <c r="AR51">
        <f>IF(L51="Buy more",ROW(),"")</f>
        <v/>
      </c>
      <c r="AS51">
        <f>IF(G51="",0,1)</f>
        <v/>
      </c>
    </row>
    <row r="52">
      <c r="A52" s="1" t="n"/>
      <c r="B52" s="21" t="n"/>
      <c r="C52" s="36" t="n"/>
      <c r="D52" s="40" t="n"/>
      <c r="E52" s="37" t="n"/>
      <c r="F52" s="40" t="n"/>
      <c r="G52" s="36" t="n"/>
      <c r="H52" s="42">
        <f>IF(OR(B52="",N(D52)=0),"",N(E52)/D52)</f>
        <v/>
      </c>
      <c r="I52" s="43">
        <f>IF(B52="","",SUMIFS(Purchases!$J$6:$J$405,Purchases!$C$6:$C$405,B52))</f>
        <v/>
      </c>
      <c r="J52" s="43">
        <f>IF(B52="","",SUMIFS(Recipes!$H$6:$H$405,Recipes!$C$6:$C$405,B52))</f>
        <v/>
      </c>
      <c r="K52" s="43">
        <f>IF(OR(B52="",N(I52)=0),"",I52-J52)</f>
        <v/>
      </c>
      <c r="L52" s="12">
        <f>IF(OR(B52="",F52="",NOT(ISNUMBER(K52))),"",IF(K52&lt;=N(F52),"Buy more",""))</f>
        <v/>
      </c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1" t="n"/>
      <c r="AC52">
        <f>IF(M52="",0,1)</f>
        <v/>
      </c>
      <c r="AD52">
        <f>IF(N52="",0,1)</f>
        <v/>
      </c>
      <c r="AE52">
        <f>IF(O52="",0,1)</f>
        <v/>
      </c>
      <c r="AF52">
        <f>IF(P52="",0,1)</f>
        <v/>
      </c>
      <c r="AG52">
        <f>IF(Q52="",0,1)</f>
        <v/>
      </c>
      <c r="AH52">
        <f>IF(R52="",0,1)</f>
        <v/>
      </c>
      <c r="AI52">
        <f>IF(S52="",0,1)</f>
        <v/>
      </c>
      <c r="AJ52">
        <f>IF(T52="",0,1)</f>
        <v/>
      </c>
      <c r="AK52">
        <f>IF(U52="",0,1)</f>
        <v/>
      </c>
      <c r="AL52">
        <f>IF(V52="",0,1)</f>
        <v/>
      </c>
      <c r="AM52">
        <f>IF(W52="",0,1)</f>
        <v/>
      </c>
      <c r="AN52">
        <f>IF(X52="",0,1)</f>
        <v/>
      </c>
      <c r="AO52">
        <f>IF(Y52="",0,1)</f>
        <v/>
      </c>
      <c r="AP52">
        <f>IF(Z52="",0,1)</f>
        <v/>
      </c>
      <c r="AQ52">
        <f>IF(AA52="",0,1)</f>
        <v/>
      </c>
      <c r="AR52">
        <f>IF(L52="Buy more",ROW(),"")</f>
        <v/>
      </c>
      <c r="AS52">
        <f>IF(G52="",0,1)</f>
        <v/>
      </c>
    </row>
    <row r="53">
      <c r="A53" s="1" t="n"/>
      <c r="B53" s="21" t="n"/>
      <c r="C53" s="36" t="n"/>
      <c r="D53" s="40" t="n"/>
      <c r="E53" s="37" t="n"/>
      <c r="F53" s="40" t="n"/>
      <c r="G53" s="36" t="n"/>
      <c r="H53" s="42">
        <f>IF(OR(B53="",N(D53)=0),"",N(E53)/D53)</f>
        <v/>
      </c>
      <c r="I53" s="43">
        <f>IF(B53="","",SUMIFS(Purchases!$J$6:$J$405,Purchases!$C$6:$C$405,B53))</f>
        <v/>
      </c>
      <c r="J53" s="43">
        <f>IF(B53="","",SUMIFS(Recipes!$H$6:$H$405,Recipes!$C$6:$C$405,B53))</f>
        <v/>
      </c>
      <c r="K53" s="43">
        <f>IF(OR(B53="",N(I53)=0),"",I53-J53)</f>
        <v/>
      </c>
      <c r="L53" s="12">
        <f>IF(OR(B53="",F53="",NOT(ISNUMBER(K53))),"",IF(K53&lt;=N(F53),"Buy more",""))</f>
        <v/>
      </c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1" t="n"/>
      <c r="AC53">
        <f>IF(M53="",0,1)</f>
        <v/>
      </c>
      <c r="AD53">
        <f>IF(N53="",0,1)</f>
        <v/>
      </c>
      <c r="AE53">
        <f>IF(O53="",0,1)</f>
        <v/>
      </c>
      <c r="AF53">
        <f>IF(P53="",0,1)</f>
        <v/>
      </c>
      <c r="AG53">
        <f>IF(Q53="",0,1)</f>
        <v/>
      </c>
      <c r="AH53">
        <f>IF(R53="",0,1)</f>
        <v/>
      </c>
      <c r="AI53">
        <f>IF(S53="",0,1)</f>
        <v/>
      </c>
      <c r="AJ53">
        <f>IF(T53="",0,1)</f>
        <v/>
      </c>
      <c r="AK53">
        <f>IF(U53="",0,1)</f>
        <v/>
      </c>
      <c r="AL53">
        <f>IF(V53="",0,1)</f>
        <v/>
      </c>
      <c r="AM53">
        <f>IF(W53="",0,1)</f>
        <v/>
      </c>
      <c r="AN53">
        <f>IF(X53="",0,1)</f>
        <v/>
      </c>
      <c r="AO53">
        <f>IF(Y53="",0,1)</f>
        <v/>
      </c>
      <c r="AP53">
        <f>IF(Z53="",0,1)</f>
        <v/>
      </c>
      <c r="AQ53">
        <f>IF(AA53="",0,1)</f>
        <v/>
      </c>
      <c r="AR53">
        <f>IF(L53="Buy more",ROW(),"")</f>
        <v/>
      </c>
      <c r="AS53">
        <f>IF(G53="",0,1)</f>
        <v/>
      </c>
    </row>
    <row r="54">
      <c r="A54" s="1" t="n"/>
      <c r="B54" s="21" t="n"/>
      <c r="C54" s="36" t="n"/>
      <c r="D54" s="40" t="n"/>
      <c r="E54" s="37" t="n"/>
      <c r="F54" s="40" t="n"/>
      <c r="G54" s="36" t="n"/>
      <c r="H54" s="42">
        <f>IF(OR(B54="",N(D54)=0),"",N(E54)/D54)</f>
        <v/>
      </c>
      <c r="I54" s="43">
        <f>IF(B54="","",SUMIFS(Purchases!$J$6:$J$405,Purchases!$C$6:$C$405,B54))</f>
        <v/>
      </c>
      <c r="J54" s="43">
        <f>IF(B54="","",SUMIFS(Recipes!$H$6:$H$405,Recipes!$C$6:$C$405,B54))</f>
        <v/>
      </c>
      <c r="K54" s="43">
        <f>IF(OR(B54="",N(I54)=0),"",I54-J54)</f>
        <v/>
      </c>
      <c r="L54" s="12">
        <f>IF(OR(B54="",F54="",NOT(ISNUMBER(K54))),"",IF(K54&lt;=N(F54),"Buy more",""))</f>
        <v/>
      </c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1" t="n"/>
      <c r="AC54">
        <f>IF(M54="",0,1)</f>
        <v/>
      </c>
      <c r="AD54">
        <f>IF(N54="",0,1)</f>
        <v/>
      </c>
      <c r="AE54">
        <f>IF(O54="",0,1)</f>
        <v/>
      </c>
      <c r="AF54">
        <f>IF(P54="",0,1)</f>
        <v/>
      </c>
      <c r="AG54">
        <f>IF(Q54="",0,1)</f>
        <v/>
      </c>
      <c r="AH54">
        <f>IF(R54="",0,1)</f>
        <v/>
      </c>
      <c r="AI54">
        <f>IF(S54="",0,1)</f>
        <v/>
      </c>
      <c r="AJ54">
        <f>IF(T54="",0,1)</f>
        <v/>
      </c>
      <c r="AK54">
        <f>IF(U54="",0,1)</f>
        <v/>
      </c>
      <c r="AL54">
        <f>IF(V54="",0,1)</f>
        <v/>
      </c>
      <c r="AM54">
        <f>IF(W54="",0,1)</f>
        <v/>
      </c>
      <c r="AN54">
        <f>IF(X54="",0,1)</f>
        <v/>
      </c>
      <c r="AO54">
        <f>IF(Y54="",0,1)</f>
        <v/>
      </c>
      <c r="AP54">
        <f>IF(Z54="",0,1)</f>
        <v/>
      </c>
      <c r="AQ54">
        <f>IF(AA54="",0,1)</f>
        <v/>
      </c>
      <c r="AR54">
        <f>IF(L54="Buy more",ROW(),"")</f>
        <v/>
      </c>
      <c r="AS54">
        <f>IF(G54="",0,1)</f>
        <v/>
      </c>
    </row>
    <row r="55">
      <c r="A55" s="1" t="n"/>
      <c r="B55" s="21" t="n"/>
      <c r="C55" s="36" t="n"/>
      <c r="D55" s="40" t="n"/>
      <c r="E55" s="37" t="n"/>
      <c r="F55" s="40" t="n"/>
      <c r="G55" s="36" t="n"/>
      <c r="H55" s="42">
        <f>IF(OR(B55="",N(D55)=0),"",N(E55)/D55)</f>
        <v/>
      </c>
      <c r="I55" s="43">
        <f>IF(B55="","",SUMIFS(Purchases!$J$6:$J$405,Purchases!$C$6:$C$405,B55))</f>
        <v/>
      </c>
      <c r="J55" s="43">
        <f>IF(B55="","",SUMIFS(Recipes!$H$6:$H$405,Recipes!$C$6:$C$405,B55))</f>
        <v/>
      </c>
      <c r="K55" s="43">
        <f>IF(OR(B55="",N(I55)=0),"",I55-J55)</f>
        <v/>
      </c>
      <c r="L55" s="12">
        <f>IF(OR(B55="",F55="",NOT(ISNUMBER(K55))),"",IF(K55&lt;=N(F55),"Buy more",""))</f>
        <v/>
      </c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1" t="n"/>
      <c r="AC55">
        <f>IF(M55="",0,1)</f>
        <v/>
      </c>
      <c r="AD55">
        <f>IF(N55="",0,1)</f>
        <v/>
      </c>
      <c r="AE55">
        <f>IF(O55="",0,1)</f>
        <v/>
      </c>
      <c r="AF55">
        <f>IF(P55="",0,1)</f>
        <v/>
      </c>
      <c r="AG55">
        <f>IF(Q55="",0,1)</f>
        <v/>
      </c>
      <c r="AH55">
        <f>IF(R55="",0,1)</f>
        <v/>
      </c>
      <c r="AI55">
        <f>IF(S55="",0,1)</f>
        <v/>
      </c>
      <c r="AJ55">
        <f>IF(T55="",0,1)</f>
        <v/>
      </c>
      <c r="AK55">
        <f>IF(U55="",0,1)</f>
        <v/>
      </c>
      <c r="AL55">
        <f>IF(V55="",0,1)</f>
        <v/>
      </c>
      <c r="AM55">
        <f>IF(W55="",0,1)</f>
        <v/>
      </c>
      <c r="AN55">
        <f>IF(X55="",0,1)</f>
        <v/>
      </c>
      <c r="AO55">
        <f>IF(Y55="",0,1)</f>
        <v/>
      </c>
      <c r="AP55">
        <f>IF(Z55="",0,1)</f>
        <v/>
      </c>
      <c r="AQ55">
        <f>IF(AA55="",0,1)</f>
        <v/>
      </c>
      <c r="AR55">
        <f>IF(L55="Buy more",ROW(),"")</f>
        <v/>
      </c>
      <c r="AS55">
        <f>IF(G55="",0,1)</f>
        <v/>
      </c>
    </row>
    <row r="56">
      <c r="A56" s="1" t="n"/>
      <c r="B56" s="21" t="n"/>
      <c r="C56" s="36" t="n"/>
      <c r="D56" s="40" t="n"/>
      <c r="E56" s="37" t="n"/>
      <c r="F56" s="40" t="n"/>
      <c r="G56" s="36" t="n"/>
      <c r="H56" s="42">
        <f>IF(OR(B56="",N(D56)=0),"",N(E56)/D56)</f>
        <v/>
      </c>
      <c r="I56" s="43">
        <f>IF(B56="","",SUMIFS(Purchases!$J$6:$J$405,Purchases!$C$6:$C$405,B56))</f>
        <v/>
      </c>
      <c r="J56" s="43">
        <f>IF(B56="","",SUMIFS(Recipes!$H$6:$H$405,Recipes!$C$6:$C$405,B56))</f>
        <v/>
      </c>
      <c r="K56" s="43">
        <f>IF(OR(B56="",N(I56)=0),"",I56-J56)</f>
        <v/>
      </c>
      <c r="L56" s="12">
        <f>IF(OR(B56="",F56="",NOT(ISNUMBER(K56))),"",IF(K56&lt;=N(F56),"Buy more",""))</f>
        <v/>
      </c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1" t="n"/>
      <c r="AC56">
        <f>IF(M56="",0,1)</f>
        <v/>
      </c>
      <c r="AD56">
        <f>IF(N56="",0,1)</f>
        <v/>
      </c>
      <c r="AE56">
        <f>IF(O56="",0,1)</f>
        <v/>
      </c>
      <c r="AF56">
        <f>IF(P56="",0,1)</f>
        <v/>
      </c>
      <c r="AG56">
        <f>IF(Q56="",0,1)</f>
        <v/>
      </c>
      <c r="AH56">
        <f>IF(R56="",0,1)</f>
        <v/>
      </c>
      <c r="AI56">
        <f>IF(S56="",0,1)</f>
        <v/>
      </c>
      <c r="AJ56">
        <f>IF(T56="",0,1)</f>
        <v/>
      </c>
      <c r="AK56">
        <f>IF(U56="",0,1)</f>
        <v/>
      </c>
      <c r="AL56">
        <f>IF(V56="",0,1)</f>
        <v/>
      </c>
      <c r="AM56">
        <f>IF(W56="",0,1)</f>
        <v/>
      </c>
      <c r="AN56">
        <f>IF(X56="",0,1)</f>
        <v/>
      </c>
      <c r="AO56">
        <f>IF(Y56="",0,1)</f>
        <v/>
      </c>
      <c r="AP56">
        <f>IF(Z56="",0,1)</f>
        <v/>
      </c>
      <c r="AQ56">
        <f>IF(AA56="",0,1)</f>
        <v/>
      </c>
      <c r="AR56">
        <f>IF(L56="Buy more",ROW(),"")</f>
        <v/>
      </c>
      <c r="AS56">
        <f>IF(G56="",0,1)</f>
        <v/>
      </c>
    </row>
    <row r="57">
      <c r="A57" s="1" t="n"/>
      <c r="B57" s="21" t="n"/>
      <c r="C57" s="36" t="n"/>
      <c r="D57" s="40" t="n"/>
      <c r="E57" s="37" t="n"/>
      <c r="F57" s="40" t="n"/>
      <c r="G57" s="36" t="n"/>
      <c r="H57" s="42">
        <f>IF(OR(B57="",N(D57)=0),"",N(E57)/D57)</f>
        <v/>
      </c>
      <c r="I57" s="43">
        <f>IF(B57="","",SUMIFS(Purchases!$J$6:$J$405,Purchases!$C$6:$C$405,B57))</f>
        <v/>
      </c>
      <c r="J57" s="43">
        <f>IF(B57="","",SUMIFS(Recipes!$H$6:$H$405,Recipes!$C$6:$C$405,B57))</f>
        <v/>
      </c>
      <c r="K57" s="43">
        <f>IF(OR(B57="",N(I57)=0),"",I57-J57)</f>
        <v/>
      </c>
      <c r="L57" s="12">
        <f>IF(OR(B57="",F57="",NOT(ISNUMBER(K57))),"",IF(K57&lt;=N(F57),"Buy more",""))</f>
        <v/>
      </c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1" t="n"/>
      <c r="AC57">
        <f>IF(M57="",0,1)</f>
        <v/>
      </c>
      <c r="AD57">
        <f>IF(N57="",0,1)</f>
        <v/>
      </c>
      <c r="AE57">
        <f>IF(O57="",0,1)</f>
        <v/>
      </c>
      <c r="AF57">
        <f>IF(P57="",0,1)</f>
        <v/>
      </c>
      <c r="AG57">
        <f>IF(Q57="",0,1)</f>
        <v/>
      </c>
      <c r="AH57">
        <f>IF(R57="",0,1)</f>
        <v/>
      </c>
      <c r="AI57">
        <f>IF(S57="",0,1)</f>
        <v/>
      </c>
      <c r="AJ57">
        <f>IF(T57="",0,1)</f>
        <v/>
      </c>
      <c r="AK57">
        <f>IF(U57="",0,1)</f>
        <v/>
      </c>
      <c r="AL57">
        <f>IF(V57="",0,1)</f>
        <v/>
      </c>
      <c r="AM57">
        <f>IF(W57="",0,1)</f>
        <v/>
      </c>
      <c r="AN57">
        <f>IF(X57="",0,1)</f>
        <v/>
      </c>
      <c r="AO57">
        <f>IF(Y57="",0,1)</f>
        <v/>
      </c>
      <c r="AP57">
        <f>IF(Z57="",0,1)</f>
        <v/>
      </c>
      <c r="AQ57">
        <f>IF(AA57="",0,1)</f>
        <v/>
      </c>
      <c r="AR57">
        <f>IF(L57="Buy more",ROW(),"")</f>
        <v/>
      </c>
      <c r="AS57">
        <f>IF(G57="",0,1)</f>
        <v/>
      </c>
    </row>
    <row r="58">
      <c r="A58" s="1" t="n"/>
      <c r="B58" s="21" t="n"/>
      <c r="C58" s="36" t="n"/>
      <c r="D58" s="40" t="n"/>
      <c r="E58" s="37" t="n"/>
      <c r="F58" s="40" t="n"/>
      <c r="G58" s="36" t="n"/>
      <c r="H58" s="42">
        <f>IF(OR(B58="",N(D58)=0),"",N(E58)/D58)</f>
        <v/>
      </c>
      <c r="I58" s="43">
        <f>IF(B58="","",SUMIFS(Purchases!$J$6:$J$405,Purchases!$C$6:$C$405,B58))</f>
        <v/>
      </c>
      <c r="J58" s="43">
        <f>IF(B58="","",SUMIFS(Recipes!$H$6:$H$405,Recipes!$C$6:$C$405,B58))</f>
        <v/>
      </c>
      <c r="K58" s="43">
        <f>IF(OR(B58="",N(I58)=0),"",I58-J58)</f>
        <v/>
      </c>
      <c r="L58" s="12">
        <f>IF(OR(B58="",F58="",NOT(ISNUMBER(K58))),"",IF(K58&lt;=N(F58),"Buy more",""))</f>
        <v/>
      </c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1" t="n"/>
      <c r="AC58">
        <f>IF(M58="",0,1)</f>
        <v/>
      </c>
      <c r="AD58">
        <f>IF(N58="",0,1)</f>
        <v/>
      </c>
      <c r="AE58">
        <f>IF(O58="",0,1)</f>
        <v/>
      </c>
      <c r="AF58">
        <f>IF(P58="",0,1)</f>
        <v/>
      </c>
      <c r="AG58">
        <f>IF(Q58="",0,1)</f>
        <v/>
      </c>
      <c r="AH58">
        <f>IF(R58="",0,1)</f>
        <v/>
      </c>
      <c r="AI58">
        <f>IF(S58="",0,1)</f>
        <v/>
      </c>
      <c r="AJ58">
        <f>IF(T58="",0,1)</f>
        <v/>
      </c>
      <c r="AK58">
        <f>IF(U58="",0,1)</f>
        <v/>
      </c>
      <c r="AL58">
        <f>IF(V58="",0,1)</f>
        <v/>
      </c>
      <c r="AM58">
        <f>IF(W58="",0,1)</f>
        <v/>
      </c>
      <c r="AN58">
        <f>IF(X58="",0,1)</f>
        <v/>
      </c>
      <c r="AO58">
        <f>IF(Y58="",0,1)</f>
        <v/>
      </c>
      <c r="AP58">
        <f>IF(Z58="",0,1)</f>
        <v/>
      </c>
      <c r="AQ58">
        <f>IF(AA58="",0,1)</f>
        <v/>
      </c>
      <c r="AR58">
        <f>IF(L58="Buy more",ROW(),"")</f>
        <v/>
      </c>
      <c r="AS58">
        <f>IF(G58="",0,1)</f>
        <v/>
      </c>
    </row>
    <row r="59">
      <c r="A59" s="1" t="n"/>
      <c r="B59" s="21" t="n"/>
      <c r="C59" s="36" t="n"/>
      <c r="D59" s="40" t="n"/>
      <c r="E59" s="37" t="n"/>
      <c r="F59" s="40" t="n"/>
      <c r="G59" s="36" t="n"/>
      <c r="H59" s="42">
        <f>IF(OR(B59="",N(D59)=0),"",N(E59)/D59)</f>
        <v/>
      </c>
      <c r="I59" s="43">
        <f>IF(B59="","",SUMIFS(Purchases!$J$6:$J$405,Purchases!$C$6:$C$405,B59))</f>
        <v/>
      </c>
      <c r="J59" s="43">
        <f>IF(B59="","",SUMIFS(Recipes!$H$6:$H$405,Recipes!$C$6:$C$405,B59))</f>
        <v/>
      </c>
      <c r="K59" s="43">
        <f>IF(OR(B59="",N(I59)=0),"",I59-J59)</f>
        <v/>
      </c>
      <c r="L59" s="12">
        <f>IF(OR(B59="",F59="",NOT(ISNUMBER(K59))),"",IF(K59&lt;=N(F59),"Buy more",""))</f>
        <v/>
      </c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1" t="n"/>
      <c r="AC59">
        <f>IF(M59="",0,1)</f>
        <v/>
      </c>
      <c r="AD59">
        <f>IF(N59="",0,1)</f>
        <v/>
      </c>
      <c r="AE59">
        <f>IF(O59="",0,1)</f>
        <v/>
      </c>
      <c r="AF59">
        <f>IF(P59="",0,1)</f>
        <v/>
      </c>
      <c r="AG59">
        <f>IF(Q59="",0,1)</f>
        <v/>
      </c>
      <c r="AH59">
        <f>IF(R59="",0,1)</f>
        <v/>
      </c>
      <c r="AI59">
        <f>IF(S59="",0,1)</f>
        <v/>
      </c>
      <c r="AJ59">
        <f>IF(T59="",0,1)</f>
        <v/>
      </c>
      <c r="AK59">
        <f>IF(U59="",0,1)</f>
        <v/>
      </c>
      <c r="AL59">
        <f>IF(V59="",0,1)</f>
        <v/>
      </c>
      <c r="AM59">
        <f>IF(W59="",0,1)</f>
        <v/>
      </c>
      <c r="AN59">
        <f>IF(X59="",0,1)</f>
        <v/>
      </c>
      <c r="AO59">
        <f>IF(Y59="",0,1)</f>
        <v/>
      </c>
      <c r="AP59">
        <f>IF(Z59="",0,1)</f>
        <v/>
      </c>
      <c r="AQ59">
        <f>IF(AA59="",0,1)</f>
        <v/>
      </c>
      <c r="AR59">
        <f>IF(L59="Buy more",ROW(),"")</f>
        <v/>
      </c>
      <c r="AS59">
        <f>IF(G59="",0,1)</f>
        <v/>
      </c>
    </row>
    <row r="60">
      <c r="A60" s="1" t="n"/>
      <c r="B60" s="21" t="n"/>
      <c r="C60" s="36" t="n"/>
      <c r="D60" s="40" t="n"/>
      <c r="E60" s="37" t="n"/>
      <c r="F60" s="40" t="n"/>
      <c r="G60" s="36" t="n"/>
      <c r="H60" s="42">
        <f>IF(OR(B60="",N(D60)=0),"",N(E60)/D60)</f>
        <v/>
      </c>
      <c r="I60" s="43">
        <f>IF(B60="","",SUMIFS(Purchases!$J$6:$J$405,Purchases!$C$6:$C$405,B60))</f>
        <v/>
      </c>
      <c r="J60" s="43">
        <f>IF(B60="","",SUMIFS(Recipes!$H$6:$H$405,Recipes!$C$6:$C$405,B60))</f>
        <v/>
      </c>
      <c r="K60" s="43">
        <f>IF(OR(B60="",N(I60)=0),"",I60-J60)</f>
        <v/>
      </c>
      <c r="L60" s="12">
        <f>IF(OR(B60="",F60="",NOT(ISNUMBER(K60))),"",IF(K60&lt;=N(F60),"Buy more",""))</f>
        <v/>
      </c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1" t="n"/>
      <c r="AC60">
        <f>IF(M60="",0,1)</f>
        <v/>
      </c>
      <c r="AD60">
        <f>IF(N60="",0,1)</f>
        <v/>
      </c>
      <c r="AE60">
        <f>IF(O60="",0,1)</f>
        <v/>
      </c>
      <c r="AF60">
        <f>IF(P60="",0,1)</f>
        <v/>
      </c>
      <c r="AG60">
        <f>IF(Q60="",0,1)</f>
        <v/>
      </c>
      <c r="AH60">
        <f>IF(R60="",0,1)</f>
        <v/>
      </c>
      <c r="AI60">
        <f>IF(S60="",0,1)</f>
        <v/>
      </c>
      <c r="AJ60">
        <f>IF(T60="",0,1)</f>
        <v/>
      </c>
      <c r="AK60">
        <f>IF(U60="",0,1)</f>
        <v/>
      </c>
      <c r="AL60">
        <f>IF(V60="",0,1)</f>
        <v/>
      </c>
      <c r="AM60">
        <f>IF(W60="",0,1)</f>
        <v/>
      </c>
      <c r="AN60">
        <f>IF(X60="",0,1)</f>
        <v/>
      </c>
      <c r="AO60">
        <f>IF(Y60="",0,1)</f>
        <v/>
      </c>
      <c r="AP60">
        <f>IF(Z60="",0,1)</f>
        <v/>
      </c>
      <c r="AQ60">
        <f>IF(AA60="",0,1)</f>
        <v/>
      </c>
      <c r="AR60">
        <f>IF(L60="Buy more",ROW(),"")</f>
        <v/>
      </c>
      <c r="AS60">
        <f>IF(G60="",0,1)</f>
        <v/>
      </c>
    </row>
    <row r="61">
      <c r="A61" s="1" t="n"/>
      <c r="B61" s="21" t="n"/>
      <c r="C61" s="36" t="n"/>
      <c r="D61" s="40" t="n"/>
      <c r="E61" s="37" t="n"/>
      <c r="F61" s="40" t="n"/>
      <c r="G61" s="36" t="n"/>
      <c r="H61" s="42">
        <f>IF(OR(B61="",N(D61)=0),"",N(E61)/D61)</f>
        <v/>
      </c>
      <c r="I61" s="43">
        <f>IF(B61="","",SUMIFS(Purchases!$J$6:$J$405,Purchases!$C$6:$C$405,B61))</f>
        <v/>
      </c>
      <c r="J61" s="43">
        <f>IF(B61="","",SUMIFS(Recipes!$H$6:$H$405,Recipes!$C$6:$C$405,B61))</f>
        <v/>
      </c>
      <c r="K61" s="43">
        <f>IF(OR(B61="",N(I61)=0),"",I61-J61)</f>
        <v/>
      </c>
      <c r="L61" s="12">
        <f>IF(OR(B61="",F61="",NOT(ISNUMBER(K61))),"",IF(K61&lt;=N(F61),"Buy more",""))</f>
        <v/>
      </c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1" t="n"/>
      <c r="AC61">
        <f>IF(M61="",0,1)</f>
        <v/>
      </c>
      <c r="AD61">
        <f>IF(N61="",0,1)</f>
        <v/>
      </c>
      <c r="AE61">
        <f>IF(O61="",0,1)</f>
        <v/>
      </c>
      <c r="AF61">
        <f>IF(P61="",0,1)</f>
        <v/>
      </c>
      <c r="AG61">
        <f>IF(Q61="",0,1)</f>
        <v/>
      </c>
      <c r="AH61">
        <f>IF(R61="",0,1)</f>
        <v/>
      </c>
      <c r="AI61">
        <f>IF(S61="",0,1)</f>
        <v/>
      </c>
      <c r="AJ61">
        <f>IF(T61="",0,1)</f>
        <v/>
      </c>
      <c r="AK61">
        <f>IF(U61="",0,1)</f>
        <v/>
      </c>
      <c r="AL61">
        <f>IF(V61="",0,1)</f>
        <v/>
      </c>
      <c r="AM61">
        <f>IF(W61="",0,1)</f>
        <v/>
      </c>
      <c r="AN61">
        <f>IF(X61="",0,1)</f>
        <v/>
      </c>
      <c r="AO61">
        <f>IF(Y61="",0,1)</f>
        <v/>
      </c>
      <c r="AP61">
        <f>IF(Z61="",0,1)</f>
        <v/>
      </c>
      <c r="AQ61">
        <f>IF(AA61="",0,1)</f>
        <v/>
      </c>
      <c r="AR61">
        <f>IF(L61="Buy more",ROW(),"")</f>
        <v/>
      </c>
      <c r="AS61">
        <f>IF(G61="",0,1)</f>
        <v/>
      </c>
    </row>
    <row r="62">
      <c r="A62" s="1" t="n"/>
      <c r="B62" s="21" t="n"/>
      <c r="C62" s="36" t="n"/>
      <c r="D62" s="40" t="n"/>
      <c r="E62" s="37" t="n"/>
      <c r="F62" s="40" t="n"/>
      <c r="G62" s="36" t="n"/>
      <c r="H62" s="42">
        <f>IF(OR(B62="",N(D62)=0),"",N(E62)/D62)</f>
        <v/>
      </c>
      <c r="I62" s="43">
        <f>IF(B62="","",SUMIFS(Purchases!$J$6:$J$405,Purchases!$C$6:$C$405,B62))</f>
        <v/>
      </c>
      <c r="J62" s="43">
        <f>IF(B62="","",SUMIFS(Recipes!$H$6:$H$405,Recipes!$C$6:$C$405,B62))</f>
        <v/>
      </c>
      <c r="K62" s="43">
        <f>IF(OR(B62="",N(I62)=0),"",I62-J62)</f>
        <v/>
      </c>
      <c r="L62" s="12">
        <f>IF(OR(B62="",F62="",NOT(ISNUMBER(K62))),"",IF(K62&lt;=N(F62),"Buy more",""))</f>
        <v/>
      </c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1" t="n"/>
      <c r="AC62">
        <f>IF(M62="",0,1)</f>
        <v/>
      </c>
      <c r="AD62">
        <f>IF(N62="",0,1)</f>
        <v/>
      </c>
      <c r="AE62">
        <f>IF(O62="",0,1)</f>
        <v/>
      </c>
      <c r="AF62">
        <f>IF(P62="",0,1)</f>
        <v/>
      </c>
      <c r="AG62">
        <f>IF(Q62="",0,1)</f>
        <v/>
      </c>
      <c r="AH62">
        <f>IF(R62="",0,1)</f>
        <v/>
      </c>
      <c r="AI62">
        <f>IF(S62="",0,1)</f>
        <v/>
      </c>
      <c r="AJ62">
        <f>IF(T62="",0,1)</f>
        <v/>
      </c>
      <c r="AK62">
        <f>IF(U62="",0,1)</f>
        <v/>
      </c>
      <c r="AL62">
        <f>IF(V62="",0,1)</f>
        <v/>
      </c>
      <c r="AM62">
        <f>IF(W62="",0,1)</f>
        <v/>
      </c>
      <c r="AN62">
        <f>IF(X62="",0,1)</f>
        <v/>
      </c>
      <c r="AO62">
        <f>IF(Y62="",0,1)</f>
        <v/>
      </c>
      <c r="AP62">
        <f>IF(Z62="",0,1)</f>
        <v/>
      </c>
      <c r="AQ62">
        <f>IF(AA62="",0,1)</f>
        <v/>
      </c>
      <c r="AR62">
        <f>IF(L62="Buy more",ROW(),"")</f>
        <v/>
      </c>
      <c r="AS62">
        <f>IF(G62="",0,1)</f>
        <v/>
      </c>
    </row>
    <row r="63">
      <c r="A63" s="1" t="n"/>
      <c r="B63" s="21" t="n"/>
      <c r="C63" s="36" t="n"/>
      <c r="D63" s="40" t="n"/>
      <c r="E63" s="37" t="n"/>
      <c r="F63" s="40" t="n"/>
      <c r="G63" s="36" t="n"/>
      <c r="H63" s="42">
        <f>IF(OR(B63="",N(D63)=0),"",N(E63)/D63)</f>
        <v/>
      </c>
      <c r="I63" s="43">
        <f>IF(B63="","",SUMIFS(Purchases!$J$6:$J$405,Purchases!$C$6:$C$405,B63))</f>
        <v/>
      </c>
      <c r="J63" s="43">
        <f>IF(B63="","",SUMIFS(Recipes!$H$6:$H$405,Recipes!$C$6:$C$405,B63))</f>
        <v/>
      </c>
      <c r="K63" s="43">
        <f>IF(OR(B63="",N(I63)=0),"",I63-J63)</f>
        <v/>
      </c>
      <c r="L63" s="12">
        <f>IF(OR(B63="",F63="",NOT(ISNUMBER(K63))),"",IF(K63&lt;=N(F63),"Buy more",""))</f>
        <v/>
      </c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1" t="n"/>
      <c r="AC63">
        <f>IF(M63="",0,1)</f>
        <v/>
      </c>
      <c r="AD63">
        <f>IF(N63="",0,1)</f>
        <v/>
      </c>
      <c r="AE63">
        <f>IF(O63="",0,1)</f>
        <v/>
      </c>
      <c r="AF63">
        <f>IF(P63="",0,1)</f>
        <v/>
      </c>
      <c r="AG63">
        <f>IF(Q63="",0,1)</f>
        <v/>
      </c>
      <c r="AH63">
        <f>IF(R63="",0,1)</f>
        <v/>
      </c>
      <c r="AI63">
        <f>IF(S63="",0,1)</f>
        <v/>
      </c>
      <c r="AJ63">
        <f>IF(T63="",0,1)</f>
        <v/>
      </c>
      <c r="AK63">
        <f>IF(U63="",0,1)</f>
        <v/>
      </c>
      <c r="AL63">
        <f>IF(V63="",0,1)</f>
        <v/>
      </c>
      <c r="AM63">
        <f>IF(W63="",0,1)</f>
        <v/>
      </c>
      <c r="AN63">
        <f>IF(X63="",0,1)</f>
        <v/>
      </c>
      <c r="AO63">
        <f>IF(Y63="",0,1)</f>
        <v/>
      </c>
      <c r="AP63">
        <f>IF(Z63="",0,1)</f>
        <v/>
      </c>
      <c r="AQ63">
        <f>IF(AA63="",0,1)</f>
        <v/>
      </c>
      <c r="AR63">
        <f>IF(L63="Buy more",ROW(),"")</f>
        <v/>
      </c>
      <c r="AS63">
        <f>IF(G63="",0,1)</f>
        <v/>
      </c>
    </row>
    <row r="64">
      <c r="A64" s="1" t="n"/>
      <c r="B64" s="21" t="n"/>
      <c r="C64" s="36" t="n"/>
      <c r="D64" s="40" t="n"/>
      <c r="E64" s="37" t="n"/>
      <c r="F64" s="40" t="n"/>
      <c r="G64" s="36" t="n"/>
      <c r="H64" s="42">
        <f>IF(OR(B64="",N(D64)=0),"",N(E64)/D64)</f>
        <v/>
      </c>
      <c r="I64" s="43">
        <f>IF(B64="","",SUMIFS(Purchases!$J$6:$J$405,Purchases!$C$6:$C$405,B64))</f>
        <v/>
      </c>
      <c r="J64" s="43">
        <f>IF(B64="","",SUMIFS(Recipes!$H$6:$H$405,Recipes!$C$6:$C$405,B64))</f>
        <v/>
      </c>
      <c r="K64" s="43">
        <f>IF(OR(B64="",N(I64)=0),"",I64-J64)</f>
        <v/>
      </c>
      <c r="L64" s="12">
        <f>IF(OR(B64="",F64="",NOT(ISNUMBER(K64))),"",IF(K64&lt;=N(F64),"Buy more",""))</f>
        <v/>
      </c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1" t="n"/>
      <c r="AC64">
        <f>IF(M64="",0,1)</f>
        <v/>
      </c>
      <c r="AD64">
        <f>IF(N64="",0,1)</f>
        <v/>
      </c>
      <c r="AE64">
        <f>IF(O64="",0,1)</f>
        <v/>
      </c>
      <c r="AF64">
        <f>IF(P64="",0,1)</f>
        <v/>
      </c>
      <c r="AG64">
        <f>IF(Q64="",0,1)</f>
        <v/>
      </c>
      <c r="AH64">
        <f>IF(R64="",0,1)</f>
        <v/>
      </c>
      <c r="AI64">
        <f>IF(S64="",0,1)</f>
        <v/>
      </c>
      <c r="AJ64">
        <f>IF(T64="",0,1)</f>
        <v/>
      </c>
      <c r="AK64">
        <f>IF(U64="",0,1)</f>
        <v/>
      </c>
      <c r="AL64">
        <f>IF(V64="",0,1)</f>
        <v/>
      </c>
      <c r="AM64">
        <f>IF(W64="",0,1)</f>
        <v/>
      </c>
      <c r="AN64">
        <f>IF(X64="",0,1)</f>
        <v/>
      </c>
      <c r="AO64">
        <f>IF(Y64="",0,1)</f>
        <v/>
      </c>
      <c r="AP64">
        <f>IF(Z64="",0,1)</f>
        <v/>
      </c>
      <c r="AQ64">
        <f>IF(AA64="",0,1)</f>
        <v/>
      </c>
      <c r="AR64">
        <f>IF(L64="Buy more",ROW(),"")</f>
        <v/>
      </c>
      <c r="AS64">
        <f>IF(G64="",0,1)</f>
        <v/>
      </c>
    </row>
    <row r="65">
      <c r="A65" s="1" t="n"/>
      <c r="B65" s="21" t="n"/>
      <c r="C65" s="36" t="n"/>
      <c r="D65" s="40" t="n"/>
      <c r="E65" s="37" t="n"/>
      <c r="F65" s="40" t="n"/>
      <c r="G65" s="36" t="n"/>
      <c r="H65" s="42">
        <f>IF(OR(B65="",N(D65)=0),"",N(E65)/D65)</f>
        <v/>
      </c>
      <c r="I65" s="43">
        <f>IF(B65="","",SUMIFS(Purchases!$J$6:$J$405,Purchases!$C$6:$C$405,B65))</f>
        <v/>
      </c>
      <c r="J65" s="43">
        <f>IF(B65="","",SUMIFS(Recipes!$H$6:$H$405,Recipes!$C$6:$C$405,B65))</f>
        <v/>
      </c>
      <c r="K65" s="43">
        <f>IF(OR(B65="",N(I65)=0),"",I65-J65)</f>
        <v/>
      </c>
      <c r="L65" s="12">
        <f>IF(OR(B65="",F65="",NOT(ISNUMBER(K65))),"",IF(K65&lt;=N(F65),"Buy more",""))</f>
        <v/>
      </c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1" t="n"/>
      <c r="AC65">
        <f>IF(M65="",0,1)</f>
        <v/>
      </c>
      <c r="AD65">
        <f>IF(N65="",0,1)</f>
        <v/>
      </c>
      <c r="AE65">
        <f>IF(O65="",0,1)</f>
        <v/>
      </c>
      <c r="AF65">
        <f>IF(P65="",0,1)</f>
        <v/>
      </c>
      <c r="AG65">
        <f>IF(Q65="",0,1)</f>
        <v/>
      </c>
      <c r="AH65">
        <f>IF(R65="",0,1)</f>
        <v/>
      </c>
      <c r="AI65">
        <f>IF(S65="",0,1)</f>
        <v/>
      </c>
      <c r="AJ65">
        <f>IF(T65="",0,1)</f>
        <v/>
      </c>
      <c r="AK65">
        <f>IF(U65="",0,1)</f>
        <v/>
      </c>
      <c r="AL65">
        <f>IF(V65="",0,1)</f>
        <v/>
      </c>
      <c r="AM65">
        <f>IF(W65="",0,1)</f>
        <v/>
      </c>
      <c r="AN65">
        <f>IF(X65="",0,1)</f>
        <v/>
      </c>
      <c r="AO65">
        <f>IF(Y65="",0,1)</f>
        <v/>
      </c>
      <c r="AP65">
        <f>IF(Z65="",0,1)</f>
        <v/>
      </c>
      <c r="AQ65">
        <f>IF(AA65="",0,1)</f>
        <v/>
      </c>
      <c r="AR65">
        <f>IF(L65="Buy more",ROW(),"")</f>
        <v/>
      </c>
      <c r="AS65">
        <f>IF(G65="",0,1)</f>
        <v/>
      </c>
    </row>
    <row r="66">
      <c r="A66" s="1" t="n"/>
      <c r="B66" s="21" t="n"/>
      <c r="C66" s="36" t="n"/>
      <c r="D66" s="40" t="n"/>
      <c r="E66" s="37" t="n"/>
      <c r="F66" s="40" t="n"/>
      <c r="G66" s="36" t="n"/>
      <c r="H66" s="42">
        <f>IF(OR(B66="",N(D66)=0),"",N(E66)/D66)</f>
        <v/>
      </c>
      <c r="I66" s="43">
        <f>IF(B66="","",SUMIFS(Purchases!$J$6:$J$405,Purchases!$C$6:$C$405,B66))</f>
        <v/>
      </c>
      <c r="J66" s="43">
        <f>IF(B66="","",SUMIFS(Recipes!$H$6:$H$405,Recipes!$C$6:$C$405,B66))</f>
        <v/>
      </c>
      <c r="K66" s="43">
        <f>IF(OR(B66="",N(I66)=0),"",I66-J66)</f>
        <v/>
      </c>
      <c r="L66" s="12">
        <f>IF(OR(B66="",F66="",NOT(ISNUMBER(K66))),"",IF(K66&lt;=N(F66),"Buy more",""))</f>
        <v/>
      </c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1" t="n"/>
      <c r="AC66">
        <f>IF(M66="",0,1)</f>
        <v/>
      </c>
      <c r="AD66">
        <f>IF(N66="",0,1)</f>
        <v/>
      </c>
      <c r="AE66">
        <f>IF(O66="",0,1)</f>
        <v/>
      </c>
      <c r="AF66">
        <f>IF(P66="",0,1)</f>
        <v/>
      </c>
      <c r="AG66">
        <f>IF(Q66="",0,1)</f>
        <v/>
      </c>
      <c r="AH66">
        <f>IF(R66="",0,1)</f>
        <v/>
      </c>
      <c r="AI66">
        <f>IF(S66="",0,1)</f>
        <v/>
      </c>
      <c r="AJ66">
        <f>IF(T66="",0,1)</f>
        <v/>
      </c>
      <c r="AK66">
        <f>IF(U66="",0,1)</f>
        <v/>
      </c>
      <c r="AL66">
        <f>IF(V66="",0,1)</f>
        <v/>
      </c>
      <c r="AM66">
        <f>IF(W66="",0,1)</f>
        <v/>
      </c>
      <c r="AN66">
        <f>IF(X66="",0,1)</f>
        <v/>
      </c>
      <c r="AO66">
        <f>IF(Y66="",0,1)</f>
        <v/>
      </c>
      <c r="AP66">
        <f>IF(Z66="",0,1)</f>
        <v/>
      </c>
      <c r="AQ66">
        <f>IF(AA66="",0,1)</f>
        <v/>
      </c>
      <c r="AR66">
        <f>IF(L66="Buy more",ROW(),"")</f>
        <v/>
      </c>
      <c r="AS66">
        <f>IF(G66="",0,1)</f>
        <v/>
      </c>
    </row>
    <row r="67">
      <c r="A67" s="1" t="n"/>
      <c r="B67" s="21" t="n"/>
      <c r="C67" s="36" t="n"/>
      <c r="D67" s="40" t="n"/>
      <c r="E67" s="37" t="n"/>
      <c r="F67" s="40" t="n"/>
      <c r="G67" s="36" t="n"/>
      <c r="H67" s="42">
        <f>IF(OR(B67="",N(D67)=0),"",N(E67)/D67)</f>
        <v/>
      </c>
      <c r="I67" s="43">
        <f>IF(B67="","",SUMIFS(Purchases!$J$6:$J$405,Purchases!$C$6:$C$405,B67))</f>
        <v/>
      </c>
      <c r="J67" s="43">
        <f>IF(B67="","",SUMIFS(Recipes!$H$6:$H$405,Recipes!$C$6:$C$405,B67))</f>
        <v/>
      </c>
      <c r="K67" s="43">
        <f>IF(OR(B67="",N(I67)=0),"",I67-J67)</f>
        <v/>
      </c>
      <c r="L67" s="12">
        <f>IF(OR(B67="",F67="",NOT(ISNUMBER(K67))),"",IF(K67&lt;=N(F67),"Buy more",""))</f>
        <v/>
      </c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1" t="n"/>
      <c r="AC67">
        <f>IF(M67="",0,1)</f>
        <v/>
      </c>
      <c r="AD67">
        <f>IF(N67="",0,1)</f>
        <v/>
      </c>
      <c r="AE67">
        <f>IF(O67="",0,1)</f>
        <v/>
      </c>
      <c r="AF67">
        <f>IF(P67="",0,1)</f>
        <v/>
      </c>
      <c r="AG67">
        <f>IF(Q67="",0,1)</f>
        <v/>
      </c>
      <c r="AH67">
        <f>IF(R67="",0,1)</f>
        <v/>
      </c>
      <c r="AI67">
        <f>IF(S67="",0,1)</f>
        <v/>
      </c>
      <c r="AJ67">
        <f>IF(T67="",0,1)</f>
        <v/>
      </c>
      <c r="AK67">
        <f>IF(U67="",0,1)</f>
        <v/>
      </c>
      <c r="AL67">
        <f>IF(V67="",0,1)</f>
        <v/>
      </c>
      <c r="AM67">
        <f>IF(W67="",0,1)</f>
        <v/>
      </c>
      <c r="AN67">
        <f>IF(X67="",0,1)</f>
        <v/>
      </c>
      <c r="AO67">
        <f>IF(Y67="",0,1)</f>
        <v/>
      </c>
      <c r="AP67">
        <f>IF(Z67="",0,1)</f>
        <v/>
      </c>
      <c r="AQ67">
        <f>IF(AA67="",0,1)</f>
        <v/>
      </c>
      <c r="AR67">
        <f>IF(L67="Buy more",ROW(),"")</f>
        <v/>
      </c>
      <c r="AS67">
        <f>IF(G67="",0,1)</f>
        <v/>
      </c>
    </row>
    <row r="68">
      <c r="A68" s="1" t="n"/>
      <c r="B68" s="21" t="n"/>
      <c r="C68" s="36" t="n"/>
      <c r="D68" s="40" t="n"/>
      <c r="E68" s="37" t="n"/>
      <c r="F68" s="40" t="n"/>
      <c r="G68" s="36" t="n"/>
      <c r="H68" s="42">
        <f>IF(OR(B68="",N(D68)=0),"",N(E68)/D68)</f>
        <v/>
      </c>
      <c r="I68" s="43">
        <f>IF(B68="","",SUMIFS(Purchases!$J$6:$J$405,Purchases!$C$6:$C$405,B68))</f>
        <v/>
      </c>
      <c r="J68" s="43">
        <f>IF(B68="","",SUMIFS(Recipes!$H$6:$H$405,Recipes!$C$6:$C$405,B68))</f>
        <v/>
      </c>
      <c r="K68" s="43">
        <f>IF(OR(B68="",N(I68)=0),"",I68-J68)</f>
        <v/>
      </c>
      <c r="L68" s="12">
        <f>IF(OR(B68="",F68="",NOT(ISNUMBER(K68))),"",IF(K68&lt;=N(F68),"Buy more",""))</f>
        <v/>
      </c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1" t="n"/>
      <c r="AC68">
        <f>IF(M68="",0,1)</f>
        <v/>
      </c>
      <c r="AD68">
        <f>IF(N68="",0,1)</f>
        <v/>
      </c>
      <c r="AE68">
        <f>IF(O68="",0,1)</f>
        <v/>
      </c>
      <c r="AF68">
        <f>IF(P68="",0,1)</f>
        <v/>
      </c>
      <c r="AG68">
        <f>IF(Q68="",0,1)</f>
        <v/>
      </c>
      <c r="AH68">
        <f>IF(R68="",0,1)</f>
        <v/>
      </c>
      <c r="AI68">
        <f>IF(S68="",0,1)</f>
        <v/>
      </c>
      <c r="AJ68">
        <f>IF(T68="",0,1)</f>
        <v/>
      </c>
      <c r="AK68">
        <f>IF(U68="",0,1)</f>
        <v/>
      </c>
      <c r="AL68">
        <f>IF(V68="",0,1)</f>
        <v/>
      </c>
      <c r="AM68">
        <f>IF(W68="",0,1)</f>
        <v/>
      </c>
      <c r="AN68">
        <f>IF(X68="",0,1)</f>
        <v/>
      </c>
      <c r="AO68">
        <f>IF(Y68="",0,1)</f>
        <v/>
      </c>
      <c r="AP68">
        <f>IF(Z68="",0,1)</f>
        <v/>
      </c>
      <c r="AQ68">
        <f>IF(AA68="",0,1)</f>
        <v/>
      </c>
      <c r="AR68">
        <f>IF(L68="Buy more",ROW(),"")</f>
        <v/>
      </c>
      <c r="AS68">
        <f>IF(G68="",0,1)</f>
        <v/>
      </c>
    </row>
    <row r="69">
      <c r="A69" s="1" t="n"/>
      <c r="B69" s="21" t="n"/>
      <c r="C69" s="36" t="n"/>
      <c r="D69" s="40" t="n"/>
      <c r="E69" s="37" t="n"/>
      <c r="F69" s="40" t="n"/>
      <c r="G69" s="36" t="n"/>
      <c r="H69" s="42">
        <f>IF(OR(B69="",N(D69)=0),"",N(E69)/D69)</f>
        <v/>
      </c>
      <c r="I69" s="43">
        <f>IF(B69="","",SUMIFS(Purchases!$J$6:$J$405,Purchases!$C$6:$C$405,B69))</f>
        <v/>
      </c>
      <c r="J69" s="43">
        <f>IF(B69="","",SUMIFS(Recipes!$H$6:$H$405,Recipes!$C$6:$C$405,B69))</f>
        <v/>
      </c>
      <c r="K69" s="43">
        <f>IF(OR(B69="",N(I69)=0),"",I69-J69)</f>
        <v/>
      </c>
      <c r="L69" s="12">
        <f>IF(OR(B69="",F69="",NOT(ISNUMBER(K69))),"",IF(K69&lt;=N(F69),"Buy more",""))</f>
        <v/>
      </c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1" t="n"/>
      <c r="AC69">
        <f>IF(M69="",0,1)</f>
        <v/>
      </c>
      <c r="AD69">
        <f>IF(N69="",0,1)</f>
        <v/>
      </c>
      <c r="AE69">
        <f>IF(O69="",0,1)</f>
        <v/>
      </c>
      <c r="AF69">
        <f>IF(P69="",0,1)</f>
        <v/>
      </c>
      <c r="AG69">
        <f>IF(Q69="",0,1)</f>
        <v/>
      </c>
      <c r="AH69">
        <f>IF(R69="",0,1)</f>
        <v/>
      </c>
      <c r="AI69">
        <f>IF(S69="",0,1)</f>
        <v/>
      </c>
      <c r="AJ69">
        <f>IF(T69="",0,1)</f>
        <v/>
      </c>
      <c r="AK69">
        <f>IF(U69="",0,1)</f>
        <v/>
      </c>
      <c r="AL69">
        <f>IF(V69="",0,1)</f>
        <v/>
      </c>
      <c r="AM69">
        <f>IF(W69="",0,1)</f>
        <v/>
      </c>
      <c r="AN69">
        <f>IF(X69="",0,1)</f>
        <v/>
      </c>
      <c r="AO69">
        <f>IF(Y69="",0,1)</f>
        <v/>
      </c>
      <c r="AP69">
        <f>IF(Z69="",0,1)</f>
        <v/>
      </c>
      <c r="AQ69">
        <f>IF(AA69="",0,1)</f>
        <v/>
      </c>
      <c r="AR69">
        <f>IF(L69="Buy more",ROW(),"")</f>
        <v/>
      </c>
      <c r="AS69">
        <f>IF(G69="",0,1)</f>
        <v/>
      </c>
    </row>
    <row r="70">
      <c r="A70" s="1" t="n"/>
      <c r="B70" s="21" t="n"/>
      <c r="C70" s="36" t="n"/>
      <c r="D70" s="40" t="n"/>
      <c r="E70" s="37" t="n"/>
      <c r="F70" s="40" t="n"/>
      <c r="G70" s="36" t="n"/>
      <c r="H70" s="42">
        <f>IF(OR(B70="",N(D70)=0),"",N(E70)/D70)</f>
        <v/>
      </c>
      <c r="I70" s="43">
        <f>IF(B70="","",SUMIFS(Purchases!$J$6:$J$405,Purchases!$C$6:$C$405,B70))</f>
        <v/>
      </c>
      <c r="J70" s="43">
        <f>IF(B70="","",SUMIFS(Recipes!$H$6:$H$405,Recipes!$C$6:$C$405,B70))</f>
        <v/>
      </c>
      <c r="K70" s="43">
        <f>IF(OR(B70="",N(I70)=0),"",I70-J70)</f>
        <v/>
      </c>
      <c r="L70" s="12">
        <f>IF(OR(B70="",F70="",NOT(ISNUMBER(K70))),"",IF(K70&lt;=N(F70),"Buy more",""))</f>
        <v/>
      </c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1" t="n"/>
      <c r="AC70">
        <f>IF(M70="",0,1)</f>
        <v/>
      </c>
      <c r="AD70">
        <f>IF(N70="",0,1)</f>
        <v/>
      </c>
      <c r="AE70">
        <f>IF(O70="",0,1)</f>
        <v/>
      </c>
      <c r="AF70">
        <f>IF(P70="",0,1)</f>
        <v/>
      </c>
      <c r="AG70">
        <f>IF(Q70="",0,1)</f>
        <v/>
      </c>
      <c r="AH70">
        <f>IF(R70="",0,1)</f>
        <v/>
      </c>
      <c r="AI70">
        <f>IF(S70="",0,1)</f>
        <v/>
      </c>
      <c r="AJ70">
        <f>IF(T70="",0,1)</f>
        <v/>
      </c>
      <c r="AK70">
        <f>IF(U70="",0,1)</f>
        <v/>
      </c>
      <c r="AL70">
        <f>IF(V70="",0,1)</f>
        <v/>
      </c>
      <c r="AM70">
        <f>IF(W70="",0,1)</f>
        <v/>
      </c>
      <c r="AN70">
        <f>IF(X70="",0,1)</f>
        <v/>
      </c>
      <c r="AO70">
        <f>IF(Y70="",0,1)</f>
        <v/>
      </c>
      <c r="AP70">
        <f>IF(Z70="",0,1)</f>
        <v/>
      </c>
      <c r="AQ70">
        <f>IF(AA70="",0,1)</f>
        <v/>
      </c>
      <c r="AR70">
        <f>IF(L70="Buy more",ROW(),"")</f>
        <v/>
      </c>
      <c r="AS70">
        <f>IF(G70="",0,1)</f>
        <v/>
      </c>
    </row>
    <row r="71">
      <c r="A71" s="1" t="n"/>
      <c r="B71" s="21" t="n"/>
      <c r="C71" s="36" t="n"/>
      <c r="D71" s="40" t="n"/>
      <c r="E71" s="37" t="n"/>
      <c r="F71" s="40" t="n"/>
      <c r="G71" s="36" t="n"/>
      <c r="H71" s="42">
        <f>IF(OR(B71="",N(D71)=0),"",N(E71)/D71)</f>
        <v/>
      </c>
      <c r="I71" s="43">
        <f>IF(B71="","",SUMIFS(Purchases!$J$6:$J$405,Purchases!$C$6:$C$405,B71))</f>
        <v/>
      </c>
      <c r="J71" s="43">
        <f>IF(B71="","",SUMIFS(Recipes!$H$6:$H$405,Recipes!$C$6:$C$405,B71))</f>
        <v/>
      </c>
      <c r="K71" s="43">
        <f>IF(OR(B71="",N(I71)=0),"",I71-J71)</f>
        <v/>
      </c>
      <c r="L71" s="12">
        <f>IF(OR(B71="",F71="",NOT(ISNUMBER(K71))),"",IF(K71&lt;=N(F71),"Buy more",""))</f>
        <v/>
      </c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1" t="n"/>
      <c r="AC71">
        <f>IF(M71="",0,1)</f>
        <v/>
      </c>
      <c r="AD71">
        <f>IF(N71="",0,1)</f>
        <v/>
      </c>
      <c r="AE71">
        <f>IF(O71="",0,1)</f>
        <v/>
      </c>
      <c r="AF71">
        <f>IF(P71="",0,1)</f>
        <v/>
      </c>
      <c r="AG71">
        <f>IF(Q71="",0,1)</f>
        <v/>
      </c>
      <c r="AH71">
        <f>IF(R71="",0,1)</f>
        <v/>
      </c>
      <c r="AI71">
        <f>IF(S71="",0,1)</f>
        <v/>
      </c>
      <c r="AJ71">
        <f>IF(T71="",0,1)</f>
        <v/>
      </c>
      <c r="AK71">
        <f>IF(U71="",0,1)</f>
        <v/>
      </c>
      <c r="AL71">
        <f>IF(V71="",0,1)</f>
        <v/>
      </c>
      <c r="AM71">
        <f>IF(W71="",0,1)</f>
        <v/>
      </c>
      <c r="AN71">
        <f>IF(X71="",0,1)</f>
        <v/>
      </c>
      <c r="AO71">
        <f>IF(Y71="",0,1)</f>
        <v/>
      </c>
      <c r="AP71">
        <f>IF(Z71="",0,1)</f>
        <v/>
      </c>
      <c r="AQ71">
        <f>IF(AA71="",0,1)</f>
        <v/>
      </c>
      <c r="AR71">
        <f>IF(L71="Buy more",ROW(),"")</f>
        <v/>
      </c>
      <c r="AS71">
        <f>IF(G71="",0,1)</f>
        <v/>
      </c>
    </row>
    <row r="72">
      <c r="A72" s="1" t="n"/>
      <c r="B72" s="21" t="n"/>
      <c r="C72" s="36" t="n"/>
      <c r="D72" s="40" t="n"/>
      <c r="E72" s="37" t="n"/>
      <c r="F72" s="40" t="n"/>
      <c r="G72" s="36" t="n"/>
      <c r="H72" s="42">
        <f>IF(OR(B72="",N(D72)=0),"",N(E72)/D72)</f>
        <v/>
      </c>
      <c r="I72" s="43">
        <f>IF(B72="","",SUMIFS(Purchases!$J$6:$J$405,Purchases!$C$6:$C$405,B72))</f>
        <v/>
      </c>
      <c r="J72" s="43">
        <f>IF(B72="","",SUMIFS(Recipes!$H$6:$H$405,Recipes!$C$6:$C$405,B72))</f>
        <v/>
      </c>
      <c r="K72" s="43">
        <f>IF(OR(B72="",N(I72)=0),"",I72-J72)</f>
        <v/>
      </c>
      <c r="L72" s="12">
        <f>IF(OR(B72="",F72="",NOT(ISNUMBER(K72))),"",IF(K72&lt;=N(F72),"Buy more",""))</f>
        <v/>
      </c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1" t="n"/>
      <c r="AC72">
        <f>IF(M72="",0,1)</f>
        <v/>
      </c>
      <c r="AD72">
        <f>IF(N72="",0,1)</f>
        <v/>
      </c>
      <c r="AE72">
        <f>IF(O72="",0,1)</f>
        <v/>
      </c>
      <c r="AF72">
        <f>IF(P72="",0,1)</f>
        <v/>
      </c>
      <c r="AG72">
        <f>IF(Q72="",0,1)</f>
        <v/>
      </c>
      <c r="AH72">
        <f>IF(R72="",0,1)</f>
        <v/>
      </c>
      <c r="AI72">
        <f>IF(S72="",0,1)</f>
        <v/>
      </c>
      <c r="AJ72">
        <f>IF(T72="",0,1)</f>
        <v/>
      </c>
      <c r="AK72">
        <f>IF(U72="",0,1)</f>
        <v/>
      </c>
      <c r="AL72">
        <f>IF(V72="",0,1)</f>
        <v/>
      </c>
      <c r="AM72">
        <f>IF(W72="",0,1)</f>
        <v/>
      </c>
      <c r="AN72">
        <f>IF(X72="",0,1)</f>
        <v/>
      </c>
      <c r="AO72">
        <f>IF(Y72="",0,1)</f>
        <v/>
      </c>
      <c r="AP72">
        <f>IF(Z72="",0,1)</f>
        <v/>
      </c>
      <c r="AQ72">
        <f>IF(AA72="",0,1)</f>
        <v/>
      </c>
      <c r="AR72">
        <f>IF(L72="Buy more",ROW(),"")</f>
        <v/>
      </c>
      <c r="AS72">
        <f>IF(G72="",0,1)</f>
        <v/>
      </c>
    </row>
    <row r="73">
      <c r="A73" s="1" t="n"/>
      <c r="B73" s="21" t="n"/>
      <c r="C73" s="36" t="n"/>
      <c r="D73" s="40" t="n"/>
      <c r="E73" s="37" t="n"/>
      <c r="F73" s="40" t="n"/>
      <c r="G73" s="36" t="n"/>
      <c r="H73" s="42">
        <f>IF(OR(B73="",N(D73)=0),"",N(E73)/D73)</f>
        <v/>
      </c>
      <c r="I73" s="43">
        <f>IF(B73="","",SUMIFS(Purchases!$J$6:$J$405,Purchases!$C$6:$C$405,B73))</f>
        <v/>
      </c>
      <c r="J73" s="43">
        <f>IF(B73="","",SUMIFS(Recipes!$H$6:$H$405,Recipes!$C$6:$C$405,B73))</f>
        <v/>
      </c>
      <c r="K73" s="43">
        <f>IF(OR(B73="",N(I73)=0),"",I73-J73)</f>
        <v/>
      </c>
      <c r="L73" s="12">
        <f>IF(OR(B73="",F73="",NOT(ISNUMBER(K73))),"",IF(K73&lt;=N(F73),"Buy more",""))</f>
        <v/>
      </c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1" t="n"/>
      <c r="AC73">
        <f>IF(M73="",0,1)</f>
        <v/>
      </c>
      <c r="AD73">
        <f>IF(N73="",0,1)</f>
        <v/>
      </c>
      <c r="AE73">
        <f>IF(O73="",0,1)</f>
        <v/>
      </c>
      <c r="AF73">
        <f>IF(P73="",0,1)</f>
        <v/>
      </c>
      <c r="AG73">
        <f>IF(Q73="",0,1)</f>
        <v/>
      </c>
      <c r="AH73">
        <f>IF(R73="",0,1)</f>
        <v/>
      </c>
      <c r="AI73">
        <f>IF(S73="",0,1)</f>
        <v/>
      </c>
      <c r="AJ73">
        <f>IF(T73="",0,1)</f>
        <v/>
      </c>
      <c r="AK73">
        <f>IF(U73="",0,1)</f>
        <v/>
      </c>
      <c r="AL73">
        <f>IF(V73="",0,1)</f>
        <v/>
      </c>
      <c r="AM73">
        <f>IF(W73="",0,1)</f>
        <v/>
      </c>
      <c r="AN73">
        <f>IF(X73="",0,1)</f>
        <v/>
      </c>
      <c r="AO73">
        <f>IF(Y73="",0,1)</f>
        <v/>
      </c>
      <c r="AP73">
        <f>IF(Z73="",0,1)</f>
        <v/>
      </c>
      <c r="AQ73">
        <f>IF(AA73="",0,1)</f>
        <v/>
      </c>
      <c r="AR73">
        <f>IF(L73="Buy more",ROW(),"")</f>
        <v/>
      </c>
      <c r="AS73">
        <f>IF(G73="",0,1)</f>
        <v/>
      </c>
    </row>
    <row r="74">
      <c r="A74" s="1" t="n"/>
      <c r="B74" s="21" t="n"/>
      <c r="C74" s="36" t="n"/>
      <c r="D74" s="40" t="n"/>
      <c r="E74" s="37" t="n"/>
      <c r="F74" s="40" t="n"/>
      <c r="G74" s="36" t="n"/>
      <c r="H74" s="42">
        <f>IF(OR(B74="",N(D74)=0),"",N(E74)/D74)</f>
        <v/>
      </c>
      <c r="I74" s="43">
        <f>IF(B74="","",SUMIFS(Purchases!$J$6:$J$405,Purchases!$C$6:$C$405,B74))</f>
        <v/>
      </c>
      <c r="J74" s="43">
        <f>IF(B74="","",SUMIFS(Recipes!$H$6:$H$405,Recipes!$C$6:$C$405,B74))</f>
        <v/>
      </c>
      <c r="K74" s="43">
        <f>IF(OR(B74="",N(I74)=0),"",I74-J74)</f>
        <v/>
      </c>
      <c r="L74" s="12">
        <f>IF(OR(B74="",F74="",NOT(ISNUMBER(K74))),"",IF(K74&lt;=N(F74),"Buy more",""))</f>
        <v/>
      </c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1" t="n"/>
      <c r="AC74">
        <f>IF(M74="",0,1)</f>
        <v/>
      </c>
      <c r="AD74">
        <f>IF(N74="",0,1)</f>
        <v/>
      </c>
      <c r="AE74">
        <f>IF(O74="",0,1)</f>
        <v/>
      </c>
      <c r="AF74">
        <f>IF(P74="",0,1)</f>
        <v/>
      </c>
      <c r="AG74">
        <f>IF(Q74="",0,1)</f>
        <v/>
      </c>
      <c r="AH74">
        <f>IF(R74="",0,1)</f>
        <v/>
      </c>
      <c r="AI74">
        <f>IF(S74="",0,1)</f>
        <v/>
      </c>
      <c r="AJ74">
        <f>IF(T74="",0,1)</f>
        <v/>
      </c>
      <c r="AK74">
        <f>IF(U74="",0,1)</f>
        <v/>
      </c>
      <c r="AL74">
        <f>IF(V74="",0,1)</f>
        <v/>
      </c>
      <c r="AM74">
        <f>IF(W74="",0,1)</f>
        <v/>
      </c>
      <c r="AN74">
        <f>IF(X74="",0,1)</f>
        <v/>
      </c>
      <c r="AO74">
        <f>IF(Y74="",0,1)</f>
        <v/>
      </c>
      <c r="AP74">
        <f>IF(Z74="",0,1)</f>
        <v/>
      </c>
      <c r="AQ74">
        <f>IF(AA74="",0,1)</f>
        <v/>
      </c>
      <c r="AR74">
        <f>IF(L74="Buy more",ROW(),"")</f>
        <v/>
      </c>
      <c r="AS74">
        <f>IF(G74="",0,1)</f>
        <v/>
      </c>
    </row>
    <row r="75">
      <c r="A75" s="1" t="n"/>
      <c r="B75" s="21" t="n"/>
      <c r="C75" s="36" t="n"/>
      <c r="D75" s="40" t="n"/>
      <c r="E75" s="37" t="n"/>
      <c r="F75" s="40" t="n"/>
      <c r="G75" s="36" t="n"/>
      <c r="H75" s="42">
        <f>IF(OR(B75="",N(D75)=0),"",N(E75)/D75)</f>
        <v/>
      </c>
      <c r="I75" s="43">
        <f>IF(B75="","",SUMIFS(Purchases!$J$6:$J$405,Purchases!$C$6:$C$405,B75))</f>
        <v/>
      </c>
      <c r="J75" s="43">
        <f>IF(B75="","",SUMIFS(Recipes!$H$6:$H$405,Recipes!$C$6:$C$405,B75))</f>
        <v/>
      </c>
      <c r="K75" s="43">
        <f>IF(OR(B75="",N(I75)=0),"",I75-J75)</f>
        <v/>
      </c>
      <c r="L75" s="12">
        <f>IF(OR(B75="",F75="",NOT(ISNUMBER(K75))),"",IF(K75&lt;=N(F75),"Buy more",""))</f>
        <v/>
      </c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1" t="n"/>
      <c r="AC75">
        <f>IF(M75="",0,1)</f>
        <v/>
      </c>
      <c r="AD75">
        <f>IF(N75="",0,1)</f>
        <v/>
      </c>
      <c r="AE75">
        <f>IF(O75="",0,1)</f>
        <v/>
      </c>
      <c r="AF75">
        <f>IF(P75="",0,1)</f>
        <v/>
      </c>
      <c r="AG75">
        <f>IF(Q75="",0,1)</f>
        <v/>
      </c>
      <c r="AH75">
        <f>IF(R75="",0,1)</f>
        <v/>
      </c>
      <c r="AI75">
        <f>IF(S75="",0,1)</f>
        <v/>
      </c>
      <c r="AJ75">
        <f>IF(T75="",0,1)</f>
        <v/>
      </c>
      <c r="AK75">
        <f>IF(U75="",0,1)</f>
        <v/>
      </c>
      <c r="AL75">
        <f>IF(V75="",0,1)</f>
        <v/>
      </c>
      <c r="AM75">
        <f>IF(W75="",0,1)</f>
        <v/>
      </c>
      <c r="AN75">
        <f>IF(X75="",0,1)</f>
        <v/>
      </c>
      <c r="AO75">
        <f>IF(Y75="",0,1)</f>
        <v/>
      </c>
      <c r="AP75">
        <f>IF(Z75="",0,1)</f>
        <v/>
      </c>
      <c r="AQ75">
        <f>IF(AA75="",0,1)</f>
        <v/>
      </c>
      <c r="AR75">
        <f>IF(L75="Buy more",ROW(),"")</f>
        <v/>
      </c>
      <c r="AS75">
        <f>IF(G75="",0,1)</f>
        <v/>
      </c>
    </row>
    <row r="76">
      <c r="A76" s="1" t="n"/>
      <c r="B76" s="21" t="n"/>
      <c r="C76" s="36" t="n"/>
      <c r="D76" s="40" t="n"/>
      <c r="E76" s="37" t="n"/>
      <c r="F76" s="40" t="n"/>
      <c r="G76" s="36" t="n"/>
      <c r="H76" s="42">
        <f>IF(OR(B76="",N(D76)=0),"",N(E76)/D76)</f>
        <v/>
      </c>
      <c r="I76" s="43">
        <f>IF(B76="","",SUMIFS(Purchases!$J$6:$J$405,Purchases!$C$6:$C$405,B76))</f>
        <v/>
      </c>
      <c r="J76" s="43">
        <f>IF(B76="","",SUMIFS(Recipes!$H$6:$H$405,Recipes!$C$6:$C$405,B76))</f>
        <v/>
      </c>
      <c r="K76" s="43">
        <f>IF(OR(B76="",N(I76)=0),"",I76-J76)</f>
        <v/>
      </c>
      <c r="L76" s="12">
        <f>IF(OR(B76="",F76="",NOT(ISNUMBER(K76))),"",IF(K76&lt;=N(F76),"Buy more",""))</f>
        <v/>
      </c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1" t="n"/>
      <c r="AC76">
        <f>IF(M76="",0,1)</f>
        <v/>
      </c>
      <c r="AD76">
        <f>IF(N76="",0,1)</f>
        <v/>
      </c>
      <c r="AE76">
        <f>IF(O76="",0,1)</f>
        <v/>
      </c>
      <c r="AF76">
        <f>IF(P76="",0,1)</f>
        <v/>
      </c>
      <c r="AG76">
        <f>IF(Q76="",0,1)</f>
        <v/>
      </c>
      <c r="AH76">
        <f>IF(R76="",0,1)</f>
        <v/>
      </c>
      <c r="AI76">
        <f>IF(S76="",0,1)</f>
        <v/>
      </c>
      <c r="AJ76">
        <f>IF(T76="",0,1)</f>
        <v/>
      </c>
      <c r="AK76">
        <f>IF(U76="",0,1)</f>
        <v/>
      </c>
      <c r="AL76">
        <f>IF(V76="",0,1)</f>
        <v/>
      </c>
      <c r="AM76">
        <f>IF(W76="",0,1)</f>
        <v/>
      </c>
      <c r="AN76">
        <f>IF(X76="",0,1)</f>
        <v/>
      </c>
      <c r="AO76">
        <f>IF(Y76="",0,1)</f>
        <v/>
      </c>
      <c r="AP76">
        <f>IF(Z76="",0,1)</f>
        <v/>
      </c>
      <c r="AQ76">
        <f>IF(AA76="",0,1)</f>
        <v/>
      </c>
      <c r="AR76">
        <f>IF(L76="Buy more",ROW(),"")</f>
        <v/>
      </c>
      <c r="AS76">
        <f>IF(G76="",0,1)</f>
        <v/>
      </c>
    </row>
    <row r="77">
      <c r="A77" s="1" t="n"/>
      <c r="B77" s="21" t="n"/>
      <c r="C77" s="36" t="n"/>
      <c r="D77" s="40" t="n"/>
      <c r="E77" s="37" t="n"/>
      <c r="F77" s="40" t="n"/>
      <c r="G77" s="36" t="n"/>
      <c r="H77" s="42">
        <f>IF(OR(B77="",N(D77)=0),"",N(E77)/D77)</f>
        <v/>
      </c>
      <c r="I77" s="43">
        <f>IF(B77="","",SUMIFS(Purchases!$J$6:$J$405,Purchases!$C$6:$C$405,B77))</f>
        <v/>
      </c>
      <c r="J77" s="43">
        <f>IF(B77="","",SUMIFS(Recipes!$H$6:$H$405,Recipes!$C$6:$C$405,B77))</f>
        <v/>
      </c>
      <c r="K77" s="43">
        <f>IF(OR(B77="",N(I77)=0),"",I77-J77)</f>
        <v/>
      </c>
      <c r="L77" s="12">
        <f>IF(OR(B77="",F77="",NOT(ISNUMBER(K77))),"",IF(K77&lt;=N(F77),"Buy more",""))</f>
        <v/>
      </c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1" t="n"/>
      <c r="AC77">
        <f>IF(M77="",0,1)</f>
        <v/>
      </c>
      <c r="AD77">
        <f>IF(N77="",0,1)</f>
        <v/>
      </c>
      <c r="AE77">
        <f>IF(O77="",0,1)</f>
        <v/>
      </c>
      <c r="AF77">
        <f>IF(P77="",0,1)</f>
        <v/>
      </c>
      <c r="AG77">
        <f>IF(Q77="",0,1)</f>
        <v/>
      </c>
      <c r="AH77">
        <f>IF(R77="",0,1)</f>
        <v/>
      </c>
      <c r="AI77">
        <f>IF(S77="",0,1)</f>
        <v/>
      </c>
      <c r="AJ77">
        <f>IF(T77="",0,1)</f>
        <v/>
      </c>
      <c r="AK77">
        <f>IF(U77="",0,1)</f>
        <v/>
      </c>
      <c r="AL77">
        <f>IF(V77="",0,1)</f>
        <v/>
      </c>
      <c r="AM77">
        <f>IF(W77="",0,1)</f>
        <v/>
      </c>
      <c r="AN77">
        <f>IF(X77="",0,1)</f>
        <v/>
      </c>
      <c r="AO77">
        <f>IF(Y77="",0,1)</f>
        <v/>
      </c>
      <c r="AP77">
        <f>IF(Z77="",0,1)</f>
        <v/>
      </c>
      <c r="AQ77">
        <f>IF(AA77="",0,1)</f>
        <v/>
      </c>
      <c r="AR77">
        <f>IF(L77="Buy more",ROW(),"")</f>
        <v/>
      </c>
      <c r="AS77">
        <f>IF(G77="",0,1)</f>
        <v/>
      </c>
    </row>
    <row r="78">
      <c r="A78" s="1" t="n"/>
      <c r="B78" s="21" t="n"/>
      <c r="C78" s="36" t="n"/>
      <c r="D78" s="40" t="n"/>
      <c r="E78" s="37" t="n"/>
      <c r="F78" s="40" t="n"/>
      <c r="G78" s="36" t="n"/>
      <c r="H78" s="42">
        <f>IF(OR(B78="",N(D78)=0),"",N(E78)/D78)</f>
        <v/>
      </c>
      <c r="I78" s="43">
        <f>IF(B78="","",SUMIFS(Purchases!$J$6:$J$405,Purchases!$C$6:$C$405,B78))</f>
        <v/>
      </c>
      <c r="J78" s="43">
        <f>IF(B78="","",SUMIFS(Recipes!$H$6:$H$405,Recipes!$C$6:$C$405,B78))</f>
        <v/>
      </c>
      <c r="K78" s="43">
        <f>IF(OR(B78="",N(I78)=0),"",I78-J78)</f>
        <v/>
      </c>
      <c r="L78" s="12">
        <f>IF(OR(B78="",F78="",NOT(ISNUMBER(K78))),"",IF(K78&lt;=N(F78),"Buy more",""))</f>
        <v/>
      </c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1" t="n"/>
      <c r="AC78">
        <f>IF(M78="",0,1)</f>
        <v/>
      </c>
      <c r="AD78">
        <f>IF(N78="",0,1)</f>
        <v/>
      </c>
      <c r="AE78">
        <f>IF(O78="",0,1)</f>
        <v/>
      </c>
      <c r="AF78">
        <f>IF(P78="",0,1)</f>
        <v/>
      </c>
      <c r="AG78">
        <f>IF(Q78="",0,1)</f>
        <v/>
      </c>
      <c r="AH78">
        <f>IF(R78="",0,1)</f>
        <v/>
      </c>
      <c r="AI78">
        <f>IF(S78="",0,1)</f>
        <v/>
      </c>
      <c r="AJ78">
        <f>IF(T78="",0,1)</f>
        <v/>
      </c>
      <c r="AK78">
        <f>IF(U78="",0,1)</f>
        <v/>
      </c>
      <c r="AL78">
        <f>IF(V78="",0,1)</f>
        <v/>
      </c>
      <c r="AM78">
        <f>IF(W78="",0,1)</f>
        <v/>
      </c>
      <c r="AN78">
        <f>IF(X78="",0,1)</f>
        <v/>
      </c>
      <c r="AO78">
        <f>IF(Y78="",0,1)</f>
        <v/>
      </c>
      <c r="AP78">
        <f>IF(Z78="",0,1)</f>
        <v/>
      </c>
      <c r="AQ78">
        <f>IF(AA78="",0,1)</f>
        <v/>
      </c>
      <c r="AR78">
        <f>IF(L78="Buy more",ROW(),"")</f>
        <v/>
      </c>
      <c r="AS78">
        <f>IF(G78="",0,1)</f>
        <v/>
      </c>
    </row>
    <row r="79">
      <c r="A79" s="1" t="n"/>
      <c r="B79" s="21" t="n"/>
      <c r="C79" s="36" t="n"/>
      <c r="D79" s="40" t="n"/>
      <c r="E79" s="37" t="n"/>
      <c r="F79" s="40" t="n"/>
      <c r="G79" s="36" t="n"/>
      <c r="H79" s="42">
        <f>IF(OR(B79="",N(D79)=0),"",N(E79)/D79)</f>
        <v/>
      </c>
      <c r="I79" s="43">
        <f>IF(B79="","",SUMIFS(Purchases!$J$6:$J$405,Purchases!$C$6:$C$405,B79))</f>
        <v/>
      </c>
      <c r="J79" s="43">
        <f>IF(B79="","",SUMIFS(Recipes!$H$6:$H$405,Recipes!$C$6:$C$405,B79))</f>
        <v/>
      </c>
      <c r="K79" s="43">
        <f>IF(OR(B79="",N(I79)=0),"",I79-J79)</f>
        <v/>
      </c>
      <c r="L79" s="12">
        <f>IF(OR(B79="",F79="",NOT(ISNUMBER(K79))),"",IF(K79&lt;=N(F79),"Buy more",""))</f>
        <v/>
      </c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1" t="n"/>
      <c r="AC79">
        <f>IF(M79="",0,1)</f>
        <v/>
      </c>
      <c r="AD79">
        <f>IF(N79="",0,1)</f>
        <v/>
      </c>
      <c r="AE79">
        <f>IF(O79="",0,1)</f>
        <v/>
      </c>
      <c r="AF79">
        <f>IF(P79="",0,1)</f>
        <v/>
      </c>
      <c r="AG79">
        <f>IF(Q79="",0,1)</f>
        <v/>
      </c>
      <c r="AH79">
        <f>IF(R79="",0,1)</f>
        <v/>
      </c>
      <c r="AI79">
        <f>IF(S79="",0,1)</f>
        <v/>
      </c>
      <c r="AJ79">
        <f>IF(T79="",0,1)</f>
        <v/>
      </c>
      <c r="AK79">
        <f>IF(U79="",0,1)</f>
        <v/>
      </c>
      <c r="AL79">
        <f>IF(V79="",0,1)</f>
        <v/>
      </c>
      <c r="AM79">
        <f>IF(W79="",0,1)</f>
        <v/>
      </c>
      <c r="AN79">
        <f>IF(X79="",0,1)</f>
        <v/>
      </c>
      <c r="AO79">
        <f>IF(Y79="",0,1)</f>
        <v/>
      </c>
      <c r="AP79">
        <f>IF(Z79="",0,1)</f>
        <v/>
      </c>
      <c r="AQ79">
        <f>IF(AA79="",0,1)</f>
        <v/>
      </c>
      <c r="AR79">
        <f>IF(L79="Buy more",ROW(),"")</f>
        <v/>
      </c>
      <c r="AS79">
        <f>IF(G79="",0,1)</f>
        <v/>
      </c>
    </row>
    <row r="80">
      <c r="A80" s="1" t="n"/>
      <c r="B80" s="21" t="n"/>
      <c r="C80" s="36" t="n"/>
      <c r="D80" s="40" t="n"/>
      <c r="E80" s="37" t="n"/>
      <c r="F80" s="40" t="n"/>
      <c r="G80" s="36" t="n"/>
      <c r="H80" s="42">
        <f>IF(OR(B80="",N(D80)=0),"",N(E80)/D80)</f>
        <v/>
      </c>
      <c r="I80" s="43">
        <f>IF(B80="","",SUMIFS(Purchases!$J$6:$J$405,Purchases!$C$6:$C$405,B80))</f>
        <v/>
      </c>
      <c r="J80" s="43">
        <f>IF(B80="","",SUMIFS(Recipes!$H$6:$H$405,Recipes!$C$6:$C$405,B80))</f>
        <v/>
      </c>
      <c r="K80" s="43">
        <f>IF(OR(B80="",N(I80)=0),"",I80-J80)</f>
        <v/>
      </c>
      <c r="L80" s="12">
        <f>IF(OR(B80="",F80="",NOT(ISNUMBER(K80))),"",IF(K80&lt;=N(F80),"Buy more",""))</f>
        <v/>
      </c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1" t="n"/>
      <c r="AC80">
        <f>IF(M80="",0,1)</f>
        <v/>
      </c>
      <c r="AD80">
        <f>IF(N80="",0,1)</f>
        <v/>
      </c>
      <c r="AE80">
        <f>IF(O80="",0,1)</f>
        <v/>
      </c>
      <c r="AF80">
        <f>IF(P80="",0,1)</f>
        <v/>
      </c>
      <c r="AG80">
        <f>IF(Q80="",0,1)</f>
        <v/>
      </c>
      <c r="AH80">
        <f>IF(R80="",0,1)</f>
        <v/>
      </c>
      <c r="AI80">
        <f>IF(S80="",0,1)</f>
        <v/>
      </c>
      <c r="AJ80">
        <f>IF(T80="",0,1)</f>
        <v/>
      </c>
      <c r="AK80">
        <f>IF(U80="",0,1)</f>
        <v/>
      </c>
      <c r="AL80">
        <f>IF(V80="",0,1)</f>
        <v/>
      </c>
      <c r="AM80">
        <f>IF(W80="",0,1)</f>
        <v/>
      </c>
      <c r="AN80">
        <f>IF(X80="",0,1)</f>
        <v/>
      </c>
      <c r="AO80">
        <f>IF(Y80="",0,1)</f>
        <v/>
      </c>
      <c r="AP80">
        <f>IF(Z80="",0,1)</f>
        <v/>
      </c>
      <c r="AQ80">
        <f>IF(AA80="",0,1)</f>
        <v/>
      </c>
      <c r="AR80">
        <f>IF(L80="Buy more",ROW(),"")</f>
        <v/>
      </c>
      <c r="AS80">
        <f>IF(G80="",0,1)</f>
        <v/>
      </c>
    </row>
    <row r="81">
      <c r="A81" s="1" t="n"/>
      <c r="B81" s="21" t="n"/>
      <c r="C81" s="36" t="n"/>
      <c r="D81" s="40" t="n"/>
      <c r="E81" s="37" t="n"/>
      <c r="F81" s="40" t="n"/>
      <c r="G81" s="36" t="n"/>
      <c r="H81" s="42">
        <f>IF(OR(B81="",N(D81)=0),"",N(E81)/D81)</f>
        <v/>
      </c>
      <c r="I81" s="43">
        <f>IF(B81="","",SUMIFS(Purchases!$J$6:$J$405,Purchases!$C$6:$C$405,B81))</f>
        <v/>
      </c>
      <c r="J81" s="43">
        <f>IF(B81="","",SUMIFS(Recipes!$H$6:$H$405,Recipes!$C$6:$C$405,B81))</f>
        <v/>
      </c>
      <c r="K81" s="43">
        <f>IF(OR(B81="",N(I81)=0),"",I81-J81)</f>
        <v/>
      </c>
      <c r="L81" s="12">
        <f>IF(OR(B81="",F81="",NOT(ISNUMBER(K81))),"",IF(K81&lt;=N(F81),"Buy more",""))</f>
        <v/>
      </c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1" t="n"/>
      <c r="AC81">
        <f>IF(M81="",0,1)</f>
        <v/>
      </c>
      <c r="AD81">
        <f>IF(N81="",0,1)</f>
        <v/>
      </c>
      <c r="AE81">
        <f>IF(O81="",0,1)</f>
        <v/>
      </c>
      <c r="AF81">
        <f>IF(P81="",0,1)</f>
        <v/>
      </c>
      <c r="AG81">
        <f>IF(Q81="",0,1)</f>
        <v/>
      </c>
      <c r="AH81">
        <f>IF(R81="",0,1)</f>
        <v/>
      </c>
      <c r="AI81">
        <f>IF(S81="",0,1)</f>
        <v/>
      </c>
      <c r="AJ81">
        <f>IF(T81="",0,1)</f>
        <v/>
      </c>
      <c r="AK81">
        <f>IF(U81="",0,1)</f>
        <v/>
      </c>
      <c r="AL81">
        <f>IF(V81="",0,1)</f>
        <v/>
      </c>
      <c r="AM81">
        <f>IF(W81="",0,1)</f>
        <v/>
      </c>
      <c r="AN81">
        <f>IF(X81="",0,1)</f>
        <v/>
      </c>
      <c r="AO81">
        <f>IF(Y81="",0,1)</f>
        <v/>
      </c>
      <c r="AP81">
        <f>IF(Z81="",0,1)</f>
        <v/>
      </c>
      <c r="AQ81">
        <f>IF(AA81="",0,1)</f>
        <v/>
      </c>
      <c r="AR81">
        <f>IF(L81="Buy more",ROW(),"")</f>
        <v/>
      </c>
      <c r="AS81">
        <f>IF(G81="",0,1)</f>
        <v/>
      </c>
    </row>
    <row r="82">
      <c r="A82" s="1" t="n"/>
      <c r="B82" s="21" t="n"/>
      <c r="C82" s="36" t="n"/>
      <c r="D82" s="40" t="n"/>
      <c r="E82" s="37" t="n"/>
      <c r="F82" s="40" t="n"/>
      <c r="G82" s="36" t="n"/>
      <c r="H82" s="42">
        <f>IF(OR(B82="",N(D82)=0),"",N(E82)/D82)</f>
        <v/>
      </c>
      <c r="I82" s="43">
        <f>IF(B82="","",SUMIFS(Purchases!$J$6:$J$405,Purchases!$C$6:$C$405,B82))</f>
        <v/>
      </c>
      <c r="J82" s="43">
        <f>IF(B82="","",SUMIFS(Recipes!$H$6:$H$405,Recipes!$C$6:$C$405,B82))</f>
        <v/>
      </c>
      <c r="K82" s="43">
        <f>IF(OR(B82="",N(I82)=0),"",I82-J82)</f>
        <v/>
      </c>
      <c r="L82" s="12">
        <f>IF(OR(B82="",F82="",NOT(ISNUMBER(K82))),"",IF(K82&lt;=N(F82),"Buy more",""))</f>
        <v/>
      </c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1" t="n"/>
      <c r="AC82">
        <f>IF(M82="",0,1)</f>
        <v/>
      </c>
      <c r="AD82">
        <f>IF(N82="",0,1)</f>
        <v/>
      </c>
      <c r="AE82">
        <f>IF(O82="",0,1)</f>
        <v/>
      </c>
      <c r="AF82">
        <f>IF(P82="",0,1)</f>
        <v/>
      </c>
      <c r="AG82">
        <f>IF(Q82="",0,1)</f>
        <v/>
      </c>
      <c r="AH82">
        <f>IF(R82="",0,1)</f>
        <v/>
      </c>
      <c r="AI82">
        <f>IF(S82="",0,1)</f>
        <v/>
      </c>
      <c r="AJ82">
        <f>IF(T82="",0,1)</f>
        <v/>
      </c>
      <c r="AK82">
        <f>IF(U82="",0,1)</f>
        <v/>
      </c>
      <c r="AL82">
        <f>IF(V82="",0,1)</f>
        <v/>
      </c>
      <c r="AM82">
        <f>IF(W82="",0,1)</f>
        <v/>
      </c>
      <c r="AN82">
        <f>IF(X82="",0,1)</f>
        <v/>
      </c>
      <c r="AO82">
        <f>IF(Y82="",0,1)</f>
        <v/>
      </c>
      <c r="AP82">
        <f>IF(Z82="",0,1)</f>
        <v/>
      </c>
      <c r="AQ82">
        <f>IF(AA82="",0,1)</f>
        <v/>
      </c>
      <c r="AR82">
        <f>IF(L82="Buy more",ROW(),"")</f>
        <v/>
      </c>
      <c r="AS82">
        <f>IF(G82="",0,1)</f>
        <v/>
      </c>
    </row>
    <row r="83">
      <c r="A83" s="1" t="n"/>
      <c r="B83" s="21" t="n"/>
      <c r="C83" s="36" t="n"/>
      <c r="D83" s="40" t="n"/>
      <c r="E83" s="37" t="n"/>
      <c r="F83" s="40" t="n"/>
      <c r="G83" s="36" t="n"/>
      <c r="H83" s="42">
        <f>IF(OR(B83="",N(D83)=0),"",N(E83)/D83)</f>
        <v/>
      </c>
      <c r="I83" s="43">
        <f>IF(B83="","",SUMIFS(Purchases!$J$6:$J$405,Purchases!$C$6:$C$405,B83))</f>
        <v/>
      </c>
      <c r="J83" s="43">
        <f>IF(B83="","",SUMIFS(Recipes!$H$6:$H$405,Recipes!$C$6:$C$405,B83))</f>
        <v/>
      </c>
      <c r="K83" s="43">
        <f>IF(OR(B83="",N(I83)=0),"",I83-J83)</f>
        <v/>
      </c>
      <c r="L83" s="12">
        <f>IF(OR(B83="",F83="",NOT(ISNUMBER(K83))),"",IF(K83&lt;=N(F83),"Buy more",""))</f>
        <v/>
      </c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1" t="n"/>
      <c r="AC83">
        <f>IF(M83="",0,1)</f>
        <v/>
      </c>
      <c r="AD83">
        <f>IF(N83="",0,1)</f>
        <v/>
      </c>
      <c r="AE83">
        <f>IF(O83="",0,1)</f>
        <v/>
      </c>
      <c r="AF83">
        <f>IF(P83="",0,1)</f>
        <v/>
      </c>
      <c r="AG83">
        <f>IF(Q83="",0,1)</f>
        <v/>
      </c>
      <c r="AH83">
        <f>IF(R83="",0,1)</f>
        <v/>
      </c>
      <c r="AI83">
        <f>IF(S83="",0,1)</f>
        <v/>
      </c>
      <c r="AJ83">
        <f>IF(T83="",0,1)</f>
        <v/>
      </c>
      <c r="AK83">
        <f>IF(U83="",0,1)</f>
        <v/>
      </c>
      <c r="AL83">
        <f>IF(V83="",0,1)</f>
        <v/>
      </c>
      <c r="AM83">
        <f>IF(W83="",0,1)</f>
        <v/>
      </c>
      <c r="AN83">
        <f>IF(X83="",0,1)</f>
        <v/>
      </c>
      <c r="AO83">
        <f>IF(Y83="",0,1)</f>
        <v/>
      </c>
      <c r="AP83">
        <f>IF(Z83="",0,1)</f>
        <v/>
      </c>
      <c r="AQ83">
        <f>IF(AA83="",0,1)</f>
        <v/>
      </c>
      <c r="AR83">
        <f>IF(L83="Buy more",ROW(),"")</f>
        <v/>
      </c>
      <c r="AS83">
        <f>IF(G83="",0,1)</f>
        <v/>
      </c>
    </row>
    <row r="84">
      <c r="A84" s="1" t="n"/>
      <c r="B84" s="21" t="n"/>
      <c r="C84" s="36" t="n"/>
      <c r="D84" s="40" t="n"/>
      <c r="E84" s="37" t="n"/>
      <c r="F84" s="40" t="n"/>
      <c r="G84" s="36" t="n"/>
      <c r="H84" s="42">
        <f>IF(OR(B84="",N(D84)=0),"",N(E84)/D84)</f>
        <v/>
      </c>
      <c r="I84" s="43">
        <f>IF(B84="","",SUMIFS(Purchases!$J$6:$J$405,Purchases!$C$6:$C$405,B84))</f>
        <v/>
      </c>
      <c r="J84" s="43">
        <f>IF(B84="","",SUMIFS(Recipes!$H$6:$H$405,Recipes!$C$6:$C$405,B84))</f>
        <v/>
      </c>
      <c r="K84" s="43">
        <f>IF(OR(B84="",N(I84)=0),"",I84-J84)</f>
        <v/>
      </c>
      <c r="L84" s="12">
        <f>IF(OR(B84="",F84="",NOT(ISNUMBER(K84))),"",IF(K84&lt;=N(F84),"Buy more",""))</f>
        <v/>
      </c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1" t="n"/>
      <c r="AC84">
        <f>IF(M84="",0,1)</f>
        <v/>
      </c>
      <c r="AD84">
        <f>IF(N84="",0,1)</f>
        <v/>
      </c>
      <c r="AE84">
        <f>IF(O84="",0,1)</f>
        <v/>
      </c>
      <c r="AF84">
        <f>IF(P84="",0,1)</f>
        <v/>
      </c>
      <c r="AG84">
        <f>IF(Q84="",0,1)</f>
        <v/>
      </c>
      <c r="AH84">
        <f>IF(R84="",0,1)</f>
        <v/>
      </c>
      <c r="AI84">
        <f>IF(S84="",0,1)</f>
        <v/>
      </c>
      <c r="AJ84">
        <f>IF(T84="",0,1)</f>
        <v/>
      </c>
      <c r="AK84">
        <f>IF(U84="",0,1)</f>
        <v/>
      </c>
      <c r="AL84">
        <f>IF(V84="",0,1)</f>
        <v/>
      </c>
      <c r="AM84">
        <f>IF(W84="",0,1)</f>
        <v/>
      </c>
      <c r="AN84">
        <f>IF(X84="",0,1)</f>
        <v/>
      </c>
      <c r="AO84">
        <f>IF(Y84="",0,1)</f>
        <v/>
      </c>
      <c r="AP84">
        <f>IF(Z84="",0,1)</f>
        <v/>
      </c>
      <c r="AQ84">
        <f>IF(AA84="",0,1)</f>
        <v/>
      </c>
      <c r="AR84">
        <f>IF(L84="Buy more",ROW(),"")</f>
        <v/>
      </c>
      <c r="AS84">
        <f>IF(G84="",0,1)</f>
        <v/>
      </c>
    </row>
    <row r="85">
      <c r="A85" s="1" t="n"/>
      <c r="B85" s="21" t="n"/>
      <c r="C85" s="36" t="n"/>
      <c r="D85" s="40" t="n"/>
      <c r="E85" s="37" t="n"/>
      <c r="F85" s="40" t="n"/>
      <c r="G85" s="36" t="n"/>
      <c r="H85" s="42">
        <f>IF(OR(B85="",N(D85)=0),"",N(E85)/D85)</f>
        <v/>
      </c>
      <c r="I85" s="43">
        <f>IF(B85="","",SUMIFS(Purchases!$J$6:$J$405,Purchases!$C$6:$C$405,B85))</f>
        <v/>
      </c>
      <c r="J85" s="43">
        <f>IF(B85="","",SUMIFS(Recipes!$H$6:$H$405,Recipes!$C$6:$C$405,B85))</f>
        <v/>
      </c>
      <c r="K85" s="43">
        <f>IF(OR(B85="",N(I85)=0),"",I85-J85)</f>
        <v/>
      </c>
      <c r="L85" s="12">
        <f>IF(OR(B85="",F85="",NOT(ISNUMBER(K85))),"",IF(K85&lt;=N(F85),"Buy more",""))</f>
        <v/>
      </c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1" t="n"/>
      <c r="AC85">
        <f>IF(M85="",0,1)</f>
        <v/>
      </c>
      <c r="AD85">
        <f>IF(N85="",0,1)</f>
        <v/>
      </c>
      <c r="AE85">
        <f>IF(O85="",0,1)</f>
        <v/>
      </c>
      <c r="AF85">
        <f>IF(P85="",0,1)</f>
        <v/>
      </c>
      <c r="AG85">
        <f>IF(Q85="",0,1)</f>
        <v/>
      </c>
      <c r="AH85">
        <f>IF(R85="",0,1)</f>
        <v/>
      </c>
      <c r="AI85">
        <f>IF(S85="",0,1)</f>
        <v/>
      </c>
      <c r="AJ85">
        <f>IF(T85="",0,1)</f>
        <v/>
      </c>
      <c r="AK85">
        <f>IF(U85="",0,1)</f>
        <v/>
      </c>
      <c r="AL85">
        <f>IF(V85="",0,1)</f>
        <v/>
      </c>
      <c r="AM85">
        <f>IF(W85="",0,1)</f>
        <v/>
      </c>
      <c r="AN85">
        <f>IF(X85="",0,1)</f>
        <v/>
      </c>
      <c r="AO85">
        <f>IF(Y85="",0,1)</f>
        <v/>
      </c>
      <c r="AP85">
        <f>IF(Z85="",0,1)</f>
        <v/>
      </c>
      <c r="AQ85">
        <f>IF(AA85="",0,1)</f>
        <v/>
      </c>
      <c r="AR85">
        <f>IF(L85="Buy more",ROW(),"")</f>
        <v/>
      </c>
      <c r="AS85">
        <f>IF(G85="",0,1)</f>
        <v/>
      </c>
    </row>
    <row r="86">
      <c r="A86" s="1" t="n"/>
      <c r="B86" s="21" t="n"/>
      <c r="C86" s="36" t="n"/>
      <c r="D86" s="40" t="n"/>
      <c r="E86" s="37" t="n"/>
      <c r="F86" s="40" t="n"/>
      <c r="G86" s="36" t="n"/>
      <c r="H86" s="42">
        <f>IF(OR(B86="",N(D86)=0),"",N(E86)/D86)</f>
        <v/>
      </c>
      <c r="I86" s="43">
        <f>IF(B86="","",SUMIFS(Purchases!$J$6:$J$405,Purchases!$C$6:$C$405,B86))</f>
        <v/>
      </c>
      <c r="J86" s="43">
        <f>IF(B86="","",SUMIFS(Recipes!$H$6:$H$405,Recipes!$C$6:$C$405,B86))</f>
        <v/>
      </c>
      <c r="K86" s="43">
        <f>IF(OR(B86="",N(I86)=0),"",I86-J86)</f>
        <v/>
      </c>
      <c r="L86" s="12">
        <f>IF(OR(B86="",F86="",NOT(ISNUMBER(K86))),"",IF(K86&lt;=N(F86),"Buy more",""))</f>
        <v/>
      </c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1" t="n"/>
      <c r="AC86">
        <f>IF(M86="",0,1)</f>
        <v/>
      </c>
      <c r="AD86">
        <f>IF(N86="",0,1)</f>
        <v/>
      </c>
      <c r="AE86">
        <f>IF(O86="",0,1)</f>
        <v/>
      </c>
      <c r="AF86">
        <f>IF(P86="",0,1)</f>
        <v/>
      </c>
      <c r="AG86">
        <f>IF(Q86="",0,1)</f>
        <v/>
      </c>
      <c r="AH86">
        <f>IF(R86="",0,1)</f>
        <v/>
      </c>
      <c r="AI86">
        <f>IF(S86="",0,1)</f>
        <v/>
      </c>
      <c r="AJ86">
        <f>IF(T86="",0,1)</f>
        <v/>
      </c>
      <c r="AK86">
        <f>IF(U86="",0,1)</f>
        <v/>
      </c>
      <c r="AL86">
        <f>IF(V86="",0,1)</f>
        <v/>
      </c>
      <c r="AM86">
        <f>IF(W86="",0,1)</f>
        <v/>
      </c>
      <c r="AN86">
        <f>IF(X86="",0,1)</f>
        <v/>
      </c>
      <c r="AO86">
        <f>IF(Y86="",0,1)</f>
        <v/>
      </c>
      <c r="AP86">
        <f>IF(Z86="",0,1)</f>
        <v/>
      </c>
      <c r="AQ86">
        <f>IF(AA86="",0,1)</f>
        <v/>
      </c>
      <c r="AR86">
        <f>IF(L86="Buy more",ROW(),"")</f>
        <v/>
      </c>
      <c r="AS86">
        <f>IF(G86="",0,1)</f>
        <v/>
      </c>
    </row>
    <row r="87">
      <c r="A87" s="1" t="n"/>
      <c r="B87" s="21" t="n"/>
      <c r="C87" s="36" t="n"/>
      <c r="D87" s="40" t="n"/>
      <c r="E87" s="37" t="n"/>
      <c r="F87" s="40" t="n"/>
      <c r="G87" s="36" t="n"/>
      <c r="H87" s="42">
        <f>IF(OR(B87="",N(D87)=0),"",N(E87)/D87)</f>
        <v/>
      </c>
      <c r="I87" s="43">
        <f>IF(B87="","",SUMIFS(Purchases!$J$6:$J$405,Purchases!$C$6:$C$405,B87))</f>
        <v/>
      </c>
      <c r="J87" s="43">
        <f>IF(B87="","",SUMIFS(Recipes!$H$6:$H$405,Recipes!$C$6:$C$405,B87))</f>
        <v/>
      </c>
      <c r="K87" s="43">
        <f>IF(OR(B87="",N(I87)=0),"",I87-J87)</f>
        <v/>
      </c>
      <c r="L87" s="12">
        <f>IF(OR(B87="",F87="",NOT(ISNUMBER(K87))),"",IF(K87&lt;=N(F87),"Buy more",""))</f>
        <v/>
      </c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1" t="n"/>
      <c r="AC87">
        <f>IF(M87="",0,1)</f>
        <v/>
      </c>
      <c r="AD87">
        <f>IF(N87="",0,1)</f>
        <v/>
      </c>
      <c r="AE87">
        <f>IF(O87="",0,1)</f>
        <v/>
      </c>
      <c r="AF87">
        <f>IF(P87="",0,1)</f>
        <v/>
      </c>
      <c r="AG87">
        <f>IF(Q87="",0,1)</f>
        <v/>
      </c>
      <c r="AH87">
        <f>IF(R87="",0,1)</f>
        <v/>
      </c>
      <c r="AI87">
        <f>IF(S87="",0,1)</f>
        <v/>
      </c>
      <c r="AJ87">
        <f>IF(T87="",0,1)</f>
        <v/>
      </c>
      <c r="AK87">
        <f>IF(U87="",0,1)</f>
        <v/>
      </c>
      <c r="AL87">
        <f>IF(V87="",0,1)</f>
        <v/>
      </c>
      <c r="AM87">
        <f>IF(W87="",0,1)</f>
        <v/>
      </c>
      <c r="AN87">
        <f>IF(X87="",0,1)</f>
        <v/>
      </c>
      <c r="AO87">
        <f>IF(Y87="",0,1)</f>
        <v/>
      </c>
      <c r="AP87">
        <f>IF(Z87="",0,1)</f>
        <v/>
      </c>
      <c r="AQ87">
        <f>IF(AA87="",0,1)</f>
        <v/>
      </c>
      <c r="AR87">
        <f>IF(L87="Buy more",ROW(),"")</f>
        <v/>
      </c>
      <c r="AS87">
        <f>IF(G87="",0,1)</f>
        <v/>
      </c>
    </row>
    <row r="88">
      <c r="A88" s="1" t="n"/>
      <c r="B88" s="21" t="n"/>
      <c r="C88" s="36" t="n"/>
      <c r="D88" s="40" t="n"/>
      <c r="E88" s="37" t="n"/>
      <c r="F88" s="40" t="n"/>
      <c r="G88" s="36" t="n"/>
      <c r="H88" s="42">
        <f>IF(OR(B88="",N(D88)=0),"",N(E88)/D88)</f>
        <v/>
      </c>
      <c r="I88" s="43">
        <f>IF(B88="","",SUMIFS(Purchases!$J$6:$J$405,Purchases!$C$6:$C$405,B88))</f>
        <v/>
      </c>
      <c r="J88" s="43">
        <f>IF(B88="","",SUMIFS(Recipes!$H$6:$H$405,Recipes!$C$6:$C$405,B88))</f>
        <v/>
      </c>
      <c r="K88" s="43">
        <f>IF(OR(B88="",N(I88)=0),"",I88-J88)</f>
        <v/>
      </c>
      <c r="L88" s="12">
        <f>IF(OR(B88="",F88="",NOT(ISNUMBER(K88))),"",IF(K88&lt;=N(F88),"Buy more",""))</f>
        <v/>
      </c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1" t="n"/>
      <c r="AC88">
        <f>IF(M88="",0,1)</f>
        <v/>
      </c>
      <c r="AD88">
        <f>IF(N88="",0,1)</f>
        <v/>
      </c>
      <c r="AE88">
        <f>IF(O88="",0,1)</f>
        <v/>
      </c>
      <c r="AF88">
        <f>IF(P88="",0,1)</f>
        <v/>
      </c>
      <c r="AG88">
        <f>IF(Q88="",0,1)</f>
        <v/>
      </c>
      <c r="AH88">
        <f>IF(R88="",0,1)</f>
        <v/>
      </c>
      <c r="AI88">
        <f>IF(S88="",0,1)</f>
        <v/>
      </c>
      <c r="AJ88">
        <f>IF(T88="",0,1)</f>
        <v/>
      </c>
      <c r="AK88">
        <f>IF(U88="",0,1)</f>
        <v/>
      </c>
      <c r="AL88">
        <f>IF(V88="",0,1)</f>
        <v/>
      </c>
      <c r="AM88">
        <f>IF(W88="",0,1)</f>
        <v/>
      </c>
      <c r="AN88">
        <f>IF(X88="",0,1)</f>
        <v/>
      </c>
      <c r="AO88">
        <f>IF(Y88="",0,1)</f>
        <v/>
      </c>
      <c r="AP88">
        <f>IF(Z88="",0,1)</f>
        <v/>
      </c>
      <c r="AQ88">
        <f>IF(AA88="",0,1)</f>
        <v/>
      </c>
      <c r="AR88">
        <f>IF(L88="Buy more",ROW(),"")</f>
        <v/>
      </c>
      <c r="AS88">
        <f>IF(G88="",0,1)</f>
        <v/>
      </c>
    </row>
    <row r="89">
      <c r="A89" s="1" t="n"/>
      <c r="B89" s="21" t="n"/>
      <c r="C89" s="36" t="n"/>
      <c r="D89" s="40" t="n"/>
      <c r="E89" s="37" t="n"/>
      <c r="F89" s="40" t="n"/>
      <c r="G89" s="36" t="n"/>
      <c r="H89" s="42">
        <f>IF(OR(B89="",N(D89)=0),"",N(E89)/D89)</f>
        <v/>
      </c>
      <c r="I89" s="43">
        <f>IF(B89="","",SUMIFS(Purchases!$J$6:$J$405,Purchases!$C$6:$C$405,B89))</f>
        <v/>
      </c>
      <c r="J89" s="43">
        <f>IF(B89="","",SUMIFS(Recipes!$H$6:$H$405,Recipes!$C$6:$C$405,B89))</f>
        <v/>
      </c>
      <c r="K89" s="43">
        <f>IF(OR(B89="",N(I89)=0),"",I89-J89)</f>
        <v/>
      </c>
      <c r="L89" s="12">
        <f>IF(OR(B89="",F89="",NOT(ISNUMBER(K89))),"",IF(K89&lt;=N(F89),"Buy more",""))</f>
        <v/>
      </c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1" t="n"/>
      <c r="AC89">
        <f>IF(M89="",0,1)</f>
        <v/>
      </c>
      <c r="AD89">
        <f>IF(N89="",0,1)</f>
        <v/>
      </c>
      <c r="AE89">
        <f>IF(O89="",0,1)</f>
        <v/>
      </c>
      <c r="AF89">
        <f>IF(P89="",0,1)</f>
        <v/>
      </c>
      <c r="AG89">
        <f>IF(Q89="",0,1)</f>
        <v/>
      </c>
      <c r="AH89">
        <f>IF(R89="",0,1)</f>
        <v/>
      </c>
      <c r="AI89">
        <f>IF(S89="",0,1)</f>
        <v/>
      </c>
      <c r="AJ89">
        <f>IF(T89="",0,1)</f>
        <v/>
      </c>
      <c r="AK89">
        <f>IF(U89="",0,1)</f>
        <v/>
      </c>
      <c r="AL89">
        <f>IF(V89="",0,1)</f>
        <v/>
      </c>
      <c r="AM89">
        <f>IF(W89="",0,1)</f>
        <v/>
      </c>
      <c r="AN89">
        <f>IF(X89="",0,1)</f>
        <v/>
      </c>
      <c r="AO89">
        <f>IF(Y89="",0,1)</f>
        <v/>
      </c>
      <c r="AP89">
        <f>IF(Z89="",0,1)</f>
        <v/>
      </c>
      <c r="AQ89">
        <f>IF(AA89="",0,1)</f>
        <v/>
      </c>
      <c r="AR89">
        <f>IF(L89="Buy more",ROW(),"")</f>
        <v/>
      </c>
      <c r="AS89">
        <f>IF(G89="",0,1)</f>
        <v/>
      </c>
    </row>
    <row r="90">
      <c r="A90" s="1" t="n"/>
      <c r="B90" s="21" t="n"/>
      <c r="C90" s="36" t="n"/>
      <c r="D90" s="40" t="n"/>
      <c r="E90" s="37" t="n"/>
      <c r="F90" s="40" t="n"/>
      <c r="G90" s="36" t="n"/>
      <c r="H90" s="42">
        <f>IF(OR(B90="",N(D90)=0),"",N(E90)/D90)</f>
        <v/>
      </c>
      <c r="I90" s="43">
        <f>IF(B90="","",SUMIFS(Purchases!$J$6:$J$405,Purchases!$C$6:$C$405,B90))</f>
        <v/>
      </c>
      <c r="J90" s="43">
        <f>IF(B90="","",SUMIFS(Recipes!$H$6:$H$405,Recipes!$C$6:$C$405,B90))</f>
        <v/>
      </c>
      <c r="K90" s="43">
        <f>IF(OR(B90="",N(I90)=0),"",I90-J90)</f>
        <v/>
      </c>
      <c r="L90" s="12">
        <f>IF(OR(B90="",F90="",NOT(ISNUMBER(K90))),"",IF(K90&lt;=N(F90),"Buy more",""))</f>
        <v/>
      </c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1" t="n"/>
      <c r="AC90">
        <f>IF(M90="",0,1)</f>
        <v/>
      </c>
      <c r="AD90">
        <f>IF(N90="",0,1)</f>
        <v/>
      </c>
      <c r="AE90">
        <f>IF(O90="",0,1)</f>
        <v/>
      </c>
      <c r="AF90">
        <f>IF(P90="",0,1)</f>
        <v/>
      </c>
      <c r="AG90">
        <f>IF(Q90="",0,1)</f>
        <v/>
      </c>
      <c r="AH90">
        <f>IF(R90="",0,1)</f>
        <v/>
      </c>
      <c r="AI90">
        <f>IF(S90="",0,1)</f>
        <v/>
      </c>
      <c r="AJ90">
        <f>IF(T90="",0,1)</f>
        <v/>
      </c>
      <c r="AK90">
        <f>IF(U90="",0,1)</f>
        <v/>
      </c>
      <c r="AL90">
        <f>IF(V90="",0,1)</f>
        <v/>
      </c>
      <c r="AM90">
        <f>IF(W90="",0,1)</f>
        <v/>
      </c>
      <c r="AN90">
        <f>IF(X90="",0,1)</f>
        <v/>
      </c>
      <c r="AO90">
        <f>IF(Y90="",0,1)</f>
        <v/>
      </c>
      <c r="AP90">
        <f>IF(Z90="",0,1)</f>
        <v/>
      </c>
      <c r="AQ90">
        <f>IF(AA90="",0,1)</f>
        <v/>
      </c>
      <c r="AR90">
        <f>IF(L90="Buy more",ROW(),"")</f>
        <v/>
      </c>
      <c r="AS90">
        <f>IF(G90="",0,1)</f>
        <v/>
      </c>
    </row>
    <row r="91">
      <c r="A91" s="1" t="n"/>
      <c r="B91" s="21" t="n"/>
      <c r="C91" s="36" t="n"/>
      <c r="D91" s="40" t="n"/>
      <c r="E91" s="37" t="n"/>
      <c r="F91" s="40" t="n"/>
      <c r="G91" s="36" t="n"/>
      <c r="H91" s="42">
        <f>IF(OR(B91="",N(D91)=0),"",N(E91)/D91)</f>
        <v/>
      </c>
      <c r="I91" s="43">
        <f>IF(B91="","",SUMIFS(Purchases!$J$6:$J$405,Purchases!$C$6:$C$405,B91))</f>
        <v/>
      </c>
      <c r="J91" s="43">
        <f>IF(B91="","",SUMIFS(Recipes!$H$6:$H$405,Recipes!$C$6:$C$405,B91))</f>
        <v/>
      </c>
      <c r="K91" s="43">
        <f>IF(OR(B91="",N(I91)=0),"",I91-J91)</f>
        <v/>
      </c>
      <c r="L91" s="12">
        <f>IF(OR(B91="",F91="",NOT(ISNUMBER(K91))),"",IF(K91&lt;=N(F91),"Buy more",""))</f>
        <v/>
      </c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1" t="n"/>
      <c r="AC91">
        <f>IF(M91="",0,1)</f>
        <v/>
      </c>
      <c r="AD91">
        <f>IF(N91="",0,1)</f>
        <v/>
      </c>
      <c r="AE91">
        <f>IF(O91="",0,1)</f>
        <v/>
      </c>
      <c r="AF91">
        <f>IF(P91="",0,1)</f>
        <v/>
      </c>
      <c r="AG91">
        <f>IF(Q91="",0,1)</f>
        <v/>
      </c>
      <c r="AH91">
        <f>IF(R91="",0,1)</f>
        <v/>
      </c>
      <c r="AI91">
        <f>IF(S91="",0,1)</f>
        <v/>
      </c>
      <c r="AJ91">
        <f>IF(T91="",0,1)</f>
        <v/>
      </c>
      <c r="AK91">
        <f>IF(U91="",0,1)</f>
        <v/>
      </c>
      <c r="AL91">
        <f>IF(V91="",0,1)</f>
        <v/>
      </c>
      <c r="AM91">
        <f>IF(W91="",0,1)</f>
        <v/>
      </c>
      <c r="AN91">
        <f>IF(X91="",0,1)</f>
        <v/>
      </c>
      <c r="AO91">
        <f>IF(Y91="",0,1)</f>
        <v/>
      </c>
      <c r="AP91">
        <f>IF(Z91="",0,1)</f>
        <v/>
      </c>
      <c r="AQ91">
        <f>IF(AA91="",0,1)</f>
        <v/>
      </c>
      <c r="AR91">
        <f>IF(L91="Buy more",ROW(),"")</f>
        <v/>
      </c>
      <c r="AS91">
        <f>IF(G91="",0,1)</f>
        <v/>
      </c>
    </row>
    <row r="92">
      <c r="A92" s="1" t="n"/>
      <c r="B92" s="21" t="n"/>
      <c r="C92" s="36" t="n"/>
      <c r="D92" s="40" t="n"/>
      <c r="E92" s="37" t="n"/>
      <c r="F92" s="40" t="n"/>
      <c r="G92" s="36" t="n"/>
      <c r="H92" s="42">
        <f>IF(OR(B92="",N(D92)=0),"",N(E92)/D92)</f>
        <v/>
      </c>
      <c r="I92" s="43">
        <f>IF(B92="","",SUMIFS(Purchases!$J$6:$J$405,Purchases!$C$6:$C$405,B92))</f>
        <v/>
      </c>
      <c r="J92" s="43">
        <f>IF(B92="","",SUMIFS(Recipes!$H$6:$H$405,Recipes!$C$6:$C$405,B92))</f>
        <v/>
      </c>
      <c r="K92" s="43">
        <f>IF(OR(B92="",N(I92)=0),"",I92-J92)</f>
        <v/>
      </c>
      <c r="L92" s="12">
        <f>IF(OR(B92="",F92="",NOT(ISNUMBER(K92))),"",IF(K92&lt;=N(F92),"Buy more",""))</f>
        <v/>
      </c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1" t="n"/>
      <c r="AC92">
        <f>IF(M92="",0,1)</f>
        <v/>
      </c>
      <c r="AD92">
        <f>IF(N92="",0,1)</f>
        <v/>
      </c>
      <c r="AE92">
        <f>IF(O92="",0,1)</f>
        <v/>
      </c>
      <c r="AF92">
        <f>IF(P92="",0,1)</f>
        <v/>
      </c>
      <c r="AG92">
        <f>IF(Q92="",0,1)</f>
        <v/>
      </c>
      <c r="AH92">
        <f>IF(R92="",0,1)</f>
        <v/>
      </c>
      <c r="AI92">
        <f>IF(S92="",0,1)</f>
        <v/>
      </c>
      <c r="AJ92">
        <f>IF(T92="",0,1)</f>
        <v/>
      </c>
      <c r="AK92">
        <f>IF(U92="",0,1)</f>
        <v/>
      </c>
      <c r="AL92">
        <f>IF(V92="",0,1)</f>
        <v/>
      </c>
      <c r="AM92">
        <f>IF(W92="",0,1)</f>
        <v/>
      </c>
      <c r="AN92">
        <f>IF(X92="",0,1)</f>
        <v/>
      </c>
      <c r="AO92">
        <f>IF(Y92="",0,1)</f>
        <v/>
      </c>
      <c r="AP92">
        <f>IF(Z92="",0,1)</f>
        <v/>
      </c>
      <c r="AQ92">
        <f>IF(AA92="",0,1)</f>
        <v/>
      </c>
      <c r="AR92">
        <f>IF(L92="Buy more",ROW(),"")</f>
        <v/>
      </c>
      <c r="AS92">
        <f>IF(G92="",0,1)</f>
        <v/>
      </c>
    </row>
    <row r="93">
      <c r="A93" s="1" t="n"/>
      <c r="B93" s="21" t="n"/>
      <c r="C93" s="36" t="n"/>
      <c r="D93" s="40" t="n"/>
      <c r="E93" s="37" t="n"/>
      <c r="F93" s="40" t="n"/>
      <c r="G93" s="36" t="n"/>
      <c r="H93" s="42">
        <f>IF(OR(B93="",N(D93)=0),"",N(E93)/D93)</f>
        <v/>
      </c>
      <c r="I93" s="43">
        <f>IF(B93="","",SUMIFS(Purchases!$J$6:$J$405,Purchases!$C$6:$C$405,B93))</f>
        <v/>
      </c>
      <c r="J93" s="43">
        <f>IF(B93="","",SUMIFS(Recipes!$H$6:$H$405,Recipes!$C$6:$C$405,B93))</f>
        <v/>
      </c>
      <c r="K93" s="43">
        <f>IF(OR(B93="",N(I93)=0),"",I93-J93)</f>
        <v/>
      </c>
      <c r="L93" s="12">
        <f>IF(OR(B93="",F93="",NOT(ISNUMBER(K93))),"",IF(K93&lt;=N(F93),"Buy more",""))</f>
        <v/>
      </c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1" t="n"/>
      <c r="AC93">
        <f>IF(M93="",0,1)</f>
        <v/>
      </c>
      <c r="AD93">
        <f>IF(N93="",0,1)</f>
        <v/>
      </c>
      <c r="AE93">
        <f>IF(O93="",0,1)</f>
        <v/>
      </c>
      <c r="AF93">
        <f>IF(P93="",0,1)</f>
        <v/>
      </c>
      <c r="AG93">
        <f>IF(Q93="",0,1)</f>
        <v/>
      </c>
      <c r="AH93">
        <f>IF(R93="",0,1)</f>
        <v/>
      </c>
      <c r="AI93">
        <f>IF(S93="",0,1)</f>
        <v/>
      </c>
      <c r="AJ93">
        <f>IF(T93="",0,1)</f>
        <v/>
      </c>
      <c r="AK93">
        <f>IF(U93="",0,1)</f>
        <v/>
      </c>
      <c r="AL93">
        <f>IF(V93="",0,1)</f>
        <v/>
      </c>
      <c r="AM93">
        <f>IF(W93="",0,1)</f>
        <v/>
      </c>
      <c r="AN93">
        <f>IF(X93="",0,1)</f>
        <v/>
      </c>
      <c r="AO93">
        <f>IF(Y93="",0,1)</f>
        <v/>
      </c>
      <c r="AP93">
        <f>IF(Z93="",0,1)</f>
        <v/>
      </c>
      <c r="AQ93">
        <f>IF(AA93="",0,1)</f>
        <v/>
      </c>
      <c r="AR93">
        <f>IF(L93="Buy more",ROW(),"")</f>
        <v/>
      </c>
      <c r="AS93">
        <f>IF(G93="",0,1)</f>
        <v/>
      </c>
    </row>
    <row r="94">
      <c r="A94" s="1" t="n"/>
      <c r="B94" s="21" t="n"/>
      <c r="C94" s="36" t="n"/>
      <c r="D94" s="40" t="n"/>
      <c r="E94" s="37" t="n"/>
      <c r="F94" s="40" t="n"/>
      <c r="G94" s="36" t="n"/>
      <c r="H94" s="42">
        <f>IF(OR(B94="",N(D94)=0),"",N(E94)/D94)</f>
        <v/>
      </c>
      <c r="I94" s="43">
        <f>IF(B94="","",SUMIFS(Purchases!$J$6:$J$405,Purchases!$C$6:$C$405,B94))</f>
        <v/>
      </c>
      <c r="J94" s="43">
        <f>IF(B94="","",SUMIFS(Recipes!$H$6:$H$405,Recipes!$C$6:$C$405,B94))</f>
        <v/>
      </c>
      <c r="K94" s="43">
        <f>IF(OR(B94="",N(I94)=0),"",I94-J94)</f>
        <v/>
      </c>
      <c r="L94" s="12">
        <f>IF(OR(B94="",F94="",NOT(ISNUMBER(K94))),"",IF(K94&lt;=N(F94),"Buy more",""))</f>
        <v/>
      </c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1" t="n"/>
      <c r="AC94">
        <f>IF(M94="",0,1)</f>
        <v/>
      </c>
      <c r="AD94">
        <f>IF(N94="",0,1)</f>
        <v/>
      </c>
      <c r="AE94">
        <f>IF(O94="",0,1)</f>
        <v/>
      </c>
      <c r="AF94">
        <f>IF(P94="",0,1)</f>
        <v/>
      </c>
      <c r="AG94">
        <f>IF(Q94="",0,1)</f>
        <v/>
      </c>
      <c r="AH94">
        <f>IF(R94="",0,1)</f>
        <v/>
      </c>
      <c r="AI94">
        <f>IF(S94="",0,1)</f>
        <v/>
      </c>
      <c r="AJ94">
        <f>IF(T94="",0,1)</f>
        <v/>
      </c>
      <c r="AK94">
        <f>IF(U94="",0,1)</f>
        <v/>
      </c>
      <c r="AL94">
        <f>IF(V94="",0,1)</f>
        <v/>
      </c>
      <c r="AM94">
        <f>IF(W94="",0,1)</f>
        <v/>
      </c>
      <c r="AN94">
        <f>IF(X94="",0,1)</f>
        <v/>
      </c>
      <c r="AO94">
        <f>IF(Y94="",0,1)</f>
        <v/>
      </c>
      <c r="AP94">
        <f>IF(Z94="",0,1)</f>
        <v/>
      </c>
      <c r="AQ94">
        <f>IF(AA94="",0,1)</f>
        <v/>
      </c>
      <c r="AR94">
        <f>IF(L94="Buy more",ROW(),"")</f>
        <v/>
      </c>
      <c r="AS94">
        <f>IF(G94="",0,1)</f>
        <v/>
      </c>
    </row>
    <row r="95">
      <c r="A95" s="1" t="n"/>
      <c r="B95" s="21" t="n"/>
      <c r="C95" s="36" t="n"/>
      <c r="D95" s="40" t="n"/>
      <c r="E95" s="37" t="n"/>
      <c r="F95" s="40" t="n"/>
      <c r="G95" s="36" t="n"/>
      <c r="H95" s="42">
        <f>IF(OR(B95="",N(D95)=0),"",N(E95)/D95)</f>
        <v/>
      </c>
      <c r="I95" s="43">
        <f>IF(B95="","",SUMIFS(Purchases!$J$6:$J$405,Purchases!$C$6:$C$405,B95))</f>
        <v/>
      </c>
      <c r="J95" s="43">
        <f>IF(B95="","",SUMIFS(Recipes!$H$6:$H$405,Recipes!$C$6:$C$405,B95))</f>
        <v/>
      </c>
      <c r="K95" s="43">
        <f>IF(OR(B95="",N(I95)=0),"",I95-J95)</f>
        <v/>
      </c>
      <c r="L95" s="12">
        <f>IF(OR(B95="",F95="",NOT(ISNUMBER(K95))),"",IF(K95&lt;=N(F95),"Buy more",""))</f>
        <v/>
      </c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1" t="n"/>
      <c r="AC95">
        <f>IF(M95="",0,1)</f>
        <v/>
      </c>
      <c r="AD95">
        <f>IF(N95="",0,1)</f>
        <v/>
      </c>
      <c r="AE95">
        <f>IF(O95="",0,1)</f>
        <v/>
      </c>
      <c r="AF95">
        <f>IF(P95="",0,1)</f>
        <v/>
      </c>
      <c r="AG95">
        <f>IF(Q95="",0,1)</f>
        <v/>
      </c>
      <c r="AH95">
        <f>IF(R95="",0,1)</f>
        <v/>
      </c>
      <c r="AI95">
        <f>IF(S95="",0,1)</f>
        <v/>
      </c>
      <c r="AJ95">
        <f>IF(T95="",0,1)</f>
        <v/>
      </c>
      <c r="AK95">
        <f>IF(U95="",0,1)</f>
        <v/>
      </c>
      <c r="AL95">
        <f>IF(V95="",0,1)</f>
        <v/>
      </c>
      <c r="AM95">
        <f>IF(W95="",0,1)</f>
        <v/>
      </c>
      <c r="AN95">
        <f>IF(X95="",0,1)</f>
        <v/>
      </c>
      <c r="AO95">
        <f>IF(Y95="",0,1)</f>
        <v/>
      </c>
      <c r="AP95">
        <f>IF(Z95="",0,1)</f>
        <v/>
      </c>
      <c r="AQ95">
        <f>IF(AA95="",0,1)</f>
        <v/>
      </c>
      <c r="AR95">
        <f>IF(L95="Buy more",ROW(),"")</f>
        <v/>
      </c>
      <c r="AS95">
        <f>IF(G95="",0,1)</f>
        <v/>
      </c>
    </row>
    <row r="96">
      <c r="A96" s="1" t="n"/>
      <c r="B96" s="21" t="n"/>
      <c r="C96" s="36" t="n"/>
      <c r="D96" s="40" t="n"/>
      <c r="E96" s="37" t="n"/>
      <c r="F96" s="40" t="n"/>
      <c r="G96" s="36" t="n"/>
      <c r="H96" s="42">
        <f>IF(OR(B96="",N(D96)=0),"",N(E96)/D96)</f>
        <v/>
      </c>
      <c r="I96" s="43">
        <f>IF(B96="","",SUMIFS(Purchases!$J$6:$J$405,Purchases!$C$6:$C$405,B96))</f>
        <v/>
      </c>
      <c r="J96" s="43">
        <f>IF(B96="","",SUMIFS(Recipes!$H$6:$H$405,Recipes!$C$6:$C$405,B96))</f>
        <v/>
      </c>
      <c r="K96" s="43">
        <f>IF(OR(B96="",N(I96)=0),"",I96-J96)</f>
        <v/>
      </c>
      <c r="L96" s="12">
        <f>IF(OR(B96="",F96="",NOT(ISNUMBER(K96))),"",IF(K96&lt;=N(F96),"Buy more",""))</f>
        <v/>
      </c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1" t="n"/>
      <c r="AC96">
        <f>IF(M96="",0,1)</f>
        <v/>
      </c>
      <c r="AD96">
        <f>IF(N96="",0,1)</f>
        <v/>
      </c>
      <c r="AE96">
        <f>IF(O96="",0,1)</f>
        <v/>
      </c>
      <c r="AF96">
        <f>IF(P96="",0,1)</f>
        <v/>
      </c>
      <c r="AG96">
        <f>IF(Q96="",0,1)</f>
        <v/>
      </c>
      <c r="AH96">
        <f>IF(R96="",0,1)</f>
        <v/>
      </c>
      <c r="AI96">
        <f>IF(S96="",0,1)</f>
        <v/>
      </c>
      <c r="AJ96">
        <f>IF(T96="",0,1)</f>
        <v/>
      </c>
      <c r="AK96">
        <f>IF(U96="",0,1)</f>
        <v/>
      </c>
      <c r="AL96">
        <f>IF(V96="",0,1)</f>
        <v/>
      </c>
      <c r="AM96">
        <f>IF(W96="",0,1)</f>
        <v/>
      </c>
      <c r="AN96">
        <f>IF(X96="",0,1)</f>
        <v/>
      </c>
      <c r="AO96">
        <f>IF(Y96="",0,1)</f>
        <v/>
      </c>
      <c r="AP96">
        <f>IF(Z96="",0,1)</f>
        <v/>
      </c>
      <c r="AQ96">
        <f>IF(AA96="",0,1)</f>
        <v/>
      </c>
      <c r="AR96">
        <f>IF(L96="Buy more",ROW(),"")</f>
        <v/>
      </c>
      <c r="AS96">
        <f>IF(G96="",0,1)</f>
        <v/>
      </c>
    </row>
    <row r="97">
      <c r="A97" s="1" t="n"/>
      <c r="B97" s="21" t="n"/>
      <c r="C97" s="36" t="n"/>
      <c r="D97" s="40" t="n"/>
      <c r="E97" s="37" t="n"/>
      <c r="F97" s="40" t="n"/>
      <c r="G97" s="36" t="n"/>
      <c r="H97" s="42">
        <f>IF(OR(B97="",N(D97)=0),"",N(E97)/D97)</f>
        <v/>
      </c>
      <c r="I97" s="43">
        <f>IF(B97="","",SUMIFS(Purchases!$J$6:$J$405,Purchases!$C$6:$C$405,B97))</f>
        <v/>
      </c>
      <c r="J97" s="43">
        <f>IF(B97="","",SUMIFS(Recipes!$H$6:$H$405,Recipes!$C$6:$C$405,B97))</f>
        <v/>
      </c>
      <c r="K97" s="43">
        <f>IF(OR(B97="",N(I97)=0),"",I97-J97)</f>
        <v/>
      </c>
      <c r="L97" s="12">
        <f>IF(OR(B97="",F97="",NOT(ISNUMBER(K97))),"",IF(K97&lt;=N(F97),"Buy more",""))</f>
        <v/>
      </c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1" t="n"/>
      <c r="AC97">
        <f>IF(M97="",0,1)</f>
        <v/>
      </c>
      <c r="AD97">
        <f>IF(N97="",0,1)</f>
        <v/>
      </c>
      <c r="AE97">
        <f>IF(O97="",0,1)</f>
        <v/>
      </c>
      <c r="AF97">
        <f>IF(P97="",0,1)</f>
        <v/>
      </c>
      <c r="AG97">
        <f>IF(Q97="",0,1)</f>
        <v/>
      </c>
      <c r="AH97">
        <f>IF(R97="",0,1)</f>
        <v/>
      </c>
      <c r="AI97">
        <f>IF(S97="",0,1)</f>
        <v/>
      </c>
      <c r="AJ97">
        <f>IF(T97="",0,1)</f>
        <v/>
      </c>
      <c r="AK97">
        <f>IF(U97="",0,1)</f>
        <v/>
      </c>
      <c r="AL97">
        <f>IF(V97="",0,1)</f>
        <v/>
      </c>
      <c r="AM97">
        <f>IF(W97="",0,1)</f>
        <v/>
      </c>
      <c r="AN97">
        <f>IF(X97="",0,1)</f>
        <v/>
      </c>
      <c r="AO97">
        <f>IF(Y97="",0,1)</f>
        <v/>
      </c>
      <c r="AP97">
        <f>IF(Z97="",0,1)</f>
        <v/>
      </c>
      <c r="AQ97">
        <f>IF(AA97="",0,1)</f>
        <v/>
      </c>
      <c r="AR97">
        <f>IF(L97="Buy more",ROW(),"")</f>
        <v/>
      </c>
      <c r="AS97">
        <f>IF(G97="",0,1)</f>
        <v/>
      </c>
    </row>
    <row r="98">
      <c r="A98" s="1" t="n"/>
      <c r="B98" s="21" t="n"/>
      <c r="C98" s="36" t="n"/>
      <c r="D98" s="40" t="n"/>
      <c r="E98" s="37" t="n"/>
      <c r="F98" s="40" t="n"/>
      <c r="G98" s="36" t="n"/>
      <c r="H98" s="42">
        <f>IF(OR(B98="",N(D98)=0),"",N(E98)/D98)</f>
        <v/>
      </c>
      <c r="I98" s="43">
        <f>IF(B98="","",SUMIFS(Purchases!$J$6:$J$405,Purchases!$C$6:$C$405,B98))</f>
        <v/>
      </c>
      <c r="J98" s="43">
        <f>IF(B98="","",SUMIFS(Recipes!$H$6:$H$405,Recipes!$C$6:$C$405,B98))</f>
        <v/>
      </c>
      <c r="K98" s="43">
        <f>IF(OR(B98="",N(I98)=0),"",I98-J98)</f>
        <v/>
      </c>
      <c r="L98" s="12">
        <f>IF(OR(B98="",F98="",NOT(ISNUMBER(K98))),"",IF(K98&lt;=N(F98),"Buy more",""))</f>
        <v/>
      </c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1" t="n"/>
      <c r="AC98">
        <f>IF(M98="",0,1)</f>
        <v/>
      </c>
      <c r="AD98">
        <f>IF(N98="",0,1)</f>
        <v/>
      </c>
      <c r="AE98">
        <f>IF(O98="",0,1)</f>
        <v/>
      </c>
      <c r="AF98">
        <f>IF(P98="",0,1)</f>
        <v/>
      </c>
      <c r="AG98">
        <f>IF(Q98="",0,1)</f>
        <v/>
      </c>
      <c r="AH98">
        <f>IF(R98="",0,1)</f>
        <v/>
      </c>
      <c r="AI98">
        <f>IF(S98="",0,1)</f>
        <v/>
      </c>
      <c r="AJ98">
        <f>IF(T98="",0,1)</f>
        <v/>
      </c>
      <c r="AK98">
        <f>IF(U98="",0,1)</f>
        <v/>
      </c>
      <c r="AL98">
        <f>IF(V98="",0,1)</f>
        <v/>
      </c>
      <c r="AM98">
        <f>IF(W98="",0,1)</f>
        <v/>
      </c>
      <c r="AN98">
        <f>IF(X98="",0,1)</f>
        <v/>
      </c>
      <c r="AO98">
        <f>IF(Y98="",0,1)</f>
        <v/>
      </c>
      <c r="AP98">
        <f>IF(Z98="",0,1)</f>
        <v/>
      </c>
      <c r="AQ98">
        <f>IF(AA98="",0,1)</f>
        <v/>
      </c>
      <c r="AR98">
        <f>IF(L98="Buy more",ROW(),"")</f>
        <v/>
      </c>
      <c r="AS98">
        <f>IF(G98="",0,1)</f>
        <v/>
      </c>
    </row>
    <row r="99">
      <c r="A99" s="1" t="n"/>
      <c r="B99" s="21" t="n"/>
      <c r="C99" s="36" t="n"/>
      <c r="D99" s="40" t="n"/>
      <c r="E99" s="37" t="n"/>
      <c r="F99" s="40" t="n"/>
      <c r="G99" s="36" t="n"/>
      <c r="H99" s="42">
        <f>IF(OR(B99="",N(D99)=0),"",N(E99)/D99)</f>
        <v/>
      </c>
      <c r="I99" s="43">
        <f>IF(B99="","",SUMIFS(Purchases!$J$6:$J$405,Purchases!$C$6:$C$405,B99))</f>
        <v/>
      </c>
      <c r="J99" s="43">
        <f>IF(B99="","",SUMIFS(Recipes!$H$6:$H$405,Recipes!$C$6:$C$405,B99))</f>
        <v/>
      </c>
      <c r="K99" s="43">
        <f>IF(OR(B99="",N(I99)=0),"",I99-J99)</f>
        <v/>
      </c>
      <c r="L99" s="12">
        <f>IF(OR(B99="",F99="",NOT(ISNUMBER(K99))),"",IF(K99&lt;=N(F99),"Buy more",""))</f>
        <v/>
      </c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1" t="n"/>
      <c r="AC99">
        <f>IF(M99="",0,1)</f>
        <v/>
      </c>
      <c r="AD99">
        <f>IF(N99="",0,1)</f>
        <v/>
      </c>
      <c r="AE99">
        <f>IF(O99="",0,1)</f>
        <v/>
      </c>
      <c r="AF99">
        <f>IF(P99="",0,1)</f>
        <v/>
      </c>
      <c r="AG99">
        <f>IF(Q99="",0,1)</f>
        <v/>
      </c>
      <c r="AH99">
        <f>IF(R99="",0,1)</f>
        <v/>
      </c>
      <c r="AI99">
        <f>IF(S99="",0,1)</f>
        <v/>
      </c>
      <c r="AJ99">
        <f>IF(T99="",0,1)</f>
        <v/>
      </c>
      <c r="AK99">
        <f>IF(U99="",0,1)</f>
        <v/>
      </c>
      <c r="AL99">
        <f>IF(V99="",0,1)</f>
        <v/>
      </c>
      <c r="AM99">
        <f>IF(W99="",0,1)</f>
        <v/>
      </c>
      <c r="AN99">
        <f>IF(X99="",0,1)</f>
        <v/>
      </c>
      <c r="AO99">
        <f>IF(Y99="",0,1)</f>
        <v/>
      </c>
      <c r="AP99">
        <f>IF(Z99="",0,1)</f>
        <v/>
      </c>
      <c r="AQ99">
        <f>IF(AA99="",0,1)</f>
        <v/>
      </c>
      <c r="AR99">
        <f>IF(L99="Buy more",ROW(),"")</f>
        <v/>
      </c>
      <c r="AS99">
        <f>IF(G99="",0,1)</f>
        <v/>
      </c>
    </row>
    <row r="100">
      <c r="A100" s="1" t="n"/>
      <c r="B100" s="21" t="n"/>
      <c r="C100" s="36" t="n"/>
      <c r="D100" s="40" t="n"/>
      <c r="E100" s="37" t="n"/>
      <c r="F100" s="40" t="n"/>
      <c r="G100" s="36" t="n"/>
      <c r="H100" s="42">
        <f>IF(OR(B100="",N(D100)=0),"",N(E100)/D100)</f>
        <v/>
      </c>
      <c r="I100" s="43">
        <f>IF(B100="","",SUMIFS(Purchases!$J$6:$J$405,Purchases!$C$6:$C$405,B100))</f>
        <v/>
      </c>
      <c r="J100" s="43">
        <f>IF(B100="","",SUMIFS(Recipes!$H$6:$H$405,Recipes!$C$6:$C$405,B100))</f>
        <v/>
      </c>
      <c r="K100" s="43">
        <f>IF(OR(B100="",N(I100)=0),"",I100-J100)</f>
        <v/>
      </c>
      <c r="L100" s="12">
        <f>IF(OR(B100="",F100="",NOT(ISNUMBER(K100))),"",IF(K100&lt;=N(F100),"Buy more",""))</f>
        <v/>
      </c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1" t="n"/>
      <c r="AC100">
        <f>IF(M100="",0,1)</f>
        <v/>
      </c>
      <c r="AD100">
        <f>IF(N100="",0,1)</f>
        <v/>
      </c>
      <c r="AE100">
        <f>IF(O100="",0,1)</f>
        <v/>
      </c>
      <c r="AF100">
        <f>IF(P100="",0,1)</f>
        <v/>
      </c>
      <c r="AG100">
        <f>IF(Q100="",0,1)</f>
        <v/>
      </c>
      <c r="AH100">
        <f>IF(R100="",0,1)</f>
        <v/>
      </c>
      <c r="AI100">
        <f>IF(S100="",0,1)</f>
        <v/>
      </c>
      <c r="AJ100">
        <f>IF(T100="",0,1)</f>
        <v/>
      </c>
      <c r="AK100">
        <f>IF(U100="",0,1)</f>
        <v/>
      </c>
      <c r="AL100">
        <f>IF(V100="",0,1)</f>
        <v/>
      </c>
      <c r="AM100">
        <f>IF(W100="",0,1)</f>
        <v/>
      </c>
      <c r="AN100">
        <f>IF(X100="",0,1)</f>
        <v/>
      </c>
      <c r="AO100">
        <f>IF(Y100="",0,1)</f>
        <v/>
      </c>
      <c r="AP100">
        <f>IF(Z100="",0,1)</f>
        <v/>
      </c>
      <c r="AQ100">
        <f>IF(AA100="",0,1)</f>
        <v/>
      </c>
      <c r="AR100">
        <f>IF(L100="Buy more",ROW(),"")</f>
        <v/>
      </c>
      <c r="AS100">
        <f>IF(G100="",0,1)</f>
        <v/>
      </c>
    </row>
    <row r="101">
      <c r="A101" s="1" t="n"/>
      <c r="B101" s="21" t="n"/>
      <c r="C101" s="36" t="n"/>
      <c r="D101" s="40" t="n"/>
      <c r="E101" s="37" t="n"/>
      <c r="F101" s="40" t="n"/>
      <c r="G101" s="36" t="n"/>
      <c r="H101" s="42">
        <f>IF(OR(B101="",N(D101)=0),"",N(E101)/D101)</f>
        <v/>
      </c>
      <c r="I101" s="43">
        <f>IF(B101="","",SUMIFS(Purchases!$J$6:$J$405,Purchases!$C$6:$C$405,B101))</f>
        <v/>
      </c>
      <c r="J101" s="43">
        <f>IF(B101="","",SUMIFS(Recipes!$H$6:$H$405,Recipes!$C$6:$C$405,B101))</f>
        <v/>
      </c>
      <c r="K101" s="43">
        <f>IF(OR(B101="",N(I101)=0),"",I101-J101)</f>
        <v/>
      </c>
      <c r="L101" s="12">
        <f>IF(OR(B101="",F101="",NOT(ISNUMBER(K101))),"",IF(K101&lt;=N(F101),"Buy more",""))</f>
        <v/>
      </c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1" t="n"/>
      <c r="AC101">
        <f>IF(M101="",0,1)</f>
        <v/>
      </c>
      <c r="AD101">
        <f>IF(N101="",0,1)</f>
        <v/>
      </c>
      <c r="AE101">
        <f>IF(O101="",0,1)</f>
        <v/>
      </c>
      <c r="AF101">
        <f>IF(P101="",0,1)</f>
        <v/>
      </c>
      <c r="AG101">
        <f>IF(Q101="",0,1)</f>
        <v/>
      </c>
      <c r="AH101">
        <f>IF(R101="",0,1)</f>
        <v/>
      </c>
      <c r="AI101">
        <f>IF(S101="",0,1)</f>
        <v/>
      </c>
      <c r="AJ101">
        <f>IF(T101="",0,1)</f>
        <v/>
      </c>
      <c r="AK101">
        <f>IF(U101="",0,1)</f>
        <v/>
      </c>
      <c r="AL101">
        <f>IF(V101="",0,1)</f>
        <v/>
      </c>
      <c r="AM101">
        <f>IF(W101="",0,1)</f>
        <v/>
      </c>
      <c r="AN101">
        <f>IF(X101="",0,1)</f>
        <v/>
      </c>
      <c r="AO101">
        <f>IF(Y101="",0,1)</f>
        <v/>
      </c>
      <c r="AP101">
        <f>IF(Z101="",0,1)</f>
        <v/>
      </c>
      <c r="AQ101">
        <f>IF(AA101="",0,1)</f>
        <v/>
      </c>
      <c r="AR101">
        <f>IF(L101="Buy more",ROW(),"")</f>
        <v/>
      </c>
      <c r="AS101">
        <f>IF(G101="",0,1)</f>
        <v/>
      </c>
    </row>
    <row r="102">
      <c r="A102" s="1" t="n"/>
      <c r="B102" s="21" t="n"/>
      <c r="C102" s="36" t="n"/>
      <c r="D102" s="40" t="n"/>
      <c r="E102" s="37" t="n"/>
      <c r="F102" s="40" t="n"/>
      <c r="G102" s="36" t="n"/>
      <c r="H102" s="42">
        <f>IF(OR(B102="",N(D102)=0),"",N(E102)/D102)</f>
        <v/>
      </c>
      <c r="I102" s="43">
        <f>IF(B102="","",SUMIFS(Purchases!$J$6:$J$405,Purchases!$C$6:$C$405,B102))</f>
        <v/>
      </c>
      <c r="J102" s="43">
        <f>IF(B102="","",SUMIFS(Recipes!$H$6:$H$405,Recipes!$C$6:$C$405,B102))</f>
        <v/>
      </c>
      <c r="K102" s="43">
        <f>IF(OR(B102="",N(I102)=0),"",I102-J102)</f>
        <v/>
      </c>
      <c r="L102" s="12">
        <f>IF(OR(B102="",F102="",NOT(ISNUMBER(K102))),"",IF(K102&lt;=N(F102),"Buy more",""))</f>
        <v/>
      </c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1" t="n"/>
      <c r="AC102">
        <f>IF(M102="",0,1)</f>
        <v/>
      </c>
      <c r="AD102">
        <f>IF(N102="",0,1)</f>
        <v/>
      </c>
      <c r="AE102">
        <f>IF(O102="",0,1)</f>
        <v/>
      </c>
      <c r="AF102">
        <f>IF(P102="",0,1)</f>
        <v/>
      </c>
      <c r="AG102">
        <f>IF(Q102="",0,1)</f>
        <v/>
      </c>
      <c r="AH102">
        <f>IF(R102="",0,1)</f>
        <v/>
      </c>
      <c r="AI102">
        <f>IF(S102="",0,1)</f>
        <v/>
      </c>
      <c r="AJ102">
        <f>IF(T102="",0,1)</f>
        <v/>
      </c>
      <c r="AK102">
        <f>IF(U102="",0,1)</f>
        <v/>
      </c>
      <c r="AL102">
        <f>IF(V102="",0,1)</f>
        <v/>
      </c>
      <c r="AM102">
        <f>IF(W102="",0,1)</f>
        <v/>
      </c>
      <c r="AN102">
        <f>IF(X102="",0,1)</f>
        <v/>
      </c>
      <c r="AO102">
        <f>IF(Y102="",0,1)</f>
        <v/>
      </c>
      <c r="AP102">
        <f>IF(Z102="",0,1)</f>
        <v/>
      </c>
      <c r="AQ102">
        <f>IF(AA102="",0,1)</f>
        <v/>
      </c>
      <c r="AR102">
        <f>IF(L102="Buy more",ROW(),"")</f>
        <v/>
      </c>
      <c r="AS102">
        <f>IF(G102="",0,1)</f>
        <v/>
      </c>
    </row>
    <row r="103">
      <c r="A103" s="1" t="n"/>
      <c r="B103" s="21" t="n"/>
      <c r="C103" s="36" t="n"/>
      <c r="D103" s="40" t="n"/>
      <c r="E103" s="37" t="n"/>
      <c r="F103" s="40" t="n"/>
      <c r="G103" s="36" t="n"/>
      <c r="H103" s="42">
        <f>IF(OR(B103="",N(D103)=0),"",N(E103)/D103)</f>
        <v/>
      </c>
      <c r="I103" s="43">
        <f>IF(B103="","",SUMIFS(Purchases!$J$6:$J$405,Purchases!$C$6:$C$405,B103))</f>
        <v/>
      </c>
      <c r="J103" s="43">
        <f>IF(B103="","",SUMIFS(Recipes!$H$6:$H$405,Recipes!$C$6:$C$405,B103))</f>
        <v/>
      </c>
      <c r="K103" s="43">
        <f>IF(OR(B103="",N(I103)=0),"",I103-J103)</f>
        <v/>
      </c>
      <c r="L103" s="12">
        <f>IF(OR(B103="",F103="",NOT(ISNUMBER(K103))),"",IF(K103&lt;=N(F103),"Buy more",""))</f>
        <v/>
      </c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1" t="n"/>
      <c r="AC103">
        <f>IF(M103="",0,1)</f>
        <v/>
      </c>
      <c r="AD103">
        <f>IF(N103="",0,1)</f>
        <v/>
      </c>
      <c r="AE103">
        <f>IF(O103="",0,1)</f>
        <v/>
      </c>
      <c r="AF103">
        <f>IF(P103="",0,1)</f>
        <v/>
      </c>
      <c r="AG103">
        <f>IF(Q103="",0,1)</f>
        <v/>
      </c>
      <c r="AH103">
        <f>IF(R103="",0,1)</f>
        <v/>
      </c>
      <c r="AI103">
        <f>IF(S103="",0,1)</f>
        <v/>
      </c>
      <c r="AJ103">
        <f>IF(T103="",0,1)</f>
        <v/>
      </c>
      <c r="AK103">
        <f>IF(U103="",0,1)</f>
        <v/>
      </c>
      <c r="AL103">
        <f>IF(V103="",0,1)</f>
        <v/>
      </c>
      <c r="AM103">
        <f>IF(W103="",0,1)</f>
        <v/>
      </c>
      <c r="AN103">
        <f>IF(X103="",0,1)</f>
        <v/>
      </c>
      <c r="AO103">
        <f>IF(Y103="",0,1)</f>
        <v/>
      </c>
      <c r="AP103">
        <f>IF(Z103="",0,1)</f>
        <v/>
      </c>
      <c r="AQ103">
        <f>IF(AA103="",0,1)</f>
        <v/>
      </c>
      <c r="AR103">
        <f>IF(L103="Buy more",ROW(),"")</f>
        <v/>
      </c>
      <c r="AS103">
        <f>IF(G103="",0,1)</f>
        <v/>
      </c>
    </row>
    <row r="104">
      <c r="A104" s="1" t="n"/>
      <c r="B104" s="21" t="n"/>
      <c r="C104" s="36" t="n"/>
      <c r="D104" s="40" t="n"/>
      <c r="E104" s="37" t="n"/>
      <c r="F104" s="40" t="n"/>
      <c r="G104" s="36" t="n"/>
      <c r="H104" s="42">
        <f>IF(OR(B104="",N(D104)=0),"",N(E104)/D104)</f>
        <v/>
      </c>
      <c r="I104" s="43">
        <f>IF(B104="","",SUMIFS(Purchases!$J$6:$J$405,Purchases!$C$6:$C$405,B104))</f>
        <v/>
      </c>
      <c r="J104" s="43">
        <f>IF(B104="","",SUMIFS(Recipes!$H$6:$H$405,Recipes!$C$6:$C$405,B104))</f>
        <v/>
      </c>
      <c r="K104" s="43">
        <f>IF(OR(B104="",N(I104)=0),"",I104-J104)</f>
        <v/>
      </c>
      <c r="L104" s="12">
        <f>IF(OR(B104="",F104="",NOT(ISNUMBER(K104))),"",IF(K104&lt;=N(F104),"Buy more",""))</f>
        <v/>
      </c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1" t="n"/>
      <c r="AC104">
        <f>IF(M104="",0,1)</f>
        <v/>
      </c>
      <c r="AD104">
        <f>IF(N104="",0,1)</f>
        <v/>
      </c>
      <c r="AE104">
        <f>IF(O104="",0,1)</f>
        <v/>
      </c>
      <c r="AF104">
        <f>IF(P104="",0,1)</f>
        <v/>
      </c>
      <c r="AG104">
        <f>IF(Q104="",0,1)</f>
        <v/>
      </c>
      <c r="AH104">
        <f>IF(R104="",0,1)</f>
        <v/>
      </c>
      <c r="AI104">
        <f>IF(S104="",0,1)</f>
        <v/>
      </c>
      <c r="AJ104">
        <f>IF(T104="",0,1)</f>
        <v/>
      </c>
      <c r="AK104">
        <f>IF(U104="",0,1)</f>
        <v/>
      </c>
      <c r="AL104">
        <f>IF(V104="",0,1)</f>
        <v/>
      </c>
      <c r="AM104">
        <f>IF(W104="",0,1)</f>
        <v/>
      </c>
      <c r="AN104">
        <f>IF(X104="",0,1)</f>
        <v/>
      </c>
      <c r="AO104">
        <f>IF(Y104="",0,1)</f>
        <v/>
      </c>
      <c r="AP104">
        <f>IF(Z104="",0,1)</f>
        <v/>
      </c>
      <c r="AQ104">
        <f>IF(AA104="",0,1)</f>
        <v/>
      </c>
      <c r="AR104">
        <f>IF(L104="Buy more",ROW(),"")</f>
        <v/>
      </c>
      <c r="AS104">
        <f>IF(G104="",0,1)</f>
        <v/>
      </c>
    </row>
    <row r="105">
      <c r="A105" s="1" t="n"/>
      <c r="B105" s="21" t="n"/>
      <c r="C105" s="36" t="n"/>
      <c r="D105" s="40" t="n"/>
      <c r="E105" s="37" t="n"/>
      <c r="F105" s="40" t="n"/>
      <c r="G105" s="36" t="n"/>
      <c r="H105" s="42">
        <f>IF(OR(B105="",N(D105)=0),"",N(E105)/D105)</f>
        <v/>
      </c>
      <c r="I105" s="43">
        <f>IF(B105="","",SUMIFS(Purchases!$J$6:$J$405,Purchases!$C$6:$C$405,B105))</f>
        <v/>
      </c>
      <c r="J105" s="43">
        <f>IF(B105="","",SUMIFS(Recipes!$H$6:$H$405,Recipes!$C$6:$C$405,B105))</f>
        <v/>
      </c>
      <c r="K105" s="43">
        <f>IF(OR(B105="",N(I105)=0),"",I105-J105)</f>
        <v/>
      </c>
      <c r="L105" s="12">
        <f>IF(OR(B105="",F105="",NOT(ISNUMBER(K105))),"",IF(K105&lt;=N(F105),"Buy more",""))</f>
        <v/>
      </c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1" t="n"/>
      <c r="AC105">
        <f>IF(M105="",0,1)</f>
        <v/>
      </c>
      <c r="AD105">
        <f>IF(N105="",0,1)</f>
        <v/>
      </c>
      <c r="AE105">
        <f>IF(O105="",0,1)</f>
        <v/>
      </c>
      <c r="AF105">
        <f>IF(P105="",0,1)</f>
        <v/>
      </c>
      <c r="AG105">
        <f>IF(Q105="",0,1)</f>
        <v/>
      </c>
      <c r="AH105">
        <f>IF(R105="",0,1)</f>
        <v/>
      </c>
      <c r="AI105">
        <f>IF(S105="",0,1)</f>
        <v/>
      </c>
      <c r="AJ105">
        <f>IF(T105="",0,1)</f>
        <v/>
      </c>
      <c r="AK105">
        <f>IF(U105="",0,1)</f>
        <v/>
      </c>
      <c r="AL105">
        <f>IF(V105="",0,1)</f>
        <v/>
      </c>
      <c r="AM105">
        <f>IF(W105="",0,1)</f>
        <v/>
      </c>
      <c r="AN105">
        <f>IF(X105="",0,1)</f>
        <v/>
      </c>
      <c r="AO105">
        <f>IF(Y105="",0,1)</f>
        <v/>
      </c>
      <c r="AP105">
        <f>IF(Z105="",0,1)</f>
        <v/>
      </c>
      <c r="AQ105">
        <f>IF(AA105="",0,1)</f>
        <v/>
      </c>
      <c r="AR105">
        <f>IF(L105="Buy more",ROW(),"")</f>
        <v/>
      </c>
      <c r="AS105">
        <f>IF(G105="",0,1)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</sheetData>
  <conditionalFormatting sqref="L6:L105">
    <cfRule type="expression" priority="1" dxfId="1">
      <formula>L6="Buy more"</formula>
    </cfRule>
  </conditionalFormatting>
  <conditionalFormatting sqref="K6:K105">
    <cfRule type="expression" priority="2" dxfId="0">
      <formula>AND(ISNUMBER(K6),K6&lt;0)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8" customWidth="1" min="4" max="4"/>
    <col width="10" customWidth="1" min="5" max="5"/>
    <col width="18" customWidth="1" min="6" max="6"/>
    <col width="11" customWidth="1" min="7" max="7"/>
    <col width="13" customWidth="1" min="8" max="8"/>
    <col width="9" customWidth="1" min="9" max="9"/>
    <col width="11" customWidth="1" min="10" max="10"/>
    <col width="16" customWidth="1" min="11" max="11"/>
    <col hidden="1"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Purchases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Ingredients as you buy them, with the lot number and date on the pack. An x once a pack is finished.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0" t="inlineStr">
        <is>
          <t>Bought on</t>
        </is>
      </c>
      <c r="C5" s="10" t="inlineStr">
        <is>
          <t>Ingredient</t>
        </is>
      </c>
      <c r="D5" s="10" t="inlineStr">
        <is>
          <t>Packs</t>
        </is>
      </c>
      <c r="E5" s="10" t="inlineStr">
        <is>
          <t>Paid</t>
        </is>
      </c>
      <c r="F5" s="10" t="inlineStr">
        <is>
          <t>Where</t>
        </is>
      </c>
      <c r="G5" s="10" t="inlineStr">
        <is>
          <t>Lot number</t>
        </is>
      </c>
      <c r="H5" s="10" t="inlineStr">
        <is>
          <t>Date on pack</t>
        </is>
      </c>
      <c r="I5" s="10" t="inlineStr">
        <is>
          <t>Finished</t>
        </is>
      </c>
      <c r="J5" s="10" t="inlineStr">
        <is>
          <t>Amount</t>
        </is>
      </c>
      <c r="K5" s="10" t="inlineStr">
        <is>
          <t>Status</t>
        </is>
      </c>
      <c r="L5" s="1" t="n"/>
    </row>
    <row r="6">
      <c r="A6" s="1" t="n"/>
      <c r="B6" s="20" t="n">
        <v>45993</v>
      </c>
      <c r="C6" s="21" t="inlineStr">
        <is>
          <t>Plain flour</t>
        </is>
      </c>
      <c r="D6" s="22" t="n">
        <v>2</v>
      </c>
      <c r="E6" s="37" t="n">
        <v>4.8</v>
      </c>
      <c r="F6" s="23" t="inlineStr">
        <is>
          <t>Wholesale Foods</t>
        </is>
      </c>
      <c r="G6" s="36" t="inlineStr">
        <is>
          <t>L2400</t>
        </is>
      </c>
      <c r="H6" s="20" t="n">
        <v>46143</v>
      </c>
      <c r="I6" s="36" t="inlineStr">
        <is>
          <t>x</t>
        </is>
      </c>
      <c r="J6" s="43">
        <f>IF(C6="","",N(D6)*IFERROR(N(INDEX(Ingredients!$D$6:$D$105,MATCH(C6,Ingredients!$B$6:$B$105,0))),0))</f>
        <v/>
      </c>
      <c r="K6" s="12">
        <f>IF(OR(C6="",I6&lt;&gt;"",NOT(ISNUMBER(H6))),"",IF(H6&lt;TODAY(),"Past its date",IF(H6-TODAY()&lt;=Settings!$C$6,"Use soon","")))</f>
        <v/>
      </c>
      <c r="L6" s="1">
        <f>IF(K6="","",H6*1000+ROW())</f>
        <v/>
      </c>
    </row>
    <row r="7">
      <c r="A7" s="1" t="n"/>
      <c r="B7" s="20" t="n">
        <v>45995</v>
      </c>
      <c r="C7" s="21" t="inlineStr">
        <is>
          <t>Bread flour</t>
        </is>
      </c>
      <c r="D7" s="22" t="n">
        <v>3</v>
      </c>
      <c r="E7" s="37" t="n">
        <v>9.6</v>
      </c>
      <c r="F7" s="23" t="inlineStr">
        <is>
          <t>Wholesale Foods</t>
        </is>
      </c>
      <c r="G7" s="36" t="inlineStr">
        <is>
          <t>L2445</t>
        </is>
      </c>
      <c r="H7" s="20" t="n">
        <v>46145</v>
      </c>
      <c r="I7" s="36" t="inlineStr">
        <is>
          <t>x</t>
        </is>
      </c>
      <c r="J7" s="43">
        <f>IF(C7="","",N(D7)*IFERROR(N(INDEX(Ingredients!$D$6:$D$105,MATCH(C7,Ingredients!$B$6:$B$105,0))),0))</f>
        <v/>
      </c>
      <c r="K7" s="12">
        <f>IF(OR(C7="",I7&lt;&gt;"",NOT(ISNUMBER(H7))),"",IF(H7&lt;TODAY(),"Past its date",IF(H7-TODAY()&lt;=Settings!$C$6,"Use soon","")))</f>
        <v/>
      </c>
      <c r="L7" s="1">
        <f>IF(K7="","",H7*1000+ROW())</f>
        <v/>
      </c>
    </row>
    <row r="8">
      <c r="A8" s="1" t="n"/>
      <c r="B8" s="20" t="n">
        <v>45997</v>
      </c>
      <c r="C8" s="21" t="inlineStr">
        <is>
          <t>Rye flour</t>
        </is>
      </c>
      <c r="D8" s="22" t="n">
        <v>1</v>
      </c>
      <c r="E8" s="37" t="n">
        <v>2.8</v>
      </c>
      <c r="F8" s="23" t="inlineStr">
        <is>
          <t>Wholesale Foods</t>
        </is>
      </c>
      <c r="G8" s="36" t="inlineStr">
        <is>
          <t>L2490</t>
        </is>
      </c>
      <c r="H8" s="20" t="n">
        <v>46147</v>
      </c>
      <c r="I8" s="36" t="inlineStr">
        <is>
          <t>x</t>
        </is>
      </c>
      <c r="J8" s="43">
        <f>IF(C8="","",N(D8)*IFERROR(N(INDEX(Ingredients!$D$6:$D$105,MATCH(C8,Ingredients!$B$6:$B$105,0))),0))</f>
        <v/>
      </c>
      <c r="K8" s="12">
        <f>IF(OR(C8="",I8&lt;&gt;"",NOT(ISNUMBER(H8))),"",IF(H8&lt;TODAY(),"Past its date",IF(H8-TODAY()&lt;=Settings!$C$6,"Use soon","")))</f>
        <v/>
      </c>
      <c r="L8" s="1">
        <f>IF(K8="","",H8*1000+ROW())</f>
        <v/>
      </c>
    </row>
    <row r="9">
      <c r="A9" s="1" t="n"/>
      <c r="B9" s="20" t="n">
        <v>45999</v>
      </c>
      <c r="C9" s="21" t="inlineStr">
        <is>
          <t>Caster sugar</t>
        </is>
      </c>
      <c r="D9" s="22" t="n">
        <v>4</v>
      </c>
      <c r="E9" s="37" t="n">
        <v>7.6</v>
      </c>
      <c r="F9" s="23" t="inlineStr">
        <is>
          <t>Wholesale Foods</t>
        </is>
      </c>
      <c r="G9" s="36" t="inlineStr">
        <is>
          <t>L2514</t>
        </is>
      </c>
      <c r="H9" s="20" t="n">
        <v>46149</v>
      </c>
      <c r="I9" s="36" t="inlineStr">
        <is>
          <t>x</t>
        </is>
      </c>
      <c r="J9" s="43">
        <f>IF(C9="","",N(D9)*IFERROR(N(INDEX(Ingredients!$D$6:$D$105,MATCH(C9,Ingredients!$B$6:$B$105,0))),0))</f>
        <v/>
      </c>
      <c r="K9" s="12">
        <f>IF(OR(C9="",I9&lt;&gt;"",NOT(ISNUMBER(H9))),"",IF(H9&lt;TODAY(),"Past its date",IF(H9-TODAY()&lt;=Settings!$C$6,"Use soon","")))</f>
        <v/>
      </c>
      <c r="L9" s="1">
        <f>IF(K9="","",H9*1000+ROW())</f>
        <v/>
      </c>
    </row>
    <row r="10">
      <c r="A10" s="1" t="n"/>
      <c r="B10" s="20" t="n">
        <v>46001</v>
      </c>
      <c r="C10" s="21" t="inlineStr">
        <is>
          <t>Butter</t>
        </is>
      </c>
      <c r="D10" s="22" t="n">
        <v>13</v>
      </c>
      <c r="E10" s="37" t="n">
        <v>33.8</v>
      </c>
      <c r="F10" s="23" t="inlineStr">
        <is>
          <t>Wholesale Foods</t>
        </is>
      </c>
      <c r="G10" s="36" t="inlineStr">
        <is>
          <t>L2559</t>
        </is>
      </c>
      <c r="H10" s="20" t="n">
        <v>46031</v>
      </c>
      <c r="I10" s="36" t="inlineStr">
        <is>
          <t>x</t>
        </is>
      </c>
      <c r="J10" s="43">
        <f>IF(C10="","",N(D10)*IFERROR(N(INDEX(Ingredients!$D$6:$D$105,MATCH(C10,Ingredients!$B$6:$B$105,0))),0))</f>
        <v/>
      </c>
      <c r="K10" s="12">
        <f>IF(OR(C10="",I10&lt;&gt;"",NOT(ISNUMBER(H10))),"",IF(H10&lt;TODAY(),"Past its date",IF(H10-TODAY()&lt;=Settings!$C$6,"Use soon","")))</f>
        <v/>
      </c>
      <c r="L10" s="1">
        <f>IF(K10="","",H10*1000+ROW())</f>
        <v/>
      </c>
    </row>
    <row r="11">
      <c r="A11" s="1" t="n"/>
      <c r="B11" s="20" t="n">
        <v>46003</v>
      </c>
      <c r="C11" s="21" t="inlineStr">
        <is>
          <t>Eggs</t>
        </is>
      </c>
      <c r="D11" s="22" t="n">
        <v>4</v>
      </c>
      <c r="E11" s="37" t="n">
        <v>16.8</v>
      </c>
      <c r="F11" s="23" t="inlineStr">
        <is>
          <t>Wholesale Foods</t>
        </is>
      </c>
      <c r="G11" s="36" t="inlineStr">
        <is>
          <t>L2604</t>
        </is>
      </c>
      <c r="H11" s="20" t="n">
        <v>46024</v>
      </c>
      <c r="I11" s="36" t="inlineStr">
        <is>
          <t>x</t>
        </is>
      </c>
      <c r="J11" s="43">
        <f>IF(C11="","",N(D11)*IFERROR(N(INDEX(Ingredients!$D$6:$D$105,MATCH(C11,Ingredients!$B$6:$B$105,0))),0))</f>
        <v/>
      </c>
      <c r="K11" s="12">
        <f>IF(OR(C11="",I11&lt;&gt;"",NOT(ISNUMBER(H11))),"",IF(H11&lt;TODAY(),"Past its date",IF(H11-TODAY()&lt;=Settings!$C$6,"Use soon","")))</f>
        <v/>
      </c>
      <c r="L11" s="1">
        <f>IF(K11="","",H11*1000+ROW())</f>
        <v/>
      </c>
    </row>
    <row r="12">
      <c r="A12" s="1" t="n"/>
      <c r="B12" s="20" t="n">
        <v>46005</v>
      </c>
      <c r="C12" s="21" t="inlineStr">
        <is>
          <t>Lemons</t>
        </is>
      </c>
      <c r="D12" s="22" t="n">
        <v>4</v>
      </c>
      <c r="E12" s="37" t="n">
        <v>8</v>
      </c>
      <c r="F12" s="23" t="inlineStr">
        <is>
          <t>Wholesale Foods</t>
        </is>
      </c>
      <c r="G12" s="36" t="inlineStr">
        <is>
          <t>L2649</t>
        </is>
      </c>
      <c r="H12" s="20" t="n">
        <v>46019</v>
      </c>
      <c r="I12" s="36" t="inlineStr">
        <is>
          <t>x</t>
        </is>
      </c>
      <c r="J12" s="43">
        <f>IF(C12="","",N(D12)*IFERROR(N(INDEX(Ingredients!$D$6:$D$105,MATCH(C12,Ingredients!$B$6:$B$105,0))),0))</f>
        <v/>
      </c>
      <c r="K12" s="12">
        <f>IF(OR(C12="",I12&lt;&gt;"",NOT(ISNUMBER(H12))),"",IF(H12&lt;TODAY(),"Past its date",IF(H12-TODAY()&lt;=Settings!$C$6,"Use soon","")))</f>
        <v/>
      </c>
      <c r="L12" s="1">
        <f>IF(K12="","",H12*1000+ROW())</f>
        <v/>
      </c>
    </row>
    <row r="13">
      <c r="A13" s="1" t="n"/>
      <c r="B13" s="20" t="n">
        <v>46007</v>
      </c>
      <c r="C13" s="21" t="inlineStr">
        <is>
          <t>Dark chocolate chips</t>
        </is>
      </c>
      <c r="D13" s="22" t="n">
        <v>4</v>
      </c>
      <c r="E13" s="37" t="n">
        <v>22</v>
      </c>
      <c r="F13" s="23" t="inlineStr">
        <is>
          <t>Wholesale Foods</t>
        </is>
      </c>
      <c r="G13" s="36" t="inlineStr">
        <is>
          <t>L2694</t>
        </is>
      </c>
      <c r="H13" s="20" t="n">
        <v>46157</v>
      </c>
      <c r="I13" s="36" t="inlineStr">
        <is>
          <t>x</t>
        </is>
      </c>
      <c r="J13" s="43">
        <f>IF(C13="","",N(D13)*IFERROR(N(INDEX(Ingredients!$D$6:$D$105,MATCH(C13,Ingredients!$B$6:$B$105,0))),0))</f>
        <v/>
      </c>
      <c r="K13" s="12">
        <f>IF(OR(C13="",I13&lt;&gt;"",NOT(ISNUMBER(H13))),"",IF(H13&lt;TODAY(),"Past its date",IF(H13-TODAY()&lt;=Settings!$C$6,"Use soon","")))</f>
        <v/>
      </c>
      <c r="L13" s="1">
        <f>IF(K13="","",H13*1000+ROW())</f>
        <v/>
      </c>
    </row>
    <row r="14">
      <c r="A14" s="1" t="n"/>
      <c r="B14" s="20" t="n">
        <v>46009</v>
      </c>
      <c r="C14" s="21" t="inlineStr">
        <is>
          <t>Cocoa powder</t>
        </is>
      </c>
      <c r="D14" s="22" t="n">
        <v>1</v>
      </c>
      <c r="E14" s="37" t="n">
        <v>3.8</v>
      </c>
      <c r="F14" s="23" t="inlineStr">
        <is>
          <t>Wholesale Foods</t>
        </is>
      </c>
      <c r="G14" s="36" t="inlineStr">
        <is>
          <t>L2739</t>
        </is>
      </c>
      <c r="H14" s="20" t="n">
        <v>46159</v>
      </c>
      <c r="I14" s="36" t="inlineStr">
        <is>
          <t>x</t>
        </is>
      </c>
      <c r="J14" s="43">
        <f>IF(C14="","",N(D14)*IFERROR(N(INDEX(Ingredients!$D$6:$D$105,MATCH(C14,Ingredients!$B$6:$B$105,0))),0))</f>
        <v/>
      </c>
      <c r="K14" s="12">
        <f>IF(OR(C14="",I14&lt;&gt;"",NOT(ISNUMBER(H14))),"",IF(H14&lt;TODAY(),"Past its date",IF(H14-TODAY()&lt;=Settings!$C$6,"Use soon","")))</f>
        <v/>
      </c>
      <c r="L14" s="1">
        <f>IF(K14="","",H14*1000+ROW())</f>
        <v/>
      </c>
    </row>
    <row r="15">
      <c r="A15" s="1" t="n"/>
      <c r="B15" s="20" t="n">
        <v>46011</v>
      </c>
      <c r="C15" s="21" t="inlineStr">
        <is>
          <t>Strawberries</t>
        </is>
      </c>
      <c r="D15" s="22" t="n">
        <v>3</v>
      </c>
      <c r="E15" s="37" t="n">
        <v>18</v>
      </c>
      <c r="F15" s="23" t="inlineStr">
        <is>
          <t>Wholesale Foods</t>
        </is>
      </c>
      <c r="G15" s="36" t="inlineStr">
        <is>
          <t>L2763</t>
        </is>
      </c>
      <c r="H15" s="20" t="n">
        <v>46016</v>
      </c>
      <c r="I15" s="36" t="inlineStr">
        <is>
          <t>x</t>
        </is>
      </c>
      <c r="J15" s="43">
        <f>IF(C15="","",N(D15)*IFERROR(N(INDEX(Ingredients!$D$6:$D$105,MATCH(C15,Ingredients!$B$6:$B$105,0))),0))</f>
        <v/>
      </c>
      <c r="K15" s="12">
        <f>IF(OR(C15="",I15&lt;&gt;"",NOT(ISNUMBER(H15))),"",IF(H15&lt;TODAY(),"Past its date",IF(H15-TODAY()&lt;=Settings!$C$6,"Use soon","")))</f>
        <v/>
      </c>
      <c r="L15" s="1">
        <f>IF(K15="","",H15*1000+ROW())</f>
        <v/>
      </c>
    </row>
    <row r="16">
      <c r="A16" s="1" t="n"/>
      <c r="B16" s="20" t="n">
        <v>46013</v>
      </c>
      <c r="C16" s="21" t="inlineStr">
        <is>
          <t>Jam sugar</t>
        </is>
      </c>
      <c r="D16" s="22" t="n">
        <v>3</v>
      </c>
      <c r="E16" s="37" t="n">
        <v>7.5</v>
      </c>
      <c r="F16" s="23" t="inlineStr">
        <is>
          <t>Wholesale Foods</t>
        </is>
      </c>
      <c r="G16" s="36" t="inlineStr">
        <is>
          <t>L2808</t>
        </is>
      </c>
      <c r="H16" s="20" t="n">
        <v>46163</v>
      </c>
      <c r="I16" s="36" t="inlineStr">
        <is>
          <t>x</t>
        </is>
      </c>
      <c r="J16" s="43">
        <f>IF(C16="","",N(D16)*IFERROR(N(INDEX(Ingredients!$D$6:$D$105,MATCH(C16,Ingredients!$B$6:$B$105,0))),0))</f>
        <v/>
      </c>
      <c r="K16" s="12">
        <f>IF(OR(C16="",I16&lt;&gt;"",NOT(ISNUMBER(H16))),"",IF(H16&lt;TODAY(),"Past its date",IF(H16-TODAY()&lt;=Settings!$C$6,"Use soon","")))</f>
        <v/>
      </c>
      <c r="L16" s="1">
        <f>IF(K16="","",H16*1000+ROW())</f>
        <v/>
      </c>
    </row>
    <row r="17">
      <c r="A17" s="1" t="n"/>
      <c r="B17" s="20" t="n">
        <v>46015</v>
      </c>
      <c r="C17" s="21" t="inlineStr">
        <is>
          <t>Rolled oats</t>
        </is>
      </c>
      <c r="D17" s="22" t="n">
        <v>3</v>
      </c>
      <c r="E17" s="37" t="n">
        <v>6.6</v>
      </c>
      <c r="F17" s="23" t="inlineStr">
        <is>
          <t>Wholesale Foods</t>
        </is>
      </c>
      <c r="G17" s="36" t="inlineStr">
        <is>
          <t>L2853</t>
        </is>
      </c>
      <c r="H17" s="20" t="n">
        <v>46165</v>
      </c>
      <c r="I17" s="36" t="inlineStr">
        <is>
          <t>x</t>
        </is>
      </c>
      <c r="J17" s="43">
        <f>IF(C17="","",N(D17)*IFERROR(N(INDEX(Ingredients!$D$6:$D$105,MATCH(C17,Ingredients!$B$6:$B$105,0))),0))</f>
        <v/>
      </c>
      <c r="K17" s="12">
        <f>IF(OR(C17="",I17&lt;&gt;"",NOT(ISNUMBER(H17))),"",IF(H17&lt;TODAY(),"Past its date",IF(H17-TODAY()&lt;=Settings!$C$6,"Use soon","")))</f>
        <v/>
      </c>
      <c r="L17" s="1">
        <f>IF(K17="","",H17*1000+ROW())</f>
        <v/>
      </c>
    </row>
    <row r="18">
      <c r="A18" s="1" t="n"/>
      <c r="B18" s="20" t="n">
        <v>46017</v>
      </c>
      <c r="C18" s="21" t="inlineStr">
        <is>
          <t>Honey</t>
        </is>
      </c>
      <c r="D18" s="22" t="n">
        <v>2</v>
      </c>
      <c r="E18" s="37" t="n">
        <v>9</v>
      </c>
      <c r="F18" s="23" t="inlineStr">
        <is>
          <t>Wholesale Foods</t>
        </is>
      </c>
      <c r="G18" s="36" t="inlineStr">
        <is>
          <t>L2898</t>
        </is>
      </c>
      <c r="H18" s="20" t="n">
        <v>46167</v>
      </c>
      <c r="I18" s="36" t="inlineStr">
        <is>
          <t>x</t>
        </is>
      </c>
      <c r="J18" s="43">
        <f>IF(C18="","",N(D18)*IFERROR(N(INDEX(Ingredients!$D$6:$D$105,MATCH(C18,Ingredients!$B$6:$B$105,0))),0))</f>
        <v/>
      </c>
      <c r="K18" s="12">
        <f>IF(OR(C18="",I18&lt;&gt;"",NOT(ISNUMBER(H18))),"",IF(H18&lt;TODAY(),"Past its date",IF(H18-TODAY()&lt;=Settings!$C$6,"Use soon","")))</f>
        <v/>
      </c>
      <c r="L18" s="1">
        <f>IF(K18="","",H18*1000+ROW())</f>
        <v/>
      </c>
    </row>
    <row r="19">
      <c r="A19" s="1" t="n"/>
      <c r="B19" s="20" t="n">
        <v>46019</v>
      </c>
      <c r="C19" s="21" t="inlineStr">
        <is>
          <t>Almonds</t>
        </is>
      </c>
      <c r="D19" s="22" t="n">
        <v>2</v>
      </c>
      <c r="E19" s="37" t="n">
        <v>7.2</v>
      </c>
      <c r="F19" s="23" t="inlineStr">
        <is>
          <t>Wholesale Foods</t>
        </is>
      </c>
      <c r="G19" s="36" t="inlineStr">
        <is>
          <t>L2943</t>
        </is>
      </c>
      <c r="H19" s="20" t="n">
        <v>46169</v>
      </c>
      <c r="I19" s="36" t="inlineStr">
        <is>
          <t>x</t>
        </is>
      </c>
      <c r="J19" s="43">
        <f>IF(C19="","",N(D19)*IFERROR(N(INDEX(Ingredients!$D$6:$D$105,MATCH(C19,Ingredients!$B$6:$B$105,0))),0))</f>
        <v/>
      </c>
      <c r="K19" s="12">
        <f>IF(OR(C19="",I19&lt;&gt;"",NOT(ISNUMBER(H19))),"",IF(H19&lt;TODAY(),"Past its date",IF(H19-TODAY()&lt;=Settings!$C$6,"Use soon","")))</f>
        <v/>
      </c>
      <c r="L19" s="1">
        <f>IF(K19="","",H19*1000+ROW())</f>
        <v/>
      </c>
    </row>
    <row r="20">
      <c r="A20" s="1" t="n"/>
      <c r="B20" s="20" t="n">
        <v>46021</v>
      </c>
      <c r="C20" s="21" t="inlineStr">
        <is>
          <t>Cinnamon</t>
        </is>
      </c>
      <c r="D20" s="22" t="n">
        <v>2</v>
      </c>
      <c r="E20" s="37" t="n">
        <v>4.2</v>
      </c>
      <c r="F20" s="23" t="inlineStr">
        <is>
          <t>Wholesale Foods</t>
        </is>
      </c>
      <c r="G20" s="36" t="inlineStr">
        <is>
          <t>L2988</t>
        </is>
      </c>
      <c r="H20" s="20" t="n">
        <v>46171</v>
      </c>
      <c r="I20" s="36" t="inlineStr">
        <is>
          <t>x</t>
        </is>
      </c>
      <c r="J20" s="43">
        <f>IF(C20="","",N(D20)*IFERROR(N(INDEX(Ingredients!$D$6:$D$105,MATCH(C20,Ingredients!$B$6:$B$105,0))),0))</f>
        <v/>
      </c>
      <c r="K20" s="12">
        <f>IF(OR(C20="",I20&lt;&gt;"",NOT(ISNUMBER(H20))),"",IF(H20&lt;TODAY(),"Past its date",IF(H20-TODAY()&lt;=Settings!$C$6,"Use soon","")))</f>
        <v/>
      </c>
      <c r="L20" s="1">
        <f>IF(K20="","",H20*1000+ROW())</f>
        <v/>
      </c>
    </row>
    <row r="21">
      <c r="A21" s="1" t="n"/>
      <c r="B21" s="20" t="n">
        <v>46023</v>
      </c>
      <c r="C21" s="21" t="inlineStr">
        <is>
          <t>Milk</t>
        </is>
      </c>
      <c r="D21" s="22" t="n">
        <v>1</v>
      </c>
      <c r="E21" s="37" t="n">
        <v>1.1</v>
      </c>
      <c r="F21" s="23" t="inlineStr">
        <is>
          <t>Wholesale Foods</t>
        </is>
      </c>
      <c r="G21" s="36" t="inlineStr">
        <is>
          <t>L3033</t>
        </is>
      </c>
      <c r="H21" s="20" t="n">
        <v>46030</v>
      </c>
      <c r="I21" s="36" t="inlineStr">
        <is>
          <t>x</t>
        </is>
      </c>
      <c r="J21" s="43">
        <f>IF(C21="","",N(D21)*IFERROR(N(INDEX(Ingredients!$D$6:$D$105,MATCH(C21,Ingredients!$B$6:$B$105,0))),0))</f>
        <v/>
      </c>
      <c r="K21" s="12">
        <f>IF(OR(C21="",I21&lt;&gt;"",NOT(ISNUMBER(H21))),"",IF(H21&lt;TODAY(),"Past its date",IF(H21-TODAY()&lt;=Settings!$C$6,"Use soon","")))</f>
        <v/>
      </c>
      <c r="L21" s="1">
        <f>IF(K21="","",H21*1000+ROW())</f>
        <v/>
      </c>
    </row>
    <row r="22">
      <c r="A22" s="1" t="n"/>
      <c r="B22" s="20" t="n">
        <v>46027</v>
      </c>
      <c r="C22" s="21" t="inlineStr">
        <is>
          <t>Peanut butter</t>
        </is>
      </c>
      <c r="D22" s="22" t="n">
        <v>1</v>
      </c>
      <c r="E22" s="37" t="n">
        <v>3.2</v>
      </c>
      <c r="F22" s="23" t="inlineStr">
        <is>
          <t>Wholesale Foods</t>
        </is>
      </c>
      <c r="G22" s="36" t="inlineStr">
        <is>
          <t>L3085</t>
        </is>
      </c>
      <c r="H22" s="20" t="n">
        <v>46177</v>
      </c>
      <c r="I22" s="36" t="inlineStr">
        <is>
          <t>x</t>
        </is>
      </c>
      <c r="J22" s="43">
        <f>IF(C22="","",N(D22)*IFERROR(N(INDEX(Ingredients!$D$6:$D$105,MATCH(C22,Ingredients!$B$6:$B$105,0))),0))</f>
        <v/>
      </c>
      <c r="K22" s="12">
        <f>IF(OR(C22="",I22&lt;&gt;"",NOT(ISNUMBER(H22))),"",IF(H22&lt;TODAY(),"Past its date",IF(H22-TODAY()&lt;=Settings!$C$6,"Use soon","")))</f>
        <v/>
      </c>
      <c r="L22" s="1">
        <f>IF(K22="","",H22*1000+ROW())</f>
        <v/>
      </c>
    </row>
    <row r="23">
      <c r="A23" s="1" t="n"/>
      <c r="B23" s="20" t="n">
        <v>46029</v>
      </c>
      <c r="C23" s="21" t="inlineStr">
        <is>
          <t>Salt</t>
        </is>
      </c>
      <c r="D23" s="22" t="n">
        <v>1</v>
      </c>
      <c r="E23" s="37" t="n">
        <v>0.8</v>
      </c>
      <c r="F23" s="23" t="inlineStr">
        <is>
          <t>Wholesale Foods</t>
        </is>
      </c>
      <c r="G23" s="36" t="inlineStr">
        <is>
          <t>L3119</t>
        </is>
      </c>
      <c r="H23" s="20" t="n">
        <v>46179</v>
      </c>
      <c r="I23" s="36" t="inlineStr">
        <is>
          <t>x</t>
        </is>
      </c>
      <c r="J23" s="43">
        <f>IF(C23="","",N(D23)*IFERROR(N(INDEX(Ingredients!$D$6:$D$105,MATCH(C23,Ingredients!$B$6:$B$105,0))),0))</f>
        <v/>
      </c>
      <c r="K23" s="12">
        <f>IF(OR(C23="",I23&lt;&gt;"",NOT(ISNUMBER(H23))),"",IF(H23&lt;TODAY(),"Past its date",IF(H23-TODAY()&lt;=Settings!$C$6,"Use soon","")))</f>
        <v/>
      </c>
      <c r="L23" s="1">
        <f>IF(K23="","",H23*1000+ROW())</f>
        <v/>
      </c>
    </row>
    <row r="24">
      <c r="A24" s="1" t="n"/>
      <c r="B24" s="20" t="n">
        <v>46031</v>
      </c>
      <c r="C24" s="21" t="inlineStr">
        <is>
          <t>Vanilla extract</t>
        </is>
      </c>
      <c r="D24" s="22" t="n">
        <v>1</v>
      </c>
      <c r="E24" s="37" t="n">
        <v>4.8</v>
      </c>
      <c r="F24" s="23" t="inlineStr">
        <is>
          <t>Wholesale Foods</t>
        </is>
      </c>
      <c r="G24" s="36" t="inlineStr">
        <is>
          <t>L3134</t>
        </is>
      </c>
      <c r="H24" s="20" t="n">
        <v>46181</v>
      </c>
      <c r="I24" s="36" t="inlineStr">
        <is>
          <t>x</t>
        </is>
      </c>
      <c r="J24" s="43">
        <f>IF(C24="","",N(D24)*IFERROR(N(INDEX(Ingredients!$D$6:$D$105,MATCH(C24,Ingredients!$B$6:$B$105,0))),0))</f>
        <v/>
      </c>
      <c r="K24" s="12">
        <f>IF(OR(C24="",I24&lt;&gt;"",NOT(ISNUMBER(H24))),"",IF(H24&lt;TODAY(),"Past its date",IF(H24-TODAY()&lt;=Settings!$C$6,"Use soon","")))</f>
        <v/>
      </c>
      <c r="L24" s="1">
        <f>IF(K24="","",H24*1000+ROW())</f>
        <v/>
      </c>
    </row>
    <row r="25">
      <c r="A25" s="1" t="n"/>
      <c r="B25" s="20" t="n">
        <v>46033</v>
      </c>
      <c r="C25" s="21" t="inlineStr">
        <is>
          <t>Jars and lids</t>
        </is>
      </c>
      <c r="D25" s="22" t="n">
        <v>2</v>
      </c>
      <c r="E25" s="37" t="n">
        <v>18</v>
      </c>
      <c r="F25" s="23" t="inlineStr">
        <is>
          <t>Wholesale Foods</t>
        </is>
      </c>
      <c r="G25" s="36" t="inlineStr">
        <is>
          <t>L3158</t>
        </is>
      </c>
      <c r="H25" s="20" t="n"/>
      <c r="I25" s="36" t="inlineStr">
        <is>
          <t>x</t>
        </is>
      </c>
      <c r="J25" s="43">
        <f>IF(C25="","",N(D25)*IFERROR(N(INDEX(Ingredients!$D$6:$D$105,MATCH(C25,Ingredients!$B$6:$B$105,0))),0))</f>
        <v/>
      </c>
      <c r="K25" s="12">
        <f>IF(OR(C25="",I25&lt;&gt;"",NOT(ISNUMBER(H25))),"",IF(H25&lt;TODAY(),"Past its date",IF(H25-TODAY()&lt;=Settings!$C$6,"Use soon","")))</f>
        <v/>
      </c>
      <c r="L25" s="1">
        <f>IF(K25="","",H25*1000+ROW())</f>
        <v/>
      </c>
    </row>
    <row r="26">
      <c r="A26" s="1" t="n"/>
      <c r="B26" s="20" t="n">
        <v>46035</v>
      </c>
      <c r="C26" s="21" t="inlineStr">
        <is>
          <t>Cookie bags</t>
        </is>
      </c>
      <c r="D26" s="22" t="n">
        <v>1</v>
      </c>
      <c r="E26" s="37" t="n">
        <v>6</v>
      </c>
      <c r="F26" s="23" t="inlineStr">
        <is>
          <t>Wholesale Foods</t>
        </is>
      </c>
      <c r="G26" s="36" t="inlineStr">
        <is>
          <t>L3203</t>
        </is>
      </c>
      <c r="H26" s="20" t="n"/>
      <c r="I26" s="36" t="inlineStr">
        <is>
          <t>x</t>
        </is>
      </c>
      <c r="J26" s="43">
        <f>IF(C26="","",N(D26)*IFERROR(N(INDEX(Ingredients!$D$6:$D$105,MATCH(C26,Ingredients!$B$6:$B$105,0))),0))</f>
        <v/>
      </c>
      <c r="K26" s="12">
        <f>IF(OR(C26="",I26&lt;&gt;"",NOT(ISNUMBER(H26))),"",IF(H26&lt;TODAY(),"Past its date",IF(H26-TODAY()&lt;=Settings!$C$6,"Use soon","")))</f>
        <v/>
      </c>
      <c r="L26" s="1">
        <f>IF(K26="","",H26*1000+ROW())</f>
        <v/>
      </c>
    </row>
    <row r="27">
      <c r="A27" s="1" t="n"/>
      <c r="B27" s="20" t="n">
        <v>46037</v>
      </c>
      <c r="C27" s="21" t="inlineStr">
        <is>
          <t>Cake boxes</t>
        </is>
      </c>
      <c r="D27" s="22" t="n">
        <v>1</v>
      </c>
      <c r="E27" s="37" t="n">
        <v>11</v>
      </c>
      <c r="F27" s="23" t="inlineStr">
        <is>
          <t>Wholesale Foods</t>
        </is>
      </c>
      <c r="G27" s="36" t="inlineStr">
        <is>
          <t>L3237</t>
        </is>
      </c>
      <c r="H27" s="20" t="n"/>
      <c r="I27" s="36" t="inlineStr">
        <is>
          <t>x</t>
        </is>
      </c>
      <c r="J27" s="43">
        <f>IF(C27="","",N(D27)*IFERROR(N(INDEX(Ingredients!$D$6:$D$105,MATCH(C27,Ingredients!$B$6:$B$105,0))),0))</f>
        <v/>
      </c>
      <c r="K27" s="12">
        <f>IF(OR(C27="",I27&lt;&gt;"",NOT(ISNUMBER(H27))),"",IF(H27&lt;TODAY(),"Past its date",IF(H27-TODAY()&lt;=Settings!$C$6,"Use soon","")))</f>
        <v/>
      </c>
      <c r="L27" s="1">
        <f>IF(K27="","",H27*1000+ROW())</f>
        <v/>
      </c>
    </row>
    <row r="28">
      <c r="A28" s="1" t="n"/>
      <c r="B28" s="20" t="n">
        <v>46053</v>
      </c>
      <c r="C28" s="21" t="inlineStr">
        <is>
          <t>Plain flour</t>
        </is>
      </c>
      <c r="D28" s="22" t="n">
        <v>2</v>
      </c>
      <c r="E28" s="37" t="n">
        <v>4.9</v>
      </c>
      <c r="F28" s="23" t="inlineStr">
        <is>
          <t>Wholesale Foods</t>
        </is>
      </c>
      <c r="G28" s="36" t="inlineStr">
        <is>
          <t>L2407</t>
        </is>
      </c>
      <c r="H28" s="20" t="n">
        <v>46203</v>
      </c>
      <c r="I28" s="36" t="inlineStr">
        <is>
          <t>x</t>
        </is>
      </c>
      <c r="J28" s="43">
        <f>IF(C28="","",N(D28)*IFERROR(N(INDEX(Ingredients!$D$6:$D$105,MATCH(C28,Ingredients!$B$6:$B$105,0))),0))</f>
        <v/>
      </c>
      <c r="K28" s="12">
        <f>IF(OR(C28="",I28&lt;&gt;"",NOT(ISNUMBER(H28))),"",IF(H28&lt;TODAY(),"Past its date",IF(H28-TODAY()&lt;=Settings!$C$6,"Use soon","")))</f>
        <v/>
      </c>
      <c r="L28" s="1">
        <f>IF(K28="","",H28*1000+ROW())</f>
        <v/>
      </c>
    </row>
    <row r="29">
      <c r="A29" s="1" t="n"/>
      <c r="B29" s="20" t="n">
        <v>46055</v>
      </c>
      <c r="C29" s="21" t="inlineStr">
        <is>
          <t>Bread flour</t>
        </is>
      </c>
      <c r="D29" s="22" t="n">
        <v>3</v>
      </c>
      <c r="E29" s="37" t="n">
        <v>9.789999999999999</v>
      </c>
      <c r="F29" s="23" t="inlineStr">
        <is>
          <t>Wholesale Foods</t>
        </is>
      </c>
      <c r="G29" s="36" t="inlineStr">
        <is>
          <t>L2452</t>
        </is>
      </c>
      <c r="H29" s="20" t="n">
        <v>46205</v>
      </c>
      <c r="I29" s="36" t="inlineStr">
        <is>
          <t>x</t>
        </is>
      </c>
      <c r="J29" s="43">
        <f>IF(C29="","",N(D29)*IFERROR(N(INDEX(Ingredients!$D$6:$D$105,MATCH(C29,Ingredients!$B$6:$B$105,0))),0))</f>
        <v/>
      </c>
      <c r="K29" s="12">
        <f>IF(OR(C29="",I29&lt;&gt;"",NOT(ISNUMBER(H29))),"",IF(H29&lt;TODAY(),"Past its date",IF(H29-TODAY()&lt;=Settings!$C$6,"Use soon","")))</f>
        <v/>
      </c>
      <c r="L29" s="1">
        <f>IF(K29="","",H29*1000+ROW())</f>
        <v/>
      </c>
    </row>
    <row r="30">
      <c r="A30" s="1" t="n"/>
      <c r="B30" s="20" t="n">
        <v>46057</v>
      </c>
      <c r="C30" s="21" t="inlineStr">
        <is>
          <t>Rye flour</t>
        </is>
      </c>
      <c r="D30" s="22" t="n">
        <v>1</v>
      </c>
      <c r="E30" s="37" t="n">
        <v>2.86</v>
      </c>
      <c r="F30" s="23" t="inlineStr">
        <is>
          <t>Wholesale Foods</t>
        </is>
      </c>
      <c r="G30" s="36" t="inlineStr">
        <is>
          <t>L2497</t>
        </is>
      </c>
      <c r="H30" s="20" t="n">
        <v>46207</v>
      </c>
      <c r="I30" s="36" t="inlineStr">
        <is>
          <t>x</t>
        </is>
      </c>
      <c r="J30" s="43">
        <f>IF(C30="","",N(D30)*IFERROR(N(INDEX(Ingredients!$D$6:$D$105,MATCH(C30,Ingredients!$B$6:$B$105,0))),0))</f>
        <v/>
      </c>
      <c r="K30" s="12">
        <f>IF(OR(C30="",I30&lt;&gt;"",NOT(ISNUMBER(H30))),"",IF(H30&lt;TODAY(),"Past its date",IF(H30-TODAY()&lt;=Settings!$C$6,"Use soon","")))</f>
        <v/>
      </c>
      <c r="L30" s="1">
        <f>IF(K30="","",H30*1000+ROW())</f>
        <v/>
      </c>
    </row>
    <row r="31">
      <c r="A31" s="1" t="n"/>
      <c r="B31" s="20" t="n">
        <v>46059</v>
      </c>
      <c r="C31" s="21" t="inlineStr">
        <is>
          <t>Caster sugar</t>
        </is>
      </c>
      <c r="D31" s="22" t="n">
        <v>4</v>
      </c>
      <c r="E31" s="37" t="n">
        <v>7.75</v>
      </c>
      <c r="F31" s="23" t="inlineStr">
        <is>
          <t>Wholesale Foods</t>
        </is>
      </c>
      <c r="G31" s="36" t="inlineStr">
        <is>
          <t>L2521</t>
        </is>
      </c>
      <c r="H31" s="20" t="n">
        <v>46209</v>
      </c>
      <c r="I31" s="36" t="inlineStr">
        <is>
          <t>x</t>
        </is>
      </c>
      <c r="J31" s="43">
        <f>IF(C31="","",N(D31)*IFERROR(N(INDEX(Ingredients!$D$6:$D$105,MATCH(C31,Ingredients!$B$6:$B$105,0))),0))</f>
        <v/>
      </c>
      <c r="K31" s="12">
        <f>IF(OR(C31="",I31&lt;&gt;"",NOT(ISNUMBER(H31))),"",IF(H31&lt;TODAY(),"Past its date",IF(H31-TODAY()&lt;=Settings!$C$6,"Use soon","")))</f>
        <v/>
      </c>
      <c r="L31" s="1">
        <f>IF(K31="","",H31*1000+ROW())</f>
        <v/>
      </c>
    </row>
    <row r="32">
      <c r="A32" s="1" t="n"/>
      <c r="B32" s="20" t="n">
        <v>46061</v>
      </c>
      <c r="C32" s="21" t="inlineStr">
        <is>
          <t>Butter</t>
        </is>
      </c>
      <c r="D32" s="22" t="n">
        <v>13</v>
      </c>
      <c r="E32" s="37" t="n">
        <v>34.48</v>
      </c>
      <c r="F32" s="23" t="inlineStr">
        <is>
          <t>Wholesale Foods</t>
        </is>
      </c>
      <c r="G32" s="36" t="inlineStr">
        <is>
          <t>L2566</t>
        </is>
      </c>
      <c r="H32" s="20" t="n">
        <v>46091</v>
      </c>
      <c r="I32" s="36" t="inlineStr">
        <is>
          <t>x</t>
        </is>
      </c>
      <c r="J32" s="43">
        <f>IF(C32="","",N(D32)*IFERROR(N(INDEX(Ingredients!$D$6:$D$105,MATCH(C32,Ingredients!$B$6:$B$105,0))),0))</f>
        <v/>
      </c>
      <c r="K32" s="12">
        <f>IF(OR(C32="",I32&lt;&gt;"",NOT(ISNUMBER(H32))),"",IF(H32&lt;TODAY(),"Past its date",IF(H32-TODAY()&lt;=Settings!$C$6,"Use soon","")))</f>
        <v/>
      </c>
      <c r="L32" s="1">
        <f>IF(K32="","",H32*1000+ROW())</f>
        <v/>
      </c>
    </row>
    <row r="33">
      <c r="A33" s="1" t="n"/>
      <c r="B33" s="20" t="n">
        <v>46063</v>
      </c>
      <c r="C33" s="21" t="inlineStr">
        <is>
          <t>Eggs</t>
        </is>
      </c>
      <c r="D33" s="22" t="n">
        <v>4</v>
      </c>
      <c r="E33" s="37" t="n">
        <v>17.14</v>
      </c>
      <c r="F33" s="23" t="inlineStr">
        <is>
          <t>Wholesale Foods</t>
        </is>
      </c>
      <c r="G33" s="36" t="inlineStr">
        <is>
          <t>L2611</t>
        </is>
      </c>
      <c r="H33" s="20" t="n">
        <v>46084</v>
      </c>
      <c r="I33" s="36" t="inlineStr">
        <is>
          <t>x</t>
        </is>
      </c>
      <c r="J33" s="43">
        <f>IF(C33="","",N(D33)*IFERROR(N(INDEX(Ingredients!$D$6:$D$105,MATCH(C33,Ingredients!$B$6:$B$105,0))),0))</f>
        <v/>
      </c>
      <c r="K33" s="12">
        <f>IF(OR(C33="",I33&lt;&gt;"",NOT(ISNUMBER(H33))),"",IF(H33&lt;TODAY(),"Past its date",IF(H33-TODAY()&lt;=Settings!$C$6,"Use soon","")))</f>
        <v/>
      </c>
      <c r="L33" s="1">
        <f>IF(K33="","",H33*1000+ROW())</f>
        <v/>
      </c>
    </row>
    <row r="34">
      <c r="A34" s="1" t="n"/>
      <c r="B34" s="20" t="n">
        <v>46065</v>
      </c>
      <c r="C34" s="21" t="inlineStr">
        <is>
          <t>Lemons</t>
        </is>
      </c>
      <c r="D34" s="22" t="n">
        <v>3</v>
      </c>
      <c r="E34" s="37" t="n">
        <v>6.12</v>
      </c>
      <c r="F34" s="23" t="inlineStr">
        <is>
          <t>Wholesale Foods</t>
        </is>
      </c>
      <c r="G34" s="36" t="inlineStr">
        <is>
          <t>L2656</t>
        </is>
      </c>
      <c r="H34" s="20" t="n">
        <v>46079</v>
      </c>
      <c r="I34" s="36" t="inlineStr">
        <is>
          <t>x</t>
        </is>
      </c>
      <c r="J34" s="43">
        <f>IF(C34="","",N(D34)*IFERROR(N(INDEX(Ingredients!$D$6:$D$105,MATCH(C34,Ingredients!$B$6:$B$105,0))),0))</f>
        <v/>
      </c>
      <c r="K34" s="12">
        <f>IF(OR(C34="",I34&lt;&gt;"",NOT(ISNUMBER(H34))),"",IF(H34&lt;TODAY(),"Past its date",IF(H34-TODAY()&lt;=Settings!$C$6,"Use soon","")))</f>
        <v/>
      </c>
      <c r="L34" s="1">
        <f>IF(K34="","",H34*1000+ROW())</f>
        <v/>
      </c>
    </row>
    <row r="35">
      <c r="A35" s="1" t="n"/>
      <c r="B35" s="20" t="n">
        <v>46067</v>
      </c>
      <c r="C35" s="21" t="inlineStr">
        <is>
          <t>Dark chocolate chips</t>
        </is>
      </c>
      <c r="D35" s="22" t="n">
        <v>3</v>
      </c>
      <c r="E35" s="37" t="n">
        <v>16.83</v>
      </c>
      <c r="F35" s="23" t="inlineStr">
        <is>
          <t>Wholesale Foods</t>
        </is>
      </c>
      <c r="G35" s="36" t="inlineStr">
        <is>
          <t>L2701</t>
        </is>
      </c>
      <c r="H35" s="20" t="n">
        <v>46217</v>
      </c>
      <c r="I35" s="36" t="inlineStr">
        <is>
          <t>x</t>
        </is>
      </c>
      <c r="J35" s="43">
        <f>IF(C35="","",N(D35)*IFERROR(N(INDEX(Ingredients!$D$6:$D$105,MATCH(C35,Ingredients!$B$6:$B$105,0))),0))</f>
        <v/>
      </c>
      <c r="K35" s="12">
        <f>IF(OR(C35="",I35&lt;&gt;"",NOT(ISNUMBER(H35))),"",IF(H35&lt;TODAY(),"Past its date",IF(H35-TODAY()&lt;=Settings!$C$6,"Use soon","")))</f>
        <v/>
      </c>
      <c r="L35" s="1">
        <f>IF(K35="","",H35*1000+ROW())</f>
        <v/>
      </c>
    </row>
    <row r="36">
      <c r="A36" s="1" t="n"/>
      <c r="B36" s="20" t="n">
        <v>46069</v>
      </c>
      <c r="C36" s="21" t="inlineStr">
        <is>
          <t>Cocoa powder</t>
        </is>
      </c>
      <c r="D36" s="22" t="n">
        <v>1</v>
      </c>
      <c r="E36" s="37" t="n">
        <v>3.88</v>
      </c>
      <c r="F36" s="23" t="inlineStr">
        <is>
          <t>Wholesale Foods</t>
        </is>
      </c>
      <c r="G36" s="36" t="inlineStr">
        <is>
          <t>L2746</t>
        </is>
      </c>
      <c r="H36" s="20" t="n">
        <v>46219</v>
      </c>
      <c r="I36" s="36" t="inlineStr">
        <is>
          <t>x</t>
        </is>
      </c>
      <c r="J36" s="43">
        <f>IF(C36="","",N(D36)*IFERROR(N(INDEX(Ingredients!$D$6:$D$105,MATCH(C36,Ingredients!$B$6:$B$105,0))),0))</f>
        <v/>
      </c>
      <c r="K36" s="12">
        <f>IF(OR(C36="",I36&lt;&gt;"",NOT(ISNUMBER(H36))),"",IF(H36&lt;TODAY(),"Past its date",IF(H36-TODAY()&lt;=Settings!$C$6,"Use soon","")))</f>
        <v/>
      </c>
      <c r="L36" s="1">
        <f>IF(K36="","",H36*1000+ROW())</f>
        <v/>
      </c>
    </row>
    <row r="37">
      <c r="A37" s="1" t="n"/>
      <c r="B37" s="20" t="n">
        <v>46071</v>
      </c>
      <c r="C37" s="21" t="inlineStr">
        <is>
          <t>Strawberries</t>
        </is>
      </c>
      <c r="D37" s="22" t="n">
        <v>3</v>
      </c>
      <c r="E37" s="37" t="n">
        <v>18.36</v>
      </c>
      <c r="F37" s="23" t="inlineStr">
        <is>
          <t>Wholesale Foods</t>
        </is>
      </c>
      <c r="G37" s="36" t="inlineStr">
        <is>
          <t>L2770</t>
        </is>
      </c>
      <c r="H37" s="20" t="n">
        <v>46076</v>
      </c>
      <c r="I37" s="36" t="inlineStr">
        <is>
          <t>x</t>
        </is>
      </c>
      <c r="J37" s="43">
        <f>IF(C37="","",N(D37)*IFERROR(N(INDEX(Ingredients!$D$6:$D$105,MATCH(C37,Ingredients!$B$6:$B$105,0))),0))</f>
        <v/>
      </c>
      <c r="K37" s="12">
        <f>IF(OR(C37="",I37&lt;&gt;"",NOT(ISNUMBER(H37))),"",IF(H37&lt;TODAY(),"Past its date",IF(H37-TODAY()&lt;=Settings!$C$6,"Use soon","")))</f>
        <v/>
      </c>
      <c r="L37" s="1">
        <f>IF(K37="","",H37*1000+ROW())</f>
        <v/>
      </c>
    </row>
    <row r="38">
      <c r="A38" s="1" t="n"/>
      <c r="B38" s="20" t="n">
        <v>46073</v>
      </c>
      <c r="C38" s="21" t="inlineStr">
        <is>
          <t>Jam sugar</t>
        </is>
      </c>
      <c r="D38" s="22" t="n">
        <v>2</v>
      </c>
      <c r="E38" s="37" t="n">
        <v>5.1</v>
      </c>
      <c r="F38" s="23" t="inlineStr">
        <is>
          <t>Wholesale Foods</t>
        </is>
      </c>
      <c r="G38" s="36" t="inlineStr">
        <is>
          <t>L2815</t>
        </is>
      </c>
      <c r="H38" s="20" t="n">
        <v>46223</v>
      </c>
      <c r="I38" s="36" t="inlineStr">
        <is>
          <t>x</t>
        </is>
      </c>
      <c r="J38" s="43">
        <f>IF(C38="","",N(D38)*IFERROR(N(INDEX(Ingredients!$D$6:$D$105,MATCH(C38,Ingredients!$B$6:$B$105,0))),0))</f>
        <v/>
      </c>
      <c r="K38" s="12">
        <f>IF(OR(C38="",I38&lt;&gt;"",NOT(ISNUMBER(H38))),"",IF(H38&lt;TODAY(),"Past its date",IF(H38-TODAY()&lt;=Settings!$C$6,"Use soon","")))</f>
        <v/>
      </c>
      <c r="L38" s="1">
        <f>IF(K38="","",H38*1000+ROW())</f>
        <v/>
      </c>
    </row>
    <row r="39">
      <c r="A39" s="1" t="n"/>
      <c r="B39" s="20" t="n">
        <v>46075</v>
      </c>
      <c r="C39" s="21" t="inlineStr">
        <is>
          <t>Rolled oats</t>
        </is>
      </c>
      <c r="D39" s="22" t="n">
        <v>3</v>
      </c>
      <c r="E39" s="37" t="n">
        <v>6.73</v>
      </c>
      <c r="F39" s="23" t="inlineStr">
        <is>
          <t>Wholesale Foods</t>
        </is>
      </c>
      <c r="G39" s="36" t="inlineStr">
        <is>
          <t>L2860</t>
        </is>
      </c>
      <c r="H39" s="20" t="n">
        <v>46225</v>
      </c>
      <c r="I39" s="36" t="inlineStr">
        <is>
          <t>x</t>
        </is>
      </c>
      <c r="J39" s="43">
        <f>IF(C39="","",N(D39)*IFERROR(N(INDEX(Ingredients!$D$6:$D$105,MATCH(C39,Ingredients!$B$6:$B$105,0))),0))</f>
        <v/>
      </c>
      <c r="K39" s="12">
        <f>IF(OR(C39="",I39&lt;&gt;"",NOT(ISNUMBER(H39))),"",IF(H39&lt;TODAY(),"Past its date",IF(H39-TODAY()&lt;=Settings!$C$6,"Use soon","")))</f>
        <v/>
      </c>
      <c r="L39" s="1">
        <f>IF(K39="","",H39*1000+ROW())</f>
        <v/>
      </c>
    </row>
    <row r="40">
      <c r="A40" s="1" t="n"/>
      <c r="B40" s="20" t="n">
        <v>46077</v>
      </c>
      <c r="C40" s="21" t="inlineStr">
        <is>
          <t>Honey</t>
        </is>
      </c>
      <c r="D40" s="22" t="n">
        <v>2</v>
      </c>
      <c r="E40" s="37" t="n">
        <v>9.18</v>
      </c>
      <c r="F40" s="23" t="inlineStr">
        <is>
          <t>Wholesale Foods</t>
        </is>
      </c>
      <c r="G40" s="36" t="inlineStr">
        <is>
          <t>L2905</t>
        </is>
      </c>
      <c r="H40" s="20" t="n">
        <v>46227</v>
      </c>
      <c r="I40" s="36" t="inlineStr">
        <is>
          <t>x</t>
        </is>
      </c>
      <c r="J40" s="43">
        <f>IF(C40="","",N(D40)*IFERROR(N(INDEX(Ingredients!$D$6:$D$105,MATCH(C40,Ingredients!$B$6:$B$105,0))),0))</f>
        <v/>
      </c>
      <c r="K40" s="12">
        <f>IF(OR(C40="",I40&lt;&gt;"",NOT(ISNUMBER(H40))),"",IF(H40&lt;TODAY(),"Past its date",IF(H40-TODAY()&lt;=Settings!$C$6,"Use soon","")))</f>
        <v/>
      </c>
      <c r="L40" s="1">
        <f>IF(K40="","",H40*1000+ROW())</f>
        <v/>
      </c>
    </row>
    <row r="41">
      <c r="A41" s="1" t="n"/>
      <c r="B41" s="20" t="n">
        <v>46079</v>
      </c>
      <c r="C41" s="21" t="inlineStr">
        <is>
          <t>Almonds</t>
        </is>
      </c>
      <c r="D41" s="22" t="n">
        <v>2</v>
      </c>
      <c r="E41" s="37" t="n">
        <v>7.34</v>
      </c>
      <c r="F41" s="23" t="inlineStr">
        <is>
          <t>Wholesale Foods</t>
        </is>
      </c>
      <c r="G41" s="36" t="inlineStr">
        <is>
          <t>L2950</t>
        </is>
      </c>
      <c r="H41" s="20" t="n">
        <v>46229</v>
      </c>
      <c r="I41" s="36" t="inlineStr">
        <is>
          <t>x</t>
        </is>
      </c>
      <c r="J41" s="43">
        <f>IF(C41="","",N(D41)*IFERROR(N(INDEX(Ingredients!$D$6:$D$105,MATCH(C41,Ingredients!$B$6:$B$105,0))),0))</f>
        <v/>
      </c>
      <c r="K41" s="12">
        <f>IF(OR(C41="",I41&lt;&gt;"",NOT(ISNUMBER(H41))),"",IF(H41&lt;TODAY(),"Past its date",IF(H41-TODAY()&lt;=Settings!$C$6,"Use soon","")))</f>
        <v/>
      </c>
      <c r="L41" s="1">
        <f>IF(K41="","",H41*1000+ROW())</f>
        <v/>
      </c>
    </row>
    <row r="42">
      <c r="A42" s="1" t="n"/>
      <c r="B42" s="20" t="n">
        <v>46081</v>
      </c>
      <c r="C42" s="21" t="inlineStr">
        <is>
          <t>Cinnamon</t>
        </is>
      </c>
      <c r="D42" s="22" t="n">
        <v>2</v>
      </c>
      <c r="E42" s="37" t="n">
        <v>4.28</v>
      </c>
      <c r="F42" s="23" t="inlineStr">
        <is>
          <t>Wholesale Foods</t>
        </is>
      </c>
      <c r="G42" s="36" t="inlineStr">
        <is>
          <t>L2995</t>
        </is>
      </c>
      <c r="H42" s="20" t="n">
        <v>46231</v>
      </c>
      <c r="I42" s="36" t="inlineStr">
        <is>
          <t>x</t>
        </is>
      </c>
      <c r="J42" s="43">
        <f>IF(C42="","",N(D42)*IFERROR(N(INDEX(Ingredients!$D$6:$D$105,MATCH(C42,Ingredients!$B$6:$B$105,0))),0))</f>
        <v/>
      </c>
      <c r="K42" s="12">
        <f>IF(OR(C42="",I42&lt;&gt;"",NOT(ISNUMBER(H42))),"",IF(H42&lt;TODAY(),"Past its date",IF(H42-TODAY()&lt;=Settings!$C$6,"Use soon","")))</f>
        <v/>
      </c>
      <c r="L42" s="1">
        <f>IF(K42="","",H42*1000+ROW())</f>
        <v/>
      </c>
    </row>
    <row r="43">
      <c r="A43" s="1" t="n"/>
      <c r="B43" s="20" t="n">
        <v>46083</v>
      </c>
      <c r="C43" s="21" t="inlineStr">
        <is>
          <t>Milk</t>
        </is>
      </c>
      <c r="D43" s="22" t="n">
        <v>1</v>
      </c>
      <c r="E43" s="37" t="n">
        <v>1.12</v>
      </c>
      <c r="F43" s="23" t="inlineStr">
        <is>
          <t>Wholesale Foods</t>
        </is>
      </c>
      <c r="G43" s="36" t="inlineStr">
        <is>
          <t>L3040</t>
        </is>
      </c>
      <c r="H43" s="20" t="n">
        <v>46090</v>
      </c>
      <c r="I43" s="36" t="inlineStr">
        <is>
          <t>x</t>
        </is>
      </c>
      <c r="J43" s="43">
        <f>IF(C43="","",N(D43)*IFERROR(N(INDEX(Ingredients!$D$6:$D$105,MATCH(C43,Ingredients!$B$6:$B$105,0))),0))</f>
        <v/>
      </c>
      <c r="K43" s="12">
        <f>IF(OR(C43="",I43&lt;&gt;"",NOT(ISNUMBER(H43))),"",IF(H43&lt;TODAY(),"Past its date",IF(H43-TODAY()&lt;=Settings!$C$6,"Use soon","")))</f>
        <v/>
      </c>
      <c r="L43" s="1">
        <f>IF(K43="","",H43*1000+ROW())</f>
        <v/>
      </c>
    </row>
    <row r="44">
      <c r="A44" s="1" t="n"/>
      <c r="B44" s="20" t="n">
        <v>46087</v>
      </c>
      <c r="C44" s="21" t="inlineStr">
        <is>
          <t>Peanut butter</t>
        </is>
      </c>
      <c r="D44" s="22" t="n">
        <v>1</v>
      </c>
      <c r="E44" s="37" t="n">
        <v>3.26</v>
      </c>
      <c r="F44" s="23" t="inlineStr">
        <is>
          <t>Wholesale Foods</t>
        </is>
      </c>
      <c r="G44" s="36" t="inlineStr">
        <is>
          <t>L3092</t>
        </is>
      </c>
      <c r="H44" s="20" t="n">
        <v>46237</v>
      </c>
      <c r="I44" s="36" t="inlineStr">
        <is>
          <t>x</t>
        </is>
      </c>
      <c r="J44" s="43">
        <f>IF(C44="","",N(D44)*IFERROR(N(INDEX(Ingredients!$D$6:$D$105,MATCH(C44,Ingredients!$B$6:$B$105,0))),0))</f>
        <v/>
      </c>
      <c r="K44" s="12">
        <f>IF(OR(C44="",I44&lt;&gt;"",NOT(ISNUMBER(H44))),"",IF(H44&lt;TODAY(),"Past its date",IF(H44-TODAY()&lt;=Settings!$C$6,"Use soon","")))</f>
        <v/>
      </c>
      <c r="L44" s="1">
        <f>IF(K44="","",H44*1000+ROW())</f>
        <v/>
      </c>
    </row>
    <row r="45">
      <c r="A45" s="1" t="n"/>
      <c r="B45" s="20" t="n">
        <v>46091</v>
      </c>
      <c r="C45" s="21" t="inlineStr">
        <is>
          <t>Vanilla extract</t>
        </is>
      </c>
      <c r="D45" s="22" t="n">
        <v>1</v>
      </c>
      <c r="E45" s="37" t="n">
        <v>4.9</v>
      </c>
      <c r="F45" s="23" t="inlineStr">
        <is>
          <t>Wholesale Foods</t>
        </is>
      </c>
      <c r="G45" s="36" t="inlineStr">
        <is>
          <t>L3141</t>
        </is>
      </c>
      <c r="H45" s="20" t="n">
        <v>46241</v>
      </c>
      <c r="I45" s="36" t="inlineStr">
        <is>
          <t>x</t>
        </is>
      </c>
      <c r="J45" s="43">
        <f>IF(C45="","",N(D45)*IFERROR(N(INDEX(Ingredients!$D$6:$D$105,MATCH(C45,Ingredients!$B$6:$B$105,0))),0))</f>
        <v/>
      </c>
      <c r="K45" s="12">
        <f>IF(OR(C45="",I45&lt;&gt;"",NOT(ISNUMBER(H45))),"",IF(H45&lt;TODAY(),"Past its date",IF(H45-TODAY()&lt;=Settings!$C$6,"Use soon","")))</f>
        <v/>
      </c>
      <c r="L45" s="1">
        <f>IF(K45="","",H45*1000+ROW())</f>
        <v/>
      </c>
    </row>
    <row r="46">
      <c r="A46" s="1" t="n"/>
      <c r="B46" s="20" t="n">
        <v>46093</v>
      </c>
      <c r="C46" s="21" t="inlineStr">
        <is>
          <t>Jars and lids</t>
        </is>
      </c>
      <c r="D46" s="22" t="n">
        <v>1</v>
      </c>
      <c r="E46" s="37" t="n">
        <v>9.18</v>
      </c>
      <c r="F46" s="23" t="inlineStr">
        <is>
          <t>Wholesale Foods</t>
        </is>
      </c>
      <c r="G46" s="36" t="inlineStr">
        <is>
          <t>L3165</t>
        </is>
      </c>
      <c r="H46" s="20" t="n"/>
      <c r="I46" s="36" t="inlineStr">
        <is>
          <t>x</t>
        </is>
      </c>
      <c r="J46" s="43">
        <f>IF(C46="","",N(D46)*IFERROR(N(INDEX(Ingredients!$D$6:$D$105,MATCH(C46,Ingredients!$B$6:$B$105,0))),0))</f>
        <v/>
      </c>
      <c r="K46" s="12">
        <f>IF(OR(C46="",I46&lt;&gt;"",NOT(ISNUMBER(H46))),"",IF(H46&lt;TODAY(),"Past its date",IF(H46-TODAY()&lt;=Settings!$C$6,"Use soon","")))</f>
        <v/>
      </c>
      <c r="L46" s="1">
        <f>IF(K46="","",H46*1000+ROW())</f>
        <v/>
      </c>
    </row>
    <row r="47">
      <c r="A47" s="1" t="n"/>
      <c r="B47" s="20" t="n">
        <v>46095</v>
      </c>
      <c r="C47" s="21" t="inlineStr">
        <is>
          <t>Cookie bags</t>
        </is>
      </c>
      <c r="D47" s="22" t="n">
        <v>1</v>
      </c>
      <c r="E47" s="37" t="n">
        <v>6.12</v>
      </c>
      <c r="F47" s="23" t="inlineStr">
        <is>
          <t>Wholesale Foods</t>
        </is>
      </c>
      <c r="G47" s="36" t="inlineStr">
        <is>
          <t>L3210</t>
        </is>
      </c>
      <c r="H47" s="20" t="n"/>
      <c r="I47" s="36" t="inlineStr">
        <is>
          <t>x</t>
        </is>
      </c>
      <c r="J47" s="43">
        <f>IF(C47="","",N(D47)*IFERROR(N(INDEX(Ingredients!$D$6:$D$105,MATCH(C47,Ingredients!$B$6:$B$105,0))),0))</f>
        <v/>
      </c>
      <c r="K47" s="12">
        <f>IF(OR(C47="",I47&lt;&gt;"",NOT(ISNUMBER(H47))),"",IF(H47&lt;TODAY(),"Past its date",IF(H47-TODAY()&lt;=Settings!$C$6,"Use soon","")))</f>
        <v/>
      </c>
      <c r="L47" s="1">
        <f>IF(K47="","",H47*1000+ROW())</f>
        <v/>
      </c>
    </row>
    <row r="48">
      <c r="A48" s="1" t="n"/>
      <c r="B48" s="20" t="n">
        <v>46097</v>
      </c>
      <c r="C48" s="21" t="inlineStr">
        <is>
          <t>Cake boxes</t>
        </is>
      </c>
      <c r="D48" s="22" t="n">
        <v>1</v>
      </c>
      <c r="E48" s="37" t="n">
        <v>11.22</v>
      </c>
      <c r="F48" s="23" t="inlineStr">
        <is>
          <t>Wholesale Foods</t>
        </is>
      </c>
      <c r="G48" s="36" t="inlineStr">
        <is>
          <t>L3244</t>
        </is>
      </c>
      <c r="H48" s="20" t="n"/>
      <c r="I48" s="36" t="inlineStr">
        <is>
          <t>x</t>
        </is>
      </c>
      <c r="J48" s="43">
        <f>IF(C48="","",N(D48)*IFERROR(N(INDEX(Ingredients!$D$6:$D$105,MATCH(C48,Ingredients!$B$6:$B$105,0))),0))</f>
        <v/>
      </c>
      <c r="K48" s="12">
        <f>IF(OR(C48="",I48&lt;&gt;"",NOT(ISNUMBER(H48))),"",IF(H48&lt;TODAY(),"Past its date",IF(H48-TODAY()&lt;=Settings!$C$6,"Use soon","")))</f>
        <v/>
      </c>
      <c r="L48" s="1">
        <f>IF(K48="","",H48*1000+ROW())</f>
        <v/>
      </c>
    </row>
    <row r="49">
      <c r="A49" s="1" t="n"/>
      <c r="B49" s="20" t="n">
        <v>46113</v>
      </c>
      <c r="C49" s="21" t="inlineStr">
        <is>
          <t>Plain flour</t>
        </is>
      </c>
      <c r="D49" s="22" t="n">
        <v>2</v>
      </c>
      <c r="E49" s="37" t="n">
        <v>4.99</v>
      </c>
      <c r="F49" s="23" t="inlineStr">
        <is>
          <t>Wholesale Foods</t>
        </is>
      </c>
      <c r="G49" s="36" t="inlineStr">
        <is>
          <t>L2415</t>
        </is>
      </c>
      <c r="H49" s="20" t="n">
        <v>46263</v>
      </c>
      <c r="I49" s="36" t="inlineStr">
        <is>
          <t>x</t>
        </is>
      </c>
      <c r="J49" s="43">
        <f>IF(C49="","",N(D49)*IFERROR(N(INDEX(Ingredients!$D$6:$D$105,MATCH(C49,Ingredients!$B$6:$B$105,0))),0))</f>
        <v/>
      </c>
      <c r="K49" s="12">
        <f>IF(OR(C49="",I49&lt;&gt;"",NOT(ISNUMBER(H49))),"",IF(H49&lt;TODAY(),"Past its date",IF(H49-TODAY()&lt;=Settings!$C$6,"Use soon","")))</f>
        <v/>
      </c>
      <c r="L49" s="1">
        <f>IF(K49="","",H49*1000+ROW())</f>
        <v/>
      </c>
    </row>
    <row r="50">
      <c r="A50" s="1" t="n"/>
      <c r="B50" s="20" t="n">
        <v>46115</v>
      </c>
      <c r="C50" s="21" t="inlineStr">
        <is>
          <t>Bread flour</t>
        </is>
      </c>
      <c r="D50" s="22" t="n">
        <v>2</v>
      </c>
      <c r="E50" s="37" t="n">
        <v>6.66</v>
      </c>
      <c r="F50" s="23" t="inlineStr">
        <is>
          <t>Wholesale Foods</t>
        </is>
      </c>
      <c r="G50" s="36" t="inlineStr">
        <is>
          <t>L2460</t>
        </is>
      </c>
      <c r="H50" s="20" t="n">
        <v>46265</v>
      </c>
      <c r="I50" s="36" t="inlineStr">
        <is>
          <t>x</t>
        </is>
      </c>
      <c r="J50" s="43">
        <f>IF(C50="","",N(D50)*IFERROR(N(INDEX(Ingredients!$D$6:$D$105,MATCH(C50,Ingredients!$B$6:$B$105,0))),0))</f>
        <v/>
      </c>
      <c r="K50" s="12">
        <f>IF(OR(C50="",I50&lt;&gt;"",NOT(ISNUMBER(H50))),"",IF(H50&lt;TODAY(),"Past its date",IF(H50-TODAY()&lt;=Settings!$C$6,"Use soon","")))</f>
        <v/>
      </c>
      <c r="L50" s="1">
        <f>IF(K50="","",H50*1000+ROW())</f>
        <v/>
      </c>
    </row>
    <row r="51">
      <c r="A51" s="1" t="n"/>
      <c r="B51" s="20" t="n">
        <v>46119</v>
      </c>
      <c r="C51" s="21" t="inlineStr">
        <is>
          <t>Caster sugar</t>
        </is>
      </c>
      <c r="D51" s="22" t="n">
        <v>4</v>
      </c>
      <c r="E51" s="37" t="n">
        <v>7.9</v>
      </c>
      <c r="F51" s="23" t="inlineStr">
        <is>
          <t>Wholesale Foods</t>
        </is>
      </c>
      <c r="G51" s="36" t="inlineStr">
        <is>
          <t>L2529</t>
        </is>
      </c>
      <c r="H51" s="20" t="n">
        <v>46269</v>
      </c>
      <c r="I51" s="36" t="inlineStr">
        <is>
          <t>x</t>
        </is>
      </c>
      <c r="J51" s="43">
        <f>IF(C51="","",N(D51)*IFERROR(N(INDEX(Ingredients!$D$6:$D$105,MATCH(C51,Ingredients!$B$6:$B$105,0))),0))</f>
        <v/>
      </c>
      <c r="K51" s="12">
        <f>IF(OR(C51="",I51&lt;&gt;"",NOT(ISNUMBER(H51))),"",IF(H51&lt;TODAY(),"Past its date",IF(H51-TODAY()&lt;=Settings!$C$6,"Use soon","")))</f>
        <v/>
      </c>
      <c r="L51" s="1">
        <f>IF(K51="","",H51*1000+ROW())</f>
        <v/>
      </c>
    </row>
    <row r="52">
      <c r="A52" s="1" t="n"/>
      <c r="B52" s="20" t="n">
        <v>46121</v>
      </c>
      <c r="C52" s="21" t="inlineStr">
        <is>
          <t>Butter</t>
        </is>
      </c>
      <c r="D52" s="22" t="n">
        <v>12</v>
      </c>
      <c r="E52" s="37" t="n">
        <v>32.45</v>
      </c>
      <c r="F52" s="23" t="inlineStr">
        <is>
          <t>Wholesale Foods</t>
        </is>
      </c>
      <c r="G52" s="36" t="inlineStr">
        <is>
          <t>L2574</t>
        </is>
      </c>
      <c r="H52" s="20" t="n">
        <v>46151</v>
      </c>
      <c r="I52" s="36" t="inlineStr">
        <is>
          <t>x</t>
        </is>
      </c>
      <c r="J52" s="43">
        <f>IF(C52="","",N(D52)*IFERROR(N(INDEX(Ingredients!$D$6:$D$105,MATCH(C52,Ingredients!$B$6:$B$105,0))),0))</f>
        <v/>
      </c>
      <c r="K52" s="12">
        <f>IF(OR(C52="",I52&lt;&gt;"",NOT(ISNUMBER(H52))),"",IF(H52&lt;TODAY(),"Past its date",IF(H52-TODAY()&lt;=Settings!$C$6,"Use soon","")))</f>
        <v/>
      </c>
      <c r="L52" s="1">
        <f>IF(K52="","",H52*1000+ROW())</f>
        <v/>
      </c>
    </row>
    <row r="53">
      <c r="A53" s="1" t="n"/>
      <c r="B53" s="20" t="n">
        <v>46123</v>
      </c>
      <c r="C53" s="21" t="inlineStr">
        <is>
          <t>Eggs</t>
        </is>
      </c>
      <c r="D53" s="22" t="n">
        <v>4</v>
      </c>
      <c r="E53" s="37" t="n">
        <v>17.47</v>
      </c>
      <c r="F53" s="23" t="inlineStr">
        <is>
          <t>Wholesale Foods</t>
        </is>
      </c>
      <c r="G53" s="36" t="inlineStr">
        <is>
          <t>L2619</t>
        </is>
      </c>
      <c r="H53" s="20" t="n">
        <v>46144</v>
      </c>
      <c r="I53" s="36" t="inlineStr">
        <is>
          <t>x</t>
        </is>
      </c>
      <c r="J53" s="43">
        <f>IF(C53="","",N(D53)*IFERROR(N(INDEX(Ingredients!$D$6:$D$105,MATCH(C53,Ingredients!$B$6:$B$105,0))),0))</f>
        <v/>
      </c>
      <c r="K53" s="12">
        <f>IF(OR(C53="",I53&lt;&gt;"",NOT(ISNUMBER(H53))),"",IF(H53&lt;TODAY(),"Past its date",IF(H53-TODAY()&lt;=Settings!$C$6,"Use soon","")))</f>
        <v/>
      </c>
      <c r="L53" s="1">
        <f>IF(K53="","",H53*1000+ROW())</f>
        <v/>
      </c>
    </row>
    <row r="54">
      <c r="A54" s="1" t="n"/>
      <c r="B54" s="20" t="n">
        <v>46125</v>
      </c>
      <c r="C54" s="21" t="inlineStr">
        <is>
          <t>Lemons</t>
        </is>
      </c>
      <c r="D54" s="22" t="n">
        <v>3</v>
      </c>
      <c r="E54" s="37" t="n">
        <v>6.24</v>
      </c>
      <c r="F54" s="23" t="inlineStr">
        <is>
          <t>Wholesale Foods</t>
        </is>
      </c>
      <c r="G54" s="36" t="inlineStr">
        <is>
          <t>L2664</t>
        </is>
      </c>
      <c r="H54" s="20" t="n">
        <v>46139</v>
      </c>
      <c r="I54" s="36" t="inlineStr">
        <is>
          <t>x</t>
        </is>
      </c>
      <c r="J54" s="43">
        <f>IF(C54="","",N(D54)*IFERROR(N(INDEX(Ingredients!$D$6:$D$105,MATCH(C54,Ingredients!$B$6:$B$105,0))),0))</f>
        <v/>
      </c>
      <c r="K54" s="12">
        <f>IF(OR(C54="",I54&lt;&gt;"",NOT(ISNUMBER(H54))),"",IF(H54&lt;TODAY(),"Past its date",IF(H54-TODAY()&lt;=Settings!$C$6,"Use soon","")))</f>
        <v/>
      </c>
      <c r="L54" s="1">
        <f>IF(K54="","",H54*1000+ROW())</f>
        <v/>
      </c>
    </row>
    <row r="55">
      <c r="A55" s="1" t="n"/>
      <c r="B55" s="20" t="n">
        <v>46127</v>
      </c>
      <c r="C55" s="21" t="inlineStr">
        <is>
          <t>Dark chocolate chips</t>
        </is>
      </c>
      <c r="D55" s="22" t="n">
        <v>3</v>
      </c>
      <c r="E55" s="37" t="n">
        <v>17.16</v>
      </c>
      <c r="F55" s="23" t="inlineStr">
        <is>
          <t>Wholesale Foods</t>
        </is>
      </c>
      <c r="G55" s="36" t="inlineStr">
        <is>
          <t>L2709</t>
        </is>
      </c>
      <c r="H55" s="20" t="n">
        <v>46277</v>
      </c>
      <c r="I55" s="36" t="inlineStr">
        <is>
          <t>x</t>
        </is>
      </c>
      <c r="J55" s="43">
        <f>IF(C55="","",N(D55)*IFERROR(N(INDEX(Ingredients!$D$6:$D$105,MATCH(C55,Ingredients!$B$6:$B$105,0))),0))</f>
        <v/>
      </c>
      <c r="K55" s="12">
        <f>IF(OR(C55="",I55&lt;&gt;"",NOT(ISNUMBER(H55))),"",IF(H55&lt;TODAY(),"Past its date",IF(H55-TODAY()&lt;=Settings!$C$6,"Use soon","")))</f>
        <v/>
      </c>
      <c r="L55" s="1">
        <f>IF(K55="","",H55*1000+ROW())</f>
        <v/>
      </c>
    </row>
    <row r="56">
      <c r="A56" s="1" t="n"/>
      <c r="B56" s="20" t="n">
        <v>46131</v>
      </c>
      <c r="C56" s="21" t="inlineStr">
        <is>
          <t>Strawberries</t>
        </is>
      </c>
      <c r="D56" s="22" t="n">
        <v>3</v>
      </c>
      <c r="E56" s="37" t="n">
        <v>18.72</v>
      </c>
      <c r="F56" s="23" t="inlineStr">
        <is>
          <t>Wholesale Foods</t>
        </is>
      </c>
      <c r="G56" s="36" t="inlineStr">
        <is>
          <t>L2778</t>
        </is>
      </c>
      <c r="H56" s="20" t="n">
        <v>46136</v>
      </c>
      <c r="I56" s="36" t="inlineStr">
        <is>
          <t>x</t>
        </is>
      </c>
      <c r="J56" s="43">
        <f>IF(C56="","",N(D56)*IFERROR(N(INDEX(Ingredients!$D$6:$D$105,MATCH(C56,Ingredients!$B$6:$B$105,0))),0))</f>
        <v/>
      </c>
      <c r="K56" s="12">
        <f>IF(OR(C56="",I56&lt;&gt;"",NOT(ISNUMBER(H56))),"",IF(H56&lt;TODAY(),"Past its date",IF(H56-TODAY()&lt;=Settings!$C$6,"Use soon","")))</f>
        <v/>
      </c>
      <c r="L56" s="1">
        <f>IF(K56="","",H56*1000+ROW())</f>
        <v/>
      </c>
    </row>
    <row r="57">
      <c r="A57" s="1" t="n"/>
      <c r="B57" s="20" t="n">
        <v>46133</v>
      </c>
      <c r="C57" s="21" t="inlineStr">
        <is>
          <t>Jam sugar</t>
        </is>
      </c>
      <c r="D57" s="22" t="n">
        <v>2</v>
      </c>
      <c r="E57" s="37" t="n">
        <v>5.2</v>
      </c>
      <c r="F57" s="23" t="inlineStr">
        <is>
          <t>Wholesale Foods</t>
        </is>
      </c>
      <c r="G57" s="36" t="inlineStr">
        <is>
          <t>L2823</t>
        </is>
      </c>
      <c r="H57" s="20" t="n">
        <v>46283</v>
      </c>
      <c r="I57" s="36" t="inlineStr">
        <is>
          <t>x</t>
        </is>
      </c>
      <c r="J57" s="43">
        <f>IF(C57="","",N(D57)*IFERROR(N(INDEX(Ingredients!$D$6:$D$105,MATCH(C57,Ingredients!$B$6:$B$105,0))),0))</f>
        <v/>
      </c>
      <c r="K57" s="12">
        <f>IF(OR(C57="",I57&lt;&gt;"",NOT(ISNUMBER(H57))),"",IF(H57&lt;TODAY(),"Past its date",IF(H57-TODAY()&lt;=Settings!$C$6,"Use soon","")))</f>
        <v/>
      </c>
      <c r="L57" s="1">
        <f>IF(K57="","",H57*1000+ROW())</f>
        <v/>
      </c>
    </row>
    <row r="58">
      <c r="A58" s="1" t="n"/>
      <c r="B58" s="20" t="n">
        <v>46135</v>
      </c>
      <c r="C58" s="21" t="inlineStr">
        <is>
          <t>Rolled oats</t>
        </is>
      </c>
      <c r="D58" s="22" t="n">
        <v>2</v>
      </c>
      <c r="E58" s="37" t="n">
        <v>4.58</v>
      </c>
      <c r="F58" s="23" t="inlineStr">
        <is>
          <t>Wholesale Foods</t>
        </is>
      </c>
      <c r="G58" s="36" t="inlineStr">
        <is>
          <t>L2868</t>
        </is>
      </c>
      <c r="H58" s="20" t="n">
        <v>46285</v>
      </c>
      <c r="I58" s="36" t="inlineStr">
        <is>
          <t>x</t>
        </is>
      </c>
      <c r="J58" s="43">
        <f>IF(C58="","",N(D58)*IFERROR(N(INDEX(Ingredients!$D$6:$D$105,MATCH(C58,Ingredients!$B$6:$B$105,0))),0))</f>
        <v/>
      </c>
      <c r="K58" s="12">
        <f>IF(OR(C58="",I58&lt;&gt;"",NOT(ISNUMBER(H58))),"",IF(H58&lt;TODAY(),"Past its date",IF(H58-TODAY()&lt;=Settings!$C$6,"Use soon","")))</f>
        <v/>
      </c>
      <c r="L58" s="1">
        <f>IF(K58="","",H58*1000+ROW())</f>
        <v/>
      </c>
    </row>
    <row r="59">
      <c r="A59" s="1" t="n"/>
      <c r="B59" s="20" t="n">
        <v>46137</v>
      </c>
      <c r="C59" s="21" t="inlineStr">
        <is>
          <t>Honey</t>
        </is>
      </c>
      <c r="D59" s="22" t="n">
        <v>2</v>
      </c>
      <c r="E59" s="37" t="n">
        <v>9.359999999999999</v>
      </c>
      <c r="F59" s="23" t="inlineStr">
        <is>
          <t>Wholesale Foods</t>
        </is>
      </c>
      <c r="G59" s="36" t="inlineStr">
        <is>
          <t>L2913</t>
        </is>
      </c>
      <c r="H59" s="20" t="n">
        <v>46287</v>
      </c>
      <c r="I59" s="36" t="inlineStr">
        <is>
          <t>x</t>
        </is>
      </c>
      <c r="J59" s="43">
        <f>IF(C59="","",N(D59)*IFERROR(N(INDEX(Ingredients!$D$6:$D$105,MATCH(C59,Ingredients!$B$6:$B$105,0))),0))</f>
        <v/>
      </c>
      <c r="K59" s="12">
        <f>IF(OR(C59="",I59&lt;&gt;"",NOT(ISNUMBER(H59))),"",IF(H59&lt;TODAY(),"Past its date",IF(H59-TODAY()&lt;=Settings!$C$6,"Use soon","")))</f>
        <v/>
      </c>
      <c r="L59" s="1">
        <f>IF(K59="","",H59*1000+ROW())</f>
        <v/>
      </c>
    </row>
    <row r="60">
      <c r="A60" s="1" t="n"/>
      <c r="B60" s="20" t="n">
        <v>46139</v>
      </c>
      <c r="C60" s="21" t="inlineStr">
        <is>
          <t>Almonds</t>
        </is>
      </c>
      <c r="D60" s="22" t="n">
        <v>2</v>
      </c>
      <c r="E60" s="37" t="n">
        <v>7.49</v>
      </c>
      <c r="F60" s="23" t="inlineStr">
        <is>
          <t>Wholesale Foods</t>
        </is>
      </c>
      <c r="G60" s="36" t="inlineStr">
        <is>
          <t>L2958</t>
        </is>
      </c>
      <c r="H60" s="20" t="n">
        <v>46289</v>
      </c>
      <c r="I60" s="36" t="inlineStr">
        <is>
          <t>x</t>
        </is>
      </c>
      <c r="J60" s="43">
        <f>IF(C60="","",N(D60)*IFERROR(N(INDEX(Ingredients!$D$6:$D$105,MATCH(C60,Ingredients!$B$6:$B$105,0))),0))</f>
        <v/>
      </c>
      <c r="K60" s="12">
        <f>IF(OR(C60="",I60&lt;&gt;"",NOT(ISNUMBER(H60))),"",IF(H60&lt;TODAY(),"Past its date",IF(H60-TODAY()&lt;=Settings!$C$6,"Use soon","")))</f>
        <v/>
      </c>
      <c r="L60" s="1">
        <f>IF(K60="","",H60*1000+ROW())</f>
        <v/>
      </c>
    </row>
    <row r="61">
      <c r="A61" s="1" t="n"/>
      <c r="B61" s="20" t="n">
        <v>46141</v>
      </c>
      <c r="C61" s="21" t="inlineStr">
        <is>
          <t>Cinnamon</t>
        </is>
      </c>
      <c r="D61" s="22" t="n">
        <v>1</v>
      </c>
      <c r="E61" s="37" t="n">
        <v>2.18</v>
      </c>
      <c r="F61" s="23" t="inlineStr">
        <is>
          <t>Wholesale Foods</t>
        </is>
      </c>
      <c r="G61" s="36" t="inlineStr">
        <is>
          <t>L3003</t>
        </is>
      </c>
      <c r="H61" s="20" t="n">
        <v>46291</v>
      </c>
      <c r="I61" s="36" t="inlineStr">
        <is>
          <t>x</t>
        </is>
      </c>
      <c r="J61" s="43">
        <f>IF(C61="","",N(D61)*IFERROR(N(INDEX(Ingredients!$D$6:$D$105,MATCH(C61,Ingredients!$B$6:$B$105,0))),0))</f>
        <v/>
      </c>
      <c r="K61" s="12">
        <f>IF(OR(C61="",I61&lt;&gt;"",NOT(ISNUMBER(H61))),"",IF(H61&lt;TODAY(),"Past its date",IF(H61-TODAY()&lt;=Settings!$C$6,"Use soon","")))</f>
        <v/>
      </c>
      <c r="L61" s="1">
        <f>IF(K61="","",H61*1000+ROW())</f>
        <v/>
      </c>
    </row>
    <row r="62">
      <c r="A62" s="1" t="n"/>
      <c r="B62" s="20" t="n">
        <v>46143</v>
      </c>
      <c r="C62" s="21" t="inlineStr">
        <is>
          <t>Milk</t>
        </is>
      </c>
      <c r="D62" s="22" t="n">
        <v>1</v>
      </c>
      <c r="E62" s="37" t="n">
        <v>1.14</v>
      </c>
      <c r="F62" s="23" t="inlineStr">
        <is>
          <t>Wholesale Foods</t>
        </is>
      </c>
      <c r="G62" s="36" t="inlineStr">
        <is>
          <t>L3048</t>
        </is>
      </c>
      <c r="H62" s="20" t="n">
        <v>46150</v>
      </c>
      <c r="I62" s="36" t="inlineStr">
        <is>
          <t>x</t>
        </is>
      </c>
      <c r="J62" s="43">
        <f>IF(C62="","",N(D62)*IFERROR(N(INDEX(Ingredients!$D$6:$D$105,MATCH(C62,Ingredients!$B$6:$B$105,0))),0))</f>
        <v/>
      </c>
      <c r="K62" s="12">
        <f>IF(OR(C62="",I62&lt;&gt;"",NOT(ISNUMBER(H62))),"",IF(H62&lt;TODAY(),"Past its date",IF(H62-TODAY()&lt;=Settings!$C$6,"Use soon","")))</f>
        <v/>
      </c>
      <c r="L62" s="1">
        <f>IF(K62="","",H62*1000+ROW())</f>
        <v/>
      </c>
    </row>
    <row r="63">
      <c r="A63" s="1" t="n"/>
      <c r="B63" s="20" t="n">
        <v>46147</v>
      </c>
      <c r="C63" s="21" t="inlineStr">
        <is>
          <t>Peanut butter</t>
        </is>
      </c>
      <c r="D63" s="22" t="n">
        <v>1</v>
      </c>
      <c r="E63" s="37" t="n">
        <v>3.33</v>
      </c>
      <c r="F63" s="23" t="inlineStr">
        <is>
          <t>Wholesale Foods</t>
        </is>
      </c>
      <c r="G63" s="36" t="inlineStr">
        <is>
          <t>L3100</t>
        </is>
      </c>
      <c r="H63" s="20" t="n">
        <v>46297</v>
      </c>
      <c r="I63" s="36" t="inlineStr">
        <is>
          <t>x</t>
        </is>
      </c>
      <c r="J63" s="43">
        <f>IF(C63="","",N(D63)*IFERROR(N(INDEX(Ingredients!$D$6:$D$105,MATCH(C63,Ingredients!$B$6:$B$105,0))),0))</f>
        <v/>
      </c>
      <c r="K63" s="12">
        <f>IF(OR(C63="",I63&lt;&gt;"",NOT(ISNUMBER(H63))),"",IF(H63&lt;TODAY(),"Past its date",IF(H63-TODAY()&lt;=Settings!$C$6,"Use soon","")))</f>
        <v/>
      </c>
      <c r="L63" s="1">
        <f>IF(K63="","",H63*1000+ROW())</f>
        <v/>
      </c>
    </row>
    <row r="64">
      <c r="A64" s="1" t="n"/>
      <c r="B64" s="20" t="n">
        <v>46153</v>
      </c>
      <c r="C64" s="21" t="inlineStr">
        <is>
          <t>Jars and lids</t>
        </is>
      </c>
      <c r="D64" s="22" t="n">
        <v>1</v>
      </c>
      <c r="E64" s="37" t="n">
        <v>9.359999999999999</v>
      </c>
      <c r="F64" s="23" t="inlineStr">
        <is>
          <t>Wholesale Foods</t>
        </is>
      </c>
      <c r="G64" s="36" t="inlineStr">
        <is>
          <t>L3173</t>
        </is>
      </c>
      <c r="H64" s="20" t="n"/>
      <c r="I64" s="36" t="inlineStr">
        <is>
          <t>x</t>
        </is>
      </c>
      <c r="J64" s="43">
        <f>IF(C64="","",N(D64)*IFERROR(N(INDEX(Ingredients!$D$6:$D$105,MATCH(C64,Ingredients!$B$6:$B$105,0))),0))</f>
        <v/>
      </c>
      <c r="K64" s="12">
        <f>IF(OR(C64="",I64&lt;&gt;"",NOT(ISNUMBER(H64))),"",IF(H64&lt;TODAY(),"Past its date",IF(H64-TODAY()&lt;=Settings!$C$6,"Use soon","")))</f>
        <v/>
      </c>
      <c r="L64" s="1">
        <f>IF(K64="","",H64*1000+ROW())</f>
        <v/>
      </c>
    </row>
    <row r="65">
      <c r="A65" s="1" t="n"/>
      <c r="B65" s="20" t="n">
        <v>46155</v>
      </c>
      <c r="C65" s="21" t="inlineStr">
        <is>
          <t>Cookie bags</t>
        </is>
      </c>
      <c r="D65" s="22" t="n">
        <v>1</v>
      </c>
      <c r="E65" s="37" t="n">
        <v>6.24</v>
      </c>
      <c r="F65" s="23" t="inlineStr">
        <is>
          <t>Wholesale Foods</t>
        </is>
      </c>
      <c r="G65" s="36" t="inlineStr">
        <is>
          <t>L3218</t>
        </is>
      </c>
      <c r="H65" s="20" t="n"/>
      <c r="I65" s="36" t="inlineStr">
        <is>
          <t>x</t>
        </is>
      </c>
      <c r="J65" s="43">
        <f>IF(C65="","",N(D65)*IFERROR(N(INDEX(Ingredients!$D$6:$D$105,MATCH(C65,Ingredients!$B$6:$B$105,0))),0))</f>
        <v/>
      </c>
      <c r="K65" s="12">
        <f>IF(OR(C65="",I65&lt;&gt;"",NOT(ISNUMBER(H65))),"",IF(H65&lt;TODAY(),"Past its date",IF(H65-TODAY()&lt;=Settings!$C$6,"Use soon","")))</f>
        <v/>
      </c>
      <c r="L65" s="1">
        <f>IF(K65="","",H65*1000+ROW())</f>
        <v/>
      </c>
    </row>
    <row r="66">
      <c r="A66" s="1" t="n"/>
      <c r="B66" s="20" t="n">
        <v>46173</v>
      </c>
      <c r="C66" s="21" t="inlineStr">
        <is>
          <t>Plain flour</t>
        </is>
      </c>
      <c r="D66" s="22" t="n">
        <v>2</v>
      </c>
      <c r="E66" s="37" t="n">
        <v>5.09</v>
      </c>
      <c r="F66" s="23" t="inlineStr">
        <is>
          <t>Wholesale Foods</t>
        </is>
      </c>
      <c r="G66" s="36" t="inlineStr">
        <is>
          <t>L2424</t>
        </is>
      </c>
      <c r="H66" s="20" t="n">
        <v>46323</v>
      </c>
      <c r="I66" s="36" t="inlineStr">
        <is>
          <t>x</t>
        </is>
      </c>
      <c r="J66" s="43">
        <f>IF(C66="","",N(D66)*IFERROR(N(INDEX(Ingredients!$D$6:$D$105,MATCH(C66,Ingredients!$B$6:$B$105,0))),0))</f>
        <v/>
      </c>
      <c r="K66" s="12">
        <f>IF(OR(C66="",I66&lt;&gt;"",NOT(ISNUMBER(H66))),"",IF(H66&lt;TODAY(),"Past its date",IF(H66-TODAY()&lt;=Settings!$C$6,"Use soon","")))</f>
        <v/>
      </c>
      <c r="L66" s="1">
        <f>IF(K66="","",H66*1000+ROW())</f>
        <v/>
      </c>
    </row>
    <row r="67">
      <c r="A67" s="1" t="n"/>
      <c r="B67" s="20" t="n">
        <v>46175</v>
      </c>
      <c r="C67" s="21" t="inlineStr">
        <is>
          <t>Bread flour</t>
        </is>
      </c>
      <c r="D67" s="22" t="n">
        <v>2</v>
      </c>
      <c r="E67" s="37" t="n">
        <v>6.78</v>
      </c>
      <c r="F67" s="23" t="inlineStr">
        <is>
          <t>Wholesale Foods</t>
        </is>
      </c>
      <c r="G67" s="36" t="inlineStr">
        <is>
          <t>L2469</t>
        </is>
      </c>
      <c r="H67" s="20" t="n">
        <v>46325</v>
      </c>
      <c r="I67" s="36" t="inlineStr">
        <is>
          <t>x</t>
        </is>
      </c>
      <c r="J67" s="43">
        <f>IF(C67="","",N(D67)*IFERROR(N(INDEX(Ingredients!$D$6:$D$105,MATCH(C67,Ingredients!$B$6:$B$105,0))),0))</f>
        <v/>
      </c>
      <c r="K67" s="12">
        <f>IF(OR(C67="",I67&lt;&gt;"",NOT(ISNUMBER(H67))),"",IF(H67&lt;TODAY(),"Past its date",IF(H67-TODAY()&lt;=Settings!$C$6,"Use soon","")))</f>
        <v/>
      </c>
      <c r="L67" s="1">
        <f>IF(K67="","",H67*1000+ROW())</f>
        <v/>
      </c>
    </row>
    <row r="68">
      <c r="A68" s="1" t="n"/>
      <c r="B68" s="20" t="n">
        <v>46179</v>
      </c>
      <c r="C68" s="21" t="inlineStr">
        <is>
          <t>Caster sugar</t>
        </is>
      </c>
      <c r="D68" s="22" t="n">
        <v>3</v>
      </c>
      <c r="E68" s="37" t="n">
        <v>6.04</v>
      </c>
      <c r="F68" s="23" t="inlineStr">
        <is>
          <t>Wholesale Foods</t>
        </is>
      </c>
      <c r="G68" s="36" t="inlineStr">
        <is>
          <t>L2538</t>
        </is>
      </c>
      <c r="H68" s="20" t="n">
        <v>46329</v>
      </c>
      <c r="I68" s="36" t="inlineStr">
        <is>
          <t>x</t>
        </is>
      </c>
      <c r="J68" s="43">
        <f>IF(C68="","",N(D68)*IFERROR(N(INDEX(Ingredients!$D$6:$D$105,MATCH(C68,Ingredients!$B$6:$B$105,0))),0))</f>
        <v/>
      </c>
      <c r="K68" s="12">
        <f>IF(OR(C68="",I68&lt;&gt;"",NOT(ISNUMBER(H68))),"",IF(H68&lt;TODAY(),"Past its date",IF(H68-TODAY()&lt;=Settings!$C$6,"Use soon","")))</f>
        <v/>
      </c>
      <c r="L68" s="1">
        <f>IF(K68="","",H68*1000+ROW())</f>
        <v/>
      </c>
    </row>
    <row r="69">
      <c r="A69" s="1" t="n"/>
      <c r="B69" s="20" t="n">
        <v>46181</v>
      </c>
      <c r="C69" s="21" t="inlineStr">
        <is>
          <t>Butter</t>
        </is>
      </c>
      <c r="D69" s="22" t="n">
        <v>12</v>
      </c>
      <c r="E69" s="37" t="n">
        <v>33.07</v>
      </c>
      <c r="F69" s="23" t="inlineStr">
        <is>
          <t>Wholesale Foods</t>
        </is>
      </c>
      <c r="G69" s="36" t="inlineStr">
        <is>
          <t>L2583</t>
        </is>
      </c>
      <c r="H69" s="20" t="n">
        <v>46211</v>
      </c>
      <c r="I69" s="36" t="inlineStr">
        <is>
          <t>x</t>
        </is>
      </c>
      <c r="J69" s="43">
        <f>IF(C69="","",N(D69)*IFERROR(N(INDEX(Ingredients!$D$6:$D$105,MATCH(C69,Ingredients!$B$6:$B$105,0))),0))</f>
        <v/>
      </c>
      <c r="K69" s="12">
        <f>IF(OR(C69="",I69&lt;&gt;"",NOT(ISNUMBER(H69))),"",IF(H69&lt;TODAY(),"Past its date",IF(H69-TODAY()&lt;=Settings!$C$6,"Use soon","")))</f>
        <v/>
      </c>
      <c r="L69" s="1">
        <f>IF(K69="","",H69*1000+ROW())</f>
        <v/>
      </c>
    </row>
    <row r="70">
      <c r="A70" s="1" t="n"/>
      <c r="B70" s="20" t="n">
        <v>46183</v>
      </c>
      <c r="C70" s="21" t="inlineStr">
        <is>
          <t>Eggs</t>
        </is>
      </c>
      <c r="D70" s="22" t="n">
        <v>4</v>
      </c>
      <c r="E70" s="37" t="n">
        <v>17.81</v>
      </c>
      <c r="F70" s="23" t="inlineStr">
        <is>
          <t>Wholesale Foods</t>
        </is>
      </c>
      <c r="G70" s="36" t="inlineStr">
        <is>
          <t>L2628</t>
        </is>
      </c>
      <c r="H70" s="20" t="n">
        <v>46204</v>
      </c>
      <c r="I70" s="36" t="inlineStr">
        <is>
          <t>x</t>
        </is>
      </c>
      <c r="J70" s="43">
        <f>IF(C70="","",N(D70)*IFERROR(N(INDEX(Ingredients!$D$6:$D$105,MATCH(C70,Ingredients!$B$6:$B$105,0))),0))</f>
        <v/>
      </c>
      <c r="K70" s="12">
        <f>IF(OR(C70="",I70&lt;&gt;"",NOT(ISNUMBER(H70))),"",IF(H70&lt;TODAY(),"Past its date",IF(H70-TODAY()&lt;=Settings!$C$6,"Use soon","")))</f>
        <v/>
      </c>
      <c r="L70" s="1">
        <f>IF(K70="","",H70*1000+ROW())</f>
        <v/>
      </c>
    </row>
    <row r="71">
      <c r="A71" s="1" t="n"/>
      <c r="B71" s="20" t="n">
        <v>46185</v>
      </c>
      <c r="C71" s="21" t="inlineStr">
        <is>
          <t>Lemons</t>
        </is>
      </c>
      <c r="D71" s="22" t="n">
        <v>3</v>
      </c>
      <c r="E71" s="37" t="n">
        <v>6.36</v>
      </c>
      <c r="F71" s="23" t="inlineStr">
        <is>
          <t>Wholesale Foods</t>
        </is>
      </c>
      <c r="G71" s="36" t="inlineStr">
        <is>
          <t>L2673</t>
        </is>
      </c>
      <c r="H71" s="20" t="n">
        <v>46199</v>
      </c>
      <c r="I71" s="36" t="inlineStr">
        <is>
          <t>x</t>
        </is>
      </c>
      <c r="J71" s="43">
        <f>IF(C71="","",N(D71)*IFERROR(N(INDEX(Ingredients!$D$6:$D$105,MATCH(C71,Ingredients!$B$6:$B$105,0))),0))</f>
        <v/>
      </c>
      <c r="K71" s="12">
        <f>IF(OR(C71="",I71&lt;&gt;"",NOT(ISNUMBER(H71))),"",IF(H71&lt;TODAY(),"Past its date",IF(H71-TODAY()&lt;=Settings!$C$6,"Use soon","")))</f>
        <v/>
      </c>
      <c r="L71" s="1">
        <f>IF(K71="","",H71*1000+ROW())</f>
        <v/>
      </c>
    </row>
    <row r="72">
      <c r="A72" s="1" t="n"/>
      <c r="B72" s="20" t="n">
        <v>46187</v>
      </c>
      <c r="C72" s="21" t="inlineStr">
        <is>
          <t>Dark chocolate chips</t>
        </is>
      </c>
      <c r="D72" s="22" t="n">
        <v>3</v>
      </c>
      <c r="E72" s="37" t="n">
        <v>17.49</v>
      </c>
      <c r="F72" s="23" t="inlineStr">
        <is>
          <t>Wholesale Foods</t>
        </is>
      </c>
      <c r="G72" s="36" t="inlineStr">
        <is>
          <t>L2718</t>
        </is>
      </c>
      <c r="H72" s="20" t="n">
        <v>46337</v>
      </c>
      <c r="I72" s="36" t="inlineStr">
        <is>
          <t>x</t>
        </is>
      </c>
      <c r="J72" s="43">
        <f>IF(C72="","",N(D72)*IFERROR(N(INDEX(Ingredients!$D$6:$D$105,MATCH(C72,Ingredients!$B$6:$B$105,0))),0))</f>
        <v/>
      </c>
      <c r="K72" s="12">
        <f>IF(OR(C72="",I72&lt;&gt;"",NOT(ISNUMBER(H72))),"",IF(H72&lt;TODAY(),"Past its date",IF(H72-TODAY()&lt;=Settings!$C$6,"Use soon","")))</f>
        <v/>
      </c>
      <c r="L72" s="1">
        <f>IF(K72="","",H72*1000+ROW())</f>
        <v/>
      </c>
    </row>
    <row r="73">
      <c r="A73" s="1" t="n"/>
      <c r="B73" s="20" t="n">
        <v>46191</v>
      </c>
      <c r="C73" s="21" t="inlineStr">
        <is>
          <t>Strawberries</t>
        </is>
      </c>
      <c r="D73" s="22" t="n">
        <v>2</v>
      </c>
      <c r="E73" s="37" t="n">
        <v>12.72</v>
      </c>
      <c r="F73" s="23" t="inlineStr">
        <is>
          <t>Wholesale Foods</t>
        </is>
      </c>
      <c r="G73" s="36" t="inlineStr">
        <is>
          <t>L2787</t>
        </is>
      </c>
      <c r="H73" s="20" t="n">
        <v>46196</v>
      </c>
      <c r="I73" s="36" t="inlineStr">
        <is>
          <t>x</t>
        </is>
      </c>
      <c r="J73" s="43">
        <f>IF(C73="","",N(D73)*IFERROR(N(INDEX(Ingredients!$D$6:$D$105,MATCH(C73,Ingredients!$B$6:$B$105,0))),0))</f>
        <v/>
      </c>
      <c r="K73" s="12">
        <f>IF(OR(C73="",I73&lt;&gt;"",NOT(ISNUMBER(H73))),"",IF(H73&lt;TODAY(),"Past its date",IF(H73-TODAY()&lt;=Settings!$C$6,"Use soon","")))</f>
        <v/>
      </c>
      <c r="L73" s="1">
        <f>IF(K73="","",H73*1000+ROW())</f>
        <v/>
      </c>
    </row>
    <row r="74">
      <c r="A74" s="1" t="n"/>
      <c r="B74" s="20" t="n">
        <v>46193</v>
      </c>
      <c r="C74" s="21" t="inlineStr">
        <is>
          <t>Jam sugar</t>
        </is>
      </c>
      <c r="D74" s="22" t="n">
        <v>2</v>
      </c>
      <c r="E74" s="37" t="n">
        <v>5.3</v>
      </c>
      <c r="F74" s="23" t="inlineStr">
        <is>
          <t>Wholesale Foods</t>
        </is>
      </c>
      <c r="G74" s="36" t="inlineStr">
        <is>
          <t>L2832</t>
        </is>
      </c>
      <c r="H74" s="20" t="n">
        <v>46343</v>
      </c>
      <c r="I74" s="36" t="inlineStr">
        <is>
          <t>x</t>
        </is>
      </c>
      <c r="J74" s="43">
        <f>IF(C74="","",N(D74)*IFERROR(N(INDEX(Ingredients!$D$6:$D$105,MATCH(C74,Ingredients!$B$6:$B$105,0))),0))</f>
        <v/>
      </c>
      <c r="K74" s="12">
        <f>IF(OR(C74="",I74&lt;&gt;"",NOT(ISNUMBER(H74))),"",IF(H74&lt;TODAY(),"Past its date",IF(H74-TODAY()&lt;=Settings!$C$6,"Use soon","")))</f>
        <v/>
      </c>
      <c r="L74" s="1">
        <f>IF(K74="","",H74*1000+ROW())</f>
        <v/>
      </c>
    </row>
    <row r="75">
      <c r="A75" s="1" t="n"/>
      <c r="B75" s="20" t="n">
        <v>46195</v>
      </c>
      <c r="C75" s="21" t="inlineStr">
        <is>
          <t>Rolled oats</t>
        </is>
      </c>
      <c r="D75" s="22" t="n">
        <v>2</v>
      </c>
      <c r="E75" s="37" t="n">
        <v>4.66</v>
      </c>
      <c r="F75" s="23" t="inlineStr">
        <is>
          <t>Wholesale Foods</t>
        </is>
      </c>
      <c r="G75" s="36" t="inlineStr">
        <is>
          <t>L2877</t>
        </is>
      </c>
      <c r="H75" s="20" t="n">
        <v>46345</v>
      </c>
      <c r="I75" s="36" t="inlineStr">
        <is>
          <t>x</t>
        </is>
      </c>
      <c r="J75" s="43">
        <f>IF(C75="","",N(D75)*IFERROR(N(INDEX(Ingredients!$D$6:$D$105,MATCH(C75,Ingredients!$B$6:$B$105,0))),0))</f>
        <v/>
      </c>
      <c r="K75" s="12">
        <f>IF(OR(C75="",I75&lt;&gt;"",NOT(ISNUMBER(H75))),"",IF(H75&lt;TODAY(),"Past its date",IF(H75-TODAY()&lt;=Settings!$C$6,"Use soon","")))</f>
        <v/>
      </c>
      <c r="L75" s="1">
        <f>IF(K75="","",H75*1000+ROW())</f>
        <v/>
      </c>
    </row>
    <row r="76">
      <c r="A76" s="1" t="n"/>
      <c r="B76" s="20" t="n">
        <v>46197</v>
      </c>
      <c r="C76" s="21" t="inlineStr">
        <is>
          <t>Honey</t>
        </is>
      </c>
      <c r="D76" s="22" t="n">
        <v>2</v>
      </c>
      <c r="E76" s="37" t="n">
        <v>9.539999999999999</v>
      </c>
      <c r="F76" s="23" t="inlineStr">
        <is>
          <t>Wholesale Foods</t>
        </is>
      </c>
      <c r="G76" s="36" t="inlineStr">
        <is>
          <t>L2922</t>
        </is>
      </c>
      <c r="H76" s="20" t="n">
        <v>46347</v>
      </c>
      <c r="I76" s="36" t="inlineStr">
        <is>
          <t>x</t>
        </is>
      </c>
      <c r="J76" s="43">
        <f>IF(C76="","",N(D76)*IFERROR(N(INDEX(Ingredients!$D$6:$D$105,MATCH(C76,Ingredients!$B$6:$B$105,0))),0))</f>
        <v/>
      </c>
      <c r="K76" s="12">
        <f>IF(OR(C76="",I76&lt;&gt;"",NOT(ISNUMBER(H76))),"",IF(H76&lt;TODAY(),"Past its date",IF(H76-TODAY()&lt;=Settings!$C$6,"Use soon","")))</f>
        <v/>
      </c>
      <c r="L76" s="1">
        <f>IF(K76="","",H76*1000+ROW())</f>
        <v/>
      </c>
    </row>
    <row r="77">
      <c r="A77" s="1" t="n"/>
      <c r="B77" s="20" t="n">
        <v>46199</v>
      </c>
      <c r="C77" s="21" t="inlineStr">
        <is>
          <t>Almonds</t>
        </is>
      </c>
      <c r="D77" s="22" t="n">
        <v>2</v>
      </c>
      <c r="E77" s="37" t="n">
        <v>7.63</v>
      </c>
      <c r="F77" s="23" t="inlineStr">
        <is>
          <t>Wholesale Foods</t>
        </is>
      </c>
      <c r="G77" s="36" t="inlineStr">
        <is>
          <t>L2967</t>
        </is>
      </c>
      <c r="H77" s="20" t="n">
        <v>46349</v>
      </c>
      <c r="I77" s="36" t="inlineStr">
        <is>
          <t>x</t>
        </is>
      </c>
      <c r="J77" s="43">
        <f>IF(C77="","",N(D77)*IFERROR(N(INDEX(Ingredients!$D$6:$D$105,MATCH(C77,Ingredients!$B$6:$B$105,0))),0))</f>
        <v/>
      </c>
      <c r="K77" s="12">
        <f>IF(OR(C77="",I77&lt;&gt;"",NOT(ISNUMBER(H77))),"",IF(H77&lt;TODAY(),"Past its date",IF(H77-TODAY()&lt;=Settings!$C$6,"Use soon","")))</f>
        <v/>
      </c>
      <c r="L77" s="1">
        <f>IF(K77="","",H77*1000+ROW())</f>
        <v/>
      </c>
    </row>
    <row r="78">
      <c r="A78" s="1" t="n"/>
      <c r="B78" s="20" t="n">
        <v>46201</v>
      </c>
      <c r="C78" s="21" t="inlineStr">
        <is>
          <t>Cinnamon</t>
        </is>
      </c>
      <c r="D78" s="22" t="n">
        <v>1</v>
      </c>
      <c r="E78" s="37" t="n">
        <v>2.23</v>
      </c>
      <c r="F78" s="23" t="inlineStr">
        <is>
          <t>Wholesale Foods</t>
        </is>
      </c>
      <c r="G78" s="36" t="inlineStr">
        <is>
          <t>L3012</t>
        </is>
      </c>
      <c r="H78" s="20" t="n">
        <v>46351</v>
      </c>
      <c r="I78" s="36" t="inlineStr">
        <is>
          <t>x</t>
        </is>
      </c>
      <c r="J78" s="43">
        <f>IF(C78="","",N(D78)*IFERROR(N(INDEX(Ingredients!$D$6:$D$105,MATCH(C78,Ingredients!$B$6:$B$105,0))),0))</f>
        <v/>
      </c>
      <c r="K78" s="12">
        <f>IF(OR(C78="",I78&lt;&gt;"",NOT(ISNUMBER(H78))),"",IF(H78&lt;TODAY(),"Past its date",IF(H78-TODAY()&lt;=Settings!$C$6,"Use soon","")))</f>
        <v/>
      </c>
      <c r="L78" s="1">
        <f>IF(K78="","",H78*1000+ROW())</f>
        <v/>
      </c>
    </row>
    <row r="79">
      <c r="A79" s="1" t="n"/>
      <c r="B79" s="20" t="n">
        <v>46203</v>
      </c>
      <c r="C79" s="21" t="inlineStr">
        <is>
          <t>Milk</t>
        </is>
      </c>
      <c r="D79" s="22" t="n">
        <v>1</v>
      </c>
      <c r="E79" s="37" t="n">
        <v>1.17</v>
      </c>
      <c r="F79" s="23" t="inlineStr">
        <is>
          <t>Wholesale Foods</t>
        </is>
      </c>
      <c r="G79" s="36" t="inlineStr">
        <is>
          <t>L3057</t>
        </is>
      </c>
      <c r="H79" s="20" t="n">
        <v>46210</v>
      </c>
      <c r="I79" s="36" t="inlineStr">
        <is>
          <t>x</t>
        </is>
      </c>
      <c r="J79" s="43">
        <f>IF(C79="","",N(D79)*IFERROR(N(INDEX(Ingredients!$D$6:$D$105,MATCH(C79,Ingredients!$B$6:$B$105,0))),0))</f>
        <v/>
      </c>
      <c r="K79" s="12">
        <f>IF(OR(C79="",I79&lt;&gt;"",NOT(ISNUMBER(H79))),"",IF(H79&lt;TODAY(),"Past its date",IF(H79-TODAY()&lt;=Settings!$C$6,"Use soon","")))</f>
        <v/>
      </c>
      <c r="L79" s="1">
        <f>IF(K79="","",H79*1000+ROW())</f>
        <v/>
      </c>
    </row>
    <row r="80">
      <c r="A80" s="1" t="n"/>
      <c r="B80" s="20" t="n">
        <v>46213</v>
      </c>
      <c r="C80" s="21" t="inlineStr">
        <is>
          <t>Jars and lids</t>
        </is>
      </c>
      <c r="D80" s="22" t="n">
        <v>1</v>
      </c>
      <c r="E80" s="37" t="n">
        <v>9.539999999999999</v>
      </c>
      <c r="F80" s="23" t="inlineStr">
        <is>
          <t>Wholesale Foods</t>
        </is>
      </c>
      <c r="G80" s="36" t="inlineStr">
        <is>
          <t>L3182</t>
        </is>
      </c>
      <c r="H80" s="20" t="n"/>
      <c r="I80" s="36" t="inlineStr">
        <is>
          <t>x</t>
        </is>
      </c>
      <c r="J80" s="43">
        <f>IF(C80="","",N(D80)*IFERROR(N(INDEX(Ingredients!$D$6:$D$105,MATCH(C80,Ingredients!$B$6:$B$105,0))),0))</f>
        <v/>
      </c>
      <c r="K80" s="12">
        <f>IF(OR(C80="",I80&lt;&gt;"",NOT(ISNUMBER(H80))),"",IF(H80&lt;TODAY(),"Past its date",IF(H80-TODAY()&lt;=Settings!$C$6,"Use soon","")))</f>
        <v/>
      </c>
      <c r="L80" s="1">
        <f>IF(K80="","",H80*1000+ROW())</f>
        <v/>
      </c>
    </row>
    <row r="81">
      <c r="A81" s="1" t="n"/>
      <c r="B81" s="20" t="n">
        <v>46252</v>
      </c>
      <c r="C81" s="21" t="inlineStr">
        <is>
          <t>Strawberries</t>
        </is>
      </c>
      <c r="D81" s="22" t="n">
        <v>2</v>
      </c>
      <c r="E81" s="37" t="n">
        <v>12.96</v>
      </c>
      <c r="F81" s="23" t="inlineStr">
        <is>
          <t>Corner Market</t>
        </is>
      </c>
      <c r="G81" s="36" t="inlineStr">
        <is>
          <t>L2797</t>
        </is>
      </c>
      <c r="H81" s="20" t="n">
        <v>46257</v>
      </c>
      <c r="I81" s="36" t="inlineStr">
        <is>
          <t>x</t>
        </is>
      </c>
      <c r="J81" s="43">
        <f>IF(C81="","",N(D81)*IFERROR(N(INDEX(Ingredients!$D$6:$D$105,MATCH(C81,Ingredients!$B$6:$B$105,0))),0))</f>
        <v/>
      </c>
      <c r="K81" s="12">
        <f>IF(OR(C81="",I81&lt;&gt;"",NOT(ISNUMBER(H81))),"",IF(H81&lt;TODAY(),"Past its date",IF(H81-TODAY()&lt;=Settings!$C$6,"Use soon","")))</f>
        <v/>
      </c>
      <c r="L81" s="1">
        <f>IF(K81="","",H81*1000+ROW())</f>
        <v/>
      </c>
    </row>
    <row r="82">
      <c r="A82" s="1" t="n"/>
      <c r="B82" s="20" t="n">
        <v>46268</v>
      </c>
      <c r="C82" s="21" t="inlineStr">
        <is>
          <t>Plain flour</t>
        </is>
      </c>
      <c r="D82" s="22" t="n">
        <v>1</v>
      </c>
      <c r="E82" s="37" t="n">
        <v>2.59</v>
      </c>
      <c r="F82" s="23" t="inlineStr">
        <is>
          <t>Corner Market</t>
        </is>
      </c>
      <c r="G82" s="36" t="inlineStr">
        <is>
          <t>L2434</t>
        </is>
      </c>
      <c r="H82" s="20" t="n">
        <v>46493</v>
      </c>
      <c r="I82" s="36" t="n"/>
      <c r="J82" s="43">
        <f>IF(C82="","",N(D82)*IFERROR(N(INDEX(Ingredients!$D$6:$D$105,MATCH(C82,Ingredients!$B$6:$B$105,0))),0))</f>
        <v/>
      </c>
      <c r="K82" s="12">
        <f>IF(OR(C82="",I82&lt;&gt;"",NOT(ISNUMBER(H82))),"",IF(H82&lt;TODAY(),"Past its date",IF(H82-TODAY()&lt;=Settings!$C$6,"Use soon","")))</f>
        <v/>
      </c>
      <c r="L82" s="1">
        <f>IF(K82="","",H82*1000+ROW())</f>
        <v/>
      </c>
    </row>
    <row r="83">
      <c r="A83" s="1" t="n"/>
      <c r="B83" s="20" t="n">
        <v>46269</v>
      </c>
      <c r="C83" s="21" t="inlineStr">
        <is>
          <t>Bread flour</t>
        </is>
      </c>
      <c r="D83" s="22" t="n">
        <v>2</v>
      </c>
      <c r="E83" s="37" t="n">
        <v>6.91</v>
      </c>
      <c r="F83" s="23" t="inlineStr">
        <is>
          <t>Corner Market</t>
        </is>
      </c>
      <c r="G83" s="36" t="inlineStr">
        <is>
          <t>L2479</t>
        </is>
      </c>
      <c r="H83" s="20" t="n">
        <v>46493</v>
      </c>
      <c r="I83" s="36" t="n"/>
      <c r="J83" s="43">
        <f>IF(C83="","",N(D83)*IFERROR(N(INDEX(Ingredients!$D$6:$D$105,MATCH(C83,Ingredients!$B$6:$B$105,0))),0))</f>
        <v/>
      </c>
      <c r="K83" s="12">
        <f>IF(OR(C83="",I83&lt;&gt;"",NOT(ISNUMBER(H83))),"",IF(H83&lt;TODAY(),"Past its date",IF(H83-TODAY()&lt;=Settings!$C$6,"Use soon","")))</f>
        <v/>
      </c>
      <c r="L83" s="1">
        <f>IF(K83="","",H83*1000+ROW())</f>
        <v/>
      </c>
    </row>
    <row r="84">
      <c r="A84" s="1" t="n"/>
      <c r="B84" s="20" t="n">
        <v>46270</v>
      </c>
      <c r="C84" s="21" t="inlineStr">
        <is>
          <t>Rye flour</t>
        </is>
      </c>
      <c r="D84" s="22" t="n">
        <v>1</v>
      </c>
      <c r="E84" s="37" t="n">
        <v>2.91</v>
      </c>
      <c r="F84" s="23" t="inlineStr">
        <is>
          <t>Corner Market</t>
        </is>
      </c>
      <c r="G84" s="36" t="inlineStr">
        <is>
          <t>L2505</t>
        </is>
      </c>
      <c r="H84" s="20" t="n">
        <v>46493</v>
      </c>
      <c r="I84" s="36" t="n"/>
      <c r="J84" s="43">
        <f>IF(C84="","",N(D84)*IFERROR(N(INDEX(Ingredients!$D$6:$D$105,MATCH(C84,Ingredients!$B$6:$B$105,0))),0))</f>
        <v/>
      </c>
      <c r="K84" s="12">
        <f>IF(OR(C84="",I84&lt;&gt;"",NOT(ISNUMBER(H84))),"",IF(H84&lt;TODAY(),"Past its date",IF(H84-TODAY()&lt;=Settings!$C$6,"Use soon","")))</f>
        <v/>
      </c>
      <c r="L84" s="1">
        <f>IF(K84="","",H84*1000+ROW())</f>
        <v/>
      </c>
    </row>
    <row r="85">
      <c r="A85" s="1" t="n"/>
      <c r="B85" s="20" t="n">
        <v>46271</v>
      </c>
      <c r="C85" s="21" t="inlineStr">
        <is>
          <t>Caster sugar</t>
        </is>
      </c>
      <c r="D85" s="22" t="n">
        <v>3</v>
      </c>
      <c r="E85" s="37" t="n">
        <v>6.16</v>
      </c>
      <c r="F85" s="23" t="inlineStr">
        <is>
          <t>Corner Market</t>
        </is>
      </c>
      <c r="G85" s="36" t="inlineStr">
        <is>
          <t>L2548</t>
        </is>
      </c>
      <c r="H85" s="20" t="n">
        <v>46493</v>
      </c>
      <c r="I85" s="36" t="n"/>
      <c r="J85" s="43">
        <f>IF(C85="","",N(D85)*IFERROR(N(INDEX(Ingredients!$D$6:$D$105,MATCH(C85,Ingredients!$B$6:$B$105,0))),0))</f>
        <v/>
      </c>
      <c r="K85" s="12">
        <f>IF(OR(C85="",I85&lt;&gt;"",NOT(ISNUMBER(H85))),"",IF(H85&lt;TODAY(),"Past its date",IF(H85-TODAY()&lt;=Settings!$C$6,"Use soon","")))</f>
        <v/>
      </c>
      <c r="L85" s="1">
        <f>IF(K85="","",H85*1000+ROW())</f>
        <v/>
      </c>
    </row>
    <row r="86">
      <c r="A86" s="1" t="n"/>
      <c r="B86" s="20" t="n">
        <v>46273</v>
      </c>
      <c r="C86" s="21" t="inlineStr">
        <is>
          <t>Dried yeast</t>
        </is>
      </c>
      <c r="D86" s="22" t="n">
        <v>1</v>
      </c>
      <c r="E86" s="37" t="n">
        <v>2.3</v>
      </c>
      <c r="F86" s="23" t="inlineStr">
        <is>
          <t>Corner Market</t>
        </is>
      </c>
      <c r="G86" s="36" t="inlineStr">
        <is>
          <t>L3078</t>
        </is>
      </c>
      <c r="H86" s="20" t="n">
        <v>46290</v>
      </c>
      <c r="I86" s="36" t="n"/>
      <c r="J86" s="43">
        <f>IF(C86="","",N(D86)*IFERROR(N(INDEX(Ingredients!$D$6:$D$105,MATCH(C86,Ingredients!$B$6:$B$105,0))),0))</f>
        <v/>
      </c>
      <c r="K86" s="12">
        <f>IF(OR(C86="",I86&lt;&gt;"",NOT(ISNUMBER(H86))),"",IF(H86&lt;TODAY(),"Past its date",IF(H86-TODAY()&lt;=Settings!$C$6,"Use soon","")))</f>
        <v/>
      </c>
      <c r="L86" s="1">
        <f>IF(K86="","",H86*1000+ROW())</f>
        <v/>
      </c>
    </row>
    <row r="87">
      <c r="A87" s="1" t="n"/>
      <c r="B87" s="20" t="n">
        <v>46275</v>
      </c>
      <c r="C87" s="21" t="inlineStr">
        <is>
          <t>Dark chocolate chips</t>
        </is>
      </c>
      <c r="D87" s="22" t="n">
        <v>3</v>
      </c>
      <c r="E87" s="37" t="n">
        <v>17.82</v>
      </c>
      <c r="F87" s="23" t="inlineStr">
        <is>
          <t>Corner Market</t>
        </is>
      </c>
      <c r="G87" s="36" t="inlineStr">
        <is>
          <t>L2728</t>
        </is>
      </c>
      <c r="H87" s="20" t="n">
        <v>46493</v>
      </c>
      <c r="I87" s="36" t="n"/>
      <c r="J87" s="43">
        <f>IF(C87="","",N(D87)*IFERROR(N(INDEX(Ingredients!$D$6:$D$105,MATCH(C87,Ingredients!$B$6:$B$105,0))),0))</f>
        <v/>
      </c>
      <c r="K87" s="12">
        <f>IF(OR(C87="",I87&lt;&gt;"",NOT(ISNUMBER(H87))),"",IF(H87&lt;TODAY(),"Past its date",IF(H87-TODAY()&lt;=Settings!$C$6,"Use soon","")))</f>
        <v/>
      </c>
      <c r="L87" s="1">
        <f>IF(K87="","",H87*1000+ROW())</f>
        <v/>
      </c>
    </row>
    <row r="88">
      <c r="A88" s="1" t="n"/>
      <c r="B88" s="20" t="n">
        <v>46276</v>
      </c>
      <c r="C88" s="21" t="inlineStr">
        <is>
          <t>Cocoa powder</t>
        </is>
      </c>
      <c r="D88" s="22" t="n">
        <v>1</v>
      </c>
      <c r="E88" s="37" t="n">
        <v>3.95</v>
      </c>
      <c r="F88" s="23" t="inlineStr">
        <is>
          <t>Corner Market</t>
        </is>
      </c>
      <c r="G88" s="36" t="inlineStr">
        <is>
          <t>L2754</t>
        </is>
      </c>
      <c r="H88" s="20" t="n">
        <v>46493</v>
      </c>
      <c r="I88" s="36" t="n"/>
      <c r="J88" s="43">
        <f>IF(C88="","",N(D88)*IFERROR(N(INDEX(Ingredients!$D$6:$D$105,MATCH(C88,Ingredients!$B$6:$B$105,0))),0))</f>
        <v/>
      </c>
      <c r="K88" s="12">
        <f>IF(OR(C88="",I88&lt;&gt;"",NOT(ISNUMBER(H88))),"",IF(H88&lt;TODAY(),"Past its date",IF(H88-TODAY()&lt;=Settings!$C$6,"Use soon","")))</f>
        <v/>
      </c>
      <c r="L88" s="1">
        <f>IF(K88="","",H88*1000+ROW())</f>
        <v/>
      </c>
    </row>
    <row r="89">
      <c r="A89" s="1" t="n"/>
      <c r="B89" s="20" t="n">
        <v>46278</v>
      </c>
      <c r="C89" s="21" t="inlineStr">
        <is>
          <t>Jam sugar</t>
        </is>
      </c>
      <c r="D89" s="22" t="n">
        <v>2</v>
      </c>
      <c r="E89" s="37" t="n">
        <v>5.4</v>
      </c>
      <c r="F89" s="23" t="inlineStr">
        <is>
          <t>Corner Market</t>
        </is>
      </c>
      <c r="G89" s="36" t="inlineStr">
        <is>
          <t>L2842</t>
        </is>
      </c>
      <c r="H89" s="20" t="n">
        <v>46493</v>
      </c>
      <c r="I89" s="36" t="n"/>
      <c r="J89" s="43">
        <f>IF(C89="","",N(D89)*IFERROR(N(INDEX(Ingredients!$D$6:$D$105,MATCH(C89,Ingredients!$B$6:$B$105,0))),0))</f>
        <v/>
      </c>
      <c r="K89" s="12">
        <f>IF(OR(C89="",I89&lt;&gt;"",NOT(ISNUMBER(H89))),"",IF(H89&lt;TODAY(),"Past its date",IF(H89-TODAY()&lt;=Settings!$C$6,"Use soon","")))</f>
        <v/>
      </c>
      <c r="L89" s="1">
        <f>IF(K89="","",H89*1000+ROW())</f>
        <v/>
      </c>
    </row>
    <row r="90">
      <c r="A90" s="1" t="n"/>
      <c r="B90" s="20" t="n">
        <v>46279</v>
      </c>
      <c r="C90" s="21" t="inlineStr">
        <is>
          <t>Rolled oats</t>
        </is>
      </c>
      <c r="D90" s="22" t="n">
        <v>2</v>
      </c>
      <c r="E90" s="37" t="n">
        <v>4.75</v>
      </c>
      <c r="F90" s="23" t="inlineStr">
        <is>
          <t>Corner Market</t>
        </is>
      </c>
      <c r="G90" s="36" t="inlineStr">
        <is>
          <t>L2887</t>
        </is>
      </c>
      <c r="H90" s="20" t="n">
        <v>46493</v>
      </c>
      <c r="I90" s="36" t="n"/>
      <c r="J90" s="43">
        <f>IF(C90="","",N(D90)*IFERROR(N(INDEX(Ingredients!$D$6:$D$105,MATCH(C90,Ingredients!$B$6:$B$105,0))),0))</f>
        <v/>
      </c>
      <c r="K90" s="12">
        <f>IF(OR(C90="",I90&lt;&gt;"",NOT(ISNUMBER(H90))),"",IF(H90&lt;TODAY(),"Past its date",IF(H90-TODAY()&lt;=Settings!$C$6,"Use soon","")))</f>
        <v/>
      </c>
      <c r="L90" s="1">
        <f>IF(K90="","",H90*1000+ROW())</f>
        <v/>
      </c>
    </row>
    <row r="91">
      <c r="A91" s="1" t="n"/>
      <c r="B91" s="20" t="n">
        <v>46280</v>
      </c>
      <c r="C91" s="21" t="inlineStr">
        <is>
          <t>Honey</t>
        </is>
      </c>
      <c r="D91" s="22" t="n">
        <v>2</v>
      </c>
      <c r="E91" s="37" t="n">
        <v>9.720000000000001</v>
      </c>
      <c r="F91" s="23" t="inlineStr">
        <is>
          <t>Corner Market</t>
        </is>
      </c>
      <c r="G91" s="36" t="inlineStr">
        <is>
          <t>L2932</t>
        </is>
      </c>
      <c r="H91" s="20" t="n">
        <v>46493</v>
      </c>
      <c r="I91" s="36" t="n"/>
      <c r="J91" s="43">
        <f>IF(C91="","",N(D91)*IFERROR(N(INDEX(Ingredients!$D$6:$D$105,MATCH(C91,Ingredients!$B$6:$B$105,0))),0))</f>
        <v/>
      </c>
      <c r="K91" s="12">
        <f>IF(OR(C91="",I91&lt;&gt;"",NOT(ISNUMBER(H91))),"",IF(H91&lt;TODAY(),"Past its date",IF(H91-TODAY()&lt;=Settings!$C$6,"Use soon","")))</f>
        <v/>
      </c>
      <c r="L91" s="1">
        <f>IF(K91="","",H91*1000+ROW())</f>
        <v/>
      </c>
    </row>
    <row r="92">
      <c r="A92" s="1" t="n"/>
      <c r="B92" s="20" t="n">
        <v>46281</v>
      </c>
      <c r="C92" s="21" t="inlineStr">
        <is>
          <t>Almonds</t>
        </is>
      </c>
      <c r="D92" s="22" t="n">
        <v>2</v>
      </c>
      <c r="E92" s="37" t="n">
        <v>7.78</v>
      </c>
      <c r="F92" s="23" t="inlineStr">
        <is>
          <t>Corner Market</t>
        </is>
      </c>
      <c r="G92" s="36" t="inlineStr">
        <is>
          <t>L2977</t>
        </is>
      </c>
      <c r="H92" s="20" t="n">
        <v>46493</v>
      </c>
      <c r="I92" s="36" t="n"/>
      <c r="J92" s="43">
        <f>IF(C92="","",N(D92)*IFERROR(N(INDEX(Ingredients!$D$6:$D$105,MATCH(C92,Ingredients!$B$6:$B$105,0))),0))</f>
        <v/>
      </c>
      <c r="K92" s="12">
        <f>IF(OR(C92="",I92&lt;&gt;"",NOT(ISNUMBER(H92))),"",IF(H92&lt;TODAY(),"Past its date",IF(H92-TODAY()&lt;=Settings!$C$6,"Use soon","")))</f>
        <v/>
      </c>
      <c r="L92" s="1">
        <f>IF(K92="","",H92*1000+ROW())</f>
        <v/>
      </c>
    </row>
    <row r="93">
      <c r="A93" s="1" t="n"/>
      <c r="B93" s="20" t="n">
        <v>46282</v>
      </c>
      <c r="C93" s="21" t="inlineStr">
        <is>
          <t>Cinnamon</t>
        </is>
      </c>
      <c r="D93" s="22" t="n">
        <v>1</v>
      </c>
      <c r="E93" s="37" t="n">
        <v>2.27</v>
      </c>
      <c r="F93" s="23" t="inlineStr">
        <is>
          <t>Corner Market</t>
        </is>
      </c>
      <c r="G93" s="36" t="inlineStr">
        <is>
          <t>L3022</t>
        </is>
      </c>
      <c r="H93" s="20" t="n">
        <v>46493</v>
      </c>
      <c r="I93" s="36" t="n"/>
      <c r="J93" s="43">
        <f>IF(C93="","",N(D93)*IFERROR(N(INDEX(Ingredients!$D$6:$D$105,MATCH(C93,Ingredients!$B$6:$B$105,0))),0))</f>
        <v/>
      </c>
      <c r="K93" s="12">
        <f>IF(OR(C93="",I93&lt;&gt;"",NOT(ISNUMBER(H93))),"",IF(H93&lt;TODAY(),"Past its date",IF(H93-TODAY()&lt;=Settings!$C$6,"Use soon","")))</f>
        <v/>
      </c>
      <c r="L93" s="1">
        <f>IF(K93="","",H93*1000+ROW())</f>
        <v/>
      </c>
    </row>
    <row r="94">
      <c r="A94" s="1" t="n"/>
      <c r="B94" s="20" t="n">
        <v>46283</v>
      </c>
      <c r="C94" s="21" t="inlineStr">
        <is>
          <t>Butter</t>
        </is>
      </c>
      <c r="D94" s="22" t="n">
        <v>12</v>
      </c>
      <c r="E94" s="37" t="n">
        <v>33.7</v>
      </c>
      <c r="F94" s="23" t="inlineStr">
        <is>
          <t>Corner Market</t>
        </is>
      </c>
      <c r="G94" s="36" t="inlineStr">
        <is>
          <t>L2593</t>
        </is>
      </c>
      <c r="H94" s="20" t="n">
        <v>46305</v>
      </c>
      <c r="I94" s="36" t="n"/>
      <c r="J94" s="43">
        <f>IF(C94="","",N(D94)*IFERROR(N(INDEX(Ingredients!$D$6:$D$105,MATCH(C94,Ingredients!$B$6:$B$105,0))),0))</f>
        <v/>
      </c>
      <c r="K94" s="12">
        <f>IF(OR(C94="",I94&lt;&gt;"",NOT(ISNUMBER(H94))),"",IF(H94&lt;TODAY(),"Past its date",IF(H94-TODAY()&lt;=Settings!$C$6,"Use soon","")))</f>
        <v/>
      </c>
      <c r="L94" s="1">
        <f>IF(K94="","",H94*1000+ROW())</f>
        <v/>
      </c>
    </row>
    <row r="95">
      <c r="A95" s="1" t="n"/>
      <c r="B95" s="20" t="n">
        <v>46285</v>
      </c>
      <c r="C95" s="21" t="inlineStr">
        <is>
          <t>Peanut butter</t>
        </is>
      </c>
      <c r="D95" s="22" t="n">
        <v>1</v>
      </c>
      <c r="E95" s="37" t="n">
        <v>3.39</v>
      </c>
      <c r="F95" s="23" t="inlineStr">
        <is>
          <t>Corner Market</t>
        </is>
      </c>
      <c r="G95" s="36" t="inlineStr">
        <is>
          <t>L3109</t>
        </is>
      </c>
      <c r="H95" s="20" t="n">
        <v>46493</v>
      </c>
      <c r="I95" s="36" t="n"/>
      <c r="J95" s="43">
        <f>IF(C95="","",N(D95)*IFERROR(N(INDEX(Ingredients!$D$6:$D$105,MATCH(C95,Ingredients!$B$6:$B$105,0))),0))</f>
        <v/>
      </c>
      <c r="K95" s="12">
        <f>IF(OR(C95="",I95&lt;&gt;"",NOT(ISNUMBER(H95))),"",IF(H95&lt;TODAY(),"Past its date",IF(H95-TODAY()&lt;=Settings!$C$6,"Use soon","")))</f>
        <v/>
      </c>
      <c r="L95" s="1">
        <f>IF(K95="","",H95*1000+ROW())</f>
        <v/>
      </c>
    </row>
    <row r="96">
      <c r="A96" s="1" t="n"/>
      <c r="B96" s="20" t="n">
        <v>46286</v>
      </c>
      <c r="C96" s="21" t="inlineStr">
        <is>
          <t>Salt</t>
        </is>
      </c>
      <c r="D96" s="22" t="n">
        <v>1</v>
      </c>
      <c r="E96" s="37" t="n">
        <v>0.82</v>
      </c>
      <c r="F96" s="23" t="inlineStr">
        <is>
          <t>Corner Market</t>
        </is>
      </c>
      <c r="G96" s="36" t="inlineStr">
        <is>
          <t>L3126</t>
        </is>
      </c>
      <c r="H96" s="20" t="n">
        <v>46493</v>
      </c>
      <c r="I96" s="36" t="n"/>
      <c r="J96" s="43">
        <f>IF(C96="","",N(D96)*IFERROR(N(INDEX(Ingredients!$D$6:$D$105,MATCH(C96,Ingredients!$B$6:$B$105,0))),0))</f>
        <v/>
      </c>
      <c r="K96" s="12">
        <f>IF(OR(C96="",I96&lt;&gt;"",NOT(ISNUMBER(H96))),"",IF(H96&lt;TODAY(),"Past its date",IF(H96-TODAY()&lt;=Settings!$C$6,"Use soon","")))</f>
        <v/>
      </c>
      <c r="L96" s="1">
        <f>IF(K96="","",H96*1000+ROW())</f>
        <v/>
      </c>
    </row>
    <row r="97">
      <c r="A97" s="1" t="n"/>
      <c r="B97" s="20" t="n">
        <v>46287</v>
      </c>
      <c r="C97" s="21" t="inlineStr">
        <is>
          <t>Eggs</t>
        </is>
      </c>
      <c r="D97" s="22" t="n">
        <v>4</v>
      </c>
      <c r="E97" s="37" t="n">
        <v>18.14</v>
      </c>
      <c r="F97" s="23" t="inlineStr">
        <is>
          <t>Corner Market</t>
        </is>
      </c>
      <c r="G97" s="36" t="inlineStr">
        <is>
          <t>L2638</t>
        </is>
      </c>
      <c r="H97" s="20" t="n">
        <v>46308</v>
      </c>
      <c r="I97" s="36" t="n"/>
      <c r="J97" s="43">
        <f>IF(C97="","",N(D97)*IFERROR(N(INDEX(Ingredients!$D$6:$D$105,MATCH(C97,Ingredients!$B$6:$B$105,0))),0))</f>
        <v/>
      </c>
      <c r="K97" s="12">
        <f>IF(OR(C97="",I97&lt;&gt;"",NOT(ISNUMBER(H97))),"",IF(H97&lt;TODAY(),"Past its date",IF(H97-TODAY()&lt;=Settings!$C$6,"Use soon","")))</f>
        <v/>
      </c>
      <c r="L97" s="1">
        <f>IF(K97="","",H97*1000+ROW())</f>
        <v/>
      </c>
    </row>
    <row r="98">
      <c r="A98" s="1" t="n"/>
      <c r="B98" s="20" t="n">
        <v>46287</v>
      </c>
      <c r="C98" s="21" t="inlineStr">
        <is>
          <t>Vanilla extract</t>
        </is>
      </c>
      <c r="D98" s="22" t="n">
        <v>1</v>
      </c>
      <c r="E98" s="37" t="n">
        <v>4.99</v>
      </c>
      <c r="F98" s="23" t="inlineStr">
        <is>
          <t>Corner Market</t>
        </is>
      </c>
      <c r="G98" s="36" t="inlineStr">
        <is>
          <t>L3149</t>
        </is>
      </c>
      <c r="H98" s="20" t="n">
        <v>46493</v>
      </c>
      <c r="I98" s="36" t="n"/>
      <c r="J98" s="43">
        <f>IF(C98="","",N(D98)*IFERROR(N(INDEX(Ingredients!$D$6:$D$105,MATCH(C98,Ingredients!$B$6:$B$105,0))),0))</f>
        <v/>
      </c>
      <c r="K98" s="12">
        <f>IF(OR(C98="",I98&lt;&gt;"",NOT(ISNUMBER(H98))),"",IF(H98&lt;TODAY(),"Past its date",IF(H98-TODAY()&lt;=Settings!$C$6,"Use soon","")))</f>
        <v/>
      </c>
      <c r="L98" s="1">
        <f>IF(K98="","",H98*1000+ROW())</f>
        <v/>
      </c>
    </row>
    <row r="99">
      <c r="A99" s="1" t="n"/>
      <c r="B99" s="20" t="n">
        <v>46288</v>
      </c>
      <c r="C99" s="21" t="inlineStr">
        <is>
          <t>Milk</t>
        </is>
      </c>
      <c r="D99" s="22" t="n">
        <v>1</v>
      </c>
      <c r="E99" s="37" t="n">
        <v>1.19</v>
      </c>
      <c r="F99" s="23" t="inlineStr">
        <is>
          <t>Corner Market</t>
        </is>
      </c>
      <c r="G99" s="36" t="inlineStr">
        <is>
          <t>L3067</t>
        </is>
      </c>
      <c r="H99" s="20" t="n">
        <v>46295</v>
      </c>
      <c r="I99" s="36" t="n"/>
      <c r="J99" s="43">
        <f>IF(C99="","",N(D99)*IFERROR(N(INDEX(Ingredients!$D$6:$D$105,MATCH(C99,Ingredients!$B$6:$B$105,0))),0))</f>
        <v/>
      </c>
      <c r="K99" s="12">
        <f>IF(OR(C99="",I99&lt;&gt;"",NOT(ISNUMBER(H99))),"",IF(H99&lt;TODAY(),"Past its date",IF(H99-TODAY()&lt;=Settings!$C$6,"Use soon","")))</f>
        <v/>
      </c>
      <c r="L99" s="1">
        <f>IF(K99="","",H99*1000+ROW())</f>
        <v/>
      </c>
    </row>
    <row r="100">
      <c r="A100" s="1" t="n"/>
      <c r="B100" s="20" t="n">
        <v>46288</v>
      </c>
      <c r="C100" s="21" t="inlineStr">
        <is>
          <t>Jars and lids</t>
        </is>
      </c>
      <c r="D100" s="22" t="n">
        <v>1</v>
      </c>
      <c r="E100" s="37" t="n">
        <v>9.720000000000001</v>
      </c>
      <c r="F100" s="23" t="inlineStr">
        <is>
          <t>Corner Market</t>
        </is>
      </c>
      <c r="G100" s="36" t="inlineStr">
        <is>
          <t>L3192</t>
        </is>
      </c>
      <c r="H100" s="20" t="n"/>
      <c r="I100" s="36" t="n"/>
      <c r="J100" s="43">
        <f>IF(C100="","",N(D100)*IFERROR(N(INDEX(Ingredients!$D$6:$D$105,MATCH(C100,Ingredients!$B$6:$B$105,0))),0))</f>
        <v/>
      </c>
      <c r="K100" s="12">
        <f>IF(OR(C100="",I100&lt;&gt;"",NOT(ISNUMBER(H100))),"",IF(H100&lt;TODAY(),"Past its date",IF(H100-TODAY()&lt;=Settings!$C$6,"Use soon","")))</f>
        <v/>
      </c>
      <c r="L100" s="1">
        <f>IF(K100="","",H100*1000+ROW())</f>
        <v/>
      </c>
    </row>
    <row r="101">
      <c r="A101" s="1" t="n"/>
      <c r="B101" s="20" t="n">
        <v>46289</v>
      </c>
      <c r="C101" s="21" t="inlineStr">
        <is>
          <t>Lemons</t>
        </is>
      </c>
      <c r="D101" s="22" t="n">
        <v>3</v>
      </c>
      <c r="E101" s="37" t="n">
        <v>6.48</v>
      </c>
      <c r="F101" s="23" t="inlineStr">
        <is>
          <t>Corner Market</t>
        </is>
      </c>
      <c r="G101" s="36" t="inlineStr">
        <is>
          <t>L2683</t>
        </is>
      </c>
      <c r="H101" s="20" t="n">
        <v>46303</v>
      </c>
      <c r="I101" s="36" t="n"/>
      <c r="J101" s="43">
        <f>IF(C101="","",N(D101)*IFERROR(N(INDEX(Ingredients!$D$6:$D$105,MATCH(C101,Ingredients!$B$6:$B$105,0))),0))</f>
        <v/>
      </c>
      <c r="K101" s="12">
        <f>IF(OR(C101="",I101&lt;&gt;"",NOT(ISNUMBER(H101))),"",IF(H101&lt;TODAY(),"Past its date",IF(H101-TODAY()&lt;=Settings!$C$6,"Use soon","")))</f>
        <v/>
      </c>
      <c r="L101" s="1">
        <f>IF(K101="","",H101*1000+ROW())</f>
        <v/>
      </c>
    </row>
    <row r="102">
      <c r="A102" s="1" t="n"/>
      <c r="B102" s="20" t="n">
        <v>46289</v>
      </c>
      <c r="C102" s="21" t="inlineStr">
        <is>
          <t>Cookie bags</t>
        </is>
      </c>
      <c r="D102" s="22" t="n">
        <v>1</v>
      </c>
      <c r="E102" s="37" t="n">
        <v>6.36</v>
      </c>
      <c r="F102" s="23" t="inlineStr">
        <is>
          <t>Corner Market</t>
        </is>
      </c>
      <c r="G102" s="36" t="inlineStr">
        <is>
          <t>L3227</t>
        </is>
      </c>
      <c r="H102" s="20" t="n"/>
      <c r="I102" s="36" t="n"/>
      <c r="J102" s="43">
        <f>IF(C102="","",N(D102)*IFERROR(N(INDEX(Ingredients!$D$6:$D$105,MATCH(C102,Ingredients!$B$6:$B$105,0))),0))</f>
        <v/>
      </c>
      <c r="K102" s="12">
        <f>IF(OR(C102="",I102&lt;&gt;"",NOT(ISNUMBER(H102))),"",IF(H102&lt;TODAY(),"Past its date",IF(H102-TODAY()&lt;=Settings!$C$6,"Use soon","")))</f>
        <v/>
      </c>
      <c r="L102" s="1">
        <f>IF(K102="","",H102*1000+ROW())</f>
        <v/>
      </c>
    </row>
    <row r="103">
      <c r="A103" s="1" t="n"/>
      <c r="B103" s="20" t="n">
        <v>46290</v>
      </c>
      <c r="C103" s="21" t="inlineStr">
        <is>
          <t>Cake boxes</t>
        </is>
      </c>
      <c r="D103" s="22" t="n">
        <v>1</v>
      </c>
      <c r="E103" s="37" t="n">
        <v>11.44</v>
      </c>
      <c r="F103" s="23" t="inlineStr">
        <is>
          <t>Corner Market</t>
        </is>
      </c>
      <c r="G103" s="36" t="inlineStr">
        <is>
          <t>L3252</t>
        </is>
      </c>
      <c r="H103" s="20" t="n"/>
      <c r="I103" s="36" t="n"/>
      <c r="J103" s="43">
        <f>IF(C103="","",N(D103)*IFERROR(N(INDEX(Ingredients!$D$6:$D$105,MATCH(C103,Ingredients!$B$6:$B$105,0))),0))</f>
        <v/>
      </c>
      <c r="K103" s="12">
        <f>IF(OR(C103="",I103&lt;&gt;"",NOT(ISNUMBER(H103))),"",IF(H103&lt;TODAY(),"Past its date",IF(H103-TODAY()&lt;=Settings!$C$6,"Use soon","")))</f>
        <v/>
      </c>
      <c r="L103" s="1">
        <f>IF(K103="","",H103*1000+ROW())</f>
        <v/>
      </c>
    </row>
    <row r="104">
      <c r="A104" s="1" t="n"/>
      <c r="B104" s="20" t="n"/>
      <c r="C104" s="21" t="n"/>
      <c r="D104" s="22" t="n"/>
      <c r="E104" s="37" t="n"/>
      <c r="F104" s="23" t="n"/>
      <c r="G104" s="36" t="n"/>
      <c r="H104" s="20" t="n"/>
      <c r="I104" s="36" t="n"/>
      <c r="J104" s="43">
        <f>IF(C104="","",N(D104)*IFERROR(N(INDEX(Ingredients!$D$6:$D$105,MATCH(C104,Ingredients!$B$6:$B$105,0))),0))</f>
        <v/>
      </c>
      <c r="K104" s="12">
        <f>IF(OR(C104="",I104&lt;&gt;"",NOT(ISNUMBER(H104))),"",IF(H104&lt;TODAY(),"Past its date",IF(H104-TODAY()&lt;=Settings!$C$6,"Use soon","")))</f>
        <v/>
      </c>
      <c r="L104" s="1">
        <f>IF(K104="","",H104*1000+ROW())</f>
        <v/>
      </c>
    </row>
    <row r="105">
      <c r="A105" s="1" t="n"/>
      <c r="B105" s="20" t="n"/>
      <c r="C105" s="21" t="n"/>
      <c r="D105" s="22" t="n"/>
      <c r="E105" s="37" t="n"/>
      <c r="F105" s="23" t="n"/>
      <c r="G105" s="36" t="n"/>
      <c r="H105" s="20" t="n"/>
      <c r="I105" s="36" t="n"/>
      <c r="J105" s="43">
        <f>IF(C105="","",N(D105)*IFERROR(N(INDEX(Ingredients!$D$6:$D$105,MATCH(C105,Ingredients!$B$6:$B$105,0))),0))</f>
        <v/>
      </c>
      <c r="K105" s="12">
        <f>IF(OR(C105="",I105&lt;&gt;"",NOT(ISNUMBER(H105))),"",IF(H105&lt;TODAY(),"Past its date",IF(H105-TODAY()&lt;=Settings!$C$6,"Use soon","")))</f>
        <v/>
      </c>
      <c r="L105" s="1">
        <f>IF(K105="","",H105*1000+ROW())</f>
        <v/>
      </c>
    </row>
    <row r="106">
      <c r="A106" s="1" t="n"/>
      <c r="B106" s="20" t="n"/>
      <c r="C106" s="21" t="n"/>
      <c r="D106" s="22" t="n"/>
      <c r="E106" s="37" t="n"/>
      <c r="F106" s="23" t="n"/>
      <c r="G106" s="36" t="n"/>
      <c r="H106" s="20" t="n"/>
      <c r="I106" s="36" t="n"/>
      <c r="J106" s="43">
        <f>IF(C106="","",N(D106)*IFERROR(N(INDEX(Ingredients!$D$6:$D$105,MATCH(C106,Ingredients!$B$6:$B$105,0))),0))</f>
        <v/>
      </c>
      <c r="K106" s="12">
        <f>IF(OR(C106="",I106&lt;&gt;"",NOT(ISNUMBER(H106))),"",IF(H106&lt;TODAY(),"Past its date",IF(H106-TODAY()&lt;=Settings!$C$6,"Use soon","")))</f>
        <v/>
      </c>
      <c r="L106" s="1">
        <f>IF(K106="","",H106*1000+ROW())</f>
        <v/>
      </c>
    </row>
    <row r="107">
      <c r="A107" s="1" t="n"/>
      <c r="B107" s="20" t="n"/>
      <c r="C107" s="21" t="n"/>
      <c r="D107" s="22" t="n"/>
      <c r="E107" s="37" t="n"/>
      <c r="F107" s="23" t="n"/>
      <c r="G107" s="36" t="n"/>
      <c r="H107" s="20" t="n"/>
      <c r="I107" s="36" t="n"/>
      <c r="J107" s="43">
        <f>IF(C107="","",N(D107)*IFERROR(N(INDEX(Ingredients!$D$6:$D$105,MATCH(C107,Ingredients!$B$6:$B$105,0))),0))</f>
        <v/>
      </c>
      <c r="K107" s="12">
        <f>IF(OR(C107="",I107&lt;&gt;"",NOT(ISNUMBER(H107))),"",IF(H107&lt;TODAY(),"Past its date",IF(H107-TODAY()&lt;=Settings!$C$6,"Use soon","")))</f>
        <v/>
      </c>
      <c r="L107" s="1">
        <f>IF(K107="","",H107*1000+ROW())</f>
        <v/>
      </c>
    </row>
    <row r="108">
      <c r="A108" s="1" t="n"/>
      <c r="B108" s="20" t="n"/>
      <c r="C108" s="21" t="n"/>
      <c r="D108" s="22" t="n"/>
      <c r="E108" s="37" t="n"/>
      <c r="F108" s="23" t="n"/>
      <c r="G108" s="36" t="n"/>
      <c r="H108" s="20" t="n"/>
      <c r="I108" s="36" t="n"/>
      <c r="J108" s="43">
        <f>IF(C108="","",N(D108)*IFERROR(N(INDEX(Ingredients!$D$6:$D$105,MATCH(C108,Ingredients!$B$6:$B$105,0))),0))</f>
        <v/>
      </c>
      <c r="K108" s="12">
        <f>IF(OR(C108="",I108&lt;&gt;"",NOT(ISNUMBER(H108))),"",IF(H108&lt;TODAY(),"Past its date",IF(H108-TODAY()&lt;=Settings!$C$6,"Use soon","")))</f>
        <v/>
      </c>
      <c r="L108" s="1">
        <f>IF(K108="","",H108*1000+ROW())</f>
        <v/>
      </c>
    </row>
    <row r="109">
      <c r="A109" s="1" t="n"/>
      <c r="B109" s="20" t="n"/>
      <c r="C109" s="21" t="n"/>
      <c r="D109" s="22" t="n"/>
      <c r="E109" s="37" t="n"/>
      <c r="F109" s="23" t="n"/>
      <c r="G109" s="36" t="n"/>
      <c r="H109" s="20" t="n"/>
      <c r="I109" s="36" t="n"/>
      <c r="J109" s="43">
        <f>IF(C109="","",N(D109)*IFERROR(N(INDEX(Ingredients!$D$6:$D$105,MATCH(C109,Ingredients!$B$6:$B$105,0))),0))</f>
        <v/>
      </c>
      <c r="K109" s="12">
        <f>IF(OR(C109="",I109&lt;&gt;"",NOT(ISNUMBER(H109))),"",IF(H109&lt;TODAY(),"Past its date",IF(H109-TODAY()&lt;=Settings!$C$6,"Use soon","")))</f>
        <v/>
      </c>
      <c r="L109" s="1">
        <f>IF(K109="","",H109*1000+ROW())</f>
        <v/>
      </c>
    </row>
    <row r="110">
      <c r="A110" s="1" t="n"/>
      <c r="B110" s="20" t="n"/>
      <c r="C110" s="21" t="n"/>
      <c r="D110" s="22" t="n"/>
      <c r="E110" s="37" t="n"/>
      <c r="F110" s="23" t="n"/>
      <c r="G110" s="36" t="n"/>
      <c r="H110" s="20" t="n"/>
      <c r="I110" s="36" t="n"/>
      <c r="J110" s="43">
        <f>IF(C110="","",N(D110)*IFERROR(N(INDEX(Ingredients!$D$6:$D$105,MATCH(C110,Ingredients!$B$6:$B$105,0))),0))</f>
        <v/>
      </c>
      <c r="K110" s="12">
        <f>IF(OR(C110="",I110&lt;&gt;"",NOT(ISNUMBER(H110))),"",IF(H110&lt;TODAY(),"Past its date",IF(H110-TODAY()&lt;=Settings!$C$6,"Use soon","")))</f>
        <v/>
      </c>
      <c r="L110" s="1">
        <f>IF(K110="","",H110*1000+ROW())</f>
        <v/>
      </c>
    </row>
    <row r="111">
      <c r="A111" s="1" t="n"/>
      <c r="B111" s="20" t="n"/>
      <c r="C111" s="21" t="n"/>
      <c r="D111" s="22" t="n"/>
      <c r="E111" s="37" t="n"/>
      <c r="F111" s="23" t="n"/>
      <c r="G111" s="36" t="n"/>
      <c r="H111" s="20" t="n"/>
      <c r="I111" s="36" t="n"/>
      <c r="J111" s="43">
        <f>IF(C111="","",N(D111)*IFERROR(N(INDEX(Ingredients!$D$6:$D$105,MATCH(C111,Ingredients!$B$6:$B$105,0))),0))</f>
        <v/>
      </c>
      <c r="K111" s="12">
        <f>IF(OR(C111="",I111&lt;&gt;"",NOT(ISNUMBER(H111))),"",IF(H111&lt;TODAY(),"Past its date",IF(H111-TODAY()&lt;=Settings!$C$6,"Use soon","")))</f>
        <v/>
      </c>
      <c r="L111" s="1">
        <f>IF(K111="","",H111*1000+ROW())</f>
        <v/>
      </c>
    </row>
    <row r="112">
      <c r="A112" s="1" t="n"/>
      <c r="B112" s="20" t="n"/>
      <c r="C112" s="21" t="n"/>
      <c r="D112" s="22" t="n"/>
      <c r="E112" s="37" t="n"/>
      <c r="F112" s="23" t="n"/>
      <c r="G112" s="36" t="n"/>
      <c r="H112" s="20" t="n"/>
      <c r="I112" s="36" t="n"/>
      <c r="J112" s="43">
        <f>IF(C112="","",N(D112)*IFERROR(N(INDEX(Ingredients!$D$6:$D$105,MATCH(C112,Ingredients!$B$6:$B$105,0))),0))</f>
        <v/>
      </c>
      <c r="K112" s="12">
        <f>IF(OR(C112="",I112&lt;&gt;"",NOT(ISNUMBER(H112))),"",IF(H112&lt;TODAY(),"Past its date",IF(H112-TODAY()&lt;=Settings!$C$6,"Use soon","")))</f>
        <v/>
      </c>
      <c r="L112" s="1">
        <f>IF(K112="","",H112*1000+ROW())</f>
        <v/>
      </c>
    </row>
    <row r="113">
      <c r="A113" s="1" t="n"/>
      <c r="B113" s="20" t="n"/>
      <c r="C113" s="21" t="n"/>
      <c r="D113" s="22" t="n"/>
      <c r="E113" s="37" t="n"/>
      <c r="F113" s="23" t="n"/>
      <c r="G113" s="36" t="n"/>
      <c r="H113" s="20" t="n"/>
      <c r="I113" s="36" t="n"/>
      <c r="J113" s="43">
        <f>IF(C113="","",N(D113)*IFERROR(N(INDEX(Ingredients!$D$6:$D$105,MATCH(C113,Ingredients!$B$6:$B$105,0))),0))</f>
        <v/>
      </c>
      <c r="K113" s="12">
        <f>IF(OR(C113="",I113&lt;&gt;"",NOT(ISNUMBER(H113))),"",IF(H113&lt;TODAY(),"Past its date",IF(H113-TODAY()&lt;=Settings!$C$6,"Use soon","")))</f>
        <v/>
      </c>
      <c r="L113" s="1">
        <f>IF(K113="","",H113*1000+ROW())</f>
        <v/>
      </c>
    </row>
    <row r="114">
      <c r="A114" s="1" t="n"/>
      <c r="B114" s="20" t="n"/>
      <c r="C114" s="21" t="n"/>
      <c r="D114" s="22" t="n"/>
      <c r="E114" s="37" t="n"/>
      <c r="F114" s="23" t="n"/>
      <c r="G114" s="36" t="n"/>
      <c r="H114" s="20" t="n"/>
      <c r="I114" s="36" t="n"/>
      <c r="J114" s="43">
        <f>IF(C114="","",N(D114)*IFERROR(N(INDEX(Ingredients!$D$6:$D$105,MATCH(C114,Ingredients!$B$6:$B$105,0))),0))</f>
        <v/>
      </c>
      <c r="K114" s="12">
        <f>IF(OR(C114="",I114&lt;&gt;"",NOT(ISNUMBER(H114))),"",IF(H114&lt;TODAY(),"Past its date",IF(H114-TODAY()&lt;=Settings!$C$6,"Use soon","")))</f>
        <v/>
      </c>
      <c r="L114" s="1">
        <f>IF(K114="","",H114*1000+ROW())</f>
        <v/>
      </c>
    </row>
    <row r="115">
      <c r="A115" s="1" t="n"/>
      <c r="B115" s="20" t="n"/>
      <c r="C115" s="21" t="n"/>
      <c r="D115" s="22" t="n"/>
      <c r="E115" s="37" t="n"/>
      <c r="F115" s="23" t="n"/>
      <c r="G115" s="36" t="n"/>
      <c r="H115" s="20" t="n"/>
      <c r="I115" s="36" t="n"/>
      <c r="J115" s="43">
        <f>IF(C115="","",N(D115)*IFERROR(N(INDEX(Ingredients!$D$6:$D$105,MATCH(C115,Ingredients!$B$6:$B$105,0))),0))</f>
        <v/>
      </c>
      <c r="K115" s="12">
        <f>IF(OR(C115="",I115&lt;&gt;"",NOT(ISNUMBER(H115))),"",IF(H115&lt;TODAY(),"Past its date",IF(H115-TODAY()&lt;=Settings!$C$6,"Use soon","")))</f>
        <v/>
      </c>
      <c r="L115" s="1">
        <f>IF(K115="","",H115*1000+ROW())</f>
        <v/>
      </c>
    </row>
    <row r="116">
      <c r="A116" s="1" t="n"/>
      <c r="B116" s="20" t="n"/>
      <c r="C116" s="21" t="n"/>
      <c r="D116" s="22" t="n"/>
      <c r="E116" s="37" t="n"/>
      <c r="F116" s="23" t="n"/>
      <c r="G116" s="36" t="n"/>
      <c r="H116" s="20" t="n"/>
      <c r="I116" s="36" t="n"/>
      <c r="J116" s="43">
        <f>IF(C116="","",N(D116)*IFERROR(N(INDEX(Ingredients!$D$6:$D$105,MATCH(C116,Ingredients!$B$6:$B$105,0))),0))</f>
        <v/>
      </c>
      <c r="K116" s="12">
        <f>IF(OR(C116="",I116&lt;&gt;"",NOT(ISNUMBER(H116))),"",IF(H116&lt;TODAY(),"Past its date",IF(H116-TODAY()&lt;=Settings!$C$6,"Use soon","")))</f>
        <v/>
      </c>
      <c r="L116" s="1">
        <f>IF(K116="","",H116*1000+ROW())</f>
        <v/>
      </c>
    </row>
    <row r="117">
      <c r="A117" s="1" t="n"/>
      <c r="B117" s="20" t="n"/>
      <c r="C117" s="21" t="n"/>
      <c r="D117" s="22" t="n"/>
      <c r="E117" s="37" t="n"/>
      <c r="F117" s="23" t="n"/>
      <c r="G117" s="36" t="n"/>
      <c r="H117" s="20" t="n"/>
      <c r="I117" s="36" t="n"/>
      <c r="J117" s="43">
        <f>IF(C117="","",N(D117)*IFERROR(N(INDEX(Ingredients!$D$6:$D$105,MATCH(C117,Ingredients!$B$6:$B$105,0))),0))</f>
        <v/>
      </c>
      <c r="K117" s="12">
        <f>IF(OR(C117="",I117&lt;&gt;"",NOT(ISNUMBER(H117))),"",IF(H117&lt;TODAY(),"Past its date",IF(H117-TODAY()&lt;=Settings!$C$6,"Use soon","")))</f>
        <v/>
      </c>
      <c r="L117" s="1">
        <f>IF(K117="","",H117*1000+ROW())</f>
        <v/>
      </c>
    </row>
    <row r="118">
      <c r="A118" s="1" t="n"/>
      <c r="B118" s="20" t="n"/>
      <c r="C118" s="21" t="n"/>
      <c r="D118" s="22" t="n"/>
      <c r="E118" s="37" t="n"/>
      <c r="F118" s="23" t="n"/>
      <c r="G118" s="36" t="n"/>
      <c r="H118" s="20" t="n"/>
      <c r="I118" s="36" t="n"/>
      <c r="J118" s="43">
        <f>IF(C118="","",N(D118)*IFERROR(N(INDEX(Ingredients!$D$6:$D$105,MATCH(C118,Ingredients!$B$6:$B$105,0))),0))</f>
        <v/>
      </c>
      <c r="K118" s="12">
        <f>IF(OR(C118="",I118&lt;&gt;"",NOT(ISNUMBER(H118))),"",IF(H118&lt;TODAY(),"Past its date",IF(H118-TODAY()&lt;=Settings!$C$6,"Use soon","")))</f>
        <v/>
      </c>
      <c r="L118" s="1">
        <f>IF(K118="","",H118*1000+ROW())</f>
        <v/>
      </c>
    </row>
    <row r="119">
      <c r="A119" s="1" t="n"/>
      <c r="B119" s="20" t="n"/>
      <c r="C119" s="21" t="n"/>
      <c r="D119" s="22" t="n"/>
      <c r="E119" s="37" t="n"/>
      <c r="F119" s="23" t="n"/>
      <c r="G119" s="36" t="n"/>
      <c r="H119" s="20" t="n"/>
      <c r="I119" s="36" t="n"/>
      <c r="J119" s="43">
        <f>IF(C119="","",N(D119)*IFERROR(N(INDEX(Ingredients!$D$6:$D$105,MATCH(C119,Ingredients!$B$6:$B$105,0))),0))</f>
        <v/>
      </c>
      <c r="K119" s="12">
        <f>IF(OR(C119="",I119&lt;&gt;"",NOT(ISNUMBER(H119))),"",IF(H119&lt;TODAY(),"Past its date",IF(H119-TODAY()&lt;=Settings!$C$6,"Use soon","")))</f>
        <v/>
      </c>
      <c r="L119" s="1">
        <f>IF(K119="","",H119*1000+ROW())</f>
        <v/>
      </c>
    </row>
    <row r="120">
      <c r="A120" s="1" t="n"/>
      <c r="B120" s="20" t="n"/>
      <c r="C120" s="21" t="n"/>
      <c r="D120" s="22" t="n"/>
      <c r="E120" s="37" t="n"/>
      <c r="F120" s="23" t="n"/>
      <c r="G120" s="36" t="n"/>
      <c r="H120" s="20" t="n"/>
      <c r="I120" s="36" t="n"/>
      <c r="J120" s="43">
        <f>IF(C120="","",N(D120)*IFERROR(N(INDEX(Ingredients!$D$6:$D$105,MATCH(C120,Ingredients!$B$6:$B$105,0))),0))</f>
        <v/>
      </c>
      <c r="K120" s="12">
        <f>IF(OR(C120="",I120&lt;&gt;"",NOT(ISNUMBER(H120))),"",IF(H120&lt;TODAY(),"Past its date",IF(H120-TODAY()&lt;=Settings!$C$6,"Use soon","")))</f>
        <v/>
      </c>
      <c r="L120" s="1">
        <f>IF(K120="","",H120*1000+ROW())</f>
        <v/>
      </c>
    </row>
    <row r="121">
      <c r="A121" s="1" t="n"/>
      <c r="B121" s="20" t="n"/>
      <c r="C121" s="21" t="n"/>
      <c r="D121" s="22" t="n"/>
      <c r="E121" s="37" t="n"/>
      <c r="F121" s="23" t="n"/>
      <c r="G121" s="36" t="n"/>
      <c r="H121" s="20" t="n"/>
      <c r="I121" s="36" t="n"/>
      <c r="J121" s="43">
        <f>IF(C121="","",N(D121)*IFERROR(N(INDEX(Ingredients!$D$6:$D$105,MATCH(C121,Ingredients!$B$6:$B$105,0))),0))</f>
        <v/>
      </c>
      <c r="K121" s="12">
        <f>IF(OR(C121="",I121&lt;&gt;"",NOT(ISNUMBER(H121))),"",IF(H121&lt;TODAY(),"Past its date",IF(H121-TODAY()&lt;=Settings!$C$6,"Use soon","")))</f>
        <v/>
      </c>
      <c r="L121" s="1">
        <f>IF(K121="","",H121*1000+ROW())</f>
        <v/>
      </c>
    </row>
    <row r="122">
      <c r="A122" s="1" t="n"/>
      <c r="B122" s="20" t="n"/>
      <c r="C122" s="21" t="n"/>
      <c r="D122" s="22" t="n"/>
      <c r="E122" s="37" t="n"/>
      <c r="F122" s="23" t="n"/>
      <c r="G122" s="36" t="n"/>
      <c r="H122" s="20" t="n"/>
      <c r="I122" s="36" t="n"/>
      <c r="J122" s="43">
        <f>IF(C122="","",N(D122)*IFERROR(N(INDEX(Ingredients!$D$6:$D$105,MATCH(C122,Ingredients!$B$6:$B$105,0))),0))</f>
        <v/>
      </c>
      <c r="K122" s="12">
        <f>IF(OR(C122="",I122&lt;&gt;"",NOT(ISNUMBER(H122))),"",IF(H122&lt;TODAY(),"Past its date",IF(H122-TODAY()&lt;=Settings!$C$6,"Use soon","")))</f>
        <v/>
      </c>
      <c r="L122" s="1">
        <f>IF(K122="","",H122*1000+ROW())</f>
        <v/>
      </c>
    </row>
    <row r="123">
      <c r="A123" s="1" t="n"/>
      <c r="B123" s="20" t="n"/>
      <c r="C123" s="21" t="n"/>
      <c r="D123" s="22" t="n"/>
      <c r="E123" s="37" t="n"/>
      <c r="F123" s="23" t="n"/>
      <c r="G123" s="36" t="n"/>
      <c r="H123" s="20" t="n"/>
      <c r="I123" s="36" t="n"/>
      <c r="J123" s="43">
        <f>IF(C123="","",N(D123)*IFERROR(N(INDEX(Ingredients!$D$6:$D$105,MATCH(C123,Ingredients!$B$6:$B$105,0))),0))</f>
        <v/>
      </c>
      <c r="K123" s="12">
        <f>IF(OR(C123="",I123&lt;&gt;"",NOT(ISNUMBER(H123))),"",IF(H123&lt;TODAY(),"Past its date",IF(H123-TODAY()&lt;=Settings!$C$6,"Use soon","")))</f>
        <v/>
      </c>
      <c r="L123" s="1">
        <f>IF(K123="","",H123*1000+ROW())</f>
        <v/>
      </c>
    </row>
    <row r="124">
      <c r="A124" s="1" t="n"/>
      <c r="B124" s="20" t="n"/>
      <c r="C124" s="21" t="n"/>
      <c r="D124" s="22" t="n"/>
      <c r="E124" s="37" t="n"/>
      <c r="F124" s="23" t="n"/>
      <c r="G124" s="36" t="n"/>
      <c r="H124" s="20" t="n"/>
      <c r="I124" s="36" t="n"/>
      <c r="J124" s="43">
        <f>IF(C124="","",N(D124)*IFERROR(N(INDEX(Ingredients!$D$6:$D$105,MATCH(C124,Ingredients!$B$6:$B$105,0))),0))</f>
        <v/>
      </c>
      <c r="K124" s="12">
        <f>IF(OR(C124="",I124&lt;&gt;"",NOT(ISNUMBER(H124))),"",IF(H124&lt;TODAY(),"Past its date",IF(H124-TODAY()&lt;=Settings!$C$6,"Use soon","")))</f>
        <v/>
      </c>
      <c r="L124" s="1">
        <f>IF(K124="","",H124*1000+ROW())</f>
        <v/>
      </c>
    </row>
    <row r="125">
      <c r="A125" s="1" t="n"/>
      <c r="B125" s="20" t="n"/>
      <c r="C125" s="21" t="n"/>
      <c r="D125" s="22" t="n"/>
      <c r="E125" s="37" t="n"/>
      <c r="F125" s="23" t="n"/>
      <c r="G125" s="36" t="n"/>
      <c r="H125" s="20" t="n"/>
      <c r="I125" s="36" t="n"/>
      <c r="J125" s="43">
        <f>IF(C125="","",N(D125)*IFERROR(N(INDEX(Ingredients!$D$6:$D$105,MATCH(C125,Ingredients!$B$6:$B$105,0))),0))</f>
        <v/>
      </c>
      <c r="K125" s="12">
        <f>IF(OR(C125="",I125&lt;&gt;"",NOT(ISNUMBER(H125))),"",IF(H125&lt;TODAY(),"Past its date",IF(H125-TODAY()&lt;=Settings!$C$6,"Use soon","")))</f>
        <v/>
      </c>
      <c r="L125" s="1">
        <f>IF(K125="","",H125*1000+ROW())</f>
        <v/>
      </c>
    </row>
    <row r="126">
      <c r="A126" s="1" t="n"/>
      <c r="B126" s="20" t="n"/>
      <c r="C126" s="21" t="n"/>
      <c r="D126" s="22" t="n"/>
      <c r="E126" s="37" t="n"/>
      <c r="F126" s="23" t="n"/>
      <c r="G126" s="36" t="n"/>
      <c r="H126" s="20" t="n"/>
      <c r="I126" s="36" t="n"/>
      <c r="J126" s="43">
        <f>IF(C126="","",N(D126)*IFERROR(N(INDEX(Ingredients!$D$6:$D$105,MATCH(C126,Ingredients!$B$6:$B$105,0))),0))</f>
        <v/>
      </c>
      <c r="K126" s="12">
        <f>IF(OR(C126="",I126&lt;&gt;"",NOT(ISNUMBER(H126))),"",IF(H126&lt;TODAY(),"Past its date",IF(H126-TODAY()&lt;=Settings!$C$6,"Use soon","")))</f>
        <v/>
      </c>
      <c r="L126" s="1">
        <f>IF(K126="","",H126*1000+ROW())</f>
        <v/>
      </c>
    </row>
    <row r="127">
      <c r="A127" s="1" t="n"/>
      <c r="B127" s="20" t="n"/>
      <c r="C127" s="21" t="n"/>
      <c r="D127" s="22" t="n"/>
      <c r="E127" s="37" t="n"/>
      <c r="F127" s="23" t="n"/>
      <c r="G127" s="36" t="n"/>
      <c r="H127" s="20" t="n"/>
      <c r="I127" s="36" t="n"/>
      <c r="J127" s="43">
        <f>IF(C127="","",N(D127)*IFERROR(N(INDEX(Ingredients!$D$6:$D$105,MATCH(C127,Ingredients!$B$6:$B$105,0))),0))</f>
        <v/>
      </c>
      <c r="K127" s="12">
        <f>IF(OR(C127="",I127&lt;&gt;"",NOT(ISNUMBER(H127))),"",IF(H127&lt;TODAY(),"Past its date",IF(H127-TODAY()&lt;=Settings!$C$6,"Use soon","")))</f>
        <v/>
      </c>
      <c r="L127" s="1">
        <f>IF(K127="","",H127*1000+ROW())</f>
        <v/>
      </c>
    </row>
    <row r="128">
      <c r="A128" s="1" t="n"/>
      <c r="B128" s="20" t="n"/>
      <c r="C128" s="21" t="n"/>
      <c r="D128" s="22" t="n"/>
      <c r="E128" s="37" t="n"/>
      <c r="F128" s="23" t="n"/>
      <c r="G128" s="36" t="n"/>
      <c r="H128" s="20" t="n"/>
      <c r="I128" s="36" t="n"/>
      <c r="J128" s="43">
        <f>IF(C128="","",N(D128)*IFERROR(N(INDEX(Ingredients!$D$6:$D$105,MATCH(C128,Ingredients!$B$6:$B$105,0))),0))</f>
        <v/>
      </c>
      <c r="K128" s="12">
        <f>IF(OR(C128="",I128&lt;&gt;"",NOT(ISNUMBER(H128))),"",IF(H128&lt;TODAY(),"Past its date",IF(H128-TODAY()&lt;=Settings!$C$6,"Use soon","")))</f>
        <v/>
      </c>
      <c r="L128" s="1">
        <f>IF(K128="","",H128*1000+ROW())</f>
        <v/>
      </c>
    </row>
    <row r="129">
      <c r="A129" s="1" t="n"/>
      <c r="B129" s="20" t="n"/>
      <c r="C129" s="21" t="n"/>
      <c r="D129" s="22" t="n"/>
      <c r="E129" s="37" t="n"/>
      <c r="F129" s="23" t="n"/>
      <c r="G129" s="36" t="n"/>
      <c r="H129" s="20" t="n"/>
      <c r="I129" s="36" t="n"/>
      <c r="J129" s="43">
        <f>IF(C129="","",N(D129)*IFERROR(N(INDEX(Ingredients!$D$6:$D$105,MATCH(C129,Ingredients!$B$6:$B$105,0))),0))</f>
        <v/>
      </c>
      <c r="K129" s="12">
        <f>IF(OR(C129="",I129&lt;&gt;"",NOT(ISNUMBER(H129))),"",IF(H129&lt;TODAY(),"Past its date",IF(H129-TODAY()&lt;=Settings!$C$6,"Use soon","")))</f>
        <v/>
      </c>
      <c r="L129" s="1">
        <f>IF(K129="","",H129*1000+ROW())</f>
        <v/>
      </c>
    </row>
    <row r="130">
      <c r="A130" s="1" t="n"/>
      <c r="B130" s="20" t="n"/>
      <c r="C130" s="21" t="n"/>
      <c r="D130" s="22" t="n"/>
      <c r="E130" s="37" t="n"/>
      <c r="F130" s="23" t="n"/>
      <c r="G130" s="36" t="n"/>
      <c r="H130" s="20" t="n"/>
      <c r="I130" s="36" t="n"/>
      <c r="J130" s="43">
        <f>IF(C130="","",N(D130)*IFERROR(N(INDEX(Ingredients!$D$6:$D$105,MATCH(C130,Ingredients!$B$6:$B$105,0))),0))</f>
        <v/>
      </c>
      <c r="K130" s="12">
        <f>IF(OR(C130="",I130&lt;&gt;"",NOT(ISNUMBER(H130))),"",IF(H130&lt;TODAY(),"Past its date",IF(H130-TODAY()&lt;=Settings!$C$6,"Use soon","")))</f>
        <v/>
      </c>
      <c r="L130" s="1">
        <f>IF(K130="","",H130*1000+ROW())</f>
        <v/>
      </c>
    </row>
    <row r="131">
      <c r="A131" s="1" t="n"/>
      <c r="B131" s="20" t="n"/>
      <c r="C131" s="21" t="n"/>
      <c r="D131" s="22" t="n"/>
      <c r="E131" s="37" t="n"/>
      <c r="F131" s="23" t="n"/>
      <c r="G131" s="36" t="n"/>
      <c r="H131" s="20" t="n"/>
      <c r="I131" s="36" t="n"/>
      <c r="J131" s="43">
        <f>IF(C131="","",N(D131)*IFERROR(N(INDEX(Ingredients!$D$6:$D$105,MATCH(C131,Ingredients!$B$6:$B$105,0))),0))</f>
        <v/>
      </c>
      <c r="K131" s="12">
        <f>IF(OR(C131="",I131&lt;&gt;"",NOT(ISNUMBER(H131))),"",IF(H131&lt;TODAY(),"Past its date",IF(H131-TODAY()&lt;=Settings!$C$6,"Use soon","")))</f>
        <v/>
      </c>
      <c r="L131" s="1">
        <f>IF(K131="","",H131*1000+ROW())</f>
        <v/>
      </c>
    </row>
    <row r="132">
      <c r="A132" s="1" t="n"/>
      <c r="B132" s="20" t="n"/>
      <c r="C132" s="21" t="n"/>
      <c r="D132" s="22" t="n"/>
      <c r="E132" s="37" t="n"/>
      <c r="F132" s="23" t="n"/>
      <c r="G132" s="36" t="n"/>
      <c r="H132" s="20" t="n"/>
      <c r="I132" s="36" t="n"/>
      <c r="J132" s="43">
        <f>IF(C132="","",N(D132)*IFERROR(N(INDEX(Ingredients!$D$6:$D$105,MATCH(C132,Ingredients!$B$6:$B$105,0))),0))</f>
        <v/>
      </c>
      <c r="K132" s="12">
        <f>IF(OR(C132="",I132&lt;&gt;"",NOT(ISNUMBER(H132))),"",IF(H132&lt;TODAY(),"Past its date",IF(H132-TODAY()&lt;=Settings!$C$6,"Use soon","")))</f>
        <v/>
      </c>
      <c r="L132" s="1">
        <f>IF(K132="","",H132*1000+ROW())</f>
        <v/>
      </c>
    </row>
    <row r="133">
      <c r="A133" s="1" t="n"/>
      <c r="B133" s="20" t="n"/>
      <c r="C133" s="21" t="n"/>
      <c r="D133" s="22" t="n"/>
      <c r="E133" s="37" t="n"/>
      <c r="F133" s="23" t="n"/>
      <c r="G133" s="36" t="n"/>
      <c r="H133" s="20" t="n"/>
      <c r="I133" s="36" t="n"/>
      <c r="J133" s="43">
        <f>IF(C133="","",N(D133)*IFERROR(N(INDEX(Ingredients!$D$6:$D$105,MATCH(C133,Ingredients!$B$6:$B$105,0))),0))</f>
        <v/>
      </c>
      <c r="K133" s="12">
        <f>IF(OR(C133="",I133&lt;&gt;"",NOT(ISNUMBER(H133))),"",IF(H133&lt;TODAY(),"Past its date",IF(H133-TODAY()&lt;=Settings!$C$6,"Use soon","")))</f>
        <v/>
      </c>
      <c r="L133" s="1">
        <f>IF(K133="","",H133*1000+ROW())</f>
        <v/>
      </c>
    </row>
    <row r="134">
      <c r="A134" s="1" t="n"/>
      <c r="B134" s="20" t="n"/>
      <c r="C134" s="21" t="n"/>
      <c r="D134" s="22" t="n"/>
      <c r="E134" s="37" t="n"/>
      <c r="F134" s="23" t="n"/>
      <c r="G134" s="36" t="n"/>
      <c r="H134" s="20" t="n"/>
      <c r="I134" s="36" t="n"/>
      <c r="J134" s="43">
        <f>IF(C134="","",N(D134)*IFERROR(N(INDEX(Ingredients!$D$6:$D$105,MATCH(C134,Ingredients!$B$6:$B$105,0))),0))</f>
        <v/>
      </c>
      <c r="K134" s="12">
        <f>IF(OR(C134="",I134&lt;&gt;"",NOT(ISNUMBER(H134))),"",IF(H134&lt;TODAY(),"Past its date",IF(H134-TODAY()&lt;=Settings!$C$6,"Use soon","")))</f>
        <v/>
      </c>
      <c r="L134" s="1">
        <f>IF(K134="","",H134*1000+ROW())</f>
        <v/>
      </c>
    </row>
    <row r="135">
      <c r="A135" s="1" t="n"/>
      <c r="B135" s="20" t="n"/>
      <c r="C135" s="21" t="n"/>
      <c r="D135" s="22" t="n"/>
      <c r="E135" s="37" t="n"/>
      <c r="F135" s="23" t="n"/>
      <c r="G135" s="36" t="n"/>
      <c r="H135" s="20" t="n"/>
      <c r="I135" s="36" t="n"/>
      <c r="J135" s="43">
        <f>IF(C135="","",N(D135)*IFERROR(N(INDEX(Ingredients!$D$6:$D$105,MATCH(C135,Ingredients!$B$6:$B$105,0))),0))</f>
        <v/>
      </c>
      <c r="K135" s="12">
        <f>IF(OR(C135="",I135&lt;&gt;"",NOT(ISNUMBER(H135))),"",IF(H135&lt;TODAY(),"Past its date",IF(H135-TODAY()&lt;=Settings!$C$6,"Use soon","")))</f>
        <v/>
      </c>
      <c r="L135" s="1">
        <f>IF(K135="","",H135*1000+ROW())</f>
        <v/>
      </c>
    </row>
    <row r="136">
      <c r="A136" s="1" t="n"/>
      <c r="B136" s="20" t="n"/>
      <c r="C136" s="21" t="n"/>
      <c r="D136" s="22" t="n"/>
      <c r="E136" s="37" t="n"/>
      <c r="F136" s="23" t="n"/>
      <c r="G136" s="36" t="n"/>
      <c r="H136" s="20" t="n"/>
      <c r="I136" s="36" t="n"/>
      <c r="J136" s="43">
        <f>IF(C136="","",N(D136)*IFERROR(N(INDEX(Ingredients!$D$6:$D$105,MATCH(C136,Ingredients!$B$6:$B$105,0))),0))</f>
        <v/>
      </c>
      <c r="K136" s="12">
        <f>IF(OR(C136="",I136&lt;&gt;"",NOT(ISNUMBER(H136))),"",IF(H136&lt;TODAY(),"Past its date",IF(H136-TODAY()&lt;=Settings!$C$6,"Use soon","")))</f>
        <v/>
      </c>
      <c r="L136" s="1">
        <f>IF(K136="","",H136*1000+ROW())</f>
        <v/>
      </c>
    </row>
    <row r="137">
      <c r="A137" s="1" t="n"/>
      <c r="B137" s="20" t="n"/>
      <c r="C137" s="21" t="n"/>
      <c r="D137" s="22" t="n"/>
      <c r="E137" s="37" t="n"/>
      <c r="F137" s="23" t="n"/>
      <c r="G137" s="36" t="n"/>
      <c r="H137" s="20" t="n"/>
      <c r="I137" s="36" t="n"/>
      <c r="J137" s="43">
        <f>IF(C137="","",N(D137)*IFERROR(N(INDEX(Ingredients!$D$6:$D$105,MATCH(C137,Ingredients!$B$6:$B$105,0))),0))</f>
        <v/>
      </c>
      <c r="K137" s="12">
        <f>IF(OR(C137="",I137&lt;&gt;"",NOT(ISNUMBER(H137))),"",IF(H137&lt;TODAY(),"Past its date",IF(H137-TODAY()&lt;=Settings!$C$6,"Use soon","")))</f>
        <v/>
      </c>
      <c r="L137" s="1">
        <f>IF(K137="","",H137*1000+ROW())</f>
        <v/>
      </c>
    </row>
    <row r="138">
      <c r="A138" s="1" t="n"/>
      <c r="B138" s="20" t="n"/>
      <c r="C138" s="21" t="n"/>
      <c r="D138" s="22" t="n"/>
      <c r="E138" s="37" t="n"/>
      <c r="F138" s="23" t="n"/>
      <c r="G138" s="36" t="n"/>
      <c r="H138" s="20" t="n"/>
      <c r="I138" s="36" t="n"/>
      <c r="J138" s="43">
        <f>IF(C138="","",N(D138)*IFERROR(N(INDEX(Ingredients!$D$6:$D$105,MATCH(C138,Ingredients!$B$6:$B$105,0))),0))</f>
        <v/>
      </c>
      <c r="K138" s="12">
        <f>IF(OR(C138="",I138&lt;&gt;"",NOT(ISNUMBER(H138))),"",IF(H138&lt;TODAY(),"Past its date",IF(H138-TODAY()&lt;=Settings!$C$6,"Use soon","")))</f>
        <v/>
      </c>
      <c r="L138" s="1">
        <f>IF(K138="","",H138*1000+ROW())</f>
        <v/>
      </c>
    </row>
    <row r="139">
      <c r="A139" s="1" t="n"/>
      <c r="B139" s="20" t="n"/>
      <c r="C139" s="21" t="n"/>
      <c r="D139" s="22" t="n"/>
      <c r="E139" s="37" t="n"/>
      <c r="F139" s="23" t="n"/>
      <c r="G139" s="36" t="n"/>
      <c r="H139" s="20" t="n"/>
      <c r="I139" s="36" t="n"/>
      <c r="J139" s="43">
        <f>IF(C139="","",N(D139)*IFERROR(N(INDEX(Ingredients!$D$6:$D$105,MATCH(C139,Ingredients!$B$6:$B$105,0))),0))</f>
        <v/>
      </c>
      <c r="K139" s="12">
        <f>IF(OR(C139="",I139&lt;&gt;"",NOT(ISNUMBER(H139))),"",IF(H139&lt;TODAY(),"Past its date",IF(H139-TODAY()&lt;=Settings!$C$6,"Use soon","")))</f>
        <v/>
      </c>
      <c r="L139" s="1">
        <f>IF(K139="","",H139*1000+ROW())</f>
        <v/>
      </c>
    </row>
    <row r="140">
      <c r="A140" s="1" t="n"/>
      <c r="B140" s="20" t="n"/>
      <c r="C140" s="21" t="n"/>
      <c r="D140" s="22" t="n"/>
      <c r="E140" s="37" t="n"/>
      <c r="F140" s="23" t="n"/>
      <c r="G140" s="36" t="n"/>
      <c r="H140" s="20" t="n"/>
      <c r="I140" s="36" t="n"/>
      <c r="J140" s="43">
        <f>IF(C140="","",N(D140)*IFERROR(N(INDEX(Ingredients!$D$6:$D$105,MATCH(C140,Ingredients!$B$6:$B$105,0))),0))</f>
        <v/>
      </c>
      <c r="K140" s="12">
        <f>IF(OR(C140="",I140&lt;&gt;"",NOT(ISNUMBER(H140))),"",IF(H140&lt;TODAY(),"Past its date",IF(H140-TODAY()&lt;=Settings!$C$6,"Use soon","")))</f>
        <v/>
      </c>
      <c r="L140" s="1">
        <f>IF(K140="","",H140*1000+ROW())</f>
        <v/>
      </c>
    </row>
    <row r="141">
      <c r="A141" s="1" t="n"/>
      <c r="B141" s="20" t="n"/>
      <c r="C141" s="21" t="n"/>
      <c r="D141" s="22" t="n"/>
      <c r="E141" s="37" t="n"/>
      <c r="F141" s="23" t="n"/>
      <c r="G141" s="36" t="n"/>
      <c r="H141" s="20" t="n"/>
      <c r="I141" s="36" t="n"/>
      <c r="J141" s="43">
        <f>IF(C141="","",N(D141)*IFERROR(N(INDEX(Ingredients!$D$6:$D$105,MATCH(C141,Ingredients!$B$6:$B$105,0))),0))</f>
        <v/>
      </c>
      <c r="K141" s="12">
        <f>IF(OR(C141="",I141&lt;&gt;"",NOT(ISNUMBER(H141))),"",IF(H141&lt;TODAY(),"Past its date",IF(H141-TODAY()&lt;=Settings!$C$6,"Use soon","")))</f>
        <v/>
      </c>
      <c r="L141" s="1">
        <f>IF(K141="","",H141*1000+ROW())</f>
        <v/>
      </c>
    </row>
    <row r="142">
      <c r="A142" s="1" t="n"/>
      <c r="B142" s="20" t="n"/>
      <c r="C142" s="21" t="n"/>
      <c r="D142" s="22" t="n"/>
      <c r="E142" s="37" t="n"/>
      <c r="F142" s="23" t="n"/>
      <c r="G142" s="36" t="n"/>
      <c r="H142" s="20" t="n"/>
      <c r="I142" s="36" t="n"/>
      <c r="J142" s="43">
        <f>IF(C142="","",N(D142)*IFERROR(N(INDEX(Ingredients!$D$6:$D$105,MATCH(C142,Ingredients!$B$6:$B$105,0))),0))</f>
        <v/>
      </c>
      <c r="K142" s="12">
        <f>IF(OR(C142="",I142&lt;&gt;"",NOT(ISNUMBER(H142))),"",IF(H142&lt;TODAY(),"Past its date",IF(H142-TODAY()&lt;=Settings!$C$6,"Use soon","")))</f>
        <v/>
      </c>
      <c r="L142" s="1">
        <f>IF(K142="","",H142*1000+ROW())</f>
        <v/>
      </c>
    </row>
    <row r="143">
      <c r="A143" s="1" t="n"/>
      <c r="B143" s="20" t="n"/>
      <c r="C143" s="21" t="n"/>
      <c r="D143" s="22" t="n"/>
      <c r="E143" s="37" t="n"/>
      <c r="F143" s="23" t="n"/>
      <c r="G143" s="36" t="n"/>
      <c r="H143" s="20" t="n"/>
      <c r="I143" s="36" t="n"/>
      <c r="J143" s="43">
        <f>IF(C143="","",N(D143)*IFERROR(N(INDEX(Ingredients!$D$6:$D$105,MATCH(C143,Ingredients!$B$6:$B$105,0))),0))</f>
        <v/>
      </c>
      <c r="K143" s="12">
        <f>IF(OR(C143="",I143&lt;&gt;"",NOT(ISNUMBER(H143))),"",IF(H143&lt;TODAY(),"Past its date",IF(H143-TODAY()&lt;=Settings!$C$6,"Use soon","")))</f>
        <v/>
      </c>
      <c r="L143" s="1">
        <f>IF(K143="","",H143*1000+ROW())</f>
        <v/>
      </c>
    </row>
    <row r="144">
      <c r="A144" s="1" t="n"/>
      <c r="B144" s="20" t="n"/>
      <c r="C144" s="21" t="n"/>
      <c r="D144" s="22" t="n"/>
      <c r="E144" s="37" t="n"/>
      <c r="F144" s="23" t="n"/>
      <c r="G144" s="36" t="n"/>
      <c r="H144" s="20" t="n"/>
      <c r="I144" s="36" t="n"/>
      <c r="J144" s="43">
        <f>IF(C144="","",N(D144)*IFERROR(N(INDEX(Ingredients!$D$6:$D$105,MATCH(C144,Ingredients!$B$6:$B$105,0))),0))</f>
        <v/>
      </c>
      <c r="K144" s="12">
        <f>IF(OR(C144="",I144&lt;&gt;"",NOT(ISNUMBER(H144))),"",IF(H144&lt;TODAY(),"Past its date",IF(H144-TODAY()&lt;=Settings!$C$6,"Use soon","")))</f>
        <v/>
      </c>
      <c r="L144" s="1">
        <f>IF(K144="","",H144*1000+ROW())</f>
        <v/>
      </c>
    </row>
    <row r="145">
      <c r="A145" s="1" t="n"/>
      <c r="B145" s="20" t="n"/>
      <c r="C145" s="21" t="n"/>
      <c r="D145" s="22" t="n"/>
      <c r="E145" s="37" t="n"/>
      <c r="F145" s="23" t="n"/>
      <c r="G145" s="36" t="n"/>
      <c r="H145" s="20" t="n"/>
      <c r="I145" s="36" t="n"/>
      <c r="J145" s="43">
        <f>IF(C145="","",N(D145)*IFERROR(N(INDEX(Ingredients!$D$6:$D$105,MATCH(C145,Ingredients!$B$6:$B$105,0))),0))</f>
        <v/>
      </c>
      <c r="K145" s="12">
        <f>IF(OR(C145="",I145&lt;&gt;"",NOT(ISNUMBER(H145))),"",IF(H145&lt;TODAY(),"Past its date",IF(H145-TODAY()&lt;=Settings!$C$6,"Use soon","")))</f>
        <v/>
      </c>
      <c r="L145" s="1">
        <f>IF(K145="","",H145*1000+ROW())</f>
        <v/>
      </c>
    </row>
    <row r="146">
      <c r="A146" s="1" t="n"/>
      <c r="B146" s="20" t="n"/>
      <c r="C146" s="21" t="n"/>
      <c r="D146" s="22" t="n"/>
      <c r="E146" s="37" t="n"/>
      <c r="F146" s="23" t="n"/>
      <c r="G146" s="36" t="n"/>
      <c r="H146" s="20" t="n"/>
      <c r="I146" s="36" t="n"/>
      <c r="J146" s="43">
        <f>IF(C146="","",N(D146)*IFERROR(N(INDEX(Ingredients!$D$6:$D$105,MATCH(C146,Ingredients!$B$6:$B$105,0))),0))</f>
        <v/>
      </c>
      <c r="K146" s="12">
        <f>IF(OR(C146="",I146&lt;&gt;"",NOT(ISNUMBER(H146))),"",IF(H146&lt;TODAY(),"Past its date",IF(H146-TODAY()&lt;=Settings!$C$6,"Use soon","")))</f>
        <v/>
      </c>
      <c r="L146" s="1">
        <f>IF(K146="","",H146*1000+ROW())</f>
        <v/>
      </c>
    </row>
    <row r="147">
      <c r="A147" s="1" t="n"/>
      <c r="B147" s="20" t="n"/>
      <c r="C147" s="21" t="n"/>
      <c r="D147" s="22" t="n"/>
      <c r="E147" s="37" t="n"/>
      <c r="F147" s="23" t="n"/>
      <c r="G147" s="36" t="n"/>
      <c r="H147" s="20" t="n"/>
      <c r="I147" s="36" t="n"/>
      <c r="J147" s="43">
        <f>IF(C147="","",N(D147)*IFERROR(N(INDEX(Ingredients!$D$6:$D$105,MATCH(C147,Ingredients!$B$6:$B$105,0))),0))</f>
        <v/>
      </c>
      <c r="K147" s="12">
        <f>IF(OR(C147="",I147&lt;&gt;"",NOT(ISNUMBER(H147))),"",IF(H147&lt;TODAY(),"Past its date",IF(H147-TODAY()&lt;=Settings!$C$6,"Use soon","")))</f>
        <v/>
      </c>
      <c r="L147" s="1">
        <f>IF(K147="","",H147*1000+ROW())</f>
        <v/>
      </c>
    </row>
    <row r="148">
      <c r="A148" s="1" t="n"/>
      <c r="B148" s="20" t="n"/>
      <c r="C148" s="21" t="n"/>
      <c r="D148" s="22" t="n"/>
      <c r="E148" s="37" t="n"/>
      <c r="F148" s="23" t="n"/>
      <c r="G148" s="36" t="n"/>
      <c r="H148" s="20" t="n"/>
      <c r="I148" s="36" t="n"/>
      <c r="J148" s="43">
        <f>IF(C148="","",N(D148)*IFERROR(N(INDEX(Ingredients!$D$6:$D$105,MATCH(C148,Ingredients!$B$6:$B$105,0))),0))</f>
        <v/>
      </c>
      <c r="K148" s="12">
        <f>IF(OR(C148="",I148&lt;&gt;"",NOT(ISNUMBER(H148))),"",IF(H148&lt;TODAY(),"Past its date",IF(H148-TODAY()&lt;=Settings!$C$6,"Use soon","")))</f>
        <v/>
      </c>
      <c r="L148" s="1">
        <f>IF(K148="","",H148*1000+ROW())</f>
        <v/>
      </c>
    </row>
    <row r="149">
      <c r="A149" s="1" t="n"/>
      <c r="B149" s="20" t="n"/>
      <c r="C149" s="21" t="n"/>
      <c r="D149" s="22" t="n"/>
      <c r="E149" s="37" t="n"/>
      <c r="F149" s="23" t="n"/>
      <c r="G149" s="36" t="n"/>
      <c r="H149" s="20" t="n"/>
      <c r="I149" s="36" t="n"/>
      <c r="J149" s="43">
        <f>IF(C149="","",N(D149)*IFERROR(N(INDEX(Ingredients!$D$6:$D$105,MATCH(C149,Ingredients!$B$6:$B$105,0))),0))</f>
        <v/>
      </c>
      <c r="K149" s="12">
        <f>IF(OR(C149="",I149&lt;&gt;"",NOT(ISNUMBER(H149))),"",IF(H149&lt;TODAY(),"Past its date",IF(H149-TODAY()&lt;=Settings!$C$6,"Use soon","")))</f>
        <v/>
      </c>
      <c r="L149" s="1">
        <f>IF(K149="","",H149*1000+ROW())</f>
        <v/>
      </c>
    </row>
    <row r="150">
      <c r="A150" s="1" t="n"/>
      <c r="B150" s="20" t="n"/>
      <c r="C150" s="21" t="n"/>
      <c r="D150" s="22" t="n"/>
      <c r="E150" s="37" t="n"/>
      <c r="F150" s="23" t="n"/>
      <c r="G150" s="36" t="n"/>
      <c r="H150" s="20" t="n"/>
      <c r="I150" s="36" t="n"/>
      <c r="J150" s="43">
        <f>IF(C150="","",N(D150)*IFERROR(N(INDEX(Ingredients!$D$6:$D$105,MATCH(C150,Ingredients!$B$6:$B$105,0))),0))</f>
        <v/>
      </c>
      <c r="K150" s="12">
        <f>IF(OR(C150="",I150&lt;&gt;"",NOT(ISNUMBER(H150))),"",IF(H150&lt;TODAY(),"Past its date",IF(H150-TODAY()&lt;=Settings!$C$6,"Use soon","")))</f>
        <v/>
      </c>
      <c r="L150" s="1">
        <f>IF(K150="","",H150*1000+ROW())</f>
        <v/>
      </c>
    </row>
    <row r="151">
      <c r="A151" s="1" t="n"/>
      <c r="B151" s="20" t="n"/>
      <c r="C151" s="21" t="n"/>
      <c r="D151" s="22" t="n"/>
      <c r="E151" s="37" t="n"/>
      <c r="F151" s="23" t="n"/>
      <c r="G151" s="36" t="n"/>
      <c r="H151" s="20" t="n"/>
      <c r="I151" s="36" t="n"/>
      <c r="J151" s="43">
        <f>IF(C151="","",N(D151)*IFERROR(N(INDEX(Ingredients!$D$6:$D$105,MATCH(C151,Ingredients!$B$6:$B$105,0))),0))</f>
        <v/>
      </c>
      <c r="K151" s="12">
        <f>IF(OR(C151="",I151&lt;&gt;"",NOT(ISNUMBER(H151))),"",IF(H151&lt;TODAY(),"Past its date",IF(H151-TODAY()&lt;=Settings!$C$6,"Use soon","")))</f>
        <v/>
      </c>
      <c r="L151" s="1">
        <f>IF(K151="","",H151*1000+ROW())</f>
        <v/>
      </c>
    </row>
    <row r="152">
      <c r="A152" s="1" t="n"/>
      <c r="B152" s="20" t="n"/>
      <c r="C152" s="21" t="n"/>
      <c r="D152" s="22" t="n"/>
      <c r="E152" s="37" t="n"/>
      <c r="F152" s="23" t="n"/>
      <c r="G152" s="36" t="n"/>
      <c r="H152" s="20" t="n"/>
      <c r="I152" s="36" t="n"/>
      <c r="J152" s="43">
        <f>IF(C152="","",N(D152)*IFERROR(N(INDEX(Ingredients!$D$6:$D$105,MATCH(C152,Ingredients!$B$6:$B$105,0))),0))</f>
        <v/>
      </c>
      <c r="K152" s="12">
        <f>IF(OR(C152="",I152&lt;&gt;"",NOT(ISNUMBER(H152))),"",IF(H152&lt;TODAY(),"Past its date",IF(H152-TODAY()&lt;=Settings!$C$6,"Use soon","")))</f>
        <v/>
      </c>
      <c r="L152" s="1">
        <f>IF(K152="","",H152*1000+ROW())</f>
        <v/>
      </c>
    </row>
    <row r="153">
      <c r="A153" s="1" t="n"/>
      <c r="B153" s="20" t="n"/>
      <c r="C153" s="21" t="n"/>
      <c r="D153" s="22" t="n"/>
      <c r="E153" s="37" t="n"/>
      <c r="F153" s="23" t="n"/>
      <c r="G153" s="36" t="n"/>
      <c r="H153" s="20" t="n"/>
      <c r="I153" s="36" t="n"/>
      <c r="J153" s="43">
        <f>IF(C153="","",N(D153)*IFERROR(N(INDEX(Ingredients!$D$6:$D$105,MATCH(C153,Ingredients!$B$6:$B$105,0))),0))</f>
        <v/>
      </c>
      <c r="K153" s="12">
        <f>IF(OR(C153="",I153&lt;&gt;"",NOT(ISNUMBER(H153))),"",IF(H153&lt;TODAY(),"Past its date",IF(H153-TODAY()&lt;=Settings!$C$6,"Use soon","")))</f>
        <v/>
      </c>
      <c r="L153" s="1">
        <f>IF(K153="","",H153*1000+ROW())</f>
        <v/>
      </c>
    </row>
    <row r="154">
      <c r="A154" s="1" t="n"/>
      <c r="B154" s="20" t="n"/>
      <c r="C154" s="21" t="n"/>
      <c r="D154" s="22" t="n"/>
      <c r="E154" s="37" t="n"/>
      <c r="F154" s="23" t="n"/>
      <c r="G154" s="36" t="n"/>
      <c r="H154" s="20" t="n"/>
      <c r="I154" s="36" t="n"/>
      <c r="J154" s="43">
        <f>IF(C154="","",N(D154)*IFERROR(N(INDEX(Ingredients!$D$6:$D$105,MATCH(C154,Ingredients!$B$6:$B$105,0))),0))</f>
        <v/>
      </c>
      <c r="K154" s="12">
        <f>IF(OR(C154="",I154&lt;&gt;"",NOT(ISNUMBER(H154))),"",IF(H154&lt;TODAY(),"Past its date",IF(H154-TODAY()&lt;=Settings!$C$6,"Use soon","")))</f>
        <v/>
      </c>
      <c r="L154" s="1">
        <f>IF(K154="","",H154*1000+ROW())</f>
        <v/>
      </c>
    </row>
    <row r="155">
      <c r="A155" s="1" t="n"/>
      <c r="B155" s="20" t="n"/>
      <c r="C155" s="21" t="n"/>
      <c r="D155" s="22" t="n"/>
      <c r="E155" s="37" t="n"/>
      <c r="F155" s="23" t="n"/>
      <c r="G155" s="36" t="n"/>
      <c r="H155" s="20" t="n"/>
      <c r="I155" s="36" t="n"/>
      <c r="J155" s="43">
        <f>IF(C155="","",N(D155)*IFERROR(N(INDEX(Ingredients!$D$6:$D$105,MATCH(C155,Ingredients!$B$6:$B$105,0))),0))</f>
        <v/>
      </c>
      <c r="K155" s="12">
        <f>IF(OR(C155="",I155&lt;&gt;"",NOT(ISNUMBER(H155))),"",IF(H155&lt;TODAY(),"Past its date",IF(H155-TODAY()&lt;=Settings!$C$6,"Use soon","")))</f>
        <v/>
      </c>
      <c r="L155" s="1">
        <f>IF(K155="","",H155*1000+ROW())</f>
        <v/>
      </c>
    </row>
    <row r="156">
      <c r="A156" s="1" t="n"/>
      <c r="B156" s="20" t="n"/>
      <c r="C156" s="21" t="n"/>
      <c r="D156" s="22" t="n"/>
      <c r="E156" s="37" t="n"/>
      <c r="F156" s="23" t="n"/>
      <c r="G156" s="36" t="n"/>
      <c r="H156" s="20" t="n"/>
      <c r="I156" s="36" t="n"/>
      <c r="J156" s="43">
        <f>IF(C156="","",N(D156)*IFERROR(N(INDEX(Ingredients!$D$6:$D$105,MATCH(C156,Ingredients!$B$6:$B$105,0))),0))</f>
        <v/>
      </c>
      <c r="K156" s="12">
        <f>IF(OR(C156="",I156&lt;&gt;"",NOT(ISNUMBER(H156))),"",IF(H156&lt;TODAY(),"Past its date",IF(H156-TODAY()&lt;=Settings!$C$6,"Use soon","")))</f>
        <v/>
      </c>
      <c r="L156" s="1">
        <f>IF(K156="","",H156*1000+ROW())</f>
        <v/>
      </c>
    </row>
    <row r="157">
      <c r="A157" s="1" t="n"/>
      <c r="B157" s="20" t="n"/>
      <c r="C157" s="21" t="n"/>
      <c r="D157" s="22" t="n"/>
      <c r="E157" s="37" t="n"/>
      <c r="F157" s="23" t="n"/>
      <c r="G157" s="36" t="n"/>
      <c r="H157" s="20" t="n"/>
      <c r="I157" s="36" t="n"/>
      <c r="J157" s="43">
        <f>IF(C157="","",N(D157)*IFERROR(N(INDEX(Ingredients!$D$6:$D$105,MATCH(C157,Ingredients!$B$6:$B$105,0))),0))</f>
        <v/>
      </c>
      <c r="K157" s="12">
        <f>IF(OR(C157="",I157&lt;&gt;"",NOT(ISNUMBER(H157))),"",IF(H157&lt;TODAY(),"Past its date",IF(H157-TODAY()&lt;=Settings!$C$6,"Use soon","")))</f>
        <v/>
      </c>
      <c r="L157" s="1">
        <f>IF(K157="","",H157*1000+ROW())</f>
        <v/>
      </c>
    </row>
    <row r="158">
      <c r="A158" s="1" t="n"/>
      <c r="B158" s="20" t="n"/>
      <c r="C158" s="21" t="n"/>
      <c r="D158" s="22" t="n"/>
      <c r="E158" s="37" t="n"/>
      <c r="F158" s="23" t="n"/>
      <c r="G158" s="36" t="n"/>
      <c r="H158" s="20" t="n"/>
      <c r="I158" s="36" t="n"/>
      <c r="J158" s="43">
        <f>IF(C158="","",N(D158)*IFERROR(N(INDEX(Ingredients!$D$6:$D$105,MATCH(C158,Ingredients!$B$6:$B$105,0))),0))</f>
        <v/>
      </c>
      <c r="K158" s="12">
        <f>IF(OR(C158="",I158&lt;&gt;"",NOT(ISNUMBER(H158))),"",IF(H158&lt;TODAY(),"Past its date",IF(H158-TODAY()&lt;=Settings!$C$6,"Use soon","")))</f>
        <v/>
      </c>
      <c r="L158" s="1">
        <f>IF(K158="","",H158*1000+ROW())</f>
        <v/>
      </c>
    </row>
    <row r="159">
      <c r="A159" s="1" t="n"/>
      <c r="B159" s="20" t="n"/>
      <c r="C159" s="21" t="n"/>
      <c r="D159" s="22" t="n"/>
      <c r="E159" s="37" t="n"/>
      <c r="F159" s="23" t="n"/>
      <c r="G159" s="36" t="n"/>
      <c r="H159" s="20" t="n"/>
      <c r="I159" s="36" t="n"/>
      <c r="J159" s="43">
        <f>IF(C159="","",N(D159)*IFERROR(N(INDEX(Ingredients!$D$6:$D$105,MATCH(C159,Ingredients!$B$6:$B$105,0))),0))</f>
        <v/>
      </c>
      <c r="K159" s="12">
        <f>IF(OR(C159="",I159&lt;&gt;"",NOT(ISNUMBER(H159))),"",IF(H159&lt;TODAY(),"Past its date",IF(H159-TODAY()&lt;=Settings!$C$6,"Use soon","")))</f>
        <v/>
      </c>
      <c r="L159" s="1">
        <f>IF(K159="","",H159*1000+ROW())</f>
        <v/>
      </c>
    </row>
    <row r="160">
      <c r="A160" s="1" t="n"/>
      <c r="B160" s="20" t="n"/>
      <c r="C160" s="21" t="n"/>
      <c r="D160" s="22" t="n"/>
      <c r="E160" s="37" t="n"/>
      <c r="F160" s="23" t="n"/>
      <c r="G160" s="36" t="n"/>
      <c r="H160" s="20" t="n"/>
      <c r="I160" s="36" t="n"/>
      <c r="J160" s="43">
        <f>IF(C160="","",N(D160)*IFERROR(N(INDEX(Ingredients!$D$6:$D$105,MATCH(C160,Ingredients!$B$6:$B$105,0))),0))</f>
        <v/>
      </c>
      <c r="K160" s="12">
        <f>IF(OR(C160="",I160&lt;&gt;"",NOT(ISNUMBER(H160))),"",IF(H160&lt;TODAY(),"Past its date",IF(H160-TODAY()&lt;=Settings!$C$6,"Use soon","")))</f>
        <v/>
      </c>
      <c r="L160" s="1">
        <f>IF(K160="","",H160*1000+ROW())</f>
        <v/>
      </c>
    </row>
    <row r="161">
      <c r="A161" s="1" t="n"/>
      <c r="B161" s="20" t="n"/>
      <c r="C161" s="21" t="n"/>
      <c r="D161" s="22" t="n"/>
      <c r="E161" s="37" t="n"/>
      <c r="F161" s="23" t="n"/>
      <c r="G161" s="36" t="n"/>
      <c r="H161" s="20" t="n"/>
      <c r="I161" s="36" t="n"/>
      <c r="J161" s="43">
        <f>IF(C161="","",N(D161)*IFERROR(N(INDEX(Ingredients!$D$6:$D$105,MATCH(C161,Ingredients!$B$6:$B$105,0))),0))</f>
        <v/>
      </c>
      <c r="K161" s="12">
        <f>IF(OR(C161="",I161&lt;&gt;"",NOT(ISNUMBER(H161))),"",IF(H161&lt;TODAY(),"Past its date",IF(H161-TODAY()&lt;=Settings!$C$6,"Use soon","")))</f>
        <v/>
      </c>
      <c r="L161" s="1">
        <f>IF(K161="","",H161*1000+ROW())</f>
        <v/>
      </c>
    </row>
    <row r="162">
      <c r="A162" s="1" t="n"/>
      <c r="B162" s="20" t="n"/>
      <c r="C162" s="21" t="n"/>
      <c r="D162" s="22" t="n"/>
      <c r="E162" s="37" t="n"/>
      <c r="F162" s="23" t="n"/>
      <c r="G162" s="36" t="n"/>
      <c r="H162" s="20" t="n"/>
      <c r="I162" s="36" t="n"/>
      <c r="J162" s="43">
        <f>IF(C162="","",N(D162)*IFERROR(N(INDEX(Ingredients!$D$6:$D$105,MATCH(C162,Ingredients!$B$6:$B$105,0))),0))</f>
        <v/>
      </c>
      <c r="K162" s="12">
        <f>IF(OR(C162="",I162&lt;&gt;"",NOT(ISNUMBER(H162))),"",IF(H162&lt;TODAY(),"Past its date",IF(H162-TODAY()&lt;=Settings!$C$6,"Use soon","")))</f>
        <v/>
      </c>
      <c r="L162" s="1">
        <f>IF(K162="","",H162*1000+ROW())</f>
        <v/>
      </c>
    </row>
    <row r="163">
      <c r="A163" s="1" t="n"/>
      <c r="B163" s="20" t="n"/>
      <c r="C163" s="21" t="n"/>
      <c r="D163" s="22" t="n"/>
      <c r="E163" s="37" t="n"/>
      <c r="F163" s="23" t="n"/>
      <c r="G163" s="36" t="n"/>
      <c r="H163" s="20" t="n"/>
      <c r="I163" s="36" t="n"/>
      <c r="J163" s="43">
        <f>IF(C163="","",N(D163)*IFERROR(N(INDEX(Ingredients!$D$6:$D$105,MATCH(C163,Ingredients!$B$6:$B$105,0))),0))</f>
        <v/>
      </c>
      <c r="K163" s="12">
        <f>IF(OR(C163="",I163&lt;&gt;"",NOT(ISNUMBER(H163))),"",IF(H163&lt;TODAY(),"Past its date",IF(H163-TODAY()&lt;=Settings!$C$6,"Use soon","")))</f>
        <v/>
      </c>
      <c r="L163" s="1">
        <f>IF(K163="","",H163*1000+ROW())</f>
        <v/>
      </c>
    </row>
    <row r="164">
      <c r="A164" s="1" t="n"/>
      <c r="B164" s="20" t="n"/>
      <c r="C164" s="21" t="n"/>
      <c r="D164" s="22" t="n"/>
      <c r="E164" s="37" t="n"/>
      <c r="F164" s="23" t="n"/>
      <c r="G164" s="36" t="n"/>
      <c r="H164" s="20" t="n"/>
      <c r="I164" s="36" t="n"/>
      <c r="J164" s="43">
        <f>IF(C164="","",N(D164)*IFERROR(N(INDEX(Ingredients!$D$6:$D$105,MATCH(C164,Ingredients!$B$6:$B$105,0))),0))</f>
        <v/>
      </c>
      <c r="K164" s="12">
        <f>IF(OR(C164="",I164&lt;&gt;"",NOT(ISNUMBER(H164))),"",IF(H164&lt;TODAY(),"Past its date",IF(H164-TODAY()&lt;=Settings!$C$6,"Use soon","")))</f>
        <v/>
      </c>
      <c r="L164" s="1">
        <f>IF(K164="","",H164*1000+ROW())</f>
        <v/>
      </c>
    </row>
    <row r="165">
      <c r="A165" s="1" t="n"/>
      <c r="B165" s="20" t="n"/>
      <c r="C165" s="21" t="n"/>
      <c r="D165" s="22" t="n"/>
      <c r="E165" s="37" t="n"/>
      <c r="F165" s="23" t="n"/>
      <c r="G165" s="36" t="n"/>
      <c r="H165" s="20" t="n"/>
      <c r="I165" s="36" t="n"/>
      <c r="J165" s="43">
        <f>IF(C165="","",N(D165)*IFERROR(N(INDEX(Ingredients!$D$6:$D$105,MATCH(C165,Ingredients!$B$6:$B$105,0))),0))</f>
        <v/>
      </c>
      <c r="K165" s="12">
        <f>IF(OR(C165="",I165&lt;&gt;"",NOT(ISNUMBER(H165))),"",IF(H165&lt;TODAY(),"Past its date",IF(H165-TODAY()&lt;=Settings!$C$6,"Use soon","")))</f>
        <v/>
      </c>
      <c r="L165" s="1">
        <f>IF(K165="","",H165*1000+ROW())</f>
        <v/>
      </c>
    </row>
    <row r="166">
      <c r="A166" s="1" t="n"/>
      <c r="B166" s="20" t="n"/>
      <c r="C166" s="21" t="n"/>
      <c r="D166" s="22" t="n"/>
      <c r="E166" s="37" t="n"/>
      <c r="F166" s="23" t="n"/>
      <c r="G166" s="36" t="n"/>
      <c r="H166" s="20" t="n"/>
      <c r="I166" s="36" t="n"/>
      <c r="J166" s="43">
        <f>IF(C166="","",N(D166)*IFERROR(N(INDEX(Ingredients!$D$6:$D$105,MATCH(C166,Ingredients!$B$6:$B$105,0))),0))</f>
        <v/>
      </c>
      <c r="K166" s="12">
        <f>IF(OR(C166="",I166&lt;&gt;"",NOT(ISNUMBER(H166))),"",IF(H166&lt;TODAY(),"Past its date",IF(H166-TODAY()&lt;=Settings!$C$6,"Use soon","")))</f>
        <v/>
      </c>
      <c r="L166" s="1">
        <f>IF(K166="","",H166*1000+ROW())</f>
        <v/>
      </c>
    </row>
    <row r="167">
      <c r="A167" s="1" t="n"/>
      <c r="B167" s="20" t="n"/>
      <c r="C167" s="21" t="n"/>
      <c r="D167" s="22" t="n"/>
      <c r="E167" s="37" t="n"/>
      <c r="F167" s="23" t="n"/>
      <c r="G167" s="36" t="n"/>
      <c r="H167" s="20" t="n"/>
      <c r="I167" s="36" t="n"/>
      <c r="J167" s="43">
        <f>IF(C167="","",N(D167)*IFERROR(N(INDEX(Ingredients!$D$6:$D$105,MATCH(C167,Ingredients!$B$6:$B$105,0))),0))</f>
        <v/>
      </c>
      <c r="K167" s="12">
        <f>IF(OR(C167="",I167&lt;&gt;"",NOT(ISNUMBER(H167))),"",IF(H167&lt;TODAY(),"Past its date",IF(H167-TODAY()&lt;=Settings!$C$6,"Use soon","")))</f>
        <v/>
      </c>
      <c r="L167" s="1">
        <f>IF(K167="","",H167*1000+ROW())</f>
        <v/>
      </c>
    </row>
    <row r="168">
      <c r="A168" s="1" t="n"/>
      <c r="B168" s="20" t="n"/>
      <c r="C168" s="21" t="n"/>
      <c r="D168" s="22" t="n"/>
      <c r="E168" s="37" t="n"/>
      <c r="F168" s="23" t="n"/>
      <c r="G168" s="36" t="n"/>
      <c r="H168" s="20" t="n"/>
      <c r="I168" s="36" t="n"/>
      <c r="J168" s="43">
        <f>IF(C168="","",N(D168)*IFERROR(N(INDEX(Ingredients!$D$6:$D$105,MATCH(C168,Ingredients!$B$6:$B$105,0))),0))</f>
        <v/>
      </c>
      <c r="K168" s="12">
        <f>IF(OR(C168="",I168&lt;&gt;"",NOT(ISNUMBER(H168))),"",IF(H168&lt;TODAY(),"Past its date",IF(H168-TODAY()&lt;=Settings!$C$6,"Use soon","")))</f>
        <v/>
      </c>
      <c r="L168" s="1">
        <f>IF(K168="","",H168*1000+ROW())</f>
        <v/>
      </c>
    </row>
    <row r="169">
      <c r="A169" s="1" t="n"/>
      <c r="B169" s="20" t="n"/>
      <c r="C169" s="21" t="n"/>
      <c r="D169" s="22" t="n"/>
      <c r="E169" s="37" t="n"/>
      <c r="F169" s="23" t="n"/>
      <c r="G169" s="36" t="n"/>
      <c r="H169" s="20" t="n"/>
      <c r="I169" s="36" t="n"/>
      <c r="J169" s="43">
        <f>IF(C169="","",N(D169)*IFERROR(N(INDEX(Ingredients!$D$6:$D$105,MATCH(C169,Ingredients!$B$6:$B$105,0))),0))</f>
        <v/>
      </c>
      <c r="K169" s="12">
        <f>IF(OR(C169="",I169&lt;&gt;"",NOT(ISNUMBER(H169))),"",IF(H169&lt;TODAY(),"Past its date",IF(H169-TODAY()&lt;=Settings!$C$6,"Use soon","")))</f>
        <v/>
      </c>
      <c r="L169" s="1">
        <f>IF(K169="","",H169*1000+ROW())</f>
        <v/>
      </c>
    </row>
    <row r="170">
      <c r="A170" s="1" t="n"/>
      <c r="B170" s="20" t="n"/>
      <c r="C170" s="21" t="n"/>
      <c r="D170" s="22" t="n"/>
      <c r="E170" s="37" t="n"/>
      <c r="F170" s="23" t="n"/>
      <c r="G170" s="36" t="n"/>
      <c r="H170" s="20" t="n"/>
      <c r="I170" s="36" t="n"/>
      <c r="J170" s="43">
        <f>IF(C170="","",N(D170)*IFERROR(N(INDEX(Ingredients!$D$6:$D$105,MATCH(C170,Ingredients!$B$6:$B$105,0))),0))</f>
        <v/>
      </c>
      <c r="K170" s="12">
        <f>IF(OR(C170="",I170&lt;&gt;"",NOT(ISNUMBER(H170))),"",IF(H170&lt;TODAY(),"Past its date",IF(H170-TODAY()&lt;=Settings!$C$6,"Use soon","")))</f>
        <v/>
      </c>
      <c r="L170" s="1">
        <f>IF(K170="","",H170*1000+ROW())</f>
        <v/>
      </c>
    </row>
    <row r="171">
      <c r="A171" s="1" t="n"/>
      <c r="B171" s="20" t="n"/>
      <c r="C171" s="21" t="n"/>
      <c r="D171" s="22" t="n"/>
      <c r="E171" s="37" t="n"/>
      <c r="F171" s="23" t="n"/>
      <c r="G171" s="36" t="n"/>
      <c r="H171" s="20" t="n"/>
      <c r="I171" s="36" t="n"/>
      <c r="J171" s="43">
        <f>IF(C171="","",N(D171)*IFERROR(N(INDEX(Ingredients!$D$6:$D$105,MATCH(C171,Ingredients!$B$6:$B$105,0))),0))</f>
        <v/>
      </c>
      <c r="K171" s="12">
        <f>IF(OR(C171="",I171&lt;&gt;"",NOT(ISNUMBER(H171))),"",IF(H171&lt;TODAY(),"Past its date",IF(H171-TODAY()&lt;=Settings!$C$6,"Use soon","")))</f>
        <v/>
      </c>
      <c r="L171" s="1">
        <f>IF(K171="","",H171*1000+ROW())</f>
        <v/>
      </c>
    </row>
    <row r="172">
      <c r="A172" s="1" t="n"/>
      <c r="B172" s="20" t="n"/>
      <c r="C172" s="21" t="n"/>
      <c r="D172" s="22" t="n"/>
      <c r="E172" s="37" t="n"/>
      <c r="F172" s="23" t="n"/>
      <c r="G172" s="36" t="n"/>
      <c r="H172" s="20" t="n"/>
      <c r="I172" s="36" t="n"/>
      <c r="J172" s="43">
        <f>IF(C172="","",N(D172)*IFERROR(N(INDEX(Ingredients!$D$6:$D$105,MATCH(C172,Ingredients!$B$6:$B$105,0))),0))</f>
        <v/>
      </c>
      <c r="K172" s="12">
        <f>IF(OR(C172="",I172&lt;&gt;"",NOT(ISNUMBER(H172))),"",IF(H172&lt;TODAY(),"Past its date",IF(H172-TODAY()&lt;=Settings!$C$6,"Use soon","")))</f>
        <v/>
      </c>
      <c r="L172" s="1">
        <f>IF(K172="","",H172*1000+ROW())</f>
        <v/>
      </c>
    </row>
    <row r="173">
      <c r="A173" s="1" t="n"/>
      <c r="B173" s="20" t="n"/>
      <c r="C173" s="21" t="n"/>
      <c r="D173" s="22" t="n"/>
      <c r="E173" s="37" t="n"/>
      <c r="F173" s="23" t="n"/>
      <c r="G173" s="36" t="n"/>
      <c r="H173" s="20" t="n"/>
      <c r="I173" s="36" t="n"/>
      <c r="J173" s="43">
        <f>IF(C173="","",N(D173)*IFERROR(N(INDEX(Ingredients!$D$6:$D$105,MATCH(C173,Ingredients!$B$6:$B$105,0))),0))</f>
        <v/>
      </c>
      <c r="K173" s="12">
        <f>IF(OR(C173="",I173&lt;&gt;"",NOT(ISNUMBER(H173))),"",IF(H173&lt;TODAY(),"Past its date",IF(H173-TODAY()&lt;=Settings!$C$6,"Use soon","")))</f>
        <v/>
      </c>
      <c r="L173" s="1">
        <f>IF(K173="","",H173*1000+ROW())</f>
        <v/>
      </c>
    </row>
    <row r="174">
      <c r="A174" s="1" t="n"/>
      <c r="B174" s="20" t="n"/>
      <c r="C174" s="21" t="n"/>
      <c r="D174" s="22" t="n"/>
      <c r="E174" s="37" t="n"/>
      <c r="F174" s="23" t="n"/>
      <c r="G174" s="36" t="n"/>
      <c r="H174" s="20" t="n"/>
      <c r="I174" s="36" t="n"/>
      <c r="J174" s="43">
        <f>IF(C174="","",N(D174)*IFERROR(N(INDEX(Ingredients!$D$6:$D$105,MATCH(C174,Ingredients!$B$6:$B$105,0))),0))</f>
        <v/>
      </c>
      <c r="K174" s="12">
        <f>IF(OR(C174="",I174&lt;&gt;"",NOT(ISNUMBER(H174))),"",IF(H174&lt;TODAY(),"Past its date",IF(H174-TODAY()&lt;=Settings!$C$6,"Use soon","")))</f>
        <v/>
      </c>
      <c r="L174" s="1">
        <f>IF(K174="","",H174*1000+ROW())</f>
        <v/>
      </c>
    </row>
    <row r="175">
      <c r="A175" s="1" t="n"/>
      <c r="B175" s="20" t="n"/>
      <c r="C175" s="21" t="n"/>
      <c r="D175" s="22" t="n"/>
      <c r="E175" s="37" t="n"/>
      <c r="F175" s="23" t="n"/>
      <c r="G175" s="36" t="n"/>
      <c r="H175" s="20" t="n"/>
      <c r="I175" s="36" t="n"/>
      <c r="J175" s="43">
        <f>IF(C175="","",N(D175)*IFERROR(N(INDEX(Ingredients!$D$6:$D$105,MATCH(C175,Ingredients!$B$6:$B$105,0))),0))</f>
        <v/>
      </c>
      <c r="K175" s="12">
        <f>IF(OR(C175="",I175&lt;&gt;"",NOT(ISNUMBER(H175))),"",IF(H175&lt;TODAY(),"Past its date",IF(H175-TODAY()&lt;=Settings!$C$6,"Use soon","")))</f>
        <v/>
      </c>
      <c r="L175" s="1">
        <f>IF(K175="","",H175*1000+ROW())</f>
        <v/>
      </c>
    </row>
    <row r="176">
      <c r="A176" s="1" t="n"/>
      <c r="B176" s="20" t="n"/>
      <c r="C176" s="21" t="n"/>
      <c r="D176" s="22" t="n"/>
      <c r="E176" s="37" t="n"/>
      <c r="F176" s="23" t="n"/>
      <c r="G176" s="36" t="n"/>
      <c r="H176" s="20" t="n"/>
      <c r="I176" s="36" t="n"/>
      <c r="J176" s="43">
        <f>IF(C176="","",N(D176)*IFERROR(N(INDEX(Ingredients!$D$6:$D$105,MATCH(C176,Ingredients!$B$6:$B$105,0))),0))</f>
        <v/>
      </c>
      <c r="K176" s="12">
        <f>IF(OR(C176="",I176&lt;&gt;"",NOT(ISNUMBER(H176))),"",IF(H176&lt;TODAY(),"Past its date",IF(H176-TODAY()&lt;=Settings!$C$6,"Use soon","")))</f>
        <v/>
      </c>
      <c r="L176" s="1">
        <f>IF(K176="","",H176*1000+ROW())</f>
        <v/>
      </c>
    </row>
    <row r="177">
      <c r="A177" s="1" t="n"/>
      <c r="B177" s="20" t="n"/>
      <c r="C177" s="21" t="n"/>
      <c r="D177" s="22" t="n"/>
      <c r="E177" s="37" t="n"/>
      <c r="F177" s="23" t="n"/>
      <c r="G177" s="36" t="n"/>
      <c r="H177" s="20" t="n"/>
      <c r="I177" s="36" t="n"/>
      <c r="J177" s="43">
        <f>IF(C177="","",N(D177)*IFERROR(N(INDEX(Ingredients!$D$6:$D$105,MATCH(C177,Ingredients!$B$6:$B$105,0))),0))</f>
        <v/>
      </c>
      <c r="K177" s="12">
        <f>IF(OR(C177="",I177&lt;&gt;"",NOT(ISNUMBER(H177))),"",IF(H177&lt;TODAY(),"Past its date",IF(H177-TODAY()&lt;=Settings!$C$6,"Use soon","")))</f>
        <v/>
      </c>
      <c r="L177" s="1">
        <f>IF(K177="","",H177*1000+ROW())</f>
        <v/>
      </c>
    </row>
    <row r="178">
      <c r="A178" s="1" t="n"/>
      <c r="B178" s="20" t="n"/>
      <c r="C178" s="21" t="n"/>
      <c r="D178" s="22" t="n"/>
      <c r="E178" s="37" t="n"/>
      <c r="F178" s="23" t="n"/>
      <c r="G178" s="36" t="n"/>
      <c r="H178" s="20" t="n"/>
      <c r="I178" s="36" t="n"/>
      <c r="J178" s="43">
        <f>IF(C178="","",N(D178)*IFERROR(N(INDEX(Ingredients!$D$6:$D$105,MATCH(C178,Ingredients!$B$6:$B$105,0))),0))</f>
        <v/>
      </c>
      <c r="K178" s="12">
        <f>IF(OR(C178="",I178&lt;&gt;"",NOT(ISNUMBER(H178))),"",IF(H178&lt;TODAY(),"Past its date",IF(H178-TODAY()&lt;=Settings!$C$6,"Use soon","")))</f>
        <v/>
      </c>
      <c r="L178" s="1">
        <f>IF(K178="","",H178*1000+ROW())</f>
        <v/>
      </c>
    </row>
    <row r="179">
      <c r="A179" s="1" t="n"/>
      <c r="B179" s="20" t="n"/>
      <c r="C179" s="21" t="n"/>
      <c r="D179" s="22" t="n"/>
      <c r="E179" s="37" t="n"/>
      <c r="F179" s="23" t="n"/>
      <c r="G179" s="36" t="n"/>
      <c r="H179" s="20" t="n"/>
      <c r="I179" s="36" t="n"/>
      <c r="J179" s="43">
        <f>IF(C179="","",N(D179)*IFERROR(N(INDEX(Ingredients!$D$6:$D$105,MATCH(C179,Ingredients!$B$6:$B$105,0))),0))</f>
        <v/>
      </c>
      <c r="K179" s="12">
        <f>IF(OR(C179="",I179&lt;&gt;"",NOT(ISNUMBER(H179))),"",IF(H179&lt;TODAY(),"Past its date",IF(H179-TODAY()&lt;=Settings!$C$6,"Use soon","")))</f>
        <v/>
      </c>
      <c r="L179" s="1">
        <f>IF(K179="","",H179*1000+ROW())</f>
        <v/>
      </c>
    </row>
    <row r="180">
      <c r="A180" s="1" t="n"/>
      <c r="B180" s="20" t="n"/>
      <c r="C180" s="21" t="n"/>
      <c r="D180" s="22" t="n"/>
      <c r="E180" s="37" t="n"/>
      <c r="F180" s="23" t="n"/>
      <c r="G180" s="36" t="n"/>
      <c r="H180" s="20" t="n"/>
      <c r="I180" s="36" t="n"/>
      <c r="J180" s="43">
        <f>IF(C180="","",N(D180)*IFERROR(N(INDEX(Ingredients!$D$6:$D$105,MATCH(C180,Ingredients!$B$6:$B$105,0))),0))</f>
        <v/>
      </c>
      <c r="K180" s="12">
        <f>IF(OR(C180="",I180&lt;&gt;"",NOT(ISNUMBER(H180))),"",IF(H180&lt;TODAY(),"Past its date",IF(H180-TODAY()&lt;=Settings!$C$6,"Use soon","")))</f>
        <v/>
      </c>
      <c r="L180" s="1">
        <f>IF(K180="","",H180*1000+ROW())</f>
        <v/>
      </c>
    </row>
    <row r="181">
      <c r="A181" s="1" t="n"/>
      <c r="B181" s="20" t="n"/>
      <c r="C181" s="21" t="n"/>
      <c r="D181" s="22" t="n"/>
      <c r="E181" s="37" t="n"/>
      <c r="F181" s="23" t="n"/>
      <c r="G181" s="36" t="n"/>
      <c r="H181" s="20" t="n"/>
      <c r="I181" s="36" t="n"/>
      <c r="J181" s="43">
        <f>IF(C181="","",N(D181)*IFERROR(N(INDEX(Ingredients!$D$6:$D$105,MATCH(C181,Ingredients!$B$6:$B$105,0))),0))</f>
        <v/>
      </c>
      <c r="K181" s="12">
        <f>IF(OR(C181="",I181&lt;&gt;"",NOT(ISNUMBER(H181))),"",IF(H181&lt;TODAY(),"Past its date",IF(H181-TODAY()&lt;=Settings!$C$6,"Use soon","")))</f>
        <v/>
      </c>
      <c r="L181" s="1">
        <f>IF(K181="","",H181*1000+ROW())</f>
        <v/>
      </c>
    </row>
    <row r="182">
      <c r="A182" s="1" t="n"/>
      <c r="B182" s="20" t="n"/>
      <c r="C182" s="21" t="n"/>
      <c r="D182" s="22" t="n"/>
      <c r="E182" s="37" t="n"/>
      <c r="F182" s="23" t="n"/>
      <c r="G182" s="36" t="n"/>
      <c r="H182" s="20" t="n"/>
      <c r="I182" s="36" t="n"/>
      <c r="J182" s="43">
        <f>IF(C182="","",N(D182)*IFERROR(N(INDEX(Ingredients!$D$6:$D$105,MATCH(C182,Ingredients!$B$6:$B$105,0))),0))</f>
        <v/>
      </c>
      <c r="K182" s="12">
        <f>IF(OR(C182="",I182&lt;&gt;"",NOT(ISNUMBER(H182))),"",IF(H182&lt;TODAY(),"Past its date",IF(H182-TODAY()&lt;=Settings!$C$6,"Use soon","")))</f>
        <v/>
      </c>
      <c r="L182" s="1">
        <f>IF(K182="","",H182*1000+ROW())</f>
        <v/>
      </c>
    </row>
    <row r="183">
      <c r="A183" s="1" t="n"/>
      <c r="B183" s="20" t="n"/>
      <c r="C183" s="21" t="n"/>
      <c r="D183" s="22" t="n"/>
      <c r="E183" s="37" t="n"/>
      <c r="F183" s="23" t="n"/>
      <c r="G183" s="36" t="n"/>
      <c r="H183" s="20" t="n"/>
      <c r="I183" s="36" t="n"/>
      <c r="J183" s="43">
        <f>IF(C183="","",N(D183)*IFERROR(N(INDEX(Ingredients!$D$6:$D$105,MATCH(C183,Ingredients!$B$6:$B$105,0))),0))</f>
        <v/>
      </c>
      <c r="K183" s="12">
        <f>IF(OR(C183="",I183&lt;&gt;"",NOT(ISNUMBER(H183))),"",IF(H183&lt;TODAY(),"Past its date",IF(H183-TODAY()&lt;=Settings!$C$6,"Use soon","")))</f>
        <v/>
      </c>
      <c r="L183" s="1">
        <f>IF(K183="","",H183*1000+ROW())</f>
        <v/>
      </c>
    </row>
    <row r="184">
      <c r="A184" s="1" t="n"/>
      <c r="B184" s="20" t="n"/>
      <c r="C184" s="21" t="n"/>
      <c r="D184" s="22" t="n"/>
      <c r="E184" s="37" t="n"/>
      <c r="F184" s="23" t="n"/>
      <c r="G184" s="36" t="n"/>
      <c r="H184" s="20" t="n"/>
      <c r="I184" s="36" t="n"/>
      <c r="J184" s="43">
        <f>IF(C184="","",N(D184)*IFERROR(N(INDEX(Ingredients!$D$6:$D$105,MATCH(C184,Ingredients!$B$6:$B$105,0))),0))</f>
        <v/>
      </c>
      <c r="K184" s="12">
        <f>IF(OR(C184="",I184&lt;&gt;"",NOT(ISNUMBER(H184))),"",IF(H184&lt;TODAY(),"Past its date",IF(H184-TODAY()&lt;=Settings!$C$6,"Use soon","")))</f>
        <v/>
      </c>
      <c r="L184" s="1">
        <f>IF(K184="","",H184*1000+ROW())</f>
        <v/>
      </c>
    </row>
    <row r="185">
      <c r="A185" s="1" t="n"/>
      <c r="B185" s="20" t="n"/>
      <c r="C185" s="21" t="n"/>
      <c r="D185" s="22" t="n"/>
      <c r="E185" s="37" t="n"/>
      <c r="F185" s="23" t="n"/>
      <c r="G185" s="36" t="n"/>
      <c r="H185" s="20" t="n"/>
      <c r="I185" s="36" t="n"/>
      <c r="J185" s="43">
        <f>IF(C185="","",N(D185)*IFERROR(N(INDEX(Ingredients!$D$6:$D$105,MATCH(C185,Ingredients!$B$6:$B$105,0))),0))</f>
        <v/>
      </c>
      <c r="K185" s="12">
        <f>IF(OR(C185="",I185&lt;&gt;"",NOT(ISNUMBER(H185))),"",IF(H185&lt;TODAY(),"Past its date",IF(H185-TODAY()&lt;=Settings!$C$6,"Use soon","")))</f>
        <v/>
      </c>
      <c r="L185" s="1">
        <f>IF(K185="","",H185*1000+ROW())</f>
        <v/>
      </c>
    </row>
    <row r="186">
      <c r="A186" s="1" t="n"/>
      <c r="B186" s="20" t="n"/>
      <c r="C186" s="21" t="n"/>
      <c r="D186" s="22" t="n"/>
      <c r="E186" s="37" t="n"/>
      <c r="F186" s="23" t="n"/>
      <c r="G186" s="36" t="n"/>
      <c r="H186" s="20" t="n"/>
      <c r="I186" s="36" t="n"/>
      <c r="J186" s="43">
        <f>IF(C186="","",N(D186)*IFERROR(N(INDEX(Ingredients!$D$6:$D$105,MATCH(C186,Ingredients!$B$6:$B$105,0))),0))</f>
        <v/>
      </c>
      <c r="K186" s="12">
        <f>IF(OR(C186="",I186&lt;&gt;"",NOT(ISNUMBER(H186))),"",IF(H186&lt;TODAY(),"Past its date",IF(H186-TODAY()&lt;=Settings!$C$6,"Use soon","")))</f>
        <v/>
      </c>
      <c r="L186" s="1">
        <f>IF(K186="","",H186*1000+ROW())</f>
        <v/>
      </c>
    </row>
    <row r="187">
      <c r="A187" s="1" t="n"/>
      <c r="B187" s="20" t="n"/>
      <c r="C187" s="21" t="n"/>
      <c r="D187" s="22" t="n"/>
      <c r="E187" s="37" t="n"/>
      <c r="F187" s="23" t="n"/>
      <c r="G187" s="36" t="n"/>
      <c r="H187" s="20" t="n"/>
      <c r="I187" s="36" t="n"/>
      <c r="J187" s="43">
        <f>IF(C187="","",N(D187)*IFERROR(N(INDEX(Ingredients!$D$6:$D$105,MATCH(C187,Ingredients!$B$6:$B$105,0))),0))</f>
        <v/>
      </c>
      <c r="K187" s="12">
        <f>IF(OR(C187="",I187&lt;&gt;"",NOT(ISNUMBER(H187))),"",IF(H187&lt;TODAY(),"Past its date",IF(H187-TODAY()&lt;=Settings!$C$6,"Use soon","")))</f>
        <v/>
      </c>
      <c r="L187" s="1">
        <f>IF(K187="","",H187*1000+ROW())</f>
        <v/>
      </c>
    </row>
    <row r="188">
      <c r="A188" s="1" t="n"/>
      <c r="B188" s="20" t="n"/>
      <c r="C188" s="21" t="n"/>
      <c r="D188" s="22" t="n"/>
      <c r="E188" s="37" t="n"/>
      <c r="F188" s="23" t="n"/>
      <c r="G188" s="36" t="n"/>
      <c r="H188" s="20" t="n"/>
      <c r="I188" s="36" t="n"/>
      <c r="J188" s="43">
        <f>IF(C188="","",N(D188)*IFERROR(N(INDEX(Ingredients!$D$6:$D$105,MATCH(C188,Ingredients!$B$6:$B$105,0))),0))</f>
        <v/>
      </c>
      <c r="K188" s="12">
        <f>IF(OR(C188="",I188&lt;&gt;"",NOT(ISNUMBER(H188))),"",IF(H188&lt;TODAY(),"Past its date",IF(H188-TODAY()&lt;=Settings!$C$6,"Use soon","")))</f>
        <v/>
      </c>
      <c r="L188" s="1">
        <f>IF(K188="","",H188*1000+ROW())</f>
        <v/>
      </c>
    </row>
    <row r="189">
      <c r="A189" s="1" t="n"/>
      <c r="B189" s="20" t="n"/>
      <c r="C189" s="21" t="n"/>
      <c r="D189" s="22" t="n"/>
      <c r="E189" s="37" t="n"/>
      <c r="F189" s="23" t="n"/>
      <c r="G189" s="36" t="n"/>
      <c r="H189" s="20" t="n"/>
      <c r="I189" s="36" t="n"/>
      <c r="J189" s="43">
        <f>IF(C189="","",N(D189)*IFERROR(N(INDEX(Ingredients!$D$6:$D$105,MATCH(C189,Ingredients!$B$6:$B$105,0))),0))</f>
        <v/>
      </c>
      <c r="K189" s="12">
        <f>IF(OR(C189="",I189&lt;&gt;"",NOT(ISNUMBER(H189))),"",IF(H189&lt;TODAY(),"Past its date",IF(H189-TODAY()&lt;=Settings!$C$6,"Use soon","")))</f>
        <v/>
      </c>
      <c r="L189" s="1">
        <f>IF(K189="","",H189*1000+ROW())</f>
        <v/>
      </c>
    </row>
    <row r="190">
      <c r="A190" s="1" t="n"/>
      <c r="B190" s="20" t="n"/>
      <c r="C190" s="21" t="n"/>
      <c r="D190" s="22" t="n"/>
      <c r="E190" s="37" t="n"/>
      <c r="F190" s="23" t="n"/>
      <c r="G190" s="36" t="n"/>
      <c r="H190" s="20" t="n"/>
      <c r="I190" s="36" t="n"/>
      <c r="J190" s="43">
        <f>IF(C190="","",N(D190)*IFERROR(N(INDEX(Ingredients!$D$6:$D$105,MATCH(C190,Ingredients!$B$6:$B$105,0))),0))</f>
        <v/>
      </c>
      <c r="K190" s="12">
        <f>IF(OR(C190="",I190&lt;&gt;"",NOT(ISNUMBER(H190))),"",IF(H190&lt;TODAY(),"Past its date",IF(H190-TODAY()&lt;=Settings!$C$6,"Use soon","")))</f>
        <v/>
      </c>
      <c r="L190" s="1">
        <f>IF(K190="","",H190*1000+ROW())</f>
        <v/>
      </c>
    </row>
    <row r="191">
      <c r="A191" s="1" t="n"/>
      <c r="B191" s="20" t="n"/>
      <c r="C191" s="21" t="n"/>
      <c r="D191" s="22" t="n"/>
      <c r="E191" s="37" t="n"/>
      <c r="F191" s="23" t="n"/>
      <c r="G191" s="36" t="n"/>
      <c r="H191" s="20" t="n"/>
      <c r="I191" s="36" t="n"/>
      <c r="J191" s="43">
        <f>IF(C191="","",N(D191)*IFERROR(N(INDEX(Ingredients!$D$6:$D$105,MATCH(C191,Ingredients!$B$6:$B$105,0))),0))</f>
        <v/>
      </c>
      <c r="K191" s="12">
        <f>IF(OR(C191="",I191&lt;&gt;"",NOT(ISNUMBER(H191))),"",IF(H191&lt;TODAY(),"Past its date",IF(H191-TODAY()&lt;=Settings!$C$6,"Use soon","")))</f>
        <v/>
      </c>
      <c r="L191" s="1">
        <f>IF(K191="","",H191*1000+ROW())</f>
        <v/>
      </c>
    </row>
    <row r="192">
      <c r="A192" s="1" t="n"/>
      <c r="B192" s="20" t="n"/>
      <c r="C192" s="21" t="n"/>
      <c r="D192" s="22" t="n"/>
      <c r="E192" s="37" t="n"/>
      <c r="F192" s="23" t="n"/>
      <c r="G192" s="36" t="n"/>
      <c r="H192" s="20" t="n"/>
      <c r="I192" s="36" t="n"/>
      <c r="J192" s="43">
        <f>IF(C192="","",N(D192)*IFERROR(N(INDEX(Ingredients!$D$6:$D$105,MATCH(C192,Ingredients!$B$6:$B$105,0))),0))</f>
        <v/>
      </c>
      <c r="K192" s="12">
        <f>IF(OR(C192="",I192&lt;&gt;"",NOT(ISNUMBER(H192))),"",IF(H192&lt;TODAY(),"Past its date",IF(H192-TODAY()&lt;=Settings!$C$6,"Use soon","")))</f>
        <v/>
      </c>
      <c r="L192" s="1">
        <f>IF(K192="","",H192*1000+ROW())</f>
        <v/>
      </c>
    </row>
    <row r="193">
      <c r="A193" s="1" t="n"/>
      <c r="B193" s="20" t="n"/>
      <c r="C193" s="21" t="n"/>
      <c r="D193" s="22" t="n"/>
      <c r="E193" s="37" t="n"/>
      <c r="F193" s="23" t="n"/>
      <c r="G193" s="36" t="n"/>
      <c r="H193" s="20" t="n"/>
      <c r="I193" s="36" t="n"/>
      <c r="J193" s="43">
        <f>IF(C193="","",N(D193)*IFERROR(N(INDEX(Ingredients!$D$6:$D$105,MATCH(C193,Ingredients!$B$6:$B$105,0))),0))</f>
        <v/>
      </c>
      <c r="K193" s="12">
        <f>IF(OR(C193="",I193&lt;&gt;"",NOT(ISNUMBER(H193))),"",IF(H193&lt;TODAY(),"Past its date",IF(H193-TODAY()&lt;=Settings!$C$6,"Use soon","")))</f>
        <v/>
      </c>
      <c r="L193" s="1">
        <f>IF(K193="","",H193*1000+ROW())</f>
        <v/>
      </c>
    </row>
    <row r="194">
      <c r="A194" s="1" t="n"/>
      <c r="B194" s="20" t="n"/>
      <c r="C194" s="21" t="n"/>
      <c r="D194" s="22" t="n"/>
      <c r="E194" s="37" t="n"/>
      <c r="F194" s="23" t="n"/>
      <c r="G194" s="36" t="n"/>
      <c r="H194" s="20" t="n"/>
      <c r="I194" s="36" t="n"/>
      <c r="J194" s="43">
        <f>IF(C194="","",N(D194)*IFERROR(N(INDEX(Ingredients!$D$6:$D$105,MATCH(C194,Ingredients!$B$6:$B$105,0))),0))</f>
        <v/>
      </c>
      <c r="K194" s="12">
        <f>IF(OR(C194="",I194&lt;&gt;"",NOT(ISNUMBER(H194))),"",IF(H194&lt;TODAY(),"Past its date",IF(H194-TODAY()&lt;=Settings!$C$6,"Use soon","")))</f>
        <v/>
      </c>
      <c r="L194" s="1">
        <f>IF(K194="","",H194*1000+ROW())</f>
        <v/>
      </c>
    </row>
    <row r="195">
      <c r="A195" s="1" t="n"/>
      <c r="B195" s="20" t="n"/>
      <c r="C195" s="21" t="n"/>
      <c r="D195" s="22" t="n"/>
      <c r="E195" s="37" t="n"/>
      <c r="F195" s="23" t="n"/>
      <c r="G195" s="36" t="n"/>
      <c r="H195" s="20" t="n"/>
      <c r="I195" s="36" t="n"/>
      <c r="J195" s="43">
        <f>IF(C195="","",N(D195)*IFERROR(N(INDEX(Ingredients!$D$6:$D$105,MATCH(C195,Ingredients!$B$6:$B$105,0))),0))</f>
        <v/>
      </c>
      <c r="K195" s="12">
        <f>IF(OR(C195="",I195&lt;&gt;"",NOT(ISNUMBER(H195))),"",IF(H195&lt;TODAY(),"Past its date",IF(H195-TODAY()&lt;=Settings!$C$6,"Use soon","")))</f>
        <v/>
      </c>
      <c r="L195" s="1">
        <f>IF(K195="","",H195*1000+ROW())</f>
        <v/>
      </c>
    </row>
    <row r="196">
      <c r="A196" s="1" t="n"/>
      <c r="B196" s="20" t="n"/>
      <c r="C196" s="21" t="n"/>
      <c r="D196" s="22" t="n"/>
      <c r="E196" s="37" t="n"/>
      <c r="F196" s="23" t="n"/>
      <c r="G196" s="36" t="n"/>
      <c r="H196" s="20" t="n"/>
      <c r="I196" s="36" t="n"/>
      <c r="J196" s="43">
        <f>IF(C196="","",N(D196)*IFERROR(N(INDEX(Ingredients!$D$6:$D$105,MATCH(C196,Ingredients!$B$6:$B$105,0))),0))</f>
        <v/>
      </c>
      <c r="K196" s="12">
        <f>IF(OR(C196="",I196&lt;&gt;"",NOT(ISNUMBER(H196))),"",IF(H196&lt;TODAY(),"Past its date",IF(H196-TODAY()&lt;=Settings!$C$6,"Use soon","")))</f>
        <v/>
      </c>
      <c r="L196" s="1">
        <f>IF(K196="","",H196*1000+ROW())</f>
        <v/>
      </c>
    </row>
    <row r="197">
      <c r="A197" s="1" t="n"/>
      <c r="B197" s="20" t="n"/>
      <c r="C197" s="21" t="n"/>
      <c r="D197" s="22" t="n"/>
      <c r="E197" s="37" t="n"/>
      <c r="F197" s="23" t="n"/>
      <c r="G197" s="36" t="n"/>
      <c r="H197" s="20" t="n"/>
      <c r="I197" s="36" t="n"/>
      <c r="J197" s="43">
        <f>IF(C197="","",N(D197)*IFERROR(N(INDEX(Ingredients!$D$6:$D$105,MATCH(C197,Ingredients!$B$6:$B$105,0))),0))</f>
        <v/>
      </c>
      <c r="K197" s="12">
        <f>IF(OR(C197="",I197&lt;&gt;"",NOT(ISNUMBER(H197))),"",IF(H197&lt;TODAY(),"Past its date",IF(H197-TODAY()&lt;=Settings!$C$6,"Use soon","")))</f>
        <v/>
      </c>
      <c r="L197" s="1">
        <f>IF(K197="","",H197*1000+ROW())</f>
        <v/>
      </c>
    </row>
    <row r="198">
      <c r="A198" s="1" t="n"/>
      <c r="B198" s="20" t="n"/>
      <c r="C198" s="21" t="n"/>
      <c r="D198" s="22" t="n"/>
      <c r="E198" s="37" t="n"/>
      <c r="F198" s="23" t="n"/>
      <c r="G198" s="36" t="n"/>
      <c r="H198" s="20" t="n"/>
      <c r="I198" s="36" t="n"/>
      <c r="J198" s="43">
        <f>IF(C198="","",N(D198)*IFERROR(N(INDEX(Ingredients!$D$6:$D$105,MATCH(C198,Ingredients!$B$6:$B$105,0))),0))</f>
        <v/>
      </c>
      <c r="K198" s="12">
        <f>IF(OR(C198="",I198&lt;&gt;"",NOT(ISNUMBER(H198))),"",IF(H198&lt;TODAY(),"Past its date",IF(H198-TODAY()&lt;=Settings!$C$6,"Use soon","")))</f>
        <v/>
      </c>
      <c r="L198" s="1">
        <f>IF(K198="","",H198*1000+ROW())</f>
        <v/>
      </c>
    </row>
    <row r="199">
      <c r="A199" s="1" t="n"/>
      <c r="B199" s="20" t="n"/>
      <c r="C199" s="21" t="n"/>
      <c r="D199" s="22" t="n"/>
      <c r="E199" s="37" t="n"/>
      <c r="F199" s="23" t="n"/>
      <c r="G199" s="36" t="n"/>
      <c r="H199" s="20" t="n"/>
      <c r="I199" s="36" t="n"/>
      <c r="J199" s="43">
        <f>IF(C199="","",N(D199)*IFERROR(N(INDEX(Ingredients!$D$6:$D$105,MATCH(C199,Ingredients!$B$6:$B$105,0))),0))</f>
        <v/>
      </c>
      <c r="K199" s="12">
        <f>IF(OR(C199="",I199&lt;&gt;"",NOT(ISNUMBER(H199))),"",IF(H199&lt;TODAY(),"Past its date",IF(H199-TODAY()&lt;=Settings!$C$6,"Use soon","")))</f>
        <v/>
      </c>
      <c r="L199" s="1">
        <f>IF(K199="","",H199*1000+ROW())</f>
        <v/>
      </c>
    </row>
    <row r="200">
      <c r="A200" s="1" t="n"/>
      <c r="B200" s="20" t="n"/>
      <c r="C200" s="21" t="n"/>
      <c r="D200" s="22" t="n"/>
      <c r="E200" s="37" t="n"/>
      <c r="F200" s="23" t="n"/>
      <c r="G200" s="36" t="n"/>
      <c r="H200" s="20" t="n"/>
      <c r="I200" s="36" t="n"/>
      <c r="J200" s="43">
        <f>IF(C200="","",N(D200)*IFERROR(N(INDEX(Ingredients!$D$6:$D$105,MATCH(C200,Ingredients!$B$6:$B$105,0))),0))</f>
        <v/>
      </c>
      <c r="K200" s="12">
        <f>IF(OR(C200="",I200&lt;&gt;"",NOT(ISNUMBER(H200))),"",IF(H200&lt;TODAY(),"Past its date",IF(H200-TODAY()&lt;=Settings!$C$6,"Use soon","")))</f>
        <v/>
      </c>
      <c r="L200" s="1">
        <f>IF(K200="","",H200*1000+ROW())</f>
        <v/>
      </c>
    </row>
    <row r="201">
      <c r="A201" s="1" t="n"/>
      <c r="B201" s="20" t="n"/>
      <c r="C201" s="21" t="n"/>
      <c r="D201" s="22" t="n"/>
      <c r="E201" s="37" t="n"/>
      <c r="F201" s="23" t="n"/>
      <c r="G201" s="36" t="n"/>
      <c r="H201" s="20" t="n"/>
      <c r="I201" s="36" t="n"/>
      <c r="J201" s="43">
        <f>IF(C201="","",N(D201)*IFERROR(N(INDEX(Ingredients!$D$6:$D$105,MATCH(C201,Ingredients!$B$6:$B$105,0))),0))</f>
        <v/>
      </c>
      <c r="K201" s="12">
        <f>IF(OR(C201="",I201&lt;&gt;"",NOT(ISNUMBER(H201))),"",IF(H201&lt;TODAY(),"Past its date",IF(H201-TODAY()&lt;=Settings!$C$6,"Use soon","")))</f>
        <v/>
      </c>
      <c r="L201" s="1">
        <f>IF(K201="","",H201*1000+ROW())</f>
        <v/>
      </c>
    </row>
    <row r="202">
      <c r="A202" s="1" t="n"/>
      <c r="B202" s="20" t="n"/>
      <c r="C202" s="21" t="n"/>
      <c r="D202" s="22" t="n"/>
      <c r="E202" s="37" t="n"/>
      <c r="F202" s="23" t="n"/>
      <c r="G202" s="36" t="n"/>
      <c r="H202" s="20" t="n"/>
      <c r="I202" s="36" t="n"/>
      <c r="J202" s="43">
        <f>IF(C202="","",N(D202)*IFERROR(N(INDEX(Ingredients!$D$6:$D$105,MATCH(C202,Ingredients!$B$6:$B$105,0))),0))</f>
        <v/>
      </c>
      <c r="K202" s="12">
        <f>IF(OR(C202="",I202&lt;&gt;"",NOT(ISNUMBER(H202))),"",IF(H202&lt;TODAY(),"Past its date",IF(H202-TODAY()&lt;=Settings!$C$6,"Use soon","")))</f>
        <v/>
      </c>
      <c r="L202" s="1">
        <f>IF(K202="","",H202*1000+ROW())</f>
        <v/>
      </c>
    </row>
    <row r="203">
      <c r="A203" s="1" t="n"/>
      <c r="B203" s="20" t="n"/>
      <c r="C203" s="21" t="n"/>
      <c r="D203" s="22" t="n"/>
      <c r="E203" s="37" t="n"/>
      <c r="F203" s="23" t="n"/>
      <c r="G203" s="36" t="n"/>
      <c r="H203" s="20" t="n"/>
      <c r="I203" s="36" t="n"/>
      <c r="J203" s="43">
        <f>IF(C203="","",N(D203)*IFERROR(N(INDEX(Ingredients!$D$6:$D$105,MATCH(C203,Ingredients!$B$6:$B$105,0))),0))</f>
        <v/>
      </c>
      <c r="K203" s="12">
        <f>IF(OR(C203="",I203&lt;&gt;"",NOT(ISNUMBER(H203))),"",IF(H203&lt;TODAY(),"Past its date",IF(H203-TODAY()&lt;=Settings!$C$6,"Use soon","")))</f>
        <v/>
      </c>
      <c r="L203" s="1">
        <f>IF(K203="","",H203*1000+ROW())</f>
        <v/>
      </c>
    </row>
    <row r="204">
      <c r="A204" s="1" t="n"/>
      <c r="B204" s="20" t="n"/>
      <c r="C204" s="21" t="n"/>
      <c r="D204" s="22" t="n"/>
      <c r="E204" s="37" t="n"/>
      <c r="F204" s="23" t="n"/>
      <c r="G204" s="36" t="n"/>
      <c r="H204" s="20" t="n"/>
      <c r="I204" s="36" t="n"/>
      <c r="J204" s="43">
        <f>IF(C204="","",N(D204)*IFERROR(N(INDEX(Ingredients!$D$6:$D$105,MATCH(C204,Ingredients!$B$6:$B$105,0))),0))</f>
        <v/>
      </c>
      <c r="K204" s="12">
        <f>IF(OR(C204="",I204&lt;&gt;"",NOT(ISNUMBER(H204))),"",IF(H204&lt;TODAY(),"Past its date",IF(H204-TODAY()&lt;=Settings!$C$6,"Use soon","")))</f>
        <v/>
      </c>
      <c r="L204" s="1">
        <f>IF(K204="","",H204*1000+ROW())</f>
        <v/>
      </c>
    </row>
    <row r="205">
      <c r="A205" s="1" t="n"/>
      <c r="B205" s="20" t="n"/>
      <c r="C205" s="21" t="n"/>
      <c r="D205" s="22" t="n"/>
      <c r="E205" s="37" t="n"/>
      <c r="F205" s="23" t="n"/>
      <c r="G205" s="36" t="n"/>
      <c r="H205" s="20" t="n"/>
      <c r="I205" s="36" t="n"/>
      <c r="J205" s="43">
        <f>IF(C205="","",N(D205)*IFERROR(N(INDEX(Ingredients!$D$6:$D$105,MATCH(C205,Ingredients!$B$6:$B$105,0))),0))</f>
        <v/>
      </c>
      <c r="K205" s="12">
        <f>IF(OR(C205="",I205&lt;&gt;"",NOT(ISNUMBER(H205))),"",IF(H205&lt;TODAY(),"Past its date",IF(H205-TODAY()&lt;=Settings!$C$6,"Use soon","")))</f>
        <v/>
      </c>
      <c r="L205" s="1">
        <f>IF(K205="","",H205*1000+ROW())</f>
        <v/>
      </c>
    </row>
    <row r="206">
      <c r="A206" s="1" t="n"/>
      <c r="B206" s="20" t="n"/>
      <c r="C206" s="21" t="n"/>
      <c r="D206" s="22" t="n"/>
      <c r="E206" s="37" t="n"/>
      <c r="F206" s="23" t="n"/>
      <c r="G206" s="36" t="n"/>
      <c r="H206" s="20" t="n"/>
      <c r="I206" s="36" t="n"/>
      <c r="J206" s="43">
        <f>IF(C206="","",N(D206)*IFERROR(N(INDEX(Ingredients!$D$6:$D$105,MATCH(C206,Ingredients!$B$6:$B$105,0))),0))</f>
        <v/>
      </c>
      <c r="K206" s="12">
        <f>IF(OR(C206="",I206&lt;&gt;"",NOT(ISNUMBER(H206))),"",IF(H206&lt;TODAY(),"Past its date",IF(H206-TODAY()&lt;=Settings!$C$6,"Use soon","")))</f>
        <v/>
      </c>
      <c r="L206" s="1">
        <f>IF(K206="","",H206*1000+ROW())</f>
        <v/>
      </c>
    </row>
    <row r="207">
      <c r="A207" s="1" t="n"/>
      <c r="B207" s="20" t="n"/>
      <c r="C207" s="21" t="n"/>
      <c r="D207" s="22" t="n"/>
      <c r="E207" s="37" t="n"/>
      <c r="F207" s="23" t="n"/>
      <c r="G207" s="36" t="n"/>
      <c r="H207" s="20" t="n"/>
      <c r="I207" s="36" t="n"/>
      <c r="J207" s="43">
        <f>IF(C207="","",N(D207)*IFERROR(N(INDEX(Ingredients!$D$6:$D$105,MATCH(C207,Ingredients!$B$6:$B$105,0))),0))</f>
        <v/>
      </c>
      <c r="K207" s="12">
        <f>IF(OR(C207="",I207&lt;&gt;"",NOT(ISNUMBER(H207))),"",IF(H207&lt;TODAY(),"Past its date",IF(H207-TODAY()&lt;=Settings!$C$6,"Use soon","")))</f>
        <v/>
      </c>
      <c r="L207" s="1">
        <f>IF(K207="","",H207*1000+ROW())</f>
        <v/>
      </c>
    </row>
    <row r="208">
      <c r="A208" s="1" t="n"/>
      <c r="B208" s="20" t="n"/>
      <c r="C208" s="21" t="n"/>
      <c r="D208" s="22" t="n"/>
      <c r="E208" s="37" t="n"/>
      <c r="F208" s="23" t="n"/>
      <c r="G208" s="36" t="n"/>
      <c r="H208" s="20" t="n"/>
      <c r="I208" s="36" t="n"/>
      <c r="J208" s="43">
        <f>IF(C208="","",N(D208)*IFERROR(N(INDEX(Ingredients!$D$6:$D$105,MATCH(C208,Ingredients!$B$6:$B$105,0))),0))</f>
        <v/>
      </c>
      <c r="K208" s="12">
        <f>IF(OR(C208="",I208&lt;&gt;"",NOT(ISNUMBER(H208))),"",IF(H208&lt;TODAY(),"Past its date",IF(H208-TODAY()&lt;=Settings!$C$6,"Use soon","")))</f>
        <v/>
      </c>
      <c r="L208" s="1">
        <f>IF(K208="","",H208*1000+ROW())</f>
        <v/>
      </c>
    </row>
    <row r="209">
      <c r="A209" s="1" t="n"/>
      <c r="B209" s="20" t="n"/>
      <c r="C209" s="21" t="n"/>
      <c r="D209" s="22" t="n"/>
      <c r="E209" s="37" t="n"/>
      <c r="F209" s="23" t="n"/>
      <c r="G209" s="36" t="n"/>
      <c r="H209" s="20" t="n"/>
      <c r="I209" s="36" t="n"/>
      <c r="J209" s="43">
        <f>IF(C209="","",N(D209)*IFERROR(N(INDEX(Ingredients!$D$6:$D$105,MATCH(C209,Ingredients!$B$6:$B$105,0))),0))</f>
        <v/>
      </c>
      <c r="K209" s="12">
        <f>IF(OR(C209="",I209&lt;&gt;"",NOT(ISNUMBER(H209))),"",IF(H209&lt;TODAY(),"Past its date",IF(H209-TODAY()&lt;=Settings!$C$6,"Use soon","")))</f>
        <v/>
      </c>
      <c r="L209" s="1">
        <f>IF(K209="","",H209*1000+ROW())</f>
        <v/>
      </c>
    </row>
    <row r="210">
      <c r="A210" s="1" t="n"/>
      <c r="B210" s="20" t="n"/>
      <c r="C210" s="21" t="n"/>
      <c r="D210" s="22" t="n"/>
      <c r="E210" s="37" t="n"/>
      <c r="F210" s="23" t="n"/>
      <c r="G210" s="36" t="n"/>
      <c r="H210" s="20" t="n"/>
      <c r="I210" s="36" t="n"/>
      <c r="J210" s="43">
        <f>IF(C210="","",N(D210)*IFERROR(N(INDEX(Ingredients!$D$6:$D$105,MATCH(C210,Ingredients!$B$6:$B$105,0))),0))</f>
        <v/>
      </c>
      <c r="K210" s="12">
        <f>IF(OR(C210="",I210&lt;&gt;"",NOT(ISNUMBER(H210))),"",IF(H210&lt;TODAY(),"Past its date",IF(H210-TODAY()&lt;=Settings!$C$6,"Use soon","")))</f>
        <v/>
      </c>
      <c r="L210" s="1">
        <f>IF(K210="","",H210*1000+ROW())</f>
        <v/>
      </c>
    </row>
    <row r="211">
      <c r="A211" s="1" t="n"/>
      <c r="B211" s="20" t="n"/>
      <c r="C211" s="21" t="n"/>
      <c r="D211" s="22" t="n"/>
      <c r="E211" s="37" t="n"/>
      <c r="F211" s="23" t="n"/>
      <c r="G211" s="36" t="n"/>
      <c r="H211" s="20" t="n"/>
      <c r="I211" s="36" t="n"/>
      <c r="J211" s="43">
        <f>IF(C211="","",N(D211)*IFERROR(N(INDEX(Ingredients!$D$6:$D$105,MATCH(C211,Ingredients!$B$6:$B$105,0))),0))</f>
        <v/>
      </c>
      <c r="K211" s="12">
        <f>IF(OR(C211="",I211&lt;&gt;"",NOT(ISNUMBER(H211))),"",IF(H211&lt;TODAY(),"Past its date",IF(H211-TODAY()&lt;=Settings!$C$6,"Use soon","")))</f>
        <v/>
      </c>
      <c r="L211" s="1">
        <f>IF(K211="","",H211*1000+ROW())</f>
        <v/>
      </c>
    </row>
    <row r="212">
      <c r="A212" s="1" t="n"/>
      <c r="B212" s="20" t="n"/>
      <c r="C212" s="21" t="n"/>
      <c r="D212" s="22" t="n"/>
      <c r="E212" s="37" t="n"/>
      <c r="F212" s="23" t="n"/>
      <c r="G212" s="36" t="n"/>
      <c r="H212" s="20" t="n"/>
      <c r="I212" s="36" t="n"/>
      <c r="J212" s="43">
        <f>IF(C212="","",N(D212)*IFERROR(N(INDEX(Ingredients!$D$6:$D$105,MATCH(C212,Ingredients!$B$6:$B$105,0))),0))</f>
        <v/>
      </c>
      <c r="K212" s="12">
        <f>IF(OR(C212="",I212&lt;&gt;"",NOT(ISNUMBER(H212))),"",IF(H212&lt;TODAY(),"Past its date",IF(H212-TODAY()&lt;=Settings!$C$6,"Use soon","")))</f>
        <v/>
      </c>
      <c r="L212" s="1">
        <f>IF(K212="","",H212*1000+ROW())</f>
        <v/>
      </c>
    </row>
    <row r="213">
      <c r="A213" s="1" t="n"/>
      <c r="B213" s="20" t="n"/>
      <c r="C213" s="21" t="n"/>
      <c r="D213" s="22" t="n"/>
      <c r="E213" s="37" t="n"/>
      <c r="F213" s="23" t="n"/>
      <c r="G213" s="36" t="n"/>
      <c r="H213" s="20" t="n"/>
      <c r="I213" s="36" t="n"/>
      <c r="J213" s="43">
        <f>IF(C213="","",N(D213)*IFERROR(N(INDEX(Ingredients!$D$6:$D$105,MATCH(C213,Ingredients!$B$6:$B$105,0))),0))</f>
        <v/>
      </c>
      <c r="K213" s="12">
        <f>IF(OR(C213="",I213&lt;&gt;"",NOT(ISNUMBER(H213))),"",IF(H213&lt;TODAY(),"Past its date",IF(H213-TODAY()&lt;=Settings!$C$6,"Use soon","")))</f>
        <v/>
      </c>
      <c r="L213" s="1">
        <f>IF(K213="","",H213*1000+ROW())</f>
        <v/>
      </c>
    </row>
    <row r="214">
      <c r="A214" s="1" t="n"/>
      <c r="B214" s="20" t="n"/>
      <c r="C214" s="21" t="n"/>
      <c r="D214" s="22" t="n"/>
      <c r="E214" s="37" t="n"/>
      <c r="F214" s="23" t="n"/>
      <c r="G214" s="36" t="n"/>
      <c r="H214" s="20" t="n"/>
      <c r="I214" s="36" t="n"/>
      <c r="J214" s="43">
        <f>IF(C214="","",N(D214)*IFERROR(N(INDEX(Ingredients!$D$6:$D$105,MATCH(C214,Ingredients!$B$6:$B$105,0))),0))</f>
        <v/>
      </c>
      <c r="K214" s="12">
        <f>IF(OR(C214="",I214&lt;&gt;"",NOT(ISNUMBER(H214))),"",IF(H214&lt;TODAY(),"Past its date",IF(H214-TODAY()&lt;=Settings!$C$6,"Use soon","")))</f>
        <v/>
      </c>
      <c r="L214" s="1">
        <f>IF(K214="","",H214*1000+ROW())</f>
        <v/>
      </c>
    </row>
    <row r="215">
      <c r="A215" s="1" t="n"/>
      <c r="B215" s="20" t="n"/>
      <c r="C215" s="21" t="n"/>
      <c r="D215" s="22" t="n"/>
      <c r="E215" s="37" t="n"/>
      <c r="F215" s="23" t="n"/>
      <c r="G215" s="36" t="n"/>
      <c r="H215" s="20" t="n"/>
      <c r="I215" s="36" t="n"/>
      <c r="J215" s="43">
        <f>IF(C215="","",N(D215)*IFERROR(N(INDEX(Ingredients!$D$6:$D$105,MATCH(C215,Ingredients!$B$6:$B$105,0))),0))</f>
        <v/>
      </c>
      <c r="K215" s="12">
        <f>IF(OR(C215="",I215&lt;&gt;"",NOT(ISNUMBER(H215))),"",IF(H215&lt;TODAY(),"Past its date",IF(H215-TODAY()&lt;=Settings!$C$6,"Use soon","")))</f>
        <v/>
      </c>
      <c r="L215" s="1">
        <f>IF(K215="","",H215*1000+ROW())</f>
        <v/>
      </c>
    </row>
    <row r="216">
      <c r="A216" s="1" t="n"/>
      <c r="B216" s="20" t="n"/>
      <c r="C216" s="21" t="n"/>
      <c r="D216" s="22" t="n"/>
      <c r="E216" s="37" t="n"/>
      <c r="F216" s="23" t="n"/>
      <c r="G216" s="36" t="n"/>
      <c r="H216" s="20" t="n"/>
      <c r="I216" s="36" t="n"/>
      <c r="J216" s="43">
        <f>IF(C216="","",N(D216)*IFERROR(N(INDEX(Ingredients!$D$6:$D$105,MATCH(C216,Ingredients!$B$6:$B$105,0))),0))</f>
        <v/>
      </c>
      <c r="K216" s="12">
        <f>IF(OR(C216="",I216&lt;&gt;"",NOT(ISNUMBER(H216))),"",IF(H216&lt;TODAY(),"Past its date",IF(H216-TODAY()&lt;=Settings!$C$6,"Use soon","")))</f>
        <v/>
      </c>
      <c r="L216" s="1">
        <f>IF(K216="","",H216*1000+ROW())</f>
        <v/>
      </c>
    </row>
    <row r="217">
      <c r="A217" s="1" t="n"/>
      <c r="B217" s="20" t="n"/>
      <c r="C217" s="21" t="n"/>
      <c r="D217" s="22" t="n"/>
      <c r="E217" s="37" t="n"/>
      <c r="F217" s="23" t="n"/>
      <c r="G217" s="36" t="n"/>
      <c r="H217" s="20" t="n"/>
      <c r="I217" s="36" t="n"/>
      <c r="J217" s="43">
        <f>IF(C217="","",N(D217)*IFERROR(N(INDEX(Ingredients!$D$6:$D$105,MATCH(C217,Ingredients!$B$6:$B$105,0))),0))</f>
        <v/>
      </c>
      <c r="K217" s="12">
        <f>IF(OR(C217="",I217&lt;&gt;"",NOT(ISNUMBER(H217))),"",IF(H217&lt;TODAY(),"Past its date",IF(H217-TODAY()&lt;=Settings!$C$6,"Use soon","")))</f>
        <v/>
      </c>
      <c r="L217" s="1">
        <f>IF(K217="","",H217*1000+ROW())</f>
        <v/>
      </c>
    </row>
    <row r="218">
      <c r="A218" s="1" t="n"/>
      <c r="B218" s="20" t="n"/>
      <c r="C218" s="21" t="n"/>
      <c r="D218" s="22" t="n"/>
      <c r="E218" s="37" t="n"/>
      <c r="F218" s="23" t="n"/>
      <c r="G218" s="36" t="n"/>
      <c r="H218" s="20" t="n"/>
      <c r="I218" s="36" t="n"/>
      <c r="J218" s="43">
        <f>IF(C218="","",N(D218)*IFERROR(N(INDEX(Ingredients!$D$6:$D$105,MATCH(C218,Ingredients!$B$6:$B$105,0))),0))</f>
        <v/>
      </c>
      <c r="K218" s="12">
        <f>IF(OR(C218="",I218&lt;&gt;"",NOT(ISNUMBER(H218))),"",IF(H218&lt;TODAY(),"Past its date",IF(H218-TODAY()&lt;=Settings!$C$6,"Use soon","")))</f>
        <v/>
      </c>
      <c r="L218" s="1">
        <f>IF(K218="","",H218*1000+ROW())</f>
        <v/>
      </c>
    </row>
    <row r="219">
      <c r="A219" s="1" t="n"/>
      <c r="B219" s="20" t="n"/>
      <c r="C219" s="21" t="n"/>
      <c r="D219" s="22" t="n"/>
      <c r="E219" s="37" t="n"/>
      <c r="F219" s="23" t="n"/>
      <c r="G219" s="36" t="n"/>
      <c r="H219" s="20" t="n"/>
      <c r="I219" s="36" t="n"/>
      <c r="J219" s="43">
        <f>IF(C219="","",N(D219)*IFERROR(N(INDEX(Ingredients!$D$6:$D$105,MATCH(C219,Ingredients!$B$6:$B$105,0))),0))</f>
        <v/>
      </c>
      <c r="K219" s="12">
        <f>IF(OR(C219="",I219&lt;&gt;"",NOT(ISNUMBER(H219))),"",IF(H219&lt;TODAY(),"Past its date",IF(H219-TODAY()&lt;=Settings!$C$6,"Use soon","")))</f>
        <v/>
      </c>
      <c r="L219" s="1">
        <f>IF(K219="","",H219*1000+ROW())</f>
        <v/>
      </c>
    </row>
    <row r="220">
      <c r="A220" s="1" t="n"/>
      <c r="B220" s="20" t="n"/>
      <c r="C220" s="21" t="n"/>
      <c r="D220" s="22" t="n"/>
      <c r="E220" s="37" t="n"/>
      <c r="F220" s="23" t="n"/>
      <c r="G220" s="36" t="n"/>
      <c r="H220" s="20" t="n"/>
      <c r="I220" s="36" t="n"/>
      <c r="J220" s="43">
        <f>IF(C220="","",N(D220)*IFERROR(N(INDEX(Ingredients!$D$6:$D$105,MATCH(C220,Ingredients!$B$6:$B$105,0))),0))</f>
        <v/>
      </c>
      <c r="K220" s="12">
        <f>IF(OR(C220="",I220&lt;&gt;"",NOT(ISNUMBER(H220))),"",IF(H220&lt;TODAY(),"Past its date",IF(H220-TODAY()&lt;=Settings!$C$6,"Use soon","")))</f>
        <v/>
      </c>
      <c r="L220" s="1">
        <f>IF(K220="","",H220*1000+ROW())</f>
        <v/>
      </c>
    </row>
    <row r="221">
      <c r="A221" s="1" t="n"/>
      <c r="B221" s="20" t="n"/>
      <c r="C221" s="21" t="n"/>
      <c r="D221" s="22" t="n"/>
      <c r="E221" s="37" t="n"/>
      <c r="F221" s="23" t="n"/>
      <c r="G221" s="36" t="n"/>
      <c r="H221" s="20" t="n"/>
      <c r="I221" s="36" t="n"/>
      <c r="J221" s="43">
        <f>IF(C221="","",N(D221)*IFERROR(N(INDEX(Ingredients!$D$6:$D$105,MATCH(C221,Ingredients!$B$6:$B$105,0))),0))</f>
        <v/>
      </c>
      <c r="K221" s="12">
        <f>IF(OR(C221="",I221&lt;&gt;"",NOT(ISNUMBER(H221))),"",IF(H221&lt;TODAY(),"Past its date",IF(H221-TODAY()&lt;=Settings!$C$6,"Use soon","")))</f>
        <v/>
      </c>
      <c r="L221" s="1">
        <f>IF(K221="","",H221*1000+ROW())</f>
        <v/>
      </c>
    </row>
    <row r="222">
      <c r="A222" s="1" t="n"/>
      <c r="B222" s="20" t="n"/>
      <c r="C222" s="21" t="n"/>
      <c r="D222" s="22" t="n"/>
      <c r="E222" s="37" t="n"/>
      <c r="F222" s="23" t="n"/>
      <c r="G222" s="36" t="n"/>
      <c r="H222" s="20" t="n"/>
      <c r="I222" s="36" t="n"/>
      <c r="J222" s="43">
        <f>IF(C222="","",N(D222)*IFERROR(N(INDEX(Ingredients!$D$6:$D$105,MATCH(C222,Ingredients!$B$6:$B$105,0))),0))</f>
        <v/>
      </c>
      <c r="K222" s="12">
        <f>IF(OR(C222="",I222&lt;&gt;"",NOT(ISNUMBER(H222))),"",IF(H222&lt;TODAY(),"Past its date",IF(H222-TODAY()&lt;=Settings!$C$6,"Use soon","")))</f>
        <v/>
      </c>
      <c r="L222" s="1">
        <f>IF(K222="","",H222*1000+ROW())</f>
        <v/>
      </c>
    </row>
    <row r="223">
      <c r="A223" s="1" t="n"/>
      <c r="B223" s="20" t="n"/>
      <c r="C223" s="21" t="n"/>
      <c r="D223" s="22" t="n"/>
      <c r="E223" s="37" t="n"/>
      <c r="F223" s="23" t="n"/>
      <c r="G223" s="36" t="n"/>
      <c r="H223" s="20" t="n"/>
      <c r="I223" s="36" t="n"/>
      <c r="J223" s="43">
        <f>IF(C223="","",N(D223)*IFERROR(N(INDEX(Ingredients!$D$6:$D$105,MATCH(C223,Ingredients!$B$6:$B$105,0))),0))</f>
        <v/>
      </c>
      <c r="K223" s="12">
        <f>IF(OR(C223="",I223&lt;&gt;"",NOT(ISNUMBER(H223))),"",IF(H223&lt;TODAY(),"Past its date",IF(H223-TODAY()&lt;=Settings!$C$6,"Use soon","")))</f>
        <v/>
      </c>
      <c r="L223" s="1">
        <f>IF(K223="","",H223*1000+ROW())</f>
        <v/>
      </c>
    </row>
    <row r="224">
      <c r="A224" s="1" t="n"/>
      <c r="B224" s="20" t="n"/>
      <c r="C224" s="21" t="n"/>
      <c r="D224" s="22" t="n"/>
      <c r="E224" s="37" t="n"/>
      <c r="F224" s="23" t="n"/>
      <c r="G224" s="36" t="n"/>
      <c r="H224" s="20" t="n"/>
      <c r="I224" s="36" t="n"/>
      <c r="J224" s="43">
        <f>IF(C224="","",N(D224)*IFERROR(N(INDEX(Ingredients!$D$6:$D$105,MATCH(C224,Ingredients!$B$6:$B$105,0))),0))</f>
        <v/>
      </c>
      <c r="K224" s="12">
        <f>IF(OR(C224="",I224&lt;&gt;"",NOT(ISNUMBER(H224))),"",IF(H224&lt;TODAY(),"Past its date",IF(H224-TODAY()&lt;=Settings!$C$6,"Use soon","")))</f>
        <v/>
      </c>
      <c r="L224" s="1">
        <f>IF(K224="","",H224*1000+ROW())</f>
        <v/>
      </c>
    </row>
    <row r="225">
      <c r="A225" s="1" t="n"/>
      <c r="B225" s="20" t="n"/>
      <c r="C225" s="21" t="n"/>
      <c r="D225" s="22" t="n"/>
      <c r="E225" s="37" t="n"/>
      <c r="F225" s="23" t="n"/>
      <c r="G225" s="36" t="n"/>
      <c r="H225" s="20" t="n"/>
      <c r="I225" s="36" t="n"/>
      <c r="J225" s="43">
        <f>IF(C225="","",N(D225)*IFERROR(N(INDEX(Ingredients!$D$6:$D$105,MATCH(C225,Ingredients!$B$6:$B$105,0))),0))</f>
        <v/>
      </c>
      <c r="K225" s="12">
        <f>IF(OR(C225="",I225&lt;&gt;"",NOT(ISNUMBER(H225))),"",IF(H225&lt;TODAY(),"Past its date",IF(H225-TODAY()&lt;=Settings!$C$6,"Use soon","")))</f>
        <v/>
      </c>
      <c r="L225" s="1">
        <f>IF(K225="","",H225*1000+ROW())</f>
        <v/>
      </c>
    </row>
    <row r="226">
      <c r="A226" s="1" t="n"/>
      <c r="B226" s="20" t="n"/>
      <c r="C226" s="21" t="n"/>
      <c r="D226" s="22" t="n"/>
      <c r="E226" s="37" t="n"/>
      <c r="F226" s="23" t="n"/>
      <c r="G226" s="36" t="n"/>
      <c r="H226" s="20" t="n"/>
      <c r="I226" s="36" t="n"/>
      <c r="J226" s="43">
        <f>IF(C226="","",N(D226)*IFERROR(N(INDEX(Ingredients!$D$6:$D$105,MATCH(C226,Ingredients!$B$6:$B$105,0))),0))</f>
        <v/>
      </c>
      <c r="K226" s="12">
        <f>IF(OR(C226="",I226&lt;&gt;"",NOT(ISNUMBER(H226))),"",IF(H226&lt;TODAY(),"Past its date",IF(H226-TODAY()&lt;=Settings!$C$6,"Use soon","")))</f>
        <v/>
      </c>
      <c r="L226" s="1">
        <f>IF(K226="","",H226*1000+ROW())</f>
        <v/>
      </c>
    </row>
    <row r="227">
      <c r="A227" s="1" t="n"/>
      <c r="B227" s="20" t="n"/>
      <c r="C227" s="21" t="n"/>
      <c r="D227" s="22" t="n"/>
      <c r="E227" s="37" t="n"/>
      <c r="F227" s="23" t="n"/>
      <c r="G227" s="36" t="n"/>
      <c r="H227" s="20" t="n"/>
      <c r="I227" s="36" t="n"/>
      <c r="J227" s="43">
        <f>IF(C227="","",N(D227)*IFERROR(N(INDEX(Ingredients!$D$6:$D$105,MATCH(C227,Ingredients!$B$6:$B$105,0))),0))</f>
        <v/>
      </c>
      <c r="K227" s="12">
        <f>IF(OR(C227="",I227&lt;&gt;"",NOT(ISNUMBER(H227))),"",IF(H227&lt;TODAY(),"Past its date",IF(H227-TODAY()&lt;=Settings!$C$6,"Use soon","")))</f>
        <v/>
      </c>
      <c r="L227" s="1">
        <f>IF(K227="","",H227*1000+ROW())</f>
        <v/>
      </c>
    </row>
    <row r="228">
      <c r="A228" s="1" t="n"/>
      <c r="B228" s="20" t="n"/>
      <c r="C228" s="21" t="n"/>
      <c r="D228" s="22" t="n"/>
      <c r="E228" s="37" t="n"/>
      <c r="F228" s="23" t="n"/>
      <c r="G228" s="36" t="n"/>
      <c r="H228" s="20" t="n"/>
      <c r="I228" s="36" t="n"/>
      <c r="J228" s="43">
        <f>IF(C228="","",N(D228)*IFERROR(N(INDEX(Ingredients!$D$6:$D$105,MATCH(C228,Ingredients!$B$6:$B$105,0))),0))</f>
        <v/>
      </c>
      <c r="K228" s="12">
        <f>IF(OR(C228="",I228&lt;&gt;"",NOT(ISNUMBER(H228))),"",IF(H228&lt;TODAY(),"Past its date",IF(H228-TODAY()&lt;=Settings!$C$6,"Use soon","")))</f>
        <v/>
      </c>
      <c r="L228" s="1">
        <f>IF(K228="","",H228*1000+ROW())</f>
        <v/>
      </c>
    </row>
    <row r="229">
      <c r="A229" s="1" t="n"/>
      <c r="B229" s="20" t="n"/>
      <c r="C229" s="21" t="n"/>
      <c r="D229" s="22" t="n"/>
      <c r="E229" s="37" t="n"/>
      <c r="F229" s="23" t="n"/>
      <c r="G229" s="36" t="n"/>
      <c r="H229" s="20" t="n"/>
      <c r="I229" s="36" t="n"/>
      <c r="J229" s="43">
        <f>IF(C229="","",N(D229)*IFERROR(N(INDEX(Ingredients!$D$6:$D$105,MATCH(C229,Ingredients!$B$6:$B$105,0))),0))</f>
        <v/>
      </c>
      <c r="K229" s="12">
        <f>IF(OR(C229="",I229&lt;&gt;"",NOT(ISNUMBER(H229))),"",IF(H229&lt;TODAY(),"Past its date",IF(H229-TODAY()&lt;=Settings!$C$6,"Use soon","")))</f>
        <v/>
      </c>
      <c r="L229" s="1">
        <f>IF(K229="","",H229*1000+ROW())</f>
        <v/>
      </c>
    </row>
    <row r="230">
      <c r="A230" s="1" t="n"/>
      <c r="B230" s="20" t="n"/>
      <c r="C230" s="21" t="n"/>
      <c r="D230" s="22" t="n"/>
      <c r="E230" s="37" t="n"/>
      <c r="F230" s="23" t="n"/>
      <c r="G230" s="36" t="n"/>
      <c r="H230" s="20" t="n"/>
      <c r="I230" s="36" t="n"/>
      <c r="J230" s="43">
        <f>IF(C230="","",N(D230)*IFERROR(N(INDEX(Ingredients!$D$6:$D$105,MATCH(C230,Ingredients!$B$6:$B$105,0))),0))</f>
        <v/>
      </c>
      <c r="K230" s="12">
        <f>IF(OR(C230="",I230&lt;&gt;"",NOT(ISNUMBER(H230))),"",IF(H230&lt;TODAY(),"Past its date",IF(H230-TODAY()&lt;=Settings!$C$6,"Use soon","")))</f>
        <v/>
      </c>
      <c r="L230" s="1">
        <f>IF(K230="","",H230*1000+ROW())</f>
        <v/>
      </c>
    </row>
    <row r="231">
      <c r="A231" s="1" t="n"/>
      <c r="B231" s="20" t="n"/>
      <c r="C231" s="21" t="n"/>
      <c r="D231" s="22" t="n"/>
      <c r="E231" s="37" t="n"/>
      <c r="F231" s="23" t="n"/>
      <c r="G231" s="36" t="n"/>
      <c r="H231" s="20" t="n"/>
      <c r="I231" s="36" t="n"/>
      <c r="J231" s="43">
        <f>IF(C231="","",N(D231)*IFERROR(N(INDEX(Ingredients!$D$6:$D$105,MATCH(C231,Ingredients!$B$6:$B$105,0))),0))</f>
        <v/>
      </c>
      <c r="K231" s="12">
        <f>IF(OR(C231="",I231&lt;&gt;"",NOT(ISNUMBER(H231))),"",IF(H231&lt;TODAY(),"Past its date",IF(H231-TODAY()&lt;=Settings!$C$6,"Use soon","")))</f>
        <v/>
      </c>
      <c r="L231" s="1">
        <f>IF(K231="","",H231*1000+ROW())</f>
        <v/>
      </c>
    </row>
    <row r="232">
      <c r="A232" s="1" t="n"/>
      <c r="B232" s="20" t="n"/>
      <c r="C232" s="21" t="n"/>
      <c r="D232" s="22" t="n"/>
      <c r="E232" s="37" t="n"/>
      <c r="F232" s="23" t="n"/>
      <c r="G232" s="36" t="n"/>
      <c r="H232" s="20" t="n"/>
      <c r="I232" s="36" t="n"/>
      <c r="J232" s="43">
        <f>IF(C232="","",N(D232)*IFERROR(N(INDEX(Ingredients!$D$6:$D$105,MATCH(C232,Ingredients!$B$6:$B$105,0))),0))</f>
        <v/>
      </c>
      <c r="K232" s="12">
        <f>IF(OR(C232="",I232&lt;&gt;"",NOT(ISNUMBER(H232))),"",IF(H232&lt;TODAY(),"Past its date",IF(H232-TODAY()&lt;=Settings!$C$6,"Use soon","")))</f>
        <v/>
      </c>
      <c r="L232" s="1">
        <f>IF(K232="","",H232*1000+ROW())</f>
        <v/>
      </c>
    </row>
    <row r="233">
      <c r="A233" s="1" t="n"/>
      <c r="B233" s="20" t="n"/>
      <c r="C233" s="21" t="n"/>
      <c r="D233" s="22" t="n"/>
      <c r="E233" s="37" t="n"/>
      <c r="F233" s="23" t="n"/>
      <c r="G233" s="36" t="n"/>
      <c r="H233" s="20" t="n"/>
      <c r="I233" s="36" t="n"/>
      <c r="J233" s="43">
        <f>IF(C233="","",N(D233)*IFERROR(N(INDEX(Ingredients!$D$6:$D$105,MATCH(C233,Ingredients!$B$6:$B$105,0))),0))</f>
        <v/>
      </c>
      <c r="K233" s="12">
        <f>IF(OR(C233="",I233&lt;&gt;"",NOT(ISNUMBER(H233))),"",IF(H233&lt;TODAY(),"Past its date",IF(H233-TODAY()&lt;=Settings!$C$6,"Use soon","")))</f>
        <v/>
      </c>
      <c r="L233" s="1">
        <f>IF(K233="","",H233*1000+ROW())</f>
        <v/>
      </c>
    </row>
    <row r="234">
      <c r="A234" s="1" t="n"/>
      <c r="B234" s="20" t="n"/>
      <c r="C234" s="21" t="n"/>
      <c r="D234" s="22" t="n"/>
      <c r="E234" s="37" t="n"/>
      <c r="F234" s="23" t="n"/>
      <c r="G234" s="36" t="n"/>
      <c r="H234" s="20" t="n"/>
      <c r="I234" s="36" t="n"/>
      <c r="J234" s="43">
        <f>IF(C234="","",N(D234)*IFERROR(N(INDEX(Ingredients!$D$6:$D$105,MATCH(C234,Ingredients!$B$6:$B$105,0))),0))</f>
        <v/>
      </c>
      <c r="K234" s="12">
        <f>IF(OR(C234="",I234&lt;&gt;"",NOT(ISNUMBER(H234))),"",IF(H234&lt;TODAY(),"Past its date",IF(H234-TODAY()&lt;=Settings!$C$6,"Use soon","")))</f>
        <v/>
      </c>
      <c r="L234" s="1">
        <f>IF(K234="","",H234*1000+ROW())</f>
        <v/>
      </c>
    </row>
    <row r="235">
      <c r="A235" s="1" t="n"/>
      <c r="B235" s="20" t="n"/>
      <c r="C235" s="21" t="n"/>
      <c r="D235" s="22" t="n"/>
      <c r="E235" s="37" t="n"/>
      <c r="F235" s="23" t="n"/>
      <c r="G235" s="36" t="n"/>
      <c r="H235" s="20" t="n"/>
      <c r="I235" s="36" t="n"/>
      <c r="J235" s="43">
        <f>IF(C235="","",N(D235)*IFERROR(N(INDEX(Ingredients!$D$6:$D$105,MATCH(C235,Ingredients!$B$6:$B$105,0))),0))</f>
        <v/>
      </c>
      <c r="K235" s="12">
        <f>IF(OR(C235="",I235&lt;&gt;"",NOT(ISNUMBER(H235))),"",IF(H235&lt;TODAY(),"Past its date",IF(H235-TODAY()&lt;=Settings!$C$6,"Use soon","")))</f>
        <v/>
      </c>
      <c r="L235" s="1">
        <f>IF(K235="","",H235*1000+ROW())</f>
        <v/>
      </c>
    </row>
    <row r="236">
      <c r="A236" s="1" t="n"/>
      <c r="B236" s="20" t="n"/>
      <c r="C236" s="21" t="n"/>
      <c r="D236" s="22" t="n"/>
      <c r="E236" s="37" t="n"/>
      <c r="F236" s="23" t="n"/>
      <c r="G236" s="36" t="n"/>
      <c r="H236" s="20" t="n"/>
      <c r="I236" s="36" t="n"/>
      <c r="J236" s="43">
        <f>IF(C236="","",N(D236)*IFERROR(N(INDEX(Ingredients!$D$6:$D$105,MATCH(C236,Ingredients!$B$6:$B$105,0))),0))</f>
        <v/>
      </c>
      <c r="K236" s="12">
        <f>IF(OR(C236="",I236&lt;&gt;"",NOT(ISNUMBER(H236))),"",IF(H236&lt;TODAY(),"Past its date",IF(H236-TODAY()&lt;=Settings!$C$6,"Use soon","")))</f>
        <v/>
      </c>
      <c r="L236" s="1">
        <f>IF(K236="","",H236*1000+ROW())</f>
        <v/>
      </c>
    </row>
    <row r="237">
      <c r="A237" s="1" t="n"/>
      <c r="B237" s="20" t="n"/>
      <c r="C237" s="21" t="n"/>
      <c r="D237" s="22" t="n"/>
      <c r="E237" s="37" t="n"/>
      <c r="F237" s="23" t="n"/>
      <c r="G237" s="36" t="n"/>
      <c r="H237" s="20" t="n"/>
      <c r="I237" s="36" t="n"/>
      <c r="J237" s="43">
        <f>IF(C237="","",N(D237)*IFERROR(N(INDEX(Ingredients!$D$6:$D$105,MATCH(C237,Ingredients!$B$6:$B$105,0))),0))</f>
        <v/>
      </c>
      <c r="K237" s="12">
        <f>IF(OR(C237="",I237&lt;&gt;"",NOT(ISNUMBER(H237))),"",IF(H237&lt;TODAY(),"Past its date",IF(H237-TODAY()&lt;=Settings!$C$6,"Use soon","")))</f>
        <v/>
      </c>
      <c r="L237" s="1">
        <f>IF(K237="","",H237*1000+ROW())</f>
        <v/>
      </c>
    </row>
    <row r="238">
      <c r="A238" s="1" t="n"/>
      <c r="B238" s="20" t="n"/>
      <c r="C238" s="21" t="n"/>
      <c r="D238" s="22" t="n"/>
      <c r="E238" s="37" t="n"/>
      <c r="F238" s="23" t="n"/>
      <c r="G238" s="36" t="n"/>
      <c r="H238" s="20" t="n"/>
      <c r="I238" s="36" t="n"/>
      <c r="J238" s="43">
        <f>IF(C238="","",N(D238)*IFERROR(N(INDEX(Ingredients!$D$6:$D$105,MATCH(C238,Ingredients!$B$6:$B$105,0))),0))</f>
        <v/>
      </c>
      <c r="K238" s="12">
        <f>IF(OR(C238="",I238&lt;&gt;"",NOT(ISNUMBER(H238))),"",IF(H238&lt;TODAY(),"Past its date",IF(H238-TODAY()&lt;=Settings!$C$6,"Use soon","")))</f>
        <v/>
      </c>
      <c r="L238" s="1">
        <f>IF(K238="","",H238*1000+ROW())</f>
        <v/>
      </c>
    </row>
    <row r="239">
      <c r="A239" s="1" t="n"/>
      <c r="B239" s="20" t="n"/>
      <c r="C239" s="21" t="n"/>
      <c r="D239" s="22" t="n"/>
      <c r="E239" s="37" t="n"/>
      <c r="F239" s="23" t="n"/>
      <c r="G239" s="36" t="n"/>
      <c r="H239" s="20" t="n"/>
      <c r="I239" s="36" t="n"/>
      <c r="J239" s="43">
        <f>IF(C239="","",N(D239)*IFERROR(N(INDEX(Ingredients!$D$6:$D$105,MATCH(C239,Ingredients!$B$6:$B$105,0))),0))</f>
        <v/>
      </c>
      <c r="K239" s="12">
        <f>IF(OR(C239="",I239&lt;&gt;"",NOT(ISNUMBER(H239))),"",IF(H239&lt;TODAY(),"Past its date",IF(H239-TODAY()&lt;=Settings!$C$6,"Use soon","")))</f>
        <v/>
      </c>
      <c r="L239" s="1">
        <f>IF(K239="","",H239*1000+ROW())</f>
        <v/>
      </c>
    </row>
    <row r="240">
      <c r="A240" s="1" t="n"/>
      <c r="B240" s="20" t="n"/>
      <c r="C240" s="21" t="n"/>
      <c r="D240" s="22" t="n"/>
      <c r="E240" s="37" t="n"/>
      <c r="F240" s="23" t="n"/>
      <c r="G240" s="36" t="n"/>
      <c r="H240" s="20" t="n"/>
      <c r="I240" s="36" t="n"/>
      <c r="J240" s="43">
        <f>IF(C240="","",N(D240)*IFERROR(N(INDEX(Ingredients!$D$6:$D$105,MATCH(C240,Ingredients!$B$6:$B$105,0))),0))</f>
        <v/>
      </c>
      <c r="K240" s="12">
        <f>IF(OR(C240="",I240&lt;&gt;"",NOT(ISNUMBER(H240))),"",IF(H240&lt;TODAY(),"Past its date",IF(H240-TODAY()&lt;=Settings!$C$6,"Use soon","")))</f>
        <v/>
      </c>
      <c r="L240" s="1">
        <f>IF(K240="","",H240*1000+ROW())</f>
        <v/>
      </c>
    </row>
    <row r="241">
      <c r="A241" s="1" t="n"/>
      <c r="B241" s="20" t="n"/>
      <c r="C241" s="21" t="n"/>
      <c r="D241" s="22" t="n"/>
      <c r="E241" s="37" t="n"/>
      <c r="F241" s="23" t="n"/>
      <c r="G241" s="36" t="n"/>
      <c r="H241" s="20" t="n"/>
      <c r="I241" s="36" t="n"/>
      <c r="J241" s="43">
        <f>IF(C241="","",N(D241)*IFERROR(N(INDEX(Ingredients!$D$6:$D$105,MATCH(C241,Ingredients!$B$6:$B$105,0))),0))</f>
        <v/>
      </c>
      <c r="K241" s="12">
        <f>IF(OR(C241="",I241&lt;&gt;"",NOT(ISNUMBER(H241))),"",IF(H241&lt;TODAY(),"Past its date",IF(H241-TODAY()&lt;=Settings!$C$6,"Use soon","")))</f>
        <v/>
      </c>
      <c r="L241" s="1">
        <f>IF(K241="","",H241*1000+ROW())</f>
        <v/>
      </c>
    </row>
    <row r="242">
      <c r="A242" s="1" t="n"/>
      <c r="B242" s="20" t="n"/>
      <c r="C242" s="21" t="n"/>
      <c r="D242" s="22" t="n"/>
      <c r="E242" s="37" t="n"/>
      <c r="F242" s="23" t="n"/>
      <c r="G242" s="36" t="n"/>
      <c r="H242" s="20" t="n"/>
      <c r="I242" s="36" t="n"/>
      <c r="J242" s="43">
        <f>IF(C242="","",N(D242)*IFERROR(N(INDEX(Ingredients!$D$6:$D$105,MATCH(C242,Ingredients!$B$6:$B$105,0))),0))</f>
        <v/>
      </c>
      <c r="K242" s="12">
        <f>IF(OR(C242="",I242&lt;&gt;"",NOT(ISNUMBER(H242))),"",IF(H242&lt;TODAY(),"Past its date",IF(H242-TODAY()&lt;=Settings!$C$6,"Use soon","")))</f>
        <v/>
      </c>
      <c r="L242" s="1">
        <f>IF(K242="","",H242*1000+ROW())</f>
        <v/>
      </c>
    </row>
    <row r="243">
      <c r="A243" s="1" t="n"/>
      <c r="B243" s="20" t="n"/>
      <c r="C243" s="21" t="n"/>
      <c r="D243" s="22" t="n"/>
      <c r="E243" s="37" t="n"/>
      <c r="F243" s="23" t="n"/>
      <c r="G243" s="36" t="n"/>
      <c r="H243" s="20" t="n"/>
      <c r="I243" s="36" t="n"/>
      <c r="J243" s="43">
        <f>IF(C243="","",N(D243)*IFERROR(N(INDEX(Ingredients!$D$6:$D$105,MATCH(C243,Ingredients!$B$6:$B$105,0))),0))</f>
        <v/>
      </c>
      <c r="K243" s="12">
        <f>IF(OR(C243="",I243&lt;&gt;"",NOT(ISNUMBER(H243))),"",IF(H243&lt;TODAY(),"Past its date",IF(H243-TODAY()&lt;=Settings!$C$6,"Use soon","")))</f>
        <v/>
      </c>
      <c r="L243" s="1">
        <f>IF(K243="","",H243*1000+ROW())</f>
        <v/>
      </c>
    </row>
    <row r="244">
      <c r="A244" s="1" t="n"/>
      <c r="B244" s="20" t="n"/>
      <c r="C244" s="21" t="n"/>
      <c r="D244" s="22" t="n"/>
      <c r="E244" s="37" t="n"/>
      <c r="F244" s="23" t="n"/>
      <c r="G244" s="36" t="n"/>
      <c r="H244" s="20" t="n"/>
      <c r="I244" s="36" t="n"/>
      <c r="J244" s="43">
        <f>IF(C244="","",N(D244)*IFERROR(N(INDEX(Ingredients!$D$6:$D$105,MATCH(C244,Ingredients!$B$6:$B$105,0))),0))</f>
        <v/>
      </c>
      <c r="K244" s="12">
        <f>IF(OR(C244="",I244&lt;&gt;"",NOT(ISNUMBER(H244))),"",IF(H244&lt;TODAY(),"Past its date",IF(H244-TODAY()&lt;=Settings!$C$6,"Use soon","")))</f>
        <v/>
      </c>
      <c r="L244" s="1">
        <f>IF(K244="","",H244*1000+ROW())</f>
        <v/>
      </c>
    </row>
    <row r="245">
      <c r="A245" s="1" t="n"/>
      <c r="B245" s="20" t="n"/>
      <c r="C245" s="21" t="n"/>
      <c r="D245" s="22" t="n"/>
      <c r="E245" s="37" t="n"/>
      <c r="F245" s="23" t="n"/>
      <c r="G245" s="36" t="n"/>
      <c r="H245" s="20" t="n"/>
      <c r="I245" s="36" t="n"/>
      <c r="J245" s="43">
        <f>IF(C245="","",N(D245)*IFERROR(N(INDEX(Ingredients!$D$6:$D$105,MATCH(C245,Ingredients!$B$6:$B$105,0))),0))</f>
        <v/>
      </c>
      <c r="K245" s="12">
        <f>IF(OR(C245="",I245&lt;&gt;"",NOT(ISNUMBER(H245))),"",IF(H245&lt;TODAY(),"Past its date",IF(H245-TODAY()&lt;=Settings!$C$6,"Use soon","")))</f>
        <v/>
      </c>
      <c r="L245" s="1">
        <f>IF(K245="","",H245*1000+ROW())</f>
        <v/>
      </c>
    </row>
    <row r="246">
      <c r="A246" s="1" t="n"/>
      <c r="B246" s="20" t="n"/>
      <c r="C246" s="21" t="n"/>
      <c r="D246" s="22" t="n"/>
      <c r="E246" s="37" t="n"/>
      <c r="F246" s="23" t="n"/>
      <c r="G246" s="36" t="n"/>
      <c r="H246" s="20" t="n"/>
      <c r="I246" s="36" t="n"/>
      <c r="J246" s="43">
        <f>IF(C246="","",N(D246)*IFERROR(N(INDEX(Ingredients!$D$6:$D$105,MATCH(C246,Ingredients!$B$6:$B$105,0))),0))</f>
        <v/>
      </c>
      <c r="K246" s="12">
        <f>IF(OR(C246="",I246&lt;&gt;"",NOT(ISNUMBER(H246))),"",IF(H246&lt;TODAY(),"Past its date",IF(H246-TODAY()&lt;=Settings!$C$6,"Use soon","")))</f>
        <v/>
      </c>
      <c r="L246" s="1">
        <f>IF(K246="","",H246*1000+ROW())</f>
        <v/>
      </c>
    </row>
    <row r="247">
      <c r="A247" s="1" t="n"/>
      <c r="B247" s="20" t="n"/>
      <c r="C247" s="21" t="n"/>
      <c r="D247" s="22" t="n"/>
      <c r="E247" s="37" t="n"/>
      <c r="F247" s="23" t="n"/>
      <c r="G247" s="36" t="n"/>
      <c r="H247" s="20" t="n"/>
      <c r="I247" s="36" t="n"/>
      <c r="J247" s="43">
        <f>IF(C247="","",N(D247)*IFERROR(N(INDEX(Ingredients!$D$6:$D$105,MATCH(C247,Ingredients!$B$6:$B$105,0))),0))</f>
        <v/>
      </c>
      <c r="K247" s="12">
        <f>IF(OR(C247="",I247&lt;&gt;"",NOT(ISNUMBER(H247))),"",IF(H247&lt;TODAY(),"Past its date",IF(H247-TODAY()&lt;=Settings!$C$6,"Use soon","")))</f>
        <v/>
      </c>
      <c r="L247" s="1">
        <f>IF(K247="","",H247*1000+ROW())</f>
        <v/>
      </c>
    </row>
    <row r="248">
      <c r="A248" s="1" t="n"/>
      <c r="B248" s="20" t="n"/>
      <c r="C248" s="21" t="n"/>
      <c r="D248" s="22" t="n"/>
      <c r="E248" s="37" t="n"/>
      <c r="F248" s="23" t="n"/>
      <c r="G248" s="36" t="n"/>
      <c r="H248" s="20" t="n"/>
      <c r="I248" s="36" t="n"/>
      <c r="J248" s="43">
        <f>IF(C248="","",N(D248)*IFERROR(N(INDEX(Ingredients!$D$6:$D$105,MATCH(C248,Ingredients!$B$6:$B$105,0))),0))</f>
        <v/>
      </c>
      <c r="K248" s="12">
        <f>IF(OR(C248="",I248&lt;&gt;"",NOT(ISNUMBER(H248))),"",IF(H248&lt;TODAY(),"Past its date",IF(H248-TODAY()&lt;=Settings!$C$6,"Use soon","")))</f>
        <v/>
      </c>
      <c r="L248" s="1">
        <f>IF(K248="","",H248*1000+ROW())</f>
        <v/>
      </c>
    </row>
    <row r="249">
      <c r="A249" s="1" t="n"/>
      <c r="B249" s="20" t="n"/>
      <c r="C249" s="21" t="n"/>
      <c r="D249" s="22" t="n"/>
      <c r="E249" s="37" t="n"/>
      <c r="F249" s="23" t="n"/>
      <c r="G249" s="36" t="n"/>
      <c r="H249" s="20" t="n"/>
      <c r="I249" s="36" t="n"/>
      <c r="J249" s="43">
        <f>IF(C249="","",N(D249)*IFERROR(N(INDEX(Ingredients!$D$6:$D$105,MATCH(C249,Ingredients!$B$6:$B$105,0))),0))</f>
        <v/>
      </c>
      <c r="K249" s="12">
        <f>IF(OR(C249="",I249&lt;&gt;"",NOT(ISNUMBER(H249))),"",IF(H249&lt;TODAY(),"Past its date",IF(H249-TODAY()&lt;=Settings!$C$6,"Use soon","")))</f>
        <v/>
      </c>
      <c r="L249" s="1">
        <f>IF(K249="","",H249*1000+ROW())</f>
        <v/>
      </c>
    </row>
    <row r="250">
      <c r="A250" s="1" t="n"/>
      <c r="B250" s="20" t="n"/>
      <c r="C250" s="21" t="n"/>
      <c r="D250" s="22" t="n"/>
      <c r="E250" s="37" t="n"/>
      <c r="F250" s="23" t="n"/>
      <c r="G250" s="36" t="n"/>
      <c r="H250" s="20" t="n"/>
      <c r="I250" s="36" t="n"/>
      <c r="J250" s="43">
        <f>IF(C250="","",N(D250)*IFERROR(N(INDEX(Ingredients!$D$6:$D$105,MATCH(C250,Ingredients!$B$6:$B$105,0))),0))</f>
        <v/>
      </c>
      <c r="K250" s="12">
        <f>IF(OR(C250="",I250&lt;&gt;"",NOT(ISNUMBER(H250))),"",IF(H250&lt;TODAY(),"Past its date",IF(H250-TODAY()&lt;=Settings!$C$6,"Use soon","")))</f>
        <v/>
      </c>
      <c r="L250" s="1">
        <f>IF(K250="","",H250*1000+ROW())</f>
        <v/>
      </c>
    </row>
    <row r="251">
      <c r="A251" s="1" t="n"/>
      <c r="B251" s="20" t="n"/>
      <c r="C251" s="21" t="n"/>
      <c r="D251" s="22" t="n"/>
      <c r="E251" s="37" t="n"/>
      <c r="F251" s="23" t="n"/>
      <c r="G251" s="36" t="n"/>
      <c r="H251" s="20" t="n"/>
      <c r="I251" s="36" t="n"/>
      <c r="J251" s="43">
        <f>IF(C251="","",N(D251)*IFERROR(N(INDEX(Ingredients!$D$6:$D$105,MATCH(C251,Ingredients!$B$6:$B$105,0))),0))</f>
        <v/>
      </c>
      <c r="K251" s="12">
        <f>IF(OR(C251="",I251&lt;&gt;"",NOT(ISNUMBER(H251))),"",IF(H251&lt;TODAY(),"Past its date",IF(H251-TODAY()&lt;=Settings!$C$6,"Use soon","")))</f>
        <v/>
      </c>
      <c r="L251" s="1">
        <f>IF(K251="","",H251*1000+ROW())</f>
        <v/>
      </c>
    </row>
    <row r="252">
      <c r="A252" s="1" t="n"/>
      <c r="B252" s="20" t="n"/>
      <c r="C252" s="21" t="n"/>
      <c r="D252" s="22" t="n"/>
      <c r="E252" s="37" t="n"/>
      <c r="F252" s="23" t="n"/>
      <c r="G252" s="36" t="n"/>
      <c r="H252" s="20" t="n"/>
      <c r="I252" s="36" t="n"/>
      <c r="J252" s="43">
        <f>IF(C252="","",N(D252)*IFERROR(N(INDEX(Ingredients!$D$6:$D$105,MATCH(C252,Ingredients!$B$6:$B$105,0))),0))</f>
        <v/>
      </c>
      <c r="K252" s="12">
        <f>IF(OR(C252="",I252&lt;&gt;"",NOT(ISNUMBER(H252))),"",IF(H252&lt;TODAY(),"Past its date",IF(H252-TODAY()&lt;=Settings!$C$6,"Use soon","")))</f>
        <v/>
      </c>
      <c r="L252" s="1">
        <f>IF(K252="","",H252*1000+ROW())</f>
        <v/>
      </c>
    </row>
    <row r="253">
      <c r="A253" s="1" t="n"/>
      <c r="B253" s="20" t="n"/>
      <c r="C253" s="21" t="n"/>
      <c r="D253" s="22" t="n"/>
      <c r="E253" s="37" t="n"/>
      <c r="F253" s="23" t="n"/>
      <c r="G253" s="36" t="n"/>
      <c r="H253" s="20" t="n"/>
      <c r="I253" s="36" t="n"/>
      <c r="J253" s="43">
        <f>IF(C253="","",N(D253)*IFERROR(N(INDEX(Ingredients!$D$6:$D$105,MATCH(C253,Ingredients!$B$6:$B$105,0))),0))</f>
        <v/>
      </c>
      <c r="K253" s="12">
        <f>IF(OR(C253="",I253&lt;&gt;"",NOT(ISNUMBER(H253))),"",IF(H253&lt;TODAY(),"Past its date",IF(H253-TODAY()&lt;=Settings!$C$6,"Use soon","")))</f>
        <v/>
      </c>
      <c r="L253" s="1">
        <f>IF(K253="","",H253*1000+ROW())</f>
        <v/>
      </c>
    </row>
    <row r="254">
      <c r="A254" s="1" t="n"/>
      <c r="B254" s="20" t="n"/>
      <c r="C254" s="21" t="n"/>
      <c r="D254" s="22" t="n"/>
      <c r="E254" s="37" t="n"/>
      <c r="F254" s="23" t="n"/>
      <c r="G254" s="36" t="n"/>
      <c r="H254" s="20" t="n"/>
      <c r="I254" s="36" t="n"/>
      <c r="J254" s="43">
        <f>IF(C254="","",N(D254)*IFERROR(N(INDEX(Ingredients!$D$6:$D$105,MATCH(C254,Ingredients!$B$6:$B$105,0))),0))</f>
        <v/>
      </c>
      <c r="K254" s="12">
        <f>IF(OR(C254="",I254&lt;&gt;"",NOT(ISNUMBER(H254))),"",IF(H254&lt;TODAY(),"Past its date",IF(H254-TODAY()&lt;=Settings!$C$6,"Use soon","")))</f>
        <v/>
      </c>
      <c r="L254" s="1">
        <f>IF(K254="","",H254*1000+ROW())</f>
        <v/>
      </c>
    </row>
    <row r="255">
      <c r="A255" s="1" t="n"/>
      <c r="B255" s="20" t="n"/>
      <c r="C255" s="21" t="n"/>
      <c r="D255" s="22" t="n"/>
      <c r="E255" s="37" t="n"/>
      <c r="F255" s="23" t="n"/>
      <c r="G255" s="36" t="n"/>
      <c r="H255" s="20" t="n"/>
      <c r="I255" s="36" t="n"/>
      <c r="J255" s="43">
        <f>IF(C255="","",N(D255)*IFERROR(N(INDEX(Ingredients!$D$6:$D$105,MATCH(C255,Ingredients!$B$6:$B$105,0))),0))</f>
        <v/>
      </c>
      <c r="K255" s="12">
        <f>IF(OR(C255="",I255&lt;&gt;"",NOT(ISNUMBER(H255))),"",IF(H255&lt;TODAY(),"Past its date",IF(H255-TODAY()&lt;=Settings!$C$6,"Use soon","")))</f>
        <v/>
      </c>
      <c r="L255" s="1">
        <f>IF(K255="","",H255*1000+ROW())</f>
        <v/>
      </c>
    </row>
    <row r="256">
      <c r="A256" s="1" t="n"/>
      <c r="B256" s="20" t="n"/>
      <c r="C256" s="21" t="n"/>
      <c r="D256" s="22" t="n"/>
      <c r="E256" s="37" t="n"/>
      <c r="F256" s="23" t="n"/>
      <c r="G256" s="36" t="n"/>
      <c r="H256" s="20" t="n"/>
      <c r="I256" s="36" t="n"/>
      <c r="J256" s="43">
        <f>IF(C256="","",N(D256)*IFERROR(N(INDEX(Ingredients!$D$6:$D$105,MATCH(C256,Ingredients!$B$6:$B$105,0))),0))</f>
        <v/>
      </c>
      <c r="K256" s="12">
        <f>IF(OR(C256="",I256&lt;&gt;"",NOT(ISNUMBER(H256))),"",IF(H256&lt;TODAY(),"Past its date",IF(H256-TODAY()&lt;=Settings!$C$6,"Use soon","")))</f>
        <v/>
      </c>
      <c r="L256" s="1">
        <f>IF(K256="","",H256*1000+ROW())</f>
        <v/>
      </c>
    </row>
    <row r="257">
      <c r="A257" s="1" t="n"/>
      <c r="B257" s="20" t="n"/>
      <c r="C257" s="21" t="n"/>
      <c r="D257" s="22" t="n"/>
      <c r="E257" s="37" t="n"/>
      <c r="F257" s="23" t="n"/>
      <c r="G257" s="36" t="n"/>
      <c r="H257" s="20" t="n"/>
      <c r="I257" s="36" t="n"/>
      <c r="J257" s="43">
        <f>IF(C257="","",N(D257)*IFERROR(N(INDEX(Ingredients!$D$6:$D$105,MATCH(C257,Ingredients!$B$6:$B$105,0))),0))</f>
        <v/>
      </c>
      <c r="K257" s="12">
        <f>IF(OR(C257="",I257&lt;&gt;"",NOT(ISNUMBER(H257))),"",IF(H257&lt;TODAY(),"Past its date",IF(H257-TODAY()&lt;=Settings!$C$6,"Use soon","")))</f>
        <v/>
      </c>
      <c r="L257" s="1">
        <f>IF(K257="","",H257*1000+ROW())</f>
        <v/>
      </c>
    </row>
    <row r="258">
      <c r="A258" s="1" t="n"/>
      <c r="B258" s="20" t="n"/>
      <c r="C258" s="21" t="n"/>
      <c r="D258" s="22" t="n"/>
      <c r="E258" s="37" t="n"/>
      <c r="F258" s="23" t="n"/>
      <c r="G258" s="36" t="n"/>
      <c r="H258" s="20" t="n"/>
      <c r="I258" s="36" t="n"/>
      <c r="J258" s="43">
        <f>IF(C258="","",N(D258)*IFERROR(N(INDEX(Ingredients!$D$6:$D$105,MATCH(C258,Ingredients!$B$6:$B$105,0))),0))</f>
        <v/>
      </c>
      <c r="K258" s="12">
        <f>IF(OR(C258="",I258&lt;&gt;"",NOT(ISNUMBER(H258))),"",IF(H258&lt;TODAY(),"Past its date",IF(H258-TODAY()&lt;=Settings!$C$6,"Use soon","")))</f>
        <v/>
      </c>
      <c r="L258" s="1">
        <f>IF(K258="","",H258*1000+ROW())</f>
        <v/>
      </c>
    </row>
    <row r="259">
      <c r="A259" s="1" t="n"/>
      <c r="B259" s="20" t="n"/>
      <c r="C259" s="21" t="n"/>
      <c r="D259" s="22" t="n"/>
      <c r="E259" s="37" t="n"/>
      <c r="F259" s="23" t="n"/>
      <c r="G259" s="36" t="n"/>
      <c r="H259" s="20" t="n"/>
      <c r="I259" s="36" t="n"/>
      <c r="J259" s="43">
        <f>IF(C259="","",N(D259)*IFERROR(N(INDEX(Ingredients!$D$6:$D$105,MATCH(C259,Ingredients!$B$6:$B$105,0))),0))</f>
        <v/>
      </c>
      <c r="K259" s="12">
        <f>IF(OR(C259="",I259&lt;&gt;"",NOT(ISNUMBER(H259))),"",IF(H259&lt;TODAY(),"Past its date",IF(H259-TODAY()&lt;=Settings!$C$6,"Use soon","")))</f>
        <v/>
      </c>
      <c r="L259" s="1">
        <f>IF(K259="","",H259*1000+ROW())</f>
        <v/>
      </c>
    </row>
    <row r="260">
      <c r="A260" s="1" t="n"/>
      <c r="B260" s="20" t="n"/>
      <c r="C260" s="21" t="n"/>
      <c r="D260" s="22" t="n"/>
      <c r="E260" s="37" t="n"/>
      <c r="F260" s="23" t="n"/>
      <c r="G260" s="36" t="n"/>
      <c r="H260" s="20" t="n"/>
      <c r="I260" s="36" t="n"/>
      <c r="J260" s="43">
        <f>IF(C260="","",N(D260)*IFERROR(N(INDEX(Ingredients!$D$6:$D$105,MATCH(C260,Ingredients!$B$6:$B$105,0))),0))</f>
        <v/>
      </c>
      <c r="K260" s="12">
        <f>IF(OR(C260="",I260&lt;&gt;"",NOT(ISNUMBER(H260))),"",IF(H260&lt;TODAY(),"Past its date",IF(H260-TODAY()&lt;=Settings!$C$6,"Use soon","")))</f>
        <v/>
      </c>
      <c r="L260" s="1">
        <f>IF(K260="","",H260*1000+ROW())</f>
        <v/>
      </c>
    </row>
    <row r="261">
      <c r="A261" s="1" t="n"/>
      <c r="B261" s="20" t="n"/>
      <c r="C261" s="21" t="n"/>
      <c r="D261" s="22" t="n"/>
      <c r="E261" s="37" t="n"/>
      <c r="F261" s="23" t="n"/>
      <c r="G261" s="36" t="n"/>
      <c r="H261" s="20" t="n"/>
      <c r="I261" s="36" t="n"/>
      <c r="J261" s="43">
        <f>IF(C261="","",N(D261)*IFERROR(N(INDEX(Ingredients!$D$6:$D$105,MATCH(C261,Ingredients!$B$6:$B$105,0))),0))</f>
        <v/>
      </c>
      <c r="K261" s="12">
        <f>IF(OR(C261="",I261&lt;&gt;"",NOT(ISNUMBER(H261))),"",IF(H261&lt;TODAY(),"Past its date",IF(H261-TODAY()&lt;=Settings!$C$6,"Use soon","")))</f>
        <v/>
      </c>
      <c r="L261" s="1">
        <f>IF(K261="","",H261*1000+ROW())</f>
        <v/>
      </c>
    </row>
    <row r="262">
      <c r="A262" s="1" t="n"/>
      <c r="B262" s="20" t="n"/>
      <c r="C262" s="21" t="n"/>
      <c r="D262" s="22" t="n"/>
      <c r="E262" s="37" t="n"/>
      <c r="F262" s="23" t="n"/>
      <c r="G262" s="36" t="n"/>
      <c r="H262" s="20" t="n"/>
      <c r="I262" s="36" t="n"/>
      <c r="J262" s="43">
        <f>IF(C262="","",N(D262)*IFERROR(N(INDEX(Ingredients!$D$6:$D$105,MATCH(C262,Ingredients!$B$6:$B$105,0))),0))</f>
        <v/>
      </c>
      <c r="K262" s="12">
        <f>IF(OR(C262="",I262&lt;&gt;"",NOT(ISNUMBER(H262))),"",IF(H262&lt;TODAY(),"Past its date",IF(H262-TODAY()&lt;=Settings!$C$6,"Use soon","")))</f>
        <v/>
      </c>
      <c r="L262" s="1">
        <f>IF(K262="","",H262*1000+ROW())</f>
        <v/>
      </c>
    </row>
    <row r="263">
      <c r="A263" s="1" t="n"/>
      <c r="B263" s="20" t="n"/>
      <c r="C263" s="21" t="n"/>
      <c r="D263" s="22" t="n"/>
      <c r="E263" s="37" t="n"/>
      <c r="F263" s="23" t="n"/>
      <c r="G263" s="36" t="n"/>
      <c r="H263" s="20" t="n"/>
      <c r="I263" s="36" t="n"/>
      <c r="J263" s="43">
        <f>IF(C263="","",N(D263)*IFERROR(N(INDEX(Ingredients!$D$6:$D$105,MATCH(C263,Ingredients!$B$6:$B$105,0))),0))</f>
        <v/>
      </c>
      <c r="K263" s="12">
        <f>IF(OR(C263="",I263&lt;&gt;"",NOT(ISNUMBER(H263))),"",IF(H263&lt;TODAY(),"Past its date",IF(H263-TODAY()&lt;=Settings!$C$6,"Use soon","")))</f>
        <v/>
      </c>
      <c r="L263" s="1">
        <f>IF(K263="","",H263*1000+ROW())</f>
        <v/>
      </c>
    </row>
    <row r="264">
      <c r="A264" s="1" t="n"/>
      <c r="B264" s="20" t="n"/>
      <c r="C264" s="21" t="n"/>
      <c r="D264" s="22" t="n"/>
      <c r="E264" s="37" t="n"/>
      <c r="F264" s="23" t="n"/>
      <c r="G264" s="36" t="n"/>
      <c r="H264" s="20" t="n"/>
      <c r="I264" s="36" t="n"/>
      <c r="J264" s="43">
        <f>IF(C264="","",N(D264)*IFERROR(N(INDEX(Ingredients!$D$6:$D$105,MATCH(C264,Ingredients!$B$6:$B$105,0))),0))</f>
        <v/>
      </c>
      <c r="K264" s="12">
        <f>IF(OR(C264="",I264&lt;&gt;"",NOT(ISNUMBER(H264))),"",IF(H264&lt;TODAY(),"Past its date",IF(H264-TODAY()&lt;=Settings!$C$6,"Use soon","")))</f>
        <v/>
      </c>
      <c r="L264" s="1">
        <f>IF(K264="","",H264*1000+ROW())</f>
        <v/>
      </c>
    </row>
    <row r="265">
      <c r="A265" s="1" t="n"/>
      <c r="B265" s="20" t="n"/>
      <c r="C265" s="21" t="n"/>
      <c r="D265" s="22" t="n"/>
      <c r="E265" s="37" t="n"/>
      <c r="F265" s="23" t="n"/>
      <c r="G265" s="36" t="n"/>
      <c r="H265" s="20" t="n"/>
      <c r="I265" s="36" t="n"/>
      <c r="J265" s="43">
        <f>IF(C265="","",N(D265)*IFERROR(N(INDEX(Ingredients!$D$6:$D$105,MATCH(C265,Ingredients!$B$6:$B$105,0))),0))</f>
        <v/>
      </c>
      <c r="K265" s="12">
        <f>IF(OR(C265="",I265&lt;&gt;"",NOT(ISNUMBER(H265))),"",IF(H265&lt;TODAY(),"Past its date",IF(H265-TODAY()&lt;=Settings!$C$6,"Use soon","")))</f>
        <v/>
      </c>
      <c r="L265" s="1">
        <f>IF(K265="","",H265*1000+ROW())</f>
        <v/>
      </c>
    </row>
    <row r="266">
      <c r="A266" s="1" t="n"/>
      <c r="B266" s="20" t="n"/>
      <c r="C266" s="21" t="n"/>
      <c r="D266" s="22" t="n"/>
      <c r="E266" s="37" t="n"/>
      <c r="F266" s="23" t="n"/>
      <c r="G266" s="36" t="n"/>
      <c r="H266" s="20" t="n"/>
      <c r="I266" s="36" t="n"/>
      <c r="J266" s="43">
        <f>IF(C266="","",N(D266)*IFERROR(N(INDEX(Ingredients!$D$6:$D$105,MATCH(C266,Ingredients!$B$6:$B$105,0))),0))</f>
        <v/>
      </c>
      <c r="K266" s="12">
        <f>IF(OR(C266="",I266&lt;&gt;"",NOT(ISNUMBER(H266))),"",IF(H266&lt;TODAY(),"Past its date",IF(H266-TODAY()&lt;=Settings!$C$6,"Use soon","")))</f>
        <v/>
      </c>
      <c r="L266" s="1">
        <f>IF(K266="","",H266*1000+ROW())</f>
        <v/>
      </c>
    </row>
    <row r="267">
      <c r="A267" s="1" t="n"/>
      <c r="B267" s="20" t="n"/>
      <c r="C267" s="21" t="n"/>
      <c r="D267" s="22" t="n"/>
      <c r="E267" s="37" t="n"/>
      <c r="F267" s="23" t="n"/>
      <c r="G267" s="36" t="n"/>
      <c r="H267" s="20" t="n"/>
      <c r="I267" s="36" t="n"/>
      <c r="J267" s="43">
        <f>IF(C267="","",N(D267)*IFERROR(N(INDEX(Ingredients!$D$6:$D$105,MATCH(C267,Ingredients!$B$6:$B$105,0))),0))</f>
        <v/>
      </c>
      <c r="K267" s="12">
        <f>IF(OR(C267="",I267&lt;&gt;"",NOT(ISNUMBER(H267))),"",IF(H267&lt;TODAY(),"Past its date",IF(H267-TODAY()&lt;=Settings!$C$6,"Use soon","")))</f>
        <v/>
      </c>
      <c r="L267" s="1">
        <f>IF(K267="","",H267*1000+ROW())</f>
        <v/>
      </c>
    </row>
    <row r="268">
      <c r="A268" s="1" t="n"/>
      <c r="B268" s="20" t="n"/>
      <c r="C268" s="21" t="n"/>
      <c r="D268" s="22" t="n"/>
      <c r="E268" s="37" t="n"/>
      <c r="F268" s="23" t="n"/>
      <c r="G268" s="36" t="n"/>
      <c r="H268" s="20" t="n"/>
      <c r="I268" s="36" t="n"/>
      <c r="J268" s="43">
        <f>IF(C268="","",N(D268)*IFERROR(N(INDEX(Ingredients!$D$6:$D$105,MATCH(C268,Ingredients!$B$6:$B$105,0))),0))</f>
        <v/>
      </c>
      <c r="K268" s="12">
        <f>IF(OR(C268="",I268&lt;&gt;"",NOT(ISNUMBER(H268))),"",IF(H268&lt;TODAY(),"Past its date",IF(H268-TODAY()&lt;=Settings!$C$6,"Use soon","")))</f>
        <v/>
      </c>
      <c r="L268" s="1">
        <f>IF(K268="","",H268*1000+ROW())</f>
        <v/>
      </c>
    </row>
    <row r="269">
      <c r="A269" s="1" t="n"/>
      <c r="B269" s="20" t="n"/>
      <c r="C269" s="21" t="n"/>
      <c r="D269" s="22" t="n"/>
      <c r="E269" s="37" t="n"/>
      <c r="F269" s="23" t="n"/>
      <c r="G269" s="36" t="n"/>
      <c r="H269" s="20" t="n"/>
      <c r="I269" s="36" t="n"/>
      <c r="J269" s="43">
        <f>IF(C269="","",N(D269)*IFERROR(N(INDEX(Ingredients!$D$6:$D$105,MATCH(C269,Ingredients!$B$6:$B$105,0))),0))</f>
        <v/>
      </c>
      <c r="K269" s="12">
        <f>IF(OR(C269="",I269&lt;&gt;"",NOT(ISNUMBER(H269))),"",IF(H269&lt;TODAY(),"Past its date",IF(H269-TODAY()&lt;=Settings!$C$6,"Use soon","")))</f>
        <v/>
      </c>
      <c r="L269" s="1">
        <f>IF(K269="","",H269*1000+ROW())</f>
        <v/>
      </c>
    </row>
    <row r="270">
      <c r="A270" s="1" t="n"/>
      <c r="B270" s="20" t="n"/>
      <c r="C270" s="21" t="n"/>
      <c r="D270" s="22" t="n"/>
      <c r="E270" s="37" t="n"/>
      <c r="F270" s="23" t="n"/>
      <c r="G270" s="36" t="n"/>
      <c r="H270" s="20" t="n"/>
      <c r="I270" s="36" t="n"/>
      <c r="J270" s="43">
        <f>IF(C270="","",N(D270)*IFERROR(N(INDEX(Ingredients!$D$6:$D$105,MATCH(C270,Ingredients!$B$6:$B$105,0))),0))</f>
        <v/>
      </c>
      <c r="K270" s="12">
        <f>IF(OR(C270="",I270&lt;&gt;"",NOT(ISNUMBER(H270))),"",IF(H270&lt;TODAY(),"Past its date",IF(H270-TODAY()&lt;=Settings!$C$6,"Use soon","")))</f>
        <v/>
      </c>
      <c r="L270" s="1">
        <f>IF(K270="","",H270*1000+ROW())</f>
        <v/>
      </c>
    </row>
    <row r="271">
      <c r="A271" s="1" t="n"/>
      <c r="B271" s="20" t="n"/>
      <c r="C271" s="21" t="n"/>
      <c r="D271" s="22" t="n"/>
      <c r="E271" s="37" t="n"/>
      <c r="F271" s="23" t="n"/>
      <c r="G271" s="36" t="n"/>
      <c r="H271" s="20" t="n"/>
      <c r="I271" s="36" t="n"/>
      <c r="J271" s="43">
        <f>IF(C271="","",N(D271)*IFERROR(N(INDEX(Ingredients!$D$6:$D$105,MATCH(C271,Ingredients!$B$6:$B$105,0))),0))</f>
        <v/>
      </c>
      <c r="K271" s="12">
        <f>IF(OR(C271="",I271&lt;&gt;"",NOT(ISNUMBER(H271))),"",IF(H271&lt;TODAY(),"Past its date",IF(H271-TODAY()&lt;=Settings!$C$6,"Use soon","")))</f>
        <v/>
      </c>
      <c r="L271" s="1">
        <f>IF(K271="","",H271*1000+ROW())</f>
        <v/>
      </c>
    </row>
    <row r="272">
      <c r="A272" s="1" t="n"/>
      <c r="B272" s="20" t="n"/>
      <c r="C272" s="21" t="n"/>
      <c r="D272" s="22" t="n"/>
      <c r="E272" s="37" t="n"/>
      <c r="F272" s="23" t="n"/>
      <c r="G272" s="36" t="n"/>
      <c r="H272" s="20" t="n"/>
      <c r="I272" s="36" t="n"/>
      <c r="J272" s="43">
        <f>IF(C272="","",N(D272)*IFERROR(N(INDEX(Ingredients!$D$6:$D$105,MATCH(C272,Ingredients!$B$6:$B$105,0))),0))</f>
        <v/>
      </c>
      <c r="K272" s="12">
        <f>IF(OR(C272="",I272&lt;&gt;"",NOT(ISNUMBER(H272))),"",IF(H272&lt;TODAY(),"Past its date",IF(H272-TODAY()&lt;=Settings!$C$6,"Use soon","")))</f>
        <v/>
      </c>
      <c r="L272" s="1">
        <f>IF(K272="","",H272*1000+ROW())</f>
        <v/>
      </c>
    </row>
    <row r="273">
      <c r="A273" s="1" t="n"/>
      <c r="B273" s="20" t="n"/>
      <c r="C273" s="21" t="n"/>
      <c r="D273" s="22" t="n"/>
      <c r="E273" s="37" t="n"/>
      <c r="F273" s="23" t="n"/>
      <c r="G273" s="36" t="n"/>
      <c r="H273" s="20" t="n"/>
      <c r="I273" s="36" t="n"/>
      <c r="J273" s="43">
        <f>IF(C273="","",N(D273)*IFERROR(N(INDEX(Ingredients!$D$6:$D$105,MATCH(C273,Ingredients!$B$6:$B$105,0))),0))</f>
        <v/>
      </c>
      <c r="K273" s="12">
        <f>IF(OR(C273="",I273&lt;&gt;"",NOT(ISNUMBER(H273))),"",IF(H273&lt;TODAY(),"Past its date",IF(H273-TODAY()&lt;=Settings!$C$6,"Use soon","")))</f>
        <v/>
      </c>
      <c r="L273" s="1">
        <f>IF(K273="","",H273*1000+ROW())</f>
        <v/>
      </c>
    </row>
    <row r="274">
      <c r="A274" s="1" t="n"/>
      <c r="B274" s="20" t="n"/>
      <c r="C274" s="21" t="n"/>
      <c r="D274" s="22" t="n"/>
      <c r="E274" s="37" t="n"/>
      <c r="F274" s="23" t="n"/>
      <c r="G274" s="36" t="n"/>
      <c r="H274" s="20" t="n"/>
      <c r="I274" s="36" t="n"/>
      <c r="J274" s="43">
        <f>IF(C274="","",N(D274)*IFERROR(N(INDEX(Ingredients!$D$6:$D$105,MATCH(C274,Ingredients!$B$6:$B$105,0))),0))</f>
        <v/>
      </c>
      <c r="K274" s="12">
        <f>IF(OR(C274="",I274&lt;&gt;"",NOT(ISNUMBER(H274))),"",IF(H274&lt;TODAY(),"Past its date",IF(H274-TODAY()&lt;=Settings!$C$6,"Use soon","")))</f>
        <v/>
      </c>
      <c r="L274" s="1">
        <f>IF(K274="","",H274*1000+ROW())</f>
        <v/>
      </c>
    </row>
    <row r="275">
      <c r="A275" s="1" t="n"/>
      <c r="B275" s="20" t="n"/>
      <c r="C275" s="21" t="n"/>
      <c r="D275" s="22" t="n"/>
      <c r="E275" s="37" t="n"/>
      <c r="F275" s="23" t="n"/>
      <c r="G275" s="36" t="n"/>
      <c r="H275" s="20" t="n"/>
      <c r="I275" s="36" t="n"/>
      <c r="J275" s="43">
        <f>IF(C275="","",N(D275)*IFERROR(N(INDEX(Ingredients!$D$6:$D$105,MATCH(C275,Ingredients!$B$6:$B$105,0))),0))</f>
        <v/>
      </c>
      <c r="K275" s="12">
        <f>IF(OR(C275="",I275&lt;&gt;"",NOT(ISNUMBER(H275))),"",IF(H275&lt;TODAY(),"Past its date",IF(H275-TODAY()&lt;=Settings!$C$6,"Use soon","")))</f>
        <v/>
      </c>
      <c r="L275" s="1">
        <f>IF(K275="","",H275*1000+ROW())</f>
        <v/>
      </c>
    </row>
    <row r="276">
      <c r="A276" s="1" t="n"/>
      <c r="B276" s="20" t="n"/>
      <c r="C276" s="21" t="n"/>
      <c r="D276" s="22" t="n"/>
      <c r="E276" s="37" t="n"/>
      <c r="F276" s="23" t="n"/>
      <c r="G276" s="36" t="n"/>
      <c r="H276" s="20" t="n"/>
      <c r="I276" s="36" t="n"/>
      <c r="J276" s="43">
        <f>IF(C276="","",N(D276)*IFERROR(N(INDEX(Ingredients!$D$6:$D$105,MATCH(C276,Ingredients!$B$6:$B$105,0))),0))</f>
        <v/>
      </c>
      <c r="K276" s="12">
        <f>IF(OR(C276="",I276&lt;&gt;"",NOT(ISNUMBER(H276))),"",IF(H276&lt;TODAY(),"Past its date",IF(H276-TODAY()&lt;=Settings!$C$6,"Use soon","")))</f>
        <v/>
      </c>
      <c r="L276" s="1">
        <f>IF(K276="","",H276*1000+ROW())</f>
        <v/>
      </c>
    </row>
    <row r="277">
      <c r="A277" s="1" t="n"/>
      <c r="B277" s="20" t="n"/>
      <c r="C277" s="21" t="n"/>
      <c r="D277" s="22" t="n"/>
      <c r="E277" s="37" t="n"/>
      <c r="F277" s="23" t="n"/>
      <c r="G277" s="36" t="n"/>
      <c r="H277" s="20" t="n"/>
      <c r="I277" s="36" t="n"/>
      <c r="J277" s="43">
        <f>IF(C277="","",N(D277)*IFERROR(N(INDEX(Ingredients!$D$6:$D$105,MATCH(C277,Ingredients!$B$6:$B$105,0))),0))</f>
        <v/>
      </c>
      <c r="K277" s="12">
        <f>IF(OR(C277="",I277&lt;&gt;"",NOT(ISNUMBER(H277))),"",IF(H277&lt;TODAY(),"Past its date",IF(H277-TODAY()&lt;=Settings!$C$6,"Use soon","")))</f>
        <v/>
      </c>
      <c r="L277" s="1">
        <f>IF(K277="","",H277*1000+ROW())</f>
        <v/>
      </c>
    </row>
    <row r="278">
      <c r="A278" s="1" t="n"/>
      <c r="B278" s="20" t="n"/>
      <c r="C278" s="21" t="n"/>
      <c r="D278" s="22" t="n"/>
      <c r="E278" s="37" t="n"/>
      <c r="F278" s="23" t="n"/>
      <c r="G278" s="36" t="n"/>
      <c r="H278" s="20" t="n"/>
      <c r="I278" s="36" t="n"/>
      <c r="J278" s="43">
        <f>IF(C278="","",N(D278)*IFERROR(N(INDEX(Ingredients!$D$6:$D$105,MATCH(C278,Ingredients!$B$6:$B$105,0))),0))</f>
        <v/>
      </c>
      <c r="K278" s="12">
        <f>IF(OR(C278="",I278&lt;&gt;"",NOT(ISNUMBER(H278))),"",IF(H278&lt;TODAY(),"Past its date",IF(H278-TODAY()&lt;=Settings!$C$6,"Use soon","")))</f>
        <v/>
      </c>
      <c r="L278" s="1">
        <f>IF(K278="","",H278*1000+ROW())</f>
        <v/>
      </c>
    </row>
    <row r="279">
      <c r="A279" s="1" t="n"/>
      <c r="B279" s="20" t="n"/>
      <c r="C279" s="21" t="n"/>
      <c r="D279" s="22" t="n"/>
      <c r="E279" s="37" t="n"/>
      <c r="F279" s="23" t="n"/>
      <c r="G279" s="36" t="n"/>
      <c r="H279" s="20" t="n"/>
      <c r="I279" s="36" t="n"/>
      <c r="J279" s="43">
        <f>IF(C279="","",N(D279)*IFERROR(N(INDEX(Ingredients!$D$6:$D$105,MATCH(C279,Ingredients!$B$6:$B$105,0))),0))</f>
        <v/>
      </c>
      <c r="K279" s="12">
        <f>IF(OR(C279="",I279&lt;&gt;"",NOT(ISNUMBER(H279))),"",IF(H279&lt;TODAY(),"Past its date",IF(H279-TODAY()&lt;=Settings!$C$6,"Use soon","")))</f>
        <v/>
      </c>
      <c r="L279" s="1">
        <f>IF(K279="","",H279*1000+ROW())</f>
        <v/>
      </c>
    </row>
    <row r="280">
      <c r="A280" s="1" t="n"/>
      <c r="B280" s="20" t="n"/>
      <c r="C280" s="21" t="n"/>
      <c r="D280" s="22" t="n"/>
      <c r="E280" s="37" t="n"/>
      <c r="F280" s="23" t="n"/>
      <c r="G280" s="36" t="n"/>
      <c r="H280" s="20" t="n"/>
      <c r="I280" s="36" t="n"/>
      <c r="J280" s="43">
        <f>IF(C280="","",N(D280)*IFERROR(N(INDEX(Ingredients!$D$6:$D$105,MATCH(C280,Ingredients!$B$6:$B$105,0))),0))</f>
        <v/>
      </c>
      <c r="K280" s="12">
        <f>IF(OR(C280="",I280&lt;&gt;"",NOT(ISNUMBER(H280))),"",IF(H280&lt;TODAY(),"Past its date",IF(H280-TODAY()&lt;=Settings!$C$6,"Use soon","")))</f>
        <v/>
      </c>
      <c r="L280" s="1">
        <f>IF(K280="","",H280*1000+ROW())</f>
        <v/>
      </c>
    </row>
    <row r="281">
      <c r="A281" s="1" t="n"/>
      <c r="B281" s="20" t="n"/>
      <c r="C281" s="21" t="n"/>
      <c r="D281" s="22" t="n"/>
      <c r="E281" s="37" t="n"/>
      <c r="F281" s="23" t="n"/>
      <c r="G281" s="36" t="n"/>
      <c r="H281" s="20" t="n"/>
      <c r="I281" s="36" t="n"/>
      <c r="J281" s="43">
        <f>IF(C281="","",N(D281)*IFERROR(N(INDEX(Ingredients!$D$6:$D$105,MATCH(C281,Ingredients!$B$6:$B$105,0))),0))</f>
        <v/>
      </c>
      <c r="K281" s="12">
        <f>IF(OR(C281="",I281&lt;&gt;"",NOT(ISNUMBER(H281))),"",IF(H281&lt;TODAY(),"Past its date",IF(H281-TODAY()&lt;=Settings!$C$6,"Use soon","")))</f>
        <v/>
      </c>
      <c r="L281" s="1">
        <f>IF(K281="","",H281*1000+ROW())</f>
        <v/>
      </c>
    </row>
    <row r="282">
      <c r="A282" s="1" t="n"/>
      <c r="B282" s="20" t="n"/>
      <c r="C282" s="21" t="n"/>
      <c r="D282" s="22" t="n"/>
      <c r="E282" s="37" t="n"/>
      <c r="F282" s="23" t="n"/>
      <c r="G282" s="36" t="n"/>
      <c r="H282" s="20" t="n"/>
      <c r="I282" s="36" t="n"/>
      <c r="J282" s="43">
        <f>IF(C282="","",N(D282)*IFERROR(N(INDEX(Ingredients!$D$6:$D$105,MATCH(C282,Ingredients!$B$6:$B$105,0))),0))</f>
        <v/>
      </c>
      <c r="K282" s="12">
        <f>IF(OR(C282="",I282&lt;&gt;"",NOT(ISNUMBER(H282))),"",IF(H282&lt;TODAY(),"Past its date",IF(H282-TODAY()&lt;=Settings!$C$6,"Use soon","")))</f>
        <v/>
      </c>
      <c r="L282" s="1">
        <f>IF(K282="","",H282*1000+ROW())</f>
        <v/>
      </c>
    </row>
    <row r="283">
      <c r="A283" s="1" t="n"/>
      <c r="B283" s="20" t="n"/>
      <c r="C283" s="21" t="n"/>
      <c r="D283" s="22" t="n"/>
      <c r="E283" s="37" t="n"/>
      <c r="F283" s="23" t="n"/>
      <c r="G283" s="36" t="n"/>
      <c r="H283" s="20" t="n"/>
      <c r="I283" s="36" t="n"/>
      <c r="J283" s="43">
        <f>IF(C283="","",N(D283)*IFERROR(N(INDEX(Ingredients!$D$6:$D$105,MATCH(C283,Ingredients!$B$6:$B$105,0))),0))</f>
        <v/>
      </c>
      <c r="K283" s="12">
        <f>IF(OR(C283="",I283&lt;&gt;"",NOT(ISNUMBER(H283))),"",IF(H283&lt;TODAY(),"Past its date",IF(H283-TODAY()&lt;=Settings!$C$6,"Use soon","")))</f>
        <v/>
      </c>
      <c r="L283" s="1">
        <f>IF(K283="","",H283*1000+ROW())</f>
        <v/>
      </c>
    </row>
    <row r="284">
      <c r="A284" s="1" t="n"/>
      <c r="B284" s="20" t="n"/>
      <c r="C284" s="21" t="n"/>
      <c r="D284" s="22" t="n"/>
      <c r="E284" s="37" t="n"/>
      <c r="F284" s="23" t="n"/>
      <c r="G284" s="36" t="n"/>
      <c r="H284" s="20" t="n"/>
      <c r="I284" s="36" t="n"/>
      <c r="J284" s="43">
        <f>IF(C284="","",N(D284)*IFERROR(N(INDEX(Ingredients!$D$6:$D$105,MATCH(C284,Ingredients!$B$6:$B$105,0))),0))</f>
        <v/>
      </c>
      <c r="K284" s="12">
        <f>IF(OR(C284="",I284&lt;&gt;"",NOT(ISNUMBER(H284))),"",IF(H284&lt;TODAY(),"Past its date",IF(H284-TODAY()&lt;=Settings!$C$6,"Use soon","")))</f>
        <v/>
      </c>
      <c r="L284" s="1">
        <f>IF(K284="","",H284*1000+ROW())</f>
        <v/>
      </c>
    </row>
    <row r="285">
      <c r="A285" s="1" t="n"/>
      <c r="B285" s="20" t="n"/>
      <c r="C285" s="21" t="n"/>
      <c r="D285" s="22" t="n"/>
      <c r="E285" s="37" t="n"/>
      <c r="F285" s="23" t="n"/>
      <c r="G285" s="36" t="n"/>
      <c r="H285" s="20" t="n"/>
      <c r="I285" s="36" t="n"/>
      <c r="J285" s="43">
        <f>IF(C285="","",N(D285)*IFERROR(N(INDEX(Ingredients!$D$6:$D$105,MATCH(C285,Ingredients!$B$6:$B$105,0))),0))</f>
        <v/>
      </c>
      <c r="K285" s="12">
        <f>IF(OR(C285="",I285&lt;&gt;"",NOT(ISNUMBER(H285))),"",IF(H285&lt;TODAY(),"Past its date",IF(H285-TODAY()&lt;=Settings!$C$6,"Use soon","")))</f>
        <v/>
      </c>
      <c r="L285" s="1">
        <f>IF(K285="","",H285*1000+ROW())</f>
        <v/>
      </c>
    </row>
    <row r="286">
      <c r="A286" s="1" t="n"/>
      <c r="B286" s="20" t="n"/>
      <c r="C286" s="21" t="n"/>
      <c r="D286" s="22" t="n"/>
      <c r="E286" s="37" t="n"/>
      <c r="F286" s="23" t="n"/>
      <c r="G286" s="36" t="n"/>
      <c r="H286" s="20" t="n"/>
      <c r="I286" s="36" t="n"/>
      <c r="J286" s="43">
        <f>IF(C286="","",N(D286)*IFERROR(N(INDEX(Ingredients!$D$6:$D$105,MATCH(C286,Ingredients!$B$6:$B$105,0))),0))</f>
        <v/>
      </c>
      <c r="K286" s="12">
        <f>IF(OR(C286="",I286&lt;&gt;"",NOT(ISNUMBER(H286))),"",IF(H286&lt;TODAY(),"Past its date",IF(H286-TODAY()&lt;=Settings!$C$6,"Use soon","")))</f>
        <v/>
      </c>
      <c r="L286" s="1">
        <f>IF(K286="","",H286*1000+ROW())</f>
        <v/>
      </c>
    </row>
    <row r="287">
      <c r="A287" s="1" t="n"/>
      <c r="B287" s="20" t="n"/>
      <c r="C287" s="21" t="n"/>
      <c r="D287" s="22" t="n"/>
      <c r="E287" s="37" t="n"/>
      <c r="F287" s="23" t="n"/>
      <c r="G287" s="36" t="n"/>
      <c r="H287" s="20" t="n"/>
      <c r="I287" s="36" t="n"/>
      <c r="J287" s="43">
        <f>IF(C287="","",N(D287)*IFERROR(N(INDEX(Ingredients!$D$6:$D$105,MATCH(C287,Ingredients!$B$6:$B$105,0))),0))</f>
        <v/>
      </c>
      <c r="K287" s="12">
        <f>IF(OR(C287="",I287&lt;&gt;"",NOT(ISNUMBER(H287))),"",IF(H287&lt;TODAY(),"Past its date",IF(H287-TODAY()&lt;=Settings!$C$6,"Use soon","")))</f>
        <v/>
      </c>
      <c r="L287" s="1">
        <f>IF(K287="","",H287*1000+ROW())</f>
        <v/>
      </c>
    </row>
    <row r="288">
      <c r="A288" s="1" t="n"/>
      <c r="B288" s="20" t="n"/>
      <c r="C288" s="21" t="n"/>
      <c r="D288" s="22" t="n"/>
      <c r="E288" s="37" t="n"/>
      <c r="F288" s="23" t="n"/>
      <c r="G288" s="36" t="n"/>
      <c r="H288" s="20" t="n"/>
      <c r="I288" s="36" t="n"/>
      <c r="J288" s="43">
        <f>IF(C288="","",N(D288)*IFERROR(N(INDEX(Ingredients!$D$6:$D$105,MATCH(C288,Ingredients!$B$6:$B$105,0))),0))</f>
        <v/>
      </c>
      <c r="K288" s="12">
        <f>IF(OR(C288="",I288&lt;&gt;"",NOT(ISNUMBER(H288))),"",IF(H288&lt;TODAY(),"Past its date",IF(H288-TODAY()&lt;=Settings!$C$6,"Use soon","")))</f>
        <v/>
      </c>
      <c r="L288" s="1">
        <f>IF(K288="","",H288*1000+ROW())</f>
        <v/>
      </c>
    </row>
    <row r="289">
      <c r="A289" s="1" t="n"/>
      <c r="B289" s="20" t="n"/>
      <c r="C289" s="21" t="n"/>
      <c r="D289" s="22" t="n"/>
      <c r="E289" s="37" t="n"/>
      <c r="F289" s="23" t="n"/>
      <c r="G289" s="36" t="n"/>
      <c r="H289" s="20" t="n"/>
      <c r="I289" s="36" t="n"/>
      <c r="J289" s="43">
        <f>IF(C289="","",N(D289)*IFERROR(N(INDEX(Ingredients!$D$6:$D$105,MATCH(C289,Ingredients!$B$6:$B$105,0))),0))</f>
        <v/>
      </c>
      <c r="K289" s="12">
        <f>IF(OR(C289="",I289&lt;&gt;"",NOT(ISNUMBER(H289))),"",IF(H289&lt;TODAY(),"Past its date",IF(H289-TODAY()&lt;=Settings!$C$6,"Use soon","")))</f>
        <v/>
      </c>
      <c r="L289" s="1">
        <f>IF(K289="","",H289*1000+ROW())</f>
        <v/>
      </c>
    </row>
    <row r="290">
      <c r="A290" s="1" t="n"/>
      <c r="B290" s="20" t="n"/>
      <c r="C290" s="21" t="n"/>
      <c r="D290" s="22" t="n"/>
      <c r="E290" s="37" t="n"/>
      <c r="F290" s="23" t="n"/>
      <c r="G290" s="36" t="n"/>
      <c r="H290" s="20" t="n"/>
      <c r="I290" s="36" t="n"/>
      <c r="J290" s="43">
        <f>IF(C290="","",N(D290)*IFERROR(N(INDEX(Ingredients!$D$6:$D$105,MATCH(C290,Ingredients!$B$6:$B$105,0))),0))</f>
        <v/>
      </c>
      <c r="K290" s="12">
        <f>IF(OR(C290="",I290&lt;&gt;"",NOT(ISNUMBER(H290))),"",IF(H290&lt;TODAY(),"Past its date",IF(H290-TODAY()&lt;=Settings!$C$6,"Use soon","")))</f>
        <v/>
      </c>
      <c r="L290" s="1">
        <f>IF(K290="","",H290*1000+ROW())</f>
        <v/>
      </c>
    </row>
    <row r="291">
      <c r="A291" s="1" t="n"/>
      <c r="B291" s="20" t="n"/>
      <c r="C291" s="21" t="n"/>
      <c r="D291" s="22" t="n"/>
      <c r="E291" s="37" t="n"/>
      <c r="F291" s="23" t="n"/>
      <c r="G291" s="36" t="n"/>
      <c r="H291" s="20" t="n"/>
      <c r="I291" s="36" t="n"/>
      <c r="J291" s="43">
        <f>IF(C291="","",N(D291)*IFERROR(N(INDEX(Ingredients!$D$6:$D$105,MATCH(C291,Ingredients!$B$6:$B$105,0))),0))</f>
        <v/>
      </c>
      <c r="K291" s="12">
        <f>IF(OR(C291="",I291&lt;&gt;"",NOT(ISNUMBER(H291))),"",IF(H291&lt;TODAY(),"Past its date",IF(H291-TODAY()&lt;=Settings!$C$6,"Use soon","")))</f>
        <v/>
      </c>
      <c r="L291" s="1">
        <f>IF(K291="","",H291*1000+ROW())</f>
        <v/>
      </c>
    </row>
    <row r="292">
      <c r="A292" s="1" t="n"/>
      <c r="B292" s="20" t="n"/>
      <c r="C292" s="21" t="n"/>
      <c r="D292" s="22" t="n"/>
      <c r="E292" s="37" t="n"/>
      <c r="F292" s="23" t="n"/>
      <c r="G292" s="36" t="n"/>
      <c r="H292" s="20" t="n"/>
      <c r="I292" s="36" t="n"/>
      <c r="J292" s="43">
        <f>IF(C292="","",N(D292)*IFERROR(N(INDEX(Ingredients!$D$6:$D$105,MATCH(C292,Ingredients!$B$6:$B$105,0))),0))</f>
        <v/>
      </c>
      <c r="K292" s="12">
        <f>IF(OR(C292="",I292&lt;&gt;"",NOT(ISNUMBER(H292))),"",IF(H292&lt;TODAY(),"Past its date",IF(H292-TODAY()&lt;=Settings!$C$6,"Use soon","")))</f>
        <v/>
      </c>
      <c r="L292" s="1">
        <f>IF(K292="","",H292*1000+ROW())</f>
        <v/>
      </c>
    </row>
    <row r="293">
      <c r="A293" s="1" t="n"/>
      <c r="B293" s="20" t="n"/>
      <c r="C293" s="21" t="n"/>
      <c r="D293" s="22" t="n"/>
      <c r="E293" s="37" t="n"/>
      <c r="F293" s="23" t="n"/>
      <c r="G293" s="36" t="n"/>
      <c r="H293" s="20" t="n"/>
      <c r="I293" s="36" t="n"/>
      <c r="J293" s="43">
        <f>IF(C293="","",N(D293)*IFERROR(N(INDEX(Ingredients!$D$6:$D$105,MATCH(C293,Ingredients!$B$6:$B$105,0))),0))</f>
        <v/>
      </c>
      <c r="K293" s="12">
        <f>IF(OR(C293="",I293&lt;&gt;"",NOT(ISNUMBER(H293))),"",IF(H293&lt;TODAY(),"Past its date",IF(H293-TODAY()&lt;=Settings!$C$6,"Use soon","")))</f>
        <v/>
      </c>
      <c r="L293" s="1">
        <f>IF(K293="","",H293*1000+ROW())</f>
        <v/>
      </c>
    </row>
    <row r="294">
      <c r="A294" s="1" t="n"/>
      <c r="B294" s="20" t="n"/>
      <c r="C294" s="21" t="n"/>
      <c r="D294" s="22" t="n"/>
      <c r="E294" s="37" t="n"/>
      <c r="F294" s="23" t="n"/>
      <c r="G294" s="36" t="n"/>
      <c r="H294" s="20" t="n"/>
      <c r="I294" s="36" t="n"/>
      <c r="J294" s="43">
        <f>IF(C294="","",N(D294)*IFERROR(N(INDEX(Ingredients!$D$6:$D$105,MATCH(C294,Ingredients!$B$6:$B$105,0))),0))</f>
        <v/>
      </c>
      <c r="K294" s="12">
        <f>IF(OR(C294="",I294&lt;&gt;"",NOT(ISNUMBER(H294))),"",IF(H294&lt;TODAY(),"Past its date",IF(H294-TODAY()&lt;=Settings!$C$6,"Use soon","")))</f>
        <v/>
      </c>
      <c r="L294" s="1">
        <f>IF(K294="","",H294*1000+ROW())</f>
        <v/>
      </c>
    </row>
    <row r="295">
      <c r="A295" s="1" t="n"/>
      <c r="B295" s="20" t="n"/>
      <c r="C295" s="21" t="n"/>
      <c r="D295" s="22" t="n"/>
      <c r="E295" s="37" t="n"/>
      <c r="F295" s="23" t="n"/>
      <c r="G295" s="36" t="n"/>
      <c r="H295" s="20" t="n"/>
      <c r="I295" s="36" t="n"/>
      <c r="J295" s="43">
        <f>IF(C295="","",N(D295)*IFERROR(N(INDEX(Ingredients!$D$6:$D$105,MATCH(C295,Ingredients!$B$6:$B$105,0))),0))</f>
        <v/>
      </c>
      <c r="K295" s="12">
        <f>IF(OR(C295="",I295&lt;&gt;"",NOT(ISNUMBER(H295))),"",IF(H295&lt;TODAY(),"Past its date",IF(H295-TODAY()&lt;=Settings!$C$6,"Use soon","")))</f>
        <v/>
      </c>
      <c r="L295" s="1">
        <f>IF(K295="","",H295*1000+ROW())</f>
        <v/>
      </c>
    </row>
    <row r="296">
      <c r="A296" s="1" t="n"/>
      <c r="B296" s="20" t="n"/>
      <c r="C296" s="21" t="n"/>
      <c r="D296" s="22" t="n"/>
      <c r="E296" s="37" t="n"/>
      <c r="F296" s="23" t="n"/>
      <c r="G296" s="36" t="n"/>
      <c r="H296" s="20" t="n"/>
      <c r="I296" s="36" t="n"/>
      <c r="J296" s="43">
        <f>IF(C296="","",N(D296)*IFERROR(N(INDEX(Ingredients!$D$6:$D$105,MATCH(C296,Ingredients!$B$6:$B$105,0))),0))</f>
        <v/>
      </c>
      <c r="K296" s="12">
        <f>IF(OR(C296="",I296&lt;&gt;"",NOT(ISNUMBER(H296))),"",IF(H296&lt;TODAY(),"Past its date",IF(H296-TODAY()&lt;=Settings!$C$6,"Use soon","")))</f>
        <v/>
      </c>
      <c r="L296" s="1">
        <f>IF(K296="","",H296*1000+ROW())</f>
        <v/>
      </c>
    </row>
    <row r="297">
      <c r="A297" s="1" t="n"/>
      <c r="B297" s="20" t="n"/>
      <c r="C297" s="21" t="n"/>
      <c r="D297" s="22" t="n"/>
      <c r="E297" s="37" t="n"/>
      <c r="F297" s="23" t="n"/>
      <c r="G297" s="36" t="n"/>
      <c r="H297" s="20" t="n"/>
      <c r="I297" s="36" t="n"/>
      <c r="J297" s="43">
        <f>IF(C297="","",N(D297)*IFERROR(N(INDEX(Ingredients!$D$6:$D$105,MATCH(C297,Ingredients!$B$6:$B$105,0))),0))</f>
        <v/>
      </c>
      <c r="K297" s="12">
        <f>IF(OR(C297="",I297&lt;&gt;"",NOT(ISNUMBER(H297))),"",IF(H297&lt;TODAY(),"Past its date",IF(H297-TODAY()&lt;=Settings!$C$6,"Use soon","")))</f>
        <v/>
      </c>
      <c r="L297" s="1">
        <f>IF(K297="","",H297*1000+ROW())</f>
        <v/>
      </c>
    </row>
    <row r="298">
      <c r="A298" s="1" t="n"/>
      <c r="B298" s="20" t="n"/>
      <c r="C298" s="21" t="n"/>
      <c r="D298" s="22" t="n"/>
      <c r="E298" s="37" t="n"/>
      <c r="F298" s="23" t="n"/>
      <c r="G298" s="36" t="n"/>
      <c r="H298" s="20" t="n"/>
      <c r="I298" s="36" t="n"/>
      <c r="J298" s="43">
        <f>IF(C298="","",N(D298)*IFERROR(N(INDEX(Ingredients!$D$6:$D$105,MATCH(C298,Ingredients!$B$6:$B$105,0))),0))</f>
        <v/>
      </c>
      <c r="K298" s="12">
        <f>IF(OR(C298="",I298&lt;&gt;"",NOT(ISNUMBER(H298))),"",IF(H298&lt;TODAY(),"Past its date",IF(H298-TODAY()&lt;=Settings!$C$6,"Use soon","")))</f>
        <v/>
      </c>
      <c r="L298" s="1">
        <f>IF(K298="","",H298*1000+ROW())</f>
        <v/>
      </c>
    </row>
    <row r="299">
      <c r="A299" s="1" t="n"/>
      <c r="B299" s="20" t="n"/>
      <c r="C299" s="21" t="n"/>
      <c r="D299" s="22" t="n"/>
      <c r="E299" s="37" t="n"/>
      <c r="F299" s="23" t="n"/>
      <c r="G299" s="36" t="n"/>
      <c r="H299" s="20" t="n"/>
      <c r="I299" s="36" t="n"/>
      <c r="J299" s="43">
        <f>IF(C299="","",N(D299)*IFERROR(N(INDEX(Ingredients!$D$6:$D$105,MATCH(C299,Ingredients!$B$6:$B$105,0))),0))</f>
        <v/>
      </c>
      <c r="K299" s="12">
        <f>IF(OR(C299="",I299&lt;&gt;"",NOT(ISNUMBER(H299))),"",IF(H299&lt;TODAY(),"Past its date",IF(H299-TODAY()&lt;=Settings!$C$6,"Use soon","")))</f>
        <v/>
      </c>
      <c r="L299" s="1">
        <f>IF(K299="","",H299*1000+ROW())</f>
        <v/>
      </c>
    </row>
    <row r="300">
      <c r="A300" s="1" t="n"/>
      <c r="B300" s="20" t="n"/>
      <c r="C300" s="21" t="n"/>
      <c r="D300" s="22" t="n"/>
      <c r="E300" s="37" t="n"/>
      <c r="F300" s="23" t="n"/>
      <c r="G300" s="36" t="n"/>
      <c r="H300" s="20" t="n"/>
      <c r="I300" s="36" t="n"/>
      <c r="J300" s="43">
        <f>IF(C300="","",N(D300)*IFERROR(N(INDEX(Ingredients!$D$6:$D$105,MATCH(C300,Ingredients!$B$6:$B$105,0))),0))</f>
        <v/>
      </c>
      <c r="K300" s="12">
        <f>IF(OR(C300="",I300&lt;&gt;"",NOT(ISNUMBER(H300))),"",IF(H300&lt;TODAY(),"Past its date",IF(H300-TODAY()&lt;=Settings!$C$6,"Use soon","")))</f>
        <v/>
      </c>
      <c r="L300" s="1">
        <f>IF(K300="","",H300*1000+ROW())</f>
        <v/>
      </c>
    </row>
    <row r="301">
      <c r="A301" s="1" t="n"/>
      <c r="B301" s="20" t="n"/>
      <c r="C301" s="21" t="n"/>
      <c r="D301" s="22" t="n"/>
      <c r="E301" s="37" t="n"/>
      <c r="F301" s="23" t="n"/>
      <c r="G301" s="36" t="n"/>
      <c r="H301" s="20" t="n"/>
      <c r="I301" s="36" t="n"/>
      <c r="J301" s="43">
        <f>IF(C301="","",N(D301)*IFERROR(N(INDEX(Ingredients!$D$6:$D$105,MATCH(C301,Ingredients!$B$6:$B$105,0))),0))</f>
        <v/>
      </c>
      <c r="K301" s="12">
        <f>IF(OR(C301="",I301&lt;&gt;"",NOT(ISNUMBER(H301))),"",IF(H301&lt;TODAY(),"Past its date",IF(H301-TODAY()&lt;=Settings!$C$6,"Use soon","")))</f>
        <v/>
      </c>
      <c r="L301" s="1">
        <f>IF(K301="","",H301*1000+ROW())</f>
        <v/>
      </c>
    </row>
    <row r="302">
      <c r="A302" s="1" t="n"/>
      <c r="B302" s="20" t="n"/>
      <c r="C302" s="21" t="n"/>
      <c r="D302" s="22" t="n"/>
      <c r="E302" s="37" t="n"/>
      <c r="F302" s="23" t="n"/>
      <c r="G302" s="36" t="n"/>
      <c r="H302" s="20" t="n"/>
      <c r="I302" s="36" t="n"/>
      <c r="J302" s="43">
        <f>IF(C302="","",N(D302)*IFERROR(N(INDEX(Ingredients!$D$6:$D$105,MATCH(C302,Ingredients!$B$6:$B$105,0))),0))</f>
        <v/>
      </c>
      <c r="K302" s="12">
        <f>IF(OR(C302="",I302&lt;&gt;"",NOT(ISNUMBER(H302))),"",IF(H302&lt;TODAY(),"Past its date",IF(H302-TODAY()&lt;=Settings!$C$6,"Use soon","")))</f>
        <v/>
      </c>
      <c r="L302" s="1">
        <f>IF(K302="","",H302*1000+ROW())</f>
        <v/>
      </c>
    </row>
    <row r="303">
      <c r="A303" s="1" t="n"/>
      <c r="B303" s="20" t="n"/>
      <c r="C303" s="21" t="n"/>
      <c r="D303" s="22" t="n"/>
      <c r="E303" s="37" t="n"/>
      <c r="F303" s="23" t="n"/>
      <c r="G303" s="36" t="n"/>
      <c r="H303" s="20" t="n"/>
      <c r="I303" s="36" t="n"/>
      <c r="J303" s="43">
        <f>IF(C303="","",N(D303)*IFERROR(N(INDEX(Ingredients!$D$6:$D$105,MATCH(C303,Ingredients!$B$6:$B$105,0))),0))</f>
        <v/>
      </c>
      <c r="K303" s="12">
        <f>IF(OR(C303="",I303&lt;&gt;"",NOT(ISNUMBER(H303))),"",IF(H303&lt;TODAY(),"Past its date",IF(H303-TODAY()&lt;=Settings!$C$6,"Use soon","")))</f>
        <v/>
      </c>
      <c r="L303" s="1">
        <f>IF(K303="","",H303*1000+ROW())</f>
        <v/>
      </c>
    </row>
    <row r="304">
      <c r="A304" s="1" t="n"/>
      <c r="B304" s="20" t="n"/>
      <c r="C304" s="21" t="n"/>
      <c r="D304" s="22" t="n"/>
      <c r="E304" s="37" t="n"/>
      <c r="F304" s="23" t="n"/>
      <c r="G304" s="36" t="n"/>
      <c r="H304" s="20" t="n"/>
      <c r="I304" s="36" t="n"/>
      <c r="J304" s="43">
        <f>IF(C304="","",N(D304)*IFERROR(N(INDEX(Ingredients!$D$6:$D$105,MATCH(C304,Ingredients!$B$6:$B$105,0))),0))</f>
        <v/>
      </c>
      <c r="K304" s="12">
        <f>IF(OR(C304="",I304&lt;&gt;"",NOT(ISNUMBER(H304))),"",IF(H304&lt;TODAY(),"Past its date",IF(H304-TODAY()&lt;=Settings!$C$6,"Use soon","")))</f>
        <v/>
      </c>
      <c r="L304" s="1">
        <f>IF(K304="","",H304*1000+ROW())</f>
        <v/>
      </c>
    </row>
    <row r="305">
      <c r="A305" s="1" t="n"/>
      <c r="B305" s="20" t="n"/>
      <c r="C305" s="21" t="n"/>
      <c r="D305" s="22" t="n"/>
      <c r="E305" s="37" t="n"/>
      <c r="F305" s="23" t="n"/>
      <c r="G305" s="36" t="n"/>
      <c r="H305" s="20" t="n"/>
      <c r="I305" s="36" t="n"/>
      <c r="J305" s="43">
        <f>IF(C305="","",N(D305)*IFERROR(N(INDEX(Ingredients!$D$6:$D$105,MATCH(C305,Ingredients!$B$6:$B$105,0))),0))</f>
        <v/>
      </c>
      <c r="K305" s="12">
        <f>IF(OR(C305="",I305&lt;&gt;"",NOT(ISNUMBER(H305))),"",IF(H305&lt;TODAY(),"Past its date",IF(H305-TODAY()&lt;=Settings!$C$6,"Use soon","")))</f>
        <v/>
      </c>
      <c r="L305" s="1">
        <f>IF(K305="","",H305*1000+ROW())</f>
        <v/>
      </c>
    </row>
    <row r="306">
      <c r="A306" s="1" t="n"/>
      <c r="B306" s="20" t="n"/>
      <c r="C306" s="21" t="n"/>
      <c r="D306" s="22" t="n"/>
      <c r="E306" s="37" t="n"/>
      <c r="F306" s="23" t="n"/>
      <c r="G306" s="36" t="n"/>
      <c r="H306" s="20" t="n"/>
      <c r="I306" s="36" t="n"/>
      <c r="J306" s="43">
        <f>IF(C306="","",N(D306)*IFERROR(N(INDEX(Ingredients!$D$6:$D$105,MATCH(C306,Ingredients!$B$6:$B$105,0))),0))</f>
        <v/>
      </c>
      <c r="K306" s="12">
        <f>IF(OR(C306="",I306&lt;&gt;"",NOT(ISNUMBER(H306))),"",IF(H306&lt;TODAY(),"Past its date",IF(H306-TODAY()&lt;=Settings!$C$6,"Use soon","")))</f>
        <v/>
      </c>
      <c r="L306" s="1">
        <f>IF(K306="","",H306*1000+ROW())</f>
        <v/>
      </c>
    </row>
    <row r="307">
      <c r="A307" s="1" t="n"/>
      <c r="B307" s="20" t="n"/>
      <c r="C307" s="21" t="n"/>
      <c r="D307" s="22" t="n"/>
      <c r="E307" s="37" t="n"/>
      <c r="F307" s="23" t="n"/>
      <c r="G307" s="36" t="n"/>
      <c r="H307" s="20" t="n"/>
      <c r="I307" s="36" t="n"/>
      <c r="J307" s="43">
        <f>IF(C307="","",N(D307)*IFERROR(N(INDEX(Ingredients!$D$6:$D$105,MATCH(C307,Ingredients!$B$6:$B$105,0))),0))</f>
        <v/>
      </c>
      <c r="K307" s="12">
        <f>IF(OR(C307="",I307&lt;&gt;"",NOT(ISNUMBER(H307))),"",IF(H307&lt;TODAY(),"Past its date",IF(H307-TODAY()&lt;=Settings!$C$6,"Use soon","")))</f>
        <v/>
      </c>
      <c r="L307" s="1">
        <f>IF(K307="","",H307*1000+ROW())</f>
        <v/>
      </c>
    </row>
    <row r="308">
      <c r="A308" s="1" t="n"/>
      <c r="B308" s="20" t="n"/>
      <c r="C308" s="21" t="n"/>
      <c r="D308" s="22" t="n"/>
      <c r="E308" s="37" t="n"/>
      <c r="F308" s="23" t="n"/>
      <c r="G308" s="36" t="n"/>
      <c r="H308" s="20" t="n"/>
      <c r="I308" s="36" t="n"/>
      <c r="J308" s="43">
        <f>IF(C308="","",N(D308)*IFERROR(N(INDEX(Ingredients!$D$6:$D$105,MATCH(C308,Ingredients!$B$6:$B$105,0))),0))</f>
        <v/>
      </c>
      <c r="K308" s="12">
        <f>IF(OR(C308="",I308&lt;&gt;"",NOT(ISNUMBER(H308))),"",IF(H308&lt;TODAY(),"Past its date",IF(H308-TODAY()&lt;=Settings!$C$6,"Use soon","")))</f>
        <v/>
      </c>
      <c r="L308" s="1">
        <f>IF(K308="","",H308*1000+ROW())</f>
        <v/>
      </c>
    </row>
    <row r="309">
      <c r="A309" s="1" t="n"/>
      <c r="B309" s="20" t="n"/>
      <c r="C309" s="21" t="n"/>
      <c r="D309" s="22" t="n"/>
      <c r="E309" s="37" t="n"/>
      <c r="F309" s="23" t="n"/>
      <c r="G309" s="36" t="n"/>
      <c r="H309" s="20" t="n"/>
      <c r="I309" s="36" t="n"/>
      <c r="J309" s="43">
        <f>IF(C309="","",N(D309)*IFERROR(N(INDEX(Ingredients!$D$6:$D$105,MATCH(C309,Ingredients!$B$6:$B$105,0))),0))</f>
        <v/>
      </c>
      <c r="K309" s="12">
        <f>IF(OR(C309="",I309&lt;&gt;"",NOT(ISNUMBER(H309))),"",IF(H309&lt;TODAY(),"Past its date",IF(H309-TODAY()&lt;=Settings!$C$6,"Use soon","")))</f>
        <v/>
      </c>
      <c r="L309" s="1">
        <f>IF(K309="","",H309*1000+ROW())</f>
        <v/>
      </c>
    </row>
    <row r="310">
      <c r="A310" s="1" t="n"/>
      <c r="B310" s="20" t="n"/>
      <c r="C310" s="21" t="n"/>
      <c r="D310" s="22" t="n"/>
      <c r="E310" s="37" t="n"/>
      <c r="F310" s="23" t="n"/>
      <c r="G310" s="36" t="n"/>
      <c r="H310" s="20" t="n"/>
      <c r="I310" s="36" t="n"/>
      <c r="J310" s="43">
        <f>IF(C310="","",N(D310)*IFERROR(N(INDEX(Ingredients!$D$6:$D$105,MATCH(C310,Ingredients!$B$6:$B$105,0))),0))</f>
        <v/>
      </c>
      <c r="K310" s="12">
        <f>IF(OR(C310="",I310&lt;&gt;"",NOT(ISNUMBER(H310))),"",IF(H310&lt;TODAY(),"Past its date",IF(H310-TODAY()&lt;=Settings!$C$6,"Use soon","")))</f>
        <v/>
      </c>
      <c r="L310" s="1">
        <f>IF(K310="","",H310*1000+ROW())</f>
        <v/>
      </c>
    </row>
    <row r="311">
      <c r="A311" s="1" t="n"/>
      <c r="B311" s="20" t="n"/>
      <c r="C311" s="21" t="n"/>
      <c r="D311" s="22" t="n"/>
      <c r="E311" s="37" t="n"/>
      <c r="F311" s="23" t="n"/>
      <c r="G311" s="36" t="n"/>
      <c r="H311" s="20" t="n"/>
      <c r="I311" s="36" t="n"/>
      <c r="J311" s="43">
        <f>IF(C311="","",N(D311)*IFERROR(N(INDEX(Ingredients!$D$6:$D$105,MATCH(C311,Ingredients!$B$6:$B$105,0))),0))</f>
        <v/>
      </c>
      <c r="K311" s="12">
        <f>IF(OR(C311="",I311&lt;&gt;"",NOT(ISNUMBER(H311))),"",IF(H311&lt;TODAY(),"Past its date",IF(H311-TODAY()&lt;=Settings!$C$6,"Use soon","")))</f>
        <v/>
      </c>
      <c r="L311" s="1">
        <f>IF(K311="","",H311*1000+ROW())</f>
        <v/>
      </c>
    </row>
    <row r="312">
      <c r="A312" s="1" t="n"/>
      <c r="B312" s="20" t="n"/>
      <c r="C312" s="21" t="n"/>
      <c r="D312" s="22" t="n"/>
      <c r="E312" s="37" t="n"/>
      <c r="F312" s="23" t="n"/>
      <c r="G312" s="36" t="n"/>
      <c r="H312" s="20" t="n"/>
      <c r="I312" s="36" t="n"/>
      <c r="J312" s="43">
        <f>IF(C312="","",N(D312)*IFERROR(N(INDEX(Ingredients!$D$6:$D$105,MATCH(C312,Ingredients!$B$6:$B$105,0))),0))</f>
        <v/>
      </c>
      <c r="K312" s="12">
        <f>IF(OR(C312="",I312&lt;&gt;"",NOT(ISNUMBER(H312))),"",IF(H312&lt;TODAY(),"Past its date",IF(H312-TODAY()&lt;=Settings!$C$6,"Use soon","")))</f>
        <v/>
      </c>
      <c r="L312" s="1">
        <f>IF(K312="","",H312*1000+ROW())</f>
        <v/>
      </c>
    </row>
    <row r="313">
      <c r="A313" s="1" t="n"/>
      <c r="B313" s="20" t="n"/>
      <c r="C313" s="21" t="n"/>
      <c r="D313" s="22" t="n"/>
      <c r="E313" s="37" t="n"/>
      <c r="F313" s="23" t="n"/>
      <c r="G313" s="36" t="n"/>
      <c r="H313" s="20" t="n"/>
      <c r="I313" s="36" t="n"/>
      <c r="J313" s="43">
        <f>IF(C313="","",N(D313)*IFERROR(N(INDEX(Ingredients!$D$6:$D$105,MATCH(C313,Ingredients!$B$6:$B$105,0))),0))</f>
        <v/>
      </c>
      <c r="K313" s="12">
        <f>IF(OR(C313="",I313&lt;&gt;"",NOT(ISNUMBER(H313))),"",IF(H313&lt;TODAY(),"Past its date",IF(H313-TODAY()&lt;=Settings!$C$6,"Use soon","")))</f>
        <v/>
      </c>
      <c r="L313" s="1">
        <f>IF(K313="","",H313*1000+ROW())</f>
        <v/>
      </c>
    </row>
    <row r="314">
      <c r="A314" s="1" t="n"/>
      <c r="B314" s="20" t="n"/>
      <c r="C314" s="21" t="n"/>
      <c r="D314" s="22" t="n"/>
      <c r="E314" s="37" t="n"/>
      <c r="F314" s="23" t="n"/>
      <c r="G314" s="36" t="n"/>
      <c r="H314" s="20" t="n"/>
      <c r="I314" s="36" t="n"/>
      <c r="J314" s="43">
        <f>IF(C314="","",N(D314)*IFERROR(N(INDEX(Ingredients!$D$6:$D$105,MATCH(C314,Ingredients!$B$6:$B$105,0))),0))</f>
        <v/>
      </c>
      <c r="K314" s="12">
        <f>IF(OR(C314="",I314&lt;&gt;"",NOT(ISNUMBER(H314))),"",IF(H314&lt;TODAY(),"Past its date",IF(H314-TODAY()&lt;=Settings!$C$6,"Use soon","")))</f>
        <v/>
      </c>
      <c r="L314" s="1">
        <f>IF(K314="","",H314*1000+ROW())</f>
        <v/>
      </c>
    </row>
    <row r="315">
      <c r="A315" s="1" t="n"/>
      <c r="B315" s="20" t="n"/>
      <c r="C315" s="21" t="n"/>
      <c r="D315" s="22" t="n"/>
      <c r="E315" s="37" t="n"/>
      <c r="F315" s="23" t="n"/>
      <c r="G315" s="36" t="n"/>
      <c r="H315" s="20" t="n"/>
      <c r="I315" s="36" t="n"/>
      <c r="J315" s="43">
        <f>IF(C315="","",N(D315)*IFERROR(N(INDEX(Ingredients!$D$6:$D$105,MATCH(C315,Ingredients!$B$6:$B$105,0))),0))</f>
        <v/>
      </c>
      <c r="K315" s="12">
        <f>IF(OR(C315="",I315&lt;&gt;"",NOT(ISNUMBER(H315))),"",IF(H315&lt;TODAY(),"Past its date",IF(H315-TODAY()&lt;=Settings!$C$6,"Use soon","")))</f>
        <v/>
      </c>
      <c r="L315" s="1">
        <f>IF(K315="","",H315*1000+ROW())</f>
        <v/>
      </c>
    </row>
    <row r="316">
      <c r="A316" s="1" t="n"/>
      <c r="B316" s="20" t="n"/>
      <c r="C316" s="21" t="n"/>
      <c r="D316" s="22" t="n"/>
      <c r="E316" s="37" t="n"/>
      <c r="F316" s="23" t="n"/>
      <c r="G316" s="36" t="n"/>
      <c r="H316" s="20" t="n"/>
      <c r="I316" s="36" t="n"/>
      <c r="J316" s="43">
        <f>IF(C316="","",N(D316)*IFERROR(N(INDEX(Ingredients!$D$6:$D$105,MATCH(C316,Ingredients!$B$6:$B$105,0))),0))</f>
        <v/>
      </c>
      <c r="K316" s="12">
        <f>IF(OR(C316="",I316&lt;&gt;"",NOT(ISNUMBER(H316))),"",IF(H316&lt;TODAY(),"Past its date",IF(H316-TODAY()&lt;=Settings!$C$6,"Use soon","")))</f>
        <v/>
      </c>
      <c r="L316" s="1">
        <f>IF(K316="","",H316*1000+ROW())</f>
        <v/>
      </c>
    </row>
    <row r="317">
      <c r="A317" s="1" t="n"/>
      <c r="B317" s="20" t="n"/>
      <c r="C317" s="21" t="n"/>
      <c r="D317" s="22" t="n"/>
      <c r="E317" s="37" t="n"/>
      <c r="F317" s="23" t="n"/>
      <c r="G317" s="36" t="n"/>
      <c r="H317" s="20" t="n"/>
      <c r="I317" s="36" t="n"/>
      <c r="J317" s="43">
        <f>IF(C317="","",N(D317)*IFERROR(N(INDEX(Ingredients!$D$6:$D$105,MATCH(C317,Ingredients!$B$6:$B$105,0))),0))</f>
        <v/>
      </c>
      <c r="K317" s="12">
        <f>IF(OR(C317="",I317&lt;&gt;"",NOT(ISNUMBER(H317))),"",IF(H317&lt;TODAY(),"Past its date",IF(H317-TODAY()&lt;=Settings!$C$6,"Use soon","")))</f>
        <v/>
      </c>
      <c r="L317" s="1">
        <f>IF(K317="","",H317*1000+ROW())</f>
        <v/>
      </c>
    </row>
    <row r="318">
      <c r="A318" s="1" t="n"/>
      <c r="B318" s="20" t="n"/>
      <c r="C318" s="21" t="n"/>
      <c r="D318" s="22" t="n"/>
      <c r="E318" s="37" t="n"/>
      <c r="F318" s="23" t="n"/>
      <c r="G318" s="36" t="n"/>
      <c r="H318" s="20" t="n"/>
      <c r="I318" s="36" t="n"/>
      <c r="J318" s="43">
        <f>IF(C318="","",N(D318)*IFERROR(N(INDEX(Ingredients!$D$6:$D$105,MATCH(C318,Ingredients!$B$6:$B$105,0))),0))</f>
        <v/>
      </c>
      <c r="K318" s="12">
        <f>IF(OR(C318="",I318&lt;&gt;"",NOT(ISNUMBER(H318))),"",IF(H318&lt;TODAY(),"Past its date",IF(H318-TODAY()&lt;=Settings!$C$6,"Use soon","")))</f>
        <v/>
      </c>
      <c r="L318" s="1">
        <f>IF(K318="","",H318*1000+ROW())</f>
        <v/>
      </c>
    </row>
    <row r="319">
      <c r="A319" s="1" t="n"/>
      <c r="B319" s="20" t="n"/>
      <c r="C319" s="21" t="n"/>
      <c r="D319" s="22" t="n"/>
      <c r="E319" s="37" t="n"/>
      <c r="F319" s="23" t="n"/>
      <c r="G319" s="36" t="n"/>
      <c r="H319" s="20" t="n"/>
      <c r="I319" s="36" t="n"/>
      <c r="J319" s="43">
        <f>IF(C319="","",N(D319)*IFERROR(N(INDEX(Ingredients!$D$6:$D$105,MATCH(C319,Ingredients!$B$6:$B$105,0))),0))</f>
        <v/>
      </c>
      <c r="K319" s="12">
        <f>IF(OR(C319="",I319&lt;&gt;"",NOT(ISNUMBER(H319))),"",IF(H319&lt;TODAY(),"Past its date",IF(H319-TODAY()&lt;=Settings!$C$6,"Use soon","")))</f>
        <v/>
      </c>
      <c r="L319" s="1">
        <f>IF(K319="","",H319*1000+ROW())</f>
        <v/>
      </c>
    </row>
    <row r="320">
      <c r="A320" s="1" t="n"/>
      <c r="B320" s="20" t="n"/>
      <c r="C320" s="21" t="n"/>
      <c r="D320" s="22" t="n"/>
      <c r="E320" s="37" t="n"/>
      <c r="F320" s="23" t="n"/>
      <c r="G320" s="36" t="n"/>
      <c r="H320" s="20" t="n"/>
      <c r="I320" s="36" t="n"/>
      <c r="J320" s="43">
        <f>IF(C320="","",N(D320)*IFERROR(N(INDEX(Ingredients!$D$6:$D$105,MATCH(C320,Ingredients!$B$6:$B$105,0))),0))</f>
        <v/>
      </c>
      <c r="K320" s="12">
        <f>IF(OR(C320="",I320&lt;&gt;"",NOT(ISNUMBER(H320))),"",IF(H320&lt;TODAY(),"Past its date",IF(H320-TODAY()&lt;=Settings!$C$6,"Use soon","")))</f>
        <v/>
      </c>
      <c r="L320" s="1">
        <f>IF(K320="","",H320*1000+ROW())</f>
        <v/>
      </c>
    </row>
    <row r="321">
      <c r="A321" s="1" t="n"/>
      <c r="B321" s="20" t="n"/>
      <c r="C321" s="21" t="n"/>
      <c r="D321" s="22" t="n"/>
      <c r="E321" s="37" t="n"/>
      <c r="F321" s="23" t="n"/>
      <c r="G321" s="36" t="n"/>
      <c r="H321" s="20" t="n"/>
      <c r="I321" s="36" t="n"/>
      <c r="J321" s="43">
        <f>IF(C321="","",N(D321)*IFERROR(N(INDEX(Ingredients!$D$6:$D$105,MATCH(C321,Ingredients!$B$6:$B$105,0))),0))</f>
        <v/>
      </c>
      <c r="K321" s="12">
        <f>IF(OR(C321="",I321&lt;&gt;"",NOT(ISNUMBER(H321))),"",IF(H321&lt;TODAY(),"Past its date",IF(H321-TODAY()&lt;=Settings!$C$6,"Use soon","")))</f>
        <v/>
      </c>
      <c r="L321" s="1">
        <f>IF(K321="","",H321*1000+ROW())</f>
        <v/>
      </c>
    </row>
    <row r="322">
      <c r="A322" s="1" t="n"/>
      <c r="B322" s="20" t="n"/>
      <c r="C322" s="21" t="n"/>
      <c r="D322" s="22" t="n"/>
      <c r="E322" s="37" t="n"/>
      <c r="F322" s="23" t="n"/>
      <c r="G322" s="36" t="n"/>
      <c r="H322" s="20" t="n"/>
      <c r="I322" s="36" t="n"/>
      <c r="J322" s="43">
        <f>IF(C322="","",N(D322)*IFERROR(N(INDEX(Ingredients!$D$6:$D$105,MATCH(C322,Ingredients!$B$6:$B$105,0))),0))</f>
        <v/>
      </c>
      <c r="K322" s="12">
        <f>IF(OR(C322="",I322&lt;&gt;"",NOT(ISNUMBER(H322))),"",IF(H322&lt;TODAY(),"Past its date",IF(H322-TODAY()&lt;=Settings!$C$6,"Use soon","")))</f>
        <v/>
      </c>
      <c r="L322" s="1">
        <f>IF(K322="","",H322*1000+ROW())</f>
        <v/>
      </c>
    </row>
    <row r="323">
      <c r="A323" s="1" t="n"/>
      <c r="B323" s="20" t="n"/>
      <c r="C323" s="21" t="n"/>
      <c r="D323" s="22" t="n"/>
      <c r="E323" s="37" t="n"/>
      <c r="F323" s="23" t="n"/>
      <c r="G323" s="36" t="n"/>
      <c r="H323" s="20" t="n"/>
      <c r="I323" s="36" t="n"/>
      <c r="J323" s="43">
        <f>IF(C323="","",N(D323)*IFERROR(N(INDEX(Ingredients!$D$6:$D$105,MATCH(C323,Ingredients!$B$6:$B$105,0))),0))</f>
        <v/>
      </c>
      <c r="K323" s="12">
        <f>IF(OR(C323="",I323&lt;&gt;"",NOT(ISNUMBER(H323))),"",IF(H323&lt;TODAY(),"Past its date",IF(H323-TODAY()&lt;=Settings!$C$6,"Use soon","")))</f>
        <v/>
      </c>
      <c r="L323" s="1">
        <f>IF(K323="","",H323*1000+ROW())</f>
        <v/>
      </c>
    </row>
    <row r="324">
      <c r="A324" s="1" t="n"/>
      <c r="B324" s="20" t="n"/>
      <c r="C324" s="21" t="n"/>
      <c r="D324" s="22" t="n"/>
      <c r="E324" s="37" t="n"/>
      <c r="F324" s="23" t="n"/>
      <c r="G324" s="36" t="n"/>
      <c r="H324" s="20" t="n"/>
      <c r="I324" s="36" t="n"/>
      <c r="J324" s="43">
        <f>IF(C324="","",N(D324)*IFERROR(N(INDEX(Ingredients!$D$6:$D$105,MATCH(C324,Ingredients!$B$6:$B$105,0))),0))</f>
        <v/>
      </c>
      <c r="K324" s="12">
        <f>IF(OR(C324="",I324&lt;&gt;"",NOT(ISNUMBER(H324))),"",IF(H324&lt;TODAY(),"Past its date",IF(H324-TODAY()&lt;=Settings!$C$6,"Use soon","")))</f>
        <v/>
      </c>
      <c r="L324" s="1">
        <f>IF(K324="","",H324*1000+ROW())</f>
        <v/>
      </c>
    </row>
    <row r="325">
      <c r="A325" s="1" t="n"/>
      <c r="B325" s="20" t="n"/>
      <c r="C325" s="21" t="n"/>
      <c r="D325" s="22" t="n"/>
      <c r="E325" s="37" t="n"/>
      <c r="F325" s="23" t="n"/>
      <c r="G325" s="36" t="n"/>
      <c r="H325" s="20" t="n"/>
      <c r="I325" s="36" t="n"/>
      <c r="J325" s="43">
        <f>IF(C325="","",N(D325)*IFERROR(N(INDEX(Ingredients!$D$6:$D$105,MATCH(C325,Ingredients!$B$6:$B$105,0))),0))</f>
        <v/>
      </c>
      <c r="K325" s="12">
        <f>IF(OR(C325="",I325&lt;&gt;"",NOT(ISNUMBER(H325))),"",IF(H325&lt;TODAY(),"Past its date",IF(H325-TODAY()&lt;=Settings!$C$6,"Use soon","")))</f>
        <v/>
      </c>
      <c r="L325" s="1">
        <f>IF(K325="","",H325*1000+ROW())</f>
        <v/>
      </c>
    </row>
    <row r="326">
      <c r="A326" s="1" t="n"/>
      <c r="B326" s="20" t="n"/>
      <c r="C326" s="21" t="n"/>
      <c r="D326" s="22" t="n"/>
      <c r="E326" s="37" t="n"/>
      <c r="F326" s="23" t="n"/>
      <c r="G326" s="36" t="n"/>
      <c r="H326" s="20" t="n"/>
      <c r="I326" s="36" t="n"/>
      <c r="J326" s="43">
        <f>IF(C326="","",N(D326)*IFERROR(N(INDEX(Ingredients!$D$6:$D$105,MATCH(C326,Ingredients!$B$6:$B$105,0))),0))</f>
        <v/>
      </c>
      <c r="K326" s="12">
        <f>IF(OR(C326="",I326&lt;&gt;"",NOT(ISNUMBER(H326))),"",IF(H326&lt;TODAY(),"Past its date",IF(H326-TODAY()&lt;=Settings!$C$6,"Use soon","")))</f>
        <v/>
      </c>
      <c r="L326" s="1">
        <f>IF(K326="","",H326*1000+ROW())</f>
        <v/>
      </c>
    </row>
    <row r="327">
      <c r="A327" s="1" t="n"/>
      <c r="B327" s="20" t="n"/>
      <c r="C327" s="21" t="n"/>
      <c r="D327" s="22" t="n"/>
      <c r="E327" s="37" t="n"/>
      <c r="F327" s="23" t="n"/>
      <c r="G327" s="36" t="n"/>
      <c r="H327" s="20" t="n"/>
      <c r="I327" s="36" t="n"/>
      <c r="J327" s="43">
        <f>IF(C327="","",N(D327)*IFERROR(N(INDEX(Ingredients!$D$6:$D$105,MATCH(C327,Ingredients!$B$6:$B$105,0))),0))</f>
        <v/>
      </c>
      <c r="K327" s="12">
        <f>IF(OR(C327="",I327&lt;&gt;"",NOT(ISNUMBER(H327))),"",IF(H327&lt;TODAY(),"Past its date",IF(H327-TODAY()&lt;=Settings!$C$6,"Use soon","")))</f>
        <v/>
      </c>
      <c r="L327" s="1">
        <f>IF(K327="","",H327*1000+ROW())</f>
        <v/>
      </c>
    </row>
    <row r="328">
      <c r="A328" s="1" t="n"/>
      <c r="B328" s="20" t="n"/>
      <c r="C328" s="21" t="n"/>
      <c r="D328" s="22" t="n"/>
      <c r="E328" s="37" t="n"/>
      <c r="F328" s="23" t="n"/>
      <c r="G328" s="36" t="n"/>
      <c r="H328" s="20" t="n"/>
      <c r="I328" s="36" t="n"/>
      <c r="J328" s="43">
        <f>IF(C328="","",N(D328)*IFERROR(N(INDEX(Ingredients!$D$6:$D$105,MATCH(C328,Ingredients!$B$6:$B$105,0))),0))</f>
        <v/>
      </c>
      <c r="K328" s="12">
        <f>IF(OR(C328="",I328&lt;&gt;"",NOT(ISNUMBER(H328))),"",IF(H328&lt;TODAY(),"Past its date",IF(H328-TODAY()&lt;=Settings!$C$6,"Use soon","")))</f>
        <v/>
      </c>
      <c r="L328" s="1">
        <f>IF(K328="","",H328*1000+ROW())</f>
        <v/>
      </c>
    </row>
    <row r="329">
      <c r="A329" s="1" t="n"/>
      <c r="B329" s="20" t="n"/>
      <c r="C329" s="21" t="n"/>
      <c r="D329" s="22" t="n"/>
      <c r="E329" s="37" t="n"/>
      <c r="F329" s="23" t="n"/>
      <c r="G329" s="36" t="n"/>
      <c r="H329" s="20" t="n"/>
      <c r="I329" s="36" t="n"/>
      <c r="J329" s="43">
        <f>IF(C329="","",N(D329)*IFERROR(N(INDEX(Ingredients!$D$6:$D$105,MATCH(C329,Ingredients!$B$6:$B$105,0))),0))</f>
        <v/>
      </c>
      <c r="K329" s="12">
        <f>IF(OR(C329="",I329&lt;&gt;"",NOT(ISNUMBER(H329))),"",IF(H329&lt;TODAY(),"Past its date",IF(H329-TODAY()&lt;=Settings!$C$6,"Use soon","")))</f>
        <v/>
      </c>
      <c r="L329" s="1">
        <f>IF(K329="","",H329*1000+ROW())</f>
        <v/>
      </c>
    </row>
    <row r="330">
      <c r="A330" s="1" t="n"/>
      <c r="B330" s="20" t="n"/>
      <c r="C330" s="21" t="n"/>
      <c r="D330" s="22" t="n"/>
      <c r="E330" s="37" t="n"/>
      <c r="F330" s="23" t="n"/>
      <c r="G330" s="36" t="n"/>
      <c r="H330" s="20" t="n"/>
      <c r="I330" s="36" t="n"/>
      <c r="J330" s="43">
        <f>IF(C330="","",N(D330)*IFERROR(N(INDEX(Ingredients!$D$6:$D$105,MATCH(C330,Ingredients!$B$6:$B$105,0))),0))</f>
        <v/>
      </c>
      <c r="K330" s="12">
        <f>IF(OR(C330="",I330&lt;&gt;"",NOT(ISNUMBER(H330))),"",IF(H330&lt;TODAY(),"Past its date",IF(H330-TODAY()&lt;=Settings!$C$6,"Use soon","")))</f>
        <v/>
      </c>
      <c r="L330" s="1">
        <f>IF(K330="","",H330*1000+ROW())</f>
        <v/>
      </c>
    </row>
    <row r="331">
      <c r="A331" s="1" t="n"/>
      <c r="B331" s="20" t="n"/>
      <c r="C331" s="21" t="n"/>
      <c r="D331" s="22" t="n"/>
      <c r="E331" s="37" t="n"/>
      <c r="F331" s="23" t="n"/>
      <c r="G331" s="36" t="n"/>
      <c r="H331" s="20" t="n"/>
      <c r="I331" s="36" t="n"/>
      <c r="J331" s="43">
        <f>IF(C331="","",N(D331)*IFERROR(N(INDEX(Ingredients!$D$6:$D$105,MATCH(C331,Ingredients!$B$6:$B$105,0))),0))</f>
        <v/>
      </c>
      <c r="K331" s="12">
        <f>IF(OR(C331="",I331&lt;&gt;"",NOT(ISNUMBER(H331))),"",IF(H331&lt;TODAY(),"Past its date",IF(H331-TODAY()&lt;=Settings!$C$6,"Use soon","")))</f>
        <v/>
      </c>
      <c r="L331" s="1">
        <f>IF(K331="","",H331*1000+ROW())</f>
        <v/>
      </c>
    </row>
    <row r="332">
      <c r="A332" s="1" t="n"/>
      <c r="B332" s="20" t="n"/>
      <c r="C332" s="21" t="n"/>
      <c r="D332" s="22" t="n"/>
      <c r="E332" s="37" t="n"/>
      <c r="F332" s="23" t="n"/>
      <c r="G332" s="36" t="n"/>
      <c r="H332" s="20" t="n"/>
      <c r="I332" s="36" t="n"/>
      <c r="J332" s="43">
        <f>IF(C332="","",N(D332)*IFERROR(N(INDEX(Ingredients!$D$6:$D$105,MATCH(C332,Ingredients!$B$6:$B$105,0))),0))</f>
        <v/>
      </c>
      <c r="K332" s="12">
        <f>IF(OR(C332="",I332&lt;&gt;"",NOT(ISNUMBER(H332))),"",IF(H332&lt;TODAY(),"Past its date",IF(H332-TODAY()&lt;=Settings!$C$6,"Use soon","")))</f>
        <v/>
      </c>
      <c r="L332" s="1">
        <f>IF(K332="","",H332*1000+ROW())</f>
        <v/>
      </c>
    </row>
    <row r="333">
      <c r="A333" s="1" t="n"/>
      <c r="B333" s="20" t="n"/>
      <c r="C333" s="21" t="n"/>
      <c r="D333" s="22" t="n"/>
      <c r="E333" s="37" t="n"/>
      <c r="F333" s="23" t="n"/>
      <c r="G333" s="36" t="n"/>
      <c r="H333" s="20" t="n"/>
      <c r="I333" s="36" t="n"/>
      <c r="J333" s="43">
        <f>IF(C333="","",N(D333)*IFERROR(N(INDEX(Ingredients!$D$6:$D$105,MATCH(C333,Ingredients!$B$6:$B$105,0))),0))</f>
        <v/>
      </c>
      <c r="K333" s="12">
        <f>IF(OR(C333="",I333&lt;&gt;"",NOT(ISNUMBER(H333))),"",IF(H333&lt;TODAY(),"Past its date",IF(H333-TODAY()&lt;=Settings!$C$6,"Use soon","")))</f>
        <v/>
      </c>
      <c r="L333" s="1">
        <f>IF(K333="","",H333*1000+ROW())</f>
        <v/>
      </c>
    </row>
    <row r="334">
      <c r="A334" s="1" t="n"/>
      <c r="B334" s="20" t="n"/>
      <c r="C334" s="21" t="n"/>
      <c r="D334" s="22" t="n"/>
      <c r="E334" s="37" t="n"/>
      <c r="F334" s="23" t="n"/>
      <c r="G334" s="36" t="n"/>
      <c r="H334" s="20" t="n"/>
      <c r="I334" s="36" t="n"/>
      <c r="J334" s="43">
        <f>IF(C334="","",N(D334)*IFERROR(N(INDEX(Ingredients!$D$6:$D$105,MATCH(C334,Ingredients!$B$6:$B$105,0))),0))</f>
        <v/>
      </c>
      <c r="K334" s="12">
        <f>IF(OR(C334="",I334&lt;&gt;"",NOT(ISNUMBER(H334))),"",IF(H334&lt;TODAY(),"Past its date",IF(H334-TODAY()&lt;=Settings!$C$6,"Use soon","")))</f>
        <v/>
      </c>
      <c r="L334" s="1">
        <f>IF(K334="","",H334*1000+ROW())</f>
        <v/>
      </c>
    </row>
    <row r="335">
      <c r="A335" s="1" t="n"/>
      <c r="B335" s="20" t="n"/>
      <c r="C335" s="21" t="n"/>
      <c r="D335" s="22" t="n"/>
      <c r="E335" s="37" t="n"/>
      <c r="F335" s="23" t="n"/>
      <c r="G335" s="36" t="n"/>
      <c r="H335" s="20" t="n"/>
      <c r="I335" s="36" t="n"/>
      <c r="J335" s="43">
        <f>IF(C335="","",N(D335)*IFERROR(N(INDEX(Ingredients!$D$6:$D$105,MATCH(C335,Ingredients!$B$6:$B$105,0))),0))</f>
        <v/>
      </c>
      <c r="K335" s="12">
        <f>IF(OR(C335="",I335&lt;&gt;"",NOT(ISNUMBER(H335))),"",IF(H335&lt;TODAY(),"Past its date",IF(H335-TODAY()&lt;=Settings!$C$6,"Use soon","")))</f>
        <v/>
      </c>
      <c r="L335" s="1">
        <f>IF(K335="","",H335*1000+ROW())</f>
        <v/>
      </c>
    </row>
    <row r="336">
      <c r="A336" s="1" t="n"/>
      <c r="B336" s="20" t="n"/>
      <c r="C336" s="21" t="n"/>
      <c r="D336" s="22" t="n"/>
      <c r="E336" s="37" t="n"/>
      <c r="F336" s="23" t="n"/>
      <c r="G336" s="36" t="n"/>
      <c r="H336" s="20" t="n"/>
      <c r="I336" s="36" t="n"/>
      <c r="J336" s="43">
        <f>IF(C336="","",N(D336)*IFERROR(N(INDEX(Ingredients!$D$6:$D$105,MATCH(C336,Ingredients!$B$6:$B$105,0))),0))</f>
        <v/>
      </c>
      <c r="K336" s="12">
        <f>IF(OR(C336="",I336&lt;&gt;"",NOT(ISNUMBER(H336))),"",IF(H336&lt;TODAY(),"Past its date",IF(H336-TODAY()&lt;=Settings!$C$6,"Use soon","")))</f>
        <v/>
      </c>
      <c r="L336" s="1">
        <f>IF(K336="","",H336*1000+ROW())</f>
        <v/>
      </c>
    </row>
    <row r="337">
      <c r="A337" s="1" t="n"/>
      <c r="B337" s="20" t="n"/>
      <c r="C337" s="21" t="n"/>
      <c r="D337" s="22" t="n"/>
      <c r="E337" s="37" t="n"/>
      <c r="F337" s="23" t="n"/>
      <c r="G337" s="36" t="n"/>
      <c r="H337" s="20" t="n"/>
      <c r="I337" s="36" t="n"/>
      <c r="J337" s="43">
        <f>IF(C337="","",N(D337)*IFERROR(N(INDEX(Ingredients!$D$6:$D$105,MATCH(C337,Ingredients!$B$6:$B$105,0))),0))</f>
        <v/>
      </c>
      <c r="K337" s="12">
        <f>IF(OR(C337="",I337&lt;&gt;"",NOT(ISNUMBER(H337))),"",IF(H337&lt;TODAY(),"Past its date",IF(H337-TODAY()&lt;=Settings!$C$6,"Use soon","")))</f>
        <v/>
      </c>
      <c r="L337" s="1">
        <f>IF(K337="","",H337*1000+ROW())</f>
        <v/>
      </c>
    </row>
    <row r="338">
      <c r="A338" s="1" t="n"/>
      <c r="B338" s="20" t="n"/>
      <c r="C338" s="21" t="n"/>
      <c r="D338" s="22" t="n"/>
      <c r="E338" s="37" t="n"/>
      <c r="F338" s="23" t="n"/>
      <c r="G338" s="36" t="n"/>
      <c r="H338" s="20" t="n"/>
      <c r="I338" s="36" t="n"/>
      <c r="J338" s="43">
        <f>IF(C338="","",N(D338)*IFERROR(N(INDEX(Ingredients!$D$6:$D$105,MATCH(C338,Ingredients!$B$6:$B$105,0))),0))</f>
        <v/>
      </c>
      <c r="K338" s="12">
        <f>IF(OR(C338="",I338&lt;&gt;"",NOT(ISNUMBER(H338))),"",IF(H338&lt;TODAY(),"Past its date",IF(H338-TODAY()&lt;=Settings!$C$6,"Use soon","")))</f>
        <v/>
      </c>
      <c r="L338" s="1">
        <f>IF(K338="","",H338*1000+ROW())</f>
        <v/>
      </c>
    </row>
    <row r="339">
      <c r="A339" s="1" t="n"/>
      <c r="B339" s="20" t="n"/>
      <c r="C339" s="21" t="n"/>
      <c r="D339" s="22" t="n"/>
      <c r="E339" s="37" t="n"/>
      <c r="F339" s="23" t="n"/>
      <c r="G339" s="36" t="n"/>
      <c r="H339" s="20" t="n"/>
      <c r="I339" s="36" t="n"/>
      <c r="J339" s="43">
        <f>IF(C339="","",N(D339)*IFERROR(N(INDEX(Ingredients!$D$6:$D$105,MATCH(C339,Ingredients!$B$6:$B$105,0))),0))</f>
        <v/>
      </c>
      <c r="K339" s="12">
        <f>IF(OR(C339="",I339&lt;&gt;"",NOT(ISNUMBER(H339))),"",IF(H339&lt;TODAY(),"Past its date",IF(H339-TODAY()&lt;=Settings!$C$6,"Use soon","")))</f>
        <v/>
      </c>
      <c r="L339" s="1">
        <f>IF(K339="","",H339*1000+ROW())</f>
        <v/>
      </c>
    </row>
    <row r="340">
      <c r="A340" s="1" t="n"/>
      <c r="B340" s="20" t="n"/>
      <c r="C340" s="21" t="n"/>
      <c r="D340" s="22" t="n"/>
      <c r="E340" s="37" t="n"/>
      <c r="F340" s="23" t="n"/>
      <c r="G340" s="36" t="n"/>
      <c r="H340" s="20" t="n"/>
      <c r="I340" s="36" t="n"/>
      <c r="J340" s="43">
        <f>IF(C340="","",N(D340)*IFERROR(N(INDEX(Ingredients!$D$6:$D$105,MATCH(C340,Ingredients!$B$6:$B$105,0))),0))</f>
        <v/>
      </c>
      <c r="K340" s="12">
        <f>IF(OR(C340="",I340&lt;&gt;"",NOT(ISNUMBER(H340))),"",IF(H340&lt;TODAY(),"Past its date",IF(H340-TODAY()&lt;=Settings!$C$6,"Use soon","")))</f>
        <v/>
      </c>
      <c r="L340" s="1">
        <f>IF(K340="","",H340*1000+ROW())</f>
        <v/>
      </c>
    </row>
    <row r="341">
      <c r="A341" s="1" t="n"/>
      <c r="B341" s="20" t="n"/>
      <c r="C341" s="21" t="n"/>
      <c r="D341" s="22" t="n"/>
      <c r="E341" s="37" t="n"/>
      <c r="F341" s="23" t="n"/>
      <c r="G341" s="36" t="n"/>
      <c r="H341" s="20" t="n"/>
      <c r="I341" s="36" t="n"/>
      <c r="J341" s="43">
        <f>IF(C341="","",N(D341)*IFERROR(N(INDEX(Ingredients!$D$6:$D$105,MATCH(C341,Ingredients!$B$6:$B$105,0))),0))</f>
        <v/>
      </c>
      <c r="K341" s="12">
        <f>IF(OR(C341="",I341&lt;&gt;"",NOT(ISNUMBER(H341))),"",IF(H341&lt;TODAY(),"Past its date",IF(H341-TODAY()&lt;=Settings!$C$6,"Use soon","")))</f>
        <v/>
      </c>
      <c r="L341" s="1">
        <f>IF(K341="","",H341*1000+ROW())</f>
        <v/>
      </c>
    </row>
    <row r="342">
      <c r="A342" s="1" t="n"/>
      <c r="B342" s="20" t="n"/>
      <c r="C342" s="21" t="n"/>
      <c r="D342" s="22" t="n"/>
      <c r="E342" s="37" t="n"/>
      <c r="F342" s="23" t="n"/>
      <c r="G342" s="36" t="n"/>
      <c r="H342" s="20" t="n"/>
      <c r="I342" s="36" t="n"/>
      <c r="J342" s="43">
        <f>IF(C342="","",N(D342)*IFERROR(N(INDEX(Ingredients!$D$6:$D$105,MATCH(C342,Ingredients!$B$6:$B$105,0))),0))</f>
        <v/>
      </c>
      <c r="K342" s="12">
        <f>IF(OR(C342="",I342&lt;&gt;"",NOT(ISNUMBER(H342))),"",IF(H342&lt;TODAY(),"Past its date",IF(H342-TODAY()&lt;=Settings!$C$6,"Use soon","")))</f>
        <v/>
      </c>
      <c r="L342" s="1">
        <f>IF(K342="","",H342*1000+ROW())</f>
        <v/>
      </c>
    </row>
    <row r="343">
      <c r="A343" s="1" t="n"/>
      <c r="B343" s="20" t="n"/>
      <c r="C343" s="21" t="n"/>
      <c r="D343" s="22" t="n"/>
      <c r="E343" s="37" t="n"/>
      <c r="F343" s="23" t="n"/>
      <c r="G343" s="36" t="n"/>
      <c r="H343" s="20" t="n"/>
      <c r="I343" s="36" t="n"/>
      <c r="J343" s="43">
        <f>IF(C343="","",N(D343)*IFERROR(N(INDEX(Ingredients!$D$6:$D$105,MATCH(C343,Ingredients!$B$6:$B$105,0))),0))</f>
        <v/>
      </c>
      <c r="K343" s="12">
        <f>IF(OR(C343="",I343&lt;&gt;"",NOT(ISNUMBER(H343))),"",IF(H343&lt;TODAY(),"Past its date",IF(H343-TODAY()&lt;=Settings!$C$6,"Use soon","")))</f>
        <v/>
      </c>
      <c r="L343" s="1">
        <f>IF(K343="","",H343*1000+ROW())</f>
        <v/>
      </c>
    </row>
    <row r="344">
      <c r="A344" s="1" t="n"/>
      <c r="B344" s="20" t="n"/>
      <c r="C344" s="21" t="n"/>
      <c r="D344" s="22" t="n"/>
      <c r="E344" s="37" t="n"/>
      <c r="F344" s="23" t="n"/>
      <c r="G344" s="36" t="n"/>
      <c r="H344" s="20" t="n"/>
      <c r="I344" s="36" t="n"/>
      <c r="J344" s="43">
        <f>IF(C344="","",N(D344)*IFERROR(N(INDEX(Ingredients!$D$6:$D$105,MATCH(C344,Ingredients!$B$6:$B$105,0))),0))</f>
        <v/>
      </c>
      <c r="K344" s="12">
        <f>IF(OR(C344="",I344&lt;&gt;"",NOT(ISNUMBER(H344))),"",IF(H344&lt;TODAY(),"Past its date",IF(H344-TODAY()&lt;=Settings!$C$6,"Use soon","")))</f>
        <v/>
      </c>
      <c r="L344" s="1">
        <f>IF(K344="","",H344*1000+ROW())</f>
        <v/>
      </c>
    </row>
    <row r="345">
      <c r="A345" s="1" t="n"/>
      <c r="B345" s="20" t="n"/>
      <c r="C345" s="21" t="n"/>
      <c r="D345" s="22" t="n"/>
      <c r="E345" s="37" t="n"/>
      <c r="F345" s="23" t="n"/>
      <c r="G345" s="36" t="n"/>
      <c r="H345" s="20" t="n"/>
      <c r="I345" s="36" t="n"/>
      <c r="J345" s="43">
        <f>IF(C345="","",N(D345)*IFERROR(N(INDEX(Ingredients!$D$6:$D$105,MATCH(C345,Ingredients!$B$6:$B$105,0))),0))</f>
        <v/>
      </c>
      <c r="K345" s="12">
        <f>IF(OR(C345="",I345&lt;&gt;"",NOT(ISNUMBER(H345))),"",IF(H345&lt;TODAY(),"Past its date",IF(H345-TODAY()&lt;=Settings!$C$6,"Use soon","")))</f>
        <v/>
      </c>
      <c r="L345" s="1">
        <f>IF(K345="","",H345*1000+ROW())</f>
        <v/>
      </c>
    </row>
    <row r="346">
      <c r="A346" s="1" t="n"/>
      <c r="B346" s="20" t="n"/>
      <c r="C346" s="21" t="n"/>
      <c r="D346" s="22" t="n"/>
      <c r="E346" s="37" t="n"/>
      <c r="F346" s="23" t="n"/>
      <c r="G346" s="36" t="n"/>
      <c r="H346" s="20" t="n"/>
      <c r="I346" s="36" t="n"/>
      <c r="J346" s="43">
        <f>IF(C346="","",N(D346)*IFERROR(N(INDEX(Ingredients!$D$6:$D$105,MATCH(C346,Ingredients!$B$6:$B$105,0))),0))</f>
        <v/>
      </c>
      <c r="K346" s="12">
        <f>IF(OR(C346="",I346&lt;&gt;"",NOT(ISNUMBER(H346))),"",IF(H346&lt;TODAY(),"Past its date",IF(H346-TODAY()&lt;=Settings!$C$6,"Use soon","")))</f>
        <v/>
      </c>
      <c r="L346" s="1">
        <f>IF(K346="","",H346*1000+ROW())</f>
        <v/>
      </c>
    </row>
    <row r="347">
      <c r="A347" s="1" t="n"/>
      <c r="B347" s="20" t="n"/>
      <c r="C347" s="21" t="n"/>
      <c r="D347" s="22" t="n"/>
      <c r="E347" s="37" t="n"/>
      <c r="F347" s="23" t="n"/>
      <c r="G347" s="36" t="n"/>
      <c r="H347" s="20" t="n"/>
      <c r="I347" s="36" t="n"/>
      <c r="J347" s="43">
        <f>IF(C347="","",N(D347)*IFERROR(N(INDEX(Ingredients!$D$6:$D$105,MATCH(C347,Ingredients!$B$6:$B$105,0))),0))</f>
        <v/>
      </c>
      <c r="K347" s="12">
        <f>IF(OR(C347="",I347&lt;&gt;"",NOT(ISNUMBER(H347))),"",IF(H347&lt;TODAY(),"Past its date",IF(H347-TODAY()&lt;=Settings!$C$6,"Use soon","")))</f>
        <v/>
      </c>
      <c r="L347" s="1">
        <f>IF(K347="","",H347*1000+ROW())</f>
        <v/>
      </c>
    </row>
    <row r="348">
      <c r="A348" s="1" t="n"/>
      <c r="B348" s="20" t="n"/>
      <c r="C348" s="21" t="n"/>
      <c r="D348" s="22" t="n"/>
      <c r="E348" s="37" t="n"/>
      <c r="F348" s="23" t="n"/>
      <c r="G348" s="36" t="n"/>
      <c r="H348" s="20" t="n"/>
      <c r="I348" s="36" t="n"/>
      <c r="J348" s="43">
        <f>IF(C348="","",N(D348)*IFERROR(N(INDEX(Ingredients!$D$6:$D$105,MATCH(C348,Ingredients!$B$6:$B$105,0))),0))</f>
        <v/>
      </c>
      <c r="K348" s="12">
        <f>IF(OR(C348="",I348&lt;&gt;"",NOT(ISNUMBER(H348))),"",IF(H348&lt;TODAY(),"Past its date",IF(H348-TODAY()&lt;=Settings!$C$6,"Use soon","")))</f>
        <v/>
      </c>
      <c r="L348" s="1">
        <f>IF(K348="","",H348*1000+ROW())</f>
        <v/>
      </c>
    </row>
    <row r="349">
      <c r="A349" s="1" t="n"/>
      <c r="B349" s="20" t="n"/>
      <c r="C349" s="21" t="n"/>
      <c r="D349" s="22" t="n"/>
      <c r="E349" s="37" t="n"/>
      <c r="F349" s="23" t="n"/>
      <c r="G349" s="36" t="n"/>
      <c r="H349" s="20" t="n"/>
      <c r="I349" s="36" t="n"/>
      <c r="J349" s="43">
        <f>IF(C349="","",N(D349)*IFERROR(N(INDEX(Ingredients!$D$6:$D$105,MATCH(C349,Ingredients!$B$6:$B$105,0))),0))</f>
        <v/>
      </c>
      <c r="K349" s="12">
        <f>IF(OR(C349="",I349&lt;&gt;"",NOT(ISNUMBER(H349))),"",IF(H349&lt;TODAY(),"Past its date",IF(H349-TODAY()&lt;=Settings!$C$6,"Use soon","")))</f>
        <v/>
      </c>
      <c r="L349" s="1">
        <f>IF(K349="","",H349*1000+ROW())</f>
        <v/>
      </c>
    </row>
    <row r="350">
      <c r="A350" s="1" t="n"/>
      <c r="B350" s="20" t="n"/>
      <c r="C350" s="21" t="n"/>
      <c r="D350" s="22" t="n"/>
      <c r="E350" s="37" t="n"/>
      <c r="F350" s="23" t="n"/>
      <c r="G350" s="36" t="n"/>
      <c r="H350" s="20" t="n"/>
      <c r="I350" s="36" t="n"/>
      <c r="J350" s="43">
        <f>IF(C350="","",N(D350)*IFERROR(N(INDEX(Ingredients!$D$6:$D$105,MATCH(C350,Ingredients!$B$6:$B$105,0))),0))</f>
        <v/>
      </c>
      <c r="K350" s="12">
        <f>IF(OR(C350="",I350&lt;&gt;"",NOT(ISNUMBER(H350))),"",IF(H350&lt;TODAY(),"Past its date",IF(H350-TODAY()&lt;=Settings!$C$6,"Use soon","")))</f>
        <v/>
      </c>
      <c r="L350" s="1">
        <f>IF(K350="","",H350*1000+ROW())</f>
        <v/>
      </c>
    </row>
    <row r="351">
      <c r="A351" s="1" t="n"/>
      <c r="B351" s="20" t="n"/>
      <c r="C351" s="21" t="n"/>
      <c r="D351" s="22" t="n"/>
      <c r="E351" s="37" t="n"/>
      <c r="F351" s="23" t="n"/>
      <c r="G351" s="36" t="n"/>
      <c r="H351" s="20" t="n"/>
      <c r="I351" s="36" t="n"/>
      <c r="J351" s="43">
        <f>IF(C351="","",N(D351)*IFERROR(N(INDEX(Ingredients!$D$6:$D$105,MATCH(C351,Ingredients!$B$6:$B$105,0))),0))</f>
        <v/>
      </c>
      <c r="K351" s="12">
        <f>IF(OR(C351="",I351&lt;&gt;"",NOT(ISNUMBER(H351))),"",IF(H351&lt;TODAY(),"Past its date",IF(H351-TODAY()&lt;=Settings!$C$6,"Use soon","")))</f>
        <v/>
      </c>
      <c r="L351" s="1">
        <f>IF(K351="","",H351*1000+ROW())</f>
        <v/>
      </c>
    </row>
    <row r="352">
      <c r="A352" s="1" t="n"/>
      <c r="B352" s="20" t="n"/>
      <c r="C352" s="21" t="n"/>
      <c r="D352" s="22" t="n"/>
      <c r="E352" s="37" t="n"/>
      <c r="F352" s="23" t="n"/>
      <c r="G352" s="36" t="n"/>
      <c r="H352" s="20" t="n"/>
      <c r="I352" s="36" t="n"/>
      <c r="J352" s="43">
        <f>IF(C352="","",N(D352)*IFERROR(N(INDEX(Ingredients!$D$6:$D$105,MATCH(C352,Ingredients!$B$6:$B$105,0))),0))</f>
        <v/>
      </c>
      <c r="K352" s="12">
        <f>IF(OR(C352="",I352&lt;&gt;"",NOT(ISNUMBER(H352))),"",IF(H352&lt;TODAY(),"Past its date",IF(H352-TODAY()&lt;=Settings!$C$6,"Use soon","")))</f>
        <v/>
      </c>
      <c r="L352" s="1">
        <f>IF(K352="","",H352*1000+ROW())</f>
        <v/>
      </c>
    </row>
    <row r="353">
      <c r="A353" s="1" t="n"/>
      <c r="B353" s="20" t="n"/>
      <c r="C353" s="21" t="n"/>
      <c r="D353" s="22" t="n"/>
      <c r="E353" s="37" t="n"/>
      <c r="F353" s="23" t="n"/>
      <c r="G353" s="36" t="n"/>
      <c r="H353" s="20" t="n"/>
      <c r="I353" s="36" t="n"/>
      <c r="J353" s="43">
        <f>IF(C353="","",N(D353)*IFERROR(N(INDEX(Ingredients!$D$6:$D$105,MATCH(C353,Ingredients!$B$6:$B$105,0))),0))</f>
        <v/>
      </c>
      <c r="K353" s="12">
        <f>IF(OR(C353="",I353&lt;&gt;"",NOT(ISNUMBER(H353))),"",IF(H353&lt;TODAY(),"Past its date",IF(H353-TODAY()&lt;=Settings!$C$6,"Use soon","")))</f>
        <v/>
      </c>
      <c r="L353" s="1">
        <f>IF(K353="","",H353*1000+ROW())</f>
        <v/>
      </c>
    </row>
    <row r="354">
      <c r="A354" s="1" t="n"/>
      <c r="B354" s="20" t="n"/>
      <c r="C354" s="21" t="n"/>
      <c r="D354" s="22" t="n"/>
      <c r="E354" s="37" t="n"/>
      <c r="F354" s="23" t="n"/>
      <c r="G354" s="36" t="n"/>
      <c r="H354" s="20" t="n"/>
      <c r="I354" s="36" t="n"/>
      <c r="J354" s="43">
        <f>IF(C354="","",N(D354)*IFERROR(N(INDEX(Ingredients!$D$6:$D$105,MATCH(C354,Ingredients!$B$6:$B$105,0))),0))</f>
        <v/>
      </c>
      <c r="K354" s="12">
        <f>IF(OR(C354="",I354&lt;&gt;"",NOT(ISNUMBER(H354))),"",IF(H354&lt;TODAY(),"Past its date",IF(H354-TODAY()&lt;=Settings!$C$6,"Use soon","")))</f>
        <v/>
      </c>
      <c r="L354" s="1">
        <f>IF(K354="","",H354*1000+ROW())</f>
        <v/>
      </c>
    </row>
    <row r="355">
      <c r="A355" s="1" t="n"/>
      <c r="B355" s="20" t="n"/>
      <c r="C355" s="21" t="n"/>
      <c r="D355" s="22" t="n"/>
      <c r="E355" s="37" t="n"/>
      <c r="F355" s="23" t="n"/>
      <c r="G355" s="36" t="n"/>
      <c r="H355" s="20" t="n"/>
      <c r="I355" s="36" t="n"/>
      <c r="J355" s="43">
        <f>IF(C355="","",N(D355)*IFERROR(N(INDEX(Ingredients!$D$6:$D$105,MATCH(C355,Ingredients!$B$6:$B$105,0))),0))</f>
        <v/>
      </c>
      <c r="K355" s="12">
        <f>IF(OR(C355="",I355&lt;&gt;"",NOT(ISNUMBER(H355))),"",IF(H355&lt;TODAY(),"Past its date",IF(H355-TODAY()&lt;=Settings!$C$6,"Use soon","")))</f>
        <v/>
      </c>
      <c r="L355" s="1">
        <f>IF(K355="","",H355*1000+ROW())</f>
        <v/>
      </c>
    </row>
    <row r="356">
      <c r="A356" s="1" t="n"/>
      <c r="B356" s="20" t="n"/>
      <c r="C356" s="21" t="n"/>
      <c r="D356" s="22" t="n"/>
      <c r="E356" s="37" t="n"/>
      <c r="F356" s="23" t="n"/>
      <c r="G356" s="36" t="n"/>
      <c r="H356" s="20" t="n"/>
      <c r="I356" s="36" t="n"/>
      <c r="J356" s="43">
        <f>IF(C356="","",N(D356)*IFERROR(N(INDEX(Ingredients!$D$6:$D$105,MATCH(C356,Ingredients!$B$6:$B$105,0))),0))</f>
        <v/>
      </c>
      <c r="K356" s="12">
        <f>IF(OR(C356="",I356&lt;&gt;"",NOT(ISNUMBER(H356))),"",IF(H356&lt;TODAY(),"Past its date",IF(H356-TODAY()&lt;=Settings!$C$6,"Use soon","")))</f>
        <v/>
      </c>
      <c r="L356" s="1">
        <f>IF(K356="","",H356*1000+ROW())</f>
        <v/>
      </c>
    </row>
    <row r="357">
      <c r="A357" s="1" t="n"/>
      <c r="B357" s="20" t="n"/>
      <c r="C357" s="21" t="n"/>
      <c r="D357" s="22" t="n"/>
      <c r="E357" s="37" t="n"/>
      <c r="F357" s="23" t="n"/>
      <c r="G357" s="36" t="n"/>
      <c r="H357" s="20" t="n"/>
      <c r="I357" s="36" t="n"/>
      <c r="J357" s="43">
        <f>IF(C357="","",N(D357)*IFERROR(N(INDEX(Ingredients!$D$6:$D$105,MATCH(C357,Ingredients!$B$6:$B$105,0))),0))</f>
        <v/>
      </c>
      <c r="K357" s="12">
        <f>IF(OR(C357="",I357&lt;&gt;"",NOT(ISNUMBER(H357))),"",IF(H357&lt;TODAY(),"Past its date",IF(H357-TODAY()&lt;=Settings!$C$6,"Use soon","")))</f>
        <v/>
      </c>
      <c r="L357" s="1">
        <f>IF(K357="","",H357*1000+ROW())</f>
        <v/>
      </c>
    </row>
    <row r="358">
      <c r="A358" s="1" t="n"/>
      <c r="B358" s="20" t="n"/>
      <c r="C358" s="21" t="n"/>
      <c r="D358" s="22" t="n"/>
      <c r="E358" s="37" t="n"/>
      <c r="F358" s="23" t="n"/>
      <c r="G358" s="36" t="n"/>
      <c r="H358" s="20" t="n"/>
      <c r="I358" s="36" t="n"/>
      <c r="J358" s="43">
        <f>IF(C358="","",N(D358)*IFERROR(N(INDEX(Ingredients!$D$6:$D$105,MATCH(C358,Ingredients!$B$6:$B$105,0))),0))</f>
        <v/>
      </c>
      <c r="K358" s="12">
        <f>IF(OR(C358="",I358&lt;&gt;"",NOT(ISNUMBER(H358))),"",IF(H358&lt;TODAY(),"Past its date",IF(H358-TODAY()&lt;=Settings!$C$6,"Use soon","")))</f>
        <v/>
      </c>
      <c r="L358" s="1">
        <f>IF(K358="","",H358*1000+ROW())</f>
        <v/>
      </c>
    </row>
    <row r="359">
      <c r="A359" s="1" t="n"/>
      <c r="B359" s="20" t="n"/>
      <c r="C359" s="21" t="n"/>
      <c r="D359" s="22" t="n"/>
      <c r="E359" s="37" t="n"/>
      <c r="F359" s="23" t="n"/>
      <c r="G359" s="36" t="n"/>
      <c r="H359" s="20" t="n"/>
      <c r="I359" s="36" t="n"/>
      <c r="J359" s="43">
        <f>IF(C359="","",N(D359)*IFERROR(N(INDEX(Ingredients!$D$6:$D$105,MATCH(C359,Ingredients!$B$6:$B$105,0))),0))</f>
        <v/>
      </c>
      <c r="K359" s="12">
        <f>IF(OR(C359="",I359&lt;&gt;"",NOT(ISNUMBER(H359))),"",IF(H359&lt;TODAY(),"Past its date",IF(H359-TODAY()&lt;=Settings!$C$6,"Use soon","")))</f>
        <v/>
      </c>
      <c r="L359" s="1">
        <f>IF(K359="","",H359*1000+ROW())</f>
        <v/>
      </c>
    </row>
    <row r="360">
      <c r="A360" s="1" t="n"/>
      <c r="B360" s="20" t="n"/>
      <c r="C360" s="21" t="n"/>
      <c r="D360" s="22" t="n"/>
      <c r="E360" s="37" t="n"/>
      <c r="F360" s="23" t="n"/>
      <c r="G360" s="36" t="n"/>
      <c r="H360" s="20" t="n"/>
      <c r="I360" s="36" t="n"/>
      <c r="J360" s="43">
        <f>IF(C360="","",N(D360)*IFERROR(N(INDEX(Ingredients!$D$6:$D$105,MATCH(C360,Ingredients!$B$6:$B$105,0))),0))</f>
        <v/>
      </c>
      <c r="K360" s="12">
        <f>IF(OR(C360="",I360&lt;&gt;"",NOT(ISNUMBER(H360))),"",IF(H360&lt;TODAY(),"Past its date",IF(H360-TODAY()&lt;=Settings!$C$6,"Use soon","")))</f>
        <v/>
      </c>
      <c r="L360" s="1">
        <f>IF(K360="","",H360*1000+ROW())</f>
        <v/>
      </c>
    </row>
    <row r="361">
      <c r="A361" s="1" t="n"/>
      <c r="B361" s="20" t="n"/>
      <c r="C361" s="21" t="n"/>
      <c r="D361" s="22" t="n"/>
      <c r="E361" s="37" t="n"/>
      <c r="F361" s="23" t="n"/>
      <c r="G361" s="36" t="n"/>
      <c r="H361" s="20" t="n"/>
      <c r="I361" s="36" t="n"/>
      <c r="J361" s="43">
        <f>IF(C361="","",N(D361)*IFERROR(N(INDEX(Ingredients!$D$6:$D$105,MATCH(C361,Ingredients!$B$6:$B$105,0))),0))</f>
        <v/>
      </c>
      <c r="K361" s="12">
        <f>IF(OR(C361="",I361&lt;&gt;"",NOT(ISNUMBER(H361))),"",IF(H361&lt;TODAY(),"Past its date",IF(H361-TODAY()&lt;=Settings!$C$6,"Use soon","")))</f>
        <v/>
      </c>
      <c r="L361" s="1">
        <f>IF(K361="","",H361*1000+ROW())</f>
        <v/>
      </c>
    </row>
    <row r="362">
      <c r="A362" s="1" t="n"/>
      <c r="B362" s="20" t="n"/>
      <c r="C362" s="21" t="n"/>
      <c r="D362" s="22" t="n"/>
      <c r="E362" s="37" t="n"/>
      <c r="F362" s="23" t="n"/>
      <c r="G362" s="36" t="n"/>
      <c r="H362" s="20" t="n"/>
      <c r="I362" s="36" t="n"/>
      <c r="J362" s="43">
        <f>IF(C362="","",N(D362)*IFERROR(N(INDEX(Ingredients!$D$6:$D$105,MATCH(C362,Ingredients!$B$6:$B$105,0))),0))</f>
        <v/>
      </c>
      <c r="K362" s="12">
        <f>IF(OR(C362="",I362&lt;&gt;"",NOT(ISNUMBER(H362))),"",IF(H362&lt;TODAY(),"Past its date",IF(H362-TODAY()&lt;=Settings!$C$6,"Use soon","")))</f>
        <v/>
      </c>
      <c r="L362" s="1">
        <f>IF(K362="","",H362*1000+ROW())</f>
        <v/>
      </c>
    </row>
    <row r="363">
      <c r="A363" s="1" t="n"/>
      <c r="B363" s="20" t="n"/>
      <c r="C363" s="21" t="n"/>
      <c r="D363" s="22" t="n"/>
      <c r="E363" s="37" t="n"/>
      <c r="F363" s="23" t="n"/>
      <c r="G363" s="36" t="n"/>
      <c r="H363" s="20" t="n"/>
      <c r="I363" s="36" t="n"/>
      <c r="J363" s="43">
        <f>IF(C363="","",N(D363)*IFERROR(N(INDEX(Ingredients!$D$6:$D$105,MATCH(C363,Ingredients!$B$6:$B$105,0))),0))</f>
        <v/>
      </c>
      <c r="K363" s="12">
        <f>IF(OR(C363="",I363&lt;&gt;"",NOT(ISNUMBER(H363))),"",IF(H363&lt;TODAY(),"Past its date",IF(H363-TODAY()&lt;=Settings!$C$6,"Use soon","")))</f>
        <v/>
      </c>
      <c r="L363" s="1">
        <f>IF(K363="","",H363*1000+ROW())</f>
        <v/>
      </c>
    </row>
    <row r="364">
      <c r="A364" s="1" t="n"/>
      <c r="B364" s="20" t="n"/>
      <c r="C364" s="21" t="n"/>
      <c r="D364" s="22" t="n"/>
      <c r="E364" s="37" t="n"/>
      <c r="F364" s="23" t="n"/>
      <c r="G364" s="36" t="n"/>
      <c r="H364" s="20" t="n"/>
      <c r="I364" s="36" t="n"/>
      <c r="J364" s="43">
        <f>IF(C364="","",N(D364)*IFERROR(N(INDEX(Ingredients!$D$6:$D$105,MATCH(C364,Ingredients!$B$6:$B$105,0))),0))</f>
        <v/>
      </c>
      <c r="K364" s="12">
        <f>IF(OR(C364="",I364&lt;&gt;"",NOT(ISNUMBER(H364))),"",IF(H364&lt;TODAY(),"Past its date",IF(H364-TODAY()&lt;=Settings!$C$6,"Use soon","")))</f>
        <v/>
      </c>
      <c r="L364" s="1">
        <f>IF(K364="","",H364*1000+ROW())</f>
        <v/>
      </c>
    </row>
    <row r="365">
      <c r="A365" s="1" t="n"/>
      <c r="B365" s="20" t="n"/>
      <c r="C365" s="21" t="n"/>
      <c r="D365" s="22" t="n"/>
      <c r="E365" s="37" t="n"/>
      <c r="F365" s="23" t="n"/>
      <c r="G365" s="36" t="n"/>
      <c r="H365" s="20" t="n"/>
      <c r="I365" s="36" t="n"/>
      <c r="J365" s="43">
        <f>IF(C365="","",N(D365)*IFERROR(N(INDEX(Ingredients!$D$6:$D$105,MATCH(C365,Ingredients!$B$6:$B$105,0))),0))</f>
        <v/>
      </c>
      <c r="K365" s="12">
        <f>IF(OR(C365="",I365&lt;&gt;"",NOT(ISNUMBER(H365))),"",IF(H365&lt;TODAY(),"Past its date",IF(H365-TODAY()&lt;=Settings!$C$6,"Use soon","")))</f>
        <v/>
      </c>
      <c r="L365" s="1">
        <f>IF(K365="","",H365*1000+ROW())</f>
        <v/>
      </c>
    </row>
    <row r="366">
      <c r="A366" s="1" t="n"/>
      <c r="B366" s="20" t="n"/>
      <c r="C366" s="21" t="n"/>
      <c r="D366" s="22" t="n"/>
      <c r="E366" s="37" t="n"/>
      <c r="F366" s="23" t="n"/>
      <c r="G366" s="36" t="n"/>
      <c r="H366" s="20" t="n"/>
      <c r="I366" s="36" t="n"/>
      <c r="J366" s="43">
        <f>IF(C366="","",N(D366)*IFERROR(N(INDEX(Ingredients!$D$6:$D$105,MATCH(C366,Ingredients!$B$6:$B$105,0))),0))</f>
        <v/>
      </c>
      <c r="K366" s="12">
        <f>IF(OR(C366="",I366&lt;&gt;"",NOT(ISNUMBER(H366))),"",IF(H366&lt;TODAY(),"Past its date",IF(H366-TODAY()&lt;=Settings!$C$6,"Use soon","")))</f>
        <v/>
      </c>
      <c r="L366" s="1">
        <f>IF(K366="","",H366*1000+ROW())</f>
        <v/>
      </c>
    </row>
    <row r="367">
      <c r="A367" s="1" t="n"/>
      <c r="B367" s="20" t="n"/>
      <c r="C367" s="21" t="n"/>
      <c r="D367" s="22" t="n"/>
      <c r="E367" s="37" t="n"/>
      <c r="F367" s="23" t="n"/>
      <c r="G367" s="36" t="n"/>
      <c r="H367" s="20" t="n"/>
      <c r="I367" s="36" t="n"/>
      <c r="J367" s="43">
        <f>IF(C367="","",N(D367)*IFERROR(N(INDEX(Ingredients!$D$6:$D$105,MATCH(C367,Ingredients!$B$6:$B$105,0))),0))</f>
        <v/>
      </c>
      <c r="K367" s="12">
        <f>IF(OR(C367="",I367&lt;&gt;"",NOT(ISNUMBER(H367))),"",IF(H367&lt;TODAY(),"Past its date",IF(H367-TODAY()&lt;=Settings!$C$6,"Use soon","")))</f>
        <v/>
      </c>
      <c r="L367" s="1">
        <f>IF(K367="","",H367*1000+ROW())</f>
        <v/>
      </c>
    </row>
    <row r="368">
      <c r="A368" s="1" t="n"/>
      <c r="B368" s="20" t="n"/>
      <c r="C368" s="21" t="n"/>
      <c r="D368" s="22" t="n"/>
      <c r="E368" s="37" t="n"/>
      <c r="F368" s="23" t="n"/>
      <c r="G368" s="36" t="n"/>
      <c r="H368" s="20" t="n"/>
      <c r="I368" s="36" t="n"/>
      <c r="J368" s="43">
        <f>IF(C368="","",N(D368)*IFERROR(N(INDEX(Ingredients!$D$6:$D$105,MATCH(C368,Ingredients!$B$6:$B$105,0))),0))</f>
        <v/>
      </c>
      <c r="K368" s="12">
        <f>IF(OR(C368="",I368&lt;&gt;"",NOT(ISNUMBER(H368))),"",IF(H368&lt;TODAY(),"Past its date",IF(H368-TODAY()&lt;=Settings!$C$6,"Use soon","")))</f>
        <v/>
      </c>
      <c r="L368" s="1">
        <f>IF(K368="","",H368*1000+ROW())</f>
        <v/>
      </c>
    </row>
    <row r="369">
      <c r="A369" s="1" t="n"/>
      <c r="B369" s="20" t="n"/>
      <c r="C369" s="21" t="n"/>
      <c r="D369" s="22" t="n"/>
      <c r="E369" s="37" t="n"/>
      <c r="F369" s="23" t="n"/>
      <c r="G369" s="36" t="n"/>
      <c r="H369" s="20" t="n"/>
      <c r="I369" s="36" t="n"/>
      <c r="J369" s="43">
        <f>IF(C369="","",N(D369)*IFERROR(N(INDEX(Ingredients!$D$6:$D$105,MATCH(C369,Ingredients!$B$6:$B$105,0))),0))</f>
        <v/>
      </c>
      <c r="K369" s="12">
        <f>IF(OR(C369="",I369&lt;&gt;"",NOT(ISNUMBER(H369))),"",IF(H369&lt;TODAY(),"Past its date",IF(H369-TODAY()&lt;=Settings!$C$6,"Use soon","")))</f>
        <v/>
      </c>
      <c r="L369" s="1">
        <f>IF(K369="","",H369*1000+ROW())</f>
        <v/>
      </c>
    </row>
    <row r="370">
      <c r="A370" s="1" t="n"/>
      <c r="B370" s="20" t="n"/>
      <c r="C370" s="21" t="n"/>
      <c r="D370" s="22" t="n"/>
      <c r="E370" s="37" t="n"/>
      <c r="F370" s="23" t="n"/>
      <c r="G370" s="36" t="n"/>
      <c r="H370" s="20" t="n"/>
      <c r="I370" s="36" t="n"/>
      <c r="J370" s="43">
        <f>IF(C370="","",N(D370)*IFERROR(N(INDEX(Ingredients!$D$6:$D$105,MATCH(C370,Ingredients!$B$6:$B$105,0))),0))</f>
        <v/>
      </c>
      <c r="K370" s="12">
        <f>IF(OR(C370="",I370&lt;&gt;"",NOT(ISNUMBER(H370))),"",IF(H370&lt;TODAY(),"Past its date",IF(H370-TODAY()&lt;=Settings!$C$6,"Use soon","")))</f>
        <v/>
      </c>
      <c r="L370" s="1">
        <f>IF(K370="","",H370*1000+ROW())</f>
        <v/>
      </c>
    </row>
    <row r="371">
      <c r="A371" s="1" t="n"/>
      <c r="B371" s="20" t="n"/>
      <c r="C371" s="21" t="n"/>
      <c r="D371" s="22" t="n"/>
      <c r="E371" s="37" t="n"/>
      <c r="F371" s="23" t="n"/>
      <c r="G371" s="36" t="n"/>
      <c r="H371" s="20" t="n"/>
      <c r="I371" s="36" t="n"/>
      <c r="J371" s="43">
        <f>IF(C371="","",N(D371)*IFERROR(N(INDEX(Ingredients!$D$6:$D$105,MATCH(C371,Ingredients!$B$6:$B$105,0))),0))</f>
        <v/>
      </c>
      <c r="K371" s="12">
        <f>IF(OR(C371="",I371&lt;&gt;"",NOT(ISNUMBER(H371))),"",IF(H371&lt;TODAY(),"Past its date",IF(H371-TODAY()&lt;=Settings!$C$6,"Use soon","")))</f>
        <v/>
      </c>
      <c r="L371" s="1">
        <f>IF(K371="","",H371*1000+ROW())</f>
        <v/>
      </c>
    </row>
    <row r="372">
      <c r="A372" s="1" t="n"/>
      <c r="B372" s="20" t="n"/>
      <c r="C372" s="21" t="n"/>
      <c r="D372" s="22" t="n"/>
      <c r="E372" s="37" t="n"/>
      <c r="F372" s="23" t="n"/>
      <c r="G372" s="36" t="n"/>
      <c r="H372" s="20" t="n"/>
      <c r="I372" s="36" t="n"/>
      <c r="J372" s="43">
        <f>IF(C372="","",N(D372)*IFERROR(N(INDEX(Ingredients!$D$6:$D$105,MATCH(C372,Ingredients!$B$6:$B$105,0))),0))</f>
        <v/>
      </c>
      <c r="K372" s="12">
        <f>IF(OR(C372="",I372&lt;&gt;"",NOT(ISNUMBER(H372))),"",IF(H372&lt;TODAY(),"Past its date",IF(H372-TODAY()&lt;=Settings!$C$6,"Use soon","")))</f>
        <v/>
      </c>
      <c r="L372" s="1">
        <f>IF(K372="","",H372*1000+ROW())</f>
        <v/>
      </c>
    </row>
    <row r="373">
      <c r="A373" s="1" t="n"/>
      <c r="B373" s="20" t="n"/>
      <c r="C373" s="21" t="n"/>
      <c r="D373" s="22" t="n"/>
      <c r="E373" s="37" t="n"/>
      <c r="F373" s="23" t="n"/>
      <c r="G373" s="36" t="n"/>
      <c r="H373" s="20" t="n"/>
      <c r="I373" s="36" t="n"/>
      <c r="J373" s="43">
        <f>IF(C373="","",N(D373)*IFERROR(N(INDEX(Ingredients!$D$6:$D$105,MATCH(C373,Ingredients!$B$6:$B$105,0))),0))</f>
        <v/>
      </c>
      <c r="K373" s="12">
        <f>IF(OR(C373="",I373&lt;&gt;"",NOT(ISNUMBER(H373))),"",IF(H373&lt;TODAY(),"Past its date",IF(H373-TODAY()&lt;=Settings!$C$6,"Use soon","")))</f>
        <v/>
      </c>
      <c r="L373" s="1">
        <f>IF(K373="","",H373*1000+ROW())</f>
        <v/>
      </c>
    </row>
    <row r="374">
      <c r="A374" s="1" t="n"/>
      <c r="B374" s="20" t="n"/>
      <c r="C374" s="21" t="n"/>
      <c r="D374" s="22" t="n"/>
      <c r="E374" s="37" t="n"/>
      <c r="F374" s="23" t="n"/>
      <c r="G374" s="36" t="n"/>
      <c r="H374" s="20" t="n"/>
      <c r="I374" s="36" t="n"/>
      <c r="J374" s="43">
        <f>IF(C374="","",N(D374)*IFERROR(N(INDEX(Ingredients!$D$6:$D$105,MATCH(C374,Ingredients!$B$6:$B$105,0))),0))</f>
        <v/>
      </c>
      <c r="K374" s="12">
        <f>IF(OR(C374="",I374&lt;&gt;"",NOT(ISNUMBER(H374))),"",IF(H374&lt;TODAY(),"Past its date",IF(H374-TODAY()&lt;=Settings!$C$6,"Use soon","")))</f>
        <v/>
      </c>
      <c r="L374" s="1">
        <f>IF(K374="","",H374*1000+ROW())</f>
        <v/>
      </c>
    </row>
    <row r="375">
      <c r="A375" s="1" t="n"/>
      <c r="B375" s="20" t="n"/>
      <c r="C375" s="21" t="n"/>
      <c r="D375" s="22" t="n"/>
      <c r="E375" s="37" t="n"/>
      <c r="F375" s="23" t="n"/>
      <c r="G375" s="36" t="n"/>
      <c r="H375" s="20" t="n"/>
      <c r="I375" s="36" t="n"/>
      <c r="J375" s="43">
        <f>IF(C375="","",N(D375)*IFERROR(N(INDEX(Ingredients!$D$6:$D$105,MATCH(C375,Ingredients!$B$6:$B$105,0))),0))</f>
        <v/>
      </c>
      <c r="K375" s="12">
        <f>IF(OR(C375="",I375&lt;&gt;"",NOT(ISNUMBER(H375))),"",IF(H375&lt;TODAY(),"Past its date",IF(H375-TODAY()&lt;=Settings!$C$6,"Use soon","")))</f>
        <v/>
      </c>
      <c r="L375" s="1">
        <f>IF(K375="","",H375*1000+ROW())</f>
        <v/>
      </c>
    </row>
    <row r="376">
      <c r="A376" s="1" t="n"/>
      <c r="B376" s="20" t="n"/>
      <c r="C376" s="21" t="n"/>
      <c r="D376" s="22" t="n"/>
      <c r="E376" s="37" t="n"/>
      <c r="F376" s="23" t="n"/>
      <c r="G376" s="36" t="n"/>
      <c r="H376" s="20" t="n"/>
      <c r="I376" s="36" t="n"/>
      <c r="J376" s="43">
        <f>IF(C376="","",N(D376)*IFERROR(N(INDEX(Ingredients!$D$6:$D$105,MATCH(C376,Ingredients!$B$6:$B$105,0))),0))</f>
        <v/>
      </c>
      <c r="K376" s="12">
        <f>IF(OR(C376="",I376&lt;&gt;"",NOT(ISNUMBER(H376))),"",IF(H376&lt;TODAY(),"Past its date",IF(H376-TODAY()&lt;=Settings!$C$6,"Use soon","")))</f>
        <v/>
      </c>
      <c r="L376" s="1">
        <f>IF(K376="","",H376*1000+ROW())</f>
        <v/>
      </c>
    </row>
    <row r="377">
      <c r="A377" s="1" t="n"/>
      <c r="B377" s="20" t="n"/>
      <c r="C377" s="21" t="n"/>
      <c r="D377" s="22" t="n"/>
      <c r="E377" s="37" t="n"/>
      <c r="F377" s="23" t="n"/>
      <c r="G377" s="36" t="n"/>
      <c r="H377" s="20" t="n"/>
      <c r="I377" s="36" t="n"/>
      <c r="J377" s="43">
        <f>IF(C377="","",N(D377)*IFERROR(N(INDEX(Ingredients!$D$6:$D$105,MATCH(C377,Ingredients!$B$6:$B$105,0))),0))</f>
        <v/>
      </c>
      <c r="K377" s="12">
        <f>IF(OR(C377="",I377&lt;&gt;"",NOT(ISNUMBER(H377))),"",IF(H377&lt;TODAY(),"Past its date",IF(H377-TODAY()&lt;=Settings!$C$6,"Use soon","")))</f>
        <v/>
      </c>
      <c r="L377" s="1">
        <f>IF(K377="","",H377*1000+ROW())</f>
        <v/>
      </c>
    </row>
    <row r="378">
      <c r="A378" s="1" t="n"/>
      <c r="B378" s="20" t="n"/>
      <c r="C378" s="21" t="n"/>
      <c r="D378" s="22" t="n"/>
      <c r="E378" s="37" t="n"/>
      <c r="F378" s="23" t="n"/>
      <c r="G378" s="36" t="n"/>
      <c r="H378" s="20" t="n"/>
      <c r="I378" s="36" t="n"/>
      <c r="J378" s="43">
        <f>IF(C378="","",N(D378)*IFERROR(N(INDEX(Ingredients!$D$6:$D$105,MATCH(C378,Ingredients!$B$6:$B$105,0))),0))</f>
        <v/>
      </c>
      <c r="K378" s="12">
        <f>IF(OR(C378="",I378&lt;&gt;"",NOT(ISNUMBER(H378))),"",IF(H378&lt;TODAY(),"Past its date",IF(H378-TODAY()&lt;=Settings!$C$6,"Use soon","")))</f>
        <v/>
      </c>
      <c r="L378" s="1">
        <f>IF(K378="","",H378*1000+ROW())</f>
        <v/>
      </c>
    </row>
    <row r="379">
      <c r="A379" s="1" t="n"/>
      <c r="B379" s="20" t="n"/>
      <c r="C379" s="21" t="n"/>
      <c r="D379" s="22" t="n"/>
      <c r="E379" s="37" t="n"/>
      <c r="F379" s="23" t="n"/>
      <c r="G379" s="36" t="n"/>
      <c r="H379" s="20" t="n"/>
      <c r="I379" s="36" t="n"/>
      <c r="J379" s="43">
        <f>IF(C379="","",N(D379)*IFERROR(N(INDEX(Ingredients!$D$6:$D$105,MATCH(C379,Ingredients!$B$6:$B$105,0))),0))</f>
        <v/>
      </c>
      <c r="K379" s="12">
        <f>IF(OR(C379="",I379&lt;&gt;"",NOT(ISNUMBER(H379))),"",IF(H379&lt;TODAY(),"Past its date",IF(H379-TODAY()&lt;=Settings!$C$6,"Use soon","")))</f>
        <v/>
      </c>
      <c r="L379" s="1">
        <f>IF(K379="","",H379*1000+ROW())</f>
        <v/>
      </c>
    </row>
    <row r="380">
      <c r="A380" s="1" t="n"/>
      <c r="B380" s="20" t="n"/>
      <c r="C380" s="21" t="n"/>
      <c r="D380" s="22" t="n"/>
      <c r="E380" s="37" t="n"/>
      <c r="F380" s="23" t="n"/>
      <c r="G380" s="36" t="n"/>
      <c r="H380" s="20" t="n"/>
      <c r="I380" s="36" t="n"/>
      <c r="J380" s="43">
        <f>IF(C380="","",N(D380)*IFERROR(N(INDEX(Ingredients!$D$6:$D$105,MATCH(C380,Ingredients!$B$6:$B$105,0))),0))</f>
        <v/>
      </c>
      <c r="K380" s="12">
        <f>IF(OR(C380="",I380&lt;&gt;"",NOT(ISNUMBER(H380))),"",IF(H380&lt;TODAY(),"Past its date",IF(H380-TODAY()&lt;=Settings!$C$6,"Use soon","")))</f>
        <v/>
      </c>
      <c r="L380" s="1">
        <f>IF(K380="","",H380*1000+ROW())</f>
        <v/>
      </c>
    </row>
    <row r="381">
      <c r="A381" s="1" t="n"/>
      <c r="B381" s="20" t="n"/>
      <c r="C381" s="21" t="n"/>
      <c r="D381" s="22" t="n"/>
      <c r="E381" s="37" t="n"/>
      <c r="F381" s="23" t="n"/>
      <c r="G381" s="36" t="n"/>
      <c r="H381" s="20" t="n"/>
      <c r="I381" s="36" t="n"/>
      <c r="J381" s="43">
        <f>IF(C381="","",N(D381)*IFERROR(N(INDEX(Ingredients!$D$6:$D$105,MATCH(C381,Ingredients!$B$6:$B$105,0))),0))</f>
        <v/>
      </c>
      <c r="K381" s="12">
        <f>IF(OR(C381="",I381&lt;&gt;"",NOT(ISNUMBER(H381))),"",IF(H381&lt;TODAY(),"Past its date",IF(H381-TODAY()&lt;=Settings!$C$6,"Use soon","")))</f>
        <v/>
      </c>
      <c r="L381" s="1">
        <f>IF(K381="","",H381*1000+ROW())</f>
        <v/>
      </c>
    </row>
    <row r="382">
      <c r="A382" s="1" t="n"/>
      <c r="B382" s="20" t="n"/>
      <c r="C382" s="21" t="n"/>
      <c r="D382" s="22" t="n"/>
      <c r="E382" s="37" t="n"/>
      <c r="F382" s="23" t="n"/>
      <c r="G382" s="36" t="n"/>
      <c r="H382" s="20" t="n"/>
      <c r="I382" s="36" t="n"/>
      <c r="J382" s="43">
        <f>IF(C382="","",N(D382)*IFERROR(N(INDEX(Ingredients!$D$6:$D$105,MATCH(C382,Ingredients!$B$6:$B$105,0))),0))</f>
        <v/>
      </c>
      <c r="K382" s="12">
        <f>IF(OR(C382="",I382&lt;&gt;"",NOT(ISNUMBER(H382))),"",IF(H382&lt;TODAY(),"Past its date",IF(H382-TODAY()&lt;=Settings!$C$6,"Use soon","")))</f>
        <v/>
      </c>
      <c r="L382" s="1">
        <f>IF(K382="","",H382*1000+ROW())</f>
        <v/>
      </c>
    </row>
    <row r="383">
      <c r="A383" s="1" t="n"/>
      <c r="B383" s="20" t="n"/>
      <c r="C383" s="21" t="n"/>
      <c r="D383" s="22" t="n"/>
      <c r="E383" s="37" t="n"/>
      <c r="F383" s="23" t="n"/>
      <c r="G383" s="36" t="n"/>
      <c r="H383" s="20" t="n"/>
      <c r="I383" s="36" t="n"/>
      <c r="J383" s="43">
        <f>IF(C383="","",N(D383)*IFERROR(N(INDEX(Ingredients!$D$6:$D$105,MATCH(C383,Ingredients!$B$6:$B$105,0))),0))</f>
        <v/>
      </c>
      <c r="K383" s="12">
        <f>IF(OR(C383="",I383&lt;&gt;"",NOT(ISNUMBER(H383))),"",IF(H383&lt;TODAY(),"Past its date",IF(H383-TODAY()&lt;=Settings!$C$6,"Use soon","")))</f>
        <v/>
      </c>
      <c r="L383" s="1">
        <f>IF(K383="","",H383*1000+ROW())</f>
        <v/>
      </c>
    </row>
    <row r="384">
      <c r="A384" s="1" t="n"/>
      <c r="B384" s="20" t="n"/>
      <c r="C384" s="21" t="n"/>
      <c r="D384" s="22" t="n"/>
      <c r="E384" s="37" t="n"/>
      <c r="F384" s="23" t="n"/>
      <c r="G384" s="36" t="n"/>
      <c r="H384" s="20" t="n"/>
      <c r="I384" s="36" t="n"/>
      <c r="J384" s="43">
        <f>IF(C384="","",N(D384)*IFERROR(N(INDEX(Ingredients!$D$6:$D$105,MATCH(C384,Ingredients!$B$6:$B$105,0))),0))</f>
        <v/>
      </c>
      <c r="K384" s="12">
        <f>IF(OR(C384="",I384&lt;&gt;"",NOT(ISNUMBER(H384))),"",IF(H384&lt;TODAY(),"Past its date",IF(H384-TODAY()&lt;=Settings!$C$6,"Use soon","")))</f>
        <v/>
      </c>
      <c r="L384" s="1">
        <f>IF(K384="","",H384*1000+ROW())</f>
        <v/>
      </c>
    </row>
    <row r="385">
      <c r="A385" s="1" t="n"/>
      <c r="B385" s="20" t="n"/>
      <c r="C385" s="21" t="n"/>
      <c r="D385" s="22" t="n"/>
      <c r="E385" s="37" t="n"/>
      <c r="F385" s="23" t="n"/>
      <c r="G385" s="36" t="n"/>
      <c r="H385" s="20" t="n"/>
      <c r="I385" s="36" t="n"/>
      <c r="J385" s="43">
        <f>IF(C385="","",N(D385)*IFERROR(N(INDEX(Ingredients!$D$6:$D$105,MATCH(C385,Ingredients!$B$6:$B$105,0))),0))</f>
        <v/>
      </c>
      <c r="K385" s="12">
        <f>IF(OR(C385="",I385&lt;&gt;"",NOT(ISNUMBER(H385))),"",IF(H385&lt;TODAY(),"Past its date",IF(H385-TODAY()&lt;=Settings!$C$6,"Use soon","")))</f>
        <v/>
      </c>
      <c r="L385" s="1">
        <f>IF(K385="","",H385*1000+ROW())</f>
        <v/>
      </c>
    </row>
    <row r="386">
      <c r="A386" s="1" t="n"/>
      <c r="B386" s="20" t="n"/>
      <c r="C386" s="21" t="n"/>
      <c r="D386" s="22" t="n"/>
      <c r="E386" s="37" t="n"/>
      <c r="F386" s="23" t="n"/>
      <c r="G386" s="36" t="n"/>
      <c r="H386" s="20" t="n"/>
      <c r="I386" s="36" t="n"/>
      <c r="J386" s="43">
        <f>IF(C386="","",N(D386)*IFERROR(N(INDEX(Ingredients!$D$6:$D$105,MATCH(C386,Ingredients!$B$6:$B$105,0))),0))</f>
        <v/>
      </c>
      <c r="K386" s="12">
        <f>IF(OR(C386="",I386&lt;&gt;"",NOT(ISNUMBER(H386))),"",IF(H386&lt;TODAY(),"Past its date",IF(H386-TODAY()&lt;=Settings!$C$6,"Use soon","")))</f>
        <v/>
      </c>
      <c r="L386" s="1">
        <f>IF(K386="","",H386*1000+ROW())</f>
        <v/>
      </c>
    </row>
    <row r="387">
      <c r="A387" s="1" t="n"/>
      <c r="B387" s="20" t="n"/>
      <c r="C387" s="21" t="n"/>
      <c r="D387" s="22" t="n"/>
      <c r="E387" s="37" t="n"/>
      <c r="F387" s="23" t="n"/>
      <c r="G387" s="36" t="n"/>
      <c r="H387" s="20" t="n"/>
      <c r="I387" s="36" t="n"/>
      <c r="J387" s="43">
        <f>IF(C387="","",N(D387)*IFERROR(N(INDEX(Ingredients!$D$6:$D$105,MATCH(C387,Ingredients!$B$6:$B$105,0))),0))</f>
        <v/>
      </c>
      <c r="K387" s="12">
        <f>IF(OR(C387="",I387&lt;&gt;"",NOT(ISNUMBER(H387))),"",IF(H387&lt;TODAY(),"Past its date",IF(H387-TODAY()&lt;=Settings!$C$6,"Use soon","")))</f>
        <v/>
      </c>
      <c r="L387" s="1">
        <f>IF(K387="","",H387*1000+ROW())</f>
        <v/>
      </c>
    </row>
    <row r="388">
      <c r="A388" s="1" t="n"/>
      <c r="B388" s="20" t="n"/>
      <c r="C388" s="21" t="n"/>
      <c r="D388" s="22" t="n"/>
      <c r="E388" s="37" t="n"/>
      <c r="F388" s="23" t="n"/>
      <c r="G388" s="36" t="n"/>
      <c r="H388" s="20" t="n"/>
      <c r="I388" s="36" t="n"/>
      <c r="J388" s="43">
        <f>IF(C388="","",N(D388)*IFERROR(N(INDEX(Ingredients!$D$6:$D$105,MATCH(C388,Ingredients!$B$6:$B$105,0))),0))</f>
        <v/>
      </c>
      <c r="K388" s="12">
        <f>IF(OR(C388="",I388&lt;&gt;"",NOT(ISNUMBER(H388))),"",IF(H388&lt;TODAY(),"Past its date",IF(H388-TODAY()&lt;=Settings!$C$6,"Use soon","")))</f>
        <v/>
      </c>
      <c r="L388" s="1">
        <f>IF(K388="","",H388*1000+ROW())</f>
        <v/>
      </c>
    </row>
    <row r="389">
      <c r="A389" s="1" t="n"/>
      <c r="B389" s="20" t="n"/>
      <c r="C389" s="21" t="n"/>
      <c r="D389" s="22" t="n"/>
      <c r="E389" s="37" t="n"/>
      <c r="F389" s="23" t="n"/>
      <c r="G389" s="36" t="n"/>
      <c r="H389" s="20" t="n"/>
      <c r="I389" s="36" t="n"/>
      <c r="J389" s="43">
        <f>IF(C389="","",N(D389)*IFERROR(N(INDEX(Ingredients!$D$6:$D$105,MATCH(C389,Ingredients!$B$6:$B$105,0))),0))</f>
        <v/>
      </c>
      <c r="K389" s="12">
        <f>IF(OR(C389="",I389&lt;&gt;"",NOT(ISNUMBER(H389))),"",IF(H389&lt;TODAY(),"Past its date",IF(H389-TODAY()&lt;=Settings!$C$6,"Use soon","")))</f>
        <v/>
      </c>
      <c r="L389" s="1">
        <f>IF(K389="","",H389*1000+ROW())</f>
        <v/>
      </c>
    </row>
    <row r="390">
      <c r="A390" s="1" t="n"/>
      <c r="B390" s="20" t="n"/>
      <c r="C390" s="21" t="n"/>
      <c r="D390" s="22" t="n"/>
      <c r="E390" s="37" t="n"/>
      <c r="F390" s="23" t="n"/>
      <c r="G390" s="36" t="n"/>
      <c r="H390" s="20" t="n"/>
      <c r="I390" s="36" t="n"/>
      <c r="J390" s="43">
        <f>IF(C390="","",N(D390)*IFERROR(N(INDEX(Ingredients!$D$6:$D$105,MATCH(C390,Ingredients!$B$6:$B$105,0))),0))</f>
        <v/>
      </c>
      <c r="K390" s="12">
        <f>IF(OR(C390="",I390&lt;&gt;"",NOT(ISNUMBER(H390))),"",IF(H390&lt;TODAY(),"Past its date",IF(H390-TODAY()&lt;=Settings!$C$6,"Use soon","")))</f>
        <v/>
      </c>
      <c r="L390" s="1">
        <f>IF(K390="","",H390*1000+ROW())</f>
        <v/>
      </c>
    </row>
    <row r="391">
      <c r="A391" s="1" t="n"/>
      <c r="B391" s="20" t="n"/>
      <c r="C391" s="21" t="n"/>
      <c r="D391" s="22" t="n"/>
      <c r="E391" s="37" t="n"/>
      <c r="F391" s="23" t="n"/>
      <c r="G391" s="36" t="n"/>
      <c r="H391" s="20" t="n"/>
      <c r="I391" s="36" t="n"/>
      <c r="J391" s="43">
        <f>IF(C391="","",N(D391)*IFERROR(N(INDEX(Ingredients!$D$6:$D$105,MATCH(C391,Ingredients!$B$6:$B$105,0))),0))</f>
        <v/>
      </c>
      <c r="K391" s="12">
        <f>IF(OR(C391="",I391&lt;&gt;"",NOT(ISNUMBER(H391))),"",IF(H391&lt;TODAY(),"Past its date",IF(H391-TODAY()&lt;=Settings!$C$6,"Use soon","")))</f>
        <v/>
      </c>
      <c r="L391" s="1">
        <f>IF(K391="","",H391*1000+ROW())</f>
        <v/>
      </c>
    </row>
    <row r="392">
      <c r="A392" s="1" t="n"/>
      <c r="B392" s="20" t="n"/>
      <c r="C392" s="21" t="n"/>
      <c r="D392" s="22" t="n"/>
      <c r="E392" s="37" t="n"/>
      <c r="F392" s="23" t="n"/>
      <c r="G392" s="36" t="n"/>
      <c r="H392" s="20" t="n"/>
      <c r="I392" s="36" t="n"/>
      <c r="J392" s="43">
        <f>IF(C392="","",N(D392)*IFERROR(N(INDEX(Ingredients!$D$6:$D$105,MATCH(C392,Ingredients!$B$6:$B$105,0))),0))</f>
        <v/>
      </c>
      <c r="K392" s="12">
        <f>IF(OR(C392="",I392&lt;&gt;"",NOT(ISNUMBER(H392))),"",IF(H392&lt;TODAY(),"Past its date",IF(H392-TODAY()&lt;=Settings!$C$6,"Use soon","")))</f>
        <v/>
      </c>
      <c r="L392" s="1">
        <f>IF(K392="","",H392*1000+ROW())</f>
        <v/>
      </c>
    </row>
    <row r="393">
      <c r="A393" s="1" t="n"/>
      <c r="B393" s="20" t="n"/>
      <c r="C393" s="21" t="n"/>
      <c r="D393" s="22" t="n"/>
      <c r="E393" s="37" t="n"/>
      <c r="F393" s="23" t="n"/>
      <c r="G393" s="36" t="n"/>
      <c r="H393" s="20" t="n"/>
      <c r="I393" s="36" t="n"/>
      <c r="J393" s="43">
        <f>IF(C393="","",N(D393)*IFERROR(N(INDEX(Ingredients!$D$6:$D$105,MATCH(C393,Ingredients!$B$6:$B$105,0))),0))</f>
        <v/>
      </c>
      <c r="K393" s="12">
        <f>IF(OR(C393="",I393&lt;&gt;"",NOT(ISNUMBER(H393))),"",IF(H393&lt;TODAY(),"Past its date",IF(H393-TODAY()&lt;=Settings!$C$6,"Use soon","")))</f>
        <v/>
      </c>
      <c r="L393" s="1">
        <f>IF(K393="","",H393*1000+ROW())</f>
        <v/>
      </c>
    </row>
    <row r="394">
      <c r="A394" s="1" t="n"/>
      <c r="B394" s="20" t="n"/>
      <c r="C394" s="21" t="n"/>
      <c r="D394" s="22" t="n"/>
      <c r="E394" s="37" t="n"/>
      <c r="F394" s="23" t="n"/>
      <c r="G394" s="36" t="n"/>
      <c r="H394" s="20" t="n"/>
      <c r="I394" s="36" t="n"/>
      <c r="J394" s="43">
        <f>IF(C394="","",N(D394)*IFERROR(N(INDEX(Ingredients!$D$6:$D$105,MATCH(C394,Ingredients!$B$6:$B$105,0))),0))</f>
        <v/>
      </c>
      <c r="K394" s="12">
        <f>IF(OR(C394="",I394&lt;&gt;"",NOT(ISNUMBER(H394))),"",IF(H394&lt;TODAY(),"Past its date",IF(H394-TODAY()&lt;=Settings!$C$6,"Use soon","")))</f>
        <v/>
      </c>
      <c r="L394" s="1">
        <f>IF(K394="","",H394*1000+ROW())</f>
        <v/>
      </c>
    </row>
    <row r="395">
      <c r="A395" s="1" t="n"/>
      <c r="B395" s="20" t="n"/>
      <c r="C395" s="21" t="n"/>
      <c r="D395" s="22" t="n"/>
      <c r="E395" s="37" t="n"/>
      <c r="F395" s="23" t="n"/>
      <c r="G395" s="36" t="n"/>
      <c r="H395" s="20" t="n"/>
      <c r="I395" s="36" t="n"/>
      <c r="J395" s="43">
        <f>IF(C395="","",N(D395)*IFERROR(N(INDEX(Ingredients!$D$6:$D$105,MATCH(C395,Ingredients!$B$6:$B$105,0))),0))</f>
        <v/>
      </c>
      <c r="K395" s="12">
        <f>IF(OR(C395="",I395&lt;&gt;"",NOT(ISNUMBER(H395))),"",IF(H395&lt;TODAY(),"Past its date",IF(H395-TODAY()&lt;=Settings!$C$6,"Use soon","")))</f>
        <v/>
      </c>
      <c r="L395" s="1">
        <f>IF(K395="","",H395*1000+ROW())</f>
        <v/>
      </c>
    </row>
    <row r="396">
      <c r="A396" s="1" t="n"/>
      <c r="B396" s="20" t="n"/>
      <c r="C396" s="21" t="n"/>
      <c r="D396" s="22" t="n"/>
      <c r="E396" s="37" t="n"/>
      <c r="F396" s="23" t="n"/>
      <c r="G396" s="36" t="n"/>
      <c r="H396" s="20" t="n"/>
      <c r="I396" s="36" t="n"/>
      <c r="J396" s="43">
        <f>IF(C396="","",N(D396)*IFERROR(N(INDEX(Ingredients!$D$6:$D$105,MATCH(C396,Ingredients!$B$6:$B$105,0))),0))</f>
        <v/>
      </c>
      <c r="K396" s="12">
        <f>IF(OR(C396="",I396&lt;&gt;"",NOT(ISNUMBER(H396))),"",IF(H396&lt;TODAY(),"Past its date",IF(H396-TODAY()&lt;=Settings!$C$6,"Use soon","")))</f>
        <v/>
      </c>
      <c r="L396" s="1">
        <f>IF(K396="","",H396*1000+ROW())</f>
        <v/>
      </c>
    </row>
    <row r="397">
      <c r="A397" s="1" t="n"/>
      <c r="B397" s="20" t="n"/>
      <c r="C397" s="21" t="n"/>
      <c r="D397" s="22" t="n"/>
      <c r="E397" s="37" t="n"/>
      <c r="F397" s="23" t="n"/>
      <c r="G397" s="36" t="n"/>
      <c r="H397" s="20" t="n"/>
      <c r="I397" s="36" t="n"/>
      <c r="J397" s="43">
        <f>IF(C397="","",N(D397)*IFERROR(N(INDEX(Ingredients!$D$6:$D$105,MATCH(C397,Ingredients!$B$6:$B$105,0))),0))</f>
        <v/>
      </c>
      <c r="K397" s="12">
        <f>IF(OR(C397="",I397&lt;&gt;"",NOT(ISNUMBER(H397))),"",IF(H397&lt;TODAY(),"Past its date",IF(H397-TODAY()&lt;=Settings!$C$6,"Use soon","")))</f>
        <v/>
      </c>
      <c r="L397" s="1">
        <f>IF(K397="","",H397*1000+ROW())</f>
        <v/>
      </c>
    </row>
    <row r="398">
      <c r="A398" s="1" t="n"/>
      <c r="B398" s="20" t="n"/>
      <c r="C398" s="21" t="n"/>
      <c r="D398" s="22" t="n"/>
      <c r="E398" s="37" t="n"/>
      <c r="F398" s="23" t="n"/>
      <c r="G398" s="36" t="n"/>
      <c r="H398" s="20" t="n"/>
      <c r="I398" s="36" t="n"/>
      <c r="J398" s="43">
        <f>IF(C398="","",N(D398)*IFERROR(N(INDEX(Ingredients!$D$6:$D$105,MATCH(C398,Ingredients!$B$6:$B$105,0))),0))</f>
        <v/>
      </c>
      <c r="K398" s="12">
        <f>IF(OR(C398="",I398&lt;&gt;"",NOT(ISNUMBER(H398))),"",IF(H398&lt;TODAY(),"Past its date",IF(H398-TODAY()&lt;=Settings!$C$6,"Use soon","")))</f>
        <v/>
      </c>
      <c r="L398" s="1">
        <f>IF(K398="","",H398*1000+ROW())</f>
        <v/>
      </c>
    </row>
    <row r="399">
      <c r="A399" s="1" t="n"/>
      <c r="B399" s="20" t="n"/>
      <c r="C399" s="21" t="n"/>
      <c r="D399" s="22" t="n"/>
      <c r="E399" s="37" t="n"/>
      <c r="F399" s="23" t="n"/>
      <c r="G399" s="36" t="n"/>
      <c r="H399" s="20" t="n"/>
      <c r="I399" s="36" t="n"/>
      <c r="J399" s="43">
        <f>IF(C399="","",N(D399)*IFERROR(N(INDEX(Ingredients!$D$6:$D$105,MATCH(C399,Ingredients!$B$6:$B$105,0))),0))</f>
        <v/>
      </c>
      <c r="K399" s="12">
        <f>IF(OR(C399="",I399&lt;&gt;"",NOT(ISNUMBER(H399))),"",IF(H399&lt;TODAY(),"Past its date",IF(H399-TODAY()&lt;=Settings!$C$6,"Use soon","")))</f>
        <v/>
      </c>
      <c r="L399" s="1">
        <f>IF(K399="","",H399*1000+ROW())</f>
        <v/>
      </c>
    </row>
    <row r="400">
      <c r="A400" s="1" t="n"/>
      <c r="B400" s="20" t="n"/>
      <c r="C400" s="21" t="n"/>
      <c r="D400" s="22" t="n"/>
      <c r="E400" s="37" t="n"/>
      <c r="F400" s="23" t="n"/>
      <c r="G400" s="36" t="n"/>
      <c r="H400" s="20" t="n"/>
      <c r="I400" s="36" t="n"/>
      <c r="J400" s="43">
        <f>IF(C400="","",N(D400)*IFERROR(N(INDEX(Ingredients!$D$6:$D$105,MATCH(C400,Ingredients!$B$6:$B$105,0))),0))</f>
        <v/>
      </c>
      <c r="K400" s="12">
        <f>IF(OR(C400="",I400&lt;&gt;"",NOT(ISNUMBER(H400))),"",IF(H400&lt;TODAY(),"Past its date",IF(H400-TODAY()&lt;=Settings!$C$6,"Use soon","")))</f>
        <v/>
      </c>
      <c r="L400" s="1">
        <f>IF(K400="","",H400*1000+ROW())</f>
        <v/>
      </c>
    </row>
    <row r="401">
      <c r="A401" s="1" t="n"/>
      <c r="B401" s="20" t="n"/>
      <c r="C401" s="21" t="n"/>
      <c r="D401" s="22" t="n"/>
      <c r="E401" s="37" t="n"/>
      <c r="F401" s="23" t="n"/>
      <c r="G401" s="36" t="n"/>
      <c r="H401" s="20" t="n"/>
      <c r="I401" s="36" t="n"/>
      <c r="J401" s="43">
        <f>IF(C401="","",N(D401)*IFERROR(N(INDEX(Ingredients!$D$6:$D$105,MATCH(C401,Ingredients!$B$6:$B$105,0))),0))</f>
        <v/>
      </c>
      <c r="K401" s="12">
        <f>IF(OR(C401="",I401&lt;&gt;"",NOT(ISNUMBER(H401))),"",IF(H401&lt;TODAY(),"Past its date",IF(H401-TODAY()&lt;=Settings!$C$6,"Use soon","")))</f>
        <v/>
      </c>
      <c r="L401" s="1">
        <f>IF(K401="","",H401*1000+ROW())</f>
        <v/>
      </c>
    </row>
    <row r="402">
      <c r="A402" s="1" t="n"/>
      <c r="B402" s="20" t="n"/>
      <c r="C402" s="21" t="n"/>
      <c r="D402" s="22" t="n"/>
      <c r="E402" s="37" t="n"/>
      <c r="F402" s="23" t="n"/>
      <c r="G402" s="36" t="n"/>
      <c r="H402" s="20" t="n"/>
      <c r="I402" s="36" t="n"/>
      <c r="J402" s="43">
        <f>IF(C402="","",N(D402)*IFERROR(N(INDEX(Ingredients!$D$6:$D$105,MATCH(C402,Ingredients!$B$6:$B$105,0))),0))</f>
        <v/>
      </c>
      <c r="K402" s="12">
        <f>IF(OR(C402="",I402&lt;&gt;"",NOT(ISNUMBER(H402))),"",IF(H402&lt;TODAY(),"Past its date",IF(H402-TODAY()&lt;=Settings!$C$6,"Use soon","")))</f>
        <v/>
      </c>
      <c r="L402" s="1">
        <f>IF(K402="","",H402*1000+ROW())</f>
        <v/>
      </c>
    </row>
    <row r="403">
      <c r="A403" s="1" t="n"/>
      <c r="B403" s="20" t="n"/>
      <c r="C403" s="21" t="n"/>
      <c r="D403" s="22" t="n"/>
      <c r="E403" s="37" t="n"/>
      <c r="F403" s="23" t="n"/>
      <c r="G403" s="36" t="n"/>
      <c r="H403" s="20" t="n"/>
      <c r="I403" s="36" t="n"/>
      <c r="J403" s="43">
        <f>IF(C403="","",N(D403)*IFERROR(N(INDEX(Ingredients!$D$6:$D$105,MATCH(C403,Ingredients!$B$6:$B$105,0))),0))</f>
        <v/>
      </c>
      <c r="K403" s="12">
        <f>IF(OR(C403="",I403&lt;&gt;"",NOT(ISNUMBER(H403))),"",IF(H403&lt;TODAY(),"Past its date",IF(H403-TODAY()&lt;=Settings!$C$6,"Use soon","")))</f>
        <v/>
      </c>
      <c r="L403" s="1">
        <f>IF(K403="","",H403*1000+ROW())</f>
        <v/>
      </c>
    </row>
    <row r="404">
      <c r="A404" s="1" t="n"/>
      <c r="B404" s="20" t="n"/>
      <c r="C404" s="21" t="n"/>
      <c r="D404" s="22" t="n"/>
      <c r="E404" s="37" t="n"/>
      <c r="F404" s="23" t="n"/>
      <c r="G404" s="36" t="n"/>
      <c r="H404" s="20" t="n"/>
      <c r="I404" s="36" t="n"/>
      <c r="J404" s="43">
        <f>IF(C404="","",N(D404)*IFERROR(N(INDEX(Ingredients!$D$6:$D$105,MATCH(C404,Ingredients!$B$6:$B$105,0))),0))</f>
        <v/>
      </c>
      <c r="K404" s="12">
        <f>IF(OR(C404="",I404&lt;&gt;"",NOT(ISNUMBER(H404))),"",IF(H404&lt;TODAY(),"Past its date",IF(H404-TODAY()&lt;=Settings!$C$6,"Use soon","")))</f>
        <v/>
      </c>
      <c r="L404" s="1">
        <f>IF(K404="","",H404*1000+ROW())</f>
        <v/>
      </c>
    </row>
    <row r="405">
      <c r="A405" s="1" t="n"/>
      <c r="B405" s="20" t="n"/>
      <c r="C405" s="21" t="n"/>
      <c r="D405" s="22" t="n"/>
      <c r="E405" s="37" t="n"/>
      <c r="F405" s="23" t="n"/>
      <c r="G405" s="36" t="n"/>
      <c r="H405" s="20" t="n"/>
      <c r="I405" s="36" t="n"/>
      <c r="J405" s="43">
        <f>IF(C405="","",N(D405)*IFERROR(N(INDEX(Ingredients!$D$6:$D$105,MATCH(C405,Ingredients!$B$6:$B$105,0))),0))</f>
        <v/>
      </c>
      <c r="K405" s="12">
        <f>IF(OR(C405="",I405&lt;&gt;"",NOT(ISNUMBER(H405))),"",IF(H405&lt;TODAY(),"Past its date",IF(H405-TODAY()&lt;=Settings!$C$6,"Use soon","")))</f>
        <v/>
      </c>
      <c r="L405" s="1">
        <f>IF(K405="","",H405*1000+ROW())</f>
        <v/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</row>
  </sheetData>
  <conditionalFormatting sqref="K6:K405">
    <cfRule type="expression" priority="1" dxfId="0">
      <formula>$K6="Past its date"</formula>
    </cfRule>
    <cfRule type="expression" priority="2" dxfId="1">
      <formula>$K6="Use soon"</formula>
    </cfRule>
    <cfRule type="expression" priority="3" dxfId="2">
      <formula>$K6="Sold out"</formula>
    </cfRule>
  </conditionalFormatting>
  <dataValidations count="1">
    <dataValidation sqref="C6:C405" showDropDown="0" showInputMessage="0" showErrorMessage="1" allowBlank="1" type="list">
      <formula1>=Ingredients!$B$6:$B$105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Dates, the words on the labels, and the allergens they list.</t>
        </is>
      </c>
      <c r="C3" s="1" t="n"/>
      <c r="D3" s="1" t="n"/>
      <c r="E3" s="1" t="n"/>
      <c r="F3" s="1" t="n"/>
    </row>
    <row r="4">
      <c r="A4" s="1" t="n"/>
      <c r="B4" s="44" t="inlineStr">
        <is>
          <t>Currency</t>
        </is>
      </c>
      <c r="C4" s="36" t="inlineStr">
        <is>
          <t>USD</t>
        </is>
      </c>
      <c r="D4" s="1" t="n"/>
      <c r="E4" s="29" t="inlineStr">
        <is>
          <t>Amounts have no currency sign, so any currency works.</t>
        </is>
      </c>
      <c r="F4" s="1" t="n"/>
    </row>
    <row r="5">
      <c r="A5" s="1" t="n"/>
      <c r="B5" s="44" t="inlineStr">
        <is>
          <t>Use soon: days before the date</t>
        </is>
      </c>
      <c r="C5" s="22" t="n">
        <v>2</v>
      </c>
      <c r="D5" s="1" t="n"/>
      <c r="E5" s="29" t="inlineStr">
        <is>
          <t>A batch this close to its date shows as Use soon.</t>
        </is>
      </c>
      <c r="F5" s="1" t="n"/>
    </row>
    <row r="6">
      <c r="A6" s="1" t="n"/>
      <c r="B6" s="44" t="inlineStr">
        <is>
          <t>Pantry: days before the date</t>
        </is>
      </c>
      <c r="C6" s="22" t="n">
        <v>14</v>
      </c>
      <c r="D6" s="1" t="n"/>
      <c r="E6" s="29" t="inlineStr">
        <is>
          <t>An ingredient this close to its date shows on the Dashboard.</t>
        </is>
      </c>
      <c r="F6" s="1" t="n"/>
    </row>
    <row r="7">
      <c r="A7" s="1" t="n"/>
      <c r="B7" s="44" t="inlineStr">
        <is>
          <t>Date wording on the labels</t>
        </is>
      </c>
      <c r="C7" s="39" t="inlineStr">
        <is>
          <t>Best before</t>
        </is>
      </c>
      <c r="D7" s="1" t="n"/>
      <c r="E7" s="29" t="inlineStr">
        <is>
          <t>For example Best before or Use by.</t>
        </is>
      </c>
      <c r="F7" s="1" t="n"/>
    </row>
    <row r="8">
      <c r="A8" s="1" t="n"/>
      <c r="B8" s="44" t="inlineStr">
        <is>
          <t>Business name</t>
        </is>
      </c>
      <c r="C8" s="21" t="inlineStr">
        <is>
          <t>Little Oven Bakes</t>
        </is>
      </c>
      <c r="D8" s="1" t="n"/>
      <c r="E8" s="29" t="inlineStr">
        <is>
          <t>On each label.</t>
        </is>
      </c>
      <c r="F8" s="1" t="n"/>
    </row>
    <row r="9">
      <c r="A9" s="1" t="n"/>
      <c r="B9" s="44" t="inlineStr">
        <is>
          <t>Address</t>
        </is>
      </c>
      <c r="C9" s="39" t="inlineStr">
        <is>
          <t>4 Mill Lane, Riverton</t>
        </is>
      </c>
      <c r="D9" s="1" t="n"/>
      <c r="E9" s="29" t="inlineStr">
        <is>
          <t>On each label. Leave empty to leave it off.</t>
        </is>
      </c>
      <c r="F9" s="1" t="n"/>
    </row>
    <row r="10">
      <c r="A10" s="1" t="n"/>
      <c r="B10" s="44" t="inlineStr">
        <is>
          <t>Line at the bottom of each label</t>
        </is>
      </c>
      <c r="C10" s="39" t="inlineStr">
        <is>
          <t>Made in a home kitchen.</t>
        </is>
      </c>
      <c r="D10" s="1" t="n"/>
      <c r="E10" s="29" t="inlineStr">
        <is>
          <t>The wording your local rules ask for.</t>
        </is>
      </c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45" t="inlineStr">
        <is>
          <t>Allergens on the labels</t>
        </is>
      </c>
      <c r="C12" s="1" t="n"/>
      <c r="D12" s="1" t="n"/>
      <c r="E12" s="29" t="inlineStr">
        <is>
          <t>Rename or clear any of them to match the rules where you sell.</t>
        </is>
      </c>
      <c r="F12" s="1" t="n"/>
    </row>
    <row r="13">
      <c r="A13" s="1" t="n"/>
      <c r="B13" s="46" t="n">
        <v>1</v>
      </c>
      <c r="C13" s="39" t="inlineStr">
        <is>
          <t>Wheat</t>
        </is>
      </c>
      <c r="D13" s="1" t="n"/>
      <c r="E13" s="1" t="n"/>
      <c r="F13" s="1" t="n"/>
    </row>
    <row r="14">
      <c r="A14" s="1" t="n"/>
      <c r="B14" s="46" t="n">
        <v>2</v>
      </c>
      <c r="C14" s="39" t="inlineStr">
        <is>
          <t>Gluten</t>
        </is>
      </c>
      <c r="D14" s="1" t="n"/>
      <c r="E14" s="1" t="n"/>
      <c r="F14" s="1" t="n"/>
    </row>
    <row r="15">
      <c r="A15" s="1" t="n"/>
      <c r="B15" s="46" t="n">
        <v>3</v>
      </c>
      <c r="C15" s="39" t="inlineStr">
        <is>
          <t>Milk</t>
        </is>
      </c>
      <c r="D15" s="1" t="n"/>
      <c r="E15" s="1" t="n"/>
      <c r="F15" s="1" t="n"/>
    </row>
    <row r="16">
      <c r="A16" s="1" t="n"/>
      <c r="B16" s="46" t="n">
        <v>4</v>
      </c>
      <c r="C16" s="39" t="inlineStr">
        <is>
          <t>Eggs</t>
        </is>
      </c>
      <c r="D16" s="1" t="n"/>
      <c r="E16" s="1" t="n"/>
      <c r="F16" s="1" t="n"/>
    </row>
    <row r="17">
      <c r="A17" s="1" t="n"/>
      <c r="B17" s="46" t="n">
        <v>5</v>
      </c>
      <c r="C17" s="39" t="inlineStr">
        <is>
          <t>Soy</t>
        </is>
      </c>
      <c r="D17" s="1" t="n"/>
      <c r="E17" s="1" t="n"/>
      <c r="F17" s="1" t="n"/>
    </row>
    <row r="18">
      <c r="A18" s="1" t="n"/>
      <c r="B18" s="46" t="n">
        <v>6</v>
      </c>
      <c r="C18" s="39" t="inlineStr">
        <is>
          <t>Peanuts</t>
        </is>
      </c>
      <c r="D18" s="1" t="n"/>
      <c r="E18" s="1" t="n"/>
      <c r="F18" s="1" t="n"/>
    </row>
    <row r="19">
      <c r="A19" s="1" t="n"/>
      <c r="B19" s="46" t="n">
        <v>7</v>
      </c>
      <c r="C19" s="39" t="inlineStr">
        <is>
          <t>Tree nuts</t>
        </is>
      </c>
      <c r="D19" s="1" t="n"/>
      <c r="E19" s="1" t="n"/>
      <c r="F19" s="1" t="n"/>
    </row>
    <row r="20">
      <c r="A20" s="1" t="n"/>
      <c r="B20" s="46" t="n">
        <v>8</v>
      </c>
      <c r="C20" s="39" t="inlineStr">
        <is>
          <t>Sesame</t>
        </is>
      </c>
      <c r="D20" s="1" t="n"/>
      <c r="E20" s="1" t="n"/>
      <c r="F20" s="1" t="n"/>
    </row>
    <row r="21">
      <c r="A21" s="1" t="n"/>
      <c r="B21" s="46" t="n">
        <v>9</v>
      </c>
      <c r="C21" s="39" t="inlineStr">
        <is>
          <t>Fish</t>
        </is>
      </c>
      <c r="D21" s="1" t="n"/>
      <c r="E21" s="1" t="n"/>
      <c r="F21" s="1" t="n"/>
    </row>
    <row r="22">
      <c r="A22" s="1" t="n"/>
      <c r="B22" s="46" t="n">
        <v>10</v>
      </c>
      <c r="C22" s="39" t="inlineStr">
        <is>
          <t>Shellfish</t>
        </is>
      </c>
      <c r="D22" s="1" t="n"/>
      <c r="E22" s="1" t="n"/>
      <c r="F22" s="1" t="n"/>
    </row>
    <row r="23">
      <c r="A23" s="1" t="n"/>
      <c r="B23" s="46" t="n">
        <v>11</v>
      </c>
      <c r="C23" s="39" t="inlineStr">
        <is>
          <t>Molluscs</t>
        </is>
      </c>
      <c r="D23" s="1" t="n"/>
      <c r="E23" s="1" t="n"/>
      <c r="F23" s="1" t="n"/>
    </row>
    <row r="24">
      <c r="A24" s="1" t="n"/>
      <c r="B24" s="46" t="n">
        <v>12</v>
      </c>
      <c r="C24" s="39" t="inlineStr">
        <is>
          <t>Celery</t>
        </is>
      </c>
      <c r="D24" s="1" t="n"/>
      <c r="E24" s="1" t="n"/>
      <c r="F24" s="1" t="n"/>
    </row>
    <row r="25">
      <c r="A25" s="1" t="n"/>
      <c r="B25" s="46" t="n">
        <v>13</v>
      </c>
      <c r="C25" s="39" t="inlineStr">
        <is>
          <t>Mustard</t>
        </is>
      </c>
      <c r="D25" s="1" t="n"/>
      <c r="E25" s="1" t="n"/>
      <c r="F25" s="1" t="n"/>
    </row>
    <row r="26">
      <c r="A26" s="1" t="n"/>
      <c r="B26" s="46" t="n">
        <v>14</v>
      </c>
      <c r="C26" s="39" t="inlineStr">
        <is>
          <t>Lupin</t>
        </is>
      </c>
      <c r="D26" s="1" t="n"/>
      <c r="E26" s="1" t="n"/>
      <c r="F26" s="1" t="n"/>
    </row>
    <row r="27">
      <c r="A27" s="1" t="n"/>
      <c r="B27" s="46" t="n">
        <v>15</v>
      </c>
      <c r="C27" s="39" t="inlineStr">
        <is>
          <t>Sulphites</t>
        </is>
      </c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7" t="inlineStr">
        <is>
          <t>1</t>
        </is>
      </c>
      <c r="C5" s="48" t="inlineStr">
        <is>
          <t>Settings: your business name and address for the labels, the date wording, and the allergen names.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7" t="inlineStr">
        <is>
          <t>2</t>
        </is>
      </c>
      <c r="C7" s="48" t="inlineStr">
        <is>
          <t>Ingredients: each ingredient and packaging item with its pack size and price, and an x for its allergens.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7" t="inlineStr">
        <is>
          <t>3</t>
        </is>
      </c>
      <c r="C9" s="48" t="inlineStr">
        <is>
          <t>Products: what you sell, how many one batch makes, how many days it keeps, and the price.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7" t="inlineStr">
        <is>
          <t>4</t>
        </is>
      </c>
      <c r="C11" s="48" t="inlineStr">
        <is>
          <t>Recipes: what goes into one batch of each product. The cost of each item fills in by itself.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7" t="inlineStr">
        <is>
          <t>5</t>
        </is>
      </c>
      <c r="C13" s="48" t="inlineStr">
        <is>
          <t>Batches: a line each time you bake or cook. The code and best-before date appear by themselves.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47" t="inlineStr">
        <is>
          <t>6</t>
        </is>
      </c>
      <c r="C15" s="48" t="inlineStr">
        <is>
          <t>Label: pick a batch and print. Purchases: log what you buy to keep the ingredient stock.</t>
        </is>
      </c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bakery, its products and its prices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Check your labels against the food rules where you sell. The file puts together what you type; it does not know the law.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2026-09-28T18:56:10Z</dcterms:created>
  <dcterms:modified xsi:type="dcterms:W3CDTF">2026-09-28T18:56:12Z</dcterms:modified>
</cp:coreProperties>
</file>